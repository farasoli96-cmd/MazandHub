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kol" sheetId="1" state="visible" r:id="rId1"/>
    <sheet name="Sync" sheetId="2" state="visible" r:id="rId2"/>
    <sheet name="Help" sheetId="3" state="visible" r:id="rId3"/>
  </sheets>
  <externalReferences>
    <externalReference r:id="rId6"/>
  </externalReferences>
  <definedNames>
    <definedName name="OpTbl">Sync!$B$6:$D$25</definedName>
    <definedName name="AcctTbl">Sync!$F$6:$I$565</definedName>
    <definedName name="AcctCodes">Sync!$F$6:$F$565</definedName>
    <definedName name="ListCitrus">OFFSET(Sync!$K$6,0,0,MAX(COUNTIF(Sync!$K$6:$K$31,"?*"),1),1)</definedName>
    <definedName name="ParamTbl">Sync!$M$6:$O$17</definedName>
    <definedName name="ListOps">OFFSET(Sync!$T$6,0,0,MAX(COUNTIF(Sync!$T$6:$T$25,"?*"),1),1)</definedName>
    <definedName name="_xlnm.Print_Titles" localSheetId="0">'Baskol'!$7:$8</definedName>
    <definedName name="_xlnm.Print_Area" localSheetId="0">'Baskol'!$A$1:$O$2008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E65100"/>
      <sz val="13"/>
    </font>
    <font>
      <name val="Tahoma"/>
      <i val="1"/>
      <color rgb="00607D8B"/>
      <sz val="8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263238"/>
      <sz val="9"/>
    </font>
    <font>
      <name val="Tahoma"/>
      <b val="1"/>
      <color rgb="00E65100"/>
      <sz val="12"/>
    </font>
    <font>
      <name val="Tahoma"/>
      <b val="1"/>
      <color rgb="00FFFFFF"/>
      <sz val="10.5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F1F8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EF3F1"/>
      </patternFill>
    </fill>
    <fill>
      <patternFill patternType="solid">
        <fgColor rgb="00FFF9C4"/>
      </patternFill>
    </fill>
    <fill>
      <patternFill patternType="solid">
        <fgColor rgb="00F3F8F3"/>
      </patternFill>
    </fill>
  </fills>
  <borders count="4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0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/>
    </xf>
    <xf numFmtId="49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 wrapText="1"/>
    </xf>
    <xf numFmtId="0" fontId="11" fillId="1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ont>
        <name val="Tahoma"/>
        <b val="1"/>
        <color rgb="002E7D32"/>
        <sz val="9"/>
      </font>
      <fill>
        <patternFill patternType="solid">
          <fgColor rgb="00C8E6C9"/>
        </patternFill>
      </fill>
    </dxf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  <dxf>
      <font>
        <name val="Tahoma"/>
        <b val="1"/>
        <color rgb="00C62828"/>
        <sz val="9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externalLink" Target="externalLinks/externalLink1.xml"/></Relationships>
</file>

<file path=xl/comments/comment1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t>تاریخ شمسی با قالب 1405/07/10 (ارقام لاتین).</t>
      </text>
    </comment>
    <comment ref="C7" authorId="0" shapeId="0">
      <text>
        <t>ساعت 24 ساعتی مثل 09:30 — برای ترتیب رویدادهای هم‌تاریخ.</t>
      </text>
    </comment>
    <comment ref="E7" authorId="0" shapeId="0">
      <text>
        <t>نوع عملیات را از کشویی انتخاب کنید — جهت (ورود/خروج) خودکار تعیین می‌شود.</t>
      </text>
    </comment>
    <comment ref="G7" authorId="0" shapeId="0">
      <text>
        <t>کد طرف از INFO ← Accounts (C… مشتری / SL… فروشنده / S… تأمین‌کننده). نام خودکار می‌آید.</t>
      </text>
    </comment>
    <comment ref="H7" authorId="0" shapeId="0">
      <text>
        <t>زیرگروه اختیاری — کشویی آبشاری بر اساس گروه عملیات (خرید/فروش).</t>
      </text>
    </comment>
    <comment ref="I7" authorId="0" shapeId="0">
      <text>
        <t>نوع مرکبات از کشویی — فهرست در INFO ← Products_Sell (فروش) یا Products_Buy (خرید).</t>
      </text>
    </comment>
    <comment ref="J7" authorId="0" shapeId="0">
      <text>
        <t>وزنی که باسکول نشان می‌دهد (خام) — وزن خالص خودکار حساب می‌شود.</t>
      </text>
    </comment>
    <comment ref="K7" authorId="0" shapeId="0">
      <text>
        <t>تعداد سبدِ داخل بار — وزن هر سبد از INFO ← Params (P01) کم می‌شود.</t>
      </text>
    </comment>
    <comment ref="M7" authorId="0" shapeId="0">
      <text>
        <t>وزن خالص = (باسکول − سبد×P01) × (۱ − P02٪ فقط برای خرید). خودکار است.</t>
      </text>
    </comment>
    <comment ref="N7" authorId="0" shapeId="0">
      <text>
        <t>مبلغ اختیاری — اگر پر کنید، در فاکتور فروش/خرید می‌نشیند.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O2008"/>
  <sheetViews>
    <sheetView showGridLines="0" rightToLeft="1" zoomScale="11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11" customWidth="1" min="4" max="4"/>
    <col width="16" customWidth="1" min="5" max="5"/>
    <col width="10" customWidth="1" min="6" max="6"/>
    <col width="12" customWidth="1" min="7" max="7"/>
    <col width="26" customWidth="1" min="8" max="8"/>
    <col width="15" customWidth="1" min="9" max="9"/>
    <col width="13" customWidth="1" min="10" max="10"/>
    <col width="13" customWidth="1" min="11" max="11"/>
    <col width="11" customWidth="1" min="12" max="12"/>
    <col width="13" customWidth="1" min="13" max="13"/>
    <col width="15" customWidth="1" min="14" max="14"/>
    <col width="30" customWidth="1" min="15" max="15"/>
  </cols>
  <sheetData>
    <row r="1" ht="26" customHeight="1">
      <c r="A1" s="1">
        <f>IF(Sync!$Q$6="","مازندشت",Sync!$Q$6)&amp;" — "&amp;IF(Sync!$Q$9="","سورتینگ و بسته‌بندی مرکبات",Sync!$Q$9)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IF(Sync!$Q$7="","باغدشت، بخش مرکزی، شهرستان قائم‌شهر، استان مازندران، ایران",Sync!$Q$7)&amp;"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3" t="inlineStr">
        <is>
          <t>دفتر باسکول — ثبت ورود و خروج کالا (تنها محل ثبت کالا)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26" customHeight="1">
      <c r="A4" s="4" t="inlineStr">
        <is>
          <t>ستون‌های زرد = ورود دستی شما | ستون‌های خاکستری = خودکار (جهت، نام، وزن خالص).  تاریخ: 1405/07/10 — ساعت: 09:30 — ابتدا «نوع عملیات» را از کشویی انتخاب کنید؛ جهت (ورود/خروج) خودکار می‌آید، بعد کد حساب طرف را تایپ کنید تا نامش بیاید. «زیرگروه» اختیاری است و بر اساس گروه عملیات کشویی می‌شود.  وزن خالص = (باسکول − سبد × P01) × (۱ − P02٪ فقط برای گروه خرید) — پارامترها از INFO ← Params.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3" customHeight="1">
      <c r="A5" s="5" t="inlineStr">
        <is>
          <t>تعداد توزین ثبت‌شده</t>
        </is>
      </c>
      <c r="B5" s="5" t="n"/>
      <c r="C5" s="5" t="inlineStr">
        <is>
          <t>جمع خالص ورود (kg)</t>
        </is>
      </c>
      <c r="D5" s="5" t="n"/>
      <c r="E5" s="5" t="inlineStr">
        <is>
          <t>جمع خالص خروج (kg)</t>
        </is>
      </c>
      <c r="F5" s="5" t="n"/>
      <c r="G5" s="5" t="inlineStr">
        <is>
          <t>جمع مبالغ (ریال)</t>
        </is>
      </c>
      <c r="H5" s="5" t="n"/>
      <c r="I5" s="5" t="inlineStr">
        <is>
          <t>ظرفیت باقی‌مانده</t>
        </is>
      </c>
      <c r="J5" s="5" t="n"/>
      <c r="K5" s="5" t="n"/>
    </row>
    <row r="6" ht="20" customHeight="1">
      <c r="A6" s="6">
        <f>COUNTA($B$9:$B$2008)</f>
        <v/>
      </c>
      <c r="B6" s="6" t="n"/>
      <c r="C6" s="7">
        <f>SUMIF($F$9:$F$2008,"ورود",$M$9:$M$2008)</f>
        <v/>
      </c>
      <c r="D6" s="7" t="n"/>
      <c r="E6" s="7">
        <f>SUMIF($F$9:$F$2008,"خروج",$M$9:$M$2008)</f>
        <v/>
      </c>
      <c r="F6" s="7" t="n"/>
      <c r="G6" s="8">
        <f>SUM($N$9:$N$2008)</f>
        <v/>
      </c>
      <c r="H6" s="8" t="n"/>
      <c r="I6" s="6">
        <f>2000-COUNTA($B$9:$B$2008)</f>
        <v/>
      </c>
      <c r="J6" s="6" t="n"/>
      <c r="K6" s="6" t="n"/>
    </row>
    <row r="7" ht="30" customHeight="1">
      <c r="A7" s="9" t="inlineStr">
        <is>
          <t>ردیف</t>
        </is>
      </c>
      <c r="B7" s="9" t="inlineStr">
        <is>
          <t>تاریخ</t>
        </is>
      </c>
      <c r="C7" s="9" t="inlineStr">
        <is>
          <t>ساعت</t>
        </is>
      </c>
      <c r="D7" s="9" t="inlineStr">
        <is>
          <t>شماره سند</t>
        </is>
      </c>
      <c r="E7" s="9" t="inlineStr">
        <is>
          <t>نوع عملیات</t>
        </is>
      </c>
      <c r="F7" s="9" t="inlineStr">
        <is>
          <t>جهت (خودکار)</t>
        </is>
      </c>
      <c r="G7" s="9" t="inlineStr">
        <is>
          <t>کد حساب</t>
        </is>
      </c>
      <c r="H7" s="9" t="inlineStr">
        <is>
          <t>نام حساب (خودکار)</t>
        </is>
      </c>
      <c r="I7" s="9" t="inlineStr">
        <is>
          <t>زیرگروه (اختیاری)</t>
        </is>
      </c>
      <c r="J7" s="9" t="inlineStr">
        <is>
          <t>نوع مرکبات</t>
        </is>
      </c>
      <c r="K7" s="9" t="inlineStr">
        <is>
          <t>وزن باسکول (kg)</t>
        </is>
      </c>
      <c r="L7" s="9" t="inlineStr">
        <is>
          <t>تعداد سبد</t>
        </is>
      </c>
      <c r="M7" s="9" t="inlineStr">
        <is>
          <t>وزن خالص (kg)</t>
        </is>
      </c>
      <c r="N7" s="9" t="inlineStr">
        <is>
          <t>مبلغ (ریال)</t>
        </is>
      </c>
      <c r="O7" s="9" t="inlineStr">
        <is>
          <t>توضیحات</t>
        </is>
      </c>
    </row>
    <row r="8" ht="13" customHeight="1">
      <c r="A8" s="10" t="inlineStr">
        <is>
          <t>No.</t>
        </is>
      </c>
      <c r="B8" s="10" t="inlineStr">
        <is>
          <t>Date</t>
        </is>
      </c>
      <c r="C8" s="10" t="inlineStr">
        <is>
          <t>Time</t>
        </is>
      </c>
      <c r="D8" s="10" t="inlineStr">
        <is>
          <t>Doc No.</t>
        </is>
      </c>
      <c r="E8" s="10" t="inlineStr">
        <is>
          <t>Operation</t>
        </is>
      </c>
      <c r="F8" s="10" t="inlineStr">
        <is>
          <t>Direction</t>
        </is>
      </c>
      <c r="G8" s="10" t="inlineStr">
        <is>
          <t>Account Code</t>
        </is>
      </c>
      <c r="H8" s="10" t="inlineStr">
        <is>
          <t>Account Name</t>
        </is>
      </c>
      <c r="I8" s="10" t="inlineStr">
        <is>
          <t>Subgroup</t>
        </is>
      </c>
      <c r="J8" s="10" t="inlineStr">
        <is>
          <t>Citrus Type</t>
        </is>
      </c>
      <c r="K8" s="10" t="inlineStr">
        <is>
          <t>Scale Weight</t>
        </is>
      </c>
      <c r="L8" s="10" t="inlineStr">
        <is>
          <t>Basket Count</t>
        </is>
      </c>
      <c r="M8" s="10" t="inlineStr">
        <is>
          <t>Net Weight</t>
        </is>
      </c>
      <c r="N8" s="10" t="inlineStr">
        <is>
          <t>Amount</t>
        </is>
      </c>
      <c r="O8" s="10" t="inlineStr">
        <is>
          <t>Notes</t>
        </is>
      </c>
    </row>
    <row r="9">
      <c r="A9" s="11">
        <f>IF($B9="","",COUNTA($B$9:$B9))</f>
        <v/>
      </c>
      <c r="B9" s="12" t="inlineStr">
        <is>
          <t>1405/07/01</t>
        </is>
      </c>
      <c r="C9" s="12" t="inlineStr">
        <is>
          <t>07:45</t>
        </is>
      </c>
      <c r="D9" s="12" t="inlineStr">
        <is>
          <t>BS-001</t>
        </is>
      </c>
      <c r="E9" s="13" t="inlineStr">
        <is>
          <t>خرید مرکبات</t>
        </is>
      </c>
      <c r="F9" s="11">
        <f>IF($E9="","",IFERROR(VLOOKUP($E9,OpTbl,2,0),""))</f>
        <v/>
      </c>
      <c r="G9" s="12" t="inlineStr">
        <is>
          <t>S001</t>
        </is>
      </c>
      <c r="H9" s="11">
        <f>IF($G9="","",IFERROR(IF(VLOOKUP($G9,AcctTbl,4,0)="","(بدون نام)",VLOOKUP($G9,AcctTbl,4,0)),"کد ناشناخته"))</f>
        <v/>
      </c>
      <c r="I9" s="13" t="n"/>
      <c r="J9" s="13" t="inlineStr">
        <is>
          <t>پرتقال</t>
        </is>
      </c>
      <c r="K9" s="14" t="n">
        <v>12000</v>
      </c>
      <c r="L9" s="14" t="n">
        <v>800</v>
      </c>
      <c r="M9" s="15">
        <f>IF(OR($B9="",$K9=""),"",($K9-IF($L9="",0,$L9)*IFERROR(VLOOKUP("P01",ParamTbl,3,0),1.5))*(1-IF(IFERROR(VLOOKUP($E9,OpTbl,3,0),"")="خرید",IFERROR(VLOOKUP("P02",ParamTbl,3,0),1),0)/100))</f>
        <v/>
      </c>
      <c r="N9" s="14" t="n"/>
      <c r="O9" s="13" t="inlineStr">
        <is>
          <t>ورودی اول باغ آقای رستمی (نمونه)</t>
        </is>
      </c>
    </row>
    <row r="10">
      <c r="A10" s="11">
        <f>IF($B10="","",COUNTA($B$9:$B10))</f>
        <v/>
      </c>
      <c r="B10" s="12" t="inlineStr">
        <is>
          <t>1405/07/02</t>
        </is>
      </c>
      <c r="C10" s="12" t="inlineStr">
        <is>
          <t>09:10</t>
        </is>
      </c>
      <c r="D10" s="12" t="inlineStr">
        <is>
          <t>BS-002</t>
        </is>
      </c>
      <c r="E10" s="13" t="inlineStr">
        <is>
          <t>خرید مرکبات</t>
        </is>
      </c>
      <c r="F10" s="11">
        <f>IF($E10="","",IFERROR(VLOOKUP($E10,OpTbl,2,0),""))</f>
        <v/>
      </c>
      <c r="G10" s="12" t="inlineStr">
        <is>
          <t>S002</t>
        </is>
      </c>
      <c r="H10" s="11">
        <f>IF($G10="","",IFERROR(IF(VLOOKUP($G10,AcctTbl,4,0)="","(بدون نام)",VLOOKUP($G10,AcctTbl,4,0)),"کد ناشناخته"))</f>
        <v/>
      </c>
      <c r="I10" s="13" t="n"/>
      <c r="J10" s="13" t="inlineStr">
        <is>
          <t>نارنگی</t>
        </is>
      </c>
      <c r="K10" s="14" t="n">
        <v>9500</v>
      </c>
      <c r="L10" s="14" t="n">
        <v>620</v>
      </c>
      <c r="M10" s="15">
        <f>IF(OR($B10="",$K10=""),"",($K10-IF($L10="",0,$L10)*IFERROR(VLOOKUP("P01",ParamTbl,3,0),1.5))*(1-IF(IFERROR(VLOOKUP($E10,OpTbl,3,0),"")="خرید",IFERROR(VLOOKUP("P02",ParamTbl,3,0),1),0)/100))</f>
        <v/>
      </c>
      <c r="N10" s="14" t="n"/>
      <c r="O10" s="13" t="n"/>
    </row>
    <row r="11">
      <c r="A11" s="11">
        <f>IF($B11="","",COUNTA($B$9:$B11))</f>
        <v/>
      </c>
      <c r="B11" s="12" t="inlineStr">
        <is>
          <t>1405/07/02</t>
        </is>
      </c>
      <c r="C11" s="12" t="inlineStr">
        <is>
          <t>11:30</t>
        </is>
      </c>
      <c r="D11" s="12" t="inlineStr">
        <is>
          <t>BS-003</t>
        </is>
      </c>
      <c r="E11" s="13" t="inlineStr">
        <is>
          <t>خرید مرکبات</t>
        </is>
      </c>
      <c r="F11" s="11">
        <f>IF($E11="","",IFERROR(VLOOKUP($E11,OpTbl,2,0),""))</f>
        <v/>
      </c>
      <c r="G11" s="12" t="inlineStr">
        <is>
          <t>S001</t>
        </is>
      </c>
      <c r="H11" s="11">
        <f>IF($G11="","",IFERROR(IF(VLOOKUP($G11,AcctTbl,4,0)="","(بدون نام)",VLOOKUP($G11,AcctTbl,4,0)),"کد ناشناخته"))</f>
        <v/>
      </c>
      <c r="I11" s="13" t="n"/>
      <c r="J11" s="13" t="inlineStr">
        <is>
          <t>پرتقال</t>
        </is>
      </c>
      <c r="K11" s="14" t="n">
        <v>8500</v>
      </c>
      <c r="L11" s="14" t="n">
        <v>560</v>
      </c>
      <c r="M11" s="15">
        <f>IF(OR($B11="",$K11=""),"",($K11-IF($L11="",0,$L11)*IFERROR(VLOOKUP("P01",ParamTbl,3,0),1.5))*(1-IF(IFERROR(VLOOKUP($E11,OpTbl,3,0),"")="خرید",IFERROR(VLOOKUP("P02",ParamTbl,3,0),1),0)/100))</f>
        <v/>
      </c>
      <c r="N11" s="14" t="n"/>
      <c r="O11" s="13" t="inlineStr">
        <is>
          <t>بار دوم (نمونه)</t>
        </is>
      </c>
    </row>
    <row r="12">
      <c r="A12" s="11">
        <f>IF($B12="","",COUNTA($B$9:$B12))</f>
        <v/>
      </c>
      <c r="B12" s="12" t="inlineStr">
        <is>
          <t>1405/07/03</t>
        </is>
      </c>
      <c r="C12" s="12" t="inlineStr">
        <is>
          <t>08:20</t>
        </is>
      </c>
      <c r="D12" s="12" t="inlineStr">
        <is>
          <t>BS-004</t>
        </is>
      </c>
      <c r="E12" s="13" t="inlineStr">
        <is>
          <t>خرید مرکبات</t>
        </is>
      </c>
      <c r="F12" s="11">
        <f>IF($E12="","",IFERROR(VLOOKUP($E12,OpTbl,2,0),""))</f>
        <v/>
      </c>
      <c r="G12" s="12" t="inlineStr">
        <is>
          <t>S003</t>
        </is>
      </c>
      <c r="H12" s="11">
        <f>IF($G12="","",IFERROR(IF(VLOOKUP($G12,AcctTbl,4,0)="","(بدون نام)",VLOOKUP($G12,AcctTbl,4,0)),"کد ناشناخته"))</f>
        <v/>
      </c>
      <c r="I12" s="13" t="n"/>
      <c r="J12" s="13" t="inlineStr">
        <is>
          <t>لیمو</t>
        </is>
      </c>
      <c r="K12" s="14" t="n">
        <v>3000</v>
      </c>
      <c r="L12" s="14" t="n">
        <v>200</v>
      </c>
      <c r="M12" s="15">
        <f>IF(OR($B12="",$K12=""),"",($K12-IF($L12="",0,$L12)*IFERROR(VLOOKUP("P01",ParamTbl,3,0),1.5))*(1-IF(IFERROR(VLOOKUP($E12,OpTbl,3,0),"")="خرید",IFERROR(VLOOKUP("P02",ParamTbl,3,0),1),0)/100))</f>
        <v/>
      </c>
      <c r="N12" s="14" t="n"/>
      <c r="O12" s="13" t="n"/>
    </row>
    <row r="13">
      <c r="A13" s="11">
        <f>IF($B13="","",COUNTA($B$9:$B13))</f>
        <v/>
      </c>
      <c r="B13" s="12" t="inlineStr">
        <is>
          <t>1405/07/05</t>
        </is>
      </c>
      <c r="C13" s="12" t="inlineStr">
        <is>
          <t>10:00</t>
        </is>
      </c>
      <c r="D13" s="12" t="inlineStr">
        <is>
          <t>1001</t>
        </is>
      </c>
      <c r="E13" s="13" t="inlineStr">
        <is>
          <t>فروش</t>
        </is>
      </c>
      <c r="F13" s="11">
        <f>IF($E13="","",IFERROR(VLOOKUP($E13,OpTbl,2,0),""))</f>
        <v/>
      </c>
      <c r="G13" s="12" t="inlineStr">
        <is>
          <t>SL001</t>
        </is>
      </c>
      <c r="H13" s="11">
        <f>IF($G13="","",IFERROR(IF(VLOOKUP($G13,AcctTbl,4,0)="","(بدون نام)",VLOOKUP($G13,AcctTbl,4,0)),"کد ناشناخته"))</f>
        <v/>
      </c>
      <c r="I13" s="13" t="n"/>
      <c r="J13" s="13" t="inlineStr">
        <is>
          <t>پرتقال</t>
        </is>
      </c>
      <c r="K13" s="14" t="n">
        <v>13742.5</v>
      </c>
      <c r="L13" s="14" t="n">
        <v>1195</v>
      </c>
      <c r="M13" s="15">
        <f>IF(OR($B13="",$K13=""),"",($K13-IF($L13="",0,$L13)*IFERROR(VLOOKUP("P01",ParamTbl,3,0),1.5))*(1-IF(IFERROR(VLOOKUP($E13,OpTbl,3,0),"")="خرید",IFERROR(VLOOKUP("P02",ParamTbl,3,0),1),0)/100))</f>
        <v/>
      </c>
      <c r="N13" s="14" t="n">
        <v>950000000</v>
      </c>
      <c r="O13" s="13" t="inlineStr">
        <is>
          <t>فاکتور 1001 (نمونه)</t>
        </is>
      </c>
    </row>
    <row r="14">
      <c r="A14" s="11">
        <f>IF($B14="","",COUNTA($B$9:$B14))</f>
        <v/>
      </c>
      <c r="B14" s="12" t="inlineStr">
        <is>
          <t>1405/07/06</t>
        </is>
      </c>
      <c r="C14" s="12" t="inlineStr">
        <is>
          <t>11:20</t>
        </is>
      </c>
      <c r="D14" s="12" t="inlineStr">
        <is>
          <t>1002</t>
        </is>
      </c>
      <c r="E14" s="13" t="inlineStr">
        <is>
          <t>فروش</t>
        </is>
      </c>
      <c r="F14" s="11">
        <f>IF($E14="","",IFERROR(VLOOKUP($E14,OpTbl,2,0),""))</f>
        <v/>
      </c>
      <c r="G14" s="12" t="inlineStr">
        <is>
          <t>SL002</t>
        </is>
      </c>
      <c r="H14" s="11">
        <f>IF($G14="","",IFERROR(IF(VLOOKUP($G14,AcctTbl,4,0)="","(بدون نام)",VLOOKUP($G14,AcctTbl,4,0)),"کد ناشناخته"))</f>
        <v/>
      </c>
      <c r="I14" s="13" t="n"/>
      <c r="J14" s="13" t="inlineStr">
        <is>
          <t>نارنگی</t>
        </is>
      </c>
      <c r="K14" s="14" t="n">
        <v>22425</v>
      </c>
      <c r="L14" s="14" t="n">
        <v>1950</v>
      </c>
      <c r="M14" s="15">
        <f>IF(OR($B14="",$K14=""),"",($K14-IF($L14="",0,$L14)*IFERROR(VLOOKUP("P01",ParamTbl,3,0),1.5))*(1-IF(IFERROR(VLOOKUP($E14,OpTbl,3,0),"")="خرید",IFERROR(VLOOKUP("P02",ParamTbl,3,0),1),0)/100))</f>
        <v/>
      </c>
      <c r="N14" s="14" t="n">
        <v>1600000000</v>
      </c>
      <c r="O14" s="13" t="inlineStr">
        <is>
          <t>فاکتور 1002 (نمونه)</t>
        </is>
      </c>
    </row>
    <row r="15">
      <c r="A15" s="11">
        <f>IF($B15="","",COUNTA($B$9:$B15))</f>
        <v/>
      </c>
      <c r="B15" s="12" t="inlineStr">
        <is>
          <t>1405/07/08</t>
        </is>
      </c>
      <c r="C15" s="12" t="inlineStr">
        <is>
          <t>09:40</t>
        </is>
      </c>
      <c r="D15" s="12" t="inlineStr">
        <is>
          <t>1003</t>
        </is>
      </c>
      <c r="E15" s="13" t="inlineStr">
        <is>
          <t>فروش</t>
        </is>
      </c>
      <c r="F15" s="11">
        <f>IF($E15="","",IFERROR(VLOOKUP($E15,OpTbl,2,0),""))</f>
        <v/>
      </c>
      <c r="G15" s="12" t="inlineStr">
        <is>
          <t>SL003</t>
        </is>
      </c>
      <c r="H15" s="11">
        <f>IF($G15="","",IFERROR(IF(VLOOKUP($G15,AcctTbl,4,0)="","(بدون نام)",VLOOKUP($G15,AcctTbl,4,0)),"کد ناشناخته"))</f>
        <v/>
      </c>
      <c r="I15" s="13" t="n"/>
      <c r="J15" s="13" t="inlineStr">
        <is>
          <t>پرتقال</t>
        </is>
      </c>
      <c r="K15" s="14" t="n">
        <v>9200</v>
      </c>
      <c r="L15" s="14" t="n">
        <v>800</v>
      </c>
      <c r="M15" s="15">
        <f>IF(OR($B15="",$K15=""),"",($K15-IF($L15="",0,$L15)*IFERROR(VLOOKUP("P01",ParamTbl,3,0),1.5))*(1-IF(IFERROR(VLOOKUP($E15,OpTbl,3,0),"")="خرید",IFERROR(VLOOKUP("P02",ParamTbl,3,0),1),0)/100))</f>
        <v/>
      </c>
      <c r="N15" s="14" t="n">
        <v>640000000</v>
      </c>
      <c r="O15" s="13" t="inlineStr">
        <is>
          <t>فاکتور 1003 (نمونه)</t>
        </is>
      </c>
    </row>
    <row r="16">
      <c r="A16" s="11">
        <f>IF($B16="","",COUNTA($B$9:$B16))</f>
        <v/>
      </c>
      <c r="B16" s="12" t="inlineStr">
        <is>
          <t>1405/07/10</t>
        </is>
      </c>
      <c r="C16" s="12" t="inlineStr">
        <is>
          <t>08:50</t>
        </is>
      </c>
      <c r="D16" s="12" t="inlineStr">
        <is>
          <t>1004</t>
        </is>
      </c>
      <c r="E16" s="13" t="inlineStr">
        <is>
          <t>فروش</t>
        </is>
      </c>
      <c r="F16" s="11">
        <f>IF($E16="","",IFERROR(VLOOKUP($E16,OpTbl,2,0),""))</f>
        <v/>
      </c>
      <c r="G16" s="12" t="inlineStr">
        <is>
          <t>SL004</t>
        </is>
      </c>
      <c r="H16" s="11">
        <f>IF($G16="","",IFERROR(IF(VLOOKUP($G16,AcctTbl,4,0)="","(بدون نام)",VLOOKUP($G16,AcctTbl,4,0)),"کد ناشناخته"))</f>
        <v/>
      </c>
      <c r="I16" s="13" t="n"/>
      <c r="J16" s="13" t="inlineStr">
        <is>
          <t>پرتقال</t>
        </is>
      </c>
      <c r="K16" s="14" t="n">
        <v>5738.5</v>
      </c>
      <c r="L16" s="14" t="n">
        <v>499</v>
      </c>
      <c r="M16" s="15">
        <f>IF(OR($B16="",$K16=""),"",($K16-IF($L16="",0,$L16)*IFERROR(VLOOKUP("P01",ParamTbl,3,0),1.5))*(1-IF(IFERROR(VLOOKUP($E16,OpTbl,3,0),"")="خرید",IFERROR(VLOOKUP("P02",ParamTbl,3,0),1),0)/100))</f>
        <v/>
      </c>
      <c r="N16" s="14" t="n">
        <v>400000000</v>
      </c>
      <c r="O16" s="13" t="inlineStr">
        <is>
          <t>فاکتور 1004 (نمونه)</t>
        </is>
      </c>
    </row>
    <row r="17">
      <c r="A17" s="11">
        <f>IF($B17="","",COUNTA($B$9:$B17))</f>
        <v/>
      </c>
      <c r="B17" s="12" t="n"/>
      <c r="C17" s="12" t="n"/>
      <c r="D17" s="12" t="n"/>
      <c r="E17" s="13" t="n"/>
      <c r="F17" s="11">
        <f>IF($E17="","",IFERROR(VLOOKUP($E17,OpTbl,2,0),""))</f>
        <v/>
      </c>
      <c r="G17" s="12" t="n"/>
      <c r="H17" s="11">
        <f>IF($G17="","",IFERROR(IF(VLOOKUP($G17,AcctTbl,4,0)="","(بدون نام)",VLOOKUP($G17,AcctTbl,4,0)),"کد ناشناخته"))</f>
        <v/>
      </c>
      <c r="I17" s="13" t="n"/>
      <c r="J17" s="13" t="n"/>
      <c r="K17" s="14" t="n"/>
      <c r="L17" s="14" t="n"/>
      <c r="M17" s="15">
        <f>IF(OR($B17="",$K17=""),"",($K17-IF($L17="",0,$L17)*IFERROR(VLOOKUP("P01",ParamTbl,3,0),1.5))*(1-IF(IFERROR(VLOOKUP($E17,OpTbl,3,0),"")="خرید",IFERROR(VLOOKUP("P02",ParamTbl,3,0),1),0)/100))</f>
        <v/>
      </c>
      <c r="N17" s="14" t="n"/>
      <c r="O17" s="13" t="n"/>
    </row>
    <row r="18">
      <c r="A18" s="11">
        <f>IF($B18="","",COUNTA($B$9:$B18))</f>
        <v/>
      </c>
      <c r="B18" s="12" t="n"/>
      <c r="C18" s="12" t="n"/>
      <c r="D18" s="12" t="n"/>
      <c r="E18" s="13" t="n"/>
      <c r="F18" s="11">
        <f>IF($E18="","",IFERROR(VLOOKUP($E18,OpTbl,2,0),""))</f>
        <v/>
      </c>
      <c r="G18" s="12" t="n"/>
      <c r="H18" s="11">
        <f>IF($G18="","",IFERROR(IF(VLOOKUP($G18,AcctTbl,4,0)="","(بدون نام)",VLOOKUP($G18,AcctTbl,4,0)),"کد ناشناخته"))</f>
        <v/>
      </c>
      <c r="I18" s="13" t="n"/>
      <c r="J18" s="13" t="n"/>
      <c r="K18" s="14" t="n"/>
      <c r="L18" s="14" t="n"/>
      <c r="M18" s="15">
        <f>IF(OR($B18="",$K18=""),"",($K18-IF($L18="",0,$L18)*IFERROR(VLOOKUP("P01",ParamTbl,3,0),1.5))*(1-IF(IFERROR(VLOOKUP($E18,OpTbl,3,0),"")="خرید",IFERROR(VLOOKUP("P02",ParamTbl,3,0),1),0)/100))</f>
        <v/>
      </c>
      <c r="N18" s="14" t="n"/>
      <c r="O18" s="13" t="n"/>
    </row>
    <row r="19">
      <c r="A19" s="11">
        <f>IF($B19="","",COUNTA($B$9:$B19))</f>
        <v/>
      </c>
      <c r="B19" s="12" t="n"/>
      <c r="C19" s="12" t="n"/>
      <c r="D19" s="12" t="n"/>
      <c r="E19" s="13" t="n"/>
      <c r="F19" s="11">
        <f>IF($E19="","",IFERROR(VLOOKUP($E19,OpTbl,2,0),""))</f>
        <v/>
      </c>
      <c r="G19" s="12" t="n"/>
      <c r="H19" s="11">
        <f>IF($G19="","",IFERROR(IF(VLOOKUP($G19,AcctTbl,4,0)="","(بدون نام)",VLOOKUP($G19,AcctTbl,4,0)),"کد ناشناخته"))</f>
        <v/>
      </c>
      <c r="I19" s="13" t="n"/>
      <c r="J19" s="13" t="n"/>
      <c r="K19" s="14" t="n"/>
      <c r="L19" s="14" t="n"/>
      <c r="M19" s="15">
        <f>IF(OR($B19="",$K19=""),"",($K19-IF($L19="",0,$L19)*IFERROR(VLOOKUP("P01",ParamTbl,3,0),1.5))*(1-IF(IFERROR(VLOOKUP($E19,OpTbl,3,0),"")="خرید",IFERROR(VLOOKUP("P02",ParamTbl,3,0),1),0)/100))</f>
        <v/>
      </c>
      <c r="N19" s="14" t="n"/>
      <c r="O19" s="13" t="n"/>
    </row>
    <row r="20">
      <c r="A20" s="11">
        <f>IF($B20="","",COUNTA($B$9:$B20))</f>
        <v/>
      </c>
      <c r="B20" s="12" t="n"/>
      <c r="C20" s="12" t="n"/>
      <c r="D20" s="12" t="n"/>
      <c r="E20" s="13" t="n"/>
      <c r="F20" s="11">
        <f>IF($E20="","",IFERROR(VLOOKUP($E20,OpTbl,2,0),""))</f>
        <v/>
      </c>
      <c r="G20" s="12" t="n"/>
      <c r="H20" s="11">
        <f>IF($G20="","",IFERROR(IF(VLOOKUP($G20,AcctTbl,4,0)="","(بدون نام)",VLOOKUP($G20,AcctTbl,4,0)),"کد ناشناخته"))</f>
        <v/>
      </c>
      <c r="I20" s="13" t="n"/>
      <c r="J20" s="13" t="n"/>
      <c r="K20" s="14" t="n"/>
      <c r="L20" s="14" t="n"/>
      <c r="M20" s="15">
        <f>IF(OR($B20="",$K20=""),"",($K20-IF($L20="",0,$L20)*IFERROR(VLOOKUP("P01",ParamTbl,3,0),1.5))*(1-IF(IFERROR(VLOOKUP($E20,OpTbl,3,0),"")="خرید",IFERROR(VLOOKUP("P02",ParamTbl,3,0),1),0)/100))</f>
        <v/>
      </c>
      <c r="N20" s="14" t="n"/>
      <c r="O20" s="13" t="n"/>
    </row>
    <row r="21">
      <c r="A21" s="11">
        <f>IF($B21="","",COUNTA($B$9:$B21))</f>
        <v/>
      </c>
      <c r="B21" s="12" t="n"/>
      <c r="C21" s="12" t="n"/>
      <c r="D21" s="12" t="n"/>
      <c r="E21" s="13" t="n"/>
      <c r="F21" s="11">
        <f>IF($E21="","",IFERROR(VLOOKUP($E21,OpTbl,2,0),""))</f>
        <v/>
      </c>
      <c r="G21" s="12" t="n"/>
      <c r="H21" s="11">
        <f>IF($G21="","",IFERROR(IF(VLOOKUP($G21,AcctTbl,4,0)="","(بدون نام)",VLOOKUP($G21,AcctTbl,4,0)),"کد ناشناخته"))</f>
        <v/>
      </c>
      <c r="I21" s="13" t="n"/>
      <c r="J21" s="13" t="n"/>
      <c r="K21" s="14" t="n"/>
      <c r="L21" s="14" t="n"/>
      <c r="M21" s="15">
        <f>IF(OR($B21="",$K21=""),"",($K21-IF($L21="",0,$L21)*IFERROR(VLOOKUP("P01",ParamTbl,3,0),1.5))*(1-IF(IFERROR(VLOOKUP($E21,OpTbl,3,0),"")="خرید",IFERROR(VLOOKUP("P02",ParamTbl,3,0),1),0)/100))</f>
        <v/>
      </c>
      <c r="N21" s="14" t="n"/>
      <c r="O21" s="13" t="n"/>
    </row>
    <row r="22">
      <c r="A22" s="11">
        <f>IF($B22="","",COUNTA($B$9:$B22))</f>
        <v/>
      </c>
      <c r="B22" s="12" t="n"/>
      <c r="C22" s="12" t="n"/>
      <c r="D22" s="12" t="n"/>
      <c r="E22" s="13" t="n"/>
      <c r="F22" s="11">
        <f>IF($E22="","",IFERROR(VLOOKUP($E22,OpTbl,2,0),""))</f>
        <v/>
      </c>
      <c r="G22" s="12" t="n"/>
      <c r="H22" s="11">
        <f>IF($G22="","",IFERROR(IF(VLOOKUP($G22,AcctTbl,4,0)="","(بدون نام)",VLOOKUP($G22,AcctTbl,4,0)),"کد ناشناخته"))</f>
        <v/>
      </c>
      <c r="I22" s="13" t="n"/>
      <c r="J22" s="13" t="n"/>
      <c r="K22" s="14" t="n"/>
      <c r="L22" s="14" t="n"/>
      <c r="M22" s="15">
        <f>IF(OR($B22="",$K22=""),"",($K22-IF($L22="",0,$L22)*IFERROR(VLOOKUP("P01",ParamTbl,3,0),1.5))*(1-IF(IFERROR(VLOOKUP($E22,OpTbl,3,0),"")="خرید",IFERROR(VLOOKUP("P02",ParamTbl,3,0),1),0)/100))</f>
        <v/>
      </c>
      <c r="N22" s="14" t="n"/>
      <c r="O22" s="13" t="n"/>
    </row>
    <row r="23">
      <c r="A23" s="11">
        <f>IF($B23="","",COUNTA($B$9:$B23))</f>
        <v/>
      </c>
      <c r="B23" s="12" t="n"/>
      <c r="C23" s="12" t="n"/>
      <c r="D23" s="12" t="n"/>
      <c r="E23" s="13" t="n"/>
      <c r="F23" s="11">
        <f>IF($E23="","",IFERROR(VLOOKUP($E23,OpTbl,2,0),""))</f>
        <v/>
      </c>
      <c r="G23" s="12" t="n"/>
      <c r="H23" s="11">
        <f>IF($G23="","",IFERROR(IF(VLOOKUP($G23,AcctTbl,4,0)="","(بدون نام)",VLOOKUP($G23,AcctTbl,4,0)),"کد ناشناخته"))</f>
        <v/>
      </c>
      <c r="I23" s="13" t="n"/>
      <c r="J23" s="13" t="n"/>
      <c r="K23" s="14" t="n"/>
      <c r="L23" s="14" t="n"/>
      <c r="M23" s="15">
        <f>IF(OR($B23="",$K23=""),"",($K23-IF($L23="",0,$L23)*IFERROR(VLOOKUP("P01",ParamTbl,3,0),1.5))*(1-IF(IFERROR(VLOOKUP($E23,OpTbl,3,0),"")="خرید",IFERROR(VLOOKUP("P02",ParamTbl,3,0),1),0)/100))</f>
        <v/>
      </c>
      <c r="N23" s="14" t="n"/>
      <c r="O23" s="13" t="n"/>
    </row>
    <row r="24">
      <c r="A24" s="11">
        <f>IF($B24="","",COUNTA($B$9:$B24))</f>
        <v/>
      </c>
      <c r="B24" s="12" t="n"/>
      <c r="C24" s="12" t="n"/>
      <c r="D24" s="12" t="n"/>
      <c r="E24" s="13" t="n"/>
      <c r="F24" s="11">
        <f>IF($E24="","",IFERROR(VLOOKUP($E24,OpTbl,2,0),""))</f>
        <v/>
      </c>
      <c r="G24" s="12" t="n"/>
      <c r="H24" s="11">
        <f>IF($G24="","",IFERROR(IF(VLOOKUP($G24,AcctTbl,4,0)="","(بدون نام)",VLOOKUP($G24,AcctTbl,4,0)),"کد ناشناخته"))</f>
        <v/>
      </c>
      <c r="I24" s="13" t="n"/>
      <c r="J24" s="13" t="n"/>
      <c r="K24" s="14" t="n"/>
      <c r="L24" s="14" t="n"/>
      <c r="M24" s="15">
        <f>IF(OR($B24="",$K24=""),"",($K24-IF($L24="",0,$L24)*IFERROR(VLOOKUP("P01",ParamTbl,3,0),1.5))*(1-IF(IFERROR(VLOOKUP($E24,OpTbl,3,0),"")="خرید",IFERROR(VLOOKUP("P02",ParamTbl,3,0),1),0)/100))</f>
        <v/>
      </c>
      <c r="N24" s="14" t="n"/>
      <c r="O24" s="13" t="n"/>
    </row>
    <row r="25">
      <c r="A25" s="11">
        <f>IF($B25="","",COUNTA($B$9:$B25))</f>
        <v/>
      </c>
      <c r="B25" s="12" t="n"/>
      <c r="C25" s="12" t="n"/>
      <c r="D25" s="12" t="n"/>
      <c r="E25" s="13" t="n"/>
      <c r="F25" s="11">
        <f>IF($E25="","",IFERROR(VLOOKUP($E25,OpTbl,2,0),""))</f>
        <v/>
      </c>
      <c r="G25" s="12" t="n"/>
      <c r="H25" s="11">
        <f>IF($G25="","",IFERROR(IF(VLOOKUP($G25,AcctTbl,4,0)="","(بدون نام)",VLOOKUP($G25,AcctTbl,4,0)),"کد ناشناخته"))</f>
        <v/>
      </c>
      <c r="I25" s="13" t="n"/>
      <c r="J25" s="13" t="n"/>
      <c r="K25" s="14" t="n"/>
      <c r="L25" s="14" t="n"/>
      <c r="M25" s="15">
        <f>IF(OR($B25="",$K25=""),"",($K25-IF($L25="",0,$L25)*IFERROR(VLOOKUP("P01",ParamTbl,3,0),1.5))*(1-IF(IFERROR(VLOOKUP($E25,OpTbl,3,0),"")="خرید",IFERROR(VLOOKUP("P02",ParamTbl,3,0),1),0)/100))</f>
        <v/>
      </c>
      <c r="N25" s="14" t="n"/>
      <c r="O25" s="13" t="n"/>
    </row>
    <row r="26">
      <c r="A26" s="11">
        <f>IF($B26="","",COUNTA($B$9:$B26))</f>
        <v/>
      </c>
      <c r="B26" s="12" t="n"/>
      <c r="C26" s="12" t="n"/>
      <c r="D26" s="12" t="n"/>
      <c r="E26" s="13" t="n"/>
      <c r="F26" s="11">
        <f>IF($E26="","",IFERROR(VLOOKUP($E26,OpTbl,2,0),""))</f>
        <v/>
      </c>
      <c r="G26" s="12" t="n"/>
      <c r="H26" s="11">
        <f>IF($G26="","",IFERROR(IF(VLOOKUP($G26,AcctTbl,4,0)="","(بدون نام)",VLOOKUP($G26,AcctTbl,4,0)),"کد ناشناخته"))</f>
        <v/>
      </c>
      <c r="I26" s="13" t="n"/>
      <c r="J26" s="13" t="n"/>
      <c r="K26" s="14" t="n"/>
      <c r="L26" s="14" t="n"/>
      <c r="M26" s="15">
        <f>IF(OR($B26="",$K26=""),"",($K26-IF($L26="",0,$L26)*IFERROR(VLOOKUP("P01",ParamTbl,3,0),1.5))*(1-IF(IFERROR(VLOOKUP($E26,OpTbl,3,0),"")="خرید",IFERROR(VLOOKUP("P02",ParamTbl,3,0),1),0)/100))</f>
        <v/>
      </c>
      <c r="N26" s="14" t="n"/>
      <c r="O26" s="13" t="n"/>
    </row>
    <row r="27">
      <c r="A27" s="11">
        <f>IF($B27="","",COUNTA($B$9:$B27))</f>
        <v/>
      </c>
      <c r="B27" s="12" t="n"/>
      <c r="C27" s="12" t="n"/>
      <c r="D27" s="12" t="n"/>
      <c r="E27" s="13" t="n"/>
      <c r="F27" s="11">
        <f>IF($E27="","",IFERROR(VLOOKUP($E27,OpTbl,2,0),""))</f>
        <v/>
      </c>
      <c r="G27" s="12" t="n"/>
      <c r="H27" s="11">
        <f>IF($G27="","",IFERROR(IF(VLOOKUP($G27,AcctTbl,4,0)="","(بدون نام)",VLOOKUP($G27,AcctTbl,4,0)),"کد ناشناخته"))</f>
        <v/>
      </c>
      <c r="I27" s="13" t="n"/>
      <c r="J27" s="13" t="n"/>
      <c r="K27" s="14" t="n"/>
      <c r="L27" s="14" t="n"/>
      <c r="M27" s="15">
        <f>IF(OR($B27="",$K27=""),"",($K27-IF($L27="",0,$L27)*IFERROR(VLOOKUP("P01",ParamTbl,3,0),1.5))*(1-IF(IFERROR(VLOOKUP($E27,OpTbl,3,0),"")="خرید",IFERROR(VLOOKUP("P02",ParamTbl,3,0),1),0)/100))</f>
        <v/>
      </c>
      <c r="N27" s="14" t="n"/>
      <c r="O27" s="13" t="n"/>
    </row>
    <row r="28">
      <c r="A28" s="11">
        <f>IF($B28="","",COUNTA($B$9:$B28))</f>
        <v/>
      </c>
      <c r="B28" s="12" t="n"/>
      <c r="C28" s="12" t="n"/>
      <c r="D28" s="12" t="n"/>
      <c r="E28" s="13" t="n"/>
      <c r="F28" s="11">
        <f>IF($E28="","",IFERROR(VLOOKUP($E28,OpTbl,2,0),""))</f>
        <v/>
      </c>
      <c r="G28" s="12" t="n"/>
      <c r="H28" s="11">
        <f>IF($G28="","",IFERROR(IF(VLOOKUP($G28,AcctTbl,4,0)="","(بدون نام)",VLOOKUP($G28,AcctTbl,4,0)),"کد ناشناخته"))</f>
        <v/>
      </c>
      <c r="I28" s="13" t="n"/>
      <c r="J28" s="13" t="n"/>
      <c r="K28" s="14" t="n"/>
      <c r="L28" s="14" t="n"/>
      <c r="M28" s="15">
        <f>IF(OR($B28="",$K28=""),"",($K28-IF($L28="",0,$L28)*IFERROR(VLOOKUP("P01",ParamTbl,3,0),1.5))*(1-IF(IFERROR(VLOOKUP($E28,OpTbl,3,0),"")="خرید",IFERROR(VLOOKUP("P02",ParamTbl,3,0),1),0)/100))</f>
        <v/>
      </c>
      <c r="N28" s="14" t="n"/>
      <c r="O28" s="13" t="n"/>
    </row>
    <row r="29">
      <c r="A29" s="11">
        <f>IF($B29="","",COUNTA($B$9:$B29))</f>
        <v/>
      </c>
      <c r="B29" s="12" t="n"/>
      <c r="C29" s="12" t="n"/>
      <c r="D29" s="12" t="n"/>
      <c r="E29" s="13" t="n"/>
      <c r="F29" s="11">
        <f>IF($E29="","",IFERROR(VLOOKUP($E29,OpTbl,2,0),""))</f>
        <v/>
      </c>
      <c r="G29" s="12" t="n"/>
      <c r="H29" s="11">
        <f>IF($G29="","",IFERROR(IF(VLOOKUP($G29,AcctTbl,4,0)="","(بدون نام)",VLOOKUP($G29,AcctTbl,4,0)),"کد ناشناخته"))</f>
        <v/>
      </c>
      <c r="I29" s="13" t="n"/>
      <c r="J29" s="13" t="n"/>
      <c r="K29" s="14" t="n"/>
      <c r="L29" s="14" t="n"/>
      <c r="M29" s="15">
        <f>IF(OR($B29="",$K29=""),"",($K29-IF($L29="",0,$L29)*IFERROR(VLOOKUP("P01",ParamTbl,3,0),1.5))*(1-IF(IFERROR(VLOOKUP($E29,OpTbl,3,0),"")="خرید",IFERROR(VLOOKUP("P02",ParamTbl,3,0),1),0)/100))</f>
        <v/>
      </c>
      <c r="N29" s="14" t="n"/>
      <c r="O29" s="13" t="n"/>
    </row>
    <row r="30">
      <c r="A30" s="11">
        <f>IF($B30="","",COUNTA($B$9:$B30))</f>
        <v/>
      </c>
      <c r="B30" s="12" t="n"/>
      <c r="C30" s="12" t="n"/>
      <c r="D30" s="12" t="n"/>
      <c r="E30" s="13" t="n"/>
      <c r="F30" s="11">
        <f>IF($E30="","",IFERROR(VLOOKUP($E30,OpTbl,2,0),""))</f>
        <v/>
      </c>
      <c r="G30" s="12" t="n"/>
      <c r="H30" s="11">
        <f>IF($G30="","",IFERROR(IF(VLOOKUP($G30,AcctTbl,4,0)="","(بدون نام)",VLOOKUP($G30,AcctTbl,4,0)),"کد ناشناخته"))</f>
        <v/>
      </c>
      <c r="I30" s="13" t="n"/>
      <c r="J30" s="13" t="n"/>
      <c r="K30" s="14" t="n"/>
      <c r="L30" s="14" t="n"/>
      <c r="M30" s="15">
        <f>IF(OR($B30="",$K30=""),"",($K30-IF($L30="",0,$L30)*IFERROR(VLOOKUP("P01",ParamTbl,3,0),1.5))*(1-IF(IFERROR(VLOOKUP($E30,OpTbl,3,0),"")="خرید",IFERROR(VLOOKUP("P02",ParamTbl,3,0),1),0)/100))</f>
        <v/>
      </c>
      <c r="N30" s="14" t="n"/>
      <c r="O30" s="13" t="n"/>
    </row>
    <row r="31">
      <c r="A31" s="11">
        <f>IF($B31="","",COUNTA($B$9:$B31))</f>
        <v/>
      </c>
      <c r="B31" s="12" t="n"/>
      <c r="C31" s="12" t="n"/>
      <c r="D31" s="12" t="n"/>
      <c r="E31" s="13" t="n"/>
      <c r="F31" s="11">
        <f>IF($E31="","",IFERROR(VLOOKUP($E31,OpTbl,2,0),""))</f>
        <v/>
      </c>
      <c r="G31" s="12" t="n"/>
      <c r="H31" s="11">
        <f>IF($G31="","",IFERROR(IF(VLOOKUP($G31,AcctTbl,4,0)="","(بدون نام)",VLOOKUP($G31,AcctTbl,4,0)),"کد ناشناخته"))</f>
        <v/>
      </c>
      <c r="I31" s="13" t="n"/>
      <c r="J31" s="13" t="n"/>
      <c r="K31" s="14" t="n"/>
      <c r="L31" s="14" t="n"/>
      <c r="M31" s="15">
        <f>IF(OR($B31="",$K31=""),"",($K31-IF($L31="",0,$L31)*IFERROR(VLOOKUP("P01",ParamTbl,3,0),1.5))*(1-IF(IFERROR(VLOOKUP($E31,OpTbl,3,0),"")="خرید",IFERROR(VLOOKUP("P02",ParamTbl,3,0),1),0)/100))</f>
        <v/>
      </c>
      <c r="N31" s="14" t="n"/>
      <c r="O31" s="13" t="n"/>
    </row>
    <row r="32">
      <c r="A32" s="11">
        <f>IF($B32="","",COUNTA($B$9:$B32))</f>
        <v/>
      </c>
      <c r="B32" s="12" t="n"/>
      <c r="C32" s="12" t="n"/>
      <c r="D32" s="12" t="n"/>
      <c r="E32" s="13" t="n"/>
      <c r="F32" s="11">
        <f>IF($E32="","",IFERROR(VLOOKUP($E32,OpTbl,2,0),""))</f>
        <v/>
      </c>
      <c r="G32" s="12" t="n"/>
      <c r="H32" s="11">
        <f>IF($G32="","",IFERROR(IF(VLOOKUP($G32,AcctTbl,4,0)="","(بدون نام)",VLOOKUP($G32,AcctTbl,4,0)),"کد ناشناخته"))</f>
        <v/>
      </c>
      <c r="I32" s="13" t="n"/>
      <c r="J32" s="13" t="n"/>
      <c r="K32" s="14" t="n"/>
      <c r="L32" s="14" t="n"/>
      <c r="M32" s="15">
        <f>IF(OR($B32="",$K32=""),"",($K32-IF($L32="",0,$L32)*IFERROR(VLOOKUP("P01",ParamTbl,3,0),1.5))*(1-IF(IFERROR(VLOOKUP($E32,OpTbl,3,0),"")="خرید",IFERROR(VLOOKUP("P02",ParamTbl,3,0),1),0)/100))</f>
        <v/>
      </c>
      <c r="N32" s="14" t="n"/>
      <c r="O32" s="13" t="n"/>
    </row>
    <row r="33">
      <c r="A33" s="11">
        <f>IF($B33="","",COUNTA($B$9:$B33))</f>
        <v/>
      </c>
      <c r="B33" s="12" t="n"/>
      <c r="C33" s="12" t="n"/>
      <c r="D33" s="12" t="n"/>
      <c r="E33" s="13" t="n"/>
      <c r="F33" s="11">
        <f>IF($E33="","",IFERROR(VLOOKUP($E33,OpTbl,2,0),""))</f>
        <v/>
      </c>
      <c r="G33" s="12" t="n"/>
      <c r="H33" s="11">
        <f>IF($G33="","",IFERROR(IF(VLOOKUP($G33,AcctTbl,4,0)="","(بدون نام)",VLOOKUP($G33,AcctTbl,4,0)),"کد ناشناخته"))</f>
        <v/>
      </c>
      <c r="I33" s="13" t="n"/>
      <c r="J33" s="13" t="n"/>
      <c r="K33" s="14" t="n"/>
      <c r="L33" s="14" t="n"/>
      <c r="M33" s="15">
        <f>IF(OR($B33="",$K33=""),"",($K33-IF($L33="",0,$L33)*IFERROR(VLOOKUP("P01",ParamTbl,3,0),1.5))*(1-IF(IFERROR(VLOOKUP($E33,OpTbl,3,0),"")="خرید",IFERROR(VLOOKUP("P02",ParamTbl,3,0),1),0)/100))</f>
        <v/>
      </c>
      <c r="N33" s="14" t="n"/>
      <c r="O33" s="13" t="n"/>
    </row>
    <row r="34">
      <c r="A34" s="11">
        <f>IF($B34="","",COUNTA($B$9:$B34))</f>
        <v/>
      </c>
      <c r="B34" s="12" t="n"/>
      <c r="C34" s="12" t="n"/>
      <c r="D34" s="12" t="n"/>
      <c r="E34" s="13" t="n"/>
      <c r="F34" s="11">
        <f>IF($E34="","",IFERROR(VLOOKUP($E34,OpTbl,2,0),""))</f>
        <v/>
      </c>
      <c r="G34" s="12" t="n"/>
      <c r="H34" s="11">
        <f>IF($G34="","",IFERROR(IF(VLOOKUP($G34,AcctTbl,4,0)="","(بدون نام)",VLOOKUP($G34,AcctTbl,4,0)),"کد ناشناخته"))</f>
        <v/>
      </c>
      <c r="I34" s="13" t="n"/>
      <c r="J34" s="13" t="n"/>
      <c r="K34" s="14" t="n"/>
      <c r="L34" s="14" t="n"/>
      <c r="M34" s="15">
        <f>IF(OR($B34="",$K34=""),"",($K34-IF($L34="",0,$L34)*IFERROR(VLOOKUP("P01",ParamTbl,3,0),1.5))*(1-IF(IFERROR(VLOOKUP($E34,OpTbl,3,0),"")="خرید",IFERROR(VLOOKUP("P02",ParamTbl,3,0),1),0)/100))</f>
        <v/>
      </c>
      <c r="N34" s="14" t="n"/>
      <c r="O34" s="13" t="n"/>
    </row>
    <row r="35">
      <c r="A35" s="11">
        <f>IF($B35="","",COUNTA($B$9:$B35))</f>
        <v/>
      </c>
      <c r="B35" s="12" t="n"/>
      <c r="C35" s="12" t="n"/>
      <c r="D35" s="12" t="n"/>
      <c r="E35" s="13" t="n"/>
      <c r="F35" s="11">
        <f>IF($E35="","",IFERROR(VLOOKUP($E35,OpTbl,2,0),""))</f>
        <v/>
      </c>
      <c r="G35" s="12" t="n"/>
      <c r="H35" s="11">
        <f>IF($G35="","",IFERROR(IF(VLOOKUP($G35,AcctTbl,4,0)="","(بدون نام)",VLOOKUP($G35,AcctTbl,4,0)),"کد ناشناخته"))</f>
        <v/>
      </c>
      <c r="I35" s="13" t="n"/>
      <c r="J35" s="13" t="n"/>
      <c r="K35" s="14" t="n"/>
      <c r="L35" s="14" t="n"/>
      <c r="M35" s="15">
        <f>IF(OR($B35="",$K35=""),"",($K35-IF($L35="",0,$L35)*IFERROR(VLOOKUP("P01",ParamTbl,3,0),1.5))*(1-IF(IFERROR(VLOOKUP($E35,OpTbl,3,0),"")="خرید",IFERROR(VLOOKUP("P02",ParamTbl,3,0),1),0)/100))</f>
        <v/>
      </c>
      <c r="N35" s="14" t="n"/>
      <c r="O35" s="13" t="n"/>
    </row>
    <row r="36">
      <c r="A36" s="11">
        <f>IF($B36="","",COUNTA($B$9:$B36))</f>
        <v/>
      </c>
      <c r="B36" s="12" t="n"/>
      <c r="C36" s="12" t="n"/>
      <c r="D36" s="12" t="n"/>
      <c r="E36" s="13" t="n"/>
      <c r="F36" s="11">
        <f>IF($E36="","",IFERROR(VLOOKUP($E36,OpTbl,2,0),""))</f>
        <v/>
      </c>
      <c r="G36" s="12" t="n"/>
      <c r="H36" s="11">
        <f>IF($G36="","",IFERROR(IF(VLOOKUP($G36,AcctTbl,4,0)="","(بدون نام)",VLOOKUP($G36,AcctTbl,4,0)),"کد ناشناخته"))</f>
        <v/>
      </c>
      <c r="I36" s="13" t="n"/>
      <c r="J36" s="13" t="n"/>
      <c r="K36" s="14" t="n"/>
      <c r="L36" s="14" t="n"/>
      <c r="M36" s="15">
        <f>IF(OR($B36="",$K36=""),"",($K36-IF($L36="",0,$L36)*IFERROR(VLOOKUP("P01",ParamTbl,3,0),1.5))*(1-IF(IFERROR(VLOOKUP($E36,OpTbl,3,0),"")="خرید",IFERROR(VLOOKUP("P02",ParamTbl,3,0),1),0)/100))</f>
        <v/>
      </c>
      <c r="N36" s="14" t="n"/>
      <c r="O36" s="13" t="n"/>
    </row>
    <row r="37">
      <c r="A37" s="11">
        <f>IF($B37="","",COUNTA($B$9:$B37))</f>
        <v/>
      </c>
      <c r="B37" s="12" t="n"/>
      <c r="C37" s="12" t="n"/>
      <c r="D37" s="12" t="n"/>
      <c r="E37" s="13" t="n"/>
      <c r="F37" s="11">
        <f>IF($E37="","",IFERROR(VLOOKUP($E37,OpTbl,2,0),""))</f>
        <v/>
      </c>
      <c r="G37" s="12" t="n"/>
      <c r="H37" s="11">
        <f>IF($G37="","",IFERROR(IF(VLOOKUP($G37,AcctTbl,4,0)="","(بدون نام)",VLOOKUP($G37,AcctTbl,4,0)),"کد ناشناخته"))</f>
        <v/>
      </c>
      <c r="I37" s="13" t="n"/>
      <c r="J37" s="13" t="n"/>
      <c r="K37" s="14" t="n"/>
      <c r="L37" s="14" t="n"/>
      <c r="M37" s="15">
        <f>IF(OR($B37="",$K37=""),"",($K37-IF($L37="",0,$L37)*IFERROR(VLOOKUP("P01",ParamTbl,3,0),1.5))*(1-IF(IFERROR(VLOOKUP($E37,OpTbl,3,0),"")="خرید",IFERROR(VLOOKUP("P02",ParamTbl,3,0),1),0)/100))</f>
        <v/>
      </c>
      <c r="N37" s="14" t="n"/>
      <c r="O37" s="13" t="n"/>
    </row>
    <row r="38">
      <c r="A38" s="11">
        <f>IF($B38="","",COUNTA($B$9:$B38))</f>
        <v/>
      </c>
      <c r="B38" s="12" t="n"/>
      <c r="C38" s="12" t="n"/>
      <c r="D38" s="12" t="n"/>
      <c r="E38" s="13" t="n"/>
      <c r="F38" s="11">
        <f>IF($E38="","",IFERROR(VLOOKUP($E38,OpTbl,2,0),""))</f>
        <v/>
      </c>
      <c r="G38" s="12" t="n"/>
      <c r="H38" s="11">
        <f>IF($G38="","",IFERROR(IF(VLOOKUP($G38,AcctTbl,4,0)="","(بدون نام)",VLOOKUP($G38,AcctTbl,4,0)),"کد ناشناخته"))</f>
        <v/>
      </c>
      <c r="I38" s="13" t="n"/>
      <c r="J38" s="13" t="n"/>
      <c r="K38" s="14" t="n"/>
      <c r="L38" s="14" t="n"/>
      <c r="M38" s="15">
        <f>IF(OR($B38="",$K38=""),"",($K38-IF($L38="",0,$L38)*IFERROR(VLOOKUP("P01",ParamTbl,3,0),1.5))*(1-IF(IFERROR(VLOOKUP($E38,OpTbl,3,0),"")="خرید",IFERROR(VLOOKUP("P02",ParamTbl,3,0),1),0)/100))</f>
        <v/>
      </c>
      <c r="N38" s="14" t="n"/>
      <c r="O38" s="13" t="n"/>
    </row>
    <row r="39">
      <c r="A39" s="11">
        <f>IF($B39="","",COUNTA($B$9:$B39))</f>
        <v/>
      </c>
      <c r="B39" s="12" t="n"/>
      <c r="C39" s="12" t="n"/>
      <c r="D39" s="12" t="n"/>
      <c r="E39" s="13" t="n"/>
      <c r="F39" s="11">
        <f>IF($E39="","",IFERROR(VLOOKUP($E39,OpTbl,2,0),""))</f>
        <v/>
      </c>
      <c r="G39" s="12" t="n"/>
      <c r="H39" s="11">
        <f>IF($G39="","",IFERROR(IF(VLOOKUP($G39,AcctTbl,4,0)="","(بدون نام)",VLOOKUP($G39,AcctTbl,4,0)),"کد ناشناخته"))</f>
        <v/>
      </c>
      <c r="I39" s="13" t="n"/>
      <c r="J39" s="13" t="n"/>
      <c r="K39" s="14" t="n"/>
      <c r="L39" s="14" t="n"/>
      <c r="M39" s="15">
        <f>IF(OR($B39="",$K39=""),"",($K39-IF($L39="",0,$L39)*IFERROR(VLOOKUP("P01",ParamTbl,3,0),1.5))*(1-IF(IFERROR(VLOOKUP($E39,OpTbl,3,0),"")="خرید",IFERROR(VLOOKUP("P02",ParamTbl,3,0),1),0)/100))</f>
        <v/>
      </c>
      <c r="N39" s="14" t="n"/>
      <c r="O39" s="13" t="n"/>
    </row>
    <row r="40">
      <c r="A40" s="11">
        <f>IF($B40="","",COUNTA($B$9:$B40))</f>
        <v/>
      </c>
      <c r="B40" s="12" t="n"/>
      <c r="C40" s="12" t="n"/>
      <c r="D40" s="12" t="n"/>
      <c r="E40" s="13" t="n"/>
      <c r="F40" s="11">
        <f>IF($E40="","",IFERROR(VLOOKUP($E40,OpTbl,2,0),""))</f>
        <v/>
      </c>
      <c r="G40" s="12" t="n"/>
      <c r="H40" s="11">
        <f>IF($G40="","",IFERROR(IF(VLOOKUP($G40,AcctTbl,4,0)="","(بدون نام)",VLOOKUP($G40,AcctTbl,4,0)),"کد ناشناخته"))</f>
        <v/>
      </c>
      <c r="I40" s="13" t="n"/>
      <c r="J40" s="13" t="n"/>
      <c r="K40" s="14" t="n"/>
      <c r="L40" s="14" t="n"/>
      <c r="M40" s="15">
        <f>IF(OR($B40="",$K40=""),"",($K40-IF($L40="",0,$L40)*IFERROR(VLOOKUP("P01",ParamTbl,3,0),1.5))*(1-IF(IFERROR(VLOOKUP($E40,OpTbl,3,0),"")="خرید",IFERROR(VLOOKUP("P02",ParamTbl,3,0),1),0)/100))</f>
        <v/>
      </c>
      <c r="N40" s="14" t="n"/>
      <c r="O40" s="13" t="n"/>
    </row>
    <row r="41">
      <c r="A41" s="11">
        <f>IF($B41="","",COUNTA($B$9:$B41))</f>
        <v/>
      </c>
      <c r="B41" s="12" t="n"/>
      <c r="C41" s="12" t="n"/>
      <c r="D41" s="12" t="n"/>
      <c r="E41" s="13" t="n"/>
      <c r="F41" s="11">
        <f>IF($E41="","",IFERROR(VLOOKUP($E41,OpTbl,2,0),""))</f>
        <v/>
      </c>
      <c r="G41" s="12" t="n"/>
      <c r="H41" s="11">
        <f>IF($G41="","",IFERROR(IF(VLOOKUP($G41,AcctTbl,4,0)="","(بدون نام)",VLOOKUP($G41,AcctTbl,4,0)),"کد ناشناخته"))</f>
        <v/>
      </c>
      <c r="I41" s="13" t="n"/>
      <c r="J41" s="13" t="n"/>
      <c r="K41" s="14" t="n"/>
      <c r="L41" s="14" t="n"/>
      <c r="M41" s="15">
        <f>IF(OR($B41="",$K41=""),"",($K41-IF($L41="",0,$L41)*IFERROR(VLOOKUP("P01",ParamTbl,3,0),1.5))*(1-IF(IFERROR(VLOOKUP($E41,OpTbl,3,0),"")="خرید",IFERROR(VLOOKUP("P02",ParamTbl,3,0),1),0)/100))</f>
        <v/>
      </c>
      <c r="N41" s="14" t="n"/>
      <c r="O41" s="13" t="n"/>
    </row>
    <row r="42">
      <c r="A42" s="11">
        <f>IF($B42="","",COUNTA($B$9:$B42))</f>
        <v/>
      </c>
      <c r="B42" s="12" t="n"/>
      <c r="C42" s="12" t="n"/>
      <c r="D42" s="12" t="n"/>
      <c r="E42" s="13" t="n"/>
      <c r="F42" s="11">
        <f>IF($E42="","",IFERROR(VLOOKUP($E42,OpTbl,2,0),""))</f>
        <v/>
      </c>
      <c r="G42" s="12" t="n"/>
      <c r="H42" s="11">
        <f>IF($G42="","",IFERROR(IF(VLOOKUP($G42,AcctTbl,4,0)="","(بدون نام)",VLOOKUP($G42,AcctTbl,4,0)),"کد ناشناخته"))</f>
        <v/>
      </c>
      <c r="I42" s="13" t="n"/>
      <c r="J42" s="13" t="n"/>
      <c r="K42" s="14" t="n"/>
      <c r="L42" s="14" t="n"/>
      <c r="M42" s="15">
        <f>IF(OR($B42="",$K42=""),"",($K42-IF($L42="",0,$L42)*IFERROR(VLOOKUP("P01",ParamTbl,3,0),1.5))*(1-IF(IFERROR(VLOOKUP($E42,OpTbl,3,0),"")="خرید",IFERROR(VLOOKUP("P02",ParamTbl,3,0),1),0)/100))</f>
        <v/>
      </c>
      <c r="N42" s="14" t="n"/>
      <c r="O42" s="13" t="n"/>
    </row>
    <row r="43">
      <c r="A43" s="11">
        <f>IF($B43="","",COUNTA($B$9:$B43))</f>
        <v/>
      </c>
      <c r="B43" s="12" t="n"/>
      <c r="C43" s="12" t="n"/>
      <c r="D43" s="12" t="n"/>
      <c r="E43" s="13" t="n"/>
      <c r="F43" s="11">
        <f>IF($E43="","",IFERROR(VLOOKUP($E43,OpTbl,2,0),""))</f>
        <v/>
      </c>
      <c r="G43" s="12" t="n"/>
      <c r="H43" s="11">
        <f>IF($G43="","",IFERROR(IF(VLOOKUP($G43,AcctTbl,4,0)="","(بدون نام)",VLOOKUP($G43,AcctTbl,4,0)),"کد ناشناخته"))</f>
        <v/>
      </c>
      <c r="I43" s="13" t="n"/>
      <c r="J43" s="13" t="n"/>
      <c r="K43" s="14" t="n"/>
      <c r="L43" s="14" t="n"/>
      <c r="M43" s="15">
        <f>IF(OR($B43="",$K43=""),"",($K43-IF($L43="",0,$L43)*IFERROR(VLOOKUP("P01",ParamTbl,3,0),1.5))*(1-IF(IFERROR(VLOOKUP($E43,OpTbl,3,0),"")="خرید",IFERROR(VLOOKUP("P02",ParamTbl,3,0),1),0)/100))</f>
        <v/>
      </c>
      <c r="N43" s="14" t="n"/>
      <c r="O43" s="13" t="n"/>
    </row>
    <row r="44">
      <c r="A44" s="11">
        <f>IF($B44="","",COUNTA($B$9:$B44))</f>
        <v/>
      </c>
      <c r="B44" s="12" t="n"/>
      <c r="C44" s="12" t="n"/>
      <c r="D44" s="12" t="n"/>
      <c r="E44" s="13" t="n"/>
      <c r="F44" s="11">
        <f>IF($E44="","",IFERROR(VLOOKUP($E44,OpTbl,2,0),""))</f>
        <v/>
      </c>
      <c r="G44" s="12" t="n"/>
      <c r="H44" s="11">
        <f>IF($G44="","",IFERROR(IF(VLOOKUP($G44,AcctTbl,4,0)="","(بدون نام)",VLOOKUP($G44,AcctTbl,4,0)),"کد ناشناخته"))</f>
        <v/>
      </c>
      <c r="I44" s="13" t="n"/>
      <c r="J44" s="13" t="n"/>
      <c r="K44" s="14" t="n"/>
      <c r="L44" s="14" t="n"/>
      <c r="M44" s="15">
        <f>IF(OR($B44="",$K44=""),"",($K44-IF($L44="",0,$L44)*IFERROR(VLOOKUP("P01",ParamTbl,3,0),1.5))*(1-IF(IFERROR(VLOOKUP($E44,OpTbl,3,0),"")="خرید",IFERROR(VLOOKUP("P02",ParamTbl,3,0),1),0)/100))</f>
        <v/>
      </c>
      <c r="N44" s="14" t="n"/>
      <c r="O44" s="13" t="n"/>
    </row>
    <row r="45">
      <c r="A45" s="11">
        <f>IF($B45="","",COUNTA($B$9:$B45))</f>
        <v/>
      </c>
      <c r="B45" s="12" t="n"/>
      <c r="C45" s="12" t="n"/>
      <c r="D45" s="12" t="n"/>
      <c r="E45" s="13" t="n"/>
      <c r="F45" s="11">
        <f>IF($E45="","",IFERROR(VLOOKUP($E45,OpTbl,2,0),""))</f>
        <v/>
      </c>
      <c r="G45" s="12" t="n"/>
      <c r="H45" s="11">
        <f>IF($G45="","",IFERROR(IF(VLOOKUP($G45,AcctTbl,4,0)="","(بدون نام)",VLOOKUP($G45,AcctTbl,4,0)),"کد ناشناخته"))</f>
        <v/>
      </c>
      <c r="I45" s="13" t="n"/>
      <c r="J45" s="13" t="n"/>
      <c r="K45" s="14" t="n"/>
      <c r="L45" s="14" t="n"/>
      <c r="M45" s="15">
        <f>IF(OR($B45="",$K45=""),"",($K45-IF($L45="",0,$L45)*IFERROR(VLOOKUP("P01",ParamTbl,3,0),1.5))*(1-IF(IFERROR(VLOOKUP($E45,OpTbl,3,0),"")="خرید",IFERROR(VLOOKUP("P02",ParamTbl,3,0),1),0)/100))</f>
        <v/>
      </c>
      <c r="N45" s="14" t="n"/>
      <c r="O45" s="13" t="n"/>
    </row>
    <row r="46">
      <c r="A46" s="11">
        <f>IF($B46="","",COUNTA($B$9:$B46))</f>
        <v/>
      </c>
      <c r="B46" s="12" t="n"/>
      <c r="C46" s="12" t="n"/>
      <c r="D46" s="12" t="n"/>
      <c r="E46" s="13" t="n"/>
      <c r="F46" s="11">
        <f>IF($E46="","",IFERROR(VLOOKUP($E46,OpTbl,2,0),""))</f>
        <v/>
      </c>
      <c r="G46" s="12" t="n"/>
      <c r="H46" s="11">
        <f>IF($G46="","",IFERROR(IF(VLOOKUP($G46,AcctTbl,4,0)="","(بدون نام)",VLOOKUP($G46,AcctTbl,4,0)),"کد ناشناخته"))</f>
        <v/>
      </c>
      <c r="I46" s="13" t="n"/>
      <c r="J46" s="13" t="n"/>
      <c r="K46" s="14" t="n"/>
      <c r="L46" s="14" t="n"/>
      <c r="M46" s="15">
        <f>IF(OR($B46="",$K46=""),"",($K46-IF($L46="",0,$L46)*IFERROR(VLOOKUP("P01",ParamTbl,3,0),1.5))*(1-IF(IFERROR(VLOOKUP($E46,OpTbl,3,0),"")="خرید",IFERROR(VLOOKUP("P02",ParamTbl,3,0),1),0)/100))</f>
        <v/>
      </c>
      <c r="N46" s="14" t="n"/>
      <c r="O46" s="13" t="n"/>
    </row>
    <row r="47">
      <c r="A47" s="11">
        <f>IF($B47="","",COUNTA($B$9:$B47))</f>
        <v/>
      </c>
      <c r="B47" s="12" t="n"/>
      <c r="C47" s="12" t="n"/>
      <c r="D47" s="12" t="n"/>
      <c r="E47" s="13" t="n"/>
      <c r="F47" s="11">
        <f>IF($E47="","",IFERROR(VLOOKUP($E47,OpTbl,2,0),""))</f>
        <v/>
      </c>
      <c r="G47" s="12" t="n"/>
      <c r="H47" s="11">
        <f>IF($G47="","",IFERROR(IF(VLOOKUP($G47,AcctTbl,4,0)="","(بدون نام)",VLOOKUP($G47,AcctTbl,4,0)),"کد ناشناخته"))</f>
        <v/>
      </c>
      <c r="I47" s="13" t="n"/>
      <c r="J47" s="13" t="n"/>
      <c r="K47" s="14" t="n"/>
      <c r="L47" s="14" t="n"/>
      <c r="M47" s="15">
        <f>IF(OR($B47="",$K47=""),"",($K47-IF($L47="",0,$L47)*IFERROR(VLOOKUP("P01",ParamTbl,3,0),1.5))*(1-IF(IFERROR(VLOOKUP($E47,OpTbl,3,0),"")="خرید",IFERROR(VLOOKUP("P02",ParamTbl,3,0),1),0)/100))</f>
        <v/>
      </c>
      <c r="N47" s="14" t="n"/>
      <c r="O47" s="13" t="n"/>
    </row>
    <row r="48">
      <c r="A48" s="11">
        <f>IF($B48="","",COUNTA($B$9:$B48))</f>
        <v/>
      </c>
      <c r="B48" s="12" t="n"/>
      <c r="C48" s="12" t="n"/>
      <c r="D48" s="12" t="n"/>
      <c r="E48" s="13" t="n"/>
      <c r="F48" s="11">
        <f>IF($E48="","",IFERROR(VLOOKUP($E48,OpTbl,2,0),""))</f>
        <v/>
      </c>
      <c r="G48" s="12" t="n"/>
      <c r="H48" s="11">
        <f>IF($G48="","",IFERROR(IF(VLOOKUP($G48,AcctTbl,4,0)="","(بدون نام)",VLOOKUP($G48,AcctTbl,4,0)),"کد ناشناخته"))</f>
        <v/>
      </c>
      <c r="I48" s="13" t="n"/>
      <c r="J48" s="13" t="n"/>
      <c r="K48" s="14" t="n"/>
      <c r="L48" s="14" t="n"/>
      <c r="M48" s="15">
        <f>IF(OR($B48="",$K48=""),"",($K48-IF($L48="",0,$L48)*IFERROR(VLOOKUP("P01",ParamTbl,3,0),1.5))*(1-IF(IFERROR(VLOOKUP($E48,OpTbl,3,0),"")="خرید",IFERROR(VLOOKUP("P02",ParamTbl,3,0),1),0)/100))</f>
        <v/>
      </c>
      <c r="N48" s="14" t="n"/>
      <c r="O48" s="13" t="n"/>
    </row>
    <row r="49">
      <c r="A49" s="11">
        <f>IF($B49="","",COUNTA($B$9:$B49))</f>
        <v/>
      </c>
      <c r="B49" s="12" t="n"/>
      <c r="C49" s="12" t="n"/>
      <c r="D49" s="12" t="n"/>
      <c r="E49" s="13" t="n"/>
      <c r="F49" s="11">
        <f>IF($E49="","",IFERROR(VLOOKUP($E49,OpTbl,2,0),""))</f>
        <v/>
      </c>
      <c r="G49" s="12" t="n"/>
      <c r="H49" s="11">
        <f>IF($G49="","",IFERROR(IF(VLOOKUP($G49,AcctTbl,4,0)="","(بدون نام)",VLOOKUP($G49,AcctTbl,4,0)),"کد ناشناخته"))</f>
        <v/>
      </c>
      <c r="I49" s="13" t="n"/>
      <c r="J49" s="13" t="n"/>
      <c r="K49" s="14" t="n"/>
      <c r="L49" s="14" t="n"/>
      <c r="M49" s="15">
        <f>IF(OR($B49="",$K49=""),"",($K49-IF($L49="",0,$L49)*IFERROR(VLOOKUP("P01",ParamTbl,3,0),1.5))*(1-IF(IFERROR(VLOOKUP($E49,OpTbl,3,0),"")="خرید",IFERROR(VLOOKUP("P02",ParamTbl,3,0),1),0)/100))</f>
        <v/>
      </c>
      <c r="N49" s="14" t="n"/>
      <c r="O49" s="13" t="n"/>
    </row>
    <row r="50">
      <c r="A50" s="11">
        <f>IF($B50="","",COUNTA($B$9:$B50))</f>
        <v/>
      </c>
      <c r="B50" s="12" t="n"/>
      <c r="C50" s="12" t="n"/>
      <c r="D50" s="12" t="n"/>
      <c r="E50" s="13" t="n"/>
      <c r="F50" s="11">
        <f>IF($E50="","",IFERROR(VLOOKUP($E50,OpTbl,2,0),""))</f>
        <v/>
      </c>
      <c r="G50" s="12" t="n"/>
      <c r="H50" s="11">
        <f>IF($G50="","",IFERROR(IF(VLOOKUP($G50,AcctTbl,4,0)="","(بدون نام)",VLOOKUP($G50,AcctTbl,4,0)),"کد ناشناخته"))</f>
        <v/>
      </c>
      <c r="I50" s="13" t="n"/>
      <c r="J50" s="13" t="n"/>
      <c r="K50" s="14" t="n"/>
      <c r="L50" s="14" t="n"/>
      <c r="M50" s="15">
        <f>IF(OR($B50="",$K50=""),"",($K50-IF($L50="",0,$L50)*IFERROR(VLOOKUP("P01",ParamTbl,3,0),1.5))*(1-IF(IFERROR(VLOOKUP($E50,OpTbl,3,0),"")="خرید",IFERROR(VLOOKUP("P02",ParamTbl,3,0),1),0)/100))</f>
        <v/>
      </c>
      <c r="N50" s="14" t="n"/>
      <c r="O50" s="13" t="n"/>
    </row>
    <row r="51">
      <c r="A51" s="11">
        <f>IF($B51="","",COUNTA($B$9:$B51))</f>
        <v/>
      </c>
      <c r="B51" s="12" t="n"/>
      <c r="C51" s="12" t="n"/>
      <c r="D51" s="12" t="n"/>
      <c r="E51" s="13" t="n"/>
      <c r="F51" s="11">
        <f>IF($E51="","",IFERROR(VLOOKUP($E51,OpTbl,2,0),""))</f>
        <v/>
      </c>
      <c r="G51" s="12" t="n"/>
      <c r="H51" s="11">
        <f>IF($G51="","",IFERROR(IF(VLOOKUP($G51,AcctTbl,4,0)="","(بدون نام)",VLOOKUP($G51,AcctTbl,4,0)),"کد ناشناخته"))</f>
        <v/>
      </c>
      <c r="I51" s="13" t="n"/>
      <c r="J51" s="13" t="n"/>
      <c r="K51" s="14" t="n"/>
      <c r="L51" s="14" t="n"/>
      <c r="M51" s="15">
        <f>IF(OR($B51="",$K51=""),"",($K51-IF($L51="",0,$L51)*IFERROR(VLOOKUP("P01",ParamTbl,3,0),1.5))*(1-IF(IFERROR(VLOOKUP($E51,OpTbl,3,0),"")="خرید",IFERROR(VLOOKUP("P02",ParamTbl,3,0),1),0)/100))</f>
        <v/>
      </c>
      <c r="N51" s="14" t="n"/>
      <c r="O51" s="13" t="n"/>
    </row>
    <row r="52">
      <c r="A52" s="11">
        <f>IF($B52="","",COUNTA($B$9:$B52))</f>
        <v/>
      </c>
      <c r="B52" s="12" t="n"/>
      <c r="C52" s="12" t="n"/>
      <c r="D52" s="12" t="n"/>
      <c r="E52" s="13" t="n"/>
      <c r="F52" s="11">
        <f>IF($E52="","",IFERROR(VLOOKUP($E52,OpTbl,2,0),""))</f>
        <v/>
      </c>
      <c r="G52" s="12" t="n"/>
      <c r="H52" s="11">
        <f>IF($G52="","",IFERROR(IF(VLOOKUP($G52,AcctTbl,4,0)="","(بدون نام)",VLOOKUP($G52,AcctTbl,4,0)),"کد ناشناخته"))</f>
        <v/>
      </c>
      <c r="I52" s="13" t="n"/>
      <c r="J52" s="13" t="n"/>
      <c r="K52" s="14" t="n"/>
      <c r="L52" s="14" t="n"/>
      <c r="M52" s="15">
        <f>IF(OR($B52="",$K52=""),"",($K52-IF($L52="",0,$L52)*IFERROR(VLOOKUP("P01",ParamTbl,3,0),1.5))*(1-IF(IFERROR(VLOOKUP($E52,OpTbl,3,0),"")="خرید",IFERROR(VLOOKUP("P02",ParamTbl,3,0),1),0)/100))</f>
        <v/>
      </c>
      <c r="N52" s="14" t="n"/>
      <c r="O52" s="13" t="n"/>
    </row>
    <row r="53">
      <c r="A53" s="11">
        <f>IF($B53="","",COUNTA($B$9:$B53))</f>
        <v/>
      </c>
      <c r="B53" s="12" t="n"/>
      <c r="C53" s="12" t="n"/>
      <c r="D53" s="12" t="n"/>
      <c r="E53" s="13" t="n"/>
      <c r="F53" s="11">
        <f>IF($E53="","",IFERROR(VLOOKUP($E53,OpTbl,2,0),""))</f>
        <v/>
      </c>
      <c r="G53" s="12" t="n"/>
      <c r="H53" s="11">
        <f>IF($G53="","",IFERROR(IF(VLOOKUP($G53,AcctTbl,4,0)="","(بدون نام)",VLOOKUP($G53,AcctTbl,4,0)),"کد ناشناخته"))</f>
        <v/>
      </c>
      <c r="I53" s="13" t="n"/>
      <c r="J53" s="13" t="n"/>
      <c r="K53" s="14" t="n"/>
      <c r="L53" s="14" t="n"/>
      <c r="M53" s="15">
        <f>IF(OR($B53="",$K53=""),"",($K53-IF($L53="",0,$L53)*IFERROR(VLOOKUP("P01",ParamTbl,3,0),1.5))*(1-IF(IFERROR(VLOOKUP($E53,OpTbl,3,0),"")="خرید",IFERROR(VLOOKUP("P02",ParamTbl,3,0),1),0)/100))</f>
        <v/>
      </c>
      <c r="N53" s="14" t="n"/>
      <c r="O53" s="13" t="n"/>
    </row>
    <row r="54">
      <c r="A54" s="11">
        <f>IF($B54="","",COUNTA($B$9:$B54))</f>
        <v/>
      </c>
      <c r="B54" s="12" t="n"/>
      <c r="C54" s="12" t="n"/>
      <c r="D54" s="12" t="n"/>
      <c r="E54" s="13" t="n"/>
      <c r="F54" s="11">
        <f>IF($E54="","",IFERROR(VLOOKUP($E54,OpTbl,2,0),""))</f>
        <v/>
      </c>
      <c r="G54" s="12" t="n"/>
      <c r="H54" s="11">
        <f>IF($G54="","",IFERROR(IF(VLOOKUP($G54,AcctTbl,4,0)="","(بدون نام)",VLOOKUP($G54,AcctTbl,4,0)),"کد ناشناخته"))</f>
        <v/>
      </c>
      <c r="I54" s="13" t="n"/>
      <c r="J54" s="13" t="n"/>
      <c r="K54" s="14" t="n"/>
      <c r="L54" s="14" t="n"/>
      <c r="M54" s="15">
        <f>IF(OR($B54="",$K54=""),"",($K54-IF($L54="",0,$L54)*IFERROR(VLOOKUP("P01",ParamTbl,3,0),1.5))*(1-IF(IFERROR(VLOOKUP($E54,OpTbl,3,0),"")="خرید",IFERROR(VLOOKUP("P02",ParamTbl,3,0),1),0)/100))</f>
        <v/>
      </c>
      <c r="N54" s="14" t="n"/>
      <c r="O54" s="13" t="n"/>
    </row>
    <row r="55">
      <c r="A55" s="11">
        <f>IF($B55="","",COUNTA($B$9:$B55))</f>
        <v/>
      </c>
      <c r="B55" s="12" t="n"/>
      <c r="C55" s="12" t="n"/>
      <c r="D55" s="12" t="n"/>
      <c r="E55" s="13" t="n"/>
      <c r="F55" s="11">
        <f>IF($E55="","",IFERROR(VLOOKUP($E55,OpTbl,2,0),""))</f>
        <v/>
      </c>
      <c r="G55" s="12" t="n"/>
      <c r="H55" s="11">
        <f>IF($G55="","",IFERROR(IF(VLOOKUP($G55,AcctTbl,4,0)="","(بدون نام)",VLOOKUP($G55,AcctTbl,4,0)),"کد ناشناخته"))</f>
        <v/>
      </c>
      <c r="I55" s="13" t="n"/>
      <c r="J55" s="13" t="n"/>
      <c r="K55" s="14" t="n"/>
      <c r="L55" s="14" t="n"/>
      <c r="M55" s="15">
        <f>IF(OR($B55="",$K55=""),"",($K55-IF($L55="",0,$L55)*IFERROR(VLOOKUP("P01",ParamTbl,3,0),1.5))*(1-IF(IFERROR(VLOOKUP($E55,OpTbl,3,0),"")="خرید",IFERROR(VLOOKUP("P02",ParamTbl,3,0),1),0)/100))</f>
        <v/>
      </c>
      <c r="N55" s="14" t="n"/>
      <c r="O55" s="13" t="n"/>
    </row>
    <row r="56">
      <c r="A56" s="11">
        <f>IF($B56="","",COUNTA($B$9:$B56))</f>
        <v/>
      </c>
      <c r="B56" s="12" t="n"/>
      <c r="C56" s="12" t="n"/>
      <c r="D56" s="12" t="n"/>
      <c r="E56" s="13" t="n"/>
      <c r="F56" s="11">
        <f>IF($E56="","",IFERROR(VLOOKUP($E56,OpTbl,2,0),""))</f>
        <v/>
      </c>
      <c r="G56" s="12" t="n"/>
      <c r="H56" s="11">
        <f>IF($G56="","",IFERROR(IF(VLOOKUP($G56,AcctTbl,4,0)="","(بدون نام)",VLOOKUP($G56,AcctTbl,4,0)),"کد ناشناخته"))</f>
        <v/>
      </c>
      <c r="I56" s="13" t="n"/>
      <c r="J56" s="13" t="n"/>
      <c r="K56" s="14" t="n"/>
      <c r="L56" s="14" t="n"/>
      <c r="M56" s="15">
        <f>IF(OR($B56="",$K56=""),"",($K56-IF($L56="",0,$L56)*IFERROR(VLOOKUP("P01",ParamTbl,3,0),1.5))*(1-IF(IFERROR(VLOOKUP($E56,OpTbl,3,0),"")="خرید",IFERROR(VLOOKUP("P02",ParamTbl,3,0),1),0)/100))</f>
        <v/>
      </c>
      <c r="N56" s="14" t="n"/>
      <c r="O56" s="13" t="n"/>
    </row>
    <row r="57">
      <c r="A57" s="11">
        <f>IF($B57="","",COUNTA($B$9:$B57))</f>
        <v/>
      </c>
      <c r="B57" s="12" t="n"/>
      <c r="C57" s="12" t="n"/>
      <c r="D57" s="12" t="n"/>
      <c r="E57" s="13" t="n"/>
      <c r="F57" s="11">
        <f>IF($E57="","",IFERROR(VLOOKUP($E57,OpTbl,2,0),""))</f>
        <v/>
      </c>
      <c r="G57" s="12" t="n"/>
      <c r="H57" s="11">
        <f>IF($G57="","",IFERROR(IF(VLOOKUP($G57,AcctTbl,4,0)="","(بدون نام)",VLOOKUP($G57,AcctTbl,4,0)),"کد ناشناخته"))</f>
        <v/>
      </c>
      <c r="I57" s="13" t="n"/>
      <c r="J57" s="13" t="n"/>
      <c r="K57" s="14" t="n"/>
      <c r="L57" s="14" t="n"/>
      <c r="M57" s="15">
        <f>IF(OR($B57="",$K57=""),"",($K57-IF($L57="",0,$L57)*IFERROR(VLOOKUP("P01",ParamTbl,3,0),1.5))*(1-IF(IFERROR(VLOOKUP($E57,OpTbl,3,0),"")="خرید",IFERROR(VLOOKUP("P02",ParamTbl,3,0),1),0)/100))</f>
        <v/>
      </c>
      <c r="N57" s="14" t="n"/>
      <c r="O57" s="13" t="n"/>
    </row>
    <row r="58">
      <c r="A58" s="11">
        <f>IF($B58="","",COUNTA($B$9:$B58))</f>
        <v/>
      </c>
      <c r="B58" s="12" t="n"/>
      <c r="C58" s="12" t="n"/>
      <c r="D58" s="12" t="n"/>
      <c r="E58" s="13" t="n"/>
      <c r="F58" s="11">
        <f>IF($E58="","",IFERROR(VLOOKUP($E58,OpTbl,2,0),""))</f>
        <v/>
      </c>
      <c r="G58" s="12" t="n"/>
      <c r="H58" s="11">
        <f>IF($G58="","",IFERROR(IF(VLOOKUP($G58,AcctTbl,4,0)="","(بدون نام)",VLOOKUP($G58,AcctTbl,4,0)),"کد ناشناخته"))</f>
        <v/>
      </c>
      <c r="I58" s="13" t="n"/>
      <c r="J58" s="13" t="n"/>
      <c r="K58" s="14" t="n"/>
      <c r="L58" s="14" t="n"/>
      <c r="M58" s="15">
        <f>IF(OR($B58="",$K58=""),"",($K58-IF($L58="",0,$L58)*IFERROR(VLOOKUP("P01",ParamTbl,3,0),1.5))*(1-IF(IFERROR(VLOOKUP($E58,OpTbl,3,0),"")="خرید",IFERROR(VLOOKUP("P02",ParamTbl,3,0),1),0)/100))</f>
        <v/>
      </c>
      <c r="N58" s="14" t="n"/>
      <c r="O58" s="13" t="n"/>
    </row>
    <row r="59">
      <c r="A59" s="11">
        <f>IF($B59="","",COUNTA($B$9:$B59))</f>
        <v/>
      </c>
      <c r="B59" s="12" t="n"/>
      <c r="C59" s="12" t="n"/>
      <c r="D59" s="12" t="n"/>
      <c r="E59" s="13" t="n"/>
      <c r="F59" s="11">
        <f>IF($E59="","",IFERROR(VLOOKUP($E59,OpTbl,2,0),""))</f>
        <v/>
      </c>
      <c r="G59" s="12" t="n"/>
      <c r="H59" s="11">
        <f>IF($G59="","",IFERROR(IF(VLOOKUP($G59,AcctTbl,4,0)="","(بدون نام)",VLOOKUP($G59,AcctTbl,4,0)),"کد ناشناخته"))</f>
        <v/>
      </c>
      <c r="I59" s="13" t="n"/>
      <c r="J59" s="13" t="n"/>
      <c r="K59" s="14" t="n"/>
      <c r="L59" s="14" t="n"/>
      <c r="M59" s="15">
        <f>IF(OR($B59="",$K59=""),"",($K59-IF($L59="",0,$L59)*IFERROR(VLOOKUP("P01",ParamTbl,3,0),1.5))*(1-IF(IFERROR(VLOOKUP($E59,OpTbl,3,0),"")="خرید",IFERROR(VLOOKUP("P02",ParamTbl,3,0),1),0)/100))</f>
        <v/>
      </c>
      <c r="N59" s="14" t="n"/>
      <c r="O59" s="13" t="n"/>
    </row>
    <row r="60">
      <c r="A60" s="11">
        <f>IF($B60="","",COUNTA($B$9:$B60))</f>
        <v/>
      </c>
      <c r="B60" s="12" t="n"/>
      <c r="C60" s="12" t="n"/>
      <c r="D60" s="12" t="n"/>
      <c r="E60" s="13" t="n"/>
      <c r="F60" s="11">
        <f>IF($E60="","",IFERROR(VLOOKUP($E60,OpTbl,2,0),""))</f>
        <v/>
      </c>
      <c r="G60" s="12" t="n"/>
      <c r="H60" s="11">
        <f>IF($G60="","",IFERROR(IF(VLOOKUP($G60,AcctTbl,4,0)="","(بدون نام)",VLOOKUP($G60,AcctTbl,4,0)),"کد ناشناخته"))</f>
        <v/>
      </c>
      <c r="I60" s="13" t="n"/>
      <c r="J60" s="13" t="n"/>
      <c r="K60" s="14" t="n"/>
      <c r="L60" s="14" t="n"/>
      <c r="M60" s="15">
        <f>IF(OR($B60="",$K60=""),"",($K60-IF($L60="",0,$L60)*IFERROR(VLOOKUP("P01",ParamTbl,3,0),1.5))*(1-IF(IFERROR(VLOOKUP($E60,OpTbl,3,0),"")="خرید",IFERROR(VLOOKUP("P02",ParamTbl,3,0),1),0)/100))</f>
        <v/>
      </c>
      <c r="N60" s="14" t="n"/>
      <c r="O60" s="13" t="n"/>
    </row>
    <row r="61">
      <c r="A61" s="11">
        <f>IF($B61="","",COUNTA($B$9:$B61))</f>
        <v/>
      </c>
      <c r="B61" s="12" t="n"/>
      <c r="C61" s="12" t="n"/>
      <c r="D61" s="12" t="n"/>
      <c r="E61" s="13" t="n"/>
      <c r="F61" s="11">
        <f>IF($E61="","",IFERROR(VLOOKUP($E61,OpTbl,2,0),""))</f>
        <v/>
      </c>
      <c r="G61" s="12" t="n"/>
      <c r="H61" s="11">
        <f>IF($G61="","",IFERROR(IF(VLOOKUP($G61,AcctTbl,4,0)="","(بدون نام)",VLOOKUP($G61,AcctTbl,4,0)),"کد ناشناخته"))</f>
        <v/>
      </c>
      <c r="I61" s="13" t="n"/>
      <c r="J61" s="13" t="n"/>
      <c r="K61" s="14" t="n"/>
      <c r="L61" s="14" t="n"/>
      <c r="M61" s="15">
        <f>IF(OR($B61="",$K61=""),"",($K61-IF($L61="",0,$L61)*IFERROR(VLOOKUP("P01",ParamTbl,3,0),1.5))*(1-IF(IFERROR(VLOOKUP($E61,OpTbl,3,0),"")="خرید",IFERROR(VLOOKUP("P02",ParamTbl,3,0),1),0)/100))</f>
        <v/>
      </c>
      <c r="N61" s="14" t="n"/>
      <c r="O61" s="13" t="n"/>
    </row>
    <row r="62">
      <c r="A62" s="11">
        <f>IF($B62="","",COUNTA($B$9:$B62))</f>
        <v/>
      </c>
      <c r="B62" s="12" t="n"/>
      <c r="C62" s="12" t="n"/>
      <c r="D62" s="12" t="n"/>
      <c r="E62" s="13" t="n"/>
      <c r="F62" s="11">
        <f>IF($E62="","",IFERROR(VLOOKUP($E62,OpTbl,2,0),""))</f>
        <v/>
      </c>
      <c r="G62" s="12" t="n"/>
      <c r="H62" s="11">
        <f>IF($G62="","",IFERROR(IF(VLOOKUP($G62,AcctTbl,4,0)="","(بدون نام)",VLOOKUP($G62,AcctTbl,4,0)),"کد ناشناخته"))</f>
        <v/>
      </c>
      <c r="I62" s="13" t="n"/>
      <c r="J62" s="13" t="n"/>
      <c r="K62" s="14" t="n"/>
      <c r="L62" s="14" t="n"/>
      <c r="M62" s="15">
        <f>IF(OR($B62="",$K62=""),"",($K62-IF($L62="",0,$L62)*IFERROR(VLOOKUP("P01",ParamTbl,3,0),1.5))*(1-IF(IFERROR(VLOOKUP($E62,OpTbl,3,0),"")="خرید",IFERROR(VLOOKUP("P02",ParamTbl,3,0),1),0)/100))</f>
        <v/>
      </c>
      <c r="N62" s="14" t="n"/>
      <c r="O62" s="13" t="n"/>
    </row>
    <row r="63">
      <c r="A63" s="11">
        <f>IF($B63="","",COUNTA($B$9:$B63))</f>
        <v/>
      </c>
      <c r="B63" s="12" t="n"/>
      <c r="C63" s="12" t="n"/>
      <c r="D63" s="12" t="n"/>
      <c r="E63" s="13" t="n"/>
      <c r="F63" s="11">
        <f>IF($E63="","",IFERROR(VLOOKUP($E63,OpTbl,2,0),""))</f>
        <v/>
      </c>
      <c r="G63" s="12" t="n"/>
      <c r="H63" s="11">
        <f>IF($G63="","",IFERROR(IF(VLOOKUP($G63,AcctTbl,4,0)="","(بدون نام)",VLOOKUP($G63,AcctTbl,4,0)),"کد ناشناخته"))</f>
        <v/>
      </c>
      <c r="I63" s="13" t="n"/>
      <c r="J63" s="13" t="n"/>
      <c r="K63" s="14" t="n"/>
      <c r="L63" s="14" t="n"/>
      <c r="M63" s="15">
        <f>IF(OR($B63="",$K63=""),"",($K63-IF($L63="",0,$L63)*IFERROR(VLOOKUP("P01",ParamTbl,3,0),1.5))*(1-IF(IFERROR(VLOOKUP($E63,OpTbl,3,0),"")="خرید",IFERROR(VLOOKUP("P02",ParamTbl,3,0),1),0)/100))</f>
        <v/>
      </c>
      <c r="N63" s="14" t="n"/>
      <c r="O63" s="13" t="n"/>
    </row>
    <row r="64">
      <c r="A64" s="11">
        <f>IF($B64="","",COUNTA($B$9:$B64))</f>
        <v/>
      </c>
      <c r="B64" s="12" t="n"/>
      <c r="C64" s="12" t="n"/>
      <c r="D64" s="12" t="n"/>
      <c r="E64" s="13" t="n"/>
      <c r="F64" s="11">
        <f>IF($E64="","",IFERROR(VLOOKUP($E64,OpTbl,2,0),""))</f>
        <v/>
      </c>
      <c r="G64" s="12" t="n"/>
      <c r="H64" s="11">
        <f>IF($G64="","",IFERROR(IF(VLOOKUP($G64,AcctTbl,4,0)="","(بدون نام)",VLOOKUP($G64,AcctTbl,4,0)),"کد ناشناخته"))</f>
        <v/>
      </c>
      <c r="I64" s="13" t="n"/>
      <c r="J64" s="13" t="n"/>
      <c r="K64" s="14" t="n"/>
      <c r="L64" s="14" t="n"/>
      <c r="M64" s="15">
        <f>IF(OR($B64="",$K64=""),"",($K64-IF($L64="",0,$L64)*IFERROR(VLOOKUP("P01",ParamTbl,3,0),1.5))*(1-IF(IFERROR(VLOOKUP($E64,OpTbl,3,0),"")="خرید",IFERROR(VLOOKUP("P02",ParamTbl,3,0),1),0)/100))</f>
        <v/>
      </c>
      <c r="N64" s="14" t="n"/>
      <c r="O64" s="13" t="n"/>
    </row>
    <row r="65">
      <c r="A65" s="11">
        <f>IF($B65="","",COUNTA($B$9:$B65))</f>
        <v/>
      </c>
      <c r="B65" s="12" t="n"/>
      <c r="C65" s="12" t="n"/>
      <c r="D65" s="12" t="n"/>
      <c r="E65" s="13" t="n"/>
      <c r="F65" s="11">
        <f>IF($E65="","",IFERROR(VLOOKUP($E65,OpTbl,2,0),""))</f>
        <v/>
      </c>
      <c r="G65" s="12" t="n"/>
      <c r="H65" s="11">
        <f>IF($G65="","",IFERROR(IF(VLOOKUP($G65,AcctTbl,4,0)="","(بدون نام)",VLOOKUP($G65,AcctTbl,4,0)),"کد ناشناخته"))</f>
        <v/>
      </c>
      <c r="I65" s="13" t="n"/>
      <c r="J65" s="13" t="n"/>
      <c r="K65" s="14" t="n"/>
      <c r="L65" s="14" t="n"/>
      <c r="M65" s="15">
        <f>IF(OR($B65="",$K65=""),"",($K65-IF($L65="",0,$L65)*IFERROR(VLOOKUP("P01",ParamTbl,3,0),1.5))*(1-IF(IFERROR(VLOOKUP($E65,OpTbl,3,0),"")="خرید",IFERROR(VLOOKUP("P02",ParamTbl,3,0),1),0)/100))</f>
        <v/>
      </c>
      <c r="N65" s="14" t="n"/>
      <c r="O65" s="13" t="n"/>
    </row>
    <row r="66">
      <c r="A66" s="11">
        <f>IF($B66="","",COUNTA($B$9:$B66))</f>
        <v/>
      </c>
      <c r="B66" s="12" t="n"/>
      <c r="C66" s="12" t="n"/>
      <c r="D66" s="12" t="n"/>
      <c r="E66" s="13" t="n"/>
      <c r="F66" s="11">
        <f>IF($E66="","",IFERROR(VLOOKUP($E66,OpTbl,2,0),""))</f>
        <v/>
      </c>
      <c r="G66" s="12" t="n"/>
      <c r="H66" s="11">
        <f>IF($G66="","",IFERROR(IF(VLOOKUP($G66,AcctTbl,4,0)="","(بدون نام)",VLOOKUP($G66,AcctTbl,4,0)),"کد ناشناخته"))</f>
        <v/>
      </c>
      <c r="I66" s="13" t="n"/>
      <c r="J66" s="13" t="n"/>
      <c r="K66" s="14" t="n"/>
      <c r="L66" s="14" t="n"/>
      <c r="M66" s="15">
        <f>IF(OR($B66="",$K66=""),"",($K66-IF($L66="",0,$L66)*IFERROR(VLOOKUP("P01",ParamTbl,3,0),1.5))*(1-IF(IFERROR(VLOOKUP($E66,OpTbl,3,0),"")="خرید",IFERROR(VLOOKUP("P02",ParamTbl,3,0),1),0)/100))</f>
        <v/>
      </c>
      <c r="N66" s="14" t="n"/>
      <c r="O66" s="13" t="n"/>
    </row>
    <row r="67">
      <c r="A67" s="11">
        <f>IF($B67="","",COUNTA($B$9:$B67))</f>
        <v/>
      </c>
      <c r="B67" s="12" t="n"/>
      <c r="C67" s="12" t="n"/>
      <c r="D67" s="12" t="n"/>
      <c r="E67" s="13" t="n"/>
      <c r="F67" s="11">
        <f>IF($E67="","",IFERROR(VLOOKUP($E67,OpTbl,2,0),""))</f>
        <v/>
      </c>
      <c r="G67" s="12" t="n"/>
      <c r="H67" s="11">
        <f>IF($G67="","",IFERROR(IF(VLOOKUP($G67,AcctTbl,4,0)="","(بدون نام)",VLOOKUP($G67,AcctTbl,4,0)),"کد ناشناخته"))</f>
        <v/>
      </c>
      <c r="I67" s="13" t="n"/>
      <c r="J67" s="13" t="n"/>
      <c r="K67" s="14" t="n"/>
      <c r="L67" s="14" t="n"/>
      <c r="M67" s="15">
        <f>IF(OR($B67="",$K67=""),"",($K67-IF($L67="",0,$L67)*IFERROR(VLOOKUP("P01",ParamTbl,3,0),1.5))*(1-IF(IFERROR(VLOOKUP($E67,OpTbl,3,0),"")="خرید",IFERROR(VLOOKUP("P02",ParamTbl,3,0),1),0)/100))</f>
        <v/>
      </c>
      <c r="N67" s="14" t="n"/>
      <c r="O67" s="13" t="n"/>
    </row>
    <row r="68">
      <c r="A68" s="11">
        <f>IF($B68="","",COUNTA($B$9:$B68))</f>
        <v/>
      </c>
      <c r="B68" s="12" t="n"/>
      <c r="C68" s="12" t="n"/>
      <c r="D68" s="12" t="n"/>
      <c r="E68" s="13" t="n"/>
      <c r="F68" s="11">
        <f>IF($E68="","",IFERROR(VLOOKUP($E68,OpTbl,2,0),""))</f>
        <v/>
      </c>
      <c r="G68" s="12" t="n"/>
      <c r="H68" s="11">
        <f>IF($G68="","",IFERROR(IF(VLOOKUP($G68,AcctTbl,4,0)="","(بدون نام)",VLOOKUP($G68,AcctTbl,4,0)),"کد ناشناخته"))</f>
        <v/>
      </c>
      <c r="I68" s="13" t="n"/>
      <c r="J68" s="13" t="n"/>
      <c r="K68" s="14" t="n"/>
      <c r="L68" s="14" t="n"/>
      <c r="M68" s="15">
        <f>IF(OR($B68="",$K68=""),"",($K68-IF($L68="",0,$L68)*IFERROR(VLOOKUP("P01",ParamTbl,3,0),1.5))*(1-IF(IFERROR(VLOOKUP($E68,OpTbl,3,0),"")="خرید",IFERROR(VLOOKUP("P02",ParamTbl,3,0),1),0)/100))</f>
        <v/>
      </c>
      <c r="N68" s="14" t="n"/>
      <c r="O68" s="13" t="n"/>
    </row>
    <row r="69">
      <c r="A69" s="11">
        <f>IF($B69="","",COUNTA($B$9:$B69))</f>
        <v/>
      </c>
      <c r="B69" s="12" t="n"/>
      <c r="C69" s="12" t="n"/>
      <c r="D69" s="12" t="n"/>
      <c r="E69" s="13" t="n"/>
      <c r="F69" s="11">
        <f>IF($E69="","",IFERROR(VLOOKUP($E69,OpTbl,2,0),""))</f>
        <v/>
      </c>
      <c r="G69" s="12" t="n"/>
      <c r="H69" s="11">
        <f>IF($G69="","",IFERROR(IF(VLOOKUP($G69,AcctTbl,4,0)="","(بدون نام)",VLOOKUP($G69,AcctTbl,4,0)),"کد ناشناخته"))</f>
        <v/>
      </c>
      <c r="I69" s="13" t="n"/>
      <c r="J69" s="13" t="n"/>
      <c r="K69" s="14" t="n"/>
      <c r="L69" s="14" t="n"/>
      <c r="M69" s="15">
        <f>IF(OR($B69="",$K69=""),"",($K69-IF($L69="",0,$L69)*IFERROR(VLOOKUP("P01",ParamTbl,3,0),1.5))*(1-IF(IFERROR(VLOOKUP($E69,OpTbl,3,0),"")="خرید",IFERROR(VLOOKUP("P02",ParamTbl,3,0),1),0)/100))</f>
        <v/>
      </c>
      <c r="N69" s="14" t="n"/>
      <c r="O69" s="13" t="n"/>
    </row>
    <row r="70">
      <c r="A70" s="11">
        <f>IF($B70="","",COUNTA($B$9:$B70))</f>
        <v/>
      </c>
      <c r="B70" s="12" t="n"/>
      <c r="C70" s="12" t="n"/>
      <c r="D70" s="12" t="n"/>
      <c r="E70" s="13" t="n"/>
      <c r="F70" s="11">
        <f>IF($E70="","",IFERROR(VLOOKUP($E70,OpTbl,2,0),""))</f>
        <v/>
      </c>
      <c r="G70" s="12" t="n"/>
      <c r="H70" s="11">
        <f>IF($G70="","",IFERROR(IF(VLOOKUP($G70,AcctTbl,4,0)="","(بدون نام)",VLOOKUP($G70,AcctTbl,4,0)),"کد ناشناخته"))</f>
        <v/>
      </c>
      <c r="I70" s="13" t="n"/>
      <c r="J70" s="13" t="n"/>
      <c r="K70" s="14" t="n"/>
      <c r="L70" s="14" t="n"/>
      <c r="M70" s="15">
        <f>IF(OR($B70="",$K70=""),"",($K70-IF($L70="",0,$L70)*IFERROR(VLOOKUP("P01",ParamTbl,3,0),1.5))*(1-IF(IFERROR(VLOOKUP($E70,OpTbl,3,0),"")="خرید",IFERROR(VLOOKUP("P02",ParamTbl,3,0),1),0)/100))</f>
        <v/>
      </c>
      <c r="N70" s="14" t="n"/>
      <c r="O70" s="13" t="n"/>
    </row>
    <row r="71">
      <c r="A71" s="11">
        <f>IF($B71="","",COUNTA($B$9:$B71))</f>
        <v/>
      </c>
      <c r="B71" s="12" t="n"/>
      <c r="C71" s="12" t="n"/>
      <c r="D71" s="12" t="n"/>
      <c r="E71" s="13" t="n"/>
      <c r="F71" s="11">
        <f>IF($E71="","",IFERROR(VLOOKUP($E71,OpTbl,2,0),""))</f>
        <v/>
      </c>
      <c r="G71" s="12" t="n"/>
      <c r="H71" s="11">
        <f>IF($G71="","",IFERROR(IF(VLOOKUP($G71,AcctTbl,4,0)="","(بدون نام)",VLOOKUP($G71,AcctTbl,4,0)),"کد ناشناخته"))</f>
        <v/>
      </c>
      <c r="I71" s="13" t="n"/>
      <c r="J71" s="13" t="n"/>
      <c r="K71" s="14" t="n"/>
      <c r="L71" s="14" t="n"/>
      <c r="M71" s="15">
        <f>IF(OR($B71="",$K71=""),"",($K71-IF($L71="",0,$L71)*IFERROR(VLOOKUP("P01",ParamTbl,3,0),1.5))*(1-IF(IFERROR(VLOOKUP($E71,OpTbl,3,0),"")="خرید",IFERROR(VLOOKUP("P02",ParamTbl,3,0),1),0)/100))</f>
        <v/>
      </c>
      <c r="N71" s="14" t="n"/>
      <c r="O71" s="13" t="n"/>
    </row>
    <row r="72">
      <c r="A72" s="11">
        <f>IF($B72="","",COUNTA($B$9:$B72))</f>
        <v/>
      </c>
      <c r="B72" s="12" t="n"/>
      <c r="C72" s="12" t="n"/>
      <c r="D72" s="12" t="n"/>
      <c r="E72" s="13" t="n"/>
      <c r="F72" s="11">
        <f>IF($E72="","",IFERROR(VLOOKUP($E72,OpTbl,2,0),""))</f>
        <v/>
      </c>
      <c r="G72" s="12" t="n"/>
      <c r="H72" s="11">
        <f>IF($G72="","",IFERROR(IF(VLOOKUP($G72,AcctTbl,4,0)="","(بدون نام)",VLOOKUP($G72,AcctTbl,4,0)),"کد ناشناخته"))</f>
        <v/>
      </c>
      <c r="I72" s="13" t="n"/>
      <c r="J72" s="13" t="n"/>
      <c r="K72" s="14" t="n"/>
      <c r="L72" s="14" t="n"/>
      <c r="M72" s="15">
        <f>IF(OR($B72="",$K72=""),"",($K72-IF($L72="",0,$L72)*IFERROR(VLOOKUP("P01",ParamTbl,3,0),1.5))*(1-IF(IFERROR(VLOOKUP($E72,OpTbl,3,0),"")="خرید",IFERROR(VLOOKUP("P02",ParamTbl,3,0),1),0)/100))</f>
        <v/>
      </c>
      <c r="N72" s="14" t="n"/>
      <c r="O72" s="13" t="n"/>
    </row>
    <row r="73">
      <c r="A73" s="11">
        <f>IF($B73="","",COUNTA($B$9:$B73))</f>
        <v/>
      </c>
      <c r="B73" s="12" t="n"/>
      <c r="C73" s="12" t="n"/>
      <c r="D73" s="12" t="n"/>
      <c r="E73" s="13" t="n"/>
      <c r="F73" s="11">
        <f>IF($E73="","",IFERROR(VLOOKUP($E73,OpTbl,2,0),""))</f>
        <v/>
      </c>
      <c r="G73" s="12" t="n"/>
      <c r="H73" s="11">
        <f>IF($G73="","",IFERROR(IF(VLOOKUP($G73,AcctTbl,4,0)="","(بدون نام)",VLOOKUP($G73,AcctTbl,4,0)),"کد ناشناخته"))</f>
        <v/>
      </c>
      <c r="I73" s="13" t="n"/>
      <c r="J73" s="13" t="n"/>
      <c r="K73" s="14" t="n"/>
      <c r="L73" s="14" t="n"/>
      <c r="M73" s="15">
        <f>IF(OR($B73="",$K73=""),"",($K73-IF($L73="",0,$L73)*IFERROR(VLOOKUP("P01",ParamTbl,3,0),1.5))*(1-IF(IFERROR(VLOOKUP($E73,OpTbl,3,0),"")="خرید",IFERROR(VLOOKUP("P02",ParamTbl,3,0),1),0)/100))</f>
        <v/>
      </c>
      <c r="N73" s="14" t="n"/>
      <c r="O73" s="13" t="n"/>
    </row>
    <row r="74">
      <c r="A74" s="11">
        <f>IF($B74="","",COUNTA($B$9:$B74))</f>
        <v/>
      </c>
      <c r="B74" s="12" t="n"/>
      <c r="C74" s="12" t="n"/>
      <c r="D74" s="12" t="n"/>
      <c r="E74" s="13" t="n"/>
      <c r="F74" s="11">
        <f>IF($E74="","",IFERROR(VLOOKUP($E74,OpTbl,2,0),""))</f>
        <v/>
      </c>
      <c r="G74" s="12" t="n"/>
      <c r="H74" s="11">
        <f>IF($G74="","",IFERROR(IF(VLOOKUP($G74,AcctTbl,4,0)="","(بدون نام)",VLOOKUP($G74,AcctTbl,4,0)),"کد ناشناخته"))</f>
        <v/>
      </c>
      <c r="I74" s="13" t="n"/>
      <c r="J74" s="13" t="n"/>
      <c r="K74" s="14" t="n"/>
      <c r="L74" s="14" t="n"/>
      <c r="M74" s="15">
        <f>IF(OR($B74="",$K74=""),"",($K74-IF($L74="",0,$L74)*IFERROR(VLOOKUP("P01",ParamTbl,3,0),1.5))*(1-IF(IFERROR(VLOOKUP($E74,OpTbl,3,0),"")="خرید",IFERROR(VLOOKUP("P02",ParamTbl,3,0),1),0)/100))</f>
        <v/>
      </c>
      <c r="N74" s="14" t="n"/>
      <c r="O74" s="13" t="n"/>
    </row>
    <row r="75">
      <c r="A75" s="11">
        <f>IF($B75="","",COUNTA($B$9:$B75))</f>
        <v/>
      </c>
      <c r="B75" s="12" t="n"/>
      <c r="C75" s="12" t="n"/>
      <c r="D75" s="12" t="n"/>
      <c r="E75" s="13" t="n"/>
      <c r="F75" s="11">
        <f>IF($E75="","",IFERROR(VLOOKUP($E75,OpTbl,2,0),""))</f>
        <v/>
      </c>
      <c r="G75" s="12" t="n"/>
      <c r="H75" s="11">
        <f>IF($G75="","",IFERROR(IF(VLOOKUP($G75,AcctTbl,4,0)="","(بدون نام)",VLOOKUP($G75,AcctTbl,4,0)),"کد ناشناخته"))</f>
        <v/>
      </c>
      <c r="I75" s="13" t="n"/>
      <c r="J75" s="13" t="n"/>
      <c r="K75" s="14" t="n"/>
      <c r="L75" s="14" t="n"/>
      <c r="M75" s="15">
        <f>IF(OR($B75="",$K75=""),"",($K75-IF($L75="",0,$L75)*IFERROR(VLOOKUP("P01",ParamTbl,3,0),1.5))*(1-IF(IFERROR(VLOOKUP($E75,OpTbl,3,0),"")="خرید",IFERROR(VLOOKUP("P02",ParamTbl,3,0),1),0)/100))</f>
        <v/>
      </c>
      <c r="N75" s="14" t="n"/>
      <c r="O75" s="13" t="n"/>
    </row>
    <row r="76">
      <c r="A76" s="11">
        <f>IF($B76="","",COUNTA($B$9:$B76))</f>
        <v/>
      </c>
      <c r="B76" s="12" t="n"/>
      <c r="C76" s="12" t="n"/>
      <c r="D76" s="12" t="n"/>
      <c r="E76" s="13" t="n"/>
      <c r="F76" s="11">
        <f>IF($E76="","",IFERROR(VLOOKUP($E76,OpTbl,2,0),""))</f>
        <v/>
      </c>
      <c r="G76" s="12" t="n"/>
      <c r="H76" s="11">
        <f>IF($G76="","",IFERROR(IF(VLOOKUP($G76,AcctTbl,4,0)="","(بدون نام)",VLOOKUP($G76,AcctTbl,4,0)),"کد ناشناخته"))</f>
        <v/>
      </c>
      <c r="I76" s="13" t="n"/>
      <c r="J76" s="13" t="n"/>
      <c r="K76" s="14" t="n"/>
      <c r="L76" s="14" t="n"/>
      <c r="M76" s="15">
        <f>IF(OR($B76="",$K76=""),"",($K76-IF($L76="",0,$L76)*IFERROR(VLOOKUP("P01",ParamTbl,3,0),1.5))*(1-IF(IFERROR(VLOOKUP($E76,OpTbl,3,0),"")="خرید",IFERROR(VLOOKUP("P02",ParamTbl,3,0),1),0)/100))</f>
        <v/>
      </c>
      <c r="N76" s="14" t="n"/>
      <c r="O76" s="13" t="n"/>
    </row>
    <row r="77">
      <c r="A77" s="11">
        <f>IF($B77="","",COUNTA($B$9:$B77))</f>
        <v/>
      </c>
      <c r="B77" s="12" t="n"/>
      <c r="C77" s="12" t="n"/>
      <c r="D77" s="12" t="n"/>
      <c r="E77" s="13" t="n"/>
      <c r="F77" s="11">
        <f>IF($E77="","",IFERROR(VLOOKUP($E77,OpTbl,2,0),""))</f>
        <v/>
      </c>
      <c r="G77" s="12" t="n"/>
      <c r="H77" s="11">
        <f>IF($G77="","",IFERROR(IF(VLOOKUP($G77,AcctTbl,4,0)="","(بدون نام)",VLOOKUP($G77,AcctTbl,4,0)),"کد ناشناخته"))</f>
        <v/>
      </c>
      <c r="I77" s="13" t="n"/>
      <c r="J77" s="13" t="n"/>
      <c r="K77" s="14" t="n"/>
      <c r="L77" s="14" t="n"/>
      <c r="M77" s="15">
        <f>IF(OR($B77="",$K77=""),"",($K77-IF($L77="",0,$L77)*IFERROR(VLOOKUP("P01",ParamTbl,3,0),1.5))*(1-IF(IFERROR(VLOOKUP($E77,OpTbl,3,0),"")="خرید",IFERROR(VLOOKUP("P02",ParamTbl,3,0),1),0)/100))</f>
        <v/>
      </c>
      <c r="N77" s="14" t="n"/>
      <c r="O77" s="13" t="n"/>
    </row>
    <row r="78">
      <c r="A78" s="11">
        <f>IF($B78="","",COUNTA($B$9:$B78))</f>
        <v/>
      </c>
      <c r="B78" s="12" t="n"/>
      <c r="C78" s="12" t="n"/>
      <c r="D78" s="12" t="n"/>
      <c r="E78" s="13" t="n"/>
      <c r="F78" s="11">
        <f>IF($E78="","",IFERROR(VLOOKUP($E78,OpTbl,2,0),""))</f>
        <v/>
      </c>
      <c r="G78" s="12" t="n"/>
      <c r="H78" s="11">
        <f>IF($G78="","",IFERROR(IF(VLOOKUP($G78,AcctTbl,4,0)="","(بدون نام)",VLOOKUP($G78,AcctTbl,4,0)),"کد ناشناخته"))</f>
        <v/>
      </c>
      <c r="I78" s="13" t="n"/>
      <c r="J78" s="13" t="n"/>
      <c r="K78" s="14" t="n"/>
      <c r="L78" s="14" t="n"/>
      <c r="M78" s="15">
        <f>IF(OR($B78="",$K78=""),"",($K78-IF($L78="",0,$L78)*IFERROR(VLOOKUP("P01",ParamTbl,3,0),1.5))*(1-IF(IFERROR(VLOOKUP($E78,OpTbl,3,0),"")="خرید",IFERROR(VLOOKUP("P02",ParamTbl,3,0),1),0)/100))</f>
        <v/>
      </c>
      <c r="N78" s="14" t="n"/>
      <c r="O78" s="13" t="n"/>
    </row>
    <row r="79">
      <c r="A79" s="11">
        <f>IF($B79="","",COUNTA($B$9:$B79))</f>
        <v/>
      </c>
      <c r="B79" s="12" t="n"/>
      <c r="C79" s="12" t="n"/>
      <c r="D79" s="12" t="n"/>
      <c r="E79" s="13" t="n"/>
      <c r="F79" s="11">
        <f>IF($E79="","",IFERROR(VLOOKUP($E79,OpTbl,2,0),""))</f>
        <v/>
      </c>
      <c r="G79" s="12" t="n"/>
      <c r="H79" s="11">
        <f>IF($G79="","",IFERROR(IF(VLOOKUP($G79,AcctTbl,4,0)="","(بدون نام)",VLOOKUP($G79,AcctTbl,4,0)),"کد ناشناخته"))</f>
        <v/>
      </c>
      <c r="I79" s="13" t="n"/>
      <c r="J79" s="13" t="n"/>
      <c r="K79" s="14" t="n"/>
      <c r="L79" s="14" t="n"/>
      <c r="M79" s="15">
        <f>IF(OR($B79="",$K79=""),"",($K79-IF($L79="",0,$L79)*IFERROR(VLOOKUP("P01",ParamTbl,3,0),1.5))*(1-IF(IFERROR(VLOOKUP($E79,OpTbl,3,0),"")="خرید",IFERROR(VLOOKUP("P02",ParamTbl,3,0),1),0)/100))</f>
        <v/>
      </c>
      <c r="N79" s="14" t="n"/>
      <c r="O79" s="13" t="n"/>
    </row>
    <row r="80">
      <c r="A80" s="11">
        <f>IF($B80="","",COUNTA($B$9:$B80))</f>
        <v/>
      </c>
      <c r="B80" s="12" t="n"/>
      <c r="C80" s="12" t="n"/>
      <c r="D80" s="12" t="n"/>
      <c r="E80" s="13" t="n"/>
      <c r="F80" s="11">
        <f>IF($E80="","",IFERROR(VLOOKUP($E80,OpTbl,2,0),""))</f>
        <v/>
      </c>
      <c r="G80" s="12" t="n"/>
      <c r="H80" s="11">
        <f>IF($G80="","",IFERROR(IF(VLOOKUP($G80,AcctTbl,4,0)="","(بدون نام)",VLOOKUP($G80,AcctTbl,4,0)),"کد ناشناخته"))</f>
        <v/>
      </c>
      <c r="I80" s="13" t="n"/>
      <c r="J80" s="13" t="n"/>
      <c r="K80" s="14" t="n"/>
      <c r="L80" s="14" t="n"/>
      <c r="M80" s="15">
        <f>IF(OR($B80="",$K80=""),"",($K80-IF($L80="",0,$L80)*IFERROR(VLOOKUP("P01",ParamTbl,3,0),1.5))*(1-IF(IFERROR(VLOOKUP($E80,OpTbl,3,0),"")="خرید",IFERROR(VLOOKUP("P02",ParamTbl,3,0),1),0)/100))</f>
        <v/>
      </c>
      <c r="N80" s="14" t="n"/>
      <c r="O80" s="13" t="n"/>
    </row>
    <row r="81">
      <c r="A81" s="11">
        <f>IF($B81="","",COUNTA($B$9:$B81))</f>
        <v/>
      </c>
      <c r="B81" s="12" t="n"/>
      <c r="C81" s="12" t="n"/>
      <c r="D81" s="12" t="n"/>
      <c r="E81" s="13" t="n"/>
      <c r="F81" s="11">
        <f>IF($E81="","",IFERROR(VLOOKUP($E81,OpTbl,2,0),""))</f>
        <v/>
      </c>
      <c r="G81" s="12" t="n"/>
      <c r="H81" s="11">
        <f>IF($G81="","",IFERROR(IF(VLOOKUP($G81,AcctTbl,4,0)="","(بدون نام)",VLOOKUP($G81,AcctTbl,4,0)),"کد ناشناخته"))</f>
        <v/>
      </c>
      <c r="I81" s="13" t="n"/>
      <c r="J81" s="13" t="n"/>
      <c r="K81" s="14" t="n"/>
      <c r="L81" s="14" t="n"/>
      <c r="M81" s="15">
        <f>IF(OR($B81="",$K81=""),"",($K81-IF($L81="",0,$L81)*IFERROR(VLOOKUP("P01",ParamTbl,3,0),1.5))*(1-IF(IFERROR(VLOOKUP($E81,OpTbl,3,0),"")="خرید",IFERROR(VLOOKUP("P02",ParamTbl,3,0),1),0)/100))</f>
        <v/>
      </c>
      <c r="N81" s="14" t="n"/>
      <c r="O81" s="13" t="n"/>
    </row>
    <row r="82">
      <c r="A82" s="11">
        <f>IF($B82="","",COUNTA($B$9:$B82))</f>
        <v/>
      </c>
      <c r="B82" s="12" t="n"/>
      <c r="C82" s="12" t="n"/>
      <c r="D82" s="12" t="n"/>
      <c r="E82" s="13" t="n"/>
      <c r="F82" s="11">
        <f>IF($E82="","",IFERROR(VLOOKUP($E82,OpTbl,2,0),""))</f>
        <v/>
      </c>
      <c r="G82" s="12" t="n"/>
      <c r="H82" s="11">
        <f>IF($G82="","",IFERROR(IF(VLOOKUP($G82,AcctTbl,4,0)="","(بدون نام)",VLOOKUP($G82,AcctTbl,4,0)),"کد ناشناخته"))</f>
        <v/>
      </c>
      <c r="I82" s="13" t="n"/>
      <c r="J82" s="13" t="n"/>
      <c r="K82" s="14" t="n"/>
      <c r="L82" s="14" t="n"/>
      <c r="M82" s="15">
        <f>IF(OR($B82="",$K82=""),"",($K82-IF($L82="",0,$L82)*IFERROR(VLOOKUP("P01",ParamTbl,3,0),1.5))*(1-IF(IFERROR(VLOOKUP($E82,OpTbl,3,0),"")="خرید",IFERROR(VLOOKUP("P02",ParamTbl,3,0),1),0)/100))</f>
        <v/>
      </c>
      <c r="N82" s="14" t="n"/>
      <c r="O82" s="13" t="n"/>
    </row>
    <row r="83">
      <c r="A83" s="11">
        <f>IF($B83="","",COUNTA($B$9:$B83))</f>
        <v/>
      </c>
      <c r="B83" s="12" t="n"/>
      <c r="C83" s="12" t="n"/>
      <c r="D83" s="12" t="n"/>
      <c r="E83" s="13" t="n"/>
      <c r="F83" s="11">
        <f>IF($E83="","",IFERROR(VLOOKUP($E83,OpTbl,2,0),""))</f>
        <v/>
      </c>
      <c r="G83" s="12" t="n"/>
      <c r="H83" s="11">
        <f>IF($G83="","",IFERROR(IF(VLOOKUP($G83,AcctTbl,4,0)="","(بدون نام)",VLOOKUP($G83,AcctTbl,4,0)),"کد ناشناخته"))</f>
        <v/>
      </c>
      <c r="I83" s="13" t="n"/>
      <c r="J83" s="13" t="n"/>
      <c r="K83" s="14" t="n"/>
      <c r="L83" s="14" t="n"/>
      <c r="M83" s="15">
        <f>IF(OR($B83="",$K83=""),"",($K83-IF($L83="",0,$L83)*IFERROR(VLOOKUP("P01",ParamTbl,3,0),1.5))*(1-IF(IFERROR(VLOOKUP($E83,OpTbl,3,0),"")="خرید",IFERROR(VLOOKUP("P02",ParamTbl,3,0),1),0)/100))</f>
        <v/>
      </c>
      <c r="N83" s="14" t="n"/>
      <c r="O83" s="13" t="n"/>
    </row>
    <row r="84">
      <c r="A84" s="11">
        <f>IF($B84="","",COUNTA($B$9:$B84))</f>
        <v/>
      </c>
      <c r="B84" s="12" t="n"/>
      <c r="C84" s="12" t="n"/>
      <c r="D84" s="12" t="n"/>
      <c r="E84" s="13" t="n"/>
      <c r="F84" s="11">
        <f>IF($E84="","",IFERROR(VLOOKUP($E84,OpTbl,2,0),""))</f>
        <v/>
      </c>
      <c r="G84" s="12" t="n"/>
      <c r="H84" s="11">
        <f>IF($G84="","",IFERROR(IF(VLOOKUP($G84,AcctTbl,4,0)="","(بدون نام)",VLOOKUP($G84,AcctTbl,4,0)),"کد ناشناخته"))</f>
        <v/>
      </c>
      <c r="I84" s="13" t="n"/>
      <c r="J84" s="13" t="n"/>
      <c r="K84" s="14" t="n"/>
      <c r="L84" s="14" t="n"/>
      <c r="M84" s="15">
        <f>IF(OR($B84="",$K84=""),"",($K84-IF($L84="",0,$L84)*IFERROR(VLOOKUP("P01",ParamTbl,3,0),1.5))*(1-IF(IFERROR(VLOOKUP($E84,OpTbl,3,0),"")="خرید",IFERROR(VLOOKUP("P02",ParamTbl,3,0),1),0)/100))</f>
        <v/>
      </c>
      <c r="N84" s="14" t="n"/>
      <c r="O84" s="13" t="n"/>
    </row>
    <row r="85">
      <c r="A85" s="11">
        <f>IF($B85="","",COUNTA($B$9:$B85))</f>
        <v/>
      </c>
      <c r="B85" s="12" t="n"/>
      <c r="C85" s="12" t="n"/>
      <c r="D85" s="12" t="n"/>
      <c r="E85" s="13" t="n"/>
      <c r="F85" s="11">
        <f>IF($E85="","",IFERROR(VLOOKUP($E85,OpTbl,2,0),""))</f>
        <v/>
      </c>
      <c r="G85" s="12" t="n"/>
      <c r="H85" s="11">
        <f>IF($G85="","",IFERROR(IF(VLOOKUP($G85,AcctTbl,4,0)="","(بدون نام)",VLOOKUP($G85,AcctTbl,4,0)),"کد ناشناخته"))</f>
        <v/>
      </c>
      <c r="I85" s="13" t="n"/>
      <c r="J85" s="13" t="n"/>
      <c r="K85" s="14" t="n"/>
      <c r="L85" s="14" t="n"/>
      <c r="M85" s="15">
        <f>IF(OR($B85="",$K85=""),"",($K85-IF($L85="",0,$L85)*IFERROR(VLOOKUP("P01",ParamTbl,3,0),1.5))*(1-IF(IFERROR(VLOOKUP($E85,OpTbl,3,0),"")="خرید",IFERROR(VLOOKUP("P02",ParamTbl,3,0),1),0)/100))</f>
        <v/>
      </c>
      <c r="N85" s="14" t="n"/>
      <c r="O85" s="13" t="n"/>
    </row>
    <row r="86">
      <c r="A86" s="11">
        <f>IF($B86="","",COUNTA($B$9:$B86))</f>
        <v/>
      </c>
      <c r="B86" s="12" t="n"/>
      <c r="C86" s="12" t="n"/>
      <c r="D86" s="12" t="n"/>
      <c r="E86" s="13" t="n"/>
      <c r="F86" s="11">
        <f>IF($E86="","",IFERROR(VLOOKUP($E86,OpTbl,2,0),""))</f>
        <v/>
      </c>
      <c r="G86" s="12" t="n"/>
      <c r="H86" s="11">
        <f>IF($G86="","",IFERROR(IF(VLOOKUP($G86,AcctTbl,4,0)="","(بدون نام)",VLOOKUP($G86,AcctTbl,4,0)),"کد ناشناخته"))</f>
        <v/>
      </c>
      <c r="I86" s="13" t="n"/>
      <c r="J86" s="13" t="n"/>
      <c r="K86" s="14" t="n"/>
      <c r="L86" s="14" t="n"/>
      <c r="M86" s="15">
        <f>IF(OR($B86="",$K86=""),"",($K86-IF($L86="",0,$L86)*IFERROR(VLOOKUP("P01",ParamTbl,3,0),1.5))*(1-IF(IFERROR(VLOOKUP($E86,OpTbl,3,0),"")="خرید",IFERROR(VLOOKUP("P02",ParamTbl,3,0),1),0)/100))</f>
        <v/>
      </c>
      <c r="N86" s="14" t="n"/>
      <c r="O86" s="13" t="n"/>
    </row>
    <row r="87">
      <c r="A87" s="11">
        <f>IF($B87="","",COUNTA($B$9:$B87))</f>
        <v/>
      </c>
      <c r="B87" s="12" t="n"/>
      <c r="C87" s="12" t="n"/>
      <c r="D87" s="12" t="n"/>
      <c r="E87" s="13" t="n"/>
      <c r="F87" s="11">
        <f>IF($E87="","",IFERROR(VLOOKUP($E87,OpTbl,2,0),""))</f>
        <v/>
      </c>
      <c r="G87" s="12" t="n"/>
      <c r="H87" s="11">
        <f>IF($G87="","",IFERROR(IF(VLOOKUP($G87,AcctTbl,4,0)="","(بدون نام)",VLOOKUP($G87,AcctTbl,4,0)),"کد ناشناخته"))</f>
        <v/>
      </c>
      <c r="I87" s="13" t="n"/>
      <c r="J87" s="13" t="n"/>
      <c r="K87" s="14" t="n"/>
      <c r="L87" s="14" t="n"/>
      <c r="M87" s="15">
        <f>IF(OR($B87="",$K87=""),"",($K87-IF($L87="",0,$L87)*IFERROR(VLOOKUP("P01",ParamTbl,3,0),1.5))*(1-IF(IFERROR(VLOOKUP($E87,OpTbl,3,0),"")="خرید",IFERROR(VLOOKUP("P02",ParamTbl,3,0),1),0)/100))</f>
        <v/>
      </c>
      <c r="N87" s="14" t="n"/>
      <c r="O87" s="13" t="n"/>
    </row>
    <row r="88">
      <c r="A88" s="11">
        <f>IF($B88="","",COUNTA($B$9:$B88))</f>
        <v/>
      </c>
      <c r="B88" s="12" t="n"/>
      <c r="C88" s="12" t="n"/>
      <c r="D88" s="12" t="n"/>
      <c r="E88" s="13" t="n"/>
      <c r="F88" s="11">
        <f>IF($E88="","",IFERROR(VLOOKUP($E88,OpTbl,2,0),""))</f>
        <v/>
      </c>
      <c r="G88" s="12" t="n"/>
      <c r="H88" s="11">
        <f>IF($G88="","",IFERROR(IF(VLOOKUP($G88,AcctTbl,4,0)="","(بدون نام)",VLOOKUP($G88,AcctTbl,4,0)),"کد ناشناخته"))</f>
        <v/>
      </c>
      <c r="I88" s="13" t="n"/>
      <c r="J88" s="13" t="n"/>
      <c r="K88" s="14" t="n"/>
      <c r="L88" s="14" t="n"/>
      <c r="M88" s="15">
        <f>IF(OR($B88="",$K88=""),"",($K88-IF($L88="",0,$L88)*IFERROR(VLOOKUP("P01",ParamTbl,3,0),1.5))*(1-IF(IFERROR(VLOOKUP($E88,OpTbl,3,0),"")="خرید",IFERROR(VLOOKUP("P02",ParamTbl,3,0),1),0)/100))</f>
        <v/>
      </c>
      <c r="N88" s="14" t="n"/>
      <c r="O88" s="13" t="n"/>
    </row>
    <row r="89">
      <c r="A89" s="11">
        <f>IF($B89="","",COUNTA($B$9:$B89))</f>
        <v/>
      </c>
      <c r="B89" s="12" t="n"/>
      <c r="C89" s="12" t="n"/>
      <c r="D89" s="12" t="n"/>
      <c r="E89" s="13" t="n"/>
      <c r="F89" s="11">
        <f>IF($E89="","",IFERROR(VLOOKUP($E89,OpTbl,2,0),""))</f>
        <v/>
      </c>
      <c r="G89" s="12" t="n"/>
      <c r="H89" s="11">
        <f>IF($G89="","",IFERROR(IF(VLOOKUP($G89,AcctTbl,4,0)="","(بدون نام)",VLOOKUP($G89,AcctTbl,4,0)),"کد ناشناخته"))</f>
        <v/>
      </c>
      <c r="I89" s="13" t="n"/>
      <c r="J89" s="13" t="n"/>
      <c r="K89" s="14" t="n"/>
      <c r="L89" s="14" t="n"/>
      <c r="M89" s="15">
        <f>IF(OR($B89="",$K89=""),"",($K89-IF($L89="",0,$L89)*IFERROR(VLOOKUP("P01",ParamTbl,3,0),1.5))*(1-IF(IFERROR(VLOOKUP($E89,OpTbl,3,0),"")="خرید",IFERROR(VLOOKUP("P02",ParamTbl,3,0),1),0)/100))</f>
        <v/>
      </c>
      <c r="N89" s="14" t="n"/>
      <c r="O89" s="13" t="n"/>
    </row>
    <row r="90">
      <c r="A90" s="11">
        <f>IF($B90="","",COUNTA($B$9:$B90))</f>
        <v/>
      </c>
      <c r="B90" s="12" t="n"/>
      <c r="C90" s="12" t="n"/>
      <c r="D90" s="12" t="n"/>
      <c r="E90" s="13" t="n"/>
      <c r="F90" s="11">
        <f>IF($E90="","",IFERROR(VLOOKUP($E90,OpTbl,2,0),""))</f>
        <v/>
      </c>
      <c r="G90" s="12" t="n"/>
      <c r="H90" s="11">
        <f>IF($G90="","",IFERROR(IF(VLOOKUP($G90,AcctTbl,4,0)="","(بدون نام)",VLOOKUP($G90,AcctTbl,4,0)),"کد ناشناخته"))</f>
        <v/>
      </c>
      <c r="I90" s="13" t="n"/>
      <c r="J90" s="13" t="n"/>
      <c r="K90" s="14" t="n"/>
      <c r="L90" s="14" t="n"/>
      <c r="M90" s="15">
        <f>IF(OR($B90="",$K90=""),"",($K90-IF($L90="",0,$L90)*IFERROR(VLOOKUP("P01",ParamTbl,3,0),1.5))*(1-IF(IFERROR(VLOOKUP($E90,OpTbl,3,0),"")="خرید",IFERROR(VLOOKUP("P02",ParamTbl,3,0),1),0)/100))</f>
        <v/>
      </c>
      <c r="N90" s="14" t="n"/>
      <c r="O90" s="13" t="n"/>
    </row>
    <row r="91">
      <c r="A91" s="11">
        <f>IF($B91="","",COUNTA($B$9:$B91))</f>
        <v/>
      </c>
      <c r="B91" s="12" t="n"/>
      <c r="C91" s="12" t="n"/>
      <c r="D91" s="12" t="n"/>
      <c r="E91" s="13" t="n"/>
      <c r="F91" s="11">
        <f>IF($E91="","",IFERROR(VLOOKUP($E91,OpTbl,2,0),""))</f>
        <v/>
      </c>
      <c r="G91" s="12" t="n"/>
      <c r="H91" s="11">
        <f>IF($G91="","",IFERROR(IF(VLOOKUP($G91,AcctTbl,4,0)="","(بدون نام)",VLOOKUP($G91,AcctTbl,4,0)),"کد ناشناخته"))</f>
        <v/>
      </c>
      <c r="I91" s="13" t="n"/>
      <c r="J91" s="13" t="n"/>
      <c r="K91" s="14" t="n"/>
      <c r="L91" s="14" t="n"/>
      <c r="M91" s="15">
        <f>IF(OR($B91="",$K91=""),"",($K91-IF($L91="",0,$L91)*IFERROR(VLOOKUP("P01",ParamTbl,3,0),1.5))*(1-IF(IFERROR(VLOOKUP($E91,OpTbl,3,0),"")="خرید",IFERROR(VLOOKUP("P02",ParamTbl,3,0),1),0)/100))</f>
        <v/>
      </c>
      <c r="N91" s="14" t="n"/>
      <c r="O91" s="13" t="n"/>
    </row>
    <row r="92">
      <c r="A92" s="11">
        <f>IF($B92="","",COUNTA($B$9:$B92))</f>
        <v/>
      </c>
      <c r="B92" s="12" t="n"/>
      <c r="C92" s="12" t="n"/>
      <c r="D92" s="12" t="n"/>
      <c r="E92" s="13" t="n"/>
      <c r="F92" s="11">
        <f>IF($E92="","",IFERROR(VLOOKUP($E92,OpTbl,2,0),""))</f>
        <v/>
      </c>
      <c r="G92" s="12" t="n"/>
      <c r="H92" s="11">
        <f>IF($G92="","",IFERROR(IF(VLOOKUP($G92,AcctTbl,4,0)="","(بدون نام)",VLOOKUP($G92,AcctTbl,4,0)),"کد ناشناخته"))</f>
        <v/>
      </c>
      <c r="I92" s="13" t="n"/>
      <c r="J92" s="13" t="n"/>
      <c r="K92" s="14" t="n"/>
      <c r="L92" s="14" t="n"/>
      <c r="M92" s="15">
        <f>IF(OR($B92="",$K92=""),"",($K92-IF($L92="",0,$L92)*IFERROR(VLOOKUP("P01",ParamTbl,3,0),1.5))*(1-IF(IFERROR(VLOOKUP($E92,OpTbl,3,0),"")="خرید",IFERROR(VLOOKUP("P02",ParamTbl,3,0),1),0)/100))</f>
        <v/>
      </c>
      <c r="N92" s="14" t="n"/>
      <c r="O92" s="13" t="n"/>
    </row>
    <row r="93">
      <c r="A93" s="11">
        <f>IF($B93="","",COUNTA($B$9:$B93))</f>
        <v/>
      </c>
      <c r="B93" s="12" t="n"/>
      <c r="C93" s="12" t="n"/>
      <c r="D93" s="12" t="n"/>
      <c r="E93" s="13" t="n"/>
      <c r="F93" s="11">
        <f>IF($E93="","",IFERROR(VLOOKUP($E93,OpTbl,2,0),""))</f>
        <v/>
      </c>
      <c r="G93" s="12" t="n"/>
      <c r="H93" s="11">
        <f>IF($G93="","",IFERROR(IF(VLOOKUP($G93,AcctTbl,4,0)="","(بدون نام)",VLOOKUP($G93,AcctTbl,4,0)),"کد ناشناخته"))</f>
        <v/>
      </c>
      <c r="I93" s="13" t="n"/>
      <c r="J93" s="13" t="n"/>
      <c r="K93" s="14" t="n"/>
      <c r="L93" s="14" t="n"/>
      <c r="M93" s="15">
        <f>IF(OR($B93="",$K93=""),"",($K93-IF($L93="",0,$L93)*IFERROR(VLOOKUP("P01",ParamTbl,3,0),1.5))*(1-IF(IFERROR(VLOOKUP($E93,OpTbl,3,0),"")="خرید",IFERROR(VLOOKUP("P02",ParamTbl,3,0),1),0)/100))</f>
        <v/>
      </c>
      <c r="N93" s="14" t="n"/>
      <c r="O93" s="13" t="n"/>
    </row>
    <row r="94">
      <c r="A94" s="11">
        <f>IF($B94="","",COUNTA($B$9:$B94))</f>
        <v/>
      </c>
      <c r="B94" s="12" t="n"/>
      <c r="C94" s="12" t="n"/>
      <c r="D94" s="12" t="n"/>
      <c r="E94" s="13" t="n"/>
      <c r="F94" s="11">
        <f>IF($E94="","",IFERROR(VLOOKUP($E94,OpTbl,2,0),""))</f>
        <v/>
      </c>
      <c r="G94" s="12" t="n"/>
      <c r="H94" s="11">
        <f>IF($G94="","",IFERROR(IF(VLOOKUP($G94,AcctTbl,4,0)="","(بدون نام)",VLOOKUP($G94,AcctTbl,4,0)),"کد ناشناخته"))</f>
        <v/>
      </c>
      <c r="I94" s="13" t="n"/>
      <c r="J94" s="13" t="n"/>
      <c r="K94" s="14" t="n"/>
      <c r="L94" s="14" t="n"/>
      <c r="M94" s="15">
        <f>IF(OR($B94="",$K94=""),"",($K94-IF($L94="",0,$L94)*IFERROR(VLOOKUP("P01",ParamTbl,3,0),1.5))*(1-IF(IFERROR(VLOOKUP($E94,OpTbl,3,0),"")="خرید",IFERROR(VLOOKUP("P02",ParamTbl,3,0),1),0)/100))</f>
        <v/>
      </c>
      <c r="N94" s="14" t="n"/>
      <c r="O94" s="13" t="n"/>
    </row>
    <row r="95">
      <c r="A95" s="11">
        <f>IF($B95="","",COUNTA($B$9:$B95))</f>
        <v/>
      </c>
      <c r="B95" s="12" t="n"/>
      <c r="C95" s="12" t="n"/>
      <c r="D95" s="12" t="n"/>
      <c r="E95" s="13" t="n"/>
      <c r="F95" s="11">
        <f>IF($E95="","",IFERROR(VLOOKUP($E95,OpTbl,2,0),""))</f>
        <v/>
      </c>
      <c r="G95" s="12" t="n"/>
      <c r="H95" s="11">
        <f>IF($G95="","",IFERROR(IF(VLOOKUP($G95,AcctTbl,4,0)="","(بدون نام)",VLOOKUP($G95,AcctTbl,4,0)),"کد ناشناخته"))</f>
        <v/>
      </c>
      <c r="I95" s="13" t="n"/>
      <c r="J95" s="13" t="n"/>
      <c r="K95" s="14" t="n"/>
      <c r="L95" s="14" t="n"/>
      <c r="M95" s="15">
        <f>IF(OR($B95="",$K95=""),"",($K95-IF($L95="",0,$L95)*IFERROR(VLOOKUP("P01",ParamTbl,3,0),1.5))*(1-IF(IFERROR(VLOOKUP($E95,OpTbl,3,0),"")="خرید",IFERROR(VLOOKUP("P02",ParamTbl,3,0),1),0)/100))</f>
        <v/>
      </c>
      <c r="N95" s="14" t="n"/>
      <c r="O95" s="13" t="n"/>
    </row>
    <row r="96">
      <c r="A96" s="11">
        <f>IF($B96="","",COUNTA($B$9:$B96))</f>
        <v/>
      </c>
      <c r="B96" s="12" t="n"/>
      <c r="C96" s="12" t="n"/>
      <c r="D96" s="12" t="n"/>
      <c r="E96" s="13" t="n"/>
      <c r="F96" s="11">
        <f>IF($E96="","",IFERROR(VLOOKUP($E96,OpTbl,2,0),""))</f>
        <v/>
      </c>
      <c r="G96" s="12" t="n"/>
      <c r="H96" s="11">
        <f>IF($G96="","",IFERROR(IF(VLOOKUP($G96,AcctTbl,4,0)="","(بدون نام)",VLOOKUP($G96,AcctTbl,4,0)),"کد ناشناخته"))</f>
        <v/>
      </c>
      <c r="I96" s="13" t="n"/>
      <c r="J96" s="13" t="n"/>
      <c r="K96" s="14" t="n"/>
      <c r="L96" s="14" t="n"/>
      <c r="M96" s="15">
        <f>IF(OR($B96="",$K96=""),"",($K96-IF($L96="",0,$L96)*IFERROR(VLOOKUP("P01",ParamTbl,3,0),1.5))*(1-IF(IFERROR(VLOOKUP($E96,OpTbl,3,0),"")="خرید",IFERROR(VLOOKUP("P02",ParamTbl,3,0),1),0)/100))</f>
        <v/>
      </c>
      <c r="N96" s="14" t="n"/>
      <c r="O96" s="13" t="n"/>
    </row>
    <row r="97">
      <c r="A97" s="11">
        <f>IF($B97="","",COUNTA($B$9:$B97))</f>
        <v/>
      </c>
      <c r="B97" s="12" t="n"/>
      <c r="C97" s="12" t="n"/>
      <c r="D97" s="12" t="n"/>
      <c r="E97" s="13" t="n"/>
      <c r="F97" s="11">
        <f>IF($E97="","",IFERROR(VLOOKUP($E97,OpTbl,2,0),""))</f>
        <v/>
      </c>
      <c r="G97" s="12" t="n"/>
      <c r="H97" s="11">
        <f>IF($G97="","",IFERROR(IF(VLOOKUP($G97,AcctTbl,4,0)="","(بدون نام)",VLOOKUP($G97,AcctTbl,4,0)),"کد ناشناخته"))</f>
        <v/>
      </c>
      <c r="I97" s="13" t="n"/>
      <c r="J97" s="13" t="n"/>
      <c r="K97" s="14" t="n"/>
      <c r="L97" s="14" t="n"/>
      <c r="M97" s="15">
        <f>IF(OR($B97="",$K97=""),"",($K97-IF($L97="",0,$L97)*IFERROR(VLOOKUP("P01",ParamTbl,3,0),1.5))*(1-IF(IFERROR(VLOOKUP($E97,OpTbl,3,0),"")="خرید",IFERROR(VLOOKUP("P02",ParamTbl,3,0),1),0)/100))</f>
        <v/>
      </c>
      <c r="N97" s="14" t="n"/>
      <c r="O97" s="13" t="n"/>
    </row>
    <row r="98">
      <c r="A98" s="11">
        <f>IF($B98="","",COUNTA($B$9:$B98))</f>
        <v/>
      </c>
      <c r="B98" s="12" t="n"/>
      <c r="C98" s="12" t="n"/>
      <c r="D98" s="12" t="n"/>
      <c r="E98" s="13" t="n"/>
      <c r="F98" s="11">
        <f>IF($E98="","",IFERROR(VLOOKUP($E98,OpTbl,2,0),""))</f>
        <v/>
      </c>
      <c r="G98" s="12" t="n"/>
      <c r="H98" s="11">
        <f>IF($G98="","",IFERROR(IF(VLOOKUP($G98,AcctTbl,4,0)="","(بدون نام)",VLOOKUP($G98,AcctTbl,4,0)),"کد ناشناخته"))</f>
        <v/>
      </c>
      <c r="I98" s="13" t="n"/>
      <c r="J98" s="13" t="n"/>
      <c r="K98" s="14" t="n"/>
      <c r="L98" s="14" t="n"/>
      <c r="M98" s="15">
        <f>IF(OR($B98="",$K98=""),"",($K98-IF($L98="",0,$L98)*IFERROR(VLOOKUP("P01",ParamTbl,3,0),1.5))*(1-IF(IFERROR(VLOOKUP($E98,OpTbl,3,0),"")="خرید",IFERROR(VLOOKUP("P02",ParamTbl,3,0),1),0)/100))</f>
        <v/>
      </c>
      <c r="N98" s="14" t="n"/>
      <c r="O98" s="13" t="n"/>
    </row>
    <row r="99">
      <c r="A99" s="11">
        <f>IF($B99="","",COUNTA($B$9:$B99))</f>
        <v/>
      </c>
      <c r="B99" s="12" t="n"/>
      <c r="C99" s="12" t="n"/>
      <c r="D99" s="12" t="n"/>
      <c r="E99" s="13" t="n"/>
      <c r="F99" s="11">
        <f>IF($E99="","",IFERROR(VLOOKUP($E99,OpTbl,2,0),""))</f>
        <v/>
      </c>
      <c r="G99" s="12" t="n"/>
      <c r="H99" s="11">
        <f>IF($G99="","",IFERROR(IF(VLOOKUP($G99,AcctTbl,4,0)="","(بدون نام)",VLOOKUP($G99,AcctTbl,4,0)),"کد ناشناخته"))</f>
        <v/>
      </c>
      <c r="I99" s="13" t="n"/>
      <c r="J99" s="13" t="n"/>
      <c r="K99" s="14" t="n"/>
      <c r="L99" s="14" t="n"/>
      <c r="M99" s="15">
        <f>IF(OR($B99="",$K99=""),"",($K99-IF($L99="",0,$L99)*IFERROR(VLOOKUP("P01",ParamTbl,3,0),1.5))*(1-IF(IFERROR(VLOOKUP($E99,OpTbl,3,0),"")="خرید",IFERROR(VLOOKUP("P02",ParamTbl,3,0),1),0)/100))</f>
        <v/>
      </c>
      <c r="N99" s="14" t="n"/>
      <c r="O99" s="13" t="n"/>
    </row>
    <row r="100">
      <c r="A100" s="11">
        <f>IF($B100="","",COUNTA($B$9:$B100))</f>
        <v/>
      </c>
      <c r="B100" s="12" t="n"/>
      <c r="C100" s="12" t="n"/>
      <c r="D100" s="12" t="n"/>
      <c r="E100" s="13" t="n"/>
      <c r="F100" s="11">
        <f>IF($E100="","",IFERROR(VLOOKUP($E100,OpTbl,2,0),""))</f>
        <v/>
      </c>
      <c r="G100" s="12" t="n"/>
      <c r="H100" s="11">
        <f>IF($G100="","",IFERROR(IF(VLOOKUP($G100,AcctTbl,4,0)="","(بدون نام)",VLOOKUP($G100,AcctTbl,4,0)),"کد ناشناخته"))</f>
        <v/>
      </c>
      <c r="I100" s="13" t="n"/>
      <c r="J100" s="13" t="n"/>
      <c r="K100" s="14" t="n"/>
      <c r="L100" s="14" t="n"/>
      <c r="M100" s="15">
        <f>IF(OR($B100="",$K100=""),"",($K100-IF($L100="",0,$L100)*IFERROR(VLOOKUP("P01",ParamTbl,3,0),1.5))*(1-IF(IFERROR(VLOOKUP($E100,OpTbl,3,0),"")="خرید",IFERROR(VLOOKUP("P02",ParamTbl,3,0),1),0)/100))</f>
        <v/>
      </c>
      <c r="N100" s="14" t="n"/>
      <c r="O100" s="13" t="n"/>
    </row>
    <row r="101">
      <c r="A101" s="11">
        <f>IF($B101="","",COUNTA($B$9:$B101))</f>
        <v/>
      </c>
      <c r="B101" s="12" t="n"/>
      <c r="C101" s="12" t="n"/>
      <c r="D101" s="12" t="n"/>
      <c r="E101" s="13" t="n"/>
      <c r="F101" s="11">
        <f>IF($E101="","",IFERROR(VLOOKUP($E101,OpTbl,2,0),""))</f>
        <v/>
      </c>
      <c r="G101" s="12" t="n"/>
      <c r="H101" s="11">
        <f>IF($G101="","",IFERROR(IF(VLOOKUP($G101,AcctTbl,4,0)="","(بدون نام)",VLOOKUP($G101,AcctTbl,4,0)),"کد ناشناخته"))</f>
        <v/>
      </c>
      <c r="I101" s="13" t="n"/>
      <c r="J101" s="13" t="n"/>
      <c r="K101" s="14" t="n"/>
      <c r="L101" s="14" t="n"/>
      <c r="M101" s="15">
        <f>IF(OR($B101="",$K101=""),"",($K101-IF($L101="",0,$L101)*IFERROR(VLOOKUP("P01",ParamTbl,3,0),1.5))*(1-IF(IFERROR(VLOOKUP($E101,OpTbl,3,0),"")="خرید",IFERROR(VLOOKUP("P02",ParamTbl,3,0),1),0)/100))</f>
        <v/>
      </c>
      <c r="N101" s="14" t="n"/>
      <c r="O101" s="13" t="n"/>
    </row>
    <row r="102">
      <c r="A102" s="11">
        <f>IF($B102="","",COUNTA($B$9:$B102))</f>
        <v/>
      </c>
      <c r="B102" s="12" t="n"/>
      <c r="C102" s="12" t="n"/>
      <c r="D102" s="12" t="n"/>
      <c r="E102" s="13" t="n"/>
      <c r="F102" s="11">
        <f>IF($E102="","",IFERROR(VLOOKUP($E102,OpTbl,2,0),""))</f>
        <v/>
      </c>
      <c r="G102" s="12" t="n"/>
      <c r="H102" s="11">
        <f>IF($G102="","",IFERROR(IF(VLOOKUP($G102,AcctTbl,4,0)="","(بدون نام)",VLOOKUP($G102,AcctTbl,4,0)),"کد ناشناخته"))</f>
        <v/>
      </c>
      <c r="I102" s="13" t="n"/>
      <c r="J102" s="13" t="n"/>
      <c r="K102" s="14" t="n"/>
      <c r="L102" s="14" t="n"/>
      <c r="M102" s="15">
        <f>IF(OR($B102="",$K102=""),"",($K102-IF($L102="",0,$L102)*IFERROR(VLOOKUP("P01",ParamTbl,3,0),1.5))*(1-IF(IFERROR(VLOOKUP($E102,OpTbl,3,0),"")="خرید",IFERROR(VLOOKUP("P02",ParamTbl,3,0),1),0)/100))</f>
        <v/>
      </c>
      <c r="N102" s="14" t="n"/>
      <c r="O102" s="13" t="n"/>
    </row>
    <row r="103">
      <c r="A103" s="11">
        <f>IF($B103="","",COUNTA($B$9:$B103))</f>
        <v/>
      </c>
      <c r="B103" s="12" t="n"/>
      <c r="C103" s="12" t="n"/>
      <c r="D103" s="12" t="n"/>
      <c r="E103" s="13" t="n"/>
      <c r="F103" s="11">
        <f>IF($E103="","",IFERROR(VLOOKUP($E103,OpTbl,2,0),""))</f>
        <v/>
      </c>
      <c r="G103" s="12" t="n"/>
      <c r="H103" s="11">
        <f>IF($G103="","",IFERROR(IF(VLOOKUP($G103,AcctTbl,4,0)="","(بدون نام)",VLOOKUP($G103,AcctTbl,4,0)),"کد ناشناخته"))</f>
        <v/>
      </c>
      <c r="I103" s="13" t="n"/>
      <c r="J103" s="13" t="n"/>
      <c r="K103" s="14" t="n"/>
      <c r="L103" s="14" t="n"/>
      <c r="M103" s="15">
        <f>IF(OR($B103="",$K103=""),"",($K103-IF($L103="",0,$L103)*IFERROR(VLOOKUP("P01",ParamTbl,3,0),1.5))*(1-IF(IFERROR(VLOOKUP($E103,OpTbl,3,0),"")="خرید",IFERROR(VLOOKUP("P02",ParamTbl,3,0),1),0)/100))</f>
        <v/>
      </c>
      <c r="N103" s="14" t="n"/>
      <c r="O103" s="13" t="n"/>
    </row>
    <row r="104">
      <c r="A104" s="11">
        <f>IF($B104="","",COUNTA($B$9:$B104))</f>
        <v/>
      </c>
      <c r="B104" s="12" t="n"/>
      <c r="C104" s="12" t="n"/>
      <c r="D104" s="12" t="n"/>
      <c r="E104" s="13" t="n"/>
      <c r="F104" s="11">
        <f>IF($E104="","",IFERROR(VLOOKUP($E104,OpTbl,2,0),""))</f>
        <v/>
      </c>
      <c r="G104" s="12" t="n"/>
      <c r="H104" s="11">
        <f>IF($G104="","",IFERROR(IF(VLOOKUP($G104,AcctTbl,4,0)="","(بدون نام)",VLOOKUP($G104,AcctTbl,4,0)),"کد ناشناخته"))</f>
        <v/>
      </c>
      <c r="I104" s="13" t="n"/>
      <c r="J104" s="13" t="n"/>
      <c r="K104" s="14" t="n"/>
      <c r="L104" s="14" t="n"/>
      <c r="M104" s="15">
        <f>IF(OR($B104="",$K104=""),"",($K104-IF($L104="",0,$L104)*IFERROR(VLOOKUP("P01",ParamTbl,3,0),1.5))*(1-IF(IFERROR(VLOOKUP($E104,OpTbl,3,0),"")="خرید",IFERROR(VLOOKUP("P02",ParamTbl,3,0),1),0)/100))</f>
        <v/>
      </c>
      <c r="N104" s="14" t="n"/>
      <c r="O104" s="13" t="n"/>
    </row>
    <row r="105">
      <c r="A105" s="11">
        <f>IF($B105="","",COUNTA($B$9:$B105))</f>
        <v/>
      </c>
      <c r="B105" s="12" t="n"/>
      <c r="C105" s="12" t="n"/>
      <c r="D105" s="12" t="n"/>
      <c r="E105" s="13" t="n"/>
      <c r="F105" s="11">
        <f>IF($E105="","",IFERROR(VLOOKUP($E105,OpTbl,2,0),""))</f>
        <v/>
      </c>
      <c r="G105" s="12" t="n"/>
      <c r="H105" s="11">
        <f>IF($G105="","",IFERROR(IF(VLOOKUP($G105,AcctTbl,4,0)="","(بدون نام)",VLOOKUP($G105,AcctTbl,4,0)),"کد ناشناخته"))</f>
        <v/>
      </c>
      <c r="I105" s="13" t="n"/>
      <c r="J105" s="13" t="n"/>
      <c r="K105" s="14" t="n"/>
      <c r="L105" s="14" t="n"/>
      <c r="M105" s="15">
        <f>IF(OR($B105="",$K105=""),"",($K105-IF($L105="",0,$L105)*IFERROR(VLOOKUP("P01",ParamTbl,3,0),1.5))*(1-IF(IFERROR(VLOOKUP($E105,OpTbl,3,0),"")="خرید",IFERROR(VLOOKUP("P02",ParamTbl,3,0),1),0)/100))</f>
        <v/>
      </c>
      <c r="N105" s="14" t="n"/>
      <c r="O105" s="13" t="n"/>
    </row>
    <row r="106">
      <c r="A106" s="11">
        <f>IF($B106="","",COUNTA($B$9:$B106))</f>
        <v/>
      </c>
      <c r="B106" s="12" t="n"/>
      <c r="C106" s="12" t="n"/>
      <c r="D106" s="12" t="n"/>
      <c r="E106" s="13" t="n"/>
      <c r="F106" s="11">
        <f>IF($E106="","",IFERROR(VLOOKUP($E106,OpTbl,2,0),""))</f>
        <v/>
      </c>
      <c r="G106" s="12" t="n"/>
      <c r="H106" s="11">
        <f>IF($G106="","",IFERROR(IF(VLOOKUP($G106,AcctTbl,4,0)="","(بدون نام)",VLOOKUP($G106,AcctTbl,4,0)),"کد ناشناخته"))</f>
        <v/>
      </c>
      <c r="I106" s="13" t="n"/>
      <c r="J106" s="13" t="n"/>
      <c r="K106" s="14" t="n"/>
      <c r="L106" s="14" t="n"/>
      <c r="M106" s="15">
        <f>IF(OR($B106="",$K106=""),"",($K106-IF($L106="",0,$L106)*IFERROR(VLOOKUP("P01",ParamTbl,3,0),1.5))*(1-IF(IFERROR(VLOOKUP($E106,OpTbl,3,0),"")="خرید",IFERROR(VLOOKUP("P02",ParamTbl,3,0),1),0)/100))</f>
        <v/>
      </c>
      <c r="N106" s="14" t="n"/>
      <c r="O106" s="13" t="n"/>
    </row>
    <row r="107">
      <c r="A107" s="11">
        <f>IF($B107="","",COUNTA($B$9:$B107))</f>
        <v/>
      </c>
      <c r="B107" s="12" t="n"/>
      <c r="C107" s="12" t="n"/>
      <c r="D107" s="12" t="n"/>
      <c r="E107" s="13" t="n"/>
      <c r="F107" s="11">
        <f>IF($E107="","",IFERROR(VLOOKUP($E107,OpTbl,2,0),""))</f>
        <v/>
      </c>
      <c r="G107" s="12" t="n"/>
      <c r="H107" s="11">
        <f>IF($G107="","",IFERROR(IF(VLOOKUP($G107,AcctTbl,4,0)="","(بدون نام)",VLOOKUP($G107,AcctTbl,4,0)),"کد ناشناخته"))</f>
        <v/>
      </c>
      <c r="I107" s="13" t="n"/>
      <c r="J107" s="13" t="n"/>
      <c r="K107" s="14" t="n"/>
      <c r="L107" s="14" t="n"/>
      <c r="M107" s="15">
        <f>IF(OR($B107="",$K107=""),"",($K107-IF($L107="",0,$L107)*IFERROR(VLOOKUP("P01",ParamTbl,3,0),1.5))*(1-IF(IFERROR(VLOOKUP($E107,OpTbl,3,0),"")="خرید",IFERROR(VLOOKUP("P02",ParamTbl,3,0),1),0)/100))</f>
        <v/>
      </c>
      <c r="N107" s="14" t="n"/>
      <c r="O107" s="13" t="n"/>
    </row>
    <row r="108">
      <c r="A108" s="11">
        <f>IF($B108="","",COUNTA($B$9:$B108))</f>
        <v/>
      </c>
      <c r="B108" s="12" t="n"/>
      <c r="C108" s="12" t="n"/>
      <c r="D108" s="12" t="n"/>
      <c r="E108" s="13" t="n"/>
      <c r="F108" s="11">
        <f>IF($E108="","",IFERROR(VLOOKUP($E108,OpTbl,2,0),""))</f>
        <v/>
      </c>
      <c r="G108" s="12" t="n"/>
      <c r="H108" s="11">
        <f>IF($G108="","",IFERROR(IF(VLOOKUP($G108,AcctTbl,4,0)="","(بدون نام)",VLOOKUP($G108,AcctTbl,4,0)),"کد ناشناخته"))</f>
        <v/>
      </c>
      <c r="I108" s="13" t="n"/>
      <c r="J108" s="13" t="n"/>
      <c r="K108" s="14" t="n"/>
      <c r="L108" s="14" t="n"/>
      <c r="M108" s="15">
        <f>IF(OR($B108="",$K108=""),"",($K108-IF($L108="",0,$L108)*IFERROR(VLOOKUP("P01",ParamTbl,3,0),1.5))*(1-IF(IFERROR(VLOOKUP($E108,OpTbl,3,0),"")="خرید",IFERROR(VLOOKUP("P02",ParamTbl,3,0),1),0)/100))</f>
        <v/>
      </c>
      <c r="N108" s="14" t="n"/>
      <c r="O108" s="13" t="n"/>
    </row>
    <row r="109">
      <c r="A109" s="11">
        <f>IF($B109="","",COUNTA($B$9:$B109))</f>
        <v/>
      </c>
      <c r="B109" s="12" t="n"/>
      <c r="C109" s="12" t="n"/>
      <c r="D109" s="12" t="n"/>
      <c r="E109" s="13" t="n"/>
      <c r="F109" s="11">
        <f>IF($E109="","",IFERROR(VLOOKUP($E109,OpTbl,2,0),""))</f>
        <v/>
      </c>
      <c r="G109" s="12" t="n"/>
      <c r="H109" s="11">
        <f>IF($G109="","",IFERROR(IF(VLOOKUP($G109,AcctTbl,4,0)="","(بدون نام)",VLOOKUP($G109,AcctTbl,4,0)),"کد ناشناخته"))</f>
        <v/>
      </c>
      <c r="I109" s="13" t="n"/>
      <c r="J109" s="13" t="n"/>
      <c r="K109" s="14" t="n"/>
      <c r="L109" s="14" t="n"/>
      <c r="M109" s="15">
        <f>IF(OR($B109="",$K109=""),"",($K109-IF($L109="",0,$L109)*IFERROR(VLOOKUP("P01",ParamTbl,3,0),1.5))*(1-IF(IFERROR(VLOOKUP($E109,OpTbl,3,0),"")="خرید",IFERROR(VLOOKUP("P02",ParamTbl,3,0),1),0)/100))</f>
        <v/>
      </c>
      <c r="N109" s="14" t="n"/>
      <c r="O109" s="13" t="n"/>
    </row>
    <row r="110">
      <c r="A110" s="11">
        <f>IF($B110="","",COUNTA($B$9:$B110))</f>
        <v/>
      </c>
      <c r="B110" s="12" t="n"/>
      <c r="C110" s="12" t="n"/>
      <c r="D110" s="12" t="n"/>
      <c r="E110" s="13" t="n"/>
      <c r="F110" s="11">
        <f>IF($E110="","",IFERROR(VLOOKUP($E110,OpTbl,2,0),""))</f>
        <v/>
      </c>
      <c r="G110" s="12" t="n"/>
      <c r="H110" s="11">
        <f>IF($G110="","",IFERROR(IF(VLOOKUP($G110,AcctTbl,4,0)="","(بدون نام)",VLOOKUP($G110,AcctTbl,4,0)),"کد ناشناخته"))</f>
        <v/>
      </c>
      <c r="I110" s="13" t="n"/>
      <c r="J110" s="13" t="n"/>
      <c r="K110" s="14" t="n"/>
      <c r="L110" s="14" t="n"/>
      <c r="M110" s="15">
        <f>IF(OR($B110="",$K110=""),"",($K110-IF($L110="",0,$L110)*IFERROR(VLOOKUP("P01",ParamTbl,3,0),1.5))*(1-IF(IFERROR(VLOOKUP($E110,OpTbl,3,0),"")="خرید",IFERROR(VLOOKUP("P02",ParamTbl,3,0),1),0)/100))</f>
        <v/>
      </c>
      <c r="N110" s="14" t="n"/>
      <c r="O110" s="13" t="n"/>
    </row>
    <row r="111">
      <c r="A111" s="11">
        <f>IF($B111="","",COUNTA($B$9:$B111))</f>
        <v/>
      </c>
      <c r="B111" s="12" t="n"/>
      <c r="C111" s="12" t="n"/>
      <c r="D111" s="12" t="n"/>
      <c r="E111" s="13" t="n"/>
      <c r="F111" s="11">
        <f>IF($E111="","",IFERROR(VLOOKUP($E111,OpTbl,2,0),""))</f>
        <v/>
      </c>
      <c r="G111" s="12" t="n"/>
      <c r="H111" s="11">
        <f>IF($G111="","",IFERROR(IF(VLOOKUP($G111,AcctTbl,4,0)="","(بدون نام)",VLOOKUP($G111,AcctTbl,4,0)),"کد ناشناخته"))</f>
        <v/>
      </c>
      <c r="I111" s="13" t="n"/>
      <c r="J111" s="13" t="n"/>
      <c r="K111" s="14" t="n"/>
      <c r="L111" s="14" t="n"/>
      <c r="M111" s="15">
        <f>IF(OR($B111="",$K111=""),"",($K111-IF($L111="",0,$L111)*IFERROR(VLOOKUP("P01",ParamTbl,3,0),1.5))*(1-IF(IFERROR(VLOOKUP($E111,OpTbl,3,0),"")="خرید",IFERROR(VLOOKUP("P02",ParamTbl,3,0),1),0)/100))</f>
        <v/>
      </c>
      <c r="N111" s="14" t="n"/>
      <c r="O111" s="13" t="n"/>
    </row>
    <row r="112">
      <c r="A112" s="11">
        <f>IF($B112="","",COUNTA($B$9:$B112))</f>
        <v/>
      </c>
      <c r="B112" s="12" t="n"/>
      <c r="C112" s="12" t="n"/>
      <c r="D112" s="12" t="n"/>
      <c r="E112" s="13" t="n"/>
      <c r="F112" s="11">
        <f>IF($E112="","",IFERROR(VLOOKUP($E112,OpTbl,2,0),""))</f>
        <v/>
      </c>
      <c r="G112" s="12" t="n"/>
      <c r="H112" s="11">
        <f>IF($G112="","",IFERROR(IF(VLOOKUP($G112,AcctTbl,4,0)="","(بدون نام)",VLOOKUP($G112,AcctTbl,4,0)),"کد ناشناخته"))</f>
        <v/>
      </c>
      <c r="I112" s="13" t="n"/>
      <c r="J112" s="13" t="n"/>
      <c r="K112" s="14" t="n"/>
      <c r="L112" s="14" t="n"/>
      <c r="M112" s="15">
        <f>IF(OR($B112="",$K112=""),"",($K112-IF($L112="",0,$L112)*IFERROR(VLOOKUP("P01",ParamTbl,3,0),1.5))*(1-IF(IFERROR(VLOOKUP($E112,OpTbl,3,0),"")="خرید",IFERROR(VLOOKUP("P02",ParamTbl,3,0),1),0)/100))</f>
        <v/>
      </c>
      <c r="N112" s="14" t="n"/>
      <c r="O112" s="13" t="n"/>
    </row>
    <row r="113">
      <c r="A113" s="11">
        <f>IF($B113="","",COUNTA($B$9:$B113))</f>
        <v/>
      </c>
      <c r="B113" s="12" t="n"/>
      <c r="C113" s="12" t="n"/>
      <c r="D113" s="12" t="n"/>
      <c r="E113" s="13" t="n"/>
      <c r="F113" s="11">
        <f>IF($E113="","",IFERROR(VLOOKUP($E113,OpTbl,2,0),""))</f>
        <v/>
      </c>
      <c r="G113" s="12" t="n"/>
      <c r="H113" s="11">
        <f>IF($G113="","",IFERROR(IF(VLOOKUP($G113,AcctTbl,4,0)="","(بدون نام)",VLOOKUP($G113,AcctTbl,4,0)),"کد ناشناخته"))</f>
        <v/>
      </c>
      <c r="I113" s="13" t="n"/>
      <c r="J113" s="13" t="n"/>
      <c r="K113" s="14" t="n"/>
      <c r="L113" s="14" t="n"/>
      <c r="M113" s="15">
        <f>IF(OR($B113="",$K113=""),"",($K113-IF($L113="",0,$L113)*IFERROR(VLOOKUP("P01",ParamTbl,3,0),1.5))*(1-IF(IFERROR(VLOOKUP($E113,OpTbl,3,0),"")="خرید",IFERROR(VLOOKUP("P02",ParamTbl,3,0),1),0)/100))</f>
        <v/>
      </c>
      <c r="N113" s="14" t="n"/>
      <c r="O113" s="13" t="n"/>
    </row>
    <row r="114">
      <c r="A114" s="11">
        <f>IF($B114="","",COUNTA($B$9:$B114))</f>
        <v/>
      </c>
      <c r="B114" s="12" t="n"/>
      <c r="C114" s="12" t="n"/>
      <c r="D114" s="12" t="n"/>
      <c r="E114" s="13" t="n"/>
      <c r="F114" s="11">
        <f>IF($E114="","",IFERROR(VLOOKUP($E114,OpTbl,2,0),""))</f>
        <v/>
      </c>
      <c r="G114" s="12" t="n"/>
      <c r="H114" s="11">
        <f>IF($G114="","",IFERROR(IF(VLOOKUP($G114,AcctTbl,4,0)="","(بدون نام)",VLOOKUP($G114,AcctTbl,4,0)),"کد ناشناخته"))</f>
        <v/>
      </c>
      <c r="I114" s="13" t="n"/>
      <c r="J114" s="13" t="n"/>
      <c r="K114" s="14" t="n"/>
      <c r="L114" s="14" t="n"/>
      <c r="M114" s="15">
        <f>IF(OR($B114="",$K114=""),"",($K114-IF($L114="",0,$L114)*IFERROR(VLOOKUP("P01",ParamTbl,3,0),1.5))*(1-IF(IFERROR(VLOOKUP($E114,OpTbl,3,0),"")="خرید",IFERROR(VLOOKUP("P02",ParamTbl,3,0),1),0)/100))</f>
        <v/>
      </c>
      <c r="N114" s="14" t="n"/>
      <c r="O114" s="13" t="n"/>
    </row>
    <row r="115">
      <c r="A115" s="11">
        <f>IF($B115="","",COUNTA($B$9:$B115))</f>
        <v/>
      </c>
      <c r="B115" s="12" t="n"/>
      <c r="C115" s="12" t="n"/>
      <c r="D115" s="12" t="n"/>
      <c r="E115" s="13" t="n"/>
      <c r="F115" s="11">
        <f>IF($E115="","",IFERROR(VLOOKUP($E115,OpTbl,2,0),""))</f>
        <v/>
      </c>
      <c r="G115" s="12" t="n"/>
      <c r="H115" s="11">
        <f>IF($G115="","",IFERROR(IF(VLOOKUP($G115,AcctTbl,4,0)="","(بدون نام)",VLOOKUP($G115,AcctTbl,4,0)),"کد ناشناخته"))</f>
        <v/>
      </c>
      <c r="I115" s="13" t="n"/>
      <c r="J115" s="13" t="n"/>
      <c r="K115" s="14" t="n"/>
      <c r="L115" s="14" t="n"/>
      <c r="M115" s="15">
        <f>IF(OR($B115="",$K115=""),"",($K115-IF($L115="",0,$L115)*IFERROR(VLOOKUP("P01",ParamTbl,3,0),1.5))*(1-IF(IFERROR(VLOOKUP($E115,OpTbl,3,0),"")="خرید",IFERROR(VLOOKUP("P02",ParamTbl,3,0),1),0)/100))</f>
        <v/>
      </c>
      <c r="N115" s="14" t="n"/>
      <c r="O115" s="13" t="n"/>
    </row>
    <row r="116">
      <c r="A116" s="11">
        <f>IF($B116="","",COUNTA($B$9:$B116))</f>
        <v/>
      </c>
      <c r="B116" s="12" t="n"/>
      <c r="C116" s="12" t="n"/>
      <c r="D116" s="12" t="n"/>
      <c r="E116" s="13" t="n"/>
      <c r="F116" s="11">
        <f>IF($E116="","",IFERROR(VLOOKUP($E116,OpTbl,2,0),""))</f>
        <v/>
      </c>
      <c r="G116" s="12" t="n"/>
      <c r="H116" s="11">
        <f>IF($G116="","",IFERROR(IF(VLOOKUP($G116,AcctTbl,4,0)="","(بدون نام)",VLOOKUP($G116,AcctTbl,4,0)),"کد ناشناخته"))</f>
        <v/>
      </c>
      <c r="I116" s="13" t="n"/>
      <c r="J116" s="13" t="n"/>
      <c r="K116" s="14" t="n"/>
      <c r="L116" s="14" t="n"/>
      <c r="M116" s="15">
        <f>IF(OR($B116="",$K116=""),"",($K116-IF($L116="",0,$L116)*IFERROR(VLOOKUP("P01",ParamTbl,3,0),1.5))*(1-IF(IFERROR(VLOOKUP($E116,OpTbl,3,0),"")="خرید",IFERROR(VLOOKUP("P02",ParamTbl,3,0),1),0)/100))</f>
        <v/>
      </c>
      <c r="N116" s="14" t="n"/>
      <c r="O116" s="13" t="n"/>
    </row>
    <row r="117">
      <c r="A117" s="11">
        <f>IF($B117="","",COUNTA($B$9:$B117))</f>
        <v/>
      </c>
      <c r="B117" s="12" t="n"/>
      <c r="C117" s="12" t="n"/>
      <c r="D117" s="12" t="n"/>
      <c r="E117" s="13" t="n"/>
      <c r="F117" s="11">
        <f>IF($E117="","",IFERROR(VLOOKUP($E117,OpTbl,2,0),""))</f>
        <v/>
      </c>
      <c r="G117" s="12" t="n"/>
      <c r="H117" s="11">
        <f>IF($G117="","",IFERROR(IF(VLOOKUP($G117,AcctTbl,4,0)="","(بدون نام)",VLOOKUP($G117,AcctTbl,4,0)),"کد ناشناخته"))</f>
        <v/>
      </c>
      <c r="I117" s="13" t="n"/>
      <c r="J117" s="13" t="n"/>
      <c r="K117" s="14" t="n"/>
      <c r="L117" s="14" t="n"/>
      <c r="M117" s="15">
        <f>IF(OR($B117="",$K117=""),"",($K117-IF($L117="",0,$L117)*IFERROR(VLOOKUP("P01",ParamTbl,3,0),1.5))*(1-IF(IFERROR(VLOOKUP($E117,OpTbl,3,0),"")="خرید",IFERROR(VLOOKUP("P02",ParamTbl,3,0),1),0)/100))</f>
        <v/>
      </c>
      <c r="N117" s="14" t="n"/>
      <c r="O117" s="13" t="n"/>
    </row>
    <row r="118">
      <c r="A118" s="11">
        <f>IF($B118="","",COUNTA($B$9:$B118))</f>
        <v/>
      </c>
      <c r="B118" s="12" t="n"/>
      <c r="C118" s="12" t="n"/>
      <c r="D118" s="12" t="n"/>
      <c r="E118" s="13" t="n"/>
      <c r="F118" s="11">
        <f>IF($E118="","",IFERROR(VLOOKUP($E118,OpTbl,2,0),""))</f>
        <v/>
      </c>
      <c r="G118" s="12" t="n"/>
      <c r="H118" s="11">
        <f>IF($G118="","",IFERROR(IF(VLOOKUP($G118,AcctTbl,4,0)="","(بدون نام)",VLOOKUP($G118,AcctTbl,4,0)),"کد ناشناخته"))</f>
        <v/>
      </c>
      <c r="I118" s="13" t="n"/>
      <c r="J118" s="13" t="n"/>
      <c r="K118" s="14" t="n"/>
      <c r="L118" s="14" t="n"/>
      <c r="M118" s="15">
        <f>IF(OR($B118="",$K118=""),"",($K118-IF($L118="",0,$L118)*IFERROR(VLOOKUP("P01",ParamTbl,3,0),1.5))*(1-IF(IFERROR(VLOOKUP($E118,OpTbl,3,0),"")="خرید",IFERROR(VLOOKUP("P02",ParamTbl,3,0),1),0)/100))</f>
        <v/>
      </c>
      <c r="N118" s="14" t="n"/>
      <c r="O118" s="13" t="n"/>
    </row>
    <row r="119">
      <c r="A119" s="11">
        <f>IF($B119="","",COUNTA($B$9:$B119))</f>
        <v/>
      </c>
      <c r="B119" s="12" t="n"/>
      <c r="C119" s="12" t="n"/>
      <c r="D119" s="12" t="n"/>
      <c r="E119" s="13" t="n"/>
      <c r="F119" s="11">
        <f>IF($E119="","",IFERROR(VLOOKUP($E119,OpTbl,2,0),""))</f>
        <v/>
      </c>
      <c r="G119" s="12" t="n"/>
      <c r="H119" s="11">
        <f>IF($G119="","",IFERROR(IF(VLOOKUP($G119,AcctTbl,4,0)="","(بدون نام)",VLOOKUP($G119,AcctTbl,4,0)),"کد ناشناخته"))</f>
        <v/>
      </c>
      <c r="I119" s="13" t="n"/>
      <c r="J119" s="13" t="n"/>
      <c r="K119" s="14" t="n"/>
      <c r="L119" s="14" t="n"/>
      <c r="M119" s="15">
        <f>IF(OR($B119="",$K119=""),"",($K119-IF($L119="",0,$L119)*IFERROR(VLOOKUP("P01",ParamTbl,3,0),1.5))*(1-IF(IFERROR(VLOOKUP($E119,OpTbl,3,0),"")="خرید",IFERROR(VLOOKUP("P02",ParamTbl,3,0),1),0)/100))</f>
        <v/>
      </c>
      <c r="N119" s="14" t="n"/>
      <c r="O119" s="13" t="n"/>
    </row>
    <row r="120">
      <c r="A120" s="11">
        <f>IF($B120="","",COUNTA($B$9:$B120))</f>
        <v/>
      </c>
      <c r="B120" s="12" t="n"/>
      <c r="C120" s="12" t="n"/>
      <c r="D120" s="12" t="n"/>
      <c r="E120" s="13" t="n"/>
      <c r="F120" s="11">
        <f>IF($E120="","",IFERROR(VLOOKUP($E120,OpTbl,2,0),""))</f>
        <v/>
      </c>
      <c r="G120" s="12" t="n"/>
      <c r="H120" s="11">
        <f>IF($G120="","",IFERROR(IF(VLOOKUP($G120,AcctTbl,4,0)="","(بدون نام)",VLOOKUP($G120,AcctTbl,4,0)),"کد ناشناخته"))</f>
        <v/>
      </c>
      <c r="I120" s="13" t="n"/>
      <c r="J120" s="13" t="n"/>
      <c r="K120" s="14" t="n"/>
      <c r="L120" s="14" t="n"/>
      <c r="M120" s="15">
        <f>IF(OR($B120="",$K120=""),"",($K120-IF($L120="",0,$L120)*IFERROR(VLOOKUP("P01",ParamTbl,3,0),1.5))*(1-IF(IFERROR(VLOOKUP($E120,OpTbl,3,0),"")="خرید",IFERROR(VLOOKUP("P02",ParamTbl,3,0),1),0)/100))</f>
        <v/>
      </c>
      <c r="N120" s="14" t="n"/>
      <c r="O120" s="13" t="n"/>
    </row>
    <row r="121">
      <c r="A121" s="11">
        <f>IF($B121="","",COUNTA($B$9:$B121))</f>
        <v/>
      </c>
      <c r="B121" s="12" t="n"/>
      <c r="C121" s="12" t="n"/>
      <c r="D121" s="12" t="n"/>
      <c r="E121" s="13" t="n"/>
      <c r="F121" s="11">
        <f>IF($E121="","",IFERROR(VLOOKUP($E121,OpTbl,2,0),""))</f>
        <v/>
      </c>
      <c r="G121" s="12" t="n"/>
      <c r="H121" s="11">
        <f>IF($G121="","",IFERROR(IF(VLOOKUP($G121,AcctTbl,4,0)="","(بدون نام)",VLOOKUP($G121,AcctTbl,4,0)),"کد ناشناخته"))</f>
        <v/>
      </c>
      <c r="I121" s="13" t="n"/>
      <c r="J121" s="13" t="n"/>
      <c r="K121" s="14" t="n"/>
      <c r="L121" s="14" t="n"/>
      <c r="M121" s="15">
        <f>IF(OR($B121="",$K121=""),"",($K121-IF($L121="",0,$L121)*IFERROR(VLOOKUP("P01",ParamTbl,3,0),1.5))*(1-IF(IFERROR(VLOOKUP($E121,OpTbl,3,0),"")="خرید",IFERROR(VLOOKUP("P02",ParamTbl,3,0),1),0)/100))</f>
        <v/>
      </c>
      <c r="N121" s="14" t="n"/>
      <c r="O121" s="13" t="n"/>
    </row>
    <row r="122">
      <c r="A122" s="11">
        <f>IF($B122="","",COUNTA($B$9:$B122))</f>
        <v/>
      </c>
      <c r="B122" s="12" t="n"/>
      <c r="C122" s="12" t="n"/>
      <c r="D122" s="12" t="n"/>
      <c r="E122" s="13" t="n"/>
      <c r="F122" s="11">
        <f>IF($E122="","",IFERROR(VLOOKUP($E122,OpTbl,2,0),""))</f>
        <v/>
      </c>
      <c r="G122" s="12" t="n"/>
      <c r="H122" s="11">
        <f>IF($G122="","",IFERROR(IF(VLOOKUP($G122,AcctTbl,4,0)="","(بدون نام)",VLOOKUP($G122,AcctTbl,4,0)),"کد ناشناخته"))</f>
        <v/>
      </c>
      <c r="I122" s="13" t="n"/>
      <c r="J122" s="13" t="n"/>
      <c r="K122" s="14" t="n"/>
      <c r="L122" s="14" t="n"/>
      <c r="M122" s="15">
        <f>IF(OR($B122="",$K122=""),"",($K122-IF($L122="",0,$L122)*IFERROR(VLOOKUP("P01",ParamTbl,3,0),1.5))*(1-IF(IFERROR(VLOOKUP($E122,OpTbl,3,0),"")="خرید",IFERROR(VLOOKUP("P02",ParamTbl,3,0),1),0)/100))</f>
        <v/>
      </c>
      <c r="N122" s="14" t="n"/>
      <c r="O122" s="13" t="n"/>
    </row>
    <row r="123">
      <c r="A123" s="11">
        <f>IF($B123="","",COUNTA($B$9:$B123))</f>
        <v/>
      </c>
      <c r="B123" s="12" t="n"/>
      <c r="C123" s="12" t="n"/>
      <c r="D123" s="12" t="n"/>
      <c r="E123" s="13" t="n"/>
      <c r="F123" s="11">
        <f>IF($E123="","",IFERROR(VLOOKUP($E123,OpTbl,2,0),""))</f>
        <v/>
      </c>
      <c r="G123" s="12" t="n"/>
      <c r="H123" s="11">
        <f>IF($G123="","",IFERROR(IF(VLOOKUP($G123,AcctTbl,4,0)="","(بدون نام)",VLOOKUP($G123,AcctTbl,4,0)),"کد ناشناخته"))</f>
        <v/>
      </c>
      <c r="I123" s="13" t="n"/>
      <c r="J123" s="13" t="n"/>
      <c r="K123" s="14" t="n"/>
      <c r="L123" s="14" t="n"/>
      <c r="M123" s="15">
        <f>IF(OR($B123="",$K123=""),"",($K123-IF($L123="",0,$L123)*IFERROR(VLOOKUP("P01",ParamTbl,3,0),1.5))*(1-IF(IFERROR(VLOOKUP($E123,OpTbl,3,0),"")="خرید",IFERROR(VLOOKUP("P02",ParamTbl,3,0),1),0)/100))</f>
        <v/>
      </c>
      <c r="N123" s="14" t="n"/>
      <c r="O123" s="13" t="n"/>
    </row>
    <row r="124">
      <c r="A124" s="11">
        <f>IF($B124="","",COUNTA($B$9:$B124))</f>
        <v/>
      </c>
      <c r="B124" s="12" t="n"/>
      <c r="C124" s="12" t="n"/>
      <c r="D124" s="12" t="n"/>
      <c r="E124" s="13" t="n"/>
      <c r="F124" s="11">
        <f>IF($E124="","",IFERROR(VLOOKUP($E124,OpTbl,2,0),""))</f>
        <v/>
      </c>
      <c r="G124" s="12" t="n"/>
      <c r="H124" s="11">
        <f>IF($G124="","",IFERROR(IF(VLOOKUP($G124,AcctTbl,4,0)="","(بدون نام)",VLOOKUP($G124,AcctTbl,4,0)),"کد ناشناخته"))</f>
        <v/>
      </c>
      <c r="I124" s="13" t="n"/>
      <c r="J124" s="13" t="n"/>
      <c r="K124" s="14" t="n"/>
      <c r="L124" s="14" t="n"/>
      <c r="M124" s="15">
        <f>IF(OR($B124="",$K124=""),"",($K124-IF($L124="",0,$L124)*IFERROR(VLOOKUP("P01",ParamTbl,3,0),1.5))*(1-IF(IFERROR(VLOOKUP($E124,OpTbl,3,0),"")="خرید",IFERROR(VLOOKUP("P02",ParamTbl,3,0),1),0)/100))</f>
        <v/>
      </c>
      <c r="N124" s="14" t="n"/>
      <c r="O124" s="13" t="n"/>
    </row>
    <row r="125">
      <c r="A125" s="11">
        <f>IF($B125="","",COUNTA($B$9:$B125))</f>
        <v/>
      </c>
      <c r="B125" s="12" t="n"/>
      <c r="C125" s="12" t="n"/>
      <c r="D125" s="12" t="n"/>
      <c r="E125" s="13" t="n"/>
      <c r="F125" s="11">
        <f>IF($E125="","",IFERROR(VLOOKUP($E125,OpTbl,2,0),""))</f>
        <v/>
      </c>
      <c r="G125" s="12" t="n"/>
      <c r="H125" s="11">
        <f>IF($G125="","",IFERROR(IF(VLOOKUP($G125,AcctTbl,4,0)="","(بدون نام)",VLOOKUP($G125,AcctTbl,4,0)),"کد ناشناخته"))</f>
        <v/>
      </c>
      <c r="I125" s="13" t="n"/>
      <c r="J125" s="13" t="n"/>
      <c r="K125" s="14" t="n"/>
      <c r="L125" s="14" t="n"/>
      <c r="M125" s="15">
        <f>IF(OR($B125="",$K125=""),"",($K125-IF($L125="",0,$L125)*IFERROR(VLOOKUP("P01",ParamTbl,3,0),1.5))*(1-IF(IFERROR(VLOOKUP($E125,OpTbl,3,0),"")="خرید",IFERROR(VLOOKUP("P02",ParamTbl,3,0),1),0)/100))</f>
        <v/>
      </c>
      <c r="N125" s="14" t="n"/>
      <c r="O125" s="13" t="n"/>
    </row>
    <row r="126">
      <c r="A126" s="11">
        <f>IF($B126="","",COUNTA($B$9:$B126))</f>
        <v/>
      </c>
      <c r="B126" s="12" t="n"/>
      <c r="C126" s="12" t="n"/>
      <c r="D126" s="12" t="n"/>
      <c r="E126" s="13" t="n"/>
      <c r="F126" s="11">
        <f>IF($E126="","",IFERROR(VLOOKUP($E126,OpTbl,2,0),""))</f>
        <v/>
      </c>
      <c r="G126" s="12" t="n"/>
      <c r="H126" s="11">
        <f>IF($G126="","",IFERROR(IF(VLOOKUP($G126,AcctTbl,4,0)="","(بدون نام)",VLOOKUP($G126,AcctTbl,4,0)),"کد ناشناخته"))</f>
        <v/>
      </c>
      <c r="I126" s="13" t="n"/>
      <c r="J126" s="13" t="n"/>
      <c r="K126" s="14" t="n"/>
      <c r="L126" s="14" t="n"/>
      <c r="M126" s="15">
        <f>IF(OR($B126="",$K126=""),"",($K126-IF($L126="",0,$L126)*IFERROR(VLOOKUP("P01",ParamTbl,3,0),1.5))*(1-IF(IFERROR(VLOOKUP($E126,OpTbl,3,0),"")="خرید",IFERROR(VLOOKUP("P02",ParamTbl,3,0),1),0)/100))</f>
        <v/>
      </c>
      <c r="N126" s="14" t="n"/>
      <c r="O126" s="13" t="n"/>
    </row>
    <row r="127">
      <c r="A127" s="11">
        <f>IF($B127="","",COUNTA($B$9:$B127))</f>
        <v/>
      </c>
      <c r="B127" s="12" t="n"/>
      <c r="C127" s="12" t="n"/>
      <c r="D127" s="12" t="n"/>
      <c r="E127" s="13" t="n"/>
      <c r="F127" s="11">
        <f>IF($E127="","",IFERROR(VLOOKUP($E127,OpTbl,2,0),""))</f>
        <v/>
      </c>
      <c r="G127" s="12" t="n"/>
      <c r="H127" s="11">
        <f>IF($G127="","",IFERROR(IF(VLOOKUP($G127,AcctTbl,4,0)="","(بدون نام)",VLOOKUP($G127,AcctTbl,4,0)),"کد ناشناخته"))</f>
        <v/>
      </c>
      <c r="I127" s="13" t="n"/>
      <c r="J127" s="13" t="n"/>
      <c r="K127" s="14" t="n"/>
      <c r="L127" s="14" t="n"/>
      <c r="M127" s="15">
        <f>IF(OR($B127="",$K127=""),"",($K127-IF($L127="",0,$L127)*IFERROR(VLOOKUP("P01",ParamTbl,3,0),1.5))*(1-IF(IFERROR(VLOOKUP($E127,OpTbl,3,0),"")="خرید",IFERROR(VLOOKUP("P02",ParamTbl,3,0),1),0)/100))</f>
        <v/>
      </c>
      <c r="N127" s="14" t="n"/>
      <c r="O127" s="13" t="n"/>
    </row>
    <row r="128">
      <c r="A128" s="11">
        <f>IF($B128="","",COUNTA($B$9:$B128))</f>
        <v/>
      </c>
      <c r="B128" s="12" t="n"/>
      <c r="C128" s="12" t="n"/>
      <c r="D128" s="12" t="n"/>
      <c r="E128" s="13" t="n"/>
      <c r="F128" s="11">
        <f>IF($E128="","",IFERROR(VLOOKUP($E128,OpTbl,2,0),""))</f>
        <v/>
      </c>
      <c r="G128" s="12" t="n"/>
      <c r="H128" s="11">
        <f>IF($G128="","",IFERROR(IF(VLOOKUP($G128,AcctTbl,4,0)="","(بدون نام)",VLOOKUP($G128,AcctTbl,4,0)),"کد ناشناخته"))</f>
        <v/>
      </c>
      <c r="I128" s="13" t="n"/>
      <c r="J128" s="13" t="n"/>
      <c r="K128" s="14" t="n"/>
      <c r="L128" s="14" t="n"/>
      <c r="M128" s="15">
        <f>IF(OR($B128="",$K128=""),"",($K128-IF($L128="",0,$L128)*IFERROR(VLOOKUP("P01",ParamTbl,3,0),1.5))*(1-IF(IFERROR(VLOOKUP($E128,OpTbl,3,0),"")="خرید",IFERROR(VLOOKUP("P02",ParamTbl,3,0),1),0)/100))</f>
        <v/>
      </c>
      <c r="N128" s="14" t="n"/>
      <c r="O128" s="13" t="n"/>
    </row>
    <row r="129">
      <c r="A129" s="11">
        <f>IF($B129="","",COUNTA($B$9:$B129))</f>
        <v/>
      </c>
      <c r="B129" s="12" t="n"/>
      <c r="C129" s="12" t="n"/>
      <c r="D129" s="12" t="n"/>
      <c r="E129" s="13" t="n"/>
      <c r="F129" s="11">
        <f>IF($E129="","",IFERROR(VLOOKUP($E129,OpTbl,2,0),""))</f>
        <v/>
      </c>
      <c r="G129" s="12" t="n"/>
      <c r="H129" s="11">
        <f>IF($G129="","",IFERROR(IF(VLOOKUP($G129,AcctTbl,4,0)="","(بدون نام)",VLOOKUP($G129,AcctTbl,4,0)),"کد ناشناخته"))</f>
        <v/>
      </c>
      <c r="I129" s="13" t="n"/>
      <c r="J129" s="13" t="n"/>
      <c r="K129" s="14" t="n"/>
      <c r="L129" s="14" t="n"/>
      <c r="M129" s="15">
        <f>IF(OR($B129="",$K129=""),"",($K129-IF($L129="",0,$L129)*IFERROR(VLOOKUP("P01",ParamTbl,3,0),1.5))*(1-IF(IFERROR(VLOOKUP($E129,OpTbl,3,0),"")="خرید",IFERROR(VLOOKUP("P02",ParamTbl,3,0),1),0)/100))</f>
        <v/>
      </c>
      <c r="N129" s="14" t="n"/>
      <c r="O129" s="13" t="n"/>
    </row>
    <row r="130">
      <c r="A130" s="11">
        <f>IF($B130="","",COUNTA($B$9:$B130))</f>
        <v/>
      </c>
      <c r="B130" s="12" t="n"/>
      <c r="C130" s="12" t="n"/>
      <c r="D130" s="12" t="n"/>
      <c r="E130" s="13" t="n"/>
      <c r="F130" s="11">
        <f>IF($E130="","",IFERROR(VLOOKUP($E130,OpTbl,2,0),""))</f>
        <v/>
      </c>
      <c r="G130" s="12" t="n"/>
      <c r="H130" s="11">
        <f>IF($G130="","",IFERROR(IF(VLOOKUP($G130,AcctTbl,4,0)="","(بدون نام)",VLOOKUP($G130,AcctTbl,4,0)),"کد ناشناخته"))</f>
        <v/>
      </c>
      <c r="I130" s="13" t="n"/>
      <c r="J130" s="13" t="n"/>
      <c r="K130" s="14" t="n"/>
      <c r="L130" s="14" t="n"/>
      <c r="M130" s="15">
        <f>IF(OR($B130="",$K130=""),"",($K130-IF($L130="",0,$L130)*IFERROR(VLOOKUP("P01",ParamTbl,3,0),1.5))*(1-IF(IFERROR(VLOOKUP($E130,OpTbl,3,0),"")="خرید",IFERROR(VLOOKUP("P02",ParamTbl,3,0),1),0)/100))</f>
        <v/>
      </c>
      <c r="N130" s="14" t="n"/>
      <c r="O130" s="13" t="n"/>
    </row>
    <row r="131">
      <c r="A131" s="11">
        <f>IF($B131="","",COUNTA($B$9:$B131))</f>
        <v/>
      </c>
      <c r="B131" s="12" t="n"/>
      <c r="C131" s="12" t="n"/>
      <c r="D131" s="12" t="n"/>
      <c r="E131" s="13" t="n"/>
      <c r="F131" s="11">
        <f>IF($E131="","",IFERROR(VLOOKUP($E131,OpTbl,2,0),""))</f>
        <v/>
      </c>
      <c r="G131" s="12" t="n"/>
      <c r="H131" s="11">
        <f>IF($G131="","",IFERROR(IF(VLOOKUP($G131,AcctTbl,4,0)="","(بدون نام)",VLOOKUP($G131,AcctTbl,4,0)),"کد ناشناخته"))</f>
        <v/>
      </c>
      <c r="I131" s="13" t="n"/>
      <c r="J131" s="13" t="n"/>
      <c r="K131" s="14" t="n"/>
      <c r="L131" s="14" t="n"/>
      <c r="M131" s="15">
        <f>IF(OR($B131="",$K131=""),"",($K131-IF($L131="",0,$L131)*IFERROR(VLOOKUP("P01",ParamTbl,3,0),1.5))*(1-IF(IFERROR(VLOOKUP($E131,OpTbl,3,0),"")="خرید",IFERROR(VLOOKUP("P02",ParamTbl,3,0),1),0)/100))</f>
        <v/>
      </c>
      <c r="N131" s="14" t="n"/>
      <c r="O131" s="13" t="n"/>
    </row>
    <row r="132">
      <c r="A132" s="11">
        <f>IF($B132="","",COUNTA($B$9:$B132))</f>
        <v/>
      </c>
      <c r="B132" s="12" t="n"/>
      <c r="C132" s="12" t="n"/>
      <c r="D132" s="12" t="n"/>
      <c r="E132" s="13" t="n"/>
      <c r="F132" s="11">
        <f>IF($E132="","",IFERROR(VLOOKUP($E132,OpTbl,2,0),""))</f>
        <v/>
      </c>
      <c r="G132" s="12" t="n"/>
      <c r="H132" s="11">
        <f>IF($G132="","",IFERROR(IF(VLOOKUP($G132,AcctTbl,4,0)="","(بدون نام)",VLOOKUP($G132,AcctTbl,4,0)),"کد ناشناخته"))</f>
        <v/>
      </c>
      <c r="I132" s="13" t="n"/>
      <c r="J132" s="13" t="n"/>
      <c r="K132" s="14" t="n"/>
      <c r="L132" s="14" t="n"/>
      <c r="M132" s="15">
        <f>IF(OR($B132="",$K132=""),"",($K132-IF($L132="",0,$L132)*IFERROR(VLOOKUP("P01",ParamTbl,3,0),1.5))*(1-IF(IFERROR(VLOOKUP($E132,OpTbl,3,0),"")="خرید",IFERROR(VLOOKUP("P02",ParamTbl,3,0),1),0)/100))</f>
        <v/>
      </c>
      <c r="N132" s="14" t="n"/>
      <c r="O132" s="13" t="n"/>
    </row>
    <row r="133">
      <c r="A133" s="11">
        <f>IF($B133="","",COUNTA($B$9:$B133))</f>
        <v/>
      </c>
      <c r="B133" s="12" t="n"/>
      <c r="C133" s="12" t="n"/>
      <c r="D133" s="12" t="n"/>
      <c r="E133" s="13" t="n"/>
      <c r="F133" s="11">
        <f>IF($E133="","",IFERROR(VLOOKUP($E133,OpTbl,2,0),""))</f>
        <v/>
      </c>
      <c r="G133" s="12" t="n"/>
      <c r="H133" s="11">
        <f>IF($G133="","",IFERROR(IF(VLOOKUP($G133,AcctTbl,4,0)="","(بدون نام)",VLOOKUP($G133,AcctTbl,4,0)),"کد ناشناخته"))</f>
        <v/>
      </c>
      <c r="I133" s="13" t="n"/>
      <c r="J133" s="13" t="n"/>
      <c r="K133" s="14" t="n"/>
      <c r="L133" s="14" t="n"/>
      <c r="M133" s="15">
        <f>IF(OR($B133="",$K133=""),"",($K133-IF($L133="",0,$L133)*IFERROR(VLOOKUP("P01",ParamTbl,3,0),1.5))*(1-IF(IFERROR(VLOOKUP($E133,OpTbl,3,0),"")="خرید",IFERROR(VLOOKUP("P02",ParamTbl,3,0),1),0)/100))</f>
        <v/>
      </c>
      <c r="N133" s="14" t="n"/>
      <c r="O133" s="13" t="n"/>
    </row>
    <row r="134">
      <c r="A134" s="11">
        <f>IF($B134="","",COUNTA($B$9:$B134))</f>
        <v/>
      </c>
      <c r="B134" s="12" t="n"/>
      <c r="C134" s="12" t="n"/>
      <c r="D134" s="12" t="n"/>
      <c r="E134" s="13" t="n"/>
      <c r="F134" s="11">
        <f>IF($E134="","",IFERROR(VLOOKUP($E134,OpTbl,2,0),""))</f>
        <v/>
      </c>
      <c r="G134" s="12" t="n"/>
      <c r="H134" s="11">
        <f>IF($G134="","",IFERROR(IF(VLOOKUP($G134,AcctTbl,4,0)="","(بدون نام)",VLOOKUP($G134,AcctTbl,4,0)),"کد ناشناخته"))</f>
        <v/>
      </c>
      <c r="I134" s="13" t="n"/>
      <c r="J134" s="13" t="n"/>
      <c r="K134" s="14" t="n"/>
      <c r="L134" s="14" t="n"/>
      <c r="M134" s="15">
        <f>IF(OR($B134="",$K134=""),"",($K134-IF($L134="",0,$L134)*IFERROR(VLOOKUP("P01",ParamTbl,3,0),1.5))*(1-IF(IFERROR(VLOOKUP($E134,OpTbl,3,0),"")="خرید",IFERROR(VLOOKUP("P02",ParamTbl,3,0),1),0)/100))</f>
        <v/>
      </c>
      <c r="N134" s="14" t="n"/>
      <c r="O134" s="13" t="n"/>
    </row>
    <row r="135">
      <c r="A135" s="11">
        <f>IF($B135="","",COUNTA($B$9:$B135))</f>
        <v/>
      </c>
      <c r="B135" s="12" t="n"/>
      <c r="C135" s="12" t="n"/>
      <c r="D135" s="12" t="n"/>
      <c r="E135" s="13" t="n"/>
      <c r="F135" s="11">
        <f>IF($E135="","",IFERROR(VLOOKUP($E135,OpTbl,2,0),""))</f>
        <v/>
      </c>
      <c r="G135" s="12" t="n"/>
      <c r="H135" s="11">
        <f>IF($G135="","",IFERROR(IF(VLOOKUP($G135,AcctTbl,4,0)="","(بدون نام)",VLOOKUP($G135,AcctTbl,4,0)),"کد ناشناخته"))</f>
        <v/>
      </c>
      <c r="I135" s="13" t="n"/>
      <c r="J135" s="13" t="n"/>
      <c r="K135" s="14" t="n"/>
      <c r="L135" s="14" t="n"/>
      <c r="M135" s="15">
        <f>IF(OR($B135="",$K135=""),"",($K135-IF($L135="",0,$L135)*IFERROR(VLOOKUP("P01",ParamTbl,3,0),1.5))*(1-IF(IFERROR(VLOOKUP($E135,OpTbl,3,0),"")="خرید",IFERROR(VLOOKUP("P02",ParamTbl,3,0),1),0)/100))</f>
        <v/>
      </c>
      <c r="N135" s="14" t="n"/>
      <c r="O135" s="13" t="n"/>
    </row>
    <row r="136">
      <c r="A136" s="11">
        <f>IF($B136="","",COUNTA($B$9:$B136))</f>
        <v/>
      </c>
      <c r="B136" s="12" t="n"/>
      <c r="C136" s="12" t="n"/>
      <c r="D136" s="12" t="n"/>
      <c r="E136" s="13" t="n"/>
      <c r="F136" s="11">
        <f>IF($E136="","",IFERROR(VLOOKUP($E136,OpTbl,2,0),""))</f>
        <v/>
      </c>
      <c r="G136" s="12" t="n"/>
      <c r="H136" s="11">
        <f>IF($G136="","",IFERROR(IF(VLOOKUP($G136,AcctTbl,4,0)="","(بدون نام)",VLOOKUP($G136,AcctTbl,4,0)),"کد ناشناخته"))</f>
        <v/>
      </c>
      <c r="I136" s="13" t="n"/>
      <c r="J136" s="13" t="n"/>
      <c r="K136" s="14" t="n"/>
      <c r="L136" s="14" t="n"/>
      <c r="M136" s="15">
        <f>IF(OR($B136="",$K136=""),"",($K136-IF($L136="",0,$L136)*IFERROR(VLOOKUP("P01",ParamTbl,3,0),1.5))*(1-IF(IFERROR(VLOOKUP($E136,OpTbl,3,0),"")="خرید",IFERROR(VLOOKUP("P02",ParamTbl,3,0),1),0)/100))</f>
        <v/>
      </c>
      <c r="N136" s="14" t="n"/>
      <c r="O136" s="13" t="n"/>
    </row>
    <row r="137">
      <c r="A137" s="11">
        <f>IF($B137="","",COUNTA($B$9:$B137))</f>
        <v/>
      </c>
      <c r="B137" s="12" t="n"/>
      <c r="C137" s="12" t="n"/>
      <c r="D137" s="12" t="n"/>
      <c r="E137" s="13" t="n"/>
      <c r="F137" s="11">
        <f>IF($E137="","",IFERROR(VLOOKUP($E137,OpTbl,2,0),""))</f>
        <v/>
      </c>
      <c r="G137" s="12" t="n"/>
      <c r="H137" s="11">
        <f>IF($G137="","",IFERROR(IF(VLOOKUP($G137,AcctTbl,4,0)="","(بدون نام)",VLOOKUP($G137,AcctTbl,4,0)),"کد ناشناخته"))</f>
        <v/>
      </c>
      <c r="I137" s="13" t="n"/>
      <c r="J137" s="13" t="n"/>
      <c r="K137" s="14" t="n"/>
      <c r="L137" s="14" t="n"/>
      <c r="M137" s="15">
        <f>IF(OR($B137="",$K137=""),"",($K137-IF($L137="",0,$L137)*IFERROR(VLOOKUP("P01",ParamTbl,3,0),1.5))*(1-IF(IFERROR(VLOOKUP($E137,OpTbl,3,0),"")="خرید",IFERROR(VLOOKUP("P02",ParamTbl,3,0),1),0)/100))</f>
        <v/>
      </c>
      <c r="N137" s="14" t="n"/>
      <c r="O137" s="13" t="n"/>
    </row>
    <row r="138">
      <c r="A138" s="11">
        <f>IF($B138="","",COUNTA($B$9:$B138))</f>
        <v/>
      </c>
      <c r="B138" s="12" t="n"/>
      <c r="C138" s="12" t="n"/>
      <c r="D138" s="12" t="n"/>
      <c r="E138" s="13" t="n"/>
      <c r="F138" s="11">
        <f>IF($E138="","",IFERROR(VLOOKUP($E138,OpTbl,2,0),""))</f>
        <v/>
      </c>
      <c r="G138" s="12" t="n"/>
      <c r="H138" s="11">
        <f>IF($G138="","",IFERROR(IF(VLOOKUP($G138,AcctTbl,4,0)="","(بدون نام)",VLOOKUP($G138,AcctTbl,4,0)),"کد ناشناخته"))</f>
        <v/>
      </c>
      <c r="I138" s="13" t="n"/>
      <c r="J138" s="13" t="n"/>
      <c r="K138" s="14" t="n"/>
      <c r="L138" s="14" t="n"/>
      <c r="M138" s="15">
        <f>IF(OR($B138="",$K138=""),"",($K138-IF($L138="",0,$L138)*IFERROR(VLOOKUP("P01",ParamTbl,3,0),1.5))*(1-IF(IFERROR(VLOOKUP($E138,OpTbl,3,0),"")="خرید",IFERROR(VLOOKUP("P02",ParamTbl,3,0),1),0)/100))</f>
        <v/>
      </c>
      <c r="N138" s="14" t="n"/>
      <c r="O138" s="13" t="n"/>
    </row>
    <row r="139">
      <c r="A139" s="11">
        <f>IF($B139="","",COUNTA($B$9:$B139))</f>
        <v/>
      </c>
      <c r="B139" s="12" t="n"/>
      <c r="C139" s="12" t="n"/>
      <c r="D139" s="12" t="n"/>
      <c r="E139" s="13" t="n"/>
      <c r="F139" s="11">
        <f>IF($E139="","",IFERROR(VLOOKUP($E139,OpTbl,2,0),""))</f>
        <v/>
      </c>
      <c r="G139" s="12" t="n"/>
      <c r="H139" s="11">
        <f>IF($G139="","",IFERROR(IF(VLOOKUP($G139,AcctTbl,4,0)="","(بدون نام)",VLOOKUP($G139,AcctTbl,4,0)),"کد ناشناخته"))</f>
        <v/>
      </c>
      <c r="I139" s="13" t="n"/>
      <c r="J139" s="13" t="n"/>
      <c r="K139" s="14" t="n"/>
      <c r="L139" s="14" t="n"/>
      <c r="M139" s="15">
        <f>IF(OR($B139="",$K139=""),"",($K139-IF($L139="",0,$L139)*IFERROR(VLOOKUP("P01",ParamTbl,3,0),1.5))*(1-IF(IFERROR(VLOOKUP($E139,OpTbl,3,0),"")="خرید",IFERROR(VLOOKUP("P02",ParamTbl,3,0),1),0)/100))</f>
        <v/>
      </c>
      <c r="N139" s="14" t="n"/>
      <c r="O139" s="13" t="n"/>
    </row>
    <row r="140">
      <c r="A140" s="11">
        <f>IF($B140="","",COUNTA($B$9:$B140))</f>
        <v/>
      </c>
      <c r="B140" s="12" t="n"/>
      <c r="C140" s="12" t="n"/>
      <c r="D140" s="12" t="n"/>
      <c r="E140" s="13" t="n"/>
      <c r="F140" s="11">
        <f>IF($E140="","",IFERROR(VLOOKUP($E140,OpTbl,2,0),""))</f>
        <v/>
      </c>
      <c r="G140" s="12" t="n"/>
      <c r="H140" s="11">
        <f>IF($G140="","",IFERROR(IF(VLOOKUP($G140,AcctTbl,4,0)="","(بدون نام)",VLOOKUP($G140,AcctTbl,4,0)),"کد ناشناخته"))</f>
        <v/>
      </c>
      <c r="I140" s="13" t="n"/>
      <c r="J140" s="13" t="n"/>
      <c r="K140" s="14" t="n"/>
      <c r="L140" s="14" t="n"/>
      <c r="M140" s="15">
        <f>IF(OR($B140="",$K140=""),"",($K140-IF($L140="",0,$L140)*IFERROR(VLOOKUP("P01",ParamTbl,3,0),1.5))*(1-IF(IFERROR(VLOOKUP($E140,OpTbl,3,0),"")="خرید",IFERROR(VLOOKUP("P02",ParamTbl,3,0),1),0)/100))</f>
        <v/>
      </c>
      <c r="N140" s="14" t="n"/>
      <c r="O140" s="13" t="n"/>
    </row>
    <row r="141">
      <c r="A141" s="11">
        <f>IF($B141="","",COUNTA($B$9:$B141))</f>
        <v/>
      </c>
      <c r="B141" s="12" t="n"/>
      <c r="C141" s="12" t="n"/>
      <c r="D141" s="12" t="n"/>
      <c r="E141" s="13" t="n"/>
      <c r="F141" s="11">
        <f>IF($E141="","",IFERROR(VLOOKUP($E141,OpTbl,2,0),""))</f>
        <v/>
      </c>
      <c r="G141" s="12" t="n"/>
      <c r="H141" s="11">
        <f>IF($G141="","",IFERROR(IF(VLOOKUP($G141,AcctTbl,4,0)="","(بدون نام)",VLOOKUP($G141,AcctTbl,4,0)),"کد ناشناخته"))</f>
        <v/>
      </c>
      <c r="I141" s="13" t="n"/>
      <c r="J141" s="13" t="n"/>
      <c r="K141" s="14" t="n"/>
      <c r="L141" s="14" t="n"/>
      <c r="M141" s="15">
        <f>IF(OR($B141="",$K141=""),"",($K141-IF($L141="",0,$L141)*IFERROR(VLOOKUP("P01",ParamTbl,3,0),1.5))*(1-IF(IFERROR(VLOOKUP($E141,OpTbl,3,0),"")="خرید",IFERROR(VLOOKUP("P02",ParamTbl,3,0),1),0)/100))</f>
        <v/>
      </c>
      <c r="N141" s="14" t="n"/>
      <c r="O141" s="13" t="n"/>
    </row>
    <row r="142">
      <c r="A142" s="11">
        <f>IF($B142="","",COUNTA($B$9:$B142))</f>
        <v/>
      </c>
      <c r="B142" s="12" t="n"/>
      <c r="C142" s="12" t="n"/>
      <c r="D142" s="12" t="n"/>
      <c r="E142" s="13" t="n"/>
      <c r="F142" s="11">
        <f>IF($E142="","",IFERROR(VLOOKUP($E142,OpTbl,2,0),""))</f>
        <v/>
      </c>
      <c r="G142" s="12" t="n"/>
      <c r="H142" s="11">
        <f>IF($G142="","",IFERROR(IF(VLOOKUP($G142,AcctTbl,4,0)="","(بدون نام)",VLOOKUP($G142,AcctTbl,4,0)),"کد ناشناخته"))</f>
        <v/>
      </c>
      <c r="I142" s="13" t="n"/>
      <c r="J142" s="13" t="n"/>
      <c r="K142" s="14" t="n"/>
      <c r="L142" s="14" t="n"/>
      <c r="M142" s="15">
        <f>IF(OR($B142="",$K142=""),"",($K142-IF($L142="",0,$L142)*IFERROR(VLOOKUP("P01",ParamTbl,3,0),1.5))*(1-IF(IFERROR(VLOOKUP($E142,OpTbl,3,0),"")="خرید",IFERROR(VLOOKUP("P02",ParamTbl,3,0),1),0)/100))</f>
        <v/>
      </c>
      <c r="N142" s="14" t="n"/>
      <c r="O142" s="13" t="n"/>
    </row>
    <row r="143">
      <c r="A143" s="11">
        <f>IF($B143="","",COUNTA($B$9:$B143))</f>
        <v/>
      </c>
      <c r="B143" s="12" t="n"/>
      <c r="C143" s="12" t="n"/>
      <c r="D143" s="12" t="n"/>
      <c r="E143" s="13" t="n"/>
      <c r="F143" s="11">
        <f>IF($E143="","",IFERROR(VLOOKUP($E143,OpTbl,2,0),""))</f>
        <v/>
      </c>
      <c r="G143" s="12" t="n"/>
      <c r="H143" s="11">
        <f>IF($G143="","",IFERROR(IF(VLOOKUP($G143,AcctTbl,4,0)="","(بدون نام)",VLOOKUP($G143,AcctTbl,4,0)),"کد ناشناخته"))</f>
        <v/>
      </c>
      <c r="I143" s="13" t="n"/>
      <c r="J143" s="13" t="n"/>
      <c r="K143" s="14" t="n"/>
      <c r="L143" s="14" t="n"/>
      <c r="M143" s="15">
        <f>IF(OR($B143="",$K143=""),"",($K143-IF($L143="",0,$L143)*IFERROR(VLOOKUP("P01",ParamTbl,3,0),1.5))*(1-IF(IFERROR(VLOOKUP($E143,OpTbl,3,0),"")="خرید",IFERROR(VLOOKUP("P02",ParamTbl,3,0),1),0)/100))</f>
        <v/>
      </c>
      <c r="N143" s="14" t="n"/>
      <c r="O143" s="13" t="n"/>
    </row>
    <row r="144">
      <c r="A144" s="11">
        <f>IF($B144="","",COUNTA($B$9:$B144))</f>
        <v/>
      </c>
      <c r="B144" s="12" t="n"/>
      <c r="C144" s="12" t="n"/>
      <c r="D144" s="12" t="n"/>
      <c r="E144" s="13" t="n"/>
      <c r="F144" s="11">
        <f>IF($E144="","",IFERROR(VLOOKUP($E144,OpTbl,2,0),""))</f>
        <v/>
      </c>
      <c r="G144" s="12" t="n"/>
      <c r="H144" s="11">
        <f>IF($G144="","",IFERROR(IF(VLOOKUP($G144,AcctTbl,4,0)="","(بدون نام)",VLOOKUP($G144,AcctTbl,4,0)),"کد ناشناخته"))</f>
        <v/>
      </c>
      <c r="I144" s="13" t="n"/>
      <c r="J144" s="13" t="n"/>
      <c r="K144" s="14" t="n"/>
      <c r="L144" s="14" t="n"/>
      <c r="M144" s="15">
        <f>IF(OR($B144="",$K144=""),"",($K144-IF($L144="",0,$L144)*IFERROR(VLOOKUP("P01",ParamTbl,3,0),1.5))*(1-IF(IFERROR(VLOOKUP($E144,OpTbl,3,0),"")="خرید",IFERROR(VLOOKUP("P02",ParamTbl,3,0),1),0)/100))</f>
        <v/>
      </c>
      <c r="N144" s="14" t="n"/>
      <c r="O144" s="13" t="n"/>
    </row>
    <row r="145">
      <c r="A145" s="11">
        <f>IF($B145="","",COUNTA($B$9:$B145))</f>
        <v/>
      </c>
      <c r="B145" s="12" t="n"/>
      <c r="C145" s="12" t="n"/>
      <c r="D145" s="12" t="n"/>
      <c r="E145" s="13" t="n"/>
      <c r="F145" s="11">
        <f>IF($E145="","",IFERROR(VLOOKUP($E145,OpTbl,2,0),""))</f>
        <v/>
      </c>
      <c r="G145" s="12" t="n"/>
      <c r="H145" s="11">
        <f>IF($G145="","",IFERROR(IF(VLOOKUP($G145,AcctTbl,4,0)="","(بدون نام)",VLOOKUP($G145,AcctTbl,4,0)),"کد ناشناخته"))</f>
        <v/>
      </c>
      <c r="I145" s="13" t="n"/>
      <c r="J145" s="13" t="n"/>
      <c r="K145" s="14" t="n"/>
      <c r="L145" s="14" t="n"/>
      <c r="M145" s="15">
        <f>IF(OR($B145="",$K145=""),"",($K145-IF($L145="",0,$L145)*IFERROR(VLOOKUP("P01",ParamTbl,3,0),1.5))*(1-IF(IFERROR(VLOOKUP($E145,OpTbl,3,0),"")="خرید",IFERROR(VLOOKUP("P02",ParamTbl,3,0),1),0)/100))</f>
        <v/>
      </c>
      <c r="N145" s="14" t="n"/>
      <c r="O145" s="13" t="n"/>
    </row>
    <row r="146">
      <c r="A146" s="11">
        <f>IF($B146="","",COUNTA($B$9:$B146))</f>
        <v/>
      </c>
      <c r="B146" s="12" t="n"/>
      <c r="C146" s="12" t="n"/>
      <c r="D146" s="12" t="n"/>
      <c r="E146" s="13" t="n"/>
      <c r="F146" s="11">
        <f>IF($E146="","",IFERROR(VLOOKUP($E146,OpTbl,2,0),""))</f>
        <v/>
      </c>
      <c r="G146" s="12" t="n"/>
      <c r="H146" s="11">
        <f>IF($G146="","",IFERROR(IF(VLOOKUP($G146,AcctTbl,4,0)="","(بدون نام)",VLOOKUP($G146,AcctTbl,4,0)),"کد ناشناخته"))</f>
        <v/>
      </c>
      <c r="I146" s="13" t="n"/>
      <c r="J146" s="13" t="n"/>
      <c r="K146" s="14" t="n"/>
      <c r="L146" s="14" t="n"/>
      <c r="M146" s="15">
        <f>IF(OR($B146="",$K146=""),"",($K146-IF($L146="",0,$L146)*IFERROR(VLOOKUP("P01",ParamTbl,3,0),1.5))*(1-IF(IFERROR(VLOOKUP($E146,OpTbl,3,0),"")="خرید",IFERROR(VLOOKUP("P02",ParamTbl,3,0),1),0)/100))</f>
        <v/>
      </c>
      <c r="N146" s="14" t="n"/>
      <c r="O146" s="13" t="n"/>
    </row>
    <row r="147">
      <c r="A147" s="11">
        <f>IF($B147="","",COUNTA($B$9:$B147))</f>
        <v/>
      </c>
      <c r="B147" s="12" t="n"/>
      <c r="C147" s="12" t="n"/>
      <c r="D147" s="12" t="n"/>
      <c r="E147" s="13" t="n"/>
      <c r="F147" s="11">
        <f>IF($E147="","",IFERROR(VLOOKUP($E147,OpTbl,2,0),""))</f>
        <v/>
      </c>
      <c r="G147" s="12" t="n"/>
      <c r="H147" s="11">
        <f>IF($G147="","",IFERROR(IF(VLOOKUP($G147,AcctTbl,4,0)="","(بدون نام)",VLOOKUP($G147,AcctTbl,4,0)),"کد ناشناخته"))</f>
        <v/>
      </c>
      <c r="I147" s="13" t="n"/>
      <c r="J147" s="13" t="n"/>
      <c r="K147" s="14" t="n"/>
      <c r="L147" s="14" t="n"/>
      <c r="M147" s="15">
        <f>IF(OR($B147="",$K147=""),"",($K147-IF($L147="",0,$L147)*IFERROR(VLOOKUP("P01",ParamTbl,3,0),1.5))*(1-IF(IFERROR(VLOOKUP($E147,OpTbl,3,0),"")="خرید",IFERROR(VLOOKUP("P02",ParamTbl,3,0),1),0)/100))</f>
        <v/>
      </c>
      <c r="N147" s="14" t="n"/>
      <c r="O147" s="13" t="n"/>
    </row>
    <row r="148">
      <c r="A148" s="11">
        <f>IF($B148="","",COUNTA($B$9:$B148))</f>
        <v/>
      </c>
      <c r="B148" s="12" t="n"/>
      <c r="C148" s="12" t="n"/>
      <c r="D148" s="12" t="n"/>
      <c r="E148" s="13" t="n"/>
      <c r="F148" s="11">
        <f>IF($E148="","",IFERROR(VLOOKUP($E148,OpTbl,2,0),""))</f>
        <v/>
      </c>
      <c r="G148" s="12" t="n"/>
      <c r="H148" s="11">
        <f>IF($G148="","",IFERROR(IF(VLOOKUP($G148,AcctTbl,4,0)="","(بدون نام)",VLOOKUP($G148,AcctTbl,4,0)),"کد ناشناخته"))</f>
        <v/>
      </c>
      <c r="I148" s="13" t="n"/>
      <c r="J148" s="13" t="n"/>
      <c r="K148" s="14" t="n"/>
      <c r="L148" s="14" t="n"/>
      <c r="M148" s="15">
        <f>IF(OR($B148="",$K148=""),"",($K148-IF($L148="",0,$L148)*IFERROR(VLOOKUP("P01",ParamTbl,3,0),1.5))*(1-IF(IFERROR(VLOOKUP($E148,OpTbl,3,0),"")="خرید",IFERROR(VLOOKUP("P02",ParamTbl,3,0),1),0)/100))</f>
        <v/>
      </c>
      <c r="N148" s="14" t="n"/>
      <c r="O148" s="13" t="n"/>
    </row>
    <row r="149">
      <c r="A149" s="11">
        <f>IF($B149="","",COUNTA($B$9:$B149))</f>
        <v/>
      </c>
      <c r="B149" s="12" t="n"/>
      <c r="C149" s="12" t="n"/>
      <c r="D149" s="12" t="n"/>
      <c r="E149" s="13" t="n"/>
      <c r="F149" s="11">
        <f>IF($E149="","",IFERROR(VLOOKUP($E149,OpTbl,2,0),""))</f>
        <v/>
      </c>
      <c r="G149" s="12" t="n"/>
      <c r="H149" s="11">
        <f>IF($G149="","",IFERROR(IF(VLOOKUP($G149,AcctTbl,4,0)="","(بدون نام)",VLOOKUP($G149,AcctTbl,4,0)),"کد ناشناخته"))</f>
        <v/>
      </c>
      <c r="I149" s="13" t="n"/>
      <c r="J149" s="13" t="n"/>
      <c r="K149" s="14" t="n"/>
      <c r="L149" s="14" t="n"/>
      <c r="M149" s="15">
        <f>IF(OR($B149="",$K149=""),"",($K149-IF($L149="",0,$L149)*IFERROR(VLOOKUP("P01",ParamTbl,3,0),1.5))*(1-IF(IFERROR(VLOOKUP($E149,OpTbl,3,0),"")="خرید",IFERROR(VLOOKUP("P02",ParamTbl,3,0),1),0)/100))</f>
        <v/>
      </c>
      <c r="N149" s="14" t="n"/>
      <c r="O149" s="13" t="n"/>
    </row>
    <row r="150">
      <c r="A150" s="11">
        <f>IF($B150="","",COUNTA($B$9:$B150))</f>
        <v/>
      </c>
      <c r="B150" s="12" t="n"/>
      <c r="C150" s="12" t="n"/>
      <c r="D150" s="12" t="n"/>
      <c r="E150" s="13" t="n"/>
      <c r="F150" s="11">
        <f>IF($E150="","",IFERROR(VLOOKUP($E150,OpTbl,2,0),""))</f>
        <v/>
      </c>
      <c r="G150" s="12" t="n"/>
      <c r="H150" s="11">
        <f>IF($G150="","",IFERROR(IF(VLOOKUP($G150,AcctTbl,4,0)="","(بدون نام)",VLOOKUP($G150,AcctTbl,4,0)),"کد ناشناخته"))</f>
        <v/>
      </c>
      <c r="I150" s="13" t="n"/>
      <c r="J150" s="13" t="n"/>
      <c r="K150" s="14" t="n"/>
      <c r="L150" s="14" t="n"/>
      <c r="M150" s="15">
        <f>IF(OR($B150="",$K150=""),"",($K150-IF($L150="",0,$L150)*IFERROR(VLOOKUP("P01",ParamTbl,3,0),1.5))*(1-IF(IFERROR(VLOOKUP($E150,OpTbl,3,0),"")="خرید",IFERROR(VLOOKUP("P02",ParamTbl,3,0),1),0)/100))</f>
        <v/>
      </c>
      <c r="N150" s="14" t="n"/>
      <c r="O150" s="13" t="n"/>
    </row>
    <row r="151">
      <c r="A151" s="11">
        <f>IF($B151="","",COUNTA($B$9:$B151))</f>
        <v/>
      </c>
      <c r="B151" s="12" t="n"/>
      <c r="C151" s="12" t="n"/>
      <c r="D151" s="12" t="n"/>
      <c r="E151" s="13" t="n"/>
      <c r="F151" s="11">
        <f>IF($E151="","",IFERROR(VLOOKUP($E151,OpTbl,2,0),""))</f>
        <v/>
      </c>
      <c r="G151" s="12" t="n"/>
      <c r="H151" s="11">
        <f>IF($G151="","",IFERROR(IF(VLOOKUP($G151,AcctTbl,4,0)="","(بدون نام)",VLOOKUP($G151,AcctTbl,4,0)),"کد ناشناخته"))</f>
        <v/>
      </c>
      <c r="I151" s="13" t="n"/>
      <c r="J151" s="13" t="n"/>
      <c r="K151" s="14" t="n"/>
      <c r="L151" s="14" t="n"/>
      <c r="M151" s="15">
        <f>IF(OR($B151="",$K151=""),"",($K151-IF($L151="",0,$L151)*IFERROR(VLOOKUP("P01",ParamTbl,3,0),1.5))*(1-IF(IFERROR(VLOOKUP($E151,OpTbl,3,0),"")="خرید",IFERROR(VLOOKUP("P02",ParamTbl,3,0),1),0)/100))</f>
        <v/>
      </c>
      <c r="N151" s="14" t="n"/>
      <c r="O151" s="13" t="n"/>
    </row>
    <row r="152">
      <c r="A152" s="11">
        <f>IF($B152="","",COUNTA($B$9:$B152))</f>
        <v/>
      </c>
      <c r="B152" s="12" t="n"/>
      <c r="C152" s="12" t="n"/>
      <c r="D152" s="12" t="n"/>
      <c r="E152" s="13" t="n"/>
      <c r="F152" s="11">
        <f>IF($E152="","",IFERROR(VLOOKUP($E152,OpTbl,2,0),""))</f>
        <v/>
      </c>
      <c r="G152" s="12" t="n"/>
      <c r="H152" s="11">
        <f>IF($G152="","",IFERROR(IF(VLOOKUP($G152,AcctTbl,4,0)="","(بدون نام)",VLOOKUP($G152,AcctTbl,4,0)),"کد ناشناخته"))</f>
        <v/>
      </c>
      <c r="I152" s="13" t="n"/>
      <c r="J152" s="13" t="n"/>
      <c r="K152" s="14" t="n"/>
      <c r="L152" s="14" t="n"/>
      <c r="M152" s="15">
        <f>IF(OR($B152="",$K152=""),"",($K152-IF($L152="",0,$L152)*IFERROR(VLOOKUP("P01",ParamTbl,3,0),1.5))*(1-IF(IFERROR(VLOOKUP($E152,OpTbl,3,0),"")="خرید",IFERROR(VLOOKUP("P02",ParamTbl,3,0),1),0)/100))</f>
        <v/>
      </c>
      <c r="N152" s="14" t="n"/>
      <c r="O152" s="13" t="n"/>
    </row>
    <row r="153">
      <c r="A153" s="11">
        <f>IF($B153="","",COUNTA($B$9:$B153))</f>
        <v/>
      </c>
      <c r="B153" s="12" t="n"/>
      <c r="C153" s="12" t="n"/>
      <c r="D153" s="12" t="n"/>
      <c r="E153" s="13" t="n"/>
      <c r="F153" s="11">
        <f>IF($E153="","",IFERROR(VLOOKUP($E153,OpTbl,2,0),""))</f>
        <v/>
      </c>
      <c r="G153" s="12" t="n"/>
      <c r="H153" s="11">
        <f>IF($G153="","",IFERROR(IF(VLOOKUP($G153,AcctTbl,4,0)="","(بدون نام)",VLOOKUP($G153,AcctTbl,4,0)),"کد ناشناخته"))</f>
        <v/>
      </c>
      <c r="I153" s="13" t="n"/>
      <c r="J153" s="13" t="n"/>
      <c r="K153" s="14" t="n"/>
      <c r="L153" s="14" t="n"/>
      <c r="M153" s="15">
        <f>IF(OR($B153="",$K153=""),"",($K153-IF($L153="",0,$L153)*IFERROR(VLOOKUP("P01",ParamTbl,3,0),1.5))*(1-IF(IFERROR(VLOOKUP($E153,OpTbl,3,0),"")="خرید",IFERROR(VLOOKUP("P02",ParamTbl,3,0),1),0)/100))</f>
        <v/>
      </c>
      <c r="N153" s="14" t="n"/>
      <c r="O153" s="13" t="n"/>
    </row>
    <row r="154">
      <c r="A154" s="11">
        <f>IF($B154="","",COUNTA($B$9:$B154))</f>
        <v/>
      </c>
      <c r="B154" s="12" t="n"/>
      <c r="C154" s="12" t="n"/>
      <c r="D154" s="12" t="n"/>
      <c r="E154" s="13" t="n"/>
      <c r="F154" s="11">
        <f>IF($E154="","",IFERROR(VLOOKUP($E154,OpTbl,2,0),""))</f>
        <v/>
      </c>
      <c r="G154" s="12" t="n"/>
      <c r="H154" s="11">
        <f>IF($G154="","",IFERROR(IF(VLOOKUP($G154,AcctTbl,4,0)="","(بدون نام)",VLOOKUP($G154,AcctTbl,4,0)),"کد ناشناخته"))</f>
        <v/>
      </c>
      <c r="I154" s="13" t="n"/>
      <c r="J154" s="13" t="n"/>
      <c r="K154" s="14" t="n"/>
      <c r="L154" s="14" t="n"/>
      <c r="M154" s="15">
        <f>IF(OR($B154="",$K154=""),"",($K154-IF($L154="",0,$L154)*IFERROR(VLOOKUP("P01",ParamTbl,3,0),1.5))*(1-IF(IFERROR(VLOOKUP($E154,OpTbl,3,0),"")="خرید",IFERROR(VLOOKUP("P02",ParamTbl,3,0),1),0)/100))</f>
        <v/>
      </c>
      <c r="N154" s="14" t="n"/>
      <c r="O154" s="13" t="n"/>
    </row>
    <row r="155">
      <c r="A155" s="11">
        <f>IF($B155="","",COUNTA($B$9:$B155))</f>
        <v/>
      </c>
      <c r="B155" s="12" t="n"/>
      <c r="C155" s="12" t="n"/>
      <c r="D155" s="12" t="n"/>
      <c r="E155" s="13" t="n"/>
      <c r="F155" s="11">
        <f>IF($E155="","",IFERROR(VLOOKUP($E155,OpTbl,2,0),""))</f>
        <v/>
      </c>
      <c r="G155" s="12" t="n"/>
      <c r="H155" s="11">
        <f>IF($G155="","",IFERROR(IF(VLOOKUP($G155,AcctTbl,4,0)="","(بدون نام)",VLOOKUP($G155,AcctTbl,4,0)),"کد ناشناخته"))</f>
        <v/>
      </c>
      <c r="I155" s="13" t="n"/>
      <c r="J155" s="13" t="n"/>
      <c r="K155" s="14" t="n"/>
      <c r="L155" s="14" t="n"/>
      <c r="M155" s="15">
        <f>IF(OR($B155="",$K155=""),"",($K155-IF($L155="",0,$L155)*IFERROR(VLOOKUP("P01",ParamTbl,3,0),1.5))*(1-IF(IFERROR(VLOOKUP($E155,OpTbl,3,0),"")="خرید",IFERROR(VLOOKUP("P02",ParamTbl,3,0),1),0)/100))</f>
        <v/>
      </c>
      <c r="N155" s="14" t="n"/>
      <c r="O155" s="13" t="n"/>
    </row>
    <row r="156">
      <c r="A156" s="11">
        <f>IF($B156="","",COUNTA($B$9:$B156))</f>
        <v/>
      </c>
      <c r="B156" s="12" t="n"/>
      <c r="C156" s="12" t="n"/>
      <c r="D156" s="12" t="n"/>
      <c r="E156" s="13" t="n"/>
      <c r="F156" s="11">
        <f>IF($E156="","",IFERROR(VLOOKUP($E156,OpTbl,2,0),""))</f>
        <v/>
      </c>
      <c r="G156" s="12" t="n"/>
      <c r="H156" s="11">
        <f>IF($G156="","",IFERROR(IF(VLOOKUP($G156,AcctTbl,4,0)="","(بدون نام)",VLOOKUP($G156,AcctTbl,4,0)),"کد ناشناخته"))</f>
        <v/>
      </c>
      <c r="I156" s="13" t="n"/>
      <c r="J156" s="13" t="n"/>
      <c r="K156" s="14" t="n"/>
      <c r="L156" s="14" t="n"/>
      <c r="M156" s="15">
        <f>IF(OR($B156="",$K156=""),"",($K156-IF($L156="",0,$L156)*IFERROR(VLOOKUP("P01",ParamTbl,3,0),1.5))*(1-IF(IFERROR(VLOOKUP($E156,OpTbl,3,0),"")="خرید",IFERROR(VLOOKUP("P02",ParamTbl,3,0),1),0)/100))</f>
        <v/>
      </c>
      <c r="N156" s="14" t="n"/>
      <c r="O156" s="13" t="n"/>
    </row>
    <row r="157">
      <c r="A157" s="11">
        <f>IF($B157="","",COUNTA($B$9:$B157))</f>
        <v/>
      </c>
      <c r="B157" s="12" t="n"/>
      <c r="C157" s="12" t="n"/>
      <c r="D157" s="12" t="n"/>
      <c r="E157" s="13" t="n"/>
      <c r="F157" s="11">
        <f>IF($E157="","",IFERROR(VLOOKUP($E157,OpTbl,2,0),""))</f>
        <v/>
      </c>
      <c r="G157" s="12" t="n"/>
      <c r="H157" s="11">
        <f>IF($G157="","",IFERROR(IF(VLOOKUP($G157,AcctTbl,4,0)="","(بدون نام)",VLOOKUP($G157,AcctTbl,4,0)),"کد ناشناخته"))</f>
        <v/>
      </c>
      <c r="I157" s="13" t="n"/>
      <c r="J157" s="13" t="n"/>
      <c r="K157" s="14" t="n"/>
      <c r="L157" s="14" t="n"/>
      <c r="M157" s="15">
        <f>IF(OR($B157="",$K157=""),"",($K157-IF($L157="",0,$L157)*IFERROR(VLOOKUP("P01",ParamTbl,3,0),1.5))*(1-IF(IFERROR(VLOOKUP($E157,OpTbl,3,0),"")="خرید",IFERROR(VLOOKUP("P02",ParamTbl,3,0),1),0)/100))</f>
        <v/>
      </c>
      <c r="N157" s="14" t="n"/>
      <c r="O157" s="13" t="n"/>
    </row>
    <row r="158">
      <c r="A158" s="11">
        <f>IF($B158="","",COUNTA($B$9:$B158))</f>
        <v/>
      </c>
      <c r="B158" s="12" t="n"/>
      <c r="C158" s="12" t="n"/>
      <c r="D158" s="12" t="n"/>
      <c r="E158" s="13" t="n"/>
      <c r="F158" s="11">
        <f>IF($E158="","",IFERROR(VLOOKUP($E158,OpTbl,2,0),""))</f>
        <v/>
      </c>
      <c r="G158" s="12" t="n"/>
      <c r="H158" s="11">
        <f>IF($G158="","",IFERROR(IF(VLOOKUP($G158,AcctTbl,4,0)="","(بدون نام)",VLOOKUP($G158,AcctTbl,4,0)),"کد ناشناخته"))</f>
        <v/>
      </c>
      <c r="I158" s="13" t="n"/>
      <c r="J158" s="13" t="n"/>
      <c r="K158" s="14" t="n"/>
      <c r="L158" s="14" t="n"/>
      <c r="M158" s="15">
        <f>IF(OR($B158="",$K158=""),"",($K158-IF($L158="",0,$L158)*IFERROR(VLOOKUP("P01",ParamTbl,3,0),1.5))*(1-IF(IFERROR(VLOOKUP($E158,OpTbl,3,0),"")="خرید",IFERROR(VLOOKUP("P02",ParamTbl,3,0),1),0)/100))</f>
        <v/>
      </c>
      <c r="N158" s="14" t="n"/>
      <c r="O158" s="13" t="n"/>
    </row>
    <row r="159">
      <c r="A159" s="11">
        <f>IF($B159="","",COUNTA($B$9:$B159))</f>
        <v/>
      </c>
      <c r="B159" s="12" t="n"/>
      <c r="C159" s="12" t="n"/>
      <c r="D159" s="12" t="n"/>
      <c r="E159" s="13" t="n"/>
      <c r="F159" s="11">
        <f>IF($E159="","",IFERROR(VLOOKUP($E159,OpTbl,2,0),""))</f>
        <v/>
      </c>
      <c r="G159" s="12" t="n"/>
      <c r="H159" s="11">
        <f>IF($G159="","",IFERROR(IF(VLOOKUP($G159,AcctTbl,4,0)="","(بدون نام)",VLOOKUP($G159,AcctTbl,4,0)),"کد ناشناخته"))</f>
        <v/>
      </c>
      <c r="I159" s="13" t="n"/>
      <c r="J159" s="13" t="n"/>
      <c r="K159" s="14" t="n"/>
      <c r="L159" s="14" t="n"/>
      <c r="M159" s="15">
        <f>IF(OR($B159="",$K159=""),"",($K159-IF($L159="",0,$L159)*IFERROR(VLOOKUP("P01",ParamTbl,3,0),1.5))*(1-IF(IFERROR(VLOOKUP($E159,OpTbl,3,0),"")="خرید",IFERROR(VLOOKUP("P02",ParamTbl,3,0),1),0)/100))</f>
        <v/>
      </c>
      <c r="N159" s="14" t="n"/>
      <c r="O159" s="13" t="n"/>
    </row>
    <row r="160">
      <c r="A160" s="11">
        <f>IF($B160="","",COUNTA($B$9:$B160))</f>
        <v/>
      </c>
      <c r="B160" s="12" t="n"/>
      <c r="C160" s="12" t="n"/>
      <c r="D160" s="12" t="n"/>
      <c r="E160" s="13" t="n"/>
      <c r="F160" s="11">
        <f>IF($E160="","",IFERROR(VLOOKUP($E160,OpTbl,2,0),""))</f>
        <v/>
      </c>
      <c r="G160" s="12" t="n"/>
      <c r="H160" s="11">
        <f>IF($G160="","",IFERROR(IF(VLOOKUP($G160,AcctTbl,4,0)="","(بدون نام)",VLOOKUP($G160,AcctTbl,4,0)),"کد ناشناخته"))</f>
        <v/>
      </c>
      <c r="I160" s="13" t="n"/>
      <c r="J160" s="13" t="n"/>
      <c r="K160" s="14" t="n"/>
      <c r="L160" s="14" t="n"/>
      <c r="M160" s="15">
        <f>IF(OR($B160="",$K160=""),"",($K160-IF($L160="",0,$L160)*IFERROR(VLOOKUP("P01",ParamTbl,3,0),1.5))*(1-IF(IFERROR(VLOOKUP($E160,OpTbl,3,0),"")="خرید",IFERROR(VLOOKUP("P02",ParamTbl,3,0),1),0)/100))</f>
        <v/>
      </c>
      <c r="N160" s="14" t="n"/>
      <c r="O160" s="13" t="n"/>
    </row>
    <row r="161">
      <c r="A161" s="11">
        <f>IF($B161="","",COUNTA($B$9:$B161))</f>
        <v/>
      </c>
      <c r="B161" s="12" t="n"/>
      <c r="C161" s="12" t="n"/>
      <c r="D161" s="12" t="n"/>
      <c r="E161" s="13" t="n"/>
      <c r="F161" s="11">
        <f>IF($E161="","",IFERROR(VLOOKUP($E161,OpTbl,2,0),""))</f>
        <v/>
      </c>
      <c r="G161" s="12" t="n"/>
      <c r="H161" s="11">
        <f>IF($G161="","",IFERROR(IF(VLOOKUP($G161,AcctTbl,4,0)="","(بدون نام)",VLOOKUP($G161,AcctTbl,4,0)),"کد ناشناخته"))</f>
        <v/>
      </c>
      <c r="I161" s="13" t="n"/>
      <c r="J161" s="13" t="n"/>
      <c r="K161" s="14" t="n"/>
      <c r="L161" s="14" t="n"/>
      <c r="M161" s="15">
        <f>IF(OR($B161="",$K161=""),"",($K161-IF($L161="",0,$L161)*IFERROR(VLOOKUP("P01",ParamTbl,3,0),1.5))*(1-IF(IFERROR(VLOOKUP($E161,OpTbl,3,0),"")="خرید",IFERROR(VLOOKUP("P02",ParamTbl,3,0),1),0)/100))</f>
        <v/>
      </c>
      <c r="N161" s="14" t="n"/>
      <c r="O161" s="13" t="n"/>
    </row>
    <row r="162">
      <c r="A162" s="11">
        <f>IF($B162="","",COUNTA($B$9:$B162))</f>
        <v/>
      </c>
      <c r="B162" s="12" t="n"/>
      <c r="C162" s="12" t="n"/>
      <c r="D162" s="12" t="n"/>
      <c r="E162" s="13" t="n"/>
      <c r="F162" s="11">
        <f>IF($E162="","",IFERROR(VLOOKUP($E162,OpTbl,2,0),""))</f>
        <v/>
      </c>
      <c r="G162" s="12" t="n"/>
      <c r="H162" s="11">
        <f>IF($G162="","",IFERROR(IF(VLOOKUP($G162,AcctTbl,4,0)="","(بدون نام)",VLOOKUP($G162,AcctTbl,4,0)),"کد ناشناخته"))</f>
        <v/>
      </c>
      <c r="I162" s="13" t="n"/>
      <c r="J162" s="13" t="n"/>
      <c r="K162" s="14" t="n"/>
      <c r="L162" s="14" t="n"/>
      <c r="M162" s="15">
        <f>IF(OR($B162="",$K162=""),"",($K162-IF($L162="",0,$L162)*IFERROR(VLOOKUP("P01",ParamTbl,3,0),1.5))*(1-IF(IFERROR(VLOOKUP($E162,OpTbl,3,0),"")="خرید",IFERROR(VLOOKUP("P02",ParamTbl,3,0),1),0)/100))</f>
        <v/>
      </c>
      <c r="N162" s="14" t="n"/>
      <c r="O162" s="13" t="n"/>
    </row>
    <row r="163">
      <c r="A163" s="11">
        <f>IF($B163="","",COUNTA($B$9:$B163))</f>
        <v/>
      </c>
      <c r="B163" s="12" t="n"/>
      <c r="C163" s="12" t="n"/>
      <c r="D163" s="12" t="n"/>
      <c r="E163" s="13" t="n"/>
      <c r="F163" s="11">
        <f>IF($E163="","",IFERROR(VLOOKUP($E163,OpTbl,2,0),""))</f>
        <v/>
      </c>
      <c r="G163" s="12" t="n"/>
      <c r="H163" s="11">
        <f>IF($G163="","",IFERROR(IF(VLOOKUP($G163,AcctTbl,4,0)="","(بدون نام)",VLOOKUP($G163,AcctTbl,4,0)),"کد ناشناخته"))</f>
        <v/>
      </c>
      <c r="I163" s="13" t="n"/>
      <c r="J163" s="13" t="n"/>
      <c r="K163" s="14" t="n"/>
      <c r="L163" s="14" t="n"/>
      <c r="M163" s="15">
        <f>IF(OR($B163="",$K163=""),"",($K163-IF($L163="",0,$L163)*IFERROR(VLOOKUP("P01",ParamTbl,3,0),1.5))*(1-IF(IFERROR(VLOOKUP($E163,OpTbl,3,0),"")="خرید",IFERROR(VLOOKUP("P02",ParamTbl,3,0),1),0)/100))</f>
        <v/>
      </c>
      <c r="N163" s="14" t="n"/>
      <c r="O163" s="13" t="n"/>
    </row>
    <row r="164">
      <c r="A164" s="11">
        <f>IF($B164="","",COUNTA($B$9:$B164))</f>
        <v/>
      </c>
      <c r="B164" s="12" t="n"/>
      <c r="C164" s="12" t="n"/>
      <c r="D164" s="12" t="n"/>
      <c r="E164" s="13" t="n"/>
      <c r="F164" s="11">
        <f>IF($E164="","",IFERROR(VLOOKUP($E164,OpTbl,2,0),""))</f>
        <v/>
      </c>
      <c r="G164" s="12" t="n"/>
      <c r="H164" s="11">
        <f>IF($G164="","",IFERROR(IF(VLOOKUP($G164,AcctTbl,4,0)="","(بدون نام)",VLOOKUP($G164,AcctTbl,4,0)),"کد ناشناخته"))</f>
        <v/>
      </c>
      <c r="I164" s="13" t="n"/>
      <c r="J164" s="13" t="n"/>
      <c r="K164" s="14" t="n"/>
      <c r="L164" s="14" t="n"/>
      <c r="M164" s="15">
        <f>IF(OR($B164="",$K164=""),"",($K164-IF($L164="",0,$L164)*IFERROR(VLOOKUP("P01",ParamTbl,3,0),1.5))*(1-IF(IFERROR(VLOOKUP($E164,OpTbl,3,0),"")="خرید",IFERROR(VLOOKUP("P02",ParamTbl,3,0),1),0)/100))</f>
        <v/>
      </c>
      <c r="N164" s="14" t="n"/>
      <c r="O164" s="13" t="n"/>
    </row>
    <row r="165">
      <c r="A165" s="11">
        <f>IF($B165="","",COUNTA($B$9:$B165))</f>
        <v/>
      </c>
      <c r="B165" s="12" t="n"/>
      <c r="C165" s="12" t="n"/>
      <c r="D165" s="12" t="n"/>
      <c r="E165" s="13" t="n"/>
      <c r="F165" s="11">
        <f>IF($E165="","",IFERROR(VLOOKUP($E165,OpTbl,2,0),""))</f>
        <v/>
      </c>
      <c r="G165" s="12" t="n"/>
      <c r="H165" s="11">
        <f>IF($G165="","",IFERROR(IF(VLOOKUP($G165,AcctTbl,4,0)="","(بدون نام)",VLOOKUP($G165,AcctTbl,4,0)),"کد ناشناخته"))</f>
        <v/>
      </c>
      <c r="I165" s="13" t="n"/>
      <c r="J165" s="13" t="n"/>
      <c r="K165" s="14" t="n"/>
      <c r="L165" s="14" t="n"/>
      <c r="M165" s="15">
        <f>IF(OR($B165="",$K165=""),"",($K165-IF($L165="",0,$L165)*IFERROR(VLOOKUP("P01",ParamTbl,3,0),1.5))*(1-IF(IFERROR(VLOOKUP($E165,OpTbl,3,0),"")="خرید",IFERROR(VLOOKUP("P02",ParamTbl,3,0),1),0)/100))</f>
        <v/>
      </c>
      <c r="N165" s="14" t="n"/>
      <c r="O165" s="13" t="n"/>
    </row>
    <row r="166">
      <c r="A166" s="11">
        <f>IF($B166="","",COUNTA($B$9:$B166))</f>
        <v/>
      </c>
      <c r="B166" s="12" t="n"/>
      <c r="C166" s="12" t="n"/>
      <c r="D166" s="12" t="n"/>
      <c r="E166" s="13" t="n"/>
      <c r="F166" s="11">
        <f>IF($E166="","",IFERROR(VLOOKUP($E166,OpTbl,2,0),""))</f>
        <v/>
      </c>
      <c r="G166" s="12" t="n"/>
      <c r="H166" s="11">
        <f>IF($G166="","",IFERROR(IF(VLOOKUP($G166,AcctTbl,4,0)="","(بدون نام)",VLOOKUP($G166,AcctTbl,4,0)),"کد ناشناخته"))</f>
        <v/>
      </c>
      <c r="I166" s="13" t="n"/>
      <c r="J166" s="13" t="n"/>
      <c r="K166" s="14" t="n"/>
      <c r="L166" s="14" t="n"/>
      <c r="M166" s="15">
        <f>IF(OR($B166="",$K166=""),"",($K166-IF($L166="",0,$L166)*IFERROR(VLOOKUP("P01",ParamTbl,3,0),1.5))*(1-IF(IFERROR(VLOOKUP($E166,OpTbl,3,0),"")="خرید",IFERROR(VLOOKUP("P02",ParamTbl,3,0),1),0)/100))</f>
        <v/>
      </c>
      <c r="N166" s="14" t="n"/>
      <c r="O166" s="13" t="n"/>
    </row>
    <row r="167">
      <c r="A167" s="11">
        <f>IF($B167="","",COUNTA($B$9:$B167))</f>
        <v/>
      </c>
      <c r="B167" s="12" t="n"/>
      <c r="C167" s="12" t="n"/>
      <c r="D167" s="12" t="n"/>
      <c r="E167" s="13" t="n"/>
      <c r="F167" s="11">
        <f>IF($E167="","",IFERROR(VLOOKUP($E167,OpTbl,2,0),""))</f>
        <v/>
      </c>
      <c r="G167" s="12" t="n"/>
      <c r="H167" s="11">
        <f>IF($G167="","",IFERROR(IF(VLOOKUP($G167,AcctTbl,4,0)="","(بدون نام)",VLOOKUP($G167,AcctTbl,4,0)),"کد ناشناخته"))</f>
        <v/>
      </c>
      <c r="I167" s="13" t="n"/>
      <c r="J167" s="13" t="n"/>
      <c r="K167" s="14" t="n"/>
      <c r="L167" s="14" t="n"/>
      <c r="M167" s="15">
        <f>IF(OR($B167="",$K167=""),"",($K167-IF($L167="",0,$L167)*IFERROR(VLOOKUP("P01",ParamTbl,3,0),1.5))*(1-IF(IFERROR(VLOOKUP($E167,OpTbl,3,0),"")="خرید",IFERROR(VLOOKUP("P02",ParamTbl,3,0),1),0)/100))</f>
        <v/>
      </c>
      <c r="N167" s="14" t="n"/>
      <c r="O167" s="13" t="n"/>
    </row>
    <row r="168">
      <c r="A168" s="11">
        <f>IF($B168="","",COUNTA($B$9:$B168))</f>
        <v/>
      </c>
      <c r="B168" s="12" t="n"/>
      <c r="C168" s="12" t="n"/>
      <c r="D168" s="12" t="n"/>
      <c r="E168" s="13" t="n"/>
      <c r="F168" s="11">
        <f>IF($E168="","",IFERROR(VLOOKUP($E168,OpTbl,2,0),""))</f>
        <v/>
      </c>
      <c r="G168" s="12" t="n"/>
      <c r="H168" s="11">
        <f>IF($G168="","",IFERROR(IF(VLOOKUP($G168,AcctTbl,4,0)="","(بدون نام)",VLOOKUP($G168,AcctTbl,4,0)),"کد ناشناخته"))</f>
        <v/>
      </c>
      <c r="I168" s="13" t="n"/>
      <c r="J168" s="13" t="n"/>
      <c r="K168" s="14" t="n"/>
      <c r="L168" s="14" t="n"/>
      <c r="M168" s="15">
        <f>IF(OR($B168="",$K168=""),"",($K168-IF($L168="",0,$L168)*IFERROR(VLOOKUP("P01",ParamTbl,3,0),1.5))*(1-IF(IFERROR(VLOOKUP($E168,OpTbl,3,0),"")="خرید",IFERROR(VLOOKUP("P02",ParamTbl,3,0),1),0)/100))</f>
        <v/>
      </c>
      <c r="N168" s="14" t="n"/>
      <c r="O168" s="13" t="n"/>
    </row>
    <row r="169">
      <c r="A169" s="11">
        <f>IF($B169="","",COUNTA($B$9:$B169))</f>
        <v/>
      </c>
      <c r="B169" s="12" t="n"/>
      <c r="C169" s="12" t="n"/>
      <c r="D169" s="12" t="n"/>
      <c r="E169" s="13" t="n"/>
      <c r="F169" s="11">
        <f>IF($E169="","",IFERROR(VLOOKUP($E169,OpTbl,2,0),""))</f>
        <v/>
      </c>
      <c r="G169" s="12" t="n"/>
      <c r="H169" s="11">
        <f>IF($G169="","",IFERROR(IF(VLOOKUP($G169,AcctTbl,4,0)="","(بدون نام)",VLOOKUP($G169,AcctTbl,4,0)),"کد ناشناخته"))</f>
        <v/>
      </c>
      <c r="I169" s="13" t="n"/>
      <c r="J169" s="13" t="n"/>
      <c r="K169" s="14" t="n"/>
      <c r="L169" s="14" t="n"/>
      <c r="M169" s="15">
        <f>IF(OR($B169="",$K169=""),"",($K169-IF($L169="",0,$L169)*IFERROR(VLOOKUP("P01",ParamTbl,3,0),1.5))*(1-IF(IFERROR(VLOOKUP($E169,OpTbl,3,0),"")="خرید",IFERROR(VLOOKUP("P02",ParamTbl,3,0),1),0)/100))</f>
        <v/>
      </c>
      <c r="N169" s="14" t="n"/>
      <c r="O169" s="13" t="n"/>
    </row>
    <row r="170">
      <c r="A170" s="11">
        <f>IF($B170="","",COUNTA($B$9:$B170))</f>
        <v/>
      </c>
      <c r="B170" s="12" t="n"/>
      <c r="C170" s="12" t="n"/>
      <c r="D170" s="12" t="n"/>
      <c r="E170" s="13" t="n"/>
      <c r="F170" s="11">
        <f>IF($E170="","",IFERROR(VLOOKUP($E170,OpTbl,2,0),""))</f>
        <v/>
      </c>
      <c r="G170" s="12" t="n"/>
      <c r="H170" s="11">
        <f>IF($G170="","",IFERROR(IF(VLOOKUP($G170,AcctTbl,4,0)="","(بدون نام)",VLOOKUP($G170,AcctTbl,4,0)),"کد ناشناخته"))</f>
        <v/>
      </c>
      <c r="I170" s="13" t="n"/>
      <c r="J170" s="13" t="n"/>
      <c r="K170" s="14" t="n"/>
      <c r="L170" s="14" t="n"/>
      <c r="M170" s="15">
        <f>IF(OR($B170="",$K170=""),"",($K170-IF($L170="",0,$L170)*IFERROR(VLOOKUP("P01",ParamTbl,3,0),1.5))*(1-IF(IFERROR(VLOOKUP($E170,OpTbl,3,0),"")="خرید",IFERROR(VLOOKUP("P02",ParamTbl,3,0),1),0)/100))</f>
        <v/>
      </c>
      <c r="N170" s="14" t="n"/>
      <c r="O170" s="13" t="n"/>
    </row>
    <row r="171">
      <c r="A171" s="11">
        <f>IF($B171="","",COUNTA($B$9:$B171))</f>
        <v/>
      </c>
      <c r="B171" s="12" t="n"/>
      <c r="C171" s="12" t="n"/>
      <c r="D171" s="12" t="n"/>
      <c r="E171" s="13" t="n"/>
      <c r="F171" s="11">
        <f>IF($E171="","",IFERROR(VLOOKUP($E171,OpTbl,2,0),""))</f>
        <v/>
      </c>
      <c r="G171" s="12" t="n"/>
      <c r="H171" s="11">
        <f>IF($G171="","",IFERROR(IF(VLOOKUP($G171,AcctTbl,4,0)="","(بدون نام)",VLOOKUP($G171,AcctTbl,4,0)),"کد ناشناخته"))</f>
        <v/>
      </c>
      <c r="I171" s="13" t="n"/>
      <c r="J171" s="13" t="n"/>
      <c r="K171" s="14" t="n"/>
      <c r="L171" s="14" t="n"/>
      <c r="M171" s="15">
        <f>IF(OR($B171="",$K171=""),"",($K171-IF($L171="",0,$L171)*IFERROR(VLOOKUP("P01",ParamTbl,3,0),1.5))*(1-IF(IFERROR(VLOOKUP($E171,OpTbl,3,0),"")="خرید",IFERROR(VLOOKUP("P02",ParamTbl,3,0),1),0)/100))</f>
        <v/>
      </c>
      <c r="N171" s="14" t="n"/>
      <c r="O171" s="13" t="n"/>
    </row>
    <row r="172">
      <c r="A172" s="11">
        <f>IF($B172="","",COUNTA($B$9:$B172))</f>
        <v/>
      </c>
      <c r="B172" s="12" t="n"/>
      <c r="C172" s="12" t="n"/>
      <c r="D172" s="12" t="n"/>
      <c r="E172" s="13" t="n"/>
      <c r="F172" s="11">
        <f>IF($E172="","",IFERROR(VLOOKUP($E172,OpTbl,2,0),""))</f>
        <v/>
      </c>
      <c r="G172" s="12" t="n"/>
      <c r="H172" s="11">
        <f>IF($G172="","",IFERROR(IF(VLOOKUP($G172,AcctTbl,4,0)="","(بدون نام)",VLOOKUP($G172,AcctTbl,4,0)),"کد ناشناخته"))</f>
        <v/>
      </c>
      <c r="I172" s="13" t="n"/>
      <c r="J172" s="13" t="n"/>
      <c r="K172" s="14" t="n"/>
      <c r="L172" s="14" t="n"/>
      <c r="M172" s="15">
        <f>IF(OR($B172="",$K172=""),"",($K172-IF($L172="",0,$L172)*IFERROR(VLOOKUP("P01",ParamTbl,3,0),1.5))*(1-IF(IFERROR(VLOOKUP($E172,OpTbl,3,0),"")="خرید",IFERROR(VLOOKUP("P02",ParamTbl,3,0),1),0)/100))</f>
        <v/>
      </c>
      <c r="N172" s="14" t="n"/>
      <c r="O172" s="13" t="n"/>
    </row>
    <row r="173">
      <c r="A173" s="11">
        <f>IF($B173="","",COUNTA($B$9:$B173))</f>
        <v/>
      </c>
      <c r="B173" s="12" t="n"/>
      <c r="C173" s="12" t="n"/>
      <c r="D173" s="12" t="n"/>
      <c r="E173" s="13" t="n"/>
      <c r="F173" s="11">
        <f>IF($E173="","",IFERROR(VLOOKUP($E173,OpTbl,2,0),""))</f>
        <v/>
      </c>
      <c r="G173" s="12" t="n"/>
      <c r="H173" s="11">
        <f>IF($G173="","",IFERROR(IF(VLOOKUP($G173,AcctTbl,4,0)="","(بدون نام)",VLOOKUP($G173,AcctTbl,4,0)),"کد ناشناخته"))</f>
        <v/>
      </c>
      <c r="I173" s="13" t="n"/>
      <c r="J173" s="13" t="n"/>
      <c r="K173" s="14" t="n"/>
      <c r="L173" s="14" t="n"/>
      <c r="M173" s="15">
        <f>IF(OR($B173="",$K173=""),"",($K173-IF($L173="",0,$L173)*IFERROR(VLOOKUP("P01",ParamTbl,3,0),1.5))*(1-IF(IFERROR(VLOOKUP($E173,OpTbl,3,0),"")="خرید",IFERROR(VLOOKUP("P02",ParamTbl,3,0),1),0)/100))</f>
        <v/>
      </c>
      <c r="N173" s="14" t="n"/>
      <c r="O173" s="13" t="n"/>
    </row>
    <row r="174">
      <c r="A174" s="11">
        <f>IF($B174="","",COUNTA($B$9:$B174))</f>
        <v/>
      </c>
      <c r="B174" s="12" t="n"/>
      <c r="C174" s="12" t="n"/>
      <c r="D174" s="12" t="n"/>
      <c r="E174" s="13" t="n"/>
      <c r="F174" s="11">
        <f>IF($E174="","",IFERROR(VLOOKUP($E174,OpTbl,2,0),""))</f>
        <v/>
      </c>
      <c r="G174" s="12" t="n"/>
      <c r="H174" s="11">
        <f>IF($G174="","",IFERROR(IF(VLOOKUP($G174,AcctTbl,4,0)="","(بدون نام)",VLOOKUP($G174,AcctTbl,4,0)),"کد ناشناخته"))</f>
        <v/>
      </c>
      <c r="I174" s="13" t="n"/>
      <c r="J174" s="13" t="n"/>
      <c r="K174" s="14" t="n"/>
      <c r="L174" s="14" t="n"/>
      <c r="M174" s="15">
        <f>IF(OR($B174="",$K174=""),"",($K174-IF($L174="",0,$L174)*IFERROR(VLOOKUP("P01",ParamTbl,3,0),1.5))*(1-IF(IFERROR(VLOOKUP($E174,OpTbl,3,0),"")="خرید",IFERROR(VLOOKUP("P02",ParamTbl,3,0),1),0)/100))</f>
        <v/>
      </c>
      <c r="N174" s="14" t="n"/>
      <c r="O174" s="13" t="n"/>
    </row>
    <row r="175">
      <c r="A175" s="11">
        <f>IF($B175="","",COUNTA($B$9:$B175))</f>
        <v/>
      </c>
      <c r="B175" s="12" t="n"/>
      <c r="C175" s="12" t="n"/>
      <c r="D175" s="12" t="n"/>
      <c r="E175" s="13" t="n"/>
      <c r="F175" s="11">
        <f>IF($E175="","",IFERROR(VLOOKUP($E175,OpTbl,2,0),""))</f>
        <v/>
      </c>
      <c r="G175" s="12" t="n"/>
      <c r="H175" s="11">
        <f>IF($G175="","",IFERROR(IF(VLOOKUP($G175,AcctTbl,4,0)="","(بدون نام)",VLOOKUP($G175,AcctTbl,4,0)),"کد ناشناخته"))</f>
        <v/>
      </c>
      <c r="I175" s="13" t="n"/>
      <c r="J175" s="13" t="n"/>
      <c r="K175" s="14" t="n"/>
      <c r="L175" s="14" t="n"/>
      <c r="M175" s="15">
        <f>IF(OR($B175="",$K175=""),"",($K175-IF($L175="",0,$L175)*IFERROR(VLOOKUP("P01",ParamTbl,3,0),1.5))*(1-IF(IFERROR(VLOOKUP($E175,OpTbl,3,0),"")="خرید",IFERROR(VLOOKUP("P02",ParamTbl,3,0),1),0)/100))</f>
        <v/>
      </c>
      <c r="N175" s="14" t="n"/>
      <c r="O175" s="13" t="n"/>
    </row>
    <row r="176">
      <c r="A176" s="11">
        <f>IF($B176="","",COUNTA($B$9:$B176))</f>
        <v/>
      </c>
      <c r="B176" s="12" t="n"/>
      <c r="C176" s="12" t="n"/>
      <c r="D176" s="12" t="n"/>
      <c r="E176" s="13" t="n"/>
      <c r="F176" s="11">
        <f>IF($E176="","",IFERROR(VLOOKUP($E176,OpTbl,2,0),""))</f>
        <v/>
      </c>
      <c r="G176" s="12" t="n"/>
      <c r="H176" s="11">
        <f>IF($G176="","",IFERROR(IF(VLOOKUP($G176,AcctTbl,4,0)="","(بدون نام)",VLOOKUP($G176,AcctTbl,4,0)),"کد ناشناخته"))</f>
        <v/>
      </c>
      <c r="I176" s="13" t="n"/>
      <c r="J176" s="13" t="n"/>
      <c r="K176" s="14" t="n"/>
      <c r="L176" s="14" t="n"/>
      <c r="M176" s="15">
        <f>IF(OR($B176="",$K176=""),"",($K176-IF($L176="",0,$L176)*IFERROR(VLOOKUP("P01",ParamTbl,3,0),1.5))*(1-IF(IFERROR(VLOOKUP($E176,OpTbl,3,0),"")="خرید",IFERROR(VLOOKUP("P02",ParamTbl,3,0),1),0)/100))</f>
        <v/>
      </c>
      <c r="N176" s="14" t="n"/>
      <c r="O176" s="13" t="n"/>
    </row>
    <row r="177">
      <c r="A177" s="11">
        <f>IF($B177="","",COUNTA($B$9:$B177))</f>
        <v/>
      </c>
      <c r="B177" s="12" t="n"/>
      <c r="C177" s="12" t="n"/>
      <c r="D177" s="12" t="n"/>
      <c r="E177" s="13" t="n"/>
      <c r="F177" s="11">
        <f>IF($E177="","",IFERROR(VLOOKUP($E177,OpTbl,2,0),""))</f>
        <v/>
      </c>
      <c r="G177" s="12" t="n"/>
      <c r="H177" s="11">
        <f>IF($G177="","",IFERROR(IF(VLOOKUP($G177,AcctTbl,4,0)="","(بدون نام)",VLOOKUP($G177,AcctTbl,4,0)),"کد ناشناخته"))</f>
        <v/>
      </c>
      <c r="I177" s="13" t="n"/>
      <c r="J177" s="13" t="n"/>
      <c r="K177" s="14" t="n"/>
      <c r="L177" s="14" t="n"/>
      <c r="M177" s="15">
        <f>IF(OR($B177="",$K177=""),"",($K177-IF($L177="",0,$L177)*IFERROR(VLOOKUP("P01",ParamTbl,3,0),1.5))*(1-IF(IFERROR(VLOOKUP($E177,OpTbl,3,0),"")="خرید",IFERROR(VLOOKUP("P02",ParamTbl,3,0),1),0)/100))</f>
        <v/>
      </c>
      <c r="N177" s="14" t="n"/>
      <c r="O177" s="13" t="n"/>
    </row>
    <row r="178">
      <c r="A178" s="11">
        <f>IF($B178="","",COUNTA($B$9:$B178))</f>
        <v/>
      </c>
      <c r="B178" s="12" t="n"/>
      <c r="C178" s="12" t="n"/>
      <c r="D178" s="12" t="n"/>
      <c r="E178" s="13" t="n"/>
      <c r="F178" s="11">
        <f>IF($E178="","",IFERROR(VLOOKUP($E178,OpTbl,2,0),""))</f>
        <v/>
      </c>
      <c r="G178" s="12" t="n"/>
      <c r="H178" s="11">
        <f>IF($G178="","",IFERROR(IF(VLOOKUP($G178,AcctTbl,4,0)="","(بدون نام)",VLOOKUP($G178,AcctTbl,4,0)),"کد ناشناخته"))</f>
        <v/>
      </c>
      <c r="I178" s="13" t="n"/>
      <c r="J178" s="13" t="n"/>
      <c r="K178" s="14" t="n"/>
      <c r="L178" s="14" t="n"/>
      <c r="M178" s="15">
        <f>IF(OR($B178="",$K178=""),"",($K178-IF($L178="",0,$L178)*IFERROR(VLOOKUP("P01",ParamTbl,3,0),1.5))*(1-IF(IFERROR(VLOOKUP($E178,OpTbl,3,0),"")="خرید",IFERROR(VLOOKUP("P02",ParamTbl,3,0),1),0)/100))</f>
        <v/>
      </c>
      <c r="N178" s="14" t="n"/>
      <c r="O178" s="13" t="n"/>
    </row>
    <row r="179">
      <c r="A179" s="11">
        <f>IF($B179="","",COUNTA($B$9:$B179))</f>
        <v/>
      </c>
      <c r="B179" s="12" t="n"/>
      <c r="C179" s="12" t="n"/>
      <c r="D179" s="12" t="n"/>
      <c r="E179" s="13" t="n"/>
      <c r="F179" s="11">
        <f>IF($E179="","",IFERROR(VLOOKUP($E179,OpTbl,2,0),""))</f>
        <v/>
      </c>
      <c r="G179" s="12" t="n"/>
      <c r="H179" s="11">
        <f>IF($G179="","",IFERROR(IF(VLOOKUP($G179,AcctTbl,4,0)="","(بدون نام)",VLOOKUP($G179,AcctTbl,4,0)),"کد ناشناخته"))</f>
        <v/>
      </c>
      <c r="I179" s="13" t="n"/>
      <c r="J179" s="13" t="n"/>
      <c r="K179" s="14" t="n"/>
      <c r="L179" s="14" t="n"/>
      <c r="M179" s="15">
        <f>IF(OR($B179="",$K179=""),"",($K179-IF($L179="",0,$L179)*IFERROR(VLOOKUP("P01",ParamTbl,3,0),1.5))*(1-IF(IFERROR(VLOOKUP($E179,OpTbl,3,0),"")="خرید",IFERROR(VLOOKUP("P02",ParamTbl,3,0),1),0)/100))</f>
        <v/>
      </c>
      <c r="N179" s="14" t="n"/>
      <c r="O179" s="13" t="n"/>
    </row>
    <row r="180">
      <c r="A180" s="11">
        <f>IF($B180="","",COUNTA($B$9:$B180))</f>
        <v/>
      </c>
      <c r="B180" s="12" t="n"/>
      <c r="C180" s="12" t="n"/>
      <c r="D180" s="12" t="n"/>
      <c r="E180" s="13" t="n"/>
      <c r="F180" s="11">
        <f>IF($E180="","",IFERROR(VLOOKUP($E180,OpTbl,2,0),""))</f>
        <v/>
      </c>
      <c r="G180" s="12" t="n"/>
      <c r="H180" s="11">
        <f>IF($G180="","",IFERROR(IF(VLOOKUP($G180,AcctTbl,4,0)="","(بدون نام)",VLOOKUP($G180,AcctTbl,4,0)),"کد ناشناخته"))</f>
        <v/>
      </c>
      <c r="I180" s="13" t="n"/>
      <c r="J180" s="13" t="n"/>
      <c r="K180" s="14" t="n"/>
      <c r="L180" s="14" t="n"/>
      <c r="M180" s="15">
        <f>IF(OR($B180="",$K180=""),"",($K180-IF($L180="",0,$L180)*IFERROR(VLOOKUP("P01",ParamTbl,3,0),1.5))*(1-IF(IFERROR(VLOOKUP($E180,OpTbl,3,0),"")="خرید",IFERROR(VLOOKUP("P02",ParamTbl,3,0),1),0)/100))</f>
        <v/>
      </c>
      <c r="N180" s="14" t="n"/>
      <c r="O180" s="13" t="n"/>
    </row>
    <row r="181">
      <c r="A181" s="11">
        <f>IF($B181="","",COUNTA($B$9:$B181))</f>
        <v/>
      </c>
      <c r="B181" s="12" t="n"/>
      <c r="C181" s="12" t="n"/>
      <c r="D181" s="12" t="n"/>
      <c r="E181" s="13" t="n"/>
      <c r="F181" s="11">
        <f>IF($E181="","",IFERROR(VLOOKUP($E181,OpTbl,2,0),""))</f>
        <v/>
      </c>
      <c r="G181" s="12" t="n"/>
      <c r="H181" s="11">
        <f>IF($G181="","",IFERROR(IF(VLOOKUP($G181,AcctTbl,4,0)="","(بدون نام)",VLOOKUP($G181,AcctTbl,4,0)),"کد ناشناخته"))</f>
        <v/>
      </c>
      <c r="I181" s="13" t="n"/>
      <c r="J181" s="13" t="n"/>
      <c r="K181" s="14" t="n"/>
      <c r="L181" s="14" t="n"/>
      <c r="M181" s="15">
        <f>IF(OR($B181="",$K181=""),"",($K181-IF($L181="",0,$L181)*IFERROR(VLOOKUP("P01",ParamTbl,3,0),1.5))*(1-IF(IFERROR(VLOOKUP($E181,OpTbl,3,0),"")="خرید",IFERROR(VLOOKUP("P02",ParamTbl,3,0),1),0)/100))</f>
        <v/>
      </c>
      <c r="N181" s="14" t="n"/>
      <c r="O181" s="13" t="n"/>
    </row>
    <row r="182">
      <c r="A182" s="11">
        <f>IF($B182="","",COUNTA($B$9:$B182))</f>
        <v/>
      </c>
      <c r="B182" s="12" t="n"/>
      <c r="C182" s="12" t="n"/>
      <c r="D182" s="12" t="n"/>
      <c r="E182" s="13" t="n"/>
      <c r="F182" s="11">
        <f>IF($E182="","",IFERROR(VLOOKUP($E182,OpTbl,2,0),""))</f>
        <v/>
      </c>
      <c r="G182" s="12" t="n"/>
      <c r="H182" s="11">
        <f>IF($G182="","",IFERROR(IF(VLOOKUP($G182,AcctTbl,4,0)="","(بدون نام)",VLOOKUP($G182,AcctTbl,4,0)),"کد ناشناخته"))</f>
        <v/>
      </c>
      <c r="I182" s="13" t="n"/>
      <c r="J182" s="13" t="n"/>
      <c r="K182" s="14" t="n"/>
      <c r="L182" s="14" t="n"/>
      <c r="M182" s="15">
        <f>IF(OR($B182="",$K182=""),"",($K182-IF($L182="",0,$L182)*IFERROR(VLOOKUP("P01",ParamTbl,3,0),1.5))*(1-IF(IFERROR(VLOOKUP($E182,OpTbl,3,0),"")="خرید",IFERROR(VLOOKUP("P02",ParamTbl,3,0),1),0)/100))</f>
        <v/>
      </c>
      <c r="N182" s="14" t="n"/>
      <c r="O182" s="13" t="n"/>
    </row>
    <row r="183">
      <c r="A183" s="11">
        <f>IF($B183="","",COUNTA($B$9:$B183))</f>
        <v/>
      </c>
      <c r="B183" s="12" t="n"/>
      <c r="C183" s="12" t="n"/>
      <c r="D183" s="12" t="n"/>
      <c r="E183" s="13" t="n"/>
      <c r="F183" s="11">
        <f>IF($E183="","",IFERROR(VLOOKUP($E183,OpTbl,2,0),""))</f>
        <v/>
      </c>
      <c r="G183" s="12" t="n"/>
      <c r="H183" s="11">
        <f>IF($G183="","",IFERROR(IF(VLOOKUP($G183,AcctTbl,4,0)="","(بدون نام)",VLOOKUP($G183,AcctTbl,4,0)),"کد ناشناخته"))</f>
        <v/>
      </c>
      <c r="I183" s="13" t="n"/>
      <c r="J183" s="13" t="n"/>
      <c r="K183" s="14" t="n"/>
      <c r="L183" s="14" t="n"/>
      <c r="M183" s="15">
        <f>IF(OR($B183="",$K183=""),"",($K183-IF($L183="",0,$L183)*IFERROR(VLOOKUP("P01",ParamTbl,3,0),1.5))*(1-IF(IFERROR(VLOOKUP($E183,OpTbl,3,0),"")="خرید",IFERROR(VLOOKUP("P02",ParamTbl,3,0),1),0)/100))</f>
        <v/>
      </c>
      <c r="N183" s="14" t="n"/>
      <c r="O183" s="13" t="n"/>
    </row>
    <row r="184">
      <c r="A184" s="11">
        <f>IF($B184="","",COUNTA($B$9:$B184))</f>
        <v/>
      </c>
      <c r="B184" s="12" t="n"/>
      <c r="C184" s="12" t="n"/>
      <c r="D184" s="12" t="n"/>
      <c r="E184" s="13" t="n"/>
      <c r="F184" s="11">
        <f>IF($E184="","",IFERROR(VLOOKUP($E184,OpTbl,2,0),""))</f>
        <v/>
      </c>
      <c r="G184" s="12" t="n"/>
      <c r="H184" s="11">
        <f>IF($G184="","",IFERROR(IF(VLOOKUP($G184,AcctTbl,4,0)="","(بدون نام)",VLOOKUP($G184,AcctTbl,4,0)),"کد ناشناخته"))</f>
        <v/>
      </c>
      <c r="I184" s="13" t="n"/>
      <c r="J184" s="13" t="n"/>
      <c r="K184" s="14" t="n"/>
      <c r="L184" s="14" t="n"/>
      <c r="M184" s="15">
        <f>IF(OR($B184="",$K184=""),"",($K184-IF($L184="",0,$L184)*IFERROR(VLOOKUP("P01",ParamTbl,3,0),1.5))*(1-IF(IFERROR(VLOOKUP($E184,OpTbl,3,0),"")="خرید",IFERROR(VLOOKUP("P02",ParamTbl,3,0),1),0)/100))</f>
        <v/>
      </c>
      <c r="N184" s="14" t="n"/>
      <c r="O184" s="13" t="n"/>
    </row>
    <row r="185">
      <c r="A185" s="11">
        <f>IF($B185="","",COUNTA($B$9:$B185))</f>
        <v/>
      </c>
      <c r="B185" s="12" t="n"/>
      <c r="C185" s="12" t="n"/>
      <c r="D185" s="12" t="n"/>
      <c r="E185" s="13" t="n"/>
      <c r="F185" s="11">
        <f>IF($E185="","",IFERROR(VLOOKUP($E185,OpTbl,2,0),""))</f>
        <v/>
      </c>
      <c r="G185" s="12" t="n"/>
      <c r="H185" s="11">
        <f>IF($G185="","",IFERROR(IF(VLOOKUP($G185,AcctTbl,4,0)="","(بدون نام)",VLOOKUP($G185,AcctTbl,4,0)),"کد ناشناخته"))</f>
        <v/>
      </c>
      <c r="I185" s="13" t="n"/>
      <c r="J185" s="13" t="n"/>
      <c r="K185" s="14" t="n"/>
      <c r="L185" s="14" t="n"/>
      <c r="M185" s="15">
        <f>IF(OR($B185="",$K185=""),"",($K185-IF($L185="",0,$L185)*IFERROR(VLOOKUP("P01",ParamTbl,3,0),1.5))*(1-IF(IFERROR(VLOOKUP($E185,OpTbl,3,0),"")="خرید",IFERROR(VLOOKUP("P02",ParamTbl,3,0),1),0)/100))</f>
        <v/>
      </c>
      <c r="N185" s="14" t="n"/>
      <c r="O185" s="13" t="n"/>
    </row>
    <row r="186">
      <c r="A186" s="11">
        <f>IF($B186="","",COUNTA($B$9:$B186))</f>
        <v/>
      </c>
      <c r="B186" s="12" t="n"/>
      <c r="C186" s="12" t="n"/>
      <c r="D186" s="12" t="n"/>
      <c r="E186" s="13" t="n"/>
      <c r="F186" s="11">
        <f>IF($E186="","",IFERROR(VLOOKUP($E186,OpTbl,2,0),""))</f>
        <v/>
      </c>
      <c r="G186" s="12" t="n"/>
      <c r="H186" s="11">
        <f>IF($G186="","",IFERROR(IF(VLOOKUP($G186,AcctTbl,4,0)="","(بدون نام)",VLOOKUP($G186,AcctTbl,4,0)),"کد ناشناخته"))</f>
        <v/>
      </c>
      <c r="I186" s="13" t="n"/>
      <c r="J186" s="13" t="n"/>
      <c r="K186" s="14" t="n"/>
      <c r="L186" s="14" t="n"/>
      <c r="M186" s="15">
        <f>IF(OR($B186="",$K186=""),"",($K186-IF($L186="",0,$L186)*IFERROR(VLOOKUP("P01",ParamTbl,3,0),1.5))*(1-IF(IFERROR(VLOOKUP($E186,OpTbl,3,0),"")="خرید",IFERROR(VLOOKUP("P02",ParamTbl,3,0),1),0)/100))</f>
        <v/>
      </c>
      <c r="N186" s="14" t="n"/>
      <c r="O186" s="13" t="n"/>
    </row>
    <row r="187">
      <c r="A187" s="11">
        <f>IF($B187="","",COUNTA($B$9:$B187))</f>
        <v/>
      </c>
      <c r="B187" s="12" t="n"/>
      <c r="C187" s="12" t="n"/>
      <c r="D187" s="12" t="n"/>
      <c r="E187" s="13" t="n"/>
      <c r="F187" s="11">
        <f>IF($E187="","",IFERROR(VLOOKUP($E187,OpTbl,2,0),""))</f>
        <v/>
      </c>
      <c r="G187" s="12" t="n"/>
      <c r="H187" s="11">
        <f>IF($G187="","",IFERROR(IF(VLOOKUP($G187,AcctTbl,4,0)="","(بدون نام)",VLOOKUP($G187,AcctTbl,4,0)),"کد ناشناخته"))</f>
        <v/>
      </c>
      <c r="I187" s="13" t="n"/>
      <c r="J187" s="13" t="n"/>
      <c r="K187" s="14" t="n"/>
      <c r="L187" s="14" t="n"/>
      <c r="M187" s="15">
        <f>IF(OR($B187="",$K187=""),"",($K187-IF($L187="",0,$L187)*IFERROR(VLOOKUP("P01",ParamTbl,3,0),1.5))*(1-IF(IFERROR(VLOOKUP($E187,OpTbl,3,0),"")="خرید",IFERROR(VLOOKUP("P02",ParamTbl,3,0),1),0)/100))</f>
        <v/>
      </c>
      <c r="N187" s="14" t="n"/>
      <c r="O187" s="13" t="n"/>
    </row>
    <row r="188">
      <c r="A188" s="11">
        <f>IF($B188="","",COUNTA($B$9:$B188))</f>
        <v/>
      </c>
      <c r="B188" s="12" t="n"/>
      <c r="C188" s="12" t="n"/>
      <c r="D188" s="12" t="n"/>
      <c r="E188" s="13" t="n"/>
      <c r="F188" s="11">
        <f>IF($E188="","",IFERROR(VLOOKUP($E188,OpTbl,2,0),""))</f>
        <v/>
      </c>
      <c r="G188" s="12" t="n"/>
      <c r="H188" s="11">
        <f>IF($G188="","",IFERROR(IF(VLOOKUP($G188,AcctTbl,4,0)="","(بدون نام)",VLOOKUP($G188,AcctTbl,4,0)),"کد ناشناخته"))</f>
        <v/>
      </c>
      <c r="I188" s="13" t="n"/>
      <c r="J188" s="13" t="n"/>
      <c r="K188" s="14" t="n"/>
      <c r="L188" s="14" t="n"/>
      <c r="M188" s="15">
        <f>IF(OR($B188="",$K188=""),"",($K188-IF($L188="",0,$L188)*IFERROR(VLOOKUP("P01",ParamTbl,3,0),1.5))*(1-IF(IFERROR(VLOOKUP($E188,OpTbl,3,0),"")="خرید",IFERROR(VLOOKUP("P02",ParamTbl,3,0),1),0)/100))</f>
        <v/>
      </c>
      <c r="N188" s="14" t="n"/>
      <c r="O188" s="13" t="n"/>
    </row>
    <row r="189">
      <c r="A189" s="11">
        <f>IF($B189="","",COUNTA($B$9:$B189))</f>
        <v/>
      </c>
      <c r="B189" s="12" t="n"/>
      <c r="C189" s="12" t="n"/>
      <c r="D189" s="12" t="n"/>
      <c r="E189" s="13" t="n"/>
      <c r="F189" s="11">
        <f>IF($E189="","",IFERROR(VLOOKUP($E189,OpTbl,2,0),""))</f>
        <v/>
      </c>
      <c r="G189" s="12" t="n"/>
      <c r="H189" s="11">
        <f>IF($G189="","",IFERROR(IF(VLOOKUP($G189,AcctTbl,4,0)="","(بدون نام)",VLOOKUP($G189,AcctTbl,4,0)),"کد ناشناخته"))</f>
        <v/>
      </c>
      <c r="I189" s="13" t="n"/>
      <c r="J189" s="13" t="n"/>
      <c r="K189" s="14" t="n"/>
      <c r="L189" s="14" t="n"/>
      <c r="M189" s="15">
        <f>IF(OR($B189="",$K189=""),"",($K189-IF($L189="",0,$L189)*IFERROR(VLOOKUP("P01",ParamTbl,3,0),1.5))*(1-IF(IFERROR(VLOOKUP($E189,OpTbl,3,0),"")="خرید",IFERROR(VLOOKUP("P02",ParamTbl,3,0),1),0)/100))</f>
        <v/>
      </c>
      <c r="N189" s="14" t="n"/>
      <c r="O189" s="13" t="n"/>
    </row>
    <row r="190">
      <c r="A190" s="11">
        <f>IF($B190="","",COUNTA($B$9:$B190))</f>
        <v/>
      </c>
      <c r="B190" s="12" t="n"/>
      <c r="C190" s="12" t="n"/>
      <c r="D190" s="12" t="n"/>
      <c r="E190" s="13" t="n"/>
      <c r="F190" s="11">
        <f>IF($E190="","",IFERROR(VLOOKUP($E190,OpTbl,2,0),""))</f>
        <v/>
      </c>
      <c r="G190" s="12" t="n"/>
      <c r="H190" s="11">
        <f>IF($G190="","",IFERROR(IF(VLOOKUP($G190,AcctTbl,4,0)="","(بدون نام)",VLOOKUP($G190,AcctTbl,4,0)),"کد ناشناخته"))</f>
        <v/>
      </c>
      <c r="I190" s="13" t="n"/>
      <c r="J190" s="13" t="n"/>
      <c r="K190" s="14" t="n"/>
      <c r="L190" s="14" t="n"/>
      <c r="M190" s="15">
        <f>IF(OR($B190="",$K190=""),"",($K190-IF($L190="",0,$L190)*IFERROR(VLOOKUP("P01",ParamTbl,3,0),1.5))*(1-IF(IFERROR(VLOOKUP($E190,OpTbl,3,0),"")="خرید",IFERROR(VLOOKUP("P02",ParamTbl,3,0),1),0)/100))</f>
        <v/>
      </c>
      <c r="N190" s="14" t="n"/>
      <c r="O190" s="13" t="n"/>
    </row>
    <row r="191">
      <c r="A191" s="11">
        <f>IF($B191="","",COUNTA($B$9:$B191))</f>
        <v/>
      </c>
      <c r="B191" s="12" t="n"/>
      <c r="C191" s="12" t="n"/>
      <c r="D191" s="12" t="n"/>
      <c r="E191" s="13" t="n"/>
      <c r="F191" s="11">
        <f>IF($E191="","",IFERROR(VLOOKUP($E191,OpTbl,2,0),""))</f>
        <v/>
      </c>
      <c r="G191" s="12" t="n"/>
      <c r="H191" s="11">
        <f>IF($G191="","",IFERROR(IF(VLOOKUP($G191,AcctTbl,4,0)="","(بدون نام)",VLOOKUP($G191,AcctTbl,4,0)),"کد ناشناخته"))</f>
        <v/>
      </c>
      <c r="I191" s="13" t="n"/>
      <c r="J191" s="13" t="n"/>
      <c r="K191" s="14" t="n"/>
      <c r="L191" s="14" t="n"/>
      <c r="M191" s="15">
        <f>IF(OR($B191="",$K191=""),"",($K191-IF($L191="",0,$L191)*IFERROR(VLOOKUP("P01",ParamTbl,3,0),1.5))*(1-IF(IFERROR(VLOOKUP($E191,OpTbl,3,0),"")="خرید",IFERROR(VLOOKUP("P02",ParamTbl,3,0),1),0)/100))</f>
        <v/>
      </c>
      <c r="N191" s="14" t="n"/>
      <c r="O191" s="13" t="n"/>
    </row>
    <row r="192">
      <c r="A192" s="11">
        <f>IF($B192="","",COUNTA($B$9:$B192))</f>
        <v/>
      </c>
      <c r="B192" s="12" t="n"/>
      <c r="C192" s="12" t="n"/>
      <c r="D192" s="12" t="n"/>
      <c r="E192" s="13" t="n"/>
      <c r="F192" s="11">
        <f>IF($E192="","",IFERROR(VLOOKUP($E192,OpTbl,2,0),""))</f>
        <v/>
      </c>
      <c r="G192" s="12" t="n"/>
      <c r="H192" s="11">
        <f>IF($G192="","",IFERROR(IF(VLOOKUP($G192,AcctTbl,4,0)="","(بدون نام)",VLOOKUP($G192,AcctTbl,4,0)),"کد ناشناخته"))</f>
        <v/>
      </c>
      <c r="I192" s="13" t="n"/>
      <c r="J192" s="13" t="n"/>
      <c r="K192" s="14" t="n"/>
      <c r="L192" s="14" t="n"/>
      <c r="M192" s="15">
        <f>IF(OR($B192="",$K192=""),"",($K192-IF($L192="",0,$L192)*IFERROR(VLOOKUP("P01",ParamTbl,3,0),1.5))*(1-IF(IFERROR(VLOOKUP($E192,OpTbl,3,0),"")="خرید",IFERROR(VLOOKUP("P02",ParamTbl,3,0),1),0)/100))</f>
        <v/>
      </c>
      <c r="N192" s="14" t="n"/>
      <c r="O192" s="13" t="n"/>
    </row>
    <row r="193">
      <c r="A193" s="11">
        <f>IF($B193="","",COUNTA($B$9:$B193))</f>
        <v/>
      </c>
      <c r="B193" s="12" t="n"/>
      <c r="C193" s="12" t="n"/>
      <c r="D193" s="12" t="n"/>
      <c r="E193" s="13" t="n"/>
      <c r="F193" s="11">
        <f>IF($E193="","",IFERROR(VLOOKUP($E193,OpTbl,2,0),""))</f>
        <v/>
      </c>
      <c r="G193" s="12" t="n"/>
      <c r="H193" s="11">
        <f>IF($G193="","",IFERROR(IF(VLOOKUP($G193,AcctTbl,4,0)="","(بدون نام)",VLOOKUP($G193,AcctTbl,4,0)),"کد ناشناخته"))</f>
        <v/>
      </c>
      <c r="I193" s="13" t="n"/>
      <c r="J193" s="13" t="n"/>
      <c r="K193" s="14" t="n"/>
      <c r="L193" s="14" t="n"/>
      <c r="M193" s="15">
        <f>IF(OR($B193="",$K193=""),"",($K193-IF($L193="",0,$L193)*IFERROR(VLOOKUP("P01",ParamTbl,3,0),1.5))*(1-IF(IFERROR(VLOOKUP($E193,OpTbl,3,0),"")="خرید",IFERROR(VLOOKUP("P02",ParamTbl,3,0),1),0)/100))</f>
        <v/>
      </c>
      <c r="N193" s="14" t="n"/>
      <c r="O193" s="13" t="n"/>
    </row>
    <row r="194">
      <c r="A194" s="11">
        <f>IF($B194="","",COUNTA($B$9:$B194))</f>
        <v/>
      </c>
      <c r="B194" s="12" t="n"/>
      <c r="C194" s="12" t="n"/>
      <c r="D194" s="12" t="n"/>
      <c r="E194" s="13" t="n"/>
      <c r="F194" s="11">
        <f>IF($E194="","",IFERROR(VLOOKUP($E194,OpTbl,2,0),""))</f>
        <v/>
      </c>
      <c r="G194" s="12" t="n"/>
      <c r="H194" s="11">
        <f>IF($G194="","",IFERROR(IF(VLOOKUP($G194,AcctTbl,4,0)="","(بدون نام)",VLOOKUP($G194,AcctTbl,4,0)),"کد ناشناخته"))</f>
        <v/>
      </c>
      <c r="I194" s="13" t="n"/>
      <c r="J194" s="13" t="n"/>
      <c r="K194" s="14" t="n"/>
      <c r="L194" s="14" t="n"/>
      <c r="M194" s="15">
        <f>IF(OR($B194="",$K194=""),"",($K194-IF($L194="",0,$L194)*IFERROR(VLOOKUP("P01",ParamTbl,3,0),1.5))*(1-IF(IFERROR(VLOOKUP($E194,OpTbl,3,0),"")="خرید",IFERROR(VLOOKUP("P02",ParamTbl,3,0),1),0)/100))</f>
        <v/>
      </c>
      <c r="N194" s="14" t="n"/>
      <c r="O194" s="13" t="n"/>
    </row>
    <row r="195">
      <c r="A195" s="11">
        <f>IF($B195="","",COUNTA($B$9:$B195))</f>
        <v/>
      </c>
      <c r="B195" s="12" t="n"/>
      <c r="C195" s="12" t="n"/>
      <c r="D195" s="12" t="n"/>
      <c r="E195" s="13" t="n"/>
      <c r="F195" s="11">
        <f>IF($E195="","",IFERROR(VLOOKUP($E195,OpTbl,2,0),""))</f>
        <v/>
      </c>
      <c r="G195" s="12" t="n"/>
      <c r="H195" s="11">
        <f>IF($G195="","",IFERROR(IF(VLOOKUP($G195,AcctTbl,4,0)="","(بدون نام)",VLOOKUP($G195,AcctTbl,4,0)),"کد ناشناخته"))</f>
        <v/>
      </c>
      <c r="I195" s="13" t="n"/>
      <c r="J195" s="13" t="n"/>
      <c r="K195" s="14" t="n"/>
      <c r="L195" s="14" t="n"/>
      <c r="M195" s="15">
        <f>IF(OR($B195="",$K195=""),"",($K195-IF($L195="",0,$L195)*IFERROR(VLOOKUP("P01",ParamTbl,3,0),1.5))*(1-IF(IFERROR(VLOOKUP($E195,OpTbl,3,0),"")="خرید",IFERROR(VLOOKUP("P02",ParamTbl,3,0),1),0)/100))</f>
        <v/>
      </c>
      <c r="N195" s="14" t="n"/>
      <c r="O195" s="13" t="n"/>
    </row>
    <row r="196">
      <c r="A196" s="11">
        <f>IF($B196="","",COUNTA($B$9:$B196))</f>
        <v/>
      </c>
      <c r="B196" s="12" t="n"/>
      <c r="C196" s="12" t="n"/>
      <c r="D196" s="12" t="n"/>
      <c r="E196" s="13" t="n"/>
      <c r="F196" s="11">
        <f>IF($E196="","",IFERROR(VLOOKUP($E196,OpTbl,2,0),""))</f>
        <v/>
      </c>
      <c r="G196" s="12" t="n"/>
      <c r="H196" s="11">
        <f>IF($G196="","",IFERROR(IF(VLOOKUP($G196,AcctTbl,4,0)="","(بدون نام)",VLOOKUP($G196,AcctTbl,4,0)),"کد ناشناخته"))</f>
        <v/>
      </c>
      <c r="I196" s="13" t="n"/>
      <c r="J196" s="13" t="n"/>
      <c r="K196" s="14" t="n"/>
      <c r="L196" s="14" t="n"/>
      <c r="M196" s="15">
        <f>IF(OR($B196="",$K196=""),"",($K196-IF($L196="",0,$L196)*IFERROR(VLOOKUP("P01",ParamTbl,3,0),1.5))*(1-IF(IFERROR(VLOOKUP($E196,OpTbl,3,0),"")="خرید",IFERROR(VLOOKUP("P02",ParamTbl,3,0),1),0)/100))</f>
        <v/>
      </c>
      <c r="N196" s="14" t="n"/>
      <c r="O196" s="13" t="n"/>
    </row>
    <row r="197">
      <c r="A197" s="11">
        <f>IF($B197="","",COUNTA($B$9:$B197))</f>
        <v/>
      </c>
      <c r="B197" s="12" t="n"/>
      <c r="C197" s="12" t="n"/>
      <c r="D197" s="12" t="n"/>
      <c r="E197" s="13" t="n"/>
      <c r="F197" s="11">
        <f>IF($E197="","",IFERROR(VLOOKUP($E197,OpTbl,2,0),""))</f>
        <v/>
      </c>
      <c r="G197" s="12" t="n"/>
      <c r="H197" s="11">
        <f>IF($G197="","",IFERROR(IF(VLOOKUP($G197,AcctTbl,4,0)="","(بدون نام)",VLOOKUP($G197,AcctTbl,4,0)),"کد ناشناخته"))</f>
        <v/>
      </c>
      <c r="I197" s="13" t="n"/>
      <c r="J197" s="13" t="n"/>
      <c r="K197" s="14" t="n"/>
      <c r="L197" s="14" t="n"/>
      <c r="M197" s="15">
        <f>IF(OR($B197="",$K197=""),"",($K197-IF($L197="",0,$L197)*IFERROR(VLOOKUP("P01",ParamTbl,3,0),1.5))*(1-IF(IFERROR(VLOOKUP($E197,OpTbl,3,0),"")="خرید",IFERROR(VLOOKUP("P02",ParamTbl,3,0),1),0)/100))</f>
        <v/>
      </c>
      <c r="N197" s="14" t="n"/>
      <c r="O197" s="13" t="n"/>
    </row>
    <row r="198">
      <c r="A198" s="11">
        <f>IF($B198="","",COUNTA($B$9:$B198))</f>
        <v/>
      </c>
      <c r="B198" s="12" t="n"/>
      <c r="C198" s="12" t="n"/>
      <c r="D198" s="12" t="n"/>
      <c r="E198" s="13" t="n"/>
      <c r="F198" s="11">
        <f>IF($E198="","",IFERROR(VLOOKUP($E198,OpTbl,2,0),""))</f>
        <v/>
      </c>
      <c r="G198" s="12" t="n"/>
      <c r="H198" s="11">
        <f>IF($G198="","",IFERROR(IF(VLOOKUP($G198,AcctTbl,4,0)="","(بدون نام)",VLOOKUP($G198,AcctTbl,4,0)),"کد ناشناخته"))</f>
        <v/>
      </c>
      <c r="I198" s="13" t="n"/>
      <c r="J198" s="13" t="n"/>
      <c r="K198" s="14" t="n"/>
      <c r="L198" s="14" t="n"/>
      <c r="M198" s="15">
        <f>IF(OR($B198="",$K198=""),"",($K198-IF($L198="",0,$L198)*IFERROR(VLOOKUP("P01",ParamTbl,3,0),1.5))*(1-IF(IFERROR(VLOOKUP($E198,OpTbl,3,0),"")="خرید",IFERROR(VLOOKUP("P02",ParamTbl,3,0),1),0)/100))</f>
        <v/>
      </c>
      <c r="N198" s="14" t="n"/>
      <c r="O198" s="13" t="n"/>
    </row>
    <row r="199">
      <c r="A199" s="11">
        <f>IF($B199="","",COUNTA($B$9:$B199))</f>
        <v/>
      </c>
      <c r="B199" s="12" t="n"/>
      <c r="C199" s="12" t="n"/>
      <c r="D199" s="12" t="n"/>
      <c r="E199" s="13" t="n"/>
      <c r="F199" s="11">
        <f>IF($E199="","",IFERROR(VLOOKUP($E199,OpTbl,2,0),""))</f>
        <v/>
      </c>
      <c r="G199" s="12" t="n"/>
      <c r="H199" s="11">
        <f>IF($G199="","",IFERROR(IF(VLOOKUP($G199,AcctTbl,4,0)="","(بدون نام)",VLOOKUP($G199,AcctTbl,4,0)),"کد ناشناخته"))</f>
        <v/>
      </c>
      <c r="I199" s="13" t="n"/>
      <c r="J199" s="13" t="n"/>
      <c r="K199" s="14" t="n"/>
      <c r="L199" s="14" t="n"/>
      <c r="M199" s="15">
        <f>IF(OR($B199="",$K199=""),"",($K199-IF($L199="",0,$L199)*IFERROR(VLOOKUP("P01",ParamTbl,3,0),1.5))*(1-IF(IFERROR(VLOOKUP($E199,OpTbl,3,0),"")="خرید",IFERROR(VLOOKUP("P02",ParamTbl,3,0),1),0)/100))</f>
        <v/>
      </c>
      <c r="N199" s="14" t="n"/>
      <c r="O199" s="13" t="n"/>
    </row>
    <row r="200">
      <c r="A200" s="11">
        <f>IF($B200="","",COUNTA($B$9:$B200))</f>
        <v/>
      </c>
      <c r="B200" s="12" t="n"/>
      <c r="C200" s="12" t="n"/>
      <c r="D200" s="12" t="n"/>
      <c r="E200" s="13" t="n"/>
      <c r="F200" s="11">
        <f>IF($E200="","",IFERROR(VLOOKUP($E200,OpTbl,2,0),""))</f>
        <v/>
      </c>
      <c r="G200" s="12" t="n"/>
      <c r="H200" s="11">
        <f>IF($G200="","",IFERROR(IF(VLOOKUP($G200,AcctTbl,4,0)="","(بدون نام)",VLOOKUP($G200,AcctTbl,4,0)),"کد ناشناخته"))</f>
        <v/>
      </c>
      <c r="I200" s="13" t="n"/>
      <c r="J200" s="13" t="n"/>
      <c r="K200" s="14" t="n"/>
      <c r="L200" s="14" t="n"/>
      <c r="M200" s="15">
        <f>IF(OR($B200="",$K200=""),"",($K200-IF($L200="",0,$L200)*IFERROR(VLOOKUP("P01",ParamTbl,3,0),1.5))*(1-IF(IFERROR(VLOOKUP($E200,OpTbl,3,0),"")="خرید",IFERROR(VLOOKUP("P02",ParamTbl,3,0),1),0)/100))</f>
        <v/>
      </c>
      <c r="N200" s="14" t="n"/>
      <c r="O200" s="13" t="n"/>
    </row>
    <row r="201">
      <c r="A201" s="11">
        <f>IF($B201="","",COUNTA($B$9:$B201))</f>
        <v/>
      </c>
      <c r="B201" s="12" t="n"/>
      <c r="C201" s="12" t="n"/>
      <c r="D201" s="12" t="n"/>
      <c r="E201" s="13" t="n"/>
      <c r="F201" s="11">
        <f>IF($E201="","",IFERROR(VLOOKUP($E201,OpTbl,2,0),""))</f>
        <v/>
      </c>
      <c r="G201" s="12" t="n"/>
      <c r="H201" s="11">
        <f>IF($G201="","",IFERROR(IF(VLOOKUP($G201,AcctTbl,4,0)="","(بدون نام)",VLOOKUP($G201,AcctTbl,4,0)),"کد ناشناخته"))</f>
        <v/>
      </c>
      <c r="I201" s="13" t="n"/>
      <c r="J201" s="13" t="n"/>
      <c r="K201" s="14" t="n"/>
      <c r="L201" s="14" t="n"/>
      <c r="M201" s="15">
        <f>IF(OR($B201="",$K201=""),"",($K201-IF($L201="",0,$L201)*IFERROR(VLOOKUP("P01",ParamTbl,3,0),1.5))*(1-IF(IFERROR(VLOOKUP($E201,OpTbl,3,0),"")="خرید",IFERROR(VLOOKUP("P02",ParamTbl,3,0),1),0)/100))</f>
        <v/>
      </c>
      <c r="N201" s="14" t="n"/>
      <c r="O201" s="13" t="n"/>
    </row>
    <row r="202">
      <c r="A202" s="11">
        <f>IF($B202="","",COUNTA($B$9:$B202))</f>
        <v/>
      </c>
      <c r="B202" s="12" t="n"/>
      <c r="C202" s="12" t="n"/>
      <c r="D202" s="12" t="n"/>
      <c r="E202" s="13" t="n"/>
      <c r="F202" s="11">
        <f>IF($E202="","",IFERROR(VLOOKUP($E202,OpTbl,2,0),""))</f>
        <v/>
      </c>
      <c r="G202" s="12" t="n"/>
      <c r="H202" s="11">
        <f>IF($G202="","",IFERROR(IF(VLOOKUP($G202,AcctTbl,4,0)="","(بدون نام)",VLOOKUP($G202,AcctTbl,4,0)),"کد ناشناخته"))</f>
        <v/>
      </c>
      <c r="I202" s="13" t="n"/>
      <c r="J202" s="13" t="n"/>
      <c r="K202" s="14" t="n"/>
      <c r="L202" s="14" t="n"/>
      <c r="M202" s="15">
        <f>IF(OR($B202="",$K202=""),"",($K202-IF($L202="",0,$L202)*IFERROR(VLOOKUP("P01",ParamTbl,3,0),1.5))*(1-IF(IFERROR(VLOOKUP($E202,OpTbl,3,0),"")="خرید",IFERROR(VLOOKUP("P02",ParamTbl,3,0),1),0)/100))</f>
        <v/>
      </c>
      <c r="N202" s="14" t="n"/>
      <c r="O202" s="13" t="n"/>
    </row>
    <row r="203">
      <c r="A203" s="11">
        <f>IF($B203="","",COUNTA($B$9:$B203))</f>
        <v/>
      </c>
      <c r="B203" s="12" t="n"/>
      <c r="C203" s="12" t="n"/>
      <c r="D203" s="12" t="n"/>
      <c r="E203" s="13" t="n"/>
      <c r="F203" s="11">
        <f>IF($E203="","",IFERROR(VLOOKUP($E203,OpTbl,2,0),""))</f>
        <v/>
      </c>
      <c r="G203" s="12" t="n"/>
      <c r="H203" s="11">
        <f>IF($G203="","",IFERROR(IF(VLOOKUP($G203,AcctTbl,4,0)="","(بدون نام)",VLOOKUP($G203,AcctTbl,4,0)),"کد ناشناخته"))</f>
        <v/>
      </c>
      <c r="I203" s="13" t="n"/>
      <c r="J203" s="13" t="n"/>
      <c r="K203" s="14" t="n"/>
      <c r="L203" s="14" t="n"/>
      <c r="M203" s="15">
        <f>IF(OR($B203="",$K203=""),"",($K203-IF($L203="",0,$L203)*IFERROR(VLOOKUP("P01",ParamTbl,3,0),1.5))*(1-IF(IFERROR(VLOOKUP($E203,OpTbl,3,0),"")="خرید",IFERROR(VLOOKUP("P02",ParamTbl,3,0),1),0)/100))</f>
        <v/>
      </c>
      <c r="N203" s="14" t="n"/>
      <c r="O203" s="13" t="n"/>
    </row>
    <row r="204">
      <c r="A204" s="11">
        <f>IF($B204="","",COUNTA($B$9:$B204))</f>
        <v/>
      </c>
      <c r="B204" s="12" t="n"/>
      <c r="C204" s="12" t="n"/>
      <c r="D204" s="12" t="n"/>
      <c r="E204" s="13" t="n"/>
      <c r="F204" s="11">
        <f>IF($E204="","",IFERROR(VLOOKUP($E204,OpTbl,2,0),""))</f>
        <v/>
      </c>
      <c r="G204" s="12" t="n"/>
      <c r="H204" s="11">
        <f>IF($G204="","",IFERROR(IF(VLOOKUP($G204,AcctTbl,4,0)="","(بدون نام)",VLOOKUP($G204,AcctTbl,4,0)),"کد ناشناخته"))</f>
        <v/>
      </c>
      <c r="I204" s="13" t="n"/>
      <c r="J204" s="13" t="n"/>
      <c r="K204" s="14" t="n"/>
      <c r="L204" s="14" t="n"/>
      <c r="M204" s="15">
        <f>IF(OR($B204="",$K204=""),"",($K204-IF($L204="",0,$L204)*IFERROR(VLOOKUP("P01",ParamTbl,3,0),1.5))*(1-IF(IFERROR(VLOOKUP($E204,OpTbl,3,0),"")="خرید",IFERROR(VLOOKUP("P02",ParamTbl,3,0),1),0)/100))</f>
        <v/>
      </c>
      <c r="N204" s="14" t="n"/>
      <c r="O204" s="13" t="n"/>
    </row>
    <row r="205">
      <c r="A205" s="11">
        <f>IF($B205="","",COUNTA($B$9:$B205))</f>
        <v/>
      </c>
      <c r="B205" s="12" t="n"/>
      <c r="C205" s="12" t="n"/>
      <c r="D205" s="12" t="n"/>
      <c r="E205" s="13" t="n"/>
      <c r="F205" s="11">
        <f>IF($E205="","",IFERROR(VLOOKUP($E205,OpTbl,2,0),""))</f>
        <v/>
      </c>
      <c r="G205" s="12" t="n"/>
      <c r="H205" s="11">
        <f>IF($G205="","",IFERROR(IF(VLOOKUP($G205,AcctTbl,4,0)="","(بدون نام)",VLOOKUP($G205,AcctTbl,4,0)),"کد ناشناخته"))</f>
        <v/>
      </c>
      <c r="I205" s="13" t="n"/>
      <c r="J205" s="13" t="n"/>
      <c r="K205" s="14" t="n"/>
      <c r="L205" s="14" t="n"/>
      <c r="M205" s="15">
        <f>IF(OR($B205="",$K205=""),"",($K205-IF($L205="",0,$L205)*IFERROR(VLOOKUP("P01",ParamTbl,3,0),1.5))*(1-IF(IFERROR(VLOOKUP($E205,OpTbl,3,0),"")="خرید",IFERROR(VLOOKUP("P02",ParamTbl,3,0),1),0)/100))</f>
        <v/>
      </c>
      <c r="N205" s="14" t="n"/>
      <c r="O205" s="13" t="n"/>
    </row>
    <row r="206">
      <c r="A206" s="11">
        <f>IF($B206="","",COUNTA($B$9:$B206))</f>
        <v/>
      </c>
      <c r="B206" s="12" t="n"/>
      <c r="C206" s="12" t="n"/>
      <c r="D206" s="12" t="n"/>
      <c r="E206" s="13" t="n"/>
      <c r="F206" s="11">
        <f>IF($E206="","",IFERROR(VLOOKUP($E206,OpTbl,2,0),""))</f>
        <v/>
      </c>
      <c r="G206" s="12" t="n"/>
      <c r="H206" s="11">
        <f>IF($G206="","",IFERROR(IF(VLOOKUP($G206,AcctTbl,4,0)="","(بدون نام)",VLOOKUP($G206,AcctTbl,4,0)),"کد ناشناخته"))</f>
        <v/>
      </c>
      <c r="I206" s="13" t="n"/>
      <c r="J206" s="13" t="n"/>
      <c r="K206" s="14" t="n"/>
      <c r="L206" s="14" t="n"/>
      <c r="M206" s="15">
        <f>IF(OR($B206="",$K206=""),"",($K206-IF($L206="",0,$L206)*IFERROR(VLOOKUP("P01",ParamTbl,3,0),1.5))*(1-IF(IFERROR(VLOOKUP($E206,OpTbl,3,0),"")="خرید",IFERROR(VLOOKUP("P02",ParamTbl,3,0),1),0)/100))</f>
        <v/>
      </c>
      <c r="N206" s="14" t="n"/>
      <c r="O206" s="13" t="n"/>
    </row>
    <row r="207">
      <c r="A207" s="11">
        <f>IF($B207="","",COUNTA($B$9:$B207))</f>
        <v/>
      </c>
      <c r="B207" s="12" t="n"/>
      <c r="C207" s="12" t="n"/>
      <c r="D207" s="12" t="n"/>
      <c r="E207" s="13" t="n"/>
      <c r="F207" s="11">
        <f>IF($E207="","",IFERROR(VLOOKUP($E207,OpTbl,2,0),""))</f>
        <v/>
      </c>
      <c r="G207" s="12" t="n"/>
      <c r="H207" s="11">
        <f>IF($G207="","",IFERROR(IF(VLOOKUP($G207,AcctTbl,4,0)="","(بدون نام)",VLOOKUP($G207,AcctTbl,4,0)),"کد ناشناخته"))</f>
        <v/>
      </c>
      <c r="I207" s="13" t="n"/>
      <c r="J207" s="13" t="n"/>
      <c r="K207" s="14" t="n"/>
      <c r="L207" s="14" t="n"/>
      <c r="M207" s="15">
        <f>IF(OR($B207="",$K207=""),"",($K207-IF($L207="",0,$L207)*IFERROR(VLOOKUP("P01",ParamTbl,3,0),1.5))*(1-IF(IFERROR(VLOOKUP($E207,OpTbl,3,0),"")="خرید",IFERROR(VLOOKUP("P02",ParamTbl,3,0),1),0)/100))</f>
        <v/>
      </c>
      <c r="N207" s="14" t="n"/>
      <c r="O207" s="13" t="n"/>
    </row>
    <row r="208">
      <c r="A208" s="11">
        <f>IF($B208="","",COUNTA($B$9:$B208))</f>
        <v/>
      </c>
      <c r="B208" s="12" t="n"/>
      <c r="C208" s="12" t="n"/>
      <c r="D208" s="12" t="n"/>
      <c r="E208" s="13" t="n"/>
      <c r="F208" s="11">
        <f>IF($E208="","",IFERROR(VLOOKUP($E208,OpTbl,2,0),""))</f>
        <v/>
      </c>
      <c r="G208" s="12" t="n"/>
      <c r="H208" s="11">
        <f>IF($G208="","",IFERROR(IF(VLOOKUP($G208,AcctTbl,4,0)="","(بدون نام)",VLOOKUP($G208,AcctTbl,4,0)),"کد ناشناخته"))</f>
        <v/>
      </c>
      <c r="I208" s="13" t="n"/>
      <c r="J208" s="13" t="n"/>
      <c r="K208" s="14" t="n"/>
      <c r="L208" s="14" t="n"/>
      <c r="M208" s="15">
        <f>IF(OR($B208="",$K208=""),"",($K208-IF($L208="",0,$L208)*IFERROR(VLOOKUP("P01",ParamTbl,3,0),1.5))*(1-IF(IFERROR(VLOOKUP($E208,OpTbl,3,0),"")="خرید",IFERROR(VLOOKUP("P02",ParamTbl,3,0),1),0)/100))</f>
        <v/>
      </c>
      <c r="N208" s="14" t="n"/>
      <c r="O208" s="13" t="n"/>
    </row>
    <row r="209">
      <c r="A209" s="11">
        <f>IF($B209="","",COUNTA($B$9:$B209))</f>
        <v/>
      </c>
      <c r="B209" s="12" t="n"/>
      <c r="C209" s="12" t="n"/>
      <c r="D209" s="12" t="n"/>
      <c r="E209" s="13" t="n"/>
      <c r="F209" s="11">
        <f>IF($E209="","",IFERROR(VLOOKUP($E209,OpTbl,2,0),""))</f>
        <v/>
      </c>
      <c r="G209" s="12" t="n"/>
      <c r="H209" s="11">
        <f>IF($G209="","",IFERROR(IF(VLOOKUP($G209,AcctTbl,4,0)="","(بدون نام)",VLOOKUP($G209,AcctTbl,4,0)),"کد ناشناخته"))</f>
        <v/>
      </c>
      <c r="I209" s="13" t="n"/>
      <c r="J209" s="13" t="n"/>
      <c r="K209" s="14" t="n"/>
      <c r="L209" s="14" t="n"/>
      <c r="M209" s="15">
        <f>IF(OR($B209="",$K209=""),"",($K209-IF($L209="",0,$L209)*IFERROR(VLOOKUP("P01",ParamTbl,3,0),1.5))*(1-IF(IFERROR(VLOOKUP($E209,OpTbl,3,0),"")="خرید",IFERROR(VLOOKUP("P02",ParamTbl,3,0),1),0)/100))</f>
        <v/>
      </c>
      <c r="N209" s="14" t="n"/>
      <c r="O209" s="13" t="n"/>
    </row>
    <row r="210">
      <c r="A210" s="11">
        <f>IF($B210="","",COUNTA($B$9:$B210))</f>
        <v/>
      </c>
      <c r="B210" s="12" t="n"/>
      <c r="C210" s="12" t="n"/>
      <c r="D210" s="12" t="n"/>
      <c r="E210" s="13" t="n"/>
      <c r="F210" s="11">
        <f>IF($E210="","",IFERROR(VLOOKUP($E210,OpTbl,2,0),""))</f>
        <v/>
      </c>
      <c r="G210" s="12" t="n"/>
      <c r="H210" s="11">
        <f>IF($G210="","",IFERROR(IF(VLOOKUP($G210,AcctTbl,4,0)="","(بدون نام)",VLOOKUP($G210,AcctTbl,4,0)),"کد ناشناخته"))</f>
        <v/>
      </c>
      <c r="I210" s="13" t="n"/>
      <c r="J210" s="13" t="n"/>
      <c r="K210" s="14" t="n"/>
      <c r="L210" s="14" t="n"/>
      <c r="M210" s="15">
        <f>IF(OR($B210="",$K210=""),"",($K210-IF($L210="",0,$L210)*IFERROR(VLOOKUP("P01",ParamTbl,3,0),1.5))*(1-IF(IFERROR(VLOOKUP($E210,OpTbl,3,0),"")="خرید",IFERROR(VLOOKUP("P02",ParamTbl,3,0),1),0)/100))</f>
        <v/>
      </c>
      <c r="N210" s="14" t="n"/>
      <c r="O210" s="13" t="n"/>
    </row>
    <row r="211">
      <c r="A211" s="11">
        <f>IF($B211="","",COUNTA($B$9:$B211))</f>
        <v/>
      </c>
      <c r="B211" s="12" t="n"/>
      <c r="C211" s="12" t="n"/>
      <c r="D211" s="12" t="n"/>
      <c r="E211" s="13" t="n"/>
      <c r="F211" s="11">
        <f>IF($E211="","",IFERROR(VLOOKUP($E211,OpTbl,2,0),""))</f>
        <v/>
      </c>
      <c r="G211" s="12" t="n"/>
      <c r="H211" s="11">
        <f>IF($G211="","",IFERROR(IF(VLOOKUP($G211,AcctTbl,4,0)="","(بدون نام)",VLOOKUP($G211,AcctTbl,4,0)),"کد ناشناخته"))</f>
        <v/>
      </c>
      <c r="I211" s="13" t="n"/>
      <c r="J211" s="13" t="n"/>
      <c r="K211" s="14" t="n"/>
      <c r="L211" s="14" t="n"/>
      <c r="M211" s="15">
        <f>IF(OR($B211="",$K211=""),"",($K211-IF($L211="",0,$L211)*IFERROR(VLOOKUP("P01",ParamTbl,3,0),1.5))*(1-IF(IFERROR(VLOOKUP($E211,OpTbl,3,0),"")="خرید",IFERROR(VLOOKUP("P02",ParamTbl,3,0),1),0)/100))</f>
        <v/>
      </c>
      <c r="N211" s="14" t="n"/>
      <c r="O211" s="13" t="n"/>
    </row>
    <row r="212">
      <c r="A212" s="11">
        <f>IF($B212="","",COUNTA($B$9:$B212))</f>
        <v/>
      </c>
      <c r="B212" s="12" t="n"/>
      <c r="C212" s="12" t="n"/>
      <c r="D212" s="12" t="n"/>
      <c r="E212" s="13" t="n"/>
      <c r="F212" s="11">
        <f>IF($E212="","",IFERROR(VLOOKUP($E212,OpTbl,2,0),""))</f>
        <v/>
      </c>
      <c r="G212" s="12" t="n"/>
      <c r="H212" s="11">
        <f>IF($G212="","",IFERROR(IF(VLOOKUP($G212,AcctTbl,4,0)="","(بدون نام)",VLOOKUP($G212,AcctTbl,4,0)),"کد ناشناخته"))</f>
        <v/>
      </c>
      <c r="I212" s="13" t="n"/>
      <c r="J212" s="13" t="n"/>
      <c r="K212" s="14" t="n"/>
      <c r="L212" s="14" t="n"/>
      <c r="M212" s="15">
        <f>IF(OR($B212="",$K212=""),"",($K212-IF($L212="",0,$L212)*IFERROR(VLOOKUP("P01",ParamTbl,3,0),1.5))*(1-IF(IFERROR(VLOOKUP($E212,OpTbl,3,0),"")="خرید",IFERROR(VLOOKUP("P02",ParamTbl,3,0),1),0)/100))</f>
        <v/>
      </c>
      <c r="N212" s="14" t="n"/>
      <c r="O212" s="13" t="n"/>
    </row>
    <row r="213">
      <c r="A213" s="11">
        <f>IF($B213="","",COUNTA($B$9:$B213))</f>
        <v/>
      </c>
      <c r="B213" s="12" t="n"/>
      <c r="C213" s="12" t="n"/>
      <c r="D213" s="12" t="n"/>
      <c r="E213" s="13" t="n"/>
      <c r="F213" s="11">
        <f>IF($E213="","",IFERROR(VLOOKUP($E213,OpTbl,2,0),""))</f>
        <v/>
      </c>
      <c r="G213" s="12" t="n"/>
      <c r="H213" s="11">
        <f>IF($G213="","",IFERROR(IF(VLOOKUP($G213,AcctTbl,4,0)="","(بدون نام)",VLOOKUP($G213,AcctTbl,4,0)),"کد ناشناخته"))</f>
        <v/>
      </c>
      <c r="I213" s="13" t="n"/>
      <c r="J213" s="13" t="n"/>
      <c r="K213" s="14" t="n"/>
      <c r="L213" s="14" t="n"/>
      <c r="M213" s="15">
        <f>IF(OR($B213="",$K213=""),"",($K213-IF($L213="",0,$L213)*IFERROR(VLOOKUP("P01",ParamTbl,3,0),1.5))*(1-IF(IFERROR(VLOOKUP($E213,OpTbl,3,0),"")="خرید",IFERROR(VLOOKUP("P02",ParamTbl,3,0),1),0)/100))</f>
        <v/>
      </c>
      <c r="N213" s="14" t="n"/>
      <c r="O213" s="13" t="n"/>
    </row>
    <row r="214">
      <c r="A214" s="11">
        <f>IF($B214="","",COUNTA($B$9:$B214))</f>
        <v/>
      </c>
      <c r="B214" s="12" t="n"/>
      <c r="C214" s="12" t="n"/>
      <c r="D214" s="12" t="n"/>
      <c r="E214" s="13" t="n"/>
      <c r="F214" s="11">
        <f>IF($E214="","",IFERROR(VLOOKUP($E214,OpTbl,2,0),""))</f>
        <v/>
      </c>
      <c r="G214" s="12" t="n"/>
      <c r="H214" s="11">
        <f>IF($G214="","",IFERROR(IF(VLOOKUP($G214,AcctTbl,4,0)="","(بدون نام)",VLOOKUP($G214,AcctTbl,4,0)),"کد ناشناخته"))</f>
        <v/>
      </c>
      <c r="I214" s="13" t="n"/>
      <c r="J214" s="13" t="n"/>
      <c r="K214" s="14" t="n"/>
      <c r="L214" s="14" t="n"/>
      <c r="M214" s="15">
        <f>IF(OR($B214="",$K214=""),"",($K214-IF($L214="",0,$L214)*IFERROR(VLOOKUP("P01",ParamTbl,3,0),1.5))*(1-IF(IFERROR(VLOOKUP($E214,OpTbl,3,0),"")="خرید",IFERROR(VLOOKUP("P02",ParamTbl,3,0),1),0)/100))</f>
        <v/>
      </c>
      <c r="N214" s="14" t="n"/>
      <c r="O214" s="13" t="n"/>
    </row>
    <row r="215">
      <c r="A215" s="11">
        <f>IF($B215="","",COUNTA($B$9:$B215))</f>
        <v/>
      </c>
      <c r="B215" s="12" t="n"/>
      <c r="C215" s="12" t="n"/>
      <c r="D215" s="12" t="n"/>
      <c r="E215" s="13" t="n"/>
      <c r="F215" s="11">
        <f>IF($E215="","",IFERROR(VLOOKUP($E215,OpTbl,2,0),""))</f>
        <v/>
      </c>
      <c r="G215" s="12" t="n"/>
      <c r="H215" s="11">
        <f>IF($G215="","",IFERROR(IF(VLOOKUP($G215,AcctTbl,4,0)="","(بدون نام)",VLOOKUP($G215,AcctTbl,4,0)),"کد ناشناخته"))</f>
        <v/>
      </c>
      <c r="I215" s="13" t="n"/>
      <c r="J215" s="13" t="n"/>
      <c r="K215" s="14" t="n"/>
      <c r="L215" s="14" t="n"/>
      <c r="M215" s="15">
        <f>IF(OR($B215="",$K215=""),"",($K215-IF($L215="",0,$L215)*IFERROR(VLOOKUP("P01",ParamTbl,3,0),1.5))*(1-IF(IFERROR(VLOOKUP($E215,OpTbl,3,0),"")="خرید",IFERROR(VLOOKUP("P02",ParamTbl,3,0),1),0)/100))</f>
        <v/>
      </c>
      <c r="N215" s="14" t="n"/>
      <c r="O215" s="13" t="n"/>
    </row>
    <row r="216">
      <c r="A216" s="11">
        <f>IF($B216="","",COUNTA($B$9:$B216))</f>
        <v/>
      </c>
      <c r="B216" s="12" t="n"/>
      <c r="C216" s="12" t="n"/>
      <c r="D216" s="12" t="n"/>
      <c r="E216" s="13" t="n"/>
      <c r="F216" s="11">
        <f>IF($E216="","",IFERROR(VLOOKUP($E216,OpTbl,2,0),""))</f>
        <v/>
      </c>
      <c r="G216" s="12" t="n"/>
      <c r="H216" s="11">
        <f>IF($G216="","",IFERROR(IF(VLOOKUP($G216,AcctTbl,4,0)="","(بدون نام)",VLOOKUP($G216,AcctTbl,4,0)),"کد ناشناخته"))</f>
        <v/>
      </c>
      <c r="I216" s="13" t="n"/>
      <c r="J216" s="13" t="n"/>
      <c r="K216" s="14" t="n"/>
      <c r="L216" s="14" t="n"/>
      <c r="M216" s="15">
        <f>IF(OR($B216="",$K216=""),"",($K216-IF($L216="",0,$L216)*IFERROR(VLOOKUP("P01",ParamTbl,3,0),1.5))*(1-IF(IFERROR(VLOOKUP($E216,OpTbl,3,0),"")="خرید",IFERROR(VLOOKUP("P02",ParamTbl,3,0),1),0)/100))</f>
        <v/>
      </c>
      <c r="N216" s="14" t="n"/>
      <c r="O216" s="13" t="n"/>
    </row>
    <row r="217">
      <c r="A217" s="11">
        <f>IF($B217="","",COUNTA($B$9:$B217))</f>
        <v/>
      </c>
      <c r="B217" s="12" t="n"/>
      <c r="C217" s="12" t="n"/>
      <c r="D217" s="12" t="n"/>
      <c r="E217" s="13" t="n"/>
      <c r="F217" s="11">
        <f>IF($E217="","",IFERROR(VLOOKUP($E217,OpTbl,2,0),""))</f>
        <v/>
      </c>
      <c r="G217" s="12" t="n"/>
      <c r="H217" s="11">
        <f>IF($G217="","",IFERROR(IF(VLOOKUP($G217,AcctTbl,4,0)="","(بدون نام)",VLOOKUP($G217,AcctTbl,4,0)),"کد ناشناخته"))</f>
        <v/>
      </c>
      <c r="I217" s="13" t="n"/>
      <c r="J217" s="13" t="n"/>
      <c r="K217" s="14" t="n"/>
      <c r="L217" s="14" t="n"/>
      <c r="M217" s="15">
        <f>IF(OR($B217="",$K217=""),"",($K217-IF($L217="",0,$L217)*IFERROR(VLOOKUP("P01",ParamTbl,3,0),1.5))*(1-IF(IFERROR(VLOOKUP($E217,OpTbl,3,0),"")="خرید",IFERROR(VLOOKUP("P02",ParamTbl,3,0),1),0)/100))</f>
        <v/>
      </c>
      <c r="N217" s="14" t="n"/>
      <c r="O217" s="13" t="n"/>
    </row>
    <row r="218">
      <c r="A218" s="11">
        <f>IF($B218="","",COUNTA($B$9:$B218))</f>
        <v/>
      </c>
      <c r="B218" s="12" t="n"/>
      <c r="C218" s="12" t="n"/>
      <c r="D218" s="12" t="n"/>
      <c r="E218" s="13" t="n"/>
      <c r="F218" s="11">
        <f>IF($E218="","",IFERROR(VLOOKUP($E218,OpTbl,2,0),""))</f>
        <v/>
      </c>
      <c r="G218" s="12" t="n"/>
      <c r="H218" s="11">
        <f>IF($G218="","",IFERROR(IF(VLOOKUP($G218,AcctTbl,4,0)="","(بدون نام)",VLOOKUP($G218,AcctTbl,4,0)),"کد ناشناخته"))</f>
        <v/>
      </c>
      <c r="I218" s="13" t="n"/>
      <c r="J218" s="13" t="n"/>
      <c r="K218" s="14" t="n"/>
      <c r="L218" s="14" t="n"/>
      <c r="M218" s="15">
        <f>IF(OR($B218="",$K218=""),"",($K218-IF($L218="",0,$L218)*IFERROR(VLOOKUP("P01",ParamTbl,3,0),1.5))*(1-IF(IFERROR(VLOOKUP($E218,OpTbl,3,0),"")="خرید",IFERROR(VLOOKUP("P02",ParamTbl,3,0),1),0)/100))</f>
        <v/>
      </c>
      <c r="N218" s="14" t="n"/>
      <c r="O218" s="13" t="n"/>
    </row>
    <row r="219">
      <c r="A219" s="11">
        <f>IF($B219="","",COUNTA($B$9:$B219))</f>
        <v/>
      </c>
      <c r="B219" s="12" t="n"/>
      <c r="C219" s="12" t="n"/>
      <c r="D219" s="12" t="n"/>
      <c r="E219" s="13" t="n"/>
      <c r="F219" s="11">
        <f>IF($E219="","",IFERROR(VLOOKUP($E219,OpTbl,2,0),""))</f>
        <v/>
      </c>
      <c r="G219" s="12" t="n"/>
      <c r="H219" s="11">
        <f>IF($G219="","",IFERROR(IF(VLOOKUP($G219,AcctTbl,4,0)="","(بدون نام)",VLOOKUP($G219,AcctTbl,4,0)),"کد ناشناخته"))</f>
        <v/>
      </c>
      <c r="I219" s="13" t="n"/>
      <c r="J219" s="13" t="n"/>
      <c r="K219" s="14" t="n"/>
      <c r="L219" s="14" t="n"/>
      <c r="M219" s="15">
        <f>IF(OR($B219="",$K219=""),"",($K219-IF($L219="",0,$L219)*IFERROR(VLOOKUP("P01",ParamTbl,3,0),1.5))*(1-IF(IFERROR(VLOOKUP($E219,OpTbl,3,0),"")="خرید",IFERROR(VLOOKUP("P02",ParamTbl,3,0),1),0)/100))</f>
        <v/>
      </c>
      <c r="N219" s="14" t="n"/>
      <c r="O219" s="13" t="n"/>
    </row>
    <row r="220">
      <c r="A220" s="11">
        <f>IF($B220="","",COUNTA($B$9:$B220))</f>
        <v/>
      </c>
      <c r="B220" s="12" t="n"/>
      <c r="C220" s="12" t="n"/>
      <c r="D220" s="12" t="n"/>
      <c r="E220" s="13" t="n"/>
      <c r="F220" s="11">
        <f>IF($E220="","",IFERROR(VLOOKUP($E220,OpTbl,2,0),""))</f>
        <v/>
      </c>
      <c r="G220" s="12" t="n"/>
      <c r="H220" s="11">
        <f>IF($G220="","",IFERROR(IF(VLOOKUP($G220,AcctTbl,4,0)="","(بدون نام)",VLOOKUP($G220,AcctTbl,4,0)),"کد ناشناخته"))</f>
        <v/>
      </c>
      <c r="I220" s="13" t="n"/>
      <c r="J220" s="13" t="n"/>
      <c r="K220" s="14" t="n"/>
      <c r="L220" s="14" t="n"/>
      <c r="M220" s="15">
        <f>IF(OR($B220="",$K220=""),"",($K220-IF($L220="",0,$L220)*IFERROR(VLOOKUP("P01",ParamTbl,3,0),1.5))*(1-IF(IFERROR(VLOOKUP($E220,OpTbl,3,0),"")="خرید",IFERROR(VLOOKUP("P02",ParamTbl,3,0),1),0)/100))</f>
        <v/>
      </c>
      <c r="N220" s="14" t="n"/>
      <c r="O220" s="13" t="n"/>
    </row>
    <row r="221">
      <c r="A221" s="11">
        <f>IF($B221="","",COUNTA($B$9:$B221))</f>
        <v/>
      </c>
      <c r="B221" s="12" t="n"/>
      <c r="C221" s="12" t="n"/>
      <c r="D221" s="12" t="n"/>
      <c r="E221" s="13" t="n"/>
      <c r="F221" s="11">
        <f>IF($E221="","",IFERROR(VLOOKUP($E221,OpTbl,2,0),""))</f>
        <v/>
      </c>
      <c r="G221" s="12" t="n"/>
      <c r="H221" s="11">
        <f>IF($G221="","",IFERROR(IF(VLOOKUP($G221,AcctTbl,4,0)="","(بدون نام)",VLOOKUP($G221,AcctTbl,4,0)),"کد ناشناخته"))</f>
        <v/>
      </c>
      <c r="I221" s="13" t="n"/>
      <c r="J221" s="13" t="n"/>
      <c r="K221" s="14" t="n"/>
      <c r="L221" s="14" t="n"/>
      <c r="M221" s="15">
        <f>IF(OR($B221="",$K221=""),"",($K221-IF($L221="",0,$L221)*IFERROR(VLOOKUP("P01",ParamTbl,3,0),1.5))*(1-IF(IFERROR(VLOOKUP($E221,OpTbl,3,0),"")="خرید",IFERROR(VLOOKUP("P02",ParamTbl,3,0),1),0)/100))</f>
        <v/>
      </c>
      <c r="N221" s="14" t="n"/>
      <c r="O221" s="13" t="n"/>
    </row>
    <row r="222">
      <c r="A222" s="11">
        <f>IF($B222="","",COUNTA($B$9:$B222))</f>
        <v/>
      </c>
      <c r="B222" s="12" t="n"/>
      <c r="C222" s="12" t="n"/>
      <c r="D222" s="12" t="n"/>
      <c r="E222" s="13" t="n"/>
      <c r="F222" s="11">
        <f>IF($E222="","",IFERROR(VLOOKUP($E222,OpTbl,2,0),""))</f>
        <v/>
      </c>
      <c r="G222" s="12" t="n"/>
      <c r="H222" s="11">
        <f>IF($G222="","",IFERROR(IF(VLOOKUP($G222,AcctTbl,4,0)="","(بدون نام)",VLOOKUP($G222,AcctTbl,4,0)),"کد ناشناخته"))</f>
        <v/>
      </c>
      <c r="I222" s="13" t="n"/>
      <c r="J222" s="13" t="n"/>
      <c r="K222" s="14" t="n"/>
      <c r="L222" s="14" t="n"/>
      <c r="M222" s="15">
        <f>IF(OR($B222="",$K222=""),"",($K222-IF($L222="",0,$L222)*IFERROR(VLOOKUP("P01",ParamTbl,3,0),1.5))*(1-IF(IFERROR(VLOOKUP($E222,OpTbl,3,0),"")="خرید",IFERROR(VLOOKUP("P02",ParamTbl,3,0),1),0)/100))</f>
        <v/>
      </c>
      <c r="N222" s="14" t="n"/>
      <c r="O222" s="13" t="n"/>
    </row>
    <row r="223">
      <c r="A223" s="11">
        <f>IF($B223="","",COUNTA($B$9:$B223))</f>
        <v/>
      </c>
      <c r="B223" s="12" t="n"/>
      <c r="C223" s="12" t="n"/>
      <c r="D223" s="12" t="n"/>
      <c r="E223" s="13" t="n"/>
      <c r="F223" s="11">
        <f>IF($E223="","",IFERROR(VLOOKUP($E223,OpTbl,2,0),""))</f>
        <v/>
      </c>
      <c r="G223" s="12" t="n"/>
      <c r="H223" s="11">
        <f>IF($G223="","",IFERROR(IF(VLOOKUP($G223,AcctTbl,4,0)="","(بدون نام)",VLOOKUP($G223,AcctTbl,4,0)),"کد ناشناخته"))</f>
        <v/>
      </c>
      <c r="I223" s="13" t="n"/>
      <c r="J223" s="13" t="n"/>
      <c r="K223" s="14" t="n"/>
      <c r="L223" s="14" t="n"/>
      <c r="M223" s="15">
        <f>IF(OR($B223="",$K223=""),"",($K223-IF($L223="",0,$L223)*IFERROR(VLOOKUP("P01",ParamTbl,3,0),1.5))*(1-IF(IFERROR(VLOOKUP($E223,OpTbl,3,0),"")="خرید",IFERROR(VLOOKUP("P02",ParamTbl,3,0),1),0)/100))</f>
        <v/>
      </c>
      <c r="N223" s="14" t="n"/>
      <c r="O223" s="13" t="n"/>
    </row>
    <row r="224">
      <c r="A224" s="11">
        <f>IF($B224="","",COUNTA($B$9:$B224))</f>
        <v/>
      </c>
      <c r="B224" s="12" t="n"/>
      <c r="C224" s="12" t="n"/>
      <c r="D224" s="12" t="n"/>
      <c r="E224" s="13" t="n"/>
      <c r="F224" s="11">
        <f>IF($E224="","",IFERROR(VLOOKUP($E224,OpTbl,2,0),""))</f>
        <v/>
      </c>
      <c r="G224" s="12" t="n"/>
      <c r="H224" s="11">
        <f>IF($G224="","",IFERROR(IF(VLOOKUP($G224,AcctTbl,4,0)="","(بدون نام)",VLOOKUP($G224,AcctTbl,4,0)),"کد ناشناخته"))</f>
        <v/>
      </c>
      <c r="I224" s="13" t="n"/>
      <c r="J224" s="13" t="n"/>
      <c r="K224" s="14" t="n"/>
      <c r="L224" s="14" t="n"/>
      <c r="M224" s="15">
        <f>IF(OR($B224="",$K224=""),"",($K224-IF($L224="",0,$L224)*IFERROR(VLOOKUP("P01",ParamTbl,3,0),1.5))*(1-IF(IFERROR(VLOOKUP($E224,OpTbl,3,0),"")="خرید",IFERROR(VLOOKUP("P02",ParamTbl,3,0),1),0)/100))</f>
        <v/>
      </c>
      <c r="N224" s="14" t="n"/>
      <c r="O224" s="13" t="n"/>
    </row>
    <row r="225">
      <c r="A225" s="11">
        <f>IF($B225="","",COUNTA($B$9:$B225))</f>
        <v/>
      </c>
      <c r="B225" s="12" t="n"/>
      <c r="C225" s="12" t="n"/>
      <c r="D225" s="12" t="n"/>
      <c r="E225" s="13" t="n"/>
      <c r="F225" s="11">
        <f>IF($E225="","",IFERROR(VLOOKUP($E225,OpTbl,2,0),""))</f>
        <v/>
      </c>
      <c r="G225" s="12" t="n"/>
      <c r="H225" s="11">
        <f>IF($G225="","",IFERROR(IF(VLOOKUP($G225,AcctTbl,4,0)="","(بدون نام)",VLOOKUP($G225,AcctTbl,4,0)),"کد ناشناخته"))</f>
        <v/>
      </c>
      <c r="I225" s="13" t="n"/>
      <c r="J225" s="13" t="n"/>
      <c r="K225" s="14" t="n"/>
      <c r="L225" s="14" t="n"/>
      <c r="M225" s="15">
        <f>IF(OR($B225="",$K225=""),"",($K225-IF($L225="",0,$L225)*IFERROR(VLOOKUP("P01",ParamTbl,3,0),1.5))*(1-IF(IFERROR(VLOOKUP($E225,OpTbl,3,0),"")="خرید",IFERROR(VLOOKUP("P02",ParamTbl,3,0),1),0)/100))</f>
        <v/>
      </c>
      <c r="N225" s="14" t="n"/>
      <c r="O225" s="13" t="n"/>
    </row>
    <row r="226">
      <c r="A226" s="11">
        <f>IF($B226="","",COUNTA($B$9:$B226))</f>
        <v/>
      </c>
      <c r="B226" s="12" t="n"/>
      <c r="C226" s="12" t="n"/>
      <c r="D226" s="12" t="n"/>
      <c r="E226" s="13" t="n"/>
      <c r="F226" s="11">
        <f>IF($E226="","",IFERROR(VLOOKUP($E226,OpTbl,2,0),""))</f>
        <v/>
      </c>
      <c r="G226" s="12" t="n"/>
      <c r="H226" s="11">
        <f>IF($G226="","",IFERROR(IF(VLOOKUP($G226,AcctTbl,4,0)="","(بدون نام)",VLOOKUP($G226,AcctTbl,4,0)),"کد ناشناخته"))</f>
        <v/>
      </c>
      <c r="I226" s="13" t="n"/>
      <c r="J226" s="13" t="n"/>
      <c r="K226" s="14" t="n"/>
      <c r="L226" s="14" t="n"/>
      <c r="M226" s="15">
        <f>IF(OR($B226="",$K226=""),"",($K226-IF($L226="",0,$L226)*IFERROR(VLOOKUP("P01",ParamTbl,3,0),1.5))*(1-IF(IFERROR(VLOOKUP($E226,OpTbl,3,0),"")="خرید",IFERROR(VLOOKUP("P02",ParamTbl,3,0),1),0)/100))</f>
        <v/>
      </c>
      <c r="N226" s="14" t="n"/>
      <c r="O226" s="13" t="n"/>
    </row>
    <row r="227">
      <c r="A227" s="11">
        <f>IF($B227="","",COUNTA($B$9:$B227))</f>
        <v/>
      </c>
      <c r="B227" s="12" t="n"/>
      <c r="C227" s="12" t="n"/>
      <c r="D227" s="12" t="n"/>
      <c r="E227" s="13" t="n"/>
      <c r="F227" s="11">
        <f>IF($E227="","",IFERROR(VLOOKUP($E227,OpTbl,2,0),""))</f>
        <v/>
      </c>
      <c r="G227" s="12" t="n"/>
      <c r="H227" s="11">
        <f>IF($G227="","",IFERROR(IF(VLOOKUP($G227,AcctTbl,4,0)="","(بدون نام)",VLOOKUP($G227,AcctTbl,4,0)),"کد ناشناخته"))</f>
        <v/>
      </c>
      <c r="I227" s="13" t="n"/>
      <c r="J227" s="13" t="n"/>
      <c r="K227" s="14" t="n"/>
      <c r="L227" s="14" t="n"/>
      <c r="M227" s="15">
        <f>IF(OR($B227="",$K227=""),"",($K227-IF($L227="",0,$L227)*IFERROR(VLOOKUP("P01",ParamTbl,3,0),1.5))*(1-IF(IFERROR(VLOOKUP($E227,OpTbl,3,0),"")="خرید",IFERROR(VLOOKUP("P02",ParamTbl,3,0),1),0)/100))</f>
        <v/>
      </c>
      <c r="N227" s="14" t="n"/>
      <c r="O227" s="13" t="n"/>
    </row>
    <row r="228">
      <c r="A228" s="11">
        <f>IF($B228="","",COUNTA($B$9:$B228))</f>
        <v/>
      </c>
      <c r="B228" s="12" t="n"/>
      <c r="C228" s="12" t="n"/>
      <c r="D228" s="12" t="n"/>
      <c r="E228" s="13" t="n"/>
      <c r="F228" s="11">
        <f>IF($E228="","",IFERROR(VLOOKUP($E228,OpTbl,2,0),""))</f>
        <v/>
      </c>
      <c r="G228" s="12" t="n"/>
      <c r="H228" s="11">
        <f>IF($G228="","",IFERROR(IF(VLOOKUP($G228,AcctTbl,4,0)="","(بدون نام)",VLOOKUP($G228,AcctTbl,4,0)),"کد ناشناخته"))</f>
        <v/>
      </c>
      <c r="I228" s="13" t="n"/>
      <c r="J228" s="13" t="n"/>
      <c r="K228" s="14" t="n"/>
      <c r="L228" s="14" t="n"/>
      <c r="M228" s="15">
        <f>IF(OR($B228="",$K228=""),"",($K228-IF($L228="",0,$L228)*IFERROR(VLOOKUP("P01",ParamTbl,3,0),1.5))*(1-IF(IFERROR(VLOOKUP($E228,OpTbl,3,0),"")="خرید",IFERROR(VLOOKUP("P02",ParamTbl,3,0),1),0)/100))</f>
        <v/>
      </c>
      <c r="N228" s="14" t="n"/>
      <c r="O228" s="13" t="n"/>
    </row>
    <row r="229">
      <c r="A229" s="11">
        <f>IF($B229="","",COUNTA($B$9:$B229))</f>
        <v/>
      </c>
      <c r="B229" s="12" t="n"/>
      <c r="C229" s="12" t="n"/>
      <c r="D229" s="12" t="n"/>
      <c r="E229" s="13" t="n"/>
      <c r="F229" s="11">
        <f>IF($E229="","",IFERROR(VLOOKUP($E229,OpTbl,2,0),""))</f>
        <v/>
      </c>
      <c r="G229" s="12" t="n"/>
      <c r="H229" s="11">
        <f>IF($G229="","",IFERROR(IF(VLOOKUP($G229,AcctTbl,4,0)="","(بدون نام)",VLOOKUP($G229,AcctTbl,4,0)),"کد ناشناخته"))</f>
        <v/>
      </c>
      <c r="I229" s="13" t="n"/>
      <c r="J229" s="13" t="n"/>
      <c r="K229" s="14" t="n"/>
      <c r="L229" s="14" t="n"/>
      <c r="M229" s="15">
        <f>IF(OR($B229="",$K229=""),"",($K229-IF($L229="",0,$L229)*IFERROR(VLOOKUP("P01",ParamTbl,3,0),1.5))*(1-IF(IFERROR(VLOOKUP($E229,OpTbl,3,0),"")="خرید",IFERROR(VLOOKUP("P02",ParamTbl,3,0),1),0)/100))</f>
        <v/>
      </c>
      <c r="N229" s="14" t="n"/>
      <c r="O229" s="13" t="n"/>
    </row>
    <row r="230">
      <c r="A230" s="11">
        <f>IF($B230="","",COUNTA($B$9:$B230))</f>
        <v/>
      </c>
      <c r="B230" s="12" t="n"/>
      <c r="C230" s="12" t="n"/>
      <c r="D230" s="12" t="n"/>
      <c r="E230" s="13" t="n"/>
      <c r="F230" s="11">
        <f>IF($E230="","",IFERROR(VLOOKUP($E230,OpTbl,2,0),""))</f>
        <v/>
      </c>
      <c r="G230" s="12" t="n"/>
      <c r="H230" s="11">
        <f>IF($G230="","",IFERROR(IF(VLOOKUP($G230,AcctTbl,4,0)="","(بدون نام)",VLOOKUP($G230,AcctTbl,4,0)),"کد ناشناخته"))</f>
        <v/>
      </c>
      <c r="I230" s="13" t="n"/>
      <c r="J230" s="13" t="n"/>
      <c r="K230" s="14" t="n"/>
      <c r="L230" s="14" t="n"/>
      <c r="M230" s="15">
        <f>IF(OR($B230="",$K230=""),"",($K230-IF($L230="",0,$L230)*IFERROR(VLOOKUP("P01",ParamTbl,3,0),1.5))*(1-IF(IFERROR(VLOOKUP($E230,OpTbl,3,0),"")="خرید",IFERROR(VLOOKUP("P02",ParamTbl,3,0),1),0)/100))</f>
        <v/>
      </c>
      <c r="N230" s="14" t="n"/>
      <c r="O230" s="13" t="n"/>
    </row>
    <row r="231">
      <c r="A231" s="11">
        <f>IF($B231="","",COUNTA($B$9:$B231))</f>
        <v/>
      </c>
      <c r="B231" s="12" t="n"/>
      <c r="C231" s="12" t="n"/>
      <c r="D231" s="12" t="n"/>
      <c r="E231" s="13" t="n"/>
      <c r="F231" s="11">
        <f>IF($E231="","",IFERROR(VLOOKUP($E231,OpTbl,2,0),""))</f>
        <v/>
      </c>
      <c r="G231" s="12" t="n"/>
      <c r="H231" s="11">
        <f>IF($G231="","",IFERROR(IF(VLOOKUP($G231,AcctTbl,4,0)="","(بدون نام)",VLOOKUP($G231,AcctTbl,4,0)),"کد ناشناخته"))</f>
        <v/>
      </c>
      <c r="I231" s="13" t="n"/>
      <c r="J231" s="13" t="n"/>
      <c r="K231" s="14" t="n"/>
      <c r="L231" s="14" t="n"/>
      <c r="M231" s="15">
        <f>IF(OR($B231="",$K231=""),"",($K231-IF($L231="",0,$L231)*IFERROR(VLOOKUP("P01",ParamTbl,3,0),1.5))*(1-IF(IFERROR(VLOOKUP($E231,OpTbl,3,0),"")="خرید",IFERROR(VLOOKUP("P02",ParamTbl,3,0),1),0)/100))</f>
        <v/>
      </c>
      <c r="N231" s="14" t="n"/>
      <c r="O231" s="13" t="n"/>
    </row>
    <row r="232">
      <c r="A232" s="11">
        <f>IF($B232="","",COUNTA($B$9:$B232))</f>
        <v/>
      </c>
      <c r="B232" s="12" t="n"/>
      <c r="C232" s="12" t="n"/>
      <c r="D232" s="12" t="n"/>
      <c r="E232" s="13" t="n"/>
      <c r="F232" s="11">
        <f>IF($E232="","",IFERROR(VLOOKUP($E232,OpTbl,2,0),""))</f>
        <v/>
      </c>
      <c r="G232" s="12" t="n"/>
      <c r="H232" s="11">
        <f>IF($G232="","",IFERROR(IF(VLOOKUP($G232,AcctTbl,4,0)="","(بدون نام)",VLOOKUP($G232,AcctTbl,4,0)),"کد ناشناخته"))</f>
        <v/>
      </c>
      <c r="I232" s="13" t="n"/>
      <c r="J232" s="13" t="n"/>
      <c r="K232" s="14" t="n"/>
      <c r="L232" s="14" t="n"/>
      <c r="M232" s="15">
        <f>IF(OR($B232="",$K232=""),"",($K232-IF($L232="",0,$L232)*IFERROR(VLOOKUP("P01",ParamTbl,3,0),1.5))*(1-IF(IFERROR(VLOOKUP($E232,OpTbl,3,0),"")="خرید",IFERROR(VLOOKUP("P02",ParamTbl,3,0),1),0)/100))</f>
        <v/>
      </c>
      <c r="N232" s="14" t="n"/>
      <c r="O232" s="13" t="n"/>
    </row>
    <row r="233">
      <c r="A233" s="11">
        <f>IF($B233="","",COUNTA($B$9:$B233))</f>
        <v/>
      </c>
      <c r="B233" s="12" t="n"/>
      <c r="C233" s="12" t="n"/>
      <c r="D233" s="12" t="n"/>
      <c r="E233" s="13" t="n"/>
      <c r="F233" s="11">
        <f>IF($E233="","",IFERROR(VLOOKUP($E233,OpTbl,2,0),""))</f>
        <v/>
      </c>
      <c r="G233" s="12" t="n"/>
      <c r="H233" s="11">
        <f>IF($G233="","",IFERROR(IF(VLOOKUP($G233,AcctTbl,4,0)="","(بدون نام)",VLOOKUP($G233,AcctTbl,4,0)),"کد ناشناخته"))</f>
        <v/>
      </c>
      <c r="I233" s="13" t="n"/>
      <c r="J233" s="13" t="n"/>
      <c r="K233" s="14" t="n"/>
      <c r="L233" s="14" t="n"/>
      <c r="M233" s="15">
        <f>IF(OR($B233="",$K233=""),"",($K233-IF($L233="",0,$L233)*IFERROR(VLOOKUP("P01",ParamTbl,3,0),1.5))*(1-IF(IFERROR(VLOOKUP($E233,OpTbl,3,0),"")="خرید",IFERROR(VLOOKUP("P02",ParamTbl,3,0),1),0)/100))</f>
        <v/>
      </c>
      <c r="N233" s="14" t="n"/>
      <c r="O233" s="13" t="n"/>
    </row>
    <row r="234">
      <c r="A234" s="11">
        <f>IF($B234="","",COUNTA($B$9:$B234))</f>
        <v/>
      </c>
      <c r="B234" s="12" t="n"/>
      <c r="C234" s="12" t="n"/>
      <c r="D234" s="12" t="n"/>
      <c r="E234" s="13" t="n"/>
      <c r="F234" s="11">
        <f>IF($E234="","",IFERROR(VLOOKUP($E234,OpTbl,2,0),""))</f>
        <v/>
      </c>
      <c r="G234" s="12" t="n"/>
      <c r="H234" s="11">
        <f>IF($G234="","",IFERROR(IF(VLOOKUP($G234,AcctTbl,4,0)="","(بدون نام)",VLOOKUP($G234,AcctTbl,4,0)),"کد ناشناخته"))</f>
        <v/>
      </c>
      <c r="I234" s="13" t="n"/>
      <c r="J234" s="13" t="n"/>
      <c r="K234" s="14" t="n"/>
      <c r="L234" s="14" t="n"/>
      <c r="M234" s="15">
        <f>IF(OR($B234="",$K234=""),"",($K234-IF($L234="",0,$L234)*IFERROR(VLOOKUP("P01",ParamTbl,3,0),1.5))*(1-IF(IFERROR(VLOOKUP($E234,OpTbl,3,0),"")="خرید",IFERROR(VLOOKUP("P02",ParamTbl,3,0),1),0)/100))</f>
        <v/>
      </c>
      <c r="N234" s="14" t="n"/>
      <c r="O234" s="13" t="n"/>
    </row>
    <row r="235">
      <c r="A235" s="11">
        <f>IF($B235="","",COUNTA($B$9:$B235))</f>
        <v/>
      </c>
      <c r="B235" s="12" t="n"/>
      <c r="C235" s="12" t="n"/>
      <c r="D235" s="12" t="n"/>
      <c r="E235" s="13" t="n"/>
      <c r="F235" s="11">
        <f>IF($E235="","",IFERROR(VLOOKUP($E235,OpTbl,2,0),""))</f>
        <v/>
      </c>
      <c r="G235" s="12" t="n"/>
      <c r="H235" s="11">
        <f>IF($G235="","",IFERROR(IF(VLOOKUP($G235,AcctTbl,4,0)="","(بدون نام)",VLOOKUP($G235,AcctTbl,4,0)),"کد ناشناخته"))</f>
        <v/>
      </c>
      <c r="I235" s="13" t="n"/>
      <c r="J235" s="13" t="n"/>
      <c r="K235" s="14" t="n"/>
      <c r="L235" s="14" t="n"/>
      <c r="M235" s="15">
        <f>IF(OR($B235="",$K235=""),"",($K235-IF($L235="",0,$L235)*IFERROR(VLOOKUP("P01",ParamTbl,3,0),1.5))*(1-IF(IFERROR(VLOOKUP($E235,OpTbl,3,0),"")="خرید",IFERROR(VLOOKUP("P02",ParamTbl,3,0),1),0)/100))</f>
        <v/>
      </c>
      <c r="N235" s="14" t="n"/>
      <c r="O235" s="13" t="n"/>
    </row>
    <row r="236">
      <c r="A236" s="11">
        <f>IF($B236="","",COUNTA($B$9:$B236))</f>
        <v/>
      </c>
      <c r="B236" s="12" t="n"/>
      <c r="C236" s="12" t="n"/>
      <c r="D236" s="12" t="n"/>
      <c r="E236" s="13" t="n"/>
      <c r="F236" s="11">
        <f>IF($E236="","",IFERROR(VLOOKUP($E236,OpTbl,2,0),""))</f>
        <v/>
      </c>
      <c r="G236" s="12" t="n"/>
      <c r="H236" s="11">
        <f>IF($G236="","",IFERROR(IF(VLOOKUP($G236,AcctTbl,4,0)="","(بدون نام)",VLOOKUP($G236,AcctTbl,4,0)),"کد ناشناخته"))</f>
        <v/>
      </c>
      <c r="I236" s="13" t="n"/>
      <c r="J236" s="13" t="n"/>
      <c r="K236" s="14" t="n"/>
      <c r="L236" s="14" t="n"/>
      <c r="M236" s="15">
        <f>IF(OR($B236="",$K236=""),"",($K236-IF($L236="",0,$L236)*IFERROR(VLOOKUP("P01",ParamTbl,3,0),1.5))*(1-IF(IFERROR(VLOOKUP($E236,OpTbl,3,0),"")="خرید",IFERROR(VLOOKUP("P02",ParamTbl,3,0),1),0)/100))</f>
        <v/>
      </c>
      <c r="N236" s="14" t="n"/>
      <c r="O236" s="13" t="n"/>
    </row>
    <row r="237">
      <c r="A237" s="11">
        <f>IF($B237="","",COUNTA($B$9:$B237))</f>
        <v/>
      </c>
      <c r="B237" s="12" t="n"/>
      <c r="C237" s="12" t="n"/>
      <c r="D237" s="12" t="n"/>
      <c r="E237" s="13" t="n"/>
      <c r="F237" s="11">
        <f>IF($E237="","",IFERROR(VLOOKUP($E237,OpTbl,2,0),""))</f>
        <v/>
      </c>
      <c r="G237" s="12" t="n"/>
      <c r="H237" s="11">
        <f>IF($G237="","",IFERROR(IF(VLOOKUP($G237,AcctTbl,4,0)="","(بدون نام)",VLOOKUP($G237,AcctTbl,4,0)),"کد ناشناخته"))</f>
        <v/>
      </c>
      <c r="I237" s="13" t="n"/>
      <c r="J237" s="13" t="n"/>
      <c r="K237" s="14" t="n"/>
      <c r="L237" s="14" t="n"/>
      <c r="M237" s="15">
        <f>IF(OR($B237="",$K237=""),"",($K237-IF($L237="",0,$L237)*IFERROR(VLOOKUP("P01",ParamTbl,3,0),1.5))*(1-IF(IFERROR(VLOOKUP($E237,OpTbl,3,0),"")="خرید",IFERROR(VLOOKUP("P02",ParamTbl,3,0),1),0)/100))</f>
        <v/>
      </c>
      <c r="N237" s="14" t="n"/>
      <c r="O237" s="13" t="n"/>
    </row>
    <row r="238">
      <c r="A238" s="11">
        <f>IF($B238="","",COUNTA($B$9:$B238))</f>
        <v/>
      </c>
      <c r="B238" s="12" t="n"/>
      <c r="C238" s="12" t="n"/>
      <c r="D238" s="12" t="n"/>
      <c r="E238" s="13" t="n"/>
      <c r="F238" s="11">
        <f>IF($E238="","",IFERROR(VLOOKUP($E238,OpTbl,2,0),""))</f>
        <v/>
      </c>
      <c r="G238" s="12" t="n"/>
      <c r="H238" s="11">
        <f>IF($G238="","",IFERROR(IF(VLOOKUP($G238,AcctTbl,4,0)="","(بدون نام)",VLOOKUP($G238,AcctTbl,4,0)),"کد ناشناخته"))</f>
        <v/>
      </c>
      <c r="I238" s="13" t="n"/>
      <c r="J238" s="13" t="n"/>
      <c r="K238" s="14" t="n"/>
      <c r="L238" s="14" t="n"/>
      <c r="M238" s="15">
        <f>IF(OR($B238="",$K238=""),"",($K238-IF($L238="",0,$L238)*IFERROR(VLOOKUP("P01",ParamTbl,3,0),1.5))*(1-IF(IFERROR(VLOOKUP($E238,OpTbl,3,0),"")="خرید",IFERROR(VLOOKUP("P02",ParamTbl,3,0),1),0)/100))</f>
        <v/>
      </c>
      <c r="N238" s="14" t="n"/>
      <c r="O238" s="13" t="n"/>
    </row>
    <row r="239">
      <c r="A239" s="11">
        <f>IF($B239="","",COUNTA($B$9:$B239))</f>
        <v/>
      </c>
      <c r="B239" s="12" t="n"/>
      <c r="C239" s="12" t="n"/>
      <c r="D239" s="12" t="n"/>
      <c r="E239" s="13" t="n"/>
      <c r="F239" s="11">
        <f>IF($E239="","",IFERROR(VLOOKUP($E239,OpTbl,2,0),""))</f>
        <v/>
      </c>
      <c r="G239" s="12" t="n"/>
      <c r="H239" s="11">
        <f>IF($G239="","",IFERROR(IF(VLOOKUP($G239,AcctTbl,4,0)="","(بدون نام)",VLOOKUP($G239,AcctTbl,4,0)),"کد ناشناخته"))</f>
        <v/>
      </c>
      <c r="I239" s="13" t="n"/>
      <c r="J239" s="13" t="n"/>
      <c r="K239" s="14" t="n"/>
      <c r="L239" s="14" t="n"/>
      <c r="M239" s="15">
        <f>IF(OR($B239="",$K239=""),"",($K239-IF($L239="",0,$L239)*IFERROR(VLOOKUP("P01",ParamTbl,3,0),1.5))*(1-IF(IFERROR(VLOOKUP($E239,OpTbl,3,0),"")="خرید",IFERROR(VLOOKUP("P02",ParamTbl,3,0),1),0)/100))</f>
        <v/>
      </c>
      <c r="N239" s="14" t="n"/>
      <c r="O239" s="13" t="n"/>
    </row>
    <row r="240">
      <c r="A240" s="11">
        <f>IF($B240="","",COUNTA($B$9:$B240))</f>
        <v/>
      </c>
      <c r="B240" s="12" t="n"/>
      <c r="C240" s="12" t="n"/>
      <c r="D240" s="12" t="n"/>
      <c r="E240" s="13" t="n"/>
      <c r="F240" s="11">
        <f>IF($E240="","",IFERROR(VLOOKUP($E240,OpTbl,2,0),""))</f>
        <v/>
      </c>
      <c r="G240" s="12" t="n"/>
      <c r="H240" s="11">
        <f>IF($G240="","",IFERROR(IF(VLOOKUP($G240,AcctTbl,4,0)="","(بدون نام)",VLOOKUP($G240,AcctTbl,4,0)),"کد ناشناخته"))</f>
        <v/>
      </c>
      <c r="I240" s="13" t="n"/>
      <c r="J240" s="13" t="n"/>
      <c r="K240" s="14" t="n"/>
      <c r="L240" s="14" t="n"/>
      <c r="M240" s="15">
        <f>IF(OR($B240="",$K240=""),"",($K240-IF($L240="",0,$L240)*IFERROR(VLOOKUP("P01",ParamTbl,3,0),1.5))*(1-IF(IFERROR(VLOOKUP($E240,OpTbl,3,0),"")="خرید",IFERROR(VLOOKUP("P02",ParamTbl,3,0),1),0)/100))</f>
        <v/>
      </c>
      <c r="N240" s="14" t="n"/>
      <c r="O240" s="13" t="n"/>
    </row>
    <row r="241">
      <c r="A241" s="11">
        <f>IF($B241="","",COUNTA($B$9:$B241))</f>
        <v/>
      </c>
      <c r="B241" s="12" t="n"/>
      <c r="C241" s="12" t="n"/>
      <c r="D241" s="12" t="n"/>
      <c r="E241" s="13" t="n"/>
      <c r="F241" s="11">
        <f>IF($E241="","",IFERROR(VLOOKUP($E241,OpTbl,2,0),""))</f>
        <v/>
      </c>
      <c r="G241" s="12" t="n"/>
      <c r="H241" s="11">
        <f>IF($G241="","",IFERROR(IF(VLOOKUP($G241,AcctTbl,4,0)="","(بدون نام)",VLOOKUP($G241,AcctTbl,4,0)),"کد ناشناخته"))</f>
        <v/>
      </c>
      <c r="I241" s="13" t="n"/>
      <c r="J241" s="13" t="n"/>
      <c r="K241" s="14" t="n"/>
      <c r="L241" s="14" t="n"/>
      <c r="M241" s="15">
        <f>IF(OR($B241="",$K241=""),"",($K241-IF($L241="",0,$L241)*IFERROR(VLOOKUP("P01",ParamTbl,3,0),1.5))*(1-IF(IFERROR(VLOOKUP($E241,OpTbl,3,0),"")="خرید",IFERROR(VLOOKUP("P02",ParamTbl,3,0),1),0)/100))</f>
        <v/>
      </c>
      <c r="N241" s="14" t="n"/>
      <c r="O241" s="13" t="n"/>
    </row>
    <row r="242">
      <c r="A242" s="11">
        <f>IF($B242="","",COUNTA($B$9:$B242))</f>
        <v/>
      </c>
      <c r="B242" s="12" t="n"/>
      <c r="C242" s="12" t="n"/>
      <c r="D242" s="12" t="n"/>
      <c r="E242" s="13" t="n"/>
      <c r="F242" s="11">
        <f>IF($E242="","",IFERROR(VLOOKUP($E242,OpTbl,2,0),""))</f>
        <v/>
      </c>
      <c r="G242" s="12" t="n"/>
      <c r="H242" s="11">
        <f>IF($G242="","",IFERROR(IF(VLOOKUP($G242,AcctTbl,4,0)="","(بدون نام)",VLOOKUP($G242,AcctTbl,4,0)),"کد ناشناخته"))</f>
        <v/>
      </c>
      <c r="I242" s="13" t="n"/>
      <c r="J242" s="13" t="n"/>
      <c r="K242" s="14" t="n"/>
      <c r="L242" s="14" t="n"/>
      <c r="M242" s="15">
        <f>IF(OR($B242="",$K242=""),"",($K242-IF($L242="",0,$L242)*IFERROR(VLOOKUP("P01",ParamTbl,3,0),1.5))*(1-IF(IFERROR(VLOOKUP($E242,OpTbl,3,0),"")="خرید",IFERROR(VLOOKUP("P02",ParamTbl,3,0),1),0)/100))</f>
        <v/>
      </c>
      <c r="N242" s="14" t="n"/>
      <c r="O242" s="13" t="n"/>
    </row>
    <row r="243">
      <c r="A243" s="11">
        <f>IF($B243="","",COUNTA($B$9:$B243))</f>
        <v/>
      </c>
      <c r="B243" s="12" t="n"/>
      <c r="C243" s="12" t="n"/>
      <c r="D243" s="12" t="n"/>
      <c r="E243" s="13" t="n"/>
      <c r="F243" s="11">
        <f>IF($E243="","",IFERROR(VLOOKUP($E243,OpTbl,2,0),""))</f>
        <v/>
      </c>
      <c r="G243" s="12" t="n"/>
      <c r="H243" s="11">
        <f>IF($G243="","",IFERROR(IF(VLOOKUP($G243,AcctTbl,4,0)="","(بدون نام)",VLOOKUP($G243,AcctTbl,4,0)),"کد ناشناخته"))</f>
        <v/>
      </c>
      <c r="I243" s="13" t="n"/>
      <c r="J243" s="13" t="n"/>
      <c r="K243" s="14" t="n"/>
      <c r="L243" s="14" t="n"/>
      <c r="M243" s="15">
        <f>IF(OR($B243="",$K243=""),"",($K243-IF($L243="",0,$L243)*IFERROR(VLOOKUP("P01",ParamTbl,3,0),1.5))*(1-IF(IFERROR(VLOOKUP($E243,OpTbl,3,0),"")="خرید",IFERROR(VLOOKUP("P02",ParamTbl,3,0),1),0)/100))</f>
        <v/>
      </c>
      <c r="N243" s="14" t="n"/>
      <c r="O243" s="13" t="n"/>
    </row>
    <row r="244">
      <c r="A244" s="11">
        <f>IF($B244="","",COUNTA($B$9:$B244))</f>
        <v/>
      </c>
      <c r="B244" s="12" t="n"/>
      <c r="C244" s="12" t="n"/>
      <c r="D244" s="12" t="n"/>
      <c r="E244" s="13" t="n"/>
      <c r="F244" s="11">
        <f>IF($E244="","",IFERROR(VLOOKUP($E244,OpTbl,2,0),""))</f>
        <v/>
      </c>
      <c r="G244" s="12" t="n"/>
      <c r="H244" s="11">
        <f>IF($G244="","",IFERROR(IF(VLOOKUP($G244,AcctTbl,4,0)="","(بدون نام)",VLOOKUP($G244,AcctTbl,4,0)),"کد ناشناخته"))</f>
        <v/>
      </c>
      <c r="I244" s="13" t="n"/>
      <c r="J244" s="13" t="n"/>
      <c r="K244" s="14" t="n"/>
      <c r="L244" s="14" t="n"/>
      <c r="M244" s="15">
        <f>IF(OR($B244="",$K244=""),"",($K244-IF($L244="",0,$L244)*IFERROR(VLOOKUP("P01",ParamTbl,3,0),1.5))*(1-IF(IFERROR(VLOOKUP($E244,OpTbl,3,0),"")="خرید",IFERROR(VLOOKUP("P02",ParamTbl,3,0),1),0)/100))</f>
        <v/>
      </c>
      <c r="N244" s="14" t="n"/>
      <c r="O244" s="13" t="n"/>
    </row>
    <row r="245">
      <c r="A245" s="11">
        <f>IF($B245="","",COUNTA($B$9:$B245))</f>
        <v/>
      </c>
      <c r="B245" s="12" t="n"/>
      <c r="C245" s="12" t="n"/>
      <c r="D245" s="12" t="n"/>
      <c r="E245" s="13" t="n"/>
      <c r="F245" s="11">
        <f>IF($E245="","",IFERROR(VLOOKUP($E245,OpTbl,2,0),""))</f>
        <v/>
      </c>
      <c r="G245" s="12" t="n"/>
      <c r="H245" s="11">
        <f>IF($G245="","",IFERROR(IF(VLOOKUP($G245,AcctTbl,4,0)="","(بدون نام)",VLOOKUP($G245,AcctTbl,4,0)),"کد ناشناخته"))</f>
        <v/>
      </c>
      <c r="I245" s="13" t="n"/>
      <c r="J245" s="13" t="n"/>
      <c r="K245" s="14" t="n"/>
      <c r="L245" s="14" t="n"/>
      <c r="M245" s="15">
        <f>IF(OR($B245="",$K245=""),"",($K245-IF($L245="",0,$L245)*IFERROR(VLOOKUP("P01",ParamTbl,3,0),1.5))*(1-IF(IFERROR(VLOOKUP($E245,OpTbl,3,0),"")="خرید",IFERROR(VLOOKUP("P02",ParamTbl,3,0),1),0)/100))</f>
        <v/>
      </c>
      <c r="N245" s="14" t="n"/>
      <c r="O245" s="13" t="n"/>
    </row>
    <row r="246">
      <c r="A246" s="11">
        <f>IF($B246="","",COUNTA($B$9:$B246))</f>
        <v/>
      </c>
      <c r="B246" s="12" t="n"/>
      <c r="C246" s="12" t="n"/>
      <c r="D246" s="12" t="n"/>
      <c r="E246" s="13" t="n"/>
      <c r="F246" s="11">
        <f>IF($E246="","",IFERROR(VLOOKUP($E246,OpTbl,2,0),""))</f>
        <v/>
      </c>
      <c r="G246" s="12" t="n"/>
      <c r="H246" s="11">
        <f>IF($G246="","",IFERROR(IF(VLOOKUP($G246,AcctTbl,4,0)="","(بدون نام)",VLOOKUP($G246,AcctTbl,4,0)),"کد ناشناخته"))</f>
        <v/>
      </c>
      <c r="I246" s="13" t="n"/>
      <c r="J246" s="13" t="n"/>
      <c r="K246" s="14" t="n"/>
      <c r="L246" s="14" t="n"/>
      <c r="M246" s="15">
        <f>IF(OR($B246="",$K246=""),"",($K246-IF($L246="",0,$L246)*IFERROR(VLOOKUP("P01",ParamTbl,3,0),1.5))*(1-IF(IFERROR(VLOOKUP($E246,OpTbl,3,0),"")="خرید",IFERROR(VLOOKUP("P02",ParamTbl,3,0),1),0)/100))</f>
        <v/>
      </c>
      <c r="N246" s="14" t="n"/>
      <c r="O246" s="13" t="n"/>
    </row>
    <row r="247">
      <c r="A247" s="11">
        <f>IF($B247="","",COUNTA($B$9:$B247))</f>
        <v/>
      </c>
      <c r="B247" s="12" t="n"/>
      <c r="C247" s="12" t="n"/>
      <c r="D247" s="12" t="n"/>
      <c r="E247" s="13" t="n"/>
      <c r="F247" s="11">
        <f>IF($E247="","",IFERROR(VLOOKUP($E247,OpTbl,2,0),""))</f>
        <v/>
      </c>
      <c r="G247" s="12" t="n"/>
      <c r="H247" s="11">
        <f>IF($G247="","",IFERROR(IF(VLOOKUP($G247,AcctTbl,4,0)="","(بدون نام)",VLOOKUP($G247,AcctTbl,4,0)),"کد ناشناخته"))</f>
        <v/>
      </c>
      <c r="I247" s="13" t="n"/>
      <c r="J247" s="13" t="n"/>
      <c r="K247" s="14" t="n"/>
      <c r="L247" s="14" t="n"/>
      <c r="M247" s="15">
        <f>IF(OR($B247="",$K247=""),"",($K247-IF($L247="",0,$L247)*IFERROR(VLOOKUP("P01",ParamTbl,3,0),1.5))*(1-IF(IFERROR(VLOOKUP($E247,OpTbl,3,0),"")="خرید",IFERROR(VLOOKUP("P02",ParamTbl,3,0),1),0)/100))</f>
        <v/>
      </c>
      <c r="N247" s="14" t="n"/>
      <c r="O247" s="13" t="n"/>
    </row>
    <row r="248">
      <c r="A248" s="11">
        <f>IF($B248="","",COUNTA($B$9:$B248))</f>
        <v/>
      </c>
      <c r="B248" s="12" t="n"/>
      <c r="C248" s="12" t="n"/>
      <c r="D248" s="12" t="n"/>
      <c r="E248" s="13" t="n"/>
      <c r="F248" s="11">
        <f>IF($E248="","",IFERROR(VLOOKUP($E248,OpTbl,2,0),""))</f>
        <v/>
      </c>
      <c r="G248" s="12" t="n"/>
      <c r="H248" s="11">
        <f>IF($G248="","",IFERROR(IF(VLOOKUP($G248,AcctTbl,4,0)="","(بدون نام)",VLOOKUP($G248,AcctTbl,4,0)),"کد ناشناخته"))</f>
        <v/>
      </c>
      <c r="I248" s="13" t="n"/>
      <c r="J248" s="13" t="n"/>
      <c r="K248" s="14" t="n"/>
      <c r="L248" s="14" t="n"/>
      <c r="M248" s="15">
        <f>IF(OR($B248="",$K248=""),"",($K248-IF($L248="",0,$L248)*IFERROR(VLOOKUP("P01",ParamTbl,3,0),1.5))*(1-IF(IFERROR(VLOOKUP($E248,OpTbl,3,0),"")="خرید",IFERROR(VLOOKUP("P02",ParamTbl,3,0),1),0)/100))</f>
        <v/>
      </c>
      <c r="N248" s="14" t="n"/>
      <c r="O248" s="13" t="n"/>
    </row>
    <row r="249">
      <c r="A249" s="11">
        <f>IF($B249="","",COUNTA($B$9:$B249))</f>
        <v/>
      </c>
      <c r="B249" s="12" t="n"/>
      <c r="C249" s="12" t="n"/>
      <c r="D249" s="12" t="n"/>
      <c r="E249" s="13" t="n"/>
      <c r="F249" s="11">
        <f>IF($E249="","",IFERROR(VLOOKUP($E249,OpTbl,2,0),""))</f>
        <v/>
      </c>
      <c r="G249" s="12" t="n"/>
      <c r="H249" s="11">
        <f>IF($G249="","",IFERROR(IF(VLOOKUP($G249,AcctTbl,4,0)="","(بدون نام)",VLOOKUP($G249,AcctTbl,4,0)),"کد ناشناخته"))</f>
        <v/>
      </c>
      <c r="I249" s="13" t="n"/>
      <c r="J249" s="13" t="n"/>
      <c r="K249" s="14" t="n"/>
      <c r="L249" s="14" t="n"/>
      <c r="M249" s="15">
        <f>IF(OR($B249="",$K249=""),"",($K249-IF($L249="",0,$L249)*IFERROR(VLOOKUP("P01",ParamTbl,3,0),1.5))*(1-IF(IFERROR(VLOOKUP($E249,OpTbl,3,0),"")="خرید",IFERROR(VLOOKUP("P02",ParamTbl,3,0),1),0)/100))</f>
        <v/>
      </c>
      <c r="N249" s="14" t="n"/>
      <c r="O249" s="13" t="n"/>
    </row>
    <row r="250">
      <c r="A250" s="11">
        <f>IF($B250="","",COUNTA($B$9:$B250))</f>
        <v/>
      </c>
      <c r="B250" s="12" t="n"/>
      <c r="C250" s="12" t="n"/>
      <c r="D250" s="12" t="n"/>
      <c r="E250" s="13" t="n"/>
      <c r="F250" s="11">
        <f>IF($E250="","",IFERROR(VLOOKUP($E250,OpTbl,2,0),""))</f>
        <v/>
      </c>
      <c r="G250" s="12" t="n"/>
      <c r="H250" s="11">
        <f>IF($G250="","",IFERROR(IF(VLOOKUP($G250,AcctTbl,4,0)="","(بدون نام)",VLOOKUP($G250,AcctTbl,4,0)),"کد ناشناخته"))</f>
        <v/>
      </c>
      <c r="I250" s="13" t="n"/>
      <c r="J250" s="13" t="n"/>
      <c r="K250" s="14" t="n"/>
      <c r="L250" s="14" t="n"/>
      <c r="M250" s="15">
        <f>IF(OR($B250="",$K250=""),"",($K250-IF($L250="",0,$L250)*IFERROR(VLOOKUP("P01",ParamTbl,3,0),1.5))*(1-IF(IFERROR(VLOOKUP($E250,OpTbl,3,0),"")="خرید",IFERROR(VLOOKUP("P02",ParamTbl,3,0),1),0)/100))</f>
        <v/>
      </c>
      <c r="N250" s="14" t="n"/>
      <c r="O250" s="13" t="n"/>
    </row>
    <row r="251">
      <c r="A251" s="11">
        <f>IF($B251="","",COUNTA($B$9:$B251))</f>
        <v/>
      </c>
      <c r="B251" s="12" t="n"/>
      <c r="C251" s="12" t="n"/>
      <c r="D251" s="12" t="n"/>
      <c r="E251" s="13" t="n"/>
      <c r="F251" s="11">
        <f>IF($E251="","",IFERROR(VLOOKUP($E251,OpTbl,2,0),""))</f>
        <v/>
      </c>
      <c r="G251" s="12" t="n"/>
      <c r="H251" s="11">
        <f>IF($G251="","",IFERROR(IF(VLOOKUP($G251,AcctTbl,4,0)="","(بدون نام)",VLOOKUP($G251,AcctTbl,4,0)),"کد ناشناخته"))</f>
        <v/>
      </c>
      <c r="I251" s="13" t="n"/>
      <c r="J251" s="13" t="n"/>
      <c r="K251" s="14" t="n"/>
      <c r="L251" s="14" t="n"/>
      <c r="M251" s="15">
        <f>IF(OR($B251="",$K251=""),"",($K251-IF($L251="",0,$L251)*IFERROR(VLOOKUP("P01",ParamTbl,3,0),1.5))*(1-IF(IFERROR(VLOOKUP($E251,OpTbl,3,0),"")="خرید",IFERROR(VLOOKUP("P02",ParamTbl,3,0),1),0)/100))</f>
        <v/>
      </c>
      <c r="N251" s="14" t="n"/>
      <c r="O251" s="13" t="n"/>
    </row>
    <row r="252">
      <c r="A252" s="11">
        <f>IF($B252="","",COUNTA($B$9:$B252))</f>
        <v/>
      </c>
      <c r="B252" s="12" t="n"/>
      <c r="C252" s="12" t="n"/>
      <c r="D252" s="12" t="n"/>
      <c r="E252" s="13" t="n"/>
      <c r="F252" s="11">
        <f>IF($E252="","",IFERROR(VLOOKUP($E252,OpTbl,2,0),""))</f>
        <v/>
      </c>
      <c r="G252" s="12" t="n"/>
      <c r="H252" s="11">
        <f>IF($G252="","",IFERROR(IF(VLOOKUP($G252,AcctTbl,4,0)="","(بدون نام)",VLOOKUP($G252,AcctTbl,4,0)),"کد ناشناخته"))</f>
        <v/>
      </c>
      <c r="I252" s="13" t="n"/>
      <c r="J252" s="13" t="n"/>
      <c r="K252" s="14" t="n"/>
      <c r="L252" s="14" t="n"/>
      <c r="M252" s="15">
        <f>IF(OR($B252="",$K252=""),"",($K252-IF($L252="",0,$L252)*IFERROR(VLOOKUP("P01",ParamTbl,3,0),1.5))*(1-IF(IFERROR(VLOOKUP($E252,OpTbl,3,0),"")="خرید",IFERROR(VLOOKUP("P02",ParamTbl,3,0),1),0)/100))</f>
        <v/>
      </c>
      <c r="N252" s="14" t="n"/>
      <c r="O252" s="13" t="n"/>
    </row>
    <row r="253">
      <c r="A253" s="11">
        <f>IF($B253="","",COUNTA($B$9:$B253))</f>
        <v/>
      </c>
      <c r="B253" s="12" t="n"/>
      <c r="C253" s="12" t="n"/>
      <c r="D253" s="12" t="n"/>
      <c r="E253" s="13" t="n"/>
      <c r="F253" s="11">
        <f>IF($E253="","",IFERROR(VLOOKUP($E253,OpTbl,2,0),""))</f>
        <v/>
      </c>
      <c r="G253" s="12" t="n"/>
      <c r="H253" s="11">
        <f>IF($G253="","",IFERROR(IF(VLOOKUP($G253,AcctTbl,4,0)="","(بدون نام)",VLOOKUP($G253,AcctTbl,4,0)),"کد ناشناخته"))</f>
        <v/>
      </c>
      <c r="I253" s="13" t="n"/>
      <c r="J253" s="13" t="n"/>
      <c r="K253" s="14" t="n"/>
      <c r="L253" s="14" t="n"/>
      <c r="M253" s="15">
        <f>IF(OR($B253="",$K253=""),"",($K253-IF($L253="",0,$L253)*IFERROR(VLOOKUP("P01",ParamTbl,3,0),1.5))*(1-IF(IFERROR(VLOOKUP($E253,OpTbl,3,0),"")="خرید",IFERROR(VLOOKUP("P02",ParamTbl,3,0),1),0)/100))</f>
        <v/>
      </c>
      <c r="N253" s="14" t="n"/>
      <c r="O253" s="13" t="n"/>
    </row>
    <row r="254">
      <c r="A254" s="11">
        <f>IF($B254="","",COUNTA($B$9:$B254))</f>
        <v/>
      </c>
      <c r="B254" s="12" t="n"/>
      <c r="C254" s="12" t="n"/>
      <c r="D254" s="12" t="n"/>
      <c r="E254" s="13" t="n"/>
      <c r="F254" s="11">
        <f>IF($E254="","",IFERROR(VLOOKUP($E254,OpTbl,2,0),""))</f>
        <v/>
      </c>
      <c r="G254" s="12" t="n"/>
      <c r="H254" s="11">
        <f>IF($G254="","",IFERROR(IF(VLOOKUP($G254,AcctTbl,4,0)="","(بدون نام)",VLOOKUP($G254,AcctTbl,4,0)),"کد ناشناخته"))</f>
        <v/>
      </c>
      <c r="I254" s="13" t="n"/>
      <c r="J254" s="13" t="n"/>
      <c r="K254" s="14" t="n"/>
      <c r="L254" s="14" t="n"/>
      <c r="M254" s="15">
        <f>IF(OR($B254="",$K254=""),"",($K254-IF($L254="",0,$L254)*IFERROR(VLOOKUP("P01",ParamTbl,3,0),1.5))*(1-IF(IFERROR(VLOOKUP($E254,OpTbl,3,0),"")="خرید",IFERROR(VLOOKUP("P02",ParamTbl,3,0),1),0)/100))</f>
        <v/>
      </c>
      <c r="N254" s="14" t="n"/>
      <c r="O254" s="13" t="n"/>
    </row>
    <row r="255">
      <c r="A255" s="11">
        <f>IF($B255="","",COUNTA($B$9:$B255))</f>
        <v/>
      </c>
      <c r="B255" s="12" t="n"/>
      <c r="C255" s="12" t="n"/>
      <c r="D255" s="12" t="n"/>
      <c r="E255" s="13" t="n"/>
      <c r="F255" s="11">
        <f>IF($E255="","",IFERROR(VLOOKUP($E255,OpTbl,2,0),""))</f>
        <v/>
      </c>
      <c r="G255" s="12" t="n"/>
      <c r="H255" s="11">
        <f>IF($G255="","",IFERROR(IF(VLOOKUP($G255,AcctTbl,4,0)="","(بدون نام)",VLOOKUP($G255,AcctTbl,4,0)),"کد ناشناخته"))</f>
        <v/>
      </c>
      <c r="I255" s="13" t="n"/>
      <c r="J255" s="13" t="n"/>
      <c r="K255" s="14" t="n"/>
      <c r="L255" s="14" t="n"/>
      <c r="M255" s="15">
        <f>IF(OR($B255="",$K255=""),"",($K255-IF($L255="",0,$L255)*IFERROR(VLOOKUP("P01",ParamTbl,3,0),1.5))*(1-IF(IFERROR(VLOOKUP($E255,OpTbl,3,0),"")="خرید",IFERROR(VLOOKUP("P02",ParamTbl,3,0),1),0)/100))</f>
        <v/>
      </c>
      <c r="N255" s="14" t="n"/>
      <c r="O255" s="13" t="n"/>
    </row>
    <row r="256">
      <c r="A256" s="11">
        <f>IF($B256="","",COUNTA($B$9:$B256))</f>
        <v/>
      </c>
      <c r="B256" s="12" t="n"/>
      <c r="C256" s="12" t="n"/>
      <c r="D256" s="12" t="n"/>
      <c r="E256" s="13" t="n"/>
      <c r="F256" s="11">
        <f>IF($E256="","",IFERROR(VLOOKUP($E256,OpTbl,2,0),""))</f>
        <v/>
      </c>
      <c r="G256" s="12" t="n"/>
      <c r="H256" s="11">
        <f>IF($G256="","",IFERROR(IF(VLOOKUP($G256,AcctTbl,4,0)="","(بدون نام)",VLOOKUP($G256,AcctTbl,4,0)),"کد ناشناخته"))</f>
        <v/>
      </c>
      <c r="I256" s="13" t="n"/>
      <c r="J256" s="13" t="n"/>
      <c r="K256" s="14" t="n"/>
      <c r="L256" s="14" t="n"/>
      <c r="M256" s="15">
        <f>IF(OR($B256="",$K256=""),"",($K256-IF($L256="",0,$L256)*IFERROR(VLOOKUP("P01",ParamTbl,3,0),1.5))*(1-IF(IFERROR(VLOOKUP($E256,OpTbl,3,0),"")="خرید",IFERROR(VLOOKUP("P02",ParamTbl,3,0),1),0)/100))</f>
        <v/>
      </c>
      <c r="N256" s="14" t="n"/>
      <c r="O256" s="13" t="n"/>
    </row>
    <row r="257">
      <c r="A257" s="11">
        <f>IF($B257="","",COUNTA($B$9:$B257))</f>
        <v/>
      </c>
      <c r="B257" s="12" t="n"/>
      <c r="C257" s="12" t="n"/>
      <c r="D257" s="12" t="n"/>
      <c r="E257" s="13" t="n"/>
      <c r="F257" s="11">
        <f>IF($E257="","",IFERROR(VLOOKUP($E257,OpTbl,2,0),""))</f>
        <v/>
      </c>
      <c r="G257" s="12" t="n"/>
      <c r="H257" s="11">
        <f>IF($G257="","",IFERROR(IF(VLOOKUP($G257,AcctTbl,4,0)="","(بدون نام)",VLOOKUP($G257,AcctTbl,4,0)),"کد ناشناخته"))</f>
        <v/>
      </c>
      <c r="I257" s="13" t="n"/>
      <c r="J257" s="13" t="n"/>
      <c r="K257" s="14" t="n"/>
      <c r="L257" s="14" t="n"/>
      <c r="M257" s="15">
        <f>IF(OR($B257="",$K257=""),"",($K257-IF($L257="",0,$L257)*IFERROR(VLOOKUP("P01",ParamTbl,3,0),1.5))*(1-IF(IFERROR(VLOOKUP($E257,OpTbl,3,0),"")="خرید",IFERROR(VLOOKUP("P02",ParamTbl,3,0),1),0)/100))</f>
        <v/>
      </c>
      <c r="N257" s="14" t="n"/>
      <c r="O257" s="13" t="n"/>
    </row>
    <row r="258">
      <c r="A258" s="11">
        <f>IF($B258="","",COUNTA($B$9:$B258))</f>
        <v/>
      </c>
      <c r="B258" s="12" t="n"/>
      <c r="C258" s="12" t="n"/>
      <c r="D258" s="12" t="n"/>
      <c r="E258" s="13" t="n"/>
      <c r="F258" s="11">
        <f>IF($E258="","",IFERROR(VLOOKUP($E258,OpTbl,2,0),""))</f>
        <v/>
      </c>
      <c r="G258" s="12" t="n"/>
      <c r="H258" s="11">
        <f>IF($G258="","",IFERROR(IF(VLOOKUP($G258,AcctTbl,4,0)="","(بدون نام)",VLOOKUP($G258,AcctTbl,4,0)),"کد ناشناخته"))</f>
        <v/>
      </c>
      <c r="I258" s="13" t="n"/>
      <c r="J258" s="13" t="n"/>
      <c r="K258" s="14" t="n"/>
      <c r="L258" s="14" t="n"/>
      <c r="M258" s="15">
        <f>IF(OR($B258="",$K258=""),"",($K258-IF($L258="",0,$L258)*IFERROR(VLOOKUP("P01",ParamTbl,3,0),1.5))*(1-IF(IFERROR(VLOOKUP($E258,OpTbl,3,0),"")="خرید",IFERROR(VLOOKUP("P02",ParamTbl,3,0),1),0)/100))</f>
        <v/>
      </c>
      <c r="N258" s="14" t="n"/>
      <c r="O258" s="13" t="n"/>
    </row>
    <row r="259">
      <c r="A259" s="11">
        <f>IF($B259="","",COUNTA($B$9:$B259))</f>
        <v/>
      </c>
      <c r="B259" s="12" t="n"/>
      <c r="C259" s="12" t="n"/>
      <c r="D259" s="12" t="n"/>
      <c r="E259" s="13" t="n"/>
      <c r="F259" s="11">
        <f>IF($E259="","",IFERROR(VLOOKUP($E259,OpTbl,2,0),""))</f>
        <v/>
      </c>
      <c r="G259" s="12" t="n"/>
      <c r="H259" s="11">
        <f>IF($G259="","",IFERROR(IF(VLOOKUP($G259,AcctTbl,4,0)="","(بدون نام)",VLOOKUP($G259,AcctTbl,4,0)),"کد ناشناخته"))</f>
        <v/>
      </c>
      <c r="I259" s="13" t="n"/>
      <c r="J259" s="13" t="n"/>
      <c r="K259" s="14" t="n"/>
      <c r="L259" s="14" t="n"/>
      <c r="M259" s="15">
        <f>IF(OR($B259="",$K259=""),"",($K259-IF($L259="",0,$L259)*IFERROR(VLOOKUP("P01",ParamTbl,3,0),1.5))*(1-IF(IFERROR(VLOOKUP($E259,OpTbl,3,0),"")="خرید",IFERROR(VLOOKUP("P02",ParamTbl,3,0),1),0)/100))</f>
        <v/>
      </c>
      <c r="N259" s="14" t="n"/>
      <c r="O259" s="13" t="n"/>
    </row>
    <row r="260">
      <c r="A260" s="11">
        <f>IF($B260="","",COUNTA($B$9:$B260))</f>
        <v/>
      </c>
      <c r="B260" s="12" t="n"/>
      <c r="C260" s="12" t="n"/>
      <c r="D260" s="12" t="n"/>
      <c r="E260" s="13" t="n"/>
      <c r="F260" s="11">
        <f>IF($E260="","",IFERROR(VLOOKUP($E260,OpTbl,2,0),""))</f>
        <v/>
      </c>
      <c r="G260" s="12" t="n"/>
      <c r="H260" s="11">
        <f>IF($G260="","",IFERROR(IF(VLOOKUP($G260,AcctTbl,4,0)="","(بدون نام)",VLOOKUP($G260,AcctTbl,4,0)),"کد ناشناخته"))</f>
        <v/>
      </c>
      <c r="I260" s="13" t="n"/>
      <c r="J260" s="13" t="n"/>
      <c r="K260" s="14" t="n"/>
      <c r="L260" s="14" t="n"/>
      <c r="M260" s="15">
        <f>IF(OR($B260="",$K260=""),"",($K260-IF($L260="",0,$L260)*IFERROR(VLOOKUP("P01",ParamTbl,3,0),1.5))*(1-IF(IFERROR(VLOOKUP($E260,OpTbl,3,0),"")="خرید",IFERROR(VLOOKUP("P02",ParamTbl,3,0),1),0)/100))</f>
        <v/>
      </c>
      <c r="N260" s="14" t="n"/>
      <c r="O260" s="13" t="n"/>
    </row>
    <row r="261">
      <c r="A261" s="11">
        <f>IF($B261="","",COUNTA($B$9:$B261))</f>
        <v/>
      </c>
      <c r="B261" s="12" t="n"/>
      <c r="C261" s="12" t="n"/>
      <c r="D261" s="12" t="n"/>
      <c r="E261" s="13" t="n"/>
      <c r="F261" s="11">
        <f>IF($E261="","",IFERROR(VLOOKUP($E261,OpTbl,2,0),""))</f>
        <v/>
      </c>
      <c r="G261" s="12" t="n"/>
      <c r="H261" s="11">
        <f>IF($G261="","",IFERROR(IF(VLOOKUP($G261,AcctTbl,4,0)="","(بدون نام)",VLOOKUP($G261,AcctTbl,4,0)),"کد ناشناخته"))</f>
        <v/>
      </c>
      <c r="I261" s="13" t="n"/>
      <c r="J261" s="13" t="n"/>
      <c r="K261" s="14" t="n"/>
      <c r="L261" s="14" t="n"/>
      <c r="M261" s="15">
        <f>IF(OR($B261="",$K261=""),"",($K261-IF($L261="",0,$L261)*IFERROR(VLOOKUP("P01",ParamTbl,3,0),1.5))*(1-IF(IFERROR(VLOOKUP($E261,OpTbl,3,0),"")="خرید",IFERROR(VLOOKUP("P02",ParamTbl,3,0),1),0)/100))</f>
        <v/>
      </c>
      <c r="N261" s="14" t="n"/>
      <c r="O261" s="13" t="n"/>
    </row>
    <row r="262">
      <c r="A262" s="11">
        <f>IF($B262="","",COUNTA($B$9:$B262))</f>
        <v/>
      </c>
      <c r="B262" s="12" t="n"/>
      <c r="C262" s="12" t="n"/>
      <c r="D262" s="12" t="n"/>
      <c r="E262" s="13" t="n"/>
      <c r="F262" s="11">
        <f>IF($E262="","",IFERROR(VLOOKUP($E262,OpTbl,2,0),""))</f>
        <v/>
      </c>
      <c r="G262" s="12" t="n"/>
      <c r="H262" s="11">
        <f>IF($G262="","",IFERROR(IF(VLOOKUP($G262,AcctTbl,4,0)="","(بدون نام)",VLOOKUP($G262,AcctTbl,4,0)),"کد ناشناخته"))</f>
        <v/>
      </c>
      <c r="I262" s="13" t="n"/>
      <c r="J262" s="13" t="n"/>
      <c r="K262" s="14" t="n"/>
      <c r="L262" s="14" t="n"/>
      <c r="M262" s="15">
        <f>IF(OR($B262="",$K262=""),"",($K262-IF($L262="",0,$L262)*IFERROR(VLOOKUP("P01",ParamTbl,3,0),1.5))*(1-IF(IFERROR(VLOOKUP($E262,OpTbl,3,0),"")="خرید",IFERROR(VLOOKUP("P02",ParamTbl,3,0),1),0)/100))</f>
        <v/>
      </c>
      <c r="N262" s="14" t="n"/>
      <c r="O262" s="13" t="n"/>
    </row>
    <row r="263">
      <c r="A263" s="11">
        <f>IF($B263="","",COUNTA($B$9:$B263))</f>
        <v/>
      </c>
      <c r="B263" s="12" t="n"/>
      <c r="C263" s="12" t="n"/>
      <c r="D263" s="12" t="n"/>
      <c r="E263" s="13" t="n"/>
      <c r="F263" s="11">
        <f>IF($E263="","",IFERROR(VLOOKUP($E263,OpTbl,2,0),""))</f>
        <v/>
      </c>
      <c r="G263" s="12" t="n"/>
      <c r="H263" s="11">
        <f>IF($G263="","",IFERROR(IF(VLOOKUP($G263,AcctTbl,4,0)="","(بدون نام)",VLOOKUP($G263,AcctTbl,4,0)),"کد ناشناخته"))</f>
        <v/>
      </c>
      <c r="I263" s="13" t="n"/>
      <c r="J263" s="13" t="n"/>
      <c r="K263" s="14" t="n"/>
      <c r="L263" s="14" t="n"/>
      <c r="M263" s="15">
        <f>IF(OR($B263="",$K263=""),"",($K263-IF($L263="",0,$L263)*IFERROR(VLOOKUP("P01",ParamTbl,3,0),1.5))*(1-IF(IFERROR(VLOOKUP($E263,OpTbl,3,0),"")="خرید",IFERROR(VLOOKUP("P02",ParamTbl,3,0),1),0)/100))</f>
        <v/>
      </c>
      <c r="N263" s="14" t="n"/>
      <c r="O263" s="13" t="n"/>
    </row>
    <row r="264">
      <c r="A264" s="11">
        <f>IF($B264="","",COUNTA($B$9:$B264))</f>
        <v/>
      </c>
      <c r="B264" s="12" t="n"/>
      <c r="C264" s="12" t="n"/>
      <c r="D264" s="12" t="n"/>
      <c r="E264" s="13" t="n"/>
      <c r="F264" s="11">
        <f>IF($E264="","",IFERROR(VLOOKUP($E264,OpTbl,2,0),""))</f>
        <v/>
      </c>
      <c r="G264" s="12" t="n"/>
      <c r="H264" s="11">
        <f>IF($G264="","",IFERROR(IF(VLOOKUP($G264,AcctTbl,4,0)="","(بدون نام)",VLOOKUP($G264,AcctTbl,4,0)),"کد ناشناخته"))</f>
        <v/>
      </c>
      <c r="I264" s="13" t="n"/>
      <c r="J264" s="13" t="n"/>
      <c r="K264" s="14" t="n"/>
      <c r="L264" s="14" t="n"/>
      <c r="M264" s="15">
        <f>IF(OR($B264="",$K264=""),"",($K264-IF($L264="",0,$L264)*IFERROR(VLOOKUP("P01",ParamTbl,3,0),1.5))*(1-IF(IFERROR(VLOOKUP($E264,OpTbl,3,0),"")="خرید",IFERROR(VLOOKUP("P02",ParamTbl,3,0),1),0)/100))</f>
        <v/>
      </c>
      <c r="N264" s="14" t="n"/>
      <c r="O264" s="13" t="n"/>
    </row>
    <row r="265">
      <c r="A265" s="11">
        <f>IF($B265="","",COUNTA($B$9:$B265))</f>
        <v/>
      </c>
      <c r="B265" s="12" t="n"/>
      <c r="C265" s="12" t="n"/>
      <c r="D265" s="12" t="n"/>
      <c r="E265" s="13" t="n"/>
      <c r="F265" s="11">
        <f>IF($E265="","",IFERROR(VLOOKUP($E265,OpTbl,2,0),""))</f>
        <v/>
      </c>
      <c r="G265" s="12" t="n"/>
      <c r="H265" s="11">
        <f>IF($G265="","",IFERROR(IF(VLOOKUP($G265,AcctTbl,4,0)="","(بدون نام)",VLOOKUP($G265,AcctTbl,4,0)),"کد ناشناخته"))</f>
        <v/>
      </c>
      <c r="I265" s="13" t="n"/>
      <c r="J265" s="13" t="n"/>
      <c r="K265" s="14" t="n"/>
      <c r="L265" s="14" t="n"/>
      <c r="M265" s="15">
        <f>IF(OR($B265="",$K265=""),"",($K265-IF($L265="",0,$L265)*IFERROR(VLOOKUP("P01",ParamTbl,3,0),1.5))*(1-IF(IFERROR(VLOOKUP($E265,OpTbl,3,0),"")="خرید",IFERROR(VLOOKUP("P02",ParamTbl,3,0),1),0)/100))</f>
        <v/>
      </c>
      <c r="N265" s="14" t="n"/>
      <c r="O265" s="13" t="n"/>
    </row>
    <row r="266">
      <c r="A266" s="11">
        <f>IF($B266="","",COUNTA($B$9:$B266))</f>
        <v/>
      </c>
      <c r="B266" s="12" t="n"/>
      <c r="C266" s="12" t="n"/>
      <c r="D266" s="12" t="n"/>
      <c r="E266" s="13" t="n"/>
      <c r="F266" s="11">
        <f>IF($E266="","",IFERROR(VLOOKUP($E266,OpTbl,2,0),""))</f>
        <v/>
      </c>
      <c r="G266" s="12" t="n"/>
      <c r="H266" s="11">
        <f>IF($G266="","",IFERROR(IF(VLOOKUP($G266,AcctTbl,4,0)="","(بدون نام)",VLOOKUP($G266,AcctTbl,4,0)),"کد ناشناخته"))</f>
        <v/>
      </c>
      <c r="I266" s="13" t="n"/>
      <c r="J266" s="13" t="n"/>
      <c r="K266" s="14" t="n"/>
      <c r="L266" s="14" t="n"/>
      <c r="M266" s="15">
        <f>IF(OR($B266="",$K266=""),"",($K266-IF($L266="",0,$L266)*IFERROR(VLOOKUP("P01",ParamTbl,3,0),1.5))*(1-IF(IFERROR(VLOOKUP($E266,OpTbl,3,0),"")="خرید",IFERROR(VLOOKUP("P02",ParamTbl,3,0),1),0)/100))</f>
        <v/>
      </c>
      <c r="N266" s="14" t="n"/>
      <c r="O266" s="13" t="n"/>
    </row>
    <row r="267">
      <c r="A267" s="11">
        <f>IF($B267="","",COUNTA($B$9:$B267))</f>
        <v/>
      </c>
      <c r="B267" s="12" t="n"/>
      <c r="C267" s="12" t="n"/>
      <c r="D267" s="12" t="n"/>
      <c r="E267" s="13" t="n"/>
      <c r="F267" s="11">
        <f>IF($E267="","",IFERROR(VLOOKUP($E267,OpTbl,2,0),""))</f>
        <v/>
      </c>
      <c r="G267" s="12" t="n"/>
      <c r="H267" s="11">
        <f>IF($G267="","",IFERROR(IF(VLOOKUP($G267,AcctTbl,4,0)="","(بدون نام)",VLOOKUP($G267,AcctTbl,4,0)),"کد ناشناخته"))</f>
        <v/>
      </c>
      <c r="I267" s="13" t="n"/>
      <c r="J267" s="13" t="n"/>
      <c r="K267" s="14" t="n"/>
      <c r="L267" s="14" t="n"/>
      <c r="M267" s="15">
        <f>IF(OR($B267="",$K267=""),"",($K267-IF($L267="",0,$L267)*IFERROR(VLOOKUP("P01",ParamTbl,3,0),1.5))*(1-IF(IFERROR(VLOOKUP($E267,OpTbl,3,0),"")="خرید",IFERROR(VLOOKUP("P02",ParamTbl,3,0),1),0)/100))</f>
        <v/>
      </c>
      <c r="N267" s="14" t="n"/>
      <c r="O267" s="13" t="n"/>
    </row>
    <row r="268">
      <c r="A268" s="11">
        <f>IF($B268="","",COUNTA($B$9:$B268))</f>
        <v/>
      </c>
      <c r="B268" s="12" t="n"/>
      <c r="C268" s="12" t="n"/>
      <c r="D268" s="12" t="n"/>
      <c r="E268" s="13" t="n"/>
      <c r="F268" s="11">
        <f>IF($E268="","",IFERROR(VLOOKUP($E268,OpTbl,2,0),""))</f>
        <v/>
      </c>
      <c r="G268" s="12" t="n"/>
      <c r="H268" s="11">
        <f>IF($G268="","",IFERROR(IF(VLOOKUP($G268,AcctTbl,4,0)="","(بدون نام)",VLOOKUP($G268,AcctTbl,4,0)),"کد ناشناخته"))</f>
        <v/>
      </c>
      <c r="I268" s="13" t="n"/>
      <c r="J268" s="13" t="n"/>
      <c r="K268" s="14" t="n"/>
      <c r="L268" s="14" t="n"/>
      <c r="M268" s="15">
        <f>IF(OR($B268="",$K268=""),"",($K268-IF($L268="",0,$L268)*IFERROR(VLOOKUP("P01",ParamTbl,3,0),1.5))*(1-IF(IFERROR(VLOOKUP($E268,OpTbl,3,0),"")="خرید",IFERROR(VLOOKUP("P02",ParamTbl,3,0),1),0)/100))</f>
        <v/>
      </c>
      <c r="N268" s="14" t="n"/>
      <c r="O268" s="13" t="n"/>
    </row>
    <row r="269">
      <c r="A269" s="11">
        <f>IF($B269="","",COUNTA($B$9:$B269))</f>
        <v/>
      </c>
      <c r="B269" s="12" t="n"/>
      <c r="C269" s="12" t="n"/>
      <c r="D269" s="12" t="n"/>
      <c r="E269" s="13" t="n"/>
      <c r="F269" s="11">
        <f>IF($E269="","",IFERROR(VLOOKUP($E269,OpTbl,2,0),""))</f>
        <v/>
      </c>
      <c r="G269" s="12" t="n"/>
      <c r="H269" s="11">
        <f>IF($G269="","",IFERROR(IF(VLOOKUP($G269,AcctTbl,4,0)="","(بدون نام)",VLOOKUP($G269,AcctTbl,4,0)),"کد ناشناخته"))</f>
        <v/>
      </c>
      <c r="I269" s="13" t="n"/>
      <c r="J269" s="13" t="n"/>
      <c r="K269" s="14" t="n"/>
      <c r="L269" s="14" t="n"/>
      <c r="M269" s="15">
        <f>IF(OR($B269="",$K269=""),"",($K269-IF($L269="",0,$L269)*IFERROR(VLOOKUP("P01",ParamTbl,3,0),1.5))*(1-IF(IFERROR(VLOOKUP($E269,OpTbl,3,0),"")="خرید",IFERROR(VLOOKUP("P02",ParamTbl,3,0),1),0)/100))</f>
        <v/>
      </c>
      <c r="N269" s="14" t="n"/>
      <c r="O269" s="13" t="n"/>
    </row>
    <row r="270">
      <c r="A270" s="11">
        <f>IF($B270="","",COUNTA($B$9:$B270))</f>
        <v/>
      </c>
      <c r="B270" s="12" t="n"/>
      <c r="C270" s="12" t="n"/>
      <c r="D270" s="12" t="n"/>
      <c r="E270" s="13" t="n"/>
      <c r="F270" s="11">
        <f>IF($E270="","",IFERROR(VLOOKUP($E270,OpTbl,2,0),""))</f>
        <v/>
      </c>
      <c r="G270" s="12" t="n"/>
      <c r="H270" s="11">
        <f>IF($G270="","",IFERROR(IF(VLOOKUP($G270,AcctTbl,4,0)="","(بدون نام)",VLOOKUP($G270,AcctTbl,4,0)),"کد ناشناخته"))</f>
        <v/>
      </c>
      <c r="I270" s="13" t="n"/>
      <c r="J270" s="13" t="n"/>
      <c r="K270" s="14" t="n"/>
      <c r="L270" s="14" t="n"/>
      <c r="M270" s="15">
        <f>IF(OR($B270="",$K270=""),"",($K270-IF($L270="",0,$L270)*IFERROR(VLOOKUP("P01",ParamTbl,3,0),1.5))*(1-IF(IFERROR(VLOOKUP($E270,OpTbl,3,0),"")="خرید",IFERROR(VLOOKUP("P02",ParamTbl,3,0),1),0)/100))</f>
        <v/>
      </c>
      <c r="N270" s="14" t="n"/>
      <c r="O270" s="13" t="n"/>
    </row>
    <row r="271">
      <c r="A271" s="11">
        <f>IF($B271="","",COUNTA($B$9:$B271))</f>
        <v/>
      </c>
      <c r="B271" s="12" t="n"/>
      <c r="C271" s="12" t="n"/>
      <c r="D271" s="12" t="n"/>
      <c r="E271" s="13" t="n"/>
      <c r="F271" s="11">
        <f>IF($E271="","",IFERROR(VLOOKUP($E271,OpTbl,2,0),""))</f>
        <v/>
      </c>
      <c r="G271" s="12" t="n"/>
      <c r="H271" s="11">
        <f>IF($G271="","",IFERROR(IF(VLOOKUP($G271,AcctTbl,4,0)="","(بدون نام)",VLOOKUP($G271,AcctTbl,4,0)),"کد ناشناخته"))</f>
        <v/>
      </c>
      <c r="I271" s="13" t="n"/>
      <c r="J271" s="13" t="n"/>
      <c r="K271" s="14" t="n"/>
      <c r="L271" s="14" t="n"/>
      <c r="M271" s="15">
        <f>IF(OR($B271="",$K271=""),"",($K271-IF($L271="",0,$L271)*IFERROR(VLOOKUP("P01",ParamTbl,3,0),1.5))*(1-IF(IFERROR(VLOOKUP($E271,OpTbl,3,0),"")="خرید",IFERROR(VLOOKUP("P02",ParamTbl,3,0),1),0)/100))</f>
        <v/>
      </c>
      <c r="N271" s="14" t="n"/>
      <c r="O271" s="13" t="n"/>
    </row>
    <row r="272">
      <c r="A272" s="11">
        <f>IF($B272="","",COUNTA($B$9:$B272))</f>
        <v/>
      </c>
      <c r="B272" s="12" t="n"/>
      <c r="C272" s="12" t="n"/>
      <c r="D272" s="12" t="n"/>
      <c r="E272" s="13" t="n"/>
      <c r="F272" s="11">
        <f>IF($E272="","",IFERROR(VLOOKUP($E272,OpTbl,2,0),""))</f>
        <v/>
      </c>
      <c r="G272" s="12" t="n"/>
      <c r="H272" s="11">
        <f>IF($G272="","",IFERROR(IF(VLOOKUP($G272,AcctTbl,4,0)="","(بدون نام)",VLOOKUP($G272,AcctTbl,4,0)),"کد ناشناخته"))</f>
        <v/>
      </c>
      <c r="I272" s="13" t="n"/>
      <c r="J272" s="13" t="n"/>
      <c r="K272" s="14" t="n"/>
      <c r="L272" s="14" t="n"/>
      <c r="M272" s="15">
        <f>IF(OR($B272="",$K272=""),"",($K272-IF($L272="",0,$L272)*IFERROR(VLOOKUP("P01",ParamTbl,3,0),1.5))*(1-IF(IFERROR(VLOOKUP($E272,OpTbl,3,0),"")="خرید",IFERROR(VLOOKUP("P02",ParamTbl,3,0),1),0)/100))</f>
        <v/>
      </c>
      <c r="N272" s="14" t="n"/>
      <c r="O272" s="13" t="n"/>
    </row>
    <row r="273">
      <c r="A273" s="11">
        <f>IF($B273="","",COUNTA($B$9:$B273))</f>
        <v/>
      </c>
      <c r="B273" s="12" t="n"/>
      <c r="C273" s="12" t="n"/>
      <c r="D273" s="12" t="n"/>
      <c r="E273" s="13" t="n"/>
      <c r="F273" s="11">
        <f>IF($E273="","",IFERROR(VLOOKUP($E273,OpTbl,2,0),""))</f>
        <v/>
      </c>
      <c r="G273" s="12" t="n"/>
      <c r="H273" s="11">
        <f>IF($G273="","",IFERROR(IF(VLOOKUP($G273,AcctTbl,4,0)="","(بدون نام)",VLOOKUP($G273,AcctTbl,4,0)),"کد ناشناخته"))</f>
        <v/>
      </c>
      <c r="I273" s="13" t="n"/>
      <c r="J273" s="13" t="n"/>
      <c r="K273" s="14" t="n"/>
      <c r="L273" s="14" t="n"/>
      <c r="M273" s="15">
        <f>IF(OR($B273="",$K273=""),"",($K273-IF($L273="",0,$L273)*IFERROR(VLOOKUP("P01",ParamTbl,3,0),1.5))*(1-IF(IFERROR(VLOOKUP($E273,OpTbl,3,0),"")="خرید",IFERROR(VLOOKUP("P02",ParamTbl,3,0),1),0)/100))</f>
        <v/>
      </c>
      <c r="N273" s="14" t="n"/>
      <c r="O273" s="13" t="n"/>
    </row>
    <row r="274">
      <c r="A274" s="11">
        <f>IF($B274="","",COUNTA($B$9:$B274))</f>
        <v/>
      </c>
      <c r="B274" s="12" t="n"/>
      <c r="C274" s="12" t="n"/>
      <c r="D274" s="12" t="n"/>
      <c r="E274" s="13" t="n"/>
      <c r="F274" s="11">
        <f>IF($E274="","",IFERROR(VLOOKUP($E274,OpTbl,2,0),""))</f>
        <v/>
      </c>
      <c r="G274" s="12" t="n"/>
      <c r="H274" s="11">
        <f>IF($G274="","",IFERROR(IF(VLOOKUP($G274,AcctTbl,4,0)="","(بدون نام)",VLOOKUP($G274,AcctTbl,4,0)),"کد ناشناخته"))</f>
        <v/>
      </c>
      <c r="I274" s="13" t="n"/>
      <c r="J274" s="13" t="n"/>
      <c r="K274" s="14" t="n"/>
      <c r="L274" s="14" t="n"/>
      <c r="M274" s="15">
        <f>IF(OR($B274="",$K274=""),"",($K274-IF($L274="",0,$L274)*IFERROR(VLOOKUP("P01",ParamTbl,3,0),1.5))*(1-IF(IFERROR(VLOOKUP($E274,OpTbl,3,0),"")="خرید",IFERROR(VLOOKUP("P02",ParamTbl,3,0),1),0)/100))</f>
        <v/>
      </c>
      <c r="N274" s="14" t="n"/>
      <c r="O274" s="13" t="n"/>
    </row>
    <row r="275">
      <c r="A275" s="11">
        <f>IF($B275="","",COUNTA($B$9:$B275))</f>
        <v/>
      </c>
      <c r="B275" s="12" t="n"/>
      <c r="C275" s="12" t="n"/>
      <c r="D275" s="12" t="n"/>
      <c r="E275" s="13" t="n"/>
      <c r="F275" s="11">
        <f>IF($E275="","",IFERROR(VLOOKUP($E275,OpTbl,2,0),""))</f>
        <v/>
      </c>
      <c r="G275" s="12" t="n"/>
      <c r="H275" s="11">
        <f>IF($G275="","",IFERROR(IF(VLOOKUP($G275,AcctTbl,4,0)="","(بدون نام)",VLOOKUP($G275,AcctTbl,4,0)),"کد ناشناخته"))</f>
        <v/>
      </c>
      <c r="I275" s="13" t="n"/>
      <c r="J275" s="13" t="n"/>
      <c r="K275" s="14" t="n"/>
      <c r="L275" s="14" t="n"/>
      <c r="M275" s="15">
        <f>IF(OR($B275="",$K275=""),"",($K275-IF($L275="",0,$L275)*IFERROR(VLOOKUP("P01",ParamTbl,3,0),1.5))*(1-IF(IFERROR(VLOOKUP($E275,OpTbl,3,0),"")="خرید",IFERROR(VLOOKUP("P02",ParamTbl,3,0),1),0)/100))</f>
        <v/>
      </c>
      <c r="N275" s="14" t="n"/>
      <c r="O275" s="13" t="n"/>
    </row>
    <row r="276">
      <c r="A276" s="11">
        <f>IF($B276="","",COUNTA($B$9:$B276))</f>
        <v/>
      </c>
      <c r="B276" s="12" t="n"/>
      <c r="C276" s="12" t="n"/>
      <c r="D276" s="12" t="n"/>
      <c r="E276" s="13" t="n"/>
      <c r="F276" s="11">
        <f>IF($E276="","",IFERROR(VLOOKUP($E276,OpTbl,2,0),""))</f>
        <v/>
      </c>
      <c r="G276" s="12" t="n"/>
      <c r="H276" s="11">
        <f>IF($G276="","",IFERROR(IF(VLOOKUP($G276,AcctTbl,4,0)="","(بدون نام)",VLOOKUP($G276,AcctTbl,4,0)),"کد ناشناخته"))</f>
        <v/>
      </c>
      <c r="I276" s="13" t="n"/>
      <c r="J276" s="13" t="n"/>
      <c r="K276" s="14" t="n"/>
      <c r="L276" s="14" t="n"/>
      <c r="M276" s="15">
        <f>IF(OR($B276="",$K276=""),"",($K276-IF($L276="",0,$L276)*IFERROR(VLOOKUP("P01",ParamTbl,3,0),1.5))*(1-IF(IFERROR(VLOOKUP($E276,OpTbl,3,0),"")="خرید",IFERROR(VLOOKUP("P02",ParamTbl,3,0),1),0)/100))</f>
        <v/>
      </c>
      <c r="N276" s="14" t="n"/>
      <c r="O276" s="13" t="n"/>
    </row>
    <row r="277">
      <c r="A277" s="11">
        <f>IF($B277="","",COUNTA($B$9:$B277))</f>
        <v/>
      </c>
      <c r="B277" s="12" t="n"/>
      <c r="C277" s="12" t="n"/>
      <c r="D277" s="12" t="n"/>
      <c r="E277" s="13" t="n"/>
      <c r="F277" s="11">
        <f>IF($E277="","",IFERROR(VLOOKUP($E277,OpTbl,2,0),""))</f>
        <v/>
      </c>
      <c r="G277" s="12" t="n"/>
      <c r="H277" s="11">
        <f>IF($G277="","",IFERROR(IF(VLOOKUP($G277,AcctTbl,4,0)="","(بدون نام)",VLOOKUP($G277,AcctTbl,4,0)),"کد ناشناخته"))</f>
        <v/>
      </c>
      <c r="I277" s="13" t="n"/>
      <c r="J277" s="13" t="n"/>
      <c r="K277" s="14" t="n"/>
      <c r="L277" s="14" t="n"/>
      <c r="M277" s="15">
        <f>IF(OR($B277="",$K277=""),"",($K277-IF($L277="",0,$L277)*IFERROR(VLOOKUP("P01",ParamTbl,3,0),1.5))*(1-IF(IFERROR(VLOOKUP($E277,OpTbl,3,0),"")="خرید",IFERROR(VLOOKUP("P02",ParamTbl,3,0),1),0)/100))</f>
        <v/>
      </c>
      <c r="N277" s="14" t="n"/>
      <c r="O277" s="13" t="n"/>
    </row>
    <row r="278">
      <c r="A278" s="11">
        <f>IF($B278="","",COUNTA($B$9:$B278))</f>
        <v/>
      </c>
      <c r="B278" s="12" t="n"/>
      <c r="C278" s="12" t="n"/>
      <c r="D278" s="12" t="n"/>
      <c r="E278" s="13" t="n"/>
      <c r="F278" s="11">
        <f>IF($E278="","",IFERROR(VLOOKUP($E278,OpTbl,2,0),""))</f>
        <v/>
      </c>
      <c r="G278" s="12" t="n"/>
      <c r="H278" s="11">
        <f>IF($G278="","",IFERROR(IF(VLOOKUP($G278,AcctTbl,4,0)="","(بدون نام)",VLOOKUP($G278,AcctTbl,4,0)),"کد ناشناخته"))</f>
        <v/>
      </c>
      <c r="I278" s="13" t="n"/>
      <c r="J278" s="13" t="n"/>
      <c r="K278" s="14" t="n"/>
      <c r="L278" s="14" t="n"/>
      <c r="M278" s="15">
        <f>IF(OR($B278="",$K278=""),"",($K278-IF($L278="",0,$L278)*IFERROR(VLOOKUP("P01",ParamTbl,3,0),1.5))*(1-IF(IFERROR(VLOOKUP($E278,OpTbl,3,0),"")="خرید",IFERROR(VLOOKUP("P02",ParamTbl,3,0),1),0)/100))</f>
        <v/>
      </c>
      <c r="N278" s="14" t="n"/>
      <c r="O278" s="13" t="n"/>
    </row>
    <row r="279">
      <c r="A279" s="11">
        <f>IF($B279="","",COUNTA($B$9:$B279))</f>
        <v/>
      </c>
      <c r="B279" s="12" t="n"/>
      <c r="C279" s="12" t="n"/>
      <c r="D279" s="12" t="n"/>
      <c r="E279" s="13" t="n"/>
      <c r="F279" s="11">
        <f>IF($E279="","",IFERROR(VLOOKUP($E279,OpTbl,2,0),""))</f>
        <v/>
      </c>
      <c r="G279" s="12" t="n"/>
      <c r="H279" s="11">
        <f>IF($G279="","",IFERROR(IF(VLOOKUP($G279,AcctTbl,4,0)="","(بدون نام)",VLOOKUP($G279,AcctTbl,4,0)),"کد ناشناخته"))</f>
        <v/>
      </c>
      <c r="I279" s="13" t="n"/>
      <c r="J279" s="13" t="n"/>
      <c r="K279" s="14" t="n"/>
      <c r="L279" s="14" t="n"/>
      <c r="M279" s="15">
        <f>IF(OR($B279="",$K279=""),"",($K279-IF($L279="",0,$L279)*IFERROR(VLOOKUP("P01",ParamTbl,3,0),1.5))*(1-IF(IFERROR(VLOOKUP($E279,OpTbl,3,0),"")="خرید",IFERROR(VLOOKUP("P02",ParamTbl,3,0),1),0)/100))</f>
        <v/>
      </c>
      <c r="N279" s="14" t="n"/>
      <c r="O279" s="13" t="n"/>
    </row>
    <row r="280">
      <c r="A280" s="11">
        <f>IF($B280="","",COUNTA($B$9:$B280))</f>
        <v/>
      </c>
      <c r="B280" s="12" t="n"/>
      <c r="C280" s="12" t="n"/>
      <c r="D280" s="12" t="n"/>
      <c r="E280" s="13" t="n"/>
      <c r="F280" s="11">
        <f>IF($E280="","",IFERROR(VLOOKUP($E280,OpTbl,2,0),""))</f>
        <v/>
      </c>
      <c r="G280" s="12" t="n"/>
      <c r="H280" s="11">
        <f>IF($G280="","",IFERROR(IF(VLOOKUP($G280,AcctTbl,4,0)="","(بدون نام)",VLOOKUP($G280,AcctTbl,4,0)),"کد ناشناخته"))</f>
        <v/>
      </c>
      <c r="I280" s="13" t="n"/>
      <c r="J280" s="13" t="n"/>
      <c r="K280" s="14" t="n"/>
      <c r="L280" s="14" t="n"/>
      <c r="M280" s="15">
        <f>IF(OR($B280="",$K280=""),"",($K280-IF($L280="",0,$L280)*IFERROR(VLOOKUP("P01",ParamTbl,3,0),1.5))*(1-IF(IFERROR(VLOOKUP($E280,OpTbl,3,0),"")="خرید",IFERROR(VLOOKUP("P02",ParamTbl,3,0),1),0)/100))</f>
        <v/>
      </c>
      <c r="N280" s="14" t="n"/>
      <c r="O280" s="13" t="n"/>
    </row>
    <row r="281">
      <c r="A281" s="11">
        <f>IF($B281="","",COUNTA($B$9:$B281))</f>
        <v/>
      </c>
      <c r="B281" s="12" t="n"/>
      <c r="C281" s="12" t="n"/>
      <c r="D281" s="12" t="n"/>
      <c r="E281" s="13" t="n"/>
      <c r="F281" s="11">
        <f>IF($E281="","",IFERROR(VLOOKUP($E281,OpTbl,2,0),""))</f>
        <v/>
      </c>
      <c r="G281" s="12" t="n"/>
      <c r="H281" s="11">
        <f>IF($G281="","",IFERROR(IF(VLOOKUP($G281,AcctTbl,4,0)="","(بدون نام)",VLOOKUP($G281,AcctTbl,4,0)),"کد ناشناخته"))</f>
        <v/>
      </c>
      <c r="I281" s="13" t="n"/>
      <c r="J281" s="13" t="n"/>
      <c r="K281" s="14" t="n"/>
      <c r="L281" s="14" t="n"/>
      <c r="M281" s="15">
        <f>IF(OR($B281="",$K281=""),"",($K281-IF($L281="",0,$L281)*IFERROR(VLOOKUP("P01",ParamTbl,3,0),1.5))*(1-IF(IFERROR(VLOOKUP($E281,OpTbl,3,0),"")="خرید",IFERROR(VLOOKUP("P02",ParamTbl,3,0),1),0)/100))</f>
        <v/>
      </c>
      <c r="N281" s="14" t="n"/>
      <c r="O281" s="13" t="n"/>
    </row>
    <row r="282">
      <c r="A282" s="11">
        <f>IF($B282="","",COUNTA($B$9:$B282))</f>
        <v/>
      </c>
      <c r="B282" s="12" t="n"/>
      <c r="C282" s="12" t="n"/>
      <c r="D282" s="12" t="n"/>
      <c r="E282" s="13" t="n"/>
      <c r="F282" s="11">
        <f>IF($E282="","",IFERROR(VLOOKUP($E282,OpTbl,2,0),""))</f>
        <v/>
      </c>
      <c r="G282" s="12" t="n"/>
      <c r="H282" s="11">
        <f>IF($G282="","",IFERROR(IF(VLOOKUP($G282,AcctTbl,4,0)="","(بدون نام)",VLOOKUP($G282,AcctTbl,4,0)),"کد ناشناخته"))</f>
        <v/>
      </c>
      <c r="I282" s="13" t="n"/>
      <c r="J282" s="13" t="n"/>
      <c r="K282" s="14" t="n"/>
      <c r="L282" s="14" t="n"/>
      <c r="M282" s="15">
        <f>IF(OR($B282="",$K282=""),"",($K282-IF($L282="",0,$L282)*IFERROR(VLOOKUP("P01",ParamTbl,3,0),1.5))*(1-IF(IFERROR(VLOOKUP($E282,OpTbl,3,0),"")="خرید",IFERROR(VLOOKUP("P02",ParamTbl,3,0),1),0)/100))</f>
        <v/>
      </c>
      <c r="N282" s="14" t="n"/>
      <c r="O282" s="13" t="n"/>
    </row>
    <row r="283">
      <c r="A283" s="11">
        <f>IF($B283="","",COUNTA($B$9:$B283))</f>
        <v/>
      </c>
      <c r="B283" s="12" t="n"/>
      <c r="C283" s="12" t="n"/>
      <c r="D283" s="12" t="n"/>
      <c r="E283" s="13" t="n"/>
      <c r="F283" s="11">
        <f>IF($E283="","",IFERROR(VLOOKUP($E283,OpTbl,2,0),""))</f>
        <v/>
      </c>
      <c r="G283" s="12" t="n"/>
      <c r="H283" s="11">
        <f>IF($G283="","",IFERROR(IF(VLOOKUP($G283,AcctTbl,4,0)="","(بدون نام)",VLOOKUP($G283,AcctTbl,4,0)),"کد ناشناخته"))</f>
        <v/>
      </c>
      <c r="I283" s="13" t="n"/>
      <c r="J283" s="13" t="n"/>
      <c r="K283" s="14" t="n"/>
      <c r="L283" s="14" t="n"/>
      <c r="M283" s="15">
        <f>IF(OR($B283="",$K283=""),"",($K283-IF($L283="",0,$L283)*IFERROR(VLOOKUP("P01",ParamTbl,3,0),1.5))*(1-IF(IFERROR(VLOOKUP($E283,OpTbl,3,0),"")="خرید",IFERROR(VLOOKUP("P02",ParamTbl,3,0),1),0)/100))</f>
        <v/>
      </c>
      <c r="N283" s="14" t="n"/>
      <c r="O283" s="13" t="n"/>
    </row>
    <row r="284">
      <c r="A284" s="11">
        <f>IF($B284="","",COUNTA($B$9:$B284))</f>
        <v/>
      </c>
      <c r="B284" s="12" t="n"/>
      <c r="C284" s="12" t="n"/>
      <c r="D284" s="12" t="n"/>
      <c r="E284" s="13" t="n"/>
      <c r="F284" s="11">
        <f>IF($E284="","",IFERROR(VLOOKUP($E284,OpTbl,2,0),""))</f>
        <v/>
      </c>
      <c r="G284" s="12" t="n"/>
      <c r="H284" s="11">
        <f>IF($G284="","",IFERROR(IF(VLOOKUP($G284,AcctTbl,4,0)="","(بدون نام)",VLOOKUP($G284,AcctTbl,4,0)),"کد ناشناخته"))</f>
        <v/>
      </c>
      <c r="I284" s="13" t="n"/>
      <c r="J284" s="13" t="n"/>
      <c r="K284" s="14" t="n"/>
      <c r="L284" s="14" t="n"/>
      <c r="M284" s="15">
        <f>IF(OR($B284="",$K284=""),"",($K284-IF($L284="",0,$L284)*IFERROR(VLOOKUP("P01",ParamTbl,3,0),1.5))*(1-IF(IFERROR(VLOOKUP($E284,OpTbl,3,0),"")="خرید",IFERROR(VLOOKUP("P02",ParamTbl,3,0),1),0)/100))</f>
        <v/>
      </c>
      <c r="N284" s="14" t="n"/>
      <c r="O284" s="13" t="n"/>
    </row>
    <row r="285">
      <c r="A285" s="11">
        <f>IF($B285="","",COUNTA($B$9:$B285))</f>
        <v/>
      </c>
      <c r="B285" s="12" t="n"/>
      <c r="C285" s="12" t="n"/>
      <c r="D285" s="12" t="n"/>
      <c r="E285" s="13" t="n"/>
      <c r="F285" s="11">
        <f>IF($E285="","",IFERROR(VLOOKUP($E285,OpTbl,2,0),""))</f>
        <v/>
      </c>
      <c r="G285" s="12" t="n"/>
      <c r="H285" s="11">
        <f>IF($G285="","",IFERROR(IF(VLOOKUP($G285,AcctTbl,4,0)="","(بدون نام)",VLOOKUP($G285,AcctTbl,4,0)),"کد ناشناخته"))</f>
        <v/>
      </c>
      <c r="I285" s="13" t="n"/>
      <c r="J285" s="13" t="n"/>
      <c r="K285" s="14" t="n"/>
      <c r="L285" s="14" t="n"/>
      <c r="M285" s="15">
        <f>IF(OR($B285="",$K285=""),"",($K285-IF($L285="",0,$L285)*IFERROR(VLOOKUP("P01",ParamTbl,3,0),1.5))*(1-IF(IFERROR(VLOOKUP($E285,OpTbl,3,0),"")="خرید",IFERROR(VLOOKUP("P02",ParamTbl,3,0),1),0)/100))</f>
        <v/>
      </c>
      <c r="N285" s="14" t="n"/>
      <c r="O285" s="13" t="n"/>
    </row>
    <row r="286">
      <c r="A286" s="11">
        <f>IF($B286="","",COUNTA($B$9:$B286))</f>
        <v/>
      </c>
      <c r="B286" s="12" t="n"/>
      <c r="C286" s="12" t="n"/>
      <c r="D286" s="12" t="n"/>
      <c r="E286" s="13" t="n"/>
      <c r="F286" s="11">
        <f>IF($E286="","",IFERROR(VLOOKUP($E286,OpTbl,2,0),""))</f>
        <v/>
      </c>
      <c r="G286" s="12" t="n"/>
      <c r="H286" s="11">
        <f>IF($G286="","",IFERROR(IF(VLOOKUP($G286,AcctTbl,4,0)="","(بدون نام)",VLOOKUP($G286,AcctTbl,4,0)),"کد ناشناخته"))</f>
        <v/>
      </c>
      <c r="I286" s="13" t="n"/>
      <c r="J286" s="13" t="n"/>
      <c r="K286" s="14" t="n"/>
      <c r="L286" s="14" t="n"/>
      <c r="M286" s="15">
        <f>IF(OR($B286="",$K286=""),"",($K286-IF($L286="",0,$L286)*IFERROR(VLOOKUP("P01",ParamTbl,3,0),1.5))*(1-IF(IFERROR(VLOOKUP($E286,OpTbl,3,0),"")="خرید",IFERROR(VLOOKUP("P02",ParamTbl,3,0),1),0)/100))</f>
        <v/>
      </c>
      <c r="N286" s="14" t="n"/>
      <c r="O286" s="13" t="n"/>
    </row>
    <row r="287">
      <c r="A287" s="11">
        <f>IF($B287="","",COUNTA($B$9:$B287))</f>
        <v/>
      </c>
      <c r="B287" s="12" t="n"/>
      <c r="C287" s="12" t="n"/>
      <c r="D287" s="12" t="n"/>
      <c r="E287" s="13" t="n"/>
      <c r="F287" s="11">
        <f>IF($E287="","",IFERROR(VLOOKUP($E287,OpTbl,2,0),""))</f>
        <v/>
      </c>
      <c r="G287" s="12" t="n"/>
      <c r="H287" s="11">
        <f>IF($G287="","",IFERROR(IF(VLOOKUP($G287,AcctTbl,4,0)="","(بدون نام)",VLOOKUP($G287,AcctTbl,4,0)),"کد ناشناخته"))</f>
        <v/>
      </c>
      <c r="I287" s="13" t="n"/>
      <c r="J287" s="13" t="n"/>
      <c r="K287" s="14" t="n"/>
      <c r="L287" s="14" t="n"/>
      <c r="M287" s="15">
        <f>IF(OR($B287="",$K287=""),"",($K287-IF($L287="",0,$L287)*IFERROR(VLOOKUP("P01",ParamTbl,3,0),1.5))*(1-IF(IFERROR(VLOOKUP($E287,OpTbl,3,0),"")="خرید",IFERROR(VLOOKUP("P02",ParamTbl,3,0),1),0)/100))</f>
        <v/>
      </c>
      <c r="N287" s="14" t="n"/>
      <c r="O287" s="13" t="n"/>
    </row>
    <row r="288">
      <c r="A288" s="11">
        <f>IF($B288="","",COUNTA($B$9:$B288))</f>
        <v/>
      </c>
      <c r="B288" s="12" t="n"/>
      <c r="C288" s="12" t="n"/>
      <c r="D288" s="12" t="n"/>
      <c r="E288" s="13" t="n"/>
      <c r="F288" s="11">
        <f>IF($E288="","",IFERROR(VLOOKUP($E288,OpTbl,2,0),""))</f>
        <v/>
      </c>
      <c r="G288" s="12" t="n"/>
      <c r="H288" s="11">
        <f>IF($G288="","",IFERROR(IF(VLOOKUP($G288,AcctTbl,4,0)="","(بدون نام)",VLOOKUP($G288,AcctTbl,4,0)),"کد ناشناخته"))</f>
        <v/>
      </c>
      <c r="I288" s="13" t="n"/>
      <c r="J288" s="13" t="n"/>
      <c r="K288" s="14" t="n"/>
      <c r="L288" s="14" t="n"/>
      <c r="M288" s="15">
        <f>IF(OR($B288="",$K288=""),"",($K288-IF($L288="",0,$L288)*IFERROR(VLOOKUP("P01",ParamTbl,3,0),1.5))*(1-IF(IFERROR(VLOOKUP($E288,OpTbl,3,0),"")="خرید",IFERROR(VLOOKUP("P02",ParamTbl,3,0),1),0)/100))</f>
        <v/>
      </c>
      <c r="N288" s="14" t="n"/>
      <c r="O288" s="13" t="n"/>
    </row>
    <row r="289">
      <c r="A289" s="11">
        <f>IF($B289="","",COUNTA($B$9:$B289))</f>
        <v/>
      </c>
      <c r="B289" s="12" t="n"/>
      <c r="C289" s="12" t="n"/>
      <c r="D289" s="12" t="n"/>
      <c r="E289" s="13" t="n"/>
      <c r="F289" s="11">
        <f>IF($E289="","",IFERROR(VLOOKUP($E289,OpTbl,2,0),""))</f>
        <v/>
      </c>
      <c r="G289" s="12" t="n"/>
      <c r="H289" s="11">
        <f>IF($G289="","",IFERROR(IF(VLOOKUP($G289,AcctTbl,4,0)="","(بدون نام)",VLOOKUP($G289,AcctTbl,4,0)),"کد ناشناخته"))</f>
        <v/>
      </c>
      <c r="I289" s="13" t="n"/>
      <c r="J289" s="13" t="n"/>
      <c r="K289" s="14" t="n"/>
      <c r="L289" s="14" t="n"/>
      <c r="M289" s="15">
        <f>IF(OR($B289="",$K289=""),"",($K289-IF($L289="",0,$L289)*IFERROR(VLOOKUP("P01",ParamTbl,3,0),1.5))*(1-IF(IFERROR(VLOOKUP($E289,OpTbl,3,0),"")="خرید",IFERROR(VLOOKUP("P02",ParamTbl,3,0),1),0)/100))</f>
        <v/>
      </c>
      <c r="N289" s="14" t="n"/>
      <c r="O289" s="13" t="n"/>
    </row>
    <row r="290">
      <c r="A290" s="11">
        <f>IF($B290="","",COUNTA($B$9:$B290))</f>
        <v/>
      </c>
      <c r="B290" s="12" t="n"/>
      <c r="C290" s="12" t="n"/>
      <c r="D290" s="12" t="n"/>
      <c r="E290" s="13" t="n"/>
      <c r="F290" s="11">
        <f>IF($E290="","",IFERROR(VLOOKUP($E290,OpTbl,2,0),""))</f>
        <v/>
      </c>
      <c r="G290" s="12" t="n"/>
      <c r="H290" s="11">
        <f>IF($G290="","",IFERROR(IF(VLOOKUP($G290,AcctTbl,4,0)="","(بدون نام)",VLOOKUP($G290,AcctTbl,4,0)),"کد ناشناخته"))</f>
        <v/>
      </c>
      <c r="I290" s="13" t="n"/>
      <c r="J290" s="13" t="n"/>
      <c r="K290" s="14" t="n"/>
      <c r="L290" s="14" t="n"/>
      <c r="M290" s="15">
        <f>IF(OR($B290="",$K290=""),"",($K290-IF($L290="",0,$L290)*IFERROR(VLOOKUP("P01",ParamTbl,3,0),1.5))*(1-IF(IFERROR(VLOOKUP($E290,OpTbl,3,0),"")="خرید",IFERROR(VLOOKUP("P02",ParamTbl,3,0),1),0)/100))</f>
        <v/>
      </c>
      <c r="N290" s="14" t="n"/>
      <c r="O290" s="13" t="n"/>
    </row>
    <row r="291">
      <c r="A291" s="11">
        <f>IF($B291="","",COUNTA($B$9:$B291))</f>
        <v/>
      </c>
      <c r="B291" s="12" t="n"/>
      <c r="C291" s="12" t="n"/>
      <c r="D291" s="12" t="n"/>
      <c r="E291" s="13" t="n"/>
      <c r="F291" s="11">
        <f>IF($E291="","",IFERROR(VLOOKUP($E291,OpTbl,2,0),""))</f>
        <v/>
      </c>
      <c r="G291" s="12" t="n"/>
      <c r="H291" s="11">
        <f>IF($G291="","",IFERROR(IF(VLOOKUP($G291,AcctTbl,4,0)="","(بدون نام)",VLOOKUP($G291,AcctTbl,4,0)),"کد ناشناخته"))</f>
        <v/>
      </c>
      <c r="I291" s="13" t="n"/>
      <c r="J291" s="13" t="n"/>
      <c r="K291" s="14" t="n"/>
      <c r="L291" s="14" t="n"/>
      <c r="M291" s="15">
        <f>IF(OR($B291="",$K291=""),"",($K291-IF($L291="",0,$L291)*IFERROR(VLOOKUP("P01",ParamTbl,3,0),1.5))*(1-IF(IFERROR(VLOOKUP($E291,OpTbl,3,0),"")="خرید",IFERROR(VLOOKUP("P02",ParamTbl,3,0),1),0)/100))</f>
        <v/>
      </c>
      <c r="N291" s="14" t="n"/>
      <c r="O291" s="13" t="n"/>
    </row>
    <row r="292">
      <c r="A292" s="11">
        <f>IF($B292="","",COUNTA($B$9:$B292))</f>
        <v/>
      </c>
      <c r="B292" s="12" t="n"/>
      <c r="C292" s="12" t="n"/>
      <c r="D292" s="12" t="n"/>
      <c r="E292" s="13" t="n"/>
      <c r="F292" s="11">
        <f>IF($E292="","",IFERROR(VLOOKUP($E292,OpTbl,2,0),""))</f>
        <v/>
      </c>
      <c r="G292" s="12" t="n"/>
      <c r="H292" s="11">
        <f>IF($G292="","",IFERROR(IF(VLOOKUP($G292,AcctTbl,4,0)="","(بدون نام)",VLOOKUP($G292,AcctTbl,4,0)),"کد ناشناخته"))</f>
        <v/>
      </c>
      <c r="I292" s="13" t="n"/>
      <c r="J292" s="13" t="n"/>
      <c r="K292" s="14" t="n"/>
      <c r="L292" s="14" t="n"/>
      <c r="M292" s="15">
        <f>IF(OR($B292="",$K292=""),"",($K292-IF($L292="",0,$L292)*IFERROR(VLOOKUP("P01",ParamTbl,3,0),1.5))*(1-IF(IFERROR(VLOOKUP($E292,OpTbl,3,0),"")="خرید",IFERROR(VLOOKUP("P02",ParamTbl,3,0),1),0)/100))</f>
        <v/>
      </c>
      <c r="N292" s="14" t="n"/>
      <c r="O292" s="13" t="n"/>
    </row>
    <row r="293">
      <c r="A293" s="11">
        <f>IF($B293="","",COUNTA($B$9:$B293))</f>
        <v/>
      </c>
      <c r="B293" s="12" t="n"/>
      <c r="C293" s="12" t="n"/>
      <c r="D293" s="12" t="n"/>
      <c r="E293" s="13" t="n"/>
      <c r="F293" s="11">
        <f>IF($E293="","",IFERROR(VLOOKUP($E293,OpTbl,2,0),""))</f>
        <v/>
      </c>
      <c r="G293" s="12" t="n"/>
      <c r="H293" s="11">
        <f>IF($G293="","",IFERROR(IF(VLOOKUP($G293,AcctTbl,4,0)="","(بدون نام)",VLOOKUP($G293,AcctTbl,4,0)),"کد ناشناخته"))</f>
        <v/>
      </c>
      <c r="I293" s="13" t="n"/>
      <c r="J293" s="13" t="n"/>
      <c r="K293" s="14" t="n"/>
      <c r="L293" s="14" t="n"/>
      <c r="M293" s="15">
        <f>IF(OR($B293="",$K293=""),"",($K293-IF($L293="",0,$L293)*IFERROR(VLOOKUP("P01",ParamTbl,3,0),1.5))*(1-IF(IFERROR(VLOOKUP($E293,OpTbl,3,0),"")="خرید",IFERROR(VLOOKUP("P02",ParamTbl,3,0),1),0)/100))</f>
        <v/>
      </c>
      <c r="N293" s="14" t="n"/>
      <c r="O293" s="13" t="n"/>
    </row>
    <row r="294">
      <c r="A294" s="11">
        <f>IF($B294="","",COUNTA($B$9:$B294))</f>
        <v/>
      </c>
      <c r="B294" s="12" t="n"/>
      <c r="C294" s="12" t="n"/>
      <c r="D294" s="12" t="n"/>
      <c r="E294" s="13" t="n"/>
      <c r="F294" s="11">
        <f>IF($E294="","",IFERROR(VLOOKUP($E294,OpTbl,2,0),""))</f>
        <v/>
      </c>
      <c r="G294" s="12" t="n"/>
      <c r="H294" s="11">
        <f>IF($G294="","",IFERROR(IF(VLOOKUP($G294,AcctTbl,4,0)="","(بدون نام)",VLOOKUP($G294,AcctTbl,4,0)),"کد ناشناخته"))</f>
        <v/>
      </c>
      <c r="I294" s="13" t="n"/>
      <c r="J294" s="13" t="n"/>
      <c r="K294" s="14" t="n"/>
      <c r="L294" s="14" t="n"/>
      <c r="M294" s="15">
        <f>IF(OR($B294="",$K294=""),"",($K294-IF($L294="",0,$L294)*IFERROR(VLOOKUP("P01",ParamTbl,3,0),1.5))*(1-IF(IFERROR(VLOOKUP($E294,OpTbl,3,0),"")="خرید",IFERROR(VLOOKUP("P02",ParamTbl,3,0),1),0)/100))</f>
        <v/>
      </c>
      <c r="N294" s="14" t="n"/>
      <c r="O294" s="13" t="n"/>
    </row>
    <row r="295">
      <c r="A295" s="11">
        <f>IF($B295="","",COUNTA($B$9:$B295))</f>
        <v/>
      </c>
      <c r="B295" s="12" t="n"/>
      <c r="C295" s="12" t="n"/>
      <c r="D295" s="12" t="n"/>
      <c r="E295" s="13" t="n"/>
      <c r="F295" s="11">
        <f>IF($E295="","",IFERROR(VLOOKUP($E295,OpTbl,2,0),""))</f>
        <v/>
      </c>
      <c r="G295" s="12" t="n"/>
      <c r="H295" s="11">
        <f>IF($G295="","",IFERROR(IF(VLOOKUP($G295,AcctTbl,4,0)="","(بدون نام)",VLOOKUP($G295,AcctTbl,4,0)),"کد ناشناخته"))</f>
        <v/>
      </c>
      <c r="I295" s="13" t="n"/>
      <c r="J295" s="13" t="n"/>
      <c r="K295" s="14" t="n"/>
      <c r="L295" s="14" t="n"/>
      <c r="M295" s="15">
        <f>IF(OR($B295="",$K295=""),"",($K295-IF($L295="",0,$L295)*IFERROR(VLOOKUP("P01",ParamTbl,3,0),1.5))*(1-IF(IFERROR(VLOOKUP($E295,OpTbl,3,0),"")="خرید",IFERROR(VLOOKUP("P02",ParamTbl,3,0),1),0)/100))</f>
        <v/>
      </c>
      <c r="N295" s="14" t="n"/>
      <c r="O295" s="13" t="n"/>
    </row>
    <row r="296">
      <c r="A296" s="11">
        <f>IF($B296="","",COUNTA($B$9:$B296))</f>
        <v/>
      </c>
      <c r="B296" s="12" t="n"/>
      <c r="C296" s="12" t="n"/>
      <c r="D296" s="12" t="n"/>
      <c r="E296" s="13" t="n"/>
      <c r="F296" s="11">
        <f>IF($E296="","",IFERROR(VLOOKUP($E296,OpTbl,2,0),""))</f>
        <v/>
      </c>
      <c r="G296" s="12" t="n"/>
      <c r="H296" s="11">
        <f>IF($G296="","",IFERROR(IF(VLOOKUP($G296,AcctTbl,4,0)="","(بدون نام)",VLOOKUP($G296,AcctTbl,4,0)),"کد ناشناخته"))</f>
        <v/>
      </c>
      <c r="I296" s="13" t="n"/>
      <c r="J296" s="13" t="n"/>
      <c r="K296" s="14" t="n"/>
      <c r="L296" s="14" t="n"/>
      <c r="M296" s="15">
        <f>IF(OR($B296="",$K296=""),"",($K296-IF($L296="",0,$L296)*IFERROR(VLOOKUP("P01",ParamTbl,3,0),1.5))*(1-IF(IFERROR(VLOOKUP($E296,OpTbl,3,0),"")="خرید",IFERROR(VLOOKUP("P02",ParamTbl,3,0),1),0)/100))</f>
        <v/>
      </c>
      <c r="N296" s="14" t="n"/>
      <c r="O296" s="13" t="n"/>
    </row>
    <row r="297">
      <c r="A297" s="11">
        <f>IF($B297="","",COUNTA($B$9:$B297))</f>
        <v/>
      </c>
      <c r="B297" s="12" t="n"/>
      <c r="C297" s="12" t="n"/>
      <c r="D297" s="12" t="n"/>
      <c r="E297" s="13" t="n"/>
      <c r="F297" s="11">
        <f>IF($E297="","",IFERROR(VLOOKUP($E297,OpTbl,2,0),""))</f>
        <v/>
      </c>
      <c r="G297" s="12" t="n"/>
      <c r="H297" s="11">
        <f>IF($G297="","",IFERROR(IF(VLOOKUP($G297,AcctTbl,4,0)="","(بدون نام)",VLOOKUP($G297,AcctTbl,4,0)),"کد ناشناخته"))</f>
        <v/>
      </c>
      <c r="I297" s="13" t="n"/>
      <c r="J297" s="13" t="n"/>
      <c r="K297" s="14" t="n"/>
      <c r="L297" s="14" t="n"/>
      <c r="M297" s="15">
        <f>IF(OR($B297="",$K297=""),"",($K297-IF($L297="",0,$L297)*IFERROR(VLOOKUP("P01",ParamTbl,3,0),1.5))*(1-IF(IFERROR(VLOOKUP($E297,OpTbl,3,0),"")="خرید",IFERROR(VLOOKUP("P02",ParamTbl,3,0),1),0)/100))</f>
        <v/>
      </c>
      <c r="N297" s="14" t="n"/>
      <c r="O297" s="13" t="n"/>
    </row>
    <row r="298">
      <c r="A298" s="11">
        <f>IF($B298="","",COUNTA($B$9:$B298))</f>
        <v/>
      </c>
      <c r="B298" s="12" t="n"/>
      <c r="C298" s="12" t="n"/>
      <c r="D298" s="12" t="n"/>
      <c r="E298" s="13" t="n"/>
      <c r="F298" s="11">
        <f>IF($E298="","",IFERROR(VLOOKUP($E298,OpTbl,2,0),""))</f>
        <v/>
      </c>
      <c r="G298" s="12" t="n"/>
      <c r="H298" s="11">
        <f>IF($G298="","",IFERROR(IF(VLOOKUP($G298,AcctTbl,4,0)="","(بدون نام)",VLOOKUP($G298,AcctTbl,4,0)),"کد ناشناخته"))</f>
        <v/>
      </c>
      <c r="I298" s="13" t="n"/>
      <c r="J298" s="13" t="n"/>
      <c r="K298" s="14" t="n"/>
      <c r="L298" s="14" t="n"/>
      <c r="M298" s="15">
        <f>IF(OR($B298="",$K298=""),"",($K298-IF($L298="",0,$L298)*IFERROR(VLOOKUP("P01",ParamTbl,3,0),1.5))*(1-IF(IFERROR(VLOOKUP($E298,OpTbl,3,0),"")="خرید",IFERROR(VLOOKUP("P02",ParamTbl,3,0),1),0)/100))</f>
        <v/>
      </c>
      <c r="N298" s="14" t="n"/>
      <c r="O298" s="13" t="n"/>
    </row>
    <row r="299">
      <c r="A299" s="11">
        <f>IF($B299="","",COUNTA($B$9:$B299))</f>
        <v/>
      </c>
      <c r="B299" s="12" t="n"/>
      <c r="C299" s="12" t="n"/>
      <c r="D299" s="12" t="n"/>
      <c r="E299" s="13" t="n"/>
      <c r="F299" s="11">
        <f>IF($E299="","",IFERROR(VLOOKUP($E299,OpTbl,2,0),""))</f>
        <v/>
      </c>
      <c r="G299" s="12" t="n"/>
      <c r="H299" s="11">
        <f>IF($G299="","",IFERROR(IF(VLOOKUP($G299,AcctTbl,4,0)="","(بدون نام)",VLOOKUP($G299,AcctTbl,4,0)),"کد ناشناخته"))</f>
        <v/>
      </c>
      <c r="I299" s="13" t="n"/>
      <c r="J299" s="13" t="n"/>
      <c r="K299" s="14" t="n"/>
      <c r="L299" s="14" t="n"/>
      <c r="M299" s="15">
        <f>IF(OR($B299="",$K299=""),"",($K299-IF($L299="",0,$L299)*IFERROR(VLOOKUP("P01",ParamTbl,3,0),1.5))*(1-IF(IFERROR(VLOOKUP($E299,OpTbl,3,0),"")="خرید",IFERROR(VLOOKUP("P02",ParamTbl,3,0),1),0)/100))</f>
        <v/>
      </c>
      <c r="N299" s="14" t="n"/>
      <c r="O299" s="13" t="n"/>
    </row>
    <row r="300">
      <c r="A300" s="11">
        <f>IF($B300="","",COUNTA($B$9:$B300))</f>
        <v/>
      </c>
      <c r="B300" s="12" t="n"/>
      <c r="C300" s="12" t="n"/>
      <c r="D300" s="12" t="n"/>
      <c r="E300" s="13" t="n"/>
      <c r="F300" s="11">
        <f>IF($E300="","",IFERROR(VLOOKUP($E300,OpTbl,2,0),""))</f>
        <v/>
      </c>
      <c r="G300" s="12" t="n"/>
      <c r="H300" s="11">
        <f>IF($G300="","",IFERROR(IF(VLOOKUP($G300,AcctTbl,4,0)="","(بدون نام)",VLOOKUP($G300,AcctTbl,4,0)),"کد ناشناخته"))</f>
        <v/>
      </c>
      <c r="I300" s="13" t="n"/>
      <c r="J300" s="13" t="n"/>
      <c r="K300" s="14" t="n"/>
      <c r="L300" s="14" t="n"/>
      <c r="M300" s="15">
        <f>IF(OR($B300="",$K300=""),"",($K300-IF($L300="",0,$L300)*IFERROR(VLOOKUP("P01",ParamTbl,3,0),1.5))*(1-IF(IFERROR(VLOOKUP($E300,OpTbl,3,0),"")="خرید",IFERROR(VLOOKUP("P02",ParamTbl,3,0),1),0)/100))</f>
        <v/>
      </c>
      <c r="N300" s="14" t="n"/>
      <c r="O300" s="13" t="n"/>
    </row>
    <row r="301">
      <c r="A301" s="11">
        <f>IF($B301="","",COUNTA($B$9:$B301))</f>
        <v/>
      </c>
      <c r="B301" s="12" t="n"/>
      <c r="C301" s="12" t="n"/>
      <c r="D301" s="12" t="n"/>
      <c r="E301" s="13" t="n"/>
      <c r="F301" s="11">
        <f>IF($E301="","",IFERROR(VLOOKUP($E301,OpTbl,2,0),""))</f>
        <v/>
      </c>
      <c r="G301" s="12" t="n"/>
      <c r="H301" s="11">
        <f>IF($G301="","",IFERROR(IF(VLOOKUP($G301,AcctTbl,4,0)="","(بدون نام)",VLOOKUP($G301,AcctTbl,4,0)),"کد ناشناخته"))</f>
        <v/>
      </c>
      <c r="I301" s="13" t="n"/>
      <c r="J301" s="13" t="n"/>
      <c r="K301" s="14" t="n"/>
      <c r="L301" s="14" t="n"/>
      <c r="M301" s="15">
        <f>IF(OR($B301="",$K301=""),"",($K301-IF($L301="",0,$L301)*IFERROR(VLOOKUP("P01",ParamTbl,3,0),1.5))*(1-IF(IFERROR(VLOOKUP($E301,OpTbl,3,0),"")="خرید",IFERROR(VLOOKUP("P02",ParamTbl,3,0),1),0)/100))</f>
        <v/>
      </c>
      <c r="N301" s="14" t="n"/>
      <c r="O301" s="13" t="n"/>
    </row>
    <row r="302">
      <c r="A302" s="11">
        <f>IF($B302="","",COUNTA($B$9:$B302))</f>
        <v/>
      </c>
      <c r="B302" s="12" t="n"/>
      <c r="C302" s="12" t="n"/>
      <c r="D302" s="12" t="n"/>
      <c r="E302" s="13" t="n"/>
      <c r="F302" s="11">
        <f>IF($E302="","",IFERROR(VLOOKUP($E302,OpTbl,2,0),""))</f>
        <v/>
      </c>
      <c r="G302" s="12" t="n"/>
      <c r="H302" s="11">
        <f>IF($G302="","",IFERROR(IF(VLOOKUP($G302,AcctTbl,4,0)="","(بدون نام)",VLOOKUP($G302,AcctTbl,4,0)),"کد ناشناخته"))</f>
        <v/>
      </c>
      <c r="I302" s="13" t="n"/>
      <c r="J302" s="13" t="n"/>
      <c r="K302" s="14" t="n"/>
      <c r="L302" s="14" t="n"/>
      <c r="M302" s="15">
        <f>IF(OR($B302="",$K302=""),"",($K302-IF($L302="",0,$L302)*IFERROR(VLOOKUP("P01",ParamTbl,3,0),1.5))*(1-IF(IFERROR(VLOOKUP($E302,OpTbl,3,0),"")="خرید",IFERROR(VLOOKUP("P02",ParamTbl,3,0),1),0)/100))</f>
        <v/>
      </c>
      <c r="N302" s="14" t="n"/>
      <c r="O302" s="13" t="n"/>
    </row>
    <row r="303">
      <c r="A303" s="11">
        <f>IF($B303="","",COUNTA($B$9:$B303))</f>
        <v/>
      </c>
      <c r="B303" s="12" t="n"/>
      <c r="C303" s="12" t="n"/>
      <c r="D303" s="12" t="n"/>
      <c r="E303" s="13" t="n"/>
      <c r="F303" s="11">
        <f>IF($E303="","",IFERROR(VLOOKUP($E303,OpTbl,2,0),""))</f>
        <v/>
      </c>
      <c r="G303" s="12" t="n"/>
      <c r="H303" s="11">
        <f>IF($G303="","",IFERROR(IF(VLOOKUP($G303,AcctTbl,4,0)="","(بدون نام)",VLOOKUP($G303,AcctTbl,4,0)),"کد ناشناخته"))</f>
        <v/>
      </c>
      <c r="I303" s="13" t="n"/>
      <c r="J303" s="13" t="n"/>
      <c r="K303" s="14" t="n"/>
      <c r="L303" s="14" t="n"/>
      <c r="M303" s="15">
        <f>IF(OR($B303="",$K303=""),"",($K303-IF($L303="",0,$L303)*IFERROR(VLOOKUP("P01",ParamTbl,3,0),1.5))*(1-IF(IFERROR(VLOOKUP($E303,OpTbl,3,0),"")="خرید",IFERROR(VLOOKUP("P02",ParamTbl,3,0),1),0)/100))</f>
        <v/>
      </c>
      <c r="N303" s="14" t="n"/>
      <c r="O303" s="13" t="n"/>
    </row>
    <row r="304">
      <c r="A304" s="11">
        <f>IF($B304="","",COUNTA($B$9:$B304))</f>
        <v/>
      </c>
      <c r="B304" s="12" t="n"/>
      <c r="C304" s="12" t="n"/>
      <c r="D304" s="12" t="n"/>
      <c r="E304" s="13" t="n"/>
      <c r="F304" s="11">
        <f>IF($E304="","",IFERROR(VLOOKUP($E304,OpTbl,2,0),""))</f>
        <v/>
      </c>
      <c r="G304" s="12" t="n"/>
      <c r="H304" s="11">
        <f>IF($G304="","",IFERROR(IF(VLOOKUP($G304,AcctTbl,4,0)="","(بدون نام)",VLOOKUP($G304,AcctTbl,4,0)),"کد ناشناخته"))</f>
        <v/>
      </c>
      <c r="I304" s="13" t="n"/>
      <c r="J304" s="13" t="n"/>
      <c r="K304" s="14" t="n"/>
      <c r="L304" s="14" t="n"/>
      <c r="M304" s="15">
        <f>IF(OR($B304="",$K304=""),"",($K304-IF($L304="",0,$L304)*IFERROR(VLOOKUP("P01",ParamTbl,3,0),1.5))*(1-IF(IFERROR(VLOOKUP($E304,OpTbl,3,0),"")="خرید",IFERROR(VLOOKUP("P02",ParamTbl,3,0),1),0)/100))</f>
        <v/>
      </c>
      <c r="N304" s="14" t="n"/>
      <c r="O304" s="13" t="n"/>
    </row>
    <row r="305">
      <c r="A305" s="11">
        <f>IF($B305="","",COUNTA($B$9:$B305))</f>
        <v/>
      </c>
      <c r="B305" s="12" t="n"/>
      <c r="C305" s="12" t="n"/>
      <c r="D305" s="12" t="n"/>
      <c r="E305" s="13" t="n"/>
      <c r="F305" s="11">
        <f>IF($E305="","",IFERROR(VLOOKUP($E305,OpTbl,2,0),""))</f>
        <v/>
      </c>
      <c r="G305" s="12" t="n"/>
      <c r="H305" s="11">
        <f>IF($G305="","",IFERROR(IF(VLOOKUP($G305,AcctTbl,4,0)="","(بدون نام)",VLOOKUP($G305,AcctTbl,4,0)),"کد ناشناخته"))</f>
        <v/>
      </c>
      <c r="I305" s="13" t="n"/>
      <c r="J305" s="13" t="n"/>
      <c r="K305" s="14" t="n"/>
      <c r="L305" s="14" t="n"/>
      <c r="M305" s="15">
        <f>IF(OR($B305="",$K305=""),"",($K305-IF($L305="",0,$L305)*IFERROR(VLOOKUP("P01",ParamTbl,3,0),1.5))*(1-IF(IFERROR(VLOOKUP($E305,OpTbl,3,0),"")="خرید",IFERROR(VLOOKUP("P02",ParamTbl,3,0),1),0)/100))</f>
        <v/>
      </c>
      <c r="N305" s="14" t="n"/>
      <c r="O305" s="13" t="n"/>
    </row>
    <row r="306">
      <c r="A306" s="11">
        <f>IF($B306="","",COUNTA($B$9:$B306))</f>
        <v/>
      </c>
      <c r="B306" s="12" t="n"/>
      <c r="C306" s="12" t="n"/>
      <c r="D306" s="12" t="n"/>
      <c r="E306" s="13" t="n"/>
      <c r="F306" s="11">
        <f>IF($E306="","",IFERROR(VLOOKUP($E306,OpTbl,2,0),""))</f>
        <v/>
      </c>
      <c r="G306" s="12" t="n"/>
      <c r="H306" s="11">
        <f>IF($G306="","",IFERROR(IF(VLOOKUP($G306,AcctTbl,4,0)="","(بدون نام)",VLOOKUP($G306,AcctTbl,4,0)),"کد ناشناخته"))</f>
        <v/>
      </c>
      <c r="I306" s="13" t="n"/>
      <c r="J306" s="13" t="n"/>
      <c r="K306" s="14" t="n"/>
      <c r="L306" s="14" t="n"/>
      <c r="M306" s="15">
        <f>IF(OR($B306="",$K306=""),"",($K306-IF($L306="",0,$L306)*IFERROR(VLOOKUP("P01",ParamTbl,3,0),1.5))*(1-IF(IFERROR(VLOOKUP($E306,OpTbl,3,0),"")="خرید",IFERROR(VLOOKUP("P02",ParamTbl,3,0),1),0)/100))</f>
        <v/>
      </c>
      <c r="N306" s="14" t="n"/>
      <c r="O306" s="13" t="n"/>
    </row>
    <row r="307">
      <c r="A307" s="11">
        <f>IF($B307="","",COUNTA($B$9:$B307))</f>
        <v/>
      </c>
      <c r="B307" s="12" t="n"/>
      <c r="C307" s="12" t="n"/>
      <c r="D307" s="12" t="n"/>
      <c r="E307" s="13" t="n"/>
      <c r="F307" s="11">
        <f>IF($E307="","",IFERROR(VLOOKUP($E307,OpTbl,2,0),""))</f>
        <v/>
      </c>
      <c r="G307" s="12" t="n"/>
      <c r="H307" s="11">
        <f>IF($G307="","",IFERROR(IF(VLOOKUP($G307,AcctTbl,4,0)="","(بدون نام)",VLOOKUP($G307,AcctTbl,4,0)),"کد ناشناخته"))</f>
        <v/>
      </c>
      <c r="I307" s="13" t="n"/>
      <c r="J307" s="13" t="n"/>
      <c r="K307" s="14" t="n"/>
      <c r="L307" s="14" t="n"/>
      <c r="M307" s="15">
        <f>IF(OR($B307="",$K307=""),"",($K307-IF($L307="",0,$L307)*IFERROR(VLOOKUP("P01",ParamTbl,3,0),1.5))*(1-IF(IFERROR(VLOOKUP($E307,OpTbl,3,0),"")="خرید",IFERROR(VLOOKUP("P02",ParamTbl,3,0),1),0)/100))</f>
        <v/>
      </c>
      <c r="N307" s="14" t="n"/>
      <c r="O307" s="13" t="n"/>
    </row>
    <row r="308">
      <c r="A308" s="11">
        <f>IF($B308="","",COUNTA($B$9:$B308))</f>
        <v/>
      </c>
      <c r="B308" s="12" t="n"/>
      <c r="C308" s="12" t="n"/>
      <c r="D308" s="12" t="n"/>
      <c r="E308" s="13" t="n"/>
      <c r="F308" s="11">
        <f>IF($E308="","",IFERROR(VLOOKUP($E308,OpTbl,2,0),""))</f>
        <v/>
      </c>
      <c r="G308" s="12" t="n"/>
      <c r="H308" s="11">
        <f>IF($G308="","",IFERROR(IF(VLOOKUP($G308,AcctTbl,4,0)="","(بدون نام)",VLOOKUP($G308,AcctTbl,4,0)),"کد ناشناخته"))</f>
        <v/>
      </c>
      <c r="I308" s="13" t="n"/>
      <c r="J308" s="13" t="n"/>
      <c r="K308" s="14" t="n"/>
      <c r="L308" s="14" t="n"/>
      <c r="M308" s="15">
        <f>IF(OR($B308="",$K308=""),"",($K308-IF($L308="",0,$L308)*IFERROR(VLOOKUP("P01",ParamTbl,3,0),1.5))*(1-IF(IFERROR(VLOOKUP($E308,OpTbl,3,0),"")="خرید",IFERROR(VLOOKUP("P02",ParamTbl,3,0),1),0)/100))</f>
        <v/>
      </c>
      <c r="N308" s="14" t="n"/>
      <c r="O308" s="13" t="n"/>
    </row>
    <row r="309">
      <c r="A309" s="11">
        <f>IF($B309="","",COUNTA($B$9:$B309))</f>
        <v/>
      </c>
      <c r="B309" s="12" t="n"/>
      <c r="C309" s="12" t="n"/>
      <c r="D309" s="12" t="n"/>
      <c r="E309" s="13" t="n"/>
      <c r="F309" s="11">
        <f>IF($E309="","",IFERROR(VLOOKUP($E309,OpTbl,2,0),""))</f>
        <v/>
      </c>
      <c r="G309" s="12" t="n"/>
      <c r="H309" s="11">
        <f>IF($G309="","",IFERROR(IF(VLOOKUP($G309,AcctTbl,4,0)="","(بدون نام)",VLOOKUP($G309,AcctTbl,4,0)),"کد ناشناخته"))</f>
        <v/>
      </c>
      <c r="I309" s="13" t="n"/>
      <c r="J309" s="13" t="n"/>
      <c r="K309" s="14" t="n"/>
      <c r="L309" s="14" t="n"/>
      <c r="M309" s="15">
        <f>IF(OR($B309="",$K309=""),"",($K309-IF($L309="",0,$L309)*IFERROR(VLOOKUP("P01",ParamTbl,3,0),1.5))*(1-IF(IFERROR(VLOOKUP($E309,OpTbl,3,0),"")="خرید",IFERROR(VLOOKUP("P02",ParamTbl,3,0),1),0)/100))</f>
        <v/>
      </c>
      <c r="N309" s="14" t="n"/>
      <c r="O309" s="13" t="n"/>
    </row>
    <row r="310">
      <c r="A310" s="11">
        <f>IF($B310="","",COUNTA($B$9:$B310))</f>
        <v/>
      </c>
      <c r="B310" s="12" t="n"/>
      <c r="C310" s="12" t="n"/>
      <c r="D310" s="12" t="n"/>
      <c r="E310" s="13" t="n"/>
      <c r="F310" s="11">
        <f>IF($E310="","",IFERROR(VLOOKUP($E310,OpTbl,2,0),""))</f>
        <v/>
      </c>
      <c r="G310" s="12" t="n"/>
      <c r="H310" s="11">
        <f>IF($G310="","",IFERROR(IF(VLOOKUP($G310,AcctTbl,4,0)="","(بدون نام)",VLOOKUP($G310,AcctTbl,4,0)),"کد ناشناخته"))</f>
        <v/>
      </c>
      <c r="I310" s="13" t="n"/>
      <c r="J310" s="13" t="n"/>
      <c r="K310" s="14" t="n"/>
      <c r="L310" s="14" t="n"/>
      <c r="M310" s="15">
        <f>IF(OR($B310="",$K310=""),"",($K310-IF($L310="",0,$L310)*IFERROR(VLOOKUP("P01",ParamTbl,3,0),1.5))*(1-IF(IFERROR(VLOOKUP($E310,OpTbl,3,0),"")="خرید",IFERROR(VLOOKUP("P02",ParamTbl,3,0),1),0)/100))</f>
        <v/>
      </c>
      <c r="N310" s="14" t="n"/>
      <c r="O310" s="13" t="n"/>
    </row>
    <row r="311">
      <c r="A311" s="11">
        <f>IF($B311="","",COUNTA($B$9:$B311))</f>
        <v/>
      </c>
      <c r="B311" s="12" t="n"/>
      <c r="C311" s="12" t="n"/>
      <c r="D311" s="12" t="n"/>
      <c r="E311" s="13" t="n"/>
      <c r="F311" s="11">
        <f>IF($E311="","",IFERROR(VLOOKUP($E311,OpTbl,2,0),""))</f>
        <v/>
      </c>
      <c r="G311" s="12" t="n"/>
      <c r="H311" s="11">
        <f>IF($G311="","",IFERROR(IF(VLOOKUP($G311,AcctTbl,4,0)="","(بدون نام)",VLOOKUP($G311,AcctTbl,4,0)),"کد ناشناخته"))</f>
        <v/>
      </c>
      <c r="I311" s="13" t="n"/>
      <c r="J311" s="13" t="n"/>
      <c r="K311" s="14" t="n"/>
      <c r="L311" s="14" t="n"/>
      <c r="M311" s="15">
        <f>IF(OR($B311="",$K311=""),"",($K311-IF($L311="",0,$L311)*IFERROR(VLOOKUP("P01",ParamTbl,3,0),1.5))*(1-IF(IFERROR(VLOOKUP($E311,OpTbl,3,0),"")="خرید",IFERROR(VLOOKUP("P02",ParamTbl,3,0),1),0)/100))</f>
        <v/>
      </c>
      <c r="N311" s="14" t="n"/>
      <c r="O311" s="13" t="n"/>
    </row>
    <row r="312">
      <c r="A312" s="11">
        <f>IF($B312="","",COUNTA($B$9:$B312))</f>
        <v/>
      </c>
      <c r="B312" s="12" t="n"/>
      <c r="C312" s="12" t="n"/>
      <c r="D312" s="12" t="n"/>
      <c r="E312" s="13" t="n"/>
      <c r="F312" s="11">
        <f>IF($E312="","",IFERROR(VLOOKUP($E312,OpTbl,2,0),""))</f>
        <v/>
      </c>
      <c r="G312" s="12" t="n"/>
      <c r="H312" s="11">
        <f>IF($G312="","",IFERROR(IF(VLOOKUP($G312,AcctTbl,4,0)="","(بدون نام)",VLOOKUP($G312,AcctTbl,4,0)),"کد ناشناخته"))</f>
        <v/>
      </c>
      <c r="I312" s="13" t="n"/>
      <c r="J312" s="13" t="n"/>
      <c r="K312" s="14" t="n"/>
      <c r="L312" s="14" t="n"/>
      <c r="M312" s="15">
        <f>IF(OR($B312="",$K312=""),"",($K312-IF($L312="",0,$L312)*IFERROR(VLOOKUP("P01",ParamTbl,3,0),1.5))*(1-IF(IFERROR(VLOOKUP($E312,OpTbl,3,0),"")="خرید",IFERROR(VLOOKUP("P02",ParamTbl,3,0),1),0)/100))</f>
        <v/>
      </c>
      <c r="N312" s="14" t="n"/>
      <c r="O312" s="13" t="n"/>
    </row>
    <row r="313">
      <c r="A313" s="11">
        <f>IF($B313="","",COUNTA($B$9:$B313))</f>
        <v/>
      </c>
      <c r="B313" s="12" t="n"/>
      <c r="C313" s="12" t="n"/>
      <c r="D313" s="12" t="n"/>
      <c r="E313" s="13" t="n"/>
      <c r="F313" s="11">
        <f>IF($E313="","",IFERROR(VLOOKUP($E313,OpTbl,2,0),""))</f>
        <v/>
      </c>
      <c r="G313" s="12" t="n"/>
      <c r="H313" s="11">
        <f>IF($G313="","",IFERROR(IF(VLOOKUP($G313,AcctTbl,4,0)="","(بدون نام)",VLOOKUP($G313,AcctTbl,4,0)),"کد ناشناخته"))</f>
        <v/>
      </c>
      <c r="I313" s="13" t="n"/>
      <c r="J313" s="13" t="n"/>
      <c r="K313" s="14" t="n"/>
      <c r="L313" s="14" t="n"/>
      <c r="M313" s="15">
        <f>IF(OR($B313="",$K313=""),"",($K313-IF($L313="",0,$L313)*IFERROR(VLOOKUP("P01",ParamTbl,3,0),1.5))*(1-IF(IFERROR(VLOOKUP($E313,OpTbl,3,0),"")="خرید",IFERROR(VLOOKUP("P02",ParamTbl,3,0),1),0)/100))</f>
        <v/>
      </c>
      <c r="N313" s="14" t="n"/>
      <c r="O313" s="13" t="n"/>
    </row>
    <row r="314">
      <c r="A314" s="11">
        <f>IF($B314="","",COUNTA($B$9:$B314))</f>
        <v/>
      </c>
      <c r="B314" s="12" t="n"/>
      <c r="C314" s="12" t="n"/>
      <c r="D314" s="12" t="n"/>
      <c r="E314" s="13" t="n"/>
      <c r="F314" s="11">
        <f>IF($E314="","",IFERROR(VLOOKUP($E314,OpTbl,2,0),""))</f>
        <v/>
      </c>
      <c r="G314" s="12" t="n"/>
      <c r="H314" s="11">
        <f>IF($G314="","",IFERROR(IF(VLOOKUP($G314,AcctTbl,4,0)="","(بدون نام)",VLOOKUP($G314,AcctTbl,4,0)),"کد ناشناخته"))</f>
        <v/>
      </c>
      <c r="I314" s="13" t="n"/>
      <c r="J314" s="13" t="n"/>
      <c r="K314" s="14" t="n"/>
      <c r="L314" s="14" t="n"/>
      <c r="M314" s="15">
        <f>IF(OR($B314="",$K314=""),"",($K314-IF($L314="",0,$L314)*IFERROR(VLOOKUP("P01",ParamTbl,3,0),1.5))*(1-IF(IFERROR(VLOOKUP($E314,OpTbl,3,0),"")="خرید",IFERROR(VLOOKUP("P02",ParamTbl,3,0),1),0)/100))</f>
        <v/>
      </c>
      <c r="N314" s="14" t="n"/>
      <c r="O314" s="13" t="n"/>
    </row>
    <row r="315">
      <c r="A315" s="11">
        <f>IF($B315="","",COUNTA($B$9:$B315))</f>
        <v/>
      </c>
      <c r="B315" s="12" t="n"/>
      <c r="C315" s="12" t="n"/>
      <c r="D315" s="12" t="n"/>
      <c r="E315" s="13" t="n"/>
      <c r="F315" s="11">
        <f>IF($E315="","",IFERROR(VLOOKUP($E315,OpTbl,2,0),""))</f>
        <v/>
      </c>
      <c r="G315" s="12" t="n"/>
      <c r="H315" s="11">
        <f>IF($G315="","",IFERROR(IF(VLOOKUP($G315,AcctTbl,4,0)="","(بدون نام)",VLOOKUP($G315,AcctTbl,4,0)),"کد ناشناخته"))</f>
        <v/>
      </c>
      <c r="I315" s="13" t="n"/>
      <c r="J315" s="13" t="n"/>
      <c r="K315" s="14" t="n"/>
      <c r="L315" s="14" t="n"/>
      <c r="M315" s="15">
        <f>IF(OR($B315="",$K315=""),"",($K315-IF($L315="",0,$L315)*IFERROR(VLOOKUP("P01",ParamTbl,3,0),1.5))*(1-IF(IFERROR(VLOOKUP($E315,OpTbl,3,0),"")="خرید",IFERROR(VLOOKUP("P02",ParamTbl,3,0),1),0)/100))</f>
        <v/>
      </c>
      <c r="N315" s="14" t="n"/>
      <c r="O315" s="13" t="n"/>
    </row>
    <row r="316">
      <c r="A316" s="11">
        <f>IF($B316="","",COUNTA($B$9:$B316))</f>
        <v/>
      </c>
      <c r="B316" s="12" t="n"/>
      <c r="C316" s="12" t="n"/>
      <c r="D316" s="12" t="n"/>
      <c r="E316" s="13" t="n"/>
      <c r="F316" s="11">
        <f>IF($E316="","",IFERROR(VLOOKUP($E316,OpTbl,2,0),""))</f>
        <v/>
      </c>
      <c r="G316" s="12" t="n"/>
      <c r="H316" s="11">
        <f>IF($G316="","",IFERROR(IF(VLOOKUP($G316,AcctTbl,4,0)="","(بدون نام)",VLOOKUP($G316,AcctTbl,4,0)),"کد ناشناخته"))</f>
        <v/>
      </c>
      <c r="I316" s="13" t="n"/>
      <c r="J316" s="13" t="n"/>
      <c r="K316" s="14" t="n"/>
      <c r="L316" s="14" t="n"/>
      <c r="M316" s="15">
        <f>IF(OR($B316="",$K316=""),"",($K316-IF($L316="",0,$L316)*IFERROR(VLOOKUP("P01",ParamTbl,3,0),1.5))*(1-IF(IFERROR(VLOOKUP($E316,OpTbl,3,0),"")="خرید",IFERROR(VLOOKUP("P02",ParamTbl,3,0),1),0)/100))</f>
        <v/>
      </c>
      <c r="N316" s="14" t="n"/>
      <c r="O316" s="13" t="n"/>
    </row>
    <row r="317">
      <c r="A317" s="11">
        <f>IF($B317="","",COUNTA($B$9:$B317))</f>
        <v/>
      </c>
      <c r="B317" s="12" t="n"/>
      <c r="C317" s="12" t="n"/>
      <c r="D317" s="12" t="n"/>
      <c r="E317" s="13" t="n"/>
      <c r="F317" s="11">
        <f>IF($E317="","",IFERROR(VLOOKUP($E317,OpTbl,2,0),""))</f>
        <v/>
      </c>
      <c r="G317" s="12" t="n"/>
      <c r="H317" s="11">
        <f>IF($G317="","",IFERROR(IF(VLOOKUP($G317,AcctTbl,4,0)="","(بدون نام)",VLOOKUP($G317,AcctTbl,4,0)),"کد ناشناخته"))</f>
        <v/>
      </c>
      <c r="I317" s="13" t="n"/>
      <c r="J317" s="13" t="n"/>
      <c r="K317" s="14" t="n"/>
      <c r="L317" s="14" t="n"/>
      <c r="M317" s="15">
        <f>IF(OR($B317="",$K317=""),"",($K317-IF($L317="",0,$L317)*IFERROR(VLOOKUP("P01",ParamTbl,3,0),1.5))*(1-IF(IFERROR(VLOOKUP($E317,OpTbl,3,0),"")="خرید",IFERROR(VLOOKUP("P02",ParamTbl,3,0),1),0)/100))</f>
        <v/>
      </c>
      <c r="N317" s="14" t="n"/>
      <c r="O317" s="13" t="n"/>
    </row>
    <row r="318">
      <c r="A318" s="11">
        <f>IF($B318="","",COUNTA($B$9:$B318))</f>
        <v/>
      </c>
      <c r="B318" s="12" t="n"/>
      <c r="C318" s="12" t="n"/>
      <c r="D318" s="12" t="n"/>
      <c r="E318" s="13" t="n"/>
      <c r="F318" s="11">
        <f>IF($E318="","",IFERROR(VLOOKUP($E318,OpTbl,2,0),""))</f>
        <v/>
      </c>
      <c r="G318" s="12" t="n"/>
      <c r="H318" s="11">
        <f>IF($G318="","",IFERROR(IF(VLOOKUP($G318,AcctTbl,4,0)="","(بدون نام)",VLOOKUP($G318,AcctTbl,4,0)),"کد ناشناخته"))</f>
        <v/>
      </c>
      <c r="I318" s="13" t="n"/>
      <c r="J318" s="13" t="n"/>
      <c r="K318" s="14" t="n"/>
      <c r="L318" s="14" t="n"/>
      <c r="M318" s="15">
        <f>IF(OR($B318="",$K318=""),"",($K318-IF($L318="",0,$L318)*IFERROR(VLOOKUP("P01",ParamTbl,3,0),1.5))*(1-IF(IFERROR(VLOOKUP($E318,OpTbl,3,0),"")="خرید",IFERROR(VLOOKUP("P02",ParamTbl,3,0),1),0)/100))</f>
        <v/>
      </c>
      <c r="N318" s="14" t="n"/>
      <c r="O318" s="13" t="n"/>
    </row>
    <row r="319">
      <c r="A319" s="11">
        <f>IF($B319="","",COUNTA($B$9:$B319))</f>
        <v/>
      </c>
      <c r="B319" s="12" t="n"/>
      <c r="C319" s="12" t="n"/>
      <c r="D319" s="12" t="n"/>
      <c r="E319" s="13" t="n"/>
      <c r="F319" s="11">
        <f>IF($E319="","",IFERROR(VLOOKUP($E319,OpTbl,2,0),""))</f>
        <v/>
      </c>
      <c r="G319" s="12" t="n"/>
      <c r="H319" s="11">
        <f>IF($G319="","",IFERROR(IF(VLOOKUP($G319,AcctTbl,4,0)="","(بدون نام)",VLOOKUP($G319,AcctTbl,4,0)),"کد ناشناخته"))</f>
        <v/>
      </c>
      <c r="I319" s="13" t="n"/>
      <c r="J319" s="13" t="n"/>
      <c r="K319" s="14" t="n"/>
      <c r="L319" s="14" t="n"/>
      <c r="M319" s="15">
        <f>IF(OR($B319="",$K319=""),"",($K319-IF($L319="",0,$L319)*IFERROR(VLOOKUP("P01",ParamTbl,3,0),1.5))*(1-IF(IFERROR(VLOOKUP($E319,OpTbl,3,0),"")="خرید",IFERROR(VLOOKUP("P02",ParamTbl,3,0),1),0)/100))</f>
        <v/>
      </c>
      <c r="N319" s="14" t="n"/>
      <c r="O319" s="13" t="n"/>
    </row>
    <row r="320">
      <c r="A320" s="11">
        <f>IF($B320="","",COUNTA($B$9:$B320))</f>
        <v/>
      </c>
      <c r="B320" s="12" t="n"/>
      <c r="C320" s="12" t="n"/>
      <c r="D320" s="12" t="n"/>
      <c r="E320" s="13" t="n"/>
      <c r="F320" s="11">
        <f>IF($E320="","",IFERROR(VLOOKUP($E320,OpTbl,2,0),""))</f>
        <v/>
      </c>
      <c r="G320" s="12" t="n"/>
      <c r="H320" s="11">
        <f>IF($G320="","",IFERROR(IF(VLOOKUP($G320,AcctTbl,4,0)="","(بدون نام)",VLOOKUP($G320,AcctTbl,4,0)),"کد ناشناخته"))</f>
        <v/>
      </c>
      <c r="I320" s="13" t="n"/>
      <c r="J320" s="13" t="n"/>
      <c r="K320" s="14" t="n"/>
      <c r="L320" s="14" t="n"/>
      <c r="M320" s="15">
        <f>IF(OR($B320="",$K320=""),"",($K320-IF($L320="",0,$L320)*IFERROR(VLOOKUP("P01",ParamTbl,3,0),1.5))*(1-IF(IFERROR(VLOOKUP($E320,OpTbl,3,0),"")="خرید",IFERROR(VLOOKUP("P02",ParamTbl,3,0),1),0)/100))</f>
        <v/>
      </c>
      <c r="N320" s="14" t="n"/>
      <c r="O320" s="13" t="n"/>
    </row>
    <row r="321">
      <c r="A321" s="11">
        <f>IF($B321="","",COUNTA($B$9:$B321))</f>
        <v/>
      </c>
      <c r="B321" s="12" t="n"/>
      <c r="C321" s="12" t="n"/>
      <c r="D321" s="12" t="n"/>
      <c r="E321" s="13" t="n"/>
      <c r="F321" s="11">
        <f>IF($E321="","",IFERROR(VLOOKUP($E321,OpTbl,2,0),""))</f>
        <v/>
      </c>
      <c r="G321" s="12" t="n"/>
      <c r="H321" s="11">
        <f>IF($G321="","",IFERROR(IF(VLOOKUP($G321,AcctTbl,4,0)="","(بدون نام)",VLOOKUP($G321,AcctTbl,4,0)),"کد ناشناخته"))</f>
        <v/>
      </c>
      <c r="I321" s="13" t="n"/>
      <c r="J321" s="13" t="n"/>
      <c r="K321" s="14" t="n"/>
      <c r="L321" s="14" t="n"/>
      <c r="M321" s="15">
        <f>IF(OR($B321="",$K321=""),"",($K321-IF($L321="",0,$L321)*IFERROR(VLOOKUP("P01",ParamTbl,3,0),1.5))*(1-IF(IFERROR(VLOOKUP($E321,OpTbl,3,0),"")="خرید",IFERROR(VLOOKUP("P02",ParamTbl,3,0),1),0)/100))</f>
        <v/>
      </c>
      <c r="N321" s="14" t="n"/>
      <c r="O321" s="13" t="n"/>
    </row>
    <row r="322">
      <c r="A322" s="11">
        <f>IF($B322="","",COUNTA($B$9:$B322))</f>
        <v/>
      </c>
      <c r="B322" s="12" t="n"/>
      <c r="C322" s="12" t="n"/>
      <c r="D322" s="12" t="n"/>
      <c r="E322" s="13" t="n"/>
      <c r="F322" s="11">
        <f>IF($E322="","",IFERROR(VLOOKUP($E322,OpTbl,2,0),""))</f>
        <v/>
      </c>
      <c r="G322" s="12" t="n"/>
      <c r="H322" s="11">
        <f>IF($G322="","",IFERROR(IF(VLOOKUP($G322,AcctTbl,4,0)="","(بدون نام)",VLOOKUP($G322,AcctTbl,4,0)),"کد ناشناخته"))</f>
        <v/>
      </c>
      <c r="I322" s="13" t="n"/>
      <c r="J322" s="13" t="n"/>
      <c r="K322" s="14" t="n"/>
      <c r="L322" s="14" t="n"/>
      <c r="M322" s="15">
        <f>IF(OR($B322="",$K322=""),"",($K322-IF($L322="",0,$L322)*IFERROR(VLOOKUP("P01",ParamTbl,3,0),1.5))*(1-IF(IFERROR(VLOOKUP($E322,OpTbl,3,0),"")="خرید",IFERROR(VLOOKUP("P02",ParamTbl,3,0),1),0)/100))</f>
        <v/>
      </c>
      <c r="N322" s="14" t="n"/>
      <c r="O322" s="13" t="n"/>
    </row>
    <row r="323">
      <c r="A323" s="11">
        <f>IF($B323="","",COUNTA($B$9:$B323))</f>
        <v/>
      </c>
      <c r="B323" s="12" t="n"/>
      <c r="C323" s="12" t="n"/>
      <c r="D323" s="12" t="n"/>
      <c r="E323" s="13" t="n"/>
      <c r="F323" s="11">
        <f>IF($E323="","",IFERROR(VLOOKUP($E323,OpTbl,2,0),""))</f>
        <v/>
      </c>
      <c r="G323" s="12" t="n"/>
      <c r="H323" s="11">
        <f>IF($G323="","",IFERROR(IF(VLOOKUP($G323,AcctTbl,4,0)="","(بدون نام)",VLOOKUP($G323,AcctTbl,4,0)),"کد ناشناخته"))</f>
        <v/>
      </c>
      <c r="I323" s="13" t="n"/>
      <c r="J323" s="13" t="n"/>
      <c r="K323" s="14" t="n"/>
      <c r="L323" s="14" t="n"/>
      <c r="M323" s="15">
        <f>IF(OR($B323="",$K323=""),"",($K323-IF($L323="",0,$L323)*IFERROR(VLOOKUP("P01",ParamTbl,3,0),1.5))*(1-IF(IFERROR(VLOOKUP($E323,OpTbl,3,0),"")="خرید",IFERROR(VLOOKUP("P02",ParamTbl,3,0),1),0)/100))</f>
        <v/>
      </c>
      <c r="N323" s="14" t="n"/>
      <c r="O323" s="13" t="n"/>
    </row>
    <row r="324">
      <c r="A324" s="11">
        <f>IF($B324="","",COUNTA($B$9:$B324))</f>
        <v/>
      </c>
      <c r="B324" s="12" t="n"/>
      <c r="C324" s="12" t="n"/>
      <c r="D324" s="12" t="n"/>
      <c r="E324" s="13" t="n"/>
      <c r="F324" s="11">
        <f>IF($E324="","",IFERROR(VLOOKUP($E324,OpTbl,2,0),""))</f>
        <v/>
      </c>
      <c r="G324" s="12" t="n"/>
      <c r="H324" s="11">
        <f>IF($G324="","",IFERROR(IF(VLOOKUP($G324,AcctTbl,4,0)="","(بدون نام)",VLOOKUP($G324,AcctTbl,4,0)),"کد ناشناخته"))</f>
        <v/>
      </c>
      <c r="I324" s="13" t="n"/>
      <c r="J324" s="13" t="n"/>
      <c r="K324" s="14" t="n"/>
      <c r="L324" s="14" t="n"/>
      <c r="M324" s="15">
        <f>IF(OR($B324="",$K324=""),"",($K324-IF($L324="",0,$L324)*IFERROR(VLOOKUP("P01",ParamTbl,3,0),1.5))*(1-IF(IFERROR(VLOOKUP($E324,OpTbl,3,0),"")="خرید",IFERROR(VLOOKUP("P02",ParamTbl,3,0),1),0)/100))</f>
        <v/>
      </c>
      <c r="N324" s="14" t="n"/>
      <c r="O324" s="13" t="n"/>
    </row>
    <row r="325">
      <c r="A325" s="11">
        <f>IF($B325="","",COUNTA($B$9:$B325))</f>
        <v/>
      </c>
      <c r="B325" s="12" t="n"/>
      <c r="C325" s="12" t="n"/>
      <c r="D325" s="12" t="n"/>
      <c r="E325" s="13" t="n"/>
      <c r="F325" s="11">
        <f>IF($E325="","",IFERROR(VLOOKUP($E325,OpTbl,2,0),""))</f>
        <v/>
      </c>
      <c r="G325" s="12" t="n"/>
      <c r="H325" s="11">
        <f>IF($G325="","",IFERROR(IF(VLOOKUP($G325,AcctTbl,4,0)="","(بدون نام)",VLOOKUP($G325,AcctTbl,4,0)),"کد ناشناخته"))</f>
        <v/>
      </c>
      <c r="I325" s="13" t="n"/>
      <c r="J325" s="13" t="n"/>
      <c r="K325" s="14" t="n"/>
      <c r="L325" s="14" t="n"/>
      <c r="M325" s="15">
        <f>IF(OR($B325="",$K325=""),"",($K325-IF($L325="",0,$L325)*IFERROR(VLOOKUP("P01",ParamTbl,3,0),1.5))*(1-IF(IFERROR(VLOOKUP($E325,OpTbl,3,0),"")="خرید",IFERROR(VLOOKUP("P02",ParamTbl,3,0),1),0)/100))</f>
        <v/>
      </c>
      <c r="N325" s="14" t="n"/>
      <c r="O325" s="13" t="n"/>
    </row>
    <row r="326">
      <c r="A326" s="11">
        <f>IF($B326="","",COUNTA($B$9:$B326))</f>
        <v/>
      </c>
      <c r="B326" s="12" t="n"/>
      <c r="C326" s="12" t="n"/>
      <c r="D326" s="12" t="n"/>
      <c r="E326" s="13" t="n"/>
      <c r="F326" s="11">
        <f>IF($E326="","",IFERROR(VLOOKUP($E326,OpTbl,2,0),""))</f>
        <v/>
      </c>
      <c r="G326" s="12" t="n"/>
      <c r="H326" s="11">
        <f>IF($G326="","",IFERROR(IF(VLOOKUP($G326,AcctTbl,4,0)="","(بدون نام)",VLOOKUP($G326,AcctTbl,4,0)),"کد ناشناخته"))</f>
        <v/>
      </c>
      <c r="I326" s="13" t="n"/>
      <c r="J326" s="13" t="n"/>
      <c r="K326" s="14" t="n"/>
      <c r="L326" s="14" t="n"/>
      <c r="M326" s="15">
        <f>IF(OR($B326="",$K326=""),"",($K326-IF($L326="",0,$L326)*IFERROR(VLOOKUP("P01",ParamTbl,3,0),1.5))*(1-IF(IFERROR(VLOOKUP($E326,OpTbl,3,0),"")="خرید",IFERROR(VLOOKUP("P02",ParamTbl,3,0),1),0)/100))</f>
        <v/>
      </c>
      <c r="N326" s="14" t="n"/>
      <c r="O326" s="13" t="n"/>
    </row>
    <row r="327">
      <c r="A327" s="11">
        <f>IF($B327="","",COUNTA($B$9:$B327))</f>
        <v/>
      </c>
      <c r="B327" s="12" t="n"/>
      <c r="C327" s="12" t="n"/>
      <c r="D327" s="12" t="n"/>
      <c r="E327" s="13" t="n"/>
      <c r="F327" s="11">
        <f>IF($E327="","",IFERROR(VLOOKUP($E327,OpTbl,2,0),""))</f>
        <v/>
      </c>
      <c r="G327" s="12" t="n"/>
      <c r="H327" s="11">
        <f>IF($G327="","",IFERROR(IF(VLOOKUP($G327,AcctTbl,4,0)="","(بدون نام)",VLOOKUP($G327,AcctTbl,4,0)),"کد ناشناخته"))</f>
        <v/>
      </c>
      <c r="I327" s="13" t="n"/>
      <c r="J327" s="13" t="n"/>
      <c r="K327" s="14" t="n"/>
      <c r="L327" s="14" t="n"/>
      <c r="M327" s="15">
        <f>IF(OR($B327="",$K327=""),"",($K327-IF($L327="",0,$L327)*IFERROR(VLOOKUP("P01",ParamTbl,3,0),1.5))*(1-IF(IFERROR(VLOOKUP($E327,OpTbl,3,0),"")="خرید",IFERROR(VLOOKUP("P02",ParamTbl,3,0),1),0)/100))</f>
        <v/>
      </c>
      <c r="N327" s="14" t="n"/>
      <c r="O327" s="13" t="n"/>
    </row>
    <row r="328">
      <c r="A328" s="11">
        <f>IF($B328="","",COUNTA($B$9:$B328))</f>
        <v/>
      </c>
      <c r="B328" s="12" t="n"/>
      <c r="C328" s="12" t="n"/>
      <c r="D328" s="12" t="n"/>
      <c r="E328" s="13" t="n"/>
      <c r="F328" s="11">
        <f>IF($E328="","",IFERROR(VLOOKUP($E328,OpTbl,2,0),""))</f>
        <v/>
      </c>
      <c r="G328" s="12" t="n"/>
      <c r="H328" s="11">
        <f>IF($G328="","",IFERROR(IF(VLOOKUP($G328,AcctTbl,4,0)="","(بدون نام)",VLOOKUP($G328,AcctTbl,4,0)),"کد ناشناخته"))</f>
        <v/>
      </c>
      <c r="I328" s="13" t="n"/>
      <c r="J328" s="13" t="n"/>
      <c r="K328" s="14" t="n"/>
      <c r="L328" s="14" t="n"/>
      <c r="M328" s="15">
        <f>IF(OR($B328="",$K328=""),"",($K328-IF($L328="",0,$L328)*IFERROR(VLOOKUP("P01",ParamTbl,3,0),1.5))*(1-IF(IFERROR(VLOOKUP($E328,OpTbl,3,0),"")="خرید",IFERROR(VLOOKUP("P02",ParamTbl,3,0),1),0)/100))</f>
        <v/>
      </c>
      <c r="N328" s="14" t="n"/>
      <c r="O328" s="13" t="n"/>
    </row>
    <row r="329">
      <c r="A329" s="11">
        <f>IF($B329="","",COUNTA($B$9:$B329))</f>
        <v/>
      </c>
      <c r="B329" s="12" t="n"/>
      <c r="C329" s="12" t="n"/>
      <c r="D329" s="12" t="n"/>
      <c r="E329" s="13" t="n"/>
      <c r="F329" s="11">
        <f>IF($E329="","",IFERROR(VLOOKUP($E329,OpTbl,2,0),""))</f>
        <v/>
      </c>
      <c r="G329" s="12" t="n"/>
      <c r="H329" s="11">
        <f>IF($G329="","",IFERROR(IF(VLOOKUP($G329,AcctTbl,4,0)="","(بدون نام)",VLOOKUP($G329,AcctTbl,4,0)),"کد ناشناخته"))</f>
        <v/>
      </c>
      <c r="I329" s="13" t="n"/>
      <c r="J329" s="13" t="n"/>
      <c r="K329" s="14" t="n"/>
      <c r="L329" s="14" t="n"/>
      <c r="M329" s="15">
        <f>IF(OR($B329="",$K329=""),"",($K329-IF($L329="",0,$L329)*IFERROR(VLOOKUP("P01",ParamTbl,3,0),1.5))*(1-IF(IFERROR(VLOOKUP($E329,OpTbl,3,0),"")="خرید",IFERROR(VLOOKUP("P02",ParamTbl,3,0),1),0)/100))</f>
        <v/>
      </c>
      <c r="N329" s="14" t="n"/>
      <c r="O329" s="13" t="n"/>
    </row>
    <row r="330">
      <c r="A330" s="11">
        <f>IF($B330="","",COUNTA($B$9:$B330))</f>
        <v/>
      </c>
      <c r="B330" s="12" t="n"/>
      <c r="C330" s="12" t="n"/>
      <c r="D330" s="12" t="n"/>
      <c r="E330" s="13" t="n"/>
      <c r="F330" s="11">
        <f>IF($E330="","",IFERROR(VLOOKUP($E330,OpTbl,2,0),""))</f>
        <v/>
      </c>
      <c r="G330" s="12" t="n"/>
      <c r="H330" s="11">
        <f>IF($G330="","",IFERROR(IF(VLOOKUP($G330,AcctTbl,4,0)="","(بدون نام)",VLOOKUP($G330,AcctTbl,4,0)),"کد ناشناخته"))</f>
        <v/>
      </c>
      <c r="I330" s="13" t="n"/>
      <c r="J330" s="13" t="n"/>
      <c r="K330" s="14" t="n"/>
      <c r="L330" s="14" t="n"/>
      <c r="M330" s="15">
        <f>IF(OR($B330="",$K330=""),"",($K330-IF($L330="",0,$L330)*IFERROR(VLOOKUP("P01",ParamTbl,3,0),1.5))*(1-IF(IFERROR(VLOOKUP($E330,OpTbl,3,0),"")="خرید",IFERROR(VLOOKUP("P02",ParamTbl,3,0),1),0)/100))</f>
        <v/>
      </c>
      <c r="N330" s="14" t="n"/>
      <c r="O330" s="13" t="n"/>
    </row>
    <row r="331">
      <c r="A331" s="11">
        <f>IF($B331="","",COUNTA($B$9:$B331))</f>
        <v/>
      </c>
      <c r="B331" s="12" t="n"/>
      <c r="C331" s="12" t="n"/>
      <c r="D331" s="12" t="n"/>
      <c r="E331" s="13" t="n"/>
      <c r="F331" s="11">
        <f>IF($E331="","",IFERROR(VLOOKUP($E331,OpTbl,2,0),""))</f>
        <v/>
      </c>
      <c r="G331" s="12" t="n"/>
      <c r="H331" s="11">
        <f>IF($G331="","",IFERROR(IF(VLOOKUP($G331,AcctTbl,4,0)="","(بدون نام)",VLOOKUP($G331,AcctTbl,4,0)),"کد ناشناخته"))</f>
        <v/>
      </c>
      <c r="I331" s="13" t="n"/>
      <c r="J331" s="13" t="n"/>
      <c r="K331" s="14" t="n"/>
      <c r="L331" s="14" t="n"/>
      <c r="M331" s="15">
        <f>IF(OR($B331="",$K331=""),"",($K331-IF($L331="",0,$L331)*IFERROR(VLOOKUP("P01",ParamTbl,3,0),1.5))*(1-IF(IFERROR(VLOOKUP($E331,OpTbl,3,0),"")="خرید",IFERROR(VLOOKUP("P02",ParamTbl,3,0),1),0)/100))</f>
        <v/>
      </c>
      <c r="N331" s="14" t="n"/>
      <c r="O331" s="13" t="n"/>
    </row>
    <row r="332">
      <c r="A332" s="11">
        <f>IF($B332="","",COUNTA($B$9:$B332))</f>
        <v/>
      </c>
      <c r="B332" s="12" t="n"/>
      <c r="C332" s="12" t="n"/>
      <c r="D332" s="12" t="n"/>
      <c r="E332" s="13" t="n"/>
      <c r="F332" s="11">
        <f>IF($E332="","",IFERROR(VLOOKUP($E332,OpTbl,2,0),""))</f>
        <v/>
      </c>
      <c r="G332" s="12" t="n"/>
      <c r="H332" s="11">
        <f>IF($G332="","",IFERROR(IF(VLOOKUP($G332,AcctTbl,4,0)="","(بدون نام)",VLOOKUP($G332,AcctTbl,4,0)),"کد ناشناخته"))</f>
        <v/>
      </c>
      <c r="I332" s="13" t="n"/>
      <c r="J332" s="13" t="n"/>
      <c r="K332" s="14" t="n"/>
      <c r="L332" s="14" t="n"/>
      <c r="M332" s="15">
        <f>IF(OR($B332="",$K332=""),"",($K332-IF($L332="",0,$L332)*IFERROR(VLOOKUP("P01",ParamTbl,3,0),1.5))*(1-IF(IFERROR(VLOOKUP($E332,OpTbl,3,0),"")="خرید",IFERROR(VLOOKUP("P02",ParamTbl,3,0),1),0)/100))</f>
        <v/>
      </c>
      <c r="N332" s="14" t="n"/>
      <c r="O332" s="13" t="n"/>
    </row>
    <row r="333">
      <c r="A333" s="11">
        <f>IF($B333="","",COUNTA($B$9:$B333))</f>
        <v/>
      </c>
      <c r="B333" s="12" t="n"/>
      <c r="C333" s="12" t="n"/>
      <c r="D333" s="12" t="n"/>
      <c r="E333" s="13" t="n"/>
      <c r="F333" s="11">
        <f>IF($E333="","",IFERROR(VLOOKUP($E333,OpTbl,2,0),""))</f>
        <v/>
      </c>
      <c r="G333" s="12" t="n"/>
      <c r="H333" s="11">
        <f>IF($G333="","",IFERROR(IF(VLOOKUP($G333,AcctTbl,4,0)="","(بدون نام)",VLOOKUP($G333,AcctTbl,4,0)),"کد ناشناخته"))</f>
        <v/>
      </c>
      <c r="I333" s="13" t="n"/>
      <c r="J333" s="13" t="n"/>
      <c r="K333" s="14" t="n"/>
      <c r="L333" s="14" t="n"/>
      <c r="M333" s="15">
        <f>IF(OR($B333="",$K333=""),"",($K333-IF($L333="",0,$L333)*IFERROR(VLOOKUP("P01",ParamTbl,3,0),1.5))*(1-IF(IFERROR(VLOOKUP($E333,OpTbl,3,0),"")="خرید",IFERROR(VLOOKUP("P02",ParamTbl,3,0),1),0)/100))</f>
        <v/>
      </c>
      <c r="N333" s="14" t="n"/>
      <c r="O333" s="13" t="n"/>
    </row>
    <row r="334">
      <c r="A334" s="11">
        <f>IF($B334="","",COUNTA($B$9:$B334))</f>
        <v/>
      </c>
      <c r="B334" s="12" t="n"/>
      <c r="C334" s="12" t="n"/>
      <c r="D334" s="12" t="n"/>
      <c r="E334" s="13" t="n"/>
      <c r="F334" s="11">
        <f>IF($E334="","",IFERROR(VLOOKUP($E334,OpTbl,2,0),""))</f>
        <v/>
      </c>
      <c r="G334" s="12" t="n"/>
      <c r="H334" s="11">
        <f>IF($G334="","",IFERROR(IF(VLOOKUP($G334,AcctTbl,4,0)="","(بدون نام)",VLOOKUP($G334,AcctTbl,4,0)),"کد ناشناخته"))</f>
        <v/>
      </c>
      <c r="I334" s="13" t="n"/>
      <c r="J334" s="13" t="n"/>
      <c r="K334" s="14" t="n"/>
      <c r="L334" s="14" t="n"/>
      <c r="M334" s="15">
        <f>IF(OR($B334="",$K334=""),"",($K334-IF($L334="",0,$L334)*IFERROR(VLOOKUP("P01",ParamTbl,3,0),1.5))*(1-IF(IFERROR(VLOOKUP($E334,OpTbl,3,0),"")="خرید",IFERROR(VLOOKUP("P02",ParamTbl,3,0),1),0)/100))</f>
        <v/>
      </c>
      <c r="N334" s="14" t="n"/>
      <c r="O334" s="13" t="n"/>
    </row>
    <row r="335">
      <c r="A335" s="11">
        <f>IF($B335="","",COUNTA($B$9:$B335))</f>
        <v/>
      </c>
      <c r="B335" s="12" t="n"/>
      <c r="C335" s="12" t="n"/>
      <c r="D335" s="12" t="n"/>
      <c r="E335" s="13" t="n"/>
      <c r="F335" s="11">
        <f>IF($E335="","",IFERROR(VLOOKUP($E335,OpTbl,2,0),""))</f>
        <v/>
      </c>
      <c r="G335" s="12" t="n"/>
      <c r="H335" s="11">
        <f>IF($G335="","",IFERROR(IF(VLOOKUP($G335,AcctTbl,4,0)="","(بدون نام)",VLOOKUP($G335,AcctTbl,4,0)),"کد ناشناخته"))</f>
        <v/>
      </c>
      <c r="I335" s="13" t="n"/>
      <c r="J335" s="13" t="n"/>
      <c r="K335" s="14" t="n"/>
      <c r="L335" s="14" t="n"/>
      <c r="M335" s="15">
        <f>IF(OR($B335="",$K335=""),"",($K335-IF($L335="",0,$L335)*IFERROR(VLOOKUP("P01",ParamTbl,3,0),1.5))*(1-IF(IFERROR(VLOOKUP($E335,OpTbl,3,0),"")="خرید",IFERROR(VLOOKUP("P02",ParamTbl,3,0),1),0)/100))</f>
        <v/>
      </c>
      <c r="N335" s="14" t="n"/>
      <c r="O335" s="13" t="n"/>
    </row>
    <row r="336">
      <c r="A336" s="11">
        <f>IF($B336="","",COUNTA($B$9:$B336))</f>
        <v/>
      </c>
      <c r="B336" s="12" t="n"/>
      <c r="C336" s="12" t="n"/>
      <c r="D336" s="12" t="n"/>
      <c r="E336" s="13" t="n"/>
      <c r="F336" s="11">
        <f>IF($E336="","",IFERROR(VLOOKUP($E336,OpTbl,2,0),""))</f>
        <v/>
      </c>
      <c r="G336" s="12" t="n"/>
      <c r="H336" s="11">
        <f>IF($G336="","",IFERROR(IF(VLOOKUP($G336,AcctTbl,4,0)="","(بدون نام)",VLOOKUP($G336,AcctTbl,4,0)),"کد ناشناخته"))</f>
        <v/>
      </c>
      <c r="I336" s="13" t="n"/>
      <c r="J336" s="13" t="n"/>
      <c r="K336" s="14" t="n"/>
      <c r="L336" s="14" t="n"/>
      <c r="M336" s="15">
        <f>IF(OR($B336="",$K336=""),"",($K336-IF($L336="",0,$L336)*IFERROR(VLOOKUP("P01",ParamTbl,3,0),1.5))*(1-IF(IFERROR(VLOOKUP($E336,OpTbl,3,0),"")="خرید",IFERROR(VLOOKUP("P02",ParamTbl,3,0),1),0)/100))</f>
        <v/>
      </c>
      <c r="N336" s="14" t="n"/>
      <c r="O336" s="13" t="n"/>
    </row>
    <row r="337">
      <c r="A337" s="11">
        <f>IF($B337="","",COUNTA($B$9:$B337))</f>
        <v/>
      </c>
      <c r="B337" s="12" t="n"/>
      <c r="C337" s="12" t="n"/>
      <c r="D337" s="12" t="n"/>
      <c r="E337" s="13" t="n"/>
      <c r="F337" s="11">
        <f>IF($E337="","",IFERROR(VLOOKUP($E337,OpTbl,2,0),""))</f>
        <v/>
      </c>
      <c r="G337" s="12" t="n"/>
      <c r="H337" s="11">
        <f>IF($G337="","",IFERROR(IF(VLOOKUP($G337,AcctTbl,4,0)="","(بدون نام)",VLOOKUP($G337,AcctTbl,4,0)),"کد ناشناخته"))</f>
        <v/>
      </c>
      <c r="I337" s="13" t="n"/>
      <c r="J337" s="13" t="n"/>
      <c r="K337" s="14" t="n"/>
      <c r="L337" s="14" t="n"/>
      <c r="M337" s="15">
        <f>IF(OR($B337="",$K337=""),"",($K337-IF($L337="",0,$L337)*IFERROR(VLOOKUP("P01",ParamTbl,3,0),1.5))*(1-IF(IFERROR(VLOOKUP($E337,OpTbl,3,0),"")="خرید",IFERROR(VLOOKUP("P02",ParamTbl,3,0),1),0)/100))</f>
        <v/>
      </c>
      <c r="N337" s="14" t="n"/>
      <c r="O337" s="13" t="n"/>
    </row>
    <row r="338">
      <c r="A338" s="11">
        <f>IF($B338="","",COUNTA($B$9:$B338))</f>
        <v/>
      </c>
      <c r="B338" s="12" t="n"/>
      <c r="C338" s="12" t="n"/>
      <c r="D338" s="12" t="n"/>
      <c r="E338" s="13" t="n"/>
      <c r="F338" s="11">
        <f>IF($E338="","",IFERROR(VLOOKUP($E338,OpTbl,2,0),""))</f>
        <v/>
      </c>
      <c r="G338" s="12" t="n"/>
      <c r="H338" s="11">
        <f>IF($G338="","",IFERROR(IF(VLOOKUP($G338,AcctTbl,4,0)="","(بدون نام)",VLOOKUP($G338,AcctTbl,4,0)),"کد ناشناخته"))</f>
        <v/>
      </c>
      <c r="I338" s="13" t="n"/>
      <c r="J338" s="13" t="n"/>
      <c r="K338" s="14" t="n"/>
      <c r="L338" s="14" t="n"/>
      <c r="M338" s="15">
        <f>IF(OR($B338="",$K338=""),"",($K338-IF($L338="",0,$L338)*IFERROR(VLOOKUP("P01",ParamTbl,3,0),1.5))*(1-IF(IFERROR(VLOOKUP($E338,OpTbl,3,0),"")="خرید",IFERROR(VLOOKUP("P02",ParamTbl,3,0),1),0)/100))</f>
        <v/>
      </c>
      <c r="N338" s="14" t="n"/>
      <c r="O338" s="13" t="n"/>
    </row>
    <row r="339">
      <c r="A339" s="11">
        <f>IF($B339="","",COUNTA($B$9:$B339))</f>
        <v/>
      </c>
      <c r="B339" s="12" t="n"/>
      <c r="C339" s="12" t="n"/>
      <c r="D339" s="12" t="n"/>
      <c r="E339" s="13" t="n"/>
      <c r="F339" s="11">
        <f>IF($E339="","",IFERROR(VLOOKUP($E339,OpTbl,2,0),""))</f>
        <v/>
      </c>
      <c r="G339" s="12" t="n"/>
      <c r="H339" s="11">
        <f>IF($G339="","",IFERROR(IF(VLOOKUP($G339,AcctTbl,4,0)="","(بدون نام)",VLOOKUP($G339,AcctTbl,4,0)),"کد ناشناخته"))</f>
        <v/>
      </c>
      <c r="I339" s="13" t="n"/>
      <c r="J339" s="13" t="n"/>
      <c r="K339" s="14" t="n"/>
      <c r="L339" s="14" t="n"/>
      <c r="M339" s="15">
        <f>IF(OR($B339="",$K339=""),"",($K339-IF($L339="",0,$L339)*IFERROR(VLOOKUP("P01",ParamTbl,3,0),1.5))*(1-IF(IFERROR(VLOOKUP($E339,OpTbl,3,0),"")="خرید",IFERROR(VLOOKUP("P02",ParamTbl,3,0),1),0)/100))</f>
        <v/>
      </c>
      <c r="N339" s="14" t="n"/>
      <c r="O339" s="13" t="n"/>
    </row>
    <row r="340">
      <c r="A340" s="11">
        <f>IF($B340="","",COUNTA($B$9:$B340))</f>
        <v/>
      </c>
      <c r="B340" s="12" t="n"/>
      <c r="C340" s="12" t="n"/>
      <c r="D340" s="12" t="n"/>
      <c r="E340" s="13" t="n"/>
      <c r="F340" s="11">
        <f>IF($E340="","",IFERROR(VLOOKUP($E340,OpTbl,2,0),""))</f>
        <v/>
      </c>
      <c r="G340" s="12" t="n"/>
      <c r="H340" s="11">
        <f>IF($G340="","",IFERROR(IF(VLOOKUP($G340,AcctTbl,4,0)="","(بدون نام)",VLOOKUP($G340,AcctTbl,4,0)),"کد ناشناخته"))</f>
        <v/>
      </c>
      <c r="I340" s="13" t="n"/>
      <c r="J340" s="13" t="n"/>
      <c r="K340" s="14" t="n"/>
      <c r="L340" s="14" t="n"/>
      <c r="M340" s="15">
        <f>IF(OR($B340="",$K340=""),"",($K340-IF($L340="",0,$L340)*IFERROR(VLOOKUP("P01",ParamTbl,3,0),1.5))*(1-IF(IFERROR(VLOOKUP($E340,OpTbl,3,0),"")="خرید",IFERROR(VLOOKUP("P02",ParamTbl,3,0),1),0)/100))</f>
        <v/>
      </c>
      <c r="N340" s="14" t="n"/>
      <c r="O340" s="13" t="n"/>
    </row>
    <row r="341">
      <c r="A341" s="11">
        <f>IF($B341="","",COUNTA($B$9:$B341))</f>
        <v/>
      </c>
      <c r="B341" s="12" t="n"/>
      <c r="C341" s="12" t="n"/>
      <c r="D341" s="12" t="n"/>
      <c r="E341" s="13" t="n"/>
      <c r="F341" s="11">
        <f>IF($E341="","",IFERROR(VLOOKUP($E341,OpTbl,2,0),""))</f>
        <v/>
      </c>
      <c r="G341" s="12" t="n"/>
      <c r="H341" s="11">
        <f>IF($G341="","",IFERROR(IF(VLOOKUP($G341,AcctTbl,4,0)="","(بدون نام)",VLOOKUP($G341,AcctTbl,4,0)),"کد ناشناخته"))</f>
        <v/>
      </c>
      <c r="I341" s="13" t="n"/>
      <c r="J341" s="13" t="n"/>
      <c r="K341" s="14" t="n"/>
      <c r="L341" s="14" t="n"/>
      <c r="M341" s="15">
        <f>IF(OR($B341="",$K341=""),"",($K341-IF($L341="",0,$L341)*IFERROR(VLOOKUP("P01",ParamTbl,3,0),1.5))*(1-IF(IFERROR(VLOOKUP($E341,OpTbl,3,0),"")="خرید",IFERROR(VLOOKUP("P02",ParamTbl,3,0),1),0)/100))</f>
        <v/>
      </c>
      <c r="N341" s="14" t="n"/>
      <c r="O341" s="13" t="n"/>
    </row>
    <row r="342">
      <c r="A342" s="11">
        <f>IF($B342="","",COUNTA($B$9:$B342))</f>
        <v/>
      </c>
      <c r="B342" s="12" t="n"/>
      <c r="C342" s="12" t="n"/>
      <c r="D342" s="12" t="n"/>
      <c r="E342" s="13" t="n"/>
      <c r="F342" s="11">
        <f>IF($E342="","",IFERROR(VLOOKUP($E342,OpTbl,2,0),""))</f>
        <v/>
      </c>
      <c r="G342" s="12" t="n"/>
      <c r="H342" s="11">
        <f>IF($G342="","",IFERROR(IF(VLOOKUP($G342,AcctTbl,4,0)="","(بدون نام)",VLOOKUP($G342,AcctTbl,4,0)),"کد ناشناخته"))</f>
        <v/>
      </c>
      <c r="I342" s="13" t="n"/>
      <c r="J342" s="13" t="n"/>
      <c r="K342" s="14" t="n"/>
      <c r="L342" s="14" t="n"/>
      <c r="M342" s="15">
        <f>IF(OR($B342="",$K342=""),"",($K342-IF($L342="",0,$L342)*IFERROR(VLOOKUP("P01",ParamTbl,3,0),1.5))*(1-IF(IFERROR(VLOOKUP($E342,OpTbl,3,0),"")="خرید",IFERROR(VLOOKUP("P02",ParamTbl,3,0),1),0)/100))</f>
        <v/>
      </c>
      <c r="N342" s="14" t="n"/>
      <c r="O342" s="13" t="n"/>
    </row>
    <row r="343">
      <c r="A343" s="11">
        <f>IF($B343="","",COUNTA($B$9:$B343))</f>
        <v/>
      </c>
      <c r="B343" s="12" t="n"/>
      <c r="C343" s="12" t="n"/>
      <c r="D343" s="12" t="n"/>
      <c r="E343" s="13" t="n"/>
      <c r="F343" s="11">
        <f>IF($E343="","",IFERROR(VLOOKUP($E343,OpTbl,2,0),""))</f>
        <v/>
      </c>
      <c r="G343" s="12" t="n"/>
      <c r="H343" s="11">
        <f>IF($G343="","",IFERROR(IF(VLOOKUP($G343,AcctTbl,4,0)="","(بدون نام)",VLOOKUP($G343,AcctTbl,4,0)),"کد ناشناخته"))</f>
        <v/>
      </c>
      <c r="I343" s="13" t="n"/>
      <c r="J343" s="13" t="n"/>
      <c r="K343" s="14" t="n"/>
      <c r="L343" s="14" t="n"/>
      <c r="M343" s="15">
        <f>IF(OR($B343="",$K343=""),"",($K343-IF($L343="",0,$L343)*IFERROR(VLOOKUP("P01",ParamTbl,3,0),1.5))*(1-IF(IFERROR(VLOOKUP($E343,OpTbl,3,0),"")="خرید",IFERROR(VLOOKUP("P02",ParamTbl,3,0),1),0)/100))</f>
        <v/>
      </c>
      <c r="N343" s="14" t="n"/>
      <c r="O343" s="13" t="n"/>
    </row>
    <row r="344">
      <c r="A344" s="11">
        <f>IF($B344="","",COUNTA($B$9:$B344))</f>
        <v/>
      </c>
      <c r="B344" s="12" t="n"/>
      <c r="C344" s="12" t="n"/>
      <c r="D344" s="12" t="n"/>
      <c r="E344" s="13" t="n"/>
      <c r="F344" s="11">
        <f>IF($E344="","",IFERROR(VLOOKUP($E344,OpTbl,2,0),""))</f>
        <v/>
      </c>
      <c r="G344" s="12" t="n"/>
      <c r="H344" s="11">
        <f>IF($G344="","",IFERROR(IF(VLOOKUP($G344,AcctTbl,4,0)="","(بدون نام)",VLOOKUP($G344,AcctTbl,4,0)),"کد ناشناخته"))</f>
        <v/>
      </c>
      <c r="I344" s="13" t="n"/>
      <c r="J344" s="13" t="n"/>
      <c r="K344" s="14" t="n"/>
      <c r="L344" s="14" t="n"/>
      <c r="M344" s="15">
        <f>IF(OR($B344="",$K344=""),"",($K344-IF($L344="",0,$L344)*IFERROR(VLOOKUP("P01",ParamTbl,3,0),1.5))*(1-IF(IFERROR(VLOOKUP($E344,OpTbl,3,0),"")="خرید",IFERROR(VLOOKUP("P02",ParamTbl,3,0),1),0)/100))</f>
        <v/>
      </c>
      <c r="N344" s="14" t="n"/>
      <c r="O344" s="13" t="n"/>
    </row>
    <row r="345">
      <c r="A345" s="11">
        <f>IF($B345="","",COUNTA($B$9:$B345))</f>
        <v/>
      </c>
      <c r="B345" s="12" t="n"/>
      <c r="C345" s="12" t="n"/>
      <c r="D345" s="12" t="n"/>
      <c r="E345" s="13" t="n"/>
      <c r="F345" s="11">
        <f>IF($E345="","",IFERROR(VLOOKUP($E345,OpTbl,2,0),""))</f>
        <v/>
      </c>
      <c r="G345" s="12" t="n"/>
      <c r="H345" s="11">
        <f>IF($G345="","",IFERROR(IF(VLOOKUP($G345,AcctTbl,4,0)="","(بدون نام)",VLOOKUP($G345,AcctTbl,4,0)),"کد ناشناخته"))</f>
        <v/>
      </c>
      <c r="I345" s="13" t="n"/>
      <c r="J345" s="13" t="n"/>
      <c r="K345" s="14" t="n"/>
      <c r="L345" s="14" t="n"/>
      <c r="M345" s="15">
        <f>IF(OR($B345="",$K345=""),"",($K345-IF($L345="",0,$L345)*IFERROR(VLOOKUP("P01",ParamTbl,3,0),1.5))*(1-IF(IFERROR(VLOOKUP($E345,OpTbl,3,0),"")="خرید",IFERROR(VLOOKUP("P02",ParamTbl,3,0),1),0)/100))</f>
        <v/>
      </c>
      <c r="N345" s="14" t="n"/>
      <c r="O345" s="13" t="n"/>
    </row>
    <row r="346">
      <c r="A346" s="11">
        <f>IF($B346="","",COUNTA($B$9:$B346))</f>
        <v/>
      </c>
      <c r="B346" s="12" t="n"/>
      <c r="C346" s="12" t="n"/>
      <c r="D346" s="12" t="n"/>
      <c r="E346" s="13" t="n"/>
      <c r="F346" s="11">
        <f>IF($E346="","",IFERROR(VLOOKUP($E346,OpTbl,2,0),""))</f>
        <v/>
      </c>
      <c r="G346" s="12" t="n"/>
      <c r="H346" s="11">
        <f>IF($G346="","",IFERROR(IF(VLOOKUP($G346,AcctTbl,4,0)="","(بدون نام)",VLOOKUP($G346,AcctTbl,4,0)),"کد ناشناخته"))</f>
        <v/>
      </c>
      <c r="I346" s="13" t="n"/>
      <c r="J346" s="13" t="n"/>
      <c r="K346" s="14" t="n"/>
      <c r="L346" s="14" t="n"/>
      <c r="M346" s="15">
        <f>IF(OR($B346="",$K346=""),"",($K346-IF($L346="",0,$L346)*IFERROR(VLOOKUP("P01",ParamTbl,3,0),1.5))*(1-IF(IFERROR(VLOOKUP($E346,OpTbl,3,0),"")="خرید",IFERROR(VLOOKUP("P02",ParamTbl,3,0),1),0)/100))</f>
        <v/>
      </c>
      <c r="N346" s="14" t="n"/>
      <c r="O346" s="13" t="n"/>
    </row>
    <row r="347">
      <c r="A347" s="11">
        <f>IF($B347="","",COUNTA($B$9:$B347))</f>
        <v/>
      </c>
      <c r="B347" s="12" t="n"/>
      <c r="C347" s="12" t="n"/>
      <c r="D347" s="12" t="n"/>
      <c r="E347" s="13" t="n"/>
      <c r="F347" s="11">
        <f>IF($E347="","",IFERROR(VLOOKUP($E347,OpTbl,2,0),""))</f>
        <v/>
      </c>
      <c r="G347" s="12" t="n"/>
      <c r="H347" s="11">
        <f>IF($G347="","",IFERROR(IF(VLOOKUP($G347,AcctTbl,4,0)="","(بدون نام)",VLOOKUP($G347,AcctTbl,4,0)),"کد ناشناخته"))</f>
        <v/>
      </c>
      <c r="I347" s="13" t="n"/>
      <c r="J347" s="13" t="n"/>
      <c r="K347" s="14" t="n"/>
      <c r="L347" s="14" t="n"/>
      <c r="M347" s="15">
        <f>IF(OR($B347="",$K347=""),"",($K347-IF($L347="",0,$L347)*IFERROR(VLOOKUP("P01",ParamTbl,3,0),1.5))*(1-IF(IFERROR(VLOOKUP($E347,OpTbl,3,0),"")="خرید",IFERROR(VLOOKUP("P02",ParamTbl,3,0),1),0)/100))</f>
        <v/>
      </c>
      <c r="N347" s="14" t="n"/>
      <c r="O347" s="13" t="n"/>
    </row>
    <row r="348">
      <c r="A348" s="11">
        <f>IF($B348="","",COUNTA($B$9:$B348))</f>
        <v/>
      </c>
      <c r="B348" s="12" t="n"/>
      <c r="C348" s="12" t="n"/>
      <c r="D348" s="12" t="n"/>
      <c r="E348" s="13" t="n"/>
      <c r="F348" s="11">
        <f>IF($E348="","",IFERROR(VLOOKUP($E348,OpTbl,2,0),""))</f>
        <v/>
      </c>
      <c r="G348" s="12" t="n"/>
      <c r="H348" s="11">
        <f>IF($G348="","",IFERROR(IF(VLOOKUP($G348,AcctTbl,4,0)="","(بدون نام)",VLOOKUP($G348,AcctTbl,4,0)),"کد ناشناخته"))</f>
        <v/>
      </c>
      <c r="I348" s="13" t="n"/>
      <c r="J348" s="13" t="n"/>
      <c r="K348" s="14" t="n"/>
      <c r="L348" s="14" t="n"/>
      <c r="M348" s="15">
        <f>IF(OR($B348="",$K348=""),"",($K348-IF($L348="",0,$L348)*IFERROR(VLOOKUP("P01",ParamTbl,3,0),1.5))*(1-IF(IFERROR(VLOOKUP($E348,OpTbl,3,0),"")="خرید",IFERROR(VLOOKUP("P02",ParamTbl,3,0),1),0)/100))</f>
        <v/>
      </c>
      <c r="N348" s="14" t="n"/>
      <c r="O348" s="13" t="n"/>
    </row>
    <row r="349">
      <c r="A349" s="11">
        <f>IF($B349="","",COUNTA($B$9:$B349))</f>
        <v/>
      </c>
      <c r="B349" s="12" t="n"/>
      <c r="C349" s="12" t="n"/>
      <c r="D349" s="12" t="n"/>
      <c r="E349" s="13" t="n"/>
      <c r="F349" s="11">
        <f>IF($E349="","",IFERROR(VLOOKUP($E349,OpTbl,2,0),""))</f>
        <v/>
      </c>
      <c r="G349" s="12" t="n"/>
      <c r="H349" s="11">
        <f>IF($G349="","",IFERROR(IF(VLOOKUP($G349,AcctTbl,4,0)="","(بدون نام)",VLOOKUP($G349,AcctTbl,4,0)),"کد ناشناخته"))</f>
        <v/>
      </c>
      <c r="I349" s="13" t="n"/>
      <c r="J349" s="13" t="n"/>
      <c r="K349" s="14" t="n"/>
      <c r="L349" s="14" t="n"/>
      <c r="M349" s="15">
        <f>IF(OR($B349="",$K349=""),"",($K349-IF($L349="",0,$L349)*IFERROR(VLOOKUP("P01",ParamTbl,3,0),1.5))*(1-IF(IFERROR(VLOOKUP($E349,OpTbl,3,0),"")="خرید",IFERROR(VLOOKUP("P02",ParamTbl,3,0),1),0)/100))</f>
        <v/>
      </c>
      <c r="N349" s="14" t="n"/>
      <c r="O349" s="13" t="n"/>
    </row>
    <row r="350">
      <c r="A350" s="11">
        <f>IF($B350="","",COUNTA($B$9:$B350))</f>
        <v/>
      </c>
      <c r="B350" s="12" t="n"/>
      <c r="C350" s="12" t="n"/>
      <c r="D350" s="12" t="n"/>
      <c r="E350" s="13" t="n"/>
      <c r="F350" s="11">
        <f>IF($E350="","",IFERROR(VLOOKUP($E350,OpTbl,2,0),""))</f>
        <v/>
      </c>
      <c r="G350" s="12" t="n"/>
      <c r="H350" s="11">
        <f>IF($G350="","",IFERROR(IF(VLOOKUP($G350,AcctTbl,4,0)="","(بدون نام)",VLOOKUP($G350,AcctTbl,4,0)),"کد ناشناخته"))</f>
        <v/>
      </c>
      <c r="I350" s="13" t="n"/>
      <c r="J350" s="13" t="n"/>
      <c r="K350" s="14" t="n"/>
      <c r="L350" s="14" t="n"/>
      <c r="M350" s="15">
        <f>IF(OR($B350="",$K350=""),"",($K350-IF($L350="",0,$L350)*IFERROR(VLOOKUP("P01",ParamTbl,3,0),1.5))*(1-IF(IFERROR(VLOOKUP($E350,OpTbl,3,0),"")="خرید",IFERROR(VLOOKUP("P02",ParamTbl,3,0),1),0)/100))</f>
        <v/>
      </c>
      <c r="N350" s="14" t="n"/>
      <c r="O350" s="13" t="n"/>
    </row>
    <row r="351">
      <c r="A351" s="11">
        <f>IF($B351="","",COUNTA($B$9:$B351))</f>
        <v/>
      </c>
      <c r="B351" s="12" t="n"/>
      <c r="C351" s="12" t="n"/>
      <c r="D351" s="12" t="n"/>
      <c r="E351" s="13" t="n"/>
      <c r="F351" s="11">
        <f>IF($E351="","",IFERROR(VLOOKUP($E351,OpTbl,2,0),""))</f>
        <v/>
      </c>
      <c r="G351" s="12" t="n"/>
      <c r="H351" s="11">
        <f>IF($G351="","",IFERROR(IF(VLOOKUP($G351,AcctTbl,4,0)="","(بدون نام)",VLOOKUP($G351,AcctTbl,4,0)),"کد ناشناخته"))</f>
        <v/>
      </c>
      <c r="I351" s="13" t="n"/>
      <c r="J351" s="13" t="n"/>
      <c r="K351" s="14" t="n"/>
      <c r="L351" s="14" t="n"/>
      <c r="M351" s="15">
        <f>IF(OR($B351="",$K351=""),"",($K351-IF($L351="",0,$L351)*IFERROR(VLOOKUP("P01",ParamTbl,3,0),1.5))*(1-IF(IFERROR(VLOOKUP($E351,OpTbl,3,0),"")="خرید",IFERROR(VLOOKUP("P02",ParamTbl,3,0),1),0)/100))</f>
        <v/>
      </c>
      <c r="N351" s="14" t="n"/>
      <c r="O351" s="13" t="n"/>
    </row>
    <row r="352">
      <c r="A352" s="11">
        <f>IF($B352="","",COUNTA($B$9:$B352))</f>
        <v/>
      </c>
      <c r="B352" s="12" t="n"/>
      <c r="C352" s="12" t="n"/>
      <c r="D352" s="12" t="n"/>
      <c r="E352" s="13" t="n"/>
      <c r="F352" s="11">
        <f>IF($E352="","",IFERROR(VLOOKUP($E352,OpTbl,2,0),""))</f>
        <v/>
      </c>
      <c r="G352" s="12" t="n"/>
      <c r="H352" s="11">
        <f>IF($G352="","",IFERROR(IF(VLOOKUP($G352,AcctTbl,4,0)="","(بدون نام)",VLOOKUP($G352,AcctTbl,4,0)),"کد ناشناخته"))</f>
        <v/>
      </c>
      <c r="I352" s="13" t="n"/>
      <c r="J352" s="13" t="n"/>
      <c r="K352" s="14" t="n"/>
      <c r="L352" s="14" t="n"/>
      <c r="M352" s="15">
        <f>IF(OR($B352="",$K352=""),"",($K352-IF($L352="",0,$L352)*IFERROR(VLOOKUP("P01",ParamTbl,3,0),1.5))*(1-IF(IFERROR(VLOOKUP($E352,OpTbl,3,0),"")="خرید",IFERROR(VLOOKUP("P02",ParamTbl,3,0),1),0)/100))</f>
        <v/>
      </c>
      <c r="N352" s="14" t="n"/>
      <c r="O352" s="13" t="n"/>
    </row>
    <row r="353">
      <c r="A353" s="11">
        <f>IF($B353="","",COUNTA($B$9:$B353))</f>
        <v/>
      </c>
      <c r="B353" s="12" t="n"/>
      <c r="C353" s="12" t="n"/>
      <c r="D353" s="12" t="n"/>
      <c r="E353" s="13" t="n"/>
      <c r="F353" s="11">
        <f>IF($E353="","",IFERROR(VLOOKUP($E353,OpTbl,2,0),""))</f>
        <v/>
      </c>
      <c r="G353" s="12" t="n"/>
      <c r="H353" s="11">
        <f>IF($G353="","",IFERROR(IF(VLOOKUP($G353,AcctTbl,4,0)="","(بدون نام)",VLOOKUP($G353,AcctTbl,4,0)),"کد ناشناخته"))</f>
        <v/>
      </c>
      <c r="I353" s="13" t="n"/>
      <c r="J353" s="13" t="n"/>
      <c r="K353" s="14" t="n"/>
      <c r="L353" s="14" t="n"/>
      <c r="M353" s="15">
        <f>IF(OR($B353="",$K353=""),"",($K353-IF($L353="",0,$L353)*IFERROR(VLOOKUP("P01",ParamTbl,3,0),1.5))*(1-IF(IFERROR(VLOOKUP($E353,OpTbl,3,0),"")="خرید",IFERROR(VLOOKUP("P02",ParamTbl,3,0),1),0)/100))</f>
        <v/>
      </c>
      <c r="N353" s="14" t="n"/>
      <c r="O353" s="13" t="n"/>
    </row>
    <row r="354">
      <c r="A354" s="11">
        <f>IF($B354="","",COUNTA($B$9:$B354))</f>
        <v/>
      </c>
      <c r="B354" s="12" t="n"/>
      <c r="C354" s="12" t="n"/>
      <c r="D354" s="12" t="n"/>
      <c r="E354" s="13" t="n"/>
      <c r="F354" s="11">
        <f>IF($E354="","",IFERROR(VLOOKUP($E354,OpTbl,2,0),""))</f>
        <v/>
      </c>
      <c r="G354" s="12" t="n"/>
      <c r="H354" s="11">
        <f>IF($G354="","",IFERROR(IF(VLOOKUP($G354,AcctTbl,4,0)="","(بدون نام)",VLOOKUP($G354,AcctTbl,4,0)),"کد ناشناخته"))</f>
        <v/>
      </c>
      <c r="I354" s="13" t="n"/>
      <c r="J354" s="13" t="n"/>
      <c r="K354" s="14" t="n"/>
      <c r="L354" s="14" t="n"/>
      <c r="M354" s="15">
        <f>IF(OR($B354="",$K354=""),"",($K354-IF($L354="",0,$L354)*IFERROR(VLOOKUP("P01",ParamTbl,3,0),1.5))*(1-IF(IFERROR(VLOOKUP($E354,OpTbl,3,0),"")="خرید",IFERROR(VLOOKUP("P02",ParamTbl,3,0),1),0)/100))</f>
        <v/>
      </c>
      <c r="N354" s="14" t="n"/>
      <c r="O354" s="13" t="n"/>
    </row>
    <row r="355">
      <c r="A355" s="11">
        <f>IF($B355="","",COUNTA($B$9:$B355))</f>
        <v/>
      </c>
      <c r="B355" s="12" t="n"/>
      <c r="C355" s="12" t="n"/>
      <c r="D355" s="12" t="n"/>
      <c r="E355" s="13" t="n"/>
      <c r="F355" s="11">
        <f>IF($E355="","",IFERROR(VLOOKUP($E355,OpTbl,2,0),""))</f>
        <v/>
      </c>
      <c r="G355" s="12" t="n"/>
      <c r="H355" s="11">
        <f>IF($G355="","",IFERROR(IF(VLOOKUP($G355,AcctTbl,4,0)="","(بدون نام)",VLOOKUP($G355,AcctTbl,4,0)),"کد ناشناخته"))</f>
        <v/>
      </c>
      <c r="I355" s="13" t="n"/>
      <c r="J355" s="13" t="n"/>
      <c r="K355" s="14" t="n"/>
      <c r="L355" s="14" t="n"/>
      <c r="M355" s="15">
        <f>IF(OR($B355="",$K355=""),"",($K355-IF($L355="",0,$L355)*IFERROR(VLOOKUP("P01",ParamTbl,3,0),1.5))*(1-IF(IFERROR(VLOOKUP($E355,OpTbl,3,0),"")="خرید",IFERROR(VLOOKUP("P02",ParamTbl,3,0),1),0)/100))</f>
        <v/>
      </c>
      <c r="N355" s="14" t="n"/>
      <c r="O355" s="13" t="n"/>
    </row>
    <row r="356">
      <c r="A356" s="11">
        <f>IF($B356="","",COUNTA($B$9:$B356))</f>
        <v/>
      </c>
      <c r="B356" s="12" t="n"/>
      <c r="C356" s="12" t="n"/>
      <c r="D356" s="12" t="n"/>
      <c r="E356" s="13" t="n"/>
      <c r="F356" s="11">
        <f>IF($E356="","",IFERROR(VLOOKUP($E356,OpTbl,2,0),""))</f>
        <v/>
      </c>
      <c r="G356" s="12" t="n"/>
      <c r="H356" s="11">
        <f>IF($G356="","",IFERROR(IF(VLOOKUP($G356,AcctTbl,4,0)="","(بدون نام)",VLOOKUP($G356,AcctTbl,4,0)),"کد ناشناخته"))</f>
        <v/>
      </c>
      <c r="I356" s="13" t="n"/>
      <c r="J356" s="13" t="n"/>
      <c r="K356" s="14" t="n"/>
      <c r="L356" s="14" t="n"/>
      <c r="M356" s="15">
        <f>IF(OR($B356="",$K356=""),"",($K356-IF($L356="",0,$L356)*IFERROR(VLOOKUP("P01",ParamTbl,3,0),1.5))*(1-IF(IFERROR(VLOOKUP($E356,OpTbl,3,0),"")="خرید",IFERROR(VLOOKUP("P02",ParamTbl,3,0),1),0)/100))</f>
        <v/>
      </c>
      <c r="N356" s="14" t="n"/>
      <c r="O356" s="13" t="n"/>
    </row>
    <row r="357">
      <c r="A357" s="11">
        <f>IF($B357="","",COUNTA($B$9:$B357))</f>
        <v/>
      </c>
      <c r="B357" s="12" t="n"/>
      <c r="C357" s="12" t="n"/>
      <c r="D357" s="12" t="n"/>
      <c r="E357" s="13" t="n"/>
      <c r="F357" s="11">
        <f>IF($E357="","",IFERROR(VLOOKUP($E357,OpTbl,2,0),""))</f>
        <v/>
      </c>
      <c r="G357" s="12" t="n"/>
      <c r="H357" s="11">
        <f>IF($G357="","",IFERROR(IF(VLOOKUP($G357,AcctTbl,4,0)="","(بدون نام)",VLOOKUP($G357,AcctTbl,4,0)),"کد ناشناخته"))</f>
        <v/>
      </c>
      <c r="I357" s="13" t="n"/>
      <c r="J357" s="13" t="n"/>
      <c r="K357" s="14" t="n"/>
      <c r="L357" s="14" t="n"/>
      <c r="M357" s="15">
        <f>IF(OR($B357="",$K357=""),"",($K357-IF($L357="",0,$L357)*IFERROR(VLOOKUP("P01",ParamTbl,3,0),1.5))*(1-IF(IFERROR(VLOOKUP($E357,OpTbl,3,0),"")="خرید",IFERROR(VLOOKUP("P02",ParamTbl,3,0),1),0)/100))</f>
        <v/>
      </c>
      <c r="N357" s="14" t="n"/>
      <c r="O357" s="13" t="n"/>
    </row>
    <row r="358">
      <c r="A358" s="11">
        <f>IF($B358="","",COUNTA($B$9:$B358))</f>
        <v/>
      </c>
      <c r="B358" s="12" t="n"/>
      <c r="C358" s="12" t="n"/>
      <c r="D358" s="12" t="n"/>
      <c r="E358" s="13" t="n"/>
      <c r="F358" s="11">
        <f>IF($E358="","",IFERROR(VLOOKUP($E358,OpTbl,2,0),""))</f>
        <v/>
      </c>
      <c r="G358" s="12" t="n"/>
      <c r="H358" s="11">
        <f>IF($G358="","",IFERROR(IF(VLOOKUP($G358,AcctTbl,4,0)="","(بدون نام)",VLOOKUP($G358,AcctTbl,4,0)),"کد ناشناخته"))</f>
        <v/>
      </c>
      <c r="I358" s="13" t="n"/>
      <c r="J358" s="13" t="n"/>
      <c r="K358" s="14" t="n"/>
      <c r="L358" s="14" t="n"/>
      <c r="M358" s="15">
        <f>IF(OR($B358="",$K358=""),"",($K358-IF($L358="",0,$L358)*IFERROR(VLOOKUP("P01",ParamTbl,3,0),1.5))*(1-IF(IFERROR(VLOOKUP($E358,OpTbl,3,0),"")="خرید",IFERROR(VLOOKUP("P02",ParamTbl,3,0),1),0)/100))</f>
        <v/>
      </c>
      <c r="N358" s="14" t="n"/>
      <c r="O358" s="13" t="n"/>
    </row>
    <row r="359">
      <c r="A359" s="11">
        <f>IF($B359="","",COUNTA($B$9:$B359))</f>
        <v/>
      </c>
      <c r="B359" s="12" t="n"/>
      <c r="C359" s="12" t="n"/>
      <c r="D359" s="12" t="n"/>
      <c r="E359" s="13" t="n"/>
      <c r="F359" s="11">
        <f>IF($E359="","",IFERROR(VLOOKUP($E359,OpTbl,2,0),""))</f>
        <v/>
      </c>
      <c r="G359" s="12" t="n"/>
      <c r="H359" s="11">
        <f>IF($G359="","",IFERROR(IF(VLOOKUP($G359,AcctTbl,4,0)="","(بدون نام)",VLOOKUP($G359,AcctTbl,4,0)),"کد ناشناخته"))</f>
        <v/>
      </c>
      <c r="I359" s="13" t="n"/>
      <c r="J359" s="13" t="n"/>
      <c r="K359" s="14" t="n"/>
      <c r="L359" s="14" t="n"/>
      <c r="M359" s="15">
        <f>IF(OR($B359="",$K359=""),"",($K359-IF($L359="",0,$L359)*IFERROR(VLOOKUP("P01",ParamTbl,3,0),1.5))*(1-IF(IFERROR(VLOOKUP($E359,OpTbl,3,0),"")="خرید",IFERROR(VLOOKUP("P02",ParamTbl,3,0),1),0)/100))</f>
        <v/>
      </c>
      <c r="N359" s="14" t="n"/>
      <c r="O359" s="13" t="n"/>
    </row>
    <row r="360">
      <c r="A360" s="11">
        <f>IF($B360="","",COUNTA($B$9:$B360))</f>
        <v/>
      </c>
      <c r="B360" s="12" t="n"/>
      <c r="C360" s="12" t="n"/>
      <c r="D360" s="12" t="n"/>
      <c r="E360" s="13" t="n"/>
      <c r="F360" s="11">
        <f>IF($E360="","",IFERROR(VLOOKUP($E360,OpTbl,2,0),""))</f>
        <v/>
      </c>
      <c r="G360" s="12" t="n"/>
      <c r="H360" s="11">
        <f>IF($G360="","",IFERROR(IF(VLOOKUP($G360,AcctTbl,4,0)="","(بدون نام)",VLOOKUP($G360,AcctTbl,4,0)),"کد ناشناخته"))</f>
        <v/>
      </c>
      <c r="I360" s="13" t="n"/>
      <c r="J360" s="13" t="n"/>
      <c r="K360" s="14" t="n"/>
      <c r="L360" s="14" t="n"/>
      <c r="M360" s="15">
        <f>IF(OR($B360="",$K360=""),"",($K360-IF($L360="",0,$L360)*IFERROR(VLOOKUP("P01",ParamTbl,3,0),1.5))*(1-IF(IFERROR(VLOOKUP($E360,OpTbl,3,0),"")="خرید",IFERROR(VLOOKUP("P02",ParamTbl,3,0),1),0)/100))</f>
        <v/>
      </c>
      <c r="N360" s="14" t="n"/>
      <c r="O360" s="13" t="n"/>
    </row>
    <row r="361">
      <c r="A361" s="11">
        <f>IF($B361="","",COUNTA($B$9:$B361))</f>
        <v/>
      </c>
      <c r="B361" s="12" t="n"/>
      <c r="C361" s="12" t="n"/>
      <c r="D361" s="12" t="n"/>
      <c r="E361" s="13" t="n"/>
      <c r="F361" s="11">
        <f>IF($E361="","",IFERROR(VLOOKUP($E361,OpTbl,2,0),""))</f>
        <v/>
      </c>
      <c r="G361" s="12" t="n"/>
      <c r="H361" s="11">
        <f>IF($G361="","",IFERROR(IF(VLOOKUP($G361,AcctTbl,4,0)="","(بدون نام)",VLOOKUP($G361,AcctTbl,4,0)),"کد ناشناخته"))</f>
        <v/>
      </c>
      <c r="I361" s="13" t="n"/>
      <c r="J361" s="13" t="n"/>
      <c r="K361" s="14" t="n"/>
      <c r="L361" s="14" t="n"/>
      <c r="M361" s="15">
        <f>IF(OR($B361="",$K361=""),"",($K361-IF($L361="",0,$L361)*IFERROR(VLOOKUP("P01",ParamTbl,3,0),1.5))*(1-IF(IFERROR(VLOOKUP($E361,OpTbl,3,0),"")="خرید",IFERROR(VLOOKUP("P02",ParamTbl,3,0),1),0)/100))</f>
        <v/>
      </c>
      <c r="N361" s="14" t="n"/>
      <c r="O361" s="13" t="n"/>
    </row>
    <row r="362">
      <c r="A362" s="11">
        <f>IF($B362="","",COUNTA($B$9:$B362))</f>
        <v/>
      </c>
      <c r="B362" s="12" t="n"/>
      <c r="C362" s="12" t="n"/>
      <c r="D362" s="12" t="n"/>
      <c r="E362" s="13" t="n"/>
      <c r="F362" s="11">
        <f>IF($E362="","",IFERROR(VLOOKUP($E362,OpTbl,2,0),""))</f>
        <v/>
      </c>
      <c r="G362" s="12" t="n"/>
      <c r="H362" s="11">
        <f>IF($G362="","",IFERROR(IF(VLOOKUP($G362,AcctTbl,4,0)="","(بدون نام)",VLOOKUP($G362,AcctTbl,4,0)),"کد ناشناخته"))</f>
        <v/>
      </c>
      <c r="I362" s="13" t="n"/>
      <c r="J362" s="13" t="n"/>
      <c r="K362" s="14" t="n"/>
      <c r="L362" s="14" t="n"/>
      <c r="M362" s="15">
        <f>IF(OR($B362="",$K362=""),"",($K362-IF($L362="",0,$L362)*IFERROR(VLOOKUP("P01",ParamTbl,3,0),1.5))*(1-IF(IFERROR(VLOOKUP($E362,OpTbl,3,0),"")="خرید",IFERROR(VLOOKUP("P02",ParamTbl,3,0),1),0)/100))</f>
        <v/>
      </c>
      <c r="N362" s="14" t="n"/>
      <c r="O362" s="13" t="n"/>
    </row>
    <row r="363">
      <c r="A363" s="11">
        <f>IF($B363="","",COUNTA($B$9:$B363))</f>
        <v/>
      </c>
      <c r="B363" s="12" t="n"/>
      <c r="C363" s="12" t="n"/>
      <c r="D363" s="12" t="n"/>
      <c r="E363" s="13" t="n"/>
      <c r="F363" s="11">
        <f>IF($E363="","",IFERROR(VLOOKUP($E363,OpTbl,2,0),""))</f>
        <v/>
      </c>
      <c r="G363" s="12" t="n"/>
      <c r="H363" s="11">
        <f>IF($G363="","",IFERROR(IF(VLOOKUP($G363,AcctTbl,4,0)="","(بدون نام)",VLOOKUP($G363,AcctTbl,4,0)),"کد ناشناخته"))</f>
        <v/>
      </c>
      <c r="I363" s="13" t="n"/>
      <c r="J363" s="13" t="n"/>
      <c r="K363" s="14" t="n"/>
      <c r="L363" s="14" t="n"/>
      <c r="M363" s="15">
        <f>IF(OR($B363="",$K363=""),"",($K363-IF($L363="",0,$L363)*IFERROR(VLOOKUP("P01",ParamTbl,3,0),1.5))*(1-IF(IFERROR(VLOOKUP($E363,OpTbl,3,0),"")="خرید",IFERROR(VLOOKUP("P02",ParamTbl,3,0),1),0)/100))</f>
        <v/>
      </c>
      <c r="N363" s="14" t="n"/>
      <c r="O363" s="13" t="n"/>
    </row>
    <row r="364">
      <c r="A364" s="11">
        <f>IF($B364="","",COUNTA($B$9:$B364))</f>
        <v/>
      </c>
      <c r="B364" s="12" t="n"/>
      <c r="C364" s="12" t="n"/>
      <c r="D364" s="12" t="n"/>
      <c r="E364" s="13" t="n"/>
      <c r="F364" s="11">
        <f>IF($E364="","",IFERROR(VLOOKUP($E364,OpTbl,2,0),""))</f>
        <v/>
      </c>
      <c r="G364" s="12" t="n"/>
      <c r="H364" s="11">
        <f>IF($G364="","",IFERROR(IF(VLOOKUP($G364,AcctTbl,4,0)="","(بدون نام)",VLOOKUP($G364,AcctTbl,4,0)),"کد ناشناخته"))</f>
        <v/>
      </c>
      <c r="I364" s="13" t="n"/>
      <c r="J364" s="13" t="n"/>
      <c r="K364" s="14" t="n"/>
      <c r="L364" s="14" t="n"/>
      <c r="M364" s="15">
        <f>IF(OR($B364="",$K364=""),"",($K364-IF($L364="",0,$L364)*IFERROR(VLOOKUP("P01",ParamTbl,3,0),1.5))*(1-IF(IFERROR(VLOOKUP($E364,OpTbl,3,0),"")="خرید",IFERROR(VLOOKUP("P02",ParamTbl,3,0),1),0)/100))</f>
        <v/>
      </c>
      <c r="N364" s="14" t="n"/>
      <c r="O364" s="13" t="n"/>
    </row>
    <row r="365">
      <c r="A365" s="11">
        <f>IF($B365="","",COUNTA($B$9:$B365))</f>
        <v/>
      </c>
      <c r="B365" s="12" t="n"/>
      <c r="C365" s="12" t="n"/>
      <c r="D365" s="12" t="n"/>
      <c r="E365" s="13" t="n"/>
      <c r="F365" s="11">
        <f>IF($E365="","",IFERROR(VLOOKUP($E365,OpTbl,2,0),""))</f>
        <v/>
      </c>
      <c r="G365" s="12" t="n"/>
      <c r="H365" s="11">
        <f>IF($G365="","",IFERROR(IF(VLOOKUP($G365,AcctTbl,4,0)="","(بدون نام)",VLOOKUP($G365,AcctTbl,4,0)),"کد ناشناخته"))</f>
        <v/>
      </c>
      <c r="I365" s="13" t="n"/>
      <c r="J365" s="13" t="n"/>
      <c r="K365" s="14" t="n"/>
      <c r="L365" s="14" t="n"/>
      <c r="M365" s="15">
        <f>IF(OR($B365="",$K365=""),"",($K365-IF($L365="",0,$L365)*IFERROR(VLOOKUP("P01",ParamTbl,3,0),1.5))*(1-IF(IFERROR(VLOOKUP($E365,OpTbl,3,0),"")="خرید",IFERROR(VLOOKUP("P02",ParamTbl,3,0),1),0)/100))</f>
        <v/>
      </c>
      <c r="N365" s="14" t="n"/>
      <c r="O365" s="13" t="n"/>
    </row>
    <row r="366">
      <c r="A366" s="11">
        <f>IF($B366="","",COUNTA($B$9:$B366))</f>
        <v/>
      </c>
      <c r="B366" s="12" t="n"/>
      <c r="C366" s="12" t="n"/>
      <c r="D366" s="12" t="n"/>
      <c r="E366" s="13" t="n"/>
      <c r="F366" s="11">
        <f>IF($E366="","",IFERROR(VLOOKUP($E366,OpTbl,2,0),""))</f>
        <v/>
      </c>
      <c r="G366" s="12" t="n"/>
      <c r="H366" s="11">
        <f>IF($G366="","",IFERROR(IF(VLOOKUP($G366,AcctTbl,4,0)="","(بدون نام)",VLOOKUP($G366,AcctTbl,4,0)),"کد ناشناخته"))</f>
        <v/>
      </c>
      <c r="I366" s="13" t="n"/>
      <c r="J366" s="13" t="n"/>
      <c r="K366" s="14" t="n"/>
      <c r="L366" s="14" t="n"/>
      <c r="M366" s="15">
        <f>IF(OR($B366="",$K366=""),"",($K366-IF($L366="",0,$L366)*IFERROR(VLOOKUP("P01",ParamTbl,3,0),1.5))*(1-IF(IFERROR(VLOOKUP($E366,OpTbl,3,0),"")="خرید",IFERROR(VLOOKUP("P02",ParamTbl,3,0),1),0)/100))</f>
        <v/>
      </c>
      <c r="N366" s="14" t="n"/>
      <c r="O366" s="13" t="n"/>
    </row>
    <row r="367">
      <c r="A367" s="11">
        <f>IF($B367="","",COUNTA($B$9:$B367))</f>
        <v/>
      </c>
      <c r="B367" s="12" t="n"/>
      <c r="C367" s="12" t="n"/>
      <c r="D367" s="12" t="n"/>
      <c r="E367" s="13" t="n"/>
      <c r="F367" s="11">
        <f>IF($E367="","",IFERROR(VLOOKUP($E367,OpTbl,2,0),""))</f>
        <v/>
      </c>
      <c r="G367" s="12" t="n"/>
      <c r="H367" s="11">
        <f>IF($G367="","",IFERROR(IF(VLOOKUP($G367,AcctTbl,4,0)="","(بدون نام)",VLOOKUP($G367,AcctTbl,4,0)),"کد ناشناخته"))</f>
        <v/>
      </c>
      <c r="I367" s="13" t="n"/>
      <c r="J367" s="13" t="n"/>
      <c r="K367" s="14" t="n"/>
      <c r="L367" s="14" t="n"/>
      <c r="M367" s="15">
        <f>IF(OR($B367="",$K367=""),"",($K367-IF($L367="",0,$L367)*IFERROR(VLOOKUP("P01",ParamTbl,3,0),1.5))*(1-IF(IFERROR(VLOOKUP($E367,OpTbl,3,0),"")="خرید",IFERROR(VLOOKUP("P02",ParamTbl,3,0),1),0)/100))</f>
        <v/>
      </c>
      <c r="N367" s="14" t="n"/>
      <c r="O367" s="13" t="n"/>
    </row>
    <row r="368">
      <c r="A368" s="11">
        <f>IF($B368="","",COUNTA($B$9:$B368))</f>
        <v/>
      </c>
      <c r="B368" s="12" t="n"/>
      <c r="C368" s="12" t="n"/>
      <c r="D368" s="12" t="n"/>
      <c r="E368" s="13" t="n"/>
      <c r="F368" s="11">
        <f>IF($E368="","",IFERROR(VLOOKUP($E368,OpTbl,2,0),""))</f>
        <v/>
      </c>
      <c r="G368" s="12" t="n"/>
      <c r="H368" s="11">
        <f>IF($G368="","",IFERROR(IF(VLOOKUP($G368,AcctTbl,4,0)="","(بدون نام)",VLOOKUP($G368,AcctTbl,4,0)),"کد ناشناخته"))</f>
        <v/>
      </c>
      <c r="I368" s="13" t="n"/>
      <c r="J368" s="13" t="n"/>
      <c r="K368" s="14" t="n"/>
      <c r="L368" s="14" t="n"/>
      <c r="M368" s="15">
        <f>IF(OR($B368="",$K368=""),"",($K368-IF($L368="",0,$L368)*IFERROR(VLOOKUP("P01",ParamTbl,3,0),1.5))*(1-IF(IFERROR(VLOOKUP($E368,OpTbl,3,0),"")="خرید",IFERROR(VLOOKUP("P02",ParamTbl,3,0),1),0)/100))</f>
        <v/>
      </c>
      <c r="N368" s="14" t="n"/>
      <c r="O368" s="13" t="n"/>
    </row>
    <row r="369">
      <c r="A369" s="11">
        <f>IF($B369="","",COUNTA($B$9:$B369))</f>
        <v/>
      </c>
      <c r="B369" s="12" t="n"/>
      <c r="C369" s="12" t="n"/>
      <c r="D369" s="12" t="n"/>
      <c r="E369" s="13" t="n"/>
      <c r="F369" s="11">
        <f>IF($E369="","",IFERROR(VLOOKUP($E369,OpTbl,2,0),""))</f>
        <v/>
      </c>
      <c r="G369" s="12" t="n"/>
      <c r="H369" s="11">
        <f>IF($G369="","",IFERROR(IF(VLOOKUP($G369,AcctTbl,4,0)="","(بدون نام)",VLOOKUP($G369,AcctTbl,4,0)),"کد ناشناخته"))</f>
        <v/>
      </c>
      <c r="I369" s="13" t="n"/>
      <c r="J369" s="13" t="n"/>
      <c r="K369" s="14" t="n"/>
      <c r="L369" s="14" t="n"/>
      <c r="M369" s="15">
        <f>IF(OR($B369="",$K369=""),"",($K369-IF($L369="",0,$L369)*IFERROR(VLOOKUP("P01",ParamTbl,3,0),1.5))*(1-IF(IFERROR(VLOOKUP($E369,OpTbl,3,0),"")="خرید",IFERROR(VLOOKUP("P02",ParamTbl,3,0),1),0)/100))</f>
        <v/>
      </c>
      <c r="N369" s="14" t="n"/>
      <c r="O369" s="13" t="n"/>
    </row>
    <row r="370">
      <c r="A370" s="11">
        <f>IF($B370="","",COUNTA($B$9:$B370))</f>
        <v/>
      </c>
      <c r="B370" s="12" t="n"/>
      <c r="C370" s="12" t="n"/>
      <c r="D370" s="12" t="n"/>
      <c r="E370" s="13" t="n"/>
      <c r="F370" s="11">
        <f>IF($E370="","",IFERROR(VLOOKUP($E370,OpTbl,2,0),""))</f>
        <v/>
      </c>
      <c r="G370" s="12" t="n"/>
      <c r="H370" s="11">
        <f>IF($G370="","",IFERROR(IF(VLOOKUP($G370,AcctTbl,4,0)="","(بدون نام)",VLOOKUP($G370,AcctTbl,4,0)),"کد ناشناخته"))</f>
        <v/>
      </c>
      <c r="I370" s="13" t="n"/>
      <c r="J370" s="13" t="n"/>
      <c r="K370" s="14" t="n"/>
      <c r="L370" s="14" t="n"/>
      <c r="M370" s="15">
        <f>IF(OR($B370="",$K370=""),"",($K370-IF($L370="",0,$L370)*IFERROR(VLOOKUP("P01",ParamTbl,3,0),1.5))*(1-IF(IFERROR(VLOOKUP($E370,OpTbl,3,0),"")="خرید",IFERROR(VLOOKUP("P02",ParamTbl,3,0),1),0)/100))</f>
        <v/>
      </c>
      <c r="N370" s="14" t="n"/>
      <c r="O370" s="13" t="n"/>
    </row>
    <row r="371">
      <c r="A371" s="11">
        <f>IF($B371="","",COUNTA($B$9:$B371))</f>
        <v/>
      </c>
      <c r="B371" s="12" t="n"/>
      <c r="C371" s="12" t="n"/>
      <c r="D371" s="12" t="n"/>
      <c r="E371" s="13" t="n"/>
      <c r="F371" s="11">
        <f>IF($E371="","",IFERROR(VLOOKUP($E371,OpTbl,2,0),""))</f>
        <v/>
      </c>
      <c r="G371" s="12" t="n"/>
      <c r="H371" s="11">
        <f>IF($G371="","",IFERROR(IF(VLOOKUP($G371,AcctTbl,4,0)="","(بدون نام)",VLOOKUP($G371,AcctTbl,4,0)),"کد ناشناخته"))</f>
        <v/>
      </c>
      <c r="I371" s="13" t="n"/>
      <c r="J371" s="13" t="n"/>
      <c r="K371" s="14" t="n"/>
      <c r="L371" s="14" t="n"/>
      <c r="M371" s="15">
        <f>IF(OR($B371="",$K371=""),"",($K371-IF($L371="",0,$L371)*IFERROR(VLOOKUP("P01",ParamTbl,3,0),1.5))*(1-IF(IFERROR(VLOOKUP($E371,OpTbl,3,0),"")="خرید",IFERROR(VLOOKUP("P02",ParamTbl,3,0),1),0)/100))</f>
        <v/>
      </c>
      <c r="N371" s="14" t="n"/>
      <c r="O371" s="13" t="n"/>
    </row>
    <row r="372">
      <c r="A372" s="11">
        <f>IF($B372="","",COUNTA($B$9:$B372))</f>
        <v/>
      </c>
      <c r="B372" s="12" t="n"/>
      <c r="C372" s="12" t="n"/>
      <c r="D372" s="12" t="n"/>
      <c r="E372" s="13" t="n"/>
      <c r="F372" s="11">
        <f>IF($E372="","",IFERROR(VLOOKUP($E372,OpTbl,2,0),""))</f>
        <v/>
      </c>
      <c r="G372" s="12" t="n"/>
      <c r="H372" s="11">
        <f>IF($G372="","",IFERROR(IF(VLOOKUP($G372,AcctTbl,4,0)="","(بدون نام)",VLOOKUP($G372,AcctTbl,4,0)),"کد ناشناخته"))</f>
        <v/>
      </c>
      <c r="I372" s="13" t="n"/>
      <c r="J372" s="13" t="n"/>
      <c r="K372" s="14" t="n"/>
      <c r="L372" s="14" t="n"/>
      <c r="M372" s="15">
        <f>IF(OR($B372="",$K372=""),"",($K372-IF($L372="",0,$L372)*IFERROR(VLOOKUP("P01",ParamTbl,3,0),1.5))*(1-IF(IFERROR(VLOOKUP($E372,OpTbl,3,0),"")="خرید",IFERROR(VLOOKUP("P02",ParamTbl,3,0),1),0)/100))</f>
        <v/>
      </c>
      <c r="N372" s="14" t="n"/>
      <c r="O372" s="13" t="n"/>
    </row>
    <row r="373">
      <c r="A373" s="11">
        <f>IF($B373="","",COUNTA($B$9:$B373))</f>
        <v/>
      </c>
      <c r="B373" s="12" t="n"/>
      <c r="C373" s="12" t="n"/>
      <c r="D373" s="12" t="n"/>
      <c r="E373" s="13" t="n"/>
      <c r="F373" s="11">
        <f>IF($E373="","",IFERROR(VLOOKUP($E373,OpTbl,2,0),""))</f>
        <v/>
      </c>
      <c r="G373" s="12" t="n"/>
      <c r="H373" s="11">
        <f>IF($G373="","",IFERROR(IF(VLOOKUP($G373,AcctTbl,4,0)="","(بدون نام)",VLOOKUP($G373,AcctTbl,4,0)),"کد ناشناخته"))</f>
        <v/>
      </c>
      <c r="I373" s="13" t="n"/>
      <c r="J373" s="13" t="n"/>
      <c r="K373" s="14" t="n"/>
      <c r="L373" s="14" t="n"/>
      <c r="M373" s="15">
        <f>IF(OR($B373="",$K373=""),"",($K373-IF($L373="",0,$L373)*IFERROR(VLOOKUP("P01",ParamTbl,3,0),1.5))*(1-IF(IFERROR(VLOOKUP($E373,OpTbl,3,0),"")="خرید",IFERROR(VLOOKUP("P02",ParamTbl,3,0),1),0)/100))</f>
        <v/>
      </c>
      <c r="N373" s="14" t="n"/>
      <c r="O373" s="13" t="n"/>
    </row>
    <row r="374">
      <c r="A374" s="11">
        <f>IF($B374="","",COUNTA($B$9:$B374))</f>
        <v/>
      </c>
      <c r="B374" s="12" t="n"/>
      <c r="C374" s="12" t="n"/>
      <c r="D374" s="12" t="n"/>
      <c r="E374" s="13" t="n"/>
      <c r="F374" s="11">
        <f>IF($E374="","",IFERROR(VLOOKUP($E374,OpTbl,2,0),""))</f>
        <v/>
      </c>
      <c r="G374" s="12" t="n"/>
      <c r="H374" s="11">
        <f>IF($G374="","",IFERROR(IF(VLOOKUP($G374,AcctTbl,4,0)="","(بدون نام)",VLOOKUP($G374,AcctTbl,4,0)),"کد ناشناخته"))</f>
        <v/>
      </c>
      <c r="I374" s="13" t="n"/>
      <c r="J374" s="13" t="n"/>
      <c r="K374" s="14" t="n"/>
      <c r="L374" s="14" t="n"/>
      <c r="M374" s="15">
        <f>IF(OR($B374="",$K374=""),"",($K374-IF($L374="",0,$L374)*IFERROR(VLOOKUP("P01",ParamTbl,3,0),1.5))*(1-IF(IFERROR(VLOOKUP($E374,OpTbl,3,0),"")="خرید",IFERROR(VLOOKUP("P02",ParamTbl,3,0),1),0)/100))</f>
        <v/>
      </c>
      <c r="N374" s="14" t="n"/>
      <c r="O374" s="13" t="n"/>
    </row>
    <row r="375">
      <c r="A375" s="11">
        <f>IF($B375="","",COUNTA($B$9:$B375))</f>
        <v/>
      </c>
      <c r="B375" s="12" t="n"/>
      <c r="C375" s="12" t="n"/>
      <c r="D375" s="12" t="n"/>
      <c r="E375" s="13" t="n"/>
      <c r="F375" s="11">
        <f>IF($E375="","",IFERROR(VLOOKUP($E375,OpTbl,2,0),""))</f>
        <v/>
      </c>
      <c r="G375" s="12" t="n"/>
      <c r="H375" s="11">
        <f>IF($G375="","",IFERROR(IF(VLOOKUP($G375,AcctTbl,4,0)="","(بدون نام)",VLOOKUP($G375,AcctTbl,4,0)),"کد ناشناخته"))</f>
        <v/>
      </c>
      <c r="I375" s="13" t="n"/>
      <c r="J375" s="13" t="n"/>
      <c r="K375" s="14" t="n"/>
      <c r="L375" s="14" t="n"/>
      <c r="M375" s="15">
        <f>IF(OR($B375="",$K375=""),"",($K375-IF($L375="",0,$L375)*IFERROR(VLOOKUP("P01",ParamTbl,3,0),1.5))*(1-IF(IFERROR(VLOOKUP($E375,OpTbl,3,0),"")="خرید",IFERROR(VLOOKUP("P02",ParamTbl,3,0),1),0)/100))</f>
        <v/>
      </c>
      <c r="N375" s="14" t="n"/>
      <c r="O375" s="13" t="n"/>
    </row>
    <row r="376">
      <c r="A376" s="11">
        <f>IF($B376="","",COUNTA($B$9:$B376))</f>
        <v/>
      </c>
      <c r="B376" s="12" t="n"/>
      <c r="C376" s="12" t="n"/>
      <c r="D376" s="12" t="n"/>
      <c r="E376" s="13" t="n"/>
      <c r="F376" s="11">
        <f>IF($E376="","",IFERROR(VLOOKUP($E376,OpTbl,2,0),""))</f>
        <v/>
      </c>
      <c r="G376" s="12" t="n"/>
      <c r="H376" s="11">
        <f>IF($G376="","",IFERROR(IF(VLOOKUP($G376,AcctTbl,4,0)="","(بدون نام)",VLOOKUP($G376,AcctTbl,4,0)),"کد ناشناخته"))</f>
        <v/>
      </c>
      <c r="I376" s="13" t="n"/>
      <c r="J376" s="13" t="n"/>
      <c r="K376" s="14" t="n"/>
      <c r="L376" s="14" t="n"/>
      <c r="M376" s="15">
        <f>IF(OR($B376="",$K376=""),"",($K376-IF($L376="",0,$L376)*IFERROR(VLOOKUP("P01",ParamTbl,3,0),1.5))*(1-IF(IFERROR(VLOOKUP($E376,OpTbl,3,0),"")="خرید",IFERROR(VLOOKUP("P02",ParamTbl,3,0),1),0)/100))</f>
        <v/>
      </c>
      <c r="N376" s="14" t="n"/>
      <c r="O376" s="13" t="n"/>
    </row>
    <row r="377">
      <c r="A377" s="11">
        <f>IF($B377="","",COUNTA($B$9:$B377))</f>
        <v/>
      </c>
      <c r="B377" s="12" t="n"/>
      <c r="C377" s="12" t="n"/>
      <c r="D377" s="12" t="n"/>
      <c r="E377" s="13" t="n"/>
      <c r="F377" s="11">
        <f>IF($E377="","",IFERROR(VLOOKUP($E377,OpTbl,2,0),""))</f>
        <v/>
      </c>
      <c r="G377" s="12" t="n"/>
      <c r="H377" s="11">
        <f>IF($G377="","",IFERROR(IF(VLOOKUP($G377,AcctTbl,4,0)="","(بدون نام)",VLOOKUP($G377,AcctTbl,4,0)),"کد ناشناخته"))</f>
        <v/>
      </c>
      <c r="I377" s="13" t="n"/>
      <c r="J377" s="13" t="n"/>
      <c r="K377" s="14" t="n"/>
      <c r="L377" s="14" t="n"/>
      <c r="M377" s="15">
        <f>IF(OR($B377="",$K377=""),"",($K377-IF($L377="",0,$L377)*IFERROR(VLOOKUP("P01",ParamTbl,3,0),1.5))*(1-IF(IFERROR(VLOOKUP($E377,OpTbl,3,0),"")="خرید",IFERROR(VLOOKUP("P02",ParamTbl,3,0),1),0)/100))</f>
        <v/>
      </c>
      <c r="N377" s="14" t="n"/>
      <c r="O377" s="13" t="n"/>
    </row>
    <row r="378">
      <c r="A378" s="11">
        <f>IF($B378="","",COUNTA($B$9:$B378))</f>
        <v/>
      </c>
      <c r="B378" s="12" t="n"/>
      <c r="C378" s="12" t="n"/>
      <c r="D378" s="12" t="n"/>
      <c r="E378" s="13" t="n"/>
      <c r="F378" s="11">
        <f>IF($E378="","",IFERROR(VLOOKUP($E378,OpTbl,2,0),""))</f>
        <v/>
      </c>
      <c r="G378" s="12" t="n"/>
      <c r="H378" s="11">
        <f>IF($G378="","",IFERROR(IF(VLOOKUP($G378,AcctTbl,4,0)="","(بدون نام)",VLOOKUP($G378,AcctTbl,4,0)),"کد ناشناخته"))</f>
        <v/>
      </c>
      <c r="I378" s="13" t="n"/>
      <c r="J378" s="13" t="n"/>
      <c r="K378" s="14" t="n"/>
      <c r="L378" s="14" t="n"/>
      <c r="M378" s="15">
        <f>IF(OR($B378="",$K378=""),"",($K378-IF($L378="",0,$L378)*IFERROR(VLOOKUP("P01",ParamTbl,3,0),1.5))*(1-IF(IFERROR(VLOOKUP($E378,OpTbl,3,0),"")="خرید",IFERROR(VLOOKUP("P02",ParamTbl,3,0),1),0)/100))</f>
        <v/>
      </c>
      <c r="N378" s="14" t="n"/>
      <c r="O378" s="13" t="n"/>
    </row>
    <row r="379">
      <c r="A379" s="11">
        <f>IF($B379="","",COUNTA($B$9:$B379))</f>
        <v/>
      </c>
      <c r="B379" s="12" t="n"/>
      <c r="C379" s="12" t="n"/>
      <c r="D379" s="12" t="n"/>
      <c r="E379" s="13" t="n"/>
      <c r="F379" s="11">
        <f>IF($E379="","",IFERROR(VLOOKUP($E379,OpTbl,2,0),""))</f>
        <v/>
      </c>
      <c r="G379" s="12" t="n"/>
      <c r="H379" s="11">
        <f>IF($G379="","",IFERROR(IF(VLOOKUP($G379,AcctTbl,4,0)="","(بدون نام)",VLOOKUP($G379,AcctTbl,4,0)),"کد ناشناخته"))</f>
        <v/>
      </c>
      <c r="I379" s="13" t="n"/>
      <c r="J379" s="13" t="n"/>
      <c r="K379" s="14" t="n"/>
      <c r="L379" s="14" t="n"/>
      <c r="M379" s="15">
        <f>IF(OR($B379="",$K379=""),"",($K379-IF($L379="",0,$L379)*IFERROR(VLOOKUP("P01",ParamTbl,3,0),1.5))*(1-IF(IFERROR(VLOOKUP($E379,OpTbl,3,0),"")="خرید",IFERROR(VLOOKUP("P02",ParamTbl,3,0),1),0)/100))</f>
        <v/>
      </c>
      <c r="N379" s="14" t="n"/>
      <c r="O379" s="13" t="n"/>
    </row>
    <row r="380">
      <c r="A380" s="11">
        <f>IF($B380="","",COUNTA($B$9:$B380))</f>
        <v/>
      </c>
      <c r="B380" s="12" t="n"/>
      <c r="C380" s="12" t="n"/>
      <c r="D380" s="12" t="n"/>
      <c r="E380" s="13" t="n"/>
      <c r="F380" s="11">
        <f>IF($E380="","",IFERROR(VLOOKUP($E380,OpTbl,2,0),""))</f>
        <v/>
      </c>
      <c r="G380" s="12" t="n"/>
      <c r="H380" s="11">
        <f>IF($G380="","",IFERROR(IF(VLOOKUP($G380,AcctTbl,4,0)="","(بدون نام)",VLOOKUP($G380,AcctTbl,4,0)),"کد ناشناخته"))</f>
        <v/>
      </c>
      <c r="I380" s="13" t="n"/>
      <c r="J380" s="13" t="n"/>
      <c r="K380" s="14" t="n"/>
      <c r="L380" s="14" t="n"/>
      <c r="M380" s="15">
        <f>IF(OR($B380="",$K380=""),"",($K380-IF($L380="",0,$L380)*IFERROR(VLOOKUP("P01",ParamTbl,3,0),1.5))*(1-IF(IFERROR(VLOOKUP($E380,OpTbl,3,0),"")="خرید",IFERROR(VLOOKUP("P02",ParamTbl,3,0),1),0)/100))</f>
        <v/>
      </c>
      <c r="N380" s="14" t="n"/>
      <c r="O380" s="13" t="n"/>
    </row>
    <row r="381">
      <c r="A381" s="11">
        <f>IF($B381="","",COUNTA($B$9:$B381))</f>
        <v/>
      </c>
      <c r="B381" s="12" t="n"/>
      <c r="C381" s="12" t="n"/>
      <c r="D381" s="12" t="n"/>
      <c r="E381" s="13" t="n"/>
      <c r="F381" s="11">
        <f>IF($E381="","",IFERROR(VLOOKUP($E381,OpTbl,2,0),""))</f>
        <v/>
      </c>
      <c r="G381" s="12" t="n"/>
      <c r="H381" s="11">
        <f>IF($G381="","",IFERROR(IF(VLOOKUP($G381,AcctTbl,4,0)="","(بدون نام)",VLOOKUP($G381,AcctTbl,4,0)),"کد ناشناخته"))</f>
        <v/>
      </c>
      <c r="I381" s="13" t="n"/>
      <c r="J381" s="13" t="n"/>
      <c r="K381" s="14" t="n"/>
      <c r="L381" s="14" t="n"/>
      <c r="M381" s="15">
        <f>IF(OR($B381="",$K381=""),"",($K381-IF($L381="",0,$L381)*IFERROR(VLOOKUP("P01",ParamTbl,3,0),1.5))*(1-IF(IFERROR(VLOOKUP($E381,OpTbl,3,0),"")="خرید",IFERROR(VLOOKUP("P02",ParamTbl,3,0),1),0)/100))</f>
        <v/>
      </c>
      <c r="N381" s="14" t="n"/>
      <c r="O381" s="13" t="n"/>
    </row>
    <row r="382">
      <c r="A382" s="11">
        <f>IF($B382="","",COUNTA($B$9:$B382))</f>
        <v/>
      </c>
      <c r="B382" s="12" t="n"/>
      <c r="C382" s="12" t="n"/>
      <c r="D382" s="12" t="n"/>
      <c r="E382" s="13" t="n"/>
      <c r="F382" s="11">
        <f>IF($E382="","",IFERROR(VLOOKUP($E382,OpTbl,2,0),""))</f>
        <v/>
      </c>
      <c r="G382" s="12" t="n"/>
      <c r="H382" s="11">
        <f>IF($G382="","",IFERROR(IF(VLOOKUP($G382,AcctTbl,4,0)="","(بدون نام)",VLOOKUP($G382,AcctTbl,4,0)),"کد ناشناخته"))</f>
        <v/>
      </c>
      <c r="I382" s="13" t="n"/>
      <c r="J382" s="13" t="n"/>
      <c r="K382" s="14" t="n"/>
      <c r="L382" s="14" t="n"/>
      <c r="M382" s="15">
        <f>IF(OR($B382="",$K382=""),"",($K382-IF($L382="",0,$L382)*IFERROR(VLOOKUP("P01",ParamTbl,3,0),1.5))*(1-IF(IFERROR(VLOOKUP($E382,OpTbl,3,0),"")="خرید",IFERROR(VLOOKUP("P02",ParamTbl,3,0),1),0)/100))</f>
        <v/>
      </c>
      <c r="N382" s="14" t="n"/>
      <c r="O382" s="13" t="n"/>
    </row>
    <row r="383">
      <c r="A383" s="11">
        <f>IF($B383="","",COUNTA($B$9:$B383))</f>
        <v/>
      </c>
      <c r="B383" s="12" t="n"/>
      <c r="C383" s="12" t="n"/>
      <c r="D383" s="12" t="n"/>
      <c r="E383" s="13" t="n"/>
      <c r="F383" s="11">
        <f>IF($E383="","",IFERROR(VLOOKUP($E383,OpTbl,2,0),""))</f>
        <v/>
      </c>
      <c r="G383" s="12" t="n"/>
      <c r="H383" s="11">
        <f>IF($G383="","",IFERROR(IF(VLOOKUP($G383,AcctTbl,4,0)="","(بدون نام)",VLOOKUP($G383,AcctTbl,4,0)),"کد ناشناخته"))</f>
        <v/>
      </c>
      <c r="I383" s="13" t="n"/>
      <c r="J383" s="13" t="n"/>
      <c r="K383" s="14" t="n"/>
      <c r="L383" s="14" t="n"/>
      <c r="M383" s="15">
        <f>IF(OR($B383="",$K383=""),"",($K383-IF($L383="",0,$L383)*IFERROR(VLOOKUP("P01",ParamTbl,3,0),1.5))*(1-IF(IFERROR(VLOOKUP($E383,OpTbl,3,0),"")="خرید",IFERROR(VLOOKUP("P02",ParamTbl,3,0),1),0)/100))</f>
        <v/>
      </c>
      <c r="N383" s="14" t="n"/>
      <c r="O383" s="13" t="n"/>
    </row>
    <row r="384">
      <c r="A384" s="11">
        <f>IF($B384="","",COUNTA($B$9:$B384))</f>
        <v/>
      </c>
      <c r="B384" s="12" t="n"/>
      <c r="C384" s="12" t="n"/>
      <c r="D384" s="12" t="n"/>
      <c r="E384" s="13" t="n"/>
      <c r="F384" s="11">
        <f>IF($E384="","",IFERROR(VLOOKUP($E384,OpTbl,2,0),""))</f>
        <v/>
      </c>
      <c r="G384" s="12" t="n"/>
      <c r="H384" s="11">
        <f>IF($G384="","",IFERROR(IF(VLOOKUP($G384,AcctTbl,4,0)="","(بدون نام)",VLOOKUP($G384,AcctTbl,4,0)),"کد ناشناخته"))</f>
        <v/>
      </c>
      <c r="I384" s="13" t="n"/>
      <c r="J384" s="13" t="n"/>
      <c r="K384" s="14" t="n"/>
      <c r="L384" s="14" t="n"/>
      <c r="M384" s="15">
        <f>IF(OR($B384="",$K384=""),"",($K384-IF($L384="",0,$L384)*IFERROR(VLOOKUP("P01",ParamTbl,3,0),1.5))*(1-IF(IFERROR(VLOOKUP($E384,OpTbl,3,0),"")="خرید",IFERROR(VLOOKUP("P02",ParamTbl,3,0),1),0)/100))</f>
        <v/>
      </c>
      <c r="N384" s="14" t="n"/>
      <c r="O384" s="13" t="n"/>
    </row>
    <row r="385">
      <c r="A385" s="11">
        <f>IF($B385="","",COUNTA($B$9:$B385))</f>
        <v/>
      </c>
      <c r="B385" s="12" t="n"/>
      <c r="C385" s="12" t="n"/>
      <c r="D385" s="12" t="n"/>
      <c r="E385" s="13" t="n"/>
      <c r="F385" s="11">
        <f>IF($E385="","",IFERROR(VLOOKUP($E385,OpTbl,2,0),""))</f>
        <v/>
      </c>
      <c r="G385" s="12" t="n"/>
      <c r="H385" s="11">
        <f>IF($G385="","",IFERROR(IF(VLOOKUP($G385,AcctTbl,4,0)="","(بدون نام)",VLOOKUP($G385,AcctTbl,4,0)),"کد ناشناخته"))</f>
        <v/>
      </c>
      <c r="I385" s="13" t="n"/>
      <c r="J385" s="13" t="n"/>
      <c r="K385" s="14" t="n"/>
      <c r="L385" s="14" t="n"/>
      <c r="M385" s="15">
        <f>IF(OR($B385="",$K385=""),"",($K385-IF($L385="",0,$L385)*IFERROR(VLOOKUP("P01",ParamTbl,3,0),1.5))*(1-IF(IFERROR(VLOOKUP($E385,OpTbl,3,0),"")="خرید",IFERROR(VLOOKUP("P02",ParamTbl,3,0),1),0)/100))</f>
        <v/>
      </c>
      <c r="N385" s="14" t="n"/>
      <c r="O385" s="13" t="n"/>
    </row>
    <row r="386">
      <c r="A386" s="11">
        <f>IF($B386="","",COUNTA($B$9:$B386))</f>
        <v/>
      </c>
      <c r="B386" s="12" t="n"/>
      <c r="C386" s="12" t="n"/>
      <c r="D386" s="12" t="n"/>
      <c r="E386" s="13" t="n"/>
      <c r="F386" s="11">
        <f>IF($E386="","",IFERROR(VLOOKUP($E386,OpTbl,2,0),""))</f>
        <v/>
      </c>
      <c r="G386" s="12" t="n"/>
      <c r="H386" s="11">
        <f>IF($G386="","",IFERROR(IF(VLOOKUP($G386,AcctTbl,4,0)="","(بدون نام)",VLOOKUP($G386,AcctTbl,4,0)),"کد ناشناخته"))</f>
        <v/>
      </c>
      <c r="I386" s="13" t="n"/>
      <c r="J386" s="13" t="n"/>
      <c r="K386" s="14" t="n"/>
      <c r="L386" s="14" t="n"/>
      <c r="M386" s="15">
        <f>IF(OR($B386="",$K386=""),"",($K386-IF($L386="",0,$L386)*IFERROR(VLOOKUP("P01",ParamTbl,3,0),1.5))*(1-IF(IFERROR(VLOOKUP($E386,OpTbl,3,0),"")="خرید",IFERROR(VLOOKUP("P02",ParamTbl,3,0),1),0)/100))</f>
        <v/>
      </c>
      <c r="N386" s="14" t="n"/>
      <c r="O386" s="13" t="n"/>
    </row>
    <row r="387">
      <c r="A387" s="11">
        <f>IF($B387="","",COUNTA($B$9:$B387))</f>
        <v/>
      </c>
      <c r="B387" s="12" t="n"/>
      <c r="C387" s="12" t="n"/>
      <c r="D387" s="12" t="n"/>
      <c r="E387" s="13" t="n"/>
      <c r="F387" s="11">
        <f>IF($E387="","",IFERROR(VLOOKUP($E387,OpTbl,2,0),""))</f>
        <v/>
      </c>
      <c r="G387" s="12" t="n"/>
      <c r="H387" s="11">
        <f>IF($G387="","",IFERROR(IF(VLOOKUP($G387,AcctTbl,4,0)="","(بدون نام)",VLOOKUP($G387,AcctTbl,4,0)),"کد ناشناخته"))</f>
        <v/>
      </c>
      <c r="I387" s="13" t="n"/>
      <c r="J387" s="13" t="n"/>
      <c r="K387" s="14" t="n"/>
      <c r="L387" s="14" t="n"/>
      <c r="M387" s="15">
        <f>IF(OR($B387="",$K387=""),"",($K387-IF($L387="",0,$L387)*IFERROR(VLOOKUP("P01",ParamTbl,3,0),1.5))*(1-IF(IFERROR(VLOOKUP($E387,OpTbl,3,0),"")="خرید",IFERROR(VLOOKUP("P02",ParamTbl,3,0),1),0)/100))</f>
        <v/>
      </c>
      <c r="N387" s="14" t="n"/>
      <c r="O387" s="13" t="n"/>
    </row>
    <row r="388">
      <c r="A388" s="11">
        <f>IF($B388="","",COUNTA($B$9:$B388))</f>
        <v/>
      </c>
      <c r="B388" s="12" t="n"/>
      <c r="C388" s="12" t="n"/>
      <c r="D388" s="12" t="n"/>
      <c r="E388" s="13" t="n"/>
      <c r="F388" s="11">
        <f>IF($E388="","",IFERROR(VLOOKUP($E388,OpTbl,2,0),""))</f>
        <v/>
      </c>
      <c r="G388" s="12" t="n"/>
      <c r="H388" s="11">
        <f>IF($G388="","",IFERROR(IF(VLOOKUP($G388,AcctTbl,4,0)="","(بدون نام)",VLOOKUP($G388,AcctTbl,4,0)),"کد ناشناخته"))</f>
        <v/>
      </c>
      <c r="I388" s="13" t="n"/>
      <c r="J388" s="13" t="n"/>
      <c r="K388" s="14" t="n"/>
      <c r="L388" s="14" t="n"/>
      <c r="M388" s="15">
        <f>IF(OR($B388="",$K388=""),"",($K388-IF($L388="",0,$L388)*IFERROR(VLOOKUP("P01",ParamTbl,3,0),1.5))*(1-IF(IFERROR(VLOOKUP($E388,OpTbl,3,0),"")="خرید",IFERROR(VLOOKUP("P02",ParamTbl,3,0),1),0)/100))</f>
        <v/>
      </c>
      <c r="N388" s="14" t="n"/>
      <c r="O388" s="13" t="n"/>
    </row>
    <row r="389">
      <c r="A389" s="11">
        <f>IF($B389="","",COUNTA($B$9:$B389))</f>
        <v/>
      </c>
      <c r="B389" s="12" t="n"/>
      <c r="C389" s="12" t="n"/>
      <c r="D389" s="12" t="n"/>
      <c r="E389" s="13" t="n"/>
      <c r="F389" s="11">
        <f>IF($E389="","",IFERROR(VLOOKUP($E389,OpTbl,2,0),""))</f>
        <v/>
      </c>
      <c r="G389" s="12" t="n"/>
      <c r="H389" s="11">
        <f>IF($G389="","",IFERROR(IF(VLOOKUP($G389,AcctTbl,4,0)="","(بدون نام)",VLOOKUP($G389,AcctTbl,4,0)),"کد ناشناخته"))</f>
        <v/>
      </c>
      <c r="I389" s="13" t="n"/>
      <c r="J389" s="13" t="n"/>
      <c r="K389" s="14" t="n"/>
      <c r="L389" s="14" t="n"/>
      <c r="M389" s="15">
        <f>IF(OR($B389="",$K389=""),"",($K389-IF($L389="",0,$L389)*IFERROR(VLOOKUP("P01",ParamTbl,3,0),1.5))*(1-IF(IFERROR(VLOOKUP($E389,OpTbl,3,0),"")="خرید",IFERROR(VLOOKUP("P02",ParamTbl,3,0),1),0)/100))</f>
        <v/>
      </c>
      <c r="N389" s="14" t="n"/>
      <c r="O389" s="13" t="n"/>
    </row>
    <row r="390">
      <c r="A390" s="11">
        <f>IF($B390="","",COUNTA($B$9:$B390))</f>
        <v/>
      </c>
      <c r="B390" s="12" t="n"/>
      <c r="C390" s="12" t="n"/>
      <c r="D390" s="12" t="n"/>
      <c r="E390" s="13" t="n"/>
      <c r="F390" s="11">
        <f>IF($E390="","",IFERROR(VLOOKUP($E390,OpTbl,2,0),""))</f>
        <v/>
      </c>
      <c r="G390" s="12" t="n"/>
      <c r="H390" s="11">
        <f>IF($G390="","",IFERROR(IF(VLOOKUP($G390,AcctTbl,4,0)="","(بدون نام)",VLOOKUP($G390,AcctTbl,4,0)),"کد ناشناخته"))</f>
        <v/>
      </c>
      <c r="I390" s="13" t="n"/>
      <c r="J390" s="13" t="n"/>
      <c r="K390" s="14" t="n"/>
      <c r="L390" s="14" t="n"/>
      <c r="M390" s="15">
        <f>IF(OR($B390="",$K390=""),"",($K390-IF($L390="",0,$L390)*IFERROR(VLOOKUP("P01",ParamTbl,3,0),1.5))*(1-IF(IFERROR(VLOOKUP($E390,OpTbl,3,0),"")="خرید",IFERROR(VLOOKUP("P02",ParamTbl,3,0),1),0)/100))</f>
        <v/>
      </c>
      <c r="N390" s="14" t="n"/>
      <c r="O390" s="13" t="n"/>
    </row>
    <row r="391">
      <c r="A391" s="11">
        <f>IF($B391="","",COUNTA($B$9:$B391))</f>
        <v/>
      </c>
      <c r="B391" s="12" t="n"/>
      <c r="C391" s="12" t="n"/>
      <c r="D391" s="12" t="n"/>
      <c r="E391" s="13" t="n"/>
      <c r="F391" s="11">
        <f>IF($E391="","",IFERROR(VLOOKUP($E391,OpTbl,2,0),""))</f>
        <v/>
      </c>
      <c r="G391" s="12" t="n"/>
      <c r="H391" s="11">
        <f>IF($G391="","",IFERROR(IF(VLOOKUP($G391,AcctTbl,4,0)="","(بدون نام)",VLOOKUP($G391,AcctTbl,4,0)),"کد ناشناخته"))</f>
        <v/>
      </c>
      <c r="I391" s="13" t="n"/>
      <c r="J391" s="13" t="n"/>
      <c r="K391" s="14" t="n"/>
      <c r="L391" s="14" t="n"/>
      <c r="M391" s="15">
        <f>IF(OR($B391="",$K391=""),"",($K391-IF($L391="",0,$L391)*IFERROR(VLOOKUP("P01",ParamTbl,3,0),1.5))*(1-IF(IFERROR(VLOOKUP($E391,OpTbl,3,0),"")="خرید",IFERROR(VLOOKUP("P02",ParamTbl,3,0),1),0)/100))</f>
        <v/>
      </c>
      <c r="N391" s="14" t="n"/>
      <c r="O391" s="13" t="n"/>
    </row>
    <row r="392">
      <c r="A392" s="11">
        <f>IF($B392="","",COUNTA($B$9:$B392))</f>
        <v/>
      </c>
      <c r="B392" s="12" t="n"/>
      <c r="C392" s="12" t="n"/>
      <c r="D392" s="12" t="n"/>
      <c r="E392" s="13" t="n"/>
      <c r="F392" s="11">
        <f>IF($E392="","",IFERROR(VLOOKUP($E392,OpTbl,2,0),""))</f>
        <v/>
      </c>
      <c r="G392" s="12" t="n"/>
      <c r="H392" s="11">
        <f>IF($G392="","",IFERROR(IF(VLOOKUP($G392,AcctTbl,4,0)="","(بدون نام)",VLOOKUP($G392,AcctTbl,4,0)),"کد ناشناخته"))</f>
        <v/>
      </c>
      <c r="I392" s="13" t="n"/>
      <c r="J392" s="13" t="n"/>
      <c r="K392" s="14" t="n"/>
      <c r="L392" s="14" t="n"/>
      <c r="M392" s="15">
        <f>IF(OR($B392="",$K392=""),"",($K392-IF($L392="",0,$L392)*IFERROR(VLOOKUP("P01",ParamTbl,3,0),1.5))*(1-IF(IFERROR(VLOOKUP($E392,OpTbl,3,0),"")="خرید",IFERROR(VLOOKUP("P02",ParamTbl,3,0),1),0)/100))</f>
        <v/>
      </c>
      <c r="N392" s="14" t="n"/>
      <c r="O392" s="13" t="n"/>
    </row>
    <row r="393">
      <c r="A393" s="11">
        <f>IF($B393="","",COUNTA($B$9:$B393))</f>
        <v/>
      </c>
      <c r="B393" s="12" t="n"/>
      <c r="C393" s="12" t="n"/>
      <c r="D393" s="12" t="n"/>
      <c r="E393" s="13" t="n"/>
      <c r="F393" s="11">
        <f>IF($E393="","",IFERROR(VLOOKUP($E393,OpTbl,2,0),""))</f>
        <v/>
      </c>
      <c r="G393" s="12" t="n"/>
      <c r="H393" s="11">
        <f>IF($G393="","",IFERROR(IF(VLOOKUP($G393,AcctTbl,4,0)="","(بدون نام)",VLOOKUP($G393,AcctTbl,4,0)),"کد ناشناخته"))</f>
        <v/>
      </c>
      <c r="I393" s="13" t="n"/>
      <c r="J393" s="13" t="n"/>
      <c r="K393" s="14" t="n"/>
      <c r="L393" s="14" t="n"/>
      <c r="M393" s="15">
        <f>IF(OR($B393="",$K393=""),"",($K393-IF($L393="",0,$L393)*IFERROR(VLOOKUP("P01",ParamTbl,3,0),1.5))*(1-IF(IFERROR(VLOOKUP($E393,OpTbl,3,0),"")="خرید",IFERROR(VLOOKUP("P02",ParamTbl,3,0),1),0)/100))</f>
        <v/>
      </c>
      <c r="N393" s="14" t="n"/>
      <c r="O393" s="13" t="n"/>
    </row>
    <row r="394">
      <c r="A394" s="11">
        <f>IF($B394="","",COUNTA($B$9:$B394))</f>
        <v/>
      </c>
      <c r="B394" s="12" t="n"/>
      <c r="C394" s="12" t="n"/>
      <c r="D394" s="12" t="n"/>
      <c r="E394" s="13" t="n"/>
      <c r="F394" s="11">
        <f>IF($E394="","",IFERROR(VLOOKUP($E394,OpTbl,2,0),""))</f>
        <v/>
      </c>
      <c r="G394" s="12" t="n"/>
      <c r="H394" s="11">
        <f>IF($G394="","",IFERROR(IF(VLOOKUP($G394,AcctTbl,4,0)="","(بدون نام)",VLOOKUP($G394,AcctTbl,4,0)),"کد ناشناخته"))</f>
        <v/>
      </c>
      <c r="I394" s="13" t="n"/>
      <c r="J394" s="13" t="n"/>
      <c r="K394" s="14" t="n"/>
      <c r="L394" s="14" t="n"/>
      <c r="M394" s="15">
        <f>IF(OR($B394="",$K394=""),"",($K394-IF($L394="",0,$L394)*IFERROR(VLOOKUP("P01",ParamTbl,3,0),1.5))*(1-IF(IFERROR(VLOOKUP($E394,OpTbl,3,0),"")="خرید",IFERROR(VLOOKUP("P02",ParamTbl,3,0),1),0)/100))</f>
        <v/>
      </c>
      <c r="N394" s="14" t="n"/>
      <c r="O394" s="13" t="n"/>
    </row>
    <row r="395">
      <c r="A395" s="11">
        <f>IF($B395="","",COUNTA($B$9:$B395))</f>
        <v/>
      </c>
      <c r="B395" s="12" t="n"/>
      <c r="C395" s="12" t="n"/>
      <c r="D395" s="12" t="n"/>
      <c r="E395" s="13" t="n"/>
      <c r="F395" s="11">
        <f>IF($E395="","",IFERROR(VLOOKUP($E395,OpTbl,2,0),""))</f>
        <v/>
      </c>
      <c r="G395" s="12" t="n"/>
      <c r="H395" s="11">
        <f>IF($G395="","",IFERROR(IF(VLOOKUP($G395,AcctTbl,4,0)="","(بدون نام)",VLOOKUP($G395,AcctTbl,4,0)),"کد ناشناخته"))</f>
        <v/>
      </c>
      <c r="I395" s="13" t="n"/>
      <c r="J395" s="13" t="n"/>
      <c r="K395" s="14" t="n"/>
      <c r="L395" s="14" t="n"/>
      <c r="M395" s="15">
        <f>IF(OR($B395="",$K395=""),"",($K395-IF($L395="",0,$L395)*IFERROR(VLOOKUP("P01",ParamTbl,3,0),1.5))*(1-IF(IFERROR(VLOOKUP($E395,OpTbl,3,0),"")="خرید",IFERROR(VLOOKUP("P02",ParamTbl,3,0),1),0)/100))</f>
        <v/>
      </c>
      <c r="N395" s="14" t="n"/>
      <c r="O395" s="13" t="n"/>
    </row>
    <row r="396">
      <c r="A396" s="11">
        <f>IF($B396="","",COUNTA($B$9:$B396))</f>
        <v/>
      </c>
      <c r="B396" s="12" t="n"/>
      <c r="C396" s="12" t="n"/>
      <c r="D396" s="12" t="n"/>
      <c r="E396" s="13" t="n"/>
      <c r="F396" s="11">
        <f>IF($E396="","",IFERROR(VLOOKUP($E396,OpTbl,2,0),""))</f>
        <v/>
      </c>
      <c r="G396" s="12" t="n"/>
      <c r="H396" s="11">
        <f>IF($G396="","",IFERROR(IF(VLOOKUP($G396,AcctTbl,4,0)="","(بدون نام)",VLOOKUP($G396,AcctTbl,4,0)),"کد ناشناخته"))</f>
        <v/>
      </c>
      <c r="I396" s="13" t="n"/>
      <c r="J396" s="13" t="n"/>
      <c r="K396" s="14" t="n"/>
      <c r="L396" s="14" t="n"/>
      <c r="M396" s="15">
        <f>IF(OR($B396="",$K396=""),"",($K396-IF($L396="",0,$L396)*IFERROR(VLOOKUP("P01",ParamTbl,3,0),1.5))*(1-IF(IFERROR(VLOOKUP($E396,OpTbl,3,0),"")="خرید",IFERROR(VLOOKUP("P02",ParamTbl,3,0),1),0)/100))</f>
        <v/>
      </c>
      <c r="N396" s="14" t="n"/>
      <c r="O396" s="13" t="n"/>
    </row>
    <row r="397">
      <c r="A397" s="11">
        <f>IF($B397="","",COUNTA($B$9:$B397))</f>
        <v/>
      </c>
      <c r="B397" s="12" t="n"/>
      <c r="C397" s="12" t="n"/>
      <c r="D397" s="12" t="n"/>
      <c r="E397" s="13" t="n"/>
      <c r="F397" s="11">
        <f>IF($E397="","",IFERROR(VLOOKUP($E397,OpTbl,2,0),""))</f>
        <v/>
      </c>
      <c r="G397" s="12" t="n"/>
      <c r="H397" s="11">
        <f>IF($G397="","",IFERROR(IF(VLOOKUP($G397,AcctTbl,4,0)="","(بدون نام)",VLOOKUP($G397,AcctTbl,4,0)),"کد ناشناخته"))</f>
        <v/>
      </c>
      <c r="I397" s="13" t="n"/>
      <c r="J397" s="13" t="n"/>
      <c r="K397" s="14" t="n"/>
      <c r="L397" s="14" t="n"/>
      <c r="M397" s="15">
        <f>IF(OR($B397="",$K397=""),"",($K397-IF($L397="",0,$L397)*IFERROR(VLOOKUP("P01",ParamTbl,3,0),1.5))*(1-IF(IFERROR(VLOOKUP($E397,OpTbl,3,0),"")="خرید",IFERROR(VLOOKUP("P02",ParamTbl,3,0),1),0)/100))</f>
        <v/>
      </c>
      <c r="N397" s="14" t="n"/>
      <c r="O397" s="13" t="n"/>
    </row>
    <row r="398">
      <c r="A398" s="11">
        <f>IF($B398="","",COUNTA($B$9:$B398))</f>
        <v/>
      </c>
      <c r="B398" s="12" t="n"/>
      <c r="C398" s="12" t="n"/>
      <c r="D398" s="12" t="n"/>
      <c r="E398" s="13" t="n"/>
      <c r="F398" s="11">
        <f>IF($E398="","",IFERROR(VLOOKUP($E398,OpTbl,2,0),""))</f>
        <v/>
      </c>
      <c r="G398" s="12" t="n"/>
      <c r="H398" s="11">
        <f>IF($G398="","",IFERROR(IF(VLOOKUP($G398,AcctTbl,4,0)="","(بدون نام)",VLOOKUP($G398,AcctTbl,4,0)),"کد ناشناخته"))</f>
        <v/>
      </c>
      <c r="I398" s="13" t="n"/>
      <c r="J398" s="13" t="n"/>
      <c r="K398" s="14" t="n"/>
      <c r="L398" s="14" t="n"/>
      <c r="M398" s="15">
        <f>IF(OR($B398="",$K398=""),"",($K398-IF($L398="",0,$L398)*IFERROR(VLOOKUP("P01",ParamTbl,3,0),1.5))*(1-IF(IFERROR(VLOOKUP($E398,OpTbl,3,0),"")="خرید",IFERROR(VLOOKUP("P02",ParamTbl,3,0),1),0)/100))</f>
        <v/>
      </c>
      <c r="N398" s="14" t="n"/>
      <c r="O398" s="13" t="n"/>
    </row>
    <row r="399">
      <c r="A399" s="11">
        <f>IF($B399="","",COUNTA($B$9:$B399))</f>
        <v/>
      </c>
      <c r="B399" s="12" t="n"/>
      <c r="C399" s="12" t="n"/>
      <c r="D399" s="12" t="n"/>
      <c r="E399" s="13" t="n"/>
      <c r="F399" s="11">
        <f>IF($E399="","",IFERROR(VLOOKUP($E399,OpTbl,2,0),""))</f>
        <v/>
      </c>
      <c r="G399" s="12" t="n"/>
      <c r="H399" s="11">
        <f>IF($G399="","",IFERROR(IF(VLOOKUP($G399,AcctTbl,4,0)="","(بدون نام)",VLOOKUP($G399,AcctTbl,4,0)),"کد ناشناخته"))</f>
        <v/>
      </c>
      <c r="I399" s="13" t="n"/>
      <c r="J399" s="13" t="n"/>
      <c r="K399" s="14" t="n"/>
      <c r="L399" s="14" t="n"/>
      <c r="M399" s="15">
        <f>IF(OR($B399="",$K399=""),"",($K399-IF($L399="",0,$L399)*IFERROR(VLOOKUP("P01",ParamTbl,3,0),1.5))*(1-IF(IFERROR(VLOOKUP($E399,OpTbl,3,0),"")="خرید",IFERROR(VLOOKUP("P02",ParamTbl,3,0),1),0)/100))</f>
        <v/>
      </c>
      <c r="N399" s="14" t="n"/>
      <c r="O399" s="13" t="n"/>
    </row>
    <row r="400">
      <c r="A400" s="11">
        <f>IF($B400="","",COUNTA($B$9:$B400))</f>
        <v/>
      </c>
      <c r="B400" s="12" t="n"/>
      <c r="C400" s="12" t="n"/>
      <c r="D400" s="12" t="n"/>
      <c r="E400" s="13" t="n"/>
      <c r="F400" s="11">
        <f>IF($E400="","",IFERROR(VLOOKUP($E400,OpTbl,2,0),""))</f>
        <v/>
      </c>
      <c r="G400" s="12" t="n"/>
      <c r="H400" s="11">
        <f>IF($G400="","",IFERROR(IF(VLOOKUP($G400,AcctTbl,4,0)="","(بدون نام)",VLOOKUP($G400,AcctTbl,4,0)),"کد ناشناخته"))</f>
        <v/>
      </c>
      <c r="I400" s="13" t="n"/>
      <c r="J400" s="13" t="n"/>
      <c r="K400" s="14" t="n"/>
      <c r="L400" s="14" t="n"/>
      <c r="M400" s="15">
        <f>IF(OR($B400="",$K400=""),"",($K400-IF($L400="",0,$L400)*IFERROR(VLOOKUP("P01",ParamTbl,3,0),1.5))*(1-IF(IFERROR(VLOOKUP($E400,OpTbl,3,0),"")="خرید",IFERROR(VLOOKUP("P02",ParamTbl,3,0),1),0)/100))</f>
        <v/>
      </c>
      <c r="N400" s="14" t="n"/>
      <c r="O400" s="13" t="n"/>
    </row>
    <row r="401">
      <c r="A401" s="11">
        <f>IF($B401="","",COUNTA($B$9:$B401))</f>
        <v/>
      </c>
      <c r="B401" s="12" t="n"/>
      <c r="C401" s="12" t="n"/>
      <c r="D401" s="12" t="n"/>
      <c r="E401" s="13" t="n"/>
      <c r="F401" s="11">
        <f>IF($E401="","",IFERROR(VLOOKUP($E401,OpTbl,2,0),""))</f>
        <v/>
      </c>
      <c r="G401" s="12" t="n"/>
      <c r="H401" s="11">
        <f>IF($G401="","",IFERROR(IF(VLOOKUP($G401,AcctTbl,4,0)="","(بدون نام)",VLOOKUP($G401,AcctTbl,4,0)),"کد ناشناخته"))</f>
        <v/>
      </c>
      <c r="I401" s="13" t="n"/>
      <c r="J401" s="13" t="n"/>
      <c r="K401" s="14" t="n"/>
      <c r="L401" s="14" t="n"/>
      <c r="M401" s="15">
        <f>IF(OR($B401="",$K401=""),"",($K401-IF($L401="",0,$L401)*IFERROR(VLOOKUP("P01",ParamTbl,3,0),1.5))*(1-IF(IFERROR(VLOOKUP($E401,OpTbl,3,0),"")="خرید",IFERROR(VLOOKUP("P02",ParamTbl,3,0),1),0)/100))</f>
        <v/>
      </c>
      <c r="N401" s="14" t="n"/>
      <c r="O401" s="13" t="n"/>
    </row>
    <row r="402">
      <c r="A402" s="11">
        <f>IF($B402="","",COUNTA($B$9:$B402))</f>
        <v/>
      </c>
      <c r="B402" s="12" t="n"/>
      <c r="C402" s="12" t="n"/>
      <c r="D402" s="12" t="n"/>
      <c r="E402" s="13" t="n"/>
      <c r="F402" s="11">
        <f>IF($E402="","",IFERROR(VLOOKUP($E402,OpTbl,2,0),""))</f>
        <v/>
      </c>
      <c r="G402" s="12" t="n"/>
      <c r="H402" s="11">
        <f>IF($G402="","",IFERROR(IF(VLOOKUP($G402,AcctTbl,4,0)="","(بدون نام)",VLOOKUP($G402,AcctTbl,4,0)),"کد ناشناخته"))</f>
        <v/>
      </c>
      <c r="I402" s="13" t="n"/>
      <c r="J402" s="13" t="n"/>
      <c r="K402" s="14" t="n"/>
      <c r="L402" s="14" t="n"/>
      <c r="M402" s="15">
        <f>IF(OR($B402="",$K402=""),"",($K402-IF($L402="",0,$L402)*IFERROR(VLOOKUP("P01",ParamTbl,3,0),1.5))*(1-IF(IFERROR(VLOOKUP($E402,OpTbl,3,0),"")="خرید",IFERROR(VLOOKUP("P02",ParamTbl,3,0),1),0)/100))</f>
        <v/>
      </c>
      <c r="N402" s="14" t="n"/>
      <c r="O402" s="13" t="n"/>
    </row>
    <row r="403">
      <c r="A403" s="11">
        <f>IF($B403="","",COUNTA($B$9:$B403))</f>
        <v/>
      </c>
      <c r="B403" s="12" t="n"/>
      <c r="C403" s="12" t="n"/>
      <c r="D403" s="12" t="n"/>
      <c r="E403" s="13" t="n"/>
      <c r="F403" s="11">
        <f>IF($E403="","",IFERROR(VLOOKUP($E403,OpTbl,2,0),""))</f>
        <v/>
      </c>
      <c r="G403" s="12" t="n"/>
      <c r="H403" s="11">
        <f>IF($G403="","",IFERROR(IF(VLOOKUP($G403,AcctTbl,4,0)="","(بدون نام)",VLOOKUP($G403,AcctTbl,4,0)),"کد ناشناخته"))</f>
        <v/>
      </c>
      <c r="I403" s="13" t="n"/>
      <c r="J403" s="13" t="n"/>
      <c r="K403" s="14" t="n"/>
      <c r="L403" s="14" t="n"/>
      <c r="M403" s="15">
        <f>IF(OR($B403="",$K403=""),"",($K403-IF($L403="",0,$L403)*IFERROR(VLOOKUP("P01",ParamTbl,3,0),1.5))*(1-IF(IFERROR(VLOOKUP($E403,OpTbl,3,0),"")="خرید",IFERROR(VLOOKUP("P02",ParamTbl,3,0),1),0)/100))</f>
        <v/>
      </c>
      <c r="N403" s="14" t="n"/>
      <c r="O403" s="13" t="n"/>
    </row>
    <row r="404">
      <c r="A404" s="11">
        <f>IF($B404="","",COUNTA($B$9:$B404))</f>
        <v/>
      </c>
      <c r="B404" s="12" t="n"/>
      <c r="C404" s="12" t="n"/>
      <c r="D404" s="12" t="n"/>
      <c r="E404" s="13" t="n"/>
      <c r="F404" s="11">
        <f>IF($E404="","",IFERROR(VLOOKUP($E404,OpTbl,2,0),""))</f>
        <v/>
      </c>
      <c r="G404" s="12" t="n"/>
      <c r="H404" s="11">
        <f>IF($G404="","",IFERROR(IF(VLOOKUP($G404,AcctTbl,4,0)="","(بدون نام)",VLOOKUP($G404,AcctTbl,4,0)),"کد ناشناخته"))</f>
        <v/>
      </c>
      <c r="I404" s="13" t="n"/>
      <c r="J404" s="13" t="n"/>
      <c r="K404" s="14" t="n"/>
      <c r="L404" s="14" t="n"/>
      <c r="M404" s="15">
        <f>IF(OR($B404="",$K404=""),"",($K404-IF($L404="",0,$L404)*IFERROR(VLOOKUP("P01",ParamTbl,3,0),1.5))*(1-IF(IFERROR(VLOOKUP($E404,OpTbl,3,0),"")="خرید",IFERROR(VLOOKUP("P02",ParamTbl,3,0),1),0)/100))</f>
        <v/>
      </c>
      <c r="N404" s="14" t="n"/>
      <c r="O404" s="13" t="n"/>
    </row>
    <row r="405">
      <c r="A405" s="11">
        <f>IF($B405="","",COUNTA($B$9:$B405))</f>
        <v/>
      </c>
      <c r="B405" s="12" t="n"/>
      <c r="C405" s="12" t="n"/>
      <c r="D405" s="12" t="n"/>
      <c r="E405" s="13" t="n"/>
      <c r="F405" s="11">
        <f>IF($E405="","",IFERROR(VLOOKUP($E405,OpTbl,2,0),""))</f>
        <v/>
      </c>
      <c r="G405" s="12" t="n"/>
      <c r="H405" s="11">
        <f>IF($G405="","",IFERROR(IF(VLOOKUP($G405,AcctTbl,4,0)="","(بدون نام)",VLOOKUP($G405,AcctTbl,4,0)),"کد ناشناخته"))</f>
        <v/>
      </c>
      <c r="I405" s="13" t="n"/>
      <c r="J405" s="13" t="n"/>
      <c r="K405" s="14" t="n"/>
      <c r="L405" s="14" t="n"/>
      <c r="M405" s="15">
        <f>IF(OR($B405="",$K405=""),"",($K405-IF($L405="",0,$L405)*IFERROR(VLOOKUP("P01",ParamTbl,3,0),1.5))*(1-IF(IFERROR(VLOOKUP($E405,OpTbl,3,0),"")="خرید",IFERROR(VLOOKUP("P02",ParamTbl,3,0),1),0)/100))</f>
        <v/>
      </c>
      <c r="N405" s="14" t="n"/>
      <c r="O405" s="13" t="n"/>
    </row>
    <row r="406">
      <c r="A406" s="11">
        <f>IF($B406="","",COUNTA($B$9:$B406))</f>
        <v/>
      </c>
      <c r="B406" s="12" t="n"/>
      <c r="C406" s="12" t="n"/>
      <c r="D406" s="12" t="n"/>
      <c r="E406" s="13" t="n"/>
      <c r="F406" s="11">
        <f>IF($E406="","",IFERROR(VLOOKUP($E406,OpTbl,2,0),""))</f>
        <v/>
      </c>
      <c r="G406" s="12" t="n"/>
      <c r="H406" s="11">
        <f>IF($G406="","",IFERROR(IF(VLOOKUP($G406,AcctTbl,4,0)="","(بدون نام)",VLOOKUP($G406,AcctTbl,4,0)),"کد ناشناخته"))</f>
        <v/>
      </c>
      <c r="I406" s="13" t="n"/>
      <c r="J406" s="13" t="n"/>
      <c r="K406" s="14" t="n"/>
      <c r="L406" s="14" t="n"/>
      <c r="M406" s="15">
        <f>IF(OR($B406="",$K406=""),"",($K406-IF($L406="",0,$L406)*IFERROR(VLOOKUP("P01",ParamTbl,3,0),1.5))*(1-IF(IFERROR(VLOOKUP($E406,OpTbl,3,0),"")="خرید",IFERROR(VLOOKUP("P02",ParamTbl,3,0),1),0)/100))</f>
        <v/>
      </c>
      <c r="N406" s="14" t="n"/>
      <c r="O406" s="13" t="n"/>
    </row>
    <row r="407">
      <c r="A407" s="11">
        <f>IF($B407="","",COUNTA($B$9:$B407))</f>
        <v/>
      </c>
      <c r="B407" s="12" t="n"/>
      <c r="C407" s="12" t="n"/>
      <c r="D407" s="12" t="n"/>
      <c r="E407" s="13" t="n"/>
      <c r="F407" s="11">
        <f>IF($E407="","",IFERROR(VLOOKUP($E407,OpTbl,2,0),""))</f>
        <v/>
      </c>
      <c r="G407" s="12" t="n"/>
      <c r="H407" s="11">
        <f>IF($G407="","",IFERROR(IF(VLOOKUP($G407,AcctTbl,4,0)="","(بدون نام)",VLOOKUP($G407,AcctTbl,4,0)),"کد ناشناخته"))</f>
        <v/>
      </c>
      <c r="I407" s="13" t="n"/>
      <c r="J407" s="13" t="n"/>
      <c r="K407" s="14" t="n"/>
      <c r="L407" s="14" t="n"/>
      <c r="M407" s="15">
        <f>IF(OR($B407="",$K407=""),"",($K407-IF($L407="",0,$L407)*IFERROR(VLOOKUP("P01",ParamTbl,3,0),1.5))*(1-IF(IFERROR(VLOOKUP($E407,OpTbl,3,0),"")="خرید",IFERROR(VLOOKUP("P02",ParamTbl,3,0),1),0)/100))</f>
        <v/>
      </c>
      <c r="N407" s="14" t="n"/>
      <c r="O407" s="13" t="n"/>
    </row>
    <row r="408">
      <c r="A408" s="11">
        <f>IF($B408="","",COUNTA($B$9:$B408))</f>
        <v/>
      </c>
      <c r="B408" s="12" t="n"/>
      <c r="C408" s="12" t="n"/>
      <c r="D408" s="12" t="n"/>
      <c r="E408" s="13" t="n"/>
      <c r="F408" s="11">
        <f>IF($E408="","",IFERROR(VLOOKUP($E408,OpTbl,2,0),""))</f>
        <v/>
      </c>
      <c r="G408" s="12" t="n"/>
      <c r="H408" s="11">
        <f>IF($G408="","",IFERROR(IF(VLOOKUP($G408,AcctTbl,4,0)="","(بدون نام)",VLOOKUP($G408,AcctTbl,4,0)),"کد ناشناخته"))</f>
        <v/>
      </c>
      <c r="I408" s="13" t="n"/>
      <c r="J408" s="13" t="n"/>
      <c r="K408" s="14" t="n"/>
      <c r="L408" s="14" t="n"/>
      <c r="M408" s="15">
        <f>IF(OR($B408="",$K408=""),"",($K408-IF($L408="",0,$L408)*IFERROR(VLOOKUP("P01",ParamTbl,3,0),1.5))*(1-IF(IFERROR(VLOOKUP($E408,OpTbl,3,0),"")="خرید",IFERROR(VLOOKUP("P02",ParamTbl,3,0),1),0)/100))</f>
        <v/>
      </c>
      <c r="N408" s="14" t="n"/>
      <c r="O408" s="13" t="n"/>
    </row>
    <row r="409">
      <c r="A409" s="11">
        <f>IF($B409="","",COUNTA($B$9:$B409))</f>
        <v/>
      </c>
      <c r="B409" s="12" t="n"/>
      <c r="C409" s="12" t="n"/>
      <c r="D409" s="12" t="n"/>
      <c r="E409" s="13" t="n"/>
      <c r="F409" s="11">
        <f>IF($E409="","",IFERROR(VLOOKUP($E409,OpTbl,2,0),""))</f>
        <v/>
      </c>
      <c r="G409" s="12" t="n"/>
      <c r="H409" s="11">
        <f>IF($G409="","",IFERROR(IF(VLOOKUP($G409,AcctTbl,4,0)="","(بدون نام)",VLOOKUP($G409,AcctTbl,4,0)),"کد ناشناخته"))</f>
        <v/>
      </c>
      <c r="I409" s="13" t="n"/>
      <c r="J409" s="13" t="n"/>
      <c r="K409" s="14" t="n"/>
      <c r="L409" s="14" t="n"/>
      <c r="M409" s="15">
        <f>IF(OR($B409="",$K409=""),"",($K409-IF($L409="",0,$L409)*IFERROR(VLOOKUP("P01",ParamTbl,3,0),1.5))*(1-IF(IFERROR(VLOOKUP($E409,OpTbl,3,0),"")="خرید",IFERROR(VLOOKUP("P02",ParamTbl,3,0),1),0)/100))</f>
        <v/>
      </c>
      <c r="N409" s="14" t="n"/>
      <c r="O409" s="13" t="n"/>
    </row>
    <row r="410">
      <c r="A410" s="11">
        <f>IF($B410="","",COUNTA($B$9:$B410))</f>
        <v/>
      </c>
      <c r="B410" s="12" t="n"/>
      <c r="C410" s="12" t="n"/>
      <c r="D410" s="12" t="n"/>
      <c r="E410" s="13" t="n"/>
      <c r="F410" s="11">
        <f>IF($E410="","",IFERROR(VLOOKUP($E410,OpTbl,2,0),""))</f>
        <v/>
      </c>
      <c r="G410" s="12" t="n"/>
      <c r="H410" s="11">
        <f>IF($G410="","",IFERROR(IF(VLOOKUP($G410,AcctTbl,4,0)="","(بدون نام)",VLOOKUP($G410,AcctTbl,4,0)),"کد ناشناخته"))</f>
        <v/>
      </c>
      <c r="I410" s="13" t="n"/>
      <c r="J410" s="13" t="n"/>
      <c r="K410" s="14" t="n"/>
      <c r="L410" s="14" t="n"/>
      <c r="M410" s="15">
        <f>IF(OR($B410="",$K410=""),"",($K410-IF($L410="",0,$L410)*IFERROR(VLOOKUP("P01",ParamTbl,3,0),1.5))*(1-IF(IFERROR(VLOOKUP($E410,OpTbl,3,0),"")="خرید",IFERROR(VLOOKUP("P02",ParamTbl,3,0),1),0)/100))</f>
        <v/>
      </c>
      <c r="N410" s="14" t="n"/>
      <c r="O410" s="13" t="n"/>
    </row>
    <row r="411">
      <c r="A411" s="11">
        <f>IF($B411="","",COUNTA($B$9:$B411))</f>
        <v/>
      </c>
      <c r="B411" s="12" t="n"/>
      <c r="C411" s="12" t="n"/>
      <c r="D411" s="12" t="n"/>
      <c r="E411" s="13" t="n"/>
      <c r="F411" s="11">
        <f>IF($E411="","",IFERROR(VLOOKUP($E411,OpTbl,2,0),""))</f>
        <v/>
      </c>
      <c r="G411" s="12" t="n"/>
      <c r="H411" s="11">
        <f>IF($G411="","",IFERROR(IF(VLOOKUP($G411,AcctTbl,4,0)="","(بدون نام)",VLOOKUP($G411,AcctTbl,4,0)),"کد ناشناخته"))</f>
        <v/>
      </c>
      <c r="I411" s="13" t="n"/>
      <c r="J411" s="13" t="n"/>
      <c r="K411" s="14" t="n"/>
      <c r="L411" s="14" t="n"/>
      <c r="M411" s="15">
        <f>IF(OR($B411="",$K411=""),"",($K411-IF($L411="",0,$L411)*IFERROR(VLOOKUP("P01",ParamTbl,3,0),1.5))*(1-IF(IFERROR(VLOOKUP($E411,OpTbl,3,0),"")="خرید",IFERROR(VLOOKUP("P02",ParamTbl,3,0),1),0)/100))</f>
        <v/>
      </c>
      <c r="N411" s="14" t="n"/>
      <c r="O411" s="13" t="n"/>
    </row>
    <row r="412">
      <c r="A412" s="11">
        <f>IF($B412="","",COUNTA($B$9:$B412))</f>
        <v/>
      </c>
      <c r="B412" s="12" t="n"/>
      <c r="C412" s="12" t="n"/>
      <c r="D412" s="12" t="n"/>
      <c r="E412" s="13" t="n"/>
      <c r="F412" s="11">
        <f>IF($E412="","",IFERROR(VLOOKUP($E412,OpTbl,2,0),""))</f>
        <v/>
      </c>
      <c r="G412" s="12" t="n"/>
      <c r="H412" s="11">
        <f>IF($G412="","",IFERROR(IF(VLOOKUP($G412,AcctTbl,4,0)="","(بدون نام)",VLOOKUP($G412,AcctTbl,4,0)),"کد ناشناخته"))</f>
        <v/>
      </c>
      <c r="I412" s="13" t="n"/>
      <c r="J412" s="13" t="n"/>
      <c r="K412" s="14" t="n"/>
      <c r="L412" s="14" t="n"/>
      <c r="M412" s="15">
        <f>IF(OR($B412="",$K412=""),"",($K412-IF($L412="",0,$L412)*IFERROR(VLOOKUP("P01",ParamTbl,3,0),1.5))*(1-IF(IFERROR(VLOOKUP($E412,OpTbl,3,0),"")="خرید",IFERROR(VLOOKUP("P02",ParamTbl,3,0),1),0)/100))</f>
        <v/>
      </c>
      <c r="N412" s="14" t="n"/>
      <c r="O412" s="13" t="n"/>
    </row>
    <row r="413">
      <c r="A413" s="11">
        <f>IF($B413="","",COUNTA($B$9:$B413))</f>
        <v/>
      </c>
      <c r="B413" s="12" t="n"/>
      <c r="C413" s="12" t="n"/>
      <c r="D413" s="12" t="n"/>
      <c r="E413" s="13" t="n"/>
      <c r="F413" s="11">
        <f>IF($E413="","",IFERROR(VLOOKUP($E413,OpTbl,2,0),""))</f>
        <v/>
      </c>
      <c r="G413" s="12" t="n"/>
      <c r="H413" s="11">
        <f>IF($G413="","",IFERROR(IF(VLOOKUP($G413,AcctTbl,4,0)="","(بدون نام)",VLOOKUP($G413,AcctTbl,4,0)),"کد ناشناخته"))</f>
        <v/>
      </c>
      <c r="I413" s="13" t="n"/>
      <c r="J413" s="13" t="n"/>
      <c r="K413" s="14" t="n"/>
      <c r="L413" s="14" t="n"/>
      <c r="M413" s="15">
        <f>IF(OR($B413="",$K413=""),"",($K413-IF($L413="",0,$L413)*IFERROR(VLOOKUP("P01",ParamTbl,3,0),1.5))*(1-IF(IFERROR(VLOOKUP($E413,OpTbl,3,0),"")="خرید",IFERROR(VLOOKUP("P02",ParamTbl,3,0),1),0)/100))</f>
        <v/>
      </c>
      <c r="N413" s="14" t="n"/>
      <c r="O413" s="13" t="n"/>
    </row>
    <row r="414">
      <c r="A414" s="11">
        <f>IF($B414="","",COUNTA($B$9:$B414))</f>
        <v/>
      </c>
      <c r="B414" s="12" t="n"/>
      <c r="C414" s="12" t="n"/>
      <c r="D414" s="12" t="n"/>
      <c r="E414" s="13" t="n"/>
      <c r="F414" s="11">
        <f>IF($E414="","",IFERROR(VLOOKUP($E414,OpTbl,2,0),""))</f>
        <v/>
      </c>
      <c r="G414" s="12" t="n"/>
      <c r="H414" s="11">
        <f>IF($G414="","",IFERROR(IF(VLOOKUP($G414,AcctTbl,4,0)="","(بدون نام)",VLOOKUP($G414,AcctTbl,4,0)),"کد ناشناخته"))</f>
        <v/>
      </c>
      <c r="I414" s="13" t="n"/>
      <c r="J414" s="13" t="n"/>
      <c r="K414" s="14" t="n"/>
      <c r="L414" s="14" t="n"/>
      <c r="M414" s="15">
        <f>IF(OR($B414="",$K414=""),"",($K414-IF($L414="",0,$L414)*IFERROR(VLOOKUP("P01",ParamTbl,3,0),1.5))*(1-IF(IFERROR(VLOOKUP($E414,OpTbl,3,0),"")="خرید",IFERROR(VLOOKUP("P02",ParamTbl,3,0),1),0)/100))</f>
        <v/>
      </c>
      <c r="N414" s="14" t="n"/>
      <c r="O414" s="13" t="n"/>
    </row>
    <row r="415">
      <c r="A415" s="11">
        <f>IF($B415="","",COUNTA($B$9:$B415))</f>
        <v/>
      </c>
      <c r="B415" s="12" t="n"/>
      <c r="C415" s="12" t="n"/>
      <c r="D415" s="12" t="n"/>
      <c r="E415" s="13" t="n"/>
      <c r="F415" s="11">
        <f>IF($E415="","",IFERROR(VLOOKUP($E415,OpTbl,2,0),""))</f>
        <v/>
      </c>
      <c r="G415" s="12" t="n"/>
      <c r="H415" s="11">
        <f>IF($G415="","",IFERROR(IF(VLOOKUP($G415,AcctTbl,4,0)="","(بدون نام)",VLOOKUP($G415,AcctTbl,4,0)),"کد ناشناخته"))</f>
        <v/>
      </c>
      <c r="I415" s="13" t="n"/>
      <c r="J415" s="13" t="n"/>
      <c r="K415" s="14" t="n"/>
      <c r="L415" s="14" t="n"/>
      <c r="M415" s="15">
        <f>IF(OR($B415="",$K415=""),"",($K415-IF($L415="",0,$L415)*IFERROR(VLOOKUP("P01",ParamTbl,3,0),1.5))*(1-IF(IFERROR(VLOOKUP($E415,OpTbl,3,0),"")="خرید",IFERROR(VLOOKUP("P02",ParamTbl,3,0),1),0)/100))</f>
        <v/>
      </c>
      <c r="N415" s="14" t="n"/>
      <c r="O415" s="13" t="n"/>
    </row>
    <row r="416">
      <c r="A416" s="11">
        <f>IF($B416="","",COUNTA($B$9:$B416))</f>
        <v/>
      </c>
      <c r="B416" s="12" t="n"/>
      <c r="C416" s="12" t="n"/>
      <c r="D416" s="12" t="n"/>
      <c r="E416" s="13" t="n"/>
      <c r="F416" s="11">
        <f>IF($E416="","",IFERROR(VLOOKUP($E416,OpTbl,2,0),""))</f>
        <v/>
      </c>
      <c r="G416" s="12" t="n"/>
      <c r="H416" s="11">
        <f>IF($G416="","",IFERROR(IF(VLOOKUP($G416,AcctTbl,4,0)="","(بدون نام)",VLOOKUP($G416,AcctTbl,4,0)),"کد ناشناخته"))</f>
        <v/>
      </c>
      <c r="I416" s="13" t="n"/>
      <c r="J416" s="13" t="n"/>
      <c r="K416" s="14" t="n"/>
      <c r="L416" s="14" t="n"/>
      <c r="M416" s="15">
        <f>IF(OR($B416="",$K416=""),"",($K416-IF($L416="",0,$L416)*IFERROR(VLOOKUP("P01",ParamTbl,3,0),1.5))*(1-IF(IFERROR(VLOOKUP($E416,OpTbl,3,0),"")="خرید",IFERROR(VLOOKUP("P02",ParamTbl,3,0),1),0)/100))</f>
        <v/>
      </c>
      <c r="N416" s="14" t="n"/>
      <c r="O416" s="13" t="n"/>
    </row>
    <row r="417">
      <c r="A417" s="11">
        <f>IF($B417="","",COUNTA($B$9:$B417))</f>
        <v/>
      </c>
      <c r="B417" s="12" t="n"/>
      <c r="C417" s="12" t="n"/>
      <c r="D417" s="12" t="n"/>
      <c r="E417" s="13" t="n"/>
      <c r="F417" s="11">
        <f>IF($E417="","",IFERROR(VLOOKUP($E417,OpTbl,2,0),""))</f>
        <v/>
      </c>
      <c r="G417" s="12" t="n"/>
      <c r="H417" s="11">
        <f>IF($G417="","",IFERROR(IF(VLOOKUP($G417,AcctTbl,4,0)="","(بدون نام)",VLOOKUP($G417,AcctTbl,4,0)),"کد ناشناخته"))</f>
        <v/>
      </c>
      <c r="I417" s="13" t="n"/>
      <c r="J417" s="13" t="n"/>
      <c r="K417" s="14" t="n"/>
      <c r="L417" s="14" t="n"/>
      <c r="M417" s="15">
        <f>IF(OR($B417="",$K417=""),"",($K417-IF($L417="",0,$L417)*IFERROR(VLOOKUP("P01",ParamTbl,3,0),1.5))*(1-IF(IFERROR(VLOOKUP($E417,OpTbl,3,0),"")="خرید",IFERROR(VLOOKUP("P02",ParamTbl,3,0),1),0)/100))</f>
        <v/>
      </c>
      <c r="N417" s="14" t="n"/>
      <c r="O417" s="13" t="n"/>
    </row>
    <row r="418">
      <c r="A418" s="11">
        <f>IF($B418="","",COUNTA($B$9:$B418))</f>
        <v/>
      </c>
      <c r="B418" s="12" t="n"/>
      <c r="C418" s="12" t="n"/>
      <c r="D418" s="12" t="n"/>
      <c r="E418" s="13" t="n"/>
      <c r="F418" s="11">
        <f>IF($E418="","",IFERROR(VLOOKUP($E418,OpTbl,2,0),""))</f>
        <v/>
      </c>
      <c r="G418" s="12" t="n"/>
      <c r="H418" s="11">
        <f>IF($G418="","",IFERROR(IF(VLOOKUP($G418,AcctTbl,4,0)="","(بدون نام)",VLOOKUP($G418,AcctTbl,4,0)),"کد ناشناخته"))</f>
        <v/>
      </c>
      <c r="I418" s="13" t="n"/>
      <c r="J418" s="13" t="n"/>
      <c r="K418" s="14" t="n"/>
      <c r="L418" s="14" t="n"/>
      <c r="M418" s="15">
        <f>IF(OR($B418="",$K418=""),"",($K418-IF($L418="",0,$L418)*IFERROR(VLOOKUP("P01",ParamTbl,3,0),1.5))*(1-IF(IFERROR(VLOOKUP($E418,OpTbl,3,0),"")="خرید",IFERROR(VLOOKUP("P02",ParamTbl,3,0),1),0)/100))</f>
        <v/>
      </c>
      <c r="N418" s="14" t="n"/>
      <c r="O418" s="13" t="n"/>
    </row>
    <row r="419">
      <c r="A419" s="11">
        <f>IF($B419="","",COUNTA($B$9:$B419))</f>
        <v/>
      </c>
      <c r="B419" s="12" t="n"/>
      <c r="C419" s="12" t="n"/>
      <c r="D419" s="12" t="n"/>
      <c r="E419" s="13" t="n"/>
      <c r="F419" s="11">
        <f>IF($E419="","",IFERROR(VLOOKUP($E419,OpTbl,2,0),""))</f>
        <v/>
      </c>
      <c r="G419" s="12" t="n"/>
      <c r="H419" s="11">
        <f>IF($G419="","",IFERROR(IF(VLOOKUP($G419,AcctTbl,4,0)="","(بدون نام)",VLOOKUP($G419,AcctTbl,4,0)),"کد ناشناخته"))</f>
        <v/>
      </c>
      <c r="I419" s="13" t="n"/>
      <c r="J419" s="13" t="n"/>
      <c r="K419" s="14" t="n"/>
      <c r="L419" s="14" t="n"/>
      <c r="M419" s="15">
        <f>IF(OR($B419="",$K419=""),"",($K419-IF($L419="",0,$L419)*IFERROR(VLOOKUP("P01",ParamTbl,3,0),1.5))*(1-IF(IFERROR(VLOOKUP($E419,OpTbl,3,0),"")="خرید",IFERROR(VLOOKUP("P02",ParamTbl,3,0),1),0)/100))</f>
        <v/>
      </c>
      <c r="N419" s="14" t="n"/>
      <c r="O419" s="13" t="n"/>
    </row>
    <row r="420">
      <c r="A420" s="11">
        <f>IF($B420="","",COUNTA($B$9:$B420))</f>
        <v/>
      </c>
      <c r="B420" s="12" t="n"/>
      <c r="C420" s="12" t="n"/>
      <c r="D420" s="12" t="n"/>
      <c r="E420" s="13" t="n"/>
      <c r="F420" s="11">
        <f>IF($E420="","",IFERROR(VLOOKUP($E420,OpTbl,2,0),""))</f>
        <v/>
      </c>
      <c r="G420" s="12" t="n"/>
      <c r="H420" s="11">
        <f>IF($G420="","",IFERROR(IF(VLOOKUP($G420,AcctTbl,4,0)="","(بدون نام)",VLOOKUP($G420,AcctTbl,4,0)),"کد ناشناخته"))</f>
        <v/>
      </c>
      <c r="I420" s="13" t="n"/>
      <c r="J420" s="13" t="n"/>
      <c r="K420" s="14" t="n"/>
      <c r="L420" s="14" t="n"/>
      <c r="M420" s="15">
        <f>IF(OR($B420="",$K420=""),"",($K420-IF($L420="",0,$L420)*IFERROR(VLOOKUP("P01",ParamTbl,3,0),1.5))*(1-IF(IFERROR(VLOOKUP($E420,OpTbl,3,0),"")="خرید",IFERROR(VLOOKUP("P02",ParamTbl,3,0),1),0)/100))</f>
        <v/>
      </c>
      <c r="N420" s="14" t="n"/>
      <c r="O420" s="13" t="n"/>
    </row>
    <row r="421">
      <c r="A421" s="11">
        <f>IF($B421="","",COUNTA($B$9:$B421))</f>
        <v/>
      </c>
      <c r="B421" s="12" t="n"/>
      <c r="C421" s="12" t="n"/>
      <c r="D421" s="12" t="n"/>
      <c r="E421" s="13" t="n"/>
      <c r="F421" s="11">
        <f>IF($E421="","",IFERROR(VLOOKUP($E421,OpTbl,2,0),""))</f>
        <v/>
      </c>
      <c r="G421" s="12" t="n"/>
      <c r="H421" s="11">
        <f>IF($G421="","",IFERROR(IF(VLOOKUP($G421,AcctTbl,4,0)="","(بدون نام)",VLOOKUP($G421,AcctTbl,4,0)),"کد ناشناخته"))</f>
        <v/>
      </c>
      <c r="I421" s="13" t="n"/>
      <c r="J421" s="13" t="n"/>
      <c r="K421" s="14" t="n"/>
      <c r="L421" s="14" t="n"/>
      <c r="M421" s="15">
        <f>IF(OR($B421="",$K421=""),"",($K421-IF($L421="",0,$L421)*IFERROR(VLOOKUP("P01",ParamTbl,3,0),1.5))*(1-IF(IFERROR(VLOOKUP($E421,OpTbl,3,0),"")="خرید",IFERROR(VLOOKUP("P02",ParamTbl,3,0),1),0)/100))</f>
        <v/>
      </c>
      <c r="N421" s="14" t="n"/>
      <c r="O421" s="13" t="n"/>
    </row>
    <row r="422">
      <c r="A422" s="11">
        <f>IF($B422="","",COUNTA($B$9:$B422))</f>
        <v/>
      </c>
      <c r="B422" s="12" t="n"/>
      <c r="C422" s="12" t="n"/>
      <c r="D422" s="12" t="n"/>
      <c r="E422" s="13" t="n"/>
      <c r="F422" s="11">
        <f>IF($E422="","",IFERROR(VLOOKUP($E422,OpTbl,2,0),""))</f>
        <v/>
      </c>
      <c r="G422" s="12" t="n"/>
      <c r="H422" s="11">
        <f>IF($G422="","",IFERROR(IF(VLOOKUP($G422,AcctTbl,4,0)="","(بدون نام)",VLOOKUP($G422,AcctTbl,4,0)),"کد ناشناخته"))</f>
        <v/>
      </c>
      <c r="I422" s="13" t="n"/>
      <c r="J422" s="13" t="n"/>
      <c r="K422" s="14" t="n"/>
      <c r="L422" s="14" t="n"/>
      <c r="M422" s="15">
        <f>IF(OR($B422="",$K422=""),"",($K422-IF($L422="",0,$L422)*IFERROR(VLOOKUP("P01",ParamTbl,3,0),1.5))*(1-IF(IFERROR(VLOOKUP($E422,OpTbl,3,0),"")="خرید",IFERROR(VLOOKUP("P02",ParamTbl,3,0),1),0)/100))</f>
        <v/>
      </c>
      <c r="N422" s="14" t="n"/>
      <c r="O422" s="13" t="n"/>
    </row>
    <row r="423">
      <c r="A423" s="11">
        <f>IF($B423="","",COUNTA($B$9:$B423))</f>
        <v/>
      </c>
      <c r="B423" s="12" t="n"/>
      <c r="C423" s="12" t="n"/>
      <c r="D423" s="12" t="n"/>
      <c r="E423" s="13" t="n"/>
      <c r="F423" s="11">
        <f>IF($E423="","",IFERROR(VLOOKUP($E423,OpTbl,2,0),""))</f>
        <v/>
      </c>
      <c r="G423" s="12" t="n"/>
      <c r="H423" s="11">
        <f>IF($G423="","",IFERROR(IF(VLOOKUP($G423,AcctTbl,4,0)="","(بدون نام)",VLOOKUP($G423,AcctTbl,4,0)),"کد ناشناخته"))</f>
        <v/>
      </c>
      <c r="I423" s="13" t="n"/>
      <c r="J423" s="13" t="n"/>
      <c r="K423" s="14" t="n"/>
      <c r="L423" s="14" t="n"/>
      <c r="M423" s="15">
        <f>IF(OR($B423="",$K423=""),"",($K423-IF($L423="",0,$L423)*IFERROR(VLOOKUP("P01",ParamTbl,3,0),1.5))*(1-IF(IFERROR(VLOOKUP($E423,OpTbl,3,0),"")="خرید",IFERROR(VLOOKUP("P02",ParamTbl,3,0),1),0)/100))</f>
        <v/>
      </c>
      <c r="N423" s="14" t="n"/>
      <c r="O423" s="13" t="n"/>
    </row>
    <row r="424">
      <c r="A424" s="11">
        <f>IF($B424="","",COUNTA($B$9:$B424))</f>
        <v/>
      </c>
      <c r="B424" s="12" t="n"/>
      <c r="C424" s="12" t="n"/>
      <c r="D424" s="12" t="n"/>
      <c r="E424" s="13" t="n"/>
      <c r="F424" s="11">
        <f>IF($E424="","",IFERROR(VLOOKUP($E424,OpTbl,2,0),""))</f>
        <v/>
      </c>
      <c r="G424" s="12" t="n"/>
      <c r="H424" s="11">
        <f>IF($G424="","",IFERROR(IF(VLOOKUP($G424,AcctTbl,4,0)="","(بدون نام)",VLOOKUP($G424,AcctTbl,4,0)),"کد ناشناخته"))</f>
        <v/>
      </c>
      <c r="I424" s="13" t="n"/>
      <c r="J424" s="13" t="n"/>
      <c r="K424" s="14" t="n"/>
      <c r="L424" s="14" t="n"/>
      <c r="M424" s="15">
        <f>IF(OR($B424="",$K424=""),"",($K424-IF($L424="",0,$L424)*IFERROR(VLOOKUP("P01",ParamTbl,3,0),1.5))*(1-IF(IFERROR(VLOOKUP($E424,OpTbl,3,0),"")="خرید",IFERROR(VLOOKUP("P02",ParamTbl,3,0),1),0)/100))</f>
        <v/>
      </c>
      <c r="N424" s="14" t="n"/>
      <c r="O424" s="13" t="n"/>
    </row>
    <row r="425">
      <c r="A425" s="11">
        <f>IF($B425="","",COUNTA($B$9:$B425))</f>
        <v/>
      </c>
      <c r="B425" s="12" t="n"/>
      <c r="C425" s="12" t="n"/>
      <c r="D425" s="12" t="n"/>
      <c r="E425" s="13" t="n"/>
      <c r="F425" s="11">
        <f>IF($E425="","",IFERROR(VLOOKUP($E425,OpTbl,2,0),""))</f>
        <v/>
      </c>
      <c r="G425" s="12" t="n"/>
      <c r="H425" s="11">
        <f>IF($G425="","",IFERROR(IF(VLOOKUP($G425,AcctTbl,4,0)="","(بدون نام)",VLOOKUP($G425,AcctTbl,4,0)),"کد ناشناخته"))</f>
        <v/>
      </c>
      <c r="I425" s="13" t="n"/>
      <c r="J425" s="13" t="n"/>
      <c r="K425" s="14" t="n"/>
      <c r="L425" s="14" t="n"/>
      <c r="M425" s="15">
        <f>IF(OR($B425="",$K425=""),"",($K425-IF($L425="",0,$L425)*IFERROR(VLOOKUP("P01",ParamTbl,3,0),1.5))*(1-IF(IFERROR(VLOOKUP($E425,OpTbl,3,0),"")="خرید",IFERROR(VLOOKUP("P02",ParamTbl,3,0),1),0)/100))</f>
        <v/>
      </c>
      <c r="N425" s="14" t="n"/>
      <c r="O425" s="13" t="n"/>
    </row>
    <row r="426">
      <c r="A426" s="11">
        <f>IF($B426="","",COUNTA($B$9:$B426))</f>
        <v/>
      </c>
      <c r="B426" s="12" t="n"/>
      <c r="C426" s="12" t="n"/>
      <c r="D426" s="12" t="n"/>
      <c r="E426" s="13" t="n"/>
      <c r="F426" s="11">
        <f>IF($E426="","",IFERROR(VLOOKUP($E426,OpTbl,2,0),""))</f>
        <v/>
      </c>
      <c r="G426" s="12" t="n"/>
      <c r="H426" s="11">
        <f>IF($G426="","",IFERROR(IF(VLOOKUP($G426,AcctTbl,4,0)="","(بدون نام)",VLOOKUP($G426,AcctTbl,4,0)),"کد ناشناخته"))</f>
        <v/>
      </c>
      <c r="I426" s="13" t="n"/>
      <c r="J426" s="13" t="n"/>
      <c r="K426" s="14" t="n"/>
      <c r="L426" s="14" t="n"/>
      <c r="M426" s="15">
        <f>IF(OR($B426="",$K426=""),"",($K426-IF($L426="",0,$L426)*IFERROR(VLOOKUP("P01",ParamTbl,3,0),1.5))*(1-IF(IFERROR(VLOOKUP($E426,OpTbl,3,0),"")="خرید",IFERROR(VLOOKUP("P02",ParamTbl,3,0),1),0)/100))</f>
        <v/>
      </c>
      <c r="N426" s="14" t="n"/>
      <c r="O426" s="13" t="n"/>
    </row>
    <row r="427">
      <c r="A427" s="11">
        <f>IF($B427="","",COUNTA($B$9:$B427))</f>
        <v/>
      </c>
      <c r="B427" s="12" t="n"/>
      <c r="C427" s="12" t="n"/>
      <c r="D427" s="12" t="n"/>
      <c r="E427" s="13" t="n"/>
      <c r="F427" s="11">
        <f>IF($E427="","",IFERROR(VLOOKUP($E427,OpTbl,2,0),""))</f>
        <v/>
      </c>
      <c r="G427" s="12" t="n"/>
      <c r="H427" s="11">
        <f>IF($G427="","",IFERROR(IF(VLOOKUP($G427,AcctTbl,4,0)="","(بدون نام)",VLOOKUP($G427,AcctTbl,4,0)),"کد ناشناخته"))</f>
        <v/>
      </c>
      <c r="I427" s="13" t="n"/>
      <c r="J427" s="13" t="n"/>
      <c r="K427" s="14" t="n"/>
      <c r="L427" s="14" t="n"/>
      <c r="M427" s="15">
        <f>IF(OR($B427="",$K427=""),"",($K427-IF($L427="",0,$L427)*IFERROR(VLOOKUP("P01",ParamTbl,3,0),1.5))*(1-IF(IFERROR(VLOOKUP($E427,OpTbl,3,0),"")="خرید",IFERROR(VLOOKUP("P02",ParamTbl,3,0),1),0)/100))</f>
        <v/>
      </c>
      <c r="N427" s="14" t="n"/>
      <c r="O427" s="13" t="n"/>
    </row>
    <row r="428">
      <c r="A428" s="11">
        <f>IF($B428="","",COUNTA($B$9:$B428))</f>
        <v/>
      </c>
      <c r="B428" s="12" t="n"/>
      <c r="C428" s="12" t="n"/>
      <c r="D428" s="12" t="n"/>
      <c r="E428" s="13" t="n"/>
      <c r="F428" s="11">
        <f>IF($E428="","",IFERROR(VLOOKUP($E428,OpTbl,2,0),""))</f>
        <v/>
      </c>
      <c r="G428" s="12" t="n"/>
      <c r="H428" s="11">
        <f>IF($G428="","",IFERROR(IF(VLOOKUP($G428,AcctTbl,4,0)="","(بدون نام)",VLOOKUP($G428,AcctTbl,4,0)),"کد ناشناخته"))</f>
        <v/>
      </c>
      <c r="I428" s="13" t="n"/>
      <c r="J428" s="13" t="n"/>
      <c r="K428" s="14" t="n"/>
      <c r="L428" s="14" t="n"/>
      <c r="M428" s="15">
        <f>IF(OR($B428="",$K428=""),"",($K428-IF($L428="",0,$L428)*IFERROR(VLOOKUP("P01",ParamTbl,3,0),1.5))*(1-IF(IFERROR(VLOOKUP($E428,OpTbl,3,0),"")="خرید",IFERROR(VLOOKUP("P02",ParamTbl,3,0),1),0)/100))</f>
        <v/>
      </c>
      <c r="N428" s="14" t="n"/>
      <c r="O428" s="13" t="n"/>
    </row>
    <row r="429">
      <c r="A429" s="11">
        <f>IF($B429="","",COUNTA($B$9:$B429))</f>
        <v/>
      </c>
      <c r="B429" s="12" t="n"/>
      <c r="C429" s="12" t="n"/>
      <c r="D429" s="12" t="n"/>
      <c r="E429" s="13" t="n"/>
      <c r="F429" s="11">
        <f>IF($E429="","",IFERROR(VLOOKUP($E429,OpTbl,2,0),""))</f>
        <v/>
      </c>
      <c r="G429" s="12" t="n"/>
      <c r="H429" s="11">
        <f>IF($G429="","",IFERROR(IF(VLOOKUP($G429,AcctTbl,4,0)="","(بدون نام)",VLOOKUP($G429,AcctTbl,4,0)),"کد ناشناخته"))</f>
        <v/>
      </c>
      <c r="I429" s="13" t="n"/>
      <c r="J429" s="13" t="n"/>
      <c r="K429" s="14" t="n"/>
      <c r="L429" s="14" t="n"/>
      <c r="M429" s="15">
        <f>IF(OR($B429="",$K429=""),"",($K429-IF($L429="",0,$L429)*IFERROR(VLOOKUP("P01",ParamTbl,3,0),1.5))*(1-IF(IFERROR(VLOOKUP($E429,OpTbl,3,0),"")="خرید",IFERROR(VLOOKUP("P02",ParamTbl,3,0),1),0)/100))</f>
        <v/>
      </c>
      <c r="N429" s="14" t="n"/>
      <c r="O429" s="13" t="n"/>
    </row>
    <row r="430">
      <c r="A430" s="11">
        <f>IF($B430="","",COUNTA($B$9:$B430))</f>
        <v/>
      </c>
      <c r="B430" s="12" t="n"/>
      <c r="C430" s="12" t="n"/>
      <c r="D430" s="12" t="n"/>
      <c r="E430" s="13" t="n"/>
      <c r="F430" s="11">
        <f>IF($E430="","",IFERROR(VLOOKUP($E430,OpTbl,2,0),""))</f>
        <v/>
      </c>
      <c r="G430" s="12" t="n"/>
      <c r="H430" s="11">
        <f>IF($G430="","",IFERROR(IF(VLOOKUP($G430,AcctTbl,4,0)="","(بدون نام)",VLOOKUP($G430,AcctTbl,4,0)),"کد ناشناخته"))</f>
        <v/>
      </c>
      <c r="I430" s="13" t="n"/>
      <c r="J430" s="13" t="n"/>
      <c r="K430" s="14" t="n"/>
      <c r="L430" s="14" t="n"/>
      <c r="M430" s="15">
        <f>IF(OR($B430="",$K430=""),"",($K430-IF($L430="",0,$L430)*IFERROR(VLOOKUP("P01",ParamTbl,3,0),1.5))*(1-IF(IFERROR(VLOOKUP($E430,OpTbl,3,0),"")="خرید",IFERROR(VLOOKUP("P02",ParamTbl,3,0),1),0)/100))</f>
        <v/>
      </c>
      <c r="N430" s="14" t="n"/>
      <c r="O430" s="13" t="n"/>
    </row>
    <row r="431">
      <c r="A431" s="11">
        <f>IF($B431="","",COUNTA($B$9:$B431))</f>
        <v/>
      </c>
      <c r="B431" s="12" t="n"/>
      <c r="C431" s="12" t="n"/>
      <c r="D431" s="12" t="n"/>
      <c r="E431" s="13" t="n"/>
      <c r="F431" s="11">
        <f>IF($E431="","",IFERROR(VLOOKUP($E431,OpTbl,2,0),""))</f>
        <v/>
      </c>
      <c r="G431" s="12" t="n"/>
      <c r="H431" s="11">
        <f>IF($G431="","",IFERROR(IF(VLOOKUP($G431,AcctTbl,4,0)="","(بدون نام)",VLOOKUP($G431,AcctTbl,4,0)),"کد ناشناخته"))</f>
        <v/>
      </c>
      <c r="I431" s="13" t="n"/>
      <c r="J431" s="13" t="n"/>
      <c r="K431" s="14" t="n"/>
      <c r="L431" s="14" t="n"/>
      <c r="M431" s="15">
        <f>IF(OR($B431="",$K431=""),"",($K431-IF($L431="",0,$L431)*IFERROR(VLOOKUP("P01",ParamTbl,3,0),1.5))*(1-IF(IFERROR(VLOOKUP($E431,OpTbl,3,0),"")="خرید",IFERROR(VLOOKUP("P02",ParamTbl,3,0),1),0)/100))</f>
        <v/>
      </c>
      <c r="N431" s="14" t="n"/>
      <c r="O431" s="13" t="n"/>
    </row>
    <row r="432">
      <c r="A432" s="11">
        <f>IF($B432="","",COUNTA($B$9:$B432))</f>
        <v/>
      </c>
      <c r="B432" s="12" t="n"/>
      <c r="C432" s="12" t="n"/>
      <c r="D432" s="12" t="n"/>
      <c r="E432" s="13" t="n"/>
      <c r="F432" s="11">
        <f>IF($E432="","",IFERROR(VLOOKUP($E432,OpTbl,2,0),""))</f>
        <v/>
      </c>
      <c r="G432" s="12" t="n"/>
      <c r="H432" s="11">
        <f>IF($G432="","",IFERROR(IF(VLOOKUP($G432,AcctTbl,4,0)="","(بدون نام)",VLOOKUP($G432,AcctTbl,4,0)),"کد ناشناخته"))</f>
        <v/>
      </c>
      <c r="I432" s="13" t="n"/>
      <c r="J432" s="13" t="n"/>
      <c r="K432" s="14" t="n"/>
      <c r="L432" s="14" t="n"/>
      <c r="M432" s="15">
        <f>IF(OR($B432="",$K432=""),"",($K432-IF($L432="",0,$L432)*IFERROR(VLOOKUP("P01",ParamTbl,3,0),1.5))*(1-IF(IFERROR(VLOOKUP($E432,OpTbl,3,0),"")="خرید",IFERROR(VLOOKUP("P02",ParamTbl,3,0),1),0)/100))</f>
        <v/>
      </c>
      <c r="N432" s="14" t="n"/>
      <c r="O432" s="13" t="n"/>
    </row>
    <row r="433">
      <c r="A433" s="11">
        <f>IF($B433="","",COUNTA($B$9:$B433))</f>
        <v/>
      </c>
      <c r="B433" s="12" t="n"/>
      <c r="C433" s="12" t="n"/>
      <c r="D433" s="12" t="n"/>
      <c r="E433" s="13" t="n"/>
      <c r="F433" s="11">
        <f>IF($E433="","",IFERROR(VLOOKUP($E433,OpTbl,2,0),""))</f>
        <v/>
      </c>
      <c r="G433" s="12" t="n"/>
      <c r="H433" s="11">
        <f>IF($G433="","",IFERROR(IF(VLOOKUP($G433,AcctTbl,4,0)="","(بدون نام)",VLOOKUP($G433,AcctTbl,4,0)),"کد ناشناخته"))</f>
        <v/>
      </c>
      <c r="I433" s="13" t="n"/>
      <c r="J433" s="13" t="n"/>
      <c r="K433" s="14" t="n"/>
      <c r="L433" s="14" t="n"/>
      <c r="M433" s="15">
        <f>IF(OR($B433="",$K433=""),"",($K433-IF($L433="",0,$L433)*IFERROR(VLOOKUP("P01",ParamTbl,3,0),1.5))*(1-IF(IFERROR(VLOOKUP($E433,OpTbl,3,0),"")="خرید",IFERROR(VLOOKUP("P02",ParamTbl,3,0),1),0)/100))</f>
        <v/>
      </c>
      <c r="N433" s="14" t="n"/>
      <c r="O433" s="13" t="n"/>
    </row>
    <row r="434">
      <c r="A434" s="11">
        <f>IF($B434="","",COUNTA($B$9:$B434))</f>
        <v/>
      </c>
      <c r="B434" s="12" t="n"/>
      <c r="C434" s="12" t="n"/>
      <c r="D434" s="12" t="n"/>
      <c r="E434" s="13" t="n"/>
      <c r="F434" s="11">
        <f>IF($E434="","",IFERROR(VLOOKUP($E434,OpTbl,2,0),""))</f>
        <v/>
      </c>
      <c r="G434" s="12" t="n"/>
      <c r="H434" s="11">
        <f>IF($G434="","",IFERROR(IF(VLOOKUP($G434,AcctTbl,4,0)="","(بدون نام)",VLOOKUP($G434,AcctTbl,4,0)),"کد ناشناخته"))</f>
        <v/>
      </c>
      <c r="I434" s="13" t="n"/>
      <c r="J434" s="13" t="n"/>
      <c r="K434" s="14" t="n"/>
      <c r="L434" s="14" t="n"/>
      <c r="M434" s="15">
        <f>IF(OR($B434="",$K434=""),"",($K434-IF($L434="",0,$L434)*IFERROR(VLOOKUP("P01",ParamTbl,3,0),1.5))*(1-IF(IFERROR(VLOOKUP($E434,OpTbl,3,0),"")="خرید",IFERROR(VLOOKUP("P02",ParamTbl,3,0),1),0)/100))</f>
        <v/>
      </c>
      <c r="N434" s="14" t="n"/>
      <c r="O434" s="13" t="n"/>
    </row>
    <row r="435">
      <c r="A435" s="11">
        <f>IF($B435="","",COUNTA($B$9:$B435))</f>
        <v/>
      </c>
      <c r="B435" s="12" t="n"/>
      <c r="C435" s="12" t="n"/>
      <c r="D435" s="12" t="n"/>
      <c r="E435" s="13" t="n"/>
      <c r="F435" s="11">
        <f>IF($E435="","",IFERROR(VLOOKUP($E435,OpTbl,2,0),""))</f>
        <v/>
      </c>
      <c r="G435" s="12" t="n"/>
      <c r="H435" s="11">
        <f>IF($G435="","",IFERROR(IF(VLOOKUP($G435,AcctTbl,4,0)="","(بدون نام)",VLOOKUP($G435,AcctTbl,4,0)),"کد ناشناخته"))</f>
        <v/>
      </c>
      <c r="I435" s="13" t="n"/>
      <c r="J435" s="13" t="n"/>
      <c r="K435" s="14" t="n"/>
      <c r="L435" s="14" t="n"/>
      <c r="M435" s="15">
        <f>IF(OR($B435="",$K435=""),"",($K435-IF($L435="",0,$L435)*IFERROR(VLOOKUP("P01",ParamTbl,3,0),1.5))*(1-IF(IFERROR(VLOOKUP($E435,OpTbl,3,0),"")="خرید",IFERROR(VLOOKUP("P02",ParamTbl,3,0),1),0)/100))</f>
        <v/>
      </c>
      <c r="N435" s="14" t="n"/>
      <c r="O435" s="13" t="n"/>
    </row>
    <row r="436">
      <c r="A436" s="11">
        <f>IF($B436="","",COUNTA($B$9:$B436))</f>
        <v/>
      </c>
      <c r="B436" s="12" t="n"/>
      <c r="C436" s="12" t="n"/>
      <c r="D436" s="12" t="n"/>
      <c r="E436" s="13" t="n"/>
      <c r="F436" s="11">
        <f>IF($E436="","",IFERROR(VLOOKUP($E436,OpTbl,2,0),""))</f>
        <v/>
      </c>
      <c r="G436" s="12" t="n"/>
      <c r="H436" s="11">
        <f>IF($G436="","",IFERROR(IF(VLOOKUP($G436,AcctTbl,4,0)="","(بدون نام)",VLOOKUP($G436,AcctTbl,4,0)),"کد ناشناخته"))</f>
        <v/>
      </c>
      <c r="I436" s="13" t="n"/>
      <c r="J436" s="13" t="n"/>
      <c r="K436" s="14" t="n"/>
      <c r="L436" s="14" t="n"/>
      <c r="M436" s="15">
        <f>IF(OR($B436="",$K436=""),"",($K436-IF($L436="",0,$L436)*IFERROR(VLOOKUP("P01",ParamTbl,3,0),1.5))*(1-IF(IFERROR(VLOOKUP($E436,OpTbl,3,0),"")="خرید",IFERROR(VLOOKUP("P02",ParamTbl,3,0),1),0)/100))</f>
        <v/>
      </c>
      <c r="N436" s="14" t="n"/>
      <c r="O436" s="13" t="n"/>
    </row>
    <row r="437">
      <c r="A437" s="11">
        <f>IF($B437="","",COUNTA($B$9:$B437))</f>
        <v/>
      </c>
      <c r="B437" s="12" t="n"/>
      <c r="C437" s="12" t="n"/>
      <c r="D437" s="12" t="n"/>
      <c r="E437" s="13" t="n"/>
      <c r="F437" s="11">
        <f>IF($E437="","",IFERROR(VLOOKUP($E437,OpTbl,2,0),""))</f>
        <v/>
      </c>
      <c r="G437" s="12" t="n"/>
      <c r="H437" s="11">
        <f>IF($G437="","",IFERROR(IF(VLOOKUP($G437,AcctTbl,4,0)="","(بدون نام)",VLOOKUP($G437,AcctTbl,4,0)),"کد ناشناخته"))</f>
        <v/>
      </c>
      <c r="I437" s="13" t="n"/>
      <c r="J437" s="13" t="n"/>
      <c r="K437" s="14" t="n"/>
      <c r="L437" s="14" t="n"/>
      <c r="M437" s="15">
        <f>IF(OR($B437="",$K437=""),"",($K437-IF($L437="",0,$L437)*IFERROR(VLOOKUP("P01",ParamTbl,3,0),1.5))*(1-IF(IFERROR(VLOOKUP($E437,OpTbl,3,0),"")="خرید",IFERROR(VLOOKUP("P02",ParamTbl,3,0),1),0)/100))</f>
        <v/>
      </c>
      <c r="N437" s="14" t="n"/>
      <c r="O437" s="13" t="n"/>
    </row>
    <row r="438">
      <c r="A438" s="11">
        <f>IF($B438="","",COUNTA($B$9:$B438))</f>
        <v/>
      </c>
      <c r="B438" s="12" t="n"/>
      <c r="C438" s="12" t="n"/>
      <c r="D438" s="12" t="n"/>
      <c r="E438" s="13" t="n"/>
      <c r="F438" s="11">
        <f>IF($E438="","",IFERROR(VLOOKUP($E438,OpTbl,2,0),""))</f>
        <v/>
      </c>
      <c r="G438" s="12" t="n"/>
      <c r="H438" s="11">
        <f>IF($G438="","",IFERROR(IF(VLOOKUP($G438,AcctTbl,4,0)="","(بدون نام)",VLOOKUP($G438,AcctTbl,4,0)),"کد ناشناخته"))</f>
        <v/>
      </c>
      <c r="I438" s="13" t="n"/>
      <c r="J438" s="13" t="n"/>
      <c r="K438" s="14" t="n"/>
      <c r="L438" s="14" t="n"/>
      <c r="M438" s="15">
        <f>IF(OR($B438="",$K438=""),"",($K438-IF($L438="",0,$L438)*IFERROR(VLOOKUP("P01",ParamTbl,3,0),1.5))*(1-IF(IFERROR(VLOOKUP($E438,OpTbl,3,0),"")="خرید",IFERROR(VLOOKUP("P02",ParamTbl,3,0),1),0)/100))</f>
        <v/>
      </c>
      <c r="N438" s="14" t="n"/>
      <c r="O438" s="13" t="n"/>
    </row>
    <row r="439">
      <c r="A439" s="11">
        <f>IF($B439="","",COUNTA($B$9:$B439))</f>
        <v/>
      </c>
      <c r="B439" s="12" t="n"/>
      <c r="C439" s="12" t="n"/>
      <c r="D439" s="12" t="n"/>
      <c r="E439" s="13" t="n"/>
      <c r="F439" s="11">
        <f>IF($E439="","",IFERROR(VLOOKUP($E439,OpTbl,2,0),""))</f>
        <v/>
      </c>
      <c r="G439" s="12" t="n"/>
      <c r="H439" s="11">
        <f>IF($G439="","",IFERROR(IF(VLOOKUP($G439,AcctTbl,4,0)="","(بدون نام)",VLOOKUP($G439,AcctTbl,4,0)),"کد ناشناخته"))</f>
        <v/>
      </c>
      <c r="I439" s="13" t="n"/>
      <c r="J439" s="13" t="n"/>
      <c r="K439" s="14" t="n"/>
      <c r="L439" s="14" t="n"/>
      <c r="M439" s="15">
        <f>IF(OR($B439="",$K439=""),"",($K439-IF($L439="",0,$L439)*IFERROR(VLOOKUP("P01",ParamTbl,3,0),1.5))*(1-IF(IFERROR(VLOOKUP($E439,OpTbl,3,0),"")="خرید",IFERROR(VLOOKUP("P02",ParamTbl,3,0),1),0)/100))</f>
        <v/>
      </c>
      <c r="N439" s="14" t="n"/>
      <c r="O439" s="13" t="n"/>
    </row>
    <row r="440">
      <c r="A440" s="11">
        <f>IF($B440="","",COUNTA($B$9:$B440))</f>
        <v/>
      </c>
      <c r="B440" s="12" t="n"/>
      <c r="C440" s="12" t="n"/>
      <c r="D440" s="12" t="n"/>
      <c r="E440" s="13" t="n"/>
      <c r="F440" s="11">
        <f>IF($E440="","",IFERROR(VLOOKUP($E440,OpTbl,2,0),""))</f>
        <v/>
      </c>
      <c r="G440" s="12" t="n"/>
      <c r="H440" s="11">
        <f>IF($G440="","",IFERROR(IF(VLOOKUP($G440,AcctTbl,4,0)="","(بدون نام)",VLOOKUP($G440,AcctTbl,4,0)),"کد ناشناخته"))</f>
        <v/>
      </c>
      <c r="I440" s="13" t="n"/>
      <c r="J440" s="13" t="n"/>
      <c r="K440" s="14" t="n"/>
      <c r="L440" s="14" t="n"/>
      <c r="M440" s="15">
        <f>IF(OR($B440="",$K440=""),"",($K440-IF($L440="",0,$L440)*IFERROR(VLOOKUP("P01",ParamTbl,3,0),1.5))*(1-IF(IFERROR(VLOOKUP($E440,OpTbl,3,0),"")="خرید",IFERROR(VLOOKUP("P02",ParamTbl,3,0),1),0)/100))</f>
        <v/>
      </c>
      <c r="N440" s="14" t="n"/>
      <c r="O440" s="13" t="n"/>
    </row>
    <row r="441">
      <c r="A441" s="11">
        <f>IF($B441="","",COUNTA($B$9:$B441))</f>
        <v/>
      </c>
      <c r="B441" s="12" t="n"/>
      <c r="C441" s="12" t="n"/>
      <c r="D441" s="12" t="n"/>
      <c r="E441" s="13" t="n"/>
      <c r="F441" s="11">
        <f>IF($E441="","",IFERROR(VLOOKUP($E441,OpTbl,2,0),""))</f>
        <v/>
      </c>
      <c r="G441" s="12" t="n"/>
      <c r="H441" s="11">
        <f>IF($G441="","",IFERROR(IF(VLOOKUP($G441,AcctTbl,4,0)="","(بدون نام)",VLOOKUP($G441,AcctTbl,4,0)),"کد ناشناخته"))</f>
        <v/>
      </c>
      <c r="I441" s="13" t="n"/>
      <c r="J441" s="13" t="n"/>
      <c r="K441" s="14" t="n"/>
      <c r="L441" s="14" t="n"/>
      <c r="M441" s="15">
        <f>IF(OR($B441="",$K441=""),"",($K441-IF($L441="",0,$L441)*IFERROR(VLOOKUP("P01",ParamTbl,3,0),1.5))*(1-IF(IFERROR(VLOOKUP($E441,OpTbl,3,0),"")="خرید",IFERROR(VLOOKUP("P02",ParamTbl,3,0),1),0)/100))</f>
        <v/>
      </c>
      <c r="N441" s="14" t="n"/>
      <c r="O441" s="13" t="n"/>
    </row>
    <row r="442">
      <c r="A442" s="11">
        <f>IF($B442="","",COUNTA($B$9:$B442))</f>
        <v/>
      </c>
      <c r="B442" s="12" t="n"/>
      <c r="C442" s="12" t="n"/>
      <c r="D442" s="12" t="n"/>
      <c r="E442" s="13" t="n"/>
      <c r="F442" s="11">
        <f>IF($E442="","",IFERROR(VLOOKUP($E442,OpTbl,2,0),""))</f>
        <v/>
      </c>
      <c r="G442" s="12" t="n"/>
      <c r="H442" s="11">
        <f>IF($G442="","",IFERROR(IF(VLOOKUP($G442,AcctTbl,4,0)="","(بدون نام)",VLOOKUP($G442,AcctTbl,4,0)),"کد ناشناخته"))</f>
        <v/>
      </c>
      <c r="I442" s="13" t="n"/>
      <c r="J442" s="13" t="n"/>
      <c r="K442" s="14" t="n"/>
      <c r="L442" s="14" t="n"/>
      <c r="M442" s="15">
        <f>IF(OR($B442="",$K442=""),"",($K442-IF($L442="",0,$L442)*IFERROR(VLOOKUP("P01",ParamTbl,3,0),1.5))*(1-IF(IFERROR(VLOOKUP($E442,OpTbl,3,0),"")="خرید",IFERROR(VLOOKUP("P02",ParamTbl,3,0),1),0)/100))</f>
        <v/>
      </c>
      <c r="N442" s="14" t="n"/>
      <c r="O442" s="13" t="n"/>
    </row>
    <row r="443">
      <c r="A443" s="11">
        <f>IF($B443="","",COUNTA($B$9:$B443))</f>
        <v/>
      </c>
      <c r="B443" s="12" t="n"/>
      <c r="C443" s="12" t="n"/>
      <c r="D443" s="12" t="n"/>
      <c r="E443" s="13" t="n"/>
      <c r="F443" s="11">
        <f>IF($E443="","",IFERROR(VLOOKUP($E443,OpTbl,2,0),""))</f>
        <v/>
      </c>
      <c r="G443" s="12" t="n"/>
      <c r="H443" s="11">
        <f>IF($G443="","",IFERROR(IF(VLOOKUP($G443,AcctTbl,4,0)="","(بدون نام)",VLOOKUP($G443,AcctTbl,4,0)),"کد ناشناخته"))</f>
        <v/>
      </c>
      <c r="I443" s="13" t="n"/>
      <c r="J443" s="13" t="n"/>
      <c r="K443" s="14" t="n"/>
      <c r="L443" s="14" t="n"/>
      <c r="M443" s="15">
        <f>IF(OR($B443="",$K443=""),"",($K443-IF($L443="",0,$L443)*IFERROR(VLOOKUP("P01",ParamTbl,3,0),1.5))*(1-IF(IFERROR(VLOOKUP($E443,OpTbl,3,0),"")="خرید",IFERROR(VLOOKUP("P02",ParamTbl,3,0),1),0)/100))</f>
        <v/>
      </c>
      <c r="N443" s="14" t="n"/>
      <c r="O443" s="13" t="n"/>
    </row>
    <row r="444">
      <c r="A444" s="11">
        <f>IF($B444="","",COUNTA($B$9:$B444))</f>
        <v/>
      </c>
      <c r="B444" s="12" t="n"/>
      <c r="C444" s="12" t="n"/>
      <c r="D444" s="12" t="n"/>
      <c r="E444" s="13" t="n"/>
      <c r="F444" s="11">
        <f>IF($E444="","",IFERROR(VLOOKUP($E444,OpTbl,2,0),""))</f>
        <v/>
      </c>
      <c r="G444" s="12" t="n"/>
      <c r="H444" s="11">
        <f>IF($G444="","",IFERROR(IF(VLOOKUP($G444,AcctTbl,4,0)="","(بدون نام)",VLOOKUP($G444,AcctTbl,4,0)),"کد ناشناخته"))</f>
        <v/>
      </c>
      <c r="I444" s="13" t="n"/>
      <c r="J444" s="13" t="n"/>
      <c r="K444" s="14" t="n"/>
      <c r="L444" s="14" t="n"/>
      <c r="M444" s="15">
        <f>IF(OR($B444="",$K444=""),"",($K444-IF($L444="",0,$L444)*IFERROR(VLOOKUP("P01",ParamTbl,3,0),1.5))*(1-IF(IFERROR(VLOOKUP($E444,OpTbl,3,0),"")="خرید",IFERROR(VLOOKUP("P02",ParamTbl,3,0),1),0)/100))</f>
        <v/>
      </c>
      <c r="N444" s="14" t="n"/>
      <c r="O444" s="13" t="n"/>
    </row>
    <row r="445">
      <c r="A445" s="11">
        <f>IF($B445="","",COUNTA($B$9:$B445))</f>
        <v/>
      </c>
      <c r="B445" s="12" t="n"/>
      <c r="C445" s="12" t="n"/>
      <c r="D445" s="12" t="n"/>
      <c r="E445" s="13" t="n"/>
      <c r="F445" s="11">
        <f>IF($E445="","",IFERROR(VLOOKUP($E445,OpTbl,2,0),""))</f>
        <v/>
      </c>
      <c r="G445" s="12" t="n"/>
      <c r="H445" s="11">
        <f>IF($G445="","",IFERROR(IF(VLOOKUP($G445,AcctTbl,4,0)="","(بدون نام)",VLOOKUP($G445,AcctTbl,4,0)),"کد ناشناخته"))</f>
        <v/>
      </c>
      <c r="I445" s="13" t="n"/>
      <c r="J445" s="13" t="n"/>
      <c r="K445" s="14" t="n"/>
      <c r="L445" s="14" t="n"/>
      <c r="M445" s="15">
        <f>IF(OR($B445="",$K445=""),"",($K445-IF($L445="",0,$L445)*IFERROR(VLOOKUP("P01",ParamTbl,3,0),1.5))*(1-IF(IFERROR(VLOOKUP($E445,OpTbl,3,0),"")="خرید",IFERROR(VLOOKUP("P02",ParamTbl,3,0),1),0)/100))</f>
        <v/>
      </c>
      <c r="N445" s="14" t="n"/>
      <c r="O445" s="13" t="n"/>
    </row>
    <row r="446">
      <c r="A446" s="11">
        <f>IF($B446="","",COUNTA($B$9:$B446))</f>
        <v/>
      </c>
      <c r="B446" s="12" t="n"/>
      <c r="C446" s="12" t="n"/>
      <c r="D446" s="12" t="n"/>
      <c r="E446" s="13" t="n"/>
      <c r="F446" s="11">
        <f>IF($E446="","",IFERROR(VLOOKUP($E446,OpTbl,2,0),""))</f>
        <v/>
      </c>
      <c r="G446" s="12" t="n"/>
      <c r="H446" s="11">
        <f>IF($G446="","",IFERROR(IF(VLOOKUP($G446,AcctTbl,4,0)="","(بدون نام)",VLOOKUP($G446,AcctTbl,4,0)),"کد ناشناخته"))</f>
        <v/>
      </c>
      <c r="I446" s="13" t="n"/>
      <c r="J446" s="13" t="n"/>
      <c r="K446" s="14" t="n"/>
      <c r="L446" s="14" t="n"/>
      <c r="M446" s="15">
        <f>IF(OR($B446="",$K446=""),"",($K446-IF($L446="",0,$L446)*IFERROR(VLOOKUP("P01",ParamTbl,3,0),1.5))*(1-IF(IFERROR(VLOOKUP($E446,OpTbl,3,0),"")="خرید",IFERROR(VLOOKUP("P02",ParamTbl,3,0),1),0)/100))</f>
        <v/>
      </c>
      <c r="N446" s="14" t="n"/>
      <c r="O446" s="13" t="n"/>
    </row>
    <row r="447">
      <c r="A447" s="11">
        <f>IF($B447="","",COUNTA($B$9:$B447))</f>
        <v/>
      </c>
      <c r="B447" s="12" t="n"/>
      <c r="C447" s="12" t="n"/>
      <c r="D447" s="12" t="n"/>
      <c r="E447" s="13" t="n"/>
      <c r="F447" s="11">
        <f>IF($E447="","",IFERROR(VLOOKUP($E447,OpTbl,2,0),""))</f>
        <v/>
      </c>
      <c r="G447" s="12" t="n"/>
      <c r="H447" s="11">
        <f>IF($G447="","",IFERROR(IF(VLOOKUP($G447,AcctTbl,4,0)="","(بدون نام)",VLOOKUP($G447,AcctTbl,4,0)),"کد ناشناخته"))</f>
        <v/>
      </c>
      <c r="I447" s="13" t="n"/>
      <c r="J447" s="13" t="n"/>
      <c r="K447" s="14" t="n"/>
      <c r="L447" s="14" t="n"/>
      <c r="M447" s="15">
        <f>IF(OR($B447="",$K447=""),"",($K447-IF($L447="",0,$L447)*IFERROR(VLOOKUP("P01",ParamTbl,3,0),1.5))*(1-IF(IFERROR(VLOOKUP($E447,OpTbl,3,0),"")="خرید",IFERROR(VLOOKUP("P02",ParamTbl,3,0),1),0)/100))</f>
        <v/>
      </c>
      <c r="N447" s="14" t="n"/>
      <c r="O447" s="13" t="n"/>
    </row>
    <row r="448">
      <c r="A448" s="11">
        <f>IF($B448="","",COUNTA($B$9:$B448))</f>
        <v/>
      </c>
      <c r="B448" s="12" t="n"/>
      <c r="C448" s="12" t="n"/>
      <c r="D448" s="12" t="n"/>
      <c r="E448" s="13" t="n"/>
      <c r="F448" s="11">
        <f>IF($E448="","",IFERROR(VLOOKUP($E448,OpTbl,2,0),""))</f>
        <v/>
      </c>
      <c r="G448" s="12" t="n"/>
      <c r="H448" s="11">
        <f>IF($G448="","",IFERROR(IF(VLOOKUP($G448,AcctTbl,4,0)="","(بدون نام)",VLOOKUP($G448,AcctTbl,4,0)),"کد ناشناخته"))</f>
        <v/>
      </c>
      <c r="I448" s="13" t="n"/>
      <c r="J448" s="13" t="n"/>
      <c r="K448" s="14" t="n"/>
      <c r="L448" s="14" t="n"/>
      <c r="M448" s="15">
        <f>IF(OR($B448="",$K448=""),"",($K448-IF($L448="",0,$L448)*IFERROR(VLOOKUP("P01",ParamTbl,3,0),1.5))*(1-IF(IFERROR(VLOOKUP($E448,OpTbl,3,0),"")="خرید",IFERROR(VLOOKUP("P02",ParamTbl,3,0),1),0)/100))</f>
        <v/>
      </c>
      <c r="N448" s="14" t="n"/>
      <c r="O448" s="13" t="n"/>
    </row>
    <row r="449">
      <c r="A449" s="11">
        <f>IF($B449="","",COUNTA($B$9:$B449))</f>
        <v/>
      </c>
      <c r="B449" s="12" t="n"/>
      <c r="C449" s="12" t="n"/>
      <c r="D449" s="12" t="n"/>
      <c r="E449" s="13" t="n"/>
      <c r="F449" s="11">
        <f>IF($E449="","",IFERROR(VLOOKUP($E449,OpTbl,2,0),""))</f>
        <v/>
      </c>
      <c r="G449" s="12" t="n"/>
      <c r="H449" s="11">
        <f>IF($G449="","",IFERROR(IF(VLOOKUP($G449,AcctTbl,4,0)="","(بدون نام)",VLOOKUP($G449,AcctTbl,4,0)),"کد ناشناخته"))</f>
        <v/>
      </c>
      <c r="I449" s="13" t="n"/>
      <c r="J449" s="13" t="n"/>
      <c r="K449" s="14" t="n"/>
      <c r="L449" s="14" t="n"/>
      <c r="M449" s="15">
        <f>IF(OR($B449="",$K449=""),"",($K449-IF($L449="",0,$L449)*IFERROR(VLOOKUP("P01",ParamTbl,3,0),1.5))*(1-IF(IFERROR(VLOOKUP($E449,OpTbl,3,0),"")="خرید",IFERROR(VLOOKUP("P02",ParamTbl,3,0),1),0)/100))</f>
        <v/>
      </c>
      <c r="N449" s="14" t="n"/>
      <c r="O449" s="13" t="n"/>
    </row>
    <row r="450">
      <c r="A450" s="11">
        <f>IF($B450="","",COUNTA($B$9:$B450))</f>
        <v/>
      </c>
      <c r="B450" s="12" t="n"/>
      <c r="C450" s="12" t="n"/>
      <c r="D450" s="12" t="n"/>
      <c r="E450" s="13" t="n"/>
      <c r="F450" s="11">
        <f>IF($E450="","",IFERROR(VLOOKUP($E450,OpTbl,2,0),""))</f>
        <v/>
      </c>
      <c r="G450" s="12" t="n"/>
      <c r="H450" s="11">
        <f>IF($G450="","",IFERROR(IF(VLOOKUP($G450,AcctTbl,4,0)="","(بدون نام)",VLOOKUP($G450,AcctTbl,4,0)),"کد ناشناخته"))</f>
        <v/>
      </c>
      <c r="I450" s="13" t="n"/>
      <c r="J450" s="13" t="n"/>
      <c r="K450" s="14" t="n"/>
      <c r="L450" s="14" t="n"/>
      <c r="M450" s="15">
        <f>IF(OR($B450="",$K450=""),"",($K450-IF($L450="",0,$L450)*IFERROR(VLOOKUP("P01",ParamTbl,3,0),1.5))*(1-IF(IFERROR(VLOOKUP($E450,OpTbl,3,0),"")="خرید",IFERROR(VLOOKUP("P02",ParamTbl,3,0),1),0)/100))</f>
        <v/>
      </c>
      <c r="N450" s="14" t="n"/>
      <c r="O450" s="13" t="n"/>
    </row>
    <row r="451">
      <c r="A451" s="11">
        <f>IF($B451="","",COUNTA($B$9:$B451))</f>
        <v/>
      </c>
      <c r="B451" s="12" t="n"/>
      <c r="C451" s="12" t="n"/>
      <c r="D451" s="12" t="n"/>
      <c r="E451" s="13" t="n"/>
      <c r="F451" s="11">
        <f>IF($E451="","",IFERROR(VLOOKUP($E451,OpTbl,2,0),""))</f>
        <v/>
      </c>
      <c r="G451" s="12" t="n"/>
      <c r="H451" s="11">
        <f>IF($G451="","",IFERROR(IF(VLOOKUP($G451,AcctTbl,4,0)="","(بدون نام)",VLOOKUP($G451,AcctTbl,4,0)),"کد ناشناخته"))</f>
        <v/>
      </c>
      <c r="I451" s="13" t="n"/>
      <c r="J451" s="13" t="n"/>
      <c r="K451" s="14" t="n"/>
      <c r="L451" s="14" t="n"/>
      <c r="M451" s="15">
        <f>IF(OR($B451="",$K451=""),"",($K451-IF($L451="",0,$L451)*IFERROR(VLOOKUP("P01",ParamTbl,3,0),1.5))*(1-IF(IFERROR(VLOOKUP($E451,OpTbl,3,0),"")="خرید",IFERROR(VLOOKUP("P02",ParamTbl,3,0),1),0)/100))</f>
        <v/>
      </c>
      <c r="N451" s="14" t="n"/>
      <c r="O451" s="13" t="n"/>
    </row>
    <row r="452">
      <c r="A452" s="11">
        <f>IF($B452="","",COUNTA($B$9:$B452))</f>
        <v/>
      </c>
      <c r="B452" s="12" t="n"/>
      <c r="C452" s="12" t="n"/>
      <c r="D452" s="12" t="n"/>
      <c r="E452" s="13" t="n"/>
      <c r="F452" s="11">
        <f>IF($E452="","",IFERROR(VLOOKUP($E452,OpTbl,2,0),""))</f>
        <v/>
      </c>
      <c r="G452" s="12" t="n"/>
      <c r="H452" s="11">
        <f>IF($G452="","",IFERROR(IF(VLOOKUP($G452,AcctTbl,4,0)="","(بدون نام)",VLOOKUP($G452,AcctTbl,4,0)),"کد ناشناخته"))</f>
        <v/>
      </c>
      <c r="I452" s="13" t="n"/>
      <c r="J452" s="13" t="n"/>
      <c r="K452" s="14" t="n"/>
      <c r="L452" s="14" t="n"/>
      <c r="M452" s="15">
        <f>IF(OR($B452="",$K452=""),"",($K452-IF($L452="",0,$L452)*IFERROR(VLOOKUP("P01",ParamTbl,3,0),1.5))*(1-IF(IFERROR(VLOOKUP($E452,OpTbl,3,0),"")="خرید",IFERROR(VLOOKUP("P02",ParamTbl,3,0),1),0)/100))</f>
        <v/>
      </c>
      <c r="N452" s="14" t="n"/>
      <c r="O452" s="13" t="n"/>
    </row>
    <row r="453">
      <c r="A453" s="11">
        <f>IF($B453="","",COUNTA($B$9:$B453))</f>
        <v/>
      </c>
      <c r="B453" s="12" t="n"/>
      <c r="C453" s="12" t="n"/>
      <c r="D453" s="12" t="n"/>
      <c r="E453" s="13" t="n"/>
      <c r="F453" s="11">
        <f>IF($E453="","",IFERROR(VLOOKUP($E453,OpTbl,2,0),""))</f>
        <v/>
      </c>
      <c r="G453" s="12" t="n"/>
      <c r="H453" s="11">
        <f>IF($G453="","",IFERROR(IF(VLOOKUP($G453,AcctTbl,4,0)="","(بدون نام)",VLOOKUP($G453,AcctTbl,4,0)),"کد ناشناخته"))</f>
        <v/>
      </c>
      <c r="I453" s="13" t="n"/>
      <c r="J453" s="13" t="n"/>
      <c r="K453" s="14" t="n"/>
      <c r="L453" s="14" t="n"/>
      <c r="M453" s="15">
        <f>IF(OR($B453="",$K453=""),"",($K453-IF($L453="",0,$L453)*IFERROR(VLOOKUP("P01",ParamTbl,3,0),1.5))*(1-IF(IFERROR(VLOOKUP($E453,OpTbl,3,0),"")="خرید",IFERROR(VLOOKUP("P02",ParamTbl,3,0),1),0)/100))</f>
        <v/>
      </c>
      <c r="N453" s="14" t="n"/>
      <c r="O453" s="13" t="n"/>
    </row>
    <row r="454">
      <c r="A454" s="11">
        <f>IF($B454="","",COUNTA($B$9:$B454))</f>
        <v/>
      </c>
      <c r="B454" s="12" t="n"/>
      <c r="C454" s="12" t="n"/>
      <c r="D454" s="12" t="n"/>
      <c r="E454" s="13" t="n"/>
      <c r="F454" s="11">
        <f>IF($E454="","",IFERROR(VLOOKUP($E454,OpTbl,2,0),""))</f>
        <v/>
      </c>
      <c r="G454" s="12" t="n"/>
      <c r="H454" s="11">
        <f>IF($G454="","",IFERROR(IF(VLOOKUP($G454,AcctTbl,4,0)="","(بدون نام)",VLOOKUP($G454,AcctTbl,4,0)),"کد ناشناخته"))</f>
        <v/>
      </c>
      <c r="I454" s="13" t="n"/>
      <c r="J454" s="13" t="n"/>
      <c r="K454" s="14" t="n"/>
      <c r="L454" s="14" t="n"/>
      <c r="M454" s="15">
        <f>IF(OR($B454="",$K454=""),"",($K454-IF($L454="",0,$L454)*IFERROR(VLOOKUP("P01",ParamTbl,3,0),1.5))*(1-IF(IFERROR(VLOOKUP($E454,OpTbl,3,0),"")="خرید",IFERROR(VLOOKUP("P02",ParamTbl,3,0),1),0)/100))</f>
        <v/>
      </c>
      <c r="N454" s="14" t="n"/>
      <c r="O454" s="13" t="n"/>
    </row>
    <row r="455">
      <c r="A455" s="11">
        <f>IF($B455="","",COUNTA($B$9:$B455))</f>
        <v/>
      </c>
      <c r="B455" s="12" t="n"/>
      <c r="C455" s="12" t="n"/>
      <c r="D455" s="12" t="n"/>
      <c r="E455" s="13" t="n"/>
      <c r="F455" s="11">
        <f>IF($E455="","",IFERROR(VLOOKUP($E455,OpTbl,2,0),""))</f>
        <v/>
      </c>
      <c r="G455" s="12" t="n"/>
      <c r="H455" s="11">
        <f>IF($G455="","",IFERROR(IF(VLOOKUP($G455,AcctTbl,4,0)="","(بدون نام)",VLOOKUP($G455,AcctTbl,4,0)),"کد ناشناخته"))</f>
        <v/>
      </c>
      <c r="I455" s="13" t="n"/>
      <c r="J455" s="13" t="n"/>
      <c r="K455" s="14" t="n"/>
      <c r="L455" s="14" t="n"/>
      <c r="M455" s="15">
        <f>IF(OR($B455="",$K455=""),"",($K455-IF($L455="",0,$L455)*IFERROR(VLOOKUP("P01",ParamTbl,3,0),1.5))*(1-IF(IFERROR(VLOOKUP($E455,OpTbl,3,0),"")="خرید",IFERROR(VLOOKUP("P02",ParamTbl,3,0),1),0)/100))</f>
        <v/>
      </c>
      <c r="N455" s="14" t="n"/>
      <c r="O455" s="13" t="n"/>
    </row>
    <row r="456">
      <c r="A456" s="11">
        <f>IF($B456="","",COUNTA($B$9:$B456))</f>
        <v/>
      </c>
      <c r="B456" s="12" t="n"/>
      <c r="C456" s="12" t="n"/>
      <c r="D456" s="12" t="n"/>
      <c r="E456" s="13" t="n"/>
      <c r="F456" s="11">
        <f>IF($E456="","",IFERROR(VLOOKUP($E456,OpTbl,2,0),""))</f>
        <v/>
      </c>
      <c r="G456" s="12" t="n"/>
      <c r="H456" s="11">
        <f>IF($G456="","",IFERROR(IF(VLOOKUP($G456,AcctTbl,4,0)="","(بدون نام)",VLOOKUP($G456,AcctTbl,4,0)),"کد ناشناخته"))</f>
        <v/>
      </c>
      <c r="I456" s="13" t="n"/>
      <c r="J456" s="13" t="n"/>
      <c r="K456" s="14" t="n"/>
      <c r="L456" s="14" t="n"/>
      <c r="M456" s="15">
        <f>IF(OR($B456="",$K456=""),"",($K456-IF($L456="",0,$L456)*IFERROR(VLOOKUP("P01",ParamTbl,3,0),1.5))*(1-IF(IFERROR(VLOOKUP($E456,OpTbl,3,0),"")="خرید",IFERROR(VLOOKUP("P02",ParamTbl,3,0),1),0)/100))</f>
        <v/>
      </c>
      <c r="N456" s="14" t="n"/>
      <c r="O456" s="13" t="n"/>
    </row>
    <row r="457">
      <c r="A457" s="11">
        <f>IF($B457="","",COUNTA($B$9:$B457))</f>
        <v/>
      </c>
      <c r="B457" s="12" t="n"/>
      <c r="C457" s="12" t="n"/>
      <c r="D457" s="12" t="n"/>
      <c r="E457" s="13" t="n"/>
      <c r="F457" s="11">
        <f>IF($E457="","",IFERROR(VLOOKUP($E457,OpTbl,2,0),""))</f>
        <v/>
      </c>
      <c r="G457" s="12" t="n"/>
      <c r="H457" s="11">
        <f>IF($G457="","",IFERROR(IF(VLOOKUP($G457,AcctTbl,4,0)="","(بدون نام)",VLOOKUP($G457,AcctTbl,4,0)),"کد ناشناخته"))</f>
        <v/>
      </c>
      <c r="I457" s="13" t="n"/>
      <c r="J457" s="13" t="n"/>
      <c r="K457" s="14" t="n"/>
      <c r="L457" s="14" t="n"/>
      <c r="M457" s="15">
        <f>IF(OR($B457="",$K457=""),"",($K457-IF($L457="",0,$L457)*IFERROR(VLOOKUP("P01",ParamTbl,3,0),1.5))*(1-IF(IFERROR(VLOOKUP($E457,OpTbl,3,0),"")="خرید",IFERROR(VLOOKUP("P02",ParamTbl,3,0),1),0)/100))</f>
        <v/>
      </c>
      <c r="N457" s="14" t="n"/>
      <c r="O457" s="13" t="n"/>
    </row>
    <row r="458">
      <c r="A458" s="11">
        <f>IF($B458="","",COUNTA($B$9:$B458))</f>
        <v/>
      </c>
      <c r="B458" s="12" t="n"/>
      <c r="C458" s="12" t="n"/>
      <c r="D458" s="12" t="n"/>
      <c r="E458" s="13" t="n"/>
      <c r="F458" s="11">
        <f>IF($E458="","",IFERROR(VLOOKUP($E458,OpTbl,2,0),""))</f>
        <v/>
      </c>
      <c r="G458" s="12" t="n"/>
      <c r="H458" s="11">
        <f>IF($G458="","",IFERROR(IF(VLOOKUP($G458,AcctTbl,4,0)="","(بدون نام)",VLOOKUP($G458,AcctTbl,4,0)),"کد ناشناخته"))</f>
        <v/>
      </c>
      <c r="I458" s="13" t="n"/>
      <c r="J458" s="13" t="n"/>
      <c r="K458" s="14" t="n"/>
      <c r="L458" s="14" t="n"/>
      <c r="M458" s="15">
        <f>IF(OR($B458="",$K458=""),"",($K458-IF($L458="",0,$L458)*IFERROR(VLOOKUP("P01",ParamTbl,3,0),1.5))*(1-IF(IFERROR(VLOOKUP($E458,OpTbl,3,0),"")="خرید",IFERROR(VLOOKUP("P02",ParamTbl,3,0),1),0)/100))</f>
        <v/>
      </c>
      <c r="N458" s="14" t="n"/>
      <c r="O458" s="13" t="n"/>
    </row>
    <row r="459">
      <c r="A459" s="11">
        <f>IF($B459="","",COUNTA($B$9:$B459))</f>
        <v/>
      </c>
      <c r="B459" s="12" t="n"/>
      <c r="C459" s="12" t="n"/>
      <c r="D459" s="12" t="n"/>
      <c r="E459" s="13" t="n"/>
      <c r="F459" s="11">
        <f>IF($E459="","",IFERROR(VLOOKUP($E459,OpTbl,2,0),""))</f>
        <v/>
      </c>
      <c r="G459" s="12" t="n"/>
      <c r="H459" s="11">
        <f>IF($G459="","",IFERROR(IF(VLOOKUP($G459,AcctTbl,4,0)="","(بدون نام)",VLOOKUP($G459,AcctTbl,4,0)),"کد ناشناخته"))</f>
        <v/>
      </c>
      <c r="I459" s="13" t="n"/>
      <c r="J459" s="13" t="n"/>
      <c r="K459" s="14" t="n"/>
      <c r="L459" s="14" t="n"/>
      <c r="M459" s="15">
        <f>IF(OR($B459="",$K459=""),"",($K459-IF($L459="",0,$L459)*IFERROR(VLOOKUP("P01",ParamTbl,3,0),1.5))*(1-IF(IFERROR(VLOOKUP($E459,OpTbl,3,0),"")="خرید",IFERROR(VLOOKUP("P02",ParamTbl,3,0),1),0)/100))</f>
        <v/>
      </c>
      <c r="N459" s="14" t="n"/>
      <c r="O459" s="13" t="n"/>
    </row>
    <row r="460">
      <c r="A460" s="11">
        <f>IF($B460="","",COUNTA($B$9:$B460))</f>
        <v/>
      </c>
      <c r="B460" s="12" t="n"/>
      <c r="C460" s="12" t="n"/>
      <c r="D460" s="12" t="n"/>
      <c r="E460" s="13" t="n"/>
      <c r="F460" s="11">
        <f>IF($E460="","",IFERROR(VLOOKUP($E460,OpTbl,2,0),""))</f>
        <v/>
      </c>
      <c r="G460" s="12" t="n"/>
      <c r="H460" s="11">
        <f>IF($G460="","",IFERROR(IF(VLOOKUP($G460,AcctTbl,4,0)="","(بدون نام)",VLOOKUP($G460,AcctTbl,4,0)),"کد ناشناخته"))</f>
        <v/>
      </c>
      <c r="I460" s="13" t="n"/>
      <c r="J460" s="13" t="n"/>
      <c r="K460" s="14" t="n"/>
      <c r="L460" s="14" t="n"/>
      <c r="M460" s="15">
        <f>IF(OR($B460="",$K460=""),"",($K460-IF($L460="",0,$L460)*IFERROR(VLOOKUP("P01",ParamTbl,3,0),1.5))*(1-IF(IFERROR(VLOOKUP($E460,OpTbl,3,0),"")="خرید",IFERROR(VLOOKUP("P02",ParamTbl,3,0),1),0)/100))</f>
        <v/>
      </c>
      <c r="N460" s="14" t="n"/>
      <c r="O460" s="13" t="n"/>
    </row>
    <row r="461">
      <c r="A461" s="11">
        <f>IF($B461="","",COUNTA($B$9:$B461))</f>
        <v/>
      </c>
      <c r="B461" s="12" t="n"/>
      <c r="C461" s="12" t="n"/>
      <c r="D461" s="12" t="n"/>
      <c r="E461" s="13" t="n"/>
      <c r="F461" s="11">
        <f>IF($E461="","",IFERROR(VLOOKUP($E461,OpTbl,2,0),""))</f>
        <v/>
      </c>
      <c r="G461" s="12" t="n"/>
      <c r="H461" s="11">
        <f>IF($G461="","",IFERROR(IF(VLOOKUP($G461,AcctTbl,4,0)="","(بدون نام)",VLOOKUP($G461,AcctTbl,4,0)),"کد ناشناخته"))</f>
        <v/>
      </c>
      <c r="I461" s="13" t="n"/>
      <c r="J461" s="13" t="n"/>
      <c r="K461" s="14" t="n"/>
      <c r="L461" s="14" t="n"/>
      <c r="M461" s="15">
        <f>IF(OR($B461="",$K461=""),"",($K461-IF($L461="",0,$L461)*IFERROR(VLOOKUP("P01",ParamTbl,3,0),1.5))*(1-IF(IFERROR(VLOOKUP($E461,OpTbl,3,0),"")="خرید",IFERROR(VLOOKUP("P02",ParamTbl,3,0),1),0)/100))</f>
        <v/>
      </c>
      <c r="N461" s="14" t="n"/>
      <c r="O461" s="13" t="n"/>
    </row>
    <row r="462">
      <c r="A462" s="11">
        <f>IF($B462="","",COUNTA($B$9:$B462))</f>
        <v/>
      </c>
      <c r="B462" s="12" t="n"/>
      <c r="C462" s="12" t="n"/>
      <c r="D462" s="12" t="n"/>
      <c r="E462" s="13" t="n"/>
      <c r="F462" s="11">
        <f>IF($E462="","",IFERROR(VLOOKUP($E462,OpTbl,2,0),""))</f>
        <v/>
      </c>
      <c r="G462" s="12" t="n"/>
      <c r="H462" s="11">
        <f>IF($G462="","",IFERROR(IF(VLOOKUP($G462,AcctTbl,4,0)="","(بدون نام)",VLOOKUP($G462,AcctTbl,4,0)),"کد ناشناخته"))</f>
        <v/>
      </c>
      <c r="I462" s="13" t="n"/>
      <c r="J462" s="13" t="n"/>
      <c r="K462" s="14" t="n"/>
      <c r="L462" s="14" t="n"/>
      <c r="M462" s="15">
        <f>IF(OR($B462="",$K462=""),"",($K462-IF($L462="",0,$L462)*IFERROR(VLOOKUP("P01",ParamTbl,3,0),1.5))*(1-IF(IFERROR(VLOOKUP($E462,OpTbl,3,0),"")="خرید",IFERROR(VLOOKUP("P02",ParamTbl,3,0),1),0)/100))</f>
        <v/>
      </c>
      <c r="N462" s="14" t="n"/>
      <c r="O462" s="13" t="n"/>
    </row>
    <row r="463">
      <c r="A463" s="11">
        <f>IF($B463="","",COUNTA($B$9:$B463))</f>
        <v/>
      </c>
      <c r="B463" s="12" t="n"/>
      <c r="C463" s="12" t="n"/>
      <c r="D463" s="12" t="n"/>
      <c r="E463" s="13" t="n"/>
      <c r="F463" s="11">
        <f>IF($E463="","",IFERROR(VLOOKUP($E463,OpTbl,2,0),""))</f>
        <v/>
      </c>
      <c r="G463" s="12" t="n"/>
      <c r="H463" s="11">
        <f>IF($G463="","",IFERROR(IF(VLOOKUP($G463,AcctTbl,4,0)="","(بدون نام)",VLOOKUP($G463,AcctTbl,4,0)),"کد ناشناخته"))</f>
        <v/>
      </c>
      <c r="I463" s="13" t="n"/>
      <c r="J463" s="13" t="n"/>
      <c r="K463" s="14" t="n"/>
      <c r="L463" s="14" t="n"/>
      <c r="M463" s="15">
        <f>IF(OR($B463="",$K463=""),"",($K463-IF($L463="",0,$L463)*IFERROR(VLOOKUP("P01",ParamTbl,3,0),1.5))*(1-IF(IFERROR(VLOOKUP($E463,OpTbl,3,0),"")="خرید",IFERROR(VLOOKUP("P02",ParamTbl,3,0),1),0)/100))</f>
        <v/>
      </c>
      <c r="N463" s="14" t="n"/>
      <c r="O463" s="13" t="n"/>
    </row>
    <row r="464">
      <c r="A464" s="11">
        <f>IF($B464="","",COUNTA($B$9:$B464))</f>
        <v/>
      </c>
      <c r="B464" s="12" t="n"/>
      <c r="C464" s="12" t="n"/>
      <c r="D464" s="12" t="n"/>
      <c r="E464" s="13" t="n"/>
      <c r="F464" s="11">
        <f>IF($E464="","",IFERROR(VLOOKUP($E464,OpTbl,2,0),""))</f>
        <v/>
      </c>
      <c r="G464" s="12" t="n"/>
      <c r="H464" s="11">
        <f>IF($G464="","",IFERROR(IF(VLOOKUP($G464,AcctTbl,4,0)="","(بدون نام)",VLOOKUP($G464,AcctTbl,4,0)),"کد ناشناخته"))</f>
        <v/>
      </c>
      <c r="I464" s="13" t="n"/>
      <c r="J464" s="13" t="n"/>
      <c r="K464" s="14" t="n"/>
      <c r="L464" s="14" t="n"/>
      <c r="M464" s="15">
        <f>IF(OR($B464="",$K464=""),"",($K464-IF($L464="",0,$L464)*IFERROR(VLOOKUP("P01",ParamTbl,3,0),1.5))*(1-IF(IFERROR(VLOOKUP($E464,OpTbl,3,0),"")="خرید",IFERROR(VLOOKUP("P02",ParamTbl,3,0),1),0)/100))</f>
        <v/>
      </c>
      <c r="N464" s="14" t="n"/>
      <c r="O464" s="13" t="n"/>
    </row>
    <row r="465">
      <c r="A465" s="11">
        <f>IF($B465="","",COUNTA($B$9:$B465))</f>
        <v/>
      </c>
      <c r="B465" s="12" t="n"/>
      <c r="C465" s="12" t="n"/>
      <c r="D465" s="12" t="n"/>
      <c r="E465" s="13" t="n"/>
      <c r="F465" s="11">
        <f>IF($E465="","",IFERROR(VLOOKUP($E465,OpTbl,2,0),""))</f>
        <v/>
      </c>
      <c r="G465" s="12" t="n"/>
      <c r="H465" s="11">
        <f>IF($G465="","",IFERROR(IF(VLOOKUP($G465,AcctTbl,4,0)="","(بدون نام)",VLOOKUP($G465,AcctTbl,4,0)),"کد ناشناخته"))</f>
        <v/>
      </c>
      <c r="I465" s="13" t="n"/>
      <c r="J465" s="13" t="n"/>
      <c r="K465" s="14" t="n"/>
      <c r="L465" s="14" t="n"/>
      <c r="M465" s="15">
        <f>IF(OR($B465="",$K465=""),"",($K465-IF($L465="",0,$L465)*IFERROR(VLOOKUP("P01",ParamTbl,3,0),1.5))*(1-IF(IFERROR(VLOOKUP($E465,OpTbl,3,0),"")="خرید",IFERROR(VLOOKUP("P02",ParamTbl,3,0),1),0)/100))</f>
        <v/>
      </c>
      <c r="N465" s="14" t="n"/>
      <c r="O465" s="13" t="n"/>
    </row>
    <row r="466">
      <c r="A466" s="11">
        <f>IF($B466="","",COUNTA($B$9:$B466))</f>
        <v/>
      </c>
      <c r="B466" s="12" t="n"/>
      <c r="C466" s="12" t="n"/>
      <c r="D466" s="12" t="n"/>
      <c r="E466" s="13" t="n"/>
      <c r="F466" s="11">
        <f>IF($E466="","",IFERROR(VLOOKUP($E466,OpTbl,2,0),""))</f>
        <v/>
      </c>
      <c r="G466" s="12" t="n"/>
      <c r="H466" s="11">
        <f>IF($G466="","",IFERROR(IF(VLOOKUP($G466,AcctTbl,4,0)="","(بدون نام)",VLOOKUP($G466,AcctTbl,4,0)),"کد ناشناخته"))</f>
        <v/>
      </c>
      <c r="I466" s="13" t="n"/>
      <c r="J466" s="13" t="n"/>
      <c r="K466" s="14" t="n"/>
      <c r="L466" s="14" t="n"/>
      <c r="M466" s="15">
        <f>IF(OR($B466="",$K466=""),"",($K466-IF($L466="",0,$L466)*IFERROR(VLOOKUP("P01",ParamTbl,3,0),1.5))*(1-IF(IFERROR(VLOOKUP($E466,OpTbl,3,0),"")="خرید",IFERROR(VLOOKUP("P02",ParamTbl,3,0),1),0)/100))</f>
        <v/>
      </c>
      <c r="N466" s="14" t="n"/>
      <c r="O466" s="13" t="n"/>
    </row>
    <row r="467">
      <c r="A467" s="11">
        <f>IF($B467="","",COUNTA($B$9:$B467))</f>
        <v/>
      </c>
      <c r="B467" s="12" t="n"/>
      <c r="C467" s="12" t="n"/>
      <c r="D467" s="12" t="n"/>
      <c r="E467" s="13" t="n"/>
      <c r="F467" s="11">
        <f>IF($E467="","",IFERROR(VLOOKUP($E467,OpTbl,2,0),""))</f>
        <v/>
      </c>
      <c r="G467" s="12" t="n"/>
      <c r="H467" s="11">
        <f>IF($G467="","",IFERROR(IF(VLOOKUP($G467,AcctTbl,4,0)="","(بدون نام)",VLOOKUP($G467,AcctTbl,4,0)),"کد ناشناخته"))</f>
        <v/>
      </c>
      <c r="I467" s="13" t="n"/>
      <c r="J467" s="13" t="n"/>
      <c r="K467" s="14" t="n"/>
      <c r="L467" s="14" t="n"/>
      <c r="M467" s="15">
        <f>IF(OR($B467="",$K467=""),"",($K467-IF($L467="",0,$L467)*IFERROR(VLOOKUP("P01",ParamTbl,3,0),1.5))*(1-IF(IFERROR(VLOOKUP($E467,OpTbl,3,0),"")="خرید",IFERROR(VLOOKUP("P02",ParamTbl,3,0),1),0)/100))</f>
        <v/>
      </c>
      <c r="N467" s="14" t="n"/>
      <c r="O467" s="13" t="n"/>
    </row>
    <row r="468">
      <c r="A468" s="11">
        <f>IF($B468="","",COUNTA($B$9:$B468))</f>
        <v/>
      </c>
      <c r="B468" s="12" t="n"/>
      <c r="C468" s="12" t="n"/>
      <c r="D468" s="12" t="n"/>
      <c r="E468" s="13" t="n"/>
      <c r="F468" s="11">
        <f>IF($E468="","",IFERROR(VLOOKUP($E468,OpTbl,2,0),""))</f>
        <v/>
      </c>
      <c r="G468" s="12" t="n"/>
      <c r="H468" s="11">
        <f>IF($G468="","",IFERROR(IF(VLOOKUP($G468,AcctTbl,4,0)="","(بدون نام)",VLOOKUP($G468,AcctTbl,4,0)),"کد ناشناخته"))</f>
        <v/>
      </c>
      <c r="I468" s="13" t="n"/>
      <c r="J468" s="13" t="n"/>
      <c r="K468" s="14" t="n"/>
      <c r="L468" s="14" t="n"/>
      <c r="M468" s="15">
        <f>IF(OR($B468="",$K468=""),"",($K468-IF($L468="",0,$L468)*IFERROR(VLOOKUP("P01",ParamTbl,3,0),1.5))*(1-IF(IFERROR(VLOOKUP($E468,OpTbl,3,0),"")="خرید",IFERROR(VLOOKUP("P02",ParamTbl,3,0),1),0)/100))</f>
        <v/>
      </c>
      <c r="N468" s="14" t="n"/>
      <c r="O468" s="13" t="n"/>
    </row>
    <row r="469">
      <c r="A469" s="11">
        <f>IF($B469="","",COUNTA($B$9:$B469))</f>
        <v/>
      </c>
      <c r="B469" s="12" t="n"/>
      <c r="C469" s="12" t="n"/>
      <c r="D469" s="12" t="n"/>
      <c r="E469" s="13" t="n"/>
      <c r="F469" s="11">
        <f>IF($E469="","",IFERROR(VLOOKUP($E469,OpTbl,2,0),""))</f>
        <v/>
      </c>
      <c r="G469" s="12" t="n"/>
      <c r="H469" s="11">
        <f>IF($G469="","",IFERROR(IF(VLOOKUP($G469,AcctTbl,4,0)="","(بدون نام)",VLOOKUP($G469,AcctTbl,4,0)),"کد ناشناخته"))</f>
        <v/>
      </c>
      <c r="I469" s="13" t="n"/>
      <c r="J469" s="13" t="n"/>
      <c r="K469" s="14" t="n"/>
      <c r="L469" s="14" t="n"/>
      <c r="M469" s="15">
        <f>IF(OR($B469="",$K469=""),"",($K469-IF($L469="",0,$L469)*IFERROR(VLOOKUP("P01",ParamTbl,3,0),1.5))*(1-IF(IFERROR(VLOOKUP($E469,OpTbl,3,0),"")="خرید",IFERROR(VLOOKUP("P02",ParamTbl,3,0),1),0)/100))</f>
        <v/>
      </c>
      <c r="N469" s="14" t="n"/>
      <c r="O469" s="13" t="n"/>
    </row>
    <row r="470">
      <c r="A470" s="11">
        <f>IF($B470="","",COUNTA($B$9:$B470))</f>
        <v/>
      </c>
      <c r="B470" s="12" t="n"/>
      <c r="C470" s="12" t="n"/>
      <c r="D470" s="12" t="n"/>
      <c r="E470" s="13" t="n"/>
      <c r="F470" s="11">
        <f>IF($E470="","",IFERROR(VLOOKUP($E470,OpTbl,2,0),""))</f>
        <v/>
      </c>
      <c r="G470" s="12" t="n"/>
      <c r="H470" s="11">
        <f>IF($G470="","",IFERROR(IF(VLOOKUP($G470,AcctTbl,4,0)="","(بدون نام)",VLOOKUP($G470,AcctTbl,4,0)),"کد ناشناخته"))</f>
        <v/>
      </c>
      <c r="I470" s="13" t="n"/>
      <c r="J470" s="13" t="n"/>
      <c r="K470" s="14" t="n"/>
      <c r="L470" s="14" t="n"/>
      <c r="M470" s="15">
        <f>IF(OR($B470="",$K470=""),"",($K470-IF($L470="",0,$L470)*IFERROR(VLOOKUP("P01",ParamTbl,3,0),1.5))*(1-IF(IFERROR(VLOOKUP($E470,OpTbl,3,0),"")="خرید",IFERROR(VLOOKUP("P02",ParamTbl,3,0),1),0)/100))</f>
        <v/>
      </c>
      <c r="N470" s="14" t="n"/>
      <c r="O470" s="13" t="n"/>
    </row>
    <row r="471">
      <c r="A471" s="11">
        <f>IF($B471="","",COUNTA($B$9:$B471))</f>
        <v/>
      </c>
      <c r="B471" s="12" t="n"/>
      <c r="C471" s="12" t="n"/>
      <c r="D471" s="12" t="n"/>
      <c r="E471" s="13" t="n"/>
      <c r="F471" s="11">
        <f>IF($E471="","",IFERROR(VLOOKUP($E471,OpTbl,2,0),""))</f>
        <v/>
      </c>
      <c r="G471" s="12" t="n"/>
      <c r="H471" s="11">
        <f>IF($G471="","",IFERROR(IF(VLOOKUP($G471,AcctTbl,4,0)="","(بدون نام)",VLOOKUP($G471,AcctTbl,4,0)),"کد ناشناخته"))</f>
        <v/>
      </c>
      <c r="I471" s="13" t="n"/>
      <c r="J471" s="13" t="n"/>
      <c r="K471" s="14" t="n"/>
      <c r="L471" s="14" t="n"/>
      <c r="M471" s="15">
        <f>IF(OR($B471="",$K471=""),"",($K471-IF($L471="",0,$L471)*IFERROR(VLOOKUP("P01",ParamTbl,3,0),1.5))*(1-IF(IFERROR(VLOOKUP($E471,OpTbl,3,0),"")="خرید",IFERROR(VLOOKUP("P02",ParamTbl,3,0),1),0)/100))</f>
        <v/>
      </c>
      <c r="N471" s="14" t="n"/>
      <c r="O471" s="13" t="n"/>
    </row>
    <row r="472">
      <c r="A472" s="11">
        <f>IF($B472="","",COUNTA($B$9:$B472))</f>
        <v/>
      </c>
      <c r="B472" s="12" t="n"/>
      <c r="C472" s="12" t="n"/>
      <c r="D472" s="12" t="n"/>
      <c r="E472" s="13" t="n"/>
      <c r="F472" s="11">
        <f>IF($E472="","",IFERROR(VLOOKUP($E472,OpTbl,2,0),""))</f>
        <v/>
      </c>
      <c r="G472" s="12" t="n"/>
      <c r="H472" s="11">
        <f>IF($G472="","",IFERROR(IF(VLOOKUP($G472,AcctTbl,4,0)="","(بدون نام)",VLOOKUP($G472,AcctTbl,4,0)),"کد ناشناخته"))</f>
        <v/>
      </c>
      <c r="I472" s="13" t="n"/>
      <c r="J472" s="13" t="n"/>
      <c r="K472" s="14" t="n"/>
      <c r="L472" s="14" t="n"/>
      <c r="M472" s="15">
        <f>IF(OR($B472="",$K472=""),"",($K472-IF($L472="",0,$L472)*IFERROR(VLOOKUP("P01",ParamTbl,3,0),1.5))*(1-IF(IFERROR(VLOOKUP($E472,OpTbl,3,0),"")="خرید",IFERROR(VLOOKUP("P02",ParamTbl,3,0),1),0)/100))</f>
        <v/>
      </c>
      <c r="N472" s="14" t="n"/>
      <c r="O472" s="13" t="n"/>
    </row>
    <row r="473">
      <c r="A473" s="11">
        <f>IF($B473="","",COUNTA($B$9:$B473))</f>
        <v/>
      </c>
      <c r="B473" s="12" t="n"/>
      <c r="C473" s="12" t="n"/>
      <c r="D473" s="12" t="n"/>
      <c r="E473" s="13" t="n"/>
      <c r="F473" s="11">
        <f>IF($E473="","",IFERROR(VLOOKUP($E473,OpTbl,2,0),""))</f>
        <v/>
      </c>
      <c r="G473" s="12" t="n"/>
      <c r="H473" s="11">
        <f>IF($G473="","",IFERROR(IF(VLOOKUP($G473,AcctTbl,4,0)="","(بدون نام)",VLOOKUP($G473,AcctTbl,4,0)),"کد ناشناخته"))</f>
        <v/>
      </c>
      <c r="I473" s="13" t="n"/>
      <c r="J473" s="13" t="n"/>
      <c r="K473" s="14" t="n"/>
      <c r="L473" s="14" t="n"/>
      <c r="M473" s="15">
        <f>IF(OR($B473="",$K473=""),"",($K473-IF($L473="",0,$L473)*IFERROR(VLOOKUP("P01",ParamTbl,3,0),1.5))*(1-IF(IFERROR(VLOOKUP($E473,OpTbl,3,0),"")="خرید",IFERROR(VLOOKUP("P02",ParamTbl,3,0),1),0)/100))</f>
        <v/>
      </c>
      <c r="N473" s="14" t="n"/>
      <c r="O473" s="13" t="n"/>
    </row>
    <row r="474">
      <c r="A474" s="11">
        <f>IF($B474="","",COUNTA($B$9:$B474))</f>
        <v/>
      </c>
      <c r="B474" s="12" t="n"/>
      <c r="C474" s="12" t="n"/>
      <c r="D474" s="12" t="n"/>
      <c r="E474" s="13" t="n"/>
      <c r="F474" s="11">
        <f>IF($E474="","",IFERROR(VLOOKUP($E474,OpTbl,2,0),""))</f>
        <v/>
      </c>
      <c r="G474" s="12" t="n"/>
      <c r="H474" s="11">
        <f>IF($G474="","",IFERROR(IF(VLOOKUP($G474,AcctTbl,4,0)="","(بدون نام)",VLOOKUP($G474,AcctTbl,4,0)),"کد ناشناخته"))</f>
        <v/>
      </c>
      <c r="I474" s="13" t="n"/>
      <c r="J474" s="13" t="n"/>
      <c r="K474" s="14" t="n"/>
      <c r="L474" s="14" t="n"/>
      <c r="M474" s="15">
        <f>IF(OR($B474="",$K474=""),"",($K474-IF($L474="",0,$L474)*IFERROR(VLOOKUP("P01",ParamTbl,3,0),1.5))*(1-IF(IFERROR(VLOOKUP($E474,OpTbl,3,0),"")="خرید",IFERROR(VLOOKUP("P02",ParamTbl,3,0),1),0)/100))</f>
        <v/>
      </c>
      <c r="N474" s="14" t="n"/>
      <c r="O474" s="13" t="n"/>
    </row>
    <row r="475">
      <c r="A475" s="11">
        <f>IF($B475="","",COUNTA($B$9:$B475))</f>
        <v/>
      </c>
      <c r="B475" s="12" t="n"/>
      <c r="C475" s="12" t="n"/>
      <c r="D475" s="12" t="n"/>
      <c r="E475" s="13" t="n"/>
      <c r="F475" s="11">
        <f>IF($E475="","",IFERROR(VLOOKUP($E475,OpTbl,2,0),""))</f>
        <v/>
      </c>
      <c r="G475" s="12" t="n"/>
      <c r="H475" s="11">
        <f>IF($G475="","",IFERROR(IF(VLOOKUP($G475,AcctTbl,4,0)="","(بدون نام)",VLOOKUP($G475,AcctTbl,4,0)),"کد ناشناخته"))</f>
        <v/>
      </c>
      <c r="I475" s="13" t="n"/>
      <c r="J475" s="13" t="n"/>
      <c r="K475" s="14" t="n"/>
      <c r="L475" s="14" t="n"/>
      <c r="M475" s="15">
        <f>IF(OR($B475="",$K475=""),"",($K475-IF($L475="",0,$L475)*IFERROR(VLOOKUP("P01",ParamTbl,3,0),1.5))*(1-IF(IFERROR(VLOOKUP($E475,OpTbl,3,0),"")="خرید",IFERROR(VLOOKUP("P02",ParamTbl,3,0),1),0)/100))</f>
        <v/>
      </c>
      <c r="N475" s="14" t="n"/>
      <c r="O475" s="13" t="n"/>
    </row>
    <row r="476">
      <c r="A476" s="11">
        <f>IF($B476="","",COUNTA($B$9:$B476))</f>
        <v/>
      </c>
      <c r="B476" s="12" t="n"/>
      <c r="C476" s="12" t="n"/>
      <c r="D476" s="12" t="n"/>
      <c r="E476" s="13" t="n"/>
      <c r="F476" s="11">
        <f>IF($E476="","",IFERROR(VLOOKUP($E476,OpTbl,2,0),""))</f>
        <v/>
      </c>
      <c r="G476" s="12" t="n"/>
      <c r="H476" s="11">
        <f>IF($G476="","",IFERROR(IF(VLOOKUP($G476,AcctTbl,4,0)="","(بدون نام)",VLOOKUP($G476,AcctTbl,4,0)),"کد ناشناخته"))</f>
        <v/>
      </c>
      <c r="I476" s="13" t="n"/>
      <c r="J476" s="13" t="n"/>
      <c r="K476" s="14" t="n"/>
      <c r="L476" s="14" t="n"/>
      <c r="M476" s="15">
        <f>IF(OR($B476="",$K476=""),"",($K476-IF($L476="",0,$L476)*IFERROR(VLOOKUP("P01",ParamTbl,3,0),1.5))*(1-IF(IFERROR(VLOOKUP($E476,OpTbl,3,0),"")="خرید",IFERROR(VLOOKUP("P02",ParamTbl,3,0),1),0)/100))</f>
        <v/>
      </c>
      <c r="N476" s="14" t="n"/>
      <c r="O476" s="13" t="n"/>
    </row>
    <row r="477">
      <c r="A477" s="11">
        <f>IF($B477="","",COUNTA($B$9:$B477))</f>
        <v/>
      </c>
      <c r="B477" s="12" t="n"/>
      <c r="C477" s="12" t="n"/>
      <c r="D477" s="12" t="n"/>
      <c r="E477" s="13" t="n"/>
      <c r="F477" s="11">
        <f>IF($E477="","",IFERROR(VLOOKUP($E477,OpTbl,2,0),""))</f>
        <v/>
      </c>
      <c r="G477" s="12" t="n"/>
      <c r="H477" s="11">
        <f>IF($G477="","",IFERROR(IF(VLOOKUP($G477,AcctTbl,4,0)="","(بدون نام)",VLOOKUP($G477,AcctTbl,4,0)),"کد ناشناخته"))</f>
        <v/>
      </c>
      <c r="I477" s="13" t="n"/>
      <c r="J477" s="13" t="n"/>
      <c r="K477" s="14" t="n"/>
      <c r="L477" s="14" t="n"/>
      <c r="M477" s="15">
        <f>IF(OR($B477="",$K477=""),"",($K477-IF($L477="",0,$L477)*IFERROR(VLOOKUP("P01",ParamTbl,3,0),1.5))*(1-IF(IFERROR(VLOOKUP($E477,OpTbl,3,0),"")="خرید",IFERROR(VLOOKUP("P02",ParamTbl,3,0),1),0)/100))</f>
        <v/>
      </c>
      <c r="N477" s="14" t="n"/>
      <c r="O477" s="13" t="n"/>
    </row>
    <row r="478">
      <c r="A478" s="11">
        <f>IF($B478="","",COUNTA($B$9:$B478))</f>
        <v/>
      </c>
      <c r="B478" s="12" t="n"/>
      <c r="C478" s="12" t="n"/>
      <c r="D478" s="12" t="n"/>
      <c r="E478" s="13" t="n"/>
      <c r="F478" s="11">
        <f>IF($E478="","",IFERROR(VLOOKUP($E478,OpTbl,2,0),""))</f>
        <v/>
      </c>
      <c r="G478" s="12" t="n"/>
      <c r="H478" s="11">
        <f>IF($G478="","",IFERROR(IF(VLOOKUP($G478,AcctTbl,4,0)="","(بدون نام)",VLOOKUP($G478,AcctTbl,4,0)),"کد ناشناخته"))</f>
        <v/>
      </c>
      <c r="I478" s="13" t="n"/>
      <c r="J478" s="13" t="n"/>
      <c r="K478" s="14" t="n"/>
      <c r="L478" s="14" t="n"/>
      <c r="M478" s="15">
        <f>IF(OR($B478="",$K478=""),"",($K478-IF($L478="",0,$L478)*IFERROR(VLOOKUP("P01",ParamTbl,3,0),1.5))*(1-IF(IFERROR(VLOOKUP($E478,OpTbl,3,0),"")="خرید",IFERROR(VLOOKUP("P02",ParamTbl,3,0),1),0)/100))</f>
        <v/>
      </c>
      <c r="N478" s="14" t="n"/>
      <c r="O478" s="13" t="n"/>
    </row>
    <row r="479">
      <c r="A479" s="11">
        <f>IF($B479="","",COUNTA($B$9:$B479))</f>
        <v/>
      </c>
      <c r="B479" s="12" t="n"/>
      <c r="C479" s="12" t="n"/>
      <c r="D479" s="12" t="n"/>
      <c r="E479" s="13" t="n"/>
      <c r="F479" s="11">
        <f>IF($E479="","",IFERROR(VLOOKUP($E479,OpTbl,2,0),""))</f>
        <v/>
      </c>
      <c r="G479" s="12" t="n"/>
      <c r="H479" s="11">
        <f>IF($G479="","",IFERROR(IF(VLOOKUP($G479,AcctTbl,4,0)="","(بدون نام)",VLOOKUP($G479,AcctTbl,4,0)),"کد ناشناخته"))</f>
        <v/>
      </c>
      <c r="I479" s="13" t="n"/>
      <c r="J479" s="13" t="n"/>
      <c r="K479" s="14" t="n"/>
      <c r="L479" s="14" t="n"/>
      <c r="M479" s="15">
        <f>IF(OR($B479="",$K479=""),"",($K479-IF($L479="",0,$L479)*IFERROR(VLOOKUP("P01",ParamTbl,3,0),1.5))*(1-IF(IFERROR(VLOOKUP($E479,OpTbl,3,0),"")="خرید",IFERROR(VLOOKUP("P02",ParamTbl,3,0),1),0)/100))</f>
        <v/>
      </c>
      <c r="N479" s="14" t="n"/>
      <c r="O479" s="13" t="n"/>
    </row>
    <row r="480">
      <c r="A480" s="11">
        <f>IF($B480="","",COUNTA($B$9:$B480))</f>
        <v/>
      </c>
      <c r="B480" s="12" t="n"/>
      <c r="C480" s="12" t="n"/>
      <c r="D480" s="12" t="n"/>
      <c r="E480" s="13" t="n"/>
      <c r="F480" s="11">
        <f>IF($E480="","",IFERROR(VLOOKUP($E480,OpTbl,2,0),""))</f>
        <v/>
      </c>
      <c r="G480" s="12" t="n"/>
      <c r="H480" s="11">
        <f>IF($G480="","",IFERROR(IF(VLOOKUP($G480,AcctTbl,4,0)="","(بدون نام)",VLOOKUP($G480,AcctTbl,4,0)),"کد ناشناخته"))</f>
        <v/>
      </c>
      <c r="I480" s="13" t="n"/>
      <c r="J480" s="13" t="n"/>
      <c r="K480" s="14" t="n"/>
      <c r="L480" s="14" t="n"/>
      <c r="M480" s="15">
        <f>IF(OR($B480="",$K480=""),"",($K480-IF($L480="",0,$L480)*IFERROR(VLOOKUP("P01",ParamTbl,3,0),1.5))*(1-IF(IFERROR(VLOOKUP($E480,OpTbl,3,0),"")="خرید",IFERROR(VLOOKUP("P02",ParamTbl,3,0),1),0)/100))</f>
        <v/>
      </c>
      <c r="N480" s="14" t="n"/>
      <c r="O480" s="13" t="n"/>
    </row>
    <row r="481">
      <c r="A481" s="11">
        <f>IF($B481="","",COUNTA($B$9:$B481))</f>
        <v/>
      </c>
      <c r="B481" s="12" t="n"/>
      <c r="C481" s="12" t="n"/>
      <c r="D481" s="12" t="n"/>
      <c r="E481" s="13" t="n"/>
      <c r="F481" s="11">
        <f>IF($E481="","",IFERROR(VLOOKUP($E481,OpTbl,2,0),""))</f>
        <v/>
      </c>
      <c r="G481" s="12" t="n"/>
      <c r="H481" s="11">
        <f>IF($G481="","",IFERROR(IF(VLOOKUP($G481,AcctTbl,4,0)="","(بدون نام)",VLOOKUP($G481,AcctTbl,4,0)),"کد ناشناخته"))</f>
        <v/>
      </c>
      <c r="I481" s="13" t="n"/>
      <c r="J481" s="13" t="n"/>
      <c r="K481" s="14" t="n"/>
      <c r="L481" s="14" t="n"/>
      <c r="M481" s="15">
        <f>IF(OR($B481="",$K481=""),"",($K481-IF($L481="",0,$L481)*IFERROR(VLOOKUP("P01",ParamTbl,3,0),1.5))*(1-IF(IFERROR(VLOOKUP($E481,OpTbl,3,0),"")="خرید",IFERROR(VLOOKUP("P02",ParamTbl,3,0),1),0)/100))</f>
        <v/>
      </c>
      <c r="N481" s="14" t="n"/>
      <c r="O481" s="13" t="n"/>
    </row>
    <row r="482">
      <c r="A482" s="11">
        <f>IF($B482="","",COUNTA($B$9:$B482))</f>
        <v/>
      </c>
      <c r="B482" s="12" t="n"/>
      <c r="C482" s="12" t="n"/>
      <c r="D482" s="12" t="n"/>
      <c r="E482" s="13" t="n"/>
      <c r="F482" s="11">
        <f>IF($E482="","",IFERROR(VLOOKUP($E482,OpTbl,2,0),""))</f>
        <v/>
      </c>
      <c r="G482" s="12" t="n"/>
      <c r="H482" s="11">
        <f>IF($G482="","",IFERROR(IF(VLOOKUP($G482,AcctTbl,4,0)="","(بدون نام)",VLOOKUP($G482,AcctTbl,4,0)),"کد ناشناخته"))</f>
        <v/>
      </c>
      <c r="I482" s="13" t="n"/>
      <c r="J482" s="13" t="n"/>
      <c r="K482" s="14" t="n"/>
      <c r="L482" s="14" t="n"/>
      <c r="M482" s="15">
        <f>IF(OR($B482="",$K482=""),"",($K482-IF($L482="",0,$L482)*IFERROR(VLOOKUP("P01",ParamTbl,3,0),1.5))*(1-IF(IFERROR(VLOOKUP($E482,OpTbl,3,0),"")="خرید",IFERROR(VLOOKUP("P02",ParamTbl,3,0),1),0)/100))</f>
        <v/>
      </c>
      <c r="N482" s="14" t="n"/>
      <c r="O482" s="13" t="n"/>
    </row>
    <row r="483">
      <c r="A483" s="11">
        <f>IF($B483="","",COUNTA($B$9:$B483))</f>
        <v/>
      </c>
      <c r="B483" s="12" t="n"/>
      <c r="C483" s="12" t="n"/>
      <c r="D483" s="12" t="n"/>
      <c r="E483" s="13" t="n"/>
      <c r="F483" s="11">
        <f>IF($E483="","",IFERROR(VLOOKUP($E483,OpTbl,2,0),""))</f>
        <v/>
      </c>
      <c r="G483" s="12" t="n"/>
      <c r="H483" s="11">
        <f>IF($G483="","",IFERROR(IF(VLOOKUP($G483,AcctTbl,4,0)="","(بدون نام)",VLOOKUP($G483,AcctTbl,4,0)),"کد ناشناخته"))</f>
        <v/>
      </c>
      <c r="I483" s="13" t="n"/>
      <c r="J483" s="13" t="n"/>
      <c r="K483" s="14" t="n"/>
      <c r="L483" s="14" t="n"/>
      <c r="M483" s="15">
        <f>IF(OR($B483="",$K483=""),"",($K483-IF($L483="",0,$L483)*IFERROR(VLOOKUP("P01",ParamTbl,3,0),1.5))*(1-IF(IFERROR(VLOOKUP($E483,OpTbl,3,0),"")="خرید",IFERROR(VLOOKUP("P02",ParamTbl,3,0),1),0)/100))</f>
        <v/>
      </c>
      <c r="N483" s="14" t="n"/>
      <c r="O483" s="13" t="n"/>
    </row>
    <row r="484">
      <c r="A484" s="11">
        <f>IF($B484="","",COUNTA($B$9:$B484))</f>
        <v/>
      </c>
      <c r="B484" s="12" t="n"/>
      <c r="C484" s="12" t="n"/>
      <c r="D484" s="12" t="n"/>
      <c r="E484" s="13" t="n"/>
      <c r="F484" s="11">
        <f>IF($E484="","",IFERROR(VLOOKUP($E484,OpTbl,2,0),""))</f>
        <v/>
      </c>
      <c r="G484" s="12" t="n"/>
      <c r="H484" s="11">
        <f>IF($G484="","",IFERROR(IF(VLOOKUP($G484,AcctTbl,4,0)="","(بدون نام)",VLOOKUP($G484,AcctTbl,4,0)),"کد ناشناخته"))</f>
        <v/>
      </c>
      <c r="I484" s="13" t="n"/>
      <c r="J484" s="13" t="n"/>
      <c r="K484" s="14" t="n"/>
      <c r="L484" s="14" t="n"/>
      <c r="M484" s="15">
        <f>IF(OR($B484="",$K484=""),"",($K484-IF($L484="",0,$L484)*IFERROR(VLOOKUP("P01",ParamTbl,3,0),1.5))*(1-IF(IFERROR(VLOOKUP($E484,OpTbl,3,0),"")="خرید",IFERROR(VLOOKUP("P02",ParamTbl,3,0),1),0)/100))</f>
        <v/>
      </c>
      <c r="N484" s="14" t="n"/>
      <c r="O484" s="13" t="n"/>
    </row>
    <row r="485">
      <c r="A485" s="11">
        <f>IF($B485="","",COUNTA($B$9:$B485))</f>
        <v/>
      </c>
      <c r="B485" s="12" t="n"/>
      <c r="C485" s="12" t="n"/>
      <c r="D485" s="12" t="n"/>
      <c r="E485" s="13" t="n"/>
      <c r="F485" s="11">
        <f>IF($E485="","",IFERROR(VLOOKUP($E485,OpTbl,2,0),""))</f>
        <v/>
      </c>
      <c r="G485" s="12" t="n"/>
      <c r="H485" s="11">
        <f>IF($G485="","",IFERROR(IF(VLOOKUP($G485,AcctTbl,4,0)="","(بدون نام)",VLOOKUP($G485,AcctTbl,4,0)),"کد ناشناخته"))</f>
        <v/>
      </c>
      <c r="I485" s="13" t="n"/>
      <c r="J485" s="13" t="n"/>
      <c r="K485" s="14" t="n"/>
      <c r="L485" s="14" t="n"/>
      <c r="M485" s="15">
        <f>IF(OR($B485="",$K485=""),"",($K485-IF($L485="",0,$L485)*IFERROR(VLOOKUP("P01",ParamTbl,3,0),1.5))*(1-IF(IFERROR(VLOOKUP($E485,OpTbl,3,0),"")="خرید",IFERROR(VLOOKUP("P02",ParamTbl,3,0),1),0)/100))</f>
        <v/>
      </c>
      <c r="N485" s="14" t="n"/>
      <c r="O485" s="13" t="n"/>
    </row>
    <row r="486">
      <c r="A486" s="11">
        <f>IF($B486="","",COUNTA($B$9:$B486))</f>
        <v/>
      </c>
      <c r="B486" s="12" t="n"/>
      <c r="C486" s="12" t="n"/>
      <c r="D486" s="12" t="n"/>
      <c r="E486" s="13" t="n"/>
      <c r="F486" s="11">
        <f>IF($E486="","",IFERROR(VLOOKUP($E486,OpTbl,2,0),""))</f>
        <v/>
      </c>
      <c r="G486" s="12" t="n"/>
      <c r="H486" s="11">
        <f>IF($G486="","",IFERROR(IF(VLOOKUP($G486,AcctTbl,4,0)="","(بدون نام)",VLOOKUP($G486,AcctTbl,4,0)),"کد ناشناخته"))</f>
        <v/>
      </c>
      <c r="I486" s="13" t="n"/>
      <c r="J486" s="13" t="n"/>
      <c r="K486" s="14" t="n"/>
      <c r="L486" s="14" t="n"/>
      <c r="M486" s="15">
        <f>IF(OR($B486="",$K486=""),"",($K486-IF($L486="",0,$L486)*IFERROR(VLOOKUP("P01",ParamTbl,3,0),1.5))*(1-IF(IFERROR(VLOOKUP($E486,OpTbl,3,0),"")="خرید",IFERROR(VLOOKUP("P02",ParamTbl,3,0),1),0)/100))</f>
        <v/>
      </c>
      <c r="N486" s="14" t="n"/>
      <c r="O486" s="13" t="n"/>
    </row>
    <row r="487">
      <c r="A487" s="11">
        <f>IF($B487="","",COUNTA($B$9:$B487))</f>
        <v/>
      </c>
      <c r="B487" s="12" t="n"/>
      <c r="C487" s="12" t="n"/>
      <c r="D487" s="12" t="n"/>
      <c r="E487" s="13" t="n"/>
      <c r="F487" s="11">
        <f>IF($E487="","",IFERROR(VLOOKUP($E487,OpTbl,2,0),""))</f>
        <v/>
      </c>
      <c r="G487" s="12" t="n"/>
      <c r="H487" s="11">
        <f>IF($G487="","",IFERROR(IF(VLOOKUP($G487,AcctTbl,4,0)="","(بدون نام)",VLOOKUP($G487,AcctTbl,4,0)),"کد ناشناخته"))</f>
        <v/>
      </c>
      <c r="I487" s="13" t="n"/>
      <c r="J487" s="13" t="n"/>
      <c r="K487" s="14" t="n"/>
      <c r="L487" s="14" t="n"/>
      <c r="M487" s="15">
        <f>IF(OR($B487="",$K487=""),"",($K487-IF($L487="",0,$L487)*IFERROR(VLOOKUP("P01",ParamTbl,3,0),1.5))*(1-IF(IFERROR(VLOOKUP($E487,OpTbl,3,0),"")="خرید",IFERROR(VLOOKUP("P02",ParamTbl,3,0),1),0)/100))</f>
        <v/>
      </c>
      <c r="N487" s="14" t="n"/>
      <c r="O487" s="13" t="n"/>
    </row>
    <row r="488">
      <c r="A488" s="11">
        <f>IF($B488="","",COUNTA($B$9:$B488))</f>
        <v/>
      </c>
      <c r="B488" s="12" t="n"/>
      <c r="C488" s="12" t="n"/>
      <c r="D488" s="12" t="n"/>
      <c r="E488" s="13" t="n"/>
      <c r="F488" s="11">
        <f>IF($E488="","",IFERROR(VLOOKUP($E488,OpTbl,2,0),""))</f>
        <v/>
      </c>
      <c r="G488" s="12" t="n"/>
      <c r="H488" s="11">
        <f>IF($G488="","",IFERROR(IF(VLOOKUP($G488,AcctTbl,4,0)="","(بدون نام)",VLOOKUP($G488,AcctTbl,4,0)),"کد ناشناخته"))</f>
        <v/>
      </c>
      <c r="I488" s="13" t="n"/>
      <c r="J488" s="13" t="n"/>
      <c r="K488" s="14" t="n"/>
      <c r="L488" s="14" t="n"/>
      <c r="M488" s="15">
        <f>IF(OR($B488="",$K488=""),"",($K488-IF($L488="",0,$L488)*IFERROR(VLOOKUP("P01",ParamTbl,3,0),1.5))*(1-IF(IFERROR(VLOOKUP($E488,OpTbl,3,0),"")="خرید",IFERROR(VLOOKUP("P02",ParamTbl,3,0),1),0)/100))</f>
        <v/>
      </c>
      <c r="N488" s="14" t="n"/>
      <c r="O488" s="13" t="n"/>
    </row>
    <row r="489">
      <c r="A489" s="11">
        <f>IF($B489="","",COUNTA($B$9:$B489))</f>
        <v/>
      </c>
      <c r="B489" s="12" t="n"/>
      <c r="C489" s="12" t="n"/>
      <c r="D489" s="12" t="n"/>
      <c r="E489" s="13" t="n"/>
      <c r="F489" s="11">
        <f>IF($E489="","",IFERROR(VLOOKUP($E489,OpTbl,2,0),""))</f>
        <v/>
      </c>
      <c r="G489" s="12" t="n"/>
      <c r="H489" s="11">
        <f>IF($G489="","",IFERROR(IF(VLOOKUP($G489,AcctTbl,4,0)="","(بدون نام)",VLOOKUP($G489,AcctTbl,4,0)),"کد ناشناخته"))</f>
        <v/>
      </c>
      <c r="I489" s="13" t="n"/>
      <c r="J489" s="13" t="n"/>
      <c r="K489" s="14" t="n"/>
      <c r="L489" s="14" t="n"/>
      <c r="M489" s="15">
        <f>IF(OR($B489="",$K489=""),"",($K489-IF($L489="",0,$L489)*IFERROR(VLOOKUP("P01",ParamTbl,3,0),1.5))*(1-IF(IFERROR(VLOOKUP($E489,OpTbl,3,0),"")="خرید",IFERROR(VLOOKUP("P02",ParamTbl,3,0),1),0)/100))</f>
        <v/>
      </c>
      <c r="N489" s="14" t="n"/>
      <c r="O489" s="13" t="n"/>
    </row>
    <row r="490">
      <c r="A490" s="11">
        <f>IF($B490="","",COUNTA($B$9:$B490))</f>
        <v/>
      </c>
      <c r="B490" s="12" t="n"/>
      <c r="C490" s="12" t="n"/>
      <c r="D490" s="12" t="n"/>
      <c r="E490" s="13" t="n"/>
      <c r="F490" s="11">
        <f>IF($E490="","",IFERROR(VLOOKUP($E490,OpTbl,2,0),""))</f>
        <v/>
      </c>
      <c r="G490" s="12" t="n"/>
      <c r="H490" s="11">
        <f>IF($G490="","",IFERROR(IF(VLOOKUP($G490,AcctTbl,4,0)="","(بدون نام)",VLOOKUP($G490,AcctTbl,4,0)),"کد ناشناخته"))</f>
        <v/>
      </c>
      <c r="I490" s="13" t="n"/>
      <c r="J490" s="13" t="n"/>
      <c r="K490" s="14" t="n"/>
      <c r="L490" s="14" t="n"/>
      <c r="M490" s="15">
        <f>IF(OR($B490="",$K490=""),"",($K490-IF($L490="",0,$L490)*IFERROR(VLOOKUP("P01",ParamTbl,3,0),1.5))*(1-IF(IFERROR(VLOOKUP($E490,OpTbl,3,0),"")="خرید",IFERROR(VLOOKUP("P02",ParamTbl,3,0),1),0)/100))</f>
        <v/>
      </c>
      <c r="N490" s="14" t="n"/>
      <c r="O490" s="13" t="n"/>
    </row>
    <row r="491">
      <c r="A491" s="11">
        <f>IF($B491="","",COUNTA($B$9:$B491))</f>
        <v/>
      </c>
      <c r="B491" s="12" t="n"/>
      <c r="C491" s="12" t="n"/>
      <c r="D491" s="12" t="n"/>
      <c r="E491" s="13" t="n"/>
      <c r="F491" s="11">
        <f>IF($E491="","",IFERROR(VLOOKUP($E491,OpTbl,2,0),""))</f>
        <v/>
      </c>
      <c r="G491" s="12" t="n"/>
      <c r="H491" s="11">
        <f>IF($G491="","",IFERROR(IF(VLOOKUP($G491,AcctTbl,4,0)="","(بدون نام)",VLOOKUP($G491,AcctTbl,4,0)),"کد ناشناخته"))</f>
        <v/>
      </c>
      <c r="I491" s="13" t="n"/>
      <c r="J491" s="13" t="n"/>
      <c r="K491" s="14" t="n"/>
      <c r="L491" s="14" t="n"/>
      <c r="M491" s="15">
        <f>IF(OR($B491="",$K491=""),"",($K491-IF($L491="",0,$L491)*IFERROR(VLOOKUP("P01",ParamTbl,3,0),1.5))*(1-IF(IFERROR(VLOOKUP($E491,OpTbl,3,0),"")="خرید",IFERROR(VLOOKUP("P02",ParamTbl,3,0),1),0)/100))</f>
        <v/>
      </c>
      <c r="N491" s="14" t="n"/>
      <c r="O491" s="13" t="n"/>
    </row>
    <row r="492">
      <c r="A492" s="11">
        <f>IF($B492="","",COUNTA($B$9:$B492))</f>
        <v/>
      </c>
      <c r="B492" s="12" t="n"/>
      <c r="C492" s="12" t="n"/>
      <c r="D492" s="12" t="n"/>
      <c r="E492" s="13" t="n"/>
      <c r="F492" s="11">
        <f>IF($E492="","",IFERROR(VLOOKUP($E492,OpTbl,2,0),""))</f>
        <v/>
      </c>
      <c r="G492" s="12" t="n"/>
      <c r="H492" s="11">
        <f>IF($G492="","",IFERROR(IF(VLOOKUP($G492,AcctTbl,4,0)="","(بدون نام)",VLOOKUP($G492,AcctTbl,4,0)),"کد ناشناخته"))</f>
        <v/>
      </c>
      <c r="I492" s="13" t="n"/>
      <c r="J492" s="13" t="n"/>
      <c r="K492" s="14" t="n"/>
      <c r="L492" s="14" t="n"/>
      <c r="M492" s="15">
        <f>IF(OR($B492="",$K492=""),"",($K492-IF($L492="",0,$L492)*IFERROR(VLOOKUP("P01",ParamTbl,3,0),1.5))*(1-IF(IFERROR(VLOOKUP($E492,OpTbl,3,0),"")="خرید",IFERROR(VLOOKUP("P02",ParamTbl,3,0),1),0)/100))</f>
        <v/>
      </c>
      <c r="N492" s="14" t="n"/>
      <c r="O492" s="13" t="n"/>
    </row>
    <row r="493">
      <c r="A493" s="11">
        <f>IF($B493="","",COUNTA($B$9:$B493))</f>
        <v/>
      </c>
      <c r="B493" s="12" t="n"/>
      <c r="C493" s="12" t="n"/>
      <c r="D493" s="12" t="n"/>
      <c r="E493" s="13" t="n"/>
      <c r="F493" s="11">
        <f>IF($E493="","",IFERROR(VLOOKUP($E493,OpTbl,2,0),""))</f>
        <v/>
      </c>
      <c r="G493" s="12" t="n"/>
      <c r="H493" s="11">
        <f>IF($G493="","",IFERROR(IF(VLOOKUP($G493,AcctTbl,4,0)="","(بدون نام)",VLOOKUP($G493,AcctTbl,4,0)),"کد ناشناخته"))</f>
        <v/>
      </c>
      <c r="I493" s="13" t="n"/>
      <c r="J493" s="13" t="n"/>
      <c r="K493" s="14" t="n"/>
      <c r="L493" s="14" t="n"/>
      <c r="M493" s="15">
        <f>IF(OR($B493="",$K493=""),"",($K493-IF($L493="",0,$L493)*IFERROR(VLOOKUP("P01",ParamTbl,3,0),1.5))*(1-IF(IFERROR(VLOOKUP($E493,OpTbl,3,0),"")="خرید",IFERROR(VLOOKUP("P02",ParamTbl,3,0),1),0)/100))</f>
        <v/>
      </c>
      <c r="N493" s="14" t="n"/>
      <c r="O493" s="13" t="n"/>
    </row>
    <row r="494">
      <c r="A494" s="11">
        <f>IF($B494="","",COUNTA($B$9:$B494))</f>
        <v/>
      </c>
      <c r="B494" s="12" t="n"/>
      <c r="C494" s="12" t="n"/>
      <c r="D494" s="12" t="n"/>
      <c r="E494" s="13" t="n"/>
      <c r="F494" s="11">
        <f>IF($E494="","",IFERROR(VLOOKUP($E494,OpTbl,2,0),""))</f>
        <v/>
      </c>
      <c r="G494" s="12" t="n"/>
      <c r="H494" s="11">
        <f>IF($G494="","",IFERROR(IF(VLOOKUP($G494,AcctTbl,4,0)="","(بدون نام)",VLOOKUP($G494,AcctTbl,4,0)),"کد ناشناخته"))</f>
        <v/>
      </c>
      <c r="I494" s="13" t="n"/>
      <c r="J494" s="13" t="n"/>
      <c r="K494" s="14" t="n"/>
      <c r="L494" s="14" t="n"/>
      <c r="M494" s="15">
        <f>IF(OR($B494="",$K494=""),"",($K494-IF($L494="",0,$L494)*IFERROR(VLOOKUP("P01",ParamTbl,3,0),1.5))*(1-IF(IFERROR(VLOOKUP($E494,OpTbl,3,0),"")="خرید",IFERROR(VLOOKUP("P02",ParamTbl,3,0),1),0)/100))</f>
        <v/>
      </c>
      <c r="N494" s="14" t="n"/>
      <c r="O494" s="13" t="n"/>
    </row>
    <row r="495">
      <c r="A495" s="11">
        <f>IF($B495="","",COUNTA($B$9:$B495))</f>
        <v/>
      </c>
      <c r="B495" s="12" t="n"/>
      <c r="C495" s="12" t="n"/>
      <c r="D495" s="12" t="n"/>
      <c r="E495" s="13" t="n"/>
      <c r="F495" s="11">
        <f>IF($E495="","",IFERROR(VLOOKUP($E495,OpTbl,2,0),""))</f>
        <v/>
      </c>
      <c r="G495" s="12" t="n"/>
      <c r="H495" s="11">
        <f>IF($G495="","",IFERROR(IF(VLOOKUP($G495,AcctTbl,4,0)="","(بدون نام)",VLOOKUP($G495,AcctTbl,4,0)),"کد ناشناخته"))</f>
        <v/>
      </c>
      <c r="I495" s="13" t="n"/>
      <c r="J495" s="13" t="n"/>
      <c r="K495" s="14" t="n"/>
      <c r="L495" s="14" t="n"/>
      <c r="M495" s="15">
        <f>IF(OR($B495="",$K495=""),"",($K495-IF($L495="",0,$L495)*IFERROR(VLOOKUP("P01",ParamTbl,3,0),1.5))*(1-IF(IFERROR(VLOOKUP($E495,OpTbl,3,0),"")="خرید",IFERROR(VLOOKUP("P02",ParamTbl,3,0),1),0)/100))</f>
        <v/>
      </c>
      <c r="N495" s="14" t="n"/>
      <c r="O495" s="13" t="n"/>
    </row>
    <row r="496">
      <c r="A496" s="11">
        <f>IF($B496="","",COUNTA($B$9:$B496))</f>
        <v/>
      </c>
      <c r="B496" s="12" t="n"/>
      <c r="C496" s="12" t="n"/>
      <c r="D496" s="12" t="n"/>
      <c r="E496" s="13" t="n"/>
      <c r="F496" s="11">
        <f>IF($E496="","",IFERROR(VLOOKUP($E496,OpTbl,2,0),""))</f>
        <v/>
      </c>
      <c r="G496" s="12" t="n"/>
      <c r="H496" s="11">
        <f>IF($G496="","",IFERROR(IF(VLOOKUP($G496,AcctTbl,4,0)="","(بدون نام)",VLOOKUP($G496,AcctTbl,4,0)),"کد ناشناخته"))</f>
        <v/>
      </c>
      <c r="I496" s="13" t="n"/>
      <c r="J496" s="13" t="n"/>
      <c r="K496" s="14" t="n"/>
      <c r="L496" s="14" t="n"/>
      <c r="M496" s="15">
        <f>IF(OR($B496="",$K496=""),"",($K496-IF($L496="",0,$L496)*IFERROR(VLOOKUP("P01",ParamTbl,3,0),1.5))*(1-IF(IFERROR(VLOOKUP($E496,OpTbl,3,0),"")="خرید",IFERROR(VLOOKUP("P02",ParamTbl,3,0),1),0)/100))</f>
        <v/>
      </c>
      <c r="N496" s="14" t="n"/>
      <c r="O496" s="13" t="n"/>
    </row>
    <row r="497">
      <c r="A497" s="11">
        <f>IF($B497="","",COUNTA($B$9:$B497))</f>
        <v/>
      </c>
      <c r="B497" s="12" t="n"/>
      <c r="C497" s="12" t="n"/>
      <c r="D497" s="12" t="n"/>
      <c r="E497" s="13" t="n"/>
      <c r="F497" s="11">
        <f>IF($E497="","",IFERROR(VLOOKUP($E497,OpTbl,2,0),""))</f>
        <v/>
      </c>
      <c r="G497" s="12" t="n"/>
      <c r="H497" s="11">
        <f>IF($G497="","",IFERROR(IF(VLOOKUP($G497,AcctTbl,4,0)="","(بدون نام)",VLOOKUP($G497,AcctTbl,4,0)),"کد ناشناخته"))</f>
        <v/>
      </c>
      <c r="I497" s="13" t="n"/>
      <c r="J497" s="13" t="n"/>
      <c r="K497" s="14" t="n"/>
      <c r="L497" s="14" t="n"/>
      <c r="M497" s="15">
        <f>IF(OR($B497="",$K497=""),"",($K497-IF($L497="",0,$L497)*IFERROR(VLOOKUP("P01",ParamTbl,3,0),1.5))*(1-IF(IFERROR(VLOOKUP($E497,OpTbl,3,0),"")="خرید",IFERROR(VLOOKUP("P02",ParamTbl,3,0),1),0)/100))</f>
        <v/>
      </c>
      <c r="N497" s="14" t="n"/>
      <c r="O497" s="13" t="n"/>
    </row>
    <row r="498">
      <c r="A498" s="11">
        <f>IF($B498="","",COUNTA($B$9:$B498))</f>
        <v/>
      </c>
      <c r="B498" s="12" t="n"/>
      <c r="C498" s="12" t="n"/>
      <c r="D498" s="12" t="n"/>
      <c r="E498" s="13" t="n"/>
      <c r="F498" s="11">
        <f>IF($E498="","",IFERROR(VLOOKUP($E498,OpTbl,2,0),""))</f>
        <v/>
      </c>
      <c r="G498" s="12" t="n"/>
      <c r="H498" s="11">
        <f>IF($G498="","",IFERROR(IF(VLOOKUP($G498,AcctTbl,4,0)="","(بدون نام)",VLOOKUP($G498,AcctTbl,4,0)),"کد ناشناخته"))</f>
        <v/>
      </c>
      <c r="I498" s="13" t="n"/>
      <c r="J498" s="13" t="n"/>
      <c r="K498" s="14" t="n"/>
      <c r="L498" s="14" t="n"/>
      <c r="M498" s="15">
        <f>IF(OR($B498="",$K498=""),"",($K498-IF($L498="",0,$L498)*IFERROR(VLOOKUP("P01",ParamTbl,3,0),1.5))*(1-IF(IFERROR(VLOOKUP($E498,OpTbl,3,0),"")="خرید",IFERROR(VLOOKUP("P02",ParamTbl,3,0),1),0)/100))</f>
        <v/>
      </c>
      <c r="N498" s="14" t="n"/>
      <c r="O498" s="13" t="n"/>
    </row>
    <row r="499">
      <c r="A499" s="11">
        <f>IF($B499="","",COUNTA($B$9:$B499))</f>
        <v/>
      </c>
      <c r="B499" s="12" t="n"/>
      <c r="C499" s="12" t="n"/>
      <c r="D499" s="12" t="n"/>
      <c r="E499" s="13" t="n"/>
      <c r="F499" s="11">
        <f>IF($E499="","",IFERROR(VLOOKUP($E499,OpTbl,2,0),""))</f>
        <v/>
      </c>
      <c r="G499" s="12" t="n"/>
      <c r="H499" s="11">
        <f>IF($G499="","",IFERROR(IF(VLOOKUP($G499,AcctTbl,4,0)="","(بدون نام)",VLOOKUP($G499,AcctTbl,4,0)),"کد ناشناخته"))</f>
        <v/>
      </c>
      <c r="I499" s="13" t="n"/>
      <c r="J499" s="13" t="n"/>
      <c r="K499" s="14" t="n"/>
      <c r="L499" s="14" t="n"/>
      <c r="M499" s="15">
        <f>IF(OR($B499="",$K499=""),"",($K499-IF($L499="",0,$L499)*IFERROR(VLOOKUP("P01",ParamTbl,3,0),1.5))*(1-IF(IFERROR(VLOOKUP($E499,OpTbl,3,0),"")="خرید",IFERROR(VLOOKUP("P02",ParamTbl,3,0),1),0)/100))</f>
        <v/>
      </c>
      <c r="N499" s="14" t="n"/>
      <c r="O499" s="13" t="n"/>
    </row>
    <row r="500">
      <c r="A500" s="11">
        <f>IF($B500="","",COUNTA($B$9:$B500))</f>
        <v/>
      </c>
      <c r="B500" s="12" t="n"/>
      <c r="C500" s="12" t="n"/>
      <c r="D500" s="12" t="n"/>
      <c r="E500" s="13" t="n"/>
      <c r="F500" s="11">
        <f>IF($E500="","",IFERROR(VLOOKUP($E500,OpTbl,2,0),""))</f>
        <v/>
      </c>
      <c r="G500" s="12" t="n"/>
      <c r="H500" s="11">
        <f>IF($G500="","",IFERROR(IF(VLOOKUP($G500,AcctTbl,4,0)="","(بدون نام)",VLOOKUP($G500,AcctTbl,4,0)),"کد ناشناخته"))</f>
        <v/>
      </c>
      <c r="I500" s="13" t="n"/>
      <c r="J500" s="13" t="n"/>
      <c r="K500" s="14" t="n"/>
      <c r="L500" s="14" t="n"/>
      <c r="M500" s="15">
        <f>IF(OR($B500="",$K500=""),"",($K500-IF($L500="",0,$L500)*IFERROR(VLOOKUP("P01",ParamTbl,3,0),1.5))*(1-IF(IFERROR(VLOOKUP($E500,OpTbl,3,0),"")="خرید",IFERROR(VLOOKUP("P02",ParamTbl,3,0),1),0)/100))</f>
        <v/>
      </c>
      <c r="N500" s="14" t="n"/>
      <c r="O500" s="13" t="n"/>
    </row>
    <row r="501">
      <c r="A501" s="11">
        <f>IF($B501="","",COUNTA($B$9:$B501))</f>
        <v/>
      </c>
      <c r="B501" s="12" t="n"/>
      <c r="C501" s="12" t="n"/>
      <c r="D501" s="12" t="n"/>
      <c r="E501" s="13" t="n"/>
      <c r="F501" s="11">
        <f>IF($E501="","",IFERROR(VLOOKUP($E501,OpTbl,2,0),""))</f>
        <v/>
      </c>
      <c r="G501" s="12" t="n"/>
      <c r="H501" s="11">
        <f>IF($G501="","",IFERROR(IF(VLOOKUP($G501,AcctTbl,4,0)="","(بدون نام)",VLOOKUP($G501,AcctTbl,4,0)),"کد ناشناخته"))</f>
        <v/>
      </c>
      <c r="I501" s="13" t="n"/>
      <c r="J501" s="13" t="n"/>
      <c r="K501" s="14" t="n"/>
      <c r="L501" s="14" t="n"/>
      <c r="M501" s="15">
        <f>IF(OR($B501="",$K501=""),"",($K501-IF($L501="",0,$L501)*IFERROR(VLOOKUP("P01",ParamTbl,3,0),1.5))*(1-IF(IFERROR(VLOOKUP($E501,OpTbl,3,0),"")="خرید",IFERROR(VLOOKUP("P02",ParamTbl,3,0),1),0)/100))</f>
        <v/>
      </c>
      <c r="N501" s="14" t="n"/>
      <c r="O501" s="13" t="n"/>
    </row>
    <row r="502">
      <c r="A502" s="11">
        <f>IF($B502="","",COUNTA($B$9:$B502))</f>
        <v/>
      </c>
      <c r="B502" s="12" t="n"/>
      <c r="C502" s="12" t="n"/>
      <c r="D502" s="12" t="n"/>
      <c r="E502" s="13" t="n"/>
      <c r="F502" s="11">
        <f>IF($E502="","",IFERROR(VLOOKUP($E502,OpTbl,2,0),""))</f>
        <v/>
      </c>
      <c r="G502" s="12" t="n"/>
      <c r="H502" s="11">
        <f>IF($G502="","",IFERROR(IF(VLOOKUP($G502,AcctTbl,4,0)="","(بدون نام)",VLOOKUP($G502,AcctTbl,4,0)),"کد ناشناخته"))</f>
        <v/>
      </c>
      <c r="I502" s="13" t="n"/>
      <c r="J502" s="13" t="n"/>
      <c r="K502" s="14" t="n"/>
      <c r="L502" s="14" t="n"/>
      <c r="M502" s="15">
        <f>IF(OR($B502="",$K502=""),"",($K502-IF($L502="",0,$L502)*IFERROR(VLOOKUP("P01",ParamTbl,3,0),1.5))*(1-IF(IFERROR(VLOOKUP($E502,OpTbl,3,0),"")="خرید",IFERROR(VLOOKUP("P02",ParamTbl,3,0),1),0)/100))</f>
        <v/>
      </c>
      <c r="N502" s="14" t="n"/>
      <c r="O502" s="13" t="n"/>
    </row>
    <row r="503">
      <c r="A503" s="11">
        <f>IF($B503="","",COUNTA($B$9:$B503))</f>
        <v/>
      </c>
      <c r="B503" s="12" t="n"/>
      <c r="C503" s="12" t="n"/>
      <c r="D503" s="12" t="n"/>
      <c r="E503" s="13" t="n"/>
      <c r="F503" s="11">
        <f>IF($E503="","",IFERROR(VLOOKUP($E503,OpTbl,2,0),""))</f>
        <v/>
      </c>
      <c r="G503" s="12" t="n"/>
      <c r="H503" s="11">
        <f>IF($G503="","",IFERROR(IF(VLOOKUP($G503,AcctTbl,4,0)="","(بدون نام)",VLOOKUP($G503,AcctTbl,4,0)),"کد ناشناخته"))</f>
        <v/>
      </c>
      <c r="I503" s="13" t="n"/>
      <c r="J503" s="13" t="n"/>
      <c r="K503" s="14" t="n"/>
      <c r="L503" s="14" t="n"/>
      <c r="M503" s="15">
        <f>IF(OR($B503="",$K503=""),"",($K503-IF($L503="",0,$L503)*IFERROR(VLOOKUP("P01",ParamTbl,3,0),1.5))*(1-IF(IFERROR(VLOOKUP($E503,OpTbl,3,0),"")="خرید",IFERROR(VLOOKUP("P02",ParamTbl,3,0),1),0)/100))</f>
        <v/>
      </c>
      <c r="N503" s="14" t="n"/>
      <c r="O503" s="13" t="n"/>
    </row>
    <row r="504">
      <c r="A504" s="11">
        <f>IF($B504="","",COUNTA($B$9:$B504))</f>
        <v/>
      </c>
      <c r="B504" s="12" t="n"/>
      <c r="C504" s="12" t="n"/>
      <c r="D504" s="12" t="n"/>
      <c r="E504" s="13" t="n"/>
      <c r="F504" s="11">
        <f>IF($E504="","",IFERROR(VLOOKUP($E504,OpTbl,2,0),""))</f>
        <v/>
      </c>
      <c r="G504" s="12" t="n"/>
      <c r="H504" s="11">
        <f>IF($G504="","",IFERROR(IF(VLOOKUP($G504,AcctTbl,4,0)="","(بدون نام)",VLOOKUP($G504,AcctTbl,4,0)),"کد ناشناخته"))</f>
        <v/>
      </c>
      <c r="I504" s="13" t="n"/>
      <c r="J504" s="13" t="n"/>
      <c r="K504" s="14" t="n"/>
      <c r="L504" s="14" t="n"/>
      <c r="M504" s="15">
        <f>IF(OR($B504="",$K504=""),"",($K504-IF($L504="",0,$L504)*IFERROR(VLOOKUP("P01",ParamTbl,3,0),1.5))*(1-IF(IFERROR(VLOOKUP($E504,OpTbl,3,0),"")="خرید",IFERROR(VLOOKUP("P02",ParamTbl,3,0),1),0)/100))</f>
        <v/>
      </c>
      <c r="N504" s="14" t="n"/>
      <c r="O504" s="13" t="n"/>
    </row>
    <row r="505">
      <c r="A505" s="11">
        <f>IF($B505="","",COUNTA($B$9:$B505))</f>
        <v/>
      </c>
      <c r="B505" s="12" t="n"/>
      <c r="C505" s="12" t="n"/>
      <c r="D505" s="12" t="n"/>
      <c r="E505" s="13" t="n"/>
      <c r="F505" s="11">
        <f>IF($E505="","",IFERROR(VLOOKUP($E505,OpTbl,2,0),""))</f>
        <v/>
      </c>
      <c r="G505" s="12" t="n"/>
      <c r="H505" s="11">
        <f>IF($G505="","",IFERROR(IF(VLOOKUP($G505,AcctTbl,4,0)="","(بدون نام)",VLOOKUP($G505,AcctTbl,4,0)),"کد ناشناخته"))</f>
        <v/>
      </c>
      <c r="I505" s="13" t="n"/>
      <c r="J505" s="13" t="n"/>
      <c r="K505" s="14" t="n"/>
      <c r="L505" s="14" t="n"/>
      <c r="M505" s="15">
        <f>IF(OR($B505="",$K505=""),"",($K505-IF($L505="",0,$L505)*IFERROR(VLOOKUP("P01",ParamTbl,3,0),1.5))*(1-IF(IFERROR(VLOOKUP($E505,OpTbl,3,0),"")="خرید",IFERROR(VLOOKUP("P02",ParamTbl,3,0),1),0)/100))</f>
        <v/>
      </c>
      <c r="N505" s="14" t="n"/>
      <c r="O505" s="13" t="n"/>
    </row>
    <row r="506">
      <c r="A506" s="11">
        <f>IF($B506="","",COUNTA($B$9:$B506))</f>
        <v/>
      </c>
      <c r="B506" s="12" t="n"/>
      <c r="C506" s="12" t="n"/>
      <c r="D506" s="12" t="n"/>
      <c r="E506" s="13" t="n"/>
      <c r="F506" s="11">
        <f>IF($E506="","",IFERROR(VLOOKUP($E506,OpTbl,2,0),""))</f>
        <v/>
      </c>
      <c r="G506" s="12" t="n"/>
      <c r="H506" s="11">
        <f>IF($G506="","",IFERROR(IF(VLOOKUP($G506,AcctTbl,4,0)="","(بدون نام)",VLOOKUP($G506,AcctTbl,4,0)),"کد ناشناخته"))</f>
        <v/>
      </c>
      <c r="I506" s="13" t="n"/>
      <c r="J506" s="13" t="n"/>
      <c r="K506" s="14" t="n"/>
      <c r="L506" s="14" t="n"/>
      <c r="M506" s="15">
        <f>IF(OR($B506="",$K506=""),"",($K506-IF($L506="",0,$L506)*IFERROR(VLOOKUP("P01",ParamTbl,3,0),1.5))*(1-IF(IFERROR(VLOOKUP($E506,OpTbl,3,0),"")="خرید",IFERROR(VLOOKUP("P02",ParamTbl,3,0),1),0)/100))</f>
        <v/>
      </c>
      <c r="N506" s="14" t="n"/>
      <c r="O506" s="13" t="n"/>
    </row>
    <row r="507">
      <c r="A507" s="11">
        <f>IF($B507="","",COUNTA($B$9:$B507))</f>
        <v/>
      </c>
      <c r="B507" s="12" t="n"/>
      <c r="C507" s="12" t="n"/>
      <c r="D507" s="12" t="n"/>
      <c r="E507" s="13" t="n"/>
      <c r="F507" s="11">
        <f>IF($E507="","",IFERROR(VLOOKUP($E507,OpTbl,2,0),""))</f>
        <v/>
      </c>
      <c r="G507" s="12" t="n"/>
      <c r="H507" s="11">
        <f>IF($G507="","",IFERROR(IF(VLOOKUP($G507,AcctTbl,4,0)="","(بدون نام)",VLOOKUP($G507,AcctTbl,4,0)),"کد ناشناخته"))</f>
        <v/>
      </c>
      <c r="I507" s="13" t="n"/>
      <c r="J507" s="13" t="n"/>
      <c r="K507" s="14" t="n"/>
      <c r="L507" s="14" t="n"/>
      <c r="M507" s="15">
        <f>IF(OR($B507="",$K507=""),"",($K507-IF($L507="",0,$L507)*IFERROR(VLOOKUP("P01",ParamTbl,3,0),1.5))*(1-IF(IFERROR(VLOOKUP($E507,OpTbl,3,0),"")="خرید",IFERROR(VLOOKUP("P02",ParamTbl,3,0),1),0)/100))</f>
        <v/>
      </c>
      <c r="N507" s="14" t="n"/>
      <c r="O507" s="13" t="n"/>
    </row>
    <row r="508">
      <c r="A508" s="11">
        <f>IF($B508="","",COUNTA($B$9:$B508))</f>
        <v/>
      </c>
      <c r="B508" s="12" t="n"/>
      <c r="C508" s="12" t="n"/>
      <c r="D508" s="12" t="n"/>
      <c r="E508" s="13" t="n"/>
      <c r="F508" s="11">
        <f>IF($E508="","",IFERROR(VLOOKUP($E508,OpTbl,2,0),""))</f>
        <v/>
      </c>
      <c r="G508" s="12" t="n"/>
      <c r="H508" s="11">
        <f>IF($G508="","",IFERROR(IF(VLOOKUP($G508,AcctTbl,4,0)="","(بدون نام)",VLOOKUP($G508,AcctTbl,4,0)),"کد ناشناخته"))</f>
        <v/>
      </c>
      <c r="I508" s="13" t="n"/>
      <c r="J508" s="13" t="n"/>
      <c r="K508" s="14" t="n"/>
      <c r="L508" s="14" t="n"/>
      <c r="M508" s="15">
        <f>IF(OR($B508="",$K508=""),"",($K508-IF($L508="",0,$L508)*IFERROR(VLOOKUP("P01",ParamTbl,3,0),1.5))*(1-IF(IFERROR(VLOOKUP($E508,OpTbl,3,0),"")="خرید",IFERROR(VLOOKUP("P02",ParamTbl,3,0),1),0)/100))</f>
        <v/>
      </c>
      <c r="N508" s="14" t="n"/>
      <c r="O508" s="13" t="n"/>
    </row>
    <row r="509">
      <c r="A509" s="11">
        <f>IF($B509="","",COUNTA($B$9:$B509))</f>
        <v/>
      </c>
      <c r="B509" s="12" t="n"/>
      <c r="C509" s="12" t="n"/>
      <c r="D509" s="12" t="n"/>
      <c r="E509" s="13" t="n"/>
      <c r="F509" s="11">
        <f>IF($E509="","",IFERROR(VLOOKUP($E509,OpTbl,2,0),""))</f>
        <v/>
      </c>
      <c r="G509" s="12" t="n"/>
      <c r="H509" s="11">
        <f>IF($G509="","",IFERROR(IF(VLOOKUP($G509,AcctTbl,4,0)="","(بدون نام)",VLOOKUP($G509,AcctTbl,4,0)),"کد ناشناخته"))</f>
        <v/>
      </c>
      <c r="I509" s="13" t="n"/>
      <c r="J509" s="13" t="n"/>
      <c r="K509" s="14" t="n"/>
      <c r="L509" s="14" t="n"/>
      <c r="M509" s="15">
        <f>IF(OR($B509="",$K509=""),"",($K509-IF($L509="",0,$L509)*IFERROR(VLOOKUP("P01",ParamTbl,3,0),1.5))*(1-IF(IFERROR(VLOOKUP($E509,OpTbl,3,0),"")="خرید",IFERROR(VLOOKUP("P02",ParamTbl,3,0),1),0)/100))</f>
        <v/>
      </c>
      <c r="N509" s="14" t="n"/>
      <c r="O509" s="13" t="n"/>
    </row>
    <row r="510">
      <c r="A510" s="11">
        <f>IF($B510="","",COUNTA($B$9:$B510))</f>
        <v/>
      </c>
      <c r="B510" s="12" t="n"/>
      <c r="C510" s="12" t="n"/>
      <c r="D510" s="12" t="n"/>
      <c r="E510" s="13" t="n"/>
      <c r="F510" s="11">
        <f>IF($E510="","",IFERROR(VLOOKUP($E510,OpTbl,2,0),""))</f>
        <v/>
      </c>
      <c r="G510" s="12" t="n"/>
      <c r="H510" s="11">
        <f>IF($G510="","",IFERROR(IF(VLOOKUP($G510,AcctTbl,4,0)="","(بدون نام)",VLOOKUP($G510,AcctTbl,4,0)),"کد ناشناخته"))</f>
        <v/>
      </c>
      <c r="I510" s="13" t="n"/>
      <c r="J510" s="13" t="n"/>
      <c r="K510" s="14" t="n"/>
      <c r="L510" s="14" t="n"/>
      <c r="M510" s="15">
        <f>IF(OR($B510="",$K510=""),"",($K510-IF($L510="",0,$L510)*IFERROR(VLOOKUP("P01",ParamTbl,3,0),1.5))*(1-IF(IFERROR(VLOOKUP($E510,OpTbl,3,0),"")="خرید",IFERROR(VLOOKUP("P02",ParamTbl,3,0),1),0)/100))</f>
        <v/>
      </c>
      <c r="N510" s="14" t="n"/>
      <c r="O510" s="13" t="n"/>
    </row>
    <row r="511">
      <c r="A511" s="11">
        <f>IF($B511="","",COUNTA($B$9:$B511))</f>
        <v/>
      </c>
      <c r="B511" s="12" t="n"/>
      <c r="C511" s="12" t="n"/>
      <c r="D511" s="12" t="n"/>
      <c r="E511" s="13" t="n"/>
      <c r="F511" s="11">
        <f>IF($E511="","",IFERROR(VLOOKUP($E511,OpTbl,2,0),""))</f>
        <v/>
      </c>
      <c r="G511" s="12" t="n"/>
      <c r="H511" s="11">
        <f>IF($G511="","",IFERROR(IF(VLOOKUP($G511,AcctTbl,4,0)="","(بدون نام)",VLOOKUP($G511,AcctTbl,4,0)),"کد ناشناخته"))</f>
        <v/>
      </c>
      <c r="I511" s="13" t="n"/>
      <c r="J511" s="13" t="n"/>
      <c r="K511" s="14" t="n"/>
      <c r="L511" s="14" t="n"/>
      <c r="M511" s="15">
        <f>IF(OR($B511="",$K511=""),"",($K511-IF($L511="",0,$L511)*IFERROR(VLOOKUP("P01",ParamTbl,3,0),1.5))*(1-IF(IFERROR(VLOOKUP($E511,OpTbl,3,0),"")="خرید",IFERROR(VLOOKUP("P02",ParamTbl,3,0),1),0)/100))</f>
        <v/>
      </c>
      <c r="N511" s="14" t="n"/>
      <c r="O511" s="13" t="n"/>
    </row>
    <row r="512">
      <c r="A512" s="11">
        <f>IF($B512="","",COUNTA($B$9:$B512))</f>
        <v/>
      </c>
      <c r="B512" s="12" t="n"/>
      <c r="C512" s="12" t="n"/>
      <c r="D512" s="12" t="n"/>
      <c r="E512" s="13" t="n"/>
      <c r="F512" s="11">
        <f>IF($E512="","",IFERROR(VLOOKUP($E512,OpTbl,2,0),""))</f>
        <v/>
      </c>
      <c r="G512" s="12" t="n"/>
      <c r="H512" s="11">
        <f>IF($G512="","",IFERROR(IF(VLOOKUP($G512,AcctTbl,4,0)="","(بدون نام)",VLOOKUP($G512,AcctTbl,4,0)),"کد ناشناخته"))</f>
        <v/>
      </c>
      <c r="I512" s="13" t="n"/>
      <c r="J512" s="13" t="n"/>
      <c r="K512" s="14" t="n"/>
      <c r="L512" s="14" t="n"/>
      <c r="M512" s="15">
        <f>IF(OR($B512="",$K512=""),"",($K512-IF($L512="",0,$L512)*IFERROR(VLOOKUP("P01",ParamTbl,3,0),1.5))*(1-IF(IFERROR(VLOOKUP($E512,OpTbl,3,0),"")="خرید",IFERROR(VLOOKUP("P02",ParamTbl,3,0),1),0)/100))</f>
        <v/>
      </c>
      <c r="N512" s="14" t="n"/>
      <c r="O512" s="13" t="n"/>
    </row>
    <row r="513">
      <c r="A513" s="11">
        <f>IF($B513="","",COUNTA($B$9:$B513))</f>
        <v/>
      </c>
      <c r="B513" s="12" t="n"/>
      <c r="C513" s="12" t="n"/>
      <c r="D513" s="12" t="n"/>
      <c r="E513" s="13" t="n"/>
      <c r="F513" s="11">
        <f>IF($E513="","",IFERROR(VLOOKUP($E513,OpTbl,2,0),""))</f>
        <v/>
      </c>
      <c r="G513" s="12" t="n"/>
      <c r="H513" s="11">
        <f>IF($G513="","",IFERROR(IF(VLOOKUP($G513,AcctTbl,4,0)="","(بدون نام)",VLOOKUP($G513,AcctTbl,4,0)),"کد ناشناخته"))</f>
        <v/>
      </c>
      <c r="I513" s="13" t="n"/>
      <c r="J513" s="13" t="n"/>
      <c r="K513" s="14" t="n"/>
      <c r="L513" s="14" t="n"/>
      <c r="M513" s="15">
        <f>IF(OR($B513="",$K513=""),"",($K513-IF($L513="",0,$L513)*IFERROR(VLOOKUP("P01",ParamTbl,3,0),1.5))*(1-IF(IFERROR(VLOOKUP($E513,OpTbl,3,0),"")="خرید",IFERROR(VLOOKUP("P02",ParamTbl,3,0),1),0)/100))</f>
        <v/>
      </c>
      <c r="N513" s="14" t="n"/>
      <c r="O513" s="13" t="n"/>
    </row>
    <row r="514">
      <c r="A514" s="11">
        <f>IF($B514="","",COUNTA($B$9:$B514))</f>
        <v/>
      </c>
      <c r="B514" s="12" t="n"/>
      <c r="C514" s="12" t="n"/>
      <c r="D514" s="12" t="n"/>
      <c r="E514" s="13" t="n"/>
      <c r="F514" s="11">
        <f>IF($E514="","",IFERROR(VLOOKUP($E514,OpTbl,2,0),""))</f>
        <v/>
      </c>
      <c r="G514" s="12" t="n"/>
      <c r="H514" s="11">
        <f>IF($G514="","",IFERROR(IF(VLOOKUP($G514,AcctTbl,4,0)="","(بدون نام)",VLOOKUP($G514,AcctTbl,4,0)),"کد ناشناخته"))</f>
        <v/>
      </c>
      <c r="I514" s="13" t="n"/>
      <c r="J514" s="13" t="n"/>
      <c r="K514" s="14" t="n"/>
      <c r="L514" s="14" t="n"/>
      <c r="M514" s="15">
        <f>IF(OR($B514="",$K514=""),"",($K514-IF($L514="",0,$L514)*IFERROR(VLOOKUP("P01",ParamTbl,3,0),1.5))*(1-IF(IFERROR(VLOOKUP($E514,OpTbl,3,0),"")="خرید",IFERROR(VLOOKUP("P02",ParamTbl,3,0),1),0)/100))</f>
        <v/>
      </c>
      <c r="N514" s="14" t="n"/>
      <c r="O514" s="13" t="n"/>
    </row>
    <row r="515">
      <c r="A515" s="11">
        <f>IF($B515="","",COUNTA($B$9:$B515))</f>
        <v/>
      </c>
      <c r="B515" s="12" t="n"/>
      <c r="C515" s="12" t="n"/>
      <c r="D515" s="12" t="n"/>
      <c r="E515" s="13" t="n"/>
      <c r="F515" s="11">
        <f>IF($E515="","",IFERROR(VLOOKUP($E515,OpTbl,2,0),""))</f>
        <v/>
      </c>
      <c r="G515" s="12" t="n"/>
      <c r="H515" s="11">
        <f>IF($G515="","",IFERROR(IF(VLOOKUP($G515,AcctTbl,4,0)="","(بدون نام)",VLOOKUP($G515,AcctTbl,4,0)),"کد ناشناخته"))</f>
        <v/>
      </c>
      <c r="I515" s="13" t="n"/>
      <c r="J515" s="13" t="n"/>
      <c r="K515" s="14" t="n"/>
      <c r="L515" s="14" t="n"/>
      <c r="M515" s="15">
        <f>IF(OR($B515="",$K515=""),"",($K515-IF($L515="",0,$L515)*IFERROR(VLOOKUP("P01",ParamTbl,3,0),1.5))*(1-IF(IFERROR(VLOOKUP($E515,OpTbl,3,0),"")="خرید",IFERROR(VLOOKUP("P02",ParamTbl,3,0),1),0)/100))</f>
        <v/>
      </c>
      <c r="N515" s="14" t="n"/>
      <c r="O515" s="13" t="n"/>
    </row>
    <row r="516">
      <c r="A516" s="11">
        <f>IF($B516="","",COUNTA($B$9:$B516))</f>
        <v/>
      </c>
      <c r="B516" s="12" t="n"/>
      <c r="C516" s="12" t="n"/>
      <c r="D516" s="12" t="n"/>
      <c r="E516" s="13" t="n"/>
      <c r="F516" s="11">
        <f>IF($E516="","",IFERROR(VLOOKUP($E516,OpTbl,2,0),""))</f>
        <v/>
      </c>
      <c r="G516" s="12" t="n"/>
      <c r="H516" s="11">
        <f>IF($G516="","",IFERROR(IF(VLOOKUP($G516,AcctTbl,4,0)="","(بدون نام)",VLOOKUP($G516,AcctTbl,4,0)),"کد ناشناخته"))</f>
        <v/>
      </c>
      <c r="I516" s="13" t="n"/>
      <c r="J516" s="13" t="n"/>
      <c r="K516" s="14" t="n"/>
      <c r="L516" s="14" t="n"/>
      <c r="M516" s="15">
        <f>IF(OR($B516="",$K516=""),"",($K516-IF($L516="",0,$L516)*IFERROR(VLOOKUP("P01",ParamTbl,3,0),1.5))*(1-IF(IFERROR(VLOOKUP($E516,OpTbl,3,0),"")="خرید",IFERROR(VLOOKUP("P02",ParamTbl,3,0),1),0)/100))</f>
        <v/>
      </c>
      <c r="N516" s="14" t="n"/>
      <c r="O516" s="13" t="n"/>
    </row>
    <row r="517">
      <c r="A517" s="11">
        <f>IF($B517="","",COUNTA($B$9:$B517))</f>
        <v/>
      </c>
      <c r="B517" s="12" t="n"/>
      <c r="C517" s="12" t="n"/>
      <c r="D517" s="12" t="n"/>
      <c r="E517" s="13" t="n"/>
      <c r="F517" s="11">
        <f>IF($E517="","",IFERROR(VLOOKUP($E517,OpTbl,2,0),""))</f>
        <v/>
      </c>
      <c r="G517" s="12" t="n"/>
      <c r="H517" s="11">
        <f>IF($G517="","",IFERROR(IF(VLOOKUP($G517,AcctTbl,4,0)="","(بدون نام)",VLOOKUP($G517,AcctTbl,4,0)),"کد ناشناخته"))</f>
        <v/>
      </c>
      <c r="I517" s="13" t="n"/>
      <c r="J517" s="13" t="n"/>
      <c r="K517" s="14" t="n"/>
      <c r="L517" s="14" t="n"/>
      <c r="M517" s="15">
        <f>IF(OR($B517="",$K517=""),"",($K517-IF($L517="",0,$L517)*IFERROR(VLOOKUP("P01",ParamTbl,3,0),1.5))*(1-IF(IFERROR(VLOOKUP($E517,OpTbl,3,0),"")="خرید",IFERROR(VLOOKUP("P02",ParamTbl,3,0),1),0)/100))</f>
        <v/>
      </c>
      <c r="N517" s="14" t="n"/>
      <c r="O517" s="13" t="n"/>
    </row>
    <row r="518">
      <c r="A518" s="11">
        <f>IF($B518="","",COUNTA($B$9:$B518))</f>
        <v/>
      </c>
      <c r="B518" s="12" t="n"/>
      <c r="C518" s="12" t="n"/>
      <c r="D518" s="12" t="n"/>
      <c r="E518" s="13" t="n"/>
      <c r="F518" s="11">
        <f>IF($E518="","",IFERROR(VLOOKUP($E518,OpTbl,2,0),""))</f>
        <v/>
      </c>
      <c r="G518" s="12" t="n"/>
      <c r="H518" s="11">
        <f>IF($G518="","",IFERROR(IF(VLOOKUP($G518,AcctTbl,4,0)="","(بدون نام)",VLOOKUP($G518,AcctTbl,4,0)),"کد ناشناخته"))</f>
        <v/>
      </c>
      <c r="I518" s="13" t="n"/>
      <c r="J518" s="13" t="n"/>
      <c r="K518" s="14" t="n"/>
      <c r="L518" s="14" t="n"/>
      <c r="M518" s="15">
        <f>IF(OR($B518="",$K518=""),"",($K518-IF($L518="",0,$L518)*IFERROR(VLOOKUP("P01",ParamTbl,3,0),1.5))*(1-IF(IFERROR(VLOOKUP($E518,OpTbl,3,0),"")="خرید",IFERROR(VLOOKUP("P02",ParamTbl,3,0),1),0)/100))</f>
        <v/>
      </c>
      <c r="N518" s="14" t="n"/>
      <c r="O518" s="13" t="n"/>
    </row>
    <row r="519">
      <c r="A519" s="11">
        <f>IF($B519="","",COUNTA($B$9:$B519))</f>
        <v/>
      </c>
      <c r="B519" s="12" t="n"/>
      <c r="C519" s="12" t="n"/>
      <c r="D519" s="12" t="n"/>
      <c r="E519" s="13" t="n"/>
      <c r="F519" s="11">
        <f>IF($E519="","",IFERROR(VLOOKUP($E519,OpTbl,2,0),""))</f>
        <v/>
      </c>
      <c r="G519" s="12" t="n"/>
      <c r="H519" s="11">
        <f>IF($G519="","",IFERROR(IF(VLOOKUP($G519,AcctTbl,4,0)="","(بدون نام)",VLOOKUP($G519,AcctTbl,4,0)),"کد ناشناخته"))</f>
        <v/>
      </c>
      <c r="I519" s="13" t="n"/>
      <c r="J519" s="13" t="n"/>
      <c r="K519" s="14" t="n"/>
      <c r="L519" s="14" t="n"/>
      <c r="M519" s="15">
        <f>IF(OR($B519="",$K519=""),"",($K519-IF($L519="",0,$L519)*IFERROR(VLOOKUP("P01",ParamTbl,3,0),1.5))*(1-IF(IFERROR(VLOOKUP($E519,OpTbl,3,0),"")="خرید",IFERROR(VLOOKUP("P02",ParamTbl,3,0),1),0)/100))</f>
        <v/>
      </c>
      <c r="N519" s="14" t="n"/>
      <c r="O519" s="13" t="n"/>
    </row>
    <row r="520">
      <c r="A520" s="11">
        <f>IF($B520="","",COUNTA($B$9:$B520))</f>
        <v/>
      </c>
      <c r="B520" s="12" t="n"/>
      <c r="C520" s="12" t="n"/>
      <c r="D520" s="12" t="n"/>
      <c r="E520" s="13" t="n"/>
      <c r="F520" s="11">
        <f>IF($E520="","",IFERROR(VLOOKUP($E520,OpTbl,2,0),""))</f>
        <v/>
      </c>
      <c r="G520" s="12" t="n"/>
      <c r="H520" s="11">
        <f>IF($G520="","",IFERROR(IF(VLOOKUP($G520,AcctTbl,4,0)="","(بدون نام)",VLOOKUP($G520,AcctTbl,4,0)),"کد ناشناخته"))</f>
        <v/>
      </c>
      <c r="I520" s="13" t="n"/>
      <c r="J520" s="13" t="n"/>
      <c r="K520" s="14" t="n"/>
      <c r="L520" s="14" t="n"/>
      <c r="M520" s="15">
        <f>IF(OR($B520="",$K520=""),"",($K520-IF($L520="",0,$L520)*IFERROR(VLOOKUP("P01",ParamTbl,3,0),1.5))*(1-IF(IFERROR(VLOOKUP($E520,OpTbl,3,0),"")="خرید",IFERROR(VLOOKUP("P02",ParamTbl,3,0),1),0)/100))</f>
        <v/>
      </c>
      <c r="N520" s="14" t="n"/>
      <c r="O520" s="13" t="n"/>
    </row>
    <row r="521">
      <c r="A521" s="11">
        <f>IF($B521="","",COUNTA($B$9:$B521))</f>
        <v/>
      </c>
      <c r="B521" s="12" t="n"/>
      <c r="C521" s="12" t="n"/>
      <c r="D521" s="12" t="n"/>
      <c r="E521" s="13" t="n"/>
      <c r="F521" s="11">
        <f>IF($E521="","",IFERROR(VLOOKUP($E521,OpTbl,2,0),""))</f>
        <v/>
      </c>
      <c r="G521" s="12" t="n"/>
      <c r="H521" s="11">
        <f>IF($G521="","",IFERROR(IF(VLOOKUP($G521,AcctTbl,4,0)="","(بدون نام)",VLOOKUP($G521,AcctTbl,4,0)),"کد ناشناخته"))</f>
        <v/>
      </c>
      <c r="I521" s="13" t="n"/>
      <c r="J521" s="13" t="n"/>
      <c r="K521" s="14" t="n"/>
      <c r="L521" s="14" t="n"/>
      <c r="M521" s="15">
        <f>IF(OR($B521="",$K521=""),"",($K521-IF($L521="",0,$L521)*IFERROR(VLOOKUP("P01",ParamTbl,3,0),1.5))*(1-IF(IFERROR(VLOOKUP($E521,OpTbl,3,0),"")="خرید",IFERROR(VLOOKUP("P02",ParamTbl,3,0),1),0)/100))</f>
        <v/>
      </c>
      <c r="N521" s="14" t="n"/>
      <c r="O521" s="13" t="n"/>
    </row>
    <row r="522">
      <c r="A522" s="11">
        <f>IF($B522="","",COUNTA($B$9:$B522))</f>
        <v/>
      </c>
      <c r="B522" s="12" t="n"/>
      <c r="C522" s="12" t="n"/>
      <c r="D522" s="12" t="n"/>
      <c r="E522" s="13" t="n"/>
      <c r="F522" s="11">
        <f>IF($E522="","",IFERROR(VLOOKUP($E522,OpTbl,2,0),""))</f>
        <v/>
      </c>
      <c r="G522" s="12" t="n"/>
      <c r="H522" s="11">
        <f>IF($G522="","",IFERROR(IF(VLOOKUP($G522,AcctTbl,4,0)="","(بدون نام)",VLOOKUP($G522,AcctTbl,4,0)),"کد ناشناخته"))</f>
        <v/>
      </c>
      <c r="I522" s="13" t="n"/>
      <c r="J522" s="13" t="n"/>
      <c r="K522" s="14" t="n"/>
      <c r="L522" s="14" t="n"/>
      <c r="M522" s="15">
        <f>IF(OR($B522="",$K522=""),"",($K522-IF($L522="",0,$L522)*IFERROR(VLOOKUP("P01",ParamTbl,3,0),1.5))*(1-IF(IFERROR(VLOOKUP($E522,OpTbl,3,0),"")="خرید",IFERROR(VLOOKUP("P02",ParamTbl,3,0),1),0)/100))</f>
        <v/>
      </c>
      <c r="N522" s="14" t="n"/>
      <c r="O522" s="13" t="n"/>
    </row>
    <row r="523">
      <c r="A523" s="11">
        <f>IF($B523="","",COUNTA($B$9:$B523))</f>
        <v/>
      </c>
      <c r="B523" s="12" t="n"/>
      <c r="C523" s="12" t="n"/>
      <c r="D523" s="12" t="n"/>
      <c r="E523" s="13" t="n"/>
      <c r="F523" s="11">
        <f>IF($E523="","",IFERROR(VLOOKUP($E523,OpTbl,2,0),""))</f>
        <v/>
      </c>
      <c r="G523" s="12" t="n"/>
      <c r="H523" s="11">
        <f>IF($G523="","",IFERROR(IF(VLOOKUP($G523,AcctTbl,4,0)="","(بدون نام)",VLOOKUP($G523,AcctTbl,4,0)),"کد ناشناخته"))</f>
        <v/>
      </c>
      <c r="I523" s="13" t="n"/>
      <c r="J523" s="13" t="n"/>
      <c r="K523" s="14" t="n"/>
      <c r="L523" s="14" t="n"/>
      <c r="M523" s="15">
        <f>IF(OR($B523="",$K523=""),"",($K523-IF($L523="",0,$L523)*IFERROR(VLOOKUP("P01",ParamTbl,3,0),1.5))*(1-IF(IFERROR(VLOOKUP($E523,OpTbl,3,0),"")="خرید",IFERROR(VLOOKUP("P02",ParamTbl,3,0),1),0)/100))</f>
        <v/>
      </c>
      <c r="N523" s="14" t="n"/>
      <c r="O523" s="13" t="n"/>
    </row>
    <row r="524">
      <c r="A524" s="11">
        <f>IF($B524="","",COUNTA($B$9:$B524))</f>
        <v/>
      </c>
      <c r="B524" s="12" t="n"/>
      <c r="C524" s="12" t="n"/>
      <c r="D524" s="12" t="n"/>
      <c r="E524" s="13" t="n"/>
      <c r="F524" s="11">
        <f>IF($E524="","",IFERROR(VLOOKUP($E524,OpTbl,2,0),""))</f>
        <v/>
      </c>
      <c r="G524" s="12" t="n"/>
      <c r="H524" s="11">
        <f>IF($G524="","",IFERROR(IF(VLOOKUP($G524,AcctTbl,4,0)="","(بدون نام)",VLOOKUP($G524,AcctTbl,4,0)),"کد ناشناخته"))</f>
        <v/>
      </c>
      <c r="I524" s="13" t="n"/>
      <c r="J524" s="13" t="n"/>
      <c r="K524" s="14" t="n"/>
      <c r="L524" s="14" t="n"/>
      <c r="M524" s="15">
        <f>IF(OR($B524="",$K524=""),"",($K524-IF($L524="",0,$L524)*IFERROR(VLOOKUP("P01",ParamTbl,3,0),1.5))*(1-IF(IFERROR(VLOOKUP($E524,OpTbl,3,0),"")="خرید",IFERROR(VLOOKUP("P02",ParamTbl,3,0),1),0)/100))</f>
        <v/>
      </c>
      <c r="N524" s="14" t="n"/>
      <c r="O524" s="13" t="n"/>
    </row>
    <row r="525">
      <c r="A525" s="11">
        <f>IF($B525="","",COUNTA($B$9:$B525))</f>
        <v/>
      </c>
      <c r="B525" s="12" t="n"/>
      <c r="C525" s="12" t="n"/>
      <c r="D525" s="12" t="n"/>
      <c r="E525" s="13" t="n"/>
      <c r="F525" s="11">
        <f>IF($E525="","",IFERROR(VLOOKUP($E525,OpTbl,2,0),""))</f>
        <v/>
      </c>
      <c r="G525" s="12" t="n"/>
      <c r="H525" s="11">
        <f>IF($G525="","",IFERROR(IF(VLOOKUP($G525,AcctTbl,4,0)="","(بدون نام)",VLOOKUP($G525,AcctTbl,4,0)),"کد ناشناخته"))</f>
        <v/>
      </c>
      <c r="I525" s="13" t="n"/>
      <c r="J525" s="13" t="n"/>
      <c r="K525" s="14" t="n"/>
      <c r="L525" s="14" t="n"/>
      <c r="M525" s="15">
        <f>IF(OR($B525="",$K525=""),"",($K525-IF($L525="",0,$L525)*IFERROR(VLOOKUP("P01",ParamTbl,3,0),1.5))*(1-IF(IFERROR(VLOOKUP($E525,OpTbl,3,0),"")="خرید",IFERROR(VLOOKUP("P02",ParamTbl,3,0),1),0)/100))</f>
        <v/>
      </c>
      <c r="N525" s="14" t="n"/>
      <c r="O525" s="13" t="n"/>
    </row>
    <row r="526">
      <c r="A526" s="11">
        <f>IF($B526="","",COUNTA($B$9:$B526))</f>
        <v/>
      </c>
      <c r="B526" s="12" t="n"/>
      <c r="C526" s="12" t="n"/>
      <c r="D526" s="12" t="n"/>
      <c r="E526" s="13" t="n"/>
      <c r="F526" s="11">
        <f>IF($E526="","",IFERROR(VLOOKUP($E526,OpTbl,2,0),""))</f>
        <v/>
      </c>
      <c r="G526" s="12" t="n"/>
      <c r="H526" s="11">
        <f>IF($G526="","",IFERROR(IF(VLOOKUP($G526,AcctTbl,4,0)="","(بدون نام)",VLOOKUP($G526,AcctTbl,4,0)),"کد ناشناخته"))</f>
        <v/>
      </c>
      <c r="I526" s="13" t="n"/>
      <c r="J526" s="13" t="n"/>
      <c r="K526" s="14" t="n"/>
      <c r="L526" s="14" t="n"/>
      <c r="M526" s="15">
        <f>IF(OR($B526="",$K526=""),"",($K526-IF($L526="",0,$L526)*IFERROR(VLOOKUP("P01",ParamTbl,3,0),1.5))*(1-IF(IFERROR(VLOOKUP($E526,OpTbl,3,0),"")="خرید",IFERROR(VLOOKUP("P02",ParamTbl,3,0),1),0)/100))</f>
        <v/>
      </c>
      <c r="N526" s="14" t="n"/>
      <c r="O526" s="13" t="n"/>
    </row>
    <row r="527">
      <c r="A527" s="11">
        <f>IF($B527="","",COUNTA($B$9:$B527))</f>
        <v/>
      </c>
      <c r="B527" s="12" t="n"/>
      <c r="C527" s="12" t="n"/>
      <c r="D527" s="12" t="n"/>
      <c r="E527" s="13" t="n"/>
      <c r="F527" s="11">
        <f>IF($E527="","",IFERROR(VLOOKUP($E527,OpTbl,2,0),""))</f>
        <v/>
      </c>
      <c r="G527" s="12" t="n"/>
      <c r="H527" s="11">
        <f>IF($G527="","",IFERROR(IF(VLOOKUP($G527,AcctTbl,4,0)="","(بدون نام)",VLOOKUP($G527,AcctTbl,4,0)),"کد ناشناخته"))</f>
        <v/>
      </c>
      <c r="I527" s="13" t="n"/>
      <c r="J527" s="13" t="n"/>
      <c r="K527" s="14" t="n"/>
      <c r="L527" s="14" t="n"/>
      <c r="M527" s="15">
        <f>IF(OR($B527="",$K527=""),"",($K527-IF($L527="",0,$L527)*IFERROR(VLOOKUP("P01",ParamTbl,3,0),1.5))*(1-IF(IFERROR(VLOOKUP($E527,OpTbl,3,0),"")="خرید",IFERROR(VLOOKUP("P02",ParamTbl,3,0),1),0)/100))</f>
        <v/>
      </c>
      <c r="N527" s="14" t="n"/>
      <c r="O527" s="13" t="n"/>
    </row>
    <row r="528">
      <c r="A528" s="11">
        <f>IF($B528="","",COUNTA($B$9:$B528))</f>
        <v/>
      </c>
      <c r="B528" s="12" t="n"/>
      <c r="C528" s="12" t="n"/>
      <c r="D528" s="12" t="n"/>
      <c r="E528" s="13" t="n"/>
      <c r="F528" s="11">
        <f>IF($E528="","",IFERROR(VLOOKUP($E528,OpTbl,2,0),""))</f>
        <v/>
      </c>
      <c r="G528" s="12" t="n"/>
      <c r="H528" s="11">
        <f>IF($G528="","",IFERROR(IF(VLOOKUP($G528,AcctTbl,4,0)="","(بدون نام)",VLOOKUP($G528,AcctTbl,4,0)),"کد ناشناخته"))</f>
        <v/>
      </c>
      <c r="I528" s="13" t="n"/>
      <c r="J528" s="13" t="n"/>
      <c r="K528" s="14" t="n"/>
      <c r="L528" s="14" t="n"/>
      <c r="M528" s="15">
        <f>IF(OR($B528="",$K528=""),"",($K528-IF($L528="",0,$L528)*IFERROR(VLOOKUP("P01",ParamTbl,3,0),1.5))*(1-IF(IFERROR(VLOOKUP($E528,OpTbl,3,0),"")="خرید",IFERROR(VLOOKUP("P02",ParamTbl,3,0),1),0)/100))</f>
        <v/>
      </c>
      <c r="N528" s="14" t="n"/>
      <c r="O528" s="13" t="n"/>
    </row>
    <row r="529">
      <c r="A529" s="11">
        <f>IF($B529="","",COUNTA($B$9:$B529))</f>
        <v/>
      </c>
      <c r="B529" s="12" t="n"/>
      <c r="C529" s="12" t="n"/>
      <c r="D529" s="12" t="n"/>
      <c r="E529" s="13" t="n"/>
      <c r="F529" s="11">
        <f>IF($E529="","",IFERROR(VLOOKUP($E529,OpTbl,2,0),""))</f>
        <v/>
      </c>
      <c r="G529" s="12" t="n"/>
      <c r="H529" s="11">
        <f>IF($G529="","",IFERROR(IF(VLOOKUP($G529,AcctTbl,4,0)="","(بدون نام)",VLOOKUP($G529,AcctTbl,4,0)),"کد ناشناخته"))</f>
        <v/>
      </c>
      <c r="I529" s="13" t="n"/>
      <c r="J529" s="13" t="n"/>
      <c r="K529" s="14" t="n"/>
      <c r="L529" s="14" t="n"/>
      <c r="M529" s="15">
        <f>IF(OR($B529="",$K529=""),"",($K529-IF($L529="",0,$L529)*IFERROR(VLOOKUP("P01",ParamTbl,3,0),1.5))*(1-IF(IFERROR(VLOOKUP($E529,OpTbl,3,0),"")="خرید",IFERROR(VLOOKUP("P02",ParamTbl,3,0),1),0)/100))</f>
        <v/>
      </c>
      <c r="N529" s="14" t="n"/>
      <c r="O529" s="13" t="n"/>
    </row>
    <row r="530">
      <c r="A530" s="11">
        <f>IF($B530="","",COUNTA($B$9:$B530))</f>
        <v/>
      </c>
      <c r="B530" s="12" t="n"/>
      <c r="C530" s="12" t="n"/>
      <c r="D530" s="12" t="n"/>
      <c r="E530" s="13" t="n"/>
      <c r="F530" s="11">
        <f>IF($E530="","",IFERROR(VLOOKUP($E530,OpTbl,2,0),""))</f>
        <v/>
      </c>
      <c r="G530" s="12" t="n"/>
      <c r="H530" s="11">
        <f>IF($G530="","",IFERROR(IF(VLOOKUP($G530,AcctTbl,4,0)="","(بدون نام)",VLOOKUP($G530,AcctTbl,4,0)),"کد ناشناخته"))</f>
        <v/>
      </c>
      <c r="I530" s="13" t="n"/>
      <c r="J530" s="13" t="n"/>
      <c r="K530" s="14" t="n"/>
      <c r="L530" s="14" t="n"/>
      <c r="M530" s="15">
        <f>IF(OR($B530="",$K530=""),"",($K530-IF($L530="",0,$L530)*IFERROR(VLOOKUP("P01",ParamTbl,3,0),1.5))*(1-IF(IFERROR(VLOOKUP($E530,OpTbl,3,0),"")="خرید",IFERROR(VLOOKUP("P02",ParamTbl,3,0),1),0)/100))</f>
        <v/>
      </c>
      <c r="N530" s="14" t="n"/>
      <c r="O530" s="13" t="n"/>
    </row>
    <row r="531">
      <c r="A531" s="11">
        <f>IF($B531="","",COUNTA($B$9:$B531))</f>
        <v/>
      </c>
      <c r="B531" s="12" t="n"/>
      <c r="C531" s="12" t="n"/>
      <c r="D531" s="12" t="n"/>
      <c r="E531" s="13" t="n"/>
      <c r="F531" s="11">
        <f>IF($E531="","",IFERROR(VLOOKUP($E531,OpTbl,2,0),""))</f>
        <v/>
      </c>
      <c r="G531" s="12" t="n"/>
      <c r="H531" s="11">
        <f>IF($G531="","",IFERROR(IF(VLOOKUP($G531,AcctTbl,4,0)="","(بدون نام)",VLOOKUP($G531,AcctTbl,4,0)),"کد ناشناخته"))</f>
        <v/>
      </c>
      <c r="I531" s="13" t="n"/>
      <c r="J531" s="13" t="n"/>
      <c r="K531" s="14" t="n"/>
      <c r="L531" s="14" t="n"/>
      <c r="M531" s="15">
        <f>IF(OR($B531="",$K531=""),"",($K531-IF($L531="",0,$L531)*IFERROR(VLOOKUP("P01",ParamTbl,3,0),1.5))*(1-IF(IFERROR(VLOOKUP($E531,OpTbl,3,0),"")="خرید",IFERROR(VLOOKUP("P02",ParamTbl,3,0),1),0)/100))</f>
        <v/>
      </c>
      <c r="N531" s="14" t="n"/>
      <c r="O531" s="13" t="n"/>
    </row>
    <row r="532">
      <c r="A532" s="11">
        <f>IF($B532="","",COUNTA($B$9:$B532))</f>
        <v/>
      </c>
      <c r="B532" s="12" t="n"/>
      <c r="C532" s="12" t="n"/>
      <c r="D532" s="12" t="n"/>
      <c r="E532" s="13" t="n"/>
      <c r="F532" s="11">
        <f>IF($E532="","",IFERROR(VLOOKUP($E532,OpTbl,2,0),""))</f>
        <v/>
      </c>
      <c r="G532" s="12" t="n"/>
      <c r="H532" s="11">
        <f>IF($G532="","",IFERROR(IF(VLOOKUP($G532,AcctTbl,4,0)="","(بدون نام)",VLOOKUP($G532,AcctTbl,4,0)),"کد ناشناخته"))</f>
        <v/>
      </c>
      <c r="I532" s="13" t="n"/>
      <c r="J532" s="13" t="n"/>
      <c r="K532" s="14" t="n"/>
      <c r="L532" s="14" t="n"/>
      <c r="M532" s="15">
        <f>IF(OR($B532="",$K532=""),"",($K532-IF($L532="",0,$L532)*IFERROR(VLOOKUP("P01",ParamTbl,3,0),1.5))*(1-IF(IFERROR(VLOOKUP($E532,OpTbl,3,0),"")="خرید",IFERROR(VLOOKUP("P02",ParamTbl,3,0),1),0)/100))</f>
        <v/>
      </c>
      <c r="N532" s="14" t="n"/>
      <c r="O532" s="13" t="n"/>
    </row>
    <row r="533">
      <c r="A533" s="11">
        <f>IF($B533="","",COUNTA($B$9:$B533))</f>
        <v/>
      </c>
      <c r="B533" s="12" t="n"/>
      <c r="C533" s="12" t="n"/>
      <c r="D533" s="12" t="n"/>
      <c r="E533" s="13" t="n"/>
      <c r="F533" s="11">
        <f>IF($E533="","",IFERROR(VLOOKUP($E533,OpTbl,2,0),""))</f>
        <v/>
      </c>
      <c r="G533" s="12" t="n"/>
      <c r="H533" s="11">
        <f>IF($G533="","",IFERROR(IF(VLOOKUP($G533,AcctTbl,4,0)="","(بدون نام)",VLOOKUP($G533,AcctTbl,4,0)),"کد ناشناخته"))</f>
        <v/>
      </c>
      <c r="I533" s="13" t="n"/>
      <c r="J533" s="13" t="n"/>
      <c r="K533" s="14" t="n"/>
      <c r="L533" s="14" t="n"/>
      <c r="M533" s="15">
        <f>IF(OR($B533="",$K533=""),"",($K533-IF($L533="",0,$L533)*IFERROR(VLOOKUP("P01",ParamTbl,3,0),1.5))*(1-IF(IFERROR(VLOOKUP($E533,OpTbl,3,0),"")="خرید",IFERROR(VLOOKUP("P02",ParamTbl,3,0),1),0)/100))</f>
        <v/>
      </c>
      <c r="N533" s="14" t="n"/>
      <c r="O533" s="13" t="n"/>
    </row>
    <row r="534">
      <c r="A534" s="11">
        <f>IF($B534="","",COUNTA($B$9:$B534))</f>
        <v/>
      </c>
      <c r="B534" s="12" t="n"/>
      <c r="C534" s="12" t="n"/>
      <c r="D534" s="12" t="n"/>
      <c r="E534" s="13" t="n"/>
      <c r="F534" s="11">
        <f>IF($E534="","",IFERROR(VLOOKUP($E534,OpTbl,2,0),""))</f>
        <v/>
      </c>
      <c r="G534" s="12" t="n"/>
      <c r="H534" s="11">
        <f>IF($G534="","",IFERROR(IF(VLOOKUP($G534,AcctTbl,4,0)="","(بدون نام)",VLOOKUP($G534,AcctTbl,4,0)),"کد ناشناخته"))</f>
        <v/>
      </c>
      <c r="I534" s="13" t="n"/>
      <c r="J534" s="13" t="n"/>
      <c r="K534" s="14" t="n"/>
      <c r="L534" s="14" t="n"/>
      <c r="M534" s="15">
        <f>IF(OR($B534="",$K534=""),"",($K534-IF($L534="",0,$L534)*IFERROR(VLOOKUP("P01",ParamTbl,3,0),1.5))*(1-IF(IFERROR(VLOOKUP($E534,OpTbl,3,0),"")="خرید",IFERROR(VLOOKUP("P02",ParamTbl,3,0),1),0)/100))</f>
        <v/>
      </c>
      <c r="N534" s="14" t="n"/>
      <c r="O534" s="13" t="n"/>
    </row>
    <row r="535">
      <c r="A535" s="11">
        <f>IF($B535="","",COUNTA($B$9:$B535))</f>
        <v/>
      </c>
      <c r="B535" s="12" t="n"/>
      <c r="C535" s="12" t="n"/>
      <c r="D535" s="12" t="n"/>
      <c r="E535" s="13" t="n"/>
      <c r="F535" s="11">
        <f>IF($E535="","",IFERROR(VLOOKUP($E535,OpTbl,2,0),""))</f>
        <v/>
      </c>
      <c r="G535" s="12" t="n"/>
      <c r="H535" s="11">
        <f>IF($G535="","",IFERROR(IF(VLOOKUP($G535,AcctTbl,4,0)="","(بدون نام)",VLOOKUP($G535,AcctTbl,4,0)),"کد ناشناخته"))</f>
        <v/>
      </c>
      <c r="I535" s="13" t="n"/>
      <c r="J535" s="13" t="n"/>
      <c r="K535" s="14" t="n"/>
      <c r="L535" s="14" t="n"/>
      <c r="M535" s="15">
        <f>IF(OR($B535="",$K535=""),"",($K535-IF($L535="",0,$L535)*IFERROR(VLOOKUP("P01",ParamTbl,3,0),1.5))*(1-IF(IFERROR(VLOOKUP($E535,OpTbl,3,0),"")="خرید",IFERROR(VLOOKUP("P02",ParamTbl,3,0),1),0)/100))</f>
        <v/>
      </c>
      <c r="N535" s="14" t="n"/>
      <c r="O535" s="13" t="n"/>
    </row>
    <row r="536">
      <c r="A536" s="11">
        <f>IF($B536="","",COUNTA($B$9:$B536))</f>
        <v/>
      </c>
      <c r="B536" s="12" t="n"/>
      <c r="C536" s="12" t="n"/>
      <c r="D536" s="12" t="n"/>
      <c r="E536" s="13" t="n"/>
      <c r="F536" s="11">
        <f>IF($E536="","",IFERROR(VLOOKUP($E536,OpTbl,2,0),""))</f>
        <v/>
      </c>
      <c r="G536" s="12" t="n"/>
      <c r="H536" s="11">
        <f>IF($G536="","",IFERROR(IF(VLOOKUP($G536,AcctTbl,4,0)="","(بدون نام)",VLOOKUP($G536,AcctTbl,4,0)),"کد ناشناخته"))</f>
        <v/>
      </c>
      <c r="I536" s="13" t="n"/>
      <c r="J536" s="13" t="n"/>
      <c r="K536" s="14" t="n"/>
      <c r="L536" s="14" t="n"/>
      <c r="M536" s="15">
        <f>IF(OR($B536="",$K536=""),"",($K536-IF($L536="",0,$L536)*IFERROR(VLOOKUP("P01",ParamTbl,3,0),1.5))*(1-IF(IFERROR(VLOOKUP($E536,OpTbl,3,0),"")="خرید",IFERROR(VLOOKUP("P02",ParamTbl,3,0),1),0)/100))</f>
        <v/>
      </c>
      <c r="N536" s="14" t="n"/>
      <c r="O536" s="13" t="n"/>
    </row>
    <row r="537">
      <c r="A537" s="11">
        <f>IF($B537="","",COUNTA($B$9:$B537))</f>
        <v/>
      </c>
      <c r="B537" s="12" t="n"/>
      <c r="C537" s="12" t="n"/>
      <c r="D537" s="12" t="n"/>
      <c r="E537" s="13" t="n"/>
      <c r="F537" s="11">
        <f>IF($E537="","",IFERROR(VLOOKUP($E537,OpTbl,2,0),""))</f>
        <v/>
      </c>
      <c r="G537" s="12" t="n"/>
      <c r="H537" s="11">
        <f>IF($G537="","",IFERROR(IF(VLOOKUP($G537,AcctTbl,4,0)="","(بدون نام)",VLOOKUP($G537,AcctTbl,4,0)),"کد ناشناخته"))</f>
        <v/>
      </c>
      <c r="I537" s="13" t="n"/>
      <c r="J537" s="13" t="n"/>
      <c r="K537" s="14" t="n"/>
      <c r="L537" s="14" t="n"/>
      <c r="M537" s="15">
        <f>IF(OR($B537="",$K537=""),"",($K537-IF($L537="",0,$L537)*IFERROR(VLOOKUP("P01",ParamTbl,3,0),1.5))*(1-IF(IFERROR(VLOOKUP($E537,OpTbl,3,0),"")="خرید",IFERROR(VLOOKUP("P02",ParamTbl,3,0),1),0)/100))</f>
        <v/>
      </c>
      <c r="N537" s="14" t="n"/>
      <c r="O537" s="13" t="n"/>
    </row>
    <row r="538">
      <c r="A538" s="11">
        <f>IF($B538="","",COUNTA($B$9:$B538))</f>
        <v/>
      </c>
      <c r="B538" s="12" t="n"/>
      <c r="C538" s="12" t="n"/>
      <c r="D538" s="12" t="n"/>
      <c r="E538" s="13" t="n"/>
      <c r="F538" s="11">
        <f>IF($E538="","",IFERROR(VLOOKUP($E538,OpTbl,2,0),""))</f>
        <v/>
      </c>
      <c r="G538" s="12" t="n"/>
      <c r="H538" s="11">
        <f>IF($G538="","",IFERROR(IF(VLOOKUP($G538,AcctTbl,4,0)="","(بدون نام)",VLOOKUP($G538,AcctTbl,4,0)),"کد ناشناخته"))</f>
        <v/>
      </c>
      <c r="I538" s="13" t="n"/>
      <c r="J538" s="13" t="n"/>
      <c r="K538" s="14" t="n"/>
      <c r="L538" s="14" t="n"/>
      <c r="M538" s="15">
        <f>IF(OR($B538="",$K538=""),"",($K538-IF($L538="",0,$L538)*IFERROR(VLOOKUP("P01",ParamTbl,3,0),1.5))*(1-IF(IFERROR(VLOOKUP($E538,OpTbl,3,0),"")="خرید",IFERROR(VLOOKUP("P02",ParamTbl,3,0),1),0)/100))</f>
        <v/>
      </c>
      <c r="N538" s="14" t="n"/>
      <c r="O538" s="13" t="n"/>
    </row>
    <row r="539">
      <c r="A539" s="11">
        <f>IF($B539="","",COUNTA($B$9:$B539))</f>
        <v/>
      </c>
      <c r="B539" s="12" t="n"/>
      <c r="C539" s="12" t="n"/>
      <c r="D539" s="12" t="n"/>
      <c r="E539" s="13" t="n"/>
      <c r="F539" s="11">
        <f>IF($E539="","",IFERROR(VLOOKUP($E539,OpTbl,2,0),""))</f>
        <v/>
      </c>
      <c r="G539" s="12" t="n"/>
      <c r="H539" s="11">
        <f>IF($G539="","",IFERROR(IF(VLOOKUP($G539,AcctTbl,4,0)="","(بدون نام)",VLOOKUP($G539,AcctTbl,4,0)),"کد ناشناخته"))</f>
        <v/>
      </c>
      <c r="I539" s="13" t="n"/>
      <c r="J539" s="13" t="n"/>
      <c r="K539" s="14" t="n"/>
      <c r="L539" s="14" t="n"/>
      <c r="M539" s="15">
        <f>IF(OR($B539="",$K539=""),"",($K539-IF($L539="",0,$L539)*IFERROR(VLOOKUP("P01",ParamTbl,3,0),1.5))*(1-IF(IFERROR(VLOOKUP($E539,OpTbl,3,0),"")="خرید",IFERROR(VLOOKUP("P02",ParamTbl,3,0),1),0)/100))</f>
        <v/>
      </c>
      <c r="N539" s="14" t="n"/>
      <c r="O539" s="13" t="n"/>
    </row>
    <row r="540">
      <c r="A540" s="11">
        <f>IF($B540="","",COUNTA($B$9:$B540))</f>
        <v/>
      </c>
      <c r="B540" s="12" t="n"/>
      <c r="C540" s="12" t="n"/>
      <c r="D540" s="12" t="n"/>
      <c r="E540" s="13" t="n"/>
      <c r="F540" s="11">
        <f>IF($E540="","",IFERROR(VLOOKUP($E540,OpTbl,2,0),""))</f>
        <v/>
      </c>
      <c r="G540" s="12" t="n"/>
      <c r="H540" s="11">
        <f>IF($G540="","",IFERROR(IF(VLOOKUP($G540,AcctTbl,4,0)="","(بدون نام)",VLOOKUP($G540,AcctTbl,4,0)),"کد ناشناخته"))</f>
        <v/>
      </c>
      <c r="I540" s="13" t="n"/>
      <c r="J540" s="13" t="n"/>
      <c r="K540" s="14" t="n"/>
      <c r="L540" s="14" t="n"/>
      <c r="M540" s="15">
        <f>IF(OR($B540="",$K540=""),"",($K540-IF($L540="",0,$L540)*IFERROR(VLOOKUP("P01",ParamTbl,3,0),1.5))*(1-IF(IFERROR(VLOOKUP($E540,OpTbl,3,0),"")="خرید",IFERROR(VLOOKUP("P02",ParamTbl,3,0),1),0)/100))</f>
        <v/>
      </c>
      <c r="N540" s="14" t="n"/>
      <c r="O540" s="13" t="n"/>
    </row>
    <row r="541">
      <c r="A541" s="11">
        <f>IF($B541="","",COUNTA($B$9:$B541))</f>
        <v/>
      </c>
      <c r="B541" s="12" t="n"/>
      <c r="C541" s="12" t="n"/>
      <c r="D541" s="12" t="n"/>
      <c r="E541" s="13" t="n"/>
      <c r="F541" s="11">
        <f>IF($E541="","",IFERROR(VLOOKUP($E541,OpTbl,2,0),""))</f>
        <v/>
      </c>
      <c r="G541" s="12" t="n"/>
      <c r="H541" s="11">
        <f>IF($G541="","",IFERROR(IF(VLOOKUP($G541,AcctTbl,4,0)="","(بدون نام)",VLOOKUP($G541,AcctTbl,4,0)),"کد ناشناخته"))</f>
        <v/>
      </c>
      <c r="I541" s="13" t="n"/>
      <c r="J541" s="13" t="n"/>
      <c r="K541" s="14" t="n"/>
      <c r="L541" s="14" t="n"/>
      <c r="M541" s="15">
        <f>IF(OR($B541="",$K541=""),"",($K541-IF($L541="",0,$L541)*IFERROR(VLOOKUP("P01",ParamTbl,3,0),1.5))*(1-IF(IFERROR(VLOOKUP($E541,OpTbl,3,0),"")="خرید",IFERROR(VLOOKUP("P02",ParamTbl,3,0),1),0)/100))</f>
        <v/>
      </c>
      <c r="N541" s="14" t="n"/>
      <c r="O541" s="13" t="n"/>
    </row>
    <row r="542">
      <c r="A542" s="11">
        <f>IF($B542="","",COUNTA($B$9:$B542))</f>
        <v/>
      </c>
      <c r="B542" s="12" t="n"/>
      <c r="C542" s="12" t="n"/>
      <c r="D542" s="12" t="n"/>
      <c r="E542" s="13" t="n"/>
      <c r="F542" s="11">
        <f>IF($E542="","",IFERROR(VLOOKUP($E542,OpTbl,2,0),""))</f>
        <v/>
      </c>
      <c r="G542" s="12" t="n"/>
      <c r="H542" s="11">
        <f>IF($G542="","",IFERROR(IF(VLOOKUP($G542,AcctTbl,4,0)="","(بدون نام)",VLOOKUP($G542,AcctTbl,4,0)),"کد ناشناخته"))</f>
        <v/>
      </c>
      <c r="I542" s="13" t="n"/>
      <c r="J542" s="13" t="n"/>
      <c r="K542" s="14" t="n"/>
      <c r="L542" s="14" t="n"/>
      <c r="M542" s="15">
        <f>IF(OR($B542="",$K542=""),"",($K542-IF($L542="",0,$L542)*IFERROR(VLOOKUP("P01",ParamTbl,3,0),1.5))*(1-IF(IFERROR(VLOOKUP($E542,OpTbl,3,0),"")="خرید",IFERROR(VLOOKUP("P02",ParamTbl,3,0),1),0)/100))</f>
        <v/>
      </c>
      <c r="N542" s="14" t="n"/>
      <c r="O542" s="13" t="n"/>
    </row>
    <row r="543">
      <c r="A543" s="11">
        <f>IF($B543="","",COUNTA($B$9:$B543))</f>
        <v/>
      </c>
      <c r="B543" s="12" t="n"/>
      <c r="C543" s="12" t="n"/>
      <c r="D543" s="12" t="n"/>
      <c r="E543" s="13" t="n"/>
      <c r="F543" s="11">
        <f>IF($E543="","",IFERROR(VLOOKUP($E543,OpTbl,2,0),""))</f>
        <v/>
      </c>
      <c r="G543" s="12" t="n"/>
      <c r="H543" s="11">
        <f>IF($G543="","",IFERROR(IF(VLOOKUP($G543,AcctTbl,4,0)="","(بدون نام)",VLOOKUP($G543,AcctTbl,4,0)),"کد ناشناخته"))</f>
        <v/>
      </c>
      <c r="I543" s="13" t="n"/>
      <c r="J543" s="13" t="n"/>
      <c r="K543" s="14" t="n"/>
      <c r="L543" s="14" t="n"/>
      <c r="M543" s="15">
        <f>IF(OR($B543="",$K543=""),"",($K543-IF($L543="",0,$L543)*IFERROR(VLOOKUP("P01",ParamTbl,3,0),1.5))*(1-IF(IFERROR(VLOOKUP($E543,OpTbl,3,0),"")="خرید",IFERROR(VLOOKUP("P02",ParamTbl,3,0),1),0)/100))</f>
        <v/>
      </c>
      <c r="N543" s="14" t="n"/>
      <c r="O543" s="13" t="n"/>
    </row>
    <row r="544">
      <c r="A544" s="11">
        <f>IF($B544="","",COUNTA($B$9:$B544))</f>
        <v/>
      </c>
      <c r="B544" s="12" t="n"/>
      <c r="C544" s="12" t="n"/>
      <c r="D544" s="12" t="n"/>
      <c r="E544" s="13" t="n"/>
      <c r="F544" s="11">
        <f>IF($E544="","",IFERROR(VLOOKUP($E544,OpTbl,2,0),""))</f>
        <v/>
      </c>
      <c r="G544" s="12" t="n"/>
      <c r="H544" s="11">
        <f>IF($G544="","",IFERROR(IF(VLOOKUP($G544,AcctTbl,4,0)="","(بدون نام)",VLOOKUP($G544,AcctTbl,4,0)),"کد ناشناخته"))</f>
        <v/>
      </c>
      <c r="I544" s="13" t="n"/>
      <c r="J544" s="13" t="n"/>
      <c r="K544" s="14" t="n"/>
      <c r="L544" s="14" t="n"/>
      <c r="M544" s="15">
        <f>IF(OR($B544="",$K544=""),"",($K544-IF($L544="",0,$L544)*IFERROR(VLOOKUP("P01",ParamTbl,3,0),1.5))*(1-IF(IFERROR(VLOOKUP($E544,OpTbl,3,0),"")="خرید",IFERROR(VLOOKUP("P02",ParamTbl,3,0),1),0)/100))</f>
        <v/>
      </c>
      <c r="N544" s="14" t="n"/>
      <c r="O544" s="13" t="n"/>
    </row>
    <row r="545">
      <c r="A545" s="11">
        <f>IF($B545="","",COUNTA($B$9:$B545))</f>
        <v/>
      </c>
      <c r="B545" s="12" t="n"/>
      <c r="C545" s="12" t="n"/>
      <c r="D545" s="12" t="n"/>
      <c r="E545" s="13" t="n"/>
      <c r="F545" s="11">
        <f>IF($E545="","",IFERROR(VLOOKUP($E545,OpTbl,2,0),""))</f>
        <v/>
      </c>
      <c r="G545" s="12" t="n"/>
      <c r="H545" s="11">
        <f>IF($G545="","",IFERROR(IF(VLOOKUP($G545,AcctTbl,4,0)="","(بدون نام)",VLOOKUP($G545,AcctTbl,4,0)),"کد ناشناخته"))</f>
        <v/>
      </c>
      <c r="I545" s="13" t="n"/>
      <c r="J545" s="13" t="n"/>
      <c r="K545" s="14" t="n"/>
      <c r="L545" s="14" t="n"/>
      <c r="M545" s="15">
        <f>IF(OR($B545="",$K545=""),"",($K545-IF($L545="",0,$L545)*IFERROR(VLOOKUP("P01",ParamTbl,3,0),1.5))*(1-IF(IFERROR(VLOOKUP($E545,OpTbl,3,0),"")="خرید",IFERROR(VLOOKUP("P02",ParamTbl,3,0),1),0)/100))</f>
        <v/>
      </c>
      <c r="N545" s="14" t="n"/>
      <c r="O545" s="13" t="n"/>
    </row>
    <row r="546">
      <c r="A546" s="11">
        <f>IF($B546="","",COUNTA($B$9:$B546))</f>
        <v/>
      </c>
      <c r="B546" s="12" t="n"/>
      <c r="C546" s="12" t="n"/>
      <c r="D546" s="12" t="n"/>
      <c r="E546" s="13" t="n"/>
      <c r="F546" s="11">
        <f>IF($E546="","",IFERROR(VLOOKUP($E546,OpTbl,2,0),""))</f>
        <v/>
      </c>
      <c r="G546" s="12" t="n"/>
      <c r="H546" s="11">
        <f>IF($G546="","",IFERROR(IF(VLOOKUP($G546,AcctTbl,4,0)="","(بدون نام)",VLOOKUP($G546,AcctTbl,4,0)),"کد ناشناخته"))</f>
        <v/>
      </c>
      <c r="I546" s="13" t="n"/>
      <c r="J546" s="13" t="n"/>
      <c r="K546" s="14" t="n"/>
      <c r="L546" s="14" t="n"/>
      <c r="M546" s="15">
        <f>IF(OR($B546="",$K546=""),"",($K546-IF($L546="",0,$L546)*IFERROR(VLOOKUP("P01",ParamTbl,3,0),1.5))*(1-IF(IFERROR(VLOOKUP($E546,OpTbl,3,0),"")="خرید",IFERROR(VLOOKUP("P02",ParamTbl,3,0),1),0)/100))</f>
        <v/>
      </c>
      <c r="N546" s="14" t="n"/>
      <c r="O546" s="13" t="n"/>
    </row>
    <row r="547">
      <c r="A547" s="11">
        <f>IF($B547="","",COUNTA($B$9:$B547))</f>
        <v/>
      </c>
      <c r="B547" s="12" t="n"/>
      <c r="C547" s="12" t="n"/>
      <c r="D547" s="12" t="n"/>
      <c r="E547" s="13" t="n"/>
      <c r="F547" s="11">
        <f>IF($E547="","",IFERROR(VLOOKUP($E547,OpTbl,2,0),""))</f>
        <v/>
      </c>
      <c r="G547" s="12" t="n"/>
      <c r="H547" s="11">
        <f>IF($G547="","",IFERROR(IF(VLOOKUP($G547,AcctTbl,4,0)="","(بدون نام)",VLOOKUP($G547,AcctTbl,4,0)),"کد ناشناخته"))</f>
        <v/>
      </c>
      <c r="I547" s="13" t="n"/>
      <c r="J547" s="13" t="n"/>
      <c r="K547" s="14" t="n"/>
      <c r="L547" s="14" t="n"/>
      <c r="M547" s="15">
        <f>IF(OR($B547="",$K547=""),"",($K547-IF($L547="",0,$L547)*IFERROR(VLOOKUP("P01",ParamTbl,3,0),1.5))*(1-IF(IFERROR(VLOOKUP($E547,OpTbl,3,0),"")="خرید",IFERROR(VLOOKUP("P02",ParamTbl,3,0),1),0)/100))</f>
        <v/>
      </c>
      <c r="N547" s="14" t="n"/>
      <c r="O547" s="13" t="n"/>
    </row>
    <row r="548">
      <c r="A548" s="11">
        <f>IF($B548="","",COUNTA($B$9:$B548))</f>
        <v/>
      </c>
      <c r="B548" s="12" t="n"/>
      <c r="C548" s="12" t="n"/>
      <c r="D548" s="12" t="n"/>
      <c r="E548" s="13" t="n"/>
      <c r="F548" s="11">
        <f>IF($E548="","",IFERROR(VLOOKUP($E548,OpTbl,2,0),""))</f>
        <v/>
      </c>
      <c r="G548" s="12" t="n"/>
      <c r="H548" s="11">
        <f>IF($G548="","",IFERROR(IF(VLOOKUP($G548,AcctTbl,4,0)="","(بدون نام)",VLOOKUP($G548,AcctTbl,4,0)),"کد ناشناخته"))</f>
        <v/>
      </c>
      <c r="I548" s="13" t="n"/>
      <c r="J548" s="13" t="n"/>
      <c r="K548" s="14" t="n"/>
      <c r="L548" s="14" t="n"/>
      <c r="M548" s="15">
        <f>IF(OR($B548="",$K548=""),"",($K548-IF($L548="",0,$L548)*IFERROR(VLOOKUP("P01",ParamTbl,3,0),1.5))*(1-IF(IFERROR(VLOOKUP($E548,OpTbl,3,0),"")="خرید",IFERROR(VLOOKUP("P02",ParamTbl,3,0),1),0)/100))</f>
        <v/>
      </c>
      <c r="N548" s="14" t="n"/>
      <c r="O548" s="13" t="n"/>
    </row>
    <row r="549">
      <c r="A549" s="11">
        <f>IF($B549="","",COUNTA($B$9:$B549))</f>
        <v/>
      </c>
      <c r="B549" s="12" t="n"/>
      <c r="C549" s="12" t="n"/>
      <c r="D549" s="12" t="n"/>
      <c r="E549" s="13" t="n"/>
      <c r="F549" s="11">
        <f>IF($E549="","",IFERROR(VLOOKUP($E549,OpTbl,2,0),""))</f>
        <v/>
      </c>
      <c r="G549" s="12" t="n"/>
      <c r="H549" s="11">
        <f>IF($G549="","",IFERROR(IF(VLOOKUP($G549,AcctTbl,4,0)="","(بدون نام)",VLOOKUP($G549,AcctTbl,4,0)),"کد ناشناخته"))</f>
        <v/>
      </c>
      <c r="I549" s="13" t="n"/>
      <c r="J549" s="13" t="n"/>
      <c r="K549" s="14" t="n"/>
      <c r="L549" s="14" t="n"/>
      <c r="M549" s="15">
        <f>IF(OR($B549="",$K549=""),"",($K549-IF($L549="",0,$L549)*IFERROR(VLOOKUP("P01",ParamTbl,3,0),1.5))*(1-IF(IFERROR(VLOOKUP($E549,OpTbl,3,0),"")="خرید",IFERROR(VLOOKUP("P02",ParamTbl,3,0),1),0)/100))</f>
        <v/>
      </c>
      <c r="N549" s="14" t="n"/>
      <c r="O549" s="13" t="n"/>
    </row>
    <row r="550">
      <c r="A550" s="11">
        <f>IF($B550="","",COUNTA($B$9:$B550))</f>
        <v/>
      </c>
      <c r="B550" s="12" t="n"/>
      <c r="C550" s="12" t="n"/>
      <c r="D550" s="12" t="n"/>
      <c r="E550" s="13" t="n"/>
      <c r="F550" s="11">
        <f>IF($E550="","",IFERROR(VLOOKUP($E550,OpTbl,2,0),""))</f>
        <v/>
      </c>
      <c r="G550" s="12" t="n"/>
      <c r="H550" s="11">
        <f>IF($G550="","",IFERROR(IF(VLOOKUP($G550,AcctTbl,4,0)="","(بدون نام)",VLOOKUP($G550,AcctTbl,4,0)),"کد ناشناخته"))</f>
        <v/>
      </c>
      <c r="I550" s="13" t="n"/>
      <c r="J550" s="13" t="n"/>
      <c r="K550" s="14" t="n"/>
      <c r="L550" s="14" t="n"/>
      <c r="M550" s="15">
        <f>IF(OR($B550="",$K550=""),"",($K550-IF($L550="",0,$L550)*IFERROR(VLOOKUP("P01",ParamTbl,3,0),1.5))*(1-IF(IFERROR(VLOOKUP($E550,OpTbl,3,0),"")="خرید",IFERROR(VLOOKUP("P02",ParamTbl,3,0),1),0)/100))</f>
        <v/>
      </c>
      <c r="N550" s="14" t="n"/>
      <c r="O550" s="13" t="n"/>
    </row>
    <row r="551">
      <c r="A551" s="11">
        <f>IF($B551="","",COUNTA($B$9:$B551))</f>
        <v/>
      </c>
      <c r="B551" s="12" t="n"/>
      <c r="C551" s="12" t="n"/>
      <c r="D551" s="12" t="n"/>
      <c r="E551" s="13" t="n"/>
      <c r="F551" s="11">
        <f>IF($E551="","",IFERROR(VLOOKUP($E551,OpTbl,2,0),""))</f>
        <v/>
      </c>
      <c r="G551" s="12" t="n"/>
      <c r="H551" s="11">
        <f>IF($G551="","",IFERROR(IF(VLOOKUP($G551,AcctTbl,4,0)="","(بدون نام)",VLOOKUP($G551,AcctTbl,4,0)),"کد ناشناخته"))</f>
        <v/>
      </c>
      <c r="I551" s="13" t="n"/>
      <c r="J551" s="13" t="n"/>
      <c r="K551" s="14" t="n"/>
      <c r="L551" s="14" t="n"/>
      <c r="M551" s="15">
        <f>IF(OR($B551="",$K551=""),"",($K551-IF($L551="",0,$L551)*IFERROR(VLOOKUP("P01",ParamTbl,3,0),1.5))*(1-IF(IFERROR(VLOOKUP($E551,OpTbl,3,0),"")="خرید",IFERROR(VLOOKUP("P02",ParamTbl,3,0),1),0)/100))</f>
        <v/>
      </c>
      <c r="N551" s="14" t="n"/>
      <c r="O551" s="13" t="n"/>
    </row>
    <row r="552">
      <c r="A552" s="11">
        <f>IF($B552="","",COUNTA($B$9:$B552))</f>
        <v/>
      </c>
      <c r="B552" s="12" t="n"/>
      <c r="C552" s="12" t="n"/>
      <c r="D552" s="12" t="n"/>
      <c r="E552" s="13" t="n"/>
      <c r="F552" s="11">
        <f>IF($E552="","",IFERROR(VLOOKUP($E552,OpTbl,2,0),""))</f>
        <v/>
      </c>
      <c r="G552" s="12" t="n"/>
      <c r="H552" s="11">
        <f>IF($G552="","",IFERROR(IF(VLOOKUP($G552,AcctTbl,4,0)="","(بدون نام)",VLOOKUP($G552,AcctTbl,4,0)),"کد ناشناخته"))</f>
        <v/>
      </c>
      <c r="I552" s="13" t="n"/>
      <c r="J552" s="13" t="n"/>
      <c r="K552" s="14" t="n"/>
      <c r="L552" s="14" t="n"/>
      <c r="M552" s="15">
        <f>IF(OR($B552="",$K552=""),"",($K552-IF($L552="",0,$L552)*IFERROR(VLOOKUP("P01",ParamTbl,3,0),1.5))*(1-IF(IFERROR(VLOOKUP($E552,OpTbl,3,0),"")="خرید",IFERROR(VLOOKUP("P02",ParamTbl,3,0),1),0)/100))</f>
        <v/>
      </c>
      <c r="N552" s="14" t="n"/>
      <c r="O552" s="13" t="n"/>
    </row>
    <row r="553">
      <c r="A553" s="11">
        <f>IF($B553="","",COUNTA($B$9:$B553))</f>
        <v/>
      </c>
      <c r="B553" s="12" t="n"/>
      <c r="C553" s="12" t="n"/>
      <c r="D553" s="12" t="n"/>
      <c r="E553" s="13" t="n"/>
      <c r="F553" s="11">
        <f>IF($E553="","",IFERROR(VLOOKUP($E553,OpTbl,2,0),""))</f>
        <v/>
      </c>
      <c r="G553" s="12" t="n"/>
      <c r="H553" s="11">
        <f>IF($G553="","",IFERROR(IF(VLOOKUP($G553,AcctTbl,4,0)="","(بدون نام)",VLOOKUP($G553,AcctTbl,4,0)),"کد ناشناخته"))</f>
        <v/>
      </c>
      <c r="I553" s="13" t="n"/>
      <c r="J553" s="13" t="n"/>
      <c r="K553" s="14" t="n"/>
      <c r="L553" s="14" t="n"/>
      <c r="M553" s="15">
        <f>IF(OR($B553="",$K553=""),"",($K553-IF($L553="",0,$L553)*IFERROR(VLOOKUP("P01",ParamTbl,3,0),1.5))*(1-IF(IFERROR(VLOOKUP($E553,OpTbl,3,0),"")="خرید",IFERROR(VLOOKUP("P02",ParamTbl,3,0),1),0)/100))</f>
        <v/>
      </c>
      <c r="N553" s="14" t="n"/>
      <c r="O553" s="13" t="n"/>
    </row>
    <row r="554">
      <c r="A554" s="11">
        <f>IF($B554="","",COUNTA($B$9:$B554))</f>
        <v/>
      </c>
      <c r="B554" s="12" t="n"/>
      <c r="C554" s="12" t="n"/>
      <c r="D554" s="12" t="n"/>
      <c r="E554" s="13" t="n"/>
      <c r="F554" s="11">
        <f>IF($E554="","",IFERROR(VLOOKUP($E554,OpTbl,2,0),""))</f>
        <v/>
      </c>
      <c r="G554" s="12" t="n"/>
      <c r="H554" s="11">
        <f>IF($G554="","",IFERROR(IF(VLOOKUP($G554,AcctTbl,4,0)="","(بدون نام)",VLOOKUP($G554,AcctTbl,4,0)),"کد ناشناخته"))</f>
        <v/>
      </c>
      <c r="I554" s="13" t="n"/>
      <c r="J554" s="13" t="n"/>
      <c r="K554" s="14" t="n"/>
      <c r="L554" s="14" t="n"/>
      <c r="M554" s="15">
        <f>IF(OR($B554="",$K554=""),"",($K554-IF($L554="",0,$L554)*IFERROR(VLOOKUP("P01",ParamTbl,3,0),1.5))*(1-IF(IFERROR(VLOOKUP($E554,OpTbl,3,0),"")="خرید",IFERROR(VLOOKUP("P02",ParamTbl,3,0),1),0)/100))</f>
        <v/>
      </c>
      <c r="N554" s="14" t="n"/>
      <c r="O554" s="13" t="n"/>
    </row>
    <row r="555">
      <c r="A555" s="11">
        <f>IF($B555="","",COUNTA($B$9:$B555))</f>
        <v/>
      </c>
      <c r="B555" s="12" t="n"/>
      <c r="C555" s="12" t="n"/>
      <c r="D555" s="12" t="n"/>
      <c r="E555" s="13" t="n"/>
      <c r="F555" s="11">
        <f>IF($E555="","",IFERROR(VLOOKUP($E555,OpTbl,2,0),""))</f>
        <v/>
      </c>
      <c r="G555" s="12" t="n"/>
      <c r="H555" s="11">
        <f>IF($G555="","",IFERROR(IF(VLOOKUP($G555,AcctTbl,4,0)="","(بدون نام)",VLOOKUP($G555,AcctTbl,4,0)),"کد ناشناخته"))</f>
        <v/>
      </c>
      <c r="I555" s="13" t="n"/>
      <c r="J555" s="13" t="n"/>
      <c r="K555" s="14" t="n"/>
      <c r="L555" s="14" t="n"/>
      <c r="M555" s="15">
        <f>IF(OR($B555="",$K555=""),"",($K555-IF($L555="",0,$L555)*IFERROR(VLOOKUP("P01",ParamTbl,3,0),1.5))*(1-IF(IFERROR(VLOOKUP($E555,OpTbl,3,0),"")="خرید",IFERROR(VLOOKUP("P02",ParamTbl,3,0),1),0)/100))</f>
        <v/>
      </c>
      <c r="N555" s="14" t="n"/>
      <c r="O555" s="13" t="n"/>
    </row>
    <row r="556">
      <c r="A556" s="11">
        <f>IF($B556="","",COUNTA($B$9:$B556))</f>
        <v/>
      </c>
      <c r="B556" s="12" t="n"/>
      <c r="C556" s="12" t="n"/>
      <c r="D556" s="12" t="n"/>
      <c r="E556" s="13" t="n"/>
      <c r="F556" s="11">
        <f>IF($E556="","",IFERROR(VLOOKUP($E556,OpTbl,2,0),""))</f>
        <v/>
      </c>
      <c r="G556" s="12" t="n"/>
      <c r="H556" s="11">
        <f>IF($G556="","",IFERROR(IF(VLOOKUP($G556,AcctTbl,4,0)="","(بدون نام)",VLOOKUP($G556,AcctTbl,4,0)),"کد ناشناخته"))</f>
        <v/>
      </c>
      <c r="I556" s="13" t="n"/>
      <c r="J556" s="13" t="n"/>
      <c r="K556" s="14" t="n"/>
      <c r="L556" s="14" t="n"/>
      <c r="M556" s="15">
        <f>IF(OR($B556="",$K556=""),"",($K556-IF($L556="",0,$L556)*IFERROR(VLOOKUP("P01",ParamTbl,3,0),1.5))*(1-IF(IFERROR(VLOOKUP($E556,OpTbl,3,0),"")="خرید",IFERROR(VLOOKUP("P02",ParamTbl,3,0),1),0)/100))</f>
        <v/>
      </c>
      <c r="N556" s="14" t="n"/>
      <c r="O556" s="13" t="n"/>
    </row>
    <row r="557">
      <c r="A557" s="11">
        <f>IF($B557="","",COUNTA($B$9:$B557))</f>
        <v/>
      </c>
      <c r="B557" s="12" t="n"/>
      <c r="C557" s="12" t="n"/>
      <c r="D557" s="12" t="n"/>
      <c r="E557" s="13" t="n"/>
      <c r="F557" s="11">
        <f>IF($E557="","",IFERROR(VLOOKUP($E557,OpTbl,2,0),""))</f>
        <v/>
      </c>
      <c r="G557" s="12" t="n"/>
      <c r="H557" s="11">
        <f>IF($G557="","",IFERROR(IF(VLOOKUP($G557,AcctTbl,4,0)="","(بدون نام)",VLOOKUP($G557,AcctTbl,4,0)),"کد ناشناخته"))</f>
        <v/>
      </c>
      <c r="I557" s="13" t="n"/>
      <c r="J557" s="13" t="n"/>
      <c r="K557" s="14" t="n"/>
      <c r="L557" s="14" t="n"/>
      <c r="M557" s="15">
        <f>IF(OR($B557="",$K557=""),"",($K557-IF($L557="",0,$L557)*IFERROR(VLOOKUP("P01",ParamTbl,3,0),1.5))*(1-IF(IFERROR(VLOOKUP($E557,OpTbl,3,0),"")="خرید",IFERROR(VLOOKUP("P02",ParamTbl,3,0),1),0)/100))</f>
        <v/>
      </c>
      <c r="N557" s="14" t="n"/>
      <c r="O557" s="13" t="n"/>
    </row>
    <row r="558">
      <c r="A558" s="11">
        <f>IF($B558="","",COUNTA($B$9:$B558))</f>
        <v/>
      </c>
      <c r="B558" s="12" t="n"/>
      <c r="C558" s="12" t="n"/>
      <c r="D558" s="12" t="n"/>
      <c r="E558" s="13" t="n"/>
      <c r="F558" s="11">
        <f>IF($E558="","",IFERROR(VLOOKUP($E558,OpTbl,2,0),""))</f>
        <v/>
      </c>
      <c r="G558" s="12" t="n"/>
      <c r="H558" s="11">
        <f>IF($G558="","",IFERROR(IF(VLOOKUP($G558,AcctTbl,4,0)="","(بدون نام)",VLOOKUP($G558,AcctTbl,4,0)),"کد ناشناخته"))</f>
        <v/>
      </c>
      <c r="I558" s="13" t="n"/>
      <c r="J558" s="13" t="n"/>
      <c r="K558" s="14" t="n"/>
      <c r="L558" s="14" t="n"/>
      <c r="M558" s="15">
        <f>IF(OR($B558="",$K558=""),"",($K558-IF($L558="",0,$L558)*IFERROR(VLOOKUP("P01",ParamTbl,3,0),1.5))*(1-IF(IFERROR(VLOOKUP($E558,OpTbl,3,0),"")="خرید",IFERROR(VLOOKUP("P02",ParamTbl,3,0),1),0)/100))</f>
        <v/>
      </c>
      <c r="N558" s="14" t="n"/>
      <c r="O558" s="13" t="n"/>
    </row>
    <row r="559">
      <c r="A559" s="11">
        <f>IF($B559="","",COUNTA($B$9:$B559))</f>
        <v/>
      </c>
      <c r="B559" s="12" t="n"/>
      <c r="C559" s="12" t="n"/>
      <c r="D559" s="12" t="n"/>
      <c r="E559" s="13" t="n"/>
      <c r="F559" s="11">
        <f>IF($E559="","",IFERROR(VLOOKUP($E559,OpTbl,2,0),""))</f>
        <v/>
      </c>
      <c r="G559" s="12" t="n"/>
      <c r="H559" s="11">
        <f>IF($G559="","",IFERROR(IF(VLOOKUP($G559,AcctTbl,4,0)="","(بدون نام)",VLOOKUP($G559,AcctTbl,4,0)),"کد ناشناخته"))</f>
        <v/>
      </c>
      <c r="I559" s="13" t="n"/>
      <c r="J559" s="13" t="n"/>
      <c r="K559" s="14" t="n"/>
      <c r="L559" s="14" t="n"/>
      <c r="M559" s="15">
        <f>IF(OR($B559="",$K559=""),"",($K559-IF($L559="",0,$L559)*IFERROR(VLOOKUP("P01",ParamTbl,3,0),1.5))*(1-IF(IFERROR(VLOOKUP($E559,OpTbl,3,0),"")="خرید",IFERROR(VLOOKUP("P02",ParamTbl,3,0),1),0)/100))</f>
        <v/>
      </c>
      <c r="N559" s="14" t="n"/>
      <c r="O559" s="13" t="n"/>
    </row>
    <row r="560">
      <c r="A560" s="11">
        <f>IF($B560="","",COUNTA($B$9:$B560))</f>
        <v/>
      </c>
      <c r="B560" s="12" t="n"/>
      <c r="C560" s="12" t="n"/>
      <c r="D560" s="12" t="n"/>
      <c r="E560" s="13" t="n"/>
      <c r="F560" s="11">
        <f>IF($E560="","",IFERROR(VLOOKUP($E560,OpTbl,2,0),""))</f>
        <v/>
      </c>
      <c r="G560" s="12" t="n"/>
      <c r="H560" s="11">
        <f>IF($G560="","",IFERROR(IF(VLOOKUP($G560,AcctTbl,4,0)="","(بدون نام)",VLOOKUP($G560,AcctTbl,4,0)),"کد ناشناخته"))</f>
        <v/>
      </c>
      <c r="I560" s="13" t="n"/>
      <c r="J560" s="13" t="n"/>
      <c r="K560" s="14" t="n"/>
      <c r="L560" s="14" t="n"/>
      <c r="M560" s="15">
        <f>IF(OR($B560="",$K560=""),"",($K560-IF($L560="",0,$L560)*IFERROR(VLOOKUP("P01",ParamTbl,3,0),1.5))*(1-IF(IFERROR(VLOOKUP($E560,OpTbl,3,0),"")="خرید",IFERROR(VLOOKUP("P02",ParamTbl,3,0),1),0)/100))</f>
        <v/>
      </c>
      <c r="N560" s="14" t="n"/>
      <c r="O560" s="13" t="n"/>
    </row>
    <row r="561">
      <c r="A561" s="11">
        <f>IF($B561="","",COUNTA($B$9:$B561))</f>
        <v/>
      </c>
      <c r="B561" s="12" t="n"/>
      <c r="C561" s="12" t="n"/>
      <c r="D561" s="12" t="n"/>
      <c r="E561" s="13" t="n"/>
      <c r="F561" s="11">
        <f>IF($E561="","",IFERROR(VLOOKUP($E561,OpTbl,2,0),""))</f>
        <v/>
      </c>
      <c r="G561" s="12" t="n"/>
      <c r="H561" s="11">
        <f>IF($G561="","",IFERROR(IF(VLOOKUP($G561,AcctTbl,4,0)="","(بدون نام)",VLOOKUP($G561,AcctTbl,4,0)),"کد ناشناخته"))</f>
        <v/>
      </c>
      <c r="I561" s="13" t="n"/>
      <c r="J561" s="13" t="n"/>
      <c r="K561" s="14" t="n"/>
      <c r="L561" s="14" t="n"/>
      <c r="M561" s="15">
        <f>IF(OR($B561="",$K561=""),"",($K561-IF($L561="",0,$L561)*IFERROR(VLOOKUP("P01",ParamTbl,3,0),1.5))*(1-IF(IFERROR(VLOOKUP($E561,OpTbl,3,0),"")="خرید",IFERROR(VLOOKUP("P02",ParamTbl,3,0),1),0)/100))</f>
        <v/>
      </c>
      <c r="N561" s="14" t="n"/>
      <c r="O561" s="13" t="n"/>
    </row>
    <row r="562">
      <c r="A562" s="11">
        <f>IF($B562="","",COUNTA($B$9:$B562))</f>
        <v/>
      </c>
      <c r="B562" s="12" t="n"/>
      <c r="C562" s="12" t="n"/>
      <c r="D562" s="12" t="n"/>
      <c r="E562" s="13" t="n"/>
      <c r="F562" s="11">
        <f>IF($E562="","",IFERROR(VLOOKUP($E562,OpTbl,2,0),""))</f>
        <v/>
      </c>
      <c r="G562" s="12" t="n"/>
      <c r="H562" s="11">
        <f>IF($G562="","",IFERROR(IF(VLOOKUP($G562,AcctTbl,4,0)="","(بدون نام)",VLOOKUP($G562,AcctTbl,4,0)),"کد ناشناخته"))</f>
        <v/>
      </c>
      <c r="I562" s="13" t="n"/>
      <c r="J562" s="13" t="n"/>
      <c r="K562" s="14" t="n"/>
      <c r="L562" s="14" t="n"/>
      <c r="M562" s="15">
        <f>IF(OR($B562="",$K562=""),"",($K562-IF($L562="",0,$L562)*IFERROR(VLOOKUP("P01",ParamTbl,3,0),1.5))*(1-IF(IFERROR(VLOOKUP($E562,OpTbl,3,0),"")="خرید",IFERROR(VLOOKUP("P02",ParamTbl,3,0),1),0)/100))</f>
        <v/>
      </c>
      <c r="N562" s="14" t="n"/>
      <c r="O562" s="13" t="n"/>
    </row>
    <row r="563">
      <c r="A563" s="11">
        <f>IF($B563="","",COUNTA($B$9:$B563))</f>
        <v/>
      </c>
      <c r="B563" s="12" t="n"/>
      <c r="C563" s="12" t="n"/>
      <c r="D563" s="12" t="n"/>
      <c r="E563" s="13" t="n"/>
      <c r="F563" s="11">
        <f>IF($E563="","",IFERROR(VLOOKUP($E563,OpTbl,2,0),""))</f>
        <v/>
      </c>
      <c r="G563" s="12" t="n"/>
      <c r="H563" s="11">
        <f>IF($G563="","",IFERROR(IF(VLOOKUP($G563,AcctTbl,4,0)="","(بدون نام)",VLOOKUP($G563,AcctTbl,4,0)),"کد ناشناخته"))</f>
        <v/>
      </c>
      <c r="I563" s="13" t="n"/>
      <c r="J563" s="13" t="n"/>
      <c r="K563" s="14" t="n"/>
      <c r="L563" s="14" t="n"/>
      <c r="M563" s="15">
        <f>IF(OR($B563="",$K563=""),"",($K563-IF($L563="",0,$L563)*IFERROR(VLOOKUP("P01",ParamTbl,3,0),1.5))*(1-IF(IFERROR(VLOOKUP($E563,OpTbl,3,0),"")="خرید",IFERROR(VLOOKUP("P02",ParamTbl,3,0),1),0)/100))</f>
        <v/>
      </c>
      <c r="N563" s="14" t="n"/>
      <c r="O563" s="13" t="n"/>
    </row>
    <row r="564">
      <c r="A564" s="11">
        <f>IF($B564="","",COUNTA($B$9:$B564))</f>
        <v/>
      </c>
      <c r="B564" s="12" t="n"/>
      <c r="C564" s="12" t="n"/>
      <c r="D564" s="12" t="n"/>
      <c r="E564" s="13" t="n"/>
      <c r="F564" s="11">
        <f>IF($E564="","",IFERROR(VLOOKUP($E564,OpTbl,2,0),""))</f>
        <v/>
      </c>
      <c r="G564" s="12" t="n"/>
      <c r="H564" s="11">
        <f>IF($G564="","",IFERROR(IF(VLOOKUP($G564,AcctTbl,4,0)="","(بدون نام)",VLOOKUP($G564,AcctTbl,4,0)),"کد ناشناخته"))</f>
        <v/>
      </c>
      <c r="I564" s="13" t="n"/>
      <c r="J564" s="13" t="n"/>
      <c r="K564" s="14" t="n"/>
      <c r="L564" s="14" t="n"/>
      <c r="M564" s="15">
        <f>IF(OR($B564="",$K564=""),"",($K564-IF($L564="",0,$L564)*IFERROR(VLOOKUP("P01",ParamTbl,3,0),1.5))*(1-IF(IFERROR(VLOOKUP($E564,OpTbl,3,0),"")="خرید",IFERROR(VLOOKUP("P02",ParamTbl,3,0),1),0)/100))</f>
        <v/>
      </c>
      <c r="N564" s="14" t="n"/>
      <c r="O564" s="13" t="n"/>
    </row>
    <row r="565">
      <c r="A565" s="11">
        <f>IF($B565="","",COUNTA($B$9:$B565))</f>
        <v/>
      </c>
      <c r="B565" s="12" t="n"/>
      <c r="C565" s="12" t="n"/>
      <c r="D565" s="12" t="n"/>
      <c r="E565" s="13" t="n"/>
      <c r="F565" s="11">
        <f>IF($E565="","",IFERROR(VLOOKUP($E565,OpTbl,2,0),""))</f>
        <v/>
      </c>
      <c r="G565" s="12" t="n"/>
      <c r="H565" s="11">
        <f>IF($G565="","",IFERROR(IF(VLOOKUP($G565,AcctTbl,4,0)="","(بدون نام)",VLOOKUP($G565,AcctTbl,4,0)),"کد ناشناخته"))</f>
        <v/>
      </c>
      <c r="I565" s="13" t="n"/>
      <c r="J565" s="13" t="n"/>
      <c r="K565" s="14" t="n"/>
      <c r="L565" s="14" t="n"/>
      <c r="M565" s="15">
        <f>IF(OR($B565="",$K565=""),"",($K565-IF($L565="",0,$L565)*IFERROR(VLOOKUP("P01",ParamTbl,3,0),1.5))*(1-IF(IFERROR(VLOOKUP($E565,OpTbl,3,0),"")="خرید",IFERROR(VLOOKUP("P02",ParamTbl,3,0),1),0)/100))</f>
        <v/>
      </c>
      <c r="N565" s="14" t="n"/>
      <c r="O565" s="13" t="n"/>
    </row>
    <row r="566">
      <c r="A566" s="11">
        <f>IF($B566="","",COUNTA($B$9:$B566))</f>
        <v/>
      </c>
      <c r="B566" s="12" t="n"/>
      <c r="C566" s="12" t="n"/>
      <c r="D566" s="12" t="n"/>
      <c r="E566" s="13" t="n"/>
      <c r="F566" s="11">
        <f>IF($E566="","",IFERROR(VLOOKUP($E566,OpTbl,2,0),""))</f>
        <v/>
      </c>
      <c r="G566" s="12" t="n"/>
      <c r="H566" s="11">
        <f>IF($G566="","",IFERROR(IF(VLOOKUP($G566,AcctTbl,4,0)="","(بدون نام)",VLOOKUP($G566,AcctTbl,4,0)),"کد ناشناخته"))</f>
        <v/>
      </c>
      <c r="I566" s="13" t="n"/>
      <c r="J566" s="13" t="n"/>
      <c r="K566" s="14" t="n"/>
      <c r="L566" s="14" t="n"/>
      <c r="M566" s="15">
        <f>IF(OR($B566="",$K566=""),"",($K566-IF($L566="",0,$L566)*IFERROR(VLOOKUP("P01",ParamTbl,3,0),1.5))*(1-IF(IFERROR(VLOOKUP($E566,OpTbl,3,0),"")="خرید",IFERROR(VLOOKUP("P02",ParamTbl,3,0),1),0)/100))</f>
        <v/>
      </c>
      <c r="N566" s="14" t="n"/>
      <c r="O566" s="13" t="n"/>
    </row>
    <row r="567">
      <c r="A567" s="11">
        <f>IF($B567="","",COUNTA($B$9:$B567))</f>
        <v/>
      </c>
      <c r="B567" s="12" t="n"/>
      <c r="C567" s="12" t="n"/>
      <c r="D567" s="12" t="n"/>
      <c r="E567" s="13" t="n"/>
      <c r="F567" s="11">
        <f>IF($E567="","",IFERROR(VLOOKUP($E567,OpTbl,2,0),""))</f>
        <v/>
      </c>
      <c r="G567" s="12" t="n"/>
      <c r="H567" s="11">
        <f>IF($G567="","",IFERROR(IF(VLOOKUP($G567,AcctTbl,4,0)="","(بدون نام)",VLOOKUP($G567,AcctTbl,4,0)),"کد ناشناخته"))</f>
        <v/>
      </c>
      <c r="I567" s="13" t="n"/>
      <c r="J567" s="13" t="n"/>
      <c r="K567" s="14" t="n"/>
      <c r="L567" s="14" t="n"/>
      <c r="M567" s="15">
        <f>IF(OR($B567="",$K567=""),"",($K567-IF($L567="",0,$L567)*IFERROR(VLOOKUP("P01",ParamTbl,3,0),1.5))*(1-IF(IFERROR(VLOOKUP($E567,OpTbl,3,0),"")="خرید",IFERROR(VLOOKUP("P02",ParamTbl,3,0),1),0)/100))</f>
        <v/>
      </c>
      <c r="N567" s="14" t="n"/>
      <c r="O567" s="13" t="n"/>
    </row>
    <row r="568">
      <c r="A568" s="11">
        <f>IF($B568="","",COUNTA($B$9:$B568))</f>
        <v/>
      </c>
      <c r="B568" s="12" t="n"/>
      <c r="C568" s="12" t="n"/>
      <c r="D568" s="12" t="n"/>
      <c r="E568" s="13" t="n"/>
      <c r="F568" s="11">
        <f>IF($E568="","",IFERROR(VLOOKUP($E568,OpTbl,2,0),""))</f>
        <v/>
      </c>
      <c r="G568" s="12" t="n"/>
      <c r="H568" s="11">
        <f>IF($G568="","",IFERROR(IF(VLOOKUP($G568,AcctTbl,4,0)="","(بدون نام)",VLOOKUP($G568,AcctTbl,4,0)),"کد ناشناخته"))</f>
        <v/>
      </c>
      <c r="I568" s="13" t="n"/>
      <c r="J568" s="13" t="n"/>
      <c r="K568" s="14" t="n"/>
      <c r="L568" s="14" t="n"/>
      <c r="M568" s="15">
        <f>IF(OR($B568="",$K568=""),"",($K568-IF($L568="",0,$L568)*IFERROR(VLOOKUP("P01",ParamTbl,3,0),1.5))*(1-IF(IFERROR(VLOOKUP($E568,OpTbl,3,0),"")="خرید",IFERROR(VLOOKUP("P02",ParamTbl,3,0),1),0)/100))</f>
        <v/>
      </c>
      <c r="N568" s="14" t="n"/>
      <c r="O568" s="13" t="n"/>
    </row>
    <row r="569">
      <c r="A569" s="11">
        <f>IF($B569="","",COUNTA($B$9:$B569))</f>
        <v/>
      </c>
      <c r="B569" s="12" t="n"/>
      <c r="C569" s="12" t="n"/>
      <c r="D569" s="12" t="n"/>
      <c r="E569" s="13" t="n"/>
      <c r="F569" s="11">
        <f>IF($E569="","",IFERROR(VLOOKUP($E569,OpTbl,2,0),""))</f>
        <v/>
      </c>
      <c r="G569" s="12" t="n"/>
      <c r="H569" s="11">
        <f>IF($G569="","",IFERROR(IF(VLOOKUP($G569,AcctTbl,4,0)="","(بدون نام)",VLOOKUP($G569,AcctTbl,4,0)),"کد ناشناخته"))</f>
        <v/>
      </c>
      <c r="I569" s="13" t="n"/>
      <c r="J569" s="13" t="n"/>
      <c r="K569" s="14" t="n"/>
      <c r="L569" s="14" t="n"/>
      <c r="M569" s="15">
        <f>IF(OR($B569="",$K569=""),"",($K569-IF($L569="",0,$L569)*IFERROR(VLOOKUP("P01",ParamTbl,3,0),1.5))*(1-IF(IFERROR(VLOOKUP($E569,OpTbl,3,0),"")="خرید",IFERROR(VLOOKUP("P02",ParamTbl,3,0),1),0)/100))</f>
        <v/>
      </c>
      <c r="N569" s="14" t="n"/>
      <c r="O569" s="13" t="n"/>
    </row>
    <row r="570">
      <c r="A570" s="11">
        <f>IF($B570="","",COUNTA($B$9:$B570))</f>
        <v/>
      </c>
      <c r="B570" s="12" t="n"/>
      <c r="C570" s="12" t="n"/>
      <c r="D570" s="12" t="n"/>
      <c r="E570" s="13" t="n"/>
      <c r="F570" s="11">
        <f>IF($E570="","",IFERROR(VLOOKUP($E570,OpTbl,2,0),""))</f>
        <v/>
      </c>
      <c r="G570" s="12" t="n"/>
      <c r="H570" s="11">
        <f>IF($G570="","",IFERROR(IF(VLOOKUP($G570,AcctTbl,4,0)="","(بدون نام)",VLOOKUP($G570,AcctTbl,4,0)),"کد ناشناخته"))</f>
        <v/>
      </c>
      <c r="I570" s="13" t="n"/>
      <c r="J570" s="13" t="n"/>
      <c r="K570" s="14" t="n"/>
      <c r="L570" s="14" t="n"/>
      <c r="M570" s="15">
        <f>IF(OR($B570="",$K570=""),"",($K570-IF($L570="",0,$L570)*IFERROR(VLOOKUP("P01",ParamTbl,3,0),1.5))*(1-IF(IFERROR(VLOOKUP($E570,OpTbl,3,0),"")="خرید",IFERROR(VLOOKUP("P02",ParamTbl,3,0),1),0)/100))</f>
        <v/>
      </c>
      <c r="N570" s="14" t="n"/>
      <c r="O570" s="13" t="n"/>
    </row>
    <row r="571">
      <c r="A571" s="11">
        <f>IF($B571="","",COUNTA($B$9:$B571))</f>
        <v/>
      </c>
      <c r="B571" s="12" t="n"/>
      <c r="C571" s="12" t="n"/>
      <c r="D571" s="12" t="n"/>
      <c r="E571" s="13" t="n"/>
      <c r="F571" s="11">
        <f>IF($E571="","",IFERROR(VLOOKUP($E571,OpTbl,2,0),""))</f>
        <v/>
      </c>
      <c r="G571" s="12" t="n"/>
      <c r="H571" s="11">
        <f>IF($G571="","",IFERROR(IF(VLOOKUP($G571,AcctTbl,4,0)="","(بدون نام)",VLOOKUP($G571,AcctTbl,4,0)),"کد ناشناخته"))</f>
        <v/>
      </c>
      <c r="I571" s="13" t="n"/>
      <c r="J571" s="13" t="n"/>
      <c r="K571" s="14" t="n"/>
      <c r="L571" s="14" t="n"/>
      <c r="M571" s="15">
        <f>IF(OR($B571="",$K571=""),"",($K571-IF($L571="",0,$L571)*IFERROR(VLOOKUP("P01",ParamTbl,3,0),1.5))*(1-IF(IFERROR(VLOOKUP($E571,OpTbl,3,0),"")="خرید",IFERROR(VLOOKUP("P02",ParamTbl,3,0),1),0)/100))</f>
        <v/>
      </c>
      <c r="N571" s="14" t="n"/>
      <c r="O571" s="13" t="n"/>
    </row>
    <row r="572">
      <c r="A572" s="11">
        <f>IF($B572="","",COUNTA($B$9:$B572))</f>
        <v/>
      </c>
      <c r="B572" s="12" t="n"/>
      <c r="C572" s="12" t="n"/>
      <c r="D572" s="12" t="n"/>
      <c r="E572" s="13" t="n"/>
      <c r="F572" s="11">
        <f>IF($E572="","",IFERROR(VLOOKUP($E572,OpTbl,2,0),""))</f>
        <v/>
      </c>
      <c r="G572" s="12" t="n"/>
      <c r="H572" s="11">
        <f>IF($G572="","",IFERROR(IF(VLOOKUP($G572,AcctTbl,4,0)="","(بدون نام)",VLOOKUP($G572,AcctTbl,4,0)),"کد ناشناخته"))</f>
        <v/>
      </c>
      <c r="I572" s="13" t="n"/>
      <c r="J572" s="13" t="n"/>
      <c r="K572" s="14" t="n"/>
      <c r="L572" s="14" t="n"/>
      <c r="M572" s="15">
        <f>IF(OR($B572="",$K572=""),"",($K572-IF($L572="",0,$L572)*IFERROR(VLOOKUP("P01",ParamTbl,3,0),1.5))*(1-IF(IFERROR(VLOOKUP($E572,OpTbl,3,0),"")="خرید",IFERROR(VLOOKUP("P02",ParamTbl,3,0),1),0)/100))</f>
        <v/>
      </c>
      <c r="N572" s="14" t="n"/>
      <c r="O572" s="13" t="n"/>
    </row>
    <row r="573">
      <c r="A573" s="11">
        <f>IF($B573="","",COUNTA($B$9:$B573))</f>
        <v/>
      </c>
      <c r="B573" s="12" t="n"/>
      <c r="C573" s="12" t="n"/>
      <c r="D573" s="12" t="n"/>
      <c r="E573" s="13" t="n"/>
      <c r="F573" s="11">
        <f>IF($E573="","",IFERROR(VLOOKUP($E573,OpTbl,2,0),""))</f>
        <v/>
      </c>
      <c r="G573" s="12" t="n"/>
      <c r="H573" s="11">
        <f>IF($G573="","",IFERROR(IF(VLOOKUP($G573,AcctTbl,4,0)="","(بدون نام)",VLOOKUP($G573,AcctTbl,4,0)),"کد ناشناخته"))</f>
        <v/>
      </c>
      <c r="I573" s="13" t="n"/>
      <c r="J573" s="13" t="n"/>
      <c r="K573" s="14" t="n"/>
      <c r="L573" s="14" t="n"/>
      <c r="M573" s="15">
        <f>IF(OR($B573="",$K573=""),"",($K573-IF($L573="",0,$L573)*IFERROR(VLOOKUP("P01",ParamTbl,3,0),1.5))*(1-IF(IFERROR(VLOOKUP($E573,OpTbl,3,0),"")="خرید",IFERROR(VLOOKUP("P02",ParamTbl,3,0),1),0)/100))</f>
        <v/>
      </c>
      <c r="N573" s="14" t="n"/>
      <c r="O573" s="13" t="n"/>
    </row>
    <row r="574">
      <c r="A574" s="11">
        <f>IF($B574="","",COUNTA($B$9:$B574))</f>
        <v/>
      </c>
      <c r="B574" s="12" t="n"/>
      <c r="C574" s="12" t="n"/>
      <c r="D574" s="12" t="n"/>
      <c r="E574" s="13" t="n"/>
      <c r="F574" s="11">
        <f>IF($E574="","",IFERROR(VLOOKUP($E574,OpTbl,2,0),""))</f>
        <v/>
      </c>
      <c r="G574" s="12" t="n"/>
      <c r="H574" s="11">
        <f>IF($G574="","",IFERROR(IF(VLOOKUP($G574,AcctTbl,4,0)="","(بدون نام)",VLOOKUP($G574,AcctTbl,4,0)),"کد ناشناخته"))</f>
        <v/>
      </c>
      <c r="I574" s="13" t="n"/>
      <c r="J574" s="13" t="n"/>
      <c r="K574" s="14" t="n"/>
      <c r="L574" s="14" t="n"/>
      <c r="M574" s="15">
        <f>IF(OR($B574="",$K574=""),"",($K574-IF($L574="",0,$L574)*IFERROR(VLOOKUP("P01",ParamTbl,3,0),1.5))*(1-IF(IFERROR(VLOOKUP($E574,OpTbl,3,0),"")="خرید",IFERROR(VLOOKUP("P02",ParamTbl,3,0),1),0)/100))</f>
        <v/>
      </c>
      <c r="N574" s="14" t="n"/>
      <c r="O574" s="13" t="n"/>
    </row>
    <row r="575">
      <c r="A575" s="11">
        <f>IF($B575="","",COUNTA($B$9:$B575))</f>
        <v/>
      </c>
      <c r="B575" s="12" t="n"/>
      <c r="C575" s="12" t="n"/>
      <c r="D575" s="12" t="n"/>
      <c r="E575" s="13" t="n"/>
      <c r="F575" s="11">
        <f>IF($E575="","",IFERROR(VLOOKUP($E575,OpTbl,2,0),""))</f>
        <v/>
      </c>
      <c r="G575" s="12" t="n"/>
      <c r="H575" s="11">
        <f>IF($G575="","",IFERROR(IF(VLOOKUP($G575,AcctTbl,4,0)="","(بدون نام)",VLOOKUP($G575,AcctTbl,4,0)),"کد ناشناخته"))</f>
        <v/>
      </c>
      <c r="I575" s="13" t="n"/>
      <c r="J575" s="13" t="n"/>
      <c r="K575" s="14" t="n"/>
      <c r="L575" s="14" t="n"/>
      <c r="M575" s="15">
        <f>IF(OR($B575="",$K575=""),"",($K575-IF($L575="",0,$L575)*IFERROR(VLOOKUP("P01",ParamTbl,3,0),1.5))*(1-IF(IFERROR(VLOOKUP($E575,OpTbl,3,0),"")="خرید",IFERROR(VLOOKUP("P02",ParamTbl,3,0),1),0)/100))</f>
        <v/>
      </c>
      <c r="N575" s="14" t="n"/>
      <c r="O575" s="13" t="n"/>
    </row>
    <row r="576">
      <c r="A576" s="11">
        <f>IF($B576="","",COUNTA($B$9:$B576))</f>
        <v/>
      </c>
      <c r="B576" s="12" t="n"/>
      <c r="C576" s="12" t="n"/>
      <c r="D576" s="12" t="n"/>
      <c r="E576" s="13" t="n"/>
      <c r="F576" s="11">
        <f>IF($E576="","",IFERROR(VLOOKUP($E576,OpTbl,2,0),""))</f>
        <v/>
      </c>
      <c r="G576" s="12" t="n"/>
      <c r="H576" s="11">
        <f>IF($G576="","",IFERROR(IF(VLOOKUP($G576,AcctTbl,4,0)="","(بدون نام)",VLOOKUP($G576,AcctTbl,4,0)),"کد ناشناخته"))</f>
        <v/>
      </c>
      <c r="I576" s="13" t="n"/>
      <c r="J576" s="13" t="n"/>
      <c r="K576" s="14" t="n"/>
      <c r="L576" s="14" t="n"/>
      <c r="M576" s="15">
        <f>IF(OR($B576="",$K576=""),"",($K576-IF($L576="",0,$L576)*IFERROR(VLOOKUP("P01",ParamTbl,3,0),1.5))*(1-IF(IFERROR(VLOOKUP($E576,OpTbl,3,0),"")="خرید",IFERROR(VLOOKUP("P02",ParamTbl,3,0),1),0)/100))</f>
        <v/>
      </c>
      <c r="N576" s="14" t="n"/>
      <c r="O576" s="13" t="n"/>
    </row>
    <row r="577">
      <c r="A577" s="11">
        <f>IF($B577="","",COUNTA($B$9:$B577))</f>
        <v/>
      </c>
      <c r="B577" s="12" t="n"/>
      <c r="C577" s="12" t="n"/>
      <c r="D577" s="12" t="n"/>
      <c r="E577" s="13" t="n"/>
      <c r="F577" s="11">
        <f>IF($E577="","",IFERROR(VLOOKUP($E577,OpTbl,2,0),""))</f>
        <v/>
      </c>
      <c r="G577" s="12" t="n"/>
      <c r="H577" s="11">
        <f>IF($G577="","",IFERROR(IF(VLOOKUP($G577,AcctTbl,4,0)="","(بدون نام)",VLOOKUP($G577,AcctTbl,4,0)),"کد ناشناخته"))</f>
        <v/>
      </c>
      <c r="I577" s="13" t="n"/>
      <c r="J577" s="13" t="n"/>
      <c r="K577" s="14" t="n"/>
      <c r="L577" s="14" t="n"/>
      <c r="M577" s="15">
        <f>IF(OR($B577="",$K577=""),"",($K577-IF($L577="",0,$L577)*IFERROR(VLOOKUP("P01",ParamTbl,3,0),1.5))*(1-IF(IFERROR(VLOOKUP($E577,OpTbl,3,0),"")="خرید",IFERROR(VLOOKUP("P02",ParamTbl,3,0),1),0)/100))</f>
        <v/>
      </c>
      <c r="N577" s="14" t="n"/>
      <c r="O577" s="13" t="n"/>
    </row>
    <row r="578">
      <c r="A578" s="11">
        <f>IF($B578="","",COUNTA($B$9:$B578))</f>
        <v/>
      </c>
      <c r="B578" s="12" t="n"/>
      <c r="C578" s="12" t="n"/>
      <c r="D578" s="12" t="n"/>
      <c r="E578" s="13" t="n"/>
      <c r="F578" s="11">
        <f>IF($E578="","",IFERROR(VLOOKUP($E578,OpTbl,2,0),""))</f>
        <v/>
      </c>
      <c r="G578" s="12" t="n"/>
      <c r="H578" s="11">
        <f>IF($G578="","",IFERROR(IF(VLOOKUP($G578,AcctTbl,4,0)="","(بدون نام)",VLOOKUP($G578,AcctTbl,4,0)),"کد ناشناخته"))</f>
        <v/>
      </c>
      <c r="I578" s="13" t="n"/>
      <c r="J578" s="13" t="n"/>
      <c r="K578" s="14" t="n"/>
      <c r="L578" s="14" t="n"/>
      <c r="M578" s="15">
        <f>IF(OR($B578="",$K578=""),"",($K578-IF($L578="",0,$L578)*IFERROR(VLOOKUP("P01",ParamTbl,3,0),1.5))*(1-IF(IFERROR(VLOOKUP($E578,OpTbl,3,0),"")="خرید",IFERROR(VLOOKUP("P02",ParamTbl,3,0),1),0)/100))</f>
        <v/>
      </c>
      <c r="N578" s="14" t="n"/>
      <c r="O578" s="13" t="n"/>
    </row>
    <row r="579">
      <c r="A579" s="11">
        <f>IF($B579="","",COUNTA($B$9:$B579))</f>
        <v/>
      </c>
      <c r="B579" s="12" t="n"/>
      <c r="C579" s="12" t="n"/>
      <c r="D579" s="12" t="n"/>
      <c r="E579" s="13" t="n"/>
      <c r="F579" s="11">
        <f>IF($E579="","",IFERROR(VLOOKUP($E579,OpTbl,2,0),""))</f>
        <v/>
      </c>
      <c r="G579" s="12" t="n"/>
      <c r="H579" s="11">
        <f>IF($G579="","",IFERROR(IF(VLOOKUP($G579,AcctTbl,4,0)="","(بدون نام)",VLOOKUP($G579,AcctTbl,4,0)),"کد ناشناخته"))</f>
        <v/>
      </c>
      <c r="I579" s="13" t="n"/>
      <c r="J579" s="13" t="n"/>
      <c r="K579" s="14" t="n"/>
      <c r="L579" s="14" t="n"/>
      <c r="M579" s="15">
        <f>IF(OR($B579="",$K579=""),"",($K579-IF($L579="",0,$L579)*IFERROR(VLOOKUP("P01",ParamTbl,3,0),1.5))*(1-IF(IFERROR(VLOOKUP($E579,OpTbl,3,0),"")="خرید",IFERROR(VLOOKUP("P02",ParamTbl,3,0),1),0)/100))</f>
        <v/>
      </c>
      <c r="N579" s="14" t="n"/>
      <c r="O579" s="13" t="n"/>
    </row>
    <row r="580">
      <c r="A580" s="11">
        <f>IF($B580="","",COUNTA($B$9:$B580))</f>
        <v/>
      </c>
      <c r="B580" s="12" t="n"/>
      <c r="C580" s="12" t="n"/>
      <c r="D580" s="12" t="n"/>
      <c r="E580" s="13" t="n"/>
      <c r="F580" s="11">
        <f>IF($E580="","",IFERROR(VLOOKUP($E580,OpTbl,2,0),""))</f>
        <v/>
      </c>
      <c r="G580" s="12" t="n"/>
      <c r="H580" s="11">
        <f>IF($G580="","",IFERROR(IF(VLOOKUP($G580,AcctTbl,4,0)="","(بدون نام)",VLOOKUP($G580,AcctTbl,4,0)),"کد ناشناخته"))</f>
        <v/>
      </c>
      <c r="I580" s="13" t="n"/>
      <c r="J580" s="13" t="n"/>
      <c r="K580" s="14" t="n"/>
      <c r="L580" s="14" t="n"/>
      <c r="M580" s="15">
        <f>IF(OR($B580="",$K580=""),"",($K580-IF($L580="",0,$L580)*IFERROR(VLOOKUP("P01",ParamTbl,3,0),1.5))*(1-IF(IFERROR(VLOOKUP($E580,OpTbl,3,0),"")="خرید",IFERROR(VLOOKUP("P02",ParamTbl,3,0),1),0)/100))</f>
        <v/>
      </c>
      <c r="N580" s="14" t="n"/>
      <c r="O580" s="13" t="n"/>
    </row>
    <row r="581">
      <c r="A581" s="11">
        <f>IF($B581="","",COUNTA($B$9:$B581))</f>
        <v/>
      </c>
      <c r="B581" s="12" t="n"/>
      <c r="C581" s="12" t="n"/>
      <c r="D581" s="12" t="n"/>
      <c r="E581" s="13" t="n"/>
      <c r="F581" s="11">
        <f>IF($E581="","",IFERROR(VLOOKUP($E581,OpTbl,2,0),""))</f>
        <v/>
      </c>
      <c r="G581" s="12" t="n"/>
      <c r="H581" s="11">
        <f>IF($G581="","",IFERROR(IF(VLOOKUP($G581,AcctTbl,4,0)="","(بدون نام)",VLOOKUP($G581,AcctTbl,4,0)),"کد ناشناخته"))</f>
        <v/>
      </c>
      <c r="I581" s="13" t="n"/>
      <c r="J581" s="13" t="n"/>
      <c r="K581" s="14" t="n"/>
      <c r="L581" s="14" t="n"/>
      <c r="M581" s="15">
        <f>IF(OR($B581="",$K581=""),"",($K581-IF($L581="",0,$L581)*IFERROR(VLOOKUP("P01",ParamTbl,3,0),1.5))*(1-IF(IFERROR(VLOOKUP($E581,OpTbl,3,0),"")="خرید",IFERROR(VLOOKUP("P02",ParamTbl,3,0),1),0)/100))</f>
        <v/>
      </c>
      <c r="N581" s="14" t="n"/>
      <c r="O581" s="13" t="n"/>
    </row>
    <row r="582">
      <c r="A582" s="11">
        <f>IF($B582="","",COUNTA($B$9:$B582))</f>
        <v/>
      </c>
      <c r="B582" s="12" t="n"/>
      <c r="C582" s="12" t="n"/>
      <c r="D582" s="12" t="n"/>
      <c r="E582" s="13" t="n"/>
      <c r="F582" s="11">
        <f>IF($E582="","",IFERROR(VLOOKUP($E582,OpTbl,2,0),""))</f>
        <v/>
      </c>
      <c r="G582" s="12" t="n"/>
      <c r="H582" s="11">
        <f>IF($G582="","",IFERROR(IF(VLOOKUP($G582,AcctTbl,4,0)="","(بدون نام)",VLOOKUP($G582,AcctTbl,4,0)),"کد ناشناخته"))</f>
        <v/>
      </c>
      <c r="I582" s="13" t="n"/>
      <c r="J582" s="13" t="n"/>
      <c r="K582" s="14" t="n"/>
      <c r="L582" s="14" t="n"/>
      <c r="M582" s="15">
        <f>IF(OR($B582="",$K582=""),"",($K582-IF($L582="",0,$L582)*IFERROR(VLOOKUP("P01",ParamTbl,3,0),1.5))*(1-IF(IFERROR(VLOOKUP($E582,OpTbl,3,0),"")="خرید",IFERROR(VLOOKUP("P02",ParamTbl,3,0),1),0)/100))</f>
        <v/>
      </c>
      <c r="N582" s="14" t="n"/>
      <c r="O582" s="13" t="n"/>
    </row>
    <row r="583">
      <c r="A583" s="11">
        <f>IF($B583="","",COUNTA($B$9:$B583))</f>
        <v/>
      </c>
      <c r="B583" s="12" t="n"/>
      <c r="C583" s="12" t="n"/>
      <c r="D583" s="12" t="n"/>
      <c r="E583" s="13" t="n"/>
      <c r="F583" s="11">
        <f>IF($E583="","",IFERROR(VLOOKUP($E583,OpTbl,2,0),""))</f>
        <v/>
      </c>
      <c r="G583" s="12" t="n"/>
      <c r="H583" s="11">
        <f>IF($G583="","",IFERROR(IF(VLOOKUP($G583,AcctTbl,4,0)="","(بدون نام)",VLOOKUP($G583,AcctTbl,4,0)),"کد ناشناخته"))</f>
        <v/>
      </c>
      <c r="I583" s="13" t="n"/>
      <c r="J583" s="13" t="n"/>
      <c r="K583" s="14" t="n"/>
      <c r="L583" s="14" t="n"/>
      <c r="M583" s="15">
        <f>IF(OR($B583="",$K583=""),"",($K583-IF($L583="",0,$L583)*IFERROR(VLOOKUP("P01",ParamTbl,3,0),1.5))*(1-IF(IFERROR(VLOOKUP($E583,OpTbl,3,0),"")="خرید",IFERROR(VLOOKUP("P02",ParamTbl,3,0),1),0)/100))</f>
        <v/>
      </c>
      <c r="N583" s="14" t="n"/>
      <c r="O583" s="13" t="n"/>
    </row>
    <row r="584">
      <c r="A584" s="11">
        <f>IF($B584="","",COUNTA($B$9:$B584))</f>
        <v/>
      </c>
      <c r="B584" s="12" t="n"/>
      <c r="C584" s="12" t="n"/>
      <c r="D584" s="12" t="n"/>
      <c r="E584" s="13" t="n"/>
      <c r="F584" s="11">
        <f>IF($E584="","",IFERROR(VLOOKUP($E584,OpTbl,2,0),""))</f>
        <v/>
      </c>
      <c r="G584" s="12" t="n"/>
      <c r="H584" s="11">
        <f>IF($G584="","",IFERROR(IF(VLOOKUP($G584,AcctTbl,4,0)="","(بدون نام)",VLOOKUP($G584,AcctTbl,4,0)),"کد ناشناخته"))</f>
        <v/>
      </c>
      <c r="I584" s="13" t="n"/>
      <c r="J584" s="13" t="n"/>
      <c r="K584" s="14" t="n"/>
      <c r="L584" s="14" t="n"/>
      <c r="M584" s="15">
        <f>IF(OR($B584="",$K584=""),"",($K584-IF($L584="",0,$L584)*IFERROR(VLOOKUP("P01",ParamTbl,3,0),1.5))*(1-IF(IFERROR(VLOOKUP($E584,OpTbl,3,0),"")="خرید",IFERROR(VLOOKUP("P02",ParamTbl,3,0),1),0)/100))</f>
        <v/>
      </c>
      <c r="N584" s="14" t="n"/>
      <c r="O584" s="13" t="n"/>
    </row>
    <row r="585">
      <c r="A585" s="11">
        <f>IF($B585="","",COUNTA($B$9:$B585))</f>
        <v/>
      </c>
      <c r="B585" s="12" t="n"/>
      <c r="C585" s="12" t="n"/>
      <c r="D585" s="12" t="n"/>
      <c r="E585" s="13" t="n"/>
      <c r="F585" s="11">
        <f>IF($E585="","",IFERROR(VLOOKUP($E585,OpTbl,2,0),""))</f>
        <v/>
      </c>
      <c r="G585" s="12" t="n"/>
      <c r="H585" s="11">
        <f>IF($G585="","",IFERROR(IF(VLOOKUP($G585,AcctTbl,4,0)="","(بدون نام)",VLOOKUP($G585,AcctTbl,4,0)),"کد ناشناخته"))</f>
        <v/>
      </c>
      <c r="I585" s="13" t="n"/>
      <c r="J585" s="13" t="n"/>
      <c r="K585" s="14" t="n"/>
      <c r="L585" s="14" t="n"/>
      <c r="M585" s="15">
        <f>IF(OR($B585="",$K585=""),"",($K585-IF($L585="",0,$L585)*IFERROR(VLOOKUP("P01",ParamTbl,3,0),1.5))*(1-IF(IFERROR(VLOOKUP($E585,OpTbl,3,0),"")="خرید",IFERROR(VLOOKUP("P02",ParamTbl,3,0),1),0)/100))</f>
        <v/>
      </c>
      <c r="N585" s="14" t="n"/>
      <c r="O585" s="13" t="n"/>
    </row>
    <row r="586">
      <c r="A586" s="11">
        <f>IF($B586="","",COUNTA($B$9:$B586))</f>
        <v/>
      </c>
      <c r="B586" s="12" t="n"/>
      <c r="C586" s="12" t="n"/>
      <c r="D586" s="12" t="n"/>
      <c r="E586" s="13" t="n"/>
      <c r="F586" s="11">
        <f>IF($E586="","",IFERROR(VLOOKUP($E586,OpTbl,2,0),""))</f>
        <v/>
      </c>
      <c r="G586" s="12" t="n"/>
      <c r="H586" s="11">
        <f>IF($G586="","",IFERROR(IF(VLOOKUP($G586,AcctTbl,4,0)="","(بدون نام)",VLOOKUP($G586,AcctTbl,4,0)),"کد ناشناخته"))</f>
        <v/>
      </c>
      <c r="I586" s="13" t="n"/>
      <c r="J586" s="13" t="n"/>
      <c r="K586" s="14" t="n"/>
      <c r="L586" s="14" t="n"/>
      <c r="M586" s="15">
        <f>IF(OR($B586="",$K586=""),"",($K586-IF($L586="",0,$L586)*IFERROR(VLOOKUP("P01",ParamTbl,3,0),1.5))*(1-IF(IFERROR(VLOOKUP($E586,OpTbl,3,0),"")="خرید",IFERROR(VLOOKUP("P02",ParamTbl,3,0),1),0)/100))</f>
        <v/>
      </c>
      <c r="N586" s="14" t="n"/>
      <c r="O586" s="13" t="n"/>
    </row>
    <row r="587">
      <c r="A587" s="11">
        <f>IF($B587="","",COUNTA($B$9:$B587))</f>
        <v/>
      </c>
      <c r="B587" s="12" t="n"/>
      <c r="C587" s="12" t="n"/>
      <c r="D587" s="12" t="n"/>
      <c r="E587" s="13" t="n"/>
      <c r="F587" s="11">
        <f>IF($E587="","",IFERROR(VLOOKUP($E587,OpTbl,2,0),""))</f>
        <v/>
      </c>
      <c r="G587" s="12" t="n"/>
      <c r="H587" s="11">
        <f>IF($G587="","",IFERROR(IF(VLOOKUP($G587,AcctTbl,4,0)="","(بدون نام)",VLOOKUP($G587,AcctTbl,4,0)),"کد ناشناخته"))</f>
        <v/>
      </c>
      <c r="I587" s="13" t="n"/>
      <c r="J587" s="13" t="n"/>
      <c r="K587" s="14" t="n"/>
      <c r="L587" s="14" t="n"/>
      <c r="M587" s="15">
        <f>IF(OR($B587="",$K587=""),"",($K587-IF($L587="",0,$L587)*IFERROR(VLOOKUP("P01",ParamTbl,3,0),1.5))*(1-IF(IFERROR(VLOOKUP($E587,OpTbl,3,0),"")="خرید",IFERROR(VLOOKUP("P02",ParamTbl,3,0),1),0)/100))</f>
        <v/>
      </c>
      <c r="N587" s="14" t="n"/>
      <c r="O587" s="13" t="n"/>
    </row>
    <row r="588">
      <c r="A588" s="11">
        <f>IF($B588="","",COUNTA($B$9:$B588))</f>
        <v/>
      </c>
      <c r="B588" s="12" t="n"/>
      <c r="C588" s="12" t="n"/>
      <c r="D588" s="12" t="n"/>
      <c r="E588" s="13" t="n"/>
      <c r="F588" s="11">
        <f>IF($E588="","",IFERROR(VLOOKUP($E588,OpTbl,2,0),""))</f>
        <v/>
      </c>
      <c r="G588" s="12" t="n"/>
      <c r="H588" s="11">
        <f>IF($G588="","",IFERROR(IF(VLOOKUP($G588,AcctTbl,4,0)="","(بدون نام)",VLOOKUP($G588,AcctTbl,4,0)),"کد ناشناخته"))</f>
        <v/>
      </c>
      <c r="I588" s="13" t="n"/>
      <c r="J588" s="13" t="n"/>
      <c r="K588" s="14" t="n"/>
      <c r="L588" s="14" t="n"/>
      <c r="M588" s="15">
        <f>IF(OR($B588="",$K588=""),"",($K588-IF($L588="",0,$L588)*IFERROR(VLOOKUP("P01",ParamTbl,3,0),1.5))*(1-IF(IFERROR(VLOOKUP($E588,OpTbl,3,0),"")="خرید",IFERROR(VLOOKUP("P02",ParamTbl,3,0),1),0)/100))</f>
        <v/>
      </c>
      <c r="N588" s="14" t="n"/>
      <c r="O588" s="13" t="n"/>
    </row>
    <row r="589">
      <c r="A589" s="11">
        <f>IF($B589="","",COUNTA($B$9:$B589))</f>
        <v/>
      </c>
      <c r="B589" s="12" t="n"/>
      <c r="C589" s="12" t="n"/>
      <c r="D589" s="12" t="n"/>
      <c r="E589" s="13" t="n"/>
      <c r="F589" s="11">
        <f>IF($E589="","",IFERROR(VLOOKUP($E589,OpTbl,2,0),""))</f>
        <v/>
      </c>
      <c r="G589" s="12" t="n"/>
      <c r="H589" s="11">
        <f>IF($G589="","",IFERROR(IF(VLOOKUP($G589,AcctTbl,4,0)="","(بدون نام)",VLOOKUP($G589,AcctTbl,4,0)),"کد ناشناخته"))</f>
        <v/>
      </c>
      <c r="I589" s="13" t="n"/>
      <c r="J589" s="13" t="n"/>
      <c r="K589" s="14" t="n"/>
      <c r="L589" s="14" t="n"/>
      <c r="M589" s="15">
        <f>IF(OR($B589="",$K589=""),"",($K589-IF($L589="",0,$L589)*IFERROR(VLOOKUP("P01",ParamTbl,3,0),1.5))*(1-IF(IFERROR(VLOOKUP($E589,OpTbl,3,0),"")="خرید",IFERROR(VLOOKUP("P02",ParamTbl,3,0),1),0)/100))</f>
        <v/>
      </c>
      <c r="N589" s="14" t="n"/>
      <c r="O589" s="13" t="n"/>
    </row>
    <row r="590">
      <c r="A590" s="11">
        <f>IF($B590="","",COUNTA($B$9:$B590))</f>
        <v/>
      </c>
      <c r="B590" s="12" t="n"/>
      <c r="C590" s="12" t="n"/>
      <c r="D590" s="12" t="n"/>
      <c r="E590" s="13" t="n"/>
      <c r="F590" s="11">
        <f>IF($E590="","",IFERROR(VLOOKUP($E590,OpTbl,2,0),""))</f>
        <v/>
      </c>
      <c r="G590" s="12" t="n"/>
      <c r="H590" s="11">
        <f>IF($G590="","",IFERROR(IF(VLOOKUP($G590,AcctTbl,4,0)="","(بدون نام)",VLOOKUP($G590,AcctTbl,4,0)),"کد ناشناخته"))</f>
        <v/>
      </c>
      <c r="I590" s="13" t="n"/>
      <c r="J590" s="13" t="n"/>
      <c r="K590" s="14" t="n"/>
      <c r="L590" s="14" t="n"/>
      <c r="M590" s="15">
        <f>IF(OR($B590="",$K590=""),"",($K590-IF($L590="",0,$L590)*IFERROR(VLOOKUP("P01",ParamTbl,3,0),1.5))*(1-IF(IFERROR(VLOOKUP($E590,OpTbl,3,0),"")="خرید",IFERROR(VLOOKUP("P02",ParamTbl,3,0),1),0)/100))</f>
        <v/>
      </c>
      <c r="N590" s="14" t="n"/>
      <c r="O590" s="13" t="n"/>
    </row>
    <row r="591">
      <c r="A591" s="11">
        <f>IF($B591="","",COUNTA($B$9:$B591))</f>
        <v/>
      </c>
      <c r="B591" s="12" t="n"/>
      <c r="C591" s="12" t="n"/>
      <c r="D591" s="12" t="n"/>
      <c r="E591" s="13" t="n"/>
      <c r="F591" s="11">
        <f>IF($E591="","",IFERROR(VLOOKUP($E591,OpTbl,2,0),""))</f>
        <v/>
      </c>
      <c r="G591" s="12" t="n"/>
      <c r="H591" s="11">
        <f>IF($G591="","",IFERROR(IF(VLOOKUP($G591,AcctTbl,4,0)="","(بدون نام)",VLOOKUP($G591,AcctTbl,4,0)),"کد ناشناخته"))</f>
        <v/>
      </c>
      <c r="I591" s="13" t="n"/>
      <c r="J591" s="13" t="n"/>
      <c r="K591" s="14" t="n"/>
      <c r="L591" s="14" t="n"/>
      <c r="M591" s="15">
        <f>IF(OR($B591="",$K591=""),"",($K591-IF($L591="",0,$L591)*IFERROR(VLOOKUP("P01",ParamTbl,3,0),1.5))*(1-IF(IFERROR(VLOOKUP($E591,OpTbl,3,0),"")="خرید",IFERROR(VLOOKUP("P02",ParamTbl,3,0),1),0)/100))</f>
        <v/>
      </c>
      <c r="N591" s="14" t="n"/>
      <c r="O591" s="13" t="n"/>
    </row>
    <row r="592">
      <c r="A592" s="11">
        <f>IF($B592="","",COUNTA($B$9:$B592))</f>
        <v/>
      </c>
      <c r="B592" s="12" t="n"/>
      <c r="C592" s="12" t="n"/>
      <c r="D592" s="12" t="n"/>
      <c r="E592" s="13" t="n"/>
      <c r="F592" s="11">
        <f>IF($E592="","",IFERROR(VLOOKUP($E592,OpTbl,2,0),""))</f>
        <v/>
      </c>
      <c r="G592" s="12" t="n"/>
      <c r="H592" s="11">
        <f>IF($G592="","",IFERROR(IF(VLOOKUP($G592,AcctTbl,4,0)="","(بدون نام)",VLOOKUP($G592,AcctTbl,4,0)),"کد ناشناخته"))</f>
        <v/>
      </c>
      <c r="I592" s="13" t="n"/>
      <c r="J592" s="13" t="n"/>
      <c r="K592" s="14" t="n"/>
      <c r="L592" s="14" t="n"/>
      <c r="M592" s="15">
        <f>IF(OR($B592="",$K592=""),"",($K592-IF($L592="",0,$L592)*IFERROR(VLOOKUP("P01",ParamTbl,3,0),1.5))*(1-IF(IFERROR(VLOOKUP($E592,OpTbl,3,0),"")="خرید",IFERROR(VLOOKUP("P02",ParamTbl,3,0),1),0)/100))</f>
        <v/>
      </c>
      <c r="N592" s="14" t="n"/>
      <c r="O592" s="13" t="n"/>
    </row>
    <row r="593">
      <c r="A593" s="11">
        <f>IF($B593="","",COUNTA($B$9:$B593))</f>
        <v/>
      </c>
      <c r="B593" s="12" t="n"/>
      <c r="C593" s="12" t="n"/>
      <c r="D593" s="12" t="n"/>
      <c r="E593" s="13" t="n"/>
      <c r="F593" s="11">
        <f>IF($E593="","",IFERROR(VLOOKUP($E593,OpTbl,2,0),""))</f>
        <v/>
      </c>
      <c r="G593" s="12" t="n"/>
      <c r="H593" s="11">
        <f>IF($G593="","",IFERROR(IF(VLOOKUP($G593,AcctTbl,4,0)="","(بدون نام)",VLOOKUP($G593,AcctTbl,4,0)),"کد ناشناخته"))</f>
        <v/>
      </c>
      <c r="I593" s="13" t="n"/>
      <c r="J593" s="13" t="n"/>
      <c r="K593" s="14" t="n"/>
      <c r="L593" s="14" t="n"/>
      <c r="M593" s="15">
        <f>IF(OR($B593="",$K593=""),"",($K593-IF($L593="",0,$L593)*IFERROR(VLOOKUP("P01",ParamTbl,3,0),1.5))*(1-IF(IFERROR(VLOOKUP($E593,OpTbl,3,0),"")="خرید",IFERROR(VLOOKUP("P02",ParamTbl,3,0),1),0)/100))</f>
        <v/>
      </c>
      <c r="N593" s="14" t="n"/>
      <c r="O593" s="13" t="n"/>
    </row>
    <row r="594">
      <c r="A594" s="11">
        <f>IF($B594="","",COUNTA($B$9:$B594))</f>
        <v/>
      </c>
      <c r="B594" s="12" t="n"/>
      <c r="C594" s="12" t="n"/>
      <c r="D594" s="12" t="n"/>
      <c r="E594" s="13" t="n"/>
      <c r="F594" s="11">
        <f>IF($E594="","",IFERROR(VLOOKUP($E594,OpTbl,2,0),""))</f>
        <v/>
      </c>
      <c r="G594" s="12" t="n"/>
      <c r="H594" s="11">
        <f>IF($G594="","",IFERROR(IF(VLOOKUP($G594,AcctTbl,4,0)="","(بدون نام)",VLOOKUP($G594,AcctTbl,4,0)),"کد ناشناخته"))</f>
        <v/>
      </c>
      <c r="I594" s="13" t="n"/>
      <c r="J594" s="13" t="n"/>
      <c r="K594" s="14" t="n"/>
      <c r="L594" s="14" t="n"/>
      <c r="M594" s="15">
        <f>IF(OR($B594="",$K594=""),"",($K594-IF($L594="",0,$L594)*IFERROR(VLOOKUP("P01",ParamTbl,3,0),1.5))*(1-IF(IFERROR(VLOOKUP($E594,OpTbl,3,0),"")="خرید",IFERROR(VLOOKUP("P02",ParamTbl,3,0),1),0)/100))</f>
        <v/>
      </c>
      <c r="N594" s="14" t="n"/>
      <c r="O594" s="13" t="n"/>
    </row>
    <row r="595">
      <c r="A595" s="11">
        <f>IF($B595="","",COUNTA($B$9:$B595))</f>
        <v/>
      </c>
      <c r="B595" s="12" t="n"/>
      <c r="C595" s="12" t="n"/>
      <c r="D595" s="12" t="n"/>
      <c r="E595" s="13" t="n"/>
      <c r="F595" s="11">
        <f>IF($E595="","",IFERROR(VLOOKUP($E595,OpTbl,2,0),""))</f>
        <v/>
      </c>
      <c r="G595" s="12" t="n"/>
      <c r="H595" s="11">
        <f>IF($G595="","",IFERROR(IF(VLOOKUP($G595,AcctTbl,4,0)="","(بدون نام)",VLOOKUP($G595,AcctTbl,4,0)),"کد ناشناخته"))</f>
        <v/>
      </c>
      <c r="I595" s="13" t="n"/>
      <c r="J595" s="13" t="n"/>
      <c r="K595" s="14" t="n"/>
      <c r="L595" s="14" t="n"/>
      <c r="M595" s="15">
        <f>IF(OR($B595="",$K595=""),"",($K595-IF($L595="",0,$L595)*IFERROR(VLOOKUP("P01",ParamTbl,3,0),1.5))*(1-IF(IFERROR(VLOOKUP($E595,OpTbl,3,0),"")="خرید",IFERROR(VLOOKUP("P02",ParamTbl,3,0),1),0)/100))</f>
        <v/>
      </c>
      <c r="N595" s="14" t="n"/>
      <c r="O595" s="13" t="n"/>
    </row>
    <row r="596">
      <c r="A596" s="11">
        <f>IF($B596="","",COUNTA($B$9:$B596))</f>
        <v/>
      </c>
      <c r="B596" s="12" t="n"/>
      <c r="C596" s="12" t="n"/>
      <c r="D596" s="12" t="n"/>
      <c r="E596" s="13" t="n"/>
      <c r="F596" s="11">
        <f>IF($E596="","",IFERROR(VLOOKUP($E596,OpTbl,2,0),""))</f>
        <v/>
      </c>
      <c r="G596" s="12" t="n"/>
      <c r="H596" s="11">
        <f>IF($G596="","",IFERROR(IF(VLOOKUP($G596,AcctTbl,4,0)="","(بدون نام)",VLOOKUP($G596,AcctTbl,4,0)),"کد ناشناخته"))</f>
        <v/>
      </c>
      <c r="I596" s="13" t="n"/>
      <c r="J596" s="13" t="n"/>
      <c r="K596" s="14" t="n"/>
      <c r="L596" s="14" t="n"/>
      <c r="M596" s="15">
        <f>IF(OR($B596="",$K596=""),"",($K596-IF($L596="",0,$L596)*IFERROR(VLOOKUP("P01",ParamTbl,3,0),1.5))*(1-IF(IFERROR(VLOOKUP($E596,OpTbl,3,0),"")="خرید",IFERROR(VLOOKUP("P02",ParamTbl,3,0),1),0)/100))</f>
        <v/>
      </c>
      <c r="N596" s="14" t="n"/>
      <c r="O596" s="13" t="n"/>
    </row>
    <row r="597">
      <c r="A597" s="11">
        <f>IF($B597="","",COUNTA($B$9:$B597))</f>
        <v/>
      </c>
      <c r="B597" s="12" t="n"/>
      <c r="C597" s="12" t="n"/>
      <c r="D597" s="12" t="n"/>
      <c r="E597" s="13" t="n"/>
      <c r="F597" s="11">
        <f>IF($E597="","",IFERROR(VLOOKUP($E597,OpTbl,2,0),""))</f>
        <v/>
      </c>
      <c r="G597" s="12" t="n"/>
      <c r="H597" s="11">
        <f>IF($G597="","",IFERROR(IF(VLOOKUP($G597,AcctTbl,4,0)="","(بدون نام)",VLOOKUP($G597,AcctTbl,4,0)),"کد ناشناخته"))</f>
        <v/>
      </c>
      <c r="I597" s="13" t="n"/>
      <c r="J597" s="13" t="n"/>
      <c r="K597" s="14" t="n"/>
      <c r="L597" s="14" t="n"/>
      <c r="M597" s="15">
        <f>IF(OR($B597="",$K597=""),"",($K597-IF($L597="",0,$L597)*IFERROR(VLOOKUP("P01",ParamTbl,3,0),1.5))*(1-IF(IFERROR(VLOOKUP($E597,OpTbl,3,0),"")="خرید",IFERROR(VLOOKUP("P02",ParamTbl,3,0),1),0)/100))</f>
        <v/>
      </c>
      <c r="N597" s="14" t="n"/>
      <c r="O597" s="13" t="n"/>
    </row>
    <row r="598">
      <c r="A598" s="11">
        <f>IF($B598="","",COUNTA($B$9:$B598))</f>
        <v/>
      </c>
      <c r="B598" s="12" t="n"/>
      <c r="C598" s="12" t="n"/>
      <c r="D598" s="12" t="n"/>
      <c r="E598" s="13" t="n"/>
      <c r="F598" s="11">
        <f>IF($E598="","",IFERROR(VLOOKUP($E598,OpTbl,2,0),""))</f>
        <v/>
      </c>
      <c r="G598" s="12" t="n"/>
      <c r="H598" s="11">
        <f>IF($G598="","",IFERROR(IF(VLOOKUP($G598,AcctTbl,4,0)="","(بدون نام)",VLOOKUP($G598,AcctTbl,4,0)),"کد ناشناخته"))</f>
        <v/>
      </c>
      <c r="I598" s="13" t="n"/>
      <c r="J598" s="13" t="n"/>
      <c r="K598" s="14" t="n"/>
      <c r="L598" s="14" t="n"/>
      <c r="M598" s="15">
        <f>IF(OR($B598="",$K598=""),"",($K598-IF($L598="",0,$L598)*IFERROR(VLOOKUP("P01",ParamTbl,3,0),1.5))*(1-IF(IFERROR(VLOOKUP($E598,OpTbl,3,0),"")="خرید",IFERROR(VLOOKUP("P02",ParamTbl,3,0),1),0)/100))</f>
        <v/>
      </c>
      <c r="N598" s="14" t="n"/>
      <c r="O598" s="13" t="n"/>
    </row>
    <row r="599">
      <c r="A599" s="11">
        <f>IF($B599="","",COUNTA($B$9:$B599))</f>
        <v/>
      </c>
      <c r="B599" s="12" t="n"/>
      <c r="C599" s="12" t="n"/>
      <c r="D599" s="12" t="n"/>
      <c r="E599" s="13" t="n"/>
      <c r="F599" s="11">
        <f>IF($E599="","",IFERROR(VLOOKUP($E599,OpTbl,2,0),""))</f>
        <v/>
      </c>
      <c r="G599" s="12" t="n"/>
      <c r="H599" s="11">
        <f>IF($G599="","",IFERROR(IF(VLOOKUP($G599,AcctTbl,4,0)="","(بدون نام)",VLOOKUP($G599,AcctTbl,4,0)),"کد ناشناخته"))</f>
        <v/>
      </c>
      <c r="I599" s="13" t="n"/>
      <c r="J599" s="13" t="n"/>
      <c r="K599" s="14" t="n"/>
      <c r="L599" s="14" t="n"/>
      <c r="M599" s="15">
        <f>IF(OR($B599="",$K599=""),"",($K599-IF($L599="",0,$L599)*IFERROR(VLOOKUP("P01",ParamTbl,3,0),1.5))*(1-IF(IFERROR(VLOOKUP($E599,OpTbl,3,0),"")="خرید",IFERROR(VLOOKUP("P02",ParamTbl,3,0),1),0)/100))</f>
        <v/>
      </c>
      <c r="N599" s="14" t="n"/>
      <c r="O599" s="13" t="n"/>
    </row>
    <row r="600">
      <c r="A600" s="11">
        <f>IF($B600="","",COUNTA($B$9:$B600))</f>
        <v/>
      </c>
      <c r="B600" s="12" t="n"/>
      <c r="C600" s="12" t="n"/>
      <c r="D600" s="12" t="n"/>
      <c r="E600" s="13" t="n"/>
      <c r="F600" s="11">
        <f>IF($E600="","",IFERROR(VLOOKUP($E600,OpTbl,2,0),""))</f>
        <v/>
      </c>
      <c r="G600" s="12" t="n"/>
      <c r="H600" s="11">
        <f>IF($G600="","",IFERROR(IF(VLOOKUP($G600,AcctTbl,4,0)="","(بدون نام)",VLOOKUP($G600,AcctTbl,4,0)),"کد ناشناخته"))</f>
        <v/>
      </c>
      <c r="I600" s="13" t="n"/>
      <c r="J600" s="13" t="n"/>
      <c r="K600" s="14" t="n"/>
      <c r="L600" s="14" t="n"/>
      <c r="M600" s="15">
        <f>IF(OR($B600="",$K600=""),"",($K600-IF($L600="",0,$L600)*IFERROR(VLOOKUP("P01",ParamTbl,3,0),1.5))*(1-IF(IFERROR(VLOOKUP($E600,OpTbl,3,0),"")="خرید",IFERROR(VLOOKUP("P02",ParamTbl,3,0),1),0)/100))</f>
        <v/>
      </c>
      <c r="N600" s="14" t="n"/>
      <c r="O600" s="13" t="n"/>
    </row>
    <row r="601">
      <c r="A601" s="11">
        <f>IF($B601="","",COUNTA($B$9:$B601))</f>
        <v/>
      </c>
      <c r="B601" s="12" t="n"/>
      <c r="C601" s="12" t="n"/>
      <c r="D601" s="12" t="n"/>
      <c r="E601" s="13" t="n"/>
      <c r="F601" s="11">
        <f>IF($E601="","",IFERROR(VLOOKUP($E601,OpTbl,2,0),""))</f>
        <v/>
      </c>
      <c r="G601" s="12" t="n"/>
      <c r="H601" s="11">
        <f>IF($G601="","",IFERROR(IF(VLOOKUP($G601,AcctTbl,4,0)="","(بدون نام)",VLOOKUP($G601,AcctTbl,4,0)),"کد ناشناخته"))</f>
        <v/>
      </c>
      <c r="I601" s="13" t="n"/>
      <c r="J601" s="13" t="n"/>
      <c r="K601" s="14" t="n"/>
      <c r="L601" s="14" t="n"/>
      <c r="M601" s="15">
        <f>IF(OR($B601="",$K601=""),"",($K601-IF($L601="",0,$L601)*IFERROR(VLOOKUP("P01",ParamTbl,3,0),1.5))*(1-IF(IFERROR(VLOOKUP($E601,OpTbl,3,0),"")="خرید",IFERROR(VLOOKUP("P02",ParamTbl,3,0),1),0)/100))</f>
        <v/>
      </c>
      <c r="N601" s="14" t="n"/>
      <c r="O601" s="13" t="n"/>
    </row>
    <row r="602">
      <c r="A602" s="11">
        <f>IF($B602="","",COUNTA($B$9:$B602))</f>
        <v/>
      </c>
      <c r="B602" s="12" t="n"/>
      <c r="C602" s="12" t="n"/>
      <c r="D602" s="12" t="n"/>
      <c r="E602" s="13" t="n"/>
      <c r="F602" s="11">
        <f>IF($E602="","",IFERROR(VLOOKUP($E602,OpTbl,2,0),""))</f>
        <v/>
      </c>
      <c r="G602" s="12" t="n"/>
      <c r="H602" s="11">
        <f>IF($G602="","",IFERROR(IF(VLOOKUP($G602,AcctTbl,4,0)="","(بدون نام)",VLOOKUP($G602,AcctTbl,4,0)),"کد ناشناخته"))</f>
        <v/>
      </c>
      <c r="I602" s="13" t="n"/>
      <c r="J602" s="13" t="n"/>
      <c r="K602" s="14" t="n"/>
      <c r="L602" s="14" t="n"/>
      <c r="M602" s="15">
        <f>IF(OR($B602="",$K602=""),"",($K602-IF($L602="",0,$L602)*IFERROR(VLOOKUP("P01",ParamTbl,3,0),1.5))*(1-IF(IFERROR(VLOOKUP($E602,OpTbl,3,0),"")="خرید",IFERROR(VLOOKUP("P02",ParamTbl,3,0),1),0)/100))</f>
        <v/>
      </c>
      <c r="N602" s="14" t="n"/>
      <c r="O602" s="13" t="n"/>
    </row>
    <row r="603">
      <c r="A603" s="11">
        <f>IF($B603="","",COUNTA($B$9:$B603))</f>
        <v/>
      </c>
      <c r="B603" s="12" t="n"/>
      <c r="C603" s="12" t="n"/>
      <c r="D603" s="12" t="n"/>
      <c r="E603" s="13" t="n"/>
      <c r="F603" s="11">
        <f>IF($E603="","",IFERROR(VLOOKUP($E603,OpTbl,2,0),""))</f>
        <v/>
      </c>
      <c r="G603" s="12" t="n"/>
      <c r="H603" s="11">
        <f>IF($G603="","",IFERROR(IF(VLOOKUP($G603,AcctTbl,4,0)="","(بدون نام)",VLOOKUP($G603,AcctTbl,4,0)),"کد ناشناخته"))</f>
        <v/>
      </c>
      <c r="I603" s="13" t="n"/>
      <c r="J603" s="13" t="n"/>
      <c r="K603" s="14" t="n"/>
      <c r="L603" s="14" t="n"/>
      <c r="M603" s="15">
        <f>IF(OR($B603="",$K603=""),"",($K603-IF($L603="",0,$L603)*IFERROR(VLOOKUP("P01",ParamTbl,3,0),1.5))*(1-IF(IFERROR(VLOOKUP($E603,OpTbl,3,0),"")="خرید",IFERROR(VLOOKUP("P02",ParamTbl,3,0),1),0)/100))</f>
        <v/>
      </c>
      <c r="N603" s="14" t="n"/>
      <c r="O603" s="13" t="n"/>
    </row>
    <row r="604">
      <c r="A604" s="11">
        <f>IF($B604="","",COUNTA($B$9:$B604))</f>
        <v/>
      </c>
      <c r="B604" s="12" t="n"/>
      <c r="C604" s="12" t="n"/>
      <c r="D604" s="12" t="n"/>
      <c r="E604" s="13" t="n"/>
      <c r="F604" s="11">
        <f>IF($E604="","",IFERROR(VLOOKUP($E604,OpTbl,2,0),""))</f>
        <v/>
      </c>
      <c r="G604" s="12" t="n"/>
      <c r="H604" s="11">
        <f>IF($G604="","",IFERROR(IF(VLOOKUP($G604,AcctTbl,4,0)="","(بدون نام)",VLOOKUP($G604,AcctTbl,4,0)),"کد ناشناخته"))</f>
        <v/>
      </c>
      <c r="I604" s="13" t="n"/>
      <c r="J604" s="13" t="n"/>
      <c r="K604" s="14" t="n"/>
      <c r="L604" s="14" t="n"/>
      <c r="M604" s="15">
        <f>IF(OR($B604="",$K604=""),"",($K604-IF($L604="",0,$L604)*IFERROR(VLOOKUP("P01",ParamTbl,3,0),1.5))*(1-IF(IFERROR(VLOOKUP($E604,OpTbl,3,0),"")="خرید",IFERROR(VLOOKUP("P02",ParamTbl,3,0),1),0)/100))</f>
        <v/>
      </c>
      <c r="N604" s="14" t="n"/>
      <c r="O604" s="13" t="n"/>
    </row>
    <row r="605">
      <c r="A605" s="11">
        <f>IF($B605="","",COUNTA($B$9:$B605))</f>
        <v/>
      </c>
      <c r="B605" s="12" t="n"/>
      <c r="C605" s="12" t="n"/>
      <c r="D605" s="12" t="n"/>
      <c r="E605" s="13" t="n"/>
      <c r="F605" s="11">
        <f>IF($E605="","",IFERROR(VLOOKUP($E605,OpTbl,2,0),""))</f>
        <v/>
      </c>
      <c r="G605" s="12" t="n"/>
      <c r="H605" s="11">
        <f>IF($G605="","",IFERROR(IF(VLOOKUP($G605,AcctTbl,4,0)="","(بدون نام)",VLOOKUP($G605,AcctTbl,4,0)),"کد ناشناخته"))</f>
        <v/>
      </c>
      <c r="I605" s="13" t="n"/>
      <c r="J605" s="13" t="n"/>
      <c r="K605" s="14" t="n"/>
      <c r="L605" s="14" t="n"/>
      <c r="M605" s="15">
        <f>IF(OR($B605="",$K605=""),"",($K605-IF($L605="",0,$L605)*IFERROR(VLOOKUP("P01",ParamTbl,3,0),1.5))*(1-IF(IFERROR(VLOOKUP($E605,OpTbl,3,0),"")="خرید",IFERROR(VLOOKUP("P02",ParamTbl,3,0),1),0)/100))</f>
        <v/>
      </c>
      <c r="N605" s="14" t="n"/>
      <c r="O605" s="13" t="n"/>
    </row>
    <row r="606">
      <c r="A606" s="11">
        <f>IF($B606="","",COUNTA($B$9:$B606))</f>
        <v/>
      </c>
      <c r="B606" s="12" t="n"/>
      <c r="C606" s="12" t="n"/>
      <c r="D606" s="12" t="n"/>
      <c r="E606" s="13" t="n"/>
      <c r="F606" s="11">
        <f>IF($E606="","",IFERROR(VLOOKUP($E606,OpTbl,2,0),""))</f>
        <v/>
      </c>
      <c r="G606" s="12" t="n"/>
      <c r="H606" s="11">
        <f>IF($G606="","",IFERROR(IF(VLOOKUP($G606,AcctTbl,4,0)="","(بدون نام)",VLOOKUP($G606,AcctTbl,4,0)),"کد ناشناخته"))</f>
        <v/>
      </c>
      <c r="I606" s="13" t="n"/>
      <c r="J606" s="13" t="n"/>
      <c r="K606" s="14" t="n"/>
      <c r="L606" s="14" t="n"/>
      <c r="M606" s="15">
        <f>IF(OR($B606="",$K606=""),"",($K606-IF($L606="",0,$L606)*IFERROR(VLOOKUP("P01",ParamTbl,3,0),1.5))*(1-IF(IFERROR(VLOOKUP($E606,OpTbl,3,0),"")="خرید",IFERROR(VLOOKUP("P02",ParamTbl,3,0),1),0)/100))</f>
        <v/>
      </c>
      <c r="N606" s="14" t="n"/>
      <c r="O606" s="13" t="n"/>
    </row>
    <row r="607">
      <c r="A607" s="11">
        <f>IF($B607="","",COUNTA($B$9:$B607))</f>
        <v/>
      </c>
      <c r="B607" s="12" t="n"/>
      <c r="C607" s="12" t="n"/>
      <c r="D607" s="12" t="n"/>
      <c r="E607" s="13" t="n"/>
      <c r="F607" s="11">
        <f>IF($E607="","",IFERROR(VLOOKUP($E607,OpTbl,2,0),""))</f>
        <v/>
      </c>
      <c r="G607" s="12" t="n"/>
      <c r="H607" s="11">
        <f>IF($G607="","",IFERROR(IF(VLOOKUP($G607,AcctTbl,4,0)="","(بدون نام)",VLOOKUP($G607,AcctTbl,4,0)),"کد ناشناخته"))</f>
        <v/>
      </c>
      <c r="I607" s="13" t="n"/>
      <c r="J607" s="13" t="n"/>
      <c r="K607" s="14" t="n"/>
      <c r="L607" s="14" t="n"/>
      <c r="M607" s="15">
        <f>IF(OR($B607="",$K607=""),"",($K607-IF($L607="",0,$L607)*IFERROR(VLOOKUP("P01",ParamTbl,3,0),1.5))*(1-IF(IFERROR(VLOOKUP($E607,OpTbl,3,0),"")="خرید",IFERROR(VLOOKUP("P02",ParamTbl,3,0),1),0)/100))</f>
        <v/>
      </c>
      <c r="N607" s="14" t="n"/>
      <c r="O607" s="13" t="n"/>
    </row>
    <row r="608">
      <c r="A608" s="11">
        <f>IF($B608="","",COUNTA($B$9:$B608))</f>
        <v/>
      </c>
      <c r="B608" s="12" t="n"/>
      <c r="C608" s="12" t="n"/>
      <c r="D608" s="12" t="n"/>
      <c r="E608" s="13" t="n"/>
      <c r="F608" s="11">
        <f>IF($E608="","",IFERROR(VLOOKUP($E608,OpTbl,2,0),""))</f>
        <v/>
      </c>
      <c r="G608" s="12" t="n"/>
      <c r="H608" s="11">
        <f>IF($G608="","",IFERROR(IF(VLOOKUP($G608,AcctTbl,4,0)="","(بدون نام)",VLOOKUP($G608,AcctTbl,4,0)),"کد ناشناخته"))</f>
        <v/>
      </c>
      <c r="I608" s="13" t="n"/>
      <c r="J608" s="13" t="n"/>
      <c r="K608" s="14" t="n"/>
      <c r="L608" s="14" t="n"/>
      <c r="M608" s="15">
        <f>IF(OR($B608="",$K608=""),"",($K608-IF($L608="",0,$L608)*IFERROR(VLOOKUP("P01",ParamTbl,3,0),1.5))*(1-IF(IFERROR(VLOOKUP($E608,OpTbl,3,0),"")="خرید",IFERROR(VLOOKUP("P02",ParamTbl,3,0),1),0)/100))</f>
        <v/>
      </c>
      <c r="N608" s="14" t="n"/>
      <c r="O608" s="13" t="n"/>
    </row>
    <row r="609">
      <c r="A609" s="11">
        <f>IF($B609="","",COUNTA($B$9:$B609))</f>
        <v/>
      </c>
      <c r="B609" s="12" t="n"/>
      <c r="C609" s="12" t="n"/>
      <c r="D609" s="12" t="n"/>
      <c r="E609" s="13" t="n"/>
      <c r="F609" s="11">
        <f>IF($E609="","",IFERROR(VLOOKUP($E609,OpTbl,2,0),""))</f>
        <v/>
      </c>
      <c r="G609" s="12" t="n"/>
      <c r="H609" s="11">
        <f>IF($G609="","",IFERROR(IF(VLOOKUP($G609,AcctTbl,4,0)="","(بدون نام)",VLOOKUP($G609,AcctTbl,4,0)),"کد ناشناخته"))</f>
        <v/>
      </c>
      <c r="I609" s="13" t="n"/>
      <c r="J609" s="13" t="n"/>
      <c r="K609" s="14" t="n"/>
      <c r="L609" s="14" t="n"/>
      <c r="M609" s="15">
        <f>IF(OR($B609="",$K609=""),"",($K609-IF($L609="",0,$L609)*IFERROR(VLOOKUP("P01",ParamTbl,3,0),1.5))*(1-IF(IFERROR(VLOOKUP($E609,OpTbl,3,0),"")="خرید",IFERROR(VLOOKUP("P02",ParamTbl,3,0),1),0)/100))</f>
        <v/>
      </c>
      <c r="N609" s="14" t="n"/>
      <c r="O609" s="13" t="n"/>
    </row>
    <row r="610">
      <c r="A610" s="11">
        <f>IF($B610="","",COUNTA($B$9:$B610))</f>
        <v/>
      </c>
      <c r="B610" s="12" t="n"/>
      <c r="C610" s="12" t="n"/>
      <c r="D610" s="12" t="n"/>
      <c r="E610" s="13" t="n"/>
      <c r="F610" s="11">
        <f>IF($E610="","",IFERROR(VLOOKUP($E610,OpTbl,2,0),""))</f>
        <v/>
      </c>
      <c r="G610" s="12" t="n"/>
      <c r="H610" s="11">
        <f>IF($G610="","",IFERROR(IF(VLOOKUP($G610,AcctTbl,4,0)="","(بدون نام)",VLOOKUP($G610,AcctTbl,4,0)),"کد ناشناخته"))</f>
        <v/>
      </c>
      <c r="I610" s="13" t="n"/>
      <c r="J610" s="13" t="n"/>
      <c r="K610" s="14" t="n"/>
      <c r="L610" s="14" t="n"/>
      <c r="M610" s="15">
        <f>IF(OR($B610="",$K610=""),"",($K610-IF($L610="",0,$L610)*IFERROR(VLOOKUP("P01",ParamTbl,3,0),1.5))*(1-IF(IFERROR(VLOOKUP($E610,OpTbl,3,0),"")="خرید",IFERROR(VLOOKUP("P02",ParamTbl,3,0),1),0)/100))</f>
        <v/>
      </c>
      <c r="N610" s="14" t="n"/>
      <c r="O610" s="13" t="n"/>
    </row>
    <row r="611">
      <c r="A611" s="11">
        <f>IF($B611="","",COUNTA($B$9:$B611))</f>
        <v/>
      </c>
      <c r="B611" s="12" t="n"/>
      <c r="C611" s="12" t="n"/>
      <c r="D611" s="12" t="n"/>
      <c r="E611" s="13" t="n"/>
      <c r="F611" s="11">
        <f>IF($E611="","",IFERROR(VLOOKUP($E611,OpTbl,2,0),""))</f>
        <v/>
      </c>
      <c r="G611" s="12" t="n"/>
      <c r="H611" s="11">
        <f>IF($G611="","",IFERROR(IF(VLOOKUP($G611,AcctTbl,4,0)="","(بدون نام)",VLOOKUP($G611,AcctTbl,4,0)),"کد ناشناخته"))</f>
        <v/>
      </c>
      <c r="I611" s="13" t="n"/>
      <c r="J611" s="13" t="n"/>
      <c r="K611" s="14" t="n"/>
      <c r="L611" s="14" t="n"/>
      <c r="M611" s="15">
        <f>IF(OR($B611="",$K611=""),"",($K611-IF($L611="",0,$L611)*IFERROR(VLOOKUP("P01",ParamTbl,3,0),1.5))*(1-IF(IFERROR(VLOOKUP($E611,OpTbl,3,0),"")="خرید",IFERROR(VLOOKUP("P02",ParamTbl,3,0),1),0)/100))</f>
        <v/>
      </c>
      <c r="N611" s="14" t="n"/>
      <c r="O611" s="13" t="n"/>
    </row>
    <row r="612">
      <c r="A612" s="11">
        <f>IF($B612="","",COUNTA($B$9:$B612))</f>
        <v/>
      </c>
      <c r="B612" s="12" t="n"/>
      <c r="C612" s="12" t="n"/>
      <c r="D612" s="12" t="n"/>
      <c r="E612" s="13" t="n"/>
      <c r="F612" s="11">
        <f>IF($E612="","",IFERROR(VLOOKUP($E612,OpTbl,2,0),""))</f>
        <v/>
      </c>
      <c r="G612" s="12" t="n"/>
      <c r="H612" s="11">
        <f>IF($G612="","",IFERROR(IF(VLOOKUP($G612,AcctTbl,4,0)="","(بدون نام)",VLOOKUP($G612,AcctTbl,4,0)),"کد ناشناخته"))</f>
        <v/>
      </c>
      <c r="I612" s="13" t="n"/>
      <c r="J612" s="13" t="n"/>
      <c r="K612" s="14" t="n"/>
      <c r="L612" s="14" t="n"/>
      <c r="M612" s="15">
        <f>IF(OR($B612="",$K612=""),"",($K612-IF($L612="",0,$L612)*IFERROR(VLOOKUP("P01",ParamTbl,3,0),1.5))*(1-IF(IFERROR(VLOOKUP($E612,OpTbl,3,0),"")="خرید",IFERROR(VLOOKUP("P02",ParamTbl,3,0),1),0)/100))</f>
        <v/>
      </c>
      <c r="N612" s="14" t="n"/>
      <c r="O612" s="13" t="n"/>
    </row>
    <row r="613">
      <c r="A613" s="11">
        <f>IF($B613="","",COUNTA($B$9:$B613))</f>
        <v/>
      </c>
      <c r="B613" s="12" t="n"/>
      <c r="C613" s="12" t="n"/>
      <c r="D613" s="12" t="n"/>
      <c r="E613" s="13" t="n"/>
      <c r="F613" s="11">
        <f>IF($E613="","",IFERROR(VLOOKUP($E613,OpTbl,2,0),""))</f>
        <v/>
      </c>
      <c r="G613" s="12" t="n"/>
      <c r="H613" s="11">
        <f>IF($G613="","",IFERROR(IF(VLOOKUP($G613,AcctTbl,4,0)="","(بدون نام)",VLOOKUP($G613,AcctTbl,4,0)),"کد ناشناخته"))</f>
        <v/>
      </c>
      <c r="I613" s="13" t="n"/>
      <c r="J613" s="13" t="n"/>
      <c r="K613" s="14" t="n"/>
      <c r="L613" s="14" t="n"/>
      <c r="M613" s="15">
        <f>IF(OR($B613="",$K613=""),"",($K613-IF($L613="",0,$L613)*IFERROR(VLOOKUP("P01",ParamTbl,3,0),1.5))*(1-IF(IFERROR(VLOOKUP($E613,OpTbl,3,0),"")="خرید",IFERROR(VLOOKUP("P02",ParamTbl,3,0),1),0)/100))</f>
        <v/>
      </c>
      <c r="N613" s="14" t="n"/>
      <c r="O613" s="13" t="n"/>
    </row>
    <row r="614">
      <c r="A614" s="11">
        <f>IF($B614="","",COUNTA($B$9:$B614))</f>
        <v/>
      </c>
      <c r="B614" s="12" t="n"/>
      <c r="C614" s="12" t="n"/>
      <c r="D614" s="12" t="n"/>
      <c r="E614" s="13" t="n"/>
      <c r="F614" s="11">
        <f>IF($E614="","",IFERROR(VLOOKUP($E614,OpTbl,2,0),""))</f>
        <v/>
      </c>
      <c r="G614" s="12" t="n"/>
      <c r="H614" s="11">
        <f>IF($G614="","",IFERROR(IF(VLOOKUP($G614,AcctTbl,4,0)="","(بدون نام)",VLOOKUP($G614,AcctTbl,4,0)),"کد ناشناخته"))</f>
        <v/>
      </c>
      <c r="I614" s="13" t="n"/>
      <c r="J614" s="13" t="n"/>
      <c r="K614" s="14" t="n"/>
      <c r="L614" s="14" t="n"/>
      <c r="M614" s="15">
        <f>IF(OR($B614="",$K614=""),"",($K614-IF($L614="",0,$L614)*IFERROR(VLOOKUP("P01",ParamTbl,3,0),1.5))*(1-IF(IFERROR(VLOOKUP($E614,OpTbl,3,0),"")="خرید",IFERROR(VLOOKUP("P02",ParamTbl,3,0),1),0)/100))</f>
        <v/>
      </c>
      <c r="N614" s="14" t="n"/>
      <c r="O614" s="13" t="n"/>
    </row>
    <row r="615">
      <c r="A615" s="11">
        <f>IF($B615="","",COUNTA($B$9:$B615))</f>
        <v/>
      </c>
      <c r="B615" s="12" t="n"/>
      <c r="C615" s="12" t="n"/>
      <c r="D615" s="12" t="n"/>
      <c r="E615" s="13" t="n"/>
      <c r="F615" s="11">
        <f>IF($E615="","",IFERROR(VLOOKUP($E615,OpTbl,2,0),""))</f>
        <v/>
      </c>
      <c r="G615" s="12" t="n"/>
      <c r="H615" s="11">
        <f>IF($G615="","",IFERROR(IF(VLOOKUP($G615,AcctTbl,4,0)="","(بدون نام)",VLOOKUP($G615,AcctTbl,4,0)),"کد ناشناخته"))</f>
        <v/>
      </c>
      <c r="I615" s="13" t="n"/>
      <c r="J615" s="13" t="n"/>
      <c r="K615" s="14" t="n"/>
      <c r="L615" s="14" t="n"/>
      <c r="M615" s="15">
        <f>IF(OR($B615="",$K615=""),"",($K615-IF($L615="",0,$L615)*IFERROR(VLOOKUP("P01",ParamTbl,3,0),1.5))*(1-IF(IFERROR(VLOOKUP($E615,OpTbl,3,0),"")="خرید",IFERROR(VLOOKUP("P02",ParamTbl,3,0),1),0)/100))</f>
        <v/>
      </c>
      <c r="N615" s="14" t="n"/>
      <c r="O615" s="13" t="n"/>
    </row>
    <row r="616">
      <c r="A616" s="11">
        <f>IF($B616="","",COUNTA($B$9:$B616))</f>
        <v/>
      </c>
      <c r="B616" s="12" t="n"/>
      <c r="C616" s="12" t="n"/>
      <c r="D616" s="12" t="n"/>
      <c r="E616" s="13" t="n"/>
      <c r="F616" s="11">
        <f>IF($E616="","",IFERROR(VLOOKUP($E616,OpTbl,2,0),""))</f>
        <v/>
      </c>
      <c r="G616" s="12" t="n"/>
      <c r="H616" s="11">
        <f>IF($G616="","",IFERROR(IF(VLOOKUP($G616,AcctTbl,4,0)="","(بدون نام)",VLOOKUP($G616,AcctTbl,4,0)),"کد ناشناخته"))</f>
        <v/>
      </c>
      <c r="I616" s="13" t="n"/>
      <c r="J616" s="13" t="n"/>
      <c r="K616" s="14" t="n"/>
      <c r="L616" s="14" t="n"/>
      <c r="M616" s="15">
        <f>IF(OR($B616="",$K616=""),"",($K616-IF($L616="",0,$L616)*IFERROR(VLOOKUP("P01",ParamTbl,3,0),1.5))*(1-IF(IFERROR(VLOOKUP($E616,OpTbl,3,0),"")="خرید",IFERROR(VLOOKUP("P02",ParamTbl,3,0),1),0)/100))</f>
        <v/>
      </c>
      <c r="N616" s="14" t="n"/>
      <c r="O616" s="13" t="n"/>
    </row>
    <row r="617">
      <c r="A617" s="11">
        <f>IF($B617="","",COUNTA($B$9:$B617))</f>
        <v/>
      </c>
      <c r="B617" s="12" t="n"/>
      <c r="C617" s="12" t="n"/>
      <c r="D617" s="12" t="n"/>
      <c r="E617" s="13" t="n"/>
      <c r="F617" s="11">
        <f>IF($E617="","",IFERROR(VLOOKUP($E617,OpTbl,2,0),""))</f>
        <v/>
      </c>
      <c r="G617" s="12" t="n"/>
      <c r="H617" s="11">
        <f>IF($G617="","",IFERROR(IF(VLOOKUP($G617,AcctTbl,4,0)="","(بدون نام)",VLOOKUP($G617,AcctTbl,4,0)),"کد ناشناخته"))</f>
        <v/>
      </c>
      <c r="I617" s="13" t="n"/>
      <c r="J617" s="13" t="n"/>
      <c r="K617" s="14" t="n"/>
      <c r="L617" s="14" t="n"/>
      <c r="M617" s="15">
        <f>IF(OR($B617="",$K617=""),"",($K617-IF($L617="",0,$L617)*IFERROR(VLOOKUP("P01",ParamTbl,3,0),1.5))*(1-IF(IFERROR(VLOOKUP($E617,OpTbl,3,0),"")="خرید",IFERROR(VLOOKUP("P02",ParamTbl,3,0),1),0)/100))</f>
        <v/>
      </c>
      <c r="N617" s="14" t="n"/>
      <c r="O617" s="13" t="n"/>
    </row>
    <row r="618">
      <c r="A618" s="11">
        <f>IF($B618="","",COUNTA($B$9:$B618))</f>
        <v/>
      </c>
      <c r="B618" s="12" t="n"/>
      <c r="C618" s="12" t="n"/>
      <c r="D618" s="12" t="n"/>
      <c r="E618" s="13" t="n"/>
      <c r="F618" s="11">
        <f>IF($E618="","",IFERROR(VLOOKUP($E618,OpTbl,2,0),""))</f>
        <v/>
      </c>
      <c r="G618" s="12" t="n"/>
      <c r="H618" s="11">
        <f>IF($G618="","",IFERROR(IF(VLOOKUP($G618,AcctTbl,4,0)="","(بدون نام)",VLOOKUP($G618,AcctTbl,4,0)),"کد ناشناخته"))</f>
        <v/>
      </c>
      <c r="I618" s="13" t="n"/>
      <c r="J618" s="13" t="n"/>
      <c r="K618" s="14" t="n"/>
      <c r="L618" s="14" t="n"/>
      <c r="M618" s="15">
        <f>IF(OR($B618="",$K618=""),"",($K618-IF($L618="",0,$L618)*IFERROR(VLOOKUP("P01",ParamTbl,3,0),1.5))*(1-IF(IFERROR(VLOOKUP($E618,OpTbl,3,0),"")="خرید",IFERROR(VLOOKUP("P02",ParamTbl,3,0),1),0)/100))</f>
        <v/>
      </c>
      <c r="N618" s="14" t="n"/>
      <c r="O618" s="13" t="n"/>
    </row>
    <row r="619">
      <c r="A619" s="11">
        <f>IF($B619="","",COUNTA($B$9:$B619))</f>
        <v/>
      </c>
      <c r="B619" s="12" t="n"/>
      <c r="C619" s="12" t="n"/>
      <c r="D619" s="12" t="n"/>
      <c r="E619" s="13" t="n"/>
      <c r="F619" s="11">
        <f>IF($E619="","",IFERROR(VLOOKUP($E619,OpTbl,2,0),""))</f>
        <v/>
      </c>
      <c r="G619" s="12" t="n"/>
      <c r="H619" s="11">
        <f>IF($G619="","",IFERROR(IF(VLOOKUP($G619,AcctTbl,4,0)="","(بدون نام)",VLOOKUP($G619,AcctTbl,4,0)),"کد ناشناخته"))</f>
        <v/>
      </c>
      <c r="I619" s="13" t="n"/>
      <c r="J619" s="13" t="n"/>
      <c r="K619" s="14" t="n"/>
      <c r="L619" s="14" t="n"/>
      <c r="M619" s="15">
        <f>IF(OR($B619="",$K619=""),"",($K619-IF($L619="",0,$L619)*IFERROR(VLOOKUP("P01",ParamTbl,3,0),1.5))*(1-IF(IFERROR(VLOOKUP($E619,OpTbl,3,0),"")="خرید",IFERROR(VLOOKUP("P02",ParamTbl,3,0),1),0)/100))</f>
        <v/>
      </c>
      <c r="N619" s="14" t="n"/>
      <c r="O619" s="13" t="n"/>
    </row>
    <row r="620">
      <c r="A620" s="11">
        <f>IF($B620="","",COUNTA($B$9:$B620))</f>
        <v/>
      </c>
      <c r="B620" s="12" t="n"/>
      <c r="C620" s="12" t="n"/>
      <c r="D620" s="12" t="n"/>
      <c r="E620" s="13" t="n"/>
      <c r="F620" s="11">
        <f>IF($E620="","",IFERROR(VLOOKUP($E620,OpTbl,2,0),""))</f>
        <v/>
      </c>
      <c r="G620" s="12" t="n"/>
      <c r="H620" s="11">
        <f>IF($G620="","",IFERROR(IF(VLOOKUP($G620,AcctTbl,4,0)="","(بدون نام)",VLOOKUP($G620,AcctTbl,4,0)),"کد ناشناخته"))</f>
        <v/>
      </c>
      <c r="I620" s="13" t="n"/>
      <c r="J620" s="13" t="n"/>
      <c r="K620" s="14" t="n"/>
      <c r="L620" s="14" t="n"/>
      <c r="M620" s="15">
        <f>IF(OR($B620="",$K620=""),"",($K620-IF($L620="",0,$L620)*IFERROR(VLOOKUP("P01",ParamTbl,3,0),1.5))*(1-IF(IFERROR(VLOOKUP($E620,OpTbl,3,0),"")="خرید",IFERROR(VLOOKUP("P02",ParamTbl,3,0),1),0)/100))</f>
        <v/>
      </c>
      <c r="N620" s="14" t="n"/>
      <c r="O620" s="13" t="n"/>
    </row>
    <row r="621">
      <c r="A621" s="11">
        <f>IF($B621="","",COUNTA($B$9:$B621))</f>
        <v/>
      </c>
      <c r="B621" s="12" t="n"/>
      <c r="C621" s="12" t="n"/>
      <c r="D621" s="12" t="n"/>
      <c r="E621" s="13" t="n"/>
      <c r="F621" s="11">
        <f>IF($E621="","",IFERROR(VLOOKUP($E621,OpTbl,2,0),""))</f>
        <v/>
      </c>
      <c r="G621" s="12" t="n"/>
      <c r="H621" s="11">
        <f>IF($G621="","",IFERROR(IF(VLOOKUP($G621,AcctTbl,4,0)="","(بدون نام)",VLOOKUP($G621,AcctTbl,4,0)),"کد ناشناخته"))</f>
        <v/>
      </c>
      <c r="I621" s="13" t="n"/>
      <c r="J621" s="13" t="n"/>
      <c r="K621" s="14" t="n"/>
      <c r="L621" s="14" t="n"/>
      <c r="M621" s="15">
        <f>IF(OR($B621="",$K621=""),"",($K621-IF($L621="",0,$L621)*IFERROR(VLOOKUP("P01",ParamTbl,3,0),1.5))*(1-IF(IFERROR(VLOOKUP($E621,OpTbl,3,0),"")="خرید",IFERROR(VLOOKUP("P02",ParamTbl,3,0),1),0)/100))</f>
        <v/>
      </c>
      <c r="N621" s="14" t="n"/>
      <c r="O621" s="13" t="n"/>
    </row>
    <row r="622">
      <c r="A622" s="11">
        <f>IF($B622="","",COUNTA($B$9:$B622))</f>
        <v/>
      </c>
      <c r="B622" s="12" t="n"/>
      <c r="C622" s="12" t="n"/>
      <c r="D622" s="12" t="n"/>
      <c r="E622" s="13" t="n"/>
      <c r="F622" s="11">
        <f>IF($E622="","",IFERROR(VLOOKUP($E622,OpTbl,2,0),""))</f>
        <v/>
      </c>
      <c r="G622" s="12" t="n"/>
      <c r="H622" s="11">
        <f>IF($G622="","",IFERROR(IF(VLOOKUP($G622,AcctTbl,4,0)="","(بدون نام)",VLOOKUP($G622,AcctTbl,4,0)),"کد ناشناخته"))</f>
        <v/>
      </c>
      <c r="I622" s="13" t="n"/>
      <c r="J622" s="13" t="n"/>
      <c r="K622" s="14" t="n"/>
      <c r="L622" s="14" t="n"/>
      <c r="M622" s="15">
        <f>IF(OR($B622="",$K622=""),"",($K622-IF($L622="",0,$L622)*IFERROR(VLOOKUP("P01",ParamTbl,3,0),1.5))*(1-IF(IFERROR(VLOOKUP($E622,OpTbl,3,0),"")="خرید",IFERROR(VLOOKUP("P02",ParamTbl,3,0),1),0)/100))</f>
        <v/>
      </c>
      <c r="N622" s="14" t="n"/>
      <c r="O622" s="13" t="n"/>
    </row>
    <row r="623">
      <c r="A623" s="11">
        <f>IF($B623="","",COUNTA($B$9:$B623))</f>
        <v/>
      </c>
      <c r="B623" s="12" t="n"/>
      <c r="C623" s="12" t="n"/>
      <c r="D623" s="12" t="n"/>
      <c r="E623" s="13" t="n"/>
      <c r="F623" s="11">
        <f>IF($E623="","",IFERROR(VLOOKUP($E623,OpTbl,2,0),""))</f>
        <v/>
      </c>
      <c r="G623" s="12" t="n"/>
      <c r="H623" s="11">
        <f>IF($G623="","",IFERROR(IF(VLOOKUP($G623,AcctTbl,4,0)="","(بدون نام)",VLOOKUP($G623,AcctTbl,4,0)),"کد ناشناخته"))</f>
        <v/>
      </c>
      <c r="I623" s="13" t="n"/>
      <c r="J623" s="13" t="n"/>
      <c r="K623" s="14" t="n"/>
      <c r="L623" s="14" t="n"/>
      <c r="M623" s="15">
        <f>IF(OR($B623="",$K623=""),"",($K623-IF($L623="",0,$L623)*IFERROR(VLOOKUP("P01",ParamTbl,3,0),1.5))*(1-IF(IFERROR(VLOOKUP($E623,OpTbl,3,0),"")="خرید",IFERROR(VLOOKUP("P02",ParamTbl,3,0),1),0)/100))</f>
        <v/>
      </c>
      <c r="N623" s="14" t="n"/>
      <c r="O623" s="13" t="n"/>
    </row>
    <row r="624">
      <c r="A624" s="11">
        <f>IF($B624="","",COUNTA($B$9:$B624))</f>
        <v/>
      </c>
      <c r="B624" s="12" t="n"/>
      <c r="C624" s="12" t="n"/>
      <c r="D624" s="12" t="n"/>
      <c r="E624" s="13" t="n"/>
      <c r="F624" s="11">
        <f>IF($E624="","",IFERROR(VLOOKUP($E624,OpTbl,2,0),""))</f>
        <v/>
      </c>
      <c r="G624" s="12" t="n"/>
      <c r="H624" s="11">
        <f>IF($G624="","",IFERROR(IF(VLOOKUP($G624,AcctTbl,4,0)="","(بدون نام)",VLOOKUP($G624,AcctTbl,4,0)),"کد ناشناخته"))</f>
        <v/>
      </c>
      <c r="I624" s="13" t="n"/>
      <c r="J624" s="13" t="n"/>
      <c r="K624" s="14" t="n"/>
      <c r="L624" s="14" t="n"/>
      <c r="M624" s="15">
        <f>IF(OR($B624="",$K624=""),"",($K624-IF($L624="",0,$L624)*IFERROR(VLOOKUP("P01",ParamTbl,3,0),1.5))*(1-IF(IFERROR(VLOOKUP($E624,OpTbl,3,0),"")="خرید",IFERROR(VLOOKUP("P02",ParamTbl,3,0),1),0)/100))</f>
        <v/>
      </c>
      <c r="N624" s="14" t="n"/>
      <c r="O624" s="13" t="n"/>
    </row>
    <row r="625">
      <c r="A625" s="11">
        <f>IF($B625="","",COUNTA($B$9:$B625))</f>
        <v/>
      </c>
      <c r="B625" s="12" t="n"/>
      <c r="C625" s="12" t="n"/>
      <c r="D625" s="12" t="n"/>
      <c r="E625" s="13" t="n"/>
      <c r="F625" s="11">
        <f>IF($E625="","",IFERROR(VLOOKUP($E625,OpTbl,2,0),""))</f>
        <v/>
      </c>
      <c r="G625" s="12" t="n"/>
      <c r="H625" s="11">
        <f>IF($G625="","",IFERROR(IF(VLOOKUP($G625,AcctTbl,4,0)="","(بدون نام)",VLOOKUP($G625,AcctTbl,4,0)),"کد ناشناخته"))</f>
        <v/>
      </c>
      <c r="I625" s="13" t="n"/>
      <c r="J625" s="13" t="n"/>
      <c r="K625" s="14" t="n"/>
      <c r="L625" s="14" t="n"/>
      <c r="M625" s="15">
        <f>IF(OR($B625="",$K625=""),"",($K625-IF($L625="",0,$L625)*IFERROR(VLOOKUP("P01",ParamTbl,3,0),1.5))*(1-IF(IFERROR(VLOOKUP($E625,OpTbl,3,0),"")="خرید",IFERROR(VLOOKUP("P02",ParamTbl,3,0),1),0)/100))</f>
        <v/>
      </c>
      <c r="N625" s="14" t="n"/>
      <c r="O625" s="13" t="n"/>
    </row>
    <row r="626">
      <c r="A626" s="11">
        <f>IF($B626="","",COUNTA($B$9:$B626))</f>
        <v/>
      </c>
      <c r="B626" s="12" t="n"/>
      <c r="C626" s="12" t="n"/>
      <c r="D626" s="12" t="n"/>
      <c r="E626" s="13" t="n"/>
      <c r="F626" s="11">
        <f>IF($E626="","",IFERROR(VLOOKUP($E626,OpTbl,2,0),""))</f>
        <v/>
      </c>
      <c r="G626" s="12" t="n"/>
      <c r="H626" s="11">
        <f>IF($G626="","",IFERROR(IF(VLOOKUP($G626,AcctTbl,4,0)="","(بدون نام)",VLOOKUP($G626,AcctTbl,4,0)),"کد ناشناخته"))</f>
        <v/>
      </c>
      <c r="I626" s="13" t="n"/>
      <c r="J626" s="13" t="n"/>
      <c r="K626" s="14" t="n"/>
      <c r="L626" s="14" t="n"/>
      <c r="M626" s="15">
        <f>IF(OR($B626="",$K626=""),"",($K626-IF($L626="",0,$L626)*IFERROR(VLOOKUP("P01",ParamTbl,3,0),1.5))*(1-IF(IFERROR(VLOOKUP($E626,OpTbl,3,0),"")="خرید",IFERROR(VLOOKUP("P02",ParamTbl,3,0),1),0)/100))</f>
        <v/>
      </c>
      <c r="N626" s="14" t="n"/>
      <c r="O626" s="13" t="n"/>
    </row>
    <row r="627">
      <c r="A627" s="11">
        <f>IF($B627="","",COUNTA($B$9:$B627))</f>
        <v/>
      </c>
      <c r="B627" s="12" t="n"/>
      <c r="C627" s="12" t="n"/>
      <c r="D627" s="12" t="n"/>
      <c r="E627" s="13" t="n"/>
      <c r="F627" s="11">
        <f>IF($E627="","",IFERROR(VLOOKUP($E627,OpTbl,2,0),""))</f>
        <v/>
      </c>
      <c r="G627" s="12" t="n"/>
      <c r="H627" s="11">
        <f>IF($G627="","",IFERROR(IF(VLOOKUP($G627,AcctTbl,4,0)="","(بدون نام)",VLOOKUP($G627,AcctTbl,4,0)),"کد ناشناخته"))</f>
        <v/>
      </c>
      <c r="I627" s="13" t="n"/>
      <c r="J627" s="13" t="n"/>
      <c r="K627" s="14" t="n"/>
      <c r="L627" s="14" t="n"/>
      <c r="M627" s="15">
        <f>IF(OR($B627="",$K627=""),"",($K627-IF($L627="",0,$L627)*IFERROR(VLOOKUP("P01",ParamTbl,3,0),1.5))*(1-IF(IFERROR(VLOOKUP($E627,OpTbl,3,0),"")="خرید",IFERROR(VLOOKUP("P02",ParamTbl,3,0),1),0)/100))</f>
        <v/>
      </c>
      <c r="N627" s="14" t="n"/>
      <c r="O627" s="13" t="n"/>
    </row>
    <row r="628">
      <c r="A628" s="11">
        <f>IF($B628="","",COUNTA($B$9:$B628))</f>
        <v/>
      </c>
      <c r="B628" s="12" t="n"/>
      <c r="C628" s="12" t="n"/>
      <c r="D628" s="12" t="n"/>
      <c r="E628" s="13" t="n"/>
      <c r="F628" s="11">
        <f>IF($E628="","",IFERROR(VLOOKUP($E628,OpTbl,2,0),""))</f>
        <v/>
      </c>
      <c r="G628" s="12" t="n"/>
      <c r="H628" s="11">
        <f>IF($G628="","",IFERROR(IF(VLOOKUP($G628,AcctTbl,4,0)="","(بدون نام)",VLOOKUP($G628,AcctTbl,4,0)),"کد ناشناخته"))</f>
        <v/>
      </c>
      <c r="I628" s="13" t="n"/>
      <c r="J628" s="13" t="n"/>
      <c r="K628" s="14" t="n"/>
      <c r="L628" s="14" t="n"/>
      <c r="M628" s="15">
        <f>IF(OR($B628="",$K628=""),"",($K628-IF($L628="",0,$L628)*IFERROR(VLOOKUP("P01",ParamTbl,3,0),1.5))*(1-IF(IFERROR(VLOOKUP($E628,OpTbl,3,0),"")="خرید",IFERROR(VLOOKUP("P02",ParamTbl,3,0),1),0)/100))</f>
        <v/>
      </c>
      <c r="N628" s="14" t="n"/>
      <c r="O628" s="13" t="n"/>
    </row>
    <row r="629">
      <c r="A629" s="11">
        <f>IF($B629="","",COUNTA($B$9:$B629))</f>
        <v/>
      </c>
      <c r="B629" s="12" t="n"/>
      <c r="C629" s="12" t="n"/>
      <c r="D629" s="12" t="n"/>
      <c r="E629" s="13" t="n"/>
      <c r="F629" s="11">
        <f>IF($E629="","",IFERROR(VLOOKUP($E629,OpTbl,2,0),""))</f>
        <v/>
      </c>
      <c r="G629" s="12" t="n"/>
      <c r="H629" s="11">
        <f>IF($G629="","",IFERROR(IF(VLOOKUP($G629,AcctTbl,4,0)="","(بدون نام)",VLOOKUP($G629,AcctTbl,4,0)),"کد ناشناخته"))</f>
        <v/>
      </c>
      <c r="I629" s="13" t="n"/>
      <c r="J629" s="13" t="n"/>
      <c r="K629" s="14" t="n"/>
      <c r="L629" s="14" t="n"/>
      <c r="M629" s="15">
        <f>IF(OR($B629="",$K629=""),"",($K629-IF($L629="",0,$L629)*IFERROR(VLOOKUP("P01",ParamTbl,3,0),1.5))*(1-IF(IFERROR(VLOOKUP($E629,OpTbl,3,0),"")="خرید",IFERROR(VLOOKUP("P02",ParamTbl,3,0),1),0)/100))</f>
        <v/>
      </c>
      <c r="N629" s="14" t="n"/>
      <c r="O629" s="13" t="n"/>
    </row>
    <row r="630">
      <c r="A630" s="11">
        <f>IF($B630="","",COUNTA($B$9:$B630))</f>
        <v/>
      </c>
      <c r="B630" s="12" t="n"/>
      <c r="C630" s="12" t="n"/>
      <c r="D630" s="12" t="n"/>
      <c r="E630" s="13" t="n"/>
      <c r="F630" s="11">
        <f>IF($E630="","",IFERROR(VLOOKUP($E630,OpTbl,2,0),""))</f>
        <v/>
      </c>
      <c r="G630" s="12" t="n"/>
      <c r="H630" s="11">
        <f>IF($G630="","",IFERROR(IF(VLOOKUP($G630,AcctTbl,4,0)="","(بدون نام)",VLOOKUP($G630,AcctTbl,4,0)),"کد ناشناخته"))</f>
        <v/>
      </c>
      <c r="I630" s="13" t="n"/>
      <c r="J630" s="13" t="n"/>
      <c r="K630" s="14" t="n"/>
      <c r="L630" s="14" t="n"/>
      <c r="M630" s="15">
        <f>IF(OR($B630="",$K630=""),"",($K630-IF($L630="",0,$L630)*IFERROR(VLOOKUP("P01",ParamTbl,3,0),1.5))*(1-IF(IFERROR(VLOOKUP($E630,OpTbl,3,0),"")="خرید",IFERROR(VLOOKUP("P02",ParamTbl,3,0),1),0)/100))</f>
        <v/>
      </c>
      <c r="N630" s="14" t="n"/>
      <c r="O630" s="13" t="n"/>
    </row>
    <row r="631">
      <c r="A631" s="11">
        <f>IF($B631="","",COUNTA($B$9:$B631))</f>
        <v/>
      </c>
      <c r="B631" s="12" t="n"/>
      <c r="C631" s="12" t="n"/>
      <c r="D631" s="12" t="n"/>
      <c r="E631" s="13" t="n"/>
      <c r="F631" s="11">
        <f>IF($E631="","",IFERROR(VLOOKUP($E631,OpTbl,2,0),""))</f>
        <v/>
      </c>
      <c r="G631" s="12" t="n"/>
      <c r="H631" s="11">
        <f>IF($G631="","",IFERROR(IF(VLOOKUP($G631,AcctTbl,4,0)="","(بدون نام)",VLOOKUP($G631,AcctTbl,4,0)),"کد ناشناخته"))</f>
        <v/>
      </c>
      <c r="I631" s="13" t="n"/>
      <c r="J631" s="13" t="n"/>
      <c r="K631" s="14" t="n"/>
      <c r="L631" s="14" t="n"/>
      <c r="M631" s="15">
        <f>IF(OR($B631="",$K631=""),"",($K631-IF($L631="",0,$L631)*IFERROR(VLOOKUP("P01",ParamTbl,3,0),1.5))*(1-IF(IFERROR(VLOOKUP($E631,OpTbl,3,0),"")="خرید",IFERROR(VLOOKUP("P02",ParamTbl,3,0),1),0)/100))</f>
        <v/>
      </c>
      <c r="N631" s="14" t="n"/>
      <c r="O631" s="13" t="n"/>
    </row>
    <row r="632">
      <c r="A632" s="11">
        <f>IF($B632="","",COUNTA($B$9:$B632))</f>
        <v/>
      </c>
      <c r="B632" s="12" t="n"/>
      <c r="C632" s="12" t="n"/>
      <c r="D632" s="12" t="n"/>
      <c r="E632" s="13" t="n"/>
      <c r="F632" s="11">
        <f>IF($E632="","",IFERROR(VLOOKUP($E632,OpTbl,2,0),""))</f>
        <v/>
      </c>
      <c r="G632" s="12" t="n"/>
      <c r="H632" s="11">
        <f>IF($G632="","",IFERROR(IF(VLOOKUP($G632,AcctTbl,4,0)="","(بدون نام)",VLOOKUP($G632,AcctTbl,4,0)),"کد ناشناخته"))</f>
        <v/>
      </c>
      <c r="I632" s="13" t="n"/>
      <c r="J632" s="13" t="n"/>
      <c r="K632" s="14" t="n"/>
      <c r="L632" s="14" t="n"/>
      <c r="M632" s="15">
        <f>IF(OR($B632="",$K632=""),"",($K632-IF($L632="",0,$L632)*IFERROR(VLOOKUP("P01",ParamTbl,3,0),1.5))*(1-IF(IFERROR(VLOOKUP($E632,OpTbl,3,0),"")="خرید",IFERROR(VLOOKUP("P02",ParamTbl,3,0),1),0)/100))</f>
        <v/>
      </c>
      <c r="N632" s="14" t="n"/>
      <c r="O632" s="13" t="n"/>
    </row>
    <row r="633">
      <c r="A633" s="11">
        <f>IF($B633="","",COUNTA($B$9:$B633))</f>
        <v/>
      </c>
      <c r="B633" s="12" t="n"/>
      <c r="C633" s="12" t="n"/>
      <c r="D633" s="12" t="n"/>
      <c r="E633" s="13" t="n"/>
      <c r="F633" s="11">
        <f>IF($E633="","",IFERROR(VLOOKUP($E633,OpTbl,2,0),""))</f>
        <v/>
      </c>
      <c r="G633" s="12" t="n"/>
      <c r="H633" s="11">
        <f>IF($G633="","",IFERROR(IF(VLOOKUP($G633,AcctTbl,4,0)="","(بدون نام)",VLOOKUP($G633,AcctTbl,4,0)),"کد ناشناخته"))</f>
        <v/>
      </c>
      <c r="I633" s="13" t="n"/>
      <c r="J633" s="13" t="n"/>
      <c r="K633" s="14" t="n"/>
      <c r="L633" s="14" t="n"/>
      <c r="M633" s="15">
        <f>IF(OR($B633="",$K633=""),"",($K633-IF($L633="",0,$L633)*IFERROR(VLOOKUP("P01",ParamTbl,3,0),1.5))*(1-IF(IFERROR(VLOOKUP($E633,OpTbl,3,0),"")="خرید",IFERROR(VLOOKUP("P02",ParamTbl,3,0),1),0)/100))</f>
        <v/>
      </c>
      <c r="N633" s="14" t="n"/>
      <c r="O633" s="13" t="n"/>
    </row>
    <row r="634">
      <c r="A634" s="11">
        <f>IF($B634="","",COUNTA($B$9:$B634))</f>
        <v/>
      </c>
      <c r="B634" s="12" t="n"/>
      <c r="C634" s="12" t="n"/>
      <c r="D634" s="12" t="n"/>
      <c r="E634" s="13" t="n"/>
      <c r="F634" s="11">
        <f>IF($E634="","",IFERROR(VLOOKUP($E634,OpTbl,2,0),""))</f>
        <v/>
      </c>
      <c r="G634" s="12" t="n"/>
      <c r="H634" s="11">
        <f>IF($G634="","",IFERROR(IF(VLOOKUP($G634,AcctTbl,4,0)="","(بدون نام)",VLOOKUP($G634,AcctTbl,4,0)),"کد ناشناخته"))</f>
        <v/>
      </c>
      <c r="I634" s="13" t="n"/>
      <c r="J634" s="13" t="n"/>
      <c r="K634" s="14" t="n"/>
      <c r="L634" s="14" t="n"/>
      <c r="M634" s="15">
        <f>IF(OR($B634="",$K634=""),"",($K634-IF($L634="",0,$L634)*IFERROR(VLOOKUP("P01",ParamTbl,3,0),1.5))*(1-IF(IFERROR(VLOOKUP($E634,OpTbl,3,0),"")="خرید",IFERROR(VLOOKUP("P02",ParamTbl,3,0),1),0)/100))</f>
        <v/>
      </c>
      <c r="N634" s="14" t="n"/>
      <c r="O634" s="13" t="n"/>
    </row>
    <row r="635">
      <c r="A635" s="11">
        <f>IF($B635="","",COUNTA($B$9:$B635))</f>
        <v/>
      </c>
      <c r="B635" s="12" t="n"/>
      <c r="C635" s="12" t="n"/>
      <c r="D635" s="12" t="n"/>
      <c r="E635" s="13" t="n"/>
      <c r="F635" s="11">
        <f>IF($E635="","",IFERROR(VLOOKUP($E635,OpTbl,2,0),""))</f>
        <v/>
      </c>
      <c r="G635" s="12" t="n"/>
      <c r="H635" s="11">
        <f>IF($G635="","",IFERROR(IF(VLOOKUP($G635,AcctTbl,4,0)="","(بدون نام)",VLOOKUP($G635,AcctTbl,4,0)),"کد ناشناخته"))</f>
        <v/>
      </c>
      <c r="I635" s="13" t="n"/>
      <c r="J635" s="13" t="n"/>
      <c r="K635" s="14" t="n"/>
      <c r="L635" s="14" t="n"/>
      <c r="M635" s="15">
        <f>IF(OR($B635="",$K635=""),"",($K635-IF($L635="",0,$L635)*IFERROR(VLOOKUP("P01",ParamTbl,3,0),1.5))*(1-IF(IFERROR(VLOOKUP($E635,OpTbl,3,0),"")="خرید",IFERROR(VLOOKUP("P02",ParamTbl,3,0),1),0)/100))</f>
        <v/>
      </c>
      <c r="N635" s="14" t="n"/>
      <c r="O635" s="13" t="n"/>
    </row>
    <row r="636">
      <c r="A636" s="11">
        <f>IF($B636="","",COUNTA($B$9:$B636))</f>
        <v/>
      </c>
      <c r="B636" s="12" t="n"/>
      <c r="C636" s="12" t="n"/>
      <c r="D636" s="12" t="n"/>
      <c r="E636" s="13" t="n"/>
      <c r="F636" s="11">
        <f>IF($E636="","",IFERROR(VLOOKUP($E636,OpTbl,2,0),""))</f>
        <v/>
      </c>
      <c r="G636" s="12" t="n"/>
      <c r="H636" s="11">
        <f>IF($G636="","",IFERROR(IF(VLOOKUP($G636,AcctTbl,4,0)="","(بدون نام)",VLOOKUP($G636,AcctTbl,4,0)),"کد ناشناخته"))</f>
        <v/>
      </c>
      <c r="I636" s="13" t="n"/>
      <c r="J636" s="13" t="n"/>
      <c r="K636" s="14" t="n"/>
      <c r="L636" s="14" t="n"/>
      <c r="M636" s="15">
        <f>IF(OR($B636="",$K636=""),"",($K636-IF($L636="",0,$L636)*IFERROR(VLOOKUP("P01",ParamTbl,3,0),1.5))*(1-IF(IFERROR(VLOOKUP($E636,OpTbl,3,0),"")="خرید",IFERROR(VLOOKUP("P02",ParamTbl,3,0),1),0)/100))</f>
        <v/>
      </c>
      <c r="N636" s="14" t="n"/>
      <c r="O636" s="13" t="n"/>
    </row>
    <row r="637">
      <c r="A637" s="11">
        <f>IF($B637="","",COUNTA($B$9:$B637))</f>
        <v/>
      </c>
      <c r="B637" s="12" t="n"/>
      <c r="C637" s="12" t="n"/>
      <c r="D637" s="12" t="n"/>
      <c r="E637" s="13" t="n"/>
      <c r="F637" s="11">
        <f>IF($E637="","",IFERROR(VLOOKUP($E637,OpTbl,2,0),""))</f>
        <v/>
      </c>
      <c r="G637" s="12" t="n"/>
      <c r="H637" s="11">
        <f>IF($G637="","",IFERROR(IF(VLOOKUP($G637,AcctTbl,4,0)="","(بدون نام)",VLOOKUP($G637,AcctTbl,4,0)),"کد ناشناخته"))</f>
        <v/>
      </c>
      <c r="I637" s="13" t="n"/>
      <c r="J637" s="13" t="n"/>
      <c r="K637" s="14" t="n"/>
      <c r="L637" s="14" t="n"/>
      <c r="M637" s="15">
        <f>IF(OR($B637="",$K637=""),"",($K637-IF($L637="",0,$L637)*IFERROR(VLOOKUP("P01",ParamTbl,3,0),1.5))*(1-IF(IFERROR(VLOOKUP($E637,OpTbl,3,0),"")="خرید",IFERROR(VLOOKUP("P02",ParamTbl,3,0),1),0)/100))</f>
        <v/>
      </c>
      <c r="N637" s="14" t="n"/>
      <c r="O637" s="13" t="n"/>
    </row>
    <row r="638">
      <c r="A638" s="11">
        <f>IF($B638="","",COUNTA($B$9:$B638))</f>
        <v/>
      </c>
      <c r="B638" s="12" t="n"/>
      <c r="C638" s="12" t="n"/>
      <c r="D638" s="12" t="n"/>
      <c r="E638" s="13" t="n"/>
      <c r="F638" s="11">
        <f>IF($E638="","",IFERROR(VLOOKUP($E638,OpTbl,2,0),""))</f>
        <v/>
      </c>
      <c r="G638" s="12" t="n"/>
      <c r="H638" s="11">
        <f>IF($G638="","",IFERROR(IF(VLOOKUP($G638,AcctTbl,4,0)="","(بدون نام)",VLOOKUP($G638,AcctTbl,4,0)),"کد ناشناخته"))</f>
        <v/>
      </c>
      <c r="I638" s="13" t="n"/>
      <c r="J638" s="13" t="n"/>
      <c r="K638" s="14" t="n"/>
      <c r="L638" s="14" t="n"/>
      <c r="M638" s="15">
        <f>IF(OR($B638="",$K638=""),"",($K638-IF($L638="",0,$L638)*IFERROR(VLOOKUP("P01",ParamTbl,3,0),1.5))*(1-IF(IFERROR(VLOOKUP($E638,OpTbl,3,0),"")="خرید",IFERROR(VLOOKUP("P02",ParamTbl,3,0),1),0)/100))</f>
        <v/>
      </c>
      <c r="N638" s="14" t="n"/>
      <c r="O638" s="13" t="n"/>
    </row>
    <row r="639">
      <c r="A639" s="11">
        <f>IF($B639="","",COUNTA($B$9:$B639))</f>
        <v/>
      </c>
      <c r="B639" s="12" t="n"/>
      <c r="C639" s="12" t="n"/>
      <c r="D639" s="12" t="n"/>
      <c r="E639" s="13" t="n"/>
      <c r="F639" s="11">
        <f>IF($E639="","",IFERROR(VLOOKUP($E639,OpTbl,2,0),""))</f>
        <v/>
      </c>
      <c r="G639" s="12" t="n"/>
      <c r="H639" s="11">
        <f>IF($G639="","",IFERROR(IF(VLOOKUP($G639,AcctTbl,4,0)="","(بدون نام)",VLOOKUP($G639,AcctTbl,4,0)),"کد ناشناخته"))</f>
        <v/>
      </c>
      <c r="I639" s="13" t="n"/>
      <c r="J639" s="13" t="n"/>
      <c r="K639" s="14" t="n"/>
      <c r="L639" s="14" t="n"/>
      <c r="M639" s="15">
        <f>IF(OR($B639="",$K639=""),"",($K639-IF($L639="",0,$L639)*IFERROR(VLOOKUP("P01",ParamTbl,3,0),1.5))*(1-IF(IFERROR(VLOOKUP($E639,OpTbl,3,0),"")="خرید",IFERROR(VLOOKUP("P02",ParamTbl,3,0),1),0)/100))</f>
        <v/>
      </c>
      <c r="N639" s="14" t="n"/>
      <c r="O639" s="13" t="n"/>
    </row>
    <row r="640">
      <c r="A640" s="11">
        <f>IF($B640="","",COUNTA($B$9:$B640))</f>
        <v/>
      </c>
      <c r="B640" s="12" t="n"/>
      <c r="C640" s="12" t="n"/>
      <c r="D640" s="12" t="n"/>
      <c r="E640" s="13" t="n"/>
      <c r="F640" s="11">
        <f>IF($E640="","",IFERROR(VLOOKUP($E640,OpTbl,2,0),""))</f>
        <v/>
      </c>
      <c r="G640" s="12" t="n"/>
      <c r="H640" s="11">
        <f>IF($G640="","",IFERROR(IF(VLOOKUP($G640,AcctTbl,4,0)="","(بدون نام)",VLOOKUP($G640,AcctTbl,4,0)),"کد ناشناخته"))</f>
        <v/>
      </c>
      <c r="I640" s="13" t="n"/>
      <c r="J640" s="13" t="n"/>
      <c r="K640" s="14" t="n"/>
      <c r="L640" s="14" t="n"/>
      <c r="M640" s="15">
        <f>IF(OR($B640="",$K640=""),"",($K640-IF($L640="",0,$L640)*IFERROR(VLOOKUP("P01",ParamTbl,3,0),1.5))*(1-IF(IFERROR(VLOOKUP($E640,OpTbl,3,0),"")="خرید",IFERROR(VLOOKUP("P02",ParamTbl,3,0),1),0)/100))</f>
        <v/>
      </c>
      <c r="N640" s="14" t="n"/>
      <c r="O640" s="13" t="n"/>
    </row>
    <row r="641">
      <c r="A641" s="11">
        <f>IF($B641="","",COUNTA($B$9:$B641))</f>
        <v/>
      </c>
      <c r="B641" s="12" t="n"/>
      <c r="C641" s="12" t="n"/>
      <c r="D641" s="12" t="n"/>
      <c r="E641" s="13" t="n"/>
      <c r="F641" s="11">
        <f>IF($E641="","",IFERROR(VLOOKUP($E641,OpTbl,2,0),""))</f>
        <v/>
      </c>
      <c r="G641" s="12" t="n"/>
      <c r="H641" s="11">
        <f>IF($G641="","",IFERROR(IF(VLOOKUP($G641,AcctTbl,4,0)="","(بدون نام)",VLOOKUP($G641,AcctTbl,4,0)),"کد ناشناخته"))</f>
        <v/>
      </c>
      <c r="I641" s="13" t="n"/>
      <c r="J641" s="13" t="n"/>
      <c r="K641" s="14" t="n"/>
      <c r="L641" s="14" t="n"/>
      <c r="M641" s="15">
        <f>IF(OR($B641="",$K641=""),"",($K641-IF($L641="",0,$L641)*IFERROR(VLOOKUP("P01",ParamTbl,3,0),1.5))*(1-IF(IFERROR(VLOOKUP($E641,OpTbl,3,0),"")="خرید",IFERROR(VLOOKUP("P02",ParamTbl,3,0),1),0)/100))</f>
        <v/>
      </c>
      <c r="N641" s="14" t="n"/>
      <c r="O641" s="13" t="n"/>
    </row>
    <row r="642">
      <c r="A642" s="11">
        <f>IF($B642="","",COUNTA($B$9:$B642))</f>
        <v/>
      </c>
      <c r="B642" s="12" t="n"/>
      <c r="C642" s="12" t="n"/>
      <c r="D642" s="12" t="n"/>
      <c r="E642" s="13" t="n"/>
      <c r="F642" s="11">
        <f>IF($E642="","",IFERROR(VLOOKUP($E642,OpTbl,2,0),""))</f>
        <v/>
      </c>
      <c r="G642" s="12" t="n"/>
      <c r="H642" s="11">
        <f>IF($G642="","",IFERROR(IF(VLOOKUP($G642,AcctTbl,4,0)="","(بدون نام)",VLOOKUP($G642,AcctTbl,4,0)),"کد ناشناخته"))</f>
        <v/>
      </c>
      <c r="I642" s="13" t="n"/>
      <c r="J642" s="13" t="n"/>
      <c r="K642" s="14" t="n"/>
      <c r="L642" s="14" t="n"/>
      <c r="M642" s="15">
        <f>IF(OR($B642="",$K642=""),"",($K642-IF($L642="",0,$L642)*IFERROR(VLOOKUP("P01",ParamTbl,3,0),1.5))*(1-IF(IFERROR(VLOOKUP($E642,OpTbl,3,0),"")="خرید",IFERROR(VLOOKUP("P02",ParamTbl,3,0),1),0)/100))</f>
        <v/>
      </c>
      <c r="N642" s="14" t="n"/>
      <c r="O642" s="13" t="n"/>
    </row>
    <row r="643">
      <c r="A643" s="11">
        <f>IF($B643="","",COUNTA($B$9:$B643))</f>
        <v/>
      </c>
      <c r="B643" s="12" t="n"/>
      <c r="C643" s="12" t="n"/>
      <c r="D643" s="12" t="n"/>
      <c r="E643" s="13" t="n"/>
      <c r="F643" s="11">
        <f>IF($E643="","",IFERROR(VLOOKUP($E643,OpTbl,2,0),""))</f>
        <v/>
      </c>
      <c r="G643" s="12" t="n"/>
      <c r="H643" s="11">
        <f>IF($G643="","",IFERROR(IF(VLOOKUP($G643,AcctTbl,4,0)="","(بدون نام)",VLOOKUP($G643,AcctTbl,4,0)),"کد ناشناخته"))</f>
        <v/>
      </c>
      <c r="I643" s="13" t="n"/>
      <c r="J643" s="13" t="n"/>
      <c r="K643" s="14" t="n"/>
      <c r="L643" s="14" t="n"/>
      <c r="M643" s="15">
        <f>IF(OR($B643="",$K643=""),"",($K643-IF($L643="",0,$L643)*IFERROR(VLOOKUP("P01",ParamTbl,3,0),1.5))*(1-IF(IFERROR(VLOOKUP($E643,OpTbl,3,0),"")="خرید",IFERROR(VLOOKUP("P02",ParamTbl,3,0),1),0)/100))</f>
        <v/>
      </c>
      <c r="N643" s="14" t="n"/>
      <c r="O643" s="13" t="n"/>
    </row>
    <row r="644">
      <c r="A644" s="11">
        <f>IF($B644="","",COUNTA($B$9:$B644))</f>
        <v/>
      </c>
      <c r="B644" s="12" t="n"/>
      <c r="C644" s="12" t="n"/>
      <c r="D644" s="12" t="n"/>
      <c r="E644" s="13" t="n"/>
      <c r="F644" s="11">
        <f>IF($E644="","",IFERROR(VLOOKUP($E644,OpTbl,2,0),""))</f>
        <v/>
      </c>
      <c r="G644" s="12" t="n"/>
      <c r="H644" s="11">
        <f>IF($G644="","",IFERROR(IF(VLOOKUP($G644,AcctTbl,4,0)="","(بدون نام)",VLOOKUP($G644,AcctTbl,4,0)),"کد ناشناخته"))</f>
        <v/>
      </c>
      <c r="I644" s="13" t="n"/>
      <c r="J644" s="13" t="n"/>
      <c r="K644" s="14" t="n"/>
      <c r="L644" s="14" t="n"/>
      <c r="M644" s="15">
        <f>IF(OR($B644="",$K644=""),"",($K644-IF($L644="",0,$L644)*IFERROR(VLOOKUP("P01",ParamTbl,3,0),1.5))*(1-IF(IFERROR(VLOOKUP($E644,OpTbl,3,0),"")="خرید",IFERROR(VLOOKUP("P02",ParamTbl,3,0),1),0)/100))</f>
        <v/>
      </c>
      <c r="N644" s="14" t="n"/>
      <c r="O644" s="13" t="n"/>
    </row>
    <row r="645">
      <c r="A645" s="11">
        <f>IF($B645="","",COUNTA($B$9:$B645))</f>
        <v/>
      </c>
      <c r="B645" s="12" t="n"/>
      <c r="C645" s="12" t="n"/>
      <c r="D645" s="12" t="n"/>
      <c r="E645" s="13" t="n"/>
      <c r="F645" s="11">
        <f>IF($E645="","",IFERROR(VLOOKUP($E645,OpTbl,2,0),""))</f>
        <v/>
      </c>
      <c r="G645" s="12" t="n"/>
      <c r="H645" s="11">
        <f>IF($G645="","",IFERROR(IF(VLOOKUP($G645,AcctTbl,4,0)="","(بدون نام)",VLOOKUP($G645,AcctTbl,4,0)),"کد ناشناخته"))</f>
        <v/>
      </c>
      <c r="I645" s="13" t="n"/>
      <c r="J645" s="13" t="n"/>
      <c r="K645" s="14" t="n"/>
      <c r="L645" s="14" t="n"/>
      <c r="M645" s="15">
        <f>IF(OR($B645="",$K645=""),"",($K645-IF($L645="",0,$L645)*IFERROR(VLOOKUP("P01",ParamTbl,3,0),1.5))*(1-IF(IFERROR(VLOOKUP($E645,OpTbl,3,0),"")="خرید",IFERROR(VLOOKUP("P02",ParamTbl,3,0),1),0)/100))</f>
        <v/>
      </c>
      <c r="N645" s="14" t="n"/>
      <c r="O645" s="13" t="n"/>
    </row>
    <row r="646">
      <c r="A646" s="11">
        <f>IF($B646="","",COUNTA($B$9:$B646))</f>
        <v/>
      </c>
      <c r="B646" s="12" t="n"/>
      <c r="C646" s="12" t="n"/>
      <c r="D646" s="12" t="n"/>
      <c r="E646" s="13" t="n"/>
      <c r="F646" s="11">
        <f>IF($E646="","",IFERROR(VLOOKUP($E646,OpTbl,2,0),""))</f>
        <v/>
      </c>
      <c r="G646" s="12" t="n"/>
      <c r="H646" s="11">
        <f>IF($G646="","",IFERROR(IF(VLOOKUP($G646,AcctTbl,4,0)="","(بدون نام)",VLOOKUP($G646,AcctTbl,4,0)),"کد ناشناخته"))</f>
        <v/>
      </c>
      <c r="I646" s="13" t="n"/>
      <c r="J646" s="13" t="n"/>
      <c r="K646" s="14" t="n"/>
      <c r="L646" s="14" t="n"/>
      <c r="M646" s="15">
        <f>IF(OR($B646="",$K646=""),"",($K646-IF($L646="",0,$L646)*IFERROR(VLOOKUP("P01",ParamTbl,3,0),1.5))*(1-IF(IFERROR(VLOOKUP($E646,OpTbl,3,0),"")="خرید",IFERROR(VLOOKUP("P02",ParamTbl,3,0),1),0)/100))</f>
        <v/>
      </c>
      <c r="N646" s="14" t="n"/>
      <c r="O646" s="13" t="n"/>
    </row>
    <row r="647">
      <c r="A647" s="11">
        <f>IF($B647="","",COUNTA($B$9:$B647))</f>
        <v/>
      </c>
      <c r="B647" s="12" t="n"/>
      <c r="C647" s="12" t="n"/>
      <c r="D647" s="12" t="n"/>
      <c r="E647" s="13" t="n"/>
      <c r="F647" s="11">
        <f>IF($E647="","",IFERROR(VLOOKUP($E647,OpTbl,2,0),""))</f>
        <v/>
      </c>
      <c r="G647" s="12" t="n"/>
      <c r="H647" s="11">
        <f>IF($G647="","",IFERROR(IF(VLOOKUP($G647,AcctTbl,4,0)="","(بدون نام)",VLOOKUP($G647,AcctTbl,4,0)),"کد ناشناخته"))</f>
        <v/>
      </c>
      <c r="I647" s="13" t="n"/>
      <c r="J647" s="13" t="n"/>
      <c r="K647" s="14" t="n"/>
      <c r="L647" s="14" t="n"/>
      <c r="M647" s="15">
        <f>IF(OR($B647="",$K647=""),"",($K647-IF($L647="",0,$L647)*IFERROR(VLOOKUP("P01",ParamTbl,3,0),1.5))*(1-IF(IFERROR(VLOOKUP($E647,OpTbl,3,0),"")="خرید",IFERROR(VLOOKUP("P02",ParamTbl,3,0),1),0)/100))</f>
        <v/>
      </c>
      <c r="N647" s="14" t="n"/>
      <c r="O647" s="13" t="n"/>
    </row>
    <row r="648">
      <c r="A648" s="11">
        <f>IF($B648="","",COUNTA($B$9:$B648))</f>
        <v/>
      </c>
      <c r="B648" s="12" t="n"/>
      <c r="C648" s="12" t="n"/>
      <c r="D648" s="12" t="n"/>
      <c r="E648" s="13" t="n"/>
      <c r="F648" s="11">
        <f>IF($E648="","",IFERROR(VLOOKUP($E648,OpTbl,2,0),""))</f>
        <v/>
      </c>
      <c r="G648" s="12" t="n"/>
      <c r="H648" s="11">
        <f>IF($G648="","",IFERROR(IF(VLOOKUP($G648,AcctTbl,4,0)="","(بدون نام)",VLOOKUP($G648,AcctTbl,4,0)),"کد ناشناخته"))</f>
        <v/>
      </c>
      <c r="I648" s="13" t="n"/>
      <c r="J648" s="13" t="n"/>
      <c r="K648" s="14" t="n"/>
      <c r="L648" s="14" t="n"/>
      <c r="M648" s="15">
        <f>IF(OR($B648="",$K648=""),"",($K648-IF($L648="",0,$L648)*IFERROR(VLOOKUP("P01",ParamTbl,3,0),1.5))*(1-IF(IFERROR(VLOOKUP($E648,OpTbl,3,0),"")="خرید",IFERROR(VLOOKUP("P02",ParamTbl,3,0),1),0)/100))</f>
        <v/>
      </c>
      <c r="N648" s="14" t="n"/>
      <c r="O648" s="13" t="n"/>
    </row>
    <row r="649">
      <c r="A649" s="11">
        <f>IF($B649="","",COUNTA($B$9:$B649))</f>
        <v/>
      </c>
      <c r="B649" s="12" t="n"/>
      <c r="C649" s="12" t="n"/>
      <c r="D649" s="12" t="n"/>
      <c r="E649" s="13" t="n"/>
      <c r="F649" s="11">
        <f>IF($E649="","",IFERROR(VLOOKUP($E649,OpTbl,2,0),""))</f>
        <v/>
      </c>
      <c r="G649" s="12" t="n"/>
      <c r="H649" s="11">
        <f>IF($G649="","",IFERROR(IF(VLOOKUP($G649,AcctTbl,4,0)="","(بدون نام)",VLOOKUP($G649,AcctTbl,4,0)),"کد ناشناخته"))</f>
        <v/>
      </c>
      <c r="I649" s="13" t="n"/>
      <c r="J649" s="13" t="n"/>
      <c r="K649" s="14" t="n"/>
      <c r="L649" s="14" t="n"/>
      <c r="M649" s="15">
        <f>IF(OR($B649="",$K649=""),"",($K649-IF($L649="",0,$L649)*IFERROR(VLOOKUP("P01",ParamTbl,3,0),1.5))*(1-IF(IFERROR(VLOOKUP($E649,OpTbl,3,0),"")="خرید",IFERROR(VLOOKUP("P02",ParamTbl,3,0),1),0)/100))</f>
        <v/>
      </c>
      <c r="N649" s="14" t="n"/>
      <c r="O649" s="13" t="n"/>
    </row>
    <row r="650">
      <c r="A650" s="11">
        <f>IF($B650="","",COUNTA($B$9:$B650))</f>
        <v/>
      </c>
      <c r="B650" s="12" t="n"/>
      <c r="C650" s="12" t="n"/>
      <c r="D650" s="12" t="n"/>
      <c r="E650" s="13" t="n"/>
      <c r="F650" s="11">
        <f>IF($E650="","",IFERROR(VLOOKUP($E650,OpTbl,2,0),""))</f>
        <v/>
      </c>
      <c r="G650" s="12" t="n"/>
      <c r="H650" s="11">
        <f>IF($G650="","",IFERROR(IF(VLOOKUP($G650,AcctTbl,4,0)="","(بدون نام)",VLOOKUP($G650,AcctTbl,4,0)),"کد ناشناخته"))</f>
        <v/>
      </c>
      <c r="I650" s="13" t="n"/>
      <c r="J650" s="13" t="n"/>
      <c r="K650" s="14" t="n"/>
      <c r="L650" s="14" t="n"/>
      <c r="M650" s="15">
        <f>IF(OR($B650="",$K650=""),"",($K650-IF($L650="",0,$L650)*IFERROR(VLOOKUP("P01",ParamTbl,3,0),1.5))*(1-IF(IFERROR(VLOOKUP($E650,OpTbl,3,0),"")="خرید",IFERROR(VLOOKUP("P02",ParamTbl,3,0),1),0)/100))</f>
        <v/>
      </c>
      <c r="N650" s="14" t="n"/>
      <c r="O650" s="13" t="n"/>
    </row>
    <row r="651">
      <c r="A651" s="11">
        <f>IF($B651="","",COUNTA($B$9:$B651))</f>
        <v/>
      </c>
      <c r="B651" s="12" t="n"/>
      <c r="C651" s="12" t="n"/>
      <c r="D651" s="12" t="n"/>
      <c r="E651" s="13" t="n"/>
      <c r="F651" s="11">
        <f>IF($E651="","",IFERROR(VLOOKUP($E651,OpTbl,2,0),""))</f>
        <v/>
      </c>
      <c r="G651" s="12" t="n"/>
      <c r="H651" s="11">
        <f>IF($G651="","",IFERROR(IF(VLOOKUP($G651,AcctTbl,4,0)="","(بدون نام)",VLOOKUP($G651,AcctTbl,4,0)),"کد ناشناخته"))</f>
        <v/>
      </c>
      <c r="I651" s="13" t="n"/>
      <c r="J651" s="13" t="n"/>
      <c r="K651" s="14" t="n"/>
      <c r="L651" s="14" t="n"/>
      <c r="M651" s="15">
        <f>IF(OR($B651="",$K651=""),"",($K651-IF($L651="",0,$L651)*IFERROR(VLOOKUP("P01",ParamTbl,3,0),1.5))*(1-IF(IFERROR(VLOOKUP($E651,OpTbl,3,0),"")="خرید",IFERROR(VLOOKUP("P02",ParamTbl,3,0),1),0)/100))</f>
        <v/>
      </c>
      <c r="N651" s="14" t="n"/>
      <c r="O651" s="13" t="n"/>
    </row>
    <row r="652">
      <c r="A652" s="11">
        <f>IF($B652="","",COUNTA($B$9:$B652))</f>
        <v/>
      </c>
      <c r="B652" s="12" t="n"/>
      <c r="C652" s="12" t="n"/>
      <c r="D652" s="12" t="n"/>
      <c r="E652" s="13" t="n"/>
      <c r="F652" s="11">
        <f>IF($E652="","",IFERROR(VLOOKUP($E652,OpTbl,2,0),""))</f>
        <v/>
      </c>
      <c r="G652" s="12" t="n"/>
      <c r="H652" s="11">
        <f>IF($G652="","",IFERROR(IF(VLOOKUP($G652,AcctTbl,4,0)="","(بدون نام)",VLOOKUP($G652,AcctTbl,4,0)),"کد ناشناخته"))</f>
        <v/>
      </c>
      <c r="I652" s="13" t="n"/>
      <c r="J652" s="13" t="n"/>
      <c r="K652" s="14" t="n"/>
      <c r="L652" s="14" t="n"/>
      <c r="M652" s="15">
        <f>IF(OR($B652="",$K652=""),"",($K652-IF($L652="",0,$L652)*IFERROR(VLOOKUP("P01",ParamTbl,3,0),1.5))*(1-IF(IFERROR(VLOOKUP($E652,OpTbl,3,0),"")="خرید",IFERROR(VLOOKUP("P02",ParamTbl,3,0),1),0)/100))</f>
        <v/>
      </c>
      <c r="N652" s="14" t="n"/>
      <c r="O652" s="13" t="n"/>
    </row>
    <row r="653">
      <c r="A653" s="11">
        <f>IF($B653="","",COUNTA($B$9:$B653))</f>
        <v/>
      </c>
      <c r="B653" s="12" t="n"/>
      <c r="C653" s="12" t="n"/>
      <c r="D653" s="12" t="n"/>
      <c r="E653" s="13" t="n"/>
      <c r="F653" s="11">
        <f>IF($E653="","",IFERROR(VLOOKUP($E653,OpTbl,2,0),""))</f>
        <v/>
      </c>
      <c r="G653" s="12" t="n"/>
      <c r="H653" s="11">
        <f>IF($G653="","",IFERROR(IF(VLOOKUP($G653,AcctTbl,4,0)="","(بدون نام)",VLOOKUP($G653,AcctTbl,4,0)),"کد ناشناخته"))</f>
        <v/>
      </c>
      <c r="I653" s="13" t="n"/>
      <c r="J653" s="13" t="n"/>
      <c r="K653" s="14" t="n"/>
      <c r="L653" s="14" t="n"/>
      <c r="M653" s="15">
        <f>IF(OR($B653="",$K653=""),"",($K653-IF($L653="",0,$L653)*IFERROR(VLOOKUP("P01",ParamTbl,3,0),1.5))*(1-IF(IFERROR(VLOOKUP($E653,OpTbl,3,0),"")="خرید",IFERROR(VLOOKUP("P02",ParamTbl,3,0),1),0)/100))</f>
        <v/>
      </c>
      <c r="N653" s="14" t="n"/>
      <c r="O653" s="13" t="n"/>
    </row>
    <row r="654">
      <c r="A654" s="11">
        <f>IF($B654="","",COUNTA($B$9:$B654))</f>
        <v/>
      </c>
      <c r="B654" s="12" t="n"/>
      <c r="C654" s="12" t="n"/>
      <c r="D654" s="12" t="n"/>
      <c r="E654" s="13" t="n"/>
      <c r="F654" s="11">
        <f>IF($E654="","",IFERROR(VLOOKUP($E654,OpTbl,2,0),""))</f>
        <v/>
      </c>
      <c r="G654" s="12" t="n"/>
      <c r="H654" s="11">
        <f>IF($G654="","",IFERROR(IF(VLOOKUP($G654,AcctTbl,4,0)="","(بدون نام)",VLOOKUP($G654,AcctTbl,4,0)),"کد ناشناخته"))</f>
        <v/>
      </c>
      <c r="I654" s="13" t="n"/>
      <c r="J654" s="13" t="n"/>
      <c r="K654" s="14" t="n"/>
      <c r="L654" s="14" t="n"/>
      <c r="M654" s="15">
        <f>IF(OR($B654="",$K654=""),"",($K654-IF($L654="",0,$L654)*IFERROR(VLOOKUP("P01",ParamTbl,3,0),1.5))*(1-IF(IFERROR(VLOOKUP($E654,OpTbl,3,0),"")="خرید",IFERROR(VLOOKUP("P02",ParamTbl,3,0),1),0)/100))</f>
        <v/>
      </c>
      <c r="N654" s="14" t="n"/>
      <c r="O654" s="13" t="n"/>
    </row>
    <row r="655">
      <c r="A655" s="11">
        <f>IF($B655="","",COUNTA($B$9:$B655))</f>
        <v/>
      </c>
      <c r="B655" s="12" t="n"/>
      <c r="C655" s="12" t="n"/>
      <c r="D655" s="12" t="n"/>
      <c r="E655" s="13" t="n"/>
      <c r="F655" s="11">
        <f>IF($E655="","",IFERROR(VLOOKUP($E655,OpTbl,2,0),""))</f>
        <v/>
      </c>
      <c r="G655" s="12" t="n"/>
      <c r="H655" s="11">
        <f>IF($G655="","",IFERROR(IF(VLOOKUP($G655,AcctTbl,4,0)="","(بدون نام)",VLOOKUP($G655,AcctTbl,4,0)),"کد ناشناخته"))</f>
        <v/>
      </c>
      <c r="I655" s="13" t="n"/>
      <c r="J655" s="13" t="n"/>
      <c r="K655" s="14" t="n"/>
      <c r="L655" s="14" t="n"/>
      <c r="M655" s="15">
        <f>IF(OR($B655="",$K655=""),"",($K655-IF($L655="",0,$L655)*IFERROR(VLOOKUP("P01",ParamTbl,3,0),1.5))*(1-IF(IFERROR(VLOOKUP($E655,OpTbl,3,0),"")="خرید",IFERROR(VLOOKUP("P02",ParamTbl,3,0),1),0)/100))</f>
        <v/>
      </c>
      <c r="N655" s="14" t="n"/>
      <c r="O655" s="13" t="n"/>
    </row>
    <row r="656">
      <c r="A656" s="11">
        <f>IF($B656="","",COUNTA($B$9:$B656))</f>
        <v/>
      </c>
      <c r="B656" s="12" t="n"/>
      <c r="C656" s="12" t="n"/>
      <c r="D656" s="12" t="n"/>
      <c r="E656" s="13" t="n"/>
      <c r="F656" s="11">
        <f>IF($E656="","",IFERROR(VLOOKUP($E656,OpTbl,2,0),""))</f>
        <v/>
      </c>
      <c r="G656" s="12" t="n"/>
      <c r="H656" s="11">
        <f>IF($G656="","",IFERROR(IF(VLOOKUP($G656,AcctTbl,4,0)="","(بدون نام)",VLOOKUP($G656,AcctTbl,4,0)),"کد ناشناخته"))</f>
        <v/>
      </c>
      <c r="I656" s="13" t="n"/>
      <c r="J656" s="13" t="n"/>
      <c r="K656" s="14" t="n"/>
      <c r="L656" s="14" t="n"/>
      <c r="M656" s="15">
        <f>IF(OR($B656="",$K656=""),"",($K656-IF($L656="",0,$L656)*IFERROR(VLOOKUP("P01",ParamTbl,3,0),1.5))*(1-IF(IFERROR(VLOOKUP($E656,OpTbl,3,0),"")="خرید",IFERROR(VLOOKUP("P02",ParamTbl,3,0),1),0)/100))</f>
        <v/>
      </c>
      <c r="N656" s="14" t="n"/>
      <c r="O656" s="13" t="n"/>
    </row>
    <row r="657">
      <c r="A657" s="11">
        <f>IF($B657="","",COUNTA($B$9:$B657))</f>
        <v/>
      </c>
      <c r="B657" s="12" t="n"/>
      <c r="C657" s="12" t="n"/>
      <c r="D657" s="12" t="n"/>
      <c r="E657" s="13" t="n"/>
      <c r="F657" s="11">
        <f>IF($E657="","",IFERROR(VLOOKUP($E657,OpTbl,2,0),""))</f>
        <v/>
      </c>
      <c r="G657" s="12" t="n"/>
      <c r="H657" s="11">
        <f>IF($G657="","",IFERROR(IF(VLOOKUP($G657,AcctTbl,4,0)="","(بدون نام)",VLOOKUP($G657,AcctTbl,4,0)),"کد ناشناخته"))</f>
        <v/>
      </c>
      <c r="I657" s="13" t="n"/>
      <c r="J657" s="13" t="n"/>
      <c r="K657" s="14" t="n"/>
      <c r="L657" s="14" t="n"/>
      <c r="M657" s="15">
        <f>IF(OR($B657="",$K657=""),"",($K657-IF($L657="",0,$L657)*IFERROR(VLOOKUP("P01",ParamTbl,3,0),1.5))*(1-IF(IFERROR(VLOOKUP($E657,OpTbl,3,0),"")="خرید",IFERROR(VLOOKUP("P02",ParamTbl,3,0),1),0)/100))</f>
        <v/>
      </c>
      <c r="N657" s="14" t="n"/>
      <c r="O657" s="13" t="n"/>
    </row>
    <row r="658">
      <c r="A658" s="11">
        <f>IF($B658="","",COUNTA($B$9:$B658))</f>
        <v/>
      </c>
      <c r="B658" s="12" t="n"/>
      <c r="C658" s="12" t="n"/>
      <c r="D658" s="12" t="n"/>
      <c r="E658" s="13" t="n"/>
      <c r="F658" s="11">
        <f>IF($E658="","",IFERROR(VLOOKUP($E658,OpTbl,2,0),""))</f>
        <v/>
      </c>
      <c r="G658" s="12" t="n"/>
      <c r="H658" s="11">
        <f>IF($G658="","",IFERROR(IF(VLOOKUP($G658,AcctTbl,4,0)="","(بدون نام)",VLOOKUP($G658,AcctTbl,4,0)),"کد ناشناخته"))</f>
        <v/>
      </c>
      <c r="I658" s="13" t="n"/>
      <c r="J658" s="13" t="n"/>
      <c r="K658" s="14" t="n"/>
      <c r="L658" s="14" t="n"/>
      <c r="M658" s="15">
        <f>IF(OR($B658="",$K658=""),"",($K658-IF($L658="",0,$L658)*IFERROR(VLOOKUP("P01",ParamTbl,3,0),1.5))*(1-IF(IFERROR(VLOOKUP($E658,OpTbl,3,0),"")="خرید",IFERROR(VLOOKUP("P02",ParamTbl,3,0),1),0)/100))</f>
        <v/>
      </c>
      <c r="N658" s="14" t="n"/>
      <c r="O658" s="13" t="n"/>
    </row>
    <row r="659">
      <c r="A659" s="11">
        <f>IF($B659="","",COUNTA($B$9:$B659))</f>
        <v/>
      </c>
      <c r="B659" s="12" t="n"/>
      <c r="C659" s="12" t="n"/>
      <c r="D659" s="12" t="n"/>
      <c r="E659" s="13" t="n"/>
      <c r="F659" s="11">
        <f>IF($E659="","",IFERROR(VLOOKUP($E659,OpTbl,2,0),""))</f>
        <v/>
      </c>
      <c r="G659" s="12" t="n"/>
      <c r="H659" s="11">
        <f>IF($G659="","",IFERROR(IF(VLOOKUP($G659,AcctTbl,4,0)="","(بدون نام)",VLOOKUP($G659,AcctTbl,4,0)),"کد ناشناخته"))</f>
        <v/>
      </c>
      <c r="I659" s="13" t="n"/>
      <c r="J659" s="13" t="n"/>
      <c r="K659" s="14" t="n"/>
      <c r="L659" s="14" t="n"/>
      <c r="M659" s="15">
        <f>IF(OR($B659="",$K659=""),"",($K659-IF($L659="",0,$L659)*IFERROR(VLOOKUP("P01",ParamTbl,3,0),1.5))*(1-IF(IFERROR(VLOOKUP($E659,OpTbl,3,0),"")="خرید",IFERROR(VLOOKUP("P02",ParamTbl,3,0),1),0)/100))</f>
        <v/>
      </c>
      <c r="N659" s="14" t="n"/>
      <c r="O659" s="13" t="n"/>
    </row>
    <row r="660">
      <c r="A660" s="11">
        <f>IF($B660="","",COUNTA($B$9:$B660))</f>
        <v/>
      </c>
      <c r="B660" s="12" t="n"/>
      <c r="C660" s="12" t="n"/>
      <c r="D660" s="12" t="n"/>
      <c r="E660" s="13" t="n"/>
      <c r="F660" s="11">
        <f>IF($E660="","",IFERROR(VLOOKUP($E660,OpTbl,2,0),""))</f>
        <v/>
      </c>
      <c r="G660" s="12" t="n"/>
      <c r="H660" s="11">
        <f>IF($G660="","",IFERROR(IF(VLOOKUP($G660,AcctTbl,4,0)="","(بدون نام)",VLOOKUP($G660,AcctTbl,4,0)),"کد ناشناخته"))</f>
        <v/>
      </c>
      <c r="I660" s="13" t="n"/>
      <c r="J660" s="13" t="n"/>
      <c r="K660" s="14" t="n"/>
      <c r="L660" s="14" t="n"/>
      <c r="M660" s="15">
        <f>IF(OR($B660="",$K660=""),"",($K660-IF($L660="",0,$L660)*IFERROR(VLOOKUP("P01",ParamTbl,3,0),1.5))*(1-IF(IFERROR(VLOOKUP($E660,OpTbl,3,0),"")="خرید",IFERROR(VLOOKUP("P02",ParamTbl,3,0),1),0)/100))</f>
        <v/>
      </c>
      <c r="N660" s="14" t="n"/>
      <c r="O660" s="13" t="n"/>
    </row>
    <row r="661">
      <c r="A661" s="11">
        <f>IF($B661="","",COUNTA($B$9:$B661))</f>
        <v/>
      </c>
      <c r="B661" s="12" t="n"/>
      <c r="C661" s="12" t="n"/>
      <c r="D661" s="12" t="n"/>
      <c r="E661" s="13" t="n"/>
      <c r="F661" s="11">
        <f>IF($E661="","",IFERROR(VLOOKUP($E661,OpTbl,2,0),""))</f>
        <v/>
      </c>
      <c r="G661" s="12" t="n"/>
      <c r="H661" s="11">
        <f>IF($G661="","",IFERROR(IF(VLOOKUP($G661,AcctTbl,4,0)="","(بدون نام)",VLOOKUP($G661,AcctTbl,4,0)),"کد ناشناخته"))</f>
        <v/>
      </c>
      <c r="I661" s="13" t="n"/>
      <c r="J661" s="13" t="n"/>
      <c r="K661" s="14" t="n"/>
      <c r="L661" s="14" t="n"/>
      <c r="M661" s="15">
        <f>IF(OR($B661="",$K661=""),"",($K661-IF($L661="",0,$L661)*IFERROR(VLOOKUP("P01",ParamTbl,3,0),1.5))*(1-IF(IFERROR(VLOOKUP($E661,OpTbl,3,0),"")="خرید",IFERROR(VLOOKUP("P02",ParamTbl,3,0),1),0)/100))</f>
        <v/>
      </c>
      <c r="N661" s="14" t="n"/>
      <c r="O661" s="13" t="n"/>
    </row>
    <row r="662">
      <c r="A662" s="11">
        <f>IF($B662="","",COUNTA($B$9:$B662))</f>
        <v/>
      </c>
      <c r="B662" s="12" t="n"/>
      <c r="C662" s="12" t="n"/>
      <c r="D662" s="12" t="n"/>
      <c r="E662" s="13" t="n"/>
      <c r="F662" s="11">
        <f>IF($E662="","",IFERROR(VLOOKUP($E662,OpTbl,2,0),""))</f>
        <v/>
      </c>
      <c r="G662" s="12" t="n"/>
      <c r="H662" s="11">
        <f>IF($G662="","",IFERROR(IF(VLOOKUP($G662,AcctTbl,4,0)="","(بدون نام)",VLOOKUP($G662,AcctTbl,4,0)),"کد ناشناخته"))</f>
        <v/>
      </c>
      <c r="I662" s="13" t="n"/>
      <c r="J662" s="13" t="n"/>
      <c r="K662" s="14" t="n"/>
      <c r="L662" s="14" t="n"/>
      <c r="M662" s="15">
        <f>IF(OR($B662="",$K662=""),"",($K662-IF($L662="",0,$L662)*IFERROR(VLOOKUP("P01",ParamTbl,3,0),1.5))*(1-IF(IFERROR(VLOOKUP($E662,OpTbl,3,0),"")="خرید",IFERROR(VLOOKUP("P02",ParamTbl,3,0),1),0)/100))</f>
        <v/>
      </c>
      <c r="N662" s="14" t="n"/>
      <c r="O662" s="13" t="n"/>
    </row>
    <row r="663">
      <c r="A663" s="11">
        <f>IF($B663="","",COUNTA($B$9:$B663))</f>
        <v/>
      </c>
      <c r="B663" s="12" t="n"/>
      <c r="C663" s="12" t="n"/>
      <c r="D663" s="12" t="n"/>
      <c r="E663" s="13" t="n"/>
      <c r="F663" s="11">
        <f>IF($E663="","",IFERROR(VLOOKUP($E663,OpTbl,2,0),""))</f>
        <v/>
      </c>
      <c r="G663" s="12" t="n"/>
      <c r="H663" s="11">
        <f>IF($G663="","",IFERROR(IF(VLOOKUP($G663,AcctTbl,4,0)="","(بدون نام)",VLOOKUP($G663,AcctTbl,4,0)),"کد ناشناخته"))</f>
        <v/>
      </c>
      <c r="I663" s="13" t="n"/>
      <c r="J663" s="13" t="n"/>
      <c r="K663" s="14" t="n"/>
      <c r="L663" s="14" t="n"/>
      <c r="M663" s="15">
        <f>IF(OR($B663="",$K663=""),"",($K663-IF($L663="",0,$L663)*IFERROR(VLOOKUP("P01",ParamTbl,3,0),1.5))*(1-IF(IFERROR(VLOOKUP($E663,OpTbl,3,0),"")="خرید",IFERROR(VLOOKUP("P02",ParamTbl,3,0),1),0)/100))</f>
        <v/>
      </c>
      <c r="N663" s="14" t="n"/>
      <c r="O663" s="13" t="n"/>
    </row>
    <row r="664">
      <c r="A664" s="11">
        <f>IF($B664="","",COUNTA($B$9:$B664))</f>
        <v/>
      </c>
      <c r="B664" s="12" t="n"/>
      <c r="C664" s="12" t="n"/>
      <c r="D664" s="12" t="n"/>
      <c r="E664" s="13" t="n"/>
      <c r="F664" s="11">
        <f>IF($E664="","",IFERROR(VLOOKUP($E664,OpTbl,2,0),""))</f>
        <v/>
      </c>
      <c r="G664" s="12" t="n"/>
      <c r="H664" s="11">
        <f>IF($G664="","",IFERROR(IF(VLOOKUP($G664,AcctTbl,4,0)="","(بدون نام)",VLOOKUP($G664,AcctTbl,4,0)),"کد ناشناخته"))</f>
        <v/>
      </c>
      <c r="I664" s="13" t="n"/>
      <c r="J664" s="13" t="n"/>
      <c r="K664" s="14" t="n"/>
      <c r="L664" s="14" t="n"/>
      <c r="M664" s="15">
        <f>IF(OR($B664="",$K664=""),"",($K664-IF($L664="",0,$L664)*IFERROR(VLOOKUP("P01",ParamTbl,3,0),1.5))*(1-IF(IFERROR(VLOOKUP($E664,OpTbl,3,0),"")="خرید",IFERROR(VLOOKUP("P02",ParamTbl,3,0),1),0)/100))</f>
        <v/>
      </c>
      <c r="N664" s="14" t="n"/>
      <c r="O664" s="13" t="n"/>
    </row>
    <row r="665">
      <c r="A665" s="11">
        <f>IF($B665="","",COUNTA($B$9:$B665))</f>
        <v/>
      </c>
      <c r="B665" s="12" t="n"/>
      <c r="C665" s="12" t="n"/>
      <c r="D665" s="12" t="n"/>
      <c r="E665" s="13" t="n"/>
      <c r="F665" s="11">
        <f>IF($E665="","",IFERROR(VLOOKUP($E665,OpTbl,2,0),""))</f>
        <v/>
      </c>
      <c r="G665" s="12" t="n"/>
      <c r="H665" s="11">
        <f>IF($G665="","",IFERROR(IF(VLOOKUP($G665,AcctTbl,4,0)="","(بدون نام)",VLOOKUP($G665,AcctTbl,4,0)),"کد ناشناخته"))</f>
        <v/>
      </c>
      <c r="I665" s="13" t="n"/>
      <c r="J665" s="13" t="n"/>
      <c r="K665" s="14" t="n"/>
      <c r="L665" s="14" t="n"/>
      <c r="M665" s="15">
        <f>IF(OR($B665="",$K665=""),"",($K665-IF($L665="",0,$L665)*IFERROR(VLOOKUP("P01",ParamTbl,3,0),1.5))*(1-IF(IFERROR(VLOOKUP($E665,OpTbl,3,0),"")="خرید",IFERROR(VLOOKUP("P02",ParamTbl,3,0),1),0)/100))</f>
        <v/>
      </c>
      <c r="N665" s="14" t="n"/>
      <c r="O665" s="13" t="n"/>
    </row>
    <row r="666">
      <c r="A666" s="11">
        <f>IF($B666="","",COUNTA($B$9:$B666))</f>
        <v/>
      </c>
      <c r="B666" s="12" t="n"/>
      <c r="C666" s="12" t="n"/>
      <c r="D666" s="12" t="n"/>
      <c r="E666" s="13" t="n"/>
      <c r="F666" s="11">
        <f>IF($E666="","",IFERROR(VLOOKUP($E666,OpTbl,2,0),""))</f>
        <v/>
      </c>
      <c r="G666" s="12" t="n"/>
      <c r="H666" s="11">
        <f>IF($G666="","",IFERROR(IF(VLOOKUP($G666,AcctTbl,4,0)="","(بدون نام)",VLOOKUP($G666,AcctTbl,4,0)),"کد ناشناخته"))</f>
        <v/>
      </c>
      <c r="I666" s="13" t="n"/>
      <c r="J666" s="13" t="n"/>
      <c r="K666" s="14" t="n"/>
      <c r="L666" s="14" t="n"/>
      <c r="M666" s="15">
        <f>IF(OR($B666="",$K666=""),"",($K666-IF($L666="",0,$L666)*IFERROR(VLOOKUP("P01",ParamTbl,3,0),1.5))*(1-IF(IFERROR(VLOOKUP($E666,OpTbl,3,0),"")="خرید",IFERROR(VLOOKUP("P02",ParamTbl,3,0),1),0)/100))</f>
        <v/>
      </c>
      <c r="N666" s="14" t="n"/>
      <c r="O666" s="13" t="n"/>
    </row>
    <row r="667">
      <c r="A667" s="11">
        <f>IF($B667="","",COUNTA($B$9:$B667))</f>
        <v/>
      </c>
      <c r="B667" s="12" t="n"/>
      <c r="C667" s="12" t="n"/>
      <c r="D667" s="12" t="n"/>
      <c r="E667" s="13" t="n"/>
      <c r="F667" s="11">
        <f>IF($E667="","",IFERROR(VLOOKUP($E667,OpTbl,2,0),""))</f>
        <v/>
      </c>
      <c r="G667" s="12" t="n"/>
      <c r="H667" s="11">
        <f>IF($G667="","",IFERROR(IF(VLOOKUP($G667,AcctTbl,4,0)="","(بدون نام)",VLOOKUP($G667,AcctTbl,4,0)),"کد ناشناخته"))</f>
        <v/>
      </c>
      <c r="I667" s="13" t="n"/>
      <c r="J667" s="13" t="n"/>
      <c r="K667" s="14" t="n"/>
      <c r="L667" s="14" t="n"/>
      <c r="M667" s="15">
        <f>IF(OR($B667="",$K667=""),"",($K667-IF($L667="",0,$L667)*IFERROR(VLOOKUP("P01",ParamTbl,3,0),1.5))*(1-IF(IFERROR(VLOOKUP($E667,OpTbl,3,0),"")="خرید",IFERROR(VLOOKUP("P02",ParamTbl,3,0),1),0)/100))</f>
        <v/>
      </c>
      <c r="N667" s="14" t="n"/>
      <c r="O667" s="13" t="n"/>
    </row>
    <row r="668">
      <c r="A668" s="11">
        <f>IF($B668="","",COUNTA($B$9:$B668))</f>
        <v/>
      </c>
      <c r="B668" s="12" t="n"/>
      <c r="C668" s="12" t="n"/>
      <c r="D668" s="12" t="n"/>
      <c r="E668" s="13" t="n"/>
      <c r="F668" s="11">
        <f>IF($E668="","",IFERROR(VLOOKUP($E668,OpTbl,2,0),""))</f>
        <v/>
      </c>
      <c r="G668" s="12" t="n"/>
      <c r="H668" s="11">
        <f>IF($G668="","",IFERROR(IF(VLOOKUP($G668,AcctTbl,4,0)="","(بدون نام)",VLOOKUP($G668,AcctTbl,4,0)),"کد ناشناخته"))</f>
        <v/>
      </c>
      <c r="I668" s="13" t="n"/>
      <c r="J668" s="13" t="n"/>
      <c r="K668" s="14" t="n"/>
      <c r="L668" s="14" t="n"/>
      <c r="M668" s="15">
        <f>IF(OR($B668="",$K668=""),"",($K668-IF($L668="",0,$L668)*IFERROR(VLOOKUP("P01",ParamTbl,3,0),1.5))*(1-IF(IFERROR(VLOOKUP($E668,OpTbl,3,0),"")="خرید",IFERROR(VLOOKUP("P02",ParamTbl,3,0),1),0)/100))</f>
        <v/>
      </c>
      <c r="N668" s="14" t="n"/>
      <c r="O668" s="13" t="n"/>
    </row>
    <row r="669">
      <c r="A669" s="11">
        <f>IF($B669="","",COUNTA($B$9:$B669))</f>
        <v/>
      </c>
      <c r="B669" s="12" t="n"/>
      <c r="C669" s="12" t="n"/>
      <c r="D669" s="12" t="n"/>
      <c r="E669" s="13" t="n"/>
      <c r="F669" s="11">
        <f>IF($E669="","",IFERROR(VLOOKUP($E669,OpTbl,2,0),""))</f>
        <v/>
      </c>
      <c r="G669" s="12" t="n"/>
      <c r="H669" s="11">
        <f>IF($G669="","",IFERROR(IF(VLOOKUP($G669,AcctTbl,4,0)="","(بدون نام)",VLOOKUP($G669,AcctTbl,4,0)),"کد ناشناخته"))</f>
        <v/>
      </c>
      <c r="I669" s="13" t="n"/>
      <c r="J669" s="13" t="n"/>
      <c r="K669" s="14" t="n"/>
      <c r="L669" s="14" t="n"/>
      <c r="M669" s="15">
        <f>IF(OR($B669="",$K669=""),"",($K669-IF($L669="",0,$L669)*IFERROR(VLOOKUP("P01",ParamTbl,3,0),1.5))*(1-IF(IFERROR(VLOOKUP($E669,OpTbl,3,0),"")="خرید",IFERROR(VLOOKUP("P02",ParamTbl,3,0),1),0)/100))</f>
        <v/>
      </c>
      <c r="N669" s="14" t="n"/>
      <c r="O669" s="13" t="n"/>
    </row>
    <row r="670">
      <c r="A670" s="11">
        <f>IF($B670="","",COUNTA($B$9:$B670))</f>
        <v/>
      </c>
      <c r="B670" s="12" t="n"/>
      <c r="C670" s="12" t="n"/>
      <c r="D670" s="12" t="n"/>
      <c r="E670" s="13" t="n"/>
      <c r="F670" s="11">
        <f>IF($E670="","",IFERROR(VLOOKUP($E670,OpTbl,2,0),""))</f>
        <v/>
      </c>
      <c r="G670" s="12" t="n"/>
      <c r="H670" s="11">
        <f>IF($G670="","",IFERROR(IF(VLOOKUP($G670,AcctTbl,4,0)="","(بدون نام)",VLOOKUP($G670,AcctTbl,4,0)),"کد ناشناخته"))</f>
        <v/>
      </c>
      <c r="I670" s="13" t="n"/>
      <c r="J670" s="13" t="n"/>
      <c r="K670" s="14" t="n"/>
      <c r="L670" s="14" t="n"/>
      <c r="M670" s="15">
        <f>IF(OR($B670="",$K670=""),"",($K670-IF($L670="",0,$L670)*IFERROR(VLOOKUP("P01",ParamTbl,3,0),1.5))*(1-IF(IFERROR(VLOOKUP($E670,OpTbl,3,0),"")="خرید",IFERROR(VLOOKUP("P02",ParamTbl,3,0),1),0)/100))</f>
        <v/>
      </c>
      <c r="N670" s="14" t="n"/>
      <c r="O670" s="13" t="n"/>
    </row>
    <row r="671">
      <c r="A671" s="11">
        <f>IF($B671="","",COUNTA($B$9:$B671))</f>
        <v/>
      </c>
      <c r="B671" s="12" t="n"/>
      <c r="C671" s="12" t="n"/>
      <c r="D671" s="12" t="n"/>
      <c r="E671" s="13" t="n"/>
      <c r="F671" s="11">
        <f>IF($E671="","",IFERROR(VLOOKUP($E671,OpTbl,2,0),""))</f>
        <v/>
      </c>
      <c r="G671" s="12" t="n"/>
      <c r="H671" s="11">
        <f>IF($G671="","",IFERROR(IF(VLOOKUP($G671,AcctTbl,4,0)="","(بدون نام)",VLOOKUP($G671,AcctTbl,4,0)),"کد ناشناخته"))</f>
        <v/>
      </c>
      <c r="I671" s="13" t="n"/>
      <c r="J671" s="13" t="n"/>
      <c r="K671" s="14" t="n"/>
      <c r="L671" s="14" t="n"/>
      <c r="M671" s="15">
        <f>IF(OR($B671="",$K671=""),"",($K671-IF($L671="",0,$L671)*IFERROR(VLOOKUP("P01",ParamTbl,3,0),1.5))*(1-IF(IFERROR(VLOOKUP($E671,OpTbl,3,0),"")="خرید",IFERROR(VLOOKUP("P02",ParamTbl,3,0),1),0)/100))</f>
        <v/>
      </c>
      <c r="N671" s="14" t="n"/>
      <c r="O671" s="13" t="n"/>
    </row>
    <row r="672">
      <c r="A672" s="11">
        <f>IF($B672="","",COUNTA($B$9:$B672))</f>
        <v/>
      </c>
      <c r="B672" s="12" t="n"/>
      <c r="C672" s="12" t="n"/>
      <c r="D672" s="12" t="n"/>
      <c r="E672" s="13" t="n"/>
      <c r="F672" s="11">
        <f>IF($E672="","",IFERROR(VLOOKUP($E672,OpTbl,2,0),""))</f>
        <v/>
      </c>
      <c r="G672" s="12" t="n"/>
      <c r="H672" s="11">
        <f>IF($G672="","",IFERROR(IF(VLOOKUP($G672,AcctTbl,4,0)="","(بدون نام)",VLOOKUP($G672,AcctTbl,4,0)),"کد ناشناخته"))</f>
        <v/>
      </c>
      <c r="I672" s="13" t="n"/>
      <c r="J672" s="13" t="n"/>
      <c r="K672" s="14" t="n"/>
      <c r="L672" s="14" t="n"/>
      <c r="M672" s="15">
        <f>IF(OR($B672="",$K672=""),"",($K672-IF($L672="",0,$L672)*IFERROR(VLOOKUP("P01",ParamTbl,3,0),1.5))*(1-IF(IFERROR(VLOOKUP($E672,OpTbl,3,0),"")="خرید",IFERROR(VLOOKUP("P02",ParamTbl,3,0),1),0)/100))</f>
        <v/>
      </c>
      <c r="N672" s="14" t="n"/>
      <c r="O672" s="13" t="n"/>
    </row>
    <row r="673">
      <c r="A673" s="11">
        <f>IF($B673="","",COUNTA($B$9:$B673))</f>
        <v/>
      </c>
      <c r="B673" s="12" t="n"/>
      <c r="C673" s="12" t="n"/>
      <c r="D673" s="12" t="n"/>
      <c r="E673" s="13" t="n"/>
      <c r="F673" s="11">
        <f>IF($E673="","",IFERROR(VLOOKUP($E673,OpTbl,2,0),""))</f>
        <v/>
      </c>
      <c r="G673" s="12" t="n"/>
      <c r="H673" s="11">
        <f>IF($G673="","",IFERROR(IF(VLOOKUP($G673,AcctTbl,4,0)="","(بدون نام)",VLOOKUP($G673,AcctTbl,4,0)),"کد ناشناخته"))</f>
        <v/>
      </c>
      <c r="I673" s="13" t="n"/>
      <c r="J673" s="13" t="n"/>
      <c r="K673" s="14" t="n"/>
      <c r="L673" s="14" t="n"/>
      <c r="M673" s="15">
        <f>IF(OR($B673="",$K673=""),"",($K673-IF($L673="",0,$L673)*IFERROR(VLOOKUP("P01",ParamTbl,3,0),1.5))*(1-IF(IFERROR(VLOOKUP($E673,OpTbl,3,0),"")="خرید",IFERROR(VLOOKUP("P02",ParamTbl,3,0),1),0)/100))</f>
        <v/>
      </c>
      <c r="N673" s="14" t="n"/>
      <c r="O673" s="13" t="n"/>
    </row>
    <row r="674">
      <c r="A674" s="11">
        <f>IF($B674="","",COUNTA($B$9:$B674))</f>
        <v/>
      </c>
      <c r="B674" s="12" t="n"/>
      <c r="C674" s="12" t="n"/>
      <c r="D674" s="12" t="n"/>
      <c r="E674" s="13" t="n"/>
      <c r="F674" s="11">
        <f>IF($E674="","",IFERROR(VLOOKUP($E674,OpTbl,2,0),""))</f>
        <v/>
      </c>
      <c r="G674" s="12" t="n"/>
      <c r="H674" s="11">
        <f>IF($G674="","",IFERROR(IF(VLOOKUP($G674,AcctTbl,4,0)="","(بدون نام)",VLOOKUP($G674,AcctTbl,4,0)),"کد ناشناخته"))</f>
        <v/>
      </c>
      <c r="I674" s="13" t="n"/>
      <c r="J674" s="13" t="n"/>
      <c r="K674" s="14" t="n"/>
      <c r="L674" s="14" t="n"/>
      <c r="M674" s="15">
        <f>IF(OR($B674="",$K674=""),"",($K674-IF($L674="",0,$L674)*IFERROR(VLOOKUP("P01",ParamTbl,3,0),1.5))*(1-IF(IFERROR(VLOOKUP($E674,OpTbl,3,0),"")="خرید",IFERROR(VLOOKUP("P02",ParamTbl,3,0),1),0)/100))</f>
        <v/>
      </c>
      <c r="N674" s="14" t="n"/>
      <c r="O674" s="13" t="n"/>
    </row>
    <row r="675">
      <c r="A675" s="11">
        <f>IF($B675="","",COUNTA($B$9:$B675))</f>
        <v/>
      </c>
      <c r="B675" s="12" t="n"/>
      <c r="C675" s="12" t="n"/>
      <c r="D675" s="12" t="n"/>
      <c r="E675" s="13" t="n"/>
      <c r="F675" s="11">
        <f>IF($E675="","",IFERROR(VLOOKUP($E675,OpTbl,2,0),""))</f>
        <v/>
      </c>
      <c r="G675" s="12" t="n"/>
      <c r="H675" s="11">
        <f>IF($G675="","",IFERROR(IF(VLOOKUP($G675,AcctTbl,4,0)="","(بدون نام)",VLOOKUP($G675,AcctTbl,4,0)),"کد ناشناخته"))</f>
        <v/>
      </c>
      <c r="I675" s="13" t="n"/>
      <c r="J675" s="13" t="n"/>
      <c r="K675" s="14" t="n"/>
      <c r="L675" s="14" t="n"/>
      <c r="M675" s="15">
        <f>IF(OR($B675="",$K675=""),"",($K675-IF($L675="",0,$L675)*IFERROR(VLOOKUP("P01",ParamTbl,3,0),1.5))*(1-IF(IFERROR(VLOOKUP($E675,OpTbl,3,0),"")="خرید",IFERROR(VLOOKUP("P02",ParamTbl,3,0),1),0)/100))</f>
        <v/>
      </c>
      <c r="N675" s="14" t="n"/>
      <c r="O675" s="13" t="n"/>
    </row>
    <row r="676">
      <c r="A676" s="11">
        <f>IF($B676="","",COUNTA($B$9:$B676))</f>
        <v/>
      </c>
      <c r="B676" s="12" t="n"/>
      <c r="C676" s="12" t="n"/>
      <c r="D676" s="12" t="n"/>
      <c r="E676" s="13" t="n"/>
      <c r="F676" s="11">
        <f>IF($E676="","",IFERROR(VLOOKUP($E676,OpTbl,2,0),""))</f>
        <v/>
      </c>
      <c r="G676" s="12" t="n"/>
      <c r="H676" s="11">
        <f>IF($G676="","",IFERROR(IF(VLOOKUP($G676,AcctTbl,4,0)="","(بدون نام)",VLOOKUP($G676,AcctTbl,4,0)),"کد ناشناخته"))</f>
        <v/>
      </c>
      <c r="I676" s="13" t="n"/>
      <c r="J676" s="13" t="n"/>
      <c r="K676" s="14" t="n"/>
      <c r="L676" s="14" t="n"/>
      <c r="M676" s="15">
        <f>IF(OR($B676="",$K676=""),"",($K676-IF($L676="",0,$L676)*IFERROR(VLOOKUP("P01",ParamTbl,3,0),1.5))*(1-IF(IFERROR(VLOOKUP($E676,OpTbl,3,0),"")="خرید",IFERROR(VLOOKUP("P02",ParamTbl,3,0),1),0)/100))</f>
        <v/>
      </c>
      <c r="N676" s="14" t="n"/>
      <c r="O676" s="13" t="n"/>
    </row>
    <row r="677">
      <c r="A677" s="11">
        <f>IF($B677="","",COUNTA($B$9:$B677))</f>
        <v/>
      </c>
      <c r="B677" s="12" t="n"/>
      <c r="C677" s="12" t="n"/>
      <c r="D677" s="12" t="n"/>
      <c r="E677" s="13" t="n"/>
      <c r="F677" s="11">
        <f>IF($E677="","",IFERROR(VLOOKUP($E677,OpTbl,2,0),""))</f>
        <v/>
      </c>
      <c r="G677" s="12" t="n"/>
      <c r="H677" s="11">
        <f>IF($G677="","",IFERROR(IF(VLOOKUP($G677,AcctTbl,4,0)="","(بدون نام)",VLOOKUP($G677,AcctTbl,4,0)),"کد ناشناخته"))</f>
        <v/>
      </c>
      <c r="I677" s="13" t="n"/>
      <c r="J677" s="13" t="n"/>
      <c r="K677" s="14" t="n"/>
      <c r="L677" s="14" t="n"/>
      <c r="M677" s="15">
        <f>IF(OR($B677="",$K677=""),"",($K677-IF($L677="",0,$L677)*IFERROR(VLOOKUP("P01",ParamTbl,3,0),1.5))*(1-IF(IFERROR(VLOOKUP($E677,OpTbl,3,0),"")="خرید",IFERROR(VLOOKUP("P02",ParamTbl,3,0),1),0)/100))</f>
        <v/>
      </c>
      <c r="N677" s="14" t="n"/>
      <c r="O677" s="13" t="n"/>
    </row>
    <row r="678">
      <c r="A678" s="11">
        <f>IF($B678="","",COUNTA($B$9:$B678))</f>
        <v/>
      </c>
      <c r="B678" s="12" t="n"/>
      <c r="C678" s="12" t="n"/>
      <c r="D678" s="12" t="n"/>
      <c r="E678" s="13" t="n"/>
      <c r="F678" s="11">
        <f>IF($E678="","",IFERROR(VLOOKUP($E678,OpTbl,2,0),""))</f>
        <v/>
      </c>
      <c r="G678" s="12" t="n"/>
      <c r="H678" s="11">
        <f>IF($G678="","",IFERROR(IF(VLOOKUP($G678,AcctTbl,4,0)="","(بدون نام)",VLOOKUP($G678,AcctTbl,4,0)),"کد ناشناخته"))</f>
        <v/>
      </c>
      <c r="I678" s="13" t="n"/>
      <c r="J678" s="13" t="n"/>
      <c r="K678" s="14" t="n"/>
      <c r="L678" s="14" t="n"/>
      <c r="M678" s="15">
        <f>IF(OR($B678="",$K678=""),"",($K678-IF($L678="",0,$L678)*IFERROR(VLOOKUP("P01",ParamTbl,3,0),1.5))*(1-IF(IFERROR(VLOOKUP($E678,OpTbl,3,0),"")="خرید",IFERROR(VLOOKUP("P02",ParamTbl,3,0),1),0)/100))</f>
        <v/>
      </c>
      <c r="N678" s="14" t="n"/>
      <c r="O678" s="13" t="n"/>
    </row>
    <row r="679">
      <c r="A679" s="11">
        <f>IF($B679="","",COUNTA($B$9:$B679))</f>
        <v/>
      </c>
      <c r="B679" s="12" t="n"/>
      <c r="C679" s="12" t="n"/>
      <c r="D679" s="12" t="n"/>
      <c r="E679" s="13" t="n"/>
      <c r="F679" s="11">
        <f>IF($E679="","",IFERROR(VLOOKUP($E679,OpTbl,2,0),""))</f>
        <v/>
      </c>
      <c r="G679" s="12" t="n"/>
      <c r="H679" s="11">
        <f>IF($G679="","",IFERROR(IF(VLOOKUP($G679,AcctTbl,4,0)="","(بدون نام)",VLOOKUP($G679,AcctTbl,4,0)),"کد ناشناخته"))</f>
        <v/>
      </c>
      <c r="I679" s="13" t="n"/>
      <c r="J679" s="13" t="n"/>
      <c r="K679" s="14" t="n"/>
      <c r="L679" s="14" t="n"/>
      <c r="M679" s="15">
        <f>IF(OR($B679="",$K679=""),"",($K679-IF($L679="",0,$L679)*IFERROR(VLOOKUP("P01",ParamTbl,3,0),1.5))*(1-IF(IFERROR(VLOOKUP($E679,OpTbl,3,0),"")="خرید",IFERROR(VLOOKUP("P02",ParamTbl,3,0),1),0)/100))</f>
        <v/>
      </c>
      <c r="N679" s="14" t="n"/>
      <c r="O679" s="13" t="n"/>
    </row>
    <row r="680">
      <c r="A680" s="11">
        <f>IF($B680="","",COUNTA($B$9:$B680))</f>
        <v/>
      </c>
      <c r="B680" s="12" t="n"/>
      <c r="C680" s="12" t="n"/>
      <c r="D680" s="12" t="n"/>
      <c r="E680" s="13" t="n"/>
      <c r="F680" s="11">
        <f>IF($E680="","",IFERROR(VLOOKUP($E680,OpTbl,2,0),""))</f>
        <v/>
      </c>
      <c r="G680" s="12" t="n"/>
      <c r="H680" s="11">
        <f>IF($G680="","",IFERROR(IF(VLOOKUP($G680,AcctTbl,4,0)="","(بدون نام)",VLOOKUP($G680,AcctTbl,4,0)),"کد ناشناخته"))</f>
        <v/>
      </c>
      <c r="I680" s="13" t="n"/>
      <c r="J680" s="13" t="n"/>
      <c r="K680" s="14" t="n"/>
      <c r="L680" s="14" t="n"/>
      <c r="M680" s="15">
        <f>IF(OR($B680="",$K680=""),"",($K680-IF($L680="",0,$L680)*IFERROR(VLOOKUP("P01",ParamTbl,3,0),1.5))*(1-IF(IFERROR(VLOOKUP($E680,OpTbl,3,0),"")="خرید",IFERROR(VLOOKUP("P02",ParamTbl,3,0),1),0)/100))</f>
        <v/>
      </c>
      <c r="N680" s="14" t="n"/>
      <c r="O680" s="13" t="n"/>
    </row>
    <row r="681">
      <c r="A681" s="11">
        <f>IF($B681="","",COUNTA($B$9:$B681))</f>
        <v/>
      </c>
      <c r="B681" s="12" t="n"/>
      <c r="C681" s="12" t="n"/>
      <c r="D681" s="12" t="n"/>
      <c r="E681" s="13" t="n"/>
      <c r="F681" s="11">
        <f>IF($E681="","",IFERROR(VLOOKUP($E681,OpTbl,2,0),""))</f>
        <v/>
      </c>
      <c r="G681" s="12" t="n"/>
      <c r="H681" s="11">
        <f>IF($G681="","",IFERROR(IF(VLOOKUP($G681,AcctTbl,4,0)="","(بدون نام)",VLOOKUP($G681,AcctTbl,4,0)),"کد ناشناخته"))</f>
        <v/>
      </c>
      <c r="I681" s="13" t="n"/>
      <c r="J681" s="13" t="n"/>
      <c r="K681" s="14" t="n"/>
      <c r="L681" s="14" t="n"/>
      <c r="M681" s="15">
        <f>IF(OR($B681="",$K681=""),"",($K681-IF($L681="",0,$L681)*IFERROR(VLOOKUP("P01",ParamTbl,3,0),1.5))*(1-IF(IFERROR(VLOOKUP($E681,OpTbl,3,0),"")="خرید",IFERROR(VLOOKUP("P02",ParamTbl,3,0),1),0)/100))</f>
        <v/>
      </c>
      <c r="N681" s="14" t="n"/>
      <c r="O681" s="13" t="n"/>
    </row>
    <row r="682">
      <c r="A682" s="11">
        <f>IF($B682="","",COUNTA($B$9:$B682))</f>
        <v/>
      </c>
      <c r="B682" s="12" t="n"/>
      <c r="C682" s="12" t="n"/>
      <c r="D682" s="12" t="n"/>
      <c r="E682" s="13" t="n"/>
      <c r="F682" s="11">
        <f>IF($E682="","",IFERROR(VLOOKUP($E682,OpTbl,2,0),""))</f>
        <v/>
      </c>
      <c r="G682" s="12" t="n"/>
      <c r="H682" s="11">
        <f>IF($G682="","",IFERROR(IF(VLOOKUP($G682,AcctTbl,4,0)="","(بدون نام)",VLOOKUP($G682,AcctTbl,4,0)),"کد ناشناخته"))</f>
        <v/>
      </c>
      <c r="I682" s="13" t="n"/>
      <c r="J682" s="13" t="n"/>
      <c r="K682" s="14" t="n"/>
      <c r="L682" s="14" t="n"/>
      <c r="M682" s="15">
        <f>IF(OR($B682="",$K682=""),"",($K682-IF($L682="",0,$L682)*IFERROR(VLOOKUP("P01",ParamTbl,3,0),1.5))*(1-IF(IFERROR(VLOOKUP($E682,OpTbl,3,0),"")="خرید",IFERROR(VLOOKUP("P02",ParamTbl,3,0),1),0)/100))</f>
        <v/>
      </c>
      <c r="N682" s="14" t="n"/>
      <c r="O682" s="13" t="n"/>
    </row>
    <row r="683">
      <c r="A683" s="11">
        <f>IF($B683="","",COUNTA($B$9:$B683))</f>
        <v/>
      </c>
      <c r="B683" s="12" t="n"/>
      <c r="C683" s="12" t="n"/>
      <c r="D683" s="12" t="n"/>
      <c r="E683" s="13" t="n"/>
      <c r="F683" s="11">
        <f>IF($E683="","",IFERROR(VLOOKUP($E683,OpTbl,2,0),""))</f>
        <v/>
      </c>
      <c r="G683" s="12" t="n"/>
      <c r="H683" s="11">
        <f>IF($G683="","",IFERROR(IF(VLOOKUP($G683,AcctTbl,4,0)="","(بدون نام)",VLOOKUP($G683,AcctTbl,4,0)),"کد ناشناخته"))</f>
        <v/>
      </c>
      <c r="I683" s="13" t="n"/>
      <c r="J683" s="13" t="n"/>
      <c r="K683" s="14" t="n"/>
      <c r="L683" s="14" t="n"/>
      <c r="M683" s="15">
        <f>IF(OR($B683="",$K683=""),"",($K683-IF($L683="",0,$L683)*IFERROR(VLOOKUP("P01",ParamTbl,3,0),1.5))*(1-IF(IFERROR(VLOOKUP($E683,OpTbl,3,0),"")="خرید",IFERROR(VLOOKUP("P02",ParamTbl,3,0),1),0)/100))</f>
        <v/>
      </c>
      <c r="N683" s="14" t="n"/>
      <c r="O683" s="13" t="n"/>
    </row>
    <row r="684">
      <c r="A684" s="11">
        <f>IF($B684="","",COUNTA($B$9:$B684))</f>
        <v/>
      </c>
      <c r="B684" s="12" t="n"/>
      <c r="C684" s="12" t="n"/>
      <c r="D684" s="12" t="n"/>
      <c r="E684" s="13" t="n"/>
      <c r="F684" s="11">
        <f>IF($E684="","",IFERROR(VLOOKUP($E684,OpTbl,2,0),""))</f>
        <v/>
      </c>
      <c r="G684" s="12" t="n"/>
      <c r="H684" s="11">
        <f>IF($G684="","",IFERROR(IF(VLOOKUP($G684,AcctTbl,4,0)="","(بدون نام)",VLOOKUP($G684,AcctTbl,4,0)),"کد ناشناخته"))</f>
        <v/>
      </c>
      <c r="I684" s="13" t="n"/>
      <c r="J684" s="13" t="n"/>
      <c r="K684" s="14" t="n"/>
      <c r="L684" s="14" t="n"/>
      <c r="M684" s="15">
        <f>IF(OR($B684="",$K684=""),"",($K684-IF($L684="",0,$L684)*IFERROR(VLOOKUP("P01",ParamTbl,3,0),1.5))*(1-IF(IFERROR(VLOOKUP($E684,OpTbl,3,0),"")="خرید",IFERROR(VLOOKUP("P02",ParamTbl,3,0),1),0)/100))</f>
        <v/>
      </c>
      <c r="N684" s="14" t="n"/>
      <c r="O684" s="13" t="n"/>
    </row>
    <row r="685">
      <c r="A685" s="11">
        <f>IF($B685="","",COUNTA($B$9:$B685))</f>
        <v/>
      </c>
      <c r="B685" s="12" t="n"/>
      <c r="C685" s="12" t="n"/>
      <c r="D685" s="12" t="n"/>
      <c r="E685" s="13" t="n"/>
      <c r="F685" s="11">
        <f>IF($E685="","",IFERROR(VLOOKUP($E685,OpTbl,2,0),""))</f>
        <v/>
      </c>
      <c r="G685" s="12" t="n"/>
      <c r="H685" s="11">
        <f>IF($G685="","",IFERROR(IF(VLOOKUP($G685,AcctTbl,4,0)="","(بدون نام)",VLOOKUP($G685,AcctTbl,4,0)),"کد ناشناخته"))</f>
        <v/>
      </c>
      <c r="I685" s="13" t="n"/>
      <c r="J685" s="13" t="n"/>
      <c r="K685" s="14" t="n"/>
      <c r="L685" s="14" t="n"/>
      <c r="M685" s="15">
        <f>IF(OR($B685="",$K685=""),"",($K685-IF($L685="",0,$L685)*IFERROR(VLOOKUP("P01",ParamTbl,3,0),1.5))*(1-IF(IFERROR(VLOOKUP($E685,OpTbl,3,0),"")="خرید",IFERROR(VLOOKUP("P02",ParamTbl,3,0),1),0)/100))</f>
        <v/>
      </c>
      <c r="N685" s="14" t="n"/>
      <c r="O685" s="13" t="n"/>
    </row>
    <row r="686">
      <c r="A686" s="11">
        <f>IF($B686="","",COUNTA($B$9:$B686))</f>
        <v/>
      </c>
      <c r="B686" s="12" t="n"/>
      <c r="C686" s="12" t="n"/>
      <c r="D686" s="12" t="n"/>
      <c r="E686" s="13" t="n"/>
      <c r="F686" s="11">
        <f>IF($E686="","",IFERROR(VLOOKUP($E686,OpTbl,2,0),""))</f>
        <v/>
      </c>
      <c r="G686" s="12" t="n"/>
      <c r="H686" s="11">
        <f>IF($G686="","",IFERROR(IF(VLOOKUP($G686,AcctTbl,4,0)="","(بدون نام)",VLOOKUP($G686,AcctTbl,4,0)),"کد ناشناخته"))</f>
        <v/>
      </c>
      <c r="I686" s="13" t="n"/>
      <c r="J686" s="13" t="n"/>
      <c r="K686" s="14" t="n"/>
      <c r="L686" s="14" t="n"/>
      <c r="M686" s="15">
        <f>IF(OR($B686="",$K686=""),"",($K686-IF($L686="",0,$L686)*IFERROR(VLOOKUP("P01",ParamTbl,3,0),1.5))*(1-IF(IFERROR(VLOOKUP($E686,OpTbl,3,0),"")="خرید",IFERROR(VLOOKUP("P02",ParamTbl,3,0),1),0)/100))</f>
        <v/>
      </c>
      <c r="N686" s="14" t="n"/>
      <c r="O686" s="13" t="n"/>
    </row>
    <row r="687">
      <c r="A687" s="11">
        <f>IF($B687="","",COUNTA($B$9:$B687))</f>
        <v/>
      </c>
      <c r="B687" s="12" t="n"/>
      <c r="C687" s="12" t="n"/>
      <c r="D687" s="12" t="n"/>
      <c r="E687" s="13" t="n"/>
      <c r="F687" s="11">
        <f>IF($E687="","",IFERROR(VLOOKUP($E687,OpTbl,2,0),""))</f>
        <v/>
      </c>
      <c r="G687" s="12" t="n"/>
      <c r="H687" s="11">
        <f>IF($G687="","",IFERROR(IF(VLOOKUP($G687,AcctTbl,4,0)="","(بدون نام)",VLOOKUP($G687,AcctTbl,4,0)),"کد ناشناخته"))</f>
        <v/>
      </c>
      <c r="I687" s="13" t="n"/>
      <c r="J687" s="13" t="n"/>
      <c r="K687" s="14" t="n"/>
      <c r="L687" s="14" t="n"/>
      <c r="M687" s="15">
        <f>IF(OR($B687="",$K687=""),"",($K687-IF($L687="",0,$L687)*IFERROR(VLOOKUP("P01",ParamTbl,3,0),1.5))*(1-IF(IFERROR(VLOOKUP($E687,OpTbl,3,0),"")="خرید",IFERROR(VLOOKUP("P02",ParamTbl,3,0),1),0)/100))</f>
        <v/>
      </c>
      <c r="N687" s="14" t="n"/>
      <c r="O687" s="13" t="n"/>
    </row>
    <row r="688">
      <c r="A688" s="11">
        <f>IF($B688="","",COUNTA($B$9:$B688))</f>
        <v/>
      </c>
      <c r="B688" s="12" t="n"/>
      <c r="C688" s="12" t="n"/>
      <c r="D688" s="12" t="n"/>
      <c r="E688" s="13" t="n"/>
      <c r="F688" s="11">
        <f>IF($E688="","",IFERROR(VLOOKUP($E688,OpTbl,2,0),""))</f>
        <v/>
      </c>
      <c r="G688" s="12" t="n"/>
      <c r="H688" s="11">
        <f>IF($G688="","",IFERROR(IF(VLOOKUP($G688,AcctTbl,4,0)="","(بدون نام)",VLOOKUP($G688,AcctTbl,4,0)),"کد ناشناخته"))</f>
        <v/>
      </c>
      <c r="I688" s="13" t="n"/>
      <c r="J688" s="13" t="n"/>
      <c r="K688" s="14" t="n"/>
      <c r="L688" s="14" t="n"/>
      <c r="M688" s="15">
        <f>IF(OR($B688="",$K688=""),"",($K688-IF($L688="",0,$L688)*IFERROR(VLOOKUP("P01",ParamTbl,3,0),1.5))*(1-IF(IFERROR(VLOOKUP($E688,OpTbl,3,0),"")="خرید",IFERROR(VLOOKUP("P02",ParamTbl,3,0),1),0)/100))</f>
        <v/>
      </c>
      <c r="N688" s="14" t="n"/>
      <c r="O688" s="13" t="n"/>
    </row>
    <row r="689">
      <c r="A689" s="11">
        <f>IF($B689="","",COUNTA($B$9:$B689))</f>
        <v/>
      </c>
      <c r="B689" s="12" t="n"/>
      <c r="C689" s="12" t="n"/>
      <c r="D689" s="12" t="n"/>
      <c r="E689" s="13" t="n"/>
      <c r="F689" s="11">
        <f>IF($E689="","",IFERROR(VLOOKUP($E689,OpTbl,2,0),""))</f>
        <v/>
      </c>
      <c r="G689" s="12" t="n"/>
      <c r="H689" s="11">
        <f>IF($G689="","",IFERROR(IF(VLOOKUP($G689,AcctTbl,4,0)="","(بدون نام)",VLOOKUP($G689,AcctTbl,4,0)),"کد ناشناخته"))</f>
        <v/>
      </c>
      <c r="I689" s="13" t="n"/>
      <c r="J689" s="13" t="n"/>
      <c r="K689" s="14" t="n"/>
      <c r="L689" s="14" t="n"/>
      <c r="M689" s="15">
        <f>IF(OR($B689="",$K689=""),"",($K689-IF($L689="",0,$L689)*IFERROR(VLOOKUP("P01",ParamTbl,3,0),1.5))*(1-IF(IFERROR(VLOOKUP($E689,OpTbl,3,0),"")="خرید",IFERROR(VLOOKUP("P02",ParamTbl,3,0),1),0)/100))</f>
        <v/>
      </c>
      <c r="N689" s="14" t="n"/>
      <c r="O689" s="13" t="n"/>
    </row>
    <row r="690">
      <c r="A690" s="11">
        <f>IF($B690="","",COUNTA($B$9:$B690))</f>
        <v/>
      </c>
      <c r="B690" s="12" t="n"/>
      <c r="C690" s="12" t="n"/>
      <c r="D690" s="12" t="n"/>
      <c r="E690" s="13" t="n"/>
      <c r="F690" s="11">
        <f>IF($E690="","",IFERROR(VLOOKUP($E690,OpTbl,2,0),""))</f>
        <v/>
      </c>
      <c r="G690" s="12" t="n"/>
      <c r="H690" s="11">
        <f>IF($G690="","",IFERROR(IF(VLOOKUP($G690,AcctTbl,4,0)="","(بدون نام)",VLOOKUP($G690,AcctTbl,4,0)),"کد ناشناخته"))</f>
        <v/>
      </c>
      <c r="I690" s="13" t="n"/>
      <c r="J690" s="13" t="n"/>
      <c r="K690" s="14" t="n"/>
      <c r="L690" s="14" t="n"/>
      <c r="M690" s="15">
        <f>IF(OR($B690="",$K690=""),"",($K690-IF($L690="",0,$L690)*IFERROR(VLOOKUP("P01",ParamTbl,3,0),1.5))*(1-IF(IFERROR(VLOOKUP($E690,OpTbl,3,0),"")="خرید",IFERROR(VLOOKUP("P02",ParamTbl,3,0),1),0)/100))</f>
        <v/>
      </c>
      <c r="N690" s="14" t="n"/>
      <c r="O690" s="13" t="n"/>
    </row>
    <row r="691">
      <c r="A691" s="11">
        <f>IF($B691="","",COUNTA($B$9:$B691))</f>
        <v/>
      </c>
      <c r="B691" s="12" t="n"/>
      <c r="C691" s="12" t="n"/>
      <c r="D691" s="12" t="n"/>
      <c r="E691" s="13" t="n"/>
      <c r="F691" s="11">
        <f>IF($E691="","",IFERROR(VLOOKUP($E691,OpTbl,2,0),""))</f>
        <v/>
      </c>
      <c r="G691" s="12" t="n"/>
      <c r="H691" s="11">
        <f>IF($G691="","",IFERROR(IF(VLOOKUP($G691,AcctTbl,4,0)="","(بدون نام)",VLOOKUP($G691,AcctTbl,4,0)),"کد ناشناخته"))</f>
        <v/>
      </c>
      <c r="I691" s="13" t="n"/>
      <c r="J691" s="13" t="n"/>
      <c r="K691" s="14" t="n"/>
      <c r="L691" s="14" t="n"/>
      <c r="M691" s="15">
        <f>IF(OR($B691="",$K691=""),"",($K691-IF($L691="",0,$L691)*IFERROR(VLOOKUP("P01",ParamTbl,3,0),1.5))*(1-IF(IFERROR(VLOOKUP($E691,OpTbl,3,0),"")="خرید",IFERROR(VLOOKUP("P02",ParamTbl,3,0),1),0)/100))</f>
        <v/>
      </c>
      <c r="N691" s="14" t="n"/>
      <c r="O691" s="13" t="n"/>
    </row>
    <row r="692">
      <c r="A692" s="11">
        <f>IF($B692="","",COUNTA($B$9:$B692))</f>
        <v/>
      </c>
      <c r="B692" s="12" t="n"/>
      <c r="C692" s="12" t="n"/>
      <c r="D692" s="12" t="n"/>
      <c r="E692" s="13" t="n"/>
      <c r="F692" s="11">
        <f>IF($E692="","",IFERROR(VLOOKUP($E692,OpTbl,2,0),""))</f>
        <v/>
      </c>
      <c r="G692" s="12" t="n"/>
      <c r="H692" s="11">
        <f>IF($G692="","",IFERROR(IF(VLOOKUP($G692,AcctTbl,4,0)="","(بدون نام)",VLOOKUP($G692,AcctTbl,4,0)),"کد ناشناخته"))</f>
        <v/>
      </c>
      <c r="I692" s="13" t="n"/>
      <c r="J692" s="13" t="n"/>
      <c r="K692" s="14" t="n"/>
      <c r="L692" s="14" t="n"/>
      <c r="M692" s="15">
        <f>IF(OR($B692="",$K692=""),"",($K692-IF($L692="",0,$L692)*IFERROR(VLOOKUP("P01",ParamTbl,3,0),1.5))*(1-IF(IFERROR(VLOOKUP($E692,OpTbl,3,0),"")="خرید",IFERROR(VLOOKUP("P02",ParamTbl,3,0),1),0)/100))</f>
        <v/>
      </c>
      <c r="N692" s="14" t="n"/>
      <c r="O692" s="13" t="n"/>
    </row>
    <row r="693">
      <c r="A693" s="11">
        <f>IF($B693="","",COUNTA($B$9:$B693))</f>
        <v/>
      </c>
      <c r="B693" s="12" t="n"/>
      <c r="C693" s="12" t="n"/>
      <c r="D693" s="12" t="n"/>
      <c r="E693" s="13" t="n"/>
      <c r="F693" s="11">
        <f>IF($E693="","",IFERROR(VLOOKUP($E693,OpTbl,2,0),""))</f>
        <v/>
      </c>
      <c r="G693" s="12" t="n"/>
      <c r="H693" s="11">
        <f>IF($G693="","",IFERROR(IF(VLOOKUP($G693,AcctTbl,4,0)="","(بدون نام)",VLOOKUP($G693,AcctTbl,4,0)),"کد ناشناخته"))</f>
        <v/>
      </c>
      <c r="I693" s="13" t="n"/>
      <c r="J693" s="13" t="n"/>
      <c r="K693" s="14" t="n"/>
      <c r="L693" s="14" t="n"/>
      <c r="M693" s="15">
        <f>IF(OR($B693="",$K693=""),"",($K693-IF($L693="",0,$L693)*IFERROR(VLOOKUP("P01",ParamTbl,3,0),1.5))*(1-IF(IFERROR(VLOOKUP($E693,OpTbl,3,0),"")="خرید",IFERROR(VLOOKUP("P02",ParamTbl,3,0),1),0)/100))</f>
        <v/>
      </c>
      <c r="N693" s="14" t="n"/>
      <c r="O693" s="13" t="n"/>
    </row>
    <row r="694">
      <c r="A694" s="11">
        <f>IF($B694="","",COUNTA($B$9:$B694))</f>
        <v/>
      </c>
      <c r="B694" s="12" t="n"/>
      <c r="C694" s="12" t="n"/>
      <c r="D694" s="12" t="n"/>
      <c r="E694" s="13" t="n"/>
      <c r="F694" s="11">
        <f>IF($E694="","",IFERROR(VLOOKUP($E694,OpTbl,2,0),""))</f>
        <v/>
      </c>
      <c r="G694" s="12" t="n"/>
      <c r="H694" s="11">
        <f>IF($G694="","",IFERROR(IF(VLOOKUP($G694,AcctTbl,4,0)="","(بدون نام)",VLOOKUP($G694,AcctTbl,4,0)),"کد ناشناخته"))</f>
        <v/>
      </c>
      <c r="I694" s="13" t="n"/>
      <c r="J694" s="13" t="n"/>
      <c r="K694" s="14" t="n"/>
      <c r="L694" s="14" t="n"/>
      <c r="M694" s="15">
        <f>IF(OR($B694="",$K694=""),"",($K694-IF($L694="",0,$L694)*IFERROR(VLOOKUP("P01",ParamTbl,3,0),1.5))*(1-IF(IFERROR(VLOOKUP($E694,OpTbl,3,0),"")="خرید",IFERROR(VLOOKUP("P02",ParamTbl,3,0),1),0)/100))</f>
        <v/>
      </c>
      <c r="N694" s="14" t="n"/>
      <c r="O694" s="13" t="n"/>
    </row>
    <row r="695">
      <c r="A695" s="11">
        <f>IF($B695="","",COUNTA($B$9:$B695))</f>
        <v/>
      </c>
      <c r="B695" s="12" t="n"/>
      <c r="C695" s="12" t="n"/>
      <c r="D695" s="12" t="n"/>
      <c r="E695" s="13" t="n"/>
      <c r="F695" s="11">
        <f>IF($E695="","",IFERROR(VLOOKUP($E695,OpTbl,2,0),""))</f>
        <v/>
      </c>
      <c r="G695" s="12" t="n"/>
      <c r="H695" s="11">
        <f>IF($G695="","",IFERROR(IF(VLOOKUP($G695,AcctTbl,4,0)="","(بدون نام)",VLOOKUP($G695,AcctTbl,4,0)),"کد ناشناخته"))</f>
        <v/>
      </c>
      <c r="I695" s="13" t="n"/>
      <c r="J695" s="13" t="n"/>
      <c r="K695" s="14" t="n"/>
      <c r="L695" s="14" t="n"/>
      <c r="M695" s="15">
        <f>IF(OR($B695="",$K695=""),"",($K695-IF($L695="",0,$L695)*IFERROR(VLOOKUP("P01",ParamTbl,3,0),1.5))*(1-IF(IFERROR(VLOOKUP($E695,OpTbl,3,0),"")="خرید",IFERROR(VLOOKUP("P02",ParamTbl,3,0),1),0)/100))</f>
        <v/>
      </c>
      <c r="N695" s="14" t="n"/>
      <c r="O695" s="13" t="n"/>
    </row>
    <row r="696">
      <c r="A696" s="11">
        <f>IF($B696="","",COUNTA($B$9:$B696))</f>
        <v/>
      </c>
      <c r="B696" s="12" t="n"/>
      <c r="C696" s="12" t="n"/>
      <c r="D696" s="12" t="n"/>
      <c r="E696" s="13" t="n"/>
      <c r="F696" s="11">
        <f>IF($E696="","",IFERROR(VLOOKUP($E696,OpTbl,2,0),""))</f>
        <v/>
      </c>
      <c r="G696" s="12" t="n"/>
      <c r="H696" s="11">
        <f>IF($G696="","",IFERROR(IF(VLOOKUP($G696,AcctTbl,4,0)="","(بدون نام)",VLOOKUP($G696,AcctTbl,4,0)),"کد ناشناخته"))</f>
        <v/>
      </c>
      <c r="I696" s="13" t="n"/>
      <c r="J696" s="13" t="n"/>
      <c r="K696" s="14" t="n"/>
      <c r="L696" s="14" t="n"/>
      <c r="M696" s="15">
        <f>IF(OR($B696="",$K696=""),"",($K696-IF($L696="",0,$L696)*IFERROR(VLOOKUP("P01",ParamTbl,3,0),1.5))*(1-IF(IFERROR(VLOOKUP($E696,OpTbl,3,0),"")="خرید",IFERROR(VLOOKUP("P02",ParamTbl,3,0),1),0)/100))</f>
        <v/>
      </c>
      <c r="N696" s="14" t="n"/>
      <c r="O696" s="13" t="n"/>
    </row>
    <row r="697">
      <c r="A697" s="11">
        <f>IF($B697="","",COUNTA($B$9:$B697))</f>
        <v/>
      </c>
      <c r="B697" s="12" t="n"/>
      <c r="C697" s="12" t="n"/>
      <c r="D697" s="12" t="n"/>
      <c r="E697" s="13" t="n"/>
      <c r="F697" s="11">
        <f>IF($E697="","",IFERROR(VLOOKUP($E697,OpTbl,2,0),""))</f>
        <v/>
      </c>
      <c r="G697" s="12" t="n"/>
      <c r="H697" s="11">
        <f>IF($G697="","",IFERROR(IF(VLOOKUP($G697,AcctTbl,4,0)="","(بدون نام)",VLOOKUP($G697,AcctTbl,4,0)),"کد ناشناخته"))</f>
        <v/>
      </c>
      <c r="I697" s="13" t="n"/>
      <c r="J697" s="13" t="n"/>
      <c r="K697" s="14" t="n"/>
      <c r="L697" s="14" t="n"/>
      <c r="M697" s="15">
        <f>IF(OR($B697="",$K697=""),"",($K697-IF($L697="",0,$L697)*IFERROR(VLOOKUP("P01",ParamTbl,3,0),1.5))*(1-IF(IFERROR(VLOOKUP($E697,OpTbl,3,0),"")="خرید",IFERROR(VLOOKUP("P02",ParamTbl,3,0),1),0)/100))</f>
        <v/>
      </c>
      <c r="N697" s="14" t="n"/>
      <c r="O697" s="13" t="n"/>
    </row>
    <row r="698">
      <c r="A698" s="11">
        <f>IF($B698="","",COUNTA($B$9:$B698))</f>
        <v/>
      </c>
      <c r="B698" s="12" t="n"/>
      <c r="C698" s="12" t="n"/>
      <c r="D698" s="12" t="n"/>
      <c r="E698" s="13" t="n"/>
      <c r="F698" s="11">
        <f>IF($E698="","",IFERROR(VLOOKUP($E698,OpTbl,2,0),""))</f>
        <v/>
      </c>
      <c r="G698" s="12" t="n"/>
      <c r="H698" s="11">
        <f>IF($G698="","",IFERROR(IF(VLOOKUP($G698,AcctTbl,4,0)="","(بدون نام)",VLOOKUP($G698,AcctTbl,4,0)),"کد ناشناخته"))</f>
        <v/>
      </c>
      <c r="I698" s="13" t="n"/>
      <c r="J698" s="13" t="n"/>
      <c r="K698" s="14" t="n"/>
      <c r="L698" s="14" t="n"/>
      <c r="M698" s="15">
        <f>IF(OR($B698="",$K698=""),"",($K698-IF($L698="",0,$L698)*IFERROR(VLOOKUP("P01",ParamTbl,3,0),1.5))*(1-IF(IFERROR(VLOOKUP($E698,OpTbl,3,0),"")="خرید",IFERROR(VLOOKUP("P02",ParamTbl,3,0),1),0)/100))</f>
        <v/>
      </c>
      <c r="N698" s="14" t="n"/>
      <c r="O698" s="13" t="n"/>
    </row>
    <row r="699">
      <c r="A699" s="11">
        <f>IF($B699="","",COUNTA($B$9:$B699))</f>
        <v/>
      </c>
      <c r="B699" s="12" t="n"/>
      <c r="C699" s="12" t="n"/>
      <c r="D699" s="12" t="n"/>
      <c r="E699" s="13" t="n"/>
      <c r="F699" s="11">
        <f>IF($E699="","",IFERROR(VLOOKUP($E699,OpTbl,2,0),""))</f>
        <v/>
      </c>
      <c r="G699" s="12" t="n"/>
      <c r="H699" s="11">
        <f>IF($G699="","",IFERROR(IF(VLOOKUP($G699,AcctTbl,4,0)="","(بدون نام)",VLOOKUP($G699,AcctTbl,4,0)),"کد ناشناخته"))</f>
        <v/>
      </c>
      <c r="I699" s="13" t="n"/>
      <c r="J699" s="13" t="n"/>
      <c r="K699" s="14" t="n"/>
      <c r="L699" s="14" t="n"/>
      <c r="M699" s="15">
        <f>IF(OR($B699="",$K699=""),"",($K699-IF($L699="",0,$L699)*IFERROR(VLOOKUP("P01",ParamTbl,3,0),1.5))*(1-IF(IFERROR(VLOOKUP($E699,OpTbl,3,0),"")="خرید",IFERROR(VLOOKUP("P02",ParamTbl,3,0),1),0)/100))</f>
        <v/>
      </c>
      <c r="N699" s="14" t="n"/>
      <c r="O699" s="13" t="n"/>
    </row>
    <row r="700">
      <c r="A700" s="11">
        <f>IF($B700="","",COUNTA($B$9:$B700))</f>
        <v/>
      </c>
      <c r="B700" s="12" t="n"/>
      <c r="C700" s="12" t="n"/>
      <c r="D700" s="12" t="n"/>
      <c r="E700" s="13" t="n"/>
      <c r="F700" s="11">
        <f>IF($E700="","",IFERROR(VLOOKUP($E700,OpTbl,2,0),""))</f>
        <v/>
      </c>
      <c r="G700" s="12" t="n"/>
      <c r="H700" s="11">
        <f>IF($G700="","",IFERROR(IF(VLOOKUP($G700,AcctTbl,4,0)="","(بدون نام)",VLOOKUP($G700,AcctTbl,4,0)),"کد ناشناخته"))</f>
        <v/>
      </c>
      <c r="I700" s="13" t="n"/>
      <c r="J700" s="13" t="n"/>
      <c r="K700" s="14" t="n"/>
      <c r="L700" s="14" t="n"/>
      <c r="M700" s="15">
        <f>IF(OR($B700="",$K700=""),"",($K700-IF($L700="",0,$L700)*IFERROR(VLOOKUP("P01",ParamTbl,3,0),1.5))*(1-IF(IFERROR(VLOOKUP($E700,OpTbl,3,0),"")="خرید",IFERROR(VLOOKUP("P02",ParamTbl,3,0),1),0)/100))</f>
        <v/>
      </c>
      <c r="N700" s="14" t="n"/>
      <c r="O700" s="13" t="n"/>
    </row>
    <row r="701">
      <c r="A701" s="11">
        <f>IF($B701="","",COUNTA($B$9:$B701))</f>
        <v/>
      </c>
      <c r="B701" s="12" t="n"/>
      <c r="C701" s="12" t="n"/>
      <c r="D701" s="12" t="n"/>
      <c r="E701" s="13" t="n"/>
      <c r="F701" s="11">
        <f>IF($E701="","",IFERROR(VLOOKUP($E701,OpTbl,2,0),""))</f>
        <v/>
      </c>
      <c r="G701" s="12" t="n"/>
      <c r="H701" s="11">
        <f>IF($G701="","",IFERROR(IF(VLOOKUP($G701,AcctTbl,4,0)="","(بدون نام)",VLOOKUP($G701,AcctTbl,4,0)),"کد ناشناخته"))</f>
        <v/>
      </c>
      <c r="I701" s="13" t="n"/>
      <c r="J701" s="13" t="n"/>
      <c r="K701" s="14" t="n"/>
      <c r="L701" s="14" t="n"/>
      <c r="M701" s="15">
        <f>IF(OR($B701="",$K701=""),"",($K701-IF($L701="",0,$L701)*IFERROR(VLOOKUP("P01",ParamTbl,3,0),1.5))*(1-IF(IFERROR(VLOOKUP($E701,OpTbl,3,0),"")="خرید",IFERROR(VLOOKUP("P02",ParamTbl,3,0),1),0)/100))</f>
        <v/>
      </c>
      <c r="N701" s="14" t="n"/>
      <c r="O701" s="13" t="n"/>
    </row>
    <row r="702">
      <c r="A702" s="11">
        <f>IF($B702="","",COUNTA($B$9:$B702))</f>
        <v/>
      </c>
      <c r="B702" s="12" t="n"/>
      <c r="C702" s="12" t="n"/>
      <c r="D702" s="12" t="n"/>
      <c r="E702" s="13" t="n"/>
      <c r="F702" s="11">
        <f>IF($E702="","",IFERROR(VLOOKUP($E702,OpTbl,2,0),""))</f>
        <v/>
      </c>
      <c r="G702" s="12" t="n"/>
      <c r="H702" s="11">
        <f>IF($G702="","",IFERROR(IF(VLOOKUP($G702,AcctTbl,4,0)="","(بدون نام)",VLOOKUP($G702,AcctTbl,4,0)),"کد ناشناخته"))</f>
        <v/>
      </c>
      <c r="I702" s="13" t="n"/>
      <c r="J702" s="13" t="n"/>
      <c r="K702" s="14" t="n"/>
      <c r="L702" s="14" t="n"/>
      <c r="M702" s="15">
        <f>IF(OR($B702="",$K702=""),"",($K702-IF($L702="",0,$L702)*IFERROR(VLOOKUP("P01",ParamTbl,3,0),1.5))*(1-IF(IFERROR(VLOOKUP($E702,OpTbl,3,0),"")="خرید",IFERROR(VLOOKUP("P02",ParamTbl,3,0),1),0)/100))</f>
        <v/>
      </c>
      <c r="N702" s="14" t="n"/>
      <c r="O702" s="13" t="n"/>
    </row>
    <row r="703">
      <c r="A703" s="11">
        <f>IF($B703="","",COUNTA($B$9:$B703))</f>
        <v/>
      </c>
      <c r="B703" s="12" t="n"/>
      <c r="C703" s="12" t="n"/>
      <c r="D703" s="12" t="n"/>
      <c r="E703" s="13" t="n"/>
      <c r="F703" s="11">
        <f>IF($E703="","",IFERROR(VLOOKUP($E703,OpTbl,2,0),""))</f>
        <v/>
      </c>
      <c r="G703" s="12" t="n"/>
      <c r="H703" s="11">
        <f>IF($G703="","",IFERROR(IF(VLOOKUP($G703,AcctTbl,4,0)="","(بدون نام)",VLOOKUP($G703,AcctTbl,4,0)),"کد ناشناخته"))</f>
        <v/>
      </c>
      <c r="I703" s="13" t="n"/>
      <c r="J703" s="13" t="n"/>
      <c r="K703" s="14" t="n"/>
      <c r="L703" s="14" t="n"/>
      <c r="M703" s="15">
        <f>IF(OR($B703="",$K703=""),"",($K703-IF($L703="",0,$L703)*IFERROR(VLOOKUP("P01",ParamTbl,3,0),1.5))*(1-IF(IFERROR(VLOOKUP($E703,OpTbl,3,0),"")="خرید",IFERROR(VLOOKUP("P02",ParamTbl,3,0),1),0)/100))</f>
        <v/>
      </c>
      <c r="N703" s="14" t="n"/>
      <c r="O703" s="13" t="n"/>
    </row>
    <row r="704">
      <c r="A704" s="11">
        <f>IF($B704="","",COUNTA($B$9:$B704))</f>
        <v/>
      </c>
      <c r="B704" s="12" t="n"/>
      <c r="C704" s="12" t="n"/>
      <c r="D704" s="12" t="n"/>
      <c r="E704" s="13" t="n"/>
      <c r="F704" s="11">
        <f>IF($E704="","",IFERROR(VLOOKUP($E704,OpTbl,2,0),""))</f>
        <v/>
      </c>
      <c r="G704" s="12" t="n"/>
      <c r="H704" s="11">
        <f>IF($G704="","",IFERROR(IF(VLOOKUP($G704,AcctTbl,4,0)="","(بدون نام)",VLOOKUP($G704,AcctTbl,4,0)),"کد ناشناخته"))</f>
        <v/>
      </c>
      <c r="I704" s="13" t="n"/>
      <c r="J704" s="13" t="n"/>
      <c r="K704" s="14" t="n"/>
      <c r="L704" s="14" t="n"/>
      <c r="M704" s="15">
        <f>IF(OR($B704="",$K704=""),"",($K704-IF($L704="",0,$L704)*IFERROR(VLOOKUP("P01",ParamTbl,3,0),1.5))*(1-IF(IFERROR(VLOOKUP($E704,OpTbl,3,0),"")="خرید",IFERROR(VLOOKUP("P02",ParamTbl,3,0),1),0)/100))</f>
        <v/>
      </c>
      <c r="N704" s="14" t="n"/>
      <c r="O704" s="13" t="n"/>
    </row>
    <row r="705">
      <c r="A705" s="11">
        <f>IF($B705="","",COUNTA($B$9:$B705))</f>
        <v/>
      </c>
      <c r="B705" s="12" t="n"/>
      <c r="C705" s="12" t="n"/>
      <c r="D705" s="12" t="n"/>
      <c r="E705" s="13" t="n"/>
      <c r="F705" s="11">
        <f>IF($E705="","",IFERROR(VLOOKUP($E705,OpTbl,2,0),""))</f>
        <v/>
      </c>
      <c r="G705" s="12" t="n"/>
      <c r="H705" s="11">
        <f>IF($G705="","",IFERROR(IF(VLOOKUP($G705,AcctTbl,4,0)="","(بدون نام)",VLOOKUP($G705,AcctTbl,4,0)),"کد ناشناخته"))</f>
        <v/>
      </c>
      <c r="I705" s="13" t="n"/>
      <c r="J705" s="13" t="n"/>
      <c r="K705" s="14" t="n"/>
      <c r="L705" s="14" t="n"/>
      <c r="M705" s="15">
        <f>IF(OR($B705="",$K705=""),"",($K705-IF($L705="",0,$L705)*IFERROR(VLOOKUP("P01",ParamTbl,3,0),1.5))*(1-IF(IFERROR(VLOOKUP($E705,OpTbl,3,0),"")="خرید",IFERROR(VLOOKUP("P02",ParamTbl,3,0),1),0)/100))</f>
        <v/>
      </c>
      <c r="N705" s="14" t="n"/>
      <c r="O705" s="13" t="n"/>
    </row>
    <row r="706">
      <c r="A706" s="11">
        <f>IF($B706="","",COUNTA($B$9:$B706))</f>
        <v/>
      </c>
      <c r="B706" s="12" t="n"/>
      <c r="C706" s="12" t="n"/>
      <c r="D706" s="12" t="n"/>
      <c r="E706" s="13" t="n"/>
      <c r="F706" s="11">
        <f>IF($E706="","",IFERROR(VLOOKUP($E706,OpTbl,2,0),""))</f>
        <v/>
      </c>
      <c r="G706" s="12" t="n"/>
      <c r="H706" s="11">
        <f>IF($G706="","",IFERROR(IF(VLOOKUP($G706,AcctTbl,4,0)="","(بدون نام)",VLOOKUP($G706,AcctTbl,4,0)),"کد ناشناخته"))</f>
        <v/>
      </c>
      <c r="I706" s="13" t="n"/>
      <c r="J706" s="13" t="n"/>
      <c r="K706" s="14" t="n"/>
      <c r="L706" s="14" t="n"/>
      <c r="M706" s="15">
        <f>IF(OR($B706="",$K706=""),"",($K706-IF($L706="",0,$L706)*IFERROR(VLOOKUP("P01",ParamTbl,3,0),1.5))*(1-IF(IFERROR(VLOOKUP($E706,OpTbl,3,0),"")="خرید",IFERROR(VLOOKUP("P02",ParamTbl,3,0),1),0)/100))</f>
        <v/>
      </c>
      <c r="N706" s="14" t="n"/>
      <c r="O706" s="13" t="n"/>
    </row>
    <row r="707">
      <c r="A707" s="11">
        <f>IF($B707="","",COUNTA($B$9:$B707))</f>
        <v/>
      </c>
      <c r="B707" s="12" t="n"/>
      <c r="C707" s="12" t="n"/>
      <c r="D707" s="12" t="n"/>
      <c r="E707" s="13" t="n"/>
      <c r="F707" s="11">
        <f>IF($E707="","",IFERROR(VLOOKUP($E707,OpTbl,2,0),""))</f>
        <v/>
      </c>
      <c r="G707" s="12" t="n"/>
      <c r="H707" s="11">
        <f>IF($G707="","",IFERROR(IF(VLOOKUP($G707,AcctTbl,4,0)="","(بدون نام)",VLOOKUP($G707,AcctTbl,4,0)),"کد ناشناخته"))</f>
        <v/>
      </c>
      <c r="I707" s="13" t="n"/>
      <c r="J707" s="13" t="n"/>
      <c r="K707" s="14" t="n"/>
      <c r="L707" s="14" t="n"/>
      <c r="M707" s="15">
        <f>IF(OR($B707="",$K707=""),"",($K707-IF($L707="",0,$L707)*IFERROR(VLOOKUP("P01",ParamTbl,3,0),1.5))*(1-IF(IFERROR(VLOOKUP($E707,OpTbl,3,0),"")="خرید",IFERROR(VLOOKUP("P02",ParamTbl,3,0),1),0)/100))</f>
        <v/>
      </c>
      <c r="N707" s="14" t="n"/>
      <c r="O707" s="13" t="n"/>
    </row>
    <row r="708">
      <c r="A708" s="11">
        <f>IF($B708="","",COUNTA($B$9:$B708))</f>
        <v/>
      </c>
      <c r="B708" s="12" t="n"/>
      <c r="C708" s="12" t="n"/>
      <c r="D708" s="12" t="n"/>
      <c r="E708" s="13" t="n"/>
      <c r="F708" s="11">
        <f>IF($E708="","",IFERROR(VLOOKUP($E708,OpTbl,2,0),""))</f>
        <v/>
      </c>
      <c r="G708" s="12" t="n"/>
      <c r="H708" s="11">
        <f>IF($G708="","",IFERROR(IF(VLOOKUP($G708,AcctTbl,4,0)="","(بدون نام)",VLOOKUP($G708,AcctTbl,4,0)),"کد ناشناخته"))</f>
        <v/>
      </c>
      <c r="I708" s="13" t="n"/>
      <c r="J708" s="13" t="n"/>
      <c r="K708" s="14" t="n"/>
      <c r="L708" s="14" t="n"/>
      <c r="M708" s="15">
        <f>IF(OR($B708="",$K708=""),"",($K708-IF($L708="",0,$L708)*IFERROR(VLOOKUP("P01",ParamTbl,3,0),1.5))*(1-IF(IFERROR(VLOOKUP($E708,OpTbl,3,0),"")="خرید",IFERROR(VLOOKUP("P02",ParamTbl,3,0),1),0)/100))</f>
        <v/>
      </c>
      <c r="N708" s="14" t="n"/>
      <c r="O708" s="13" t="n"/>
    </row>
    <row r="709">
      <c r="A709" s="11">
        <f>IF($B709="","",COUNTA($B$9:$B709))</f>
        <v/>
      </c>
      <c r="B709" s="12" t="n"/>
      <c r="C709" s="12" t="n"/>
      <c r="D709" s="12" t="n"/>
      <c r="E709" s="13" t="n"/>
      <c r="F709" s="11">
        <f>IF($E709="","",IFERROR(VLOOKUP($E709,OpTbl,2,0),""))</f>
        <v/>
      </c>
      <c r="G709" s="12" t="n"/>
      <c r="H709" s="11">
        <f>IF($G709="","",IFERROR(IF(VLOOKUP($G709,AcctTbl,4,0)="","(بدون نام)",VLOOKUP($G709,AcctTbl,4,0)),"کد ناشناخته"))</f>
        <v/>
      </c>
      <c r="I709" s="13" t="n"/>
      <c r="J709" s="13" t="n"/>
      <c r="K709" s="14" t="n"/>
      <c r="L709" s="14" t="n"/>
      <c r="M709" s="15">
        <f>IF(OR($B709="",$K709=""),"",($K709-IF($L709="",0,$L709)*IFERROR(VLOOKUP("P01",ParamTbl,3,0),1.5))*(1-IF(IFERROR(VLOOKUP($E709,OpTbl,3,0),"")="خرید",IFERROR(VLOOKUP("P02",ParamTbl,3,0),1),0)/100))</f>
        <v/>
      </c>
      <c r="N709" s="14" t="n"/>
      <c r="O709" s="13" t="n"/>
    </row>
    <row r="710">
      <c r="A710" s="11">
        <f>IF($B710="","",COUNTA($B$9:$B710))</f>
        <v/>
      </c>
      <c r="B710" s="12" t="n"/>
      <c r="C710" s="12" t="n"/>
      <c r="D710" s="12" t="n"/>
      <c r="E710" s="13" t="n"/>
      <c r="F710" s="11">
        <f>IF($E710="","",IFERROR(VLOOKUP($E710,OpTbl,2,0),""))</f>
        <v/>
      </c>
      <c r="G710" s="12" t="n"/>
      <c r="H710" s="11">
        <f>IF($G710="","",IFERROR(IF(VLOOKUP($G710,AcctTbl,4,0)="","(بدون نام)",VLOOKUP($G710,AcctTbl,4,0)),"کد ناشناخته"))</f>
        <v/>
      </c>
      <c r="I710" s="13" t="n"/>
      <c r="J710" s="13" t="n"/>
      <c r="K710" s="14" t="n"/>
      <c r="L710" s="14" t="n"/>
      <c r="M710" s="15">
        <f>IF(OR($B710="",$K710=""),"",($K710-IF($L710="",0,$L710)*IFERROR(VLOOKUP("P01",ParamTbl,3,0),1.5))*(1-IF(IFERROR(VLOOKUP($E710,OpTbl,3,0),"")="خرید",IFERROR(VLOOKUP("P02",ParamTbl,3,0),1),0)/100))</f>
        <v/>
      </c>
      <c r="N710" s="14" t="n"/>
      <c r="O710" s="13" t="n"/>
    </row>
    <row r="711">
      <c r="A711" s="11">
        <f>IF($B711="","",COUNTA($B$9:$B711))</f>
        <v/>
      </c>
      <c r="B711" s="12" t="n"/>
      <c r="C711" s="12" t="n"/>
      <c r="D711" s="12" t="n"/>
      <c r="E711" s="13" t="n"/>
      <c r="F711" s="11">
        <f>IF($E711="","",IFERROR(VLOOKUP($E711,OpTbl,2,0),""))</f>
        <v/>
      </c>
      <c r="G711" s="12" t="n"/>
      <c r="H711" s="11">
        <f>IF($G711="","",IFERROR(IF(VLOOKUP($G711,AcctTbl,4,0)="","(بدون نام)",VLOOKUP($G711,AcctTbl,4,0)),"کد ناشناخته"))</f>
        <v/>
      </c>
      <c r="I711" s="13" t="n"/>
      <c r="J711" s="13" t="n"/>
      <c r="K711" s="14" t="n"/>
      <c r="L711" s="14" t="n"/>
      <c r="M711" s="15">
        <f>IF(OR($B711="",$K711=""),"",($K711-IF($L711="",0,$L711)*IFERROR(VLOOKUP("P01",ParamTbl,3,0),1.5))*(1-IF(IFERROR(VLOOKUP($E711,OpTbl,3,0),"")="خرید",IFERROR(VLOOKUP("P02",ParamTbl,3,0),1),0)/100))</f>
        <v/>
      </c>
      <c r="N711" s="14" t="n"/>
      <c r="O711" s="13" t="n"/>
    </row>
    <row r="712">
      <c r="A712" s="11">
        <f>IF($B712="","",COUNTA($B$9:$B712))</f>
        <v/>
      </c>
      <c r="B712" s="12" t="n"/>
      <c r="C712" s="12" t="n"/>
      <c r="D712" s="12" t="n"/>
      <c r="E712" s="13" t="n"/>
      <c r="F712" s="11">
        <f>IF($E712="","",IFERROR(VLOOKUP($E712,OpTbl,2,0),""))</f>
        <v/>
      </c>
      <c r="G712" s="12" t="n"/>
      <c r="H712" s="11">
        <f>IF($G712="","",IFERROR(IF(VLOOKUP($G712,AcctTbl,4,0)="","(بدون نام)",VLOOKUP($G712,AcctTbl,4,0)),"کد ناشناخته"))</f>
        <v/>
      </c>
      <c r="I712" s="13" t="n"/>
      <c r="J712" s="13" t="n"/>
      <c r="K712" s="14" t="n"/>
      <c r="L712" s="14" t="n"/>
      <c r="M712" s="15">
        <f>IF(OR($B712="",$K712=""),"",($K712-IF($L712="",0,$L712)*IFERROR(VLOOKUP("P01",ParamTbl,3,0),1.5))*(1-IF(IFERROR(VLOOKUP($E712,OpTbl,3,0),"")="خرید",IFERROR(VLOOKUP("P02",ParamTbl,3,0),1),0)/100))</f>
        <v/>
      </c>
      <c r="N712" s="14" t="n"/>
      <c r="O712" s="13" t="n"/>
    </row>
    <row r="713">
      <c r="A713" s="11">
        <f>IF($B713="","",COUNTA($B$9:$B713))</f>
        <v/>
      </c>
      <c r="B713" s="12" t="n"/>
      <c r="C713" s="12" t="n"/>
      <c r="D713" s="12" t="n"/>
      <c r="E713" s="13" t="n"/>
      <c r="F713" s="11">
        <f>IF($E713="","",IFERROR(VLOOKUP($E713,OpTbl,2,0),""))</f>
        <v/>
      </c>
      <c r="G713" s="12" t="n"/>
      <c r="H713" s="11">
        <f>IF($G713="","",IFERROR(IF(VLOOKUP($G713,AcctTbl,4,0)="","(بدون نام)",VLOOKUP($G713,AcctTbl,4,0)),"کد ناشناخته"))</f>
        <v/>
      </c>
      <c r="I713" s="13" t="n"/>
      <c r="J713" s="13" t="n"/>
      <c r="K713" s="14" t="n"/>
      <c r="L713" s="14" t="n"/>
      <c r="M713" s="15">
        <f>IF(OR($B713="",$K713=""),"",($K713-IF($L713="",0,$L713)*IFERROR(VLOOKUP("P01",ParamTbl,3,0),1.5))*(1-IF(IFERROR(VLOOKUP($E713,OpTbl,3,0),"")="خرید",IFERROR(VLOOKUP("P02",ParamTbl,3,0),1),0)/100))</f>
        <v/>
      </c>
      <c r="N713" s="14" t="n"/>
      <c r="O713" s="13" t="n"/>
    </row>
    <row r="714">
      <c r="A714" s="11">
        <f>IF($B714="","",COUNTA($B$9:$B714))</f>
        <v/>
      </c>
      <c r="B714" s="12" t="n"/>
      <c r="C714" s="12" t="n"/>
      <c r="D714" s="12" t="n"/>
      <c r="E714" s="13" t="n"/>
      <c r="F714" s="11">
        <f>IF($E714="","",IFERROR(VLOOKUP($E714,OpTbl,2,0),""))</f>
        <v/>
      </c>
      <c r="G714" s="12" t="n"/>
      <c r="H714" s="11">
        <f>IF($G714="","",IFERROR(IF(VLOOKUP($G714,AcctTbl,4,0)="","(بدون نام)",VLOOKUP($G714,AcctTbl,4,0)),"کد ناشناخته"))</f>
        <v/>
      </c>
      <c r="I714" s="13" t="n"/>
      <c r="J714" s="13" t="n"/>
      <c r="K714" s="14" t="n"/>
      <c r="L714" s="14" t="n"/>
      <c r="M714" s="15">
        <f>IF(OR($B714="",$K714=""),"",($K714-IF($L714="",0,$L714)*IFERROR(VLOOKUP("P01",ParamTbl,3,0),1.5))*(1-IF(IFERROR(VLOOKUP($E714,OpTbl,3,0),"")="خرید",IFERROR(VLOOKUP("P02",ParamTbl,3,0),1),0)/100))</f>
        <v/>
      </c>
      <c r="N714" s="14" t="n"/>
      <c r="O714" s="13" t="n"/>
    </row>
    <row r="715">
      <c r="A715" s="11">
        <f>IF($B715="","",COUNTA($B$9:$B715))</f>
        <v/>
      </c>
      <c r="B715" s="12" t="n"/>
      <c r="C715" s="12" t="n"/>
      <c r="D715" s="12" t="n"/>
      <c r="E715" s="13" t="n"/>
      <c r="F715" s="11">
        <f>IF($E715="","",IFERROR(VLOOKUP($E715,OpTbl,2,0),""))</f>
        <v/>
      </c>
      <c r="G715" s="12" t="n"/>
      <c r="H715" s="11">
        <f>IF($G715="","",IFERROR(IF(VLOOKUP($G715,AcctTbl,4,0)="","(بدون نام)",VLOOKUP($G715,AcctTbl,4,0)),"کد ناشناخته"))</f>
        <v/>
      </c>
      <c r="I715" s="13" t="n"/>
      <c r="J715" s="13" t="n"/>
      <c r="K715" s="14" t="n"/>
      <c r="L715" s="14" t="n"/>
      <c r="M715" s="15">
        <f>IF(OR($B715="",$K715=""),"",($K715-IF($L715="",0,$L715)*IFERROR(VLOOKUP("P01",ParamTbl,3,0),1.5))*(1-IF(IFERROR(VLOOKUP($E715,OpTbl,3,0),"")="خرید",IFERROR(VLOOKUP("P02",ParamTbl,3,0),1),0)/100))</f>
        <v/>
      </c>
      <c r="N715" s="14" t="n"/>
      <c r="O715" s="13" t="n"/>
    </row>
    <row r="716">
      <c r="A716" s="11">
        <f>IF($B716="","",COUNTA($B$9:$B716))</f>
        <v/>
      </c>
      <c r="B716" s="12" t="n"/>
      <c r="C716" s="12" t="n"/>
      <c r="D716" s="12" t="n"/>
      <c r="E716" s="13" t="n"/>
      <c r="F716" s="11">
        <f>IF($E716="","",IFERROR(VLOOKUP($E716,OpTbl,2,0),""))</f>
        <v/>
      </c>
      <c r="G716" s="12" t="n"/>
      <c r="H716" s="11">
        <f>IF($G716="","",IFERROR(IF(VLOOKUP($G716,AcctTbl,4,0)="","(بدون نام)",VLOOKUP($G716,AcctTbl,4,0)),"کد ناشناخته"))</f>
        <v/>
      </c>
      <c r="I716" s="13" t="n"/>
      <c r="J716" s="13" t="n"/>
      <c r="K716" s="14" t="n"/>
      <c r="L716" s="14" t="n"/>
      <c r="M716" s="15">
        <f>IF(OR($B716="",$K716=""),"",($K716-IF($L716="",0,$L716)*IFERROR(VLOOKUP("P01",ParamTbl,3,0),1.5))*(1-IF(IFERROR(VLOOKUP($E716,OpTbl,3,0),"")="خرید",IFERROR(VLOOKUP("P02",ParamTbl,3,0),1),0)/100))</f>
        <v/>
      </c>
      <c r="N716" s="14" t="n"/>
      <c r="O716" s="13" t="n"/>
    </row>
    <row r="717">
      <c r="A717" s="11">
        <f>IF($B717="","",COUNTA($B$9:$B717))</f>
        <v/>
      </c>
      <c r="B717" s="12" t="n"/>
      <c r="C717" s="12" t="n"/>
      <c r="D717" s="12" t="n"/>
      <c r="E717" s="13" t="n"/>
      <c r="F717" s="11">
        <f>IF($E717="","",IFERROR(VLOOKUP($E717,OpTbl,2,0),""))</f>
        <v/>
      </c>
      <c r="G717" s="12" t="n"/>
      <c r="H717" s="11">
        <f>IF($G717="","",IFERROR(IF(VLOOKUP($G717,AcctTbl,4,0)="","(بدون نام)",VLOOKUP($G717,AcctTbl,4,0)),"کد ناشناخته"))</f>
        <v/>
      </c>
      <c r="I717" s="13" t="n"/>
      <c r="J717" s="13" t="n"/>
      <c r="K717" s="14" t="n"/>
      <c r="L717" s="14" t="n"/>
      <c r="M717" s="15">
        <f>IF(OR($B717="",$K717=""),"",($K717-IF($L717="",0,$L717)*IFERROR(VLOOKUP("P01",ParamTbl,3,0),1.5))*(1-IF(IFERROR(VLOOKUP($E717,OpTbl,3,0),"")="خرید",IFERROR(VLOOKUP("P02",ParamTbl,3,0),1),0)/100))</f>
        <v/>
      </c>
      <c r="N717" s="14" t="n"/>
      <c r="O717" s="13" t="n"/>
    </row>
    <row r="718">
      <c r="A718" s="11">
        <f>IF($B718="","",COUNTA($B$9:$B718))</f>
        <v/>
      </c>
      <c r="B718" s="12" t="n"/>
      <c r="C718" s="12" t="n"/>
      <c r="D718" s="12" t="n"/>
      <c r="E718" s="13" t="n"/>
      <c r="F718" s="11">
        <f>IF($E718="","",IFERROR(VLOOKUP($E718,OpTbl,2,0),""))</f>
        <v/>
      </c>
      <c r="G718" s="12" t="n"/>
      <c r="H718" s="11">
        <f>IF($G718="","",IFERROR(IF(VLOOKUP($G718,AcctTbl,4,0)="","(بدون نام)",VLOOKUP($G718,AcctTbl,4,0)),"کد ناشناخته"))</f>
        <v/>
      </c>
      <c r="I718" s="13" t="n"/>
      <c r="J718" s="13" t="n"/>
      <c r="K718" s="14" t="n"/>
      <c r="L718" s="14" t="n"/>
      <c r="M718" s="15">
        <f>IF(OR($B718="",$K718=""),"",($K718-IF($L718="",0,$L718)*IFERROR(VLOOKUP("P01",ParamTbl,3,0),1.5))*(1-IF(IFERROR(VLOOKUP($E718,OpTbl,3,0),"")="خرید",IFERROR(VLOOKUP("P02",ParamTbl,3,0),1),0)/100))</f>
        <v/>
      </c>
      <c r="N718" s="14" t="n"/>
      <c r="O718" s="13" t="n"/>
    </row>
    <row r="719">
      <c r="A719" s="11">
        <f>IF($B719="","",COUNTA($B$9:$B719))</f>
        <v/>
      </c>
      <c r="B719" s="12" t="n"/>
      <c r="C719" s="12" t="n"/>
      <c r="D719" s="12" t="n"/>
      <c r="E719" s="13" t="n"/>
      <c r="F719" s="11">
        <f>IF($E719="","",IFERROR(VLOOKUP($E719,OpTbl,2,0),""))</f>
        <v/>
      </c>
      <c r="G719" s="12" t="n"/>
      <c r="H719" s="11">
        <f>IF($G719="","",IFERROR(IF(VLOOKUP($G719,AcctTbl,4,0)="","(بدون نام)",VLOOKUP($G719,AcctTbl,4,0)),"کد ناشناخته"))</f>
        <v/>
      </c>
      <c r="I719" s="13" t="n"/>
      <c r="J719" s="13" t="n"/>
      <c r="K719" s="14" t="n"/>
      <c r="L719" s="14" t="n"/>
      <c r="M719" s="15">
        <f>IF(OR($B719="",$K719=""),"",($K719-IF($L719="",0,$L719)*IFERROR(VLOOKUP("P01",ParamTbl,3,0),1.5))*(1-IF(IFERROR(VLOOKUP($E719,OpTbl,3,0),"")="خرید",IFERROR(VLOOKUP("P02",ParamTbl,3,0),1),0)/100))</f>
        <v/>
      </c>
      <c r="N719" s="14" t="n"/>
      <c r="O719" s="13" t="n"/>
    </row>
    <row r="720">
      <c r="A720" s="11">
        <f>IF($B720="","",COUNTA($B$9:$B720))</f>
        <v/>
      </c>
      <c r="B720" s="12" t="n"/>
      <c r="C720" s="12" t="n"/>
      <c r="D720" s="12" t="n"/>
      <c r="E720" s="13" t="n"/>
      <c r="F720" s="11">
        <f>IF($E720="","",IFERROR(VLOOKUP($E720,OpTbl,2,0),""))</f>
        <v/>
      </c>
      <c r="G720" s="12" t="n"/>
      <c r="H720" s="11">
        <f>IF($G720="","",IFERROR(IF(VLOOKUP($G720,AcctTbl,4,0)="","(بدون نام)",VLOOKUP($G720,AcctTbl,4,0)),"کد ناشناخته"))</f>
        <v/>
      </c>
      <c r="I720" s="13" t="n"/>
      <c r="J720" s="13" t="n"/>
      <c r="K720" s="14" t="n"/>
      <c r="L720" s="14" t="n"/>
      <c r="M720" s="15">
        <f>IF(OR($B720="",$K720=""),"",($K720-IF($L720="",0,$L720)*IFERROR(VLOOKUP("P01",ParamTbl,3,0),1.5))*(1-IF(IFERROR(VLOOKUP($E720,OpTbl,3,0),"")="خرید",IFERROR(VLOOKUP("P02",ParamTbl,3,0),1),0)/100))</f>
        <v/>
      </c>
      <c r="N720" s="14" t="n"/>
      <c r="O720" s="13" t="n"/>
    </row>
    <row r="721">
      <c r="A721" s="11">
        <f>IF($B721="","",COUNTA($B$9:$B721))</f>
        <v/>
      </c>
      <c r="B721" s="12" t="n"/>
      <c r="C721" s="12" t="n"/>
      <c r="D721" s="12" t="n"/>
      <c r="E721" s="13" t="n"/>
      <c r="F721" s="11">
        <f>IF($E721="","",IFERROR(VLOOKUP($E721,OpTbl,2,0),""))</f>
        <v/>
      </c>
      <c r="G721" s="12" t="n"/>
      <c r="H721" s="11">
        <f>IF($G721="","",IFERROR(IF(VLOOKUP($G721,AcctTbl,4,0)="","(بدون نام)",VLOOKUP($G721,AcctTbl,4,0)),"کد ناشناخته"))</f>
        <v/>
      </c>
      <c r="I721" s="13" t="n"/>
      <c r="J721" s="13" t="n"/>
      <c r="K721" s="14" t="n"/>
      <c r="L721" s="14" t="n"/>
      <c r="M721" s="15">
        <f>IF(OR($B721="",$K721=""),"",($K721-IF($L721="",0,$L721)*IFERROR(VLOOKUP("P01",ParamTbl,3,0),1.5))*(1-IF(IFERROR(VLOOKUP($E721,OpTbl,3,0),"")="خرید",IFERROR(VLOOKUP("P02",ParamTbl,3,0),1),0)/100))</f>
        <v/>
      </c>
      <c r="N721" s="14" t="n"/>
      <c r="O721" s="13" t="n"/>
    </row>
    <row r="722">
      <c r="A722" s="11">
        <f>IF($B722="","",COUNTA($B$9:$B722))</f>
        <v/>
      </c>
      <c r="B722" s="12" t="n"/>
      <c r="C722" s="12" t="n"/>
      <c r="D722" s="12" t="n"/>
      <c r="E722" s="13" t="n"/>
      <c r="F722" s="11">
        <f>IF($E722="","",IFERROR(VLOOKUP($E722,OpTbl,2,0),""))</f>
        <v/>
      </c>
      <c r="G722" s="12" t="n"/>
      <c r="H722" s="11">
        <f>IF($G722="","",IFERROR(IF(VLOOKUP($G722,AcctTbl,4,0)="","(بدون نام)",VLOOKUP($G722,AcctTbl,4,0)),"کد ناشناخته"))</f>
        <v/>
      </c>
      <c r="I722" s="13" t="n"/>
      <c r="J722" s="13" t="n"/>
      <c r="K722" s="14" t="n"/>
      <c r="L722" s="14" t="n"/>
      <c r="M722" s="15">
        <f>IF(OR($B722="",$K722=""),"",($K722-IF($L722="",0,$L722)*IFERROR(VLOOKUP("P01",ParamTbl,3,0),1.5))*(1-IF(IFERROR(VLOOKUP($E722,OpTbl,3,0),"")="خرید",IFERROR(VLOOKUP("P02",ParamTbl,3,0),1),0)/100))</f>
        <v/>
      </c>
      <c r="N722" s="14" t="n"/>
      <c r="O722" s="13" t="n"/>
    </row>
    <row r="723">
      <c r="A723" s="11">
        <f>IF($B723="","",COUNTA($B$9:$B723))</f>
        <v/>
      </c>
      <c r="B723" s="12" t="n"/>
      <c r="C723" s="12" t="n"/>
      <c r="D723" s="12" t="n"/>
      <c r="E723" s="13" t="n"/>
      <c r="F723" s="11">
        <f>IF($E723="","",IFERROR(VLOOKUP($E723,OpTbl,2,0),""))</f>
        <v/>
      </c>
      <c r="G723" s="12" t="n"/>
      <c r="H723" s="11">
        <f>IF($G723="","",IFERROR(IF(VLOOKUP($G723,AcctTbl,4,0)="","(بدون نام)",VLOOKUP($G723,AcctTbl,4,0)),"کد ناشناخته"))</f>
        <v/>
      </c>
      <c r="I723" s="13" t="n"/>
      <c r="J723" s="13" t="n"/>
      <c r="K723" s="14" t="n"/>
      <c r="L723" s="14" t="n"/>
      <c r="M723" s="15">
        <f>IF(OR($B723="",$K723=""),"",($K723-IF($L723="",0,$L723)*IFERROR(VLOOKUP("P01",ParamTbl,3,0),1.5))*(1-IF(IFERROR(VLOOKUP($E723,OpTbl,3,0),"")="خرید",IFERROR(VLOOKUP("P02",ParamTbl,3,0),1),0)/100))</f>
        <v/>
      </c>
      <c r="N723" s="14" t="n"/>
      <c r="O723" s="13" t="n"/>
    </row>
    <row r="724">
      <c r="A724" s="11">
        <f>IF($B724="","",COUNTA($B$9:$B724))</f>
        <v/>
      </c>
      <c r="B724" s="12" t="n"/>
      <c r="C724" s="12" t="n"/>
      <c r="D724" s="12" t="n"/>
      <c r="E724" s="13" t="n"/>
      <c r="F724" s="11">
        <f>IF($E724="","",IFERROR(VLOOKUP($E724,OpTbl,2,0),""))</f>
        <v/>
      </c>
      <c r="G724" s="12" t="n"/>
      <c r="H724" s="11">
        <f>IF($G724="","",IFERROR(IF(VLOOKUP($G724,AcctTbl,4,0)="","(بدون نام)",VLOOKUP($G724,AcctTbl,4,0)),"کد ناشناخته"))</f>
        <v/>
      </c>
      <c r="I724" s="13" t="n"/>
      <c r="J724" s="13" t="n"/>
      <c r="K724" s="14" t="n"/>
      <c r="L724" s="14" t="n"/>
      <c r="M724" s="15">
        <f>IF(OR($B724="",$K724=""),"",($K724-IF($L724="",0,$L724)*IFERROR(VLOOKUP("P01",ParamTbl,3,0),1.5))*(1-IF(IFERROR(VLOOKUP($E724,OpTbl,3,0),"")="خرید",IFERROR(VLOOKUP("P02",ParamTbl,3,0),1),0)/100))</f>
        <v/>
      </c>
      <c r="N724" s="14" t="n"/>
      <c r="O724" s="13" t="n"/>
    </row>
    <row r="725">
      <c r="A725" s="11">
        <f>IF($B725="","",COUNTA($B$9:$B725))</f>
        <v/>
      </c>
      <c r="B725" s="12" t="n"/>
      <c r="C725" s="12" t="n"/>
      <c r="D725" s="12" t="n"/>
      <c r="E725" s="13" t="n"/>
      <c r="F725" s="11">
        <f>IF($E725="","",IFERROR(VLOOKUP($E725,OpTbl,2,0),""))</f>
        <v/>
      </c>
      <c r="G725" s="12" t="n"/>
      <c r="H725" s="11">
        <f>IF($G725="","",IFERROR(IF(VLOOKUP($G725,AcctTbl,4,0)="","(بدون نام)",VLOOKUP($G725,AcctTbl,4,0)),"کد ناشناخته"))</f>
        <v/>
      </c>
      <c r="I725" s="13" t="n"/>
      <c r="J725" s="13" t="n"/>
      <c r="K725" s="14" t="n"/>
      <c r="L725" s="14" t="n"/>
      <c r="M725" s="15">
        <f>IF(OR($B725="",$K725=""),"",($K725-IF($L725="",0,$L725)*IFERROR(VLOOKUP("P01",ParamTbl,3,0),1.5))*(1-IF(IFERROR(VLOOKUP($E725,OpTbl,3,0),"")="خرید",IFERROR(VLOOKUP("P02",ParamTbl,3,0),1),0)/100))</f>
        <v/>
      </c>
      <c r="N725" s="14" t="n"/>
      <c r="O725" s="13" t="n"/>
    </row>
    <row r="726">
      <c r="A726" s="11">
        <f>IF($B726="","",COUNTA($B$9:$B726))</f>
        <v/>
      </c>
      <c r="B726" s="12" t="n"/>
      <c r="C726" s="12" t="n"/>
      <c r="D726" s="12" t="n"/>
      <c r="E726" s="13" t="n"/>
      <c r="F726" s="11">
        <f>IF($E726="","",IFERROR(VLOOKUP($E726,OpTbl,2,0),""))</f>
        <v/>
      </c>
      <c r="G726" s="12" t="n"/>
      <c r="H726" s="11">
        <f>IF($G726="","",IFERROR(IF(VLOOKUP($G726,AcctTbl,4,0)="","(بدون نام)",VLOOKUP($G726,AcctTbl,4,0)),"کد ناشناخته"))</f>
        <v/>
      </c>
      <c r="I726" s="13" t="n"/>
      <c r="J726" s="13" t="n"/>
      <c r="K726" s="14" t="n"/>
      <c r="L726" s="14" t="n"/>
      <c r="M726" s="15">
        <f>IF(OR($B726="",$K726=""),"",($K726-IF($L726="",0,$L726)*IFERROR(VLOOKUP("P01",ParamTbl,3,0),1.5))*(1-IF(IFERROR(VLOOKUP($E726,OpTbl,3,0),"")="خرید",IFERROR(VLOOKUP("P02",ParamTbl,3,0),1),0)/100))</f>
        <v/>
      </c>
      <c r="N726" s="14" t="n"/>
      <c r="O726" s="13" t="n"/>
    </row>
    <row r="727">
      <c r="A727" s="11">
        <f>IF($B727="","",COUNTA($B$9:$B727))</f>
        <v/>
      </c>
      <c r="B727" s="12" t="n"/>
      <c r="C727" s="12" t="n"/>
      <c r="D727" s="12" t="n"/>
      <c r="E727" s="13" t="n"/>
      <c r="F727" s="11">
        <f>IF($E727="","",IFERROR(VLOOKUP($E727,OpTbl,2,0),""))</f>
        <v/>
      </c>
      <c r="G727" s="12" t="n"/>
      <c r="H727" s="11">
        <f>IF($G727="","",IFERROR(IF(VLOOKUP($G727,AcctTbl,4,0)="","(بدون نام)",VLOOKUP($G727,AcctTbl,4,0)),"کد ناشناخته"))</f>
        <v/>
      </c>
      <c r="I727" s="13" t="n"/>
      <c r="J727" s="13" t="n"/>
      <c r="K727" s="14" t="n"/>
      <c r="L727" s="14" t="n"/>
      <c r="M727" s="15">
        <f>IF(OR($B727="",$K727=""),"",($K727-IF($L727="",0,$L727)*IFERROR(VLOOKUP("P01",ParamTbl,3,0),1.5))*(1-IF(IFERROR(VLOOKUP($E727,OpTbl,3,0),"")="خرید",IFERROR(VLOOKUP("P02",ParamTbl,3,0),1),0)/100))</f>
        <v/>
      </c>
      <c r="N727" s="14" t="n"/>
      <c r="O727" s="13" t="n"/>
    </row>
    <row r="728">
      <c r="A728" s="11">
        <f>IF($B728="","",COUNTA($B$9:$B728))</f>
        <v/>
      </c>
      <c r="B728" s="12" t="n"/>
      <c r="C728" s="12" t="n"/>
      <c r="D728" s="12" t="n"/>
      <c r="E728" s="13" t="n"/>
      <c r="F728" s="11">
        <f>IF($E728="","",IFERROR(VLOOKUP($E728,OpTbl,2,0),""))</f>
        <v/>
      </c>
      <c r="G728" s="12" t="n"/>
      <c r="H728" s="11">
        <f>IF($G728="","",IFERROR(IF(VLOOKUP($G728,AcctTbl,4,0)="","(بدون نام)",VLOOKUP($G728,AcctTbl,4,0)),"کد ناشناخته"))</f>
        <v/>
      </c>
      <c r="I728" s="13" t="n"/>
      <c r="J728" s="13" t="n"/>
      <c r="K728" s="14" t="n"/>
      <c r="L728" s="14" t="n"/>
      <c r="M728" s="15">
        <f>IF(OR($B728="",$K728=""),"",($K728-IF($L728="",0,$L728)*IFERROR(VLOOKUP("P01",ParamTbl,3,0),1.5))*(1-IF(IFERROR(VLOOKUP($E728,OpTbl,3,0),"")="خرید",IFERROR(VLOOKUP("P02",ParamTbl,3,0),1),0)/100))</f>
        <v/>
      </c>
      <c r="N728" s="14" t="n"/>
      <c r="O728" s="13" t="n"/>
    </row>
    <row r="729">
      <c r="A729" s="11">
        <f>IF($B729="","",COUNTA($B$9:$B729))</f>
        <v/>
      </c>
      <c r="B729" s="12" t="n"/>
      <c r="C729" s="12" t="n"/>
      <c r="D729" s="12" t="n"/>
      <c r="E729" s="13" t="n"/>
      <c r="F729" s="11">
        <f>IF($E729="","",IFERROR(VLOOKUP($E729,OpTbl,2,0),""))</f>
        <v/>
      </c>
      <c r="G729" s="12" t="n"/>
      <c r="H729" s="11">
        <f>IF($G729="","",IFERROR(IF(VLOOKUP($G729,AcctTbl,4,0)="","(بدون نام)",VLOOKUP($G729,AcctTbl,4,0)),"کد ناشناخته"))</f>
        <v/>
      </c>
      <c r="I729" s="13" t="n"/>
      <c r="J729" s="13" t="n"/>
      <c r="K729" s="14" t="n"/>
      <c r="L729" s="14" t="n"/>
      <c r="M729" s="15">
        <f>IF(OR($B729="",$K729=""),"",($K729-IF($L729="",0,$L729)*IFERROR(VLOOKUP("P01",ParamTbl,3,0),1.5))*(1-IF(IFERROR(VLOOKUP($E729,OpTbl,3,0),"")="خرید",IFERROR(VLOOKUP("P02",ParamTbl,3,0),1),0)/100))</f>
        <v/>
      </c>
      <c r="N729" s="14" t="n"/>
      <c r="O729" s="13" t="n"/>
    </row>
    <row r="730">
      <c r="A730" s="11">
        <f>IF($B730="","",COUNTA($B$9:$B730))</f>
        <v/>
      </c>
      <c r="B730" s="12" t="n"/>
      <c r="C730" s="12" t="n"/>
      <c r="D730" s="12" t="n"/>
      <c r="E730" s="13" t="n"/>
      <c r="F730" s="11">
        <f>IF($E730="","",IFERROR(VLOOKUP($E730,OpTbl,2,0),""))</f>
        <v/>
      </c>
      <c r="G730" s="12" t="n"/>
      <c r="H730" s="11">
        <f>IF($G730="","",IFERROR(IF(VLOOKUP($G730,AcctTbl,4,0)="","(بدون نام)",VLOOKUP($G730,AcctTbl,4,0)),"کد ناشناخته"))</f>
        <v/>
      </c>
      <c r="I730" s="13" t="n"/>
      <c r="J730" s="13" t="n"/>
      <c r="K730" s="14" t="n"/>
      <c r="L730" s="14" t="n"/>
      <c r="M730" s="15">
        <f>IF(OR($B730="",$K730=""),"",($K730-IF($L730="",0,$L730)*IFERROR(VLOOKUP("P01",ParamTbl,3,0),1.5))*(1-IF(IFERROR(VLOOKUP($E730,OpTbl,3,0),"")="خرید",IFERROR(VLOOKUP("P02",ParamTbl,3,0),1),0)/100))</f>
        <v/>
      </c>
      <c r="N730" s="14" t="n"/>
      <c r="O730" s="13" t="n"/>
    </row>
    <row r="731">
      <c r="A731" s="11">
        <f>IF($B731="","",COUNTA($B$9:$B731))</f>
        <v/>
      </c>
      <c r="B731" s="12" t="n"/>
      <c r="C731" s="12" t="n"/>
      <c r="D731" s="12" t="n"/>
      <c r="E731" s="13" t="n"/>
      <c r="F731" s="11">
        <f>IF($E731="","",IFERROR(VLOOKUP($E731,OpTbl,2,0),""))</f>
        <v/>
      </c>
      <c r="G731" s="12" t="n"/>
      <c r="H731" s="11">
        <f>IF($G731="","",IFERROR(IF(VLOOKUP($G731,AcctTbl,4,0)="","(بدون نام)",VLOOKUP($G731,AcctTbl,4,0)),"کد ناشناخته"))</f>
        <v/>
      </c>
      <c r="I731" s="13" t="n"/>
      <c r="J731" s="13" t="n"/>
      <c r="K731" s="14" t="n"/>
      <c r="L731" s="14" t="n"/>
      <c r="M731" s="15">
        <f>IF(OR($B731="",$K731=""),"",($K731-IF($L731="",0,$L731)*IFERROR(VLOOKUP("P01",ParamTbl,3,0),1.5))*(1-IF(IFERROR(VLOOKUP($E731,OpTbl,3,0),"")="خرید",IFERROR(VLOOKUP("P02",ParamTbl,3,0),1),0)/100))</f>
        <v/>
      </c>
      <c r="N731" s="14" t="n"/>
      <c r="O731" s="13" t="n"/>
    </row>
    <row r="732">
      <c r="A732" s="11">
        <f>IF($B732="","",COUNTA($B$9:$B732))</f>
        <v/>
      </c>
      <c r="B732" s="12" t="n"/>
      <c r="C732" s="12" t="n"/>
      <c r="D732" s="12" t="n"/>
      <c r="E732" s="13" t="n"/>
      <c r="F732" s="11">
        <f>IF($E732="","",IFERROR(VLOOKUP($E732,OpTbl,2,0),""))</f>
        <v/>
      </c>
      <c r="G732" s="12" t="n"/>
      <c r="H732" s="11">
        <f>IF($G732="","",IFERROR(IF(VLOOKUP($G732,AcctTbl,4,0)="","(بدون نام)",VLOOKUP($G732,AcctTbl,4,0)),"کد ناشناخته"))</f>
        <v/>
      </c>
      <c r="I732" s="13" t="n"/>
      <c r="J732" s="13" t="n"/>
      <c r="K732" s="14" t="n"/>
      <c r="L732" s="14" t="n"/>
      <c r="M732" s="15">
        <f>IF(OR($B732="",$K732=""),"",($K732-IF($L732="",0,$L732)*IFERROR(VLOOKUP("P01",ParamTbl,3,0),1.5))*(1-IF(IFERROR(VLOOKUP($E732,OpTbl,3,0),"")="خرید",IFERROR(VLOOKUP("P02",ParamTbl,3,0),1),0)/100))</f>
        <v/>
      </c>
      <c r="N732" s="14" t="n"/>
      <c r="O732" s="13" t="n"/>
    </row>
    <row r="733">
      <c r="A733" s="11">
        <f>IF($B733="","",COUNTA($B$9:$B733))</f>
        <v/>
      </c>
      <c r="B733" s="12" t="n"/>
      <c r="C733" s="12" t="n"/>
      <c r="D733" s="12" t="n"/>
      <c r="E733" s="13" t="n"/>
      <c r="F733" s="11">
        <f>IF($E733="","",IFERROR(VLOOKUP($E733,OpTbl,2,0),""))</f>
        <v/>
      </c>
      <c r="G733" s="12" t="n"/>
      <c r="H733" s="11">
        <f>IF($G733="","",IFERROR(IF(VLOOKUP($G733,AcctTbl,4,0)="","(بدون نام)",VLOOKUP($G733,AcctTbl,4,0)),"کد ناشناخته"))</f>
        <v/>
      </c>
      <c r="I733" s="13" t="n"/>
      <c r="J733" s="13" t="n"/>
      <c r="K733" s="14" t="n"/>
      <c r="L733" s="14" t="n"/>
      <c r="M733" s="15">
        <f>IF(OR($B733="",$K733=""),"",($K733-IF($L733="",0,$L733)*IFERROR(VLOOKUP("P01",ParamTbl,3,0),1.5))*(1-IF(IFERROR(VLOOKUP($E733,OpTbl,3,0),"")="خرید",IFERROR(VLOOKUP("P02",ParamTbl,3,0),1),0)/100))</f>
        <v/>
      </c>
      <c r="N733" s="14" t="n"/>
      <c r="O733" s="13" t="n"/>
    </row>
    <row r="734">
      <c r="A734" s="11">
        <f>IF($B734="","",COUNTA($B$9:$B734))</f>
        <v/>
      </c>
      <c r="B734" s="12" t="n"/>
      <c r="C734" s="12" t="n"/>
      <c r="D734" s="12" t="n"/>
      <c r="E734" s="13" t="n"/>
      <c r="F734" s="11">
        <f>IF($E734="","",IFERROR(VLOOKUP($E734,OpTbl,2,0),""))</f>
        <v/>
      </c>
      <c r="G734" s="12" t="n"/>
      <c r="H734" s="11">
        <f>IF($G734="","",IFERROR(IF(VLOOKUP($G734,AcctTbl,4,0)="","(بدون نام)",VLOOKUP($G734,AcctTbl,4,0)),"کد ناشناخته"))</f>
        <v/>
      </c>
      <c r="I734" s="13" t="n"/>
      <c r="J734" s="13" t="n"/>
      <c r="K734" s="14" t="n"/>
      <c r="L734" s="14" t="n"/>
      <c r="M734" s="15">
        <f>IF(OR($B734="",$K734=""),"",($K734-IF($L734="",0,$L734)*IFERROR(VLOOKUP("P01",ParamTbl,3,0),1.5))*(1-IF(IFERROR(VLOOKUP($E734,OpTbl,3,0),"")="خرید",IFERROR(VLOOKUP("P02",ParamTbl,3,0),1),0)/100))</f>
        <v/>
      </c>
      <c r="N734" s="14" t="n"/>
      <c r="O734" s="13" t="n"/>
    </row>
    <row r="735">
      <c r="A735" s="11">
        <f>IF($B735="","",COUNTA($B$9:$B735))</f>
        <v/>
      </c>
      <c r="B735" s="12" t="n"/>
      <c r="C735" s="12" t="n"/>
      <c r="D735" s="12" t="n"/>
      <c r="E735" s="13" t="n"/>
      <c r="F735" s="11">
        <f>IF($E735="","",IFERROR(VLOOKUP($E735,OpTbl,2,0),""))</f>
        <v/>
      </c>
      <c r="G735" s="12" t="n"/>
      <c r="H735" s="11">
        <f>IF($G735="","",IFERROR(IF(VLOOKUP($G735,AcctTbl,4,0)="","(بدون نام)",VLOOKUP($G735,AcctTbl,4,0)),"کد ناشناخته"))</f>
        <v/>
      </c>
      <c r="I735" s="13" t="n"/>
      <c r="J735" s="13" t="n"/>
      <c r="K735" s="14" t="n"/>
      <c r="L735" s="14" t="n"/>
      <c r="M735" s="15">
        <f>IF(OR($B735="",$K735=""),"",($K735-IF($L735="",0,$L735)*IFERROR(VLOOKUP("P01",ParamTbl,3,0),1.5))*(1-IF(IFERROR(VLOOKUP($E735,OpTbl,3,0),"")="خرید",IFERROR(VLOOKUP("P02",ParamTbl,3,0),1),0)/100))</f>
        <v/>
      </c>
      <c r="N735" s="14" t="n"/>
      <c r="O735" s="13" t="n"/>
    </row>
    <row r="736">
      <c r="A736" s="11">
        <f>IF($B736="","",COUNTA($B$9:$B736))</f>
        <v/>
      </c>
      <c r="B736" s="12" t="n"/>
      <c r="C736" s="12" t="n"/>
      <c r="D736" s="12" t="n"/>
      <c r="E736" s="13" t="n"/>
      <c r="F736" s="11">
        <f>IF($E736="","",IFERROR(VLOOKUP($E736,OpTbl,2,0),""))</f>
        <v/>
      </c>
      <c r="G736" s="12" t="n"/>
      <c r="H736" s="11">
        <f>IF($G736="","",IFERROR(IF(VLOOKUP($G736,AcctTbl,4,0)="","(بدون نام)",VLOOKUP($G736,AcctTbl,4,0)),"کد ناشناخته"))</f>
        <v/>
      </c>
      <c r="I736" s="13" t="n"/>
      <c r="J736" s="13" t="n"/>
      <c r="K736" s="14" t="n"/>
      <c r="L736" s="14" t="n"/>
      <c r="M736" s="15">
        <f>IF(OR($B736="",$K736=""),"",($K736-IF($L736="",0,$L736)*IFERROR(VLOOKUP("P01",ParamTbl,3,0),1.5))*(1-IF(IFERROR(VLOOKUP($E736,OpTbl,3,0),"")="خرید",IFERROR(VLOOKUP("P02",ParamTbl,3,0),1),0)/100))</f>
        <v/>
      </c>
      <c r="N736" s="14" t="n"/>
      <c r="O736" s="13" t="n"/>
    </row>
    <row r="737">
      <c r="A737" s="11">
        <f>IF($B737="","",COUNTA($B$9:$B737))</f>
        <v/>
      </c>
      <c r="B737" s="12" t="n"/>
      <c r="C737" s="12" t="n"/>
      <c r="D737" s="12" t="n"/>
      <c r="E737" s="13" t="n"/>
      <c r="F737" s="11">
        <f>IF($E737="","",IFERROR(VLOOKUP($E737,OpTbl,2,0),""))</f>
        <v/>
      </c>
      <c r="G737" s="12" t="n"/>
      <c r="H737" s="11">
        <f>IF($G737="","",IFERROR(IF(VLOOKUP($G737,AcctTbl,4,0)="","(بدون نام)",VLOOKUP($G737,AcctTbl,4,0)),"کد ناشناخته"))</f>
        <v/>
      </c>
      <c r="I737" s="13" t="n"/>
      <c r="J737" s="13" t="n"/>
      <c r="K737" s="14" t="n"/>
      <c r="L737" s="14" t="n"/>
      <c r="M737" s="15">
        <f>IF(OR($B737="",$K737=""),"",($K737-IF($L737="",0,$L737)*IFERROR(VLOOKUP("P01",ParamTbl,3,0),1.5))*(1-IF(IFERROR(VLOOKUP($E737,OpTbl,3,0),"")="خرید",IFERROR(VLOOKUP("P02",ParamTbl,3,0),1),0)/100))</f>
        <v/>
      </c>
      <c r="N737" s="14" t="n"/>
      <c r="O737" s="13" t="n"/>
    </row>
    <row r="738">
      <c r="A738" s="11">
        <f>IF($B738="","",COUNTA($B$9:$B738))</f>
        <v/>
      </c>
      <c r="B738" s="12" t="n"/>
      <c r="C738" s="12" t="n"/>
      <c r="D738" s="12" t="n"/>
      <c r="E738" s="13" t="n"/>
      <c r="F738" s="11">
        <f>IF($E738="","",IFERROR(VLOOKUP($E738,OpTbl,2,0),""))</f>
        <v/>
      </c>
      <c r="G738" s="12" t="n"/>
      <c r="H738" s="11">
        <f>IF($G738="","",IFERROR(IF(VLOOKUP($G738,AcctTbl,4,0)="","(بدون نام)",VLOOKUP($G738,AcctTbl,4,0)),"کد ناشناخته"))</f>
        <v/>
      </c>
      <c r="I738" s="13" t="n"/>
      <c r="J738" s="13" t="n"/>
      <c r="K738" s="14" t="n"/>
      <c r="L738" s="14" t="n"/>
      <c r="M738" s="15">
        <f>IF(OR($B738="",$K738=""),"",($K738-IF($L738="",0,$L738)*IFERROR(VLOOKUP("P01",ParamTbl,3,0),1.5))*(1-IF(IFERROR(VLOOKUP($E738,OpTbl,3,0),"")="خرید",IFERROR(VLOOKUP("P02",ParamTbl,3,0),1),0)/100))</f>
        <v/>
      </c>
      <c r="N738" s="14" t="n"/>
      <c r="O738" s="13" t="n"/>
    </row>
    <row r="739">
      <c r="A739" s="11">
        <f>IF($B739="","",COUNTA($B$9:$B739))</f>
        <v/>
      </c>
      <c r="B739" s="12" t="n"/>
      <c r="C739" s="12" t="n"/>
      <c r="D739" s="12" t="n"/>
      <c r="E739" s="13" t="n"/>
      <c r="F739" s="11">
        <f>IF($E739="","",IFERROR(VLOOKUP($E739,OpTbl,2,0),""))</f>
        <v/>
      </c>
      <c r="G739" s="12" t="n"/>
      <c r="H739" s="11">
        <f>IF($G739="","",IFERROR(IF(VLOOKUP($G739,AcctTbl,4,0)="","(بدون نام)",VLOOKUP($G739,AcctTbl,4,0)),"کد ناشناخته"))</f>
        <v/>
      </c>
      <c r="I739" s="13" t="n"/>
      <c r="J739" s="13" t="n"/>
      <c r="K739" s="14" t="n"/>
      <c r="L739" s="14" t="n"/>
      <c r="M739" s="15">
        <f>IF(OR($B739="",$K739=""),"",($K739-IF($L739="",0,$L739)*IFERROR(VLOOKUP("P01",ParamTbl,3,0),1.5))*(1-IF(IFERROR(VLOOKUP($E739,OpTbl,3,0),"")="خرید",IFERROR(VLOOKUP("P02",ParamTbl,3,0),1),0)/100))</f>
        <v/>
      </c>
      <c r="N739" s="14" t="n"/>
      <c r="O739" s="13" t="n"/>
    </row>
    <row r="740">
      <c r="A740" s="11">
        <f>IF($B740="","",COUNTA($B$9:$B740))</f>
        <v/>
      </c>
      <c r="B740" s="12" t="n"/>
      <c r="C740" s="12" t="n"/>
      <c r="D740" s="12" t="n"/>
      <c r="E740" s="13" t="n"/>
      <c r="F740" s="11">
        <f>IF($E740="","",IFERROR(VLOOKUP($E740,OpTbl,2,0),""))</f>
        <v/>
      </c>
      <c r="G740" s="12" t="n"/>
      <c r="H740" s="11">
        <f>IF($G740="","",IFERROR(IF(VLOOKUP($G740,AcctTbl,4,0)="","(بدون نام)",VLOOKUP($G740,AcctTbl,4,0)),"کد ناشناخته"))</f>
        <v/>
      </c>
      <c r="I740" s="13" t="n"/>
      <c r="J740" s="13" t="n"/>
      <c r="K740" s="14" t="n"/>
      <c r="L740" s="14" t="n"/>
      <c r="M740" s="15">
        <f>IF(OR($B740="",$K740=""),"",($K740-IF($L740="",0,$L740)*IFERROR(VLOOKUP("P01",ParamTbl,3,0),1.5))*(1-IF(IFERROR(VLOOKUP($E740,OpTbl,3,0),"")="خرید",IFERROR(VLOOKUP("P02",ParamTbl,3,0),1),0)/100))</f>
        <v/>
      </c>
      <c r="N740" s="14" t="n"/>
      <c r="O740" s="13" t="n"/>
    </row>
    <row r="741">
      <c r="A741" s="11">
        <f>IF($B741="","",COUNTA($B$9:$B741))</f>
        <v/>
      </c>
      <c r="B741" s="12" t="n"/>
      <c r="C741" s="12" t="n"/>
      <c r="D741" s="12" t="n"/>
      <c r="E741" s="13" t="n"/>
      <c r="F741" s="11">
        <f>IF($E741="","",IFERROR(VLOOKUP($E741,OpTbl,2,0),""))</f>
        <v/>
      </c>
      <c r="G741" s="12" t="n"/>
      <c r="H741" s="11">
        <f>IF($G741="","",IFERROR(IF(VLOOKUP($G741,AcctTbl,4,0)="","(بدون نام)",VLOOKUP($G741,AcctTbl,4,0)),"کد ناشناخته"))</f>
        <v/>
      </c>
      <c r="I741" s="13" t="n"/>
      <c r="J741" s="13" t="n"/>
      <c r="K741" s="14" t="n"/>
      <c r="L741" s="14" t="n"/>
      <c r="M741" s="15">
        <f>IF(OR($B741="",$K741=""),"",($K741-IF($L741="",0,$L741)*IFERROR(VLOOKUP("P01",ParamTbl,3,0),1.5))*(1-IF(IFERROR(VLOOKUP($E741,OpTbl,3,0),"")="خرید",IFERROR(VLOOKUP("P02",ParamTbl,3,0),1),0)/100))</f>
        <v/>
      </c>
      <c r="N741" s="14" t="n"/>
      <c r="O741" s="13" t="n"/>
    </row>
    <row r="742">
      <c r="A742" s="11">
        <f>IF($B742="","",COUNTA($B$9:$B742))</f>
        <v/>
      </c>
      <c r="B742" s="12" t="n"/>
      <c r="C742" s="12" t="n"/>
      <c r="D742" s="12" t="n"/>
      <c r="E742" s="13" t="n"/>
      <c r="F742" s="11">
        <f>IF($E742="","",IFERROR(VLOOKUP($E742,OpTbl,2,0),""))</f>
        <v/>
      </c>
      <c r="G742" s="12" t="n"/>
      <c r="H742" s="11">
        <f>IF($G742="","",IFERROR(IF(VLOOKUP($G742,AcctTbl,4,0)="","(بدون نام)",VLOOKUP($G742,AcctTbl,4,0)),"کد ناشناخته"))</f>
        <v/>
      </c>
      <c r="I742" s="13" t="n"/>
      <c r="J742" s="13" t="n"/>
      <c r="K742" s="14" t="n"/>
      <c r="L742" s="14" t="n"/>
      <c r="M742" s="15">
        <f>IF(OR($B742="",$K742=""),"",($K742-IF($L742="",0,$L742)*IFERROR(VLOOKUP("P01",ParamTbl,3,0),1.5))*(1-IF(IFERROR(VLOOKUP($E742,OpTbl,3,0),"")="خرید",IFERROR(VLOOKUP("P02",ParamTbl,3,0),1),0)/100))</f>
        <v/>
      </c>
      <c r="N742" s="14" t="n"/>
      <c r="O742" s="13" t="n"/>
    </row>
    <row r="743">
      <c r="A743" s="11">
        <f>IF($B743="","",COUNTA($B$9:$B743))</f>
        <v/>
      </c>
      <c r="B743" s="12" t="n"/>
      <c r="C743" s="12" t="n"/>
      <c r="D743" s="12" t="n"/>
      <c r="E743" s="13" t="n"/>
      <c r="F743" s="11">
        <f>IF($E743="","",IFERROR(VLOOKUP($E743,OpTbl,2,0),""))</f>
        <v/>
      </c>
      <c r="G743" s="12" t="n"/>
      <c r="H743" s="11">
        <f>IF($G743="","",IFERROR(IF(VLOOKUP($G743,AcctTbl,4,0)="","(بدون نام)",VLOOKUP($G743,AcctTbl,4,0)),"کد ناشناخته"))</f>
        <v/>
      </c>
      <c r="I743" s="13" t="n"/>
      <c r="J743" s="13" t="n"/>
      <c r="K743" s="14" t="n"/>
      <c r="L743" s="14" t="n"/>
      <c r="M743" s="15">
        <f>IF(OR($B743="",$K743=""),"",($K743-IF($L743="",0,$L743)*IFERROR(VLOOKUP("P01",ParamTbl,3,0),1.5))*(1-IF(IFERROR(VLOOKUP($E743,OpTbl,3,0),"")="خرید",IFERROR(VLOOKUP("P02",ParamTbl,3,0),1),0)/100))</f>
        <v/>
      </c>
      <c r="N743" s="14" t="n"/>
      <c r="O743" s="13" t="n"/>
    </row>
    <row r="744">
      <c r="A744" s="11">
        <f>IF($B744="","",COUNTA($B$9:$B744))</f>
        <v/>
      </c>
      <c r="B744" s="12" t="n"/>
      <c r="C744" s="12" t="n"/>
      <c r="D744" s="12" t="n"/>
      <c r="E744" s="13" t="n"/>
      <c r="F744" s="11">
        <f>IF($E744="","",IFERROR(VLOOKUP($E744,OpTbl,2,0),""))</f>
        <v/>
      </c>
      <c r="G744" s="12" t="n"/>
      <c r="H744" s="11">
        <f>IF($G744="","",IFERROR(IF(VLOOKUP($G744,AcctTbl,4,0)="","(بدون نام)",VLOOKUP($G744,AcctTbl,4,0)),"کد ناشناخته"))</f>
        <v/>
      </c>
      <c r="I744" s="13" t="n"/>
      <c r="J744" s="13" t="n"/>
      <c r="K744" s="14" t="n"/>
      <c r="L744" s="14" t="n"/>
      <c r="M744" s="15">
        <f>IF(OR($B744="",$K744=""),"",($K744-IF($L744="",0,$L744)*IFERROR(VLOOKUP("P01",ParamTbl,3,0),1.5))*(1-IF(IFERROR(VLOOKUP($E744,OpTbl,3,0),"")="خرید",IFERROR(VLOOKUP("P02",ParamTbl,3,0),1),0)/100))</f>
        <v/>
      </c>
      <c r="N744" s="14" t="n"/>
      <c r="O744" s="13" t="n"/>
    </row>
    <row r="745">
      <c r="A745" s="11">
        <f>IF($B745="","",COUNTA($B$9:$B745))</f>
        <v/>
      </c>
      <c r="B745" s="12" t="n"/>
      <c r="C745" s="12" t="n"/>
      <c r="D745" s="12" t="n"/>
      <c r="E745" s="13" t="n"/>
      <c r="F745" s="11">
        <f>IF($E745="","",IFERROR(VLOOKUP($E745,OpTbl,2,0),""))</f>
        <v/>
      </c>
      <c r="G745" s="12" t="n"/>
      <c r="H745" s="11">
        <f>IF($G745="","",IFERROR(IF(VLOOKUP($G745,AcctTbl,4,0)="","(بدون نام)",VLOOKUP($G745,AcctTbl,4,0)),"کد ناشناخته"))</f>
        <v/>
      </c>
      <c r="I745" s="13" t="n"/>
      <c r="J745" s="13" t="n"/>
      <c r="K745" s="14" t="n"/>
      <c r="L745" s="14" t="n"/>
      <c r="M745" s="15">
        <f>IF(OR($B745="",$K745=""),"",($K745-IF($L745="",0,$L745)*IFERROR(VLOOKUP("P01",ParamTbl,3,0),1.5))*(1-IF(IFERROR(VLOOKUP($E745,OpTbl,3,0),"")="خرید",IFERROR(VLOOKUP("P02",ParamTbl,3,0),1),0)/100))</f>
        <v/>
      </c>
      <c r="N745" s="14" t="n"/>
      <c r="O745" s="13" t="n"/>
    </row>
    <row r="746">
      <c r="A746" s="11">
        <f>IF($B746="","",COUNTA($B$9:$B746))</f>
        <v/>
      </c>
      <c r="B746" s="12" t="n"/>
      <c r="C746" s="12" t="n"/>
      <c r="D746" s="12" t="n"/>
      <c r="E746" s="13" t="n"/>
      <c r="F746" s="11">
        <f>IF($E746="","",IFERROR(VLOOKUP($E746,OpTbl,2,0),""))</f>
        <v/>
      </c>
      <c r="G746" s="12" t="n"/>
      <c r="H746" s="11">
        <f>IF($G746="","",IFERROR(IF(VLOOKUP($G746,AcctTbl,4,0)="","(بدون نام)",VLOOKUP($G746,AcctTbl,4,0)),"کد ناشناخته"))</f>
        <v/>
      </c>
      <c r="I746" s="13" t="n"/>
      <c r="J746" s="13" t="n"/>
      <c r="K746" s="14" t="n"/>
      <c r="L746" s="14" t="n"/>
      <c r="M746" s="15">
        <f>IF(OR($B746="",$K746=""),"",($K746-IF($L746="",0,$L746)*IFERROR(VLOOKUP("P01",ParamTbl,3,0),1.5))*(1-IF(IFERROR(VLOOKUP($E746,OpTbl,3,0),"")="خرید",IFERROR(VLOOKUP("P02",ParamTbl,3,0),1),0)/100))</f>
        <v/>
      </c>
      <c r="N746" s="14" t="n"/>
      <c r="O746" s="13" t="n"/>
    </row>
    <row r="747">
      <c r="A747" s="11">
        <f>IF($B747="","",COUNTA($B$9:$B747))</f>
        <v/>
      </c>
      <c r="B747" s="12" t="n"/>
      <c r="C747" s="12" t="n"/>
      <c r="D747" s="12" t="n"/>
      <c r="E747" s="13" t="n"/>
      <c r="F747" s="11">
        <f>IF($E747="","",IFERROR(VLOOKUP($E747,OpTbl,2,0),""))</f>
        <v/>
      </c>
      <c r="G747" s="12" t="n"/>
      <c r="H747" s="11">
        <f>IF($G747="","",IFERROR(IF(VLOOKUP($G747,AcctTbl,4,0)="","(بدون نام)",VLOOKUP($G747,AcctTbl,4,0)),"کد ناشناخته"))</f>
        <v/>
      </c>
      <c r="I747" s="13" t="n"/>
      <c r="J747" s="13" t="n"/>
      <c r="K747" s="14" t="n"/>
      <c r="L747" s="14" t="n"/>
      <c r="M747" s="15">
        <f>IF(OR($B747="",$K747=""),"",($K747-IF($L747="",0,$L747)*IFERROR(VLOOKUP("P01",ParamTbl,3,0),1.5))*(1-IF(IFERROR(VLOOKUP($E747,OpTbl,3,0),"")="خرید",IFERROR(VLOOKUP("P02",ParamTbl,3,0),1),0)/100))</f>
        <v/>
      </c>
      <c r="N747" s="14" t="n"/>
      <c r="O747" s="13" t="n"/>
    </row>
    <row r="748">
      <c r="A748" s="11">
        <f>IF($B748="","",COUNTA($B$9:$B748))</f>
        <v/>
      </c>
      <c r="B748" s="12" t="n"/>
      <c r="C748" s="12" t="n"/>
      <c r="D748" s="12" t="n"/>
      <c r="E748" s="13" t="n"/>
      <c r="F748" s="11">
        <f>IF($E748="","",IFERROR(VLOOKUP($E748,OpTbl,2,0),""))</f>
        <v/>
      </c>
      <c r="G748" s="12" t="n"/>
      <c r="H748" s="11">
        <f>IF($G748="","",IFERROR(IF(VLOOKUP($G748,AcctTbl,4,0)="","(بدون نام)",VLOOKUP($G748,AcctTbl,4,0)),"کد ناشناخته"))</f>
        <v/>
      </c>
      <c r="I748" s="13" t="n"/>
      <c r="J748" s="13" t="n"/>
      <c r="K748" s="14" t="n"/>
      <c r="L748" s="14" t="n"/>
      <c r="M748" s="15">
        <f>IF(OR($B748="",$K748=""),"",($K748-IF($L748="",0,$L748)*IFERROR(VLOOKUP("P01",ParamTbl,3,0),1.5))*(1-IF(IFERROR(VLOOKUP($E748,OpTbl,3,0),"")="خرید",IFERROR(VLOOKUP("P02",ParamTbl,3,0),1),0)/100))</f>
        <v/>
      </c>
      <c r="N748" s="14" t="n"/>
      <c r="O748" s="13" t="n"/>
    </row>
    <row r="749">
      <c r="A749" s="11">
        <f>IF($B749="","",COUNTA($B$9:$B749))</f>
        <v/>
      </c>
      <c r="B749" s="12" t="n"/>
      <c r="C749" s="12" t="n"/>
      <c r="D749" s="12" t="n"/>
      <c r="E749" s="13" t="n"/>
      <c r="F749" s="11">
        <f>IF($E749="","",IFERROR(VLOOKUP($E749,OpTbl,2,0),""))</f>
        <v/>
      </c>
      <c r="G749" s="12" t="n"/>
      <c r="H749" s="11">
        <f>IF($G749="","",IFERROR(IF(VLOOKUP($G749,AcctTbl,4,0)="","(بدون نام)",VLOOKUP($G749,AcctTbl,4,0)),"کد ناشناخته"))</f>
        <v/>
      </c>
      <c r="I749" s="13" t="n"/>
      <c r="J749" s="13" t="n"/>
      <c r="K749" s="14" t="n"/>
      <c r="L749" s="14" t="n"/>
      <c r="M749" s="15">
        <f>IF(OR($B749="",$K749=""),"",($K749-IF($L749="",0,$L749)*IFERROR(VLOOKUP("P01",ParamTbl,3,0),1.5))*(1-IF(IFERROR(VLOOKUP($E749,OpTbl,3,0),"")="خرید",IFERROR(VLOOKUP("P02",ParamTbl,3,0),1),0)/100))</f>
        <v/>
      </c>
      <c r="N749" s="14" t="n"/>
      <c r="O749" s="13" t="n"/>
    </row>
    <row r="750">
      <c r="A750" s="11">
        <f>IF($B750="","",COUNTA($B$9:$B750))</f>
        <v/>
      </c>
      <c r="B750" s="12" t="n"/>
      <c r="C750" s="12" t="n"/>
      <c r="D750" s="12" t="n"/>
      <c r="E750" s="13" t="n"/>
      <c r="F750" s="11">
        <f>IF($E750="","",IFERROR(VLOOKUP($E750,OpTbl,2,0),""))</f>
        <v/>
      </c>
      <c r="G750" s="12" t="n"/>
      <c r="H750" s="11">
        <f>IF($G750="","",IFERROR(IF(VLOOKUP($G750,AcctTbl,4,0)="","(بدون نام)",VLOOKUP($G750,AcctTbl,4,0)),"کد ناشناخته"))</f>
        <v/>
      </c>
      <c r="I750" s="13" t="n"/>
      <c r="J750" s="13" t="n"/>
      <c r="K750" s="14" t="n"/>
      <c r="L750" s="14" t="n"/>
      <c r="M750" s="15">
        <f>IF(OR($B750="",$K750=""),"",($K750-IF($L750="",0,$L750)*IFERROR(VLOOKUP("P01",ParamTbl,3,0),1.5))*(1-IF(IFERROR(VLOOKUP($E750,OpTbl,3,0),"")="خرید",IFERROR(VLOOKUP("P02",ParamTbl,3,0),1),0)/100))</f>
        <v/>
      </c>
      <c r="N750" s="14" t="n"/>
      <c r="O750" s="13" t="n"/>
    </row>
    <row r="751">
      <c r="A751" s="11">
        <f>IF($B751="","",COUNTA($B$9:$B751))</f>
        <v/>
      </c>
      <c r="B751" s="12" t="n"/>
      <c r="C751" s="12" t="n"/>
      <c r="D751" s="12" t="n"/>
      <c r="E751" s="13" t="n"/>
      <c r="F751" s="11">
        <f>IF($E751="","",IFERROR(VLOOKUP($E751,OpTbl,2,0),""))</f>
        <v/>
      </c>
      <c r="G751" s="12" t="n"/>
      <c r="H751" s="11">
        <f>IF($G751="","",IFERROR(IF(VLOOKUP($G751,AcctTbl,4,0)="","(بدون نام)",VLOOKUP($G751,AcctTbl,4,0)),"کد ناشناخته"))</f>
        <v/>
      </c>
      <c r="I751" s="13" t="n"/>
      <c r="J751" s="13" t="n"/>
      <c r="K751" s="14" t="n"/>
      <c r="L751" s="14" t="n"/>
      <c r="M751" s="15">
        <f>IF(OR($B751="",$K751=""),"",($K751-IF($L751="",0,$L751)*IFERROR(VLOOKUP("P01",ParamTbl,3,0),1.5))*(1-IF(IFERROR(VLOOKUP($E751,OpTbl,3,0),"")="خرید",IFERROR(VLOOKUP("P02",ParamTbl,3,0),1),0)/100))</f>
        <v/>
      </c>
      <c r="N751" s="14" t="n"/>
      <c r="O751" s="13" t="n"/>
    </row>
    <row r="752">
      <c r="A752" s="11">
        <f>IF($B752="","",COUNTA($B$9:$B752))</f>
        <v/>
      </c>
      <c r="B752" s="12" t="n"/>
      <c r="C752" s="12" t="n"/>
      <c r="D752" s="12" t="n"/>
      <c r="E752" s="13" t="n"/>
      <c r="F752" s="11">
        <f>IF($E752="","",IFERROR(VLOOKUP($E752,OpTbl,2,0),""))</f>
        <v/>
      </c>
      <c r="G752" s="12" t="n"/>
      <c r="H752" s="11">
        <f>IF($G752="","",IFERROR(IF(VLOOKUP($G752,AcctTbl,4,0)="","(بدون نام)",VLOOKUP($G752,AcctTbl,4,0)),"کد ناشناخته"))</f>
        <v/>
      </c>
      <c r="I752" s="13" t="n"/>
      <c r="J752" s="13" t="n"/>
      <c r="K752" s="14" t="n"/>
      <c r="L752" s="14" t="n"/>
      <c r="M752" s="15">
        <f>IF(OR($B752="",$K752=""),"",($K752-IF($L752="",0,$L752)*IFERROR(VLOOKUP("P01",ParamTbl,3,0),1.5))*(1-IF(IFERROR(VLOOKUP($E752,OpTbl,3,0),"")="خرید",IFERROR(VLOOKUP("P02",ParamTbl,3,0),1),0)/100))</f>
        <v/>
      </c>
      <c r="N752" s="14" t="n"/>
      <c r="O752" s="13" t="n"/>
    </row>
    <row r="753">
      <c r="A753" s="11">
        <f>IF($B753="","",COUNTA($B$9:$B753))</f>
        <v/>
      </c>
      <c r="B753" s="12" t="n"/>
      <c r="C753" s="12" t="n"/>
      <c r="D753" s="12" t="n"/>
      <c r="E753" s="13" t="n"/>
      <c r="F753" s="11">
        <f>IF($E753="","",IFERROR(VLOOKUP($E753,OpTbl,2,0),""))</f>
        <v/>
      </c>
      <c r="G753" s="12" t="n"/>
      <c r="H753" s="11">
        <f>IF($G753="","",IFERROR(IF(VLOOKUP($G753,AcctTbl,4,0)="","(بدون نام)",VLOOKUP($G753,AcctTbl,4,0)),"کد ناشناخته"))</f>
        <v/>
      </c>
      <c r="I753" s="13" t="n"/>
      <c r="J753" s="13" t="n"/>
      <c r="K753" s="14" t="n"/>
      <c r="L753" s="14" t="n"/>
      <c r="M753" s="15">
        <f>IF(OR($B753="",$K753=""),"",($K753-IF($L753="",0,$L753)*IFERROR(VLOOKUP("P01",ParamTbl,3,0),1.5))*(1-IF(IFERROR(VLOOKUP($E753,OpTbl,3,0),"")="خرید",IFERROR(VLOOKUP("P02",ParamTbl,3,0),1),0)/100))</f>
        <v/>
      </c>
      <c r="N753" s="14" t="n"/>
      <c r="O753" s="13" t="n"/>
    </row>
    <row r="754">
      <c r="A754" s="11">
        <f>IF($B754="","",COUNTA($B$9:$B754))</f>
        <v/>
      </c>
      <c r="B754" s="12" t="n"/>
      <c r="C754" s="12" t="n"/>
      <c r="D754" s="12" t="n"/>
      <c r="E754" s="13" t="n"/>
      <c r="F754" s="11">
        <f>IF($E754="","",IFERROR(VLOOKUP($E754,OpTbl,2,0),""))</f>
        <v/>
      </c>
      <c r="G754" s="12" t="n"/>
      <c r="H754" s="11">
        <f>IF($G754="","",IFERROR(IF(VLOOKUP($G754,AcctTbl,4,0)="","(بدون نام)",VLOOKUP($G754,AcctTbl,4,0)),"کد ناشناخته"))</f>
        <v/>
      </c>
      <c r="I754" s="13" t="n"/>
      <c r="J754" s="13" t="n"/>
      <c r="K754" s="14" t="n"/>
      <c r="L754" s="14" t="n"/>
      <c r="M754" s="15">
        <f>IF(OR($B754="",$K754=""),"",($K754-IF($L754="",0,$L754)*IFERROR(VLOOKUP("P01",ParamTbl,3,0),1.5))*(1-IF(IFERROR(VLOOKUP($E754,OpTbl,3,0),"")="خرید",IFERROR(VLOOKUP("P02",ParamTbl,3,0),1),0)/100))</f>
        <v/>
      </c>
      <c r="N754" s="14" t="n"/>
      <c r="O754" s="13" t="n"/>
    </row>
    <row r="755">
      <c r="A755" s="11">
        <f>IF($B755="","",COUNTA($B$9:$B755))</f>
        <v/>
      </c>
      <c r="B755" s="12" t="n"/>
      <c r="C755" s="12" t="n"/>
      <c r="D755" s="12" t="n"/>
      <c r="E755" s="13" t="n"/>
      <c r="F755" s="11">
        <f>IF($E755="","",IFERROR(VLOOKUP($E755,OpTbl,2,0),""))</f>
        <v/>
      </c>
      <c r="G755" s="12" t="n"/>
      <c r="H755" s="11">
        <f>IF($G755="","",IFERROR(IF(VLOOKUP($G755,AcctTbl,4,0)="","(بدون نام)",VLOOKUP($G755,AcctTbl,4,0)),"کد ناشناخته"))</f>
        <v/>
      </c>
      <c r="I755" s="13" t="n"/>
      <c r="J755" s="13" t="n"/>
      <c r="K755" s="14" t="n"/>
      <c r="L755" s="14" t="n"/>
      <c r="M755" s="15">
        <f>IF(OR($B755="",$K755=""),"",($K755-IF($L755="",0,$L755)*IFERROR(VLOOKUP("P01",ParamTbl,3,0),1.5))*(1-IF(IFERROR(VLOOKUP($E755,OpTbl,3,0),"")="خرید",IFERROR(VLOOKUP("P02",ParamTbl,3,0),1),0)/100))</f>
        <v/>
      </c>
      <c r="N755" s="14" t="n"/>
      <c r="O755" s="13" t="n"/>
    </row>
    <row r="756">
      <c r="A756" s="11">
        <f>IF($B756="","",COUNTA($B$9:$B756))</f>
        <v/>
      </c>
      <c r="B756" s="12" t="n"/>
      <c r="C756" s="12" t="n"/>
      <c r="D756" s="12" t="n"/>
      <c r="E756" s="13" t="n"/>
      <c r="F756" s="11">
        <f>IF($E756="","",IFERROR(VLOOKUP($E756,OpTbl,2,0),""))</f>
        <v/>
      </c>
      <c r="G756" s="12" t="n"/>
      <c r="H756" s="11">
        <f>IF($G756="","",IFERROR(IF(VLOOKUP($G756,AcctTbl,4,0)="","(بدون نام)",VLOOKUP($G756,AcctTbl,4,0)),"کد ناشناخته"))</f>
        <v/>
      </c>
      <c r="I756" s="13" t="n"/>
      <c r="J756" s="13" t="n"/>
      <c r="K756" s="14" t="n"/>
      <c r="L756" s="14" t="n"/>
      <c r="M756" s="15">
        <f>IF(OR($B756="",$K756=""),"",($K756-IF($L756="",0,$L756)*IFERROR(VLOOKUP("P01",ParamTbl,3,0),1.5))*(1-IF(IFERROR(VLOOKUP($E756,OpTbl,3,0),"")="خرید",IFERROR(VLOOKUP("P02",ParamTbl,3,0),1),0)/100))</f>
        <v/>
      </c>
      <c r="N756" s="14" t="n"/>
      <c r="O756" s="13" t="n"/>
    </row>
    <row r="757">
      <c r="A757" s="11">
        <f>IF($B757="","",COUNTA($B$9:$B757))</f>
        <v/>
      </c>
      <c r="B757" s="12" t="n"/>
      <c r="C757" s="12" t="n"/>
      <c r="D757" s="12" t="n"/>
      <c r="E757" s="13" t="n"/>
      <c r="F757" s="11">
        <f>IF($E757="","",IFERROR(VLOOKUP($E757,OpTbl,2,0),""))</f>
        <v/>
      </c>
      <c r="G757" s="12" t="n"/>
      <c r="H757" s="11">
        <f>IF($G757="","",IFERROR(IF(VLOOKUP($G757,AcctTbl,4,0)="","(بدون نام)",VLOOKUP($G757,AcctTbl,4,0)),"کد ناشناخته"))</f>
        <v/>
      </c>
      <c r="I757" s="13" t="n"/>
      <c r="J757" s="13" t="n"/>
      <c r="K757" s="14" t="n"/>
      <c r="L757" s="14" t="n"/>
      <c r="M757" s="15">
        <f>IF(OR($B757="",$K757=""),"",($K757-IF($L757="",0,$L757)*IFERROR(VLOOKUP("P01",ParamTbl,3,0),1.5))*(1-IF(IFERROR(VLOOKUP($E757,OpTbl,3,0),"")="خرید",IFERROR(VLOOKUP("P02",ParamTbl,3,0),1),0)/100))</f>
        <v/>
      </c>
      <c r="N757" s="14" t="n"/>
      <c r="O757" s="13" t="n"/>
    </row>
    <row r="758">
      <c r="A758" s="11">
        <f>IF($B758="","",COUNTA($B$9:$B758))</f>
        <v/>
      </c>
      <c r="B758" s="12" t="n"/>
      <c r="C758" s="12" t="n"/>
      <c r="D758" s="12" t="n"/>
      <c r="E758" s="13" t="n"/>
      <c r="F758" s="11">
        <f>IF($E758="","",IFERROR(VLOOKUP($E758,OpTbl,2,0),""))</f>
        <v/>
      </c>
      <c r="G758" s="12" t="n"/>
      <c r="H758" s="11">
        <f>IF($G758="","",IFERROR(IF(VLOOKUP($G758,AcctTbl,4,0)="","(بدون نام)",VLOOKUP($G758,AcctTbl,4,0)),"کد ناشناخته"))</f>
        <v/>
      </c>
      <c r="I758" s="13" t="n"/>
      <c r="J758" s="13" t="n"/>
      <c r="K758" s="14" t="n"/>
      <c r="L758" s="14" t="n"/>
      <c r="M758" s="15">
        <f>IF(OR($B758="",$K758=""),"",($K758-IF($L758="",0,$L758)*IFERROR(VLOOKUP("P01",ParamTbl,3,0),1.5))*(1-IF(IFERROR(VLOOKUP($E758,OpTbl,3,0),"")="خرید",IFERROR(VLOOKUP("P02",ParamTbl,3,0),1),0)/100))</f>
        <v/>
      </c>
      <c r="N758" s="14" t="n"/>
      <c r="O758" s="13" t="n"/>
    </row>
    <row r="759">
      <c r="A759" s="11">
        <f>IF($B759="","",COUNTA($B$9:$B759))</f>
        <v/>
      </c>
      <c r="B759" s="12" t="n"/>
      <c r="C759" s="12" t="n"/>
      <c r="D759" s="12" t="n"/>
      <c r="E759" s="13" t="n"/>
      <c r="F759" s="11">
        <f>IF($E759="","",IFERROR(VLOOKUP($E759,OpTbl,2,0),""))</f>
        <v/>
      </c>
      <c r="G759" s="12" t="n"/>
      <c r="H759" s="11">
        <f>IF($G759="","",IFERROR(IF(VLOOKUP($G759,AcctTbl,4,0)="","(بدون نام)",VLOOKUP($G759,AcctTbl,4,0)),"کد ناشناخته"))</f>
        <v/>
      </c>
      <c r="I759" s="13" t="n"/>
      <c r="J759" s="13" t="n"/>
      <c r="K759" s="14" t="n"/>
      <c r="L759" s="14" t="n"/>
      <c r="M759" s="15">
        <f>IF(OR($B759="",$K759=""),"",($K759-IF($L759="",0,$L759)*IFERROR(VLOOKUP("P01",ParamTbl,3,0),1.5))*(1-IF(IFERROR(VLOOKUP($E759,OpTbl,3,0),"")="خرید",IFERROR(VLOOKUP("P02",ParamTbl,3,0),1),0)/100))</f>
        <v/>
      </c>
      <c r="N759" s="14" t="n"/>
      <c r="O759" s="13" t="n"/>
    </row>
    <row r="760">
      <c r="A760" s="11">
        <f>IF($B760="","",COUNTA($B$9:$B760))</f>
        <v/>
      </c>
      <c r="B760" s="12" t="n"/>
      <c r="C760" s="12" t="n"/>
      <c r="D760" s="12" t="n"/>
      <c r="E760" s="13" t="n"/>
      <c r="F760" s="11">
        <f>IF($E760="","",IFERROR(VLOOKUP($E760,OpTbl,2,0),""))</f>
        <v/>
      </c>
      <c r="G760" s="12" t="n"/>
      <c r="H760" s="11">
        <f>IF($G760="","",IFERROR(IF(VLOOKUP($G760,AcctTbl,4,0)="","(بدون نام)",VLOOKUP($G760,AcctTbl,4,0)),"کد ناشناخته"))</f>
        <v/>
      </c>
      <c r="I760" s="13" t="n"/>
      <c r="J760" s="13" t="n"/>
      <c r="K760" s="14" t="n"/>
      <c r="L760" s="14" t="n"/>
      <c r="M760" s="15">
        <f>IF(OR($B760="",$K760=""),"",($K760-IF($L760="",0,$L760)*IFERROR(VLOOKUP("P01",ParamTbl,3,0),1.5))*(1-IF(IFERROR(VLOOKUP($E760,OpTbl,3,0),"")="خرید",IFERROR(VLOOKUP("P02",ParamTbl,3,0),1),0)/100))</f>
        <v/>
      </c>
      <c r="N760" s="14" t="n"/>
      <c r="O760" s="13" t="n"/>
    </row>
    <row r="761">
      <c r="A761" s="11">
        <f>IF($B761="","",COUNTA($B$9:$B761))</f>
        <v/>
      </c>
      <c r="B761" s="12" t="n"/>
      <c r="C761" s="12" t="n"/>
      <c r="D761" s="12" t="n"/>
      <c r="E761" s="13" t="n"/>
      <c r="F761" s="11">
        <f>IF($E761="","",IFERROR(VLOOKUP($E761,OpTbl,2,0),""))</f>
        <v/>
      </c>
      <c r="G761" s="12" t="n"/>
      <c r="H761" s="11">
        <f>IF($G761="","",IFERROR(IF(VLOOKUP($G761,AcctTbl,4,0)="","(بدون نام)",VLOOKUP($G761,AcctTbl,4,0)),"کد ناشناخته"))</f>
        <v/>
      </c>
      <c r="I761" s="13" t="n"/>
      <c r="J761" s="13" t="n"/>
      <c r="K761" s="14" t="n"/>
      <c r="L761" s="14" t="n"/>
      <c r="M761" s="15">
        <f>IF(OR($B761="",$K761=""),"",($K761-IF($L761="",0,$L761)*IFERROR(VLOOKUP("P01",ParamTbl,3,0),1.5))*(1-IF(IFERROR(VLOOKUP($E761,OpTbl,3,0),"")="خرید",IFERROR(VLOOKUP("P02",ParamTbl,3,0),1),0)/100))</f>
        <v/>
      </c>
      <c r="N761" s="14" t="n"/>
      <c r="O761" s="13" t="n"/>
    </row>
    <row r="762">
      <c r="A762" s="11">
        <f>IF($B762="","",COUNTA($B$9:$B762))</f>
        <v/>
      </c>
      <c r="B762" s="12" t="n"/>
      <c r="C762" s="12" t="n"/>
      <c r="D762" s="12" t="n"/>
      <c r="E762" s="13" t="n"/>
      <c r="F762" s="11">
        <f>IF($E762="","",IFERROR(VLOOKUP($E762,OpTbl,2,0),""))</f>
        <v/>
      </c>
      <c r="G762" s="12" t="n"/>
      <c r="H762" s="11">
        <f>IF($G762="","",IFERROR(IF(VLOOKUP($G762,AcctTbl,4,0)="","(بدون نام)",VLOOKUP($G762,AcctTbl,4,0)),"کد ناشناخته"))</f>
        <v/>
      </c>
      <c r="I762" s="13" t="n"/>
      <c r="J762" s="13" t="n"/>
      <c r="K762" s="14" t="n"/>
      <c r="L762" s="14" t="n"/>
      <c r="M762" s="15">
        <f>IF(OR($B762="",$K762=""),"",($K762-IF($L762="",0,$L762)*IFERROR(VLOOKUP("P01",ParamTbl,3,0),1.5))*(1-IF(IFERROR(VLOOKUP($E762,OpTbl,3,0),"")="خرید",IFERROR(VLOOKUP("P02",ParamTbl,3,0),1),0)/100))</f>
        <v/>
      </c>
      <c r="N762" s="14" t="n"/>
      <c r="O762" s="13" t="n"/>
    </row>
    <row r="763">
      <c r="A763" s="11">
        <f>IF($B763="","",COUNTA($B$9:$B763))</f>
        <v/>
      </c>
      <c r="B763" s="12" t="n"/>
      <c r="C763" s="12" t="n"/>
      <c r="D763" s="12" t="n"/>
      <c r="E763" s="13" t="n"/>
      <c r="F763" s="11">
        <f>IF($E763="","",IFERROR(VLOOKUP($E763,OpTbl,2,0),""))</f>
        <v/>
      </c>
      <c r="G763" s="12" t="n"/>
      <c r="H763" s="11">
        <f>IF($G763="","",IFERROR(IF(VLOOKUP($G763,AcctTbl,4,0)="","(بدون نام)",VLOOKUP($G763,AcctTbl,4,0)),"کد ناشناخته"))</f>
        <v/>
      </c>
      <c r="I763" s="13" t="n"/>
      <c r="J763" s="13" t="n"/>
      <c r="K763" s="14" t="n"/>
      <c r="L763" s="14" t="n"/>
      <c r="M763" s="15">
        <f>IF(OR($B763="",$K763=""),"",($K763-IF($L763="",0,$L763)*IFERROR(VLOOKUP("P01",ParamTbl,3,0),1.5))*(1-IF(IFERROR(VLOOKUP($E763,OpTbl,3,0),"")="خرید",IFERROR(VLOOKUP("P02",ParamTbl,3,0),1),0)/100))</f>
        <v/>
      </c>
      <c r="N763" s="14" t="n"/>
      <c r="O763" s="13" t="n"/>
    </row>
    <row r="764">
      <c r="A764" s="11">
        <f>IF($B764="","",COUNTA($B$9:$B764))</f>
        <v/>
      </c>
      <c r="B764" s="12" t="n"/>
      <c r="C764" s="12" t="n"/>
      <c r="D764" s="12" t="n"/>
      <c r="E764" s="13" t="n"/>
      <c r="F764" s="11">
        <f>IF($E764="","",IFERROR(VLOOKUP($E764,OpTbl,2,0),""))</f>
        <v/>
      </c>
      <c r="G764" s="12" t="n"/>
      <c r="H764" s="11">
        <f>IF($G764="","",IFERROR(IF(VLOOKUP($G764,AcctTbl,4,0)="","(بدون نام)",VLOOKUP($G764,AcctTbl,4,0)),"کد ناشناخته"))</f>
        <v/>
      </c>
      <c r="I764" s="13" t="n"/>
      <c r="J764" s="13" t="n"/>
      <c r="K764" s="14" t="n"/>
      <c r="L764" s="14" t="n"/>
      <c r="M764" s="15">
        <f>IF(OR($B764="",$K764=""),"",($K764-IF($L764="",0,$L764)*IFERROR(VLOOKUP("P01",ParamTbl,3,0),1.5))*(1-IF(IFERROR(VLOOKUP($E764,OpTbl,3,0),"")="خرید",IFERROR(VLOOKUP("P02",ParamTbl,3,0),1),0)/100))</f>
        <v/>
      </c>
      <c r="N764" s="14" t="n"/>
      <c r="O764" s="13" t="n"/>
    </row>
    <row r="765">
      <c r="A765" s="11">
        <f>IF($B765="","",COUNTA($B$9:$B765))</f>
        <v/>
      </c>
      <c r="B765" s="12" t="n"/>
      <c r="C765" s="12" t="n"/>
      <c r="D765" s="12" t="n"/>
      <c r="E765" s="13" t="n"/>
      <c r="F765" s="11">
        <f>IF($E765="","",IFERROR(VLOOKUP($E765,OpTbl,2,0),""))</f>
        <v/>
      </c>
      <c r="G765" s="12" t="n"/>
      <c r="H765" s="11">
        <f>IF($G765="","",IFERROR(IF(VLOOKUP($G765,AcctTbl,4,0)="","(بدون نام)",VLOOKUP($G765,AcctTbl,4,0)),"کد ناشناخته"))</f>
        <v/>
      </c>
      <c r="I765" s="13" t="n"/>
      <c r="J765" s="13" t="n"/>
      <c r="K765" s="14" t="n"/>
      <c r="L765" s="14" t="n"/>
      <c r="M765" s="15">
        <f>IF(OR($B765="",$K765=""),"",($K765-IF($L765="",0,$L765)*IFERROR(VLOOKUP("P01",ParamTbl,3,0),1.5))*(1-IF(IFERROR(VLOOKUP($E765,OpTbl,3,0),"")="خرید",IFERROR(VLOOKUP("P02",ParamTbl,3,0),1),0)/100))</f>
        <v/>
      </c>
      <c r="N765" s="14" t="n"/>
      <c r="O765" s="13" t="n"/>
    </row>
    <row r="766">
      <c r="A766" s="11">
        <f>IF($B766="","",COUNTA($B$9:$B766))</f>
        <v/>
      </c>
      <c r="B766" s="12" t="n"/>
      <c r="C766" s="12" t="n"/>
      <c r="D766" s="12" t="n"/>
      <c r="E766" s="13" t="n"/>
      <c r="F766" s="11">
        <f>IF($E766="","",IFERROR(VLOOKUP($E766,OpTbl,2,0),""))</f>
        <v/>
      </c>
      <c r="G766" s="12" t="n"/>
      <c r="H766" s="11">
        <f>IF($G766="","",IFERROR(IF(VLOOKUP($G766,AcctTbl,4,0)="","(بدون نام)",VLOOKUP($G766,AcctTbl,4,0)),"کد ناشناخته"))</f>
        <v/>
      </c>
      <c r="I766" s="13" t="n"/>
      <c r="J766" s="13" t="n"/>
      <c r="K766" s="14" t="n"/>
      <c r="L766" s="14" t="n"/>
      <c r="M766" s="15">
        <f>IF(OR($B766="",$K766=""),"",($K766-IF($L766="",0,$L766)*IFERROR(VLOOKUP("P01",ParamTbl,3,0),1.5))*(1-IF(IFERROR(VLOOKUP($E766,OpTbl,3,0),"")="خرید",IFERROR(VLOOKUP("P02",ParamTbl,3,0),1),0)/100))</f>
        <v/>
      </c>
      <c r="N766" s="14" t="n"/>
      <c r="O766" s="13" t="n"/>
    </row>
    <row r="767">
      <c r="A767" s="11">
        <f>IF($B767="","",COUNTA($B$9:$B767))</f>
        <v/>
      </c>
      <c r="B767" s="12" t="n"/>
      <c r="C767" s="12" t="n"/>
      <c r="D767" s="12" t="n"/>
      <c r="E767" s="13" t="n"/>
      <c r="F767" s="11">
        <f>IF($E767="","",IFERROR(VLOOKUP($E767,OpTbl,2,0),""))</f>
        <v/>
      </c>
      <c r="G767" s="12" t="n"/>
      <c r="H767" s="11">
        <f>IF($G767="","",IFERROR(IF(VLOOKUP($G767,AcctTbl,4,0)="","(بدون نام)",VLOOKUP($G767,AcctTbl,4,0)),"کد ناشناخته"))</f>
        <v/>
      </c>
      <c r="I767" s="13" t="n"/>
      <c r="J767" s="13" t="n"/>
      <c r="K767" s="14" t="n"/>
      <c r="L767" s="14" t="n"/>
      <c r="M767" s="15">
        <f>IF(OR($B767="",$K767=""),"",($K767-IF($L767="",0,$L767)*IFERROR(VLOOKUP("P01",ParamTbl,3,0),1.5))*(1-IF(IFERROR(VLOOKUP($E767,OpTbl,3,0),"")="خرید",IFERROR(VLOOKUP("P02",ParamTbl,3,0),1),0)/100))</f>
        <v/>
      </c>
      <c r="N767" s="14" t="n"/>
      <c r="O767" s="13" t="n"/>
    </row>
    <row r="768">
      <c r="A768" s="11">
        <f>IF($B768="","",COUNTA($B$9:$B768))</f>
        <v/>
      </c>
      <c r="B768" s="12" t="n"/>
      <c r="C768" s="12" t="n"/>
      <c r="D768" s="12" t="n"/>
      <c r="E768" s="13" t="n"/>
      <c r="F768" s="11">
        <f>IF($E768="","",IFERROR(VLOOKUP($E768,OpTbl,2,0),""))</f>
        <v/>
      </c>
      <c r="G768" s="12" t="n"/>
      <c r="H768" s="11">
        <f>IF($G768="","",IFERROR(IF(VLOOKUP($G768,AcctTbl,4,0)="","(بدون نام)",VLOOKUP($G768,AcctTbl,4,0)),"کد ناشناخته"))</f>
        <v/>
      </c>
      <c r="I768" s="13" t="n"/>
      <c r="J768" s="13" t="n"/>
      <c r="K768" s="14" t="n"/>
      <c r="L768" s="14" t="n"/>
      <c r="M768" s="15">
        <f>IF(OR($B768="",$K768=""),"",($K768-IF($L768="",0,$L768)*IFERROR(VLOOKUP("P01",ParamTbl,3,0),1.5))*(1-IF(IFERROR(VLOOKUP($E768,OpTbl,3,0),"")="خرید",IFERROR(VLOOKUP("P02",ParamTbl,3,0),1),0)/100))</f>
        <v/>
      </c>
      <c r="N768" s="14" t="n"/>
      <c r="O768" s="13" t="n"/>
    </row>
    <row r="769">
      <c r="A769" s="11">
        <f>IF($B769="","",COUNTA($B$9:$B769))</f>
        <v/>
      </c>
      <c r="B769" s="12" t="n"/>
      <c r="C769" s="12" t="n"/>
      <c r="D769" s="12" t="n"/>
      <c r="E769" s="13" t="n"/>
      <c r="F769" s="11">
        <f>IF($E769="","",IFERROR(VLOOKUP($E769,OpTbl,2,0),""))</f>
        <v/>
      </c>
      <c r="G769" s="12" t="n"/>
      <c r="H769" s="11">
        <f>IF($G769="","",IFERROR(IF(VLOOKUP($G769,AcctTbl,4,0)="","(بدون نام)",VLOOKUP($G769,AcctTbl,4,0)),"کد ناشناخته"))</f>
        <v/>
      </c>
      <c r="I769" s="13" t="n"/>
      <c r="J769" s="13" t="n"/>
      <c r="K769" s="14" t="n"/>
      <c r="L769" s="14" t="n"/>
      <c r="M769" s="15">
        <f>IF(OR($B769="",$K769=""),"",($K769-IF($L769="",0,$L769)*IFERROR(VLOOKUP("P01",ParamTbl,3,0),1.5))*(1-IF(IFERROR(VLOOKUP($E769,OpTbl,3,0),"")="خرید",IFERROR(VLOOKUP("P02",ParamTbl,3,0),1),0)/100))</f>
        <v/>
      </c>
      <c r="N769" s="14" t="n"/>
      <c r="O769" s="13" t="n"/>
    </row>
    <row r="770">
      <c r="A770" s="11">
        <f>IF($B770="","",COUNTA($B$9:$B770))</f>
        <v/>
      </c>
      <c r="B770" s="12" t="n"/>
      <c r="C770" s="12" t="n"/>
      <c r="D770" s="12" t="n"/>
      <c r="E770" s="13" t="n"/>
      <c r="F770" s="11">
        <f>IF($E770="","",IFERROR(VLOOKUP($E770,OpTbl,2,0),""))</f>
        <v/>
      </c>
      <c r="G770" s="12" t="n"/>
      <c r="H770" s="11">
        <f>IF($G770="","",IFERROR(IF(VLOOKUP($G770,AcctTbl,4,0)="","(بدون نام)",VLOOKUP($G770,AcctTbl,4,0)),"کد ناشناخته"))</f>
        <v/>
      </c>
      <c r="I770" s="13" t="n"/>
      <c r="J770" s="13" t="n"/>
      <c r="K770" s="14" t="n"/>
      <c r="L770" s="14" t="n"/>
      <c r="M770" s="15">
        <f>IF(OR($B770="",$K770=""),"",($K770-IF($L770="",0,$L770)*IFERROR(VLOOKUP("P01",ParamTbl,3,0),1.5))*(1-IF(IFERROR(VLOOKUP($E770,OpTbl,3,0),"")="خرید",IFERROR(VLOOKUP("P02",ParamTbl,3,0),1),0)/100))</f>
        <v/>
      </c>
      <c r="N770" s="14" t="n"/>
      <c r="O770" s="13" t="n"/>
    </row>
    <row r="771">
      <c r="A771" s="11">
        <f>IF($B771="","",COUNTA($B$9:$B771))</f>
        <v/>
      </c>
      <c r="B771" s="12" t="n"/>
      <c r="C771" s="12" t="n"/>
      <c r="D771" s="12" t="n"/>
      <c r="E771" s="13" t="n"/>
      <c r="F771" s="11">
        <f>IF($E771="","",IFERROR(VLOOKUP($E771,OpTbl,2,0),""))</f>
        <v/>
      </c>
      <c r="G771" s="12" t="n"/>
      <c r="H771" s="11">
        <f>IF($G771="","",IFERROR(IF(VLOOKUP($G771,AcctTbl,4,0)="","(بدون نام)",VLOOKUP($G771,AcctTbl,4,0)),"کد ناشناخته"))</f>
        <v/>
      </c>
      <c r="I771" s="13" t="n"/>
      <c r="J771" s="13" t="n"/>
      <c r="K771" s="14" t="n"/>
      <c r="L771" s="14" t="n"/>
      <c r="M771" s="15">
        <f>IF(OR($B771="",$K771=""),"",($K771-IF($L771="",0,$L771)*IFERROR(VLOOKUP("P01",ParamTbl,3,0),1.5))*(1-IF(IFERROR(VLOOKUP($E771,OpTbl,3,0),"")="خرید",IFERROR(VLOOKUP("P02",ParamTbl,3,0),1),0)/100))</f>
        <v/>
      </c>
      <c r="N771" s="14" t="n"/>
      <c r="O771" s="13" t="n"/>
    </row>
    <row r="772">
      <c r="A772" s="11">
        <f>IF($B772="","",COUNTA($B$9:$B772))</f>
        <v/>
      </c>
      <c r="B772" s="12" t="n"/>
      <c r="C772" s="12" t="n"/>
      <c r="D772" s="12" t="n"/>
      <c r="E772" s="13" t="n"/>
      <c r="F772" s="11">
        <f>IF($E772="","",IFERROR(VLOOKUP($E772,OpTbl,2,0),""))</f>
        <v/>
      </c>
      <c r="G772" s="12" t="n"/>
      <c r="H772" s="11">
        <f>IF($G772="","",IFERROR(IF(VLOOKUP($G772,AcctTbl,4,0)="","(بدون نام)",VLOOKUP($G772,AcctTbl,4,0)),"کد ناشناخته"))</f>
        <v/>
      </c>
      <c r="I772" s="13" t="n"/>
      <c r="J772" s="13" t="n"/>
      <c r="K772" s="14" t="n"/>
      <c r="L772" s="14" t="n"/>
      <c r="M772" s="15">
        <f>IF(OR($B772="",$K772=""),"",($K772-IF($L772="",0,$L772)*IFERROR(VLOOKUP("P01",ParamTbl,3,0),1.5))*(1-IF(IFERROR(VLOOKUP($E772,OpTbl,3,0),"")="خرید",IFERROR(VLOOKUP("P02",ParamTbl,3,0),1),0)/100))</f>
        <v/>
      </c>
      <c r="N772" s="14" t="n"/>
      <c r="O772" s="13" t="n"/>
    </row>
    <row r="773">
      <c r="A773" s="11">
        <f>IF($B773="","",COUNTA($B$9:$B773))</f>
        <v/>
      </c>
      <c r="B773" s="12" t="n"/>
      <c r="C773" s="12" t="n"/>
      <c r="D773" s="12" t="n"/>
      <c r="E773" s="13" t="n"/>
      <c r="F773" s="11">
        <f>IF($E773="","",IFERROR(VLOOKUP($E773,OpTbl,2,0),""))</f>
        <v/>
      </c>
      <c r="G773" s="12" t="n"/>
      <c r="H773" s="11">
        <f>IF($G773="","",IFERROR(IF(VLOOKUP($G773,AcctTbl,4,0)="","(بدون نام)",VLOOKUP($G773,AcctTbl,4,0)),"کد ناشناخته"))</f>
        <v/>
      </c>
      <c r="I773" s="13" t="n"/>
      <c r="J773" s="13" t="n"/>
      <c r="K773" s="14" t="n"/>
      <c r="L773" s="14" t="n"/>
      <c r="M773" s="15">
        <f>IF(OR($B773="",$K773=""),"",($K773-IF($L773="",0,$L773)*IFERROR(VLOOKUP("P01",ParamTbl,3,0),1.5))*(1-IF(IFERROR(VLOOKUP($E773,OpTbl,3,0),"")="خرید",IFERROR(VLOOKUP("P02",ParamTbl,3,0),1),0)/100))</f>
        <v/>
      </c>
      <c r="N773" s="14" t="n"/>
      <c r="O773" s="13" t="n"/>
    </row>
    <row r="774">
      <c r="A774" s="11">
        <f>IF($B774="","",COUNTA($B$9:$B774))</f>
        <v/>
      </c>
      <c r="B774" s="12" t="n"/>
      <c r="C774" s="12" t="n"/>
      <c r="D774" s="12" t="n"/>
      <c r="E774" s="13" t="n"/>
      <c r="F774" s="11">
        <f>IF($E774="","",IFERROR(VLOOKUP($E774,OpTbl,2,0),""))</f>
        <v/>
      </c>
      <c r="G774" s="12" t="n"/>
      <c r="H774" s="11">
        <f>IF($G774="","",IFERROR(IF(VLOOKUP($G774,AcctTbl,4,0)="","(بدون نام)",VLOOKUP($G774,AcctTbl,4,0)),"کد ناشناخته"))</f>
        <v/>
      </c>
      <c r="I774" s="13" t="n"/>
      <c r="J774" s="13" t="n"/>
      <c r="K774" s="14" t="n"/>
      <c r="L774" s="14" t="n"/>
      <c r="M774" s="15">
        <f>IF(OR($B774="",$K774=""),"",($K774-IF($L774="",0,$L774)*IFERROR(VLOOKUP("P01",ParamTbl,3,0),1.5))*(1-IF(IFERROR(VLOOKUP($E774,OpTbl,3,0),"")="خرید",IFERROR(VLOOKUP("P02",ParamTbl,3,0),1),0)/100))</f>
        <v/>
      </c>
      <c r="N774" s="14" t="n"/>
      <c r="O774" s="13" t="n"/>
    </row>
    <row r="775">
      <c r="A775" s="11">
        <f>IF($B775="","",COUNTA($B$9:$B775))</f>
        <v/>
      </c>
      <c r="B775" s="12" t="n"/>
      <c r="C775" s="12" t="n"/>
      <c r="D775" s="12" t="n"/>
      <c r="E775" s="13" t="n"/>
      <c r="F775" s="11">
        <f>IF($E775="","",IFERROR(VLOOKUP($E775,OpTbl,2,0),""))</f>
        <v/>
      </c>
      <c r="G775" s="12" t="n"/>
      <c r="H775" s="11">
        <f>IF($G775="","",IFERROR(IF(VLOOKUP($G775,AcctTbl,4,0)="","(بدون نام)",VLOOKUP($G775,AcctTbl,4,0)),"کد ناشناخته"))</f>
        <v/>
      </c>
      <c r="I775" s="13" t="n"/>
      <c r="J775" s="13" t="n"/>
      <c r="K775" s="14" t="n"/>
      <c r="L775" s="14" t="n"/>
      <c r="M775" s="15">
        <f>IF(OR($B775="",$K775=""),"",($K775-IF($L775="",0,$L775)*IFERROR(VLOOKUP("P01",ParamTbl,3,0),1.5))*(1-IF(IFERROR(VLOOKUP($E775,OpTbl,3,0),"")="خرید",IFERROR(VLOOKUP("P02",ParamTbl,3,0),1),0)/100))</f>
        <v/>
      </c>
      <c r="N775" s="14" t="n"/>
      <c r="O775" s="13" t="n"/>
    </row>
    <row r="776">
      <c r="A776" s="11">
        <f>IF($B776="","",COUNTA($B$9:$B776))</f>
        <v/>
      </c>
      <c r="B776" s="12" t="n"/>
      <c r="C776" s="12" t="n"/>
      <c r="D776" s="12" t="n"/>
      <c r="E776" s="13" t="n"/>
      <c r="F776" s="11">
        <f>IF($E776="","",IFERROR(VLOOKUP($E776,OpTbl,2,0),""))</f>
        <v/>
      </c>
      <c r="G776" s="12" t="n"/>
      <c r="H776" s="11">
        <f>IF($G776="","",IFERROR(IF(VLOOKUP($G776,AcctTbl,4,0)="","(بدون نام)",VLOOKUP($G776,AcctTbl,4,0)),"کد ناشناخته"))</f>
        <v/>
      </c>
      <c r="I776" s="13" t="n"/>
      <c r="J776" s="13" t="n"/>
      <c r="K776" s="14" t="n"/>
      <c r="L776" s="14" t="n"/>
      <c r="M776" s="15">
        <f>IF(OR($B776="",$K776=""),"",($K776-IF($L776="",0,$L776)*IFERROR(VLOOKUP("P01",ParamTbl,3,0),1.5))*(1-IF(IFERROR(VLOOKUP($E776,OpTbl,3,0),"")="خرید",IFERROR(VLOOKUP("P02",ParamTbl,3,0),1),0)/100))</f>
        <v/>
      </c>
      <c r="N776" s="14" t="n"/>
      <c r="O776" s="13" t="n"/>
    </row>
    <row r="777">
      <c r="A777" s="11">
        <f>IF($B777="","",COUNTA($B$9:$B777))</f>
        <v/>
      </c>
      <c r="B777" s="12" t="n"/>
      <c r="C777" s="12" t="n"/>
      <c r="D777" s="12" t="n"/>
      <c r="E777" s="13" t="n"/>
      <c r="F777" s="11">
        <f>IF($E777="","",IFERROR(VLOOKUP($E777,OpTbl,2,0),""))</f>
        <v/>
      </c>
      <c r="G777" s="12" t="n"/>
      <c r="H777" s="11">
        <f>IF($G777="","",IFERROR(IF(VLOOKUP($G777,AcctTbl,4,0)="","(بدون نام)",VLOOKUP($G777,AcctTbl,4,0)),"کد ناشناخته"))</f>
        <v/>
      </c>
      <c r="I777" s="13" t="n"/>
      <c r="J777" s="13" t="n"/>
      <c r="K777" s="14" t="n"/>
      <c r="L777" s="14" t="n"/>
      <c r="M777" s="15">
        <f>IF(OR($B777="",$K777=""),"",($K777-IF($L777="",0,$L777)*IFERROR(VLOOKUP("P01",ParamTbl,3,0),1.5))*(1-IF(IFERROR(VLOOKUP($E777,OpTbl,3,0),"")="خرید",IFERROR(VLOOKUP("P02",ParamTbl,3,0),1),0)/100))</f>
        <v/>
      </c>
      <c r="N777" s="14" t="n"/>
      <c r="O777" s="13" t="n"/>
    </row>
    <row r="778">
      <c r="A778" s="11">
        <f>IF($B778="","",COUNTA($B$9:$B778))</f>
        <v/>
      </c>
      <c r="B778" s="12" t="n"/>
      <c r="C778" s="12" t="n"/>
      <c r="D778" s="12" t="n"/>
      <c r="E778" s="13" t="n"/>
      <c r="F778" s="11">
        <f>IF($E778="","",IFERROR(VLOOKUP($E778,OpTbl,2,0),""))</f>
        <v/>
      </c>
      <c r="G778" s="12" t="n"/>
      <c r="H778" s="11">
        <f>IF($G778="","",IFERROR(IF(VLOOKUP($G778,AcctTbl,4,0)="","(بدون نام)",VLOOKUP($G778,AcctTbl,4,0)),"کد ناشناخته"))</f>
        <v/>
      </c>
      <c r="I778" s="13" t="n"/>
      <c r="J778" s="13" t="n"/>
      <c r="K778" s="14" t="n"/>
      <c r="L778" s="14" t="n"/>
      <c r="M778" s="15">
        <f>IF(OR($B778="",$K778=""),"",($K778-IF($L778="",0,$L778)*IFERROR(VLOOKUP("P01",ParamTbl,3,0),1.5))*(1-IF(IFERROR(VLOOKUP($E778,OpTbl,3,0),"")="خرید",IFERROR(VLOOKUP("P02",ParamTbl,3,0),1),0)/100))</f>
        <v/>
      </c>
      <c r="N778" s="14" t="n"/>
      <c r="O778" s="13" t="n"/>
    </row>
    <row r="779">
      <c r="A779" s="11">
        <f>IF($B779="","",COUNTA($B$9:$B779))</f>
        <v/>
      </c>
      <c r="B779" s="12" t="n"/>
      <c r="C779" s="12" t="n"/>
      <c r="D779" s="12" t="n"/>
      <c r="E779" s="13" t="n"/>
      <c r="F779" s="11">
        <f>IF($E779="","",IFERROR(VLOOKUP($E779,OpTbl,2,0),""))</f>
        <v/>
      </c>
      <c r="G779" s="12" t="n"/>
      <c r="H779" s="11">
        <f>IF($G779="","",IFERROR(IF(VLOOKUP($G779,AcctTbl,4,0)="","(بدون نام)",VLOOKUP($G779,AcctTbl,4,0)),"کد ناشناخته"))</f>
        <v/>
      </c>
      <c r="I779" s="13" t="n"/>
      <c r="J779" s="13" t="n"/>
      <c r="K779" s="14" t="n"/>
      <c r="L779" s="14" t="n"/>
      <c r="M779" s="15">
        <f>IF(OR($B779="",$K779=""),"",($K779-IF($L779="",0,$L779)*IFERROR(VLOOKUP("P01",ParamTbl,3,0),1.5))*(1-IF(IFERROR(VLOOKUP($E779,OpTbl,3,0),"")="خرید",IFERROR(VLOOKUP("P02",ParamTbl,3,0),1),0)/100))</f>
        <v/>
      </c>
      <c r="N779" s="14" t="n"/>
      <c r="O779" s="13" t="n"/>
    </row>
    <row r="780">
      <c r="A780" s="11">
        <f>IF($B780="","",COUNTA($B$9:$B780))</f>
        <v/>
      </c>
      <c r="B780" s="12" t="n"/>
      <c r="C780" s="12" t="n"/>
      <c r="D780" s="12" t="n"/>
      <c r="E780" s="13" t="n"/>
      <c r="F780" s="11">
        <f>IF($E780="","",IFERROR(VLOOKUP($E780,OpTbl,2,0),""))</f>
        <v/>
      </c>
      <c r="G780" s="12" t="n"/>
      <c r="H780" s="11">
        <f>IF($G780="","",IFERROR(IF(VLOOKUP($G780,AcctTbl,4,0)="","(بدون نام)",VLOOKUP($G780,AcctTbl,4,0)),"کد ناشناخته"))</f>
        <v/>
      </c>
      <c r="I780" s="13" t="n"/>
      <c r="J780" s="13" t="n"/>
      <c r="K780" s="14" t="n"/>
      <c r="L780" s="14" t="n"/>
      <c r="M780" s="15">
        <f>IF(OR($B780="",$K780=""),"",($K780-IF($L780="",0,$L780)*IFERROR(VLOOKUP("P01",ParamTbl,3,0),1.5))*(1-IF(IFERROR(VLOOKUP($E780,OpTbl,3,0),"")="خرید",IFERROR(VLOOKUP("P02",ParamTbl,3,0),1),0)/100))</f>
        <v/>
      </c>
      <c r="N780" s="14" t="n"/>
      <c r="O780" s="13" t="n"/>
    </row>
    <row r="781">
      <c r="A781" s="11">
        <f>IF($B781="","",COUNTA($B$9:$B781))</f>
        <v/>
      </c>
      <c r="B781" s="12" t="n"/>
      <c r="C781" s="12" t="n"/>
      <c r="D781" s="12" t="n"/>
      <c r="E781" s="13" t="n"/>
      <c r="F781" s="11">
        <f>IF($E781="","",IFERROR(VLOOKUP($E781,OpTbl,2,0),""))</f>
        <v/>
      </c>
      <c r="G781" s="12" t="n"/>
      <c r="H781" s="11">
        <f>IF($G781="","",IFERROR(IF(VLOOKUP($G781,AcctTbl,4,0)="","(بدون نام)",VLOOKUP($G781,AcctTbl,4,0)),"کد ناشناخته"))</f>
        <v/>
      </c>
      <c r="I781" s="13" t="n"/>
      <c r="J781" s="13" t="n"/>
      <c r="K781" s="14" t="n"/>
      <c r="L781" s="14" t="n"/>
      <c r="M781" s="15">
        <f>IF(OR($B781="",$K781=""),"",($K781-IF($L781="",0,$L781)*IFERROR(VLOOKUP("P01",ParamTbl,3,0),1.5))*(1-IF(IFERROR(VLOOKUP($E781,OpTbl,3,0),"")="خرید",IFERROR(VLOOKUP("P02",ParamTbl,3,0),1),0)/100))</f>
        <v/>
      </c>
      <c r="N781" s="14" t="n"/>
      <c r="O781" s="13" t="n"/>
    </row>
    <row r="782">
      <c r="A782" s="11">
        <f>IF($B782="","",COUNTA($B$9:$B782))</f>
        <v/>
      </c>
      <c r="B782" s="12" t="n"/>
      <c r="C782" s="12" t="n"/>
      <c r="D782" s="12" t="n"/>
      <c r="E782" s="13" t="n"/>
      <c r="F782" s="11">
        <f>IF($E782="","",IFERROR(VLOOKUP($E782,OpTbl,2,0),""))</f>
        <v/>
      </c>
      <c r="G782" s="12" t="n"/>
      <c r="H782" s="11">
        <f>IF($G782="","",IFERROR(IF(VLOOKUP($G782,AcctTbl,4,0)="","(بدون نام)",VLOOKUP($G782,AcctTbl,4,0)),"کد ناشناخته"))</f>
        <v/>
      </c>
      <c r="I782" s="13" t="n"/>
      <c r="J782" s="13" t="n"/>
      <c r="K782" s="14" t="n"/>
      <c r="L782" s="14" t="n"/>
      <c r="M782" s="15">
        <f>IF(OR($B782="",$K782=""),"",($K782-IF($L782="",0,$L782)*IFERROR(VLOOKUP("P01",ParamTbl,3,0),1.5))*(1-IF(IFERROR(VLOOKUP($E782,OpTbl,3,0),"")="خرید",IFERROR(VLOOKUP("P02",ParamTbl,3,0),1),0)/100))</f>
        <v/>
      </c>
      <c r="N782" s="14" t="n"/>
      <c r="O782" s="13" t="n"/>
    </row>
    <row r="783">
      <c r="A783" s="11">
        <f>IF($B783="","",COUNTA($B$9:$B783))</f>
        <v/>
      </c>
      <c r="B783" s="12" t="n"/>
      <c r="C783" s="12" t="n"/>
      <c r="D783" s="12" t="n"/>
      <c r="E783" s="13" t="n"/>
      <c r="F783" s="11">
        <f>IF($E783="","",IFERROR(VLOOKUP($E783,OpTbl,2,0),""))</f>
        <v/>
      </c>
      <c r="G783" s="12" t="n"/>
      <c r="H783" s="11">
        <f>IF($G783="","",IFERROR(IF(VLOOKUP($G783,AcctTbl,4,0)="","(بدون نام)",VLOOKUP($G783,AcctTbl,4,0)),"کد ناشناخته"))</f>
        <v/>
      </c>
      <c r="I783" s="13" t="n"/>
      <c r="J783" s="13" t="n"/>
      <c r="K783" s="14" t="n"/>
      <c r="L783" s="14" t="n"/>
      <c r="M783" s="15">
        <f>IF(OR($B783="",$K783=""),"",($K783-IF($L783="",0,$L783)*IFERROR(VLOOKUP("P01",ParamTbl,3,0),1.5))*(1-IF(IFERROR(VLOOKUP($E783,OpTbl,3,0),"")="خرید",IFERROR(VLOOKUP("P02",ParamTbl,3,0),1),0)/100))</f>
        <v/>
      </c>
      <c r="N783" s="14" t="n"/>
      <c r="O783" s="13" t="n"/>
    </row>
    <row r="784">
      <c r="A784" s="11">
        <f>IF($B784="","",COUNTA($B$9:$B784))</f>
        <v/>
      </c>
      <c r="B784" s="12" t="n"/>
      <c r="C784" s="12" t="n"/>
      <c r="D784" s="12" t="n"/>
      <c r="E784" s="13" t="n"/>
      <c r="F784" s="11">
        <f>IF($E784="","",IFERROR(VLOOKUP($E784,OpTbl,2,0),""))</f>
        <v/>
      </c>
      <c r="G784" s="12" t="n"/>
      <c r="H784" s="11">
        <f>IF($G784="","",IFERROR(IF(VLOOKUP($G784,AcctTbl,4,0)="","(بدون نام)",VLOOKUP($G784,AcctTbl,4,0)),"کد ناشناخته"))</f>
        <v/>
      </c>
      <c r="I784" s="13" t="n"/>
      <c r="J784" s="13" t="n"/>
      <c r="K784" s="14" t="n"/>
      <c r="L784" s="14" t="n"/>
      <c r="M784" s="15">
        <f>IF(OR($B784="",$K784=""),"",($K784-IF($L784="",0,$L784)*IFERROR(VLOOKUP("P01",ParamTbl,3,0),1.5))*(1-IF(IFERROR(VLOOKUP($E784,OpTbl,3,0),"")="خرید",IFERROR(VLOOKUP("P02",ParamTbl,3,0),1),0)/100))</f>
        <v/>
      </c>
      <c r="N784" s="14" t="n"/>
      <c r="O784" s="13" t="n"/>
    </row>
    <row r="785">
      <c r="A785" s="11">
        <f>IF($B785="","",COUNTA($B$9:$B785))</f>
        <v/>
      </c>
      <c r="B785" s="12" t="n"/>
      <c r="C785" s="12" t="n"/>
      <c r="D785" s="12" t="n"/>
      <c r="E785" s="13" t="n"/>
      <c r="F785" s="11">
        <f>IF($E785="","",IFERROR(VLOOKUP($E785,OpTbl,2,0),""))</f>
        <v/>
      </c>
      <c r="G785" s="12" t="n"/>
      <c r="H785" s="11">
        <f>IF($G785="","",IFERROR(IF(VLOOKUP($G785,AcctTbl,4,0)="","(بدون نام)",VLOOKUP($G785,AcctTbl,4,0)),"کد ناشناخته"))</f>
        <v/>
      </c>
      <c r="I785" s="13" t="n"/>
      <c r="J785" s="13" t="n"/>
      <c r="K785" s="14" t="n"/>
      <c r="L785" s="14" t="n"/>
      <c r="M785" s="15">
        <f>IF(OR($B785="",$K785=""),"",($K785-IF($L785="",0,$L785)*IFERROR(VLOOKUP("P01",ParamTbl,3,0),1.5))*(1-IF(IFERROR(VLOOKUP($E785,OpTbl,3,0),"")="خرید",IFERROR(VLOOKUP("P02",ParamTbl,3,0),1),0)/100))</f>
        <v/>
      </c>
      <c r="N785" s="14" t="n"/>
      <c r="O785" s="13" t="n"/>
    </row>
    <row r="786">
      <c r="A786" s="11">
        <f>IF($B786="","",COUNTA($B$9:$B786))</f>
        <v/>
      </c>
      <c r="B786" s="12" t="n"/>
      <c r="C786" s="12" t="n"/>
      <c r="D786" s="12" t="n"/>
      <c r="E786" s="13" t="n"/>
      <c r="F786" s="11">
        <f>IF($E786="","",IFERROR(VLOOKUP($E786,OpTbl,2,0),""))</f>
        <v/>
      </c>
      <c r="G786" s="12" t="n"/>
      <c r="H786" s="11">
        <f>IF($G786="","",IFERROR(IF(VLOOKUP($G786,AcctTbl,4,0)="","(بدون نام)",VLOOKUP($G786,AcctTbl,4,0)),"کد ناشناخته"))</f>
        <v/>
      </c>
      <c r="I786" s="13" t="n"/>
      <c r="J786" s="13" t="n"/>
      <c r="K786" s="14" t="n"/>
      <c r="L786" s="14" t="n"/>
      <c r="M786" s="15">
        <f>IF(OR($B786="",$K786=""),"",($K786-IF($L786="",0,$L786)*IFERROR(VLOOKUP("P01",ParamTbl,3,0),1.5))*(1-IF(IFERROR(VLOOKUP($E786,OpTbl,3,0),"")="خرید",IFERROR(VLOOKUP("P02",ParamTbl,3,0),1),0)/100))</f>
        <v/>
      </c>
      <c r="N786" s="14" t="n"/>
      <c r="O786" s="13" t="n"/>
    </row>
    <row r="787">
      <c r="A787" s="11">
        <f>IF($B787="","",COUNTA($B$9:$B787))</f>
        <v/>
      </c>
      <c r="B787" s="12" t="n"/>
      <c r="C787" s="12" t="n"/>
      <c r="D787" s="12" t="n"/>
      <c r="E787" s="13" t="n"/>
      <c r="F787" s="11">
        <f>IF($E787="","",IFERROR(VLOOKUP($E787,OpTbl,2,0),""))</f>
        <v/>
      </c>
      <c r="G787" s="12" t="n"/>
      <c r="H787" s="11">
        <f>IF($G787="","",IFERROR(IF(VLOOKUP($G787,AcctTbl,4,0)="","(بدون نام)",VLOOKUP($G787,AcctTbl,4,0)),"کد ناشناخته"))</f>
        <v/>
      </c>
      <c r="I787" s="13" t="n"/>
      <c r="J787" s="13" t="n"/>
      <c r="K787" s="14" t="n"/>
      <c r="L787" s="14" t="n"/>
      <c r="M787" s="15">
        <f>IF(OR($B787="",$K787=""),"",($K787-IF($L787="",0,$L787)*IFERROR(VLOOKUP("P01",ParamTbl,3,0),1.5))*(1-IF(IFERROR(VLOOKUP($E787,OpTbl,3,0),"")="خرید",IFERROR(VLOOKUP("P02",ParamTbl,3,0),1),0)/100))</f>
        <v/>
      </c>
      <c r="N787" s="14" t="n"/>
      <c r="O787" s="13" t="n"/>
    </row>
    <row r="788">
      <c r="A788" s="11">
        <f>IF($B788="","",COUNTA($B$9:$B788))</f>
        <v/>
      </c>
      <c r="B788" s="12" t="n"/>
      <c r="C788" s="12" t="n"/>
      <c r="D788" s="12" t="n"/>
      <c r="E788" s="13" t="n"/>
      <c r="F788" s="11">
        <f>IF($E788="","",IFERROR(VLOOKUP($E788,OpTbl,2,0),""))</f>
        <v/>
      </c>
      <c r="G788" s="12" t="n"/>
      <c r="H788" s="11">
        <f>IF($G788="","",IFERROR(IF(VLOOKUP($G788,AcctTbl,4,0)="","(بدون نام)",VLOOKUP($G788,AcctTbl,4,0)),"کد ناشناخته"))</f>
        <v/>
      </c>
      <c r="I788" s="13" t="n"/>
      <c r="J788" s="13" t="n"/>
      <c r="K788" s="14" t="n"/>
      <c r="L788" s="14" t="n"/>
      <c r="M788" s="15">
        <f>IF(OR($B788="",$K788=""),"",($K788-IF($L788="",0,$L788)*IFERROR(VLOOKUP("P01",ParamTbl,3,0),1.5))*(1-IF(IFERROR(VLOOKUP($E788,OpTbl,3,0),"")="خرید",IFERROR(VLOOKUP("P02",ParamTbl,3,0),1),0)/100))</f>
        <v/>
      </c>
      <c r="N788" s="14" t="n"/>
      <c r="O788" s="13" t="n"/>
    </row>
    <row r="789">
      <c r="A789" s="11">
        <f>IF($B789="","",COUNTA($B$9:$B789))</f>
        <v/>
      </c>
      <c r="B789" s="12" t="n"/>
      <c r="C789" s="12" t="n"/>
      <c r="D789" s="12" t="n"/>
      <c r="E789" s="13" t="n"/>
      <c r="F789" s="11">
        <f>IF($E789="","",IFERROR(VLOOKUP($E789,OpTbl,2,0),""))</f>
        <v/>
      </c>
      <c r="G789" s="12" t="n"/>
      <c r="H789" s="11">
        <f>IF($G789="","",IFERROR(IF(VLOOKUP($G789,AcctTbl,4,0)="","(بدون نام)",VLOOKUP($G789,AcctTbl,4,0)),"کد ناشناخته"))</f>
        <v/>
      </c>
      <c r="I789" s="13" t="n"/>
      <c r="J789" s="13" t="n"/>
      <c r="K789" s="14" t="n"/>
      <c r="L789" s="14" t="n"/>
      <c r="M789" s="15">
        <f>IF(OR($B789="",$K789=""),"",($K789-IF($L789="",0,$L789)*IFERROR(VLOOKUP("P01",ParamTbl,3,0),1.5))*(1-IF(IFERROR(VLOOKUP($E789,OpTbl,3,0),"")="خرید",IFERROR(VLOOKUP("P02",ParamTbl,3,0),1),0)/100))</f>
        <v/>
      </c>
      <c r="N789" s="14" t="n"/>
      <c r="O789" s="13" t="n"/>
    </row>
    <row r="790">
      <c r="A790" s="11">
        <f>IF($B790="","",COUNTA($B$9:$B790))</f>
        <v/>
      </c>
      <c r="B790" s="12" t="n"/>
      <c r="C790" s="12" t="n"/>
      <c r="D790" s="12" t="n"/>
      <c r="E790" s="13" t="n"/>
      <c r="F790" s="11">
        <f>IF($E790="","",IFERROR(VLOOKUP($E790,OpTbl,2,0),""))</f>
        <v/>
      </c>
      <c r="G790" s="12" t="n"/>
      <c r="H790" s="11">
        <f>IF($G790="","",IFERROR(IF(VLOOKUP($G790,AcctTbl,4,0)="","(بدون نام)",VLOOKUP($G790,AcctTbl,4,0)),"کد ناشناخته"))</f>
        <v/>
      </c>
      <c r="I790" s="13" t="n"/>
      <c r="J790" s="13" t="n"/>
      <c r="K790" s="14" t="n"/>
      <c r="L790" s="14" t="n"/>
      <c r="M790" s="15">
        <f>IF(OR($B790="",$K790=""),"",($K790-IF($L790="",0,$L790)*IFERROR(VLOOKUP("P01",ParamTbl,3,0),1.5))*(1-IF(IFERROR(VLOOKUP($E790,OpTbl,3,0),"")="خرید",IFERROR(VLOOKUP("P02",ParamTbl,3,0),1),0)/100))</f>
        <v/>
      </c>
      <c r="N790" s="14" t="n"/>
      <c r="O790" s="13" t="n"/>
    </row>
    <row r="791">
      <c r="A791" s="11">
        <f>IF($B791="","",COUNTA($B$9:$B791))</f>
        <v/>
      </c>
      <c r="B791" s="12" t="n"/>
      <c r="C791" s="12" t="n"/>
      <c r="D791" s="12" t="n"/>
      <c r="E791" s="13" t="n"/>
      <c r="F791" s="11">
        <f>IF($E791="","",IFERROR(VLOOKUP($E791,OpTbl,2,0),""))</f>
        <v/>
      </c>
      <c r="G791" s="12" t="n"/>
      <c r="H791" s="11">
        <f>IF($G791="","",IFERROR(IF(VLOOKUP($G791,AcctTbl,4,0)="","(بدون نام)",VLOOKUP($G791,AcctTbl,4,0)),"کد ناشناخته"))</f>
        <v/>
      </c>
      <c r="I791" s="13" t="n"/>
      <c r="J791" s="13" t="n"/>
      <c r="K791" s="14" t="n"/>
      <c r="L791" s="14" t="n"/>
      <c r="M791" s="15">
        <f>IF(OR($B791="",$K791=""),"",($K791-IF($L791="",0,$L791)*IFERROR(VLOOKUP("P01",ParamTbl,3,0),1.5))*(1-IF(IFERROR(VLOOKUP($E791,OpTbl,3,0),"")="خرید",IFERROR(VLOOKUP("P02",ParamTbl,3,0),1),0)/100))</f>
        <v/>
      </c>
      <c r="N791" s="14" t="n"/>
      <c r="O791" s="13" t="n"/>
    </row>
    <row r="792">
      <c r="A792" s="11">
        <f>IF($B792="","",COUNTA($B$9:$B792))</f>
        <v/>
      </c>
      <c r="B792" s="12" t="n"/>
      <c r="C792" s="12" t="n"/>
      <c r="D792" s="12" t="n"/>
      <c r="E792" s="13" t="n"/>
      <c r="F792" s="11">
        <f>IF($E792="","",IFERROR(VLOOKUP($E792,OpTbl,2,0),""))</f>
        <v/>
      </c>
      <c r="G792" s="12" t="n"/>
      <c r="H792" s="11">
        <f>IF($G792="","",IFERROR(IF(VLOOKUP($G792,AcctTbl,4,0)="","(بدون نام)",VLOOKUP($G792,AcctTbl,4,0)),"کد ناشناخته"))</f>
        <v/>
      </c>
      <c r="I792" s="13" t="n"/>
      <c r="J792" s="13" t="n"/>
      <c r="K792" s="14" t="n"/>
      <c r="L792" s="14" t="n"/>
      <c r="M792" s="15">
        <f>IF(OR($B792="",$K792=""),"",($K792-IF($L792="",0,$L792)*IFERROR(VLOOKUP("P01",ParamTbl,3,0),1.5))*(1-IF(IFERROR(VLOOKUP($E792,OpTbl,3,0),"")="خرید",IFERROR(VLOOKUP("P02",ParamTbl,3,0),1),0)/100))</f>
        <v/>
      </c>
      <c r="N792" s="14" t="n"/>
      <c r="O792" s="13" t="n"/>
    </row>
    <row r="793">
      <c r="A793" s="11">
        <f>IF($B793="","",COUNTA($B$9:$B793))</f>
        <v/>
      </c>
      <c r="B793" s="12" t="n"/>
      <c r="C793" s="12" t="n"/>
      <c r="D793" s="12" t="n"/>
      <c r="E793" s="13" t="n"/>
      <c r="F793" s="11">
        <f>IF($E793="","",IFERROR(VLOOKUP($E793,OpTbl,2,0),""))</f>
        <v/>
      </c>
      <c r="G793" s="12" t="n"/>
      <c r="H793" s="11">
        <f>IF($G793="","",IFERROR(IF(VLOOKUP($G793,AcctTbl,4,0)="","(بدون نام)",VLOOKUP($G793,AcctTbl,4,0)),"کد ناشناخته"))</f>
        <v/>
      </c>
      <c r="I793" s="13" t="n"/>
      <c r="J793" s="13" t="n"/>
      <c r="K793" s="14" t="n"/>
      <c r="L793" s="14" t="n"/>
      <c r="M793" s="15">
        <f>IF(OR($B793="",$K793=""),"",($K793-IF($L793="",0,$L793)*IFERROR(VLOOKUP("P01",ParamTbl,3,0),1.5))*(1-IF(IFERROR(VLOOKUP($E793,OpTbl,3,0),"")="خرید",IFERROR(VLOOKUP("P02",ParamTbl,3,0),1),0)/100))</f>
        <v/>
      </c>
      <c r="N793" s="14" t="n"/>
      <c r="O793" s="13" t="n"/>
    </row>
    <row r="794">
      <c r="A794" s="11">
        <f>IF($B794="","",COUNTA($B$9:$B794))</f>
        <v/>
      </c>
      <c r="B794" s="12" t="n"/>
      <c r="C794" s="12" t="n"/>
      <c r="D794" s="12" t="n"/>
      <c r="E794" s="13" t="n"/>
      <c r="F794" s="11">
        <f>IF($E794="","",IFERROR(VLOOKUP($E794,OpTbl,2,0),""))</f>
        <v/>
      </c>
      <c r="G794" s="12" t="n"/>
      <c r="H794" s="11">
        <f>IF($G794="","",IFERROR(IF(VLOOKUP($G794,AcctTbl,4,0)="","(بدون نام)",VLOOKUP($G794,AcctTbl,4,0)),"کد ناشناخته"))</f>
        <v/>
      </c>
      <c r="I794" s="13" t="n"/>
      <c r="J794" s="13" t="n"/>
      <c r="K794" s="14" t="n"/>
      <c r="L794" s="14" t="n"/>
      <c r="M794" s="15">
        <f>IF(OR($B794="",$K794=""),"",($K794-IF($L794="",0,$L794)*IFERROR(VLOOKUP("P01",ParamTbl,3,0),1.5))*(1-IF(IFERROR(VLOOKUP($E794,OpTbl,3,0),"")="خرید",IFERROR(VLOOKUP("P02",ParamTbl,3,0),1),0)/100))</f>
        <v/>
      </c>
      <c r="N794" s="14" t="n"/>
      <c r="O794" s="13" t="n"/>
    </row>
    <row r="795">
      <c r="A795" s="11">
        <f>IF($B795="","",COUNTA($B$9:$B795))</f>
        <v/>
      </c>
      <c r="B795" s="12" t="n"/>
      <c r="C795" s="12" t="n"/>
      <c r="D795" s="12" t="n"/>
      <c r="E795" s="13" t="n"/>
      <c r="F795" s="11">
        <f>IF($E795="","",IFERROR(VLOOKUP($E795,OpTbl,2,0),""))</f>
        <v/>
      </c>
      <c r="G795" s="12" t="n"/>
      <c r="H795" s="11">
        <f>IF($G795="","",IFERROR(IF(VLOOKUP($G795,AcctTbl,4,0)="","(بدون نام)",VLOOKUP($G795,AcctTbl,4,0)),"کد ناشناخته"))</f>
        <v/>
      </c>
      <c r="I795" s="13" t="n"/>
      <c r="J795" s="13" t="n"/>
      <c r="K795" s="14" t="n"/>
      <c r="L795" s="14" t="n"/>
      <c r="M795" s="15">
        <f>IF(OR($B795="",$K795=""),"",($K795-IF($L795="",0,$L795)*IFERROR(VLOOKUP("P01",ParamTbl,3,0),1.5))*(1-IF(IFERROR(VLOOKUP($E795,OpTbl,3,0),"")="خرید",IFERROR(VLOOKUP("P02",ParamTbl,3,0),1),0)/100))</f>
        <v/>
      </c>
      <c r="N795" s="14" t="n"/>
      <c r="O795" s="13" t="n"/>
    </row>
    <row r="796">
      <c r="A796" s="11">
        <f>IF($B796="","",COUNTA($B$9:$B796))</f>
        <v/>
      </c>
      <c r="B796" s="12" t="n"/>
      <c r="C796" s="12" t="n"/>
      <c r="D796" s="12" t="n"/>
      <c r="E796" s="13" t="n"/>
      <c r="F796" s="11">
        <f>IF($E796="","",IFERROR(VLOOKUP($E796,OpTbl,2,0),""))</f>
        <v/>
      </c>
      <c r="G796" s="12" t="n"/>
      <c r="H796" s="11">
        <f>IF($G796="","",IFERROR(IF(VLOOKUP($G796,AcctTbl,4,0)="","(بدون نام)",VLOOKUP($G796,AcctTbl,4,0)),"کد ناشناخته"))</f>
        <v/>
      </c>
      <c r="I796" s="13" t="n"/>
      <c r="J796" s="13" t="n"/>
      <c r="K796" s="14" t="n"/>
      <c r="L796" s="14" t="n"/>
      <c r="M796" s="15">
        <f>IF(OR($B796="",$K796=""),"",($K796-IF($L796="",0,$L796)*IFERROR(VLOOKUP("P01",ParamTbl,3,0),1.5))*(1-IF(IFERROR(VLOOKUP($E796,OpTbl,3,0),"")="خرید",IFERROR(VLOOKUP("P02",ParamTbl,3,0),1),0)/100))</f>
        <v/>
      </c>
      <c r="N796" s="14" t="n"/>
      <c r="O796" s="13" t="n"/>
    </row>
    <row r="797">
      <c r="A797" s="11">
        <f>IF($B797="","",COUNTA($B$9:$B797))</f>
        <v/>
      </c>
      <c r="B797" s="12" t="n"/>
      <c r="C797" s="12" t="n"/>
      <c r="D797" s="12" t="n"/>
      <c r="E797" s="13" t="n"/>
      <c r="F797" s="11">
        <f>IF($E797="","",IFERROR(VLOOKUP($E797,OpTbl,2,0),""))</f>
        <v/>
      </c>
      <c r="G797" s="12" t="n"/>
      <c r="H797" s="11">
        <f>IF($G797="","",IFERROR(IF(VLOOKUP($G797,AcctTbl,4,0)="","(بدون نام)",VLOOKUP($G797,AcctTbl,4,0)),"کد ناشناخته"))</f>
        <v/>
      </c>
      <c r="I797" s="13" t="n"/>
      <c r="J797" s="13" t="n"/>
      <c r="K797" s="14" t="n"/>
      <c r="L797" s="14" t="n"/>
      <c r="M797" s="15">
        <f>IF(OR($B797="",$K797=""),"",($K797-IF($L797="",0,$L797)*IFERROR(VLOOKUP("P01",ParamTbl,3,0),1.5))*(1-IF(IFERROR(VLOOKUP($E797,OpTbl,3,0),"")="خرید",IFERROR(VLOOKUP("P02",ParamTbl,3,0),1),0)/100))</f>
        <v/>
      </c>
      <c r="N797" s="14" t="n"/>
      <c r="O797" s="13" t="n"/>
    </row>
    <row r="798">
      <c r="A798" s="11">
        <f>IF($B798="","",COUNTA($B$9:$B798))</f>
        <v/>
      </c>
      <c r="B798" s="12" t="n"/>
      <c r="C798" s="12" t="n"/>
      <c r="D798" s="12" t="n"/>
      <c r="E798" s="13" t="n"/>
      <c r="F798" s="11">
        <f>IF($E798="","",IFERROR(VLOOKUP($E798,OpTbl,2,0),""))</f>
        <v/>
      </c>
      <c r="G798" s="12" t="n"/>
      <c r="H798" s="11">
        <f>IF($G798="","",IFERROR(IF(VLOOKUP($G798,AcctTbl,4,0)="","(بدون نام)",VLOOKUP($G798,AcctTbl,4,0)),"کد ناشناخته"))</f>
        <v/>
      </c>
      <c r="I798" s="13" t="n"/>
      <c r="J798" s="13" t="n"/>
      <c r="K798" s="14" t="n"/>
      <c r="L798" s="14" t="n"/>
      <c r="M798" s="15">
        <f>IF(OR($B798="",$K798=""),"",($K798-IF($L798="",0,$L798)*IFERROR(VLOOKUP("P01",ParamTbl,3,0),1.5))*(1-IF(IFERROR(VLOOKUP($E798,OpTbl,3,0),"")="خرید",IFERROR(VLOOKUP("P02",ParamTbl,3,0),1),0)/100))</f>
        <v/>
      </c>
      <c r="N798" s="14" t="n"/>
      <c r="O798" s="13" t="n"/>
    </row>
    <row r="799">
      <c r="A799" s="11">
        <f>IF($B799="","",COUNTA($B$9:$B799))</f>
        <v/>
      </c>
      <c r="B799" s="12" t="n"/>
      <c r="C799" s="12" t="n"/>
      <c r="D799" s="12" t="n"/>
      <c r="E799" s="13" t="n"/>
      <c r="F799" s="11">
        <f>IF($E799="","",IFERROR(VLOOKUP($E799,OpTbl,2,0),""))</f>
        <v/>
      </c>
      <c r="G799" s="12" t="n"/>
      <c r="H799" s="11">
        <f>IF($G799="","",IFERROR(IF(VLOOKUP($G799,AcctTbl,4,0)="","(بدون نام)",VLOOKUP($G799,AcctTbl,4,0)),"کد ناشناخته"))</f>
        <v/>
      </c>
      <c r="I799" s="13" t="n"/>
      <c r="J799" s="13" t="n"/>
      <c r="K799" s="14" t="n"/>
      <c r="L799" s="14" t="n"/>
      <c r="M799" s="15">
        <f>IF(OR($B799="",$K799=""),"",($K799-IF($L799="",0,$L799)*IFERROR(VLOOKUP("P01",ParamTbl,3,0),1.5))*(1-IF(IFERROR(VLOOKUP($E799,OpTbl,3,0),"")="خرید",IFERROR(VLOOKUP("P02",ParamTbl,3,0),1),0)/100))</f>
        <v/>
      </c>
      <c r="N799" s="14" t="n"/>
      <c r="O799" s="13" t="n"/>
    </row>
    <row r="800">
      <c r="A800" s="11">
        <f>IF($B800="","",COUNTA($B$9:$B800))</f>
        <v/>
      </c>
      <c r="B800" s="12" t="n"/>
      <c r="C800" s="12" t="n"/>
      <c r="D800" s="12" t="n"/>
      <c r="E800" s="13" t="n"/>
      <c r="F800" s="11">
        <f>IF($E800="","",IFERROR(VLOOKUP($E800,OpTbl,2,0),""))</f>
        <v/>
      </c>
      <c r="G800" s="12" t="n"/>
      <c r="H800" s="11">
        <f>IF($G800="","",IFERROR(IF(VLOOKUP($G800,AcctTbl,4,0)="","(بدون نام)",VLOOKUP($G800,AcctTbl,4,0)),"کد ناشناخته"))</f>
        <v/>
      </c>
      <c r="I800" s="13" t="n"/>
      <c r="J800" s="13" t="n"/>
      <c r="K800" s="14" t="n"/>
      <c r="L800" s="14" t="n"/>
      <c r="M800" s="15">
        <f>IF(OR($B800="",$K800=""),"",($K800-IF($L800="",0,$L800)*IFERROR(VLOOKUP("P01",ParamTbl,3,0),1.5))*(1-IF(IFERROR(VLOOKUP($E800,OpTbl,3,0),"")="خرید",IFERROR(VLOOKUP("P02",ParamTbl,3,0),1),0)/100))</f>
        <v/>
      </c>
      <c r="N800" s="14" t="n"/>
      <c r="O800" s="13" t="n"/>
    </row>
    <row r="801">
      <c r="A801" s="11">
        <f>IF($B801="","",COUNTA($B$9:$B801))</f>
        <v/>
      </c>
      <c r="B801" s="12" t="n"/>
      <c r="C801" s="12" t="n"/>
      <c r="D801" s="12" t="n"/>
      <c r="E801" s="13" t="n"/>
      <c r="F801" s="11">
        <f>IF($E801="","",IFERROR(VLOOKUP($E801,OpTbl,2,0),""))</f>
        <v/>
      </c>
      <c r="G801" s="12" t="n"/>
      <c r="H801" s="11">
        <f>IF($G801="","",IFERROR(IF(VLOOKUP($G801,AcctTbl,4,0)="","(بدون نام)",VLOOKUP($G801,AcctTbl,4,0)),"کد ناشناخته"))</f>
        <v/>
      </c>
      <c r="I801" s="13" t="n"/>
      <c r="J801" s="13" t="n"/>
      <c r="K801" s="14" t="n"/>
      <c r="L801" s="14" t="n"/>
      <c r="M801" s="15">
        <f>IF(OR($B801="",$K801=""),"",($K801-IF($L801="",0,$L801)*IFERROR(VLOOKUP("P01",ParamTbl,3,0),1.5))*(1-IF(IFERROR(VLOOKUP($E801,OpTbl,3,0),"")="خرید",IFERROR(VLOOKUP("P02",ParamTbl,3,0),1),0)/100))</f>
        <v/>
      </c>
      <c r="N801" s="14" t="n"/>
      <c r="O801" s="13" t="n"/>
    </row>
    <row r="802">
      <c r="A802" s="11">
        <f>IF($B802="","",COUNTA($B$9:$B802))</f>
        <v/>
      </c>
      <c r="B802" s="12" t="n"/>
      <c r="C802" s="12" t="n"/>
      <c r="D802" s="12" t="n"/>
      <c r="E802" s="13" t="n"/>
      <c r="F802" s="11">
        <f>IF($E802="","",IFERROR(VLOOKUP($E802,OpTbl,2,0),""))</f>
        <v/>
      </c>
      <c r="G802" s="12" t="n"/>
      <c r="H802" s="11">
        <f>IF($G802="","",IFERROR(IF(VLOOKUP($G802,AcctTbl,4,0)="","(بدون نام)",VLOOKUP($G802,AcctTbl,4,0)),"کد ناشناخته"))</f>
        <v/>
      </c>
      <c r="I802" s="13" t="n"/>
      <c r="J802" s="13" t="n"/>
      <c r="K802" s="14" t="n"/>
      <c r="L802" s="14" t="n"/>
      <c r="M802" s="15">
        <f>IF(OR($B802="",$K802=""),"",($K802-IF($L802="",0,$L802)*IFERROR(VLOOKUP("P01",ParamTbl,3,0),1.5))*(1-IF(IFERROR(VLOOKUP($E802,OpTbl,3,0),"")="خرید",IFERROR(VLOOKUP("P02",ParamTbl,3,0),1),0)/100))</f>
        <v/>
      </c>
      <c r="N802" s="14" t="n"/>
      <c r="O802" s="13" t="n"/>
    </row>
    <row r="803">
      <c r="A803" s="11">
        <f>IF($B803="","",COUNTA($B$9:$B803))</f>
        <v/>
      </c>
      <c r="B803" s="12" t="n"/>
      <c r="C803" s="12" t="n"/>
      <c r="D803" s="12" t="n"/>
      <c r="E803" s="13" t="n"/>
      <c r="F803" s="11">
        <f>IF($E803="","",IFERROR(VLOOKUP($E803,OpTbl,2,0),""))</f>
        <v/>
      </c>
      <c r="G803" s="12" t="n"/>
      <c r="H803" s="11">
        <f>IF($G803="","",IFERROR(IF(VLOOKUP($G803,AcctTbl,4,0)="","(بدون نام)",VLOOKUP($G803,AcctTbl,4,0)),"کد ناشناخته"))</f>
        <v/>
      </c>
      <c r="I803" s="13" t="n"/>
      <c r="J803" s="13" t="n"/>
      <c r="K803" s="14" t="n"/>
      <c r="L803" s="14" t="n"/>
      <c r="M803" s="15">
        <f>IF(OR($B803="",$K803=""),"",($K803-IF($L803="",0,$L803)*IFERROR(VLOOKUP("P01",ParamTbl,3,0),1.5))*(1-IF(IFERROR(VLOOKUP($E803,OpTbl,3,0),"")="خرید",IFERROR(VLOOKUP("P02",ParamTbl,3,0),1),0)/100))</f>
        <v/>
      </c>
      <c r="N803" s="14" t="n"/>
      <c r="O803" s="13" t="n"/>
    </row>
    <row r="804">
      <c r="A804" s="11">
        <f>IF($B804="","",COUNTA($B$9:$B804))</f>
        <v/>
      </c>
      <c r="B804" s="12" t="n"/>
      <c r="C804" s="12" t="n"/>
      <c r="D804" s="12" t="n"/>
      <c r="E804" s="13" t="n"/>
      <c r="F804" s="11">
        <f>IF($E804="","",IFERROR(VLOOKUP($E804,OpTbl,2,0),""))</f>
        <v/>
      </c>
      <c r="G804" s="12" t="n"/>
      <c r="H804" s="11">
        <f>IF($G804="","",IFERROR(IF(VLOOKUP($G804,AcctTbl,4,0)="","(بدون نام)",VLOOKUP($G804,AcctTbl,4,0)),"کد ناشناخته"))</f>
        <v/>
      </c>
      <c r="I804" s="13" t="n"/>
      <c r="J804" s="13" t="n"/>
      <c r="K804" s="14" t="n"/>
      <c r="L804" s="14" t="n"/>
      <c r="M804" s="15">
        <f>IF(OR($B804="",$K804=""),"",($K804-IF($L804="",0,$L804)*IFERROR(VLOOKUP("P01",ParamTbl,3,0),1.5))*(1-IF(IFERROR(VLOOKUP($E804,OpTbl,3,0),"")="خرید",IFERROR(VLOOKUP("P02",ParamTbl,3,0),1),0)/100))</f>
        <v/>
      </c>
      <c r="N804" s="14" t="n"/>
      <c r="O804" s="13" t="n"/>
    </row>
    <row r="805">
      <c r="A805" s="11">
        <f>IF($B805="","",COUNTA($B$9:$B805))</f>
        <v/>
      </c>
      <c r="B805" s="12" t="n"/>
      <c r="C805" s="12" t="n"/>
      <c r="D805" s="12" t="n"/>
      <c r="E805" s="13" t="n"/>
      <c r="F805" s="11">
        <f>IF($E805="","",IFERROR(VLOOKUP($E805,OpTbl,2,0),""))</f>
        <v/>
      </c>
      <c r="G805" s="12" t="n"/>
      <c r="H805" s="11">
        <f>IF($G805="","",IFERROR(IF(VLOOKUP($G805,AcctTbl,4,0)="","(بدون نام)",VLOOKUP($G805,AcctTbl,4,0)),"کد ناشناخته"))</f>
        <v/>
      </c>
      <c r="I805" s="13" t="n"/>
      <c r="J805" s="13" t="n"/>
      <c r="K805" s="14" t="n"/>
      <c r="L805" s="14" t="n"/>
      <c r="M805" s="15">
        <f>IF(OR($B805="",$K805=""),"",($K805-IF($L805="",0,$L805)*IFERROR(VLOOKUP("P01",ParamTbl,3,0),1.5))*(1-IF(IFERROR(VLOOKUP($E805,OpTbl,3,0),"")="خرید",IFERROR(VLOOKUP("P02",ParamTbl,3,0),1),0)/100))</f>
        <v/>
      </c>
      <c r="N805" s="14" t="n"/>
      <c r="O805" s="13" t="n"/>
    </row>
    <row r="806">
      <c r="A806" s="11">
        <f>IF($B806="","",COUNTA($B$9:$B806))</f>
        <v/>
      </c>
      <c r="B806" s="12" t="n"/>
      <c r="C806" s="12" t="n"/>
      <c r="D806" s="12" t="n"/>
      <c r="E806" s="13" t="n"/>
      <c r="F806" s="11">
        <f>IF($E806="","",IFERROR(VLOOKUP($E806,OpTbl,2,0),""))</f>
        <v/>
      </c>
      <c r="G806" s="12" t="n"/>
      <c r="H806" s="11">
        <f>IF($G806="","",IFERROR(IF(VLOOKUP($G806,AcctTbl,4,0)="","(بدون نام)",VLOOKUP($G806,AcctTbl,4,0)),"کد ناشناخته"))</f>
        <v/>
      </c>
      <c r="I806" s="13" t="n"/>
      <c r="J806" s="13" t="n"/>
      <c r="K806" s="14" t="n"/>
      <c r="L806" s="14" t="n"/>
      <c r="M806" s="15">
        <f>IF(OR($B806="",$K806=""),"",($K806-IF($L806="",0,$L806)*IFERROR(VLOOKUP("P01",ParamTbl,3,0),1.5))*(1-IF(IFERROR(VLOOKUP($E806,OpTbl,3,0),"")="خرید",IFERROR(VLOOKUP("P02",ParamTbl,3,0),1),0)/100))</f>
        <v/>
      </c>
      <c r="N806" s="14" t="n"/>
      <c r="O806" s="13" t="n"/>
    </row>
    <row r="807">
      <c r="A807" s="11">
        <f>IF($B807="","",COUNTA($B$9:$B807))</f>
        <v/>
      </c>
      <c r="B807" s="12" t="n"/>
      <c r="C807" s="12" t="n"/>
      <c r="D807" s="12" t="n"/>
      <c r="E807" s="13" t="n"/>
      <c r="F807" s="11">
        <f>IF($E807="","",IFERROR(VLOOKUP($E807,OpTbl,2,0),""))</f>
        <v/>
      </c>
      <c r="G807" s="12" t="n"/>
      <c r="H807" s="11">
        <f>IF($G807="","",IFERROR(IF(VLOOKUP($G807,AcctTbl,4,0)="","(بدون نام)",VLOOKUP($G807,AcctTbl,4,0)),"کد ناشناخته"))</f>
        <v/>
      </c>
      <c r="I807" s="13" t="n"/>
      <c r="J807" s="13" t="n"/>
      <c r="K807" s="14" t="n"/>
      <c r="L807" s="14" t="n"/>
      <c r="M807" s="15">
        <f>IF(OR($B807="",$K807=""),"",($K807-IF($L807="",0,$L807)*IFERROR(VLOOKUP("P01",ParamTbl,3,0),1.5))*(1-IF(IFERROR(VLOOKUP($E807,OpTbl,3,0),"")="خرید",IFERROR(VLOOKUP("P02",ParamTbl,3,0),1),0)/100))</f>
        <v/>
      </c>
      <c r="N807" s="14" t="n"/>
      <c r="O807" s="13" t="n"/>
    </row>
    <row r="808">
      <c r="A808" s="11">
        <f>IF($B808="","",COUNTA($B$9:$B808))</f>
        <v/>
      </c>
      <c r="B808" s="12" t="n"/>
      <c r="C808" s="12" t="n"/>
      <c r="D808" s="12" t="n"/>
      <c r="E808" s="13" t="n"/>
      <c r="F808" s="11">
        <f>IF($E808="","",IFERROR(VLOOKUP($E808,OpTbl,2,0),""))</f>
        <v/>
      </c>
      <c r="G808" s="12" t="n"/>
      <c r="H808" s="11">
        <f>IF($G808="","",IFERROR(IF(VLOOKUP($G808,AcctTbl,4,0)="","(بدون نام)",VLOOKUP($G808,AcctTbl,4,0)),"کد ناشناخته"))</f>
        <v/>
      </c>
      <c r="I808" s="13" t="n"/>
      <c r="J808" s="13" t="n"/>
      <c r="K808" s="14" t="n"/>
      <c r="L808" s="14" t="n"/>
      <c r="M808" s="15">
        <f>IF(OR($B808="",$K808=""),"",($K808-IF($L808="",0,$L808)*IFERROR(VLOOKUP("P01",ParamTbl,3,0),1.5))*(1-IF(IFERROR(VLOOKUP($E808,OpTbl,3,0),"")="خرید",IFERROR(VLOOKUP("P02",ParamTbl,3,0),1),0)/100))</f>
        <v/>
      </c>
      <c r="N808" s="14" t="n"/>
      <c r="O808" s="13" t="n"/>
    </row>
    <row r="809">
      <c r="A809" s="11">
        <f>IF($B809="","",COUNTA($B$9:$B809))</f>
        <v/>
      </c>
      <c r="B809" s="12" t="n"/>
      <c r="C809" s="12" t="n"/>
      <c r="D809" s="12" t="n"/>
      <c r="E809" s="13" t="n"/>
      <c r="F809" s="11">
        <f>IF($E809="","",IFERROR(VLOOKUP($E809,OpTbl,2,0),""))</f>
        <v/>
      </c>
      <c r="G809" s="12" t="n"/>
      <c r="H809" s="11">
        <f>IF($G809="","",IFERROR(IF(VLOOKUP($G809,AcctTbl,4,0)="","(بدون نام)",VLOOKUP($G809,AcctTbl,4,0)),"کد ناشناخته"))</f>
        <v/>
      </c>
      <c r="I809" s="13" t="n"/>
      <c r="J809" s="13" t="n"/>
      <c r="K809" s="14" t="n"/>
      <c r="L809" s="14" t="n"/>
      <c r="M809" s="15">
        <f>IF(OR($B809="",$K809=""),"",($K809-IF($L809="",0,$L809)*IFERROR(VLOOKUP("P01",ParamTbl,3,0),1.5))*(1-IF(IFERROR(VLOOKUP($E809,OpTbl,3,0),"")="خرید",IFERROR(VLOOKUP("P02",ParamTbl,3,0),1),0)/100))</f>
        <v/>
      </c>
      <c r="N809" s="14" t="n"/>
      <c r="O809" s="13" t="n"/>
    </row>
    <row r="810">
      <c r="A810" s="11">
        <f>IF($B810="","",COUNTA($B$9:$B810))</f>
        <v/>
      </c>
      <c r="B810" s="12" t="n"/>
      <c r="C810" s="12" t="n"/>
      <c r="D810" s="12" t="n"/>
      <c r="E810" s="13" t="n"/>
      <c r="F810" s="11">
        <f>IF($E810="","",IFERROR(VLOOKUP($E810,OpTbl,2,0),""))</f>
        <v/>
      </c>
      <c r="G810" s="12" t="n"/>
      <c r="H810" s="11">
        <f>IF($G810="","",IFERROR(IF(VLOOKUP($G810,AcctTbl,4,0)="","(بدون نام)",VLOOKUP($G810,AcctTbl,4,0)),"کد ناشناخته"))</f>
        <v/>
      </c>
      <c r="I810" s="13" t="n"/>
      <c r="J810" s="13" t="n"/>
      <c r="K810" s="14" t="n"/>
      <c r="L810" s="14" t="n"/>
      <c r="M810" s="15">
        <f>IF(OR($B810="",$K810=""),"",($K810-IF($L810="",0,$L810)*IFERROR(VLOOKUP("P01",ParamTbl,3,0),1.5))*(1-IF(IFERROR(VLOOKUP($E810,OpTbl,3,0),"")="خرید",IFERROR(VLOOKUP("P02",ParamTbl,3,0),1),0)/100))</f>
        <v/>
      </c>
      <c r="N810" s="14" t="n"/>
      <c r="O810" s="13" t="n"/>
    </row>
    <row r="811">
      <c r="A811" s="11">
        <f>IF($B811="","",COUNTA($B$9:$B811))</f>
        <v/>
      </c>
      <c r="B811" s="12" t="n"/>
      <c r="C811" s="12" t="n"/>
      <c r="D811" s="12" t="n"/>
      <c r="E811" s="13" t="n"/>
      <c r="F811" s="11">
        <f>IF($E811="","",IFERROR(VLOOKUP($E811,OpTbl,2,0),""))</f>
        <v/>
      </c>
      <c r="G811" s="12" t="n"/>
      <c r="H811" s="11">
        <f>IF($G811="","",IFERROR(IF(VLOOKUP($G811,AcctTbl,4,0)="","(بدون نام)",VLOOKUP($G811,AcctTbl,4,0)),"کد ناشناخته"))</f>
        <v/>
      </c>
      <c r="I811" s="13" t="n"/>
      <c r="J811" s="13" t="n"/>
      <c r="K811" s="14" t="n"/>
      <c r="L811" s="14" t="n"/>
      <c r="M811" s="15">
        <f>IF(OR($B811="",$K811=""),"",($K811-IF($L811="",0,$L811)*IFERROR(VLOOKUP("P01",ParamTbl,3,0),1.5))*(1-IF(IFERROR(VLOOKUP($E811,OpTbl,3,0),"")="خرید",IFERROR(VLOOKUP("P02",ParamTbl,3,0),1),0)/100))</f>
        <v/>
      </c>
      <c r="N811" s="14" t="n"/>
      <c r="O811" s="13" t="n"/>
    </row>
    <row r="812">
      <c r="A812" s="11">
        <f>IF($B812="","",COUNTA($B$9:$B812))</f>
        <v/>
      </c>
      <c r="B812" s="12" t="n"/>
      <c r="C812" s="12" t="n"/>
      <c r="D812" s="12" t="n"/>
      <c r="E812" s="13" t="n"/>
      <c r="F812" s="11">
        <f>IF($E812="","",IFERROR(VLOOKUP($E812,OpTbl,2,0),""))</f>
        <v/>
      </c>
      <c r="G812" s="12" t="n"/>
      <c r="H812" s="11">
        <f>IF($G812="","",IFERROR(IF(VLOOKUP($G812,AcctTbl,4,0)="","(بدون نام)",VLOOKUP($G812,AcctTbl,4,0)),"کد ناشناخته"))</f>
        <v/>
      </c>
      <c r="I812" s="13" t="n"/>
      <c r="J812" s="13" t="n"/>
      <c r="K812" s="14" t="n"/>
      <c r="L812" s="14" t="n"/>
      <c r="M812" s="15">
        <f>IF(OR($B812="",$K812=""),"",($K812-IF($L812="",0,$L812)*IFERROR(VLOOKUP("P01",ParamTbl,3,0),1.5))*(1-IF(IFERROR(VLOOKUP($E812,OpTbl,3,0),"")="خرید",IFERROR(VLOOKUP("P02",ParamTbl,3,0),1),0)/100))</f>
        <v/>
      </c>
      <c r="N812" s="14" t="n"/>
      <c r="O812" s="13" t="n"/>
    </row>
    <row r="813">
      <c r="A813" s="11">
        <f>IF($B813="","",COUNTA($B$9:$B813))</f>
        <v/>
      </c>
      <c r="B813" s="12" t="n"/>
      <c r="C813" s="12" t="n"/>
      <c r="D813" s="12" t="n"/>
      <c r="E813" s="13" t="n"/>
      <c r="F813" s="11">
        <f>IF($E813="","",IFERROR(VLOOKUP($E813,OpTbl,2,0),""))</f>
        <v/>
      </c>
      <c r="G813" s="12" t="n"/>
      <c r="H813" s="11">
        <f>IF($G813="","",IFERROR(IF(VLOOKUP($G813,AcctTbl,4,0)="","(بدون نام)",VLOOKUP($G813,AcctTbl,4,0)),"کد ناشناخته"))</f>
        <v/>
      </c>
      <c r="I813" s="13" t="n"/>
      <c r="J813" s="13" t="n"/>
      <c r="K813" s="14" t="n"/>
      <c r="L813" s="14" t="n"/>
      <c r="M813" s="15">
        <f>IF(OR($B813="",$K813=""),"",($K813-IF($L813="",0,$L813)*IFERROR(VLOOKUP("P01",ParamTbl,3,0),1.5))*(1-IF(IFERROR(VLOOKUP($E813,OpTbl,3,0),"")="خرید",IFERROR(VLOOKUP("P02",ParamTbl,3,0),1),0)/100))</f>
        <v/>
      </c>
      <c r="N813" s="14" t="n"/>
      <c r="O813" s="13" t="n"/>
    </row>
    <row r="814">
      <c r="A814" s="11">
        <f>IF($B814="","",COUNTA($B$9:$B814))</f>
        <v/>
      </c>
      <c r="B814" s="12" t="n"/>
      <c r="C814" s="12" t="n"/>
      <c r="D814" s="12" t="n"/>
      <c r="E814" s="13" t="n"/>
      <c r="F814" s="11">
        <f>IF($E814="","",IFERROR(VLOOKUP($E814,OpTbl,2,0),""))</f>
        <v/>
      </c>
      <c r="G814" s="12" t="n"/>
      <c r="H814" s="11">
        <f>IF($G814="","",IFERROR(IF(VLOOKUP($G814,AcctTbl,4,0)="","(بدون نام)",VLOOKUP($G814,AcctTbl,4,0)),"کد ناشناخته"))</f>
        <v/>
      </c>
      <c r="I814" s="13" t="n"/>
      <c r="J814" s="13" t="n"/>
      <c r="K814" s="14" t="n"/>
      <c r="L814" s="14" t="n"/>
      <c r="M814" s="15">
        <f>IF(OR($B814="",$K814=""),"",($K814-IF($L814="",0,$L814)*IFERROR(VLOOKUP("P01",ParamTbl,3,0),1.5))*(1-IF(IFERROR(VLOOKUP($E814,OpTbl,3,0),"")="خرید",IFERROR(VLOOKUP("P02",ParamTbl,3,0),1),0)/100))</f>
        <v/>
      </c>
      <c r="N814" s="14" t="n"/>
      <c r="O814" s="13" t="n"/>
    </row>
    <row r="815">
      <c r="A815" s="11">
        <f>IF($B815="","",COUNTA($B$9:$B815))</f>
        <v/>
      </c>
      <c r="B815" s="12" t="n"/>
      <c r="C815" s="12" t="n"/>
      <c r="D815" s="12" t="n"/>
      <c r="E815" s="13" t="n"/>
      <c r="F815" s="11">
        <f>IF($E815="","",IFERROR(VLOOKUP($E815,OpTbl,2,0),""))</f>
        <v/>
      </c>
      <c r="G815" s="12" t="n"/>
      <c r="H815" s="11">
        <f>IF($G815="","",IFERROR(IF(VLOOKUP($G815,AcctTbl,4,0)="","(بدون نام)",VLOOKUP($G815,AcctTbl,4,0)),"کد ناشناخته"))</f>
        <v/>
      </c>
      <c r="I815" s="13" t="n"/>
      <c r="J815" s="13" t="n"/>
      <c r="K815" s="14" t="n"/>
      <c r="L815" s="14" t="n"/>
      <c r="M815" s="15">
        <f>IF(OR($B815="",$K815=""),"",($K815-IF($L815="",0,$L815)*IFERROR(VLOOKUP("P01",ParamTbl,3,0),1.5))*(1-IF(IFERROR(VLOOKUP($E815,OpTbl,3,0),"")="خرید",IFERROR(VLOOKUP("P02",ParamTbl,3,0),1),0)/100))</f>
        <v/>
      </c>
      <c r="N815" s="14" t="n"/>
      <c r="O815" s="13" t="n"/>
    </row>
    <row r="816">
      <c r="A816" s="11">
        <f>IF($B816="","",COUNTA($B$9:$B816))</f>
        <v/>
      </c>
      <c r="B816" s="12" t="n"/>
      <c r="C816" s="12" t="n"/>
      <c r="D816" s="12" t="n"/>
      <c r="E816" s="13" t="n"/>
      <c r="F816" s="11">
        <f>IF($E816="","",IFERROR(VLOOKUP($E816,OpTbl,2,0),""))</f>
        <v/>
      </c>
      <c r="G816" s="12" t="n"/>
      <c r="H816" s="11">
        <f>IF($G816="","",IFERROR(IF(VLOOKUP($G816,AcctTbl,4,0)="","(بدون نام)",VLOOKUP($G816,AcctTbl,4,0)),"کد ناشناخته"))</f>
        <v/>
      </c>
      <c r="I816" s="13" t="n"/>
      <c r="J816" s="13" t="n"/>
      <c r="K816" s="14" t="n"/>
      <c r="L816" s="14" t="n"/>
      <c r="M816" s="15">
        <f>IF(OR($B816="",$K816=""),"",($K816-IF($L816="",0,$L816)*IFERROR(VLOOKUP("P01",ParamTbl,3,0),1.5))*(1-IF(IFERROR(VLOOKUP($E816,OpTbl,3,0),"")="خرید",IFERROR(VLOOKUP("P02",ParamTbl,3,0),1),0)/100))</f>
        <v/>
      </c>
      <c r="N816" s="14" t="n"/>
      <c r="O816" s="13" t="n"/>
    </row>
    <row r="817">
      <c r="A817" s="11">
        <f>IF($B817="","",COUNTA($B$9:$B817))</f>
        <v/>
      </c>
      <c r="B817" s="12" t="n"/>
      <c r="C817" s="12" t="n"/>
      <c r="D817" s="12" t="n"/>
      <c r="E817" s="13" t="n"/>
      <c r="F817" s="11">
        <f>IF($E817="","",IFERROR(VLOOKUP($E817,OpTbl,2,0),""))</f>
        <v/>
      </c>
      <c r="G817" s="12" t="n"/>
      <c r="H817" s="11">
        <f>IF($G817="","",IFERROR(IF(VLOOKUP($G817,AcctTbl,4,0)="","(بدون نام)",VLOOKUP($G817,AcctTbl,4,0)),"کد ناشناخته"))</f>
        <v/>
      </c>
      <c r="I817" s="13" t="n"/>
      <c r="J817" s="13" t="n"/>
      <c r="K817" s="14" t="n"/>
      <c r="L817" s="14" t="n"/>
      <c r="M817" s="15">
        <f>IF(OR($B817="",$K817=""),"",($K817-IF($L817="",0,$L817)*IFERROR(VLOOKUP("P01",ParamTbl,3,0),1.5))*(1-IF(IFERROR(VLOOKUP($E817,OpTbl,3,0),"")="خرید",IFERROR(VLOOKUP("P02",ParamTbl,3,0),1),0)/100))</f>
        <v/>
      </c>
      <c r="N817" s="14" t="n"/>
      <c r="O817" s="13" t="n"/>
    </row>
    <row r="818">
      <c r="A818" s="11">
        <f>IF($B818="","",COUNTA($B$9:$B818))</f>
        <v/>
      </c>
      <c r="B818" s="12" t="n"/>
      <c r="C818" s="12" t="n"/>
      <c r="D818" s="12" t="n"/>
      <c r="E818" s="13" t="n"/>
      <c r="F818" s="11">
        <f>IF($E818="","",IFERROR(VLOOKUP($E818,OpTbl,2,0),""))</f>
        <v/>
      </c>
      <c r="G818" s="12" t="n"/>
      <c r="H818" s="11">
        <f>IF($G818="","",IFERROR(IF(VLOOKUP($G818,AcctTbl,4,0)="","(بدون نام)",VLOOKUP($G818,AcctTbl,4,0)),"کد ناشناخته"))</f>
        <v/>
      </c>
      <c r="I818" s="13" t="n"/>
      <c r="J818" s="13" t="n"/>
      <c r="K818" s="14" t="n"/>
      <c r="L818" s="14" t="n"/>
      <c r="M818" s="15">
        <f>IF(OR($B818="",$K818=""),"",($K818-IF($L818="",0,$L818)*IFERROR(VLOOKUP("P01",ParamTbl,3,0),1.5))*(1-IF(IFERROR(VLOOKUP($E818,OpTbl,3,0),"")="خرید",IFERROR(VLOOKUP("P02",ParamTbl,3,0),1),0)/100))</f>
        <v/>
      </c>
      <c r="N818" s="14" t="n"/>
      <c r="O818" s="13" t="n"/>
    </row>
    <row r="819">
      <c r="A819" s="11">
        <f>IF($B819="","",COUNTA($B$9:$B819))</f>
        <v/>
      </c>
      <c r="B819" s="12" t="n"/>
      <c r="C819" s="12" t="n"/>
      <c r="D819" s="12" t="n"/>
      <c r="E819" s="13" t="n"/>
      <c r="F819" s="11">
        <f>IF($E819="","",IFERROR(VLOOKUP($E819,OpTbl,2,0),""))</f>
        <v/>
      </c>
      <c r="G819" s="12" t="n"/>
      <c r="H819" s="11">
        <f>IF($G819="","",IFERROR(IF(VLOOKUP($G819,AcctTbl,4,0)="","(بدون نام)",VLOOKUP($G819,AcctTbl,4,0)),"کد ناشناخته"))</f>
        <v/>
      </c>
      <c r="I819" s="13" t="n"/>
      <c r="J819" s="13" t="n"/>
      <c r="K819" s="14" t="n"/>
      <c r="L819" s="14" t="n"/>
      <c r="M819" s="15">
        <f>IF(OR($B819="",$K819=""),"",($K819-IF($L819="",0,$L819)*IFERROR(VLOOKUP("P01",ParamTbl,3,0),1.5))*(1-IF(IFERROR(VLOOKUP($E819,OpTbl,3,0),"")="خرید",IFERROR(VLOOKUP("P02",ParamTbl,3,0),1),0)/100))</f>
        <v/>
      </c>
      <c r="N819" s="14" t="n"/>
      <c r="O819" s="13" t="n"/>
    </row>
    <row r="820">
      <c r="A820" s="11">
        <f>IF($B820="","",COUNTA($B$9:$B820))</f>
        <v/>
      </c>
      <c r="B820" s="12" t="n"/>
      <c r="C820" s="12" t="n"/>
      <c r="D820" s="12" t="n"/>
      <c r="E820" s="13" t="n"/>
      <c r="F820" s="11">
        <f>IF($E820="","",IFERROR(VLOOKUP($E820,OpTbl,2,0),""))</f>
        <v/>
      </c>
      <c r="G820" s="12" t="n"/>
      <c r="H820" s="11">
        <f>IF($G820="","",IFERROR(IF(VLOOKUP($G820,AcctTbl,4,0)="","(بدون نام)",VLOOKUP($G820,AcctTbl,4,0)),"کد ناشناخته"))</f>
        <v/>
      </c>
      <c r="I820" s="13" t="n"/>
      <c r="J820" s="13" t="n"/>
      <c r="K820" s="14" t="n"/>
      <c r="L820" s="14" t="n"/>
      <c r="M820" s="15">
        <f>IF(OR($B820="",$K820=""),"",($K820-IF($L820="",0,$L820)*IFERROR(VLOOKUP("P01",ParamTbl,3,0),1.5))*(1-IF(IFERROR(VLOOKUP($E820,OpTbl,3,0),"")="خرید",IFERROR(VLOOKUP("P02",ParamTbl,3,0),1),0)/100))</f>
        <v/>
      </c>
      <c r="N820" s="14" t="n"/>
      <c r="O820" s="13" t="n"/>
    </row>
    <row r="821">
      <c r="A821" s="11">
        <f>IF($B821="","",COUNTA($B$9:$B821))</f>
        <v/>
      </c>
      <c r="B821" s="12" t="n"/>
      <c r="C821" s="12" t="n"/>
      <c r="D821" s="12" t="n"/>
      <c r="E821" s="13" t="n"/>
      <c r="F821" s="11">
        <f>IF($E821="","",IFERROR(VLOOKUP($E821,OpTbl,2,0),""))</f>
        <v/>
      </c>
      <c r="G821" s="12" t="n"/>
      <c r="H821" s="11">
        <f>IF($G821="","",IFERROR(IF(VLOOKUP($G821,AcctTbl,4,0)="","(بدون نام)",VLOOKUP($G821,AcctTbl,4,0)),"کد ناشناخته"))</f>
        <v/>
      </c>
      <c r="I821" s="13" t="n"/>
      <c r="J821" s="13" t="n"/>
      <c r="K821" s="14" t="n"/>
      <c r="L821" s="14" t="n"/>
      <c r="M821" s="15">
        <f>IF(OR($B821="",$K821=""),"",($K821-IF($L821="",0,$L821)*IFERROR(VLOOKUP("P01",ParamTbl,3,0),1.5))*(1-IF(IFERROR(VLOOKUP($E821,OpTbl,3,0),"")="خرید",IFERROR(VLOOKUP("P02",ParamTbl,3,0),1),0)/100))</f>
        <v/>
      </c>
      <c r="N821" s="14" t="n"/>
      <c r="O821" s="13" t="n"/>
    </row>
    <row r="822">
      <c r="A822" s="11">
        <f>IF($B822="","",COUNTA($B$9:$B822))</f>
        <v/>
      </c>
      <c r="B822" s="12" t="n"/>
      <c r="C822" s="12" t="n"/>
      <c r="D822" s="12" t="n"/>
      <c r="E822" s="13" t="n"/>
      <c r="F822" s="11">
        <f>IF($E822="","",IFERROR(VLOOKUP($E822,OpTbl,2,0),""))</f>
        <v/>
      </c>
      <c r="G822" s="12" t="n"/>
      <c r="H822" s="11">
        <f>IF($G822="","",IFERROR(IF(VLOOKUP($G822,AcctTbl,4,0)="","(بدون نام)",VLOOKUP($G822,AcctTbl,4,0)),"کد ناشناخته"))</f>
        <v/>
      </c>
      <c r="I822" s="13" t="n"/>
      <c r="J822" s="13" t="n"/>
      <c r="K822" s="14" t="n"/>
      <c r="L822" s="14" t="n"/>
      <c r="M822" s="15">
        <f>IF(OR($B822="",$K822=""),"",($K822-IF($L822="",0,$L822)*IFERROR(VLOOKUP("P01",ParamTbl,3,0),1.5))*(1-IF(IFERROR(VLOOKUP($E822,OpTbl,3,0),"")="خرید",IFERROR(VLOOKUP("P02",ParamTbl,3,0),1),0)/100))</f>
        <v/>
      </c>
      <c r="N822" s="14" t="n"/>
      <c r="O822" s="13" t="n"/>
    </row>
    <row r="823">
      <c r="A823" s="11">
        <f>IF($B823="","",COUNTA($B$9:$B823))</f>
        <v/>
      </c>
      <c r="B823" s="12" t="n"/>
      <c r="C823" s="12" t="n"/>
      <c r="D823" s="12" t="n"/>
      <c r="E823" s="13" t="n"/>
      <c r="F823" s="11">
        <f>IF($E823="","",IFERROR(VLOOKUP($E823,OpTbl,2,0),""))</f>
        <v/>
      </c>
      <c r="G823" s="12" t="n"/>
      <c r="H823" s="11">
        <f>IF($G823="","",IFERROR(IF(VLOOKUP($G823,AcctTbl,4,0)="","(بدون نام)",VLOOKUP($G823,AcctTbl,4,0)),"کد ناشناخته"))</f>
        <v/>
      </c>
      <c r="I823" s="13" t="n"/>
      <c r="J823" s="13" t="n"/>
      <c r="K823" s="14" t="n"/>
      <c r="L823" s="14" t="n"/>
      <c r="M823" s="15">
        <f>IF(OR($B823="",$K823=""),"",($K823-IF($L823="",0,$L823)*IFERROR(VLOOKUP("P01",ParamTbl,3,0),1.5))*(1-IF(IFERROR(VLOOKUP($E823,OpTbl,3,0),"")="خرید",IFERROR(VLOOKUP("P02",ParamTbl,3,0),1),0)/100))</f>
        <v/>
      </c>
      <c r="N823" s="14" t="n"/>
      <c r="O823" s="13" t="n"/>
    </row>
    <row r="824">
      <c r="A824" s="11">
        <f>IF($B824="","",COUNTA($B$9:$B824))</f>
        <v/>
      </c>
      <c r="B824" s="12" t="n"/>
      <c r="C824" s="12" t="n"/>
      <c r="D824" s="12" t="n"/>
      <c r="E824" s="13" t="n"/>
      <c r="F824" s="11">
        <f>IF($E824="","",IFERROR(VLOOKUP($E824,OpTbl,2,0),""))</f>
        <v/>
      </c>
      <c r="G824" s="12" t="n"/>
      <c r="H824" s="11">
        <f>IF($G824="","",IFERROR(IF(VLOOKUP($G824,AcctTbl,4,0)="","(بدون نام)",VLOOKUP($G824,AcctTbl,4,0)),"کد ناشناخته"))</f>
        <v/>
      </c>
      <c r="I824" s="13" t="n"/>
      <c r="J824" s="13" t="n"/>
      <c r="K824" s="14" t="n"/>
      <c r="L824" s="14" t="n"/>
      <c r="M824" s="15">
        <f>IF(OR($B824="",$K824=""),"",($K824-IF($L824="",0,$L824)*IFERROR(VLOOKUP("P01",ParamTbl,3,0),1.5))*(1-IF(IFERROR(VLOOKUP($E824,OpTbl,3,0),"")="خرید",IFERROR(VLOOKUP("P02",ParamTbl,3,0),1),0)/100))</f>
        <v/>
      </c>
      <c r="N824" s="14" t="n"/>
      <c r="O824" s="13" t="n"/>
    </row>
    <row r="825">
      <c r="A825" s="11">
        <f>IF($B825="","",COUNTA($B$9:$B825))</f>
        <v/>
      </c>
      <c r="B825" s="12" t="n"/>
      <c r="C825" s="12" t="n"/>
      <c r="D825" s="12" t="n"/>
      <c r="E825" s="13" t="n"/>
      <c r="F825" s="11">
        <f>IF($E825="","",IFERROR(VLOOKUP($E825,OpTbl,2,0),""))</f>
        <v/>
      </c>
      <c r="G825" s="12" t="n"/>
      <c r="H825" s="11">
        <f>IF($G825="","",IFERROR(IF(VLOOKUP($G825,AcctTbl,4,0)="","(بدون نام)",VLOOKUP($G825,AcctTbl,4,0)),"کد ناشناخته"))</f>
        <v/>
      </c>
      <c r="I825" s="13" t="n"/>
      <c r="J825" s="13" t="n"/>
      <c r="K825" s="14" t="n"/>
      <c r="L825" s="14" t="n"/>
      <c r="M825" s="15">
        <f>IF(OR($B825="",$K825=""),"",($K825-IF($L825="",0,$L825)*IFERROR(VLOOKUP("P01",ParamTbl,3,0),1.5))*(1-IF(IFERROR(VLOOKUP($E825,OpTbl,3,0),"")="خرید",IFERROR(VLOOKUP("P02",ParamTbl,3,0),1),0)/100))</f>
        <v/>
      </c>
      <c r="N825" s="14" t="n"/>
      <c r="O825" s="13" t="n"/>
    </row>
    <row r="826">
      <c r="A826" s="11">
        <f>IF($B826="","",COUNTA($B$9:$B826))</f>
        <v/>
      </c>
      <c r="B826" s="12" t="n"/>
      <c r="C826" s="12" t="n"/>
      <c r="D826" s="12" t="n"/>
      <c r="E826" s="13" t="n"/>
      <c r="F826" s="11">
        <f>IF($E826="","",IFERROR(VLOOKUP($E826,OpTbl,2,0),""))</f>
        <v/>
      </c>
      <c r="G826" s="12" t="n"/>
      <c r="H826" s="11">
        <f>IF($G826="","",IFERROR(IF(VLOOKUP($G826,AcctTbl,4,0)="","(بدون نام)",VLOOKUP($G826,AcctTbl,4,0)),"کد ناشناخته"))</f>
        <v/>
      </c>
      <c r="I826" s="13" t="n"/>
      <c r="J826" s="13" t="n"/>
      <c r="K826" s="14" t="n"/>
      <c r="L826" s="14" t="n"/>
      <c r="M826" s="15">
        <f>IF(OR($B826="",$K826=""),"",($K826-IF($L826="",0,$L826)*IFERROR(VLOOKUP("P01",ParamTbl,3,0),1.5))*(1-IF(IFERROR(VLOOKUP($E826,OpTbl,3,0),"")="خرید",IFERROR(VLOOKUP("P02",ParamTbl,3,0),1),0)/100))</f>
        <v/>
      </c>
      <c r="N826" s="14" t="n"/>
      <c r="O826" s="13" t="n"/>
    </row>
    <row r="827">
      <c r="A827" s="11">
        <f>IF($B827="","",COUNTA($B$9:$B827))</f>
        <v/>
      </c>
      <c r="B827" s="12" t="n"/>
      <c r="C827" s="12" t="n"/>
      <c r="D827" s="12" t="n"/>
      <c r="E827" s="13" t="n"/>
      <c r="F827" s="11">
        <f>IF($E827="","",IFERROR(VLOOKUP($E827,OpTbl,2,0),""))</f>
        <v/>
      </c>
      <c r="G827" s="12" t="n"/>
      <c r="H827" s="11">
        <f>IF($G827="","",IFERROR(IF(VLOOKUP($G827,AcctTbl,4,0)="","(بدون نام)",VLOOKUP($G827,AcctTbl,4,0)),"کد ناشناخته"))</f>
        <v/>
      </c>
      <c r="I827" s="13" t="n"/>
      <c r="J827" s="13" t="n"/>
      <c r="K827" s="14" t="n"/>
      <c r="L827" s="14" t="n"/>
      <c r="M827" s="15">
        <f>IF(OR($B827="",$K827=""),"",($K827-IF($L827="",0,$L827)*IFERROR(VLOOKUP("P01",ParamTbl,3,0),1.5))*(1-IF(IFERROR(VLOOKUP($E827,OpTbl,3,0),"")="خرید",IFERROR(VLOOKUP("P02",ParamTbl,3,0),1),0)/100))</f>
        <v/>
      </c>
      <c r="N827" s="14" t="n"/>
      <c r="O827" s="13" t="n"/>
    </row>
    <row r="828">
      <c r="A828" s="11">
        <f>IF($B828="","",COUNTA($B$9:$B828))</f>
        <v/>
      </c>
      <c r="B828" s="12" t="n"/>
      <c r="C828" s="12" t="n"/>
      <c r="D828" s="12" t="n"/>
      <c r="E828" s="13" t="n"/>
      <c r="F828" s="11">
        <f>IF($E828="","",IFERROR(VLOOKUP($E828,OpTbl,2,0),""))</f>
        <v/>
      </c>
      <c r="G828" s="12" t="n"/>
      <c r="H828" s="11">
        <f>IF($G828="","",IFERROR(IF(VLOOKUP($G828,AcctTbl,4,0)="","(بدون نام)",VLOOKUP($G828,AcctTbl,4,0)),"کد ناشناخته"))</f>
        <v/>
      </c>
      <c r="I828" s="13" t="n"/>
      <c r="J828" s="13" t="n"/>
      <c r="K828" s="14" t="n"/>
      <c r="L828" s="14" t="n"/>
      <c r="M828" s="15">
        <f>IF(OR($B828="",$K828=""),"",($K828-IF($L828="",0,$L828)*IFERROR(VLOOKUP("P01",ParamTbl,3,0),1.5))*(1-IF(IFERROR(VLOOKUP($E828,OpTbl,3,0),"")="خرید",IFERROR(VLOOKUP("P02",ParamTbl,3,0),1),0)/100))</f>
        <v/>
      </c>
      <c r="N828" s="14" t="n"/>
      <c r="O828" s="13" t="n"/>
    </row>
    <row r="829">
      <c r="A829" s="11">
        <f>IF($B829="","",COUNTA($B$9:$B829))</f>
        <v/>
      </c>
      <c r="B829" s="12" t="n"/>
      <c r="C829" s="12" t="n"/>
      <c r="D829" s="12" t="n"/>
      <c r="E829" s="13" t="n"/>
      <c r="F829" s="11">
        <f>IF($E829="","",IFERROR(VLOOKUP($E829,OpTbl,2,0),""))</f>
        <v/>
      </c>
      <c r="G829" s="12" t="n"/>
      <c r="H829" s="11">
        <f>IF($G829="","",IFERROR(IF(VLOOKUP($G829,AcctTbl,4,0)="","(بدون نام)",VLOOKUP($G829,AcctTbl,4,0)),"کد ناشناخته"))</f>
        <v/>
      </c>
      <c r="I829" s="13" t="n"/>
      <c r="J829" s="13" t="n"/>
      <c r="K829" s="14" t="n"/>
      <c r="L829" s="14" t="n"/>
      <c r="M829" s="15">
        <f>IF(OR($B829="",$K829=""),"",($K829-IF($L829="",0,$L829)*IFERROR(VLOOKUP("P01",ParamTbl,3,0),1.5))*(1-IF(IFERROR(VLOOKUP($E829,OpTbl,3,0),"")="خرید",IFERROR(VLOOKUP("P02",ParamTbl,3,0),1),0)/100))</f>
        <v/>
      </c>
      <c r="N829" s="14" t="n"/>
      <c r="O829" s="13" t="n"/>
    </row>
    <row r="830">
      <c r="A830" s="11">
        <f>IF($B830="","",COUNTA($B$9:$B830))</f>
        <v/>
      </c>
      <c r="B830" s="12" t="n"/>
      <c r="C830" s="12" t="n"/>
      <c r="D830" s="12" t="n"/>
      <c r="E830" s="13" t="n"/>
      <c r="F830" s="11">
        <f>IF($E830="","",IFERROR(VLOOKUP($E830,OpTbl,2,0),""))</f>
        <v/>
      </c>
      <c r="G830" s="12" t="n"/>
      <c r="H830" s="11">
        <f>IF($G830="","",IFERROR(IF(VLOOKUP($G830,AcctTbl,4,0)="","(بدون نام)",VLOOKUP($G830,AcctTbl,4,0)),"کد ناشناخته"))</f>
        <v/>
      </c>
      <c r="I830" s="13" t="n"/>
      <c r="J830" s="13" t="n"/>
      <c r="K830" s="14" t="n"/>
      <c r="L830" s="14" t="n"/>
      <c r="M830" s="15">
        <f>IF(OR($B830="",$K830=""),"",($K830-IF($L830="",0,$L830)*IFERROR(VLOOKUP("P01",ParamTbl,3,0),1.5))*(1-IF(IFERROR(VLOOKUP($E830,OpTbl,3,0),"")="خرید",IFERROR(VLOOKUP("P02",ParamTbl,3,0),1),0)/100))</f>
        <v/>
      </c>
      <c r="N830" s="14" t="n"/>
      <c r="O830" s="13" t="n"/>
    </row>
    <row r="831">
      <c r="A831" s="11">
        <f>IF($B831="","",COUNTA($B$9:$B831))</f>
        <v/>
      </c>
      <c r="B831" s="12" t="n"/>
      <c r="C831" s="12" t="n"/>
      <c r="D831" s="12" t="n"/>
      <c r="E831" s="13" t="n"/>
      <c r="F831" s="11">
        <f>IF($E831="","",IFERROR(VLOOKUP($E831,OpTbl,2,0),""))</f>
        <v/>
      </c>
      <c r="G831" s="12" t="n"/>
      <c r="H831" s="11">
        <f>IF($G831="","",IFERROR(IF(VLOOKUP($G831,AcctTbl,4,0)="","(بدون نام)",VLOOKUP($G831,AcctTbl,4,0)),"کد ناشناخته"))</f>
        <v/>
      </c>
      <c r="I831" s="13" t="n"/>
      <c r="J831" s="13" t="n"/>
      <c r="K831" s="14" t="n"/>
      <c r="L831" s="14" t="n"/>
      <c r="M831" s="15">
        <f>IF(OR($B831="",$K831=""),"",($K831-IF($L831="",0,$L831)*IFERROR(VLOOKUP("P01",ParamTbl,3,0),1.5))*(1-IF(IFERROR(VLOOKUP($E831,OpTbl,3,0),"")="خرید",IFERROR(VLOOKUP("P02",ParamTbl,3,0),1),0)/100))</f>
        <v/>
      </c>
      <c r="N831" s="14" t="n"/>
      <c r="O831" s="13" t="n"/>
    </row>
    <row r="832">
      <c r="A832" s="11">
        <f>IF($B832="","",COUNTA($B$9:$B832))</f>
        <v/>
      </c>
      <c r="B832" s="12" t="n"/>
      <c r="C832" s="12" t="n"/>
      <c r="D832" s="12" t="n"/>
      <c r="E832" s="13" t="n"/>
      <c r="F832" s="11">
        <f>IF($E832="","",IFERROR(VLOOKUP($E832,OpTbl,2,0),""))</f>
        <v/>
      </c>
      <c r="G832" s="12" t="n"/>
      <c r="H832" s="11">
        <f>IF($G832="","",IFERROR(IF(VLOOKUP($G832,AcctTbl,4,0)="","(بدون نام)",VLOOKUP($G832,AcctTbl,4,0)),"کد ناشناخته"))</f>
        <v/>
      </c>
      <c r="I832" s="13" t="n"/>
      <c r="J832" s="13" t="n"/>
      <c r="K832" s="14" t="n"/>
      <c r="L832" s="14" t="n"/>
      <c r="M832" s="15">
        <f>IF(OR($B832="",$K832=""),"",($K832-IF($L832="",0,$L832)*IFERROR(VLOOKUP("P01",ParamTbl,3,0),1.5))*(1-IF(IFERROR(VLOOKUP($E832,OpTbl,3,0),"")="خرید",IFERROR(VLOOKUP("P02",ParamTbl,3,0),1),0)/100))</f>
        <v/>
      </c>
      <c r="N832" s="14" t="n"/>
      <c r="O832" s="13" t="n"/>
    </row>
    <row r="833">
      <c r="A833" s="11">
        <f>IF($B833="","",COUNTA($B$9:$B833))</f>
        <v/>
      </c>
      <c r="B833" s="12" t="n"/>
      <c r="C833" s="12" t="n"/>
      <c r="D833" s="12" t="n"/>
      <c r="E833" s="13" t="n"/>
      <c r="F833" s="11">
        <f>IF($E833="","",IFERROR(VLOOKUP($E833,OpTbl,2,0),""))</f>
        <v/>
      </c>
      <c r="G833" s="12" t="n"/>
      <c r="H833" s="11">
        <f>IF($G833="","",IFERROR(IF(VLOOKUP($G833,AcctTbl,4,0)="","(بدون نام)",VLOOKUP($G833,AcctTbl,4,0)),"کد ناشناخته"))</f>
        <v/>
      </c>
      <c r="I833" s="13" t="n"/>
      <c r="J833" s="13" t="n"/>
      <c r="K833" s="14" t="n"/>
      <c r="L833" s="14" t="n"/>
      <c r="M833" s="15">
        <f>IF(OR($B833="",$K833=""),"",($K833-IF($L833="",0,$L833)*IFERROR(VLOOKUP("P01",ParamTbl,3,0),1.5))*(1-IF(IFERROR(VLOOKUP($E833,OpTbl,3,0),"")="خرید",IFERROR(VLOOKUP("P02",ParamTbl,3,0),1),0)/100))</f>
        <v/>
      </c>
      <c r="N833" s="14" t="n"/>
      <c r="O833" s="13" t="n"/>
    </row>
    <row r="834">
      <c r="A834" s="11">
        <f>IF($B834="","",COUNTA($B$9:$B834))</f>
        <v/>
      </c>
      <c r="B834" s="12" t="n"/>
      <c r="C834" s="12" t="n"/>
      <c r="D834" s="12" t="n"/>
      <c r="E834" s="13" t="n"/>
      <c r="F834" s="11">
        <f>IF($E834="","",IFERROR(VLOOKUP($E834,OpTbl,2,0),""))</f>
        <v/>
      </c>
      <c r="G834" s="12" t="n"/>
      <c r="H834" s="11">
        <f>IF($G834="","",IFERROR(IF(VLOOKUP($G834,AcctTbl,4,0)="","(بدون نام)",VLOOKUP($G834,AcctTbl,4,0)),"کد ناشناخته"))</f>
        <v/>
      </c>
      <c r="I834" s="13" t="n"/>
      <c r="J834" s="13" t="n"/>
      <c r="K834" s="14" t="n"/>
      <c r="L834" s="14" t="n"/>
      <c r="M834" s="15">
        <f>IF(OR($B834="",$K834=""),"",($K834-IF($L834="",0,$L834)*IFERROR(VLOOKUP("P01",ParamTbl,3,0),1.5))*(1-IF(IFERROR(VLOOKUP($E834,OpTbl,3,0),"")="خرید",IFERROR(VLOOKUP("P02",ParamTbl,3,0),1),0)/100))</f>
        <v/>
      </c>
      <c r="N834" s="14" t="n"/>
      <c r="O834" s="13" t="n"/>
    </row>
    <row r="835">
      <c r="A835" s="11">
        <f>IF($B835="","",COUNTA($B$9:$B835))</f>
        <v/>
      </c>
      <c r="B835" s="12" t="n"/>
      <c r="C835" s="12" t="n"/>
      <c r="D835" s="12" t="n"/>
      <c r="E835" s="13" t="n"/>
      <c r="F835" s="11">
        <f>IF($E835="","",IFERROR(VLOOKUP($E835,OpTbl,2,0),""))</f>
        <v/>
      </c>
      <c r="G835" s="12" t="n"/>
      <c r="H835" s="11">
        <f>IF($G835="","",IFERROR(IF(VLOOKUP($G835,AcctTbl,4,0)="","(بدون نام)",VLOOKUP($G835,AcctTbl,4,0)),"کد ناشناخته"))</f>
        <v/>
      </c>
      <c r="I835" s="13" t="n"/>
      <c r="J835" s="13" t="n"/>
      <c r="K835" s="14" t="n"/>
      <c r="L835" s="14" t="n"/>
      <c r="M835" s="15">
        <f>IF(OR($B835="",$K835=""),"",($K835-IF($L835="",0,$L835)*IFERROR(VLOOKUP("P01",ParamTbl,3,0),1.5))*(1-IF(IFERROR(VLOOKUP($E835,OpTbl,3,0),"")="خرید",IFERROR(VLOOKUP("P02",ParamTbl,3,0),1),0)/100))</f>
        <v/>
      </c>
      <c r="N835" s="14" t="n"/>
      <c r="O835" s="13" t="n"/>
    </row>
    <row r="836">
      <c r="A836" s="11">
        <f>IF($B836="","",COUNTA($B$9:$B836))</f>
        <v/>
      </c>
      <c r="B836" s="12" t="n"/>
      <c r="C836" s="12" t="n"/>
      <c r="D836" s="12" t="n"/>
      <c r="E836" s="13" t="n"/>
      <c r="F836" s="11">
        <f>IF($E836="","",IFERROR(VLOOKUP($E836,OpTbl,2,0),""))</f>
        <v/>
      </c>
      <c r="G836" s="12" t="n"/>
      <c r="H836" s="11">
        <f>IF($G836="","",IFERROR(IF(VLOOKUP($G836,AcctTbl,4,0)="","(بدون نام)",VLOOKUP($G836,AcctTbl,4,0)),"کد ناشناخته"))</f>
        <v/>
      </c>
      <c r="I836" s="13" t="n"/>
      <c r="J836" s="13" t="n"/>
      <c r="K836" s="14" t="n"/>
      <c r="L836" s="14" t="n"/>
      <c r="M836" s="15">
        <f>IF(OR($B836="",$K836=""),"",($K836-IF($L836="",0,$L836)*IFERROR(VLOOKUP("P01",ParamTbl,3,0),1.5))*(1-IF(IFERROR(VLOOKUP($E836,OpTbl,3,0),"")="خرید",IFERROR(VLOOKUP("P02",ParamTbl,3,0),1),0)/100))</f>
        <v/>
      </c>
      <c r="N836" s="14" t="n"/>
      <c r="O836" s="13" t="n"/>
    </row>
    <row r="837">
      <c r="A837" s="11">
        <f>IF($B837="","",COUNTA($B$9:$B837))</f>
        <v/>
      </c>
      <c r="B837" s="12" t="n"/>
      <c r="C837" s="12" t="n"/>
      <c r="D837" s="12" t="n"/>
      <c r="E837" s="13" t="n"/>
      <c r="F837" s="11">
        <f>IF($E837="","",IFERROR(VLOOKUP($E837,OpTbl,2,0),""))</f>
        <v/>
      </c>
      <c r="G837" s="12" t="n"/>
      <c r="H837" s="11">
        <f>IF($G837="","",IFERROR(IF(VLOOKUP($G837,AcctTbl,4,0)="","(بدون نام)",VLOOKUP($G837,AcctTbl,4,0)),"کد ناشناخته"))</f>
        <v/>
      </c>
      <c r="I837" s="13" t="n"/>
      <c r="J837" s="13" t="n"/>
      <c r="K837" s="14" t="n"/>
      <c r="L837" s="14" t="n"/>
      <c r="M837" s="15">
        <f>IF(OR($B837="",$K837=""),"",($K837-IF($L837="",0,$L837)*IFERROR(VLOOKUP("P01",ParamTbl,3,0),1.5))*(1-IF(IFERROR(VLOOKUP($E837,OpTbl,3,0),"")="خرید",IFERROR(VLOOKUP("P02",ParamTbl,3,0),1),0)/100))</f>
        <v/>
      </c>
      <c r="N837" s="14" t="n"/>
      <c r="O837" s="13" t="n"/>
    </row>
    <row r="838">
      <c r="A838" s="11">
        <f>IF($B838="","",COUNTA($B$9:$B838))</f>
        <v/>
      </c>
      <c r="B838" s="12" t="n"/>
      <c r="C838" s="12" t="n"/>
      <c r="D838" s="12" t="n"/>
      <c r="E838" s="13" t="n"/>
      <c r="F838" s="11">
        <f>IF($E838="","",IFERROR(VLOOKUP($E838,OpTbl,2,0),""))</f>
        <v/>
      </c>
      <c r="G838" s="12" t="n"/>
      <c r="H838" s="11">
        <f>IF($G838="","",IFERROR(IF(VLOOKUP($G838,AcctTbl,4,0)="","(بدون نام)",VLOOKUP($G838,AcctTbl,4,0)),"کد ناشناخته"))</f>
        <v/>
      </c>
      <c r="I838" s="13" t="n"/>
      <c r="J838" s="13" t="n"/>
      <c r="K838" s="14" t="n"/>
      <c r="L838" s="14" t="n"/>
      <c r="M838" s="15">
        <f>IF(OR($B838="",$K838=""),"",($K838-IF($L838="",0,$L838)*IFERROR(VLOOKUP("P01",ParamTbl,3,0),1.5))*(1-IF(IFERROR(VLOOKUP($E838,OpTbl,3,0),"")="خرید",IFERROR(VLOOKUP("P02",ParamTbl,3,0),1),0)/100))</f>
        <v/>
      </c>
      <c r="N838" s="14" t="n"/>
      <c r="O838" s="13" t="n"/>
    </row>
    <row r="839">
      <c r="A839" s="11">
        <f>IF($B839="","",COUNTA($B$9:$B839))</f>
        <v/>
      </c>
      <c r="B839" s="12" t="n"/>
      <c r="C839" s="12" t="n"/>
      <c r="D839" s="12" t="n"/>
      <c r="E839" s="13" t="n"/>
      <c r="F839" s="11">
        <f>IF($E839="","",IFERROR(VLOOKUP($E839,OpTbl,2,0),""))</f>
        <v/>
      </c>
      <c r="G839" s="12" t="n"/>
      <c r="H839" s="11">
        <f>IF($G839="","",IFERROR(IF(VLOOKUP($G839,AcctTbl,4,0)="","(بدون نام)",VLOOKUP($G839,AcctTbl,4,0)),"کد ناشناخته"))</f>
        <v/>
      </c>
      <c r="I839" s="13" t="n"/>
      <c r="J839" s="13" t="n"/>
      <c r="K839" s="14" t="n"/>
      <c r="L839" s="14" t="n"/>
      <c r="M839" s="15">
        <f>IF(OR($B839="",$K839=""),"",($K839-IF($L839="",0,$L839)*IFERROR(VLOOKUP("P01",ParamTbl,3,0),1.5))*(1-IF(IFERROR(VLOOKUP($E839,OpTbl,3,0),"")="خرید",IFERROR(VLOOKUP("P02",ParamTbl,3,0),1),0)/100))</f>
        <v/>
      </c>
      <c r="N839" s="14" t="n"/>
      <c r="O839" s="13" t="n"/>
    </row>
    <row r="840">
      <c r="A840" s="11">
        <f>IF($B840="","",COUNTA($B$9:$B840))</f>
        <v/>
      </c>
      <c r="B840" s="12" t="n"/>
      <c r="C840" s="12" t="n"/>
      <c r="D840" s="12" t="n"/>
      <c r="E840" s="13" t="n"/>
      <c r="F840" s="11">
        <f>IF($E840="","",IFERROR(VLOOKUP($E840,OpTbl,2,0),""))</f>
        <v/>
      </c>
      <c r="G840" s="12" t="n"/>
      <c r="H840" s="11">
        <f>IF($G840="","",IFERROR(IF(VLOOKUP($G840,AcctTbl,4,0)="","(بدون نام)",VLOOKUP($G840,AcctTbl,4,0)),"کد ناشناخته"))</f>
        <v/>
      </c>
      <c r="I840" s="13" t="n"/>
      <c r="J840" s="13" t="n"/>
      <c r="K840" s="14" t="n"/>
      <c r="L840" s="14" t="n"/>
      <c r="M840" s="15">
        <f>IF(OR($B840="",$K840=""),"",($K840-IF($L840="",0,$L840)*IFERROR(VLOOKUP("P01",ParamTbl,3,0),1.5))*(1-IF(IFERROR(VLOOKUP($E840,OpTbl,3,0),"")="خرید",IFERROR(VLOOKUP("P02",ParamTbl,3,0),1),0)/100))</f>
        <v/>
      </c>
      <c r="N840" s="14" t="n"/>
      <c r="O840" s="13" t="n"/>
    </row>
    <row r="841">
      <c r="A841" s="11">
        <f>IF($B841="","",COUNTA($B$9:$B841))</f>
        <v/>
      </c>
      <c r="B841" s="12" t="n"/>
      <c r="C841" s="12" t="n"/>
      <c r="D841" s="12" t="n"/>
      <c r="E841" s="13" t="n"/>
      <c r="F841" s="11">
        <f>IF($E841="","",IFERROR(VLOOKUP($E841,OpTbl,2,0),""))</f>
        <v/>
      </c>
      <c r="G841" s="12" t="n"/>
      <c r="H841" s="11">
        <f>IF($G841="","",IFERROR(IF(VLOOKUP($G841,AcctTbl,4,0)="","(بدون نام)",VLOOKUP($G841,AcctTbl,4,0)),"کد ناشناخته"))</f>
        <v/>
      </c>
      <c r="I841" s="13" t="n"/>
      <c r="J841" s="13" t="n"/>
      <c r="K841" s="14" t="n"/>
      <c r="L841" s="14" t="n"/>
      <c r="M841" s="15">
        <f>IF(OR($B841="",$K841=""),"",($K841-IF($L841="",0,$L841)*IFERROR(VLOOKUP("P01",ParamTbl,3,0),1.5))*(1-IF(IFERROR(VLOOKUP($E841,OpTbl,3,0),"")="خرید",IFERROR(VLOOKUP("P02",ParamTbl,3,0),1),0)/100))</f>
        <v/>
      </c>
      <c r="N841" s="14" t="n"/>
      <c r="O841" s="13" t="n"/>
    </row>
    <row r="842">
      <c r="A842" s="11">
        <f>IF($B842="","",COUNTA($B$9:$B842))</f>
        <v/>
      </c>
      <c r="B842" s="12" t="n"/>
      <c r="C842" s="12" t="n"/>
      <c r="D842" s="12" t="n"/>
      <c r="E842" s="13" t="n"/>
      <c r="F842" s="11">
        <f>IF($E842="","",IFERROR(VLOOKUP($E842,OpTbl,2,0),""))</f>
        <v/>
      </c>
      <c r="G842" s="12" t="n"/>
      <c r="H842" s="11">
        <f>IF($G842="","",IFERROR(IF(VLOOKUP($G842,AcctTbl,4,0)="","(بدون نام)",VLOOKUP($G842,AcctTbl,4,0)),"کد ناشناخته"))</f>
        <v/>
      </c>
      <c r="I842" s="13" t="n"/>
      <c r="J842" s="13" t="n"/>
      <c r="K842" s="14" t="n"/>
      <c r="L842" s="14" t="n"/>
      <c r="M842" s="15">
        <f>IF(OR($B842="",$K842=""),"",($K842-IF($L842="",0,$L842)*IFERROR(VLOOKUP("P01",ParamTbl,3,0),1.5))*(1-IF(IFERROR(VLOOKUP($E842,OpTbl,3,0),"")="خرید",IFERROR(VLOOKUP("P02",ParamTbl,3,0),1),0)/100))</f>
        <v/>
      </c>
      <c r="N842" s="14" t="n"/>
      <c r="O842" s="13" t="n"/>
    </row>
    <row r="843">
      <c r="A843" s="11">
        <f>IF($B843="","",COUNTA($B$9:$B843))</f>
        <v/>
      </c>
      <c r="B843" s="12" t="n"/>
      <c r="C843" s="12" t="n"/>
      <c r="D843" s="12" t="n"/>
      <c r="E843" s="13" t="n"/>
      <c r="F843" s="11">
        <f>IF($E843="","",IFERROR(VLOOKUP($E843,OpTbl,2,0),""))</f>
        <v/>
      </c>
      <c r="G843" s="12" t="n"/>
      <c r="H843" s="11">
        <f>IF($G843="","",IFERROR(IF(VLOOKUP($G843,AcctTbl,4,0)="","(بدون نام)",VLOOKUP($G843,AcctTbl,4,0)),"کد ناشناخته"))</f>
        <v/>
      </c>
      <c r="I843" s="13" t="n"/>
      <c r="J843" s="13" t="n"/>
      <c r="K843" s="14" t="n"/>
      <c r="L843" s="14" t="n"/>
      <c r="M843" s="15">
        <f>IF(OR($B843="",$K843=""),"",($K843-IF($L843="",0,$L843)*IFERROR(VLOOKUP("P01",ParamTbl,3,0),1.5))*(1-IF(IFERROR(VLOOKUP($E843,OpTbl,3,0),"")="خرید",IFERROR(VLOOKUP("P02",ParamTbl,3,0),1),0)/100))</f>
        <v/>
      </c>
      <c r="N843" s="14" t="n"/>
      <c r="O843" s="13" t="n"/>
    </row>
    <row r="844">
      <c r="A844" s="11">
        <f>IF($B844="","",COUNTA($B$9:$B844))</f>
        <v/>
      </c>
      <c r="B844" s="12" t="n"/>
      <c r="C844" s="12" t="n"/>
      <c r="D844" s="12" t="n"/>
      <c r="E844" s="13" t="n"/>
      <c r="F844" s="11">
        <f>IF($E844="","",IFERROR(VLOOKUP($E844,OpTbl,2,0),""))</f>
        <v/>
      </c>
      <c r="G844" s="12" t="n"/>
      <c r="H844" s="11">
        <f>IF($G844="","",IFERROR(IF(VLOOKUP($G844,AcctTbl,4,0)="","(بدون نام)",VLOOKUP($G844,AcctTbl,4,0)),"کد ناشناخته"))</f>
        <v/>
      </c>
      <c r="I844" s="13" t="n"/>
      <c r="J844" s="13" t="n"/>
      <c r="K844" s="14" t="n"/>
      <c r="L844" s="14" t="n"/>
      <c r="M844" s="15">
        <f>IF(OR($B844="",$K844=""),"",($K844-IF($L844="",0,$L844)*IFERROR(VLOOKUP("P01",ParamTbl,3,0),1.5))*(1-IF(IFERROR(VLOOKUP($E844,OpTbl,3,0),"")="خرید",IFERROR(VLOOKUP("P02",ParamTbl,3,0),1),0)/100))</f>
        <v/>
      </c>
      <c r="N844" s="14" t="n"/>
      <c r="O844" s="13" t="n"/>
    </row>
    <row r="845">
      <c r="A845" s="11">
        <f>IF($B845="","",COUNTA($B$9:$B845))</f>
        <v/>
      </c>
      <c r="B845" s="12" t="n"/>
      <c r="C845" s="12" t="n"/>
      <c r="D845" s="12" t="n"/>
      <c r="E845" s="13" t="n"/>
      <c r="F845" s="11">
        <f>IF($E845="","",IFERROR(VLOOKUP($E845,OpTbl,2,0),""))</f>
        <v/>
      </c>
      <c r="G845" s="12" t="n"/>
      <c r="H845" s="11">
        <f>IF($G845="","",IFERROR(IF(VLOOKUP($G845,AcctTbl,4,0)="","(بدون نام)",VLOOKUP($G845,AcctTbl,4,0)),"کد ناشناخته"))</f>
        <v/>
      </c>
      <c r="I845" s="13" t="n"/>
      <c r="J845" s="13" t="n"/>
      <c r="K845" s="14" t="n"/>
      <c r="L845" s="14" t="n"/>
      <c r="M845" s="15">
        <f>IF(OR($B845="",$K845=""),"",($K845-IF($L845="",0,$L845)*IFERROR(VLOOKUP("P01",ParamTbl,3,0),1.5))*(1-IF(IFERROR(VLOOKUP($E845,OpTbl,3,0),"")="خرید",IFERROR(VLOOKUP("P02",ParamTbl,3,0),1),0)/100))</f>
        <v/>
      </c>
      <c r="N845" s="14" t="n"/>
      <c r="O845" s="13" t="n"/>
    </row>
    <row r="846">
      <c r="A846" s="11">
        <f>IF($B846="","",COUNTA($B$9:$B846))</f>
        <v/>
      </c>
      <c r="B846" s="12" t="n"/>
      <c r="C846" s="12" t="n"/>
      <c r="D846" s="12" t="n"/>
      <c r="E846" s="13" t="n"/>
      <c r="F846" s="11">
        <f>IF($E846="","",IFERROR(VLOOKUP($E846,OpTbl,2,0),""))</f>
        <v/>
      </c>
      <c r="G846" s="12" t="n"/>
      <c r="H846" s="11">
        <f>IF($G846="","",IFERROR(IF(VLOOKUP($G846,AcctTbl,4,0)="","(بدون نام)",VLOOKUP($G846,AcctTbl,4,0)),"کد ناشناخته"))</f>
        <v/>
      </c>
      <c r="I846" s="13" t="n"/>
      <c r="J846" s="13" t="n"/>
      <c r="K846" s="14" t="n"/>
      <c r="L846" s="14" t="n"/>
      <c r="M846" s="15">
        <f>IF(OR($B846="",$K846=""),"",($K846-IF($L846="",0,$L846)*IFERROR(VLOOKUP("P01",ParamTbl,3,0),1.5))*(1-IF(IFERROR(VLOOKUP($E846,OpTbl,3,0),"")="خرید",IFERROR(VLOOKUP("P02",ParamTbl,3,0),1),0)/100))</f>
        <v/>
      </c>
      <c r="N846" s="14" t="n"/>
      <c r="O846" s="13" t="n"/>
    </row>
    <row r="847">
      <c r="A847" s="11">
        <f>IF($B847="","",COUNTA($B$9:$B847))</f>
        <v/>
      </c>
      <c r="B847" s="12" t="n"/>
      <c r="C847" s="12" t="n"/>
      <c r="D847" s="12" t="n"/>
      <c r="E847" s="13" t="n"/>
      <c r="F847" s="11">
        <f>IF($E847="","",IFERROR(VLOOKUP($E847,OpTbl,2,0),""))</f>
        <v/>
      </c>
      <c r="G847" s="12" t="n"/>
      <c r="H847" s="11">
        <f>IF($G847="","",IFERROR(IF(VLOOKUP($G847,AcctTbl,4,0)="","(بدون نام)",VLOOKUP($G847,AcctTbl,4,0)),"کد ناشناخته"))</f>
        <v/>
      </c>
      <c r="I847" s="13" t="n"/>
      <c r="J847" s="13" t="n"/>
      <c r="K847" s="14" t="n"/>
      <c r="L847" s="14" t="n"/>
      <c r="M847" s="15">
        <f>IF(OR($B847="",$K847=""),"",($K847-IF($L847="",0,$L847)*IFERROR(VLOOKUP("P01",ParamTbl,3,0),1.5))*(1-IF(IFERROR(VLOOKUP($E847,OpTbl,3,0),"")="خرید",IFERROR(VLOOKUP("P02",ParamTbl,3,0),1),0)/100))</f>
        <v/>
      </c>
      <c r="N847" s="14" t="n"/>
      <c r="O847" s="13" t="n"/>
    </row>
    <row r="848">
      <c r="A848" s="11">
        <f>IF($B848="","",COUNTA($B$9:$B848))</f>
        <v/>
      </c>
      <c r="B848" s="12" t="n"/>
      <c r="C848" s="12" t="n"/>
      <c r="D848" s="12" t="n"/>
      <c r="E848" s="13" t="n"/>
      <c r="F848" s="11">
        <f>IF($E848="","",IFERROR(VLOOKUP($E848,OpTbl,2,0),""))</f>
        <v/>
      </c>
      <c r="G848" s="12" t="n"/>
      <c r="H848" s="11">
        <f>IF($G848="","",IFERROR(IF(VLOOKUP($G848,AcctTbl,4,0)="","(بدون نام)",VLOOKUP($G848,AcctTbl,4,0)),"کد ناشناخته"))</f>
        <v/>
      </c>
      <c r="I848" s="13" t="n"/>
      <c r="J848" s="13" t="n"/>
      <c r="K848" s="14" t="n"/>
      <c r="L848" s="14" t="n"/>
      <c r="M848" s="15">
        <f>IF(OR($B848="",$K848=""),"",($K848-IF($L848="",0,$L848)*IFERROR(VLOOKUP("P01",ParamTbl,3,0),1.5))*(1-IF(IFERROR(VLOOKUP($E848,OpTbl,3,0),"")="خرید",IFERROR(VLOOKUP("P02",ParamTbl,3,0),1),0)/100))</f>
        <v/>
      </c>
      <c r="N848" s="14" t="n"/>
      <c r="O848" s="13" t="n"/>
    </row>
    <row r="849">
      <c r="A849" s="11">
        <f>IF($B849="","",COUNTA($B$9:$B849))</f>
        <v/>
      </c>
      <c r="B849" s="12" t="n"/>
      <c r="C849" s="12" t="n"/>
      <c r="D849" s="12" t="n"/>
      <c r="E849" s="13" t="n"/>
      <c r="F849" s="11">
        <f>IF($E849="","",IFERROR(VLOOKUP($E849,OpTbl,2,0),""))</f>
        <v/>
      </c>
      <c r="G849" s="12" t="n"/>
      <c r="H849" s="11">
        <f>IF($G849="","",IFERROR(IF(VLOOKUP($G849,AcctTbl,4,0)="","(بدون نام)",VLOOKUP($G849,AcctTbl,4,0)),"کد ناشناخته"))</f>
        <v/>
      </c>
      <c r="I849" s="13" t="n"/>
      <c r="J849" s="13" t="n"/>
      <c r="K849" s="14" t="n"/>
      <c r="L849" s="14" t="n"/>
      <c r="M849" s="15">
        <f>IF(OR($B849="",$K849=""),"",($K849-IF($L849="",0,$L849)*IFERROR(VLOOKUP("P01",ParamTbl,3,0),1.5))*(1-IF(IFERROR(VLOOKUP($E849,OpTbl,3,0),"")="خرید",IFERROR(VLOOKUP("P02",ParamTbl,3,0),1),0)/100))</f>
        <v/>
      </c>
      <c r="N849" s="14" t="n"/>
      <c r="O849" s="13" t="n"/>
    </row>
    <row r="850">
      <c r="A850" s="11">
        <f>IF($B850="","",COUNTA($B$9:$B850))</f>
        <v/>
      </c>
      <c r="B850" s="12" t="n"/>
      <c r="C850" s="12" t="n"/>
      <c r="D850" s="12" t="n"/>
      <c r="E850" s="13" t="n"/>
      <c r="F850" s="11">
        <f>IF($E850="","",IFERROR(VLOOKUP($E850,OpTbl,2,0),""))</f>
        <v/>
      </c>
      <c r="G850" s="12" t="n"/>
      <c r="H850" s="11">
        <f>IF($G850="","",IFERROR(IF(VLOOKUP($G850,AcctTbl,4,0)="","(بدون نام)",VLOOKUP($G850,AcctTbl,4,0)),"کد ناشناخته"))</f>
        <v/>
      </c>
      <c r="I850" s="13" t="n"/>
      <c r="J850" s="13" t="n"/>
      <c r="K850" s="14" t="n"/>
      <c r="L850" s="14" t="n"/>
      <c r="M850" s="15">
        <f>IF(OR($B850="",$K850=""),"",($K850-IF($L850="",0,$L850)*IFERROR(VLOOKUP("P01",ParamTbl,3,0),1.5))*(1-IF(IFERROR(VLOOKUP($E850,OpTbl,3,0),"")="خرید",IFERROR(VLOOKUP("P02",ParamTbl,3,0),1),0)/100))</f>
        <v/>
      </c>
      <c r="N850" s="14" t="n"/>
      <c r="O850" s="13" t="n"/>
    </row>
    <row r="851">
      <c r="A851" s="11">
        <f>IF($B851="","",COUNTA($B$9:$B851))</f>
        <v/>
      </c>
      <c r="B851" s="12" t="n"/>
      <c r="C851" s="12" t="n"/>
      <c r="D851" s="12" t="n"/>
      <c r="E851" s="13" t="n"/>
      <c r="F851" s="11">
        <f>IF($E851="","",IFERROR(VLOOKUP($E851,OpTbl,2,0),""))</f>
        <v/>
      </c>
      <c r="G851" s="12" t="n"/>
      <c r="H851" s="11">
        <f>IF($G851="","",IFERROR(IF(VLOOKUP($G851,AcctTbl,4,0)="","(بدون نام)",VLOOKUP($G851,AcctTbl,4,0)),"کد ناشناخته"))</f>
        <v/>
      </c>
      <c r="I851" s="13" t="n"/>
      <c r="J851" s="13" t="n"/>
      <c r="K851" s="14" t="n"/>
      <c r="L851" s="14" t="n"/>
      <c r="M851" s="15">
        <f>IF(OR($B851="",$K851=""),"",($K851-IF($L851="",0,$L851)*IFERROR(VLOOKUP("P01",ParamTbl,3,0),1.5))*(1-IF(IFERROR(VLOOKUP($E851,OpTbl,3,0),"")="خرید",IFERROR(VLOOKUP("P02",ParamTbl,3,0),1),0)/100))</f>
        <v/>
      </c>
      <c r="N851" s="14" t="n"/>
      <c r="O851" s="13" t="n"/>
    </row>
    <row r="852">
      <c r="A852" s="11">
        <f>IF($B852="","",COUNTA($B$9:$B852))</f>
        <v/>
      </c>
      <c r="B852" s="12" t="n"/>
      <c r="C852" s="12" t="n"/>
      <c r="D852" s="12" t="n"/>
      <c r="E852" s="13" t="n"/>
      <c r="F852" s="11">
        <f>IF($E852="","",IFERROR(VLOOKUP($E852,OpTbl,2,0),""))</f>
        <v/>
      </c>
      <c r="G852" s="12" t="n"/>
      <c r="H852" s="11">
        <f>IF($G852="","",IFERROR(IF(VLOOKUP($G852,AcctTbl,4,0)="","(بدون نام)",VLOOKUP($G852,AcctTbl,4,0)),"کد ناشناخته"))</f>
        <v/>
      </c>
      <c r="I852" s="13" t="n"/>
      <c r="J852" s="13" t="n"/>
      <c r="K852" s="14" t="n"/>
      <c r="L852" s="14" t="n"/>
      <c r="M852" s="15">
        <f>IF(OR($B852="",$K852=""),"",($K852-IF($L852="",0,$L852)*IFERROR(VLOOKUP("P01",ParamTbl,3,0),1.5))*(1-IF(IFERROR(VLOOKUP($E852,OpTbl,3,0),"")="خرید",IFERROR(VLOOKUP("P02",ParamTbl,3,0),1),0)/100))</f>
        <v/>
      </c>
      <c r="N852" s="14" t="n"/>
      <c r="O852" s="13" t="n"/>
    </row>
    <row r="853">
      <c r="A853" s="11">
        <f>IF($B853="","",COUNTA($B$9:$B853))</f>
        <v/>
      </c>
      <c r="B853" s="12" t="n"/>
      <c r="C853" s="12" t="n"/>
      <c r="D853" s="12" t="n"/>
      <c r="E853" s="13" t="n"/>
      <c r="F853" s="11">
        <f>IF($E853="","",IFERROR(VLOOKUP($E853,OpTbl,2,0),""))</f>
        <v/>
      </c>
      <c r="G853" s="12" t="n"/>
      <c r="H853" s="11">
        <f>IF($G853="","",IFERROR(IF(VLOOKUP($G853,AcctTbl,4,0)="","(بدون نام)",VLOOKUP($G853,AcctTbl,4,0)),"کد ناشناخته"))</f>
        <v/>
      </c>
      <c r="I853" s="13" t="n"/>
      <c r="J853" s="13" t="n"/>
      <c r="K853" s="14" t="n"/>
      <c r="L853" s="14" t="n"/>
      <c r="M853" s="15">
        <f>IF(OR($B853="",$K853=""),"",($K853-IF($L853="",0,$L853)*IFERROR(VLOOKUP("P01",ParamTbl,3,0),1.5))*(1-IF(IFERROR(VLOOKUP($E853,OpTbl,3,0),"")="خرید",IFERROR(VLOOKUP("P02",ParamTbl,3,0),1),0)/100))</f>
        <v/>
      </c>
      <c r="N853" s="14" t="n"/>
      <c r="O853" s="13" t="n"/>
    </row>
    <row r="854">
      <c r="A854" s="11">
        <f>IF($B854="","",COUNTA($B$9:$B854))</f>
        <v/>
      </c>
      <c r="B854" s="12" t="n"/>
      <c r="C854" s="12" t="n"/>
      <c r="D854" s="12" t="n"/>
      <c r="E854" s="13" t="n"/>
      <c r="F854" s="11">
        <f>IF($E854="","",IFERROR(VLOOKUP($E854,OpTbl,2,0),""))</f>
        <v/>
      </c>
      <c r="G854" s="12" t="n"/>
      <c r="H854" s="11">
        <f>IF($G854="","",IFERROR(IF(VLOOKUP($G854,AcctTbl,4,0)="","(بدون نام)",VLOOKUP($G854,AcctTbl,4,0)),"کد ناشناخته"))</f>
        <v/>
      </c>
      <c r="I854" s="13" t="n"/>
      <c r="J854" s="13" t="n"/>
      <c r="K854" s="14" t="n"/>
      <c r="L854" s="14" t="n"/>
      <c r="M854" s="15">
        <f>IF(OR($B854="",$K854=""),"",($K854-IF($L854="",0,$L854)*IFERROR(VLOOKUP("P01",ParamTbl,3,0),1.5))*(1-IF(IFERROR(VLOOKUP($E854,OpTbl,3,0),"")="خرید",IFERROR(VLOOKUP("P02",ParamTbl,3,0),1),0)/100))</f>
        <v/>
      </c>
      <c r="N854" s="14" t="n"/>
      <c r="O854" s="13" t="n"/>
    </row>
    <row r="855">
      <c r="A855" s="11">
        <f>IF($B855="","",COUNTA($B$9:$B855))</f>
        <v/>
      </c>
      <c r="B855" s="12" t="n"/>
      <c r="C855" s="12" t="n"/>
      <c r="D855" s="12" t="n"/>
      <c r="E855" s="13" t="n"/>
      <c r="F855" s="11">
        <f>IF($E855="","",IFERROR(VLOOKUP($E855,OpTbl,2,0),""))</f>
        <v/>
      </c>
      <c r="G855" s="12" t="n"/>
      <c r="H855" s="11">
        <f>IF($G855="","",IFERROR(IF(VLOOKUP($G855,AcctTbl,4,0)="","(بدون نام)",VLOOKUP($G855,AcctTbl,4,0)),"کد ناشناخته"))</f>
        <v/>
      </c>
      <c r="I855" s="13" t="n"/>
      <c r="J855" s="13" t="n"/>
      <c r="K855" s="14" t="n"/>
      <c r="L855" s="14" t="n"/>
      <c r="M855" s="15">
        <f>IF(OR($B855="",$K855=""),"",($K855-IF($L855="",0,$L855)*IFERROR(VLOOKUP("P01",ParamTbl,3,0),1.5))*(1-IF(IFERROR(VLOOKUP($E855,OpTbl,3,0),"")="خرید",IFERROR(VLOOKUP("P02",ParamTbl,3,0),1),0)/100))</f>
        <v/>
      </c>
      <c r="N855" s="14" t="n"/>
      <c r="O855" s="13" t="n"/>
    </row>
    <row r="856">
      <c r="A856" s="11">
        <f>IF($B856="","",COUNTA($B$9:$B856))</f>
        <v/>
      </c>
      <c r="B856" s="12" t="n"/>
      <c r="C856" s="12" t="n"/>
      <c r="D856" s="12" t="n"/>
      <c r="E856" s="13" t="n"/>
      <c r="F856" s="11">
        <f>IF($E856="","",IFERROR(VLOOKUP($E856,OpTbl,2,0),""))</f>
        <v/>
      </c>
      <c r="G856" s="12" t="n"/>
      <c r="H856" s="11">
        <f>IF($G856="","",IFERROR(IF(VLOOKUP($G856,AcctTbl,4,0)="","(بدون نام)",VLOOKUP($G856,AcctTbl,4,0)),"کد ناشناخته"))</f>
        <v/>
      </c>
      <c r="I856" s="13" t="n"/>
      <c r="J856" s="13" t="n"/>
      <c r="K856" s="14" t="n"/>
      <c r="L856" s="14" t="n"/>
      <c r="M856" s="15">
        <f>IF(OR($B856="",$K856=""),"",($K856-IF($L856="",0,$L856)*IFERROR(VLOOKUP("P01",ParamTbl,3,0),1.5))*(1-IF(IFERROR(VLOOKUP($E856,OpTbl,3,0),"")="خرید",IFERROR(VLOOKUP("P02",ParamTbl,3,0),1),0)/100))</f>
        <v/>
      </c>
      <c r="N856" s="14" t="n"/>
      <c r="O856" s="13" t="n"/>
    </row>
    <row r="857">
      <c r="A857" s="11">
        <f>IF($B857="","",COUNTA($B$9:$B857))</f>
        <v/>
      </c>
      <c r="B857" s="12" t="n"/>
      <c r="C857" s="12" t="n"/>
      <c r="D857" s="12" t="n"/>
      <c r="E857" s="13" t="n"/>
      <c r="F857" s="11">
        <f>IF($E857="","",IFERROR(VLOOKUP($E857,OpTbl,2,0),""))</f>
        <v/>
      </c>
      <c r="G857" s="12" t="n"/>
      <c r="H857" s="11">
        <f>IF($G857="","",IFERROR(IF(VLOOKUP($G857,AcctTbl,4,0)="","(بدون نام)",VLOOKUP($G857,AcctTbl,4,0)),"کد ناشناخته"))</f>
        <v/>
      </c>
      <c r="I857" s="13" t="n"/>
      <c r="J857" s="13" t="n"/>
      <c r="K857" s="14" t="n"/>
      <c r="L857" s="14" t="n"/>
      <c r="M857" s="15">
        <f>IF(OR($B857="",$K857=""),"",($K857-IF($L857="",0,$L857)*IFERROR(VLOOKUP("P01",ParamTbl,3,0),1.5))*(1-IF(IFERROR(VLOOKUP($E857,OpTbl,3,0),"")="خرید",IFERROR(VLOOKUP("P02",ParamTbl,3,0),1),0)/100))</f>
        <v/>
      </c>
      <c r="N857" s="14" t="n"/>
      <c r="O857" s="13" t="n"/>
    </row>
    <row r="858">
      <c r="A858" s="11">
        <f>IF($B858="","",COUNTA($B$9:$B858))</f>
        <v/>
      </c>
      <c r="B858" s="12" t="n"/>
      <c r="C858" s="12" t="n"/>
      <c r="D858" s="12" t="n"/>
      <c r="E858" s="13" t="n"/>
      <c r="F858" s="11">
        <f>IF($E858="","",IFERROR(VLOOKUP($E858,OpTbl,2,0),""))</f>
        <v/>
      </c>
      <c r="G858" s="12" t="n"/>
      <c r="H858" s="11">
        <f>IF($G858="","",IFERROR(IF(VLOOKUP($G858,AcctTbl,4,0)="","(بدون نام)",VLOOKUP($G858,AcctTbl,4,0)),"کد ناشناخته"))</f>
        <v/>
      </c>
      <c r="I858" s="13" t="n"/>
      <c r="J858" s="13" t="n"/>
      <c r="K858" s="14" t="n"/>
      <c r="L858" s="14" t="n"/>
      <c r="M858" s="15">
        <f>IF(OR($B858="",$K858=""),"",($K858-IF($L858="",0,$L858)*IFERROR(VLOOKUP("P01",ParamTbl,3,0),1.5))*(1-IF(IFERROR(VLOOKUP($E858,OpTbl,3,0),"")="خرید",IFERROR(VLOOKUP("P02",ParamTbl,3,0),1),0)/100))</f>
        <v/>
      </c>
      <c r="N858" s="14" t="n"/>
      <c r="O858" s="13" t="n"/>
    </row>
    <row r="859">
      <c r="A859" s="11">
        <f>IF($B859="","",COUNTA($B$9:$B859))</f>
        <v/>
      </c>
      <c r="B859" s="12" t="n"/>
      <c r="C859" s="12" t="n"/>
      <c r="D859" s="12" t="n"/>
      <c r="E859" s="13" t="n"/>
      <c r="F859" s="11">
        <f>IF($E859="","",IFERROR(VLOOKUP($E859,OpTbl,2,0),""))</f>
        <v/>
      </c>
      <c r="G859" s="12" t="n"/>
      <c r="H859" s="11">
        <f>IF($G859="","",IFERROR(IF(VLOOKUP($G859,AcctTbl,4,0)="","(بدون نام)",VLOOKUP($G859,AcctTbl,4,0)),"کد ناشناخته"))</f>
        <v/>
      </c>
      <c r="I859" s="13" t="n"/>
      <c r="J859" s="13" t="n"/>
      <c r="K859" s="14" t="n"/>
      <c r="L859" s="14" t="n"/>
      <c r="M859" s="15">
        <f>IF(OR($B859="",$K859=""),"",($K859-IF($L859="",0,$L859)*IFERROR(VLOOKUP("P01",ParamTbl,3,0),1.5))*(1-IF(IFERROR(VLOOKUP($E859,OpTbl,3,0),"")="خرید",IFERROR(VLOOKUP("P02",ParamTbl,3,0),1),0)/100))</f>
        <v/>
      </c>
      <c r="N859" s="14" t="n"/>
      <c r="O859" s="13" t="n"/>
    </row>
    <row r="860">
      <c r="A860" s="11">
        <f>IF($B860="","",COUNTA($B$9:$B860))</f>
        <v/>
      </c>
      <c r="B860" s="12" t="n"/>
      <c r="C860" s="12" t="n"/>
      <c r="D860" s="12" t="n"/>
      <c r="E860" s="13" t="n"/>
      <c r="F860" s="11">
        <f>IF($E860="","",IFERROR(VLOOKUP($E860,OpTbl,2,0),""))</f>
        <v/>
      </c>
      <c r="G860" s="12" t="n"/>
      <c r="H860" s="11">
        <f>IF($G860="","",IFERROR(IF(VLOOKUP($G860,AcctTbl,4,0)="","(بدون نام)",VLOOKUP($G860,AcctTbl,4,0)),"کد ناشناخته"))</f>
        <v/>
      </c>
      <c r="I860" s="13" t="n"/>
      <c r="J860" s="13" t="n"/>
      <c r="K860" s="14" t="n"/>
      <c r="L860" s="14" t="n"/>
      <c r="M860" s="15">
        <f>IF(OR($B860="",$K860=""),"",($K860-IF($L860="",0,$L860)*IFERROR(VLOOKUP("P01",ParamTbl,3,0),1.5))*(1-IF(IFERROR(VLOOKUP($E860,OpTbl,3,0),"")="خرید",IFERROR(VLOOKUP("P02",ParamTbl,3,0),1),0)/100))</f>
        <v/>
      </c>
      <c r="N860" s="14" t="n"/>
      <c r="O860" s="13" t="n"/>
    </row>
    <row r="861">
      <c r="A861" s="11">
        <f>IF($B861="","",COUNTA($B$9:$B861))</f>
        <v/>
      </c>
      <c r="B861" s="12" t="n"/>
      <c r="C861" s="12" t="n"/>
      <c r="D861" s="12" t="n"/>
      <c r="E861" s="13" t="n"/>
      <c r="F861" s="11">
        <f>IF($E861="","",IFERROR(VLOOKUP($E861,OpTbl,2,0),""))</f>
        <v/>
      </c>
      <c r="G861" s="12" t="n"/>
      <c r="H861" s="11">
        <f>IF($G861="","",IFERROR(IF(VLOOKUP($G861,AcctTbl,4,0)="","(بدون نام)",VLOOKUP($G861,AcctTbl,4,0)),"کد ناشناخته"))</f>
        <v/>
      </c>
      <c r="I861" s="13" t="n"/>
      <c r="J861" s="13" t="n"/>
      <c r="K861" s="14" t="n"/>
      <c r="L861" s="14" t="n"/>
      <c r="M861" s="15">
        <f>IF(OR($B861="",$K861=""),"",($K861-IF($L861="",0,$L861)*IFERROR(VLOOKUP("P01",ParamTbl,3,0),1.5))*(1-IF(IFERROR(VLOOKUP($E861,OpTbl,3,0),"")="خرید",IFERROR(VLOOKUP("P02",ParamTbl,3,0),1),0)/100))</f>
        <v/>
      </c>
      <c r="N861" s="14" t="n"/>
      <c r="O861" s="13" t="n"/>
    </row>
    <row r="862">
      <c r="A862" s="11">
        <f>IF($B862="","",COUNTA($B$9:$B862))</f>
        <v/>
      </c>
      <c r="B862" s="12" t="n"/>
      <c r="C862" s="12" t="n"/>
      <c r="D862" s="12" t="n"/>
      <c r="E862" s="13" t="n"/>
      <c r="F862" s="11">
        <f>IF($E862="","",IFERROR(VLOOKUP($E862,OpTbl,2,0),""))</f>
        <v/>
      </c>
      <c r="G862" s="12" t="n"/>
      <c r="H862" s="11">
        <f>IF($G862="","",IFERROR(IF(VLOOKUP($G862,AcctTbl,4,0)="","(بدون نام)",VLOOKUP($G862,AcctTbl,4,0)),"کد ناشناخته"))</f>
        <v/>
      </c>
      <c r="I862" s="13" t="n"/>
      <c r="J862" s="13" t="n"/>
      <c r="K862" s="14" t="n"/>
      <c r="L862" s="14" t="n"/>
      <c r="M862" s="15">
        <f>IF(OR($B862="",$K862=""),"",($K862-IF($L862="",0,$L862)*IFERROR(VLOOKUP("P01",ParamTbl,3,0),1.5))*(1-IF(IFERROR(VLOOKUP($E862,OpTbl,3,0),"")="خرید",IFERROR(VLOOKUP("P02",ParamTbl,3,0),1),0)/100))</f>
        <v/>
      </c>
      <c r="N862" s="14" t="n"/>
      <c r="O862" s="13" t="n"/>
    </row>
    <row r="863">
      <c r="A863" s="11">
        <f>IF($B863="","",COUNTA($B$9:$B863))</f>
        <v/>
      </c>
      <c r="B863" s="12" t="n"/>
      <c r="C863" s="12" t="n"/>
      <c r="D863" s="12" t="n"/>
      <c r="E863" s="13" t="n"/>
      <c r="F863" s="11">
        <f>IF($E863="","",IFERROR(VLOOKUP($E863,OpTbl,2,0),""))</f>
        <v/>
      </c>
      <c r="G863" s="12" t="n"/>
      <c r="H863" s="11">
        <f>IF($G863="","",IFERROR(IF(VLOOKUP($G863,AcctTbl,4,0)="","(بدون نام)",VLOOKUP($G863,AcctTbl,4,0)),"کد ناشناخته"))</f>
        <v/>
      </c>
      <c r="I863" s="13" t="n"/>
      <c r="J863" s="13" t="n"/>
      <c r="K863" s="14" t="n"/>
      <c r="L863" s="14" t="n"/>
      <c r="M863" s="15">
        <f>IF(OR($B863="",$K863=""),"",($K863-IF($L863="",0,$L863)*IFERROR(VLOOKUP("P01",ParamTbl,3,0),1.5))*(1-IF(IFERROR(VLOOKUP($E863,OpTbl,3,0),"")="خرید",IFERROR(VLOOKUP("P02",ParamTbl,3,0),1),0)/100))</f>
        <v/>
      </c>
      <c r="N863" s="14" t="n"/>
      <c r="O863" s="13" t="n"/>
    </row>
    <row r="864">
      <c r="A864" s="11">
        <f>IF($B864="","",COUNTA($B$9:$B864))</f>
        <v/>
      </c>
      <c r="B864" s="12" t="n"/>
      <c r="C864" s="12" t="n"/>
      <c r="D864" s="12" t="n"/>
      <c r="E864" s="13" t="n"/>
      <c r="F864" s="11">
        <f>IF($E864="","",IFERROR(VLOOKUP($E864,OpTbl,2,0),""))</f>
        <v/>
      </c>
      <c r="G864" s="12" t="n"/>
      <c r="H864" s="11">
        <f>IF($G864="","",IFERROR(IF(VLOOKUP($G864,AcctTbl,4,0)="","(بدون نام)",VLOOKUP($G864,AcctTbl,4,0)),"کد ناشناخته"))</f>
        <v/>
      </c>
      <c r="I864" s="13" t="n"/>
      <c r="J864" s="13" t="n"/>
      <c r="K864" s="14" t="n"/>
      <c r="L864" s="14" t="n"/>
      <c r="M864" s="15">
        <f>IF(OR($B864="",$K864=""),"",($K864-IF($L864="",0,$L864)*IFERROR(VLOOKUP("P01",ParamTbl,3,0),1.5))*(1-IF(IFERROR(VLOOKUP($E864,OpTbl,3,0),"")="خرید",IFERROR(VLOOKUP("P02",ParamTbl,3,0),1),0)/100))</f>
        <v/>
      </c>
      <c r="N864" s="14" t="n"/>
      <c r="O864" s="13" t="n"/>
    </row>
    <row r="865">
      <c r="A865" s="11">
        <f>IF($B865="","",COUNTA($B$9:$B865))</f>
        <v/>
      </c>
      <c r="B865" s="12" t="n"/>
      <c r="C865" s="12" t="n"/>
      <c r="D865" s="12" t="n"/>
      <c r="E865" s="13" t="n"/>
      <c r="F865" s="11">
        <f>IF($E865="","",IFERROR(VLOOKUP($E865,OpTbl,2,0),""))</f>
        <v/>
      </c>
      <c r="G865" s="12" t="n"/>
      <c r="H865" s="11">
        <f>IF($G865="","",IFERROR(IF(VLOOKUP($G865,AcctTbl,4,0)="","(بدون نام)",VLOOKUP($G865,AcctTbl,4,0)),"کد ناشناخته"))</f>
        <v/>
      </c>
      <c r="I865" s="13" t="n"/>
      <c r="J865" s="13" t="n"/>
      <c r="K865" s="14" t="n"/>
      <c r="L865" s="14" t="n"/>
      <c r="M865" s="15">
        <f>IF(OR($B865="",$K865=""),"",($K865-IF($L865="",0,$L865)*IFERROR(VLOOKUP("P01",ParamTbl,3,0),1.5))*(1-IF(IFERROR(VLOOKUP($E865,OpTbl,3,0),"")="خرید",IFERROR(VLOOKUP("P02",ParamTbl,3,0),1),0)/100))</f>
        <v/>
      </c>
      <c r="N865" s="14" t="n"/>
      <c r="O865" s="13" t="n"/>
    </row>
    <row r="866">
      <c r="A866" s="11">
        <f>IF($B866="","",COUNTA($B$9:$B866))</f>
        <v/>
      </c>
      <c r="B866" s="12" t="n"/>
      <c r="C866" s="12" t="n"/>
      <c r="D866" s="12" t="n"/>
      <c r="E866" s="13" t="n"/>
      <c r="F866" s="11">
        <f>IF($E866="","",IFERROR(VLOOKUP($E866,OpTbl,2,0),""))</f>
        <v/>
      </c>
      <c r="G866" s="12" t="n"/>
      <c r="H866" s="11">
        <f>IF($G866="","",IFERROR(IF(VLOOKUP($G866,AcctTbl,4,0)="","(بدون نام)",VLOOKUP($G866,AcctTbl,4,0)),"کد ناشناخته"))</f>
        <v/>
      </c>
      <c r="I866" s="13" t="n"/>
      <c r="J866" s="13" t="n"/>
      <c r="K866" s="14" t="n"/>
      <c r="L866" s="14" t="n"/>
      <c r="M866" s="15">
        <f>IF(OR($B866="",$K866=""),"",($K866-IF($L866="",0,$L866)*IFERROR(VLOOKUP("P01",ParamTbl,3,0),1.5))*(1-IF(IFERROR(VLOOKUP($E866,OpTbl,3,0),"")="خرید",IFERROR(VLOOKUP("P02",ParamTbl,3,0),1),0)/100))</f>
        <v/>
      </c>
      <c r="N866" s="14" t="n"/>
      <c r="O866" s="13" t="n"/>
    </row>
    <row r="867">
      <c r="A867" s="11">
        <f>IF($B867="","",COUNTA($B$9:$B867))</f>
        <v/>
      </c>
      <c r="B867" s="12" t="n"/>
      <c r="C867" s="12" t="n"/>
      <c r="D867" s="12" t="n"/>
      <c r="E867" s="13" t="n"/>
      <c r="F867" s="11">
        <f>IF($E867="","",IFERROR(VLOOKUP($E867,OpTbl,2,0),""))</f>
        <v/>
      </c>
      <c r="G867" s="12" t="n"/>
      <c r="H867" s="11">
        <f>IF($G867="","",IFERROR(IF(VLOOKUP($G867,AcctTbl,4,0)="","(بدون نام)",VLOOKUP($G867,AcctTbl,4,0)),"کد ناشناخته"))</f>
        <v/>
      </c>
      <c r="I867" s="13" t="n"/>
      <c r="J867" s="13" t="n"/>
      <c r="K867" s="14" t="n"/>
      <c r="L867" s="14" t="n"/>
      <c r="M867" s="15">
        <f>IF(OR($B867="",$K867=""),"",($K867-IF($L867="",0,$L867)*IFERROR(VLOOKUP("P01",ParamTbl,3,0),1.5))*(1-IF(IFERROR(VLOOKUP($E867,OpTbl,3,0),"")="خرید",IFERROR(VLOOKUP("P02",ParamTbl,3,0),1),0)/100))</f>
        <v/>
      </c>
      <c r="N867" s="14" t="n"/>
      <c r="O867" s="13" t="n"/>
    </row>
    <row r="868">
      <c r="A868" s="11">
        <f>IF($B868="","",COUNTA($B$9:$B868))</f>
        <v/>
      </c>
      <c r="B868" s="12" t="n"/>
      <c r="C868" s="12" t="n"/>
      <c r="D868" s="12" t="n"/>
      <c r="E868" s="13" t="n"/>
      <c r="F868" s="11">
        <f>IF($E868="","",IFERROR(VLOOKUP($E868,OpTbl,2,0),""))</f>
        <v/>
      </c>
      <c r="G868" s="12" t="n"/>
      <c r="H868" s="11">
        <f>IF($G868="","",IFERROR(IF(VLOOKUP($G868,AcctTbl,4,0)="","(بدون نام)",VLOOKUP($G868,AcctTbl,4,0)),"کد ناشناخته"))</f>
        <v/>
      </c>
      <c r="I868" s="13" t="n"/>
      <c r="J868" s="13" t="n"/>
      <c r="K868" s="14" t="n"/>
      <c r="L868" s="14" t="n"/>
      <c r="M868" s="15">
        <f>IF(OR($B868="",$K868=""),"",($K868-IF($L868="",0,$L868)*IFERROR(VLOOKUP("P01",ParamTbl,3,0),1.5))*(1-IF(IFERROR(VLOOKUP($E868,OpTbl,3,0),"")="خرید",IFERROR(VLOOKUP("P02",ParamTbl,3,0),1),0)/100))</f>
        <v/>
      </c>
      <c r="N868" s="14" t="n"/>
      <c r="O868" s="13" t="n"/>
    </row>
    <row r="869">
      <c r="A869" s="11">
        <f>IF($B869="","",COUNTA($B$9:$B869))</f>
        <v/>
      </c>
      <c r="B869" s="12" t="n"/>
      <c r="C869" s="12" t="n"/>
      <c r="D869" s="12" t="n"/>
      <c r="E869" s="13" t="n"/>
      <c r="F869" s="11">
        <f>IF($E869="","",IFERROR(VLOOKUP($E869,OpTbl,2,0),""))</f>
        <v/>
      </c>
      <c r="G869" s="12" t="n"/>
      <c r="H869" s="11">
        <f>IF($G869="","",IFERROR(IF(VLOOKUP($G869,AcctTbl,4,0)="","(بدون نام)",VLOOKUP($G869,AcctTbl,4,0)),"کد ناشناخته"))</f>
        <v/>
      </c>
      <c r="I869" s="13" t="n"/>
      <c r="J869" s="13" t="n"/>
      <c r="K869" s="14" t="n"/>
      <c r="L869" s="14" t="n"/>
      <c r="M869" s="15">
        <f>IF(OR($B869="",$K869=""),"",($K869-IF($L869="",0,$L869)*IFERROR(VLOOKUP("P01",ParamTbl,3,0),1.5))*(1-IF(IFERROR(VLOOKUP($E869,OpTbl,3,0),"")="خرید",IFERROR(VLOOKUP("P02",ParamTbl,3,0),1),0)/100))</f>
        <v/>
      </c>
      <c r="N869" s="14" t="n"/>
      <c r="O869" s="13" t="n"/>
    </row>
    <row r="870">
      <c r="A870" s="11">
        <f>IF($B870="","",COUNTA($B$9:$B870))</f>
        <v/>
      </c>
      <c r="B870" s="12" t="n"/>
      <c r="C870" s="12" t="n"/>
      <c r="D870" s="12" t="n"/>
      <c r="E870" s="13" t="n"/>
      <c r="F870" s="11">
        <f>IF($E870="","",IFERROR(VLOOKUP($E870,OpTbl,2,0),""))</f>
        <v/>
      </c>
      <c r="G870" s="12" t="n"/>
      <c r="H870" s="11">
        <f>IF($G870="","",IFERROR(IF(VLOOKUP($G870,AcctTbl,4,0)="","(بدون نام)",VLOOKUP($G870,AcctTbl,4,0)),"کد ناشناخته"))</f>
        <v/>
      </c>
      <c r="I870" s="13" t="n"/>
      <c r="J870" s="13" t="n"/>
      <c r="K870" s="14" t="n"/>
      <c r="L870" s="14" t="n"/>
      <c r="M870" s="15">
        <f>IF(OR($B870="",$K870=""),"",($K870-IF($L870="",0,$L870)*IFERROR(VLOOKUP("P01",ParamTbl,3,0),1.5))*(1-IF(IFERROR(VLOOKUP($E870,OpTbl,3,0),"")="خرید",IFERROR(VLOOKUP("P02",ParamTbl,3,0),1),0)/100))</f>
        <v/>
      </c>
      <c r="N870" s="14" t="n"/>
      <c r="O870" s="13" t="n"/>
    </row>
    <row r="871">
      <c r="A871" s="11">
        <f>IF($B871="","",COUNTA($B$9:$B871))</f>
        <v/>
      </c>
      <c r="B871" s="12" t="n"/>
      <c r="C871" s="12" t="n"/>
      <c r="D871" s="12" t="n"/>
      <c r="E871" s="13" t="n"/>
      <c r="F871" s="11">
        <f>IF($E871="","",IFERROR(VLOOKUP($E871,OpTbl,2,0),""))</f>
        <v/>
      </c>
      <c r="G871" s="12" t="n"/>
      <c r="H871" s="11">
        <f>IF($G871="","",IFERROR(IF(VLOOKUP($G871,AcctTbl,4,0)="","(بدون نام)",VLOOKUP($G871,AcctTbl,4,0)),"کد ناشناخته"))</f>
        <v/>
      </c>
      <c r="I871" s="13" t="n"/>
      <c r="J871" s="13" t="n"/>
      <c r="K871" s="14" t="n"/>
      <c r="L871" s="14" t="n"/>
      <c r="M871" s="15">
        <f>IF(OR($B871="",$K871=""),"",($K871-IF($L871="",0,$L871)*IFERROR(VLOOKUP("P01",ParamTbl,3,0),1.5))*(1-IF(IFERROR(VLOOKUP($E871,OpTbl,3,0),"")="خرید",IFERROR(VLOOKUP("P02",ParamTbl,3,0),1),0)/100))</f>
        <v/>
      </c>
      <c r="N871" s="14" t="n"/>
      <c r="O871" s="13" t="n"/>
    </row>
    <row r="872">
      <c r="A872" s="11">
        <f>IF($B872="","",COUNTA($B$9:$B872))</f>
        <v/>
      </c>
      <c r="B872" s="12" t="n"/>
      <c r="C872" s="12" t="n"/>
      <c r="D872" s="12" t="n"/>
      <c r="E872" s="13" t="n"/>
      <c r="F872" s="11">
        <f>IF($E872="","",IFERROR(VLOOKUP($E872,OpTbl,2,0),""))</f>
        <v/>
      </c>
      <c r="G872" s="12" t="n"/>
      <c r="H872" s="11">
        <f>IF($G872="","",IFERROR(IF(VLOOKUP($G872,AcctTbl,4,0)="","(بدون نام)",VLOOKUP($G872,AcctTbl,4,0)),"کد ناشناخته"))</f>
        <v/>
      </c>
      <c r="I872" s="13" t="n"/>
      <c r="J872" s="13" t="n"/>
      <c r="K872" s="14" t="n"/>
      <c r="L872" s="14" t="n"/>
      <c r="M872" s="15">
        <f>IF(OR($B872="",$K872=""),"",($K872-IF($L872="",0,$L872)*IFERROR(VLOOKUP("P01",ParamTbl,3,0),1.5))*(1-IF(IFERROR(VLOOKUP($E872,OpTbl,3,0),"")="خرید",IFERROR(VLOOKUP("P02",ParamTbl,3,0),1),0)/100))</f>
        <v/>
      </c>
      <c r="N872" s="14" t="n"/>
      <c r="O872" s="13" t="n"/>
    </row>
    <row r="873">
      <c r="A873" s="11">
        <f>IF($B873="","",COUNTA($B$9:$B873))</f>
        <v/>
      </c>
      <c r="B873" s="12" t="n"/>
      <c r="C873" s="12" t="n"/>
      <c r="D873" s="12" t="n"/>
      <c r="E873" s="13" t="n"/>
      <c r="F873" s="11">
        <f>IF($E873="","",IFERROR(VLOOKUP($E873,OpTbl,2,0),""))</f>
        <v/>
      </c>
      <c r="G873" s="12" t="n"/>
      <c r="H873" s="11">
        <f>IF($G873="","",IFERROR(IF(VLOOKUP($G873,AcctTbl,4,0)="","(بدون نام)",VLOOKUP($G873,AcctTbl,4,0)),"کد ناشناخته"))</f>
        <v/>
      </c>
      <c r="I873" s="13" t="n"/>
      <c r="J873" s="13" t="n"/>
      <c r="K873" s="14" t="n"/>
      <c r="L873" s="14" t="n"/>
      <c r="M873" s="15">
        <f>IF(OR($B873="",$K873=""),"",($K873-IF($L873="",0,$L873)*IFERROR(VLOOKUP("P01",ParamTbl,3,0),1.5))*(1-IF(IFERROR(VLOOKUP($E873,OpTbl,3,0),"")="خرید",IFERROR(VLOOKUP("P02",ParamTbl,3,0),1),0)/100))</f>
        <v/>
      </c>
      <c r="N873" s="14" t="n"/>
      <c r="O873" s="13" t="n"/>
    </row>
    <row r="874">
      <c r="A874" s="11">
        <f>IF($B874="","",COUNTA($B$9:$B874))</f>
        <v/>
      </c>
      <c r="B874" s="12" t="n"/>
      <c r="C874" s="12" t="n"/>
      <c r="D874" s="12" t="n"/>
      <c r="E874" s="13" t="n"/>
      <c r="F874" s="11">
        <f>IF($E874="","",IFERROR(VLOOKUP($E874,OpTbl,2,0),""))</f>
        <v/>
      </c>
      <c r="G874" s="12" t="n"/>
      <c r="H874" s="11">
        <f>IF($G874="","",IFERROR(IF(VLOOKUP($G874,AcctTbl,4,0)="","(بدون نام)",VLOOKUP($G874,AcctTbl,4,0)),"کد ناشناخته"))</f>
        <v/>
      </c>
      <c r="I874" s="13" t="n"/>
      <c r="J874" s="13" t="n"/>
      <c r="K874" s="14" t="n"/>
      <c r="L874" s="14" t="n"/>
      <c r="M874" s="15">
        <f>IF(OR($B874="",$K874=""),"",($K874-IF($L874="",0,$L874)*IFERROR(VLOOKUP("P01",ParamTbl,3,0),1.5))*(1-IF(IFERROR(VLOOKUP($E874,OpTbl,3,0),"")="خرید",IFERROR(VLOOKUP("P02",ParamTbl,3,0),1),0)/100))</f>
        <v/>
      </c>
      <c r="N874" s="14" t="n"/>
      <c r="O874" s="13" t="n"/>
    </row>
    <row r="875">
      <c r="A875" s="11">
        <f>IF($B875="","",COUNTA($B$9:$B875))</f>
        <v/>
      </c>
      <c r="B875" s="12" t="n"/>
      <c r="C875" s="12" t="n"/>
      <c r="D875" s="12" t="n"/>
      <c r="E875" s="13" t="n"/>
      <c r="F875" s="11">
        <f>IF($E875="","",IFERROR(VLOOKUP($E875,OpTbl,2,0),""))</f>
        <v/>
      </c>
      <c r="G875" s="12" t="n"/>
      <c r="H875" s="11">
        <f>IF($G875="","",IFERROR(IF(VLOOKUP($G875,AcctTbl,4,0)="","(بدون نام)",VLOOKUP($G875,AcctTbl,4,0)),"کد ناشناخته"))</f>
        <v/>
      </c>
      <c r="I875" s="13" t="n"/>
      <c r="J875" s="13" t="n"/>
      <c r="K875" s="14" t="n"/>
      <c r="L875" s="14" t="n"/>
      <c r="M875" s="15">
        <f>IF(OR($B875="",$K875=""),"",($K875-IF($L875="",0,$L875)*IFERROR(VLOOKUP("P01",ParamTbl,3,0),1.5))*(1-IF(IFERROR(VLOOKUP($E875,OpTbl,3,0),"")="خرید",IFERROR(VLOOKUP("P02",ParamTbl,3,0),1),0)/100))</f>
        <v/>
      </c>
      <c r="N875" s="14" t="n"/>
      <c r="O875" s="13" t="n"/>
    </row>
    <row r="876">
      <c r="A876" s="11">
        <f>IF($B876="","",COUNTA($B$9:$B876))</f>
        <v/>
      </c>
      <c r="B876" s="12" t="n"/>
      <c r="C876" s="12" t="n"/>
      <c r="D876" s="12" t="n"/>
      <c r="E876" s="13" t="n"/>
      <c r="F876" s="11">
        <f>IF($E876="","",IFERROR(VLOOKUP($E876,OpTbl,2,0),""))</f>
        <v/>
      </c>
      <c r="G876" s="12" t="n"/>
      <c r="H876" s="11">
        <f>IF($G876="","",IFERROR(IF(VLOOKUP($G876,AcctTbl,4,0)="","(بدون نام)",VLOOKUP($G876,AcctTbl,4,0)),"کد ناشناخته"))</f>
        <v/>
      </c>
      <c r="I876" s="13" t="n"/>
      <c r="J876" s="13" t="n"/>
      <c r="K876" s="14" t="n"/>
      <c r="L876" s="14" t="n"/>
      <c r="M876" s="15">
        <f>IF(OR($B876="",$K876=""),"",($K876-IF($L876="",0,$L876)*IFERROR(VLOOKUP("P01",ParamTbl,3,0),1.5))*(1-IF(IFERROR(VLOOKUP($E876,OpTbl,3,0),"")="خرید",IFERROR(VLOOKUP("P02",ParamTbl,3,0),1),0)/100))</f>
        <v/>
      </c>
      <c r="N876" s="14" t="n"/>
      <c r="O876" s="13" t="n"/>
    </row>
    <row r="877">
      <c r="A877" s="11">
        <f>IF($B877="","",COUNTA($B$9:$B877))</f>
        <v/>
      </c>
      <c r="B877" s="12" t="n"/>
      <c r="C877" s="12" t="n"/>
      <c r="D877" s="12" t="n"/>
      <c r="E877" s="13" t="n"/>
      <c r="F877" s="11">
        <f>IF($E877="","",IFERROR(VLOOKUP($E877,OpTbl,2,0),""))</f>
        <v/>
      </c>
      <c r="G877" s="12" t="n"/>
      <c r="H877" s="11">
        <f>IF($G877="","",IFERROR(IF(VLOOKUP($G877,AcctTbl,4,0)="","(بدون نام)",VLOOKUP($G877,AcctTbl,4,0)),"کد ناشناخته"))</f>
        <v/>
      </c>
      <c r="I877" s="13" t="n"/>
      <c r="J877" s="13" t="n"/>
      <c r="K877" s="14" t="n"/>
      <c r="L877" s="14" t="n"/>
      <c r="M877" s="15">
        <f>IF(OR($B877="",$K877=""),"",($K877-IF($L877="",0,$L877)*IFERROR(VLOOKUP("P01",ParamTbl,3,0),1.5))*(1-IF(IFERROR(VLOOKUP($E877,OpTbl,3,0),"")="خرید",IFERROR(VLOOKUP("P02",ParamTbl,3,0),1),0)/100))</f>
        <v/>
      </c>
      <c r="N877" s="14" t="n"/>
      <c r="O877" s="13" t="n"/>
    </row>
    <row r="878">
      <c r="A878" s="11">
        <f>IF($B878="","",COUNTA($B$9:$B878))</f>
        <v/>
      </c>
      <c r="B878" s="12" t="n"/>
      <c r="C878" s="12" t="n"/>
      <c r="D878" s="12" t="n"/>
      <c r="E878" s="13" t="n"/>
      <c r="F878" s="11">
        <f>IF($E878="","",IFERROR(VLOOKUP($E878,OpTbl,2,0),""))</f>
        <v/>
      </c>
      <c r="G878" s="12" t="n"/>
      <c r="H878" s="11">
        <f>IF($G878="","",IFERROR(IF(VLOOKUP($G878,AcctTbl,4,0)="","(بدون نام)",VLOOKUP($G878,AcctTbl,4,0)),"کد ناشناخته"))</f>
        <v/>
      </c>
      <c r="I878" s="13" t="n"/>
      <c r="J878" s="13" t="n"/>
      <c r="K878" s="14" t="n"/>
      <c r="L878" s="14" t="n"/>
      <c r="M878" s="15">
        <f>IF(OR($B878="",$K878=""),"",($K878-IF($L878="",0,$L878)*IFERROR(VLOOKUP("P01",ParamTbl,3,0),1.5))*(1-IF(IFERROR(VLOOKUP($E878,OpTbl,3,0),"")="خرید",IFERROR(VLOOKUP("P02",ParamTbl,3,0),1),0)/100))</f>
        <v/>
      </c>
      <c r="N878" s="14" t="n"/>
      <c r="O878" s="13" t="n"/>
    </row>
    <row r="879">
      <c r="A879" s="11">
        <f>IF($B879="","",COUNTA($B$9:$B879))</f>
        <v/>
      </c>
      <c r="B879" s="12" t="n"/>
      <c r="C879" s="12" t="n"/>
      <c r="D879" s="12" t="n"/>
      <c r="E879" s="13" t="n"/>
      <c r="F879" s="11">
        <f>IF($E879="","",IFERROR(VLOOKUP($E879,OpTbl,2,0),""))</f>
        <v/>
      </c>
      <c r="G879" s="12" t="n"/>
      <c r="H879" s="11">
        <f>IF($G879="","",IFERROR(IF(VLOOKUP($G879,AcctTbl,4,0)="","(بدون نام)",VLOOKUP($G879,AcctTbl,4,0)),"کد ناشناخته"))</f>
        <v/>
      </c>
      <c r="I879" s="13" t="n"/>
      <c r="J879" s="13" t="n"/>
      <c r="K879" s="14" t="n"/>
      <c r="L879" s="14" t="n"/>
      <c r="M879" s="15">
        <f>IF(OR($B879="",$K879=""),"",($K879-IF($L879="",0,$L879)*IFERROR(VLOOKUP("P01",ParamTbl,3,0),1.5))*(1-IF(IFERROR(VLOOKUP($E879,OpTbl,3,0),"")="خرید",IFERROR(VLOOKUP("P02",ParamTbl,3,0),1),0)/100))</f>
        <v/>
      </c>
      <c r="N879" s="14" t="n"/>
      <c r="O879" s="13" t="n"/>
    </row>
    <row r="880">
      <c r="A880" s="11">
        <f>IF($B880="","",COUNTA($B$9:$B880))</f>
        <v/>
      </c>
      <c r="B880" s="12" t="n"/>
      <c r="C880" s="12" t="n"/>
      <c r="D880" s="12" t="n"/>
      <c r="E880" s="13" t="n"/>
      <c r="F880" s="11">
        <f>IF($E880="","",IFERROR(VLOOKUP($E880,OpTbl,2,0),""))</f>
        <v/>
      </c>
      <c r="G880" s="12" t="n"/>
      <c r="H880" s="11">
        <f>IF($G880="","",IFERROR(IF(VLOOKUP($G880,AcctTbl,4,0)="","(بدون نام)",VLOOKUP($G880,AcctTbl,4,0)),"کد ناشناخته"))</f>
        <v/>
      </c>
      <c r="I880" s="13" t="n"/>
      <c r="J880" s="13" t="n"/>
      <c r="K880" s="14" t="n"/>
      <c r="L880" s="14" t="n"/>
      <c r="M880" s="15">
        <f>IF(OR($B880="",$K880=""),"",($K880-IF($L880="",0,$L880)*IFERROR(VLOOKUP("P01",ParamTbl,3,0),1.5))*(1-IF(IFERROR(VLOOKUP($E880,OpTbl,3,0),"")="خرید",IFERROR(VLOOKUP("P02",ParamTbl,3,0),1),0)/100))</f>
        <v/>
      </c>
      <c r="N880" s="14" t="n"/>
      <c r="O880" s="13" t="n"/>
    </row>
    <row r="881">
      <c r="A881" s="11">
        <f>IF($B881="","",COUNTA($B$9:$B881))</f>
        <v/>
      </c>
      <c r="B881" s="12" t="n"/>
      <c r="C881" s="12" t="n"/>
      <c r="D881" s="12" t="n"/>
      <c r="E881" s="13" t="n"/>
      <c r="F881" s="11">
        <f>IF($E881="","",IFERROR(VLOOKUP($E881,OpTbl,2,0),""))</f>
        <v/>
      </c>
      <c r="G881" s="12" t="n"/>
      <c r="H881" s="11">
        <f>IF($G881="","",IFERROR(IF(VLOOKUP($G881,AcctTbl,4,0)="","(بدون نام)",VLOOKUP($G881,AcctTbl,4,0)),"کد ناشناخته"))</f>
        <v/>
      </c>
      <c r="I881" s="13" t="n"/>
      <c r="J881" s="13" t="n"/>
      <c r="K881" s="14" t="n"/>
      <c r="L881" s="14" t="n"/>
      <c r="M881" s="15">
        <f>IF(OR($B881="",$K881=""),"",($K881-IF($L881="",0,$L881)*IFERROR(VLOOKUP("P01",ParamTbl,3,0),1.5))*(1-IF(IFERROR(VLOOKUP($E881,OpTbl,3,0),"")="خرید",IFERROR(VLOOKUP("P02",ParamTbl,3,0),1),0)/100))</f>
        <v/>
      </c>
      <c r="N881" s="14" t="n"/>
      <c r="O881" s="13" t="n"/>
    </row>
    <row r="882">
      <c r="A882" s="11">
        <f>IF($B882="","",COUNTA($B$9:$B882))</f>
        <v/>
      </c>
      <c r="B882" s="12" t="n"/>
      <c r="C882" s="12" t="n"/>
      <c r="D882" s="12" t="n"/>
      <c r="E882" s="13" t="n"/>
      <c r="F882" s="11">
        <f>IF($E882="","",IFERROR(VLOOKUP($E882,OpTbl,2,0),""))</f>
        <v/>
      </c>
      <c r="G882" s="12" t="n"/>
      <c r="H882" s="11">
        <f>IF($G882="","",IFERROR(IF(VLOOKUP($G882,AcctTbl,4,0)="","(بدون نام)",VLOOKUP($G882,AcctTbl,4,0)),"کد ناشناخته"))</f>
        <v/>
      </c>
      <c r="I882" s="13" t="n"/>
      <c r="J882" s="13" t="n"/>
      <c r="K882" s="14" t="n"/>
      <c r="L882" s="14" t="n"/>
      <c r="M882" s="15">
        <f>IF(OR($B882="",$K882=""),"",($K882-IF($L882="",0,$L882)*IFERROR(VLOOKUP("P01",ParamTbl,3,0),1.5))*(1-IF(IFERROR(VLOOKUP($E882,OpTbl,3,0),"")="خرید",IFERROR(VLOOKUP("P02",ParamTbl,3,0),1),0)/100))</f>
        <v/>
      </c>
      <c r="N882" s="14" t="n"/>
      <c r="O882" s="13" t="n"/>
    </row>
    <row r="883">
      <c r="A883" s="11">
        <f>IF($B883="","",COUNTA($B$9:$B883))</f>
        <v/>
      </c>
      <c r="B883" s="12" t="n"/>
      <c r="C883" s="12" t="n"/>
      <c r="D883" s="12" t="n"/>
      <c r="E883" s="13" t="n"/>
      <c r="F883" s="11">
        <f>IF($E883="","",IFERROR(VLOOKUP($E883,OpTbl,2,0),""))</f>
        <v/>
      </c>
      <c r="G883" s="12" t="n"/>
      <c r="H883" s="11">
        <f>IF($G883="","",IFERROR(IF(VLOOKUP($G883,AcctTbl,4,0)="","(بدون نام)",VLOOKUP($G883,AcctTbl,4,0)),"کد ناشناخته"))</f>
        <v/>
      </c>
      <c r="I883" s="13" t="n"/>
      <c r="J883" s="13" t="n"/>
      <c r="K883" s="14" t="n"/>
      <c r="L883" s="14" t="n"/>
      <c r="M883" s="15">
        <f>IF(OR($B883="",$K883=""),"",($K883-IF($L883="",0,$L883)*IFERROR(VLOOKUP("P01",ParamTbl,3,0),1.5))*(1-IF(IFERROR(VLOOKUP($E883,OpTbl,3,0),"")="خرید",IFERROR(VLOOKUP("P02",ParamTbl,3,0),1),0)/100))</f>
        <v/>
      </c>
      <c r="N883" s="14" t="n"/>
      <c r="O883" s="13" t="n"/>
    </row>
    <row r="884">
      <c r="A884" s="11">
        <f>IF($B884="","",COUNTA($B$9:$B884))</f>
        <v/>
      </c>
      <c r="B884" s="12" t="n"/>
      <c r="C884" s="12" t="n"/>
      <c r="D884" s="12" t="n"/>
      <c r="E884" s="13" t="n"/>
      <c r="F884" s="11">
        <f>IF($E884="","",IFERROR(VLOOKUP($E884,OpTbl,2,0),""))</f>
        <v/>
      </c>
      <c r="G884" s="12" t="n"/>
      <c r="H884" s="11">
        <f>IF($G884="","",IFERROR(IF(VLOOKUP($G884,AcctTbl,4,0)="","(بدون نام)",VLOOKUP($G884,AcctTbl,4,0)),"کد ناشناخته"))</f>
        <v/>
      </c>
      <c r="I884" s="13" t="n"/>
      <c r="J884" s="13" t="n"/>
      <c r="K884" s="14" t="n"/>
      <c r="L884" s="14" t="n"/>
      <c r="M884" s="15">
        <f>IF(OR($B884="",$K884=""),"",($K884-IF($L884="",0,$L884)*IFERROR(VLOOKUP("P01",ParamTbl,3,0),1.5))*(1-IF(IFERROR(VLOOKUP($E884,OpTbl,3,0),"")="خرید",IFERROR(VLOOKUP("P02",ParamTbl,3,0),1),0)/100))</f>
        <v/>
      </c>
      <c r="N884" s="14" t="n"/>
      <c r="O884" s="13" t="n"/>
    </row>
    <row r="885">
      <c r="A885" s="11">
        <f>IF($B885="","",COUNTA($B$9:$B885))</f>
        <v/>
      </c>
      <c r="B885" s="12" t="n"/>
      <c r="C885" s="12" t="n"/>
      <c r="D885" s="12" t="n"/>
      <c r="E885" s="13" t="n"/>
      <c r="F885" s="11">
        <f>IF($E885="","",IFERROR(VLOOKUP($E885,OpTbl,2,0),""))</f>
        <v/>
      </c>
      <c r="G885" s="12" t="n"/>
      <c r="H885" s="11">
        <f>IF($G885="","",IFERROR(IF(VLOOKUP($G885,AcctTbl,4,0)="","(بدون نام)",VLOOKUP($G885,AcctTbl,4,0)),"کد ناشناخته"))</f>
        <v/>
      </c>
      <c r="I885" s="13" t="n"/>
      <c r="J885" s="13" t="n"/>
      <c r="K885" s="14" t="n"/>
      <c r="L885" s="14" t="n"/>
      <c r="M885" s="15">
        <f>IF(OR($B885="",$K885=""),"",($K885-IF($L885="",0,$L885)*IFERROR(VLOOKUP("P01",ParamTbl,3,0),1.5))*(1-IF(IFERROR(VLOOKUP($E885,OpTbl,3,0),"")="خرید",IFERROR(VLOOKUP("P02",ParamTbl,3,0),1),0)/100))</f>
        <v/>
      </c>
      <c r="N885" s="14" t="n"/>
      <c r="O885" s="13" t="n"/>
    </row>
    <row r="886">
      <c r="A886" s="11">
        <f>IF($B886="","",COUNTA($B$9:$B886))</f>
        <v/>
      </c>
      <c r="B886" s="12" t="n"/>
      <c r="C886" s="12" t="n"/>
      <c r="D886" s="12" t="n"/>
      <c r="E886" s="13" t="n"/>
      <c r="F886" s="11">
        <f>IF($E886="","",IFERROR(VLOOKUP($E886,OpTbl,2,0),""))</f>
        <v/>
      </c>
      <c r="G886" s="12" t="n"/>
      <c r="H886" s="11">
        <f>IF($G886="","",IFERROR(IF(VLOOKUP($G886,AcctTbl,4,0)="","(بدون نام)",VLOOKUP($G886,AcctTbl,4,0)),"کد ناشناخته"))</f>
        <v/>
      </c>
      <c r="I886" s="13" t="n"/>
      <c r="J886" s="13" t="n"/>
      <c r="K886" s="14" t="n"/>
      <c r="L886" s="14" t="n"/>
      <c r="M886" s="15">
        <f>IF(OR($B886="",$K886=""),"",($K886-IF($L886="",0,$L886)*IFERROR(VLOOKUP("P01",ParamTbl,3,0),1.5))*(1-IF(IFERROR(VLOOKUP($E886,OpTbl,3,0),"")="خرید",IFERROR(VLOOKUP("P02",ParamTbl,3,0),1),0)/100))</f>
        <v/>
      </c>
      <c r="N886" s="14" t="n"/>
      <c r="O886" s="13" t="n"/>
    </row>
    <row r="887">
      <c r="A887" s="11">
        <f>IF($B887="","",COUNTA($B$9:$B887))</f>
        <v/>
      </c>
      <c r="B887" s="12" t="n"/>
      <c r="C887" s="12" t="n"/>
      <c r="D887" s="12" t="n"/>
      <c r="E887" s="13" t="n"/>
      <c r="F887" s="11">
        <f>IF($E887="","",IFERROR(VLOOKUP($E887,OpTbl,2,0),""))</f>
        <v/>
      </c>
      <c r="G887" s="12" t="n"/>
      <c r="H887" s="11">
        <f>IF($G887="","",IFERROR(IF(VLOOKUP($G887,AcctTbl,4,0)="","(بدون نام)",VLOOKUP($G887,AcctTbl,4,0)),"کد ناشناخته"))</f>
        <v/>
      </c>
      <c r="I887" s="13" t="n"/>
      <c r="J887" s="13" t="n"/>
      <c r="K887" s="14" t="n"/>
      <c r="L887" s="14" t="n"/>
      <c r="M887" s="15">
        <f>IF(OR($B887="",$K887=""),"",($K887-IF($L887="",0,$L887)*IFERROR(VLOOKUP("P01",ParamTbl,3,0),1.5))*(1-IF(IFERROR(VLOOKUP($E887,OpTbl,3,0),"")="خرید",IFERROR(VLOOKUP("P02",ParamTbl,3,0),1),0)/100))</f>
        <v/>
      </c>
      <c r="N887" s="14" t="n"/>
      <c r="O887" s="13" t="n"/>
    </row>
    <row r="888">
      <c r="A888" s="11">
        <f>IF($B888="","",COUNTA($B$9:$B888))</f>
        <v/>
      </c>
      <c r="B888" s="12" t="n"/>
      <c r="C888" s="12" t="n"/>
      <c r="D888" s="12" t="n"/>
      <c r="E888" s="13" t="n"/>
      <c r="F888" s="11">
        <f>IF($E888="","",IFERROR(VLOOKUP($E888,OpTbl,2,0),""))</f>
        <v/>
      </c>
      <c r="G888" s="12" t="n"/>
      <c r="H888" s="11">
        <f>IF($G888="","",IFERROR(IF(VLOOKUP($G888,AcctTbl,4,0)="","(بدون نام)",VLOOKUP($G888,AcctTbl,4,0)),"کد ناشناخته"))</f>
        <v/>
      </c>
      <c r="I888" s="13" t="n"/>
      <c r="J888" s="13" t="n"/>
      <c r="K888" s="14" t="n"/>
      <c r="L888" s="14" t="n"/>
      <c r="M888" s="15">
        <f>IF(OR($B888="",$K888=""),"",($K888-IF($L888="",0,$L888)*IFERROR(VLOOKUP("P01",ParamTbl,3,0),1.5))*(1-IF(IFERROR(VLOOKUP($E888,OpTbl,3,0),"")="خرید",IFERROR(VLOOKUP("P02",ParamTbl,3,0),1),0)/100))</f>
        <v/>
      </c>
      <c r="N888" s="14" t="n"/>
      <c r="O888" s="13" t="n"/>
    </row>
    <row r="889">
      <c r="A889" s="11">
        <f>IF($B889="","",COUNTA($B$9:$B889))</f>
        <v/>
      </c>
      <c r="B889" s="12" t="n"/>
      <c r="C889" s="12" t="n"/>
      <c r="D889" s="12" t="n"/>
      <c r="E889" s="13" t="n"/>
      <c r="F889" s="11">
        <f>IF($E889="","",IFERROR(VLOOKUP($E889,OpTbl,2,0),""))</f>
        <v/>
      </c>
      <c r="G889" s="12" t="n"/>
      <c r="H889" s="11">
        <f>IF($G889="","",IFERROR(IF(VLOOKUP($G889,AcctTbl,4,0)="","(بدون نام)",VLOOKUP($G889,AcctTbl,4,0)),"کد ناشناخته"))</f>
        <v/>
      </c>
      <c r="I889" s="13" t="n"/>
      <c r="J889" s="13" t="n"/>
      <c r="K889" s="14" t="n"/>
      <c r="L889" s="14" t="n"/>
      <c r="M889" s="15">
        <f>IF(OR($B889="",$K889=""),"",($K889-IF($L889="",0,$L889)*IFERROR(VLOOKUP("P01",ParamTbl,3,0),1.5))*(1-IF(IFERROR(VLOOKUP($E889,OpTbl,3,0),"")="خرید",IFERROR(VLOOKUP("P02",ParamTbl,3,0),1),0)/100))</f>
        <v/>
      </c>
      <c r="N889" s="14" t="n"/>
      <c r="O889" s="13" t="n"/>
    </row>
    <row r="890">
      <c r="A890" s="11">
        <f>IF($B890="","",COUNTA($B$9:$B890))</f>
        <v/>
      </c>
      <c r="B890" s="12" t="n"/>
      <c r="C890" s="12" t="n"/>
      <c r="D890" s="12" t="n"/>
      <c r="E890" s="13" t="n"/>
      <c r="F890" s="11">
        <f>IF($E890="","",IFERROR(VLOOKUP($E890,OpTbl,2,0),""))</f>
        <v/>
      </c>
      <c r="G890" s="12" t="n"/>
      <c r="H890" s="11">
        <f>IF($G890="","",IFERROR(IF(VLOOKUP($G890,AcctTbl,4,0)="","(بدون نام)",VLOOKUP($G890,AcctTbl,4,0)),"کد ناشناخته"))</f>
        <v/>
      </c>
      <c r="I890" s="13" t="n"/>
      <c r="J890" s="13" t="n"/>
      <c r="K890" s="14" t="n"/>
      <c r="L890" s="14" t="n"/>
      <c r="M890" s="15">
        <f>IF(OR($B890="",$K890=""),"",($K890-IF($L890="",0,$L890)*IFERROR(VLOOKUP("P01",ParamTbl,3,0),1.5))*(1-IF(IFERROR(VLOOKUP($E890,OpTbl,3,0),"")="خرید",IFERROR(VLOOKUP("P02",ParamTbl,3,0),1),0)/100))</f>
        <v/>
      </c>
      <c r="N890" s="14" t="n"/>
      <c r="O890" s="13" t="n"/>
    </row>
    <row r="891">
      <c r="A891" s="11">
        <f>IF($B891="","",COUNTA($B$9:$B891))</f>
        <v/>
      </c>
      <c r="B891" s="12" t="n"/>
      <c r="C891" s="12" t="n"/>
      <c r="D891" s="12" t="n"/>
      <c r="E891" s="13" t="n"/>
      <c r="F891" s="11">
        <f>IF($E891="","",IFERROR(VLOOKUP($E891,OpTbl,2,0),""))</f>
        <v/>
      </c>
      <c r="G891" s="12" t="n"/>
      <c r="H891" s="11">
        <f>IF($G891="","",IFERROR(IF(VLOOKUP($G891,AcctTbl,4,0)="","(بدون نام)",VLOOKUP($G891,AcctTbl,4,0)),"کد ناشناخته"))</f>
        <v/>
      </c>
      <c r="I891" s="13" t="n"/>
      <c r="J891" s="13" t="n"/>
      <c r="K891" s="14" t="n"/>
      <c r="L891" s="14" t="n"/>
      <c r="M891" s="15">
        <f>IF(OR($B891="",$K891=""),"",($K891-IF($L891="",0,$L891)*IFERROR(VLOOKUP("P01",ParamTbl,3,0),1.5))*(1-IF(IFERROR(VLOOKUP($E891,OpTbl,3,0),"")="خرید",IFERROR(VLOOKUP("P02",ParamTbl,3,0),1),0)/100))</f>
        <v/>
      </c>
      <c r="N891" s="14" t="n"/>
      <c r="O891" s="13" t="n"/>
    </row>
    <row r="892">
      <c r="A892" s="11">
        <f>IF($B892="","",COUNTA($B$9:$B892))</f>
        <v/>
      </c>
      <c r="B892" s="12" t="n"/>
      <c r="C892" s="12" t="n"/>
      <c r="D892" s="12" t="n"/>
      <c r="E892" s="13" t="n"/>
      <c r="F892" s="11">
        <f>IF($E892="","",IFERROR(VLOOKUP($E892,OpTbl,2,0),""))</f>
        <v/>
      </c>
      <c r="G892" s="12" t="n"/>
      <c r="H892" s="11">
        <f>IF($G892="","",IFERROR(IF(VLOOKUP($G892,AcctTbl,4,0)="","(بدون نام)",VLOOKUP($G892,AcctTbl,4,0)),"کد ناشناخته"))</f>
        <v/>
      </c>
      <c r="I892" s="13" t="n"/>
      <c r="J892" s="13" t="n"/>
      <c r="K892" s="14" t="n"/>
      <c r="L892" s="14" t="n"/>
      <c r="M892" s="15">
        <f>IF(OR($B892="",$K892=""),"",($K892-IF($L892="",0,$L892)*IFERROR(VLOOKUP("P01",ParamTbl,3,0),1.5))*(1-IF(IFERROR(VLOOKUP($E892,OpTbl,3,0),"")="خرید",IFERROR(VLOOKUP("P02",ParamTbl,3,0),1),0)/100))</f>
        <v/>
      </c>
      <c r="N892" s="14" t="n"/>
      <c r="O892" s="13" t="n"/>
    </row>
    <row r="893">
      <c r="A893" s="11">
        <f>IF($B893="","",COUNTA($B$9:$B893))</f>
        <v/>
      </c>
      <c r="B893" s="12" t="n"/>
      <c r="C893" s="12" t="n"/>
      <c r="D893" s="12" t="n"/>
      <c r="E893" s="13" t="n"/>
      <c r="F893" s="11">
        <f>IF($E893="","",IFERROR(VLOOKUP($E893,OpTbl,2,0),""))</f>
        <v/>
      </c>
      <c r="G893" s="12" t="n"/>
      <c r="H893" s="11">
        <f>IF($G893="","",IFERROR(IF(VLOOKUP($G893,AcctTbl,4,0)="","(بدون نام)",VLOOKUP($G893,AcctTbl,4,0)),"کد ناشناخته"))</f>
        <v/>
      </c>
      <c r="I893" s="13" t="n"/>
      <c r="J893" s="13" t="n"/>
      <c r="K893" s="14" t="n"/>
      <c r="L893" s="14" t="n"/>
      <c r="M893" s="15">
        <f>IF(OR($B893="",$K893=""),"",($K893-IF($L893="",0,$L893)*IFERROR(VLOOKUP("P01",ParamTbl,3,0),1.5))*(1-IF(IFERROR(VLOOKUP($E893,OpTbl,3,0),"")="خرید",IFERROR(VLOOKUP("P02",ParamTbl,3,0),1),0)/100))</f>
        <v/>
      </c>
      <c r="N893" s="14" t="n"/>
      <c r="O893" s="13" t="n"/>
    </row>
    <row r="894">
      <c r="A894" s="11">
        <f>IF($B894="","",COUNTA($B$9:$B894))</f>
        <v/>
      </c>
      <c r="B894" s="12" t="n"/>
      <c r="C894" s="12" t="n"/>
      <c r="D894" s="12" t="n"/>
      <c r="E894" s="13" t="n"/>
      <c r="F894" s="11">
        <f>IF($E894="","",IFERROR(VLOOKUP($E894,OpTbl,2,0),""))</f>
        <v/>
      </c>
      <c r="G894" s="12" t="n"/>
      <c r="H894" s="11">
        <f>IF($G894="","",IFERROR(IF(VLOOKUP($G894,AcctTbl,4,0)="","(بدون نام)",VLOOKUP($G894,AcctTbl,4,0)),"کد ناشناخته"))</f>
        <v/>
      </c>
      <c r="I894" s="13" t="n"/>
      <c r="J894" s="13" t="n"/>
      <c r="K894" s="14" t="n"/>
      <c r="L894" s="14" t="n"/>
      <c r="M894" s="15">
        <f>IF(OR($B894="",$K894=""),"",($K894-IF($L894="",0,$L894)*IFERROR(VLOOKUP("P01",ParamTbl,3,0),1.5))*(1-IF(IFERROR(VLOOKUP($E894,OpTbl,3,0),"")="خرید",IFERROR(VLOOKUP("P02",ParamTbl,3,0),1),0)/100))</f>
        <v/>
      </c>
      <c r="N894" s="14" t="n"/>
      <c r="O894" s="13" t="n"/>
    </row>
    <row r="895">
      <c r="A895" s="11">
        <f>IF($B895="","",COUNTA($B$9:$B895))</f>
        <v/>
      </c>
      <c r="B895" s="12" t="n"/>
      <c r="C895" s="12" t="n"/>
      <c r="D895" s="12" t="n"/>
      <c r="E895" s="13" t="n"/>
      <c r="F895" s="11">
        <f>IF($E895="","",IFERROR(VLOOKUP($E895,OpTbl,2,0),""))</f>
        <v/>
      </c>
      <c r="G895" s="12" t="n"/>
      <c r="H895" s="11">
        <f>IF($G895="","",IFERROR(IF(VLOOKUP($G895,AcctTbl,4,0)="","(بدون نام)",VLOOKUP($G895,AcctTbl,4,0)),"کد ناشناخته"))</f>
        <v/>
      </c>
      <c r="I895" s="13" t="n"/>
      <c r="J895" s="13" t="n"/>
      <c r="K895" s="14" t="n"/>
      <c r="L895" s="14" t="n"/>
      <c r="M895" s="15">
        <f>IF(OR($B895="",$K895=""),"",($K895-IF($L895="",0,$L895)*IFERROR(VLOOKUP("P01",ParamTbl,3,0),1.5))*(1-IF(IFERROR(VLOOKUP($E895,OpTbl,3,0),"")="خرید",IFERROR(VLOOKUP("P02",ParamTbl,3,0),1),0)/100))</f>
        <v/>
      </c>
      <c r="N895" s="14" t="n"/>
      <c r="O895" s="13" t="n"/>
    </row>
    <row r="896">
      <c r="A896" s="11">
        <f>IF($B896="","",COUNTA($B$9:$B896))</f>
        <v/>
      </c>
      <c r="B896" s="12" t="n"/>
      <c r="C896" s="12" t="n"/>
      <c r="D896" s="12" t="n"/>
      <c r="E896" s="13" t="n"/>
      <c r="F896" s="11">
        <f>IF($E896="","",IFERROR(VLOOKUP($E896,OpTbl,2,0),""))</f>
        <v/>
      </c>
      <c r="G896" s="12" t="n"/>
      <c r="H896" s="11">
        <f>IF($G896="","",IFERROR(IF(VLOOKUP($G896,AcctTbl,4,0)="","(بدون نام)",VLOOKUP($G896,AcctTbl,4,0)),"کد ناشناخته"))</f>
        <v/>
      </c>
      <c r="I896" s="13" t="n"/>
      <c r="J896" s="13" t="n"/>
      <c r="K896" s="14" t="n"/>
      <c r="L896" s="14" t="n"/>
      <c r="M896" s="15">
        <f>IF(OR($B896="",$K896=""),"",($K896-IF($L896="",0,$L896)*IFERROR(VLOOKUP("P01",ParamTbl,3,0),1.5))*(1-IF(IFERROR(VLOOKUP($E896,OpTbl,3,0),"")="خرید",IFERROR(VLOOKUP("P02",ParamTbl,3,0),1),0)/100))</f>
        <v/>
      </c>
      <c r="N896" s="14" t="n"/>
      <c r="O896" s="13" t="n"/>
    </row>
    <row r="897">
      <c r="A897" s="11">
        <f>IF($B897="","",COUNTA($B$9:$B897))</f>
        <v/>
      </c>
      <c r="B897" s="12" t="n"/>
      <c r="C897" s="12" t="n"/>
      <c r="D897" s="12" t="n"/>
      <c r="E897" s="13" t="n"/>
      <c r="F897" s="11">
        <f>IF($E897="","",IFERROR(VLOOKUP($E897,OpTbl,2,0),""))</f>
        <v/>
      </c>
      <c r="G897" s="12" t="n"/>
      <c r="H897" s="11">
        <f>IF($G897="","",IFERROR(IF(VLOOKUP($G897,AcctTbl,4,0)="","(بدون نام)",VLOOKUP($G897,AcctTbl,4,0)),"کد ناشناخته"))</f>
        <v/>
      </c>
      <c r="I897" s="13" t="n"/>
      <c r="J897" s="13" t="n"/>
      <c r="K897" s="14" t="n"/>
      <c r="L897" s="14" t="n"/>
      <c r="M897" s="15">
        <f>IF(OR($B897="",$K897=""),"",($K897-IF($L897="",0,$L897)*IFERROR(VLOOKUP("P01",ParamTbl,3,0),1.5))*(1-IF(IFERROR(VLOOKUP($E897,OpTbl,3,0),"")="خرید",IFERROR(VLOOKUP("P02",ParamTbl,3,0),1),0)/100))</f>
        <v/>
      </c>
      <c r="N897" s="14" t="n"/>
      <c r="O897" s="13" t="n"/>
    </row>
    <row r="898">
      <c r="A898" s="11">
        <f>IF($B898="","",COUNTA($B$9:$B898))</f>
        <v/>
      </c>
      <c r="B898" s="12" t="n"/>
      <c r="C898" s="12" t="n"/>
      <c r="D898" s="12" t="n"/>
      <c r="E898" s="13" t="n"/>
      <c r="F898" s="11">
        <f>IF($E898="","",IFERROR(VLOOKUP($E898,OpTbl,2,0),""))</f>
        <v/>
      </c>
      <c r="G898" s="12" t="n"/>
      <c r="H898" s="11">
        <f>IF($G898="","",IFERROR(IF(VLOOKUP($G898,AcctTbl,4,0)="","(بدون نام)",VLOOKUP($G898,AcctTbl,4,0)),"کد ناشناخته"))</f>
        <v/>
      </c>
      <c r="I898" s="13" t="n"/>
      <c r="J898" s="13" t="n"/>
      <c r="K898" s="14" t="n"/>
      <c r="L898" s="14" t="n"/>
      <c r="M898" s="15">
        <f>IF(OR($B898="",$K898=""),"",($K898-IF($L898="",0,$L898)*IFERROR(VLOOKUP("P01",ParamTbl,3,0),1.5))*(1-IF(IFERROR(VLOOKUP($E898,OpTbl,3,0),"")="خرید",IFERROR(VLOOKUP("P02",ParamTbl,3,0),1),0)/100))</f>
        <v/>
      </c>
      <c r="N898" s="14" t="n"/>
      <c r="O898" s="13" t="n"/>
    </row>
    <row r="899">
      <c r="A899" s="11">
        <f>IF($B899="","",COUNTA($B$9:$B899))</f>
        <v/>
      </c>
      <c r="B899" s="12" t="n"/>
      <c r="C899" s="12" t="n"/>
      <c r="D899" s="12" t="n"/>
      <c r="E899" s="13" t="n"/>
      <c r="F899" s="11">
        <f>IF($E899="","",IFERROR(VLOOKUP($E899,OpTbl,2,0),""))</f>
        <v/>
      </c>
      <c r="G899" s="12" t="n"/>
      <c r="H899" s="11">
        <f>IF($G899="","",IFERROR(IF(VLOOKUP($G899,AcctTbl,4,0)="","(بدون نام)",VLOOKUP($G899,AcctTbl,4,0)),"کد ناشناخته"))</f>
        <v/>
      </c>
      <c r="I899" s="13" t="n"/>
      <c r="J899" s="13" t="n"/>
      <c r="K899" s="14" t="n"/>
      <c r="L899" s="14" t="n"/>
      <c r="M899" s="15">
        <f>IF(OR($B899="",$K899=""),"",($K899-IF($L899="",0,$L899)*IFERROR(VLOOKUP("P01",ParamTbl,3,0),1.5))*(1-IF(IFERROR(VLOOKUP($E899,OpTbl,3,0),"")="خرید",IFERROR(VLOOKUP("P02",ParamTbl,3,0),1),0)/100))</f>
        <v/>
      </c>
      <c r="N899" s="14" t="n"/>
      <c r="O899" s="13" t="n"/>
    </row>
    <row r="900">
      <c r="A900" s="11">
        <f>IF($B900="","",COUNTA($B$9:$B900))</f>
        <v/>
      </c>
      <c r="B900" s="12" t="n"/>
      <c r="C900" s="12" t="n"/>
      <c r="D900" s="12" t="n"/>
      <c r="E900" s="13" t="n"/>
      <c r="F900" s="11">
        <f>IF($E900="","",IFERROR(VLOOKUP($E900,OpTbl,2,0),""))</f>
        <v/>
      </c>
      <c r="G900" s="12" t="n"/>
      <c r="H900" s="11">
        <f>IF($G900="","",IFERROR(IF(VLOOKUP($G900,AcctTbl,4,0)="","(بدون نام)",VLOOKUP($G900,AcctTbl,4,0)),"کد ناشناخته"))</f>
        <v/>
      </c>
      <c r="I900" s="13" t="n"/>
      <c r="J900" s="13" t="n"/>
      <c r="K900" s="14" t="n"/>
      <c r="L900" s="14" t="n"/>
      <c r="M900" s="15">
        <f>IF(OR($B900="",$K900=""),"",($K900-IF($L900="",0,$L900)*IFERROR(VLOOKUP("P01",ParamTbl,3,0),1.5))*(1-IF(IFERROR(VLOOKUP($E900,OpTbl,3,0),"")="خرید",IFERROR(VLOOKUP("P02",ParamTbl,3,0),1),0)/100))</f>
        <v/>
      </c>
      <c r="N900" s="14" t="n"/>
      <c r="O900" s="13" t="n"/>
    </row>
    <row r="901">
      <c r="A901" s="11">
        <f>IF($B901="","",COUNTA($B$9:$B901))</f>
        <v/>
      </c>
      <c r="B901" s="12" t="n"/>
      <c r="C901" s="12" t="n"/>
      <c r="D901" s="12" t="n"/>
      <c r="E901" s="13" t="n"/>
      <c r="F901" s="11">
        <f>IF($E901="","",IFERROR(VLOOKUP($E901,OpTbl,2,0),""))</f>
        <v/>
      </c>
      <c r="G901" s="12" t="n"/>
      <c r="H901" s="11">
        <f>IF($G901="","",IFERROR(IF(VLOOKUP($G901,AcctTbl,4,0)="","(بدون نام)",VLOOKUP($G901,AcctTbl,4,0)),"کد ناشناخته"))</f>
        <v/>
      </c>
      <c r="I901" s="13" t="n"/>
      <c r="J901" s="13" t="n"/>
      <c r="K901" s="14" t="n"/>
      <c r="L901" s="14" t="n"/>
      <c r="M901" s="15">
        <f>IF(OR($B901="",$K901=""),"",($K901-IF($L901="",0,$L901)*IFERROR(VLOOKUP("P01",ParamTbl,3,0),1.5))*(1-IF(IFERROR(VLOOKUP($E901,OpTbl,3,0),"")="خرید",IFERROR(VLOOKUP("P02",ParamTbl,3,0),1),0)/100))</f>
        <v/>
      </c>
      <c r="N901" s="14" t="n"/>
      <c r="O901" s="13" t="n"/>
    </row>
    <row r="902">
      <c r="A902" s="11">
        <f>IF($B902="","",COUNTA($B$9:$B902))</f>
        <v/>
      </c>
      <c r="B902" s="12" t="n"/>
      <c r="C902" s="12" t="n"/>
      <c r="D902" s="12" t="n"/>
      <c r="E902" s="13" t="n"/>
      <c r="F902" s="11">
        <f>IF($E902="","",IFERROR(VLOOKUP($E902,OpTbl,2,0),""))</f>
        <v/>
      </c>
      <c r="G902" s="12" t="n"/>
      <c r="H902" s="11">
        <f>IF($G902="","",IFERROR(IF(VLOOKUP($G902,AcctTbl,4,0)="","(بدون نام)",VLOOKUP($G902,AcctTbl,4,0)),"کد ناشناخته"))</f>
        <v/>
      </c>
      <c r="I902" s="13" t="n"/>
      <c r="J902" s="13" t="n"/>
      <c r="K902" s="14" t="n"/>
      <c r="L902" s="14" t="n"/>
      <c r="M902" s="15">
        <f>IF(OR($B902="",$K902=""),"",($K902-IF($L902="",0,$L902)*IFERROR(VLOOKUP("P01",ParamTbl,3,0),1.5))*(1-IF(IFERROR(VLOOKUP($E902,OpTbl,3,0),"")="خرید",IFERROR(VLOOKUP("P02",ParamTbl,3,0),1),0)/100))</f>
        <v/>
      </c>
      <c r="N902" s="14" t="n"/>
      <c r="O902" s="13" t="n"/>
    </row>
    <row r="903">
      <c r="A903" s="11">
        <f>IF($B903="","",COUNTA($B$9:$B903))</f>
        <v/>
      </c>
      <c r="B903" s="12" t="n"/>
      <c r="C903" s="12" t="n"/>
      <c r="D903" s="12" t="n"/>
      <c r="E903" s="13" t="n"/>
      <c r="F903" s="11">
        <f>IF($E903="","",IFERROR(VLOOKUP($E903,OpTbl,2,0),""))</f>
        <v/>
      </c>
      <c r="G903" s="12" t="n"/>
      <c r="H903" s="11">
        <f>IF($G903="","",IFERROR(IF(VLOOKUP($G903,AcctTbl,4,0)="","(بدون نام)",VLOOKUP($G903,AcctTbl,4,0)),"کد ناشناخته"))</f>
        <v/>
      </c>
      <c r="I903" s="13" t="n"/>
      <c r="J903" s="13" t="n"/>
      <c r="K903" s="14" t="n"/>
      <c r="L903" s="14" t="n"/>
      <c r="M903" s="15">
        <f>IF(OR($B903="",$K903=""),"",($K903-IF($L903="",0,$L903)*IFERROR(VLOOKUP("P01",ParamTbl,3,0),1.5))*(1-IF(IFERROR(VLOOKUP($E903,OpTbl,3,0),"")="خرید",IFERROR(VLOOKUP("P02",ParamTbl,3,0),1),0)/100))</f>
        <v/>
      </c>
      <c r="N903" s="14" t="n"/>
      <c r="O903" s="13" t="n"/>
    </row>
    <row r="904">
      <c r="A904" s="11">
        <f>IF($B904="","",COUNTA($B$9:$B904))</f>
        <v/>
      </c>
      <c r="B904" s="12" t="n"/>
      <c r="C904" s="12" t="n"/>
      <c r="D904" s="12" t="n"/>
      <c r="E904" s="13" t="n"/>
      <c r="F904" s="11">
        <f>IF($E904="","",IFERROR(VLOOKUP($E904,OpTbl,2,0),""))</f>
        <v/>
      </c>
      <c r="G904" s="12" t="n"/>
      <c r="H904" s="11">
        <f>IF($G904="","",IFERROR(IF(VLOOKUP($G904,AcctTbl,4,0)="","(بدون نام)",VLOOKUP($G904,AcctTbl,4,0)),"کد ناشناخته"))</f>
        <v/>
      </c>
      <c r="I904" s="13" t="n"/>
      <c r="J904" s="13" t="n"/>
      <c r="K904" s="14" t="n"/>
      <c r="L904" s="14" t="n"/>
      <c r="M904" s="15">
        <f>IF(OR($B904="",$K904=""),"",($K904-IF($L904="",0,$L904)*IFERROR(VLOOKUP("P01",ParamTbl,3,0),1.5))*(1-IF(IFERROR(VLOOKUP($E904,OpTbl,3,0),"")="خرید",IFERROR(VLOOKUP("P02",ParamTbl,3,0),1),0)/100))</f>
        <v/>
      </c>
      <c r="N904" s="14" t="n"/>
      <c r="O904" s="13" t="n"/>
    </row>
    <row r="905">
      <c r="A905" s="11">
        <f>IF($B905="","",COUNTA($B$9:$B905))</f>
        <v/>
      </c>
      <c r="B905" s="12" t="n"/>
      <c r="C905" s="12" t="n"/>
      <c r="D905" s="12" t="n"/>
      <c r="E905" s="13" t="n"/>
      <c r="F905" s="11">
        <f>IF($E905="","",IFERROR(VLOOKUP($E905,OpTbl,2,0),""))</f>
        <v/>
      </c>
      <c r="G905" s="12" t="n"/>
      <c r="H905" s="11">
        <f>IF($G905="","",IFERROR(IF(VLOOKUP($G905,AcctTbl,4,0)="","(بدون نام)",VLOOKUP($G905,AcctTbl,4,0)),"کد ناشناخته"))</f>
        <v/>
      </c>
      <c r="I905" s="13" t="n"/>
      <c r="J905" s="13" t="n"/>
      <c r="K905" s="14" t="n"/>
      <c r="L905" s="14" t="n"/>
      <c r="M905" s="15">
        <f>IF(OR($B905="",$K905=""),"",($K905-IF($L905="",0,$L905)*IFERROR(VLOOKUP("P01",ParamTbl,3,0),1.5))*(1-IF(IFERROR(VLOOKUP($E905,OpTbl,3,0),"")="خرید",IFERROR(VLOOKUP("P02",ParamTbl,3,0),1),0)/100))</f>
        <v/>
      </c>
      <c r="N905" s="14" t="n"/>
      <c r="O905" s="13" t="n"/>
    </row>
    <row r="906">
      <c r="A906" s="11">
        <f>IF($B906="","",COUNTA($B$9:$B906))</f>
        <v/>
      </c>
      <c r="B906" s="12" t="n"/>
      <c r="C906" s="12" t="n"/>
      <c r="D906" s="12" t="n"/>
      <c r="E906" s="13" t="n"/>
      <c r="F906" s="11">
        <f>IF($E906="","",IFERROR(VLOOKUP($E906,OpTbl,2,0),""))</f>
        <v/>
      </c>
      <c r="G906" s="12" t="n"/>
      <c r="H906" s="11">
        <f>IF($G906="","",IFERROR(IF(VLOOKUP($G906,AcctTbl,4,0)="","(بدون نام)",VLOOKUP($G906,AcctTbl,4,0)),"کد ناشناخته"))</f>
        <v/>
      </c>
      <c r="I906" s="13" t="n"/>
      <c r="J906" s="13" t="n"/>
      <c r="K906" s="14" t="n"/>
      <c r="L906" s="14" t="n"/>
      <c r="M906" s="15">
        <f>IF(OR($B906="",$K906=""),"",($K906-IF($L906="",0,$L906)*IFERROR(VLOOKUP("P01",ParamTbl,3,0),1.5))*(1-IF(IFERROR(VLOOKUP($E906,OpTbl,3,0),"")="خرید",IFERROR(VLOOKUP("P02",ParamTbl,3,0),1),0)/100))</f>
        <v/>
      </c>
      <c r="N906" s="14" t="n"/>
      <c r="O906" s="13" t="n"/>
    </row>
    <row r="907">
      <c r="A907" s="11">
        <f>IF($B907="","",COUNTA($B$9:$B907))</f>
        <v/>
      </c>
      <c r="B907" s="12" t="n"/>
      <c r="C907" s="12" t="n"/>
      <c r="D907" s="12" t="n"/>
      <c r="E907" s="13" t="n"/>
      <c r="F907" s="11">
        <f>IF($E907="","",IFERROR(VLOOKUP($E907,OpTbl,2,0),""))</f>
        <v/>
      </c>
      <c r="G907" s="12" t="n"/>
      <c r="H907" s="11">
        <f>IF($G907="","",IFERROR(IF(VLOOKUP($G907,AcctTbl,4,0)="","(بدون نام)",VLOOKUP($G907,AcctTbl,4,0)),"کد ناشناخته"))</f>
        <v/>
      </c>
      <c r="I907" s="13" t="n"/>
      <c r="J907" s="13" t="n"/>
      <c r="K907" s="14" t="n"/>
      <c r="L907" s="14" t="n"/>
      <c r="M907" s="15">
        <f>IF(OR($B907="",$K907=""),"",($K907-IF($L907="",0,$L907)*IFERROR(VLOOKUP("P01",ParamTbl,3,0),1.5))*(1-IF(IFERROR(VLOOKUP($E907,OpTbl,3,0),"")="خرید",IFERROR(VLOOKUP("P02",ParamTbl,3,0),1),0)/100))</f>
        <v/>
      </c>
      <c r="N907" s="14" t="n"/>
      <c r="O907" s="13" t="n"/>
    </row>
    <row r="908">
      <c r="A908" s="11">
        <f>IF($B908="","",COUNTA($B$9:$B908))</f>
        <v/>
      </c>
      <c r="B908" s="12" t="n"/>
      <c r="C908" s="12" t="n"/>
      <c r="D908" s="12" t="n"/>
      <c r="E908" s="13" t="n"/>
      <c r="F908" s="11">
        <f>IF($E908="","",IFERROR(VLOOKUP($E908,OpTbl,2,0),""))</f>
        <v/>
      </c>
      <c r="G908" s="12" t="n"/>
      <c r="H908" s="11">
        <f>IF($G908="","",IFERROR(IF(VLOOKUP($G908,AcctTbl,4,0)="","(بدون نام)",VLOOKUP($G908,AcctTbl,4,0)),"کد ناشناخته"))</f>
        <v/>
      </c>
      <c r="I908" s="13" t="n"/>
      <c r="J908" s="13" t="n"/>
      <c r="K908" s="14" t="n"/>
      <c r="L908" s="14" t="n"/>
      <c r="M908" s="15">
        <f>IF(OR($B908="",$K908=""),"",($K908-IF($L908="",0,$L908)*IFERROR(VLOOKUP("P01",ParamTbl,3,0),1.5))*(1-IF(IFERROR(VLOOKUP($E908,OpTbl,3,0),"")="خرید",IFERROR(VLOOKUP("P02",ParamTbl,3,0),1),0)/100))</f>
        <v/>
      </c>
      <c r="N908" s="14" t="n"/>
      <c r="O908" s="13" t="n"/>
    </row>
    <row r="909">
      <c r="A909" s="11">
        <f>IF($B909="","",COUNTA($B$9:$B909))</f>
        <v/>
      </c>
      <c r="B909" s="12" t="n"/>
      <c r="C909" s="12" t="n"/>
      <c r="D909" s="12" t="n"/>
      <c r="E909" s="13" t="n"/>
      <c r="F909" s="11">
        <f>IF($E909="","",IFERROR(VLOOKUP($E909,OpTbl,2,0),""))</f>
        <v/>
      </c>
      <c r="G909" s="12" t="n"/>
      <c r="H909" s="11">
        <f>IF($G909="","",IFERROR(IF(VLOOKUP($G909,AcctTbl,4,0)="","(بدون نام)",VLOOKUP($G909,AcctTbl,4,0)),"کد ناشناخته"))</f>
        <v/>
      </c>
      <c r="I909" s="13" t="n"/>
      <c r="J909" s="13" t="n"/>
      <c r="K909" s="14" t="n"/>
      <c r="L909" s="14" t="n"/>
      <c r="M909" s="15">
        <f>IF(OR($B909="",$K909=""),"",($K909-IF($L909="",0,$L909)*IFERROR(VLOOKUP("P01",ParamTbl,3,0),1.5))*(1-IF(IFERROR(VLOOKUP($E909,OpTbl,3,0),"")="خرید",IFERROR(VLOOKUP("P02",ParamTbl,3,0),1),0)/100))</f>
        <v/>
      </c>
      <c r="N909" s="14" t="n"/>
      <c r="O909" s="13" t="n"/>
    </row>
    <row r="910">
      <c r="A910" s="11">
        <f>IF($B910="","",COUNTA($B$9:$B910))</f>
        <v/>
      </c>
      <c r="B910" s="12" t="n"/>
      <c r="C910" s="12" t="n"/>
      <c r="D910" s="12" t="n"/>
      <c r="E910" s="13" t="n"/>
      <c r="F910" s="11">
        <f>IF($E910="","",IFERROR(VLOOKUP($E910,OpTbl,2,0),""))</f>
        <v/>
      </c>
      <c r="G910" s="12" t="n"/>
      <c r="H910" s="11">
        <f>IF($G910="","",IFERROR(IF(VLOOKUP($G910,AcctTbl,4,0)="","(بدون نام)",VLOOKUP($G910,AcctTbl,4,0)),"کد ناشناخته"))</f>
        <v/>
      </c>
      <c r="I910" s="13" t="n"/>
      <c r="J910" s="13" t="n"/>
      <c r="K910" s="14" t="n"/>
      <c r="L910" s="14" t="n"/>
      <c r="M910" s="15">
        <f>IF(OR($B910="",$K910=""),"",($K910-IF($L910="",0,$L910)*IFERROR(VLOOKUP("P01",ParamTbl,3,0),1.5))*(1-IF(IFERROR(VLOOKUP($E910,OpTbl,3,0),"")="خرید",IFERROR(VLOOKUP("P02",ParamTbl,3,0),1),0)/100))</f>
        <v/>
      </c>
      <c r="N910" s="14" t="n"/>
      <c r="O910" s="13" t="n"/>
    </row>
    <row r="911">
      <c r="A911" s="11">
        <f>IF($B911="","",COUNTA($B$9:$B911))</f>
        <v/>
      </c>
      <c r="B911" s="12" t="n"/>
      <c r="C911" s="12" t="n"/>
      <c r="D911" s="12" t="n"/>
      <c r="E911" s="13" t="n"/>
      <c r="F911" s="11">
        <f>IF($E911="","",IFERROR(VLOOKUP($E911,OpTbl,2,0),""))</f>
        <v/>
      </c>
      <c r="G911" s="12" t="n"/>
      <c r="H911" s="11">
        <f>IF($G911="","",IFERROR(IF(VLOOKUP($G911,AcctTbl,4,0)="","(بدون نام)",VLOOKUP($G911,AcctTbl,4,0)),"کد ناشناخته"))</f>
        <v/>
      </c>
      <c r="I911" s="13" t="n"/>
      <c r="J911" s="13" t="n"/>
      <c r="K911" s="14" t="n"/>
      <c r="L911" s="14" t="n"/>
      <c r="M911" s="15">
        <f>IF(OR($B911="",$K911=""),"",($K911-IF($L911="",0,$L911)*IFERROR(VLOOKUP("P01",ParamTbl,3,0),1.5))*(1-IF(IFERROR(VLOOKUP($E911,OpTbl,3,0),"")="خرید",IFERROR(VLOOKUP("P02",ParamTbl,3,0),1),0)/100))</f>
        <v/>
      </c>
      <c r="N911" s="14" t="n"/>
      <c r="O911" s="13" t="n"/>
    </row>
    <row r="912">
      <c r="A912" s="11">
        <f>IF($B912="","",COUNTA($B$9:$B912))</f>
        <v/>
      </c>
      <c r="B912" s="12" t="n"/>
      <c r="C912" s="12" t="n"/>
      <c r="D912" s="12" t="n"/>
      <c r="E912" s="13" t="n"/>
      <c r="F912" s="11">
        <f>IF($E912="","",IFERROR(VLOOKUP($E912,OpTbl,2,0),""))</f>
        <v/>
      </c>
      <c r="G912" s="12" t="n"/>
      <c r="H912" s="11">
        <f>IF($G912="","",IFERROR(IF(VLOOKUP($G912,AcctTbl,4,0)="","(بدون نام)",VLOOKUP($G912,AcctTbl,4,0)),"کد ناشناخته"))</f>
        <v/>
      </c>
      <c r="I912" s="13" t="n"/>
      <c r="J912" s="13" t="n"/>
      <c r="K912" s="14" t="n"/>
      <c r="L912" s="14" t="n"/>
      <c r="M912" s="15">
        <f>IF(OR($B912="",$K912=""),"",($K912-IF($L912="",0,$L912)*IFERROR(VLOOKUP("P01",ParamTbl,3,0),1.5))*(1-IF(IFERROR(VLOOKUP($E912,OpTbl,3,0),"")="خرید",IFERROR(VLOOKUP("P02",ParamTbl,3,0),1),0)/100))</f>
        <v/>
      </c>
      <c r="N912" s="14" t="n"/>
      <c r="O912" s="13" t="n"/>
    </row>
    <row r="913">
      <c r="A913" s="11">
        <f>IF($B913="","",COUNTA($B$9:$B913))</f>
        <v/>
      </c>
      <c r="B913" s="12" t="n"/>
      <c r="C913" s="12" t="n"/>
      <c r="D913" s="12" t="n"/>
      <c r="E913" s="13" t="n"/>
      <c r="F913" s="11">
        <f>IF($E913="","",IFERROR(VLOOKUP($E913,OpTbl,2,0),""))</f>
        <v/>
      </c>
      <c r="G913" s="12" t="n"/>
      <c r="H913" s="11">
        <f>IF($G913="","",IFERROR(IF(VLOOKUP($G913,AcctTbl,4,0)="","(بدون نام)",VLOOKUP($G913,AcctTbl,4,0)),"کد ناشناخته"))</f>
        <v/>
      </c>
      <c r="I913" s="13" t="n"/>
      <c r="J913" s="13" t="n"/>
      <c r="K913" s="14" t="n"/>
      <c r="L913" s="14" t="n"/>
      <c r="M913" s="15">
        <f>IF(OR($B913="",$K913=""),"",($K913-IF($L913="",0,$L913)*IFERROR(VLOOKUP("P01",ParamTbl,3,0),1.5))*(1-IF(IFERROR(VLOOKUP($E913,OpTbl,3,0),"")="خرید",IFERROR(VLOOKUP("P02",ParamTbl,3,0),1),0)/100))</f>
        <v/>
      </c>
      <c r="N913" s="14" t="n"/>
      <c r="O913" s="13" t="n"/>
    </row>
    <row r="914">
      <c r="A914" s="11">
        <f>IF($B914="","",COUNTA($B$9:$B914))</f>
        <v/>
      </c>
      <c r="B914" s="12" t="n"/>
      <c r="C914" s="12" t="n"/>
      <c r="D914" s="12" t="n"/>
      <c r="E914" s="13" t="n"/>
      <c r="F914" s="11">
        <f>IF($E914="","",IFERROR(VLOOKUP($E914,OpTbl,2,0),""))</f>
        <v/>
      </c>
      <c r="G914" s="12" t="n"/>
      <c r="H914" s="11">
        <f>IF($G914="","",IFERROR(IF(VLOOKUP($G914,AcctTbl,4,0)="","(بدون نام)",VLOOKUP($G914,AcctTbl,4,0)),"کد ناشناخته"))</f>
        <v/>
      </c>
      <c r="I914" s="13" t="n"/>
      <c r="J914" s="13" t="n"/>
      <c r="K914" s="14" t="n"/>
      <c r="L914" s="14" t="n"/>
      <c r="M914" s="15">
        <f>IF(OR($B914="",$K914=""),"",($K914-IF($L914="",0,$L914)*IFERROR(VLOOKUP("P01",ParamTbl,3,0),1.5))*(1-IF(IFERROR(VLOOKUP($E914,OpTbl,3,0),"")="خرید",IFERROR(VLOOKUP("P02",ParamTbl,3,0),1),0)/100))</f>
        <v/>
      </c>
      <c r="N914" s="14" t="n"/>
      <c r="O914" s="13" t="n"/>
    </row>
    <row r="915">
      <c r="A915" s="11">
        <f>IF($B915="","",COUNTA($B$9:$B915))</f>
        <v/>
      </c>
      <c r="B915" s="12" t="n"/>
      <c r="C915" s="12" t="n"/>
      <c r="D915" s="12" t="n"/>
      <c r="E915" s="13" t="n"/>
      <c r="F915" s="11">
        <f>IF($E915="","",IFERROR(VLOOKUP($E915,OpTbl,2,0),""))</f>
        <v/>
      </c>
      <c r="G915" s="12" t="n"/>
      <c r="H915" s="11">
        <f>IF($G915="","",IFERROR(IF(VLOOKUP($G915,AcctTbl,4,0)="","(بدون نام)",VLOOKUP($G915,AcctTbl,4,0)),"کد ناشناخته"))</f>
        <v/>
      </c>
      <c r="I915" s="13" t="n"/>
      <c r="J915" s="13" t="n"/>
      <c r="K915" s="14" t="n"/>
      <c r="L915" s="14" t="n"/>
      <c r="M915" s="15">
        <f>IF(OR($B915="",$K915=""),"",($K915-IF($L915="",0,$L915)*IFERROR(VLOOKUP("P01",ParamTbl,3,0),1.5))*(1-IF(IFERROR(VLOOKUP($E915,OpTbl,3,0),"")="خرید",IFERROR(VLOOKUP("P02",ParamTbl,3,0),1),0)/100))</f>
        <v/>
      </c>
      <c r="N915" s="14" t="n"/>
      <c r="O915" s="13" t="n"/>
    </row>
    <row r="916">
      <c r="A916" s="11">
        <f>IF($B916="","",COUNTA($B$9:$B916))</f>
        <v/>
      </c>
      <c r="B916" s="12" t="n"/>
      <c r="C916" s="12" t="n"/>
      <c r="D916" s="12" t="n"/>
      <c r="E916" s="13" t="n"/>
      <c r="F916" s="11">
        <f>IF($E916="","",IFERROR(VLOOKUP($E916,OpTbl,2,0),""))</f>
        <v/>
      </c>
      <c r="G916" s="12" t="n"/>
      <c r="H916" s="11">
        <f>IF($G916="","",IFERROR(IF(VLOOKUP($G916,AcctTbl,4,0)="","(بدون نام)",VLOOKUP($G916,AcctTbl,4,0)),"کد ناشناخته"))</f>
        <v/>
      </c>
      <c r="I916" s="13" t="n"/>
      <c r="J916" s="13" t="n"/>
      <c r="K916" s="14" t="n"/>
      <c r="L916" s="14" t="n"/>
      <c r="M916" s="15">
        <f>IF(OR($B916="",$K916=""),"",($K916-IF($L916="",0,$L916)*IFERROR(VLOOKUP("P01",ParamTbl,3,0),1.5))*(1-IF(IFERROR(VLOOKUP($E916,OpTbl,3,0),"")="خرید",IFERROR(VLOOKUP("P02",ParamTbl,3,0),1),0)/100))</f>
        <v/>
      </c>
      <c r="N916" s="14" t="n"/>
      <c r="O916" s="13" t="n"/>
    </row>
    <row r="917">
      <c r="A917" s="11">
        <f>IF($B917="","",COUNTA($B$9:$B917))</f>
        <v/>
      </c>
      <c r="B917" s="12" t="n"/>
      <c r="C917" s="12" t="n"/>
      <c r="D917" s="12" t="n"/>
      <c r="E917" s="13" t="n"/>
      <c r="F917" s="11">
        <f>IF($E917="","",IFERROR(VLOOKUP($E917,OpTbl,2,0),""))</f>
        <v/>
      </c>
      <c r="G917" s="12" t="n"/>
      <c r="H917" s="11">
        <f>IF($G917="","",IFERROR(IF(VLOOKUP($G917,AcctTbl,4,0)="","(بدون نام)",VLOOKUP($G917,AcctTbl,4,0)),"کد ناشناخته"))</f>
        <v/>
      </c>
      <c r="I917" s="13" t="n"/>
      <c r="J917" s="13" t="n"/>
      <c r="K917" s="14" t="n"/>
      <c r="L917" s="14" t="n"/>
      <c r="M917" s="15">
        <f>IF(OR($B917="",$K917=""),"",($K917-IF($L917="",0,$L917)*IFERROR(VLOOKUP("P01",ParamTbl,3,0),1.5))*(1-IF(IFERROR(VLOOKUP($E917,OpTbl,3,0),"")="خرید",IFERROR(VLOOKUP("P02",ParamTbl,3,0),1),0)/100))</f>
        <v/>
      </c>
      <c r="N917" s="14" t="n"/>
      <c r="O917" s="13" t="n"/>
    </row>
    <row r="918">
      <c r="A918" s="11">
        <f>IF($B918="","",COUNTA($B$9:$B918))</f>
        <v/>
      </c>
      <c r="B918" s="12" t="n"/>
      <c r="C918" s="12" t="n"/>
      <c r="D918" s="12" t="n"/>
      <c r="E918" s="13" t="n"/>
      <c r="F918" s="11">
        <f>IF($E918="","",IFERROR(VLOOKUP($E918,OpTbl,2,0),""))</f>
        <v/>
      </c>
      <c r="G918" s="12" t="n"/>
      <c r="H918" s="11">
        <f>IF($G918="","",IFERROR(IF(VLOOKUP($G918,AcctTbl,4,0)="","(بدون نام)",VLOOKUP($G918,AcctTbl,4,0)),"کد ناشناخته"))</f>
        <v/>
      </c>
      <c r="I918" s="13" t="n"/>
      <c r="J918" s="13" t="n"/>
      <c r="K918" s="14" t="n"/>
      <c r="L918" s="14" t="n"/>
      <c r="M918" s="15">
        <f>IF(OR($B918="",$K918=""),"",($K918-IF($L918="",0,$L918)*IFERROR(VLOOKUP("P01",ParamTbl,3,0),1.5))*(1-IF(IFERROR(VLOOKUP($E918,OpTbl,3,0),"")="خرید",IFERROR(VLOOKUP("P02",ParamTbl,3,0),1),0)/100))</f>
        <v/>
      </c>
      <c r="N918" s="14" t="n"/>
      <c r="O918" s="13" t="n"/>
    </row>
    <row r="919">
      <c r="A919" s="11">
        <f>IF($B919="","",COUNTA($B$9:$B919))</f>
        <v/>
      </c>
      <c r="B919" s="12" t="n"/>
      <c r="C919" s="12" t="n"/>
      <c r="D919" s="12" t="n"/>
      <c r="E919" s="13" t="n"/>
      <c r="F919" s="11">
        <f>IF($E919="","",IFERROR(VLOOKUP($E919,OpTbl,2,0),""))</f>
        <v/>
      </c>
      <c r="G919" s="12" t="n"/>
      <c r="H919" s="11">
        <f>IF($G919="","",IFERROR(IF(VLOOKUP($G919,AcctTbl,4,0)="","(بدون نام)",VLOOKUP($G919,AcctTbl,4,0)),"کد ناشناخته"))</f>
        <v/>
      </c>
      <c r="I919" s="13" t="n"/>
      <c r="J919" s="13" t="n"/>
      <c r="K919" s="14" t="n"/>
      <c r="L919" s="14" t="n"/>
      <c r="M919" s="15">
        <f>IF(OR($B919="",$K919=""),"",($K919-IF($L919="",0,$L919)*IFERROR(VLOOKUP("P01",ParamTbl,3,0),1.5))*(1-IF(IFERROR(VLOOKUP($E919,OpTbl,3,0),"")="خرید",IFERROR(VLOOKUP("P02",ParamTbl,3,0),1),0)/100))</f>
        <v/>
      </c>
      <c r="N919" s="14" t="n"/>
      <c r="O919" s="13" t="n"/>
    </row>
    <row r="920">
      <c r="A920" s="11">
        <f>IF($B920="","",COUNTA($B$9:$B920))</f>
        <v/>
      </c>
      <c r="B920" s="12" t="n"/>
      <c r="C920" s="12" t="n"/>
      <c r="D920" s="12" t="n"/>
      <c r="E920" s="13" t="n"/>
      <c r="F920" s="11">
        <f>IF($E920="","",IFERROR(VLOOKUP($E920,OpTbl,2,0),""))</f>
        <v/>
      </c>
      <c r="G920" s="12" t="n"/>
      <c r="H920" s="11">
        <f>IF($G920="","",IFERROR(IF(VLOOKUP($G920,AcctTbl,4,0)="","(بدون نام)",VLOOKUP($G920,AcctTbl,4,0)),"کد ناشناخته"))</f>
        <v/>
      </c>
      <c r="I920" s="13" t="n"/>
      <c r="J920" s="13" t="n"/>
      <c r="K920" s="14" t="n"/>
      <c r="L920" s="14" t="n"/>
      <c r="M920" s="15">
        <f>IF(OR($B920="",$K920=""),"",($K920-IF($L920="",0,$L920)*IFERROR(VLOOKUP("P01",ParamTbl,3,0),1.5))*(1-IF(IFERROR(VLOOKUP($E920,OpTbl,3,0),"")="خرید",IFERROR(VLOOKUP("P02",ParamTbl,3,0),1),0)/100))</f>
        <v/>
      </c>
      <c r="N920" s="14" t="n"/>
      <c r="O920" s="13" t="n"/>
    </row>
    <row r="921">
      <c r="A921" s="11">
        <f>IF($B921="","",COUNTA($B$9:$B921))</f>
        <v/>
      </c>
      <c r="B921" s="12" t="n"/>
      <c r="C921" s="12" t="n"/>
      <c r="D921" s="12" t="n"/>
      <c r="E921" s="13" t="n"/>
      <c r="F921" s="11">
        <f>IF($E921="","",IFERROR(VLOOKUP($E921,OpTbl,2,0),""))</f>
        <v/>
      </c>
      <c r="G921" s="12" t="n"/>
      <c r="H921" s="11">
        <f>IF($G921="","",IFERROR(IF(VLOOKUP($G921,AcctTbl,4,0)="","(بدون نام)",VLOOKUP($G921,AcctTbl,4,0)),"کد ناشناخته"))</f>
        <v/>
      </c>
      <c r="I921" s="13" t="n"/>
      <c r="J921" s="13" t="n"/>
      <c r="K921" s="14" t="n"/>
      <c r="L921" s="14" t="n"/>
      <c r="M921" s="15">
        <f>IF(OR($B921="",$K921=""),"",($K921-IF($L921="",0,$L921)*IFERROR(VLOOKUP("P01",ParamTbl,3,0),1.5))*(1-IF(IFERROR(VLOOKUP($E921,OpTbl,3,0),"")="خرید",IFERROR(VLOOKUP("P02",ParamTbl,3,0),1),0)/100))</f>
        <v/>
      </c>
      <c r="N921" s="14" t="n"/>
      <c r="O921" s="13" t="n"/>
    </row>
    <row r="922">
      <c r="A922" s="11">
        <f>IF($B922="","",COUNTA($B$9:$B922))</f>
        <v/>
      </c>
      <c r="B922" s="12" t="n"/>
      <c r="C922" s="12" t="n"/>
      <c r="D922" s="12" t="n"/>
      <c r="E922" s="13" t="n"/>
      <c r="F922" s="11">
        <f>IF($E922="","",IFERROR(VLOOKUP($E922,OpTbl,2,0),""))</f>
        <v/>
      </c>
      <c r="G922" s="12" t="n"/>
      <c r="H922" s="11">
        <f>IF($G922="","",IFERROR(IF(VLOOKUP($G922,AcctTbl,4,0)="","(بدون نام)",VLOOKUP($G922,AcctTbl,4,0)),"کد ناشناخته"))</f>
        <v/>
      </c>
      <c r="I922" s="13" t="n"/>
      <c r="J922" s="13" t="n"/>
      <c r="K922" s="14" t="n"/>
      <c r="L922" s="14" t="n"/>
      <c r="M922" s="15">
        <f>IF(OR($B922="",$K922=""),"",($K922-IF($L922="",0,$L922)*IFERROR(VLOOKUP("P01",ParamTbl,3,0),1.5))*(1-IF(IFERROR(VLOOKUP($E922,OpTbl,3,0),"")="خرید",IFERROR(VLOOKUP("P02",ParamTbl,3,0),1),0)/100))</f>
        <v/>
      </c>
      <c r="N922" s="14" t="n"/>
      <c r="O922" s="13" t="n"/>
    </row>
    <row r="923">
      <c r="A923" s="11">
        <f>IF($B923="","",COUNTA($B$9:$B923))</f>
        <v/>
      </c>
      <c r="B923" s="12" t="n"/>
      <c r="C923" s="12" t="n"/>
      <c r="D923" s="12" t="n"/>
      <c r="E923" s="13" t="n"/>
      <c r="F923" s="11">
        <f>IF($E923="","",IFERROR(VLOOKUP($E923,OpTbl,2,0),""))</f>
        <v/>
      </c>
      <c r="G923" s="12" t="n"/>
      <c r="H923" s="11">
        <f>IF($G923="","",IFERROR(IF(VLOOKUP($G923,AcctTbl,4,0)="","(بدون نام)",VLOOKUP($G923,AcctTbl,4,0)),"کد ناشناخته"))</f>
        <v/>
      </c>
      <c r="I923" s="13" t="n"/>
      <c r="J923" s="13" t="n"/>
      <c r="K923" s="14" t="n"/>
      <c r="L923" s="14" t="n"/>
      <c r="M923" s="15">
        <f>IF(OR($B923="",$K923=""),"",($K923-IF($L923="",0,$L923)*IFERROR(VLOOKUP("P01",ParamTbl,3,0),1.5))*(1-IF(IFERROR(VLOOKUP($E923,OpTbl,3,0),"")="خرید",IFERROR(VLOOKUP("P02",ParamTbl,3,0),1),0)/100))</f>
        <v/>
      </c>
      <c r="N923" s="14" t="n"/>
      <c r="O923" s="13" t="n"/>
    </row>
    <row r="924">
      <c r="A924" s="11">
        <f>IF($B924="","",COUNTA($B$9:$B924))</f>
        <v/>
      </c>
      <c r="B924" s="12" t="n"/>
      <c r="C924" s="12" t="n"/>
      <c r="D924" s="12" t="n"/>
      <c r="E924" s="13" t="n"/>
      <c r="F924" s="11">
        <f>IF($E924="","",IFERROR(VLOOKUP($E924,OpTbl,2,0),""))</f>
        <v/>
      </c>
      <c r="G924" s="12" t="n"/>
      <c r="H924" s="11">
        <f>IF($G924="","",IFERROR(IF(VLOOKUP($G924,AcctTbl,4,0)="","(بدون نام)",VLOOKUP($G924,AcctTbl,4,0)),"کد ناشناخته"))</f>
        <v/>
      </c>
      <c r="I924" s="13" t="n"/>
      <c r="J924" s="13" t="n"/>
      <c r="K924" s="14" t="n"/>
      <c r="L924" s="14" t="n"/>
      <c r="M924" s="15">
        <f>IF(OR($B924="",$K924=""),"",($K924-IF($L924="",0,$L924)*IFERROR(VLOOKUP("P01",ParamTbl,3,0),1.5))*(1-IF(IFERROR(VLOOKUP($E924,OpTbl,3,0),"")="خرید",IFERROR(VLOOKUP("P02",ParamTbl,3,0),1),0)/100))</f>
        <v/>
      </c>
      <c r="N924" s="14" t="n"/>
      <c r="O924" s="13" t="n"/>
    </row>
    <row r="925">
      <c r="A925" s="11">
        <f>IF($B925="","",COUNTA($B$9:$B925))</f>
        <v/>
      </c>
      <c r="B925" s="12" t="n"/>
      <c r="C925" s="12" t="n"/>
      <c r="D925" s="12" t="n"/>
      <c r="E925" s="13" t="n"/>
      <c r="F925" s="11">
        <f>IF($E925="","",IFERROR(VLOOKUP($E925,OpTbl,2,0),""))</f>
        <v/>
      </c>
      <c r="G925" s="12" t="n"/>
      <c r="H925" s="11">
        <f>IF($G925="","",IFERROR(IF(VLOOKUP($G925,AcctTbl,4,0)="","(بدون نام)",VLOOKUP($G925,AcctTbl,4,0)),"کد ناشناخته"))</f>
        <v/>
      </c>
      <c r="I925" s="13" t="n"/>
      <c r="J925" s="13" t="n"/>
      <c r="K925" s="14" t="n"/>
      <c r="L925" s="14" t="n"/>
      <c r="M925" s="15">
        <f>IF(OR($B925="",$K925=""),"",($K925-IF($L925="",0,$L925)*IFERROR(VLOOKUP("P01",ParamTbl,3,0),1.5))*(1-IF(IFERROR(VLOOKUP($E925,OpTbl,3,0),"")="خرید",IFERROR(VLOOKUP("P02",ParamTbl,3,0),1),0)/100))</f>
        <v/>
      </c>
      <c r="N925" s="14" t="n"/>
      <c r="O925" s="13" t="n"/>
    </row>
    <row r="926">
      <c r="A926" s="11">
        <f>IF($B926="","",COUNTA($B$9:$B926))</f>
        <v/>
      </c>
      <c r="B926" s="12" t="n"/>
      <c r="C926" s="12" t="n"/>
      <c r="D926" s="12" t="n"/>
      <c r="E926" s="13" t="n"/>
      <c r="F926" s="11">
        <f>IF($E926="","",IFERROR(VLOOKUP($E926,OpTbl,2,0),""))</f>
        <v/>
      </c>
      <c r="G926" s="12" t="n"/>
      <c r="H926" s="11">
        <f>IF($G926="","",IFERROR(IF(VLOOKUP($G926,AcctTbl,4,0)="","(بدون نام)",VLOOKUP($G926,AcctTbl,4,0)),"کد ناشناخته"))</f>
        <v/>
      </c>
      <c r="I926" s="13" t="n"/>
      <c r="J926" s="13" t="n"/>
      <c r="K926" s="14" t="n"/>
      <c r="L926" s="14" t="n"/>
      <c r="M926" s="15">
        <f>IF(OR($B926="",$K926=""),"",($K926-IF($L926="",0,$L926)*IFERROR(VLOOKUP("P01",ParamTbl,3,0),1.5))*(1-IF(IFERROR(VLOOKUP($E926,OpTbl,3,0),"")="خرید",IFERROR(VLOOKUP("P02",ParamTbl,3,0),1),0)/100))</f>
        <v/>
      </c>
      <c r="N926" s="14" t="n"/>
      <c r="O926" s="13" t="n"/>
    </row>
    <row r="927">
      <c r="A927" s="11">
        <f>IF($B927="","",COUNTA($B$9:$B927))</f>
        <v/>
      </c>
      <c r="B927" s="12" t="n"/>
      <c r="C927" s="12" t="n"/>
      <c r="D927" s="12" t="n"/>
      <c r="E927" s="13" t="n"/>
      <c r="F927" s="11">
        <f>IF($E927="","",IFERROR(VLOOKUP($E927,OpTbl,2,0),""))</f>
        <v/>
      </c>
      <c r="G927" s="12" t="n"/>
      <c r="H927" s="11">
        <f>IF($G927="","",IFERROR(IF(VLOOKUP($G927,AcctTbl,4,0)="","(بدون نام)",VLOOKUP($G927,AcctTbl,4,0)),"کد ناشناخته"))</f>
        <v/>
      </c>
      <c r="I927" s="13" t="n"/>
      <c r="J927" s="13" t="n"/>
      <c r="K927" s="14" t="n"/>
      <c r="L927" s="14" t="n"/>
      <c r="M927" s="15">
        <f>IF(OR($B927="",$K927=""),"",($K927-IF($L927="",0,$L927)*IFERROR(VLOOKUP("P01",ParamTbl,3,0),1.5))*(1-IF(IFERROR(VLOOKUP($E927,OpTbl,3,0),"")="خرید",IFERROR(VLOOKUP("P02",ParamTbl,3,0),1),0)/100))</f>
        <v/>
      </c>
      <c r="N927" s="14" t="n"/>
      <c r="O927" s="13" t="n"/>
    </row>
    <row r="928">
      <c r="A928" s="11">
        <f>IF($B928="","",COUNTA($B$9:$B928))</f>
        <v/>
      </c>
      <c r="B928" s="12" t="n"/>
      <c r="C928" s="12" t="n"/>
      <c r="D928" s="12" t="n"/>
      <c r="E928" s="13" t="n"/>
      <c r="F928" s="11">
        <f>IF($E928="","",IFERROR(VLOOKUP($E928,OpTbl,2,0),""))</f>
        <v/>
      </c>
      <c r="G928" s="12" t="n"/>
      <c r="H928" s="11">
        <f>IF($G928="","",IFERROR(IF(VLOOKUP($G928,AcctTbl,4,0)="","(بدون نام)",VLOOKUP($G928,AcctTbl,4,0)),"کد ناشناخته"))</f>
        <v/>
      </c>
      <c r="I928" s="13" t="n"/>
      <c r="J928" s="13" t="n"/>
      <c r="K928" s="14" t="n"/>
      <c r="L928" s="14" t="n"/>
      <c r="M928" s="15">
        <f>IF(OR($B928="",$K928=""),"",($K928-IF($L928="",0,$L928)*IFERROR(VLOOKUP("P01",ParamTbl,3,0),1.5))*(1-IF(IFERROR(VLOOKUP($E928,OpTbl,3,0),"")="خرید",IFERROR(VLOOKUP("P02",ParamTbl,3,0),1),0)/100))</f>
        <v/>
      </c>
      <c r="N928" s="14" t="n"/>
      <c r="O928" s="13" t="n"/>
    </row>
    <row r="929">
      <c r="A929" s="11">
        <f>IF($B929="","",COUNTA($B$9:$B929))</f>
        <v/>
      </c>
      <c r="B929" s="12" t="n"/>
      <c r="C929" s="12" t="n"/>
      <c r="D929" s="12" t="n"/>
      <c r="E929" s="13" t="n"/>
      <c r="F929" s="11">
        <f>IF($E929="","",IFERROR(VLOOKUP($E929,OpTbl,2,0),""))</f>
        <v/>
      </c>
      <c r="G929" s="12" t="n"/>
      <c r="H929" s="11">
        <f>IF($G929="","",IFERROR(IF(VLOOKUP($G929,AcctTbl,4,0)="","(بدون نام)",VLOOKUP($G929,AcctTbl,4,0)),"کد ناشناخته"))</f>
        <v/>
      </c>
      <c r="I929" s="13" t="n"/>
      <c r="J929" s="13" t="n"/>
      <c r="K929" s="14" t="n"/>
      <c r="L929" s="14" t="n"/>
      <c r="M929" s="15">
        <f>IF(OR($B929="",$K929=""),"",($K929-IF($L929="",0,$L929)*IFERROR(VLOOKUP("P01",ParamTbl,3,0),1.5))*(1-IF(IFERROR(VLOOKUP($E929,OpTbl,3,0),"")="خرید",IFERROR(VLOOKUP("P02",ParamTbl,3,0),1),0)/100))</f>
        <v/>
      </c>
      <c r="N929" s="14" t="n"/>
      <c r="O929" s="13" t="n"/>
    </row>
    <row r="930">
      <c r="A930" s="11">
        <f>IF($B930="","",COUNTA($B$9:$B930))</f>
        <v/>
      </c>
      <c r="B930" s="12" t="n"/>
      <c r="C930" s="12" t="n"/>
      <c r="D930" s="12" t="n"/>
      <c r="E930" s="13" t="n"/>
      <c r="F930" s="11">
        <f>IF($E930="","",IFERROR(VLOOKUP($E930,OpTbl,2,0),""))</f>
        <v/>
      </c>
      <c r="G930" s="12" t="n"/>
      <c r="H930" s="11">
        <f>IF($G930="","",IFERROR(IF(VLOOKUP($G930,AcctTbl,4,0)="","(بدون نام)",VLOOKUP($G930,AcctTbl,4,0)),"کد ناشناخته"))</f>
        <v/>
      </c>
      <c r="I930" s="13" t="n"/>
      <c r="J930" s="13" t="n"/>
      <c r="K930" s="14" t="n"/>
      <c r="L930" s="14" t="n"/>
      <c r="M930" s="15">
        <f>IF(OR($B930="",$K930=""),"",($K930-IF($L930="",0,$L930)*IFERROR(VLOOKUP("P01",ParamTbl,3,0),1.5))*(1-IF(IFERROR(VLOOKUP($E930,OpTbl,3,0),"")="خرید",IFERROR(VLOOKUP("P02",ParamTbl,3,0),1),0)/100))</f>
        <v/>
      </c>
      <c r="N930" s="14" t="n"/>
      <c r="O930" s="13" t="n"/>
    </row>
    <row r="931">
      <c r="A931" s="11">
        <f>IF($B931="","",COUNTA($B$9:$B931))</f>
        <v/>
      </c>
      <c r="B931" s="12" t="n"/>
      <c r="C931" s="12" t="n"/>
      <c r="D931" s="12" t="n"/>
      <c r="E931" s="13" t="n"/>
      <c r="F931" s="11">
        <f>IF($E931="","",IFERROR(VLOOKUP($E931,OpTbl,2,0),""))</f>
        <v/>
      </c>
      <c r="G931" s="12" t="n"/>
      <c r="H931" s="11">
        <f>IF($G931="","",IFERROR(IF(VLOOKUP($G931,AcctTbl,4,0)="","(بدون نام)",VLOOKUP($G931,AcctTbl,4,0)),"کد ناشناخته"))</f>
        <v/>
      </c>
      <c r="I931" s="13" t="n"/>
      <c r="J931" s="13" t="n"/>
      <c r="K931" s="14" t="n"/>
      <c r="L931" s="14" t="n"/>
      <c r="M931" s="15">
        <f>IF(OR($B931="",$K931=""),"",($K931-IF($L931="",0,$L931)*IFERROR(VLOOKUP("P01",ParamTbl,3,0),1.5))*(1-IF(IFERROR(VLOOKUP($E931,OpTbl,3,0),"")="خرید",IFERROR(VLOOKUP("P02",ParamTbl,3,0),1),0)/100))</f>
        <v/>
      </c>
      <c r="N931" s="14" t="n"/>
      <c r="O931" s="13" t="n"/>
    </row>
    <row r="932">
      <c r="A932" s="11">
        <f>IF($B932="","",COUNTA($B$9:$B932))</f>
        <v/>
      </c>
      <c r="B932" s="12" t="n"/>
      <c r="C932" s="12" t="n"/>
      <c r="D932" s="12" t="n"/>
      <c r="E932" s="13" t="n"/>
      <c r="F932" s="11">
        <f>IF($E932="","",IFERROR(VLOOKUP($E932,OpTbl,2,0),""))</f>
        <v/>
      </c>
      <c r="G932" s="12" t="n"/>
      <c r="H932" s="11">
        <f>IF($G932="","",IFERROR(IF(VLOOKUP($G932,AcctTbl,4,0)="","(بدون نام)",VLOOKUP($G932,AcctTbl,4,0)),"کد ناشناخته"))</f>
        <v/>
      </c>
      <c r="I932" s="13" t="n"/>
      <c r="J932" s="13" t="n"/>
      <c r="K932" s="14" t="n"/>
      <c r="L932" s="14" t="n"/>
      <c r="M932" s="15">
        <f>IF(OR($B932="",$K932=""),"",($K932-IF($L932="",0,$L932)*IFERROR(VLOOKUP("P01",ParamTbl,3,0),1.5))*(1-IF(IFERROR(VLOOKUP($E932,OpTbl,3,0),"")="خرید",IFERROR(VLOOKUP("P02",ParamTbl,3,0),1),0)/100))</f>
        <v/>
      </c>
      <c r="N932" s="14" t="n"/>
      <c r="O932" s="13" t="n"/>
    </row>
    <row r="933">
      <c r="A933" s="11">
        <f>IF($B933="","",COUNTA($B$9:$B933))</f>
        <v/>
      </c>
      <c r="B933" s="12" t="n"/>
      <c r="C933" s="12" t="n"/>
      <c r="D933" s="12" t="n"/>
      <c r="E933" s="13" t="n"/>
      <c r="F933" s="11">
        <f>IF($E933="","",IFERROR(VLOOKUP($E933,OpTbl,2,0),""))</f>
        <v/>
      </c>
      <c r="G933" s="12" t="n"/>
      <c r="H933" s="11">
        <f>IF($G933="","",IFERROR(IF(VLOOKUP($G933,AcctTbl,4,0)="","(بدون نام)",VLOOKUP($G933,AcctTbl,4,0)),"کد ناشناخته"))</f>
        <v/>
      </c>
      <c r="I933" s="13" t="n"/>
      <c r="J933" s="13" t="n"/>
      <c r="K933" s="14" t="n"/>
      <c r="L933" s="14" t="n"/>
      <c r="M933" s="15">
        <f>IF(OR($B933="",$K933=""),"",($K933-IF($L933="",0,$L933)*IFERROR(VLOOKUP("P01",ParamTbl,3,0),1.5))*(1-IF(IFERROR(VLOOKUP($E933,OpTbl,3,0),"")="خرید",IFERROR(VLOOKUP("P02",ParamTbl,3,0),1),0)/100))</f>
        <v/>
      </c>
      <c r="N933" s="14" t="n"/>
      <c r="O933" s="13" t="n"/>
    </row>
    <row r="934">
      <c r="A934" s="11">
        <f>IF($B934="","",COUNTA($B$9:$B934))</f>
        <v/>
      </c>
      <c r="B934" s="12" t="n"/>
      <c r="C934" s="12" t="n"/>
      <c r="D934" s="12" t="n"/>
      <c r="E934" s="13" t="n"/>
      <c r="F934" s="11">
        <f>IF($E934="","",IFERROR(VLOOKUP($E934,OpTbl,2,0),""))</f>
        <v/>
      </c>
      <c r="G934" s="12" t="n"/>
      <c r="H934" s="11">
        <f>IF($G934="","",IFERROR(IF(VLOOKUP($G934,AcctTbl,4,0)="","(بدون نام)",VLOOKUP($G934,AcctTbl,4,0)),"کد ناشناخته"))</f>
        <v/>
      </c>
      <c r="I934" s="13" t="n"/>
      <c r="J934" s="13" t="n"/>
      <c r="K934" s="14" t="n"/>
      <c r="L934" s="14" t="n"/>
      <c r="M934" s="15">
        <f>IF(OR($B934="",$K934=""),"",($K934-IF($L934="",0,$L934)*IFERROR(VLOOKUP("P01",ParamTbl,3,0),1.5))*(1-IF(IFERROR(VLOOKUP($E934,OpTbl,3,0),"")="خرید",IFERROR(VLOOKUP("P02",ParamTbl,3,0),1),0)/100))</f>
        <v/>
      </c>
      <c r="N934" s="14" t="n"/>
      <c r="O934" s="13" t="n"/>
    </row>
    <row r="935">
      <c r="A935" s="11">
        <f>IF($B935="","",COUNTA($B$9:$B935))</f>
        <v/>
      </c>
      <c r="B935" s="12" t="n"/>
      <c r="C935" s="12" t="n"/>
      <c r="D935" s="12" t="n"/>
      <c r="E935" s="13" t="n"/>
      <c r="F935" s="11">
        <f>IF($E935="","",IFERROR(VLOOKUP($E935,OpTbl,2,0),""))</f>
        <v/>
      </c>
      <c r="G935" s="12" t="n"/>
      <c r="H935" s="11">
        <f>IF($G935="","",IFERROR(IF(VLOOKUP($G935,AcctTbl,4,0)="","(بدون نام)",VLOOKUP($G935,AcctTbl,4,0)),"کد ناشناخته"))</f>
        <v/>
      </c>
      <c r="I935" s="13" t="n"/>
      <c r="J935" s="13" t="n"/>
      <c r="K935" s="14" t="n"/>
      <c r="L935" s="14" t="n"/>
      <c r="M935" s="15">
        <f>IF(OR($B935="",$K935=""),"",($K935-IF($L935="",0,$L935)*IFERROR(VLOOKUP("P01",ParamTbl,3,0),1.5))*(1-IF(IFERROR(VLOOKUP($E935,OpTbl,3,0),"")="خرید",IFERROR(VLOOKUP("P02",ParamTbl,3,0),1),0)/100))</f>
        <v/>
      </c>
      <c r="N935" s="14" t="n"/>
      <c r="O935" s="13" t="n"/>
    </row>
    <row r="936">
      <c r="A936" s="11">
        <f>IF($B936="","",COUNTA($B$9:$B936))</f>
        <v/>
      </c>
      <c r="B936" s="12" t="n"/>
      <c r="C936" s="12" t="n"/>
      <c r="D936" s="12" t="n"/>
      <c r="E936" s="13" t="n"/>
      <c r="F936" s="11">
        <f>IF($E936="","",IFERROR(VLOOKUP($E936,OpTbl,2,0),""))</f>
        <v/>
      </c>
      <c r="G936" s="12" t="n"/>
      <c r="H936" s="11">
        <f>IF($G936="","",IFERROR(IF(VLOOKUP($G936,AcctTbl,4,0)="","(بدون نام)",VLOOKUP($G936,AcctTbl,4,0)),"کد ناشناخته"))</f>
        <v/>
      </c>
      <c r="I936" s="13" t="n"/>
      <c r="J936" s="13" t="n"/>
      <c r="K936" s="14" t="n"/>
      <c r="L936" s="14" t="n"/>
      <c r="M936" s="15">
        <f>IF(OR($B936="",$K936=""),"",($K936-IF($L936="",0,$L936)*IFERROR(VLOOKUP("P01",ParamTbl,3,0),1.5))*(1-IF(IFERROR(VLOOKUP($E936,OpTbl,3,0),"")="خرید",IFERROR(VLOOKUP("P02",ParamTbl,3,0),1),0)/100))</f>
        <v/>
      </c>
      <c r="N936" s="14" t="n"/>
      <c r="O936" s="13" t="n"/>
    </row>
    <row r="937">
      <c r="A937" s="11">
        <f>IF($B937="","",COUNTA($B$9:$B937))</f>
        <v/>
      </c>
      <c r="B937" s="12" t="n"/>
      <c r="C937" s="12" t="n"/>
      <c r="D937" s="12" t="n"/>
      <c r="E937" s="13" t="n"/>
      <c r="F937" s="11">
        <f>IF($E937="","",IFERROR(VLOOKUP($E937,OpTbl,2,0),""))</f>
        <v/>
      </c>
      <c r="G937" s="12" t="n"/>
      <c r="H937" s="11">
        <f>IF($G937="","",IFERROR(IF(VLOOKUP($G937,AcctTbl,4,0)="","(بدون نام)",VLOOKUP($G937,AcctTbl,4,0)),"کد ناشناخته"))</f>
        <v/>
      </c>
      <c r="I937" s="13" t="n"/>
      <c r="J937" s="13" t="n"/>
      <c r="K937" s="14" t="n"/>
      <c r="L937" s="14" t="n"/>
      <c r="M937" s="15">
        <f>IF(OR($B937="",$K937=""),"",($K937-IF($L937="",0,$L937)*IFERROR(VLOOKUP("P01",ParamTbl,3,0),1.5))*(1-IF(IFERROR(VLOOKUP($E937,OpTbl,3,0),"")="خرید",IFERROR(VLOOKUP("P02",ParamTbl,3,0),1),0)/100))</f>
        <v/>
      </c>
      <c r="N937" s="14" t="n"/>
      <c r="O937" s="13" t="n"/>
    </row>
    <row r="938">
      <c r="A938" s="11">
        <f>IF($B938="","",COUNTA($B$9:$B938))</f>
        <v/>
      </c>
      <c r="B938" s="12" t="n"/>
      <c r="C938" s="12" t="n"/>
      <c r="D938" s="12" t="n"/>
      <c r="E938" s="13" t="n"/>
      <c r="F938" s="11">
        <f>IF($E938="","",IFERROR(VLOOKUP($E938,OpTbl,2,0),""))</f>
        <v/>
      </c>
      <c r="G938" s="12" t="n"/>
      <c r="H938" s="11">
        <f>IF($G938="","",IFERROR(IF(VLOOKUP($G938,AcctTbl,4,0)="","(بدون نام)",VLOOKUP($G938,AcctTbl,4,0)),"کد ناشناخته"))</f>
        <v/>
      </c>
      <c r="I938" s="13" t="n"/>
      <c r="J938" s="13" t="n"/>
      <c r="K938" s="14" t="n"/>
      <c r="L938" s="14" t="n"/>
      <c r="M938" s="15">
        <f>IF(OR($B938="",$K938=""),"",($K938-IF($L938="",0,$L938)*IFERROR(VLOOKUP("P01",ParamTbl,3,0),1.5))*(1-IF(IFERROR(VLOOKUP($E938,OpTbl,3,0),"")="خرید",IFERROR(VLOOKUP("P02",ParamTbl,3,0),1),0)/100))</f>
        <v/>
      </c>
      <c r="N938" s="14" t="n"/>
      <c r="O938" s="13" t="n"/>
    </row>
    <row r="939">
      <c r="A939" s="11">
        <f>IF($B939="","",COUNTA($B$9:$B939))</f>
        <v/>
      </c>
      <c r="B939" s="12" t="n"/>
      <c r="C939" s="12" t="n"/>
      <c r="D939" s="12" t="n"/>
      <c r="E939" s="13" t="n"/>
      <c r="F939" s="11">
        <f>IF($E939="","",IFERROR(VLOOKUP($E939,OpTbl,2,0),""))</f>
        <v/>
      </c>
      <c r="G939" s="12" t="n"/>
      <c r="H939" s="11">
        <f>IF($G939="","",IFERROR(IF(VLOOKUP($G939,AcctTbl,4,0)="","(بدون نام)",VLOOKUP($G939,AcctTbl,4,0)),"کد ناشناخته"))</f>
        <v/>
      </c>
      <c r="I939" s="13" t="n"/>
      <c r="J939" s="13" t="n"/>
      <c r="K939" s="14" t="n"/>
      <c r="L939" s="14" t="n"/>
      <c r="M939" s="15">
        <f>IF(OR($B939="",$K939=""),"",($K939-IF($L939="",0,$L939)*IFERROR(VLOOKUP("P01",ParamTbl,3,0),1.5))*(1-IF(IFERROR(VLOOKUP($E939,OpTbl,3,0),"")="خرید",IFERROR(VLOOKUP("P02",ParamTbl,3,0),1),0)/100))</f>
        <v/>
      </c>
      <c r="N939" s="14" t="n"/>
      <c r="O939" s="13" t="n"/>
    </row>
    <row r="940">
      <c r="A940" s="11">
        <f>IF($B940="","",COUNTA($B$9:$B940))</f>
        <v/>
      </c>
      <c r="B940" s="12" t="n"/>
      <c r="C940" s="12" t="n"/>
      <c r="D940" s="12" t="n"/>
      <c r="E940" s="13" t="n"/>
      <c r="F940" s="11">
        <f>IF($E940="","",IFERROR(VLOOKUP($E940,OpTbl,2,0),""))</f>
        <v/>
      </c>
      <c r="G940" s="12" t="n"/>
      <c r="H940" s="11">
        <f>IF($G940="","",IFERROR(IF(VLOOKUP($G940,AcctTbl,4,0)="","(بدون نام)",VLOOKUP($G940,AcctTbl,4,0)),"کد ناشناخته"))</f>
        <v/>
      </c>
      <c r="I940" s="13" t="n"/>
      <c r="J940" s="13" t="n"/>
      <c r="K940" s="14" t="n"/>
      <c r="L940" s="14" t="n"/>
      <c r="M940" s="15">
        <f>IF(OR($B940="",$K940=""),"",($K940-IF($L940="",0,$L940)*IFERROR(VLOOKUP("P01",ParamTbl,3,0),1.5))*(1-IF(IFERROR(VLOOKUP($E940,OpTbl,3,0),"")="خرید",IFERROR(VLOOKUP("P02",ParamTbl,3,0),1),0)/100))</f>
        <v/>
      </c>
      <c r="N940" s="14" t="n"/>
      <c r="O940" s="13" t="n"/>
    </row>
    <row r="941">
      <c r="A941" s="11">
        <f>IF($B941="","",COUNTA($B$9:$B941))</f>
        <v/>
      </c>
      <c r="B941" s="12" t="n"/>
      <c r="C941" s="12" t="n"/>
      <c r="D941" s="12" t="n"/>
      <c r="E941" s="13" t="n"/>
      <c r="F941" s="11">
        <f>IF($E941="","",IFERROR(VLOOKUP($E941,OpTbl,2,0),""))</f>
        <v/>
      </c>
      <c r="G941" s="12" t="n"/>
      <c r="H941" s="11">
        <f>IF($G941="","",IFERROR(IF(VLOOKUP($G941,AcctTbl,4,0)="","(بدون نام)",VLOOKUP($G941,AcctTbl,4,0)),"کد ناشناخته"))</f>
        <v/>
      </c>
      <c r="I941" s="13" t="n"/>
      <c r="J941" s="13" t="n"/>
      <c r="K941" s="14" t="n"/>
      <c r="L941" s="14" t="n"/>
      <c r="M941" s="15">
        <f>IF(OR($B941="",$K941=""),"",($K941-IF($L941="",0,$L941)*IFERROR(VLOOKUP("P01",ParamTbl,3,0),1.5))*(1-IF(IFERROR(VLOOKUP($E941,OpTbl,3,0),"")="خرید",IFERROR(VLOOKUP("P02",ParamTbl,3,0),1),0)/100))</f>
        <v/>
      </c>
      <c r="N941" s="14" t="n"/>
      <c r="O941" s="13" t="n"/>
    </row>
    <row r="942">
      <c r="A942" s="11">
        <f>IF($B942="","",COUNTA($B$9:$B942))</f>
        <v/>
      </c>
      <c r="B942" s="12" t="n"/>
      <c r="C942" s="12" t="n"/>
      <c r="D942" s="12" t="n"/>
      <c r="E942" s="13" t="n"/>
      <c r="F942" s="11">
        <f>IF($E942="","",IFERROR(VLOOKUP($E942,OpTbl,2,0),""))</f>
        <v/>
      </c>
      <c r="G942" s="12" t="n"/>
      <c r="H942" s="11">
        <f>IF($G942="","",IFERROR(IF(VLOOKUP($G942,AcctTbl,4,0)="","(بدون نام)",VLOOKUP($G942,AcctTbl,4,0)),"کد ناشناخته"))</f>
        <v/>
      </c>
      <c r="I942" s="13" t="n"/>
      <c r="J942" s="13" t="n"/>
      <c r="K942" s="14" t="n"/>
      <c r="L942" s="14" t="n"/>
      <c r="M942" s="15">
        <f>IF(OR($B942="",$K942=""),"",($K942-IF($L942="",0,$L942)*IFERROR(VLOOKUP("P01",ParamTbl,3,0),1.5))*(1-IF(IFERROR(VLOOKUP($E942,OpTbl,3,0),"")="خرید",IFERROR(VLOOKUP("P02",ParamTbl,3,0),1),0)/100))</f>
        <v/>
      </c>
      <c r="N942" s="14" t="n"/>
      <c r="O942" s="13" t="n"/>
    </row>
    <row r="943">
      <c r="A943" s="11">
        <f>IF($B943="","",COUNTA($B$9:$B943))</f>
        <v/>
      </c>
      <c r="B943" s="12" t="n"/>
      <c r="C943" s="12" t="n"/>
      <c r="D943" s="12" t="n"/>
      <c r="E943" s="13" t="n"/>
      <c r="F943" s="11">
        <f>IF($E943="","",IFERROR(VLOOKUP($E943,OpTbl,2,0),""))</f>
        <v/>
      </c>
      <c r="G943" s="12" t="n"/>
      <c r="H943" s="11">
        <f>IF($G943="","",IFERROR(IF(VLOOKUP($G943,AcctTbl,4,0)="","(بدون نام)",VLOOKUP($G943,AcctTbl,4,0)),"کد ناشناخته"))</f>
        <v/>
      </c>
      <c r="I943" s="13" t="n"/>
      <c r="J943" s="13" t="n"/>
      <c r="K943" s="14" t="n"/>
      <c r="L943" s="14" t="n"/>
      <c r="M943" s="15">
        <f>IF(OR($B943="",$K943=""),"",($K943-IF($L943="",0,$L943)*IFERROR(VLOOKUP("P01",ParamTbl,3,0),1.5))*(1-IF(IFERROR(VLOOKUP($E943,OpTbl,3,0),"")="خرید",IFERROR(VLOOKUP("P02",ParamTbl,3,0),1),0)/100))</f>
        <v/>
      </c>
      <c r="N943" s="14" t="n"/>
      <c r="O943" s="13" t="n"/>
    </row>
    <row r="944">
      <c r="A944" s="11">
        <f>IF($B944="","",COUNTA($B$9:$B944))</f>
        <v/>
      </c>
      <c r="B944" s="12" t="n"/>
      <c r="C944" s="12" t="n"/>
      <c r="D944" s="12" t="n"/>
      <c r="E944" s="13" t="n"/>
      <c r="F944" s="11">
        <f>IF($E944="","",IFERROR(VLOOKUP($E944,OpTbl,2,0),""))</f>
        <v/>
      </c>
      <c r="G944" s="12" t="n"/>
      <c r="H944" s="11">
        <f>IF($G944="","",IFERROR(IF(VLOOKUP($G944,AcctTbl,4,0)="","(بدون نام)",VLOOKUP($G944,AcctTbl,4,0)),"کد ناشناخته"))</f>
        <v/>
      </c>
      <c r="I944" s="13" t="n"/>
      <c r="J944" s="13" t="n"/>
      <c r="K944" s="14" t="n"/>
      <c r="L944" s="14" t="n"/>
      <c r="M944" s="15">
        <f>IF(OR($B944="",$K944=""),"",($K944-IF($L944="",0,$L944)*IFERROR(VLOOKUP("P01",ParamTbl,3,0),1.5))*(1-IF(IFERROR(VLOOKUP($E944,OpTbl,3,0),"")="خرید",IFERROR(VLOOKUP("P02",ParamTbl,3,0),1),0)/100))</f>
        <v/>
      </c>
      <c r="N944" s="14" t="n"/>
      <c r="O944" s="13" t="n"/>
    </row>
    <row r="945">
      <c r="A945" s="11">
        <f>IF($B945="","",COUNTA($B$9:$B945))</f>
        <v/>
      </c>
      <c r="B945" s="12" t="n"/>
      <c r="C945" s="12" t="n"/>
      <c r="D945" s="12" t="n"/>
      <c r="E945" s="13" t="n"/>
      <c r="F945" s="11">
        <f>IF($E945="","",IFERROR(VLOOKUP($E945,OpTbl,2,0),""))</f>
        <v/>
      </c>
      <c r="G945" s="12" t="n"/>
      <c r="H945" s="11">
        <f>IF($G945="","",IFERROR(IF(VLOOKUP($G945,AcctTbl,4,0)="","(بدون نام)",VLOOKUP($G945,AcctTbl,4,0)),"کد ناشناخته"))</f>
        <v/>
      </c>
      <c r="I945" s="13" t="n"/>
      <c r="J945" s="13" t="n"/>
      <c r="K945" s="14" t="n"/>
      <c r="L945" s="14" t="n"/>
      <c r="M945" s="15">
        <f>IF(OR($B945="",$K945=""),"",($K945-IF($L945="",0,$L945)*IFERROR(VLOOKUP("P01",ParamTbl,3,0),1.5))*(1-IF(IFERROR(VLOOKUP($E945,OpTbl,3,0),"")="خرید",IFERROR(VLOOKUP("P02",ParamTbl,3,0),1),0)/100))</f>
        <v/>
      </c>
      <c r="N945" s="14" t="n"/>
      <c r="O945" s="13" t="n"/>
    </row>
    <row r="946">
      <c r="A946" s="11">
        <f>IF($B946="","",COUNTA($B$9:$B946))</f>
        <v/>
      </c>
      <c r="B946" s="12" t="n"/>
      <c r="C946" s="12" t="n"/>
      <c r="D946" s="12" t="n"/>
      <c r="E946" s="13" t="n"/>
      <c r="F946" s="11">
        <f>IF($E946="","",IFERROR(VLOOKUP($E946,OpTbl,2,0),""))</f>
        <v/>
      </c>
      <c r="G946" s="12" t="n"/>
      <c r="H946" s="11">
        <f>IF($G946="","",IFERROR(IF(VLOOKUP($G946,AcctTbl,4,0)="","(بدون نام)",VLOOKUP($G946,AcctTbl,4,0)),"کد ناشناخته"))</f>
        <v/>
      </c>
      <c r="I946" s="13" t="n"/>
      <c r="J946" s="13" t="n"/>
      <c r="K946" s="14" t="n"/>
      <c r="L946" s="14" t="n"/>
      <c r="M946" s="15">
        <f>IF(OR($B946="",$K946=""),"",($K946-IF($L946="",0,$L946)*IFERROR(VLOOKUP("P01",ParamTbl,3,0),1.5))*(1-IF(IFERROR(VLOOKUP($E946,OpTbl,3,0),"")="خرید",IFERROR(VLOOKUP("P02",ParamTbl,3,0),1),0)/100))</f>
        <v/>
      </c>
      <c r="N946" s="14" t="n"/>
      <c r="O946" s="13" t="n"/>
    </row>
    <row r="947">
      <c r="A947" s="11">
        <f>IF($B947="","",COUNTA($B$9:$B947))</f>
        <v/>
      </c>
      <c r="B947" s="12" t="n"/>
      <c r="C947" s="12" t="n"/>
      <c r="D947" s="12" t="n"/>
      <c r="E947" s="13" t="n"/>
      <c r="F947" s="11">
        <f>IF($E947="","",IFERROR(VLOOKUP($E947,OpTbl,2,0),""))</f>
        <v/>
      </c>
      <c r="G947" s="12" t="n"/>
      <c r="H947" s="11">
        <f>IF($G947="","",IFERROR(IF(VLOOKUP($G947,AcctTbl,4,0)="","(بدون نام)",VLOOKUP($G947,AcctTbl,4,0)),"کد ناشناخته"))</f>
        <v/>
      </c>
      <c r="I947" s="13" t="n"/>
      <c r="J947" s="13" t="n"/>
      <c r="K947" s="14" t="n"/>
      <c r="L947" s="14" t="n"/>
      <c r="M947" s="15">
        <f>IF(OR($B947="",$K947=""),"",($K947-IF($L947="",0,$L947)*IFERROR(VLOOKUP("P01",ParamTbl,3,0),1.5))*(1-IF(IFERROR(VLOOKUP($E947,OpTbl,3,0),"")="خرید",IFERROR(VLOOKUP("P02",ParamTbl,3,0),1),0)/100))</f>
        <v/>
      </c>
      <c r="N947" s="14" t="n"/>
      <c r="O947" s="13" t="n"/>
    </row>
    <row r="948">
      <c r="A948" s="11">
        <f>IF($B948="","",COUNTA($B$9:$B948))</f>
        <v/>
      </c>
      <c r="B948" s="12" t="n"/>
      <c r="C948" s="12" t="n"/>
      <c r="D948" s="12" t="n"/>
      <c r="E948" s="13" t="n"/>
      <c r="F948" s="11">
        <f>IF($E948="","",IFERROR(VLOOKUP($E948,OpTbl,2,0),""))</f>
        <v/>
      </c>
      <c r="G948" s="12" t="n"/>
      <c r="H948" s="11">
        <f>IF($G948="","",IFERROR(IF(VLOOKUP($G948,AcctTbl,4,0)="","(بدون نام)",VLOOKUP($G948,AcctTbl,4,0)),"کد ناشناخته"))</f>
        <v/>
      </c>
      <c r="I948" s="13" t="n"/>
      <c r="J948" s="13" t="n"/>
      <c r="K948" s="14" t="n"/>
      <c r="L948" s="14" t="n"/>
      <c r="M948" s="15">
        <f>IF(OR($B948="",$K948=""),"",($K948-IF($L948="",0,$L948)*IFERROR(VLOOKUP("P01",ParamTbl,3,0),1.5))*(1-IF(IFERROR(VLOOKUP($E948,OpTbl,3,0),"")="خرید",IFERROR(VLOOKUP("P02",ParamTbl,3,0),1),0)/100))</f>
        <v/>
      </c>
      <c r="N948" s="14" t="n"/>
      <c r="O948" s="13" t="n"/>
    </row>
    <row r="949">
      <c r="A949" s="11">
        <f>IF($B949="","",COUNTA($B$9:$B949))</f>
        <v/>
      </c>
      <c r="B949" s="12" t="n"/>
      <c r="C949" s="12" t="n"/>
      <c r="D949" s="12" t="n"/>
      <c r="E949" s="13" t="n"/>
      <c r="F949" s="11">
        <f>IF($E949="","",IFERROR(VLOOKUP($E949,OpTbl,2,0),""))</f>
        <v/>
      </c>
      <c r="G949" s="12" t="n"/>
      <c r="H949" s="11">
        <f>IF($G949="","",IFERROR(IF(VLOOKUP($G949,AcctTbl,4,0)="","(بدون نام)",VLOOKUP($G949,AcctTbl,4,0)),"کد ناشناخته"))</f>
        <v/>
      </c>
      <c r="I949" s="13" t="n"/>
      <c r="J949" s="13" t="n"/>
      <c r="K949" s="14" t="n"/>
      <c r="L949" s="14" t="n"/>
      <c r="M949" s="15">
        <f>IF(OR($B949="",$K949=""),"",($K949-IF($L949="",0,$L949)*IFERROR(VLOOKUP("P01",ParamTbl,3,0),1.5))*(1-IF(IFERROR(VLOOKUP($E949,OpTbl,3,0),"")="خرید",IFERROR(VLOOKUP("P02",ParamTbl,3,0),1),0)/100))</f>
        <v/>
      </c>
      <c r="N949" s="14" t="n"/>
      <c r="O949" s="13" t="n"/>
    </row>
    <row r="950">
      <c r="A950" s="11">
        <f>IF($B950="","",COUNTA($B$9:$B950))</f>
        <v/>
      </c>
      <c r="B950" s="12" t="n"/>
      <c r="C950" s="12" t="n"/>
      <c r="D950" s="12" t="n"/>
      <c r="E950" s="13" t="n"/>
      <c r="F950" s="11">
        <f>IF($E950="","",IFERROR(VLOOKUP($E950,OpTbl,2,0),""))</f>
        <v/>
      </c>
      <c r="G950" s="12" t="n"/>
      <c r="H950" s="11">
        <f>IF($G950="","",IFERROR(IF(VLOOKUP($G950,AcctTbl,4,0)="","(بدون نام)",VLOOKUP($G950,AcctTbl,4,0)),"کد ناشناخته"))</f>
        <v/>
      </c>
      <c r="I950" s="13" t="n"/>
      <c r="J950" s="13" t="n"/>
      <c r="K950" s="14" t="n"/>
      <c r="L950" s="14" t="n"/>
      <c r="M950" s="15">
        <f>IF(OR($B950="",$K950=""),"",($K950-IF($L950="",0,$L950)*IFERROR(VLOOKUP("P01",ParamTbl,3,0),1.5))*(1-IF(IFERROR(VLOOKUP($E950,OpTbl,3,0),"")="خرید",IFERROR(VLOOKUP("P02",ParamTbl,3,0),1),0)/100))</f>
        <v/>
      </c>
      <c r="N950" s="14" t="n"/>
      <c r="O950" s="13" t="n"/>
    </row>
    <row r="951">
      <c r="A951" s="11">
        <f>IF($B951="","",COUNTA($B$9:$B951))</f>
        <v/>
      </c>
      <c r="B951" s="12" t="n"/>
      <c r="C951" s="12" t="n"/>
      <c r="D951" s="12" t="n"/>
      <c r="E951" s="13" t="n"/>
      <c r="F951" s="11">
        <f>IF($E951="","",IFERROR(VLOOKUP($E951,OpTbl,2,0),""))</f>
        <v/>
      </c>
      <c r="G951" s="12" t="n"/>
      <c r="H951" s="11">
        <f>IF($G951="","",IFERROR(IF(VLOOKUP($G951,AcctTbl,4,0)="","(بدون نام)",VLOOKUP($G951,AcctTbl,4,0)),"کد ناشناخته"))</f>
        <v/>
      </c>
      <c r="I951" s="13" t="n"/>
      <c r="J951" s="13" t="n"/>
      <c r="K951" s="14" t="n"/>
      <c r="L951" s="14" t="n"/>
      <c r="M951" s="15">
        <f>IF(OR($B951="",$K951=""),"",($K951-IF($L951="",0,$L951)*IFERROR(VLOOKUP("P01",ParamTbl,3,0),1.5))*(1-IF(IFERROR(VLOOKUP($E951,OpTbl,3,0),"")="خرید",IFERROR(VLOOKUP("P02",ParamTbl,3,0),1),0)/100))</f>
        <v/>
      </c>
      <c r="N951" s="14" t="n"/>
      <c r="O951" s="13" t="n"/>
    </row>
    <row r="952">
      <c r="A952" s="11">
        <f>IF($B952="","",COUNTA($B$9:$B952))</f>
        <v/>
      </c>
      <c r="B952" s="12" t="n"/>
      <c r="C952" s="12" t="n"/>
      <c r="D952" s="12" t="n"/>
      <c r="E952" s="13" t="n"/>
      <c r="F952" s="11">
        <f>IF($E952="","",IFERROR(VLOOKUP($E952,OpTbl,2,0),""))</f>
        <v/>
      </c>
      <c r="G952" s="12" t="n"/>
      <c r="H952" s="11">
        <f>IF($G952="","",IFERROR(IF(VLOOKUP($G952,AcctTbl,4,0)="","(بدون نام)",VLOOKUP($G952,AcctTbl,4,0)),"کد ناشناخته"))</f>
        <v/>
      </c>
      <c r="I952" s="13" t="n"/>
      <c r="J952" s="13" t="n"/>
      <c r="K952" s="14" t="n"/>
      <c r="L952" s="14" t="n"/>
      <c r="M952" s="15">
        <f>IF(OR($B952="",$K952=""),"",($K952-IF($L952="",0,$L952)*IFERROR(VLOOKUP("P01",ParamTbl,3,0),1.5))*(1-IF(IFERROR(VLOOKUP($E952,OpTbl,3,0),"")="خرید",IFERROR(VLOOKUP("P02",ParamTbl,3,0),1),0)/100))</f>
        <v/>
      </c>
      <c r="N952" s="14" t="n"/>
      <c r="O952" s="13" t="n"/>
    </row>
    <row r="953">
      <c r="A953" s="11">
        <f>IF($B953="","",COUNTA($B$9:$B953))</f>
        <v/>
      </c>
      <c r="B953" s="12" t="n"/>
      <c r="C953" s="12" t="n"/>
      <c r="D953" s="12" t="n"/>
      <c r="E953" s="13" t="n"/>
      <c r="F953" s="11">
        <f>IF($E953="","",IFERROR(VLOOKUP($E953,OpTbl,2,0),""))</f>
        <v/>
      </c>
      <c r="G953" s="12" t="n"/>
      <c r="H953" s="11">
        <f>IF($G953="","",IFERROR(IF(VLOOKUP($G953,AcctTbl,4,0)="","(بدون نام)",VLOOKUP($G953,AcctTbl,4,0)),"کد ناشناخته"))</f>
        <v/>
      </c>
      <c r="I953" s="13" t="n"/>
      <c r="J953" s="13" t="n"/>
      <c r="K953" s="14" t="n"/>
      <c r="L953" s="14" t="n"/>
      <c r="M953" s="15">
        <f>IF(OR($B953="",$K953=""),"",($K953-IF($L953="",0,$L953)*IFERROR(VLOOKUP("P01",ParamTbl,3,0),1.5))*(1-IF(IFERROR(VLOOKUP($E953,OpTbl,3,0),"")="خرید",IFERROR(VLOOKUP("P02",ParamTbl,3,0),1),0)/100))</f>
        <v/>
      </c>
      <c r="N953" s="14" t="n"/>
      <c r="O953" s="13" t="n"/>
    </row>
    <row r="954">
      <c r="A954" s="11">
        <f>IF($B954="","",COUNTA($B$9:$B954))</f>
        <v/>
      </c>
      <c r="B954" s="12" t="n"/>
      <c r="C954" s="12" t="n"/>
      <c r="D954" s="12" t="n"/>
      <c r="E954" s="13" t="n"/>
      <c r="F954" s="11">
        <f>IF($E954="","",IFERROR(VLOOKUP($E954,OpTbl,2,0),""))</f>
        <v/>
      </c>
      <c r="G954" s="12" t="n"/>
      <c r="H954" s="11">
        <f>IF($G954="","",IFERROR(IF(VLOOKUP($G954,AcctTbl,4,0)="","(بدون نام)",VLOOKUP($G954,AcctTbl,4,0)),"کد ناشناخته"))</f>
        <v/>
      </c>
      <c r="I954" s="13" t="n"/>
      <c r="J954" s="13" t="n"/>
      <c r="K954" s="14" t="n"/>
      <c r="L954" s="14" t="n"/>
      <c r="M954" s="15">
        <f>IF(OR($B954="",$K954=""),"",($K954-IF($L954="",0,$L954)*IFERROR(VLOOKUP("P01",ParamTbl,3,0),1.5))*(1-IF(IFERROR(VLOOKUP($E954,OpTbl,3,0),"")="خرید",IFERROR(VLOOKUP("P02",ParamTbl,3,0),1),0)/100))</f>
        <v/>
      </c>
      <c r="N954" s="14" t="n"/>
      <c r="O954" s="13" t="n"/>
    </row>
    <row r="955">
      <c r="A955" s="11">
        <f>IF($B955="","",COUNTA($B$9:$B955))</f>
        <v/>
      </c>
      <c r="B955" s="12" t="n"/>
      <c r="C955" s="12" t="n"/>
      <c r="D955" s="12" t="n"/>
      <c r="E955" s="13" t="n"/>
      <c r="F955" s="11">
        <f>IF($E955="","",IFERROR(VLOOKUP($E955,OpTbl,2,0),""))</f>
        <v/>
      </c>
      <c r="G955" s="12" t="n"/>
      <c r="H955" s="11">
        <f>IF($G955="","",IFERROR(IF(VLOOKUP($G955,AcctTbl,4,0)="","(بدون نام)",VLOOKUP($G955,AcctTbl,4,0)),"کد ناشناخته"))</f>
        <v/>
      </c>
      <c r="I955" s="13" t="n"/>
      <c r="J955" s="13" t="n"/>
      <c r="K955" s="14" t="n"/>
      <c r="L955" s="14" t="n"/>
      <c r="M955" s="15">
        <f>IF(OR($B955="",$K955=""),"",($K955-IF($L955="",0,$L955)*IFERROR(VLOOKUP("P01",ParamTbl,3,0),1.5))*(1-IF(IFERROR(VLOOKUP($E955,OpTbl,3,0),"")="خرید",IFERROR(VLOOKUP("P02",ParamTbl,3,0),1),0)/100))</f>
        <v/>
      </c>
      <c r="N955" s="14" t="n"/>
      <c r="O955" s="13" t="n"/>
    </row>
    <row r="956">
      <c r="A956" s="11">
        <f>IF($B956="","",COUNTA($B$9:$B956))</f>
        <v/>
      </c>
      <c r="B956" s="12" t="n"/>
      <c r="C956" s="12" t="n"/>
      <c r="D956" s="12" t="n"/>
      <c r="E956" s="13" t="n"/>
      <c r="F956" s="11">
        <f>IF($E956="","",IFERROR(VLOOKUP($E956,OpTbl,2,0),""))</f>
        <v/>
      </c>
      <c r="G956" s="12" t="n"/>
      <c r="H956" s="11">
        <f>IF($G956="","",IFERROR(IF(VLOOKUP($G956,AcctTbl,4,0)="","(بدون نام)",VLOOKUP($G956,AcctTbl,4,0)),"کد ناشناخته"))</f>
        <v/>
      </c>
      <c r="I956" s="13" t="n"/>
      <c r="J956" s="13" t="n"/>
      <c r="K956" s="14" t="n"/>
      <c r="L956" s="14" t="n"/>
      <c r="M956" s="15">
        <f>IF(OR($B956="",$K956=""),"",($K956-IF($L956="",0,$L956)*IFERROR(VLOOKUP("P01",ParamTbl,3,0),1.5))*(1-IF(IFERROR(VLOOKUP($E956,OpTbl,3,0),"")="خرید",IFERROR(VLOOKUP("P02",ParamTbl,3,0),1),0)/100))</f>
        <v/>
      </c>
      <c r="N956" s="14" t="n"/>
      <c r="O956" s="13" t="n"/>
    </row>
    <row r="957">
      <c r="A957" s="11">
        <f>IF($B957="","",COUNTA($B$9:$B957))</f>
        <v/>
      </c>
      <c r="B957" s="12" t="n"/>
      <c r="C957" s="12" t="n"/>
      <c r="D957" s="12" t="n"/>
      <c r="E957" s="13" t="n"/>
      <c r="F957" s="11">
        <f>IF($E957="","",IFERROR(VLOOKUP($E957,OpTbl,2,0),""))</f>
        <v/>
      </c>
      <c r="G957" s="12" t="n"/>
      <c r="H957" s="11">
        <f>IF($G957="","",IFERROR(IF(VLOOKUP($G957,AcctTbl,4,0)="","(بدون نام)",VLOOKUP($G957,AcctTbl,4,0)),"کد ناشناخته"))</f>
        <v/>
      </c>
      <c r="I957" s="13" t="n"/>
      <c r="J957" s="13" t="n"/>
      <c r="K957" s="14" t="n"/>
      <c r="L957" s="14" t="n"/>
      <c r="M957" s="15">
        <f>IF(OR($B957="",$K957=""),"",($K957-IF($L957="",0,$L957)*IFERROR(VLOOKUP("P01",ParamTbl,3,0),1.5))*(1-IF(IFERROR(VLOOKUP($E957,OpTbl,3,0),"")="خرید",IFERROR(VLOOKUP("P02",ParamTbl,3,0),1),0)/100))</f>
        <v/>
      </c>
      <c r="N957" s="14" t="n"/>
      <c r="O957" s="13" t="n"/>
    </row>
    <row r="958">
      <c r="A958" s="11">
        <f>IF($B958="","",COUNTA($B$9:$B958))</f>
        <v/>
      </c>
      <c r="B958" s="12" t="n"/>
      <c r="C958" s="12" t="n"/>
      <c r="D958" s="12" t="n"/>
      <c r="E958" s="13" t="n"/>
      <c r="F958" s="11">
        <f>IF($E958="","",IFERROR(VLOOKUP($E958,OpTbl,2,0),""))</f>
        <v/>
      </c>
      <c r="G958" s="12" t="n"/>
      <c r="H958" s="11">
        <f>IF($G958="","",IFERROR(IF(VLOOKUP($G958,AcctTbl,4,0)="","(بدون نام)",VLOOKUP($G958,AcctTbl,4,0)),"کد ناشناخته"))</f>
        <v/>
      </c>
      <c r="I958" s="13" t="n"/>
      <c r="J958" s="13" t="n"/>
      <c r="K958" s="14" t="n"/>
      <c r="L958" s="14" t="n"/>
      <c r="M958" s="15">
        <f>IF(OR($B958="",$K958=""),"",($K958-IF($L958="",0,$L958)*IFERROR(VLOOKUP("P01",ParamTbl,3,0),1.5))*(1-IF(IFERROR(VLOOKUP($E958,OpTbl,3,0),"")="خرید",IFERROR(VLOOKUP("P02",ParamTbl,3,0),1),0)/100))</f>
        <v/>
      </c>
      <c r="N958" s="14" t="n"/>
      <c r="O958" s="13" t="n"/>
    </row>
    <row r="959">
      <c r="A959" s="11">
        <f>IF($B959="","",COUNTA($B$9:$B959))</f>
        <v/>
      </c>
      <c r="B959" s="12" t="n"/>
      <c r="C959" s="12" t="n"/>
      <c r="D959" s="12" t="n"/>
      <c r="E959" s="13" t="n"/>
      <c r="F959" s="11">
        <f>IF($E959="","",IFERROR(VLOOKUP($E959,OpTbl,2,0),""))</f>
        <v/>
      </c>
      <c r="G959" s="12" t="n"/>
      <c r="H959" s="11">
        <f>IF($G959="","",IFERROR(IF(VLOOKUP($G959,AcctTbl,4,0)="","(بدون نام)",VLOOKUP($G959,AcctTbl,4,0)),"کد ناشناخته"))</f>
        <v/>
      </c>
      <c r="I959" s="13" t="n"/>
      <c r="J959" s="13" t="n"/>
      <c r="K959" s="14" t="n"/>
      <c r="L959" s="14" t="n"/>
      <c r="M959" s="15">
        <f>IF(OR($B959="",$K959=""),"",($K959-IF($L959="",0,$L959)*IFERROR(VLOOKUP("P01",ParamTbl,3,0),1.5))*(1-IF(IFERROR(VLOOKUP($E959,OpTbl,3,0),"")="خرید",IFERROR(VLOOKUP("P02",ParamTbl,3,0),1),0)/100))</f>
        <v/>
      </c>
      <c r="N959" s="14" t="n"/>
      <c r="O959" s="13" t="n"/>
    </row>
    <row r="960">
      <c r="A960" s="11">
        <f>IF($B960="","",COUNTA($B$9:$B960))</f>
        <v/>
      </c>
      <c r="B960" s="12" t="n"/>
      <c r="C960" s="12" t="n"/>
      <c r="D960" s="12" t="n"/>
      <c r="E960" s="13" t="n"/>
      <c r="F960" s="11">
        <f>IF($E960="","",IFERROR(VLOOKUP($E960,OpTbl,2,0),""))</f>
        <v/>
      </c>
      <c r="G960" s="12" t="n"/>
      <c r="H960" s="11">
        <f>IF($G960="","",IFERROR(IF(VLOOKUP($G960,AcctTbl,4,0)="","(بدون نام)",VLOOKUP($G960,AcctTbl,4,0)),"کد ناشناخته"))</f>
        <v/>
      </c>
      <c r="I960" s="13" t="n"/>
      <c r="J960" s="13" t="n"/>
      <c r="K960" s="14" t="n"/>
      <c r="L960" s="14" t="n"/>
      <c r="M960" s="15">
        <f>IF(OR($B960="",$K960=""),"",($K960-IF($L960="",0,$L960)*IFERROR(VLOOKUP("P01",ParamTbl,3,0),1.5))*(1-IF(IFERROR(VLOOKUP($E960,OpTbl,3,0),"")="خرید",IFERROR(VLOOKUP("P02",ParamTbl,3,0),1),0)/100))</f>
        <v/>
      </c>
      <c r="N960" s="14" t="n"/>
      <c r="O960" s="13" t="n"/>
    </row>
    <row r="961">
      <c r="A961" s="11">
        <f>IF($B961="","",COUNTA($B$9:$B961))</f>
        <v/>
      </c>
      <c r="B961" s="12" t="n"/>
      <c r="C961" s="12" t="n"/>
      <c r="D961" s="12" t="n"/>
      <c r="E961" s="13" t="n"/>
      <c r="F961" s="11">
        <f>IF($E961="","",IFERROR(VLOOKUP($E961,OpTbl,2,0),""))</f>
        <v/>
      </c>
      <c r="G961" s="12" t="n"/>
      <c r="H961" s="11">
        <f>IF($G961="","",IFERROR(IF(VLOOKUP($G961,AcctTbl,4,0)="","(بدون نام)",VLOOKUP($G961,AcctTbl,4,0)),"کد ناشناخته"))</f>
        <v/>
      </c>
      <c r="I961" s="13" t="n"/>
      <c r="J961" s="13" t="n"/>
      <c r="K961" s="14" t="n"/>
      <c r="L961" s="14" t="n"/>
      <c r="M961" s="15">
        <f>IF(OR($B961="",$K961=""),"",($K961-IF($L961="",0,$L961)*IFERROR(VLOOKUP("P01",ParamTbl,3,0),1.5))*(1-IF(IFERROR(VLOOKUP($E961,OpTbl,3,0),"")="خرید",IFERROR(VLOOKUP("P02",ParamTbl,3,0),1),0)/100))</f>
        <v/>
      </c>
      <c r="N961" s="14" t="n"/>
      <c r="O961" s="13" t="n"/>
    </row>
    <row r="962">
      <c r="A962" s="11">
        <f>IF($B962="","",COUNTA($B$9:$B962))</f>
        <v/>
      </c>
      <c r="B962" s="12" t="n"/>
      <c r="C962" s="12" t="n"/>
      <c r="D962" s="12" t="n"/>
      <c r="E962" s="13" t="n"/>
      <c r="F962" s="11">
        <f>IF($E962="","",IFERROR(VLOOKUP($E962,OpTbl,2,0),""))</f>
        <v/>
      </c>
      <c r="G962" s="12" t="n"/>
      <c r="H962" s="11">
        <f>IF($G962="","",IFERROR(IF(VLOOKUP($G962,AcctTbl,4,0)="","(بدون نام)",VLOOKUP($G962,AcctTbl,4,0)),"کد ناشناخته"))</f>
        <v/>
      </c>
      <c r="I962" s="13" t="n"/>
      <c r="J962" s="13" t="n"/>
      <c r="K962" s="14" t="n"/>
      <c r="L962" s="14" t="n"/>
      <c r="M962" s="15">
        <f>IF(OR($B962="",$K962=""),"",($K962-IF($L962="",0,$L962)*IFERROR(VLOOKUP("P01",ParamTbl,3,0),1.5))*(1-IF(IFERROR(VLOOKUP($E962,OpTbl,3,0),"")="خرید",IFERROR(VLOOKUP("P02",ParamTbl,3,0),1),0)/100))</f>
        <v/>
      </c>
      <c r="N962" s="14" t="n"/>
      <c r="O962" s="13" t="n"/>
    </row>
    <row r="963">
      <c r="A963" s="11">
        <f>IF($B963="","",COUNTA($B$9:$B963))</f>
        <v/>
      </c>
      <c r="B963" s="12" t="n"/>
      <c r="C963" s="12" t="n"/>
      <c r="D963" s="12" t="n"/>
      <c r="E963" s="13" t="n"/>
      <c r="F963" s="11">
        <f>IF($E963="","",IFERROR(VLOOKUP($E963,OpTbl,2,0),""))</f>
        <v/>
      </c>
      <c r="G963" s="12" t="n"/>
      <c r="H963" s="11">
        <f>IF($G963="","",IFERROR(IF(VLOOKUP($G963,AcctTbl,4,0)="","(بدون نام)",VLOOKUP($G963,AcctTbl,4,0)),"کد ناشناخته"))</f>
        <v/>
      </c>
      <c r="I963" s="13" t="n"/>
      <c r="J963" s="13" t="n"/>
      <c r="K963" s="14" t="n"/>
      <c r="L963" s="14" t="n"/>
      <c r="M963" s="15">
        <f>IF(OR($B963="",$K963=""),"",($K963-IF($L963="",0,$L963)*IFERROR(VLOOKUP("P01",ParamTbl,3,0),1.5))*(1-IF(IFERROR(VLOOKUP($E963,OpTbl,3,0),"")="خرید",IFERROR(VLOOKUP("P02",ParamTbl,3,0),1),0)/100))</f>
        <v/>
      </c>
      <c r="N963" s="14" t="n"/>
      <c r="O963" s="13" t="n"/>
    </row>
    <row r="964">
      <c r="A964" s="11">
        <f>IF($B964="","",COUNTA($B$9:$B964))</f>
        <v/>
      </c>
      <c r="B964" s="12" t="n"/>
      <c r="C964" s="12" t="n"/>
      <c r="D964" s="12" t="n"/>
      <c r="E964" s="13" t="n"/>
      <c r="F964" s="11">
        <f>IF($E964="","",IFERROR(VLOOKUP($E964,OpTbl,2,0),""))</f>
        <v/>
      </c>
      <c r="G964" s="12" t="n"/>
      <c r="H964" s="11">
        <f>IF($G964="","",IFERROR(IF(VLOOKUP($G964,AcctTbl,4,0)="","(بدون نام)",VLOOKUP($G964,AcctTbl,4,0)),"کد ناشناخته"))</f>
        <v/>
      </c>
      <c r="I964" s="13" t="n"/>
      <c r="J964" s="13" t="n"/>
      <c r="K964" s="14" t="n"/>
      <c r="L964" s="14" t="n"/>
      <c r="M964" s="15">
        <f>IF(OR($B964="",$K964=""),"",($K964-IF($L964="",0,$L964)*IFERROR(VLOOKUP("P01",ParamTbl,3,0),1.5))*(1-IF(IFERROR(VLOOKUP($E964,OpTbl,3,0),"")="خرید",IFERROR(VLOOKUP("P02",ParamTbl,3,0),1),0)/100))</f>
        <v/>
      </c>
      <c r="N964" s="14" t="n"/>
      <c r="O964" s="13" t="n"/>
    </row>
    <row r="965">
      <c r="A965" s="11">
        <f>IF($B965="","",COUNTA($B$9:$B965))</f>
        <v/>
      </c>
      <c r="B965" s="12" t="n"/>
      <c r="C965" s="12" t="n"/>
      <c r="D965" s="12" t="n"/>
      <c r="E965" s="13" t="n"/>
      <c r="F965" s="11">
        <f>IF($E965="","",IFERROR(VLOOKUP($E965,OpTbl,2,0),""))</f>
        <v/>
      </c>
      <c r="G965" s="12" t="n"/>
      <c r="H965" s="11">
        <f>IF($G965="","",IFERROR(IF(VLOOKUP($G965,AcctTbl,4,0)="","(بدون نام)",VLOOKUP($G965,AcctTbl,4,0)),"کد ناشناخته"))</f>
        <v/>
      </c>
      <c r="I965" s="13" t="n"/>
      <c r="J965" s="13" t="n"/>
      <c r="K965" s="14" t="n"/>
      <c r="L965" s="14" t="n"/>
      <c r="M965" s="15">
        <f>IF(OR($B965="",$K965=""),"",($K965-IF($L965="",0,$L965)*IFERROR(VLOOKUP("P01",ParamTbl,3,0),1.5))*(1-IF(IFERROR(VLOOKUP($E965,OpTbl,3,0),"")="خرید",IFERROR(VLOOKUP("P02",ParamTbl,3,0),1),0)/100))</f>
        <v/>
      </c>
      <c r="N965" s="14" t="n"/>
      <c r="O965" s="13" t="n"/>
    </row>
    <row r="966">
      <c r="A966" s="11">
        <f>IF($B966="","",COUNTA($B$9:$B966))</f>
        <v/>
      </c>
      <c r="B966" s="12" t="n"/>
      <c r="C966" s="12" t="n"/>
      <c r="D966" s="12" t="n"/>
      <c r="E966" s="13" t="n"/>
      <c r="F966" s="11">
        <f>IF($E966="","",IFERROR(VLOOKUP($E966,OpTbl,2,0),""))</f>
        <v/>
      </c>
      <c r="G966" s="12" t="n"/>
      <c r="H966" s="11">
        <f>IF($G966="","",IFERROR(IF(VLOOKUP($G966,AcctTbl,4,0)="","(بدون نام)",VLOOKUP($G966,AcctTbl,4,0)),"کد ناشناخته"))</f>
        <v/>
      </c>
      <c r="I966" s="13" t="n"/>
      <c r="J966" s="13" t="n"/>
      <c r="K966" s="14" t="n"/>
      <c r="L966" s="14" t="n"/>
      <c r="M966" s="15">
        <f>IF(OR($B966="",$K966=""),"",($K966-IF($L966="",0,$L966)*IFERROR(VLOOKUP("P01",ParamTbl,3,0),1.5))*(1-IF(IFERROR(VLOOKUP($E966,OpTbl,3,0),"")="خرید",IFERROR(VLOOKUP("P02",ParamTbl,3,0),1),0)/100))</f>
        <v/>
      </c>
      <c r="N966" s="14" t="n"/>
      <c r="O966" s="13" t="n"/>
    </row>
    <row r="967">
      <c r="A967" s="11">
        <f>IF($B967="","",COUNTA($B$9:$B967))</f>
        <v/>
      </c>
      <c r="B967" s="12" t="n"/>
      <c r="C967" s="12" t="n"/>
      <c r="D967" s="12" t="n"/>
      <c r="E967" s="13" t="n"/>
      <c r="F967" s="11">
        <f>IF($E967="","",IFERROR(VLOOKUP($E967,OpTbl,2,0),""))</f>
        <v/>
      </c>
      <c r="G967" s="12" t="n"/>
      <c r="H967" s="11">
        <f>IF($G967="","",IFERROR(IF(VLOOKUP($G967,AcctTbl,4,0)="","(بدون نام)",VLOOKUP($G967,AcctTbl,4,0)),"کد ناشناخته"))</f>
        <v/>
      </c>
      <c r="I967" s="13" t="n"/>
      <c r="J967" s="13" t="n"/>
      <c r="K967" s="14" t="n"/>
      <c r="L967" s="14" t="n"/>
      <c r="M967" s="15">
        <f>IF(OR($B967="",$K967=""),"",($K967-IF($L967="",0,$L967)*IFERROR(VLOOKUP("P01",ParamTbl,3,0),1.5))*(1-IF(IFERROR(VLOOKUP($E967,OpTbl,3,0),"")="خرید",IFERROR(VLOOKUP("P02",ParamTbl,3,0),1),0)/100))</f>
        <v/>
      </c>
      <c r="N967" s="14" t="n"/>
      <c r="O967" s="13" t="n"/>
    </row>
    <row r="968">
      <c r="A968" s="11">
        <f>IF($B968="","",COUNTA($B$9:$B968))</f>
        <v/>
      </c>
      <c r="B968" s="12" t="n"/>
      <c r="C968" s="12" t="n"/>
      <c r="D968" s="12" t="n"/>
      <c r="E968" s="13" t="n"/>
      <c r="F968" s="11">
        <f>IF($E968="","",IFERROR(VLOOKUP($E968,OpTbl,2,0),""))</f>
        <v/>
      </c>
      <c r="G968" s="12" t="n"/>
      <c r="H968" s="11">
        <f>IF($G968="","",IFERROR(IF(VLOOKUP($G968,AcctTbl,4,0)="","(بدون نام)",VLOOKUP($G968,AcctTbl,4,0)),"کد ناشناخته"))</f>
        <v/>
      </c>
      <c r="I968" s="13" t="n"/>
      <c r="J968" s="13" t="n"/>
      <c r="K968" s="14" t="n"/>
      <c r="L968" s="14" t="n"/>
      <c r="M968" s="15">
        <f>IF(OR($B968="",$K968=""),"",($K968-IF($L968="",0,$L968)*IFERROR(VLOOKUP("P01",ParamTbl,3,0),1.5))*(1-IF(IFERROR(VLOOKUP($E968,OpTbl,3,0),"")="خرید",IFERROR(VLOOKUP("P02",ParamTbl,3,0),1),0)/100))</f>
        <v/>
      </c>
      <c r="N968" s="14" t="n"/>
      <c r="O968" s="13" t="n"/>
    </row>
    <row r="969">
      <c r="A969" s="11">
        <f>IF($B969="","",COUNTA($B$9:$B969))</f>
        <v/>
      </c>
      <c r="B969" s="12" t="n"/>
      <c r="C969" s="12" t="n"/>
      <c r="D969" s="12" t="n"/>
      <c r="E969" s="13" t="n"/>
      <c r="F969" s="11">
        <f>IF($E969="","",IFERROR(VLOOKUP($E969,OpTbl,2,0),""))</f>
        <v/>
      </c>
      <c r="G969" s="12" t="n"/>
      <c r="H969" s="11">
        <f>IF($G969="","",IFERROR(IF(VLOOKUP($G969,AcctTbl,4,0)="","(بدون نام)",VLOOKUP($G969,AcctTbl,4,0)),"کد ناشناخته"))</f>
        <v/>
      </c>
      <c r="I969" s="13" t="n"/>
      <c r="J969" s="13" t="n"/>
      <c r="K969" s="14" t="n"/>
      <c r="L969" s="14" t="n"/>
      <c r="M969" s="15">
        <f>IF(OR($B969="",$K969=""),"",($K969-IF($L969="",0,$L969)*IFERROR(VLOOKUP("P01",ParamTbl,3,0),1.5))*(1-IF(IFERROR(VLOOKUP($E969,OpTbl,3,0),"")="خرید",IFERROR(VLOOKUP("P02",ParamTbl,3,0),1),0)/100))</f>
        <v/>
      </c>
      <c r="N969" s="14" t="n"/>
      <c r="O969" s="13" t="n"/>
    </row>
    <row r="970">
      <c r="A970" s="11">
        <f>IF($B970="","",COUNTA($B$9:$B970))</f>
        <v/>
      </c>
      <c r="B970" s="12" t="n"/>
      <c r="C970" s="12" t="n"/>
      <c r="D970" s="12" t="n"/>
      <c r="E970" s="13" t="n"/>
      <c r="F970" s="11">
        <f>IF($E970="","",IFERROR(VLOOKUP($E970,OpTbl,2,0),""))</f>
        <v/>
      </c>
      <c r="G970" s="12" t="n"/>
      <c r="H970" s="11">
        <f>IF($G970="","",IFERROR(IF(VLOOKUP($G970,AcctTbl,4,0)="","(بدون نام)",VLOOKUP($G970,AcctTbl,4,0)),"کد ناشناخته"))</f>
        <v/>
      </c>
      <c r="I970" s="13" t="n"/>
      <c r="J970" s="13" t="n"/>
      <c r="K970" s="14" t="n"/>
      <c r="L970" s="14" t="n"/>
      <c r="M970" s="15">
        <f>IF(OR($B970="",$K970=""),"",($K970-IF($L970="",0,$L970)*IFERROR(VLOOKUP("P01",ParamTbl,3,0),1.5))*(1-IF(IFERROR(VLOOKUP($E970,OpTbl,3,0),"")="خرید",IFERROR(VLOOKUP("P02",ParamTbl,3,0),1),0)/100))</f>
        <v/>
      </c>
      <c r="N970" s="14" t="n"/>
      <c r="O970" s="13" t="n"/>
    </row>
    <row r="971">
      <c r="A971" s="11">
        <f>IF($B971="","",COUNTA($B$9:$B971))</f>
        <v/>
      </c>
      <c r="B971" s="12" t="n"/>
      <c r="C971" s="12" t="n"/>
      <c r="D971" s="12" t="n"/>
      <c r="E971" s="13" t="n"/>
      <c r="F971" s="11">
        <f>IF($E971="","",IFERROR(VLOOKUP($E971,OpTbl,2,0),""))</f>
        <v/>
      </c>
      <c r="G971" s="12" t="n"/>
      <c r="H971" s="11">
        <f>IF($G971="","",IFERROR(IF(VLOOKUP($G971,AcctTbl,4,0)="","(بدون نام)",VLOOKUP($G971,AcctTbl,4,0)),"کد ناشناخته"))</f>
        <v/>
      </c>
      <c r="I971" s="13" t="n"/>
      <c r="J971" s="13" t="n"/>
      <c r="K971" s="14" t="n"/>
      <c r="L971" s="14" t="n"/>
      <c r="M971" s="15">
        <f>IF(OR($B971="",$K971=""),"",($K971-IF($L971="",0,$L971)*IFERROR(VLOOKUP("P01",ParamTbl,3,0),1.5))*(1-IF(IFERROR(VLOOKUP($E971,OpTbl,3,0),"")="خرید",IFERROR(VLOOKUP("P02",ParamTbl,3,0),1),0)/100))</f>
        <v/>
      </c>
      <c r="N971" s="14" t="n"/>
      <c r="O971" s="13" t="n"/>
    </row>
    <row r="972">
      <c r="A972" s="11">
        <f>IF($B972="","",COUNTA($B$9:$B972))</f>
        <v/>
      </c>
      <c r="B972" s="12" t="n"/>
      <c r="C972" s="12" t="n"/>
      <c r="D972" s="12" t="n"/>
      <c r="E972" s="13" t="n"/>
      <c r="F972" s="11">
        <f>IF($E972="","",IFERROR(VLOOKUP($E972,OpTbl,2,0),""))</f>
        <v/>
      </c>
      <c r="G972" s="12" t="n"/>
      <c r="H972" s="11">
        <f>IF($G972="","",IFERROR(IF(VLOOKUP($G972,AcctTbl,4,0)="","(بدون نام)",VLOOKUP($G972,AcctTbl,4,0)),"کد ناشناخته"))</f>
        <v/>
      </c>
      <c r="I972" s="13" t="n"/>
      <c r="J972" s="13" t="n"/>
      <c r="K972" s="14" t="n"/>
      <c r="L972" s="14" t="n"/>
      <c r="M972" s="15">
        <f>IF(OR($B972="",$K972=""),"",($K972-IF($L972="",0,$L972)*IFERROR(VLOOKUP("P01",ParamTbl,3,0),1.5))*(1-IF(IFERROR(VLOOKUP($E972,OpTbl,3,0),"")="خرید",IFERROR(VLOOKUP("P02",ParamTbl,3,0),1),0)/100))</f>
        <v/>
      </c>
      <c r="N972" s="14" t="n"/>
      <c r="O972" s="13" t="n"/>
    </row>
    <row r="973">
      <c r="A973" s="11">
        <f>IF($B973="","",COUNTA($B$9:$B973))</f>
        <v/>
      </c>
      <c r="B973" s="12" t="n"/>
      <c r="C973" s="12" t="n"/>
      <c r="D973" s="12" t="n"/>
      <c r="E973" s="13" t="n"/>
      <c r="F973" s="11">
        <f>IF($E973="","",IFERROR(VLOOKUP($E973,OpTbl,2,0),""))</f>
        <v/>
      </c>
      <c r="G973" s="12" t="n"/>
      <c r="H973" s="11">
        <f>IF($G973="","",IFERROR(IF(VLOOKUP($G973,AcctTbl,4,0)="","(بدون نام)",VLOOKUP($G973,AcctTbl,4,0)),"کد ناشناخته"))</f>
        <v/>
      </c>
      <c r="I973" s="13" t="n"/>
      <c r="J973" s="13" t="n"/>
      <c r="K973" s="14" t="n"/>
      <c r="L973" s="14" t="n"/>
      <c r="M973" s="15">
        <f>IF(OR($B973="",$K973=""),"",($K973-IF($L973="",0,$L973)*IFERROR(VLOOKUP("P01",ParamTbl,3,0),1.5))*(1-IF(IFERROR(VLOOKUP($E973,OpTbl,3,0),"")="خرید",IFERROR(VLOOKUP("P02",ParamTbl,3,0),1),0)/100))</f>
        <v/>
      </c>
      <c r="N973" s="14" t="n"/>
      <c r="O973" s="13" t="n"/>
    </row>
    <row r="974">
      <c r="A974" s="11">
        <f>IF($B974="","",COUNTA($B$9:$B974))</f>
        <v/>
      </c>
      <c r="B974" s="12" t="n"/>
      <c r="C974" s="12" t="n"/>
      <c r="D974" s="12" t="n"/>
      <c r="E974" s="13" t="n"/>
      <c r="F974" s="11">
        <f>IF($E974="","",IFERROR(VLOOKUP($E974,OpTbl,2,0),""))</f>
        <v/>
      </c>
      <c r="G974" s="12" t="n"/>
      <c r="H974" s="11">
        <f>IF($G974="","",IFERROR(IF(VLOOKUP($G974,AcctTbl,4,0)="","(بدون نام)",VLOOKUP($G974,AcctTbl,4,0)),"کد ناشناخته"))</f>
        <v/>
      </c>
      <c r="I974" s="13" t="n"/>
      <c r="J974" s="13" t="n"/>
      <c r="K974" s="14" t="n"/>
      <c r="L974" s="14" t="n"/>
      <c r="M974" s="15">
        <f>IF(OR($B974="",$K974=""),"",($K974-IF($L974="",0,$L974)*IFERROR(VLOOKUP("P01",ParamTbl,3,0),1.5))*(1-IF(IFERROR(VLOOKUP($E974,OpTbl,3,0),"")="خرید",IFERROR(VLOOKUP("P02",ParamTbl,3,0),1),0)/100))</f>
        <v/>
      </c>
      <c r="N974" s="14" t="n"/>
      <c r="O974" s="13" t="n"/>
    </row>
    <row r="975">
      <c r="A975" s="11">
        <f>IF($B975="","",COUNTA($B$9:$B975))</f>
        <v/>
      </c>
      <c r="B975" s="12" t="n"/>
      <c r="C975" s="12" t="n"/>
      <c r="D975" s="12" t="n"/>
      <c r="E975" s="13" t="n"/>
      <c r="F975" s="11">
        <f>IF($E975="","",IFERROR(VLOOKUP($E975,OpTbl,2,0),""))</f>
        <v/>
      </c>
      <c r="G975" s="12" t="n"/>
      <c r="H975" s="11">
        <f>IF($G975="","",IFERROR(IF(VLOOKUP($G975,AcctTbl,4,0)="","(بدون نام)",VLOOKUP($G975,AcctTbl,4,0)),"کد ناشناخته"))</f>
        <v/>
      </c>
      <c r="I975" s="13" t="n"/>
      <c r="J975" s="13" t="n"/>
      <c r="K975" s="14" t="n"/>
      <c r="L975" s="14" t="n"/>
      <c r="M975" s="15">
        <f>IF(OR($B975="",$K975=""),"",($K975-IF($L975="",0,$L975)*IFERROR(VLOOKUP("P01",ParamTbl,3,0),1.5))*(1-IF(IFERROR(VLOOKUP($E975,OpTbl,3,0),"")="خرید",IFERROR(VLOOKUP("P02",ParamTbl,3,0),1),0)/100))</f>
        <v/>
      </c>
      <c r="N975" s="14" t="n"/>
      <c r="O975" s="13" t="n"/>
    </row>
    <row r="976">
      <c r="A976" s="11">
        <f>IF($B976="","",COUNTA($B$9:$B976))</f>
        <v/>
      </c>
      <c r="B976" s="12" t="n"/>
      <c r="C976" s="12" t="n"/>
      <c r="D976" s="12" t="n"/>
      <c r="E976" s="13" t="n"/>
      <c r="F976" s="11">
        <f>IF($E976="","",IFERROR(VLOOKUP($E976,OpTbl,2,0),""))</f>
        <v/>
      </c>
      <c r="G976" s="12" t="n"/>
      <c r="H976" s="11">
        <f>IF($G976="","",IFERROR(IF(VLOOKUP($G976,AcctTbl,4,0)="","(بدون نام)",VLOOKUP($G976,AcctTbl,4,0)),"کد ناشناخته"))</f>
        <v/>
      </c>
      <c r="I976" s="13" t="n"/>
      <c r="J976" s="13" t="n"/>
      <c r="K976" s="14" t="n"/>
      <c r="L976" s="14" t="n"/>
      <c r="M976" s="15">
        <f>IF(OR($B976="",$K976=""),"",($K976-IF($L976="",0,$L976)*IFERROR(VLOOKUP("P01",ParamTbl,3,0),1.5))*(1-IF(IFERROR(VLOOKUP($E976,OpTbl,3,0),"")="خرید",IFERROR(VLOOKUP("P02",ParamTbl,3,0),1),0)/100))</f>
        <v/>
      </c>
      <c r="N976" s="14" t="n"/>
      <c r="O976" s="13" t="n"/>
    </row>
    <row r="977">
      <c r="A977" s="11">
        <f>IF($B977="","",COUNTA($B$9:$B977))</f>
        <v/>
      </c>
      <c r="B977" s="12" t="n"/>
      <c r="C977" s="12" t="n"/>
      <c r="D977" s="12" t="n"/>
      <c r="E977" s="13" t="n"/>
      <c r="F977" s="11">
        <f>IF($E977="","",IFERROR(VLOOKUP($E977,OpTbl,2,0),""))</f>
        <v/>
      </c>
      <c r="G977" s="12" t="n"/>
      <c r="H977" s="11">
        <f>IF($G977="","",IFERROR(IF(VLOOKUP($G977,AcctTbl,4,0)="","(بدون نام)",VLOOKUP($G977,AcctTbl,4,0)),"کد ناشناخته"))</f>
        <v/>
      </c>
      <c r="I977" s="13" t="n"/>
      <c r="J977" s="13" t="n"/>
      <c r="K977" s="14" t="n"/>
      <c r="L977" s="14" t="n"/>
      <c r="M977" s="15">
        <f>IF(OR($B977="",$K977=""),"",($K977-IF($L977="",0,$L977)*IFERROR(VLOOKUP("P01",ParamTbl,3,0),1.5))*(1-IF(IFERROR(VLOOKUP($E977,OpTbl,3,0),"")="خرید",IFERROR(VLOOKUP("P02",ParamTbl,3,0),1),0)/100))</f>
        <v/>
      </c>
      <c r="N977" s="14" t="n"/>
      <c r="O977" s="13" t="n"/>
    </row>
    <row r="978">
      <c r="A978" s="11">
        <f>IF($B978="","",COUNTA($B$9:$B978))</f>
        <v/>
      </c>
      <c r="B978" s="12" t="n"/>
      <c r="C978" s="12" t="n"/>
      <c r="D978" s="12" t="n"/>
      <c r="E978" s="13" t="n"/>
      <c r="F978" s="11">
        <f>IF($E978="","",IFERROR(VLOOKUP($E978,OpTbl,2,0),""))</f>
        <v/>
      </c>
      <c r="G978" s="12" t="n"/>
      <c r="H978" s="11">
        <f>IF($G978="","",IFERROR(IF(VLOOKUP($G978,AcctTbl,4,0)="","(بدون نام)",VLOOKUP($G978,AcctTbl,4,0)),"کد ناشناخته"))</f>
        <v/>
      </c>
      <c r="I978" s="13" t="n"/>
      <c r="J978" s="13" t="n"/>
      <c r="K978" s="14" t="n"/>
      <c r="L978" s="14" t="n"/>
      <c r="M978" s="15">
        <f>IF(OR($B978="",$K978=""),"",($K978-IF($L978="",0,$L978)*IFERROR(VLOOKUP("P01",ParamTbl,3,0),1.5))*(1-IF(IFERROR(VLOOKUP($E978,OpTbl,3,0),"")="خرید",IFERROR(VLOOKUP("P02",ParamTbl,3,0),1),0)/100))</f>
        <v/>
      </c>
      <c r="N978" s="14" t="n"/>
      <c r="O978" s="13" t="n"/>
    </row>
    <row r="979">
      <c r="A979" s="11">
        <f>IF($B979="","",COUNTA($B$9:$B979))</f>
        <v/>
      </c>
      <c r="B979" s="12" t="n"/>
      <c r="C979" s="12" t="n"/>
      <c r="D979" s="12" t="n"/>
      <c r="E979" s="13" t="n"/>
      <c r="F979" s="11">
        <f>IF($E979="","",IFERROR(VLOOKUP($E979,OpTbl,2,0),""))</f>
        <v/>
      </c>
      <c r="G979" s="12" t="n"/>
      <c r="H979" s="11">
        <f>IF($G979="","",IFERROR(IF(VLOOKUP($G979,AcctTbl,4,0)="","(بدون نام)",VLOOKUP($G979,AcctTbl,4,0)),"کد ناشناخته"))</f>
        <v/>
      </c>
      <c r="I979" s="13" t="n"/>
      <c r="J979" s="13" t="n"/>
      <c r="K979" s="14" t="n"/>
      <c r="L979" s="14" t="n"/>
      <c r="M979" s="15">
        <f>IF(OR($B979="",$K979=""),"",($K979-IF($L979="",0,$L979)*IFERROR(VLOOKUP("P01",ParamTbl,3,0),1.5))*(1-IF(IFERROR(VLOOKUP($E979,OpTbl,3,0),"")="خرید",IFERROR(VLOOKUP("P02",ParamTbl,3,0),1),0)/100))</f>
        <v/>
      </c>
      <c r="N979" s="14" t="n"/>
      <c r="O979" s="13" t="n"/>
    </row>
    <row r="980">
      <c r="A980" s="11">
        <f>IF($B980="","",COUNTA($B$9:$B980))</f>
        <v/>
      </c>
      <c r="B980" s="12" t="n"/>
      <c r="C980" s="12" t="n"/>
      <c r="D980" s="12" t="n"/>
      <c r="E980" s="13" t="n"/>
      <c r="F980" s="11">
        <f>IF($E980="","",IFERROR(VLOOKUP($E980,OpTbl,2,0),""))</f>
        <v/>
      </c>
      <c r="G980" s="12" t="n"/>
      <c r="H980" s="11">
        <f>IF($G980="","",IFERROR(IF(VLOOKUP($G980,AcctTbl,4,0)="","(بدون نام)",VLOOKUP($G980,AcctTbl,4,0)),"کد ناشناخته"))</f>
        <v/>
      </c>
      <c r="I980" s="13" t="n"/>
      <c r="J980" s="13" t="n"/>
      <c r="K980" s="14" t="n"/>
      <c r="L980" s="14" t="n"/>
      <c r="M980" s="15">
        <f>IF(OR($B980="",$K980=""),"",($K980-IF($L980="",0,$L980)*IFERROR(VLOOKUP("P01",ParamTbl,3,0),1.5))*(1-IF(IFERROR(VLOOKUP($E980,OpTbl,3,0),"")="خرید",IFERROR(VLOOKUP("P02",ParamTbl,3,0),1),0)/100))</f>
        <v/>
      </c>
      <c r="N980" s="14" t="n"/>
      <c r="O980" s="13" t="n"/>
    </row>
    <row r="981">
      <c r="A981" s="11">
        <f>IF($B981="","",COUNTA($B$9:$B981))</f>
        <v/>
      </c>
      <c r="B981" s="12" t="n"/>
      <c r="C981" s="12" t="n"/>
      <c r="D981" s="12" t="n"/>
      <c r="E981" s="13" t="n"/>
      <c r="F981" s="11">
        <f>IF($E981="","",IFERROR(VLOOKUP($E981,OpTbl,2,0),""))</f>
        <v/>
      </c>
      <c r="G981" s="12" t="n"/>
      <c r="H981" s="11">
        <f>IF($G981="","",IFERROR(IF(VLOOKUP($G981,AcctTbl,4,0)="","(بدون نام)",VLOOKUP($G981,AcctTbl,4,0)),"کد ناشناخته"))</f>
        <v/>
      </c>
      <c r="I981" s="13" t="n"/>
      <c r="J981" s="13" t="n"/>
      <c r="K981" s="14" t="n"/>
      <c r="L981" s="14" t="n"/>
      <c r="M981" s="15">
        <f>IF(OR($B981="",$K981=""),"",($K981-IF($L981="",0,$L981)*IFERROR(VLOOKUP("P01",ParamTbl,3,0),1.5))*(1-IF(IFERROR(VLOOKUP($E981,OpTbl,3,0),"")="خرید",IFERROR(VLOOKUP("P02",ParamTbl,3,0),1),0)/100))</f>
        <v/>
      </c>
      <c r="N981" s="14" t="n"/>
      <c r="O981" s="13" t="n"/>
    </row>
    <row r="982">
      <c r="A982" s="11">
        <f>IF($B982="","",COUNTA($B$9:$B982))</f>
        <v/>
      </c>
      <c r="B982" s="12" t="n"/>
      <c r="C982" s="12" t="n"/>
      <c r="D982" s="12" t="n"/>
      <c r="E982" s="13" t="n"/>
      <c r="F982" s="11">
        <f>IF($E982="","",IFERROR(VLOOKUP($E982,OpTbl,2,0),""))</f>
        <v/>
      </c>
      <c r="G982" s="12" t="n"/>
      <c r="H982" s="11">
        <f>IF($G982="","",IFERROR(IF(VLOOKUP($G982,AcctTbl,4,0)="","(بدون نام)",VLOOKUP($G982,AcctTbl,4,0)),"کد ناشناخته"))</f>
        <v/>
      </c>
      <c r="I982" s="13" t="n"/>
      <c r="J982" s="13" t="n"/>
      <c r="K982" s="14" t="n"/>
      <c r="L982" s="14" t="n"/>
      <c r="M982" s="15">
        <f>IF(OR($B982="",$K982=""),"",($K982-IF($L982="",0,$L982)*IFERROR(VLOOKUP("P01",ParamTbl,3,0),1.5))*(1-IF(IFERROR(VLOOKUP($E982,OpTbl,3,0),"")="خرید",IFERROR(VLOOKUP("P02",ParamTbl,3,0),1),0)/100))</f>
        <v/>
      </c>
      <c r="N982" s="14" t="n"/>
      <c r="O982" s="13" t="n"/>
    </row>
    <row r="983">
      <c r="A983" s="11">
        <f>IF($B983="","",COUNTA($B$9:$B983))</f>
        <v/>
      </c>
      <c r="B983" s="12" t="n"/>
      <c r="C983" s="12" t="n"/>
      <c r="D983" s="12" t="n"/>
      <c r="E983" s="13" t="n"/>
      <c r="F983" s="11">
        <f>IF($E983="","",IFERROR(VLOOKUP($E983,OpTbl,2,0),""))</f>
        <v/>
      </c>
      <c r="G983" s="12" t="n"/>
      <c r="H983" s="11">
        <f>IF($G983="","",IFERROR(IF(VLOOKUP($G983,AcctTbl,4,0)="","(بدون نام)",VLOOKUP($G983,AcctTbl,4,0)),"کد ناشناخته"))</f>
        <v/>
      </c>
      <c r="I983" s="13" t="n"/>
      <c r="J983" s="13" t="n"/>
      <c r="K983" s="14" t="n"/>
      <c r="L983" s="14" t="n"/>
      <c r="M983" s="15">
        <f>IF(OR($B983="",$K983=""),"",($K983-IF($L983="",0,$L983)*IFERROR(VLOOKUP("P01",ParamTbl,3,0),1.5))*(1-IF(IFERROR(VLOOKUP($E983,OpTbl,3,0),"")="خرید",IFERROR(VLOOKUP("P02",ParamTbl,3,0),1),0)/100))</f>
        <v/>
      </c>
      <c r="N983" s="14" t="n"/>
      <c r="O983" s="13" t="n"/>
    </row>
    <row r="984">
      <c r="A984" s="11">
        <f>IF($B984="","",COUNTA($B$9:$B984))</f>
        <v/>
      </c>
      <c r="B984" s="12" t="n"/>
      <c r="C984" s="12" t="n"/>
      <c r="D984" s="12" t="n"/>
      <c r="E984" s="13" t="n"/>
      <c r="F984" s="11">
        <f>IF($E984="","",IFERROR(VLOOKUP($E984,OpTbl,2,0),""))</f>
        <v/>
      </c>
      <c r="G984" s="12" t="n"/>
      <c r="H984" s="11">
        <f>IF($G984="","",IFERROR(IF(VLOOKUP($G984,AcctTbl,4,0)="","(بدون نام)",VLOOKUP($G984,AcctTbl,4,0)),"کد ناشناخته"))</f>
        <v/>
      </c>
      <c r="I984" s="13" t="n"/>
      <c r="J984" s="13" t="n"/>
      <c r="K984" s="14" t="n"/>
      <c r="L984" s="14" t="n"/>
      <c r="M984" s="15">
        <f>IF(OR($B984="",$K984=""),"",($K984-IF($L984="",0,$L984)*IFERROR(VLOOKUP("P01",ParamTbl,3,0),1.5))*(1-IF(IFERROR(VLOOKUP($E984,OpTbl,3,0),"")="خرید",IFERROR(VLOOKUP("P02",ParamTbl,3,0),1),0)/100))</f>
        <v/>
      </c>
      <c r="N984" s="14" t="n"/>
      <c r="O984" s="13" t="n"/>
    </row>
    <row r="985">
      <c r="A985" s="11">
        <f>IF($B985="","",COUNTA($B$9:$B985))</f>
        <v/>
      </c>
      <c r="B985" s="12" t="n"/>
      <c r="C985" s="12" t="n"/>
      <c r="D985" s="12" t="n"/>
      <c r="E985" s="13" t="n"/>
      <c r="F985" s="11">
        <f>IF($E985="","",IFERROR(VLOOKUP($E985,OpTbl,2,0),""))</f>
        <v/>
      </c>
      <c r="G985" s="12" t="n"/>
      <c r="H985" s="11">
        <f>IF($G985="","",IFERROR(IF(VLOOKUP($G985,AcctTbl,4,0)="","(بدون نام)",VLOOKUP($G985,AcctTbl,4,0)),"کد ناشناخته"))</f>
        <v/>
      </c>
      <c r="I985" s="13" t="n"/>
      <c r="J985" s="13" t="n"/>
      <c r="K985" s="14" t="n"/>
      <c r="L985" s="14" t="n"/>
      <c r="M985" s="15">
        <f>IF(OR($B985="",$K985=""),"",($K985-IF($L985="",0,$L985)*IFERROR(VLOOKUP("P01",ParamTbl,3,0),1.5))*(1-IF(IFERROR(VLOOKUP($E985,OpTbl,3,0),"")="خرید",IFERROR(VLOOKUP("P02",ParamTbl,3,0),1),0)/100))</f>
        <v/>
      </c>
      <c r="N985" s="14" t="n"/>
      <c r="O985" s="13" t="n"/>
    </row>
    <row r="986">
      <c r="A986" s="11">
        <f>IF($B986="","",COUNTA($B$9:$B986))</f>
        <v/>
      </c>
      <c r="B986" s="12" t="n"/>
      <c r="C986" s="12" t="n"/>
      <c r="D986" s="12" t="n"/>
      <c r="E986" s="13" t="n"/>
      <c r="F986" s="11">
        <f>IF($E986="","",IFERROR(VLOOKUP($E986,OpTbl,2,0),""))</f>
        <v/>
      </c>
      <c r="G986" s="12" t="n"/>
      <c r="H986" s="11">
        <f>IF($G986="","",IFERROR(IF(VLOOKUP($G986,AcctTbl,4,0)="","(بدون نام)",VLOOKUP($G986,AcctTbl,4,0)),"کد ناشناخته"))</f>
        <v/>
      </c>
      <c r="I986" s="13" t="n"/>
      <c r="J986" s="13" t="n"/>
      <c r="K986" s="14" t="n"/>
      <c r="L986" s="14" t="n"/>
      <c r="M986" s="15">
        <f>IF(OR($B986="",$K986=""),"",($K986-IF($L986="",0,$L986)*IFERROR(VLOOKUP("P01",ParamTbl,3,0),1.5))*(1-IF(IFERROR(VLOOKUP($E986,OpTbl,3,0),"")="خرید",IFERROR(VLOOKUP("P02",ParamTbl,3,0),1),0)/100))</f>
        <v/>
      </c>
      <c r="N986" s="14" t="n"/>
      <c r="O986" s="13" t="n"/>
    </row>
    <row r="987">
      <c r="A987" s="11">
        <f>IF($B987="","",COUNTA($B$9:$B987))</f>
        <v/>
      </c>
      <c r="B987" s="12" t="n"/>
      <c r="C987" s="12" t="n"/>
      <c r="D987" s="12" t="n"/>
      <c r="E987" s="13" t="n"/>
      <c r="F987" s="11">
        <f>IF($E987="","",IFERROR(VLOOKUP($E987,OpTbl,2,0),""))</f>
        <v/>
      </c>
      <c r="G987" s="12" t="n"/>
      <c r="H987" s="11">
        <f>IF($G987="","",IFERROR(IF(VLOOKUP($G987,AcctTbl,4,0)="","(بدون نام)",VLOOKUP($G987,AcctTbl,4,0)),"کد ناشناخته"))</f>
        <v/>
      </c>
      <c r="I987" s="13" t="n"/>
      <c r="J987" s="13" t="n"/>
      <c r="K987" s="14" t="n"/>
      <c r="L987" s="14" t="n"/>
      <c r="M987" s="15">
        <f>IF(OR($B987="",$K987=""),"",($K987-IF($L987="",0,$L987)*IFERROR(VLOOKUP("P01",ParamTbl,3,0),1.5))*(1-IF(IFERROR(VLOOKUP($E987,OpTbl,3,0),"")="خرید",IFERROR(VLOOKUP("P02",ParamTbl,3,0),1),0)/100))</f>
        <v/>
      </c>
      <c r="N987" s="14" t="n"/>
      <c r="O987" s="13" t="n"/>
    </row>
    <row r="988">
      <c r="A988" s="11">
        <f>IF($B988="","",COUNTA($B$9:$B988))</f>
        <v/>
      </c>
      <c r="B988" s="12" t="n"/>
      <c r="C988" s="12" t="n"/>
      <c r="D988" s="12" t="n"/>
      <c r="E988" s="13" t="n"/>
      <c r="F988" s="11">
        <f>IF($E988="","",IFERROR(VLOOKUP($E988,OpTbl,2,0),""))</f>
        <v/>
      </c>
      <c r="G988" s="12" t="n"/>
      <c r="H988" s="11">
        <f>IF($G988="","",IFERROR(IF(VLOOKUP($G988,AcctTbl,4,0)="","(بدون نام)",VLOOKUP($G988,AcctTbl,4,0)),"کد ناشناخته"))</f>
        <v/>
      </c>
      <c r="I988" s="13" t="n"/>
      <c r="J988" s="13" t="n"/>
      <c r="K988" s="14" t="n"/>
      <c r="L988" s="14" t="n"/>
      <c r="M988" s="15">
        <f>IF(OR($B988="",$K988=""),"",($K988-IF($L988="",0,$L988)*IFERROR(VLOOKUP("P01",ParamTbl,3,0),1.5))*(1-IF(IFERROR(VLOOKUP($E988,OpTbl,3,0),"")="خرید",IFERROR(VLOOKUP("P02",ParamTbl,3,0),1),0)/100))</f>
        <v/>
      </c>
      <c r="N988" s="14" t="n"/>
      <c r="O988" s="13" t="n"/>
    </row>
    <row r="989">
      <c r="A989" s="11">
        <f>IF($B989="","",COUNTA($B$9:$B989))</f>
        <v/>
      </c>
      <c r="B989" s="12" t="n"/>
      <c r="C989" s="12" t="n"/>
      <c r="D989" s="12" t="n"/>
      <c r="E989" s="13" t="n"/>
      <c r="F989" s="11">
        <f>IF($E989="","",IFERROR(VLOOKUP($E989,OpTbl,2,0),""))</f>
        <v/>
      </c>
      <c r="G989" s="12" t="n"/>
      <c r="H989" s="11">
        <f>IF($G989="","",IFERROR(IF(VLOOKUP($G989,AcctTbl,4,0)="","(بدون نام)",VLOOKUP($G989,AcctTbl,4,0)),"کد ناشناخته"))</f>
        <v/>
      </c>
      <c r="I989" s="13" t="n"/>
      <c r="J989" s="13" t="n"/>
      <c r="K989" s="14" t="n"/>
      <c r="L989" s="14" t="n"/>
      <c r="M989" s="15">
        <f>IF(OR($B989="",$K989=""),"",($K989-IF($L989="",0,$L989)*IFERROR(VLOOKUP("P01",ParamTbl,3,0),1.5))*(1-IF(IFERROR(VLOOKUP($E989,OpTbl,3,0),"")="خرید",IFERROR(VLOOKUP("P02",ParamTbl,3,0),1),0)/100))</f>
        <v/>
      </c>
      <c r="N989" s="14" t="n"/>
      <c r="O989" s="13" t="n"/>
    </row>
    <row r="990">
      <c r="A990" s="11">
        <f>IF($B990="","",COUNTA($B$9:$B990))</f>
        <v/>
      </c>
      <c r="B990" s="12" t="n"/>
      <c r="C990" s="12" t="n"/>
      <c r="D990" s="12" t="n"/>
      <c r="E990" s="13" t="n"/>
      <c r="F990" s="11">
        <f>IF($E990="","",IFERROR(VLOOKUP($E990,OpTbl,2,0),""))</f>
        <v/>
      </c>
      <c r="G990" s="12" t="n"/>
      <c r="H990" s="11">
        <f>IF($G990="","",IFERROR(IF(VLOOKUP($G990,AcctTbl,4,0)="","(بدون نام)",VLOOKUP($G990,AcctTbl,4,0)),"کد ناشناخته"))</f>
        <v/>
      </c>
      <c r="I990" s="13" t="n"/>
      <c r="J990" s="13" t="n"/>
      <c r="K990" s="14" t="n"/>
      <c r="L990" s="14" t="n"/>
      <c r="M990" s="15">
        <f>IF(OR($B990="",$K990=""),"",($K990-IF($L990="",0,$L990)*IFERROR(VLOOKUP("P01",ParamTbl,3,0),1.5))*(1-IF(IFERROR(VLOOKUP($E990,OpTbl,3,0),"")="خرید",IFERROR(VLOOKUP("P02",ParamTbl,3,0),1),0)/100))</f>
        <v/>
      </c>
      <c r="N990" s="14" t="n"/>
      <c r="O990" s="13" t="n"/>
    </row>
    <row r="991">
      <c r="A991" s="11">
        <f>IF($B991="","",COUNTA($B$9:$B991))</f>
        <v/>
      </c>
      <c r="B991" s="12" t="n"/>
      <c r="C991" s="12" t="n"/>
      <c r="D991" s="12" t="n"/>
      <c r="E991" s="13" t="n"/>
      <c r="F991" s="11">
        <f>IF($E991="","",IFERROR(VLOOKUP($E991,OpTbl,2,0),""))</f>
        <v/>
      </c>
      <c r="G991" s="12" t="n"/>
      <c r="H991" s="11">
        <f>IF($G991="","",IFERROR(IF(VLOOKUP($G991,AcctTbl,4,0)="","(بدون نام)",VLOOKUP($G991,AcctTbl,4,0)),"کد ناشناخته"))</f>
        <v/>
      </c>
      <c r="I991" s="13" t="n"/>
      <c r="J991" s="13" t="n"/>
      <c r="K991" s="14" t="n"/>
      <c r="L991" s="14" t="n"/>
      <c r="M991" s="15">
        <f>IF(OR($B991="",$K991=""),"",($K991-IF($L991="",0,$L991)*IFERROR(VLOOKUP("P01",ParamTbl,3,0),1.5))*(1-IF(IFERROR(VLOOKUP($E991,OpTbl,3,0),"")="خرید",IFERROR(VLOOKUP("P02",ParamTbl,3,0),1),0)/100))</f>
        <v/>
      </c>
      <c r="N991" s="14" t="n"/>
      <c r="O991" s="13" t="n"/>
    </row>
    <row r="992">
      <c r="A992" s="11">
        <f>IF($B992="","",COUNTA($B$9:$B992))</f>
        <v/>
      </c>
      <c r="B992" s="12" t="n"/>
      <c r="C992" s="12" t="n"/>
      <c r="D992" s="12" t="n"/>
      <c r="E992" s="13" t="n"/>
      <c r="F992" s="11">
        <f>IF($E992="","",IFERROR(VLOOKUP($E992,OpTbl,2,0),""))</f>
        <v/>
      </c>
      <c r="G992" s="12" t="n"/>
      <c r="H992" s="11">
        <f>IF($G992="","",IFERROR(IF(VLOOKUP($G992,AcctTbl,4,0)="","(بدون نام)",VLOOKUP($G992,AcctTbl,4,0)),"کد ناشناخته"))</f>
        <v/>
      </c>
      <c r="I992" s="13" t="n"/>
      <c r="J992" s="13" t="n"/>
      <c r="K992" s="14" t="n"/>
      <c r="L992" s="14" t="n"/>
      <c r="M992" s="15">
        <f>IF(OR($B992="",$K992=""),"",($K992-IF($L992="",0,$L992)*IFERROR(VLOOKUP("P01",ParamTbl,3,0),1.5))*(1-IF(IFERROR(VLOOKUP($E992,OpTbl,3,0),"")="خرید",IFERROR(VLOOKUP("P02",ParamTbl,3,0),1),0)/100))</f>
        <v/>
      </c>
      <c r="N992" s="14" t="n"/>
      <c r="O992" s="13" t="n"/>
    </row>
    <row r="993">
      <c r="A993" s="11">
        <f>IF($B993="","",COUNTA($B$9:$B993))</f>
        <v/>
      </c>
      <c r="B993" s="12" t="n"/>
      <c r="C993" s="12" t="n"/>
      <c r="D993" s="12" t="n"/>
      <c r="E993" s="13" t="n"/>
      <c r="F993" s="11">
        <f>IF($E993="","",IFERROR(VLOOKUP($E993,OpTbl,2,0),""))</f>
        <v/>
      </c>
      <c r="G993" s="12" t="n"/>
      <c r="H993" s="11">
        <f>IF($G993="","",IFERROR(IF(VLOOKUP($G993,AcctTbl,4,0)="","(بدون نام)",VLOOKUP($G993,AcctTbl,4,0)),"کد ناشناخته"))</f>
        <v/>
      </c>
      <c r="I993" s="13" t="n"/>
      <c r="J993" s="13" t="n"/>
      <c r="K993" s="14" t="n"/>
      <c r="L993" s="14" t="n"/>
      <c r="M993" s="15">
        <f>IF(OR($B993="",$K993=""),"",($K993-IF($L993="",0,$L993)*IFERROR(VLOOKUP("P01",ParamTbl,3,0),1.5))*(1-IF(IFERROR(VLOOKUP($E993,OpTbl,3,0),"")="خرید",IFERROR(VLOOKUP("P02",ParamTbl,3,0),1),0)/100))</f>
        <v/>
      </c>
      <c r="N993" s="14" t="n"/>
      <c r="O993" s="13" t="n"/>
    </row>
    <row r="994">
      <c r="A994" s="11">
        <f>IF($B994="","",COUNTA($B$9:$B994))</f>
        <v/>
      </c>
      <c r="B994" s="12" t="n"/>
      <c r="C994" s="12" t="n"/>
      <c r="D994" s="12" t="n"/>
      <c r="E994" s="13" t="n"/>
      <c r="F994" s="11">
        <f>IF($E994="","",IFERROR(VLOOKUP($E994,OpTbl,2,0),""))</f>
        <v/>
      </c>
      <c r="G994" s="12" t="n"/>
      <c r="H994" s="11">
        <f>IF($G994="","",IFERROR(IF(VLOOKUP($G994,AcctTbl,4,0)="","(بدون نام)",VLOOKUP($G994,AcctTbl,4,0)),"کد ناشناخته"))</f>
        <v/>
      </c>
      <c r="I994" s="13" t="n"/>
      <c r="J994" s="13" t="n"/>
      <c r="K994" s="14" t="n"/>
      <c r="L994" s="14" t="n"/>
      <c r="M994" s="15">
        <f>IF(OR($B994="",$K994=""),"",($K994-IF($L994="",0,$L994)*IFERROR(VLOOKUP("P01",ParamTbl,3,0),1.5))*(1-IF(IFERROR(VLOOKUP($E994,OpTbl,3,0),"")="خرید",IFERROR(VLOOKUP("P02",ParamTbl,3,0),1),0)/100))</f>
        <v/>
      </c>
      <c r="N994" s="14" t="n"/>
      <c r="O994" s="13" t="n"/>
    </row>
    <row r="995">
      <c r="A995" s="11">
        <f>IF($B995="","",COUNTA($B$9:$B995))</f>
        <v/>
      </c>
      <c r="B995" s="12" t="n"/>
      <c r="C995" s="12" t="n"/>
      <c r="D995" s="12" t="n"/>
      <c r="E995" s="13" t="n"/>
      <c r="F995" s="11">
        <f>IF($E995="","",IFERROR(VLOOKUP($E995,OpTbl,2,0),""))</f>
        <v/>
      </c>
      <c r="G995" s="12" t="n"/>
      <c r="H995" s="11">
        <f>IF($G995="","",IFERROR(IF(VLOOKUP($G995,AcctTbl,4,0)="","(بدون نام)",VLOOKUP($G995,AcctTbl,4,0)),"کد ناشناخته"))</f>
        <v/>
      </c>
      <c r="I995" s="13" t="n"/>
      <c r="J995" s="13" t="n"/>
      <c r="K995" s="14" t="n"/>
      <c r="L995" s="14" t="n"/>
      <c r="M995" s="15">
        <f>IF(OR($B995="",$K995=""),"",($K995-IF($L995="",0,$L995)*IFERROR(VLOOKUP("P01",ParamTbl,3,0),1.5))*(1-IF(IFERROR(VLOOKUP($E995,OpTbl,3,0),"")="خرید",IFERROR(VLOOKUP("P02",ParamTbl,3,0),1),0)/100))</f>
        <v/>
      </c>
      <c r="N995" s="14" t="n"/>
      <c r="O995" s="13" t="n"/>
    </row>
    <row r="996">
      <c r="A996" s="11">
        <f>IF($B996="","",COUNTA($B$9:$B996))</f>
        <v/>
      </c>
      <c r="B996" s="12" t="n"/>
      <c r="C996" s="12" t="n"/>
      <c r="D996" s="12" t="n"/>
      <c r="E996" s="13" t="n"/>
      <c r="F996" s="11">
        <f>IF($E996="","",IFERROR(VLOOKUP($E996,OpTbl,2,0),""))</f>
        <v/>
      </c>
      <c r="G996" s="12" t="n"/>
      <c r="H996" s="11">
        <f>IF($G996="","",IFERROR(IF(VLOOKUP($G996,AcctTbl,4,0)="","(بدون نام)",VLOOKUP($G996,AcctTbl,4,0)),"کد ناشناخته"))</f>
        <v/>
      </c>
      <c r="I996" s="13" t="n"/>
      <c r="J996" s="13" t="n"/>
      <c r="K996" s="14" t="n"/>
      <c r="L996" s="14" t="n"/>
      <c r="M996" s="15">
        <f>IF(OR($B996="",$K996=""),"",($K996-IF($L996="",0,$L996)*IFERROR(VLOOKUP("P01",ParamTbl,3,0),1.5))*(1-IF(IFERROR(VLOOKUP($E996,OpTbl,3,0),"")="خرید",IFERROR(VLOOKUP("P02",ParamTbl,3,0),1),0)/100))</f>
        <v/>
      </c>
      <c r="N996" s="14" t="n"/>
      <c r="O996" s="13" t="n"/>
    </row>
    <row r="997">
      <c r="A997" s="11">
        <f>IF($B997="","",COUNTA($B$9:$B997))</f>
        <v/>
      </c>
      <c r="B997" s="12" t="n"/>
      <c r="C997" s="12" t="n"/>
      <c r="D997" s="12" t="n"/>
      <c r="E997" s="13" t="n"/>
      <c r="F997" s="11">
        <f>IF($E997="","",IFERROR(VLOOKUP($E997,OpTbl,2,0),""))</f>
        <v/>
      </c>
      <c r="G997" s="12" t="n"/>
      <c r="H997" s="11">
        <f>IF($G997="","",IFERROR(IF(VLOOKUP($G997,AcctTbl,4,0)="","(بدون نام)",VLOOKUP($G997,AcctTbl,4,0)),"کد ناشناخته"))</f>
        <v/>
      </c>
      <c r="I997" s="13" t="n"/>
      <c r="J997" s="13" t="n"/>
      <c r="K997" s="14" t="n"/>
      <c r="L997" s="14" t="n"/>
      <c r="M997" s="15">
        <f>IF(OR($B997="",$K997=""),"",($K997-IF($L997="",0,$L997)*IFERROR(VLOOKUP("P01",ParamTbl,3,0),1.5))*(1-IF(IFERROR(VLOOKUP($E997,OpTbl,3,0),"")="خرید",IFERROR(VLOOKUP("P02",ParamTbl,3,0),1),0)/100))</f>
        <v/>
      </c>
      <c r="N997" s="14" t="n"/>
      <c r="O997" s="13" t="n"/>
    </row>
    <row r="998">
      <c r="A998" s="11">
        <f>IF($B998="","",COUNTA($B$9:$B998))</f>
        <v/>
      </c>
      <c r="B998" s="12" t="n"/>
      <c r="C998" s="12" t="n"/>
      <c r="D998" s="12" t="n"/>
      <c r="E998" s="13" t="n"/>
      <c r="F998" s="11">
        <f>IF($E998="","",IFERROR(VLOOKUP($E998,OpTbl,2,0),""))</f>
        <v/>
      </c>
      <c r="G998" s="12" t="n"/>
      <c r="H998" s="11">
        <f>IF($G998="","",IFERROR(IF(VLOOKUP($G998,AcctTbl,4,0)="","(بدون نام)",VLOOKUP($G998,AcctTbl,4,0)),"کد ناشناخته"))</f>
        <v/>
      </c>
      <c r="I998" s="13" t="n"/>
      <c r="J998" s="13" t="n"/>
      <c r="K998" s="14" t="n"/>
      <c r="L998" s="14" t="n"/>
      <c r="M998" s="15">
        <f>IF(OR($B998="",$K998=""),"",($K998-IF($L998="",0,$L998)*IFERROR(VLOOKUP("P01",ParamTbl,3,0),1.5))*(1-IF(IFERROR(VLOOKUP($E998,OpTbl,3,0),"")="خرید",IFERROR(VLOOKUP("P02",ParamTbl,3,0),1),0)/100))</f>
        <v/>
      </c>
      <c r="N998" s="14" t="n"/>
      <c r="O998" s="13" t="n"/>
    </row>
    <row r="999">
      <c r="A999" s="11">
        <f>IF($B999="","",COUNTA($B$9:$B999))</f>
        <v/>
      </c>
      <c r="B999" s="12" t="n"/>
      <c r="C999" s="12" t="n"/>
      <c r="D999" s="12" t="n"/>
      <c r="E999" s="13" t="n"/>
      <c r="F999" s="11">
        <f>IF($E999="","",IFERROR(VLOOKUP($E999,OpTbl,2,0),""))</f>
        <v/>
      </c>
      <c r="G999" s="12" t="n"/>
      <c r="H999" s="11">
        <f>IF($G999="","",IFERROR(IF(VLOOKUP($G999,AcctTbl,4,0)="","(بدون نام)",VLOOKUP($G999,AcctTbl,4,0)),"کد ناشناخته"))</f>
        <v/>
      </c>
      <c r="I999" s="13" t="n"/>
      <c r="J999" s="13" t="n"/>
      <c r="K999" s="14" t="n"/>
      <c r="L999" s="14" t="n"/>
      <c r="M999" s="15">
        <f>IF(OR($B999="",$K999=""),"",($K999-IF($L999="",0,$L999)*IFERROR(VLOOKUP("P01",ParamTbl,3,0),1.5))*(1-IF(IFERROR(VLOOKUP($E999,OpTbl,3,0),"")="خرید",IFERROR(VLOOKUP("P02",ParamTbl,3,0),1),0)/100))</f>
        <v/>
      </c>
      <c r="N999" s="14" t="n"/>
      <c r="O999" s="13" t="n"/>
    </row>
    <row r="1000">
      <c r="A1000" s="11">
        <f>IF($B1000="","",COUNTA($B$9:$B1000))</f>
        <v/>
      </c>
      <c r="B1000" s="12" t="n"/>
      <c r="C1000" s="12" t="n"/>
      <c r="D1000" s="12" t="n"/>
      <c r="E1000" s="13" t="n"/>
      <c r="F1000" s="11">
        <f>IF($E1000="","",IFERROR(VLOOKUP($E1000,OpTbl,2,0),""))</f>
        <v/>
      </c>
      <c r="G1000" s="12" t="n"/>
      <c r="H1000" s="11">
        <f>IF($G1000="","",IFERROR(IF(VLOOKUP($G1000,AcctTbl,4,0)="","(بدون نام)",VLOOKUP($G1000,AcctTbl,4,0)),"کد ناشناخته"))</f>
        <v/>
      </c>
      <c r="I1000" s="13" t="n"/>
      <c r="J1000" s="13" t="n"/>
      <c r="K1000" s="14" t="n"/>
      <c r="L1000" s="14" t="n"/>
      <c r="M1000" s="15">
        <f>IF(OR($B1000="",$K1000=""),"",($K1000-IF($L1000="",0,$L1000)*IFERROR(VLOOKUP("P01",ParamTbl,3,0),1.5))*(1-IF(IFERROR(VLOOKUP($E1000,OpTbl,3,0),"")="خرید",IFERROR(VLOOKUP("P02",ParamTbl,3,0),1),0)/100))</f>
        <v/>
      </c>
      <c r="N1000" s="14" t="n"/>
      <c r="O1000" s="13" t="n"/>
    </row>
    <row r="1001">
      <c r="A1001" s="11">
        <f>IF($B1001="","",COUNTA($B$9:$B1001))</f>
        <v/>
      </c>
      <c r="B1001" s="12" t="n"/>
      <c r="C1001" s="12" t="n"/>
      <c r="D1001" s="12" t="n"/>
      <c r="E1001" s="13" t="n"/>
      <c r="F1001" s="11">
        <f>IF($E1001="","",IFERROR(VLOOKUP($E1001,OpTbl,2,0),""))</f>
        <v/>
      </c>
      <c r="G1001" s="12" t="n"/>
      <c r="H1001" s="11">
        <f>IF($G1001="","",IFERROR(IF(VLOOKUP($G1001,AcctTbl,4,0)="","(بدون نام)",VLOOKUP($G1001,AcctTbl,4,0)),"کد ناشناخته"))</f>
        <v/>
      </c>
      <c r="I1001" s="13" t="n"/>
      <c r="J1001" s="13" t="n"/>
      <c r="K1001" s="14" t="n"/>
      <c r="L1001" s="14" t="n"/>
      <c r="M1001" s="15">
        <f>IF(OR($B1001="",$K1001=""),"",($K1001-IF($L1001="",0,$L1001)*IFERROR(VLOOKUP("P01",ParamTbl,3,0),1.5))*(1-IF(IFERROR(VLOOKUP($E1001,OpTbl,3,0),"")="خرید",IFERROR(VLOOKUP("P02",ParamTbl,3,0),1),0)/100))</f>
        <v/>
      </c>
      <c r="N1001" s="14" t="n"/>
      <c r="O1001" s="13" t="n"/>
    </row>
    <row r="1002">
      <c r="A1002" s="11">
        <f>IF($B1002="","",COUNTA($B$9:$B1002))</f>
        <v/>
      </c>
      <c r="B1002" s="12" t="n"/>
      <c r="C1002" s="12" t="n"/>
      <c r="D1002" s="12" t="n"/>
      <c r="E1002" s="13" t="n"/>
      <c r="F1002" s="11">
        <f>IF($E1002="","",IFERROR(VLOOKUP($E1002,OpTbl,2,0),""))</f>
        <v/>
      </c>
      <c r="G1002" s="12" t="n"/>
      <c r="H1002" s="11">
        <f>IF($G1002="","",IFERROR(IF(VLOOKUP($G1002,AcctTbl,4,0)="","(بدون نام)",VLOOKUP($G1002,AcctTbl,4,0)),"کد ناشناخته"))</f>
        <v/>
      </c>
      <c r="I1002" s="13" t="n"/>
      <c r="J1002" s="13" t="n"/>
      <c r="K1002" s="14" t="n"/>
      <c r="L1002" s="14" t="n"/>
      <c r="M1002" s="15">
        <f>IF(OR($B1002="",$K1002=""),"",($K1002-IF($L1002="",0,$L1002)*IFERROR(VLOOKUP("P01",ParamTbl,3,0),1.5))*(1-IF(IFERROR(VLOOKUP($E1002,OpTbl,3,0),"")="خرید",IFERROR(VLOOKUP("P02",ParamTbl,3,0),1),0)/100))</f>
        <v/>
      </c>
      <c r="N1002" s="14" t="n"/>
      <c r="O1002" s="13" t="n"/>
    </row>
    <row r="1003">
      <c r="A1003" s="11">
        <f>IF($B1003="","",COUNTA($B$9:$B1003))</f>
        <v/>
      </c>
      <c r="B1003" s="12" t="n"/>
      <c r="C1003" s="12" t="n"/>
      <c r="D1003" s="12" t="n"/>
      <c r="E1003" s="13" t="n"/>
      <c r="F1003" s="11">
        <f>IF($E1003="","",IFERROR(VLOOKUP($E1003,OpTbl,2,0),""))</f>
        <v/>
      </c>
      <c r="G1003" s="12" t="n"/>
      <c r="H1003" s="11">
        <f>IF($G1003="","",IFERROR(IF(VLOOKUP($G1003,AcctTbl,4,0)="","(بدون نام)",VLOOKUP($G1003,AcctTbl,4,0)),"کد ناشناخته"))</f>
        <v/>
      </c>
      <c r="I1003" s="13" t="n"/>
      <c r="J1003" s="13" t="n"/>
      <c r="K1003" s="14" t="n"/>
      <c r="L1003" s="14" t="n"/>
      <c r="M1003" s="15">
        <f>IF(OR($B1003="",$K1003=""),"",($K1003-IF($L1003="",0,$L1003)*IFERROR(VLOOKUP("P01",ParamTbl,3,0),1.5))*(1-IF(IFERROR(VLOOKUP($E1003,OpTbl,3,0),"")="خرید",IFERROR(VLOOKUP("P02",ParamTbl,3,0),1),0)/100))</f>
        <v/>
      </c>
      <c r="N1003" s="14" t="n"/>
      <c r="O1003" s="13" t="n"/>
    </row>
    <row r="1004">
      <c r="A1004" s="11">
        <f>IF($B1004="","",COUNTA($B$9:$B1004))</f>
        <v/>
      </c>
      <c r="B1004" s="12" t="n"/>
      <c r="C1004" s="12" t="n"/>
      <c r="D1004" s="12" t="n"/>
      <c r="E1004" s="13" t="n"/>
      <c r="F1004" s="11">
        <f>IF($E1004="","",IFERROR(VLOOKUP($E1004,OpTbl,2,0),""))</f>
        <v/>
      </c>
      <c r="G1004" s="12" t="n"/>
      <c r="H1004" s="11">
        <f>IF($G1004="","",IFERROR(IF(VLOOKUP($G1004,AcctTbl,4,0)="","(بدون نام)",VLOOKUP($G1004,AcctTbl,4,0)),"کد ناشناخته"))</f>
        <v/>
      </c>
      <c r="I1004" s="13" t="n"/>
      <c r="J1004" s="13" t="n"/>
      <c r="K1004" s="14" t="n"/>
      <c r="L1004" s="14" t="n"/>
      <c r="M1004" s="15">
        <f>IF(OR($B1004="",$K1004=""),"",($K1004-IF($L1004="",0,$L1004)*IFERROR(VLOOKUP("P01",ParamTbl,3,0),1.5))*(1-IF(IFERROR(VLOOKUP($E1004,OpTbl,3,0),"")="خرید",IFERROR(VLOOKUP("P02",ParamTbl,3,0),1),0)/100))</f>
        <v/>
      </c>
      <c r="N1004" s="14" t="n"/>
      <c r="O1004" s="13" t="n"/>
    </row>
    <row r="1005">
      <c r="A1005" s="11">
        <f>IF($B1005="","",COUNTA($B$9:$B1005))</f>
        <v/>
      </c>
      <c r="B1005" s="12" t="n"/>
      <c r="C1005" s="12" t="n"/>
      <c r="D1005" s="12" t="n"/>
      <c r="E1005" s="13" t="n"/>
      <c r="F1005" s="11">
        <f>IF($E1005="","",IFERROR(VLOOKUP($E1005,OpTbl,2,0),""))</f>
        <v/>
      </c>
      <c r="G1005" s="12" t="n"/>
      <c r="H1005" s="11">
        <f>IF($G1005="","",IFERROR(IF(VLOOKUP($G1005,AcctTbl,4,0)="","(بدون نام)",VLOOKUP($G1005,AcctTbl,4,0)),"کد ناشناخته"))</f>
        <v/>
      </c>
      <c r="I1005" s="13" t="n"/>
      <c r="J1005" s="13" t="n"/>
      <c r="K1005" s="14" t="n"/>
      <c r="L1005" s="14" t="n"/>
      <c r="M1005" s="15">
        <f>IF(OR($B1005="",$K1005=""),"",($K1005-IF($L1005="",0,$L1005)*IFERROR(VLOOKUP("P01",ParamTbl,3,0),1.5))*(1-IF(IFERROR(VLOOKUP($E1005,OpTbl,3,0),"")="خرید",IFERROR(VLOOKUP("P02",ParamTbl,3,0),1),0)/100))</f>
        <v/>
      </c>
      <c r="N1005" s="14" t="n"/>
      <c r="O1005" s="13" t="n"/>
    </row>
    <row r="1006">
      <c r="A1006" s="11">
        <f>IF($B1006="","",COUNTA($B$9:$B1006))</f>
        <v/>
      </c>
      <c r="B1006" s="12" t="n"/>
      <c r="C1006" s="12" t="n"/>
      <c r="D1006" s="12" t="n"/>
      <c r="E1006" s="13" t="n"/>
      <c r="F1006" s="11">
        <f>IF($E1006="","",IFERROR(VLOOKUP($E1006,OpTbl,2,0),""))</f>
        <v/>
      </c>
      <c r="G1006" s="12" t="n"/>
      <c r="H1006" s="11">
        <f>IF($G1006="","",IFERROR(IF(VLOOKUP($G1006,AcctTbl,4,0)="","(بدون نام)",VLOOKUP($G1006,AcctTbl,4,0)),"کد ناشناخته"))</f>
        <v/>
      </c>
      <c r="I1006" s="13" t="n"/>
      <c r="J1006" s="13" t="n"/>
      <c r="K1006" s="14" t="n"/>
      <c r="L1006" s="14" t="n"/>
      <c r="M1006" s="15">
        <f>IF(OR($B1006="",$K1006=""),"",($K1006-IF($L1006="",0,$L1006)*IFERROR(VLOOKUP("P01",ParamTbl,3,0),1.5))*(1-IF(IFERROR(VLOOKUP($E1006,OpTbl,3,0),"")="خرید",IFERROR(VLOOKUP("P02",ParamTbl,3,0),1),0)/100))</f>
        <v/>
      </c>
      <c r="N1006" s="14" t="n"/>
      <c r="O1006" s="13" t="n"/>
    </row>
    <row r="1007">
      <c r="A1007" s="11">
        <f>IF($B1007="","",COUNTA($B$9:$B1007))</f>
        <v/>
      </c>
      <c r="B1007" s="12" t="n"/>
      <c r="C1007" s="12" t="n"/>
      <c r="D1007" s="12" t="n"/>
      <c r="E1007" s="13" t="n"/>
      <c r="F1007" s="11">
        <f>IF($E1007="","",IFERROR(VLOOKUP($E1007,OpTbl,2,0),""))</f>
        <v/>
      </c>
      <c r="G1007" s="12" t="n"/>
      <c r="H1007" s="11">
        <f>IF($G1007="","",IFERROR(IF(VLOOKUP($G1007,AcctTbl,4,0)="","(بدون نام)",VLOOKUP($G1007,AcctTbl,4,0)),"کد ناشناخته"))</f>
        <v/>
      </c>
      <c r="I1007" s="13" t="n"/>
      <c r="J1007" s="13" t="n"/>
      <c r="K1007" s="14" t="n"/>
      <c r="L1007" s="14" t="n"/>
      <c r="M1007" s="15">
        <f>IF(OR($B1007="",$K1007=""),"",($K1007-IF($L1007="",0,$L1007)*IFERROR(VLOOKUP("P01",ParamTbl,3,0),1.5))*(1-IF(IFERROR(VLOOKUP($E1007,OpTbl,3,0),"")="خرید",IFERROR(VLOOKUP("P02",ParamTbl,3,0),1),0)/100))</f>
        <v/>
      </c>
      <c r="N1007" s="14" t="n"/>
      <c r="O1007" s="13" t="n"/>
    </row>
    <row r="1008">
      <c r="A1008" s="11">
        <f>IF($B1008="","",COUNTA($B$9:$B1008))</f>
        <v/>
      </c>
      <c r="B1008" s="12" t="n"/>
      <c r="C1008" s="12" t="n"/>
      <c r="D1008" s="12" t="n"/>
      <c r="E1008" s="13" t="n"/>
      <c r="F1008" s="11">
        <f>IF($E1008="","",IFERROR(VLOOKUP($E1008,OpTbl,2,0),""))</f>
        <v/>
      </c>
      <c r="G1008" s="12" t="n"/>
      <c r="H1008" s="11">
        <f>IF($G1008="","",IFERROR(IF(VLOOKUP($G1008,AcctTbl,4,0)="","(بدون نام)",VLOOKUP($G1008,AcctTbl,4,0)),"کد ناشناخته"))</f>
        <v/>
      </c>
      <c r="I1008" s="13" t="n"/>
      <c r="J1008" s="13" t="n"/>
      <c r="K1008" s="14" t="n"/>
      <c r="L1008" s="14" t="n"/>
      <c r="M1008" s="15">
        <f>IF(OR($B1008="",$K1008=""),"",($K1008-IF($L1008="",0,$L1008)*IFERROR(VLOOKUP("P01",ParamTbl,3,0),1.5))*(1-IF(IFERROR(VLOOKUP($E1008,OpTbl,3,0),"")="خرید",IFERROR(VLOOKUP("P02",ParamTbl,3,0),1),0)/100))</f>
        <v/>
      </c>
      <c r="N1008" s="14" t="n"/>
      <c r="O1008" s="13" t="n"/>
    </row>
    <row r="1009">
      <c r="A1009" s="11">
        <f>IF($B1009="","",COUNTA($B$9:$B1009))</f>
        <v/>
      </c>
      <c r="B1009" s="12" t="n"/>
      <c r="C1009" s="12" t="n"/>
      <c r="D1009" s="12" t="n"/>
      <c r="E1009" s="13" t="n"/>
      <c r="F1009" s="11">
        <f>IF($E1009="","",IFERROR(VLOOKUP($E1009,OpTbl,2,0),""))</f>
        <v/>
      </c>
      <c r="G1009" s="12" t="n"/>
      <c r="H1009" s="11">
        <f>IF($G1009="","",IFERROR(IF(VLOOKUP($G1009,AcctTbl,4,0)="","(بدون نام)",VLOOKUP($G1009,AcctTbl,4,0)),"کد ناشناخته"))</f>
        <v/>
      </c>
      <c r="I1009" s="13" t="n"/>
      <c r="J1009" s="13" t="n"/>
      <c r="K1009" s="14" t="n"/>
      <c r="L1009" s="14" t="n"/>
      <c r="M1009" s="15">
        <f>IF(OR($B1009="",$K1009=""),"",($K1009-IF($L1009="",0,$L1009)*IFERROR(VLOOKUP("P01",ParamTbl,3,0),1.5))*(1-IF(IFERROR(VLOOKUP($E1009,OpTbl,3,0),"")="خرید",IFERROR(VLOOKUP("P02",ParamTbl,3,0),1),0)/100))</f>
        <v/>
      </c>
      <c r="N1009" s="14" t="n"/>
      <c r="O1009" s="13" t="n"/>
    </row>
    <row r="1010">
      <c r="A1010" s="11">
        <f>IF($B1010="","",COUNTA($B$9:$B1010))</f>
        <v/>
      </c>
      <c r="B1010" s="12" t="n"/>
      <c r="C1010" s="12" t="n"/>
      <c r="D1010" s="12" t="n"/>
      <c r="E1010" s="13" t="n"/>
      <c r="F1010" s="11">
        <f>IF($E1010="","",IFERROR(VLOOKUP($E1010,OpTbl,2,0),""))</f>
        <v/>
      </c>
      <c r="G1010" s="12" t="n"/>
      <c r="H1010" s="11">
        <f>IF($G1010="","",IFERROR(IF(VLOOKUP($G1010,AcctTbl,4,0)="","(بدون نام)",VLOOKUP($G1010,AcctTbl,4,0)),"کد ناشناخته"))</f>
        <v/>
      </c>
      <c r="I1010" s="13" t="n"/>
      <c r="J1010" s="13" t="n"/>
      <c r="K1010" s="14" t="n"/>
      <c r="L1010" s="14" t="n"/>
      <c r="M1010" s="15">
        <f>IF(OR($B1010="",$K1010=""),"",($K1010-IF($L1010="",0,$L1010)*IFERROR(VLOOKUP("P01",ParamTbl,3,0),1.5))*(1-IF(IFERROR(VLOOKUP($E1010,OpTbl,3,0),"")="خرید",IFERROR(VLOOKUP("P02",ParamTbl,3,0),1),0)/100))</f>
        <v/>
      </c>
      <c r="N1010" s="14" t="n"/>
      <c r="O1010" s="13" t="n"/>
    </row>
    <row r="1011">
      <c r="A1011" s="11">
        <f>IF($B1011="","",COUNTA($B$9:$B1011))</f>
        <v/>
      </c>
      <c r="B1011" s="12" t="n"/>
      <c r="C1011" s="12" t="n"/>
      <c r="D1011" s="12" t="n"/>
      <c r="E1011" s="13" t="n"/>
      <c r="F1011" s="11">
        <f>IF($E1011="","",IFERROR(VLOOKUP($E1011,OpTbl,2,0),""))</f>
        <v/>
      </c>
      <c r="G1011" s="12" t="n"/>
      <c r="H1011" s="11">
        <f>IF($G1011="","",IFERROR(IF(VLOOKUP($G1011,AcctTbl,4,0)="","(بدون نام)",VLOOKUP($G1011,AcctTbl,4,0)),"کد ناشناخته"))</f>
        <v/>
      </c>
      <c r="I1011" s="13" t="n"/>
      <c r="J1011" s="13" t="n"/>
      <c r="K1011" s="14" t="n"/>
      <c r="L1011" s="14" t="n"/>
      <c r="M1011" s="15">
        <f>IF(OR($B1011="",$K1011=""),"",($K1011-IF($L1011="",0,$L1011)*IFERROR(VLOOKUP("P01",ParamTbl,3,0),1.5))*(1-IF(IFERROR(VLOOKUP($E1011,OpTbl,3,0),"")="خرید",IFERROR(VLOOKUP("P02",ParamTbl,3,0),1),0)/100))</f>
        <v/>
      </c>
      <c r="N1011" s="14" t="n"/>
      <c r="O1011" s="13" t="n"/>
    </row>
    <row r="1012">
      <c r="A1012" s="11">
        <f>IF($B1012="","",COUNTA($B$9:$B1012))</f>
        <v/>
      </c>
      <c r="B1012" s="12" t="n"/>
      <c r="C1012" s="12" t="n"/>
      <c r="D1012" s="12" t="n"/>
      <c r="E1012" s="13" t="n"/>
      <c r="F1012" s="11">
        <f>IF($E1012="","",IFERROR(VLOOKUP($E1012,OpTbl,2,0),""))</f>
        <v/>
      </c>
      <c r="G1012" s="12" t="n"/>
      <c r="H1012" s="11">
        <f>IF($G1012="","",IFERROR(IF(VLOOKUP($G1012,AcctTbl,4,0)="","(بدون نام)",VLOOKUP($G1012,AcctTbl,4,0)),"کد ناشناخته"))</f>
        <v/>
      </c>
      <c r="I1012" s="13" t="n"/>
      <c r="J1012" s="13" t="n"/>
      <c r="K1012" s="14" t="n"/>
      <c r="L1012" s="14" t="n"/>
      <c r="M1012" s="15">
        <f>IF(OR($B1012="",$K1012=""),"",($K1012-IF($L1012="",0,$L1012)*IFERROR(VLOOKUP("P01",ParamTbl,3,0),1.5))*(1-IF(IFERROR(VLOOKUP($E1012,OpTbl,3,0),"")="خرید",IFERROR(VLOOKUP("P02",ParamTbl,3,0),1),0)/100))</f>
        <v/>
      </c>
      <c r="N1012" s="14" t="n"/>
      <c r="O1012" s="13" t="n"/>
    </row>
    <row r="1013">
      <c r="A1013" s="11">
        <f>IF($B1013="","",COUNTA($B$9:$B1013))</f>
        <v/>
      </c>
      <c r="B1013" s="12" t="n"/>
      <c r="C1013" s="12" t="n"/>
      <c r="D1013" s="12" t="n"/>
      <c r="E1013" s="13" t="n"/>
      <c r="F1013" s="11">
        <f>IF($E1013="","",IFERROR(VLOOKUP($E1013,OpTbl,2,0),""))</f>
        <v/>
      </c>
      <c r="G1013" s="12" t="n"/>
      <c r="H1013" s="11">
        <f>IF($G1013="","",IFERROR(IF(VLOOKUP($G1013,AcctTbl,4,0)="","(بدون نام)",VLOOKUP($G1013,AcctTbl,4,0)),"کد ناشناخته"))</f>
        <v/>
      </c>
      <c r="I1013" s="13" t="n"/>
      <c r="J1013" s="13" t="n"/>
      <c r="K1013" s="14" t="n"/>
      <c r="L1013" s="14" t="n"/>
      <c r="M1013" s="15">
        <f>IF(OR($B1013="",$K1013=""),"",($K1013-IF($L1013="",0,$L1013)*IFERROR(VLOOKUP("P01",ParamTbl,3,0),1.5))*(1-IF(IFERROR(VLOOKUP($E1013,OpTbl,3,0),"")="خرید",IFERROR(VLOOKUP("P02",ParamTbl,3,0),1),0)/100))</f>
        <v/>
      </c>
      <c r="N1013" s="14" t="n"/>
      <c r="O1013" s="13" t="n"/>
    </row>
    <row r="1014">
      <c r="A1014" s="11">
        <f>IF($B1014="","",COUNTA($B$9:$B1014))</f>
        <v/>
      </c>
      <c r="B1014" s="12" t="n"/>
      <c r="C1014" s="12" t="n"/>
      <c r="D1014" s="12" t="n"/>
      <c r="E1014" s="13" t="n"/>
      <c r="F1014" s="11">
        <f>IF($E1014="","",IFERROR(VLOOKUP($E1014,OpTbl,2,0),""))</f>
        <v/>
      </c>
      <c r="G1014" s="12" t="n"/>
      <c r="H1014" s="11">
        <f>IF($G1014="","",IFERROR(IF(VLOOKUP($G1014,AcctTbl,4,0)="","(بدون نام)",VLOOKUP($G1014,AcctTbl,4,0)),"کد ناشناخته"))</f>
        <v/>
      </c>
      <c r="I1014" s="13" t="n"/>
      <c r="J1014" s="13" t="n"/>
      <c r="K1014" s="14" t="n"/>
      <c r="L1014" s="14" t="n"/>
      <c r="M1014" s="15">
        <f>IF(OR($B1014="",$K1014=""),"",($K1014-IF($L1014="",0,$L1014)*IFERROR(VLOOKUP("P01",ParamTbl,3,0),1.5))*(1-IF(IFERROR(VLOOKUP($E1014,OpTbl,3,0),"")="خرید",IFERROR(VLOOKUP("P02",ParamTbl,3,0),1),0)/100))</f>
        <v/>
      </c>
      <c r="N1014" s="14" t="n"/>
      <c r="O1014" s="13" t="n"/>
    </row>
    <row r="1015">
      <c r="A1015" s="11">
        <f>IF($B1015="","",COUNTA($B$9:$B1015))</f>
        <v/>
      </c>
      <c r="B1015" s="12" t="n"/>
      <c r="C1015" s="12" t="n"/>
      <c r="D1015" s="12" t="n"/>
      <c r="E1015" s="13" t="n"/>
      <c r="F1015" s="11">
        <f>IF($E1015="","",IFERROR(VLOOKUP($E1015,OpTbl,2,0),""))</f>
        <v/>
      </c>
      <c r="G1015" s="12" t="n"/>
      <c r="H1015" s="11">
        <f>IF($G1015="","",IFERROR(IF(VLOOKUP($G1015,AcctTbl,4,0)="","(بدون نام)",VLOOKUP($G1015,AcctTbl,4,0)),"کد ناشناخته"))</f>
        <v/>
      </c>
      <c r="I1015" s="13" t="n"/>
      <c r="J1015" s="13" t="n"/>
      <c r="K1015" s="14" t="n"/>
      <c r="L1015" s="14" t="n"/>
      <c r="M1015" s="15">
        <f>IF(OR($B1015="",$K1015=""),"",($K1015-IF($L1015="",0,$L1015)*IFERROR(VLOOKUP("P01",ParamTbl,3,0),1.5))*(1-IF(IFERROR(VLOOKUP($E1015,OpTbl,3,0),"")="خرید",IFERROR(VLOOKUP("P02",ParamTbl,3,0),1),0)/100))</f>
        <v/>
      </c>
      <c r="N1015" s="14" t="n"/>
      <c r="O1015" s="13" t="n"/>
    </row>
    <row r="1016">
      <c r="A1016" s="11">
        <f>IF($B1016="","",COUNTA($B$9:$B1016))</f>
        <v/>
      </c>
      <c r="B1016" s="12" t="n"/>
      <c r="C1016" s="12" t="n"/>
      <c r="D1016" s="12" t="n"/>
      <c r="E1016" s="13" t="n"/>
      <c r="F1016" s="11">
        <f>IF($E1016="","",IFERROR(VLOOKUP($E1016,OpTbl,2,0),""))</f>
        <v/>
      </c>
      <c r="G1016" s="12" t="n"/>
      <c r="H1016" s="11">
        <f>IF($G1016="","",IFERROR(IF(VLOOKUP($G1016,AcctTbl,4,0)="","(بدون نام)",VLOOKUP($G1016,AcctTbl,4,0)),"کد ناشناخته"))</f>
        <v/>
      </c>
      <c r="I1016" s="13" t="n"/>
      <c r="J1016" s="13" t="n"/>
      <c r="K1016" s="14" t="n"/>
      <c r="L1016" s="14" t="n"/>
      <c r="M1016" s="15">
        <f>IF(OR($B1016="",$K1016=""),"",($K1016-IF($L1016="",0,$L1016)*IFERROR(VLOOKUP("P01",ParamTbl,3,0),1.5))*(1-IF(IFERROR(VLOOKUP($E1016,OpTbl,3,0),"")="خرید",IFERROR(VLOOKUP("P02",ParamTbl,3,0),1),0)/100))</f>
        <v/>
      </c>
      <c r="N1016" s="14" t="n"/>
      <c r="O1016" s="13" t="n"/>
    </row>
    <row r="1017">
      <c r="A1017" s="11">
        <f>IF($B1017="","",COUNTA($B$9:$B1017))</f>
        <v/>
      </c>
      <c r="B1017" s="12" t="n"/>
      <c r="C1017" s="12" t="n"/>
      <c r="D1017" s="12" t="n"/>
      <c r="E1017" s="13" t="n"/>
      <c r="F1017" s="11">
        <f>IF($E1017="","",IFERROR(VLOOKUP($E1017,OpTbl,2,0),""))</f>
        <v/>
      </c>
      <c r="G1017" s="12" t="n"/>
      <c r="H1017" s="11">
        <f>IF($G1017="","",IFERROR(IF(VLOOKUP($G1017,AcctTbl,4,0)="","(بدون نام)",VLOOKUP($G1017,AcctTbl,4,0)),"کد ناشناخته"))</f>
        <v/>
      </c>
      <c r="I1017" s="13" t="n"/>
      <c r="J1017" s="13" t="n"/>
      <c r="K1017" s="14" t="n"/>
      <c r="L1017" s="14" t="n"/>
      <c r="M1017" s="15">
        <f>IF(OR($B1017="",$K1017=""),"",($K1017-IF($L1017="",0,$L1017)*IFERROR(VLOOKUP("P01",ParamTbl,3,0),1.5))*(1-IF(IFERROR(VLOOKUP($E1017,OpTbl,3,0),"")="خرید",IFERROR(VLOOKUP("P02",ParamTbl,3,0),1),0)/100))</f>
        <v/>
      </c>
      <c r="N1017" s="14" t="n"/>
      <c r="O1017" s="13" t="n"/>
    </row>
    <row r="1018">
      <c r="A1018" s="11">
        <f>IF($B1018="","",COUNTA($B$9:$B1018))</f>
        <v/>
      </c>
      <c r="B1018" s="12" t="n"/>
      <c r="C1018" s="12" t="n"/>
      <c r="D1018" s="12" t="n"/>
      <c r="E1018" s="13" t="n"/>
      <c r="F1018" s="11">
        <f>IF($E1018="","",IFERROR(VLOOKUP($E1018,OpTbl,2,0),""))</f>
        <v/>
      </c>
      <c r="G1018" s="12" t="n"/>
      <c r="H1018" s="11">
        <f>IF($G1018="","",IFERROR(IF(VLOOKUP($G1018,AcctTbl,4,0)="","(بدون نام)",VLOOKUP($G1018,AcctTbl,4,0)),"کد ناشناخته"))</f>
        <v/>
      </c>
      <c r="I1018" s="13" t="n"/>
      <c r="J1018" s="13" t="n"/>
      <c r="K1018" s="14" t="n"/>
      <c r="L1018" s="14" t="n"/>
      <c r="M1018" s="15">
        <f>IF(OR($B1018="",$K1018=""),"",($K1018-IF($L1018="",0,$L1018)*IFERROR(VLOOKUP("P01",ParamTbl,3,0),1.5))*(1-IF(IFERROR(VLOOKUP($E1018,OpTbl,3,0),"")="خرید",IFERROR(VLOOKUP("P02",ParamTbl,3,0),1),0)/100))</f>
        <v/>
      </c>
      <c r="N1018" s="14" t="n"/>
      <c r="O1018" s="13" t="n"/>
    </row>
    <row r="1019">
      <c r="A1019" s="11">
        <f>IF($B1019="","",COUNTA($B$9:$B1019))</f>
        <v/>
      </c>
      <c r="B1019" s="12" t="n"/>
      <c r="C1019" s="12" t="n"/>
      <c r="D1019" s="12" t="n"/>
      <c r="E1019" s="13" t="n"/>
      <c r="F1019" s="11">
        <f>IF($E1019="","",IFERROR(VLOOKUP($E1019,OpTbl,2,0),""))</f>
        <v/>
      </c>
      <c r="G1019" s="12" t="n"/>
      <c r="H1019" s="11">
        <f>IF($G1019="","",IFERROR(IF(VLOOKUP($G1019,AcctTbl,4,0)="","(بدون نام)",VLOOKUP($G1019,AcctTbl,4,0)),"کد ناشناخته"))</f>
        <v/>
      </c>
      <c r="I1019" s="13" t="n"/>
      <c r="J1019" s="13" t="n"/>
      <c r="K1019" s="14" t="n"/>
      <c r="L1019" s="14" t="n"/>
      <c r="M1019" s="15">
        <f>IF(OR($B1019="",$K1019=""),"",($K1019-IF($L1019="",0,$L1019)*IFERROR(VLOOKUP("P01",ParamTbl,3,0),1.5))*(1-IF(IFERROR(VLOOKUP($E1019,OpTbl,3,0),"")="خرید",IFERROR(VLOOKUP("P02",ParamTbl,3,0),1),0)/100))</f>
        <v/>
      </c>
      <c r="N1019" s="14" t="n"/>
      <c r="O1019" s="13" t="n"/>
    </row>
    <row r="1020">
      <c r="A1020" s="11">
        <f>IF($B1020="","",COUNTA($B$9:$B1020))</f>
        <v/>
      </c>
      <c r="B1020" s="12" t="n"/>
      <c r="C1020" s="12" t="n"/>
      <c r="D1020" s="12" t="n"/>
      <c r="E1020" s="13" t="n"/>
      <c r="F1020" s="11">
        <f>IF($E1020="","",IFERROR(VLOOKUP($E1020,OpTbl,2,0),""))</f>
        <v/>
      </c>
      <c r="G1020" s="12" t="n"/>
      <c r="H1020" s="11">
        <f>IF($G1020="","",IFERROR(IF(VLOOKUP($G1020,AcctTbl,4,0)="","(بدون نام)",VLOOKUP($G1020,AcctTbl,4,0)),"کد ناشناخته"))</f>
        <v/>
      </c>
      <c r="I1020" s="13" t="n"/>
      <c r="J1020" s="13" t="n"/>
      <c r="K1020" s="14" t="n"/>
      <c r="L1020" s="14" t="n"/>
      <c r="M1020" s="15">
        <f>IF(OR($B1020="",$K1020=""),"",($K1020-IF($L1020="",0,$L1020)*IFERROR(VLOOKUP("P01",ParamTbl,3,0),1.5))*(1-IF(IFERROR(VLOOKUP($E1020,OpTbl,3,0),"")="خرید",IFERROR(VLOOKUP("P02",ParamTbl,3,0),1),0)/100))</f>
        <v/>
      </c>
      <c r="N1020" s="14" t="n"/>
      <c r="O1020" s="13" t="n"/>
    </row>
    <row r="1021">
      <c r="A1021" s="11">
        <f>IF($B1021="","",COUNTA($B$9:$B1021))</f>
        <v/>
      </c>
      <c r="B1021" s="12" t="n"/>
      <c r="C1021" s="12" t="n"/>
      <c r="D1021" s="12" t="n"/>
      <c r="E1021" s="13" t="n"/>
      <c r="F1021" s="11">
        <f>IF($E1021="","",IFERROR(VLOOKUP($E1021,OpTbl,2,0),""))</f>
        <v/>
      </c>
      <c r="G1021" s="12" t="n"/>
      <c r="H1021" s="11">
        <f>IF($G1021="","",IFERROR(IF(VLOOKUP($G1021,AcctTbl,4,0)="","(بدون نام)",VLOOKUP($G1021,AcctTbl,4,0)),"کد ناشناخته"))</f>
        <v/>
      </c>
      <c r="I1021" s="13" t="n"/>
      <c r="J1021" s="13" t="n"/>
      <c r="K1021" s="14" t="n"/>
      <c r="L1021" s="14" t="n"/>
      <c r="M1021" s="15">
        <f>IF(OR($B1021="",$K1021=""),"",($K1021-IF($L1021="",0,$L1021)*IFERROR(VLOOKUP("P01",ParamTbl,3,0),1.5))*(1-IF(IFERROR(VLOOKUP($E1021,OpTbl,3,0),"")="خرید",IFERROR(VLOOKUP("P02",ParamTbl,3,0),1),0)/100))</f>
        <v/>
      </c>
      <c r="N1021" s="14" t="n"/>
      <c r="O1021" s="13" t="n"/>
    </row>
    <row r="1022">
      <c r="A1022" s="11">
        <f>IF($B1022="","",COUNTA($B$9:$B1022))</f>
        <v/>
      </c>
      <c r="B1022" s="12" t="n"/>
      <c r="C1022" s="12" t="n"/>
      <c r="D1022" s="12" t="n"/>
      <c r="E1022" s="13" t="n"/>
      <c r="F1022" s="11">
        <f>IF($E1022="","",IFERROR(VLOOKUP($E1022,OpTbl,2,0),""))</f>
        <v/>
      </c>
      <c r="G1022" s="12" t="n"/>
      <c r="H1022" s="11">
        <f>IF($G1022="","",IFERROR(IF(VLOOKUP($G1022,AcctTbl,4,0)="","(بدون نام)",VLOOKUP($G1022,AcctTbl,4,0)),"کد ناشناخته"))</f>
        <v/>
      </c>
      <c r="I1022" s="13" t="n"/>
      <c r="J1022" s="13" t="n"/>
      <c r="K1022" s="14" t="n"/>
      <c r="L1022" s="14" t="n"/>
      <c r="M1022" s="15">
        <f>IF(OR($B1022="",$K1022=""),"",($K1022-IF($L1022="",0,$L1022)*IFERROR(VLOOKUP("P01",ParamTbl,3,0),1.5))*(1-IF(IFERROR(VLOOKUP($E1022,OpTbl,3,0),"")="خرید",IFERROR(VLOOKUP("P02",ParamTbl,3,0),1),0)/100))</f>
        <v/>
      </c>
      <c r="N1022" s="14" t="n"/>
      <c r="O1022" s="13" t="n"/>
    </row>
    <row r="1023">
      <c r="A1023" s="11">
        <f>IF($B1023="","",COUNTA($B$9:$B1023))</f>
        <v/>
      </c>
      <c r="B1023" s="12" t="n"/>
      <c r="C1023" s="12" t="n"/>
      <c r="D1023" s="12" t="n"/>
      <c r="E1023" s="13" t="n"/>
      <c r="F1023" s="11">
        <f>IF($E1023="","",IFERROR(VLOOKUP($E1023,OpTbl,2,0),""))</f>
        <v/>
      </c>
      <c r="G1023" s="12" t="n"/>
      <c r="H1023" s="11">
        <f>IF($G1023="","",IFERROR(IF(VLOOKUP($G1023,AcctTbl,4,0)="","(بدون نام)",VLOOKUP($G1023,AcctTbl,4,0)),"کد ناشناخته"))</f>
        <v/>
      </c>
      <c r="I1023" s="13" t="n"/>
      <c r="J1023" s="13" t="n"/>
      <c r="K1023" s="14" t="n"/>
      <c r="L1023" s="14" t="n"/>
      <c r="M1023" s="15">
        <f>IF(OR($B1023="",$K1023=""),"",($K1023-IF($L1023="",0,$L1023)*IFERROR(VLOOKUP("P01",ParamTbl,3,0),1.5))*(1-IF(IFERROR(VLOOKUP($E1023,OpTbl,3,0),"")="خرید",IFERROR(VLOOKUP("P02",ParamTbl,3,0),1),0)/100))</f>
        <v/>
      </c>
      <c r="N1023" s="14" t="n"/>
      <c r="O1023" s="13" t="n"/>
    </row>
    <row r="1024">
      <c r="A1024" s="11">
        <f>IF($B1024="","",COUNTA($B$9:$B1024))</f>
        <v/>
      </c>
      <c r="B1024" s="12" t="n"/>
      <c r="C1024" s="12" t="n"/>
      <c r="D1024" s="12" t="n"/>
      <c r="E1024" s="13" t="n"/>
      <c r="F1024" s="11">
        <f>IF($E1024="","",IFERROR(VLOOKUP($E1024,OpTbl,2,0),""))</f>
        <v/>
      </c>
      <c r="G1024" s="12" t="n"/>
      <c r="H1024" s="11">
        <f>IF($G1024="","",IFERROR(IF(VLOOKUP($G1024,AcctTbl,4,0)="","(بدون نام)",VLOOKUP($G1024,AcctTbl,4,0)),"کد ناشناخته"))</f>
        <v/>
      </c>
      <c r="I1024" s="13" t="n"/>
      <c r="J1024" s="13" t="n"/>
      <c r="K1024" s="14" t="n"/>
      <c r="L1024" s="14" t="n"/>
      <c r="M1024" s="15">
        <f>IF(OR($B1024="",$K1024=""),"",($K1024-IF($L1024="",0,$L1024)*IFERROR(VLOOKUP("P01",ParamTbl,3,0),1.5))*(1-IF(IFERROR(VLOOKUP($E1024,OpTbl,3,0),"")="خرید",IFERROR(VLOOKUP("P02",ParamTbl,3,0),1),0)/100))</f>
        <v/>
      </c>
      <c r="N1024" s="14" t="n"/>
      <c r="O1024" s="13" t="n"/>
    </row>
    <row r="1025">
      <c r="A1025" s="11">
        <f>IF($B1025="","",COUNTA($B$9:$B1025))</f>
        <v/>
      </c>
      <c r="B1025" s="12" t="n"/>
      <c r="C1025" s="12" t="n"/>
      <c r="D1025" s="12" t="n"/>
      <c r="E1025" s="13" t="n"/>
      <c r="F1025" s="11">
        <f>IF($E1025="","",IFERROR(VLOOKUP($E1025,OpTbl,2,0),""))</f>
        <v/>
      </c>
      <c r="G1025" s="12" t="n"/>
      <c r="H1025" s="11">
        <f>IF($G1025="","",IFERROR(IF(VLOOKUP($G1025,AcctTbl,4,0)="","(بدون نام)",VLOOKUP($G1025,AcctTbl,4,0)),"کد ناشناخته"))</f>
        <v/>
      </c>
      <c r="I1025" s="13" t="n"/>
      <c r="J1025" s="13" t="n"/>
      <c r="K1025" s="14" t="n"/>
      <c r="L1025" s="14" t="n"/>
      <c r="M1025" s="15">
        <f>IF(OR($B1025="",$K1025=""),"",($K1025-IF($L1025="",0,$L1025)*IFERROR(VLOOKUP("P01",ParamTbl,3,0),1.5))*(1-IF(IFERROR(VLOOKUP($E1025,OpTbl,3,0),"")="خرید",IFERROR(VLOOKUP("P02",ParamTbl,3,0),1),0)/100))</f>
        <v/>
      </c>
      <c r="N1025" s="14" t="n"/>
      <c r="O1025" s="13" t="n"/>
    </row>
    <row r="1026">
      <c r="A1026" s="11">
        <f>IF($B1026="","",COUNTA($B$9:$B1026))</f>
        <v/>
      </c>
      <c r="B1026" s="12" t="n"/>
      <c r="C1026" s="12" t="n"/>
      <c r="D1026" s="12" t="n"/>
      <c r="E1026" s="13" t="n"/>
      <c r="F1026" s="11">
        <f>IF($E1026="","",IFERROR(VLOOKUP($E1026,OpTbl,2,0),""))</f>
        <v/>
      </c>
      <c r="G1026" s="12" t="n"/>
      <c r="H1026" s="11">
        <f>IF($G1026="","",IFERROR(IF(VLOOKUP($G1026,AcctTbl,4,0)="","(بدون نام)",VLOOKUP($G1026,AcctTbl,4,0)),"کد ناشناخته"))</f>
        <v/>
      </c>
      <c r="I1026" s="13" t="n"/>
      <c r="J1026" s="13" t="n"/>
      <c r="K1026" s="14" t="n"/>
      <c r="L1026" s="14" t="n"/>
      <c r="M1026" s="15">
        <f>IF(OR($B1026="",$K1026=""),"",($K1026-IF($L1026="",0,$L1026)*IFERROR(VLOOKUP("P01",ParamTbl,3,0),1.5))*(1-IF(IFERROR(VLOOKUP($E1026,OpTbl,3,0),"")="خرید",IFERROR(VLOOKUP("P02",ParamTbl,3,0),1),0)/100))</f>
        <v/>
      </c>
      <c r="N1026" s="14" t="n"/>
      <c r="O1026" s="13" t="n"/>
    </row>
    <row r="1027">
      <c r="A1027" s="11">
        <f>IF($B1027="","",COUNTA($B$9:$B1027))</f>
        <v/>
      </c>
      <c r="B1027" s="12" t="n"/>
      <c r="C1027" s="12" t="n"/>
      <c r="D1027" s="12" t="n"/>
      <c r="E1027" s="13" t="n"/>
      <c r="F1027" s="11">
        <f>IF($E1027="","",IFERROR(VLOOKUP($E1027,OpTbl,2,0),""))</f>
        <v/>
      </c>
      <c r="G1027" s="12" t="n"/>
      <c r="H1027" s="11">
        <f>IF($G1027="","",IFERROR(IF(VLOOKUP($G1027,AcctTbl,4,0)="","(بدون نام)",VLOOKUP($G1027,AcctTbl,4,0)),"کد ناشناخته"))</f>
        <v/>
      </c>
      <c r="I1027" s="13" t="n"/>
      <c r="J1027" s="13" t="n"/>
      <c r="K1027" s="14" t="n"/>
      <c r="L1027" s="14" t="n"/>
      <c r="M1027" s="15">
        <f>IF(OR($B1027="",$K1027=""),"",($K1027-IF($L1027="",0,$L1027)*IFERROR(VLOOKUP("P01",ParamTbl,3,0),1.5))*(1-IF(IFERROR(VLOOKUP($E1027,OpTbl,3,0),"")="خرید",IFERROR(VLOOKUP("P02",ParamTbl,3,0),1),0)/100))</f>
        <v/>
      </c>
      <c r="N1027" s="14" t="n"/>
      <c r="O1027" s="13" t="n"/>
    </row>
    <row r="1028">
      <c r="A1028" s="11">
        <f>IF($B1028="","",COUNTA($B$9:$B1028))</f>
        <v/>
      </c>
      <c r="B1028" s="12" t="n"/>
      <c r="C1028" s="12" t="n"/>
      <c r="D1028" s="12" t="n"/>
      <c r="E1028" s="13" t="n"/>
      <c r="F1028" s="11">
        <f>IF($E1028="","",IFERROR(VLOOKUP($E1028,OpTbl,2,0),""))</f>
        <v/>
      </c>
      <c r="G1028" s="12" t="n"/>
      <c r="H1028" s="11">
        <f>IF($G1028="","",IFERROR(IF(VLOOKUP($G1028,AcctTbl,4,0)="","(بدون نام)",VLOOKUP($G1028,AcctTbl,4,0)),"کد ناشناخته"))</f>
        <v/>
      </c>
      <c r="I1028" s="13" t="n"/>
      <c r="J1028" s="13" t="n"/>
      <c r="K1028" s="14" t="n"/>
      <c r="L1028" s="14" t="n"/>
      <c r="M1028" s="15">
        <f>IF(OR($B1028="",$K1028=""),"",($K1028-IF($L1028="",0,$L1028)*IFERROR(VLOOKUP("P01",ParamTbl,3,0),1.5))*(1-IF(IFERROR(VLOOKUP($E1028,OpTbl,3,0),"")="خرید",IFERROR(VLOOKUP("P02",ParamTbl,3,0),1),0)/100))</f>
        <v/>
      </c>
      <c r="N1028" s="14" t="n"/>
      <c r="O1028" s="13" t="n"/>
    </row>
    <row r="1029">
      <c r="A1029" s="11">
        <f>IF($B1029="","",COUNTA($B$9:$B1029))</f>
        <v/>
      </c>
      <c r="B1029" s="12" t="n"/>
      <c r="C1029" s="12" t="n"/>
      <c r="D1029" s="12" t="n"/>
      <c r="E1029" s="13" t="n"/>
      <c r="F1029" s="11">
        <f>IF($E1029="","",IFERROR(VLOOKUP($E1029,OpTbl,2,0),""))</f>
        <v/>
      </c>
      <c r="G1029" s="12" t="n"/>
      <c r="H1029" s="11">
        <f>IF($G1029="","",IFERROR(IF(VLOOKUP($G1029,AcctTbl,4,0)="","(بدون نام)",VLOOKUP($G1029,AcctTbl,4,0)),"کد ناشناخته"))</f>
        <v/>
      </c>
      <c r="I1029" s="13" t="n"/>
      <c r="J1029" s="13" t="n"/>
      <c r="K1029" s="14" t="n"/>
      <c r="L1029" s="14" t="n"/>
      <c r="M1029" s="15">
        <f>IF(OR($B1029="",$K1029=""),"",($K1029-IF($L1029="",0,$L1029)*IFERROR(VLOOKUP("P01",ParamTbl,3,0),1.5))*(1-IF(IFERROR(VLOOKUP($E1029,OpTbl,3,0),"")="خرید",IFERROR(VLOOKUP("P02",ParamTbl,3,0),1),0)/100))</f>
        <v/>
      </c>
      <c r="N1029" s="14" t="n"/>
      <c r="O1029" s="13" t="n"/>
    </row>
    <row r="1030">
      <c r="A1030" s="11">
        <f>IF($B1030="","",COUNTA($B$9:$B1030))</f>
        <v/>
      </c>
      <c r="B1030" s="12" t="n"/>
      <c r="C1030" s="12" t="n"/>
      <c r="D1030" s="12" t="n"/>
      <c r="E1030" s="13" t="n"/>
      <c r="F1030" s="11">
        <f>IF($E1030="","",IFERROR(VLOOKUP($E1030,OpTbl,2,0),""))</f>
        <v/>
      </c>
      <c r="G1030" s="12" t="n"/>
      <c r="H1030" s="11">
        <f>IF($G1030="","",IFERROR(IF(VLOOKUP($G1030,AcctTbl,4,0)="","(بدون نام)",VLOOKUP($G1030,AcctTbl,4,0)),"کد ناشناخته"))</f>
        <v/>
      </c>
      <c r="I1030" s="13" t="n"/>
      <c r="J1030" s="13" t="n"/>
      <c r="K1030" s="14" t="n"/>
      <c r="L1030" s="14" t="n"/>
      <c r="M1030" s="15">
        <f>IF(OR($B1030="",$K1030=""),"",($K1030-IF($L1030="",0,$L1030)*IFERROR(VLOOKUP("P01",ParamTbl,3,0),1.5))*(1-IF(IFERROR(VLOOKUP($E1030,OpTbl,3,0),"")="خرید",IFERROR(VLOOKUP("P02",ParamTbl,3,0),1),0)/100))</f>
        <v/>
      </c>
      <c r="N1030" s="14" t="n"/>
      <c r="O1030" s="13" t="n"/>
    </row>
    <row r="1031">
      <c r="A1031" s="11">
        <f>IF($B1031="","",COUNTA($B$9:$B1031))</f>
        <v/>
      </c>
      <c r="B1031" s="12" t="n"/>
      <c r="C1031" s="12" t="n"/>
      <c r="D1031" s="12" t="n"/>
      <c r="E1031" s="13" t="n"/>
      <c r="F1031" s="11">
        <f>IF($E1031="","",IFERROR(VLOOKUP($E1031,OpTbl,2,0),""))</f>
        <v/>
      </c>
      <c r="G1031" s="12" t="n"/>
      <c r="H1031" s="11">
        <f>IF($G1031="","",IFERROR(IF(VLOOKUP($G1031,AcctTbl,4,0)="","(بدون نام)",VLOOKUP($G1031,AcctTbl,4,0)),"کد ناشناخته"))</f>
        <v/>
      </c>
      <c r="I1031" s="13" t="n"/>
      <c r="J1031" s="13" t="n"/>
      <c r="K1031" s="14" t="n"/>
      <c r="L1031" s="14" t="n"/>
      <c r="M1031" s="15">
        <f>IF(OR($B1031="",$K1031=""),"",($K1031-IF($L1031="",0,$L1031)*IFERROR(VLOOKUP("P01",ParamTbl,3,0),1.5))*(1-IF(IFERROR(VLOOKUP($E1031,OpTbl,3,0),"")="خرید",IFERROR(VLOOKUP("P02",ParamTbl,3,0),1),0)/100))</f>
        <v/>
      </c>
      <c r="N1031" s="14" t="n"/>
      <c r="O1031" s="13" t="n"/>
    </row>
    <row r="1032">
      <c r="A1032" s="11">
        <f>IF($B1032="","",COUNTA($B$9:$B1032))</f>
        <v/>
      </c>
      <c r="B1032" s="12" t="n"/>
      <c r="C1032" s="12" t="n"/>
      <c r="D1032" s="12" t="n"/>
      <c r="E1032" s="13" t="n"/>
      <c r="F1032" s="11">
        <f>IF($E1032="","",IFERROR(VLOOKUP($E1032,OpTbl,2,0),""))</f>
        <v/>
      </c>
      <c r="G1032" s="12" t="n"/>
      <c r="H1032" s="11">
        <f>IF($G1032="","",IFERROR(IF(VLOOKUP($G1032,AcctTbl,4,0)="","(بدون نام)",VLOOKUP($G1032,AcctTbl,4,0)),"کد ناشناخته"))</f>
        <v/>
      </c>
      <c r="I1032" s="13" t="n"/>
      <c r="J1032" s="13" t="n"/>
      <c r="K1032" s="14" t="n"/>
      <c r="L1032" s="14" t="n"/>
      <c r="M1032" s="15">
        <f>IF(OR($B1032="",$K1032=""),"",($K1032-IF($L1032="",0,$L1032)*IFERROR(VLOOKUP("P01",ParamTbl,3,0),1.5))*(1-IF(IFERROR(VLOOKUP($E1032,OpTbl,3,0),"")="خرید",IFERROR(VLOOKUP("P02",ParamTbl,3,0),1),0)/100))</f>
        <v/>
      </c>
      <c r="N1032" s="14" t="n"/>
      <c r="O1032" s="13" t="n"/>
    </row>
    <row r="1033">
      <c r="A1033" s="11">
        <f>IF($B1033="","",COUNTA($B$9:$B1033))</f>
        <v/>
      </c>
      <c r="B1033" s="12" t="n"/>
      <c r="C1033" s="12" t="n"/>
      <c r="D1033" s="12" t="n"/>
      <c r="E1033" s="13" t="n"/>
      <c r="F1033" s="11">
        <f>IF($E1033="","",IFERROR(VLOOKUP($E1033,OpTbl,2,0),""))</f>
        <v/>
      </c>
      <c r="G1033" s="12" t="n"/>
      <c r="H1033" s="11">
        <f>IF($G1033="","",IFERROR(IF(VLOOKUP($G1033,AcctTbl,4,0)="","(بدون نام)",VLOOKUP($G1033,AcctTbl,4,0)),"کد ناشناخته"))</f>
        <v/>
      </c>
      <c r="I1033" s="13" t="n"/>
      <c r="J1033" s="13" t="n"/>
      <c r="K1033" s="14" t="n"/>
      <c r="L1033" s="14" t="n"/>
      <c r="M1033" s="15">
        <f>IF(OR($B1033="",$K1033=""),"",($K1033-IF($L1033="",0,$L1033)*IFERROR(VLOOKUP("P01",ParamTbl,3,0),1.5))*(1-IF(IFERROR(VLOOKUP($E1033,OpTbl,3,0),"")="خرید",IFERROR(VLOOKUP("P02",ParamTbl,3,0),1),0)/100))</f>
        <v/>
      </c>
      <c r="N1033" s="14" t="n"/>
      <c r="O1033" s="13" t="n"/>
    </row>
    <row r="1034">
      <c r="A1034" s="11">
        <f>IF($B1034="","",COUNTA($B$9:$B1034))</f>
        <v/>
      </c>
      <c r="B1034" s="12" t="n"/>
      <c r="C1034" s="12" t="n"/>
      <c r="D1034" s="12" t="n"/>
      <c r="E1034" s="13" t="n"/>
      <c r="F1034" s="11">
        <f>IF($E1034="","",IFERROR(VLOOKUP($E1034,OpTbl,2,0),""))</f>
        <v/>
      </c>
      <c r="G1034" s="12" t="n"/>
      <c r="H1034" s="11">
        <f>IF($G1034="","",IFERROR(IF(VLOOKUP($G1034,AcctTbl,4,0)="","(بدون نام)",VLOOKUP($G1034,AcctTbl,4,0)),"کد ناشناخته"))</f>
        <v/>
      </c>
      <c r="I1034" s="13" t="n"/>
      <c r="J1034" s="13" t="n"/>
      <c r="K1034" s="14" t="n"/>
      <c r="L1034" s="14" t="n"/>
      <c r="M1034" s="15">
        <f>IF(OR($B1034="",$K1034=""),"",($K1034-IF($L1034="",0,$L1034)*IFERROR(VLOOKUP("P01",ParamTbl,3,0),1.5))*(1-IF(IFERROR(VLOOKUP($E1034,OpTbl,3,0),"")="خرید",IFERROR(VLOOKUP("P02",ParamTbl,3,0),1),0)/100))</f>
        <v/>
      </c>
      <c r="N1034" s="14" t="n"/>
      <c r="O1034" s="13" t="n"/>
    </row>
    <row r="1035">
      <c r="A1035" s="11">
        <f>IF($B1035="","",COUNTA($B$9:$B1035))</f>
        <v/>
      </c>
      <c r="B1035" s="12" t="n"/>
      <c r="C1035" s="12" t="n"/>
      <c r="D1035" s="12" t="n"/>
      <c r="E1035" s="13" t="n"/>
      <c r="F1035" s="11">
        <f>IF($E1035="","",IFERROR(VLOOKUP($E1035,OpTbl,2,0),""))</f>
        <v/>
      </c>
      <c r="G1035" s="12" t="n"/>
      <c r="H1035" s="11">
        <f>IF($G1035="","",IFERROR(IF(VLOOKUP($G1035,AcctTbl,4,0)="","(بدون نام)",VLOOKUP($G1035,AcctTbl,4,0)),"کد ناشناخته"))</f>
        <v/>
      </c>
      <c r="I1035" s="13" t="n"/>
      <c r="J1035" s="13" t="n"/>
      <c r="K1035" s="14" t="n"/>
      <c r="L1035" s="14" t="n"/>
      <c r="M1035" s="15">
        <f>IF(OR($B1035="",$K1035=""),"",($K1035-IF($L1035="",0,$L1035)*IFERROR(VLOOKUP("P01",ParamTbl,3,0),1.5))*(1-IF(IFERROR(VLOOKUP($E1035,OpTbl,3,0),"")="خرید",IFERROR(VLOOKUP("P02",ParamTbl,3,0),1),0)/100))</f>
        <v/>
      </c>
      <c r="N1035" s="14" t="n"/>
      <c r="O1035" s="13" t="n"/>
    </row>
    <row r="1036">
      <c r="A1036" s="11">
        <f>IF($B1036="","",COUNTA($B$9:$B1036))</f>
        <v/>
      </c>
      <c r="B1036" s="12" t="n"/>
      <c r="C1036" s="12" t="n"/>
      <c r="D1036" s="12" t="n"/>
      <c r="E1036" s="13" t="n"/>
      <c r="F1036" s="11">
        <f>IF($E1036="","",IFERROR(VLOOKUP($E1036,OpTbl,2,0),""))</f>
        <v/>
      </c>
      <c r="G1036" s="12" t="n"/>
      <c r="H1036" s="11">
        <f>IF($G1036="","",IFERROR(IF(VLOOKUP($G1036,AcctTbl,4,0)="","(بدون نام)",VLOOKUP($G1036,AcctTbl,4,0)),"کد ناشناخته"))</f>
        <v/>
      </c>
      <c r="I1036" s="13" t="n"/>
      <c r="J1036" s="13" t="n"/>
      <c r="K1036" s="14" t="n"/>
      <c r="L1036" s="14" t="n"/>
      <c r="M1036" s="15">
        <f>IF(OR($B1036="",$K1036=""),"",($K1036-IF($L1036="",0,$L1036)*IFERROR(VLOOKUP("P01",ParamTbl,3,0),1.5))*(1-IF(IFERROR(VLOOKUP($E1036,OpTbl,3,0),"")="خرید",IFERROR(VLOOKUP("P02",ParamTbl,3,0),1),0)/100))</f>
        <v/>
      </c>
      <c r="N1036" s="14" t="n"/>
      <c r="O1036" s="13" t="n"/>
    </row>
    <row r="1037">
      <c r="A1037" s="11">
        <f>IF($B1037="","",COUNTA($B$9:$B1037))</f>
        <v/>
      </c>
      <c r="B1037" s="12" t="n"/>
      <c r="C1037" s="12" t="n"/>
      <c r="D1037" s="12" t="n"/>
      <c r="E1037" s="13" t="n"/>
      <c r="F1037" s="11">
        <f>IF($E1037="","",IFERROR(VLOOKUP($E1037,OpTbl,2,0),""))</f>
        <v/>
      </c>
      <c r="G1037" s="12" t="n"/>
      <c r="H1037" s="11">
        <f>IF($G1037="","",IFERROR(IF(VLOOKUP($G1037,AcctTbl,4,0)="","(بدون نام)",VLOOKUP($G1037,AcctTbl,4,0)),"کد ناشناخته"))</f>
        <v/>
      </c>
      <c r="I1037" s="13" t="n"/>
      <c r="J1037" s="13" t="n"/>
      <c r="K1037" s="14" t="n"/>
      <c r="L1037" s="14" t="n"/>
      <c r="M1037" s="15">
        <f>IF(OR($B1037="",$K1037=""),"",($K1037-IF($L1037="",0,$L1037)*IFERROR(VLOOKUP("P01",ParamTbl,3,0),1.5))*(1-IF(IFERROR(VLOOKUP($E1037,OpTbl,3,0),"")="خرید",IFERROR(VLOOKUP("P02",ParamTbl,3,0),1),0)/100))</f>
        <v/>
      </c>
      <c r="N1037" s="14" t="n"/>
      <c r="O1037" s="13" t="n"/>
    </row>
    <row r="1038">
      <c r="A1038" s="11">
        <f>IF($B1038="","",COUNTA($B$9:$B1038))</f>
        <v/>
      </c>
      <c r="B1038" s="12" t="n"/>
      <c r="C1038" s="12" t="n"/>
      <c r="D1038" s="12" t="n"/>
      <c r="E1038" s="13" t="n"/>
      <c r="F1038" s="11">
        <f>IF($E1038="","",IFERROR(VLOOKUP($E1038,OpTbl,2,0),""))</f>
        <v/>
      </c>
      <c r="G1038" s="12" t="n"/>
      <c r="H1038" s="11">
        <f>IF($G1038="","",IFERROR(IF(VLOOKUP($G1038,AcctTbl,4,0)="","(بدون نام)",VLOOKUP($G1038,AcctTbl,4,0)),"کد ناشناخته"))</f>
        <v/>
      </c>
      <c r="I1038" s="13" t="n"/>
      <c r="J1038" s="13" t="n"/>
      <c r="K1038" s="14" t="n"/>
      <c r="L1038" s="14" t="n"/>
      <c r="M1038" s="15">
        <f>IF(OR($B1038="",$K1038=""),"",($K1038-IF($L1038="",0,$L1038)*IFERROR(VLOOKUP("P01",ParamTbl,3,0),1.5))*(1-IF(IFERROR(VLOOKUP($E1038,OpTbl,3,0),"")="خرید",IFERROR(VLOOKUP("P02",ParamTbl,3,0),1),0)/100))</f>
        <v/>
      </c>
      <c r="N1038" s="14" t="n"/>
      <c r="O1038" s="13" t="n"/>
    </row>
    <row r="1039">
      <c r="A1039" s="11">
        <f>IF($B1039="","",COUNTA($B$9:$B1039))</f>
        <v/>
      </c>
      <c r="B1039" s="12" t="n"/>
      <c r="C1039" s="12" t="n"/>
      <c r="D1039" s="12" t="n"/>
      <c r="E1039" s="13" t="n"/>
      <c r="F1039" s="11">
        <f>IF($E1039="","",IFERROR(VLOOKUP($E1039,OpTbl,2,0),""))</f>
        <v/>
      </c>
      <c r="G1039" s="12" t="n"/>
      <c r="H1039" s="11">
        <f>IF($G1039="","",IFERROR(IF(VLOOKUP($G1039,AcctTbl,4,0)="","(بدون نام)",VLOOKUP($G1039,AcctTbl,4,0)),"کد ناشناخته"))</f>
        <v/>
      </c>
      <c r="I1039" s="13" t="n"/>
      <c r="J1039" s="13" t="n"/>
      <c r="K1039" s="14" t="n"/>
      <c r="L1039" s="14" t="n"/>
      <c r="M1039" s="15">
        <f>IF(OR($B1039="",$K1039=""),"",($K1039-IF($L1039="",0,$L1039)*IFERROR(VLOOKUP("P01",ParamTbl,3,0),1.5))*(1-IF(IFERROR(VLOOKUP($E1039,OpTbl,3,0),"")="خرید",IFERROR(VLOOKUP("P02",ParamTbl,3,0),1),0)/100))</f>
        <v/>
      </c>
      <c r="N1039" s="14" t="n"/>
      <c r="O1039" s="13" t="n"/>
    </row>
    <row r="1040">
      <c r="A1040" s="11">
        <f>IF($B1040="","",COUNTA($B$9:$B1040))</f>
        <v/>
      </c>
      <c r="B1040" s="12" t="n"/>
      <c r="C1040" s="12" t="n"/>
      <c r="D1040" s="12" t="n"/>
      <c r="E1040" s="13" t="n"/>
      <c r="F1040" s="11">
        <f>IF($E1040="","",IFERROR(VLOOKUP($E1040,OpTbl,2,0),""))</f>
        <v/>
      </c>
      <c r="G1040" s="12" t="n"/>
      <c r="H1040" s="11">
        <f>IF($G1040="","",IFERROR(IF(VLOOKUP($G1040,AcctTbl,4,0)="","(بدون نام)",VLOOKUP($G1040,AcctTbl,4,0)),"کد ناشناخته"))</f>
        <v/>
      </c>
      <c r="I1040" s="13" t="n"/>
      <c r="J1040" s="13" t="n"/>
      <c r="K1040" s="14" t="n"/>
      <c r="L1040" s="14" t="n"/>
      <c r="M1040" s="15">
        <f>IF(OR($B1040="",$K1040=""),"",($K1040-IF($L1040="",0,$L1040)*IFERROR(VLOOKUP("P01",ParamTbl,3,0),1.5))*(1-IF(IFERROR(VLOOKUP($E1040,OpTbl,3,0),"")="خرید",IFERROR(VLOOKUP("P02",ParamTbl,3,0),1),0)/100))</f>
        <v/>
      </c>
      <c r="N1040" s="14" t="n"/>
      <c r="O1040" s="13" t="n"/>
    </row>
    <row r="1041">
      <c r="A1041" s="11">
        <f>IF($B1041="","",COUNTA($B$9:$B1041))</f>
        <v/>
      </c>
      <c r="B1041" s="12" t="n"/>
      <c r="C1041" s="12" t="n"/>
      <c r="D1041" s="12" t="n"/>
      <c r="E1041" s="13" t="n"/>
      <c r="F1041" s="11">
        <f>IF($E1041="","",IFERROR(VLOOKUP($E1041,OpTbl,2,0),""))</f>
        <v/>
      </c>
      <c r="G1041" s="12" t="n"/>
      <c r="H1041" s="11">
        <f>IF($G1041="","",IFERROR(IF(VLOOKUP($G1041,AcctTbl,4,0)="","(بدون نام)",VLOOKUP($G1041,AcctTbl,4,0)),"کد ناشناخته"))</f>
        <v/>
      </c>
      <c r="I1041" s="13" t="n"/>
      <c r="J1041" s="13" t="n"/>
      <c r="K1041" s="14" t="n"/>
      <c r="L1041" s="14" t="n"/>
      <c r="M1041" s="15">
        <f>IF(OR($B1041="",$K1041=""),"",($K1041-IF($L1041="",0,$L1041)*IFERROR(VLOOKUP("P01",ParamTbl,3,0),1.5))*(1-IF(IFERROR(VLOOKUP($E1041,OpTbl,3,0),"")="خرید",IFERROR(VLOOKUP("P02",ParamTbl,3,0),1),0)/100))</f>
        <v/>
      </c>
      <c r="N1041" s="14" t="n"/>
      <c r="O1041" s="13" t="n"/>
    </row>
    <row r="1042">
      <c r="A1042" s="11">
        <f>IF($B1042="","",COUNTA($B$9:$B1042))</f>
        <v/>
      </c>
      <c r="B1042" s="12" t="n"/>
      <c r="C1042" s="12" t="n"/>
      <c r="D1042" s="12" t="n"/>
      <c r="E1042" s="13" t="n"/>
      <c r="F1042" s="11">
        <f>IF($E1042="","",IFERROR(VLOOKUP($E1042,OpTbl,2,0),""))</f>
        <v/>
      </c>
      <c r="G1042" s="12" t="n"/>
      <c r="H1042" s="11">
        <f>IF($G1042="","",IFERROR(IF(VLOOKUP($G1042,AcctTbl,4,0)="","(بدون نام)",VLOOKUP($G1042,AcctTbl,4,0)),"کد ناشناخته"))</f>
        <v/>
      </c>
      <c r="I1042" s="13" t="n"/>
      <c r="J1042" s="13" t="n"/>
      <c r="K1042" s="14" t="n"/>
      <c r="L1042" s="14" t="n"/>
      <c r="M1042" s="15">
        <f>IF(OR($B1042="",$K1042=""),"",($K1042-IF($L1042="",0,$L1042)*IFERROR(VLOOKUP("P01",ParamTbl,3,0),1.5))*(1-IF(IFERROR(VLOOKUP($E1042,OpTbl,3,0),"")="خرید",IFERROR(VLOOKUP("P02",ParamTbl,3,0),1),0)/100))</f>
        <v/>
      </c>
      <c r="N1042" s="14" t="n"/>
      <c r="O1042" s="13" t="n"/>
    </row>
    <row r="1043">
      <c r="A1043" s="11">
        <f>IF($B1043="","",COUNTA($B$9:$B1043))</f>
        <v/>
      </c>
      <c r="B1043" s="12" t="n"/>
      <c r="C1043" s="12" t="n"/>
      <c r="D1043" s="12" t="n"/>
      <c r="E1043" s="13" t="n"/>
      <c r="F1043" s="11">
        <f>IF($E1043="","",IFERROR(VLOOKUP($E1043,OpTbl,2,0),""))</f>
        <v/>
      </c>
      <c r="G1043" s="12" t="n"/>
      <c r="H1043" s="11">
        <f>IF($G1043="","",IFERROR(IF(VLOOKUP($G1043,AcctTbl,4,0)="","(بدون نام)",VLOOKUP($G1043,AcctTbl,4,0)),"کد ناشناخته"))</f>
        <v/>
      </c>
      <c r="I1043" s="13" t="n"/>
      <c r="J1043" s="13" t="n"/>
      <c r="K1043" s="14" t="n"/>
      <c r="L1043" s="14" t="n"/>
      <c r="M1043" s="15">
        <f>IF(OR($B1043="",$K1043=""),"",($K1043-IF($L1043="",0,$L1043)*IFERROR(VLOOKUP("P01",ParamTbl,3,0),1.5))*(1-IF(IFERROR(VLOOKUP($E1043,OpTbl,3,0),"")="خرید",IFERROR(VLOOKUP("P02",ParamTbl,3,0),1),0)/100))</f>
        <v/>
      </c>
      <c r="N1043" s="14" t="n"/>
      <c r="O1043" s="13" t="n"/>
    </row>
    <row r="1044">
      <c r="A1044" s="11">
        <f>IF($B1044="","",COUNTA($B$9:$B1044))</f>
        <v/>
      </c>
      <c r="B1044" s="12" t="n"/>
      <c r="C1044" s="12" t="n"/>
      <c r="D1044" s="12" t="n"/>
      <c r="E1044" s="13" t="n"/>
      <c r="F1044" s="11">
        <f>IF($E1044="","",IFERROR(VLOOKUP($E1044,OpTbl,2,0),""))</f>
        <v/>
      </c>
      <c r="G1044" s="12" t="n"/>
      <c r="H1044" s="11">
        <f>IF($G1044="","",IFERROR(IF(VLOOKUP($G1044,AcctTbl,4,0)="","(بدون نام)",VLOOKUP($G1044,AcctTbl,4,0)),"کد ناشناخته"))</f>
        <v/>
      </c>
      <c r="I1044" s="13" t="n"/>
      <c r="J1044" s="13" t="n"/>
      <c r="K1044" s="14" t="n"/>
      <c r="L1044" s="14" t="n"/>
      <c r="M1044" s="15">
        <f>IF(OR($B1044="",$K1044=""),"",($K1044-IF($L1044="",0,$L1044)*IFERROR(VLOOKUP("P01",ParamTbl,3,0),1.5))*(1-IF(IFERROR(VLOOKUP($E1044,OpTbl,3,0),"")="خرید",IFERROR(VLOOKUP("P02",ParamTbl,3,0),1),0)/100))</f>
        <v/>
      </c>
      <c r="N1044" s="14" t="n"/>
      <c r="O1044" s="13" t="n"/>
    </row>
    <row r="1045">
      <c r="A1045" s="11">
        <f>IF($B1045="","",COUNTA($B$9:$B1045))</f>
        <v/>
      </c>
      <c r="B1045" s="12" t="n"/>
      <c r="C1045" s="12" t="n"/>
      <c r="D1045" s="12" t="n"/>
      <c r="E1045" s="13" t="n"/>
      <c r="F1045" s="11">
        <f>IF($E1045="","",IFERROR(VLOOKUP($E1045,OpTbl,2,0),""))</f>
        <v/>
      </c>
      <c r="G1045" s="12" t="n"/>
      <c r="H1045" s="11">
        <f>IF($G1045="","",IFERROR(IF(VLOOKUP($G1045,AcctTbl,4,0)="","(بدون نام)",VLOOKUP($G1045,AcctTbl,4,0)),"کد ناشناخته"))</f>
        <v/>
      </c>
      <c r="I1045" s="13" t="n"/>
      <c r="J1045" s="13" t="n"/>
      <c r="K1045" s="14" t="n"/>
      <c r="L1045" s="14" t="n"/>
      <c r="M1045" s="15">
        <f>IF(OR($B1045="",$K1045=""),"",($K1045-IF($L1045="",0,$L1045)*IFERROR(VLOOKUP("P01",ParamTbl,3,0),1.5))*(1-IF(IFERROR(VLOOKUP($E1045,OpTbl,3,0),"")="خرید",IFERROR(VLOOKUP("P02",ParamTbl,3,0),1),0)/100))</f>
        <v/>
      </c>
      <c r="N1045" s="14" t="n"/>
      <c r="O1045" s="13" t="n"/>
    </row>
    <row r="1046">
      <c r="A1046" s="11">
        <f>IF($B1046="","",COUNTA($B$9:$B1046))</f>
        <v/>
      </c>
      <c r="B1046" s="12" t="n"/>
      <c r="C1046" s="12" t="n"/>
      <c r="D1046" s="12" t="n"/>
      <c r="E1046" s="13" t="n"/>
      <c r="F1046" s="11">
        <f>IF($E1046="","",IFERROR(VLOOKUP($E1046,OpTbl,2,0),""))</f>
        <v/>
      </c>
      <c r="G1046" s="12" t="n"/>
      <c r="H1046" s="11">
        <f>IF($G1046="","",IFERROR(IF(VLOOKUP($G1046,AcctTbl,4,0)="","(بدون نام)",VLOOKUP($G1046,AcctTbl,4,0)),"کد ناشناخته"))</f>
        <v/>
      </c>
      <c r="I1046" s="13" t="n"/>
      <c r="J1046" s="13" t="n"/>
      <c r="K1046" s="14" t="n"/>
      <c r="L1046" s="14" t="n"/>
      <c r="M1046" s="15">
        <f>IF(OR($B1046="",$K1046=""),"",($K1046-IF($L1046="",0,$L1046)*IFERROR(VLOOKUP("P01",ParamTbl,3,0),1.5))*(1-IF(IFERROR(VLOOKUP($E1046,OpTbl,3,0),"")="خرید",IFERROR(VLOOKUP("P02",ParamTbl,3,0),1),0)/100))</f>
        <v/>
      </c>
      <c r="N1046" s="14" t="n"/>
      <c r="O1046" s="13" t="n"/>
    </row>
    <row r="1047">
      <c r="A1047" s="11">
        <f>IF($B1047="","",COUNTA($B$9:$B1047))</f>
        <v/>
      </c>
      <c r="B1047" s="12" t="n"/>
      <c r="C1047" s="12" t="n"/>
      <c r="D1047" s="12" t="n"/>
      <c r="E1047" s="13" t="n"/>
      <c r="F1047" s="11">
        <f>IF($E1047="","",IFERROR(VLOOKUP($E1047,OpTbl,2,0),""))</f>
        <v/>
      </c>
      <c r="G1047" s="12" t="n"/>
      <c r="H1047" s="11">
        <f>IF($G1047="","",IFERROR(IF(VLOOKUP($G1047,AcctTbl,4,0)="","(بدون نام)",VLOOKUP($G1047,AcctTbl,4,0)),"کد ناشناخته"))</f>
        <v/>
      </c>
      <c r="I1047" s="13" t="n"/>
      <c r="J1047" s="13" t="n"/>
      <c r="K1047" s="14" t="n"/>
      <c r="L1047" s="14" t="n"/>
      <c r="M1047" s="15">
        <f>IF(OR($B1047="",$K1047=""),"",($K1047-IF($L1047="",0,$L1047)*IFERROR(VLOOKUP("P01",ParamTbl,3,0),1.5))*(1-IF(IFERROR(VLOOKUP($E1047,OpTbl,3,0),"")="خرید",IFERROR(VLOOKUP("P02",ParamTbl,3,0),1),0)/100))</f>
        <v/>
      </c>
      <c r="N1047" s="14" t="n"/>
      <c r="O1047" s="13" t="n"/>
    </row>
    <row r="1048">
      <c r="A1048" s="11">
        <f>IF($B1048="","",COUNTA($B$9:$B1048))</f>
        <v/>
      </c>
      <c r="B1048" s="12" t="n"/>
      <c r="C1048" s="12" t="n"/>
      <c r="D1048" s="12" t="n"/>
      <c r="E1048" s="13" t="n"/>
      <c r="F1048" s="11">
        <f>IF($E1048="","",IFERROR(VLOOKUP($E1048,OpTbl,2,0),""))</f>
        <v/>
      </c>
      <c r="G1048" s="12" t="n"/>
      <c r="H1048" s="11">
        <f>IF($G1048="","",IFERROR(IF(VLOOKUP($G1048,AcctTbl,4,0)="","(بدون نام)",VLOOKUP($G1048,AcctTbl,4,0)),"کد ناشناخته"))</f>
        <v/>
      </c>
      <c r="I1048" s="13" t="n"/>
      <c r="J1048" s="13" t="n"/>
      <c r="K1048" s="14" t="n"/>
      <c r="L1048" s="14" t="n"/>
      <c r="M1048" s="15">
        <f>IF(OR($B1048="",$K1048=""),"",($K1048-IF($L1048="",0,$L1048)*IFERROR(VLOOKUP("P01",ParamTbl,3,0),1.5))*(1-IF(IFERROR(VLOOKUP($E1048,OpTbl,3,0),"")="خرید",IFERROR(VLOOKUP("P02",ParamTbl,3,0),1),0)/100))</f>
        <v/>
      </c>
      <c r="N1048" s="14" t="n"/>
      <c r="O1048" s="13" t="n"/>
    </row>
    <row r="1049">
      <c r="A1049" s="11">
        <f>IF($B1049="","",COUNTA($B$9:$B1049))</f>
        <v/>
      </c>
      <c r="B1049" s="12" t="n"/>
      <c r="C1049" s="12" t="n"/>
      <c r="D1049" s="12" t="n"/>
      <c r="E1049" s="13" t="n"/>
      <c r="F1049" s="11">
        <f>IF($E1049="","",IFERROR(VLOOKUP($E1049,OpTbl,2,0),""))</f>
        <v/>
      </c>
      <c r="G1049" s="12" t="n"/>
      <c r="H1049" s="11">
        <f>IF($G1049="","",IFERROR(IF(VLOOKUP($G1049,AcctTbl,4,0)="","(بدون نام)",VLOOKUP($G1049,AcctTbl,4,0)),"کد ناشناخته"))</f>
        <v/>
      </c>
      <c r="I1049" s="13" t="n"/>
      <c r="J1049" s="13" t="n"/>
      <c r="K1049" s="14" t="n"/>
      <c r="L1049" s="14" t="n"/>
      <c r="M1049" s="15">
        <f>IF(OR($B1049="",$K1049=""),"",($K1049-IF($L1049="",0,$L1049)*IFERROR(VLOOKUP("P01",ParamTbl,3,0),1.5))*(1-IF(IFERROR(VLOOKUP($E1049,OpTbl,3,0),"")="خرید",IFERROR(VLOOKUP("P02",ParamTbl,3,0),1),0)/100))</f>
        <v/>
      </c>
      <c r="N1049" s="14" t="n"/>
      <c r="O1049" s="13" t="n"/>
    </row>
    <row r="1050">
      <c r="A1050" s="11">
        <f>IF($B1050="","",COUNTA($B$9:$B1050))</f>
        <v/>
      </c>
      <c r="B1050" s="12" t="n"/>
      <c r="C1050" s="12" t="n"/>
      <c r="D1050" s="12" t="n"/>
      <c r="E1050" s="13" t="n"/>
      <c r="F1050" s="11">
        <f>IF($E1050="","",IFERROR(VLOOKUP($E1050,OpTbl,2,0),""))</f>
        <v/>
      </c>
      <c r="G1050" s="12" t="n"/>
      <c r="H1050" s="11">
        <f>IF($G1050="","",IFERROR(IF(VLOOKUP($G1050,AcctTbl,4,0)="","(بدون نام)",VLOOKUP($G1050,AcctTbl,4,0)),"کد ناشناخته"))</f>
        <v/>
      </c>
      <c r="I1050" s="13" t="n"/>
      <c r="J1050" s="13" t="n"/>
      <c r="K1050" s="14" t="n"/>
      <c r="L1050" s="14" t="n"/>
      <c r="M1050" s="15">
        <f>IF(OR($B1050="",$K1050=""),"",($K1050-IF($L1050="",0,$L1050)*IFERROR(VLOOKUP("P01",ParamTbl,3,0),1.5))*(1-IF(IFERROR(VLOOKUP($E1050,OpTbl,3,0),"")="خرید",IFERROR(VLOOKUP("P02",ParamTbl,3,0),1),0)/100))</f>
        <v/>
      </c>
      <c r="N1050" s="14" t="n"/>
      <c r="O1050" s="13" t="n"/>
    </row>
    <row r="1051">
      <c r="A1051" s="11">
        <f>IF($B1051="","",COUNTA($B$9:$B1051))</f>
        <v/>
      </c>
      <c r="B1051" s="12" t="n"/>
      <c r="C1051" s="12" t="n"/>
      <c r="D1051" s="12" t="n"/>
      <c r="E1051" s="13" t="n"/>
      <c r="F1051" s="11">
        <f>IF($E1051="","",IFERROR(VLOOKUP($E1051,OpTbl,2,0),""))</f>
        <v/>
      </c>
      <c r="G1051" s="12" t="n"/>
      <c r="H1051" s="11">
        <f>IF($G1051="","",IFERROR(IF(VLOOKUP($G1051,AcctTbl,4,0)="","(بدون نام)",VLOOKUP($G1051,AcctTbl,4,0)),"کد ناشناخته"))</f>
        <v/>
      </c>
      <c r="I1051" s="13" t="n"/>
      <c r="J1051" s="13" t="n"/>
      <c r="K1051" s="14" t="n"/>
      <c r="L1051" s="14" t="n"/>
      <c r="M1051" s="15">
        <f>IF(OR($B1051="",$K1051=""),"",($K1051-IF($L1051="",0,$L1051)*IFERROR(VLOOKUP("P01",ParamTbl,3,0),1.5))*(1-IF(IFERROR(VLOOKUP($E1051,OpTbl,3,0),"")="خرید",IFERROR(VLOOKUP("P02",ParamTbl,3,0),1),0)/100))</f>
        <v/>
      </c>
      <c r="N1051" s="14" t="n"/>
      <c r="O1051" s="13" t="n"/>
    </row>
    <row r="1052">
      <c r="A1052" s="11">
        <f>IF($B1052="","",COUNTA($B$9:$B1052))</f>
        <v/>
      </c>
      <c r="B1052" s="12" t="n"/>
      <c r="C1052" s="12" t="n"/>
      <c r="D1052" s="12" t="n"/>
      <c r="E1052" s="13" t="n"/>
      <c r="F1052" s="11">
        <f>IF($E1052="","",IFERROR(VLOOKUP($E1052,OpTbl,2,0),""))</f>
        <v/>
      </c>
      <c r="G1052" s="12" t="n"/>
      <c r="H1052" s="11">
        <f>IF($G1052="","",IFERROR(IF(VLOOKUP($G1052,AcctTbl,4,0)="","(بدون نام)",VLOOKUP($G1052,AcctTbl,4,0)),"کد ناشناخته"))</f>
        <v/>
      </c>
      <c r="I1052" s="13" t="n"/>
      <c r="J1052" s="13" t="n"/>
      <c r="K1052" s="14" t="n"/>
      <c r="L1052" s="14" t="n"/>
      <c r="M1052" s="15">
        <f>IF(OR($B1052="",$K1052=""),"",($K1052-IF($L1052="",0,$L1052)*IFERROR(VLOOKUP("P01",ParamTbl,3,0),1.5))*(1-IF(IFERROR(VLOOKUP($E1052,OpTbl,3,0),"")="خرید",IFERROR(VLOOKUP("P02",ParamTbl,3,0),1),0)/100))</f>
        <v/>
      </c>
      <c r="N1052" s="14" t="n"/>
      <c r="O1052" s="13" t="n"/>
    </row>
    <row r="1053">
      <c r="A1053" s="11">
        <f>IF($B1053="","",COUNTA($B$9:$B1053))</f>
        <v/>
      </c>
      <c r="B1053" s="12" t="n"/>
      <c r="C1053" s="12" t="n"/>
      <c r="D1053" s="12" t="n"/>
      <c r="E1053" s="13" t="n"/>
      <c r="F1053" s="11">
        <f>IF($E1053="","",IFERROR(VLOOKUP($E1053,OpTbl,2,0),""))</f>
        <v/>
      </c>
      <c r="G1053" s="12" t="n"/>
      <c r="H1053" s="11">
        <f>IF($G1053="","",IFERROR(IF(VLOOKUP($G1053,AcctTbl,4,0)="","(بدون نام)",VLOOKUP($G1053,AcctTbl,4,0)),"کد ناشناخته"))</f>
        <v/>
      </c>
      <c r="I1053" s="13" t="n"/>
      <c r="J1053" s="13" t="n"/>
      <c r="K1053" s="14" t="n"/>
      <c r="L1053" s="14" t="n"/>
      <c r="M1053" s="15">
        <f>IF(OR($B1053="",$K1053=""),"",($K1053-IF($L1053="",0,$L1053)*IFERROR(VLOOKUP("P01",ParamTbl,3,0),1.5))*(1-IF(IFERROR(VLOOKUP($E1053,OpTbl,3,0),"")="خرید",IFERROR(VLOOKUP("P02",ParamTbl,3,0),1),0)/100))</f>
        <v/>
      </c>
      <c r="N1053" s="14" t="n"/>
      <c r="O1053" s="13" t="n"/>
    </row>
    <row r="1054">
      <c r="A1054" s="11">
        <f>IF($B1054="","",COUNTA($B$9:$B1054))</f>
        <v/>
      </c>
      <c r="B1054" s="12" t="n"/>
      <c r="C1054" s="12" t="n"/>
      <c r="D1054" s="12" t="n"/>
      <c r="E1054" s="13" t="n"/>
      <c r="F1054" s="11">
        <f>IF($E1054="","",IFERROR(VLOOKUP($E1054,OpTbl,2,0),""))</f>
        <v/>
      </c>
      <c r="G1054" s="12" t="n"/>
      <c r="H1054" s="11">
        <f>IF($G1054="","",IFERROR(IF(VLOOKUP($G1054,AcctTbl,4,0)="","(بدون نام)",VLOOKUP($G1054,AcctTbl,4,0)),"کد ناشناخته"))</f>
        <v/>
      </c>
      <c r="I1054" s="13" t="n"/>
      <c r="J1054" s="13" t="n"/>
      <c r="K1054" s="14" t="n"/>
      <c r="L1054" s="14" t="n"/>
      <c r="M1054" s="15">
        <f>IF(OR($B1054="",$K1054=""),"",($K1054-IF($L1054="",0,$L1054)*IFERROR(VLOOKUP("P01",ParamTbl,3,0),1.5))*(1-IF(IFERROR(VLOOKUP($E1054,OpTbl,3,0),"")="خرید",IFERROR(VLOOKUP("P02",ParamTbl,3,0),1),0)/100))</f>
        <v/>
      </c>
      <c r="N1054" s="14" t="n"/>
      <c r="O1054" s="13" t="n"/>
    </row>
    <row r="1055">
      <c r="A1055" s="11">
        <f>IF($B1055="","",COUNTA($B$9:$B1055))</f>
        <v/>
      </c>
      <c r="B1055" s="12" t="n"/>
      <c r="C1055" s="12" t="n"/>
      <c r="D1055" s="12" t="n"/>
      <c r="E1055" s="13" t="n"/>
      <c r="F1055" s="11">
        <f>IF($E1055="","",IFERROR(VLOOKUP($E1055,OpTbl,2,0),""))</f>
        <v/>
      </c>
      <c r="G1055" s="12" t="n"/>
      <c r="H1055" s="11">
        <f>IF($G1055="","",IFERROR(IF(VLOOKUP($G1055,AcctTbl,4,0)="","(بدون نام)",VLOOKUP($G1055,AcctTbl,4,0)),"کد ناشناخته"))</f>
        <v/>
      </c>
      <c r="I1055" s="13" t="n"/>
      <c r="J1055" s="13" t="n"/>
      <c r="K1055" s="14" t="n"/>
      <c r="L1055" s="14" t="n"/>
      <c r="M1055" s="15">
        <f>IF(OR($B1055="",$K1055=""),"",($K1055-IF($L1055="",0,$L1055)*IFERROR(VLOOKUP("P01",ParamTbl,3,0),1.5))*(1-IF(IFERROR(VLOOKUP($E1055,OpTbl,3,0),"")="خرید",IFERROR(VLOOKUP("P02",ParamTbl,3,0),1),0)/100))</f>
        <v/>
      </c>
      <c r="N1055" s="14" t="n"/>
      <c r="O1055" s="13" t="n"/>
    </row>
    <row r="1056">
      <c r="A1056" s="11">
        <f>IF($B1056="","",COUNTA($B$9:$B1056))</f>
        <v/>
      </c>
      <c r="B1056" s="12" t="n"/>
      <c r="C1056" s="12" t="n"/>
      <c r="D1056" s="12" t="n"/>
      <c r="E1056" s="13" t="n"/>
      <c r="F1056" s="11">
        <f>IF($E1056="","",IFERROR(VLOOKUP($E1056,OpTbl,2,0),""))</f>
        <v/>
      </c>
      <c r="G1056" s="12" t="n"/>
      <c r="H1056" s="11">
        <f>IF($G1056="","",IFERROR(IF(VLOOKUP($G1056,AcctTbl,4,0)="","(بدون نام)",VLOOKUP($G1056,AcctTbl,4,0)),"کد ناشناخته"))</f>
        <v/>
      </c>
      <c r="I1056" s="13" t="n"/>
      <c r="J1056" s="13" t="n"/>
      <c r="K1056" s="14" t="n"/>
      <c r="L1056" s="14" t="n"/>
      <c r="M1056" s="15">
        <f>IF(OR($B1056="",$K1056=""),"",($K1056-IF($L1056="",0,$L1056)*IFERROR(VLOOKUP("P01",ParamTbl,3,0),1.5))*(1-IF(IFERROR(VLOOKUP($E1056,OpTbl,3,0),"")="خرید",IFERROR(VLOOKUP("P02",ParamTbl,3,0),1),0)/100))</f>
        <v/>
      </c>
      <c r="N1056" s="14" t="n"/>
      <c r="O1056" s="13" t="n"/>
    </row>
    <row r="1057">
      <c r="A1057" s="11">
        <f>IF($B1057="","",COUNTA($B$9:$B1057))</f>
        <v/>
      </c>
      <c r="B1057" s="12" t="n"/>
      <c r="C1057" s="12" t="n"/>
      <c r="D1057" s="12" t="n"/>
      <c r="E1057" s="13" t="n"/>
      <c r="F1057" s="11">
        <f>IF($E1057="","",IFERROR(VLOOKUP($E1057,OpTbl,2,0),""))</f>
        <v/>
      </c>
      <c r="G1057" s="12" t="n"/>
      <c r="H1057" s="11">
        <f>IF($G1057="","",IFERROR(IF(VLOOKUP($G1057,AcctTbl,4,0)="","(بدون نام)",VLOOKUP($G1057,AcctTbl,4,0)),"کد ناشناخته"))</f>
        <v/>
      </c>
      <c r="I1057" s="13" t="n"/>
      <c r="J1057" s="13" t="n"/>
      <c r="K1057" s="14" t="n"/>
      <c r="L1057" s="14" t="n"/>
      <c r="M1057" s="15">
        <f>IF(OR($B1057="",$K1057=""),"",($K1057-IF($L1057="",0,$L1057)*IFERROR(VLOOKUP("P01",ParamTbl,3,0),1.5))*(1-IF(IFERROR(VLOOKUP($E1057,OpTbl,3,0),"")="خرید",IFERROR(VLOOKUP("P02",ParamTbl,3,0),1),0)/100))</f>
        <v/>
      </c>
      <c r="N1057" s="14" t="n"/>
      <c r="O1057" s="13" t="n"/>
    </row>
    <row r="1058">
      <c r="A1058" s="11">
        <f>IF($B1058="","",COUNTA($B$9:$B1058))</f>
        <v/>
      </c>
      <c r="B1058" s="12" t="n"/>
      <c r="C1058" s="12" t="n"/>
      <c r="D1058" s="12" t="n"/>
      <c r="E1058" s="13" t="n"/>
      <c r="F1058" s="11">
        <f>IF($E1058="","",IFERROR(VLOOKUP($E1058,OpTbl,2,0),""))</f>
        <v/>
      </c>
      <c r="G1058" s="12" t="n"/>
      <c r="H1058" s="11">
        <f>IF($G1058="","",IFERROR(IF(VLOOKUP($G1058,AcctTbl,4,0)="","(بدون نام)",VLOOKUP($G1058,AcctTbl,4,0)),"کد ناشناخته"))</f>
        <v/>
      </c>
      <c r="I1058" s="13" t="n"/>
      <c r="J1058" s="13" t="n"/>
      <c r="K1058" s="14" t="n"/>
      <c r="L1058" s="14" t="n"/>
      <c r="M1058" s="15">
        <f>IF(OR($B1058="",$K1058=""),"",($K1058-IF($L1058="",0,$L1058)*IFERROR(VLOOKUP("P01",ParamTbl,3,0),1.5))*(1-IF(IFERROR(VLOOKUP($E1058,OpTbl,3,0),"")="خرید",IFERROR(VLOOKUP("P02",ParamTbl,3,0),1),0)/100))</f>
        <v/>
      </c>
      <c r="N1058" s="14" t="n"/>
      <c r="O1058" s="13" t="n"/>
    </row>
    <row r="1059">
      <c r="A1059" s="11">
        <f>IF($B1059="","",COUNTA($B$9:$B1059))</f>
        <v/>
      </c>
      <c r="B1059" s="12" t="n"/>
      <c r="C1059" s="12" t="n"/>
      <c r="D1059" s="12" t="n"/>
      <c r="E1059" s="13" t="n"/>
      <c r="F1059" s="11">
        <f>IF($E1059="","",IFERROR(VLOOKUP($E1059,OpTbl,2,0),""))</f>
        <v/>
      </c>
      <c r="G1059" s="12" t="n"/>
      <c r="H1059" s="11">
        <f>IF($G1059="","",IFERROR(IF(VLOOKUP($G1059,AcctTbl,4,0)="","(بدون نام)",VLOOKUP($G1059,AcctTbl,4,0)),"کد ناشناخته"))</f>
        <v/>
      </c>
      <c r="I1059" s="13" t="n"/>
      <c r="J1059" s="13" t="n"/>
      <c r="K1059" s="14" t="n"/>
      <c r="L1059" s="14" t="n"/>
      <c r="M1059" s="15">
        <f>IF(OR($B1059="",$K1059=""),"",($K1059-IF($L1059="",0,$L1059)*IFERROR(VLOOKUP("P01",ParamTbl,3,0),1.5))*(1-IF(IFERROR(VLOOKUP($E1059,OpTbl,3,0),"")="خرید",IFERROR(VLOOKUP("P02",ParamTbl,3,0),1),0)/100))</f>
        <v/>
      </c>
      <c r="N1059" s="14" t="n"/>
      <c r="O1059" s="13" t="n"/>
    </row>
    <row r="1060">
      <c r="A1060" s="11">
        <f>IF($B1060="","",COUNTA($B$9:$B1060))</f>
        <v/>
      </c>
      <c r="B1060" s="12" t="n"/>
      <c r="C1060" s="12" t="n"/>
      <c r="D1060" s="12" t="n"/>
      <c r="E1060" s="13" t="n"/>
      <c r="F1060" s="11">
        <f>IF($E1060="","",IFERROR(VLOOKUP($E1060,OpTbl,2,0),""))</f>
        <v/>
      </c>
      <c r="G1060" s="12" t="n"/>
      <c r="H1060" s="11">
        <f>IF($G1060="","",IFERROR(IF(VLOOKUP($G1060,AcctTbl,4,0)="","(بدون نام)",VLOOKUP($G1060,AcctTbl,4,0)),"کد ناشناخته"))</f>
        <v/>
      </c>
      <c r="I1060" s="13" t="n"/>
      <c r="J1060" s="13" t="n"/>
      <c r="K1060" s="14" t="n"/>
      <c r="L1060" s="14" t="n"/>
      <c r="M1060" s="15">
        <f>IF(OR($B1060="",$K1060=""),"",($K1060-IF($L1060="",0,$L1060)*IFERROR(VLOOKUP("P01",ParamTbl,3,0),1.5))*(1-IF(IFERROR(VLOOKUP($E1060,OpTbl,3,0),"")="خرید",IFERROR(VLOOKUP("P02",ParamTbl,3,0),1),0)/100))</f>
        <v/>
      </c>
      <c r="N1060" s="14" t="n"/>
      <c r="O1060" s="13" t="n"/>
    </row>
    <row r="1061">
      <c r="A1061" s="11">
        <f>IF($B1061="","",COUNTA($B$9:$B1061))</f>
        <v/>
      </c>
      <c r="B1061" s="12" t="n"/>
      <c r="C1061" s="12" t="n"/>
      <c r="D1061" s="12" t="n"/>
      <c r="E1061" s="13" t="n"/>
      <c r="F1061" s="11">
        <f>IF($E1061="","",IFERROR(VLOOKUP($E1061,OpTbl,2,0),""))</f>
        <v/>
      </c>
      <c r="G1061" s="12" t="n"/>
      <c r="H1061" s="11">
        <f>IF($G1061="","",IFERROR(IF(VLOOKUP($G1061,AcctTbl,4,0)="","(بدون نام)",VLOOKUP($G1061,AcctTbl,4,0)),"کد ناشناخته"))</f>
        <v/>
      </c>
      <c r="I1061" s="13" t="n"/>
      <c r="J1061" s="13" t="n"/>
      <c r="K1061" s="14" t="n"/>
      <c r="L1061" s="14" t="n"/>
      <c r="M1061" s="15">
        <f>IF(OR($B1061="",$K1061=""),"",($K1061-IF($L1061="",0,$L1061)*IFERROR(VLOOKUP("P01",ParamTbl,3,0),1.5))*(1-IF(IFERROR(VLOOKUP($E1061,OpTbl,3,0),"")="خرید",IFERROR(VLOOKUP("P02",ParamTbl,3,0),1),0)/100))</f>
        <v/>
      </c>
      <c r="N1061" s="14" t="n"/>
      <c r="O1061" s="13" t="n"/>
    </row>
    <row r="1062">
      <c r="A1062" s="11">
        <f>IF($B1062="","",COUNTA($B$9:$B1062))</f>
        <v/>
      </c>
      <c r="B1062" s="12" t="n"/>
      <c r="C1062" s="12" t="n"/>
      <c r="D1062" s="12" t="n"/>
      <c r="E1062" s="13" t="n"/>
      <c r="F1062" s="11">
        <f>IF($E1062="","",IFERROR(VLOOKUP($E1062,OpTbl,2,0),""))</f>
        <v/>
      </c>
      <c r="G1062" s="12" t="n"/>
      <c r="H1062" s="11">
        <f>IF($G1062="","",IFERROR(IF(VLOOKUP($G1062,AcctTbl,4,0)="","(بدون نام)",VLOOKUP($G1062,AcctTbl,4,0)),"کد ناشناخته"))</f>
        <v/>
      </c>
      <c r="I1062" s="13" t="n"/>
      <c r="J1062" s="13" t="n"/>
      <c r="K1062" s="14" t="n"/>
      <c r="L1062" s="14" t="n"/>
      <c r="M1062" s="15">
        <f>IF(OR($B1062="",$K1062=""),"",($K1062-IF($L1062="",0,$L1062)*IFERROR(VLOOKUP("P01",ParamTbl,3,0),1.5))*(1-IF(IFERROR(VLOOKUP($E1062,OpTbl,3,0),"")="خرید",IFERROR(VLOOKUP("P02",ParamTbl,3,0),1),0)/100))</f>
        <v/>
      </c>
      <c r="N1062" s="14" t="n"/>
      <c r="O1062" s="13" t="n"/>
    </row>
    <row r="1063">
      <c r="A1063" s="11">
        <f>IF($B1063="","",COUNTA($B$9:$B1063))</f>
        <v/>
      </c>
      <c r="B1063" s="12" t="n"/>
      <c r="C1063" s="12" t="n"/>
      <c r="D1063" s="12" t="n"/>
      <c r="E1063" s="13" t="n"/>
      <c r="F1063" s="11">
        <f>IF($E1063="","",IFERROR(VLOOKUP($E1063,OpTbl,2,0),""))</f>
        <v/>
      </c>
      <c r="G1063" s="12" t="n"/>
      <c r="H1063" s="11">
        <f>IF($G1063="","",IFERROR(IF(VLOOKUP($G1063,AcctTbl,4,0)="","(بدون نام)",VLOOKUP($G1063,AcctTbl,4,0)),"کد ناشناخته"))</f>
        <v/>
      </c>
      <c r="I1063" s="13" t="n"/>
      <c r="J1063" s="13" t="n"/>
      <c r="K1063" s="14" t="n"/>
      <c r="L1063" s="14" t="n"/>
      <c r="M1063" s="15">
        <f>IF(OR($B1063="",$K1063=""),"",($K1063-IF($L1063="",0,$L1063)*IFERROR(VLOOKUP("P01",ParamTbl,3,0),1.5))*(1-IF(IFERROR(VLOOKUP($E1063,OpTbl,3,0),"")="خرید",IFERROR(VLOOKUP("P02",ParamTbl,3,0),1),0)/100))</f>
        <v/>
      </c>
      <c r="N1063" s="14" t="n"/>
      <c r="O1063" s="13" t="n"/>
    </row>
    <row r="1064">
      <c r="A1064" s="11">
        <f>IF($B1064="","",COUNTA($B$9:$B1064))</f>
        <v/>
      </c>
      <c r="B1064" s="12" t="n"/>
      <c r="C1064" s="12" t="n"/>
      <c r="D1064" s="12" t="n"/>
      <c r="E1064" s="13" t="n"/>
      <c r="F1064" s="11">
        <f>IF($E1064="","",IFERROR(VLOOKUP($E1064,OpTbl,2,0),""))</f>
        <v/>
      </c>
      <c r="G1064" s="12" t="n"/>
      <c r="H1064" s="11">
        <f>IF($G1064="","",IFERROR(IF(VLOOKUP($G1064,AcctTbl,4,0)="","(بدون نام)",VLOOKUP($G1064,AcctTbl,4,0)),"کد ناشناخته"))</f>
        <v/>
      </c>
      <c r="I1064" s="13" t="n"/>
      <c r="J1064" s="13" t="n"/>
      <c r="K1064" s="14" t="n"/>
      <c r="L1064" s="14" t="n"/>
      <c r="M1064" s="15">
        <f>IF(OR($B1064="",$K1064=""),"",($K1064-IF($L1064="",0,$L1064)*IFERROR(VLOOKUP("P01",ParamTbl,3,0),1.5))*(1-IF(IFERROR(VLOOKUP($E1064,OpTbl,3,0),"")="خرید",IFERROR(VLOOKUP("P02",ParamTbl,3,0),1),0)/100))</f>
        <v/>
      </c>
      <c r="N1064" s="14" t="n"/>
      <c r="O1064" s="13" t="n"/>
    </row>
    <row r="1065">
      <c r="A1065" s="11">
        <f>IF($B1065="","",COUNTA($B$9:$B1065))</f>
        <v/>
      </c>
      <c r="B1065" s="12" t="n"/>
      <c r="C1065" s="12" t="n"/>
      <c r="D1065" s="12" t="n"/>
      <c r="E1065" s="13" t="n"/>
      <c r="F1065" s="11">
        <f>IF($E1065="","",IFERROR(VLOOKUP($E1065,OpTbl,2,0),""))</f>
        <v/>
      </c>
      <c r="G1065" s="12" t="n"/>
      <c r="H1065" s="11">
        <f>IF($G1065="","",IFERROR(IF(VLOOKUP($G1065,AcctTbl,4,0)="","(بدون نام)",VLOOKUP($G1065,AcctTbl,4,0)),"کد ناشناخته"))</f>
        <v/>
      </c>
      <c r="I1065" s="13" t="n"/>
      <c r="J1065" s="13" t="n"/>
      <c r="K1065" s="14" t="n"/>
      <c r="L1065" s="14" t="n"/>
      <c r="M1065" s="15">
        <f>IF(OR($B1065="",$K1065=""),"",($K1065-IF($L1065="",0,$L1065)*IFERROR(VLOOKUP("P01",ParamTbl,3,0),1.5))*(1-IF(IFERROR(VLOOKUP($E1065,OpTbl,3,0),"")="خرید",IFERROR(VLOOKUP("P02",ParamTbl,3,0),1),0)/100))</f>
        <v/>
      </c>
      <c r="N1065" s="14" t="n"/>
      <c r="O1065" s="13" t="n"/>
    </row>
    <row r="1066">
      <c r="A1066" s="11">
        <f>IF($B1066="","",COUNTA($B$9:$B1066))</f>
        <v/>
      </c>
      <c r="B1066" s="12" t="n"/>
      <c r="C1066" s="12" t="n"/>
      <c r="D1066" s="12" t="n"/>
      <c r="E1066" s="13" t="n"/>
      <c r="F1066" s="11">
        <f>IF($E1066="","",IFERROR(VLOOKUP($E1066,OpTbl,2,0),""))</f>
        <v/>
      </c>
      <c r="G1066" s="12" t="n"/>
      <c r="H1066" s="11">
        <f>IF($G1066="","",IFERROR(IF(VLOOKUP($G1066,AcctTbl,4,0)="","(بدون نام)",VLOOKUP($G1066,AcctTbl,4,0)),"کد ناشناخته"))</f>
        <v/>
      </c>
      <c r="I1066" s="13" t="n"/>
      <c r="J1066" s="13" t="n"/>
      <c r="K1066" s="14" t="n"/>
      <c r="L1066" s="14" t="n"/>
      <c r="M1066" s="15">
        <f>IF(OR($B1066="",$K1066=""),"",($K1066-IF($L1066="",0,$L1066)*IFERROR(VLOOKUP("P01",ParamTbl,3,0),1.5))*(1-IF(IFERROR(VLOOKUP($E1066,OpTbl,3,0),"")="خرید",IFERROR(VLOOKUP("P02",ParamTbl,3,0),1),0)/100))</f>
        <v/>
      </c>
      <c r="N1066" s="14" t="n"/>
      <c r="O1066" s="13" t="n"/>
    </row>
    <row r="1067">
      <c r="A1067" s="11">
        <f>IF($B1067="","",COUNTA($B$9:$B1067))</f>
        <v/>
      </c>
      <c r="B1067" s="12" t="n"/>
      <c r="C1067" s="12" t="n"/>
      <c r="D1067" s="12" t="n"/>
      <c r="E1067" s="13" t="n"/>
      <c r="F1067" s="11">
        <f>IF($E1067="","",IFERROR(VLOOKUP($E1067,OpTbl,2,0),""))</f>
        <v/>
      </c>
      <c r="G1067" s="12" t="n"/>
      <c r="H1067" s="11">
        <f>IF($G1067="","",IFERROR(IF(VLOOKUP($G1067,AcctTbl,4,0)="","(بدون نام)",VLOOKUP($G1067,AcctTbl,4,0)),"کد ناشناخته"))</f>
        <v/>
      </c>
      <c r="I1067" s="13" t="n"/>
      <c r="J1067" s="13" t="n"/>
      <c r="K1067" s="14" t="n"/>
      <c r="L1067" s="14" t="n"/>
      <c r="M1067" s="15">
        <f>IF(OR($B1067="",$K1067=""),"",($K1067-IF($L1067="",0,$L1067)*IFERROR(VLOOKUP("P01",ParamTbl,3,0),1.5))*(1-IF(IFERROR(VLOOKUP($E1067,OpTbl,3,0),"")="خرید",IFERROR(VLOOKUP("P02",ParamTbl,3,0),1),0)/100))</f>
        <v/>
      </c>
      <c r="N1067" s="14" t="n"/>
      <c r="O1067" s="13" t="n"/>
    </row>
    <row r="1068">
      <c r="A1068" s="11">
        <f>IF($B1068="","",COUNTA($B$9:$B1068))</f>
        <v/>
      </c>
      <c r="B1068" s="12" t="n"/>
      <c r="C1068" s="12" t="n"/>
      <c r="D1068" s="12" t="n"/>
      <c r="E1068" s="13" t="n"/>
      <c r="F1068" s="11">
        <f>IF($E1068="","",IFERROR(VLOOKUP($E1068,OpTbl,2,0),""))</f>
        <v/>
      </c>
      <c r="G1068" s="12" t="n"/>
      <c r="H1068" s="11">
        <f>IF($G1068="","",IFERROR(IF(VLOOKUP($G1068,AcctTbl,4,0)="","(بدون نام)",VLOOKUP($G1068,AcctTbl,4,0)),"کد ناشناخته"))</f>
        <v/>
      </c>
      <c r="I1068" s="13" t="n"/>
      <c r="J1068" s="13" t="n"/>
      <c r="K1068" s="14" t="n"/>
      <c r="L1068" s="14" t="n"/>
      <c r="M1068" s="15">
        <f>IF(OR($B1068="",$K1068=""),"",($K1068-IF($L1068="",0,$L1068)*IFERROR(VLOOKUP("P01",ParamTbl,3,0),1.5))*(1-IF(IFERROR(VLOOKUP($E1068,OpTbl,3,0),"")="خرید",IFERROR(VLOOKUP("P02",ParamTbl,3,0),1),0)/100))</f>
        <v/>
      </c>
      <c r="N1068" s="14" t="n"/>
      <c r="O1068" s="13" t="n"/>
    </row>
    <row r="1069">
      <c r="A1069" s="11">
        <f>IF($B1069="","",COUNTA($B$9:$B1069))</f>
        <v/>
      </c>
      <c r="B1069" s="12" t="n"/>
      <c r="C1069" s="12" t="n"/>
      <c r="D1069" s="12" t="n"/>
      <c r="E1069" s="13" t="n"/>
      <c r="F1069" s="11">
        <f>IF($E1069="","",IFERROR(VLOOKUP($E1069,OpTbl,2,0),""))</f>
        <v/>
      </c>
      <c r="G1069" s="12" t="n"/>
      <c r="H1069" s="11">
        <f>IF($G1069="","",IFERROR(IF(VLOOKUP($G1069,AcctTbl,4,0)="","(بدون نام)",VLOOKUP($G1069,AcctTbl,4,0)),"کد ناشناخته"))</f>
        <v/>
      </c>
      <c r="I1069" s="13" t="n"/>
      <c r="J1069" s="13" t="n"/>
      <c r="K1069" s="14" t="n"/>
      <c r="L1069" s="14" t="n"/>
      <c r="M1069" s="15">
        <f>IF(OR($B1069="",$K1069=""),"",($K1069-IF($L1069="",0,$L1069)*IFERROR(VLOOKUP("P01",ParamTbl,3,0),1.5))*(1-IF(IFERROR(VLOOKUP($E1069,OpTbl,3,0),"")="خرید",IFERROR(VLOOKUP("P02",ParamTbl,3,0),1),0)/100))</f>
        <v/>
      </c>
      <c r="N1069" s="14" t="n"/>
      <c r="O1069" s="13" t="n"/>
    </row>
    <row r="1070">
      <c r="A1070" s="11">
        <f>IF($B1070="","",COUNTA($B$9:$B1070))</f>
        <v/>
      </c>
      <c r="B1070" s="12" t="n"/>
      <c r="C1070" s="12" t="n"/>
      <c r="D1070" s="12" t="n"/>
      <c r="E1070" s="13" t="n"/>
      <c r="F1070" s="11">
        <f>IF($E1070="","",IFERROR(VLOOKUP($E1070,OpTbl,2,0),""))</f>
        <v/>
      </c>
      <c r="G1070" s="12" t="n"/>
      <c r="H1070" s="11">
        <f>IF($G1070="","",IFERROR(IF(VLOOKUP($G1070,AcctTbl,4,0)="","(بدون نام)",VLOOKUP($G1070,AcctTbl,4,0)),"کد ناشناخته"))</f>
        <v/>
      </c>
      <c r="I1070" s="13" t="n"/>
      <c r="J1070" s="13" t="n"/>
      <c r="K1070" s="14" t="n"/>
      <c r="L1070" s="14" t="n"/>
      <c r="M1070" s="15">
        <f>IF(OR($B1070="",$K1070=""),"",($K1070-IF($L1070="",0,$L1070)*IFERROR(VLOOKUP("P01",ParamTbl,3,0),1.5))*(1-IF(IFERROR(VLOOKUP($E1070,OpTbl,3,0),"")="خرید",IFERROR(VLOOKUP("P02",ParamTbl,3,0),1),0)/100))</f>
        <v/>
      </c>
      <c r="N1070" s="14" t="n"/>
      <c r="O1070" s="13" t="n"/>
    </row>
    <row r="1071">
      <c r="A1071" s="11">
        <f>IF($B1071="","",COUNTA($B$9:$B1071))</f>
        <v/>
      </c>
      <c r="B1071" s="12" t="n"/>
      <c r="C1071" s="12" t="n"/>
      <c r="D1071" s="12" t="n"/>
      <c r="E1071" s="13" t="n"/>
      <c r="F1071" s="11">
        <f>IF($E1071="","",IFERROR(VLOOKUP($E1071,OpTbl,2,0),""))</f>
        <v/>
      </c>
      <c r="G1071" s="12" t="n"/>
      <c r="H1071" s="11">
        <f>IF($G1071="","",IFERROR(IF(VLOOKUP($G1071,AcctTbl,4,0)="","(بدون نام)",VLOOKUP($G1071,AcctTbl,4,0)),"کد ناشناخته"))</f>
        <v/>
      </c>
      <c r="I1071" s="13" t="n"/>
      <c r="J1071" s="13" t="n"/>
      <c r="K1071" s="14" t="n"/>
      <c r="L1071" s="14" t="n"/>
      <c r="M1071" s="15">
        <f>IF(OR($B1071="",$K1071=""),"",($K1071-IF($L1071="",0,$L1071)*IFERROR(VLOOKUP("P01",ParamTbl,3,0),1.5))*(1-IF(IFERROR(VLOOKUP($E1071,OpTbl,3,0),"")="خرید",IFERROR(VLOOKUP("P02",ParamTbl,3,0),1),0)/100))</f>
        <v/>
      </c>
      <c r="N1071" s="14" t="n"/>
      <c r="O1071" s="13" t="n"/>
    </row>
    <row r="1072">
      <c r="A1072" s="11">
        <f>IF($B1072="","",COUNTA($B$9:$B1072))</f>
        <v/>
      </c>
      <c r="B1072" s="12" t="n"/>
      <c r="C1072" s="12" t="n"/>
      <c r="D1072" s="12" t="n"/>
      <c r="E1072" s="13" t="n"/>
      <c r="F1072" s="11">
        <f>IF($E1072="","",IFERROR(VLOOKUP($E1072,OpTbl,2,0),""))</f>
        <v/>
      </c>
      <c r="G1072" s="12" t="n"/>
      <c r="H1072" s="11">
        <f>IF($G1072="","",IFERROR(IF(VLOOKUP($G1072,AcctTbl,4,0)="","(بدون نام)",VLOOKUP($G1072,AcctTbl,4,0)),"کد ناشناخته"))</f>
        <v/>
      </c>
      <c r="I1072" s="13" t="n"/>
      <c r="J1072" s="13" t="n"/>
      <c r="K1072" s="14" t="n"/>
      <c r="L1072" s="14" t="n"/>
      <c r="M1072" s="15">
        <f>IF(OR($B1072="",$K1072=""),"",($K1072-IF($L1072="",0,$L1072)*IFERROR(VLOOKUP("P01",ParamTbl,3,0),1.5))*(1-IF(IFERROR(VLOOKUP($E1072,OpTbl,3,0),"")="خرید",IFERROR(VLOOKUP("P02",ParamTbl,3,0),1),0)/100))</f>
        <v/>
      </c>
      <c r="N1072" s="14" t="n"/>
      <c r="O1072" s="13" t="n"/>
    </row>
    <row r="1073">
      <c r="A1073" s="11">
        <f>IF($B1073="","",COUNTA($B$9:$B1073))</f>
        <v/>
      </c>
      <c r="B1073" s="12" t="n"/>
      <c r="C1073" s="12" t="n"/>
      <c r="D1073" s="12" t="n"/>
      <c r="E1073" s="13" t="n"/>
      <c r="F1073" s="11">
        <f>IF($E1073="","",IFERROR(VLOOKUP($E1073,OpTbl,2,0),""))</f>
        <v/>
      </c>
      <c r="G1073" s="12" t="n"/>
      <c r="H1073" s="11">
        <f>IF($G1073="","",IFERROR(IF(VLOOKUP($G1073,AcctTbl,4,0)="","(بدون نام)",VLOOKUP($G1073,AcctTbl,4,0)),"کد ناشناخته"))</f>
        <v/>
      </c>
      <c r="I1073" s="13" t="n"/>
      <c r="J1073" s="13" t="n"/>
      <c r="K1073" s="14" t="n"/>
      <c r="L1073" s="14" t="n"/>
      <c r="M1073" s="15">
        <f>IF(OR($B1073="",$K1073=""),"",($K1073-IF($L1073="",0,$L1073)*IFERROR(VLOOKUP("P01",ParamTbl,3,0),1.5))*(1-IF(IFERROR(VLOOKUP($E1073,OpTbl,3,0),"")="خرید",IFERROR(VLOOKUP("P02",ParamTbl,3,0),1),0)/100))</f>
        <v/>
      </c>
      <c r="N1073" s="14" t="n"/>
      <c r="O1073" s="13" t="n"/>
    </row>
    <row r="1074">
      <c r="A1074" s="11">
        <f>IF($B1074="","",COUNTA($B$9:$B1074))</f>
        <v/>
      </c>
      <c r="B1074" s="12" t="n"/>
      <c r="C1074" s="12" t="n"/>
      <c r="D1074" s="12" t="n"/>
      <c r="E1074" s="13" t="n"/>
      <c r="F1074" s="11">
        <f>IF($E1074="","",IFERROR(VLOOKUP($E1074,OpTbl,2,0),""))</f>
        <v/>
      </c>
      <c r="G1074" s="12" t="n"/>
      <c r="H1074" s="11">
        <f>IF($G1074="","",IFERROR(IF(VLOOKUP($G1074,AcctTbl,4,0)="","(بدون نام)",VLOOKUP($G1074,AcctTbl,4,0)),"کد ناشناخته"))</f>
        <v/>
      </c>
      <c r="I1074" s="13" t="n"/>
      <c r="J1074" s="13" t="n"/>
      <c r="K1074" s="14" t="n"/>
      <c r="L1074" s="14" t="n"/>
      <c r="M1074" s="15">
        <f>IF(OR($B1074="",$K1074=""),"",($K1074-IF($L1074="",0,$L1074)*IFERROR(VLOOKUP("P01",ParamTbl,3,0),1.5))*(1-IF(IFERROR(VLOOKUP($E1074,OpTbl,3,0),"")="خرید",IFERROR(VLOOKUP("P02",ParamTbl,3,0),1),0)/100))</f>
        <v/>
      </c>
      <c r="N1074" s="14" t="n"/>
      <c r="O1074" s="13" t="n"/>
    </row>
    <row r="1075">
      <c r="A1075" s="11">
        <f>IF($B1075="","",COUNTA($B$9:$B1075))</f>
        <v/>
      </c>
      <c r="B1075" s="12" t="n"/>
      <c r="C1075" s="12" t="n"/>
      <c r="D1075" s="12" t="n"/>
      <c r="E1075" s="13" t="n"/>
      <c r="F1075" s="11">
        <f>IF($E1075="","",IFERROR(VLOOKUP($E1075,OpTbl,2,0),""))</f>
        <v/>
      </c>
      <c r="G1075" s="12" t="n"/>
      <c r="H1075" s="11">
        <f>IF($G1075="","",IFERROR(IF(VLOOKUP($G1075,AcctTbl,4,0)="","(بدون نام)",VLOOKUP($G1075,AcctTbl,4,0)),"کد ناشناخته"))</f>
        <v/>
      </c>
      <c r="I1075" s="13" t="n"/>
      <c r="J1075" s="13" t="n"/>
      <c r="K1075" s="14" t="n"/>
      <c r="L1075" s="14" t="n"/>
      <c r="M1075" s="15">
        <f>IF(OR($B1075="",$K1075=""),"",($K1075-IF($L1075="",0,$L1075)*IFERROR(VLOOKUP("P01",ParamTbl,3,0),1.5))*(1-IF(IFERROR(VLOOKUP($E1075,OpTbl,3,0),"")="خرید",IFERROR(VLOOKUP("P02",ParamTbl,3,0),1),0)/100))</f>
        <v/>
      </c>
      <c r="N1075" s="14" t="n"/>
      <c r="O1075" s="13" t="n"/>
    </row>
    <row r="1076">
      <c r="A1076" s="11">
        <f>IF($B1076="","",COUNTA($B$9:$B1076))</f>
        <v/>
      </c>
      <c r="B1076" s="12" t="n"/>
      <c r="C1076" s="12" t="n"/>
      <c r="D1076" s="12" t="n"/>
      <c r="E1076" s="13" t="n"/>
      <c r="F1076" s="11">
        <f>IF($E1076="","",IFERROR(VLOOKUP($E1076,OpTbl,2,0),""))</f>
        <v/>
      </c>
      <c r="G1076" s="12" t="n"/>
      <c r="H1076" s="11">
        <f>IF($G1076="","",IFERROR(IF(VLOOKUP($G1076,AcctTbl,4,0)="","(بدون نام)",VLOOKUP($G1076,AcctTbl,4,0)),"کد ناشناخته"))</f>
        <v/>
      </c>
      <c r="I1076" s="13" t="n"/>
      <c r="J1076" s="13" t="n"/>
      <c r="K1076" s="14" t="n"/>
      <c r="L1076" s="14" t="n"/>
      <c r="M1076" s="15">
        <f>IF(OR($B1076="",$K1076=""),"",($K1076-IF($L1076="",0,$L1076)*IFERROR(VLOOKUP("P01",ParamTbl,3,0),1.5))*(1-IF(IFERROR(VLOOKUP($E1076,OpTbl,3,0),"")="خرید",IFERROR(VLOOKUP("P02",ParamTbl,3,0),1),0)/100))</f>
        <v/>
      </c>
      <c r="N1076" s="14" t="n"/>
      <c r="O1076" s="13" t="n"/>
    </row>
    <row r="1077">
      <c r="A1077" s="11">
        <f>IF($B1077="","",COUNTA($B$9:$B1077))</f>
        <v/>
      </c>
      <c r="B1077" s="12" t="n"/>
      <c r="C1077" s="12" t="n"/>
      <c r="D1077" s="12" t="n"/>
      <c r="E1077" s="13" t="n"/>
      <c r="F1077" s="11">
        <f>IF($E1077="","",IFERROR(VLOOKUP($E1077,OpTbl,2,0),""))</f>
        <v/>
      </c>
      <c r="G1077" s="12" t="n"/>
      <c r="H1077" s="11">
        <f>IF($G1077="","",IFERROR(IF(VLOOKUP($G1077,AcctTbl,4,0)="","(بدون نام)",VLOOKUP($G1077,AcctTbl,4,0)),"کد ناشناخته"))</f>
        <v/>
      </c>
      <c r="I1077" s="13" t="n"/>
      <c r="J1077" s="13" t="n"/>
      <c r="K1077" s="14" t="n"/>
      <c r="L1077" s="14" t="n"/>
      <c r="M1077" s="15">
        <f>IF(OR($B1077="",$K1077=""),"",($K1077-IF($L1077="",0,$L1077)*IFERROR(VLOOKUP("P01",ParamTbl,3,0),1.5))*(1-IF(IFERROR(VLOOKUP($E1077,OpTbl,3,0),"")="خرید",IFERROR(VLOOKUP("P02",ParamTbl,3,0),1),0)/100))</f>
        <v/>
      </c>
      <c r="N1077" s="14" t="n"/>
      <c r="O1077" s="13" t="n"/>
    </row>
    <row r="1078">
      <c r="A1078" s="11">
        <f>IF($B1078="","",COUNTA($B$9:$B1078))</f>
        <v/>
      </c>
      <c r="B1078" s="12" t="n"/>
      <c r="C1078" s="12" t="n"/>
      <c r="D1078" s="12" t="n"/>
      <c r="E1078" s="13" t="n"/>
      <c r="F1078" s="11">
        <f>IF($E1078="","",IFERROR(VLOOKUP($E1078,OpTbl,2,0),""))</f>
        <v/>
      </c>
      <c r="G1078" s="12" t="n"/>
      <c r="H1078" s="11">
        <f>IF($G1078="","",IFERROR(IF(VLOOKUP($G1078,AcctTbl,4,0)="","(بدون نام)",VLOOKUP($G1078,AcctTbl,4,0)),"کد ناشناخته"))</f>
        <v/>
      </c>
      <c r="I1078" s="13" t="n"/>
      <c r="J1078" s="13" t="n"/>
      <c r="K1078" s="14" t="n"/>
      <c r="L1078" s="14" t="n"/>
      <c r="M1078" s="15">
        <f>IF(OR($B1078="",$K1078=""),"",($K1078-IF($L1078="",0,$L1078)*IFERROR(VLOOKUP("P01",ParamTbl,3,0),1.5))*(1-IF(IFERROR(VLOOKUP($E1078,OpTbl,3,0),"")="خرید",IFERROR(VLOOKUP("P02",ParamTbl,3,0),1),0)/100))</f>
        <v/>
      </c>
      <c r="N1078" s="14" t="n"/>
      <c r="O1078" s="13" t="n"/>
    </row>
    <row r="1079">
      <c r="A1079" s="11">
        <f>IF($B1079="","",COUNTA($B$9:$B1079))</f>
        <v/>
      </c>
      <c r="B1079" s="12" t="n"/>
      <c r="C1079" s="12" t="n"/>
      <c r="D1079" s="12" t="n"/>
      <c r="E1079" s="13" t="n"/>
      <c r="F1079" s="11">
        <f>IF($E1079="","",IFERROR(VLOOKUP($E1079,OpTbl,2,0),""))</f>
        <v/>
      </c>
      <c r="G1079" s="12" t="n"/>
      <c r="H1079" s="11">
        <f>IF($G1079="","",IFERROR(IF(VLOOKUP($G1079,AcctTbl,4,0)="","(بدون نام)",VLOOKUP($G1079,AcctTbl,4,0)),"کد ناشناخته"))</f>
        <v/>
      </c>
      <c r="I1079" s="13" t="n"/>
      <c r="J1079" s="13" t="n"/>
      <c r="K1079" s="14" t="n"/>
      <c r="L1079" s="14" t="n"/>
      <c r="M1079" s="15">
        <f>IF(OR($B1079="",$K1079=""),"",($K1079-IF($L1079="",0,$L1079)*IFERROR(VLOOKUP("P01",ParamTbl,3,0),1.5))*(1-IF(IFERROR(VLOOKUP($E1079,OpTbl,3,0),"")="خرید",IFERROR(VLOOKUP("P02",ParamTbl,3,0),1),0)/100))</f>
        <v/>
      </c>
      <c r="N1079" s="14" t="n"/>
      <c r="O1079" s="13" t="n"/>
    </row>
    <row r="1080">
      <c r="A1080" s="11">
        <f>IF($B1080="","",COUNTA($B$9:$B1080))</f>
        <v/>
      </c>
      <c r="B1080" s="12" t="n"/>
      <c r="C1080" s="12" t="n"/>
      <c r="D1080" s="12" t="n"/>
      <c r="E1080" s="13" t="n"/>
      <c r="F1080" s="11">
        <f>IF($E1080="","",IFERROR(VLOOKUP($E1080,OpTbl,2,0),""))</f>
        <v/>
      </c>
      <c r="G1080" s="12" t="n"/>
      <c r="H1080" s="11">
        <f>IF($G1080="","",IFERROR(IF(VLOOKUP($G1080,AcctTbl,4,0)="","(بدون نام)",VLOOKUP($G1080,AcctTbl,4,0)),"کد ناشناخته"))</f>
        <v/>
      </c>
      <c r="I1080" s="13" t="n"/>
      <c r="J1080" s="13" t="n"/>
      <c r="K1080" s="14" t="n"/>
      <c r="L1080" s="14" t="n"/>
      <c r="M1080" s="15">
        <f>IF(OR($B1080="",$K1080=""),"",($K1080-IF($L1080="",0,$L1080)*IFERROR(VLOOKUP("P01",ParamTbl,3,0),1.5))*(1-IF(IFERROR(VLOOKUP($E1080,OpTbl,3,0),"")="خرید",IFERROR(VLOOKUP("P02",ParamTbl,3,0),1),0)/100))</f>
        <v/>
      </c>
      <c r="N1080" s="14" t="n"/>
      <c r="O1080" s="13" t="n"/>
    </row>
    <row r="1081">
      <c r="A1081" s="11">
        <f>IF($B1081="","",COUNTA($B$9:$B1081))</f>
        <v/>
      </c>
      <c r="B1081" s="12" t="n"/>
      <c r="C1081" s="12" t="n"/>
      <c r="D1081" s="12" t="n"/>
      <c r="E1081" s="13" t="n"/>
      <c r="F1081" s="11">
        <f>IF($E1081="","",IFERROR(VLOOKUP($E1081,OpTbl,2,0),""))</f>
        <v/>
      </c>
      <c r="G1081" s="12" t="n"/>
      <c r="H1081" s="11">
        <f>IF($G1081="","",IFERROR(IF(VLOOKUP($G1081,AcctTbl,4,0)="","(بدون نام)",VLOOKUP($G1081,AcctTbl,4,0)),"کد ناشناخته"))</f>
        <v/>
      </c>
      <c r="I1081" s="13" t="n"/>
      <c r="J1081" s="13" t="n"/>
      <c r="K1081" s="14" t="n"/>
      <c r="L1081" s="14" t="n"/>
      <c r="M1081" s="15">
        <f>IF(OR($B1081="",$K1081=""),"",($K1081-IF($L1081="",0,$L1081)*IFERROR(VLOOKUP("P01",ParamTbl,3,0),1.5))*(1-IF(IFERROR(VLOOKUP($E1081,OpTbl,3,0),"")="خرید",IFERROR(VLOOKUP("P02",ParamTbl,3,0),1),0)/100))</f>
        <v/>
      </c>
      <c r="N1081" s="14" t="n"/>
      <c r="O1081" s="13" t="n"/>
    </row>
    <row r="1082">
      <c r="A1082" s="11">
        <f>IF($B1082="","",COUNTA($B$9:$B1082))</f>
        <v/>
      </c>
      <c r="B1082" s="12" t="n"/>
      <c r="C1082" s="12" t="n"/>
      <c r="D1082" s="12" t="n"/>
      <c r="E1082" s="13" t="n"/>
      <c r="F1082" s="11">
        <f>IF($E1082="","",IFERROR(VLOOKUP($E1082,OpTbl,2,0),""))</f>
        <v/>
      </c>
      <c r="G1082" s="12" t="n"/>
      <c r="H1082" s="11">
        <f>IF($G1082="","",IFERROR(IF(VLOOKUP($G1082,AcctTbl,4,0)="","(بدون نام)",VLOOKUP($G1082,AcctTbl,4,0)),"کد ناشناخته"))</f>
        <v/>
      </c>
      <c r="I1082" s="13" t="n"/>
      <c r="J1082" s="13" t="n"/>
      <c r="K1082" s="14" t="n"/>
      <c r="L1082" s="14" t="n"/>
      <c r="M1082" s="15">
        <f>IF(OR($B1082="",$K1082=""),"",($K1082-IF($L1082="",0,$L1082)*IFERROR(VLOOKUP("P01",ParamTbl,3,0),1.5))*(1-IF(IFERROR(VLOOKUP($E1082,OpTbl,3,0),"")="خرید",IFERROR(VLOOKUP("P02",ParamTbl,3,0),1),0)/100))</f>
        <v/>
      </c>
      <c r="N1082" s="14" t="n"/>
      <c r="O1082" s="13" t="n"/>
    </row>
    <row r="1083">
      <c r="A1083" s="11">
        <f>IF($B1083="","",COUNTA($B$9:$B1083))</f>
        <v/>
      </c>
      <c r="B1083" s="12" t="n"/>
      <c r="C1083" s="12" t="n"/>
      <c r="D1083" s="12" t="n"/>
      <c r="E1083" s="13" t="n"/>
      <c r="F1083" s="11">
        <f>IF($E1083="","",IFERROR(VLOOKUP($E1083,OpTbl,2,0),""))</f>
        <v/>
      </c>
      <c r="G1083" s="12" t="n"/>
      <c r="H1083" s="11">
        <f>IF($G1083="","",IFERROR(IF(VLOOKUP($G1083,AcctTbl,4,0)="","(بدون نام)",VLOOKUP($G1083,AcctTbl,4,0)),"کد ناشناخته"))</f>
        <v/>
      </c>
      <c r="I1083" s="13" t="n"/>
      <c r="J1083" s="13" t="n"/>
      <c r="K1083" s="14" t="n"/>
      <c r="L1083" s="14" t="n"/>
      <c r="M1083" s="15">
        <f>IF(OR($B1083="",$K1083=""),"",($K1083-IF($L1083="",0,$L1083)*IFERROR(VLOOKUP("P01",ParamTbl,3,0),1.5))*(1-IF(IFERROR(VLOOKUP($E1083,OpTbl,3,0),"")="خرید",IFERROR(VLOOKUP("P02",ParamTbl,3,0),1),0)/100))</f>
        <v/>
      </c>
      <c r="N1083" s="14" t="n"/>
      <c r="O1083" s="13" t="n"/>
    </row>
    <row r="1084">
      <c r="A1084" s="11">
        <f>IF($B1084="","",COUNTA($B$9:$B1084))</f>
        <v/>
      </c>
      <c r="B1084" s="12" t="n"/>
      <c r="C1084" s="12" t="n"/>
      <c r="D1084" s="12" t="n"/>
      <c r="E1084" s="13" t="n"/>
      <c r="F1084" s="11">
        <f>IF($E1084="","",IFERROR(VLOOKUP($E1084,OpTbl,2,0),""))</f>
        <v/>
      </c>
      <c r="G1084" s="12" t="n"/>
      <c r="H1084" s="11">
        <f>IF($G1084="","",IFERROR(IF(VLOOKUP($G1084,AcctTbl,4,0)="","(بدون نام)",VLOOKUP($G1084,AcctTbl,4,0)),"کد ناشناخته"))</f>
        <v/>
      </c>
      <c r="I1084" s="13" t="n"/>
      <c r="J1084" s="13" t="n"/>
      <c r="K1084" s="14" t="n"/>
      <c r="L1084" s="14" t="n"/>
      <c r="M1084" s="15">
        <f>IF(OR($B1084="",$K1084=""),"",($K1084-IF($L1084="",0,$L1084)*IFERROR(VLOOKUP("P01",ParamTbl,3,0),1.5))*(1-IF(IFERROR(VLOOKUP($E1084,OpTbl,3,0),"")="خرید",IFERROR(VLOOKUP("P02",ParamTbl,3,0),1),0)/100))</f>
        <v/>
      </c>
      <c r="N1084" s="14" t="n"/>
      <c r="O1084" s="13" t="n"/>
    </row>
    <row r="1085">
      <c r="A1085" s="11">
        <f>IF($B1085="","",COUNTA($B$9:$B1085))</f>
        <v/>
      </c>
      <c r="B1085" s="12" t="n"/>
      <c r="C1085" s="12" t="n"/>
      <c r="D1085" s="12" t="n"/>
      <c r="E1085" s="13" t="n"/>
      <c r="F1085" s="11">
        <f>IF($E1085="","",IFERROR(VLOOKUP($E1085,OpTbl,2,0),""))</f>
        <v/>
      </c>
      <c r="G1085" s="12" t="n"/>
      <c r="H1085" s="11">
        <f>IF($G1085="","",IFERROR(IF(VLOOKUP($G1085,AcctTbl,4,0)="","(بدون نام)",VLOOKUP($G1085,AcctTbl,4,0)),"کد ناشناخته"))</f>
        <v/>
      </c>
      <c r="I1085" s="13" t="n"/>
      <c r="J1085" s="13" t="n"/>
      <c r="K1085" s="14" t="n"/>
      <c r="L1085" s="14" t="n"/>
      <c r="M1085" s="15">
        <f>IF(OR($B1085="",$K1085=""),"",($K1085-IF($L1085="",0,$L1085)*IFERROR(VLOOKUP("P01",ParamTbl,3,0),1.5))*(1-IF(IFERROR(VLOOKUP($E1085,OpTbl,3,0),"")="خرید",IFERROR(VLOOKUP("P02",ParamTbl,3,0),1),0)/100))</f>
        <v/>
      </c>
      <c r="N1085" s="14" t="n"/>
      <c r="O1085" s="13" t="n"/>
    </row>
    <row r="1086">
      <c r="A1086" s="11">
        <f>IF($B1086="","",COUNTA($B$9:$B1086))</f>
        <v/>
      </c>
      <c r="B1086" s="12" t="n"/>
      <c r="C1086" s="12" t="n"/>
      <c r="D1086" s="12" t="n"/>
      <c r="E1086" s="13" t="n"/>
      <c r="F1086" s="11">
        <f>IF($E1086="","",IFERROR(VLOOKUP($E1086,OpTbl,2,0),""))</f>
        <v/>
      </c>
      <c r="G1086" s="12" t="n"/>
      <c r="H1086" s="11">
        <f>IF($G1086="","",IFERROR(IF(VLOOKUP($G1086,AcctTbl,4,0)="","(بدون نام)",VLOOKUP($G1086,AcctTbl,4,0)),"کد ناشناخته"))</f>
        <v/>
      </c>
      <c r="I1086" s="13" t="n"/>
      <c r="J1086" s="13" t="n"/>
      <c r="K1086" s="14" t="n"/>
      <c r="L1086" s="14" t="n"/>
      <c r="M1086" s="15">
        <f>IF(OR($B1086="",$K1086=""),"",($K1086-IF($L1086="",0,$L1086)*IFERROR(VLOOKUP("P01",ParamTbl,3,0),1.5))*(1-IF(IFERROR(VLOOKUP($E1086,OpTbl,3,0),"")="خرید",IFERROR(VLOOKUP("P02",ParamTbl,3,0),1),0)/100))</f>
        <v/>
      </c>
      <c r="N1086" s="14" t="n"/>
      <c r="O1086" s="13" t="n"/>
    </row>
    <row r="1087">
      <c r="A1087" s="11">
        <f>IF($B1087="","",COUNTA($B$9:$B1087))</f>
        <v/>
      </c>
      <c r="B1087" s="12" t="n"/>
      <c r="C1087" s="12" t="n"/>
      <c r="D1087" s="12" t="n"/>
      <c r="E1087" s="13" t="n"/>
      <c r="F1087" s="11">
        <f>IF($E1087="","",IFERROR(VLOOKUP($E1087,OpTbl,2,0),""))</f>
        <v/>
      </c>
      <c r="G1087" s="12" t="n"/>
      <c r="H1087" s="11">
        <f>IF($G1087="","",IFERROR(IF(VLOOKUP($G1087,AcctTbl,4,0)="","(بدون نام)",VLOOKUP($G1087,AcctTbl,4,0)),"کد ناشناخته"))</f>
        <v/>
      </c>
      <c r="I1087" s="13" t="n"/>
      <c r="J1087" s="13" t="n"/>
      <c r="K1087" s="14" t="n"/>
      <c r="L1087" s="14" t="n"/>
      <c r="M1087" s="15">
        <f>IF(OR($B1087="",$K1087=""),"",($K1087-IF($L1087="",0,$L1087)*IFERROR(VLOOKUP("P01",ParamTbl,3,0),1.5))*(1-IF(IFERROR(VLOOKUP($E1087,OpTbl,3,0),"")="خرید",IFERROR(VLOOKUP("P02",ParamTbl,3,0),1),0)/100))</f>
        <v/>
      </c>
      <c r="N1087" s="14" t="n"/>
      <c r="O1087" s="13" t="n"/>
    </row>
    <row r="1088">
      <c r="A1088" s="11">
        <f>IF($B1088="","",COUNTA($B$9:$B1088))</f>
        <v/>
      </c>
      <c r="B1088" s="12" t="n"/>
      <c r="C1088" s="12" t="n"/>
      <c r="D1088" s="12" t="n"/>
      <c r="E1088" s="13" t="n"/>
      <c r="F1088" s="11">
        <f>IF($E1088="","",IFERROR(VLOOKUP($E1088,OpTbl,2,0),""))</f>
        <v/>
      </c>
      <c r="G1088" s="12" t="n"/>
      <c r="H1088" s="11">
        <f>IF($G1088="","",IFERROR(IF(VLOOKUP($G1088,AcctTbl,4,0)="","(بدون نام)",VLOOKUP($G1088,AcctTbl,4,0)),"کد ناشناخته"))</f>
        <v/>
      </c>
      <c r="I1088" s="13" t="n"/>
      <c r="J1088" s="13" t="n"/>
      <c r="K1088" s="14" t="n"/>
      <c r="L1088" s="14" t="n"/>
      <c r="M1088" s="15">
        <f>IF(OR($B1088="",$K1088=""),"",($K1088-IF($L1088="",0,$L1088)*IFERROR(VLOOKUP("P01",ParamTbl,3,0),1.5))*(1-IF(IFERROR(VLOOKUP($E1088,OpTbl,3,0),"")="خرید",IFERROR(VLOOKUP("P02",ParamTbl,3,0),1),0)/100))</f>
        <v/>
      </c>
      <c r="N1088" s="14" t="n"/>
      <c r="O1088" s="13" t="n"/>
    </row>
    <row r="1089">
      <c r="A1089" s="11">
        <f>IF($B1089="","",COUNTA($B$9:$B1089))</f>
        <v/>
      </c>
      <c r="B1089" s="12" t="n"/>
      <c r="C1089" s="12" t="n"/>
      <c r="D1089" s="12" t="n"/>
      <c r="E1089" s="13" t="n"/>
      <c r="F1089" s="11">
        <f>IF($E1089="","",IFERROR(VLOOKUP($E1089,OpTbl,2,0),""))</f>
        <v/>
      </c>
      <c r="G1089" s="12" t="n"/>
      <c r="H1089" s="11">
        <f>IF($G1089="","",IFERROR(IF(VLOOKUP($G1089,AcctTbl,4,0)="","(بدون نام)",VLOOKUP($G1089,AcctTbl,4,0)),"کد ناشناخته"))</f>
        <v/>
      </c>
      <c r="I1089" s="13" t="n"/>
      <c r="J1089" s="13" t="n"/>
      <c r="K1089" s="14" t="n"/>
      <c r="L1089" s="14" t="n"/>
      <c r="M1089" s="15">
        <f>IF(OR($B1089="",$K1089=""),"",($K1089-IF($L1089="",0,$L1089)*IFERROR(VLOOKUP("P01",ParamTbl,3,0),1.5))*(1-IF(IFERROR(VLOOKUP($E1089,OpTbl,3,0),"")="خرید",IFERROR(VLOOKUP("P02",ParamTbl,3,0),1),0)/100))</f>
        <v/>
      </c>
      <c r="N1089" s="14" t="n"/>
      <c r="O1089" s="13" t="n"/>
    </row>
    <row r="1090">
      <c r="A1090" s="11">
        <f>IF($B1090="","",COUNTA($B$9:$B1090))</f>
        <v/>
      </c>
      <c r="B1090" s="12" t="n"/>
      <c r="C1090" s="12" t="n"/>
      <c r="D1090" s="12" t="n"/>
      <c r="E1090" s="13" t="n"/>
      <c r="F1090" s="11">
        <f>IF($E1090="","",IFERROR(VLOOKUP($E1090,OpTbl,2,0),""))</f>
        <v/>
      </c>
      <c r="G1090" s="12" t="n"/>
      <c r="H1090" s="11">
        <f>IF($G1090="","",IFERROR(IF(VLOOKUP($G1090,AcctTbl,4,0)="","(بدون نام)",VLOOKUP($G1090,AcctTbl,4,0)),"کد ناشناخته"))</f>
        <v/>
      </c>
      <c r="I1090" s="13" t="n"/>
      <c r="J1090" s="13" t="n"/>
      <c r="K1090" s="14" t="n"/>
      <c r="L1090" s="14" t="n"/>
      <c r="M1090" s="15">
        <f>IF(OR($B1090="",$K1090=""),"",($K1090-IF($L1090="",0,$L1090)*IFERROR(VLOOKUP("P01",ParamTbl,3,0),1.5))*(1-IF(IFERROR(VLOOKUP($E1090,OpTbl,3,0),"")="خرید",IFERROR(VLOOKUP("P02",ParamTbl,3,0),1),0)/100))</f>
        <v/>
      </c>
      <c r="N1090" s="14" t="n"/>
      <c r="O1090" s="13" t="n"/>
    </row>
    <row r="1091">
      <c r="A1091" s="11">
        <f>IF($B1091="","",COUNTA($B$9:$B1091))</f>
        <v/>
      </c>
      <c r="B1091" s="12" t="n"/>
      <c r="C1091" s="12" t="n"/>
      <c r="D1091" s="12" t="n"/>
      <c r="E1091" s="13" t="n"/>
      <c r="F1091" s="11">
        <f>IF($E1091="","",IFERROR(VLOOKUP($E1091,OpTbl,2,0),""))</f>
        <v/>
      </c>
      <c r="G1091" s="12" t="n"/>
      <c r="H1091" s="11">
        <f>IF($G1091="","",IFERROR(IF(VLOOKUP($G1091,AcctTbl,4,0)="","(بدون نام)",VLOOKUP($G1091,AcctTbl,4,0)),"کد ناشناخته"))</f>
        <v/>
      </c>
      <c r="I1091" s="13" t="n"/>
      <c r="J1091" s="13" t="n"/>
      <c r="K1091" s="14" t="n"/>
      <c r="L1091" s="14" t="n"/>
      <c r="M1091" s="15">
        <f>IF(OR($B1091="",$K1091=""),"",($K1091-IF($L1091="",0,$L1091)*IFERROR(VLOOKUP("P01",ParamTbl,3,0),1.5))*(1-IF(IFERROR(VLOOKUP($E1091,OpTbl,3,0),"")="خرید",IFERROR(VLOOKUP("P02",ParamTbl,3,0),1),0)/100))</f>
        <v/>
      </c>
      <c r="N1091" s="14" t="n"/>
      <c r="O1091" s="13" t="n"/>
    </row>
    <row r="1092">
      <c r="A1092" s="11">
        <f>IF($B1092="","",COUNTA($B$9:$B1092))</f>
        <v/>
      </c>
      <c r="B1092" s="12" t="n"/>
      <c r="C1092" s="12" t="n"/>
      <c r="D1092" s="12" t="n"/>
      <c r="E1092" s="13" t="n"/>
      <c r="F1092" s="11">
        <f>IF($E1092="","",IFERROR(VLOOKUP($E1092,OpTbl,2,0),""))</f>
        <v/>
      </c>
      <c r="G1092" s="12" t="n"/>
      <c r="H1092" s="11">
        <f>IF($G1092="","",IFERROR(IF(VLOOKUP($G1092,AcctTbl,4,0)="","(بدون نام)",VLOOKUP($G1092,AcctTbl,4,0)),"کد ناشناخته"))</f>
        <v/>
      </c>
      <c r="I1092" s="13" t="n"/>
      <c r="J1092" s="13" t="n"/>
      <c r="K1092" s="14" t="n"/>
      <c r="L1092" s="14" t="n"/>
      <c r="M1092" s="15">
        <f>IF(OR($B1092="",$K1092=""),"",($K1092-IF($L1092="",0,$L1092)*IFERROR(VLOOKUP("P01",ParamTbl,3,0),1.5))*(1-IF(IFERROR(VLOOKUP($E1092,OpTbl,3,0),"")="خرید",IFERROR(VLOOKUP("P02",ParamTbl,3,0),1),0)/100))</f>
        <v/>
      </c>
      <c r="N1092" s="14" t="n"/>
      <c r="O1092" s="13" t="n"/>
    </row>
    <row r="1093">
      <c r="A1093" s="11">
        <f>IF($B1093="","",COUNTA($B$9:$B1093))</f>
        <v/>
      </c>
      <c r="B1093" s="12" t="n"/>
      <c r="C1093" s="12" t="n"/>
      <c r="D1093" s="12" t="n"/>
      <c r="E1093" s="13" t="n"/>
      <c r="F1093" s="11">
        <f>IF($E1093="","",IFERROR(VLOOKUP($E1093,OpTbl,2,0),""))</f>
        <v/>
      </c>
      <c r="G1093" s="12" t="n"/>
      <c r="H1093" s="11">
        <f>IF($G1093="","",IFERROR(IF(VLOOKUP($G1093,AcctTbl,4,0)="","(بدون نام)",VLOOKUP($G1093,AcctTbl,4,0)),"کد ناشناخته"))</f>
        <v/>
      </c>
      <c r="I1093" s="13" t="n"/>
      <c r="J1093" s="13" t="n"/>
      <c r="K1093" s="14" t="n"/>
      <c r="L1093" s="14" t="n"/>
      <c r="M1093" s="15">
        <f>IF(OR($B1093="",$K1093=""),"",($K1093-IF($L1093="",0,$L1093)*IFERROR(VLOOKUP("P01",ParamTbl,3,0),1.5))*(1-IF(IFERROR(VLOOKUP($E1093,OpTbl,3,0),"")="خرید",IFERROR(VLOOKUP("P02",ParamTbl,3,0),1),0)/100))</f>
        <v/>
      </c>
      <c r="N1093" s="14" t="n"/>
      <c r="O1093" s="13" t="n"/>
    </row>
    <row r="1094">
      <c r="A1094" s="11">
        <f>IF($B1094="","",COUNTA($B$9:$B1094))</f>
        <v/>
      </c>
      <c r="B1094" s="12" t="n"/>
      <c r="C1094" s="12" t="n"/>
      <c r="D1094" s="12" t="n"/>
      <c r="E1094" s="13" t="n"/>
      <c r="F1094" s="11">
        <f>IF($E1094="","",IFERROR(VLOOKUP($E1094,OpTbl,2,0),""))</f>
        <v/>
      </c>
      <c r="G1094" s="12" t="n"/>
      <c r="H1094" s="11">
        <f>IF($G1094="","",IFERROR(IF(VLOOKUP($G1094,AcctTbl,4,0)="","(بدون نام)",VLOOKUP($G1094,AcctTbl,4,0)),"کد ناشناخته"))</f>
        <v/>
      </c>
      <c r="I1094" s="13" t="n"/>
      <c r="J1094" s="13" t="n"/>
      <c r="K1094" s="14" t="n"/>
      <c r="L1094" s="14" t="n"/>
      <c r="M1094" s="15">
        <f>IF(OR($B1094="",$K1094=""),"",($K1094-IF($L1094="",0,$L1094)*IFERROR(VLOOKUP("P01",ParamTbl,3,0),1.5))*(1-IF(IFERROR(VLOOKUP($E1094,OpTbl,3,0),"")="خرید",IFERROR(VLOOKUP("P02",ParamTbl,3,0),1),0)/100))</f>
        <v/>
      </c>
      <c r="N1094" s="14" t="n"/>
      <c r="O1094" s="13" t="n"/>
    </row>
    <row r="1095">
      <c r="A1095" s="11">
        <f>IF($B1095="","",COUNTA($B$9:$B1095))</f>
        <v/>
      </c>
      <c r="B1095" s="12" t="n"/>
      <c r="C1095" s="12" t="n"/>
      <c r="D1095" s="12" t="n"/>
      <c r="E1095" s="13" t="n"/>
      <c r="F1095" s="11">
        <f>IF($E1095="","",IFERROR(VLOOKUP($E1095,OpTbl,2,0),""))</f>
        <v/>
      </c>
      <c r="G1095" s="12" t="n"/>
      <c r="H1095" s="11">
        <f>IF($G1095="","",IFERROR(IF(VLOOKUP($G1095,AcctTbl,4,0)="","(بدون نام)",VLOOKUP($G1095,AcctTbl,4,0)),"کد ناشناخته"))</f>
        <v/>
      </c>
      <c r="I1095" s="13" t="n"/>
      <c r="J1095" s="13" t="n"/>
      <c r="K1095" s="14" t="n"/>
      <c r="L1095" s="14" t="n"/>
      <c r="M1095" s="15">
        <f>IF(OR($B1095="",$K1095=""),"",($K1095-IF($L1095="",0,$L1095)*IFERROR(VLOOKUP("P01",ParamTbl,3,0),1.5))*(1-IF(IFERROR(VLOOKUP($E1095,OpTbl,3,0),"")="خرید",IFERROR(VLOOKUP("P02",ParamTbl,3,0),1),0)/100))</f>
        <v/>
      </c>
      <c r="N1095" s="14" t="n"/>
      <c r="O1095" s="13" t="n"/>
    </row>
    <row r="1096">
      <c r="A1096" s="11">
        <f>IF($B1096="","",COUNTA($B$9:$B1096))</f>
        <v/>
      </c>
      <c r="B1096" s="12" t="n"/>
      <c r="C1096" s="12" t="n"/>
      <c r="D1096" s="12" t="n"/>
      <c r="E1096" s="13" t="n"/>
      <c r="F1096" s="11">
        <f>IF($E1096="","",IFERROR(VLOOKUP($E1096,OpTbl,2,0),""))</f>
        <v/>
      </c>
      <c r="G1096" s="12" t="n"/>
      <c r="H1096" s="11">
        <f>IF($G1096="","",IFERROR(IF(VLOOKUP($G1096,AcctTbl,4,0)="","(بدون نام)",VLOOKUP($G1096,AcctTbl,4,0)),"کد ناشناخته"))</f>
        <v/>
      </c>
      <c r="I1096" s="13" t="n"/>
      <c r="J1096" s="13" t="n"/>
      <c r="K1096" s="14" t="n"/>
      <c r="L1096" s="14" t="n"/>
      <c r="M1096" s="15">
        <f>IF(OR($B1096="",$K1096=""),"",($K1096-IF($L1096="",0,$L1096)*IFERROR(VLOOKUP("P01",ParamTbl,3,0),1.5))*(1-IF(IFERROR(VLOOKUP($E1096,OpTbl,3,0),"")="خرید",IFERROR(VLOOKUP("P02",ParamTbl,3,0),1),0)/100))</f>
        <v/>
      </c>
      <c r="N1096" s="14" t="n"/>
      <c r="O1096" s="13" t="n"/>
    </row>
    <row r="1097">
      <c r="A1097" s="11">
        <f>IF($B1097="","",COUNTA($B$9:$B1097))</f>
        <v/>
      </c>
      <c r="B1097" s="12" t="n"/>
      <c r="C1097" s="12" t="n"/>
      <c r="D1097" s="12" t="n"/>
      <c r="E1097" s="13" t="n"/>
      <c r="F1097" s="11">
        <f>IF($E1097="","",IFERROR(VLOOKUP($E1097,OpTbl,2,0),""))</f>
        <v/>
      </c>
      <c r="G1097" s="12" t="n"/>
      <c r="H1097" s="11">
        <f>IF($G1097="","",IFERROR(IF(VLOOKUP($G1097,AcctTbl,4,0)="","(بدون نام)",VLOOKUP($G1097,AcctTbl,4,0)),"کد ناشناخته"))</f>
        <v/>
      </c>
      <c r="I1097" s="13" t="n"/>
      <c r="J1097" s="13" t="n"/>
      <c r="K1097" s="14" t="n"/>
      <c r="L1097" s="14" t="n"/>
      <c r="M1097" s="15">
        <f>IF(OR($B1097="",$K1097=""),"",($K1097-IF($L1097="",0,$L1097)*IFERROR(VLOOKUP("P01",ParamTbl,3,0),1.5))*(1-IF(IFERROR(VLOOKUP($E1097,OpTbl,3,0),"")="خرید",IFERROR(VLOOKUP("P02",ParamTbl,3,0),1),0)/100))</f>
        <v/>
      </c>
      <c r="N1097" s="14" t="n"/>
      <c r="O1097" s="13" t="n"/>
    </row>
    <row r="1098">
      <c r="A1098" s="11">
        <f>IF($B1098="","",COUNTA($B$9:$B1098))</f>
        <v/>
      </c>
      <c r="B1098" s="12" t="n"/>
      <c r="C1098" s="12" t="n"/>
      <c r="D1098" s="12" t="n"/>
      <c r="E1098" s="13" t="n"/>
      <c r="F1098" s="11">
        <f>IF($E1098="","",IFERROR(VLOOKUP($E1098,OpTbl,2,0),""))</f>
        <v/>
      </c>
      <c r="G1098" s="12" t="n"/>
      <c r="H1098" s="11">
        <f>IF($G1098="","",IFERROR(IF(VLOOKUP($G1098,AcctTbl,4,0)="","(بدون نام)",VLOOKUP($G1098,AcctTbl,4,0)),"کد ناشناخته"))</f>
        <v/>
      </c>
      <c r="I1098" s="13" t="n"/>
      <c r="J1098" s="13" t="n"/>
      <c r="K1098" s="14" t="n"/>
      <c r="L1098" s="14" t="n"/>
      <c r="M1098" s="15">
        <f>IF(OR($B1098="",$K1098=""),"",($K1098-IF($L1098="",0,$L1098)*IFERROR(VLOOKUP("P01",ParamTbl,3,0),1.5))*(1-IF(IFERROR(VLOOKUP($E1098,OpTbl,3,0),"")="خرید",IFERROR(VLOOKUP("P02",ParamTbl,3,0),1),0)/100))</f>
        <v/>
      </c>
      <c r="N1098" s="14" t="n"/>
      <c r="O1098" s="13" t="n"/>
    </row>
    <row r="1099">
      <c r="A1099" s="11">
        <f>IF($B1099="","",COUNTA($B$9:$B1099))</f>
        <v/>
      </c>
      <c r="B1099" s="12" t="n"/>
      <c r="C1099" s="12" t="n"/>
      <c r="D1099" s="12" t="n"/>
      <c r="E1099" s="13" t="n"/>
      <c r="F1099" s="11">
        <f>IF($E1099="","",IFERROR(VLOOKUP($E1099,OpTbl,2,0),""))</f>
        <v/>
      </c>
      <c r="G1099" s="12" t="n"/>
      <c r="H1099" s="11">
        <f>IF($G1099="","",IFERROR(IF(VLOOKUP($G1099,AcctTbl,4,0)="","(بدون نام)",VLOOKUP($G1099,AcctTbl,4,0)),"کد ناشناخته"))</f>
        <v/>
      </c>
      <c r="I1099" s="13" t="n"/>
      <c r="J1099" s="13" t="n"/>
      <c r="K1099" s="14" t="n"/>
      <c r="L1099" s="14" t="n"/>
      <c r="M1099" s="15">
        <f>IF(OR($B1099="",$K1099=""),"",($K1099-IF($L1099="",0,$L1099)*IFERROR(VLOOKUP("P01",ParamTbl,3,0),1.5))*(1-IF(IFERROR(VLOOKUP($E1099,OpTbl,3,0),"")="خرید",IFERROR(VLOOKUP("P02",ParamTbl,3,0),1),0)/100))</f>
        <v/>
      </c>
      <c r="N1099" s="14" t="n"/>
      <c r="O1099" s="13" t="n"/>
    </row>
    <row r="1100">
      <c r="A1100" s="11">
        <f>IF($B1100="","",COUNTA($B$9:$B1100))</f>
        <v/>
      </c>
      <c r="B1100" s="12" t="n"/>
      <c r="C1100" s="12" t="n"/>
      <c r="D1100" s="12" t="n"/>
      <c r="E1100" s="13" t="n"/>
      <c r="F1100" s="11">
        <f>IF($E1100="","",IFERROR(VLOOKUP($E1100,OpTbl,2,0),""))</f>
        <v/>
      </c>
      <c r="G1100" s="12" t="n"/>
      <c r="H1100" s="11">
        <f>IF($G1100="","",IFERROR(IF(VLOOKUP($G1100,AcctTbl,4,0)="","(بدون نام)",VLOOKUP($G1100,AcctTbl,4,0)),"کد ناشناخته"))</f>
        <v/>
      </c>
      <c r="I1100" s="13" t="n"/>
      <c r="J1100" s="13" t="n"/>
      <c r="K1100" s="14" t="n"/>
      <c r="L1100" s="14" t="n"/>
      <c r="M1100" s="15">
        <f>IF(OR($B1100="",$K1100=""),"",($K1100-IF($L1100="",0,$L1100)*IFERROR(VLOOKUP("P01",ParamTbl,3,0),1.5))*(1-IF(IFERROR(VLOOKUP($E1100,OpTbl,3,0),"")="خرید",IFERROR(VLOOKUP("P02",ParamTbl,3,0),1),0)/100))</f>
        <v/>
      </c>
      <c r="N1100" s="14" t="n"/>
      <c r="O1100" s="13" t="n"/>
    </row>
    <row r="1101">
      <c r="A1101" s="11">
        <f>IF($B1101="","",COUNTA($B$9:$B1101))</f>
        <v/>
      </c>
      <c r="B1101" s="12" t="n"/>
      <c r="C1101" s="12" t="n"/>
      <c r="D1101" s="12" t="n"/>
      <c r="E1101" s="13" t="n"/>
      <c r="F1101" s="11">
        <f>IF($E1101="","",IFERROR(VLOOKUP($E1101,OpTbl,2,0),""))</f>
        <v/>
      </c>
      <c r="G1101" s="12" t="n"/>
      <c r="H1101" s="11">
        <f>IF($G1101="","",IFERROR(IF(VLOOKUP($G1101,AcctTbl,4,0)="","(بدون نام)",VLOOKUP($G1101,AcctTbl,4,0)),"کد ناشناخته"))</f>
        <v/>
      </c>
      <c r="I1101" s="13" t="n"/>
      <c r="J1101" s="13" t="n"/>
      <c r="K1101" s="14" t="n"/>
      <c r="L1101" s="14" t="n"/>
      <c r="M1101" s="15">
        <f>IF(OR($B1101="",$K1101=""),"",($K1101-IF($L1101="",0,$L1101)*IFERROR(VLOOKUP("P01",ParamTbl,3,0),1.5))*(1-IF(IFERROR(VLOOKUP($E1101,OpTbl,3,0),"")="خرید",IFERROR(VLOOKUP("P02",ParamTbl,3,0),1),0)/100))</f>
        <v/>
      </c>
      <c r="N1101" s="14" t="n"/>
      <c r="O1101" s="13" t="n"/>
    </row>
    <row r="1102">
      <c r="A1102" s="11">
        <f>IF($B1102="","",COUNTA($B$9:$B1102))</f>
        <v/>
      </c>
      <c r="B1102" s="12" t="n"/>
      <c r="C1102" s="12" t="n"/>
      <c r="D1102" s="12" t="n"/>
      <c r="E1102" s="13" t="n"/>
      <c r="F1102" s="11">
        <f>IF($E1102="","",IFERROR(VLOOKUP($E1102,OpTbl,2,0),""))</f>
        <v/>
      </c>
      <c r="G1102" s="12" t="n"/>
      <c r="H1102" s="11">
        <f>IF($G1102="","",IFERROR(IF(VLOOKUP($G1102,AcctTbl,4,0)="","(بدون نام)",VLOOKUP($G1102,AcctTbl,4,0)),"کد ناشناخته"))</f>
        <v/>
      </c>
      <c r="I1102" s="13" t="n"/>
      <c r="J1102" s="13" t="n"/>
      <c r="K1102" s="14" t="n"/>
      <c r="L1102" s="14" t="n"/>
      <c r="M1102" s="15">
        <f>IF(OR($B1102="",$K1102=""),"",($K1102-IF($L1102="",0,$L1102)*IFERROR(VLOOKUP("P01",ParamTbl,3,0),1.5))*(1-IF(IFERROR(VLOOKUP($E1102,OpTbl,3,0),"")="خرید",IFERROR(VLOOKUP("P02",ParamTbl,3,0),1),0)/100))</f>
        <v/>
      </c>
      <c r="N1102" s="14" t="n"/>
      <c r="O1102" s="13" t="n"/>
    </row>
    <row r="1103">
      <c r="A1103" s="11">
        <f>IF($B1103="","",COUNTA($B$9:$B1103))</f>
        <v/>
      </c>
      <c r="B1103" s="12" t="n"/>
      <c r="C1103" s="12" t="n"/>
      <c r="D1103" s="12" t="n"/>
      <c r="E1103" s="13" t="n"/>
      <c r="F1103" s="11">
        <f>IF($E1103="","",IFERROR(VLOOKUP($E1103,OpTbl,2,0),""))</f>
        <v/>
      </c>
      <c r="G1103" s="12" t="n"/>
      <c r="H1103" s="11">
        <f>IF($G1103="","",IFERROR(IF(VLOOKUP($G1103,AcctTbl,4,0)="","(بدون نام)",VLOOKUP($G1103,AcctTbl,4,0)),"کد ناشناخته"))</f>
        <v/>
      </c>
      <c r="I1103" s="13" t="n"/>
      <c r="J1103" s="13" t="n"/>
      <c r="K1103" s="14" t="n"/>
      <c r="L1103" s="14" t="n"/>
      <c r="M1103" s="15">
        <f>IF(OR($B1103="",$K1103=""),"",($K1103-IF($L1103="",0,$L1103)*IFERROR(VLOOKUP("P01",ParamTbl,3,0),1.5))*(1-IF(IFERROR(VLOOKUP($E1103,OpTbl,3,0),"")="خرید",IFERROR(VLOOKUP("P02",ParamTbl,3,0),1),0)/100))</f>
        <v/>
      </c>
      <c r="N1103" s="14" t="n"/>
      <c r="O1103" s="13" t="n"/>
    </row>
    <row r="1104">
      <c r="A1104" s="11">
        <f>IF($B1104="","",COUNTA($B$9:$B1104))</f>
        <v/>
      </c>
      <c r="B1104" s="12" t="n"/>
      <c r="C1104" s="12" t="n"/>
      <c r="D1104" s="12" t="n"/>
      <c r="E1104" s="13" t="n"/>
      <c r="F1104" s="11">
        <f>IF($E1104="","",IFERROR(VLOOKUP($E1104,OpTbl,2,0),""))</f>
        <v/>
      </c>
      <c r="G1104" s="12" t="n"/>
      <c r="H1104" s="11">
        <f>IF($G1104="","",IFERROR(IF(VLOOKUP($G1104,AcctTbl,4,0)="","(بدون نام)",VLOOKUP($G1104,AcctTbl,4,0)),"کد ناشناخته"))</f>
        <v/>
      </c>
      <c r="I1104" s="13" t="n"/>
      <c r="J1104" s="13" t="n"/>
      <c r="K1104" s="14" t="n"/>
      <c r="L1104" s="14" t="n"/>
      <c r="M1104" s="15">
        <f>IF(OR($B1104="",$K1104=""),"",($K1104-IF($L1104="",0,$L1104)*IFERROR(VLOOKUP("P01",ParamTbl,3,0),1.5))*(1-IF(IFERROR(VLOOKUP($E1104,OpTbl,3,0),"")="خرید",IFERROR(VLOOKUP("P02",ParamTbl,3,0),1),0)/100))</f>
        <v/>
      </c>
      <c r="N1104" s="14" t="n"/>
      <c r="O1104" s="13" t="n"/>
    </row>
    <row r="1105">
      <c r="A1105" s="11">
        <f>IF($B1105="","",COUNTA($B$9:$B1105))</f>
        <v/>
      </c>
      <c r="B1105" s="12" t="n"/>
      <c r="C1105" s="12" t="n"/>
      <c r="D1105" s="12" t="n"/>
      <c r="E1105" s="13" t="n"/>
      <c r="F1105" s="11">
        <f>IF($E1105="","",IFERROR(VLOOKUP($E1105,OpTbl,2,0),""))</f>
        <v/>
      </c>
      <c r="G1105" s="12" t="n"/>
      <c r="H1105" s="11">
        <f>IF($G1105="","",IFERROR(IF(VLOOKUP($G1105,AcctTbl,4,0)="","(بدون نام)",VLOOKUP($G1105,AcctTbl,4,0)),"کد ناشناخته"))</f>
        <v/>
      </c>
      <c r="I1105" s="13" t="n"/>
      <c r="J1105" s="13" t="n"/>
      <c r="K1105" s="14" t="n"/>
      <c r="L1105" s="14" t="n"/>
      <c r="M1105" s="15">
        <f>IF(OR($B1105="",$K1105=""),"",($K1105-IF($L1105="",0,$L1105)*IFERROR(VLOOKUP("P01",ParamTbl,3,0),1.5))*(1-IF(IFERROR(VLOOKUP($E1105,OpTbl,3,0),"")="خرید",IFERROR(VLOOKUP("P02",ParamTbl,3,0),1),0)/100))</f>
        <v/>
      </c>
      <c r="N1105" s="14" t="n"/>
      <c r="O1105" s="13" t="n"/>
    </row>
    <row r="1106">
      <c r="A1106" s="11">
        <f>IF($B1106="","",COUNTA($B$9:$B1106))</f>
        <v/>
      </c>
      <c r="B1106" s="12" t="n"/>
      <c r="C1106" s="12" t="n"/>
      <c r="D1106" s="12" t="n"/>
      <c r="E1106" s="13" t="n"/>
      <c r="F1106" s="11">
        <f>IF($E1106="","",IFERROR(VLOOKUP($E1106,OpTbl,2,0),""))</f>
        <v/>
      </c>
      <c r="G1106" s="12" t="n"/>
      <c r="H1106" s="11">
        <f>IF($G1106="","",IFERROR(IF(VLOOKUP($G1106,AcctTbl,4,0)="","(بدون نام)",VLOOKUP($G1106,AcctTbl,4,0)),"کد ناشناخته"))</f>
        <v/>
      </c>
      <c r="I1106" s="13" t="n"/>
      <c r="J1106" s="13" t="n"/>
      <c r="K1106" s="14" t="n"/>
      <c r="L1106" s="14" t="n"/>
      <c r="M1106" s="15">
        <f>IF(OR($B1106="",$K1106=""),"",($K1106-IF($L1106="",0,$L1106)*IFERROR(VLOOKUP("P01",ParamTbl,3,0),1.5))*(1-IF(IFERROR(VLOOKUP($E1106,OpTbl,3,0),"")="خرید",IFERROR(VLOOKUP("P02",ParamTbl,3,0),1),0)/100))</f>
        <v/>
      </c>
      <c r="N1106" s="14" t="n"/>
      <c r="O1106" s="13" t="n"/>
    </row>
    <row r="1107">
      <c r="A1107" s="11">
        <f>IF($B1107="","",COUNTA($B$9:$B1107))</f>
        <v/>
      </c>
      <c r="B1107" s="12" t="n"/>
      <c r="C1107" s="12" t="n"/>
      <c r="D1107" s="12" t="n"/>
      <c r="E1107" s="13" t="n"/>
      <c r="F1107" s="11">
        <f>IF($E1107="","",IFERROR(VLOOKUP($E1107,OpTbl,2,0),""))</f>
        <v/>
      </c>
      <c r="G1107" s="12" t="n"/>
      <c r="H1107" s="11">
        <f>IF($G1107="","",IFERROR(IF(VLOOKUP($G1107,AcctTbl,4,0)="","(بدون نام)",VLOOKUP($G1107,AcctTbl,4,0)),"کد ناشناخته"))</f>
        <v/>
      </c>
      <c r="I1107" s="13" t="n"/>
      <c r="J1107" s="13" t="n"/>
      <c r="K1107" s="14" t="n"/>
      <c r="L1107" s="14" t="n"/>
      <c r="M1107" s="15">
        <f>IF(OR($B1107="",$K1107=""),"",($K1107-IF($L1107="",0,$L1107)*IFERROR(VLOOKUP("P01",ParamTbl,3,0),1.5))*(1-IF(IFERROR(VLOOKUP($E1107,OpTbl,3,0),"")="خرید",IFERROR(VLOOKUP("P02",ParamTbl,3,0),1),0)/100))</f>
        <v/>
      </c>
      <c r="N1107" s="14" t="n"/>
      <c r="O1107" s="13" t="n"/>
    </row>
    <row r="1108">
      <c r="A1108" s="11">
        <f>IF($B1108="","",COUNTA($B$9:$B1108))</f>
        <v/>
      </c>
      <c r="B1108" s="12" t="n"/>
      <c r="C1108" s="12" t="n"/>
      <c r="D1108" s="12" t="n"/>
      <c r="E1108" s="13" t="n"/>
      <c r="F1108" s="11">
        <f>IF($E1108="","",IFERROR(VLOOKUP($E1108,OpTbl,2,0),""))</f>
        <v/>
      </c>
      <c r="G1108" s="12" t="n"/>
      <c r="H1108" s="11">
        <f>IF($G1108="","",IFERROR(IF(VLOOKUP($G1108,AcctTbl,4,0)="","(بدون نام)",VLOOKUP($G1108,AcctTbl,4,0)),"کد ناشناخته"))</f>
        <v/>
      </c>
      <c r="I1108" s="13" t="n"/>
      <c r="J1108" s="13" t="n"/>
      <c r="K1108" s="14" t="n"/>
      <c r="L1108" s="14" t="n"/>
      <c r="M1108" s="15">
        <f>IF(OR($B1108="",$K1108=""),"",($K1108-IF($L1108="",0,$L1108)*IFERROR(VLOOKUP("P01",ParamTbl,3,0),1.5))*(1-IF(IFERROR(VLOOKUP($E1108,OpTbl,3,0),"")="خرید",IFERROR(VLOOKUP("P02",ParamTbl,3,0),1),0)/100))</f>
        <v/>
      </c>
      <c r="N1108" s="14" t="n"/>
      <c r="O1108" s="13" t="n"/>
    </row>
    <row r="1109">
      <c r="A1109" s="11">
        <f>IF($B1109="","",COUNTA($B$9:$B1109))</f>
        <v/>
      </c>
      <c r="B1109" s="12" t="n"/>
      <c r="C1109" s="12" t="n"/>
      <c r="D1109" s="12" t="n"/>
      <c r="E1109" s="13" t="n"/>
      <c r="F1109" s="11">
        <f>IF($E1109="","",IFERROR(VLOOKUP($E1109,OpTbl,2,0),""))</f>
        <v/>
      </c>
      <c r="G1109" s="12" t="n"/>
      <c r="H1109" s="11">
        <f>IF($G1109="","",IFERROR(IF(VLOOKUP($G1109,AcctTbl,4,0)="","(بدون نام)",VLOOKUP($G1109,AcctTbl,4,0)),"کد ناشناخته"))</f>
        <v/>
      </c>
      <c r="I1109" s="13" t="n"/>
      <c r="J1109" s="13" t="n"/>
      <c r="K1109" s="14" t="n"/>
      <c r="L1109" s="14" t="n"/>
      <c r="M1109" s="15">
        <f>IF(OR($B1109="",$K1109=""),"",($K1109-IF($L1109="",0,$L1109)*IFERROR(VLOOKUP("P01",ParamTbl,3,0),1.5))*(1-IF(IFERROR(VLOOKUP($E1109,OpTbl,3,0),"")="خرید",IFERROR(VLOOKUP("P02",ParamTbl,3,0),1),0)/100))</f>
        <v/>
      </c>
      <c r="N1109" s="14" t="n"/>
      <c r="O1109" s="13" t="n"/>
    </row>
    <row r="1110">
      <c r="A1110" s="11">
        <f>IF($B1110="","",COUNTA($B$9:$B1110))</f>
        <v/>
      </c>
      <c r="B1110" s="12" t="n"/>
      <c r="C1110" s="12" t="n"/>
      <c r="D1110" s="12" t="n"/>
      <c r="E1110" s="13" t="n"/>
      <c r="F1110" s="11">
        <f>IF($E1110="","",IFERROR(VLOOKUP($E1110,OpTbl,2,0),""))</f>
        <v/>
      </c>
      <c r="G1110" s="12" t="n"/>
      <c r="H1110" s="11">
        <f>IF($G1110="","",IFERROR(IF(VLOOKUP($G1110,AcctTbl,4,0)="","(بدون نام)",VLOOKUP($G1110,AcctTbl,4,0)),"کد ناشناخته"))</f>
        <v/>
      </c>
      <c r="I1110" s="13" t="n"/>
      <c r="J1110" s="13" t="n"/>
      <c r="K1110" s="14" t="n"/>
      <c r="L1110" s="14" t="n"/>
      <c r="M1110" s="15">
        <f>IF(OR($B1110="",$K1110=""),"",($K1110-IF($L1110="",0,$L1110)*IFERROR(VLOOKUP("P01",ParamTbl,3,0),1.5))*(1-IF(IFERROR(VLOOKUP($E1110,OpTbl,3,0),"")="خرید",IFERROR(VLOOKUP("P02",ParamTbl,3,0),1),0)/100))</f>
        <v/>
      </c>
      <c r="N1110" s="14" t="n"/>
      <c r="O1110" s="13" t="n"/>
    </row>
    <row r="1111">
      <c r="A1111" s="11">
        <f>IF($B1111="","",COUNTA($B$9:$B1111))</f>
        <v/>
      </c>
      <c r="B1111" s="12" t="n"/>
      <c r="C1111" s="12" t="n"/>
      <c r="D1111" s="12" t="n"/>
      <c r="E1111" s="13" t="n"/>
      <c r="F1111" s="11">
        <f>IF($E1111="","",IFERROR(VLOOKUP($E1111,OpTbl,2,0),""))</f>
        <v/>
      </c>
      <c r="G1111" s="12" t="n"/>
      <c r="H1111" s="11">
        <f>IF($G1111="","",IFERROR(IF(VLOOKUP($G1111,AcctTbl,4,0)="","(بدون نام)",VLOOKUP($G1111,AcctTbl,4,0)),"کد ناشناخته"))</f>
        <v/>
      </c>
      <c r="I1111" s="13" t="n"/>
      <c r="J1111" s="13" t="n"/>
      <c r="K1111" s="14" t="n"/>
      <c r="L1111" s="14" t="n"/>
      <c r="M1111" s="15">
        <f>IF(OR($B1111="",$K1111=""),"",($K1111-IF($L1111="",0,$L1111)*IFERROR(VLOOKUP("P01",ParamTbl,3,0),1.5))*(1-IF(IFERROR(VLOOKUP($E1111,OpTbl,3,0),"")="خرید",IFERROR(VLOOKUP("P02",ParamTbl,3,0),1),0)/100))</f>
        <v/>
      </c>
      <c r="N1111" s="14" t="n"/>
      <c r="O1111" s="13" t="n"/>
    </row>
    <row r="1112">
      <c r="A1112" s="11">
        <f>IF($B1112="","",COUNTA($B$9:$B1112))</f>
        <v/>
      </c>
      <c r="B1112" s="12" t="n"/>
      <c r="C1112" s="12" t="n"/>
      <c r="D1112" s="12" t="n"/>
      <c r="E1112" s="13" t="n"/>
      <c r="F1112" s="11">
        <f>IF($E1112="","",IFERROR(VLOOKUP($E1112,OpTbl,2,0),""))</f>
        <v/>
      </c>
      <c r="G1112" s="12" t="n"/>
      <c r="H1112" s="11">
        <f>IF($G1112="","",IFERROR(IF(VLOOKUP($G1112,AcctTbl,4,0)="","(بدون نام)",VLOOKUP($G1112,AcctTbl,4,0)),"کد ناشناخته"))</f>
        <v/>
      </c>
      <c r="I1112" s="13" t="n"/>
      <c r="J1112" s="13" t="n"/>
      <c r="K1112" s="14" t="n"/>
      <c r="L1112" s="14" t="n"/>
      <c r="M1112" s="15">
        <f>IF(OR($B1112="",$K1112=""),"",($K1112-IF($L1112="",0,$L1112)*IFERROR(VLOOKUP("P01",ParamTbl,3,0),1.5))*(1-IF(IFERROR(VLOOKUP($E1112,OpTbl,3,0),"")="خرید",IFERROR(VLOOKUP("P02",ParamTbl,3,0),1),0)/100))</f>
        <v/>
      </c>
      <c r="N1112" s="14" t="n"/>
      <c r="O1112" s="13" t="n"/>
    </row>
    <row r="1113">
      <c r="A1113" s="11">
        <f>IF($B1113="","",COUNTA($B$9:$B1113))</f>
        <v/>
      </c>
      <c r="B1113" s="12" t="n"/>
      <c r="C1113" s="12" t="n"/>
      <c r="D1113" s="12" t="n"/>
      <c r="E1113" s="13" t="n"/>
      <c r="F1113" s="11">
        <f>IF($E1113="","",IFERROR(VLOOKUP($E1113,OpTbl,2,0),""))</f>
        <v/>
      </c>
      <c r="G1113" s="12" t="n"/>
      <c r="H1113" s="11">
        <f>IF($G1113="","",IFERROR(IF(VLOOKUP($G1113,AcctTbl,4,0)="","(بدون نام)",VLOOKUP($G1113,AcctTbl,4,0)),"کد ناشناخته"))</f>
        <v/>
      </c>
      <c r="I1113" s="13" t="n"/>
      <c r="J1113" s="13" t="n"/>
      <c r="K1113" s="14" t="n"/>
      <c r="L1113" s="14" t="n"/>
      <c r="M1113" s="15">
        <f>IF(OR($B1113="",$K1113=""),"",($K1113-IF($L1113="",0,$L1113)*IFERROR(VLOOKUP("P01",ParamTbl,3,0),1.5))*(1-IF(IFERROR(VLOOKUP($E1113,OpTbl,3,0),"")="خرید",IFERROR(VLOOKUP("P02",ParamTbl,3,0),1),0)/100))</f>
        <v/>
      </c>
      <c r="N1113" s="14" t="n"/>
      <c r="O1113" s="13" t="n"/>
    </row>
    <row r="1114">
      <c r="A1114" s="11">
        <f>IF($B1114="","",COUNTA($B$9:$B1114))</f>
        <v/>
      </c>
      <c r="B1114" s="12" t="n"/>
      <c r="C1114" s="12" t="n"/>
      <c r="D1114" s="12" t="n"/>
      <c r="E1114" s="13" t="n"/>
      <c r="F1114" s="11">
        <f>IF($E1114="","",IFERROR(VLOOKUP($E1114,OpTbl,2,0),""))</f>
        <v/>
      </c>
      <c r="G1114" s="12" t="n"/>
      <c r="H1114" s="11">
        <f>IF($G1114="","",IFERROR(IF(VLOOKUP($G1114,AcctTbl,4,0)="","(بدون نام)",VLOOKUP($G1114,AcctTbl,4,0)),"کد ناشناخته"))</f>
        <v/>
      </c>
      <c r="I1114" s="13" t="n"/>
      <c r="J1114" s="13" t="n"/>
      <c r="K1114" s="14" t="n"/>
      <c r="L1114" s="14" t="n"/>
      <c r="M1114" s="15">
        <f>IF(OR($B1114="",$K1114=""),"",($K1114-IF($L1114="",0,$L1114)*IFERROR(VLOOKUP("P01",ParamTbl,3,0),1.5))*(1-IF(IFERROR(VLOOKUP($E1114,OpTbl,3,0),"")="خرید",IFERROR(VLOOKUP("P02",ParamTbl,3,0),1),0)/100))</f>
        <v/>
      </c>
      <c r="N1114" s="14" t="n"/>
      <c r="O1114" s="13" t="n"/>
    </row>
    <row r="1115">
      <c r="A1115" s="11">
        <f>IF($B1115="","",COUNTA($B$9:$B1115))</f>
        <v/>
      </c>
      <c r="B1115" s="12" t="n"/>
      <c r="C1115" s="12" t="n"/>
      <c r="D1115" s="12" t="n"/>
      <c r="E1115" s="13" t="n"/>
      <c r="F1115" s="11">
        <f>IF($E1115="","",IFERROR(VLOOKUP($E1115,OpTbl,2,0),""))</f>
        <v/>
      </c>
      <c r="G1115" s="12" t="n"/>
      <c r="H1115" s="11">
        <f>IF($G1115="","",IFERROR(IF(VLOOKUP($G1115,AcctTbl,4,0)="","(بدون نام)",VLOOKUP($G1115,AcctTbl,4,0)),"کد ناشناخته"))</f>
        <v/>
      </c>
      <c r="I1115" s="13" t="n"/>
      <c r="J1115" s="13" t="n"/>
      <c r="K1115" s="14" t="n"/>
      <c r="L1115" s="14" t="n"/>
      <c r="M1115" s="15">
        <f>IF(OR($B1115="",$K1115=""),"",($K1115-IF($L1115="",0,$L1115)*IFERROR(VLOOKUP("P01",ParamTbl,3,0),1.5))*(1-IF(IFERROR(VLOOKUP($E1115,OpTbl,3,0),"")="خرید",IFERROR(VLOOKUP("P02",ParamTbl,3,0),1),0)/100))</f>
        <v/>
      </c>
      <c r="N1115" s="14" t="n"/>
      <c r="O1115" s="13" t="n"/>
    </row>
    <row r="1116">
      <c r="A1116" s="11">
        <f>IF($B1116="","",COUNTA($B$9:$B1116))</f>
        <v/>
      </c>
      <c r="B1116" s="12" t="n"/>
      <c r="C1116" s="12" t="n"/>
      <c r="D1116" s="12" t="n"/>
      <c r="E1116" s="13" t="n"/>
      <c r="F1116" s="11">
        <f>IF($E1116="","",IFERROR(VLOOKUP($E1116,OpTbl,2,0),""))</f>
        <v/>
      </c>
      <c r="G1116" s="12" t="n"/>
      <c r="H1116" s="11">
        <f>IF($G1116="","",IFERROR(IF(VLOOKUP($G1116,AcctTbl,4,0)="","(بدون نام)",VLOOKUP($G1116,AcctTbl,4,0)),"کد ناشناخته"))</f>
        <v/>
      </c>
      <c r="I1116" s="13" t="n"/>
      <c r="J1116" s="13" t="n"/>
      <c r="K1116" s="14" t="n"/>
      <c r="L1116" s="14" t="n"/>
      <c r="M1116" s="15">
        <f>IF(OR($B1116="",$K1116=""),"",($K1116-IF($L1116="",0,$L1116)*IFERROR(VLOOKUP("P01",ParamTbl,3,0),1.5))*(1-IF(IFERROR(VLOOKUP($E1116,OpTbl,3,0),"")="خرید",IFERROR(VLOOKUP("P02",ParamTbl,3,0),1),0)/100))</f>
        <v/>
      </c>
      <c r="N1116" s="14" t="n"/>
      <c r="O1116" s="13" t="n"/>
    </row>
    <row r="1117">
      <c r="A1117" s="11">
        <f>IF($B1117="","",COUNTA($B$9:$B1117))</f>
        <v/>
      </c>
      <c r="B1117" s="12" t="n"/>
      <c r="C1117" s="12" t="n"/>
      <c r="D1117" s="12" t="n"/>
      <c r="E1117" s="13" t="n"/>
      <c r="F1117" s="11">
        <f>IF($E1117="","",IFERROR(VLOOKUP($E1117,OpTbl,2,0),""))</f>
        <v/>
      </c>
      <c r="G1117" s="12" t="n"/>
      <c r="H1117" s="11">
        <f>IF($G1117="","",IFERROR(IF(VLOOKUP($G1117,AcctTbl,4,0)="","(بدون نام)",VLOOKUP($G1117,AcctTbl,4,0)),"کد ناشناخته"))</f>
        <v/>
      </c>
      <c r="I1117" s="13" t="n"/>
      <c r="J1117" s="13" t="n"/>
      <c r="K1117" s="14" t="n"/>
      <c r="L1117" s="14" t="n"/>
      <c r="M1117" s="15">
        <f>IF(OR($B1117="",$K1117=""),"",($K1117-IF($L1117="",0,$L1117)*IFERROR(VLOOKUP("P01",ParamTbl,3,0),1.5))*(1-IF(IFERROR(VLOOKUP($E1117,OpTbl,3,0),"")="خرید",IFERROR(VLOOKUP("P02",ParamTbl,3,0),1),0)/100))</f>
        <v/>
      </c>
      <c r="N1117" s="14" t="n"/>
      <c r="O1117" s="13" t="n"/>
    </row>
    <row r="1118">
      <c r="A1118" s="11">
        <f>IF($B1118="","",COUNTA($B$9:$B1118))</f>
        <v/>
      </c>
      <c r="B1118" s="12" t="n"/>
      <c r="C1118" s="12" t="n"/>
      <c r="D1118" s="12" t="n"/>
      <c r="E1118" s="13" t="n"/>
      <c r="F1118" s="11">
        <f>IF($E1118="","",IFERROR(VLOOKUP($E1118,OpTbl,2,0),""))</f>
        <v/>
      </c>
      <c r="G1118" s="12" t="n"/>
      <c r="H1118" s="11">
        <f>IF($G1118="","",IFERROR(IF(VLOOKUP($G1118,AcctTbl,4,0)="","(بدون نام)",VLOOKUP($G1118,AcctTbl,4,0)),"کد ناشناخته"))</f>
        <v/>
      </c>
      <c r="I1118" s="13" t="n"/>
      <c r="J1118" s="13" t="n"/>
      <c r="K1118" s="14" t="n"/>
      <c r="L1118" s="14" t="n"/>
      <c r="M1118" s="15">
        <f>IF(OR($B1118="",$K1118=""),"",($K1118-IF($L1118="",0,$L1118)*IFERROR(VLOOKUP("P01",ParamTbl,3,0),1.5))*(1-IF(IFERROR(VLOOKUP($E1118,OpTbl,3,0),"")="خرید",IFERROR(VLOOKUP("P02",ParamTbl,3,0),1),0)/100))</f>
        <v/>
      </c>
      <c r="N1118" s="14" t="n"/>
      <c r="O1118" s="13" t="n"/>
    </row>
    <row r="1119">
      <c r="A1119" s="11">
        <f>IF($B1119="","",COUNTA($B$9:$B1119))</f>
        <v/>
      </c>
      <c r="B1119" s="12" t="n"/>
      <c r="C1119" s="12" t="n"/>
      <c r="D1119" s="12" t="n"/>
      <c r="E1119" s="13" t="n"/>
      <c r="F1119" s="11">
        <f>IF($E1119="","",IFERROR(VLOOKUP($E1119,OpTbl,2,0),""))</f>
        <v/>
      </c>
      <c r="G1119" s="12" t="n"/>
      <c r="H1119" s="11">
        <f>IF($G1119="","",IFERROR(IF(VLOOKUP($G1119,AcctTbl,4,0)="","(بدون نام)",VLOOKUP($G1119,AcctTbl,4,0)),"کد ناشناخته"))</f>
        <v/>
      </c>
      <c r="I1119" s="13" t="n"/>
      <c r="J1119" s="13" t="n"/>
      <c r="K1119" s="14" t="n"/>
      <c r="L1119" s="14" t="n"/>
      <c r="M1119" s="15">
        <f>IF(OR($B1119="",$K1119=""),"",($K1119-IF($L1119="",0,$L1119)*IFERROR(VLOOKUP("P01",ParamTbl,3,0),1.5))*(1-IF(IFERROR(VLOOKUP($E1119,OpTbl,3,0),"")="خرید",IFERROR(VLOOKUP("P02",ParamTbl,3,0),1),0)/100))</f>
        <v/>
      </c>
      <c r="N1119" s="14" t="n"/>
      <c r="O1119" s="13" t="n"/>
    </row>
    <row r="1120">
      <c r="A1120" s="11">
        <f>IF($B1120="","",COUNTA($B$9:$B1120))</f>
        <v/>
      </c>
      <c r="B1120" s="12" t="n"/>
      <c r="C1120" s="12" t="n"/>
      <c r="D1120" s="12" t="n"/>
      <c r="E1120" s="13" t="n"/>
      <c r="F1120" s="11">
        <f>IF($E1120="","",IFERROR(VLOOKUP($E1120,OpTbl,2,0),""))</f>
        <v/>
      </c>
      <c r="G1120" s="12" t="n"/>
      <c r="H1120" s="11">
        <f>IF($G1120="","",IFERROR(IF(VLOOKUP($G1120,AcctTbl,4,0)="","(بدون نام)",VLOOKUP($G1120,AcctTbl,4,0)),"کد ناشناخته"))</f>
        <v/>
      </c>
      <c r="I1120" s="13" t="n"/>
      <c r="J1120" s="13" t="n"/>
      <c r="K1120" s="14" t="n"/>
      <c r="L1120" s="14" t="n"/>
      <c r="M1120" s="15">
        <f>IF(OR($B1120="",$K1120=""),"",($K1120-IF($L1120="",0,$L1120)*IFERROR(VLOOKUP("P01",ParamTbl,3,0),1.5))*(1-IF(IFERROR(VLOOKUP($E1120,OpTbl,3,0),"")="خرید",IFERROR(VLOOKUP("P02",ParamTbl,3,0),1),0)/100))</f>
        <v/>
      </c>
      <c r="N1120" s="14" t="n"/>
      <c r="O1120" s="13" t="n"/>
    </row>
    <row r="1121">
      <c r="A1121" s="11">
        <f>IF($B1121="","",COUNTA($B$9:$B1121))</f>
        <v/>
      </c>
      <c r="B1121" s="12" t="n"/>
      <c r="C1121" s="12" t="n"/>
      <c r="D1121" s="12" t="n"/>
      <c r="E1121" s="13" t="n"/>
      <c r="F1121" s="11">
        <f>IF($E1121="","",IFERROR(VLOOKUP($E1121,OpTbl,2,0),""))</f>
        <v/>
      </c>
      <c r="G1121" s="12" t="n"/>
      <c r="H1121" s="11">
        <f>IF($G1121="","",IFERROR(IF(VLOOKUP($G1121,AcctTbl,4,0)="","(بدون نام)",VLOOKUP($G1121,AcctTbl,4,0)),"کد ناشناخته"))</f>
        <v/>
      </c>
      <c r="I1121" s="13" t="n"/>
      <c r="J1121" s="13" t="n"/>
      <c r="K1121" s="14" t="n"/>
      <c r="L1121" s="14" t="n"/>
      <c r="M1121" s="15">
        <f>IF(OR($B1121="",$K1121=""),"",($K1121-IF($L1121="",0,$L1121)*IFERROR(VLOOKUP("P01",ParamTbl,3,0),1.5))*(1-IF(IFERROR(VLOOKUP($E1121,OpTbl,3,0),"")="خرید",IFERROR(VLOOKUP("P02",ParamTbl,3,0),1),0)/100))</f>
        <v/>
      </c>
      <c r="N1121" s="14" t="n"/>
      <c r="O1121" s="13" t="n"/>
    </row>
    <row r="1122">
      <c r="A1122" s="11">
        <f>IF($B1122="","",COUNTA($B$9:$B1122))</f>
        <v/>
      </c>
      <c r="B1122" s="12" t="n"/>
      <c r="C1122" s="12" t="n"/>
      <c r="D1122" s="12" t="n"/>
      <c r="E1122" s="13" t="n"/>
      <c r="F1122" s="11">
        <f>IF($E1122="","",IFERROR(VLOOKUP($E1122,OpTbl,2,0),""))</f>
        <v/>
      </c>
      <c r="G1122" s="12" t="n"/>
      <c r="H1122" s="11">
        <f>IF($G1122="","",IFERROR(IF(VLOOKUP($G1122,AcctTbl,4,0)="","(بدون نام)",VLOOKUP($G1122,AcctTbl,4,0)),"کد ناشناخته"))</f>
        <v/>
      </c>
      <c r="I1122" s="13" t="n"/>
      <c r="J1122" s="13" t="n"/>
      <c r="K1122" s="14" t="n"/>
      <c r="L1122" s="14" t="n"/>
      <c r="M1122" s="15">
        <f>IF(OR($B1122="",$K1122=""),"",($K1122-IF($L1122="",0,$L1122)*IFERROR(VLOOKUP("P01",ParamTbl,3,0),1.5))*(1-IF(IFERROR(VLOOKUP($E1122,OpTbl,3,0),"")="خرید",IFERROR(VLOOKUP("P02",ParamTbl,3,0),1),0)/100))</f>
        <v/>
      </c>
      <c r="N1122" s="14" t="n"/>
      <c r="O1122" s="13" t="n"/>
    </row>
    <row r="1123">
      <c r="A1123" s="11">
        <f>IF($B1123="","",COUNTA($B$9:$B1123))</f>
        <v/>
      </c>
      <c r="B1123" s="12" t="n"/>
      <c r="C1123" s="12" t="n"/>
      <c r="D1123" s="12" t="n"/>
      <c r="E1123" s="13" t="n"/>
      <c r="F1123" s="11">
        <f>IF($E1123="","",IFERROR(VLOOKUP($E1123,OpTbl,2,0),""))</f>
        <v/>
      </c>
      <c r="G1123" s="12" t="n"/>
      <c r="H1123" s="11">
        <f>IF($G1123="","",IFERROR(IF(VLOOKUP($G1123,AcctTbl,4,0)="","(بدون نام)",VLOOKUP($G1123,AcctTbl,4,0)),"کد ناشناخته"))</f>
        <v/>
      </c>
      <c r="I1123" s="13" t="n"/>
      <c r="J1123" s="13" t="n"/>
      <c r="K1123" s="14" t="n"/>
      <c r="L1123" s="14" t="n"/>
      <c r="M1123" s="15">
        <f>IF(OR($B1123="",$K1123=""),"",($K1123-IF($L1123="",0,$L1123)*IFERROR(VLOOKUP("P01",ParamTbl,3,0),1.5))*(1-IF(IFERROR(VLOOKUP($E1123,OpTbl,3,0),"")="خرید",IFERROR(VLOOKUP("P02",ParamTbl,3,0),1),0)/100))</f>
        <v/>
      </c>
      <c r="N1123" s="14" t="n"/>
      <c r="O1123" s="13" t="n"/>
    </row>
    <row r="1124">
      <c r="A1124" s="11">
        <f>IF($B1124="","",COUNTA($B$9:$B1124))</f>
        <v/>
      </c>
      <c r="B1124" s="12" t="n"/>
      <c r="C1124" s="12" t="n"/>
      <c r="D1124" s="12" t="n"/>
      <c r="E1124" s="13" t="n"/>
      <c r="F1124" s="11">
        <f>IF($E1124="","",IFERROR(VLOOKUP($E1124,OpTbl,2,0),""))</f>
        <v/>
      </c>
      <c r="G1124" s="12" t="n"/>
      <c r="H1124" s="11">
        <f>IF($G1124="","",IFERROR(IF(VLOOKUP($G1124,AcctTbl,4,0)="","(بدون نام)",VLOOKUP($G1124,AcctTbl,4,0)),"کد ناشناخته"))</f>
        <v/>
      </c>
      <c r="I1124" s="13" t="n"/>
      <c r="J1124" s="13" t="n"/>
      <c r="K1124" s="14" t="n"/>
      <c r="L1124" s="14" t="n"/>
      <c r="M1124" s="15">
        <f>IF(OR($B1124="",$K1124=""),"",($K1124-IF($L1124="",0,$L1124)*IFERROR(VLOOKUP("P01",ParamTbl,3,0),1.5))*(1-IF(IFERROR(VLOOKUP($E1124,OpTbl,3,0),"")="خرید",IFERROR(VLOOKUP("P02",ParamTbl,3,0),1),0)/100))</f>
        <v/>
      </c>
      <c r="N1124" s="14" t="n"/>
      <c r="O1124" s="13" t="n"/>
    </row>
    <row r="1125">
      <c r="A1125" s="11">
        <f>IF($B1125="","",COUNTA($B$9:$B1125))</f>
        <v/>
      </c>
      <c r="B1125" s="12" t="n"/>
      <c r="C1125" s="12" t="n"/>
      <c r="D1125" s="12" t="n"/>
      <c r="E1125" s="13" t="n"/>
      <c r="F1125" s="11">
        <f>IF($E1125="","",IFERROR(VLOOKUP($E1125,OpTbl,2,0),""))</f>
        <v/>
      </c>
      <c r="G1125" s="12" t="n"/>
      <c r="H1125" s="11">
        <f>IF($G1125="","",IFERROR(IF(VLOOKUP($G1125,AcctTbl,4,0)="","(بدون نام)",VLOOKUP($G1125,AcctTbl,4,0)),"کد ناشناخته"))</f>
        <v/>
      </c>
      <c r="I1125" s="13" t="n"/>
      <c r="J1125" s="13" t="n"/>
      <c r="K1125" s="14" t="n"/>
      <c r="L1125" s="14" t="n"/>
      <c r="M1125" s="15">
        <f>IF(OR($B1125="",$K1125=""),"",($K1125-IF($L1125="",0,$L1125)*IFERROR(VLOOKUP("P01",ParamTbl,3,0),1.5))*(1-IF(IFERROR(VLOOKUP($E1125,OpTbl,3,0),"")="خرید",IFERROR(VLOOKUP("P02",ParamTbl,3,0),1),0)/100))</f>
        <v/>
      </c>
      <c r="N1125" s="14" t="n"/>
      <c r="O1125" s="13" t="n"/>
    </row>
    <row r="1126">
      <c r="A1126" s="11">
        <f>IF($B1126="","",COUNTA($B$9:$B1126))</f>
        <v/>
      </c>
      <c r="B1126" s="12" t="n"/>
      <c r="C1126" s="12" t="n"/>
      <c r="D1126" s="12" t="n"/>
      <c r="E1126" s="13" t="n"/>
      <c r="F1126" s="11">
        <f>IF($E1126="","",IFERROR(VLOOKUP($E1126,OpTbl,2,0),""))</f>
        <v/>
      </c>
      <c r="G1126" s="12" t="n"/>
      <c r="H1126" s="11">
        <f>IF($G1126="","",IFERROR(IF(VLOOKUP($G1126,AcctTbl,4,0)="","(بدون نام)",VLOOKUP($G1126,AcctTbl,4,0)),"کد ناشناخته"))</f>
        <v/>
      </c>
      <c r="I1126" s="13" t="n"/>
      <c r="J1126" s="13" t="n"/>
      <c r="K1126" s="14" t="n"/>
      <c r="L1126" s="14" t="n"/>
      <c r="M1126" s="15">
        <f>IF(OR($B1126="",$K1126=""),"",($K1126-IF($L1126="",0,$L1126)*IFERROR(VLOOKUP("P01",ParamTbl,3,0),1.5))*(1-IF(IFERROR(VLOOKUP($E1126,OpTbl,3,0),"")="خرید",IFERROR(VLOOKUP("P02",ParamTbl,3,0),1),0)/100))</f>
        <v/>
      </c>
      <c r="N1126" s="14" t="n"/>
      <c r="O1126" s="13" t="n"/>
    </row>
    <row r="1127">
      <c r="A1127" s="11">
        <f>IF($B1127="","",COUNTA($B$9:$B1127))</f>
        <v/>
      </c>
      <c r="B1127" s="12" t="n"/>
      <c r="C1127" s="12" t="n"/>
      <c r="D1127" s="12" t="n"/>
      <c r="E1127" s="13" t="n"/>
      <c r="F1127" s="11">
        <f>IF($E1127="","",IFERROR(VLOOKUP($E1127,OpTbl,2,0),""))</f>
        <v/>
      </c>
      <c r="G1127" s="12" t="n"/>
      <c r="H1127" s="11">
        <f>IF($G1127="","",IFERROR(IF(VLOOKUP($G1127,AcctTbl,4,0)="","(بدون نام)",VLOOKUP($G1127,AcctTbl,4,0)),"کد ناشناخته"))</f>
        <v/>
      </c>
      <c r="I1127" s="13" t="n"/>
      <c r="J1127" s="13" t="n"/>
      <c r="K1127" s="14" t="n"/>
      <c r="L1127" s="14" t="n"/>
      <c r="M1127" s="15">
        <f>IF(OR($B1127="",$K1127=""),"",($K1127-IF($L1127="",0,$L1127)*IFERROR(VLOOKUP("P01",ParamTbl,3,0),1.5))*(1-IF(IFERROR(VLOOKUP($E1127,OpTbl,3,0),"")="خرید",IFERROR(VLOOKUP("P02",ParamTbl,3,0),1),0)/100))</f>
        <v/>
      </c>
      <c r="N1127" s="14" t="n"/>
      <c r="O1127" s="13" t="n"/>
    </row>
    <row r="1128">
      <c r="A1128" s="11">
        <f>IF($B1128="","",COUNTA($B$9:$B1128))</f>
        <v/>
      </c>
      <c r="B1128" s="12" t="n"/>
      <c r="C1128" s="12" t="n"/>
      <c r="D1128" s="12" t="n"/>
      <c r="E1128" s="13" t="n"/>
      <c r="F1128" s="11">
        <f>IF($E1128="","",IFERROR(VLOOKUP($E1128,OpTbl,2,0),""))</f>
        <v/>
      </c>
      <c r="G1128" s="12" t="n"/>
      <c r="H1128" s="11">
        <f>IF($G1128="","",IFERROR(IF(VLOOKUP($G1128,AcctTbl,4,0)="","(بدون نام)",VLOOKUP($G1128,AcctTbl,4,0)),"کد ناشناخته"))</f>
        <v/>
      </c>
      <c r="I1128" s="13" t="n"/>
      <c r="J1128" s="13" t="n"/>
      <c r="K1128" s="14" t="n"/>
      <c r="L1128" s="14" t="n"/>
      <c r="M1128" s="15">
        <f>IF(OR($B1128="",$K1128=""),"",($K1128-IF($L1128="",0,$L1128)*IFERROR(VLOOKUP("P01",ParamTbl,3,0),1.5))*(1-IF(IFERROR(VLOOKUP($E1128,OpTbl,3,0),"")="خرید",IFERROR(VLOOKUP("P02",ParamTbl,3,0),1),0)/100))</f>
        <v/>
      </c>
      <c r="N1128" s="14" t="n"/>
      <c r="O1128" s="13" t="n"/>
    </row>
    <row r="1129">
      <c r="A1129" s="11">
        <f>IF($B1129="","",COUNTA($B$9:$B1129))</f>
        <v/>
      </c>
      <c r="B1129" s="12" t="n"/>
      <c r="C1129" s="12" t="n"/>
      <c r="D1129" s="12" t="n"/>
      <c r="E1129" s="13" t="n"/>
      <c r="F1129" s="11">
        <f>IF($E1129="","",IFERROR(VLOOKUP($E1129,OpTbl,2,0),""))</f>
        <v/>
      </c>
      <c r="G1129" s="12" t="n"/>
      <c r="H1129" s="11">
        <f>IF($G1129="","",IFERROR(IF(VLOOKUP($G1129,AcctTbl,4,0)="","(بدون نام)",VLOOKUP($G1129,AcctTbl,4,0)),"کد ناشناخته"))</f>
        <v/>
      </c>
      <c r="I1129" s="13" t="n"/>
      <c r="J1129" s="13" t="n"/>
      <c r="K1129" s="14" t="n"/>
      <c r="L1129" s="14" t="n"/>
      <c r="M1129" s="15">
        <f>IF(OR($B1129="",$K1129=""),"",($K1129-IF($L1129="",0,$L1129)*IFERROR(VLOOKUP("P01",ParamTbl,3,0),1.5))*(1-IF(IFERROR(VLOOKUP($E1129,OpTbl,3,0),"")="خرید",IFERROR(VLOOKUP("P02",ParamTbl,3,0),1),0)/100))</f>
        <v/>
      </c>
      <c r="N1129" s="14" t="n"/>
      <c r="O1129" s="13" t="n"/>
    </row>
    <row r="1130">
      <c r="A1130" s="11">
        <f>IF($B1130="","",COUNTA($B$9:$B1130))</f>
        <v/>
      </c>
      <c r="B1130" s="12" t="n"/>
      <c r="C1130" s="12" t="n"/>
      <c r="D1130" s="12" t="n"/>
      <c r="E1130" s="13" t="n"/>
      <c r="F1130" s="11">
        <f>IF($E1130="","",IFERROR(VLOOKUP($E1130,OpTbl,2,0),""))</f>
        <v/>
      </c>
      <c r="G1130" s="12" t="n"/>
      <c r="H1130" s="11">
        <f>IF($G1130="","",IFERROR(IF(VLOOKUP($G1130,AcctTbl,4,0)="","(بدون نام)",VLOOKUP($G1130,AcctTbl,4,0)),"کد ناشناخته"))</f>
        <v/>
      </c>
      <c r="I1130" s="13" t="n"/>
      <c r="J1130" s="13" t="n"/>
      <c r="K1130" s="14" t="n"/>
      <c r="L1130" s="14" t="n"/>
      <c r="M1130" s="15">
        <f>IF(OR($B1130="",$K1130=""),"",($K1130-IF($L1130="",0,$L1130)*IFERROR(VLOOKUP("P01",ParamTbl,3,0),1.5))*(1-IF(IFERROR(VLOOKUP($E1130,OpTbl,3,0),"")="خرید",IFERROR(VLOOKUP("P02",ParamTbl,3,0),1),0)/100))</f>
        <v/>
      </c>
      <c r="N1130" s="14" t="n"/>
      <c r="O1130" s="13" t="n"/>
    </row>
    <row r="1131">
      <c r="A1131" s="11">
        <f>IF($B1131="","",COUNTA($B$9:$B1131))</f>
        <v/>
      </c>
      <c r="B1131" s="12" t="n"/>
      <c r="C1131" s="12" t="n"/>
      <c r="D1131" s="12" t="n"/>
      <c r="E1131" s="13" t="n"/>
      <c r="F1131" s="11">
        <f>IF($E1131="","",IFERROR(VLOOKUP($E1131,OpTbl,2,0),""))</f>
        <v/>
      </c>
      <c r="G1131" s="12" t="n"/>
      <c r="H1131" s="11">
        <f>IF($G1131="","",IFERROR(IF(VLOOKUP($G1131,AcctTbl,4,0)="","(بدون نام)",VLOOKUP($G1131,AcctTbl,4,0)),"کد ناشناخته"))</f>
        <v/>
      </c>
      <c r="I1131" s="13" t="n"/>
      <c r="J1131" s="13" t="n"/>
      <c r="K1131" s="14" t="n"/>
      <c r="L1131" s="14" t="n"/>
      <c r="M1131" s="15">
        <f>IF(OR($B1131="",$K1131=""),"",($K1131-IF($L1131="",0,$L1131)*IFERROR(VLOOKUP("P01",ParamTbl,3,0),1.5))*(1-IF(IFERROR(VLOOKUP($E1131,OpTbl,3,0),"")="خرید",IFERROR(VLOOKUP("P02",ParamTbl,3,0),1),0)/100))</f>
        <v/>
      </c>
      <c r="N1131" s="14" t="n"/>
      <c r="O1131" s="13" t="n"/>
    </row>
    <row r="1132">
      <c r="A1132" s="11">
        <f>IF($B1132="","",COUNTA($B$9:$B1132))</f>
        <v/>
      </c>
      <c r="B1132" s="12" t="n"/>
      <c r="C1132" s="12" t="n"/>
      <c r="D1132" s="12" t="n"/>
      <c r="E1132" s="13" t="n"/>
      <c r="F1132" s="11">
        <f>IF($E1132="","",IFERROR(VLOOKUP($E1132,OpTbl,2,0),""))</f>
        <v/>
      </c>
      <c r="G1132" s="12" t="n"/>
      <c r="H1132" s="11">
        <f>IF($G1132="","",IFERROR(IF(VLOOKUP($G1132,AcctTbl,4,0)="","(بدون نام)",VLOOKUP($G1132,AcctTbl,4,0)),"کد ناشناخته"))</f>
        <v/>
      </c>
      <c r="I1132" s="13" t="n"/>
      <c r="J1132" s="13" t="n"/>
      <c r="K1132" s="14" t="n"/>
      <c r="L1132" s="14" t="n"/>
      <c r="M1132" s="15">
        <f>IF(OR($B1132="",$K1132=""),"",($K1132-IF($L1132="",0,$L1132)*IFERROR(VLOOKUP("P01",ParamTbl,3,0),1.5))*(1-IF(IFERROR(VLOOKUP($E1132,OpTbl,3,0),"")="خرید",IFERROR(VLOOKUP("P02",ParamTbl,3,0),1),0)/100))</f>
        <v/>
      </c>
      <c r="N1132" s="14" t="n"/>
      <c r="O1132" s="13" t="n"/>
    </row>
    <row r="1133">
      <c r="A1133" s="11">
        <f>IF($B1133="","",COUNTA($B$9:$B1133))</f>
        <v/>
      </c>
      <c r="B1133" s="12" t="n"/>
      <c r="C1133" s="12" t="n"/>
      <c r="D1133" s="12" t="n"/>
      <c r="E1133" s="13" t="n"/>
      <c r="F1133" s="11">
        <f>IF($E1133="","",IFERROR(VLOOKUP($E1133,OpTbl,2,0),""))</f>
        <v/>
      </c>
      <c r="G1133" s="12" t="n"/>
      <c r="H1133" s="11">
        <f>IF($G1133="","",IFERROR(IF(VLOOKUP($G1133,AcctTbl,4,0)="","(بدون نام)",VLOOKUP($G1133,AcctTbl,4,0)),"کد ناشناخته"))</f>
        <v/>
      </c>
      <c r="I1133" s="13" t="n"/>
      <c r="J1133" s="13" t="n"/>
      <c r="K1133" s="14" t="n"/>
      <c r="L1133" s="14" t="n"/>
      <c r="M1133" s="15">
        <f>IF(OR($B1133="",$K1133=""),"",($K1133-IF($L1133="",0,$L1133)*IFERROR(VLOOKUP("P01",ParamTbl,3,0),1.5))*(1-IF(IFERROR(VLOOKUP($E1133,OpTbl,3,0),"")="خرید",IFERROR(VLOOKUP("P02",ParamTbl,3,0),1),0)/100))</f>
        <v/>
      </c>
      <c r="N1133" s="14" t="n"/>
      <c r="O1133" s="13" t="n"/>
    </row>
    <row r="1134">
      <c r="A1134" s="11">
        <f>IF($B1134="","",COUNTA($B$9:$B1134))</f>
        <v/>
      </c>
      <c r="B1134" s="12" t="n"/>
      <c r="C1134" s="12" t="n"/>
      <c r="D1134" s="12" t="n"/>
      <c r="E1134" s="13" t="n"/>
      <c r="F1134" s="11">
        <f>IF($E1134="","",IFERROR(VLOOKUP($E1134,OpTbl,2,0),""))</f>
        <v/>
      </c>
      <c r="G1134" s="12" t="n"/>
      <c r="H1134" s="11">
        <f>IF($G1134="","",IFERROR(IF(VLOOKUP($G1134,AcctTbl,4,0)="","(بدون نام)",VLOOKUP($G1134,AcctTbl,4,0)),"کد ناشناخته"))</f>
        <v/>
      </c>
      <c r="I1134" s="13" t="n"/>
      <c r="J1134" s="13" t="n"/>
      <c r="K1134" s="14" t="n"/>
      <c r="L1134" s="14" t="n"/>
      <c r="M1134" s="15">
        <f>IF(OR($B1134="",$K1134=""),"",($K1134-IF($L1134="",0,$L1134)*IFERROR(VLOOKUP("P01",ParamTbl,3,0),1.5))*(1-IF(IFERROR(VLOOKUP($E1134,OpTbl,3,0),"")="خرید",IFERROR(VLOOKUP("P02",ParamTbl,3,0),1),0)/100))</f>
        <v/>
      </c>
      <c r="N1134" s="14" t="n"/>
      <c r="O1134" s="13" t="n"/>
    </row>
    <row r="1135">
      <c r="A1135" s="11">
        <f>IF($B1135="","",COUNTA($B$9:$B1135))</f>
        <v/>
      </c>
      <c r="B1135" s="12" t="n"/>
      <c r="C1135" s="12" t="n"/>
      <c r="D1135" s="12" t="n"/>
      <c r="E1135" s="13" t="n"/>
      <c r="F1135" s="11">
        <f>IF($E1135="","",IFERROR(VLOOKUP($E1135,OpTbl,2,0),""))</f>
        <v/>
      </c>
      <c r="G1135" s="12" t="n"/>
      <c r="H1135" s="11">
        <f>IF($G1135="","",IFERROR(IF(VLOOKUP($G1135,AcctTbl,4,0)="","(بدون نام)",VLOOKUP($G1135,AcctTbl,4,0)),"کد ناشناخته"))</f>
        <v/>
      </c>
      <c r="I1135" s="13" t="n"/>
      <c r="J1135" s="13" t="n"/>
      <c r="K1135" s="14" t="n"/>
      <c r="L1135" s="14" t="n"/>
      <c r="M1135" s="15">
        <f>IF(OR($B1135="",$K1135=""),"",($K1135-IF($L1135="",0,$L1135)*IFERROR(VLOOKUP("P01",ParamTbl,3,0),1.5))*(1-IF(IFERROR(VLOOKUP($E1135,OpTbl,3,0),"")="خرید",IFERROR(VLOOKUP("P02",ParamTbl,3,0),1),0)/100))</f>
        <v/>
      </c>
      <c r="N1135" s="14" t="n"/>
      <c r="O1135" s="13" t="n"/>
    </row>
    <row r="1136">
      <c r="A1136" s="11">
        <f>IF($B1136="","",COUNTA($B$9:$B1136))</f>
        <v/>
      </c>
      <c r="B1136" s="12" t="n"/>
      <c r="C1136" s="12" t="n"/>
      <c r="D1136" s="12" t="n"/>
      <c r="E1136" s="13" t="n"/>
      <c r="F1136" s="11">
        <f>IF($E1136="","",IFERROR(VLOOKUP($E1136,OpTbl,2,0),""))</f>
        <v/>
      </c>
      <c r="G1136" s="12" t="n"/>
      <c r="H1136" s="11">
        <f>IF($G1136="","",IFERROR(IF(VLOOKUP($G1136,AcctTbl,4,0)="","(بدون نام)",VLOOKUP($G1136,AcctTbl,4,0)),"کد ناشناخته"))</f>
        <v/>
      </c>
      <c r="I1136" s="13" t="n"/>
      <c r="J1136" s="13" t="n"/>
      <c r="K1136" s="14" t="n"/>
      <c r="L1136" s="14" t="n"/>
      <c r="M1136" s="15">
        <f>IF(OR($B1136="",$K1136=""),"",($K1136-IF($L1136="",0,$L1136)*IFERROR(VLOOKUP("P01",ParamTbl,3,0),1.5))*(1-IF(IFERROR(VLOOKUP($E1136,OpTbl,3,0),"")="خرید",IFERROR(VLOOKUP("P02",ParamTbl,3,0),1),0)/100))</f>
        <v/>
      </c>
      <c r="N1136" s="14" t="n"/>
      <c r="O1136" s="13" t="n"/>
    </row>
    <row r="1137">
      <c r="A1137" s="11">
        <f>IF($B1137="","",COUNTA($B$9:$B1137))</f>
        <v/>
      </c>
      <c r="B1137" s="12" t="n"/>
      <c r="C1137" s="12" t="n"/>
      <c r="D1137" s="12" t="n"/>
      <c r="E1137" s="13" t="n"/>
      <c r="F1137" s="11">
        <f>IF($E1137="","",IFERROR(VLOOKUP($E1137,OpTbl,2,0),""))</f>
        <v/>
      </c>
      <c r="G1137" s="12" t="n"/>
      <c r="H1137" s="11">
        <f>IF($G1137="","",IFERROR(IF(VLOOKUP($G1137,AcctTbl,4,0)="","(بدون نام)",VLOOKUP($G1137,AcctTbl,4,0)),"کد ناشناخته"))</f>
        <v/>
      </c>
      <c r="I1137" s="13" t="n"/>
      <c r="J1137" s="13" t="n"/>
      <c r="K1137" s="14" t="n"/>
      <c r="L1137" s="14" t="n"/>
      <c r="M1137" s="15">
        <f>IF(OR($B1137="",$K1137=""),"",($K1137-IF($L1137="",0,$L1137)*IFERROR(VLOOKUP("P01",ParamTbl,3,0),1.5))*(1-IF(IFERROR(VLOOKUP($E1137,OpTbl,3,0),"")="خرید",IFERROR(VLOOKUP("P02",ParamTbl,3,0),1),0)/100))</f>
        <v/>
      </c>
      <c r="N1137" s="14" t="n"/>
      <c r="O1137" s="13" t="n"/>
    </row>
    <row r="1138">
      <c r="A1138" s="11">
        <f>IF($B1138="","",COUNTA($B$9:$B1138))</f>
        <v/>
      </c>
      <c r="B1138" s="12" t="n"/>
      <c r="C1138" s="12" t="n"/>
      <c r="D1138" s="12" t="n"/>
      <c r="E1138" s="13" t="n"/>
      <c r="F1138" s="11">
        <f>IF($E1138="","",IFERROR(VLOOKUP($E1138,OpTbl,2,0),""))</f>
        <v/>
      </c>
      <c r="G1138" s="12" t="n"/>
      <c r="H1138" s="11">
        <f>IF($G1138="","",IFERROR(IF(VLOOKUP($G1138,AcctTbl,4,0)="","(بدون نام)",VLOOKUP($G1138,AcctTbl,4,0)),"کد ناشناخته"))</f>
        <v/>
      </c>
      <c r="I1138" s="13" t="n"/>
      <c r="J1138" s="13" t="n"/>
      <c r="K1138" s="14" t="n"/>
      <c r="L1138" s="14" t="n"/>
      <c r="M1138" s="15">
        <f>IF(OR($B1138="",$K1138=""),"",($K1138-IF($L1138="",0,$L1138)*IFERROR(VLOOKUP("P01",ParamTbl,3,0),1.5))*(1-IF(IFERROR(VLOOKUP($E1138,OpTbl,3,0),"")="خرید",IFERROR(VLOOKUP("P02",ParamTbl,3,0),1),0)/100))</f>
        <v/>
      </c>
      <c r="N1138" s="14" t="n"/>
      <c r="O1138" s="13" t="n"/>
    </row>
    <row r="1139">
      <c r="A1139" s="11">
        <f>IF($B1139="","",COUNTA($B$9:$B1139))</f>
        <v/>
      </c>
      <c r="B1139" s="12" t="n"/>
      <c r="C1139" s="12" t="n"/>
      <c r="D1139" s="12" t="n"/>
      <c r="E1139" s="13" t="n"/>
      <c r="F1139" s="11">
        <f>IF($E1139="","",IFERROR(VLOOKUP($E1139,OpTbl,2,0),""))</f>
        <v/>
      </c>
      <c r="G1139" s="12" t="n"/>
      <c r="H1139" s="11">
        <f>IF($G1139="","",IFERROR(IF(VLOOKUP($G1139,AcctTbl,4,0)="","(بدون نام)",VLOOKUP($G1139,AcctTbl,4,0)),"کد ناشناخته"))</f>
        <v/>
      </c>
      <c r="I1139" s="13" t="n"/>
      <c r="J1139" s="13" t="n"/>
      <c r="K1139" s="14" t="n"/>
      <c r="L1139" s="14" t="n"/>
      <c r="M1139" s="15">
        <f>IF(OR($B1139="",$K1139=""),"",($K1139-IF($L1139="",0,$L1139)*IFERROR(VLOOKUP("P01",ParamTbl,3,0),1.5))*(1-IF(IFERROR(VLOOKUP($E1139,OpTbl,3,0),"")="خرید",IFERROR(VLOOKUP("P02",ParamTbl,3,0),1),0)/100))</f>
        <v/>
      </c>
      <c r="N1139" s="14" t="n"/>
      <c r="O1139" s="13" t="n"/>
    </row>
    <row r="1140">
      <c r="A1140" s="11">
        <f>IF($B1140="","",COUNTA($B$9:$B1140))</f>
        <v/>
      </c>
      <c r="B1140" s="12" t="n"/>
      <c r="C1140" s="12" t="n"/>
      <c r="D1140" s="12" t="n"/>
      <c r="E1140" s="13" t="n"/>
      <c r="F1140" s="11">
        <f>IF($E1140="","",IFERROR(VLOOKUP($E1140,OpTbl,2,0),""))</f>
        <v/>
      </c>
      <c r="G1140" s="12" t="n"/>
      <c r="H1140" s="11">
        <f>IF($G1140="","",IFERROR(IF(VLOOKUP($G1140,AcctTbl,4,0)="","(بدون نام)",VLOOKUP($G1140,AcctTbl,4,0)),"کد ناشناخته"))</f>
        <v/>
      </c>
      <c r="I1140" s="13" t="n"/>
      <c r="J1140" s="13" t="n"/>
      <c r="K1140" s="14" t="n"/>
      <c r="L1140" s="14" t="n"/>
      <c r="M1140" s="15">
        <f>IF(OR($B1140="",$K1140=""),"",($K1140-IF($L1140="",0,$L1140)*IFERROR(VLOOKUP("P01",ParamTbl,3,0),1.5))*(1-IF(IFERROR(VLOOKUP($E1140,OpTbl,3,0),"")="خرید",IFERROR(VLOOKUP("P02",ParamTbl,3,0),1),0)/100))</f>
        <v/>
      </c>
      <c r="N1140" s="14" t="n"/>
      <c r="O1140" s="13" t="n"/>
    </row>
    <row r="1141">
      <c r="A1141" s="11">
        <f>IF($B1141="","",COUNTA($B$9:$B1141))</f>
        <v/>
      </c>
      <c r="B1141" s="12" t="n"/>
      <c r="C1141" s="12" t="n"/>
      <c r="D1141" s="12" t="n"/>
      <c r="E1141" s="13" t="n"/>
      <c r="F1141" s="11">
        <f>IF($E1141="","",IFERROR(VLOOKUP($E1141,OpTbl,2,0),""))</f>
        <v/>
      </c>
      <c r="G1141" s="12" t="n"/>
      <c r="H1141" s="11">
        <f>IF($G1141="","",IFERROR(IF(VLOOKUP($G1141,AcctTbl,4,0)="","(بدون نام)",VLOOKUP($G1141,AcctTbl,4,0)),"کد ناشناخته"))</f>
        <v/>
      </c>
      <c r="I1141" s="13" t="n"/>
      <c r="J1141" s="13" t="n"/>
      <c r="K1141" s="14" t="n"/>
      <c r="L1141" s="14" t="n"/>
      <c r="M1141" s="15">
        <f>IF(OR($B1141="",$K1141=""),"",($K1141-IF($L1141="",0,$L1141)*IFERROR(VLOOKUP("P01",ParamTbl,3,0),1.5))*(1-IF(IFERROR(VLOOKUP($E1141,OpTbl,3,0),"")="خرید",IFERROR(VLOOKUP("P02",ParamTbl,3,0),1),0)/100))</f>
        <v/>
      </c>
      <c r="N1141" s="14" t="n"/>
      <c r="O1141" s="13" t="n"/>
    </row>
    <row r="1142">
      <c r="A1142" s="11">
        <f>IF($B1142="","",COUNTA($B$9:$B1142))</f>
        <v/>
      </c>
      <c r="B1142" s="12" t="n"/>
      <c r="C1142" s="12" t="n"/>
      <c r="D1142" s="12" t="n"/>
      <c r="E1142" s="13" t="n"/>
      <c r="F1142" s="11">
        <f>IF($E1142="","",IFERROR(VLOOKUP($E1142,OpTbl,2,0),""))</f>
        <v/>
      </c>
      <c r="G1142" s="12" t="n"/>
      <c r="H1142" s="11">
        <f>IF($G1142="","",IFERROR(IF(VLOOKUP($G1142,AcctTbl,4,0)="","(بدون نام)",VLOOKUP($G1142,AcctTbl,4,0)),"کد ناشناخته"))</f>
        <v/>
      </c>
      <c r="I1142" s="13" t="n"/>
      <c r="J1142" s="13" t="n"/>
      <c r="K1142" s="14" t="n"/>
      <c r="L1142" s="14" t="n"/>
      <c r="M1142" s="15">
        <f>IF(OR($B1142="",$K1142=""),"",($K1142-IF($L1142="",0,$L1142)*IFERROR(VLOOKUP("P01",ParamTbl,3,0),1.5))*(1-IF(IFERROR(VLOOKUP($E1142,OpTbl,3,0),"")="خرید",IFERROR(VLOOKUP("P02",ParamTbl,3,0),1),0)/100))</f>
        <v/>
      </c>
      <c r="N1142" s="14" t="n"/>
      <c r="O1142" s="13" t="n"/>
    </row>
    <row r="1143">
      <c r="A1143" s="11">
        <f>IF($B1143="","",COUNTA($B$9:$B1143))</f>
        <v/>
      </c>
      <c r="B1143" s="12" t="n"/>
      <c r="C1143" s="12" t="n"/>
      <c r="D1143" s="12" t="n"/>
      <c r="E1143" s="13" t="n"/>
      <c r="F1143" s="11">
        <f>IF($E1143="","",IFERROR(VLOOKUP($E1143,OpTbl,2,0),""))</f>
        <v/>
      </c>
      <c r="G1143" s="12" t="n"/>
      <c r="H1143" s="11">
        <f>IF($G1143="","",IFERROR(IF(VLOOKUP($G1143,AcctTbl,4,0)="","(بدون نام)",VLOOKUP($G1143,AcctTbl,4,0)),"کد ناشناخته"))</f>
        <v/>
      </c>
      <c r="I1143" s="13" t="n"/>
      <c r="J1143" s="13" t="n"/>
      <c r="K1143" s="14" t="n"/>
      <c r="L1143" s="14" t="n"/>
      <c r="M1143" s="15">
        <f>IF(OR($B1143="",$K1143=""),"",($K1143-IF($L1143="",0,$L1143)*IFERROR(VLOOKUP("P01",ParamTbl,3,0),1.5))*(1-IF(IFERROR(VLOOKUP($E1143,OpTbl,3,0),"")="خرید",IFERROR(VLOOKUP("P02",ParamTbl,3,0),1),0)/100))</f>
        <v/>
      </c>
      <c r="N1143" s="14" t="n"/>
      <c r="O1143" s="13" t="n"/>
    </row>
    <row r="1144">
      <c r="A1144" s="11">
        <f>IF($B1144="","",COUNTA($B$9:$B1144))</f>
        <v/>
      </c>
      <c r="B1144" s="12" t="n"/>
      <c r="C1144" s="12" t="n"/>
      <c r="D1144" s="12" t="n"/>
      <c r="E1144" s="13" t="n"/>
      <c r="F1144" s="11">
        <f>IF($E1144="","",IFERROR(VLOOKUP($E1144,OpTbl,2,0),""))</f>
        <v/>
      </c>
      <c r="G1144" s="12" t="n"/>
      <c r="H1144" s="11">
        <f>IF($G1144="","",IFERROR(IF(VLOOKUP($G1144,AcctTbl,4,0)="","(بدون نام)",VLOOKUP($G1144,AcctTbl,4,0)),"کد ناشناخته"))</f>
        <v/>
      </c>
      <c r="I1144" s="13" t="n"/>
      <c r="J1144" s="13" t="n"/>
      <c r="K1144" s="14" t="n"/>
      <c r="L1144" s="14" t="n"/>
      <c r="M1144" s="15">
        <f>IF(OR($B1144="",$K1144=""),"",($K1144-IF($L1144="",0,$L1144)*IFERROR(VLOOKUP("P01",ParamTbl,3,0),1.5))*(1-IF(IFERROR(VLOOKUP($E1144,OpTbl,3,0),"")="خرید",IFERROR(VLOOKUP("P02",ParamTbl,3,0),1),0)/100))</f>
        <v/>
      </c>
      <c r="N1144" s="14" t="n"/>
      <c r="O1144" s="13" t="n"/>
    </row>
    <row r="1145">
      <c r="A1145" s="11">
        <f>IF($B1145="","",COUNTA($B$9:$B1145))</f>
        <v/>
      </c>
      <c r="B1145" s="12" t="n"/>
      <c r="C1145" s="12" t="n"/>
      <c r="D1145" s="12" t="n"/>
      <c r="E1145" s="13" t="n"/>
      <c r="F1145" s="11">
        <f>IF($E1145="","",IFERROR(VLOOKUP($E1145,OpTbl,2,0),""))</f>
        <v/>
      </c>
      <c r="G1145" s="12" t="n"/>
      <c r="H1145" s="11">
        <f>IF($G1145="","",IFERROR(IF(VLOOKUP($G1145,AcctTbl,4,0)="","(بدون نام)",VLOOKUP($G1145,AcctTbl,4,0)),"کد ناشناخته"))</f>
        <v/>
      </c>
      <c r="I1145" s="13" t="n"/>
      <c r="J1145" s="13" t="n"/>
      <c r="K1145" s="14" t="n"/>
      <c r="L1145" s="14" t="n"/>
      <c r="M1145" s="15">
        <f>IF(OR($B1145="",$K1145=""),"",($K1145-IF($L1145="",0,$L1145)*IFERROR(VLOOKUP("P01",ParamTbl,3,0),1.5))*(1-IF(IFERROR(VLOOKUP($E1145,OpTbl,3,0),"")="خرید",IFERROR(VLOOKUP("P02",ParamTbl,3,0),1),0)/100))</f>
        <v/>
      </c>
      <c r="N1145" s="14" t="n"/>
      <c r="O1145" s="13" t="n"/>
    </row>
    <row r="1146">
      <c r="A1146" s="11">
        <f>IF($B1146="","",COUNTA($B$9:$B1146))</f>
        <v/>
      </c>
      <c r="B1146" s="12" t="n"/>
      <c r="C1146" s="12" t="n"/>
      <c r="D1146" s="12" t="n"/>
      <c r="E1146" s="13" t="n"/>
      <c r="F1146" s="11">
        <f>IF($E1146="","",IFERROR(VLOOKUP($E1146,OpTbl,2,0),""))</f>
        <v/>
      </c>
      <c r="G1146" s="12" t="n"/>
      <c r="H1146" s="11">
        <f>IF($G1146="","",IFERROR(IF(VLOOKUP($G1146,AcctTbl,4,0)="","(بدون نام)",VLOOKUP($G1146,AcctTbl,4,0)),"کد ناشناخته"))</f>
        <v/>
      </c>
      <c r="I1146" s="13" t="n"/>
      <c r="J1146" s="13" t="n"/>
      <c r="K1146" s="14" t="n"/>
      <c r="L1146" s="14" t="n"/>
      <c r="M1146" s="15">
        <f>IF(OR($B1146="",$K1146=""),"",($K1146-IF($L1146="",0,$L1146)*IFERROR(VLOOKUP("P01",ParamTbl,3,0),1.5))*(1-IF(IFERROR(VLOOKUP($E1146,OpTbl,3,0),"")="خرید",IFERROR(VLOOKUP("P02",ParamTbl,3,0),1),0)/100))</f>
        <v/>
      </c>
      <c r="N1146" s="14" t="n"/>
      <c r="O1146" s="13" t="n"/>
    </row>
    <row r="1147">
      <c r="A1147" s="11">
        <f>IF($B1147="","",COUNTA($B$9:$B1147))</f>
        <v/>
      </c>
      <c r="B1147" s="12" t="n"/>
      <c r="C1147" s="12" t="n"/>
      <c r="D1147" s="12" t="n"/>
      <c r="E1147" s="13" t="n"/>
      <c r="F1147" s="11">
        <f>IF($E1147="","",IFERROR(VLOOKUP($E1147,OpTbl,2,0),""))</f>
        <v/>
      </c>
      <c r="G1147" s="12" t="n"/>
      <c r="H1147" s="11">
        <f>IF($G1147="","",IFERROR(IF(VLOOKUP($G1147,AcctTbl,4,0)="","(بدون نام)",VLOOKUP($G1147,AcctTbl,4,0)),"کد ناشناخته"))</f>
        <v/>
      </c>
      <c r="I1147" s="13" t="n"/>
      <c r="J1147" s="13" t="n"/>
      <c r="K1147" s="14" t="n"/>
      <c r="L1147" s="14" t="n"/>
      <c r="M1147" s="15">
        <f>IF(OR($B1147="",$K1147=""),"",($K1147-IF($L1147="",0,$L1147)*IFERROR(VLOOKUP("P01",ParamTbl,3,0),1.5))*(1-IF(IFERROR(VLOOKUP($E1147,OpTbl,3,0),"")="خرید",IFERROR(VLOOKUP("P02",ParamTbl,3,0),1),0)/100))</f>
        <v/>
      </c>
      <c r="N1147" s="14" t="n"/>
      <c r="O1147" s="13" t="n"/>
    </row>
    <row r="1148">
      <c r="A1148" s="11">
        <f>IF($B1148="","",COUNTA($B$9:$B1148))</f>
        <v/>
      </c>
      <c r="B1148" s="12" t="n"/>
      <c r="C1148" s="12" t="n"/>
      <c r="D1148" s="12" t="n"/>
      <c r="E1148" s="13" t="n"/>
      <c r="F1148" s="11">
        <f>IF($E1148="","",IFERROR(VLOOKUP($E1148,OpTbl,2,0),""))</f>
        <v/>
      </c>
      <c r="G1148" s="12" t="n"/>
      <c r="H1148" s="11">
        <f>IF($G1148="","",IFERROR(IF(VLOOKUP($G1148,AcctTbl,4,0)="","(بدون نام)",VLOOKUP($G1148,AcctTbl,4,0)),"کد ناشناخته"))</f>
        <v/>
      </c>
      <c r="I1148" s="13" t="n"/>
      <c r="J1148" s="13" t="n"/>
      <c r="K1148" s="14" t="n"/>
      <c r="L1148" s="14" t="n"/>
      <c r="M1148" s="15">
        <f>IF(OR($B1148="",$K1148=""),"",($K1148-IF($L1148="",0,$L1148)*IFERROR(VLOOKUP("P01",ParamTbl,3,0),1.5))*(1-IF(IFERROR(VLOOKUP($E1148,OpTbl,3,0),"")="خرید",IFERROR(VLOOKUP("P02",ParamTbl,3,0),1),0)/100))</f>
        <v/>
      </c>
      <c r="N1148" s="14" t="n"/>
      <c r="O1148" s="13" t="n"/>
    </row>
    <row r="1149">
      <c r="A1149" s="11">
        <f>IF($B1149="","",COUNTA($B$9:$B1149))</f>
        <v/>
      </c>
      <c r="B1149" s="12" t="n"/>
      <c r="C1149" s="12" t="n"/>
      <c r="D1149" s="12" t="n"/>
      <c r="E1149" s="13" t="n"/>
      <c r="F1149" s="11">
        <f>IF($E1149="","",IFERROR(VLOOKUP($E1149,OpTbl,2,0),""))</f>
        <v/>
      </c>
      <c r="G1149" s="12" t="n"/>
      <c r="H1149" s="11">
        <f>IF($G1149="","",IFERROR(IF(VLOOKUP($G1149,AcctTbl,4,0)="","(بدون نام)",VLOOKUP($G1149,AcctTbl,4,0)),"کد ناشناخته"))</f>
        <v/>
      </c>
      <c r="I1149" s="13" t="n"/>
      <c r="J1149" s="13" t="n"/>
      <c r="K1149" s="14" t="n"/>
      <c r="L1149" s="14" t="n"/>
      <c r="M1149" s="15">
        <f>IF(OR($B1149="",$K1149=""),"",($K1149-IF($L1149="",0,$L1149)*IFERROR(VLOOKUP("P01",ParamTbl,3,0),1.5))*(1-IF(IFERROR(VLOOKUP($E1149,OpTbl,3,0),"")="خرید",IFERROR(VLOOKUP("P02",ParamTbl,3,0),1),0)/100))</f>
        <v/>
      </c>
      <c r="N1149" s="14" t="n"/>
      <c r="O1149" s="13" t="n"/>
    </row>
    <row r="1150">
      <c r="A1150" s="11">
        <f>IF($B1150="","",COUNTA($B$9:$B1150))</f>
        <v/>
      </c>
      <c r="B1150" s="12" t="n"/>
      <c r="C1150" s="12" t="n"/>
      <c r="D1150" s="12" t="n"/>
      <c r="E1150" s="13" t="n"/>
      <c r="F1150" s="11">
        <f>IF($E1150="","",IFERROR(VLOOKUP($E1150,OpTbl,2,0),""))</f>
        <v/>
      </c>
      <c r="G1150" s="12" t="n"/>
      <c r="H1150" s="11">
        <f>IF($G1150="","",IFERROR(IF(VLOOKUP($G1150,AcctTbl,4,0)="","(بدون نام)",VLOOKUP($G1150,AcctTbl,4,0)),"کد ناشناخته"))</f>
        <v/>
      </c>
      <c r="I1150" s="13" t="n"/>
      <c r="J1150" s="13" t="n"/>
      <c r="K1150" s="14" t="n"/>
      <c r="L1150" s="14" t="n"/>
      <c r="M1150" s="15">
        <f>IF(OR($B1150="",$K1150=""),"",($K1150-IF($L1150="",0,$L1150)*IFERROR(VLOOKUP("P01",ParamTbl,3,0),1.5))*(1-IF(IFERROR(VLOOKUP($E1150,OpTbl,3,0),"")="خرید",IFERROR(VLOOKUP("P02",ParamTbl,3,0),1),0)/100))</f>
        <v/>
      </c>
      <c r="N1150" s="14" t="n"/>
      <c r="O1150" s="13" t="n"/>
    </row>
    <row r="1151">
      <c r="A1151" s="11">
        <f>IF($B1151="","",COUNTA($B$9:$B1151))</f>
        <v/>
      </c>
      <c r="B1151" s="12" t="n"/>
      <c r="C1151" s="12" t="n"/>
      <c r="D1151" s="12" t="n"/>
      <c r="E1151" s="13" t="n"/>
      <c r="F1151" s="11">
        <f>IF($E1151="","",IFERROR(VLOOKUP($E1151,OpTbl,2,0),""))</f>
        <v/>
      </c>
      <c r="G1151" s="12" t="n"/>
      <c r="H1151" s="11">
        <f>IF($G1151="","",IFERROR(IF(VLOOKUP($G1151,AcctTbl,4,0)="","(بدون نام)",VLOOKUP($G1151,AcctTbl,4,0)),"کد ناشناخته"))</f>
        <v/>
      </c>
      <c r="I1151" s="13" t="n"/>
      <c r="J1151" s="13" t="n"/>
      <c r="K1151" s="14" t="n"/>
      <c r="L1151" s="14" t="n"/>
      <c r="M1151" s="15">
        <f>IF(OR($B1151="",$K1151=""),"",($K1151-IF($L1151="",0,$L1151)*IFERROR(VLOOKUP("P01",ParamTbl,3,0),1.5))*(1-IF(IFERROR(VLOOKUP($E1151,OpTbl,3,0),"")="خرید",IFERROR(VLOOKUP("P02",ParamTbl,3,0),1),0)/100))</f>
        <v/>
      </c>
      <c r="N1151" s="14" t="n"/>
      <c r="O1151" s="13" t="n"/>
    </row>
    <row r="1152">
      <c r="A1152" s="11">
        <f>IF($B1152="","",COUNTA($B$9:$B1152))</f>
        <v/>
      </c>
      <c r="B1152" s="12" t="n"/>
      <c r="C1152" s="12" t="n"/>
      <c r="D1152" s="12" t="n"/>
      <c r="E1152" s="13" t="n"/>
      <c r="F1152" s="11">
        <f>IF($E1152="","",IFERROR(VLOOKUP($E1152,OpTbl,2,0),""))</f>
        <v/>
      </c>
      <c r="G1152" s="12" t="n"/>
      <c r="H1152" s="11">
        <f>IF($G1152="","",IFERROR(IF(VLOOKUP($G1152,AcctTbl,4,0)="","(بدون نام)",VLOOKUP($G1152,AcctTbl,4,0)),"کد ناشناخته"))</f>
        <v/>
      </c>
      <c r="I1152" s="13" t="n"/>
      <c r="J1152" s="13" t="n"/>
      <c r="K1152" s="14" t="n"/>
      <c r="L1152" s="14" t="n"/>
      <c r="M1152" s="15">
        <f>IF(OR($B1152="",$K1152=""),"",($K1152-IF($L1152="",0,$L1152)*IFERROR(VLOOKUP("P01",ParamTbl,3,0),1.5))*(1-IF(IFERROR(VLOOKUP($E1152,OpTbl,3,0),"")="خرید",IFERROR(VLOOKUP("P02",ParamTbl,3,0),1),0)/100))</f>
        <v/>
      </c>
      <c r="N1152" s="14" t="n"/>
      <c r="O1152" s="13" t="n"/>
    </row>
    <row r="1153">
      <c r="A1153" s="11">
        <f>IF($B1153="","",COUNTA($B$9:$B1153))</f>
        <v/>
      </c>
      <c r="B1153" s="12" t="n"/>
      <c r="C1153" s="12" t="n"/>
      <c r="D1153" s="12" t="n"/>
      <c r="E1153" s="13" t="n"/>
      <c r="F1153" s="11">
        <f>IF($E1153="","",IFERROR(VLOOKUP($E1153,OpTbl,2,0),""))</f>
        <v/>
      </c>
      <c r="G1153" s="12" t="n"/>
      <c r="H1153" s="11">
        <f>IF($G1153="","",IFERROR(IF(VLOOKUP($G1153,AcctTbl,4,0)="","(بدون نام)",VLOOKUP($G1153,AcctTbl,4,0)),"کد ناشناخته"))</f>
        <v/>
      </c>
      <c r="I1153" s="13" t="n"/>
      <c r="J1153" s="13" t="n"/>
      <c r="K1153" s="14" t="n"/>
      <c r="L1153" s="14" t="n"/>
      <c r="M1153" s="15">
        <f>IF(OR($B1153="",$K1153=""),"",($K1153-IF($L1153="",0,$L1153)*IFERROR(VLOOKUP("P01",ParamTbl,3,0),1.5))*(1-IF(IFERROR(VLOOKUP($E1153,OpTbl,3,0),"")="خرید",IFERROR(VLOOKUP("P02",ParamTbl,3,0),1),0)/100))</f>
        <v/>
      </c>
      <c r="N1153" s="14" t="n"/>
      <c r="O1153" s="13" t="n"/>
    </row>
    <row r="1154">
      <c r="A1154" s="11">
        <f>IF($B1154="","",COUNTA($B$9:$B1154))</f>
        <v/>
      </c>
      <c r="B1154" s="12" t="n"/>
      <c r="C1154" s="12" t="n"/>
      <c r="D1154" s="12" t="n"/>
      <c r="E1154" s="13" t="n"/>
      <c r="F1154" s="11">
        <f>IF($E1154="","",IFERROR(VLOOKUP($E1154,OpTbl,2,0),""))</f>
        <v/>
      </c>
      <c r="G1154" s="12" t="n"/>
      <c r="H1154" s="11">
        <f>IF($G1154="","",IFERROR(IF(VLOOKUP($G1154,AcctTbl,4,0)="","(بدون نام)",VLOOKUP($G1154,AcctTbl,4,0)),"کد ناشناخته"))</f>
        <v/>
      </c>
      <c r="I1154" s="13" t="n"/>
      <c r="J1154" s="13" t="n"/>
      <c r="K1154" s="14" t="n"/>
      <c r="L1154" s="14" t="n"/>
      <c r="M1154" s="15">
        <f>IF(OR($B1154="",$K1154=""),"",($K1154-IF($L1154="",0,$L1154)*IFERROR(VLOOKUP("P01",ParamTbl,3,0),1.5))*(1-IF(IFERROR(VLOOKUP($E1154,OpTbl,3,0),"")="خرید",IFERROR(VLOOKUP("P02",ParamTbl,3,0),1),0)/100))</f>
        <v/>
      </c>
      <c r="N1154" s="14" t="n"/>
      <c r="O1154" s="13" t="n"/>
    </row>
    <row r="1155">
      <c r="A1155" s="11">
        <f>IF($B1155="","",COUNTA($B$9:$B1155))</f>
        <v/>
      </c>
      <c r="B1155" s="12" t="n"/>
      <c r="C1155" s="12" t="n"/>
      <c r="D1155" s="12" t="n"/>
      <c r="E1155" s="13" t="n"/>
      <c r="F1155" s="11">
        <f>IF($E1155="","",IFERROR(VLOOKUP($E1155,OpTbl,2,0),""))</f>
        <v/>
      </c>
      <c r="G1155" s="12" t="n"/>
      <c r="H1155" s="11">
        <f>IF($G1155="","",IFERROR(IF(VLOOKUP($G1155,AcctTbl,4,0)="","(بدون نام)",VLOOKUP($G1155,AcctTbl,4,0)),"کد ناشناخته"))</f>
        <v/>
      </c>
      <c r="I1155" s="13" t="n"/>
      <c r="J1155" s="13" t="n"/>
      <c r="K1155" s="14" t="n"/>
      <c r="L1155" s="14" t="n"/>
      <c r="M1155" s="15">
        <f>IF(OR($B1155="",$K1155=""),"",($K1155-IF($L1155="",0,$L1155)*IFERROR(VLOOKUP("P01",ParamTbl,3,0),1.5))*(1-IF(IFERROR(VLOOKUP($E1155,OpTbl,3,0),"")="خرید",IFERROR(VLOOKUP("P02",ParamTbl,3,0),1),0)/100))</f>
        <v/>
      </c>
      <c r="N1155" s="14" t="n"/>
      <c r="O1155" s="13" t="n"/>
    </row>
    <row r="1156">
      <c r="A1156" s="11">
        <f>IF($B1156="","",COUNTA($B$9:$B1156))</f>
        <v/>
      </c>
      <c r="B1156" s="12" t="n"/>
      <c r="C1156" s="12" t="n"/>
      <c r="D1156" s="12" t="n"/>
      <c r="E1156" s="13" t="n"/>
      <c r="F1156" s="11">
        <f>IF($E1156="","",IFERROR(VLOOKUP($E1156,OpTbl,2,0),""))</f>
        <v/>
      </c>
      <c r="G1156" s="12" t="n"/>
      <c r="H1156" s="11">
        <f>IF($G1156="","",IFERROR(IF(VLOOKUP($G1156,AcctTbl,4,0)="","(بدون نام)",VLOOKUP($G1156,AcctTbl,4,0)),"کد ناشناخته"))</f>
        <v/>
      </c>
      <c r="I1156" s="13" t="n"/>
      <c r="J1156" s="13" t="n"/>
      <c r="K1156" s="14" t="n"/>
      <c r="L1156" s="14" t="n"/>
      <c r="M1156" s="15">
        <f>IF(OR($B1156="",$K1156=""),"",($K1156-IF($L1156="",0,$L1156)*IFERROR(VLOOKUP("P01",ParamTbl,3,0),1.5))*(1-IF(IFERROR(VLOOKUP($E1156,OpTbl,3,0),"")="خرید",IFERROR(VLOOKUP("P02",ParamTbl,3,0),1),0)/100))</f>
        <v/>
      </c>
      <c r="N1156" s="14" t="n"/>
      <c r="O1156" s="13" t="n"/>
    </row>
    <row r="1157">
      <c r="A1157" s="11">
        <f>IF($B1157="","",COUNTA($B$9:$B1157))</f>
        <v/>
      </c>
      <c r="B1157" s="12" t="n"/>
      <c r="C1157" s="12" t="n"/>
      <c r="D1157" s="12" t="n"/>
      <c r="E1157" s="13" t="n"/>
      <c r="F1157" s="11">
        <f>IF($E1157="","",IFERROR(VLOOKUP($E1157,OpTbl,2,0),""))</f>
        <v/>
      </c>
      <c r="G1157" s="12" t="n"/>
      <c r="H1157" s="11">
        <f>IF($G1157="","",IFERROR(IF(VLOOKUP($G1157,AcctTbl,4,0)="","(بدون نام)",VLOOKUP($G1157,AcctTbl,4,0)),"کد ناشناخته"))</f>
        <v/>
      </c>
      <c r="I1157" s="13" t="n"/>
      <c r="J1157" s="13" t="n"/>
      <c r="K1157" s="14" t="n"/>
      <c r="L1157" s="14" t="n"/>
      <c r="M1157" s="15">
        <f>IF(OR($B1157="",$K1157=""),"",($K1157-IF($L1157="",0,$L1157)*IFERROR(VLOOKUP("P01",ParamTbl,3,0),1.5))*(1-IF(IFERROR(VLOOKUP($E1157,OpTbl,3,0),"")="خرید",IFERROR(VLOOKUP("P02",ParamTbl,3,0),1),0)/100))</f>
        <v/>
      </c>
      <c r="N1157" s="14" t="n"/>
      <c r="O1157" s="13" t="n"/>
    </row>
    <row r="1158">
      <c r="A1158" s="11">
        <f>IF($B1158="","",COUNTA($B$9:$B1158))</f>
        <v/>
      </c>
      <c r="B1158" s="12" t="n"/>
      <c r="C1158" s="12" t="n"/>
      <c r="D1158" s="12" t="n"/>
      <c r="E1158" s="13" t="n"/>
      <c r="F1158" s="11">
        <f>IF($E1158="","",IFERROR(VLOOKUP($E1158,OpTbl,2,0),""))</f>
        <v/>
      </c>
      <c r="G1158" s="12" t="n"/>
      <c r="H1158" s="11">
        <f>IF($G1158="","",IFERROR(IF(VLOOKUP($G1158,AcctTbl,4,0)="","(بدون نام)",VLOOKUP($G1158,AcctTbl,4,0)),"کد ناشناخته"))</f>
        <v/>
      </c>
      <c r="I1158" s="13" t="n"/>
      <c r="J1158" s="13" t="n"/>
      <c r="K1158" s="14" t="n"/>
      <c r="L1158" s="14" t="n"/>
      <c r="M1158" s="15">
        <f>IF(OR($B1158="",$K1158=""),"",($K1158-IF($L1158="",0,$L1158)*IFERROR(VLOOKUP("P01",ParamTbl,3,0),1.5))*(1-IF(IFERROR(VLOOKUP($E1158,OpTbl,3,0),"")="خرید",IFERROR(VLOOKUP("P02",ParamTbl,3,0),1),0)/100))</f>
        <v/>
      </c>
      <c r="N1158" s="14" t="n"/>
      <c r="O1158" s="13" t="n"/>
    </row>
    <row r="1159">
      <c r="A1159" s="11">
        <f>IF($B1159="","",COUNTA($B$9:$B1159))</f>
        <v/>
      </c>
      <c r="B1159" s="12" t="n"/>
      <c r="C1159" s="12" t="n"/>
      <c r="D1159" s="12" t="n"/>
      <c r="E1159" s="13" t="n"/>
      <c r="F1159" s="11">
        <f>IF($E1159="","",IFERROR(VLOOKUP($E1159,OpTbl,2,0),""))</f>
        <v/>
      </c>
      <c r="G1159" s="12" t="n"/>
      <c r="H1159" s="11">
        <f>IF($G1159="","",IFERROR(IF(VLOOKUP($G1159,AcctTbl,4,0)="","(بدون نام)",VLOOKUP($G1159,AcctTbl,4,0)),"کد ناشناخته"))</f>
        <v/>
      </c>
      <c r="I1159" s="13" t="n"/>
      <c r="J1159" s="13" t="n"/>
      <c r="K1159" s="14" t="n"/>
      <c r="L1159" s="14" t="n"/>
      <c r="M1159" s="15">
        <f>IF(OR($B1159="",$K1159=""),"",($K1159-IF($L1159="",0,$L1159)*IFERROR(VLOOKUP("P01",ParamTbl,3,0),1.5))*(1-IF(IFERROR(VLOOKUP($E1159,OpTbl,3,0),"")="خرید",IFERROR(VLOOKUP("P02",ParamTbl,3,0),1),0)/100))</f>
        <v/>
      </c>
      <c r="N1159" s="14" t="n"/>
      <c r="O1159" s="13" t="n"/>
    </row>
    <row r="1160">
      <c r="A1160" s="11">
        <f>IF($B1160="","",COUNTA($B$9:$B1160))</f>
        <v/>
      </c>
      <c r="B1160" s="12" t="n"/>
      <c r="C1160" s="12" t="n"/>
      <c r="D1160" s="12" t="n"/>
      <c r="E1160" s="13" t="n"/>
      <c r="F1160" s="11">
        <f>IF($E1160="","",IFERROR(VLOOKUP($E1160,OpTbl,2,0),""))</f>
        <v/>
      </c>
      <c r="G1160" s="12" t="n"/>
      <c r="H1160" s="11">
        <f>IF($G1160="","",IFERROR(IF(VLOOKUP($G1160,AcctTbl,4,0)="","(بدون نام)",VLOOKUP($G1160,AcctTbl,4,0)),"کد ناشناخته"))</f>
        <v/>
      </c>
      <c r="I1160" s="13" t="n"/>
      <c r="J1160" s="13" t="n"/>
      <c r="K1160" s="14" t="n"/>
      <c r="L1160" s="14" t="n"/>
      <c r="M1160" s="15">
        <f>IF(OR($B1160="",$K1160=""),"",($K1160-IF($L1160="",0,$L1160)*IFERROR(VLOOKUP("P01",ParamTbl,3,0),1.5))*(1-IF(IFERROR(VLOOKUP($E1160,OpTbl,3,0),"")="خرید",IFERROR(VLOOKUP("P02",ParamTbl,3,0),1),0)/100))</f>
        <v/>
      </c>
      <c r="N1160" s="14" t="n"/>
      <c r="O1160" s="13" t="n"/>
    </row>
    <row r="1161">
      <c r="A1161" s="11">
        <f>IF($B1161="","",COUNTA($B$9:$B1161))</f>
        <v/>
      </c>
      <c r="B1161" s="12" t="n"/>
      <c r="C1161" s="12" t="n"/>
      <c r="D1161" s="12" t="n"/>
      <c r="E1161" s="13" t="n"/>
      <c r="F1161" s="11">
        <f>IF($E1161="","",IFERROR(VLOOKUP($E1161,OpTbl,2,0),""))</f>
        <v/>
      </c>
      <c r="G1161" s="12" t="n"/>
      <c r="H1161" s="11">
        <f>IF($G1161="","",IFERROR(IF(VLOOKUP($G1161,AcctTbl,4,0)="","(بدون نام)",VLOOKUP($G1161,AcctTbl,4,0)),"کد ناشناخته"))</f>
        <v/>
      </c>
      <c r="I1161" s="13" t="n"/>
      <c r="J1161" s="13" t="n"/>
      <c r="K1161" s="14" t="n"/>
      <c r="L1161" s="14" t="n"/>
      <c r="M1161" s="15">
        <f>IF(OR($B1161="",$K1161=""),"",($K1161-IF($L1161="",0,$L1161)*IFERROR(VLOOKUP("P01",ParamTbl,3,0),1.5))*(1-IF(IFERROR(VLOOKUP($E1161,OpTbl,3,0),"")="خرید",IFERROR(VLOOKUP("P02",ParamTbl,3,0),1),0)/100))</f>
        <v/>
      </c>
      <c r="N1161" s="14" t="n"/>
      <c r="O1161" s="13" t="n"/>
    </row>
    <row r="1162">
      <c r="A1162" s="11">
        <f>IF($B1162="","",COUNTA($B$9:$B1162))</f>
        <v/>
      </c>
      <c r="B1162" s="12" t="n"/>
      <c r="C1162" s="12" t="n"/>
      <c r="D1162" s="12" t="n"/>
      <c r="E1162" s="13" t="n"/>
      <c r="F1162" s="11">
        <f>IF($E1162="","",IFERROR(VLOOKUP($E1162,OpTbl,2,0),""))</f>
        <v/>
      </c>
      <c r="G1162" s="12" t="n"/>
      <c r="H1162" s="11">
        <f>IF($G1162="","",IFERROR(IF(VLOOKUP($G1162,AcctTbl,4,0)="","(بدون نام)",VLOOKUP($G1162,AcctTbl,4,0)),"کد ناشناخته"))</f>
        <v/>
      </c>
      <c r="I1162" s="13" t="n"/>
      <c r="J1162" s="13" t="n"/>
      <c r="K1162" s="14" t="n"/>
      <c r="L1162" s="14" t="n"/>
      <c r="M1162" s="15">
        <f>IF(OR($B1162="",$K1162=""),"",($K1162-IF($L1162="",0,$L1162)*IFERROR(VLOOKUP("P01",ParamTbl,3,0),1.5))*(1-IF(IFERROR(VLOOKUP($E1162,OpTbl,3,0),"")="خرید",IFERROR(VLOOKUP("P02",ParamTbl,3,0),1),0)/100))</f>
        <v/>
      </c>
      <c r="N1162" s="14" t="n"/>
      <c r="O1162" s="13" t="n"/>
    </row>
    <row r="1163">
      <c r="A1163" s="11">
        <f>IF($B1163="","",COUNTA($B$9:$B1163))</f>
        <v/>
      </c>
      <c r="B1163" s="12" t="n"/>
      <c r="C1163" s="12" t="n"/>
      <c r="D1163" s="12" t="n"/>
      <c r="E1163" s="13" t="n"/>
      <c r="F1163" s="11">
        <f>IF($E1163="","",IFERROR(VLOOKUP($E1163,OpTbl,2,0),""))</f>
        <v/>
      </c>
      <c r="G1163" s="12" t="n"/>
      <c r="H1163" s="11">
        <f>IF($G1163="","",IFERROR(IF(VLOOKUP($G1163,AcctTbl,4,0)="","(بدون نام)",VLOOKUP($G1163,AcctTbl,4,0)),"کد ناشناخته"))</f>
        <v/>
      </c>
      <c r="I1163" s="13" t="n"/>
      <c r="J1163" s="13" t="n"/>
      <c r="K1163" s="14" t="n"/>
      <c r="L1163" s="14" t="n"/>
      <c r="M1163" s="15">
        <f>IF(OR($B1163="",$K1163=""),"",($K1163-IF($L1163="",0,$L1163)*IFERROR(VLOOKUP("P01",ParamTbl,3,0),1.5))*(1-IF(IFERROR(VLOOKUP($E1163,OpTbl,3,0),"")="خرید",IFERROR(VLOOKUP("P02",ParamTbl,3,0),1),0)/100))</f>
        <v/>
      </c>
      <c r="N1163" s="14" t="n"/>
      <c r="O1163" s="13" t="n"/>
    </row>
    <row r="1164">
      <c r="A1164" s="11">
        <f>IF($B1164="","",COUNTA($B$9:$B1164))</f>
        <v/>
      </c>
      <c r="B1164" s="12" t="n"/>
      <c r="C1164" s="12" t="n"/>
      <c r="D1164" s="12" t="n"/>
      <c r="E1164" s="13" t="n"/>
      <c r="F1164" s="11">
        <f>IF($E1164="","",IFERROR(VLOOKUP($E1164,OpTbl,2,0),""))</f>
        <v/>
      </c>
      <c r="G1164" s="12" t="n"/>
      <c r="H1164" s="11">
        <f>IF($G1164="","",IFERROR(IF(VLOOKUP($G1164,AcctTbl,4,0)="","(بدون نام)",VLOOKUP($G1164,AcctTbl,4,0)),"کد ناشناخته"))</f>
        <v/>
      </c>
      <c r="I1164" s="13" t="n"/>
      <c r="J1164" s="13" t="n"/>
      <c r="K1164" s="14" t="n"/>
      <c r="L1164" s="14" t="n"/>
      <c r="M1164" s="15">
        <f>IF(OR($B1164="",$K1164=""),"",($K1164-IF($L1164="",0,$L1164)*IFERROR(VLOOKUP("P01",ParamTbl,3,0),1.5))*(1-IF(IFERROR(VLOOKUP($E1164,OpTbl,3,0),"")="خرید",IFERROR(VLOOKUP("P02",ParamTbl,3,0),1),0)/100))</f>
        <v/>
      </c>
      <c r="N1164" s="14" t="n"/>
      <c r="O1164" s="13" t="n"/>
    </row>
    <row r="1165">
      <c r="A1165" s="11">
        <f>IF($B1165="","",COUNTA($B$9:$B1165))</f>
        <v/>
      </c>
      <c r="B1165" s="12" t="n"/>
      <c r="C1165" s="12" t="n"/>
      <c r="D1165" s="12" t="n"/>
      <c r="E1165" s="13" t="n"/>
      <c r="F1165" s="11">
        <f>IF($E1165="","",IFERROR(VLOOKUP($E1165,OpTbl,2,0),""))</f>
        <v/>
      </c>
      <c r="G1165" s="12" t="n"/>
      <c r="H1165" s="11">
        <f>IF($G1165="","",IFERROR(IF(VLOOKUP($G1165,AcctTbl,4,0)="","(بدون نام)",VLOOKUP($G1165,AcctTbl,4,0)),"کد ناشناخته"))</f>
        <v/>
      </c>
      <c r="I1165" s="13" t="n"/>
      <c r="J1165" s="13" t="n"/>
      <c r="K1165" s="14" t="n"/>
      <c r="L1165" s="14" t="n"/>
      <c r="M1165" s="15">
        <f>IF(OR($B1165="",$K1165=""),"",($K1165-IF($L1165="",0,$L1165)*IFERROR(VLOOKUP("P01",ParamTbl,3,0),1.5))*(1-IF(IFERROR(VLOOKUP($E1165,OpTbl,3,0),"")="خرید",IFERROR(VLOOKUP("P02",ParamTbl,3,0),1),0)/100))</f>
        <v/>
      </c>
      <c r="N1165" s="14" t="n"/>
      <c r="O1165" s="13" t="n"/>
    </row>
    <row r="1166">
      <c r="A1166" s="11">
        <f>IF($B1166="","",COUNTA($B$9:$B1166))</f>
        <v/>
      </c>
      <c r="B1166" s="12" t="n"/>
      <c r="C1166" s="12" t="n"/>
      <c r="D1166" s="12" t="n"/>
      <c r="E1166" s="13" t="n"/>
      <c r="F1166" s="11">
        <f>IF($E1166="","",IFERROR(VLOOKUP($E1166,OpTbl,2,0),""))</f>
        <v/>
      </c>
      <c r="G1166" s="12" t="n"/>
      <c r="H1166" s="11">
        <f>IF($G1166="","",IFERROR(IF(VLOOKUP($G1166,AcctTbl,4,0)="","(بدون نام)",VLOOKUP($G1166,AcctTbl,4,0)),"کد ناشناخته"))</f>
        <v/>
      </c>
      <c r="I1166" s="13" t="n"/>
      <c r="J1166" s="13" t="n"/>
      <c r="K1166" s="14" t="n"/>
      <c r="L1166" s="14" t="n"/>
      <c r="M1166" s="15">
        <f>IF(OR($B1166="",$K1166=""),"",($K1166-IF($L1166="",0,$L1166)*IFERROR(VLOOKUP("P01",ParamTbl,3,0),1.5))*(1-IF(IFERROR(VLOOKUP($E1166,OpTbl,3,0),"")="خرید",IFERROR(VLOOKUP("P02",ParamTbl,3,0),1),0)/100))</f>
        <v/>
      </c>
      <c r="N1166" s="14" t="n"/>
      <c r="O1166" s="13" t="n"/>
    </row>
    <row r="1167">
      <c r="A1167" s="11">
        <f>IF($B1167="","",COUNTA($B$9:$B1167))</f>
        <v/>
      </c>
      <c r="B1167" s="12" t="n"/>
      <c r="C1167" s="12" t="n"/>
      <c r="D1167" s="12" t="n"/>
      <c r="E1167" s="13" t="n"/>
      <c r="F1167" s="11">
        <f>IF($E1167="","",IFERROR(VLOOKUP($E1167,OpTbl,2,0),""))</f>
        <v/>
      </c>
      <c r="G1167" s="12" t="n"/>
      <c r="H1167" s="11">
        <f>IF($G1167="","",IFERROR(IF(VLOOKUP($G1167,AcctTbl,4,0)="","(بدون نام)",VLOOKUP($G1167,AcctTbl,4,0)),"کد ناشناخته"))</f>
        <v/>
      </c>
      <c r="I1167" s="13" t="n"/>
      <c r="J1167" s="13" t="n"/>
      <c r="K1167" s="14" t="n"/>
      <c r="L1167" s="14" t="n"/>
      <c r="M1167" s="15">
        <f>IF(OR($B1167="",$K1167=""),"",($K1167-IF($L1167="",0,$L1167)*IFERROR(VLOOKUP("P01",ParamTbl,3,0),1.5))*(1-IF(IFERROR(VLOOKUP($E1167,OpTbl,3,0),"")="خرید",IFERROR(VLOOKUP("P02",ParamTbl,3,0),1),0)/100))</f>
        <v/>
      </c>
      <c r="N1167" s="14" t="n"/>
      <c r="O1167" s="13" t="n"/>
    </row>
    <row r="1168">
      <c r="A1168" s="11">
        <f>IF($B1168="","",COUNTA($B$9:$B1168))</f>
        <v/>
      </c>
      <c r="B1168" s="12" t="n"/>
      <c r="C1168" s="12" t="n"/>
      <c r="D1168" s="12" t="n"/>
      <c r="E1168" s="13" t="n"/>
      <c r="F1168" s="11">
        <f>IF($E1168="","",IFERROR(VLOOKUP($E1168,OpTbl,2,0),""))</f>
        <v/>
      </c>
      <c r="G1168" s="12" t="n"/>
      <c r="H1168" s="11">
        <f>IF($G1168="","",IFERROR(IF(VLOOKUP($G1168,AcctTbl,4,0)="","(بدون نام)",VLOOKUP($G1168,AcctTbl,4,0)),"کد ناشناخته"))</f>
        <v/>
      </c>
      <c r="I1168" s="13" t="n"/>
      <c r="J1168" s="13" t="n"/>
      <c r="K1168" s="14" t="n"/>
      <c r="L1168" s="14" t="n"/>
      <c r="M1168" s="15">
        <f>IF(OR($B1168="",$K1168=""),"",($K1168-IF($L1168="",0,$L1168)*IFERROR(VLOOKUP("P01",ParamTbl,3,0),1.5))*(1-IF(IFERROR(VLOOKUP($E1168,OpTbl,3,0),"")="خرید",IFERROR(VLOOKUP("P02",ParamTbl,3,0),1),0)/100))</f>
        <v/>
      </c>
      <c r="N1168" s="14" t="n"/>
      <c r="O1168" s="13" t="n"/>
    </row>
    <row r="1169">
      <c r="A1169" s="11">
        <f>IF($B1169="","",COUNTA($B$9:$B1169))</f>
        <v/>
      </c>
      <c r="B1169" s="12" t="n"/>
      <c r="C1169" s="12" t="n"/>
      <c r="D1169" s="12" t="n"/>
      <c r="E1169" s="13" t="n"/>
      <c r="F1169" s="11">
        <f>IF($E1169="","",IFERROR(VLOOKUP($E1169,OpTbl,2,0),""))</f>
        <v/>
      </c>
      <c r="G1169" s="12" t="n"/>
      <c r="H1169" s="11">
        <f>IF($G1169="","",IFERROR(IF(VLOOKUP($G1169,AcctTbl,4,0)="","(بدون نام)",VLOOKUP($G1169,AcctTbl,4,0)),"کد ناشناخته"))</f>
        <v/>
      </c>
      <c r="I1169" s="13" t="n"/>
      <c r="J1169" s="13" t="n"/>
      <c r="K1169" s="14" t="n"/>
      <c r="L1169" s="14" t="n"/>
      <c r="M1169" s="15">
        <f>IF(OR($B1169="",$K1169=""),"",($K1169-IF($L1169="",0,$L1169)*IFERROR(VLOOKUP("P01",ParamTbl,3,0),1.5))*(1-IF(IFERROR(VLOOKUP($E1169,OpTbl,3,0),"")="خرید",IFERROR(VLOOKUP("P02",ParamTbl,3,0),1),0)/100))</f>
        <v/>
      </c>
      <c r="N1169" s="14" t="n"/>
      <c r="O1169" s="13" t="n"/>
    </row>
    <row r="1170">
      <c r="A1170" s="11">
        <f>IF($B1170="","",COUNTA($B$9:$B1170))</f>
        <v/>
      </c>
      <c r="B1170" s="12" t="n"/>
      <c r="C1170" s="12" t="n"/>
      <c r="D1170" s="12" t="n"/>
      <c r="E1170" s="13" t="n"/>
      <c r="F1170" s="11">
        <f>IF($E1170="","",IFERROR(VLOOKUP($E1170,OpTbl,2,0),""))</f>
        <v/>
      </c>
      <c r="G1170" s="12" t="n"/>
      <c r="H1170" s="11">
        <f>IF($G1170="","",IFERROR(IF(VLOOKUP($G1170,AcctTbl,4,0)="","(بدون نام)",VLOOKUP($G1170,AcctTbl,4,0)),"کد ناشناخته"))</f>
        <v/>
      </c>
      <c r="I1170" s="13" t="n"/>
      <c r="J1170" s="13" t="n"/>
      <c r="K1170" s="14" t="n"/>
      <c r="L1170" s="14" t="n"/>
      <c r="M1170" s="15">
        <f>IF(OR($B1170="",$K1170=""),"",($K1170-IF($L1170="",0,$L1170)*IFERROR(VLOOKUP("P01",ParamTbl,3,0),1.5))*(1-IF(IFERROR(VLOOKUP($E1170,OpTbl,3,0),"")="خرید",IFERROR(VLOOKUP("P02",ParamTbl,3,0),1),0)/100))</f>
        <v/>
      </c>
      <c r="N1170" s="14" t="n"/>
      <c r="O1170" s="13" t="n"/>
    </row>
    <row r="1171">
      <c r="A1171" s="11">
        <f>IF($B1171="","",COUNTA($B$9:$B1171))</f>
        <v/>
      </c>
      <c r="B1171" s="12" t="n"/>
      <c r="C1171" s="12" t="n"/>
      <c r="D1171" s="12" t="n"/>
      <c r="E1171" s="13" t="n"/>
      <c r="F1171" s="11">
        <f>IF($E1171="","",IFERROR(VLOOKUP($E1171,OpTbl,2,0),""))</f>
        <v/>
      </c>
      <c r="G1171" s="12" t="n"/>
      <c r="H1171" s="11">
        <f>IF($G1171="","",IFERROR(IF(VLOOKUP($G1171,AcctTbl,4,0)="","(بدون نام)",VLOOKUP($G1171,AcctTbl,4,0)),"کد ناشناخته"))</f>
        <v/>
      </c>
      <c r="I1171" s="13" t="n"/>
      <c r="J1171" s="13" t="n"/>
      <c r="K1171" s="14" t="n"/>
      <c r="L1171" s="14" t="n"/>
      <c r="M1171" s="15">
        <f>IF(OR($B1171="",$K1171=""),"",($K1171-IF($L1171="",0,$L1171)*IFERROR(VLOOKUP("P01",ParamTbl,3,0),1.5))*(1-IF(IFERROR(VLOOKUP($E1171,OpTbl,3,0),"")="خرید",IFERROR(VLOOKUP("P02",ParamTbl,3,0),1),0)/100))</f>
        <v/>
      </c>
      <c r="N1171" s="14" t="n"/>
      <c r="O1171" s="13" t="n"/>
    </row>
    <row r="1172">
      <c r="A1172" s="11">
        <f>IF($B1172="","",COUNTA($B$9:$B1172))</f>
        <v/>
      </c>
      <c r="B1172" s="12" t="n"/>
      <c r="C1172" s="12" t="n"/>
      <c r="D1172" s="12" t="n"/>
      <c r="E1172" s="13" t="n"/>
      <c r="F1172" s="11">
        <f>IF($E1172="","",IFERROR(VLOOKUP($E1172,OpTbl,2,0),""))</f>
        <v/>
      </c>
      <c r="G1172" s="12" t="n"/>
      <c r="H1172" s="11">
        <f>IF($G1172="","",IFERROR(IF(VLOOKUP($G1172,AcctTbl,4,0)="","(بدون نام)",VLOOKUP($G1172,AcctTbl,4,0)),"کد ناشناخته"))</f>
        <v/>
      </c>
      <c r="I1172" s="13" t="n"/>
      <c r="J1172" s="13" t="n"/>
      <c r="K1172" s="14" t="n"/>
      <c r="L1172" s="14" t="n"/>
      <c r="M1172" s="15">
        <f>IF(OR($B1172="",$K1172=""),"",($K1172-IF($L1172="",0,$L1172)*IFERROR(VLOOKUP("P01",ParamTbl,3,0),1.5))*(1-IF(IFERROR(VLOOKUP($E1172,OpTbl,3,0),"")="خرید",IFERROR(VLOOKUP("P02",ParamTbl,3,0),1),0)/100))</f>
        <v/>
      </c>
      <c r="N1172" s="14" t="n"/>
      <c r="O1172" s="13" t="n"/>
    </row>
    <row r="1173">
      <c r="A1173" s="11">
        <f>IF($B1173="","",COUNTA($B$9:$B1173))</f>
        <v/>
      </c>
      <c r="B1173" s="12" t="n"/>
      <c r="C1173" s="12" t="n"/>
      <c r="D1173" s="12" t="n"/>
      <c r="E1173" s="13" t="n"/>
      <c r="F1173" s="11">
        <f>IF($E1173="","",IFERROR(VLOOKUP($E1173,OpTbl,2,0),""))</f>
        <v/>
      </c>
      <c r="G1173" s="12" t="n"/>
      <c r="H1173" s="11">
        <f>IF($G1173="","",IFERROR(IF(VLOOKUP($G1173,AcctTbl,4,0)="","(بدون نام)",VLOOKUP($G1173,AcctTbl,4,0)),"کد ناشناخته"))</f>
        <v/>
      </c>
      <c r="I1173" s="13" t="n"/>
      <c r="J1173" s="13" t="n"/>
      <c r="K1173" s="14" t="n"/>
      <c r="L1173" s="14" t="n"/>
      <c r="M1173" s="15">
        <f>IF(OR($B1173="",$K1173=""),"",($K1173-IF($L1173="",0,$L1173)*IFERROR(VLOOKUP("P01",ParamTbl,3,0),1.5))*(1-IF(IFERROR(VLOOKUP($E1173,OpTbl,3,0),"")="خرید",IFERROR(VLOOKUP("P02",ParamTbl,3,0),1),0)/100))</f>
        <v/>
      </c>
      <c r="N1173" s="14" t="n"/>
      <c r="O1173" s="13" t="n"/>
    </row>
    <row r="1174">
      <c r="A1174" s="11">
        <f>IF($B1174="","",COUNTA($B$9:$B1174))</f>
        <v/>
      </c>
      <c r="B1174" s="12" t="n"/>
      <c r="C1174" s="12" t="n"/>
      <c r="D1174" s="12" t="n"/>
      <c r="E1174" s="13" t="n"/>
      <c r="F1174" s="11">
        <f>IF($E1174="","",IFERROR(VLOOKUP($E1174,OpTbl,2,0),""))</f>
        <v/>
      </c>
      <c r="G1174" s="12" t="n"/>
      <c r="H1174" s="11">
        <f>IF($G1174="","",IFERROR(IF(VLOOKUP($G1174,AcctTbl,4,0)="","(بدون نام)",VLOOKUP($G1174,AcctTbl,4,0)),"کد ناشناخته"))</f>
        <v/>
      </c>
      <c r="I1174" s="13" t="n"/>
      <c r="J1174" s="13" t="n"/>
      <c r="K1174" s="14" t="n"/>
      <c r="L1174" s="14" t="n"/>
      <c r="M1174" s="15">
        <f>IF(OR($B1174="",$K1174=""),"",($K1174-IF($L1174="",0,$L1174)*IFERROR(VLOOKUP("P01",ParamTbl,3,0),1.5))*(1-IF(IFERROR(VLOOKUP($E1174,OpTbl,3,0),"")="خرید",IFERROR(VLOOKUP("P02",ParamTbl,3,0),1),0)/100))</f>
        <v/>
      </c>
      <c r="N1174" s="14" t="n"/>
      <c r="O1174" s="13" t="n"/>
    </row>
    <row r="1175">
      <c r="A1175" s="11">
        <f>IF($B1175="","",COUNTA($B$9:$B1175))</f>
        <v/>
      </c>
      <c r="B1175" s="12" t="n"/>
      <c r="C1175" s="12" t="n"/>
      <c r="D1175" s="12" t="n"/>
      <c r="E1175" s="13" t="n"/>
      <c r="F1175" s="11">
        <f>IF($E1175="","",IFERROR(VLOOKUP($E1175,OpTbl,2,0),""))</f>
        <v/>
      </c>
      <c r="G1175" s="12" t="n"/>
      <c r="H1175" s="11">
        <f>IF($G1175="","",IFERROR(IF(VLOOKUP($G1175,AcctTbl,4,0)="","(بدون نام)",VLOOKUP($G1175,AcctTbl,4,0)),"کد ناشناخته"))</f>
        <v/>
      </c>
      <c r="I1175" s="13" t="n"/>
      <c r="J1175" s="13" t="n"/>
      <c r="K1175" s="14" t="n"/>
      <c r="L1175" s="14" t="n"/>
      <c r="M1175" s="15">
        <f>IF(OR($B1175="",$K1175=""),"",($K1175-IF($L1175="",0,$L1175)*IFERROR(VLOOKUP("P01",ParamTbl,3,0),1.5))*(1-IF(IFERROR(VLOOKUP($E1175,OpTbl,3,0),"")="خرید",IFERROR(VLOOKUP("P02",ParamTbl,3,0),1),0)/100))</f>
        <v/>
      </c>
      <c r="N1175" s="14" t="n"/>
      <c r="O1175" s="13" t="n"/>
    </row>
    <row r="1176">
      <c r="A1176" s="11">
        <f>IF($B1176="","",COUNTA($B$9:$B1176))</f>
        <v/>
      </c>
      <c r="B1176" s="12" t="n"/>
      <c r="C1176" s="12" t="n"/>
      <c r="D1176" s="12" t="n"/>
      <c r="E1176" s="13" t="n"/>
      <c r="F1176" s="11">
        <f>IF($E1176="","",IFERROR(VLOOKUP($E1176,OpTbl,2,0),""))</f>
        <v/>
      </c>
      <c r="G1176" s="12" t="n"/>
      <c r="H1176" s="11">
        <f>IF($G1176="","",IFERROR(IF(VLOOKUP($G1176,AcctTbl,4,0)="","(بدون نام)",VLOOKUP($G1176,AcctTbl,4,0)),"کد ناشناخته"))</f>
        <v/>
      </c>
      <c r="I1176" s="13" t="n"/>
      <c r="J1176" s="13" t="n"/>
      <c r="K1176" s="14" t="n"/>
      <c r="L1176" s="14" t="n"/>
      <c r="M1176" s="15">
        <f>IF(OR($B1176="",$K1176=""),"",($K1176-IF($L1176="",0,$L1176)*IFERROR(VLOOKUP("P01",ParamTbl,3,0),1.5))*(1-IF(IFERROR(VLOOKUP($E1176,OpTbl,3,0),"")="خرید",IFERROR(VLOOKUP("P02",ParamTbl,3,0),1),0)/100))</f>
        <v/>
      </c>
      <c r="N1176" s="14" t="n"/>
      <c r="O1176" s="13" t="n"/>
    </row>
    <row r="1177">
      <c r="A1177" s="11">
        <f>IF($B1177="","",COUNTA($B$9:$B1177))</f>
        <v/>
      </c>
      <c r="B1177" s="12" t="n"/>
      <c r="C1177" s="12" t="n"/>
      <c r="D1177" s="12" t="n"/>
      <c r="E1177" s="13" t="n"/>
      <c r="F1177" s="11">
        <f>IF($E1177="","",IFERROR(VLOOKUP($E1177,OpTbl,2,0),""))</f>
        <v/>
      </c>
      <c r="G1177" s="12" t="n"/>
      <c r="H1177" s="11">
        <f>IF($G1177="","",IFERROR(IF(VLOOKUP($G1177,AcctTbl,4,0)="","(بدون نام)",VLOOKUP($G1177,AcctTbl,4,0)),"کد ناشناخته"))</f>
        <v/>
      </c>
      <c r="I1177" s="13" t="n"/>
      <c r="J1177" s="13" t="n"/>
      <c r="K1177" s="14" t="n"/>
      <c r="L1177" s="14" t="n"/>
      <c r="M1177" s="15">
        <f>IF(OR($B1177="",$K1177=""),"",($K1177-IF($L1177="",0,$L1177)*IFERROR(VLOOKUP("P01",ParamTbl,3,0),1.5))*(1-IF(IFERROR(VLOOKUP($E1177,OpTbl,3,0),"")="خرید",IFERROR(VLOOKUP("P02",ParamTbl,3,0),1),0)/100))</f>
        <v/>
      </c>
      <c r="N1177" s="14" t="n"/>
      <c r="O1177" s="13" t="n"/>
    </row>
    <row r="1178">
      <c r="A1178" s="11">
        <f>IF($B1178="","",COUNTA($B$9:$B1178))</f>
        <v/>
      </c>
      <c r="B1178" s="12" t="n"/>
      <c r="C1178" s="12" t="n"/>
      <c r="D1178" s="12" t="n"/>
      <c r="E1178" s="13" t="n"/>
      <c r="F1178" s="11">
        <f>IF($E1178="","",IFERROR(VLOOKUP($E1178,OpTbl,2,0),""))</f>
        <v/>
      </c>
      <c r="G1178" s="12" t="n"/>
      <c r="H1178" s="11">
        <f>IF($G1178="","",IFERROR(IF(VLOOKUP($G1178,AcctTbl,4,0)="","(بدون نام)",VLOOKUP($G1178,AcctTbl,4,0)),"کد ناشناخته"))</f>
        <v/>
      </c>
      <c r="I1178" s="13" t="n"/>
      <c r="J1178" s="13" t="n"/>
      <c r="K1178" s="14" t="n"/>
      <c r="L1178" s="14" t="n"/>
      <c r="M1178" s="15">
        <f>IF(OR($B1178="",$K1178=""),"",($K1178-IF($L1178="",0,$L1178)*IFERROR(VLOOKUP("P01",ParamTbl,3,0),1.5))*(1-IF(IFERROR(VLOOKUP($E1178,OpTbl,3,0),"")="خرید",IFERROR(VLOOKUP("P02",ParamTbl,3,0),1),0)/100))</f>
        <v/>
      </c>
      <c r="N1178" s="14" t="n"/>
      <c r="O1178" s="13" t="n"/>
    </row>
    <row r="1179">
      <c r="A1179" s="11">
        <f>IF($B1179="","",COUNTA($B$9:$B1179))</f>
        <v/>
      </c>
      <c r="B1179" s="12" t="n"/>
      <c r="C1179" s="12" t="n"/>
      <c r="D1179" s="12" t="n"/>
      <c r="E1179" s="13" t="n"/>
      <c r="F1179" s="11">
        <f>IF($E1179="","",IFERROR(VLOOKUP($E1179,OpTbl,2,0),""))</f>
        <v/>
      </c>
      <c r="G1179" s="12" t="n"/>
      <c r="H1179" s="11">
        <f>IF($G1179="","",IFERROR(IF(VLOOKUP($G1179,AcctTbl,4,0)="","(بدون نام)",VLOOKUP($G1179,AcctTbl,4,0)),"کد ناشناخته"))</f>
        <v/>
      </c>
      <c r="I1179" s="13" t="n"/>
      <c r="J1179" s="13" t="n"/>
      <c r="K1179" s="14" t="n"/>
      <c r="L1179" s="14" t="n"/>
      <c r="M1179" s="15">
        <f>IF(OR($B1179="",$K1179=""),"",($K1179-IF($L1179="",0,$L1179)*IFERROR(VLOOKUP("P01",ParamTbl,3,0),1.5))*(1-IF(IFERROR(VLOOKUP($E1179,OpTbl,3,0),"")="خرید",IFERROR(VLOOKUP("P02",ParamTbl,3,0),1),0)/100))</f>
        <v/>
      </c>
      <c r="N1179" s="14" t="n"/>
      <c r="O1179" s="13" t="n"/>
    </row>
    <row r="1180">
      <c r="A1180" s="11">
        <f>IF($B1180="","",COUNTA($B$9:$B1180))</f>
        <v/>
      </c>
      <c r="B1180" s="12" t="n"/>
      <c r="C1180" s="12" t="n"/>
      <c r="D1180" s="12" t="n"/>
      <c r="E1180" s="13" t="n"/>
      <c r="F1180" s="11">
        <f>IF($E1180="","",IFERROR(VLOOKUP($E1180,OpTbl,2,0),""))</f>
        <v/>
      </c>
      <c r="G1180" s="12" t="n"/>
      <c r="H1180" s="11">
        <f>IF($G1180="","",IFERROR(IF(VLOOKUP($G1180,AcctTbl,4,0)="","(بدون نام)",VLOOKUP($G1180,AcctTbl,4,0)),"کد ناشناخته"))</f>
        <v/>
      </c>
      <c r="I1180" s="13" t="n"/>
      <c r="J1180" s="13" t="n"/>
      <c r="K1180" s="14" t="n"/>
      <c r="L1180" s="14" t="n"/>
      <c r="M1180" s="15">
        <f>IF(OR($B1180="",$K1180=""),"",($K1180-IF($L1180="",0,$L1180)*IFERROR(VLOOKUP("P01",ParamTbl,3,0),1.5))*(1-IF(IFERROR(VLOOKUP($E1180,OpTbl,3,0),"")="خرید",IFERROR(VLOOKUP("P02",ParamTbl,3,0),1),0)/100))</f>
        <v/>
      </c>
      <c r="N1180" s="14" t="n"/>
      <c r="O1180" s="13" t="n"/>
    </row>
    <row r="1181">
      <c r="A1181" s="11">
        <f>IF($B1181="","",COUNTA($B$9:$B1181))</f>
        <v/>
      </c>
      <c r="B1181" s="12" t="n"/>
      <c r="C1181" s="12" t="n"/>
      <c r="D1181" s="12" t="n"/>
      <c r="E1181" s="13" t="n"/>
      <c r="F1181" s="11">
        <f>IF($E1181="","",IFERROR(VLOOKUP($E1181,OpTbl,2,0),""))</f>
        <v/>
      </c>
      <c r="G1181" s="12" t="n"/>
      <c r="H1181" s="11">
        <f>IF($G1181="","",IFERROR(IF(VLOOKUP($G1181,AcctTbl,4,0)="","(بدون نام)",VLOOKUP($G1181,AcctTbl,4,0)),"کد ناشناخته"))</f>
        <v/>
      </c>
      <c r="I1181" s="13" t="n"/>
      <c r="J1181" s="13" t="n"/>
      <c r="K1181" s="14" t="n"/>
      <c r="L1181" s="14" t="n"/>
      <c r="M1181" s="15">
        <f>IF(OR($B1181="",$K1181=""),"",($K1181-IF($L1181="",0,$L1181)*IFERROR(VLOOKUP("P01",ParamTbl,3,0),1.5))*(1-IF(IFERROR(VLOOKUP($E1181,OpTbl,3,0),"")="خرید",IFERROR(VLOOKUP("P02",ParamTbl,3,0),1),0)/100))</f>
        <v/>
      </c>
      <c r="N1181" s="14" t="n"/>
      <c r="O1181" s="13" t="n"/>
    </row>
    <row r="1182">
      <c r="A1182" s="11">
        <f>IF($B1182="","",COUNTA($B$9:$B1182))</f>
        <v/>
      </c>
      <c r="B1182" s="12" t="n"/>
      <c r="C1182" s="12" t="n"/>
      <c r="D1182" s="12" t="n"/>
      <c r="E1182" s="13" t="n"/>
      <c r="F1182" s="11">
        <f>IF($E1182="","",IFERROR(VLOOKUP($E1182,OpTbl,2,0),""))</f>
        <v/>
      </c>
      <c r="G1182" s="12" t="n"/>
      <c r="H1182" s="11">
        <f>IF($G1182="","",IFERROR(IF(VLOOKUP($G1182,AcctTbl,4,0)="","(بدون نام)",VLOOKUP($G1182,AcctTbl,4,0)),"کد ناشناخته"))</f>
        <v/>
      </c>
      <c r="I1182" s="13" t="n"/>
      <c r="J1182" s="13" t="n"/>
      <c r="K1182" s="14" t="n"/>
      <c r="L1182" s="14" t="n"/>
      <c r="M1182" s="15">
        <f>IF(OR($B1182="",$K1182=""),"",($K1182-IF($L1182="",0,$L1182)*IFERROR(VLOOKUP("P01",ParamTbl,3,0),1.5))*(1-IF(IFERROR(VLOOKUP($E1182,OpTbl,3,0),"")="خرید",IFERROR(VLOOKUP("P02",ParamTbl,3,0),1),0)/100))</f>
        <v/>
      </c>
      <c r="N1182" s="14" t="n"/>
      <c r="O1182" s="13" t="n"/>
    </row>
    <row r="1183">
      <c r="A1183" s="11">
        <f>IF($B1183="","",COUNTA($B$9:$B1183))</f>
        <v/>
      </c>
      <c r="B1183" s="12" t="n"/>
      <c r="C1183" s="12" t="n"/>
      <c r="D1183" s="12" t="n"/>
      <c r="E1183" s="13" t="n"/>
      <c r="F1183" s="11">
        <f>IF($E1183="","",IFERROR(VLOOKUP($E1183,OpTbl,2,0),""))</f>
        <v/>
      </c>
      <c r="G1183" s="12" t="n"/>
      <c r="H1183" s="11">
        <f>IF($G1183="","",IFERROR(IF(VLOOKUP($G1183,AcctTbl,4,0)="","(بدون نام)",VLOOKUP($G1183,AcctTbl,4,0)),"کد ناشناخته"))</f>
        <v/>
      </c>
      <c r="I1183" s="13" t="n"/>
      <c r="J1183" s="13" t="n"/>
      <c r="K1183" s="14" t="n"/>
      <c r="L1183" s="14" t="n"/>
      <c r="M1183" s="15">
        <f>IF(OR($B1183="",$K1183=""),"",($K1183-IF($L1183="",0,$L1183)*IFERROR(VLOOKUP("P01",ParamTbl,3,0),1.5))*(1-IF(IFERROR(VLOOKUP($E1183,OpTbl,3,0),"")="خرید",IFERROR(VLOOKUP("P02",ParamTbl,3,0),1),0)/100))</f>
        <v/>
      </c>
      <c r="N1183" s="14" t="n"/>
      <c r="O1183" s="13" t="n"/>
    </row>
    <row r="1184">
      <c r="A1184" s="11">
        <f>IF($B1184="","",COUNTA($B$9:$B1184))</f>
        <v/>
      </c>
      <c r="B1184" s="12" t="n"/>
      <c r="C1184" s="12" t="n"/>
      <c r="D1184" s="12" t="n"/>
      <c r="E1184" s="13" t="n"/>
      <c r="F1184" s="11">
        <f>IF($E1184="","",IFERROR(VLOOKUP($E1184,OpTbl,2,0),""))</f>
        <v/>
      </c>
      <c r="G1184" s="12" t="n"/>
      <c r="H1184" s="11">
        <f>IF($G1184="","",IFERROR(IF(VLOOKUP($G1184,AcctTbl,4,0)="","(بدون نام)",VLOOKUP($G1184,AcctTbl,4,0)),"کد ناشناخته"))</f>
        <v/>
      </c>
      <c r="I1184" s="13" t="n"/>
      <c r="J1184" s="13" t="n"/>
      <c r="K1184" s="14" t="n"/>
      <c r="L1184" s="14" t="n"/>
      <c r="M1184" s="15">
        <f>IF(OR($B1184="",$K1184=""),"",($K1184-IF($L1184="",0,$L1184)*IFERROR(VLOOKUP("P01",ParamTbl,3,0),1.5))*(1-IF(IFERROR(VLOOKUP($E1184,OpTbl,3,0),"")="خرید",IFERROR(VLOOKUP("P02",ParamTbl,3,0),1),0)/100))</f>
        <v/>
      </c>
      <c r="N1184" s="14" t="n"/>
      <c r="O1184" s="13" t="n"/>
    </row>
    <row r="1185">
      <c r="A1185" s="11">
        <f>IF($B1185="","",COUNTA($B$9:$B1185))</f>
        <v/>
      </c>
      <c r="B1185" s="12" t="n"/>
      <c r="C1185" s="12" t="n"/>
      <c r="D1185" s="12" t="n"/>
      <c r="E1185" s="13" t="n"/>
      <c r="F1185" s="11">
        <f>IF($E1185="","",IFERROR(VLOOKUP($E1185,OpTbl,2,0),""))</f>
        <v/>
      </c>
      <c r="G1185" s="12" t="n"/>
      <c r="H1185" s="11">
        <f>IF($G1185="","",IFERROR(IF(VLOOKUP($G1185,AcctTbl,4,0)="","(بدون نام)",VLOOKUP($G1185,AcctTbl,4,0)),"کد ناشناخته"))</f>
        <v/>
      </c>
      <c r="I1185" s="13" t="n"/>
      <c r="J1185" s="13" t="n"/>
      <c r="K1185" s="14" t="n"/>
      <c r="L1185" s="14" t="n"/>
      <c r="M1185" s="15">
        <f>IF(OR($B1185="",$K1185=""),"",($K1185-IF($L1185="",0,$L1185)*IFERROR(VLOOKUP("P01",ParamTbl,3,0),1.5))*(1-IF(IFERROR(VLOOKUP($E1185,OpTbl,3,0),"")="خرید",IFERROR(VLOOKUP("P02",ParamTbl,3,0),1),0)/100))</f>
        <v/>
      </c>
      <c r="N1185" s="14" t="n"/>
      <c r="O1185" s="13" t="n"/>
    </row>
    <row r="1186">
      <c r="A1186" s="11">
        <f>IF($B1186="","",COUNTA($B$9:$B1186))</f>
        <v/>
      </c>
      <c r="B1186" s="12" t="n"/>
      <c r="C1186" s="12" t="n"/>
      <c r="D1186" s="12" t="n"/>
      <c r="E1186" s="13" t="n"/>
      <c r="F1186" s="11">
        <f>IF($E1186="","",IFERROR(VLOOKUP($E1186,OpTbl,2,0),""))</f>
        <v/>
      </c>
      <c r="G1186" s="12" t="n"/>
      <c r="H1186" s="11">
        <f>IF($G1186="","",IFERROR(IF(VLOOKUP($G1186,AcctTbl,4,0)="","(بدون نام)",VLOOKUP($G1186,AcctTbl,4,0)),"کد ناشناخته"))</f>
        <v/>
      </c>
      <c r="I1186" s="13" t="n"/>
      <c r="J1186" s="13" t="n"/>
      <c r="K1186" s="14" t="n"/>
      <c r="L1186" s="14" t="n"/>
      <c r="M1186" s="15">
        <f>IF(OR($B1186="",$K1186=""),"",($K1186-IF($L1186="",0,$L1186)*IFERROR(VLOOKUP("P01",ParamTbl,3,0),1.5))*(1-IF(IFERROR(VLOOKUP($E1186,OpTbl,3,0),"")="خرید",IFERROR(VLOOKUP("P02",ParamTbl,3,0),1),0)/100))</f>
        <v/>
      </c>
      <c r="N1186" s="14" t="n"/>
      <c r="O1186" s="13" t="n"/>
    </row>
    <row r="1187">
      <c r="A1187" s="11">
        <f>IF($B1187="","",COUNTA($B$9:$B1187))</f>
        <v/>
      </c>
      <c r="B1187" s="12" t="n"/>
      <c r="C1187" s="12" t="n"/>
      <c r="D1187" s="12" t="n"/>
      <c r="E1187" s="13" t="n"/>
      <c r="F1187" s="11">
        <f>IF($E1187="","",IFERROR(VLOOKUP($E1187,OpTbl,2,0),""))</f>
        <v/>
      </c>
      <c r="G1187" s="12" t="n"/>
      <c r="H1187" s="11">
        <f>IF($G1187="","",IFERROR(IF(VLOOKUP($G1187,AcctTbl,4,0)="","(بدون نام)",VLOOKUP($G1187,AcctTbl,4,0)),"کد ناشناخته"))</f>
        <v/>
      </c>
      <c r="I1187" s="13" t="n"/>
      <c r="J1187" s="13" t="n"/>
      <c r="K1187" s="14" t="n"/>
      <c r="L1187" s="14" t="n"/>
      <c r="M1187" s="15">
        <f>IF(OR($B1187="",$K1187=""),"",($K1187-IF($L1187="",0,$L1187)*IFERROR(VLOOKUP("P01",ParamTbl,3,0),1.5))*(1-IF(IFERROR(VLOOKUP($E1187,OpTbl,3,0),"")="خرید",IFERROR(VLOOKUP("P02",ParamTbl,3,0),1),0)/100))</f>
        <v/>
      </c>
      <c r="N1187" s="14" t="n"/>
      <c r="O1187" s="13" t="n"/>
    </row>
    <row r="1188">
      <c r="A1188" s="11">
        <f>IF($B1188="","",COUNTA($B$9:$B1188))</f>
        <v/>
      </c>
      <c r="B1188" s="12" t="n"/>
      <c r="C1188" s="12" t="n"/>
      <c r="D1188" s="12" t="n"/>
      <c r="E1188" s="13" t="n"/>
      <c r="F1188" s="11">
        <f>IF($E1188="","",IFERROR(VLOOKUP($E1188,OpTbl,2,0),""))</f>
        <v/>
      </c>
      <c r="G1188" s="12" t="n"/>
      <c r="H1188" s="11">
        <f>IF($G1188="","",IFERROR(IF(VLOOKUP($G1188,AcctTbl,4,0)="","(بدون نام)",VLOOKUP($G1188,AcctTbl,4,0)),"کد ناشناخته"))</f>
        <v/>
      </c>
      <c r="I1188" s="13" t="n"/>
      <c r="J1188" s="13" t="n"/>
      <c r="K1188" s="14" t="n"/>
      <c r="L1188" s="14" t="n"/>
      <c r="M1188" s="15">
        <f>IF(OR($B1188="",$K1188=""),"",($K1188-IF($L1188="",0,$L1188)*IFERROR(VLOOKUP("P01",ParamTbl,3,0),1.5))*(1-IF(IFERROR(VLOOKUP($E1188,OpTbl,3,0),"")="خرید",IFERROR(VLOOKUP("P02",ParamTbl,3,0),1),0)/100))</f>
        <v/>
      </c>
      <c r="N1188" s="14" t="n"/>
      <c r="O1188" s="13" t="n"/>
    </row>
    <row r="1189">
      <c r="A1189" s="11">
        <f>IF($B1189="","",COUNTA($B$9:$B1189))</f>
        <v/>
      </c>
      <c r="B1189" s="12" t="n"/>
      <c r="C1189" s="12" t="n"/>
      <c r="D1189" s="12" t="n"/>
      <c r="E1189" s="13" t="n"/>
      <c r="F1189" s="11">
        <f>IF($E1189="","",IFERROR(VLOOKUP($E1189,OpTbl,2,0),""))</f>
        <v/>
      </c>
      <c r="G1189" s="12" t="n"/>
      <c r="H1189" s="11">
        <f>IF($G1189="","",IFERROR(IF(VLOOKUP($G1189,AcctTbl,4,0)="","(بدون نام)",VLOOKUP($G1189,AcctTbl,4,0)),"کد ناشناخته"))</f>
        <v/>
      </c>
      <c r="I1189" s="13" t="n"/>
      <c r="J1189" s="13" t="n"/>
      <c r="K1189" s="14" t="n"/>
      <c r="L1189" s="14" t="n"/>
      <c r="M1189" s="15">
        <f>IF(OR($B1189="",$K1189=""),"",($K1189-IF($L1189="",0,$L1189)*IFERROR(VLOOKUP("P01",ParamTbl,3,0),1.5))*(1-IF(IFERROR(VLOOKUP($E1189,OpTbl,3,0),"")="خرید",IFERROR(VLOOKUP("P02",ParamTbl,3,0),1),0)/100))</f>
        <v/>
      </c>
      <c r="N1189" s="14" t="n"/>
      <c r="O1189" s="13" t="n"/>
    </row>
    <row r="1190">
      <c r="A1190" s="11">
        <f>IF($B1190="","",COUNTA($B$9:$B1190))</f>
        <v/>
      </c>
      <c r="B1190" s="12" t="n"/>
      <c r="C1190" s="12" t="n"/>
      <c r="D1190" s="12" t="n"/>
      <c r="E1190" s="13" t="n"/>
      <c r="F1190" s="11">
        <f>IF($E1190="","",IFERROR(VLOOKUP($E1190,OpTbl,2,0),""))</f>
        <v/>
      </c>
      <c r="G1190" s="12" t="n"/>
      <c r="H1190" s="11">
        <f>IF($G1190="","",IFERROR(IF(VLOOKUP($G1190,AcctTbl,4,0)="","(بدون نام)",VLOOKUP($G1190,AcctTbl,4,0)),"کد ناشناخته"))</f>
        <v/>
      </c>
      <c r="I1190" s="13" t="n"/>
      <c r="J1190" s="13" t="n"/>
      <c r="K1190" s="14" t="n"/>
      <c r="L1190" s="14" t="n"/>
      <c r="M1190" s="15">
        <f>IF(OR($B1190="",$K1190=""),"",($K1190-IF($L1190="",0,$L1190)*IFERROR(VLOOKUP("P01",ParamTbl,3,0),1.5))*(1-IF(IFERROR(VLOOKUP($E1190,OpTbl,3,0),"")="خرید",IFERROR(VLOOKUP("P02",ParamTbl,3,0),1),0)/100))</f>
        <v/>
      </c>
      <c r="N1190" s="14" t="n"/>
      <c r="O1190" s="13" t="n"/>
    </row>
    <row r="1191">
      <c r="A1191" s="11">
        <f>IF($B1191="","",COUNTA($B$9:$B1191))</f>
        <v/>
      </c>
      <c r="B1191" s="12" t="n"/>
      <c r="C1191" s="12" t="n"/>
      <c r="D1191" s="12" t="n"/>
      <c r="E1191" s="13" t="n"/>
      <c r="F1191" s="11">
        <f>IF($E1191="","",IFERROR(VLOOKUP($E1191,OpTbl,2,0),""))</f>
        <v/>
      </c>
      <c r="G1191" s="12" t="n"/>
      <c r="H1191" s="11">
        <f>IF($G1191="","",IFERROR(IF(VLOOKUP($G1191,AcctTbl,4,0)="","(بدون نام)",VLOOKUP($G1191,AcctTbl,4,0)),"کد ناشناخته"))</f>
        <v/>
      </c>
      <c r="I1191" s="13" t="n"/>
      <c r="J1191" s="13" t="n"/>
      <c r="K1191" s="14" t="n"/>
      <c r="L1191" s="14" t="n"/>
      <c r="M1191" s="15">
        <f>IF(OR($B1191="",$K1191=""),"",($K1191-IF($L1191="",0,$L1191)*IFERROR(VLOOKUP("P01",ParamTbl,3,0),1.5))*(1-IF(IFERROR(VLOOKUP($E1191,OpTbl,3,0),"")="خرید",IFERROR(VLOOKUP("P02",ParamTbl,3,0),1),0)/100))</f>
        <v/>
      </c>
      <c r="N1191" s="14" t="n"/>
      <c r="O1191" s="13" t="n"/>
    </row>
    <row r="1192">
      <c r="A1192" s="11">
        <f>IF($B1192="","",COUNTA($B$9:$B1192))</f>
        <v/>
      </c>
      <c r="B1192" s="12" t="n"/>
      <c r="C1192" s="12" t="n"/>
      <c r="D1192" s="12" t="n"/>
      <c r="E1192" s="13" t="n"/>
      <c r="F1192" s="11">
        <f>IF($E1192="","",IFERROR(VLOOKUP($E1192,OpTbl,2,0),""))</f>
        <v/>
      </c>
      <c r="G1192" s="12" t="n"/>
      <c r="H1192" s="11">
        <f>IF($G1192="","",IFERROR(IF(VLOOKUP($G1192,AcctTbl,4,0)="","(بدون نام)",VLOOKUP($G1192,AcctTbl,4,0)),"کد ناشناخته"))</f>
        <v/>
      </c>
      <c r="I1192" s="13" t="n"/>
      <c r="J1192" s="13" t="n"/>
      <c r="K1192" s="14" t="n"/>
      <c r="L1192" s="14" t="n"/>
      <c r="M1192" s="15">
        <f>IF(OR($B1192="",$K1192=""),"",($K1192-IF($L1192="",0,$L1192)*IFERROR(VLOOKUP("P01",ParamTbl,3,0),1.5))*(1-IF(IFERROR(VLOOKUP($E1192,OpTbl,3,0),"")="خرید",IFERROR(VLOOKUP("P02",ParamTbl,3,0),1),0)/100))</f>
        <v/>
      </c>
      <c r="N1192" s="14" t="n"/>
      <c r="O1192" s="13" t="n"/>
    </row>
    <row r="1193">
      <c r="A1193" s="11">
        <f>IF($B1193="","",COUNTA($B$9:$B1193))</f>
        <v/>
      </c>
      <c r="B1193" s="12" t="n"/>
      <c r="C1193" s="12" t="n"/>
      <c r="D1193" s="12" t="n"/>
      <c r="E1193" s="13" t="n"/>
      <c r="F1193" s="11">
        <f>IF($E1193="","",IFERROR(VLOOKUP($E1193,OpTbl,2,0),""))</f>
        <v/>
      </c>
      <c r="G1193" s="12" t="n"/>
      <c r="H1193" s="11">
        <f>IF($G1193="","",IFERROR(IF(VLOOKUP($G1193,AcctTbl,4,0)="","(بدون نام)",VLOOKUP($G1193,AcctTbl,4,0)),"کد ناشناخته"))</f>
        <v/>
      </c>
      <c r="I1193" s="13" t="n"/>
      <c r="J1193" s="13" t="n"/>
      <c r="K1193" s="14" t="n"/>
      <c r="L1193" s="14" t="n"/>
      <c r="M1193" s="15">
        <f>IF(OR($B1193="",$K1193=""),"",($K1193-IF($L1193="",0,$L1193)*IFERROR(VLOOKUP("P01",ParamTbl,3,0),1.5))*(1-IF(IFERROR(VLOOKUP($E1193,OpTbl,3,0),"")="خرید",IFERROR(VLOOKUP("P02",ParamTbl,3,0),1),0)/100))</f>
        <v/>
      </c>
      <c r="N1193" s="14" t="n"/>
      <c r="O1193" s="13" t="n"/>
    </row>
    <row r="1194">
      <c r="A1194" s="11">
        <f>IF($B1194="","",COUNTA($B$9:$B1194))</f>
        <v/>
      </c>
      <c r="B1194" s="12" t="n"/>
      <c r="C1194" s="12" t="n"/>
      <c r="D1194" s="12" t="n"/>
      <c r="E1194" s="13" t="n"/>
      <c r="F1194" s="11">
        <f>IF($E1194="","",IFERROR(VLOOKUP($E1194,OpTbl,2,0),""))</f>
        <v/>
      </c>
      <c r="G1194" s="12" t="n"/>
      <c r="H1194" s="11">
        <f>IF($G1194="","",IFERROR(IF(VLOOKUP($G1194,AcctTbl,4,0)="","(بدون نام)",VLOOKUP($G1194,AcctTbl,4,0)),"کد ناشناخته"))</f>
        <v/>
      </c>
      <c r="I1194" s="13" t="n"/>
      <c r="J1194" s="13" t="n"/>
      <c r="K1194" s="14" t="n"/>
      <c r="L1194" s="14" t="n"/>
      <c r="M1194" s="15">
        <f>IF(OR($B1194="",$K1194=""),"",($K1194-IF($L1194="",0,$L1194)*IFERROR(VLOOKUP("P01",ParamTbl,3,0),1.5))*(1-IF(IFERROR(VLOOKUP($E1194,OpTbl,3,0),"")="خرید",IFERROR(VLOOKUP("P02",ParamTbl,3,0),1),0)/100))</f>
        <v/>
      </c>
      <c r="N1194" s="14" t="n"/>
      <c r="O1194" s="13" t="n"/>
    </row>
    <row r="1195">
      <c r="A1195" s="11">
        <f>IF($B1195="","",COUNTA($B$9:$B1195))</f>
        <v/>
      </c>
      <c r="B1195" s="12" t="n"/>
      <c r="C1195" s="12" t="n"/>
      <c r="D1195" s="12" t="n"/>
      <c r="E1195" s="13" t="n"/>
      <c r="F1195" s="11">
        <f>IF($E1195="","",IFERROR(VLOOKUP($E1195,OpTbl,2,0),""))</f>
        <v/>
      </c>
      <c r="G1195" s="12" t="n"/>
      <c r="H1195" s="11">
        <f>IF($G1195="","",IFERROR(IF(VLOOKUP($G1195,AcctTbl,4,0)="","(بدون نام)",VLOOKUP($G1195,AcctTbl,4,0)),"کد ناشناخته"))</f>
        <v/>
      </c>
      <c r="I1195" s="13" t="n"/>
      <c r="J1195" s="13" t="n"/>
      <c r="K1195" s="14" t="n"/>
      <c r="L1195" s="14" t="n"/>
      <c r="M1195" s="15">
        <f>IF(OR($B1195="",$K1195=""),"",($K1195-IF($L1195="",0,$L1195)*IFERROR(VLOOKUP("P01",ParamTbl,3,0),1.5))*(1-IF(IFERROR(VLOOKUP($E1195,OpTbl,3,0),"")="خرید",IFERROR(VLOOKUP("P02",ParamTbl,3,0),1),0)/100))</f>
        <v/>
      </c>
      <c r="N1195" s="14" t="n"/>
      <c r="O1195" s="13" t="n"/>
    </row>
    <row r="1196">
      <c r="A1196" s="11">
        <f>IF($B1196="","",COUNTA($B$9:$B1196))</f>
        <v/>
      </c>
      <c r="B1196" s="12" t="n"/>
      <c r="C1196" s="12" t="n"/>
      <c r="D1196" s="12" t="n"/>
      <c r="E1196" s="13" t="n"/>
      <c r="F1196" s="11">
        <f>IF($E1196="","",IFERROR(VLOOKUP($E1196,OpTbl,2,0),""))</f>
        <v/>
      </c>
      <c r="G1196" s="12" t="n"/>
      <c r="H1196" s="11">
        <f>IF($G1196="","",IFERROR(IF(VLOOKUP($G1196,AcctTbl,4,0)="","(بدون نام)",VLOOKUP($G1196,AcctTbl,4,0)),"کد ناشناخته"))</f>
        <v/>
      </c>
      <c r="I1196" s="13" t="n"/>
      <c r="J1196" s="13" t="n"/>
      <c r="K1196" s="14" t="n"/>
      <c r="L1196" s="14" t="n"/>
      <c r="M1196" s="15">
        <f>IF(OR($B1196="",$K1196=""),"",($K1196-IF($L1196="",0,$L1196)*IFERROR(VLOOKUP("P01",ParamTbl,3,0),1.5))*(1-IF(IFERROR(VLOOKUP($E1196,OpTbl,3,0),"")="خرید",IFERROR(VLOOKUP("P02",ParamTbl,3,0),1),0)/100))</f>
        <v/>
      </c>
      <c r="N1196" s="14" t="n"/>
      <c r="O1196" s="13" t="n"/>
    </row>
    <row r="1197">
      <c r="A1197" s="11">
        <f>IF($B1197="","",COUNTA($B$9:$B1197))</f>
        <v/>
      </c>
      <c r="B1197" s="12" t="n"/>
      <c r="C1197" s="12" t="n"/>
      <c r="D1197" s="12" t="n"/>
      <c r="E1197" s="13" t="n"/>
      <c r="F1197" s="11">
        <f>IF($E1197="","",IFERROR(VLOOKUP($E1197,OpTbl,2,0),""))</f>
        <v/>
      </c>
      <c r="G1197" s="12" t="n"/>
      <c r="H1197" s="11">
        <f>IF($G1197="","",IFERROR(IF(VLOOKUP($G1197,AcctTbl,4,0)="","(بدون نام)",VLOOKUP($G1197,AcctTbl,4,0)),"کد ناشناخته"))</f>
        <v/>
      </c>
      <c r="I1197" s="13" t="n"/>
      <c r="J1197" s="13" t="n"/>
      <c r="K1197" s="14" t="n"/>
      <c r="L1197" s="14" t="n"/>
      <c r="M1197" s="15">
        <f>IF(OR($B1197="",$K1197=""),"",($K1197-IF($L1197="",0,$L1197)*IFERROR(VLOOKUP("P01",ParamTbl,3,0),1.5))*(1-IF(IFERROR(VLOOKUP($E1197,OpTbl,3,0),"")="خرید",IFERROR(VLOOKUP("P02",ParamTbl,3,0),1),0)/100))</f>
        <v/>
      </c>
      <c r="N1197" s="14" t="n"/>
      <c r="O1197" s="13" t="n"/>
    </row>
    <row r="1198">
      <c r="A1198" s="11">
        <f>IF($B1198="","",COUNTA($B$9:$B1198))</f>
        <v/>
      </c>
      <c r="B1198" s="12" t="n"/>
      <c r="C1198" s="12" t="n"/>
      <c r="D1198" s="12" t="n"/>
      <c r="E1198" s="13" t="n"/>
      <c r="F1198" s="11">
        <f>IF($E1198="","",IFERROR(VLOOKUP($E1198,OpTbl,2,0),""))</f>
        <v/>
      </c>
      <c r="G1198" s="12" t="n"/>
      <c r="H1198" s="11">
        <f>IF($G1198="","",IFERROR(IF(VLOOKUP($G1198,AcctTbl,4,0)="","(بدون نام)",VLOOKUP($G1198,AcctTbl,4,0)),"کد ناشناخته"))</f>
        <v/>
      </c>
      <c r="I1198" s="13" t="n"/>
      <c r="J1198" s="13" t="n"/>
      <c r="K1198" s="14" t="n"/>
      <c r="L1198" s="14" t="n"/>
      <c r="M1198" s="15">
        <f>IF(OR($B1198="",$K1198=""),"",($K1198-IF($L1198="",0,$L1198)*IFERROR(VLOOKUP("P01",ParamTbl,3,0),1.5))*(1-IF(IFERROR(VLOOKUP($E1198,OpTbl,3,0),"")="خرید",IFERROR(VLOOKUP("P02",ParamTbl,3,0),1),0)/100))</f>
        <v/>
      </c>
      <c r="N1198" s="14" t="n"/>
      <c r="O1198" s="13" t="n"/>
    </row>
    <row r="1199">
      <c r="A1199" s="11">
        <f>IF($B1199="","",COUNTA($B$9:$B1199))</f>
        <v/>
      </c>
      <c r="B1199" s="12" t="n"/>
      <c r="C1199" s="12" t="n"/>
      <c r="D1199" s="12" t="n"/>
      <c r="E1199" s="13" t="n"/>
      <c r="F1199" s="11">
        <f>IF($E1199="","",IFERROR(VLOOKUP($E1199,OpTbl,2,0),""))</f>
        <v/>
      </c>
      <c r="G1199" s="12" t="n"/>
      <c r="H1199" s="11">
        <f>IF($G1199="","",IFERROR(IF(VLOOKUP($G1199,AcctTbl,4,0)="","(بدون نام)",VLOOKUP($G1199,AcctTbl,4,0)),"کد ناشناخته"))</f>
        <v/>
      </c>
      <c r="I1199" s="13" t="n"/>
      <c r="J1199" s="13" t="n"/>
      <c r="K1199" s="14" t="n"/>
      <c r="L1199" s="14" t="n"/>
      <c r="M1199" s="15">
        <f>IF(OR($B1199="",$K1199=""),"",($K1199-IF($L1199="",0,$L1199)*IFERROR(VLOOKUP("P01",ParamTbl,3,0),1.5))*(1-IF(IFERROR(VLOOKUP($E1199,OpTbl,3,0),"")="خرید",IFERROR(VLOOKUP("P02",ParamTbl,3,0),1),0)/100))</f>
        <v/>
      </c>
      <c r="N1199" s="14" t="n"/>
      <c r="O1199" s="13" t="n"/>
    </row>
    <row r="1200">
      <c r="A1200" s="11">
        <f>IF($B1200="","",COUNTA($B$9:$B1200))</f>
        <v/>
      </c>
      <c r="B1200" s="12" t="n"/>
      <c r="C1200" s="12" t="n"/>
      <c r="D1200" s="12" t="n"/>
      <c r="E1200" s="13" t="n"/>
      <c r="F1200" s="11">
        <f>IF($E1200="","",IFERROR(VLOOKUP($E1200,OpTbl,2,0),""))</f>
        <v/>
      </c>
      <c r="G1200" s="12" t="n"/>
      <c r="H1200" s="11">
        <f>IF($G1200="","",IFERROR(IF(VLOOKUP($G1200,AcctTbl,4,0)="","(بدون نام)",VLOOKUP($G1200,AcctTbl,4,0)),"کد ناشناخته"))</f>
        <v/>
      </c>
      <c r="I1200" s="13" t="n"/>
      <c r="J1200" s="13" t="n"/>
      <c r="K1200" s="14" t="n"/>
      <c r="L1200" s="14" t="n"/>
      <c r="M1200" s="15">
        <f>IF(OR($B1200="",$K1200=""),"",($K1200-IF($L1200="",0,$L1200)*IFERROR(VLOOKUP("P01",ParamTbl,3,0),1.5))*(1-IF(IFERROR(VLOOKUP($E1200,OpTbl,3,0),"")="خرید",IFERROR(VLOOKUP("P02",ParamTbl,3,0),1),0)/100))</f>
        <v/>
      </c>
      <c r="N1200" s="14" t="n"/>
      <c r="O1200" s="13" t="n"/>
    </row>
    <row r="1201">
      <c r="A1201" s="11">
        <f>IF($B1201="","",COUNTA($B$9:$B1201))</f>
        <v/>
      </c>
      <c r="B1201" s="12" t="n"/>
      <c r="C1201" s="12" t="n"/>
      <c r="D1201" s="12" t="n"/>
      <c r="E1201" s="13" t="n"/>
      <c r="F1201" s="11">
        <f>IF($E1201="","",IFERROR(VLOOKUP($E1201,OpTbl,2,0),""))</f>
        <v/>
      </c>
      <c r="G1201" s="12" t="n"/>
      <c r="H1201" s="11">
        <f>IF($G1201="","",IFERROR(IF(VLOOKUP($G1201,AcctTbl,4,0)="","(بدون نام)",VLOOKUP($G1201,AcctTbl,4,0)),"کد ناشناخته"))</f>
        <v/>
      </c>
      <c r="I1201" s="13" t="n"/>
      <c r="J1201" s="13" t="n"/>
      <c r="K1201" s="14" t="n"/>
      <c r="L1201" s="14" t="n"/>
      <c r="M1201" s="15">
        <f>IF(OR($B1201="",$K1201=""),"",($K1201-IF($L1201="",0,$L1201)*IFERROR(VLOOKUP("P01",ParamTbl,3,0),1.5))*(1-IF(IFERROR(VLOOKUP($E1201,OpTbl,3,0),"")="خرید",IFERROR(VLOOKUP("P02",ParamTbl,3,0),1),0)/100))</f>
        <v/>
      </c>
      <c r="N1201" s="14" t="n"/>
      <c r="O1201" s="13" t="n"/>
    </row>
    <row r="1202">
      <c r="A1202" s="11">
        <f>IF($B1202="","",COUNTA($B$9:$B1202))</f>
        <v/>
      </c>
      <c r="B1202" s="12" t="n"/>
      <c r="C1202" s="12" t="n"/>
      <c r="D1202" s="12" t="n"/>
      <c r="E1202" s="13" t="n"/>
      <c r="F1202" s="11">
        <f>IF($E1202="","",IFERROR(VLOOKUP($E1202,OpTbl,2,0),""))</f>
        <v/>
      </c>
      <c r="G1202" s="12" t="n"/>
      <c r="H1202" s="11">
        <f>IF($G1202="","",IFERROR(IF(VLOOKUP($G1202,AcctTbl,4,0)="","(بدون نام)",VLOOKUP($G1202,AcctTbl,4,0)),"کد ناشناخته"))</f>
        <v/>
      </c>
      <c r="I1202" s="13" t="n"/>
      <c r="J1202" s="13" t="n"/>
      <c r="K1202" s="14" t="n"/>
      <c r="L1202" s="14" t="n"/>
      <c r="M1202" s="15">
        <f>IF(OR($B1202="",$K1202=""),"",($K1202-IF($L1202="",0,$L1202)*IFERROR(VLOOKUP("P01",ParamTbl,3,0),1.5))*(1-IF(IFERROR(VLOOKUP($E1202,OpTbl,3,0),"")="خرید",IFERROR(VLOOKUP("P02",ParamTbl,3,0),1),0)/100))</f>
        <v/>
      </c>
      <c r="N1202" s="14" t="n"/>
      <c r="O1202" s="13" t="n"/>
    </row>
    <row r="1203">
      <c r="A1203" s="11">
        <f>IF($B1203="","",COUNTA($B$9:$B1203))</f>
        <v/>
      </c>
      <c r="B1203" s="12" t="n"/>
      <c r="C1203" s="12" t="n"/>
      <c r="D1203" s="12" t="n"/>
      <c r="E1203" s="13" t="n"/>
      <c r="F1203" s="11">
        <f>IF($E1203="","",IFERROR(VLOOKUP($E1203,OpTbl,2,0),""))</f>
        <v/>
      </c>
      <c r="G1203" s="12" t="n"/>
      <c r="H1203" s="11">
        <f>IF($G1203="","",IFERROR(IF(VLOOKUP($G1203,AcctTbl,4,0)="","(بدون نام)",VLOOKUP($G1203,AcctTbl,4,0)),"کد ناشناخته"))</f>
        <v/>
      </c>
      <c r="I1203" s="13" t="n"/>
      <c r="J1203" s="13" t="n"/>
      <c r="K1203" s="14" t="n"/>
      <c r="L1203" s="14" t="n"/>
      <c r="M1203" s="15">
        <f>IF(OR($B1203="",$K1203=""),"",($K1203-IF($L1203="",0,$L1203)*IFERROR(VLOOKUP("P01",ParamTbl,3,0),1.5))*(1-IF(IFERROR(VLOOKUP($E1203,OpTbl,3,0),"")="خرید",IFERROR(VLOOKUP("P02",ParamTbl,3,0),1),0)/100))</f>
        <v/>
      </c>
      <c r="N1203" s="14" t="n"/>
      <c r="O1203" s="13" t="n"/>
    </row>
    <row r="1204">
      <c r="A1204" s="11">
        <f>IF($B1204="","",COUNTA($B$9:$B1204))</f>
        <v/>
      </c>
      <c r="B1204" s="12" t="n"/>
      <c r="C1204" s="12" t="n"/>
      <c r="D1204" s="12" t="n"/>
      <c r="E1204" s="13" t="n"/>
      <c r="F1204" s="11">
        <f>IF($E1204="","",IFERROR(VLOOKUP($E1204,OpTbl,2,0),""))</f>
        <v/>
      </c>
      <c r="G1204" s="12" t="n"/>
      <c r="H1204" s="11">
        <f>IF($G1204="","",IFERROR(IF(VLOOKUP($G1204,AcctTbl,4,0)="","(بدون نام)",VLOOKUP($G1204,AcctTbl,4,0)),"کد ناشناخته"))</f>
        <v/>
      </c>
      <c r="I1204" s="13" t="n"/>
      <c r="J1204" s="13" t="n"/>
      <c r="K1204" s="14" t="n"/>
      <c r="L1204" s="14" t="n"/>
      <c r="M1204" s="15">
        <f>IF(OR($B1204="",$K1204=""),"",($K1204-IF($L1204="",0,$L1204)*IFERROR(VLOOKUP("P01",ParamTbl,3,0),1.5))*(1-IF(IFERROR(VLOOKUP($E1204,OpTbl,3,0),"")="خرید",IFERROR(VLOOKUP("P02",ParamTbl,3,0),1),0)/100))</f>
        <v/>
      </c>
      <c r="N1204" s="14" t="n"/>
      <c r="O1204" s="13" t="n"/>
    </row>
    <row r="1205">
      <c r="A1205" s="11">
        <f>IF($B1205="","",COUNTA($B$9:$B1205))</f>
        <v/>
      </c>
      <c r="B1205" s="12" t="n"/>
      <c r="C1205" s="12" t="n"/>
      <c r="D1205" s="12" t="n"/>
      <c r="E1205" s="13" t="n"/>
      <c r="F1205" s="11">
        <f>IF($E1205="","",IFERROR(VLOOKUP($E1205,OpTbl,2,0),""))</f>
        <v/>
      </c>
      <c r="G1205" s="12" t="n"/>
      <c r="H1205" s="11">
        <f>IF($G1205="","",IFERROR(IF(VLOOKUP($G1205,AcctTbl,4,0)="","(بدون نام)",VLOOKUP($G1205,AcctTbl,4,0)),"کد ناشناخته"))</f>
        <v/>
      </c>
      <c r="I1205" s="13" t="n"/>
      <c r="J1205" s="13" t="n"/>
      <c r="K1205" s="14" t="n"/>
      <c r="L1205" s="14" t="n"/>
      <c r="M1205" s="15">
        <f>IF(OR($B1205="",$K1205=""),"",($K1205-IF($L1205="",0,$L1205)*IFERROR(VLOOKUP("P01",ParamTbl,3,0),1.5))*(1-IF(IFERROR(VLOOKUP($E1205,OpTbl,3,0),"")="خرید",IFERROR(VLOOKUP("P02",ParamTbl,3,0),1),0)/100))</f>
        <v/>
      </c>
      <c r="N1205" s="14" t="n"/>
      <c r="O1205" s="13" t="n"/>
    </row>
    <row r="1206">
      <c r="A1206" s="11">
        <f>IF($B1206="","",COUNTA($B$9:$B1206))</f>
        <v/>
      </c>
      <c r="B1206" s="12" t="n"/>
      <c r="C1206" s="12" t="n"/>
      <c r="D1206" s="12" t="n"/>
      <c r="E1206" s="13" t="n"/>
      <c r="F1206" s="11">
        <f>IF($E1206="","",IFERROR(VLOOKUP($E1206,OpTbl,2,0),""))</f>
        <v/>
      </c>
      <c r="G1206" s="12" t="n"/>
      <c r="H1206" s="11">
        <f>IF($G1206="","",IFERROR(IF(VLOOKUP($G1206,AcctTbl,4,0)="","(بدون نام)",VLOOKUP($G1206,AcctTbl,4,0)),"کد ناشناخته"))</f>
        <v/>
      </c>
      <c r="I1206" s="13" t="n"/>
      <c r="J1206" s="13" t="n"/>
      <c r="K1206" s="14" t="n"/>
      <c r="L1206" s="14" t="n"/>
      <c r="M1206" s="15">
        <f>IF(OR($B1206="",$K1206=""),"",($K1206-IF($L1206="",0,$L1206)*IFERROR(VLOOKUP("P01",ParamTbl,3,0),1.5))*(1-IF(IFERROR(VLOOKUP($E1206,OpTbl,3,0),"")="خرید",IFERROR(VLOOKUP("P02",ParamTbl,3,0),1),0)/100))</f>
        <v/>
      </c>
      <c r="N1206" s="14" t="n"/>
      <c r="O1206" s="13" t="n"/>
    </row>
    <row r="1207">
      <c r="A1207" s="11">
        <f>IF($B1207="","",COUNTA($B$9:$B1207))</f>
        <v/>
      </c>
      <c r="B1207" s="12" t="n"/>
      <c r="C1207" s="12" t="n"/>
      <c r="D1207" s="12" t="n"/>
      <c r="E1207" s="13" t="n"/>
      <c r="F1207" s="11">
        <f>IF($E1207="","",IFERROR(VLOOKUP($E1207,OpTbl,2,0),""))</f>
        <v/>
      </c>
      <c r="G1207" s="12" t="n"/>
      <c r="H1207" s="11">
        <f>IF($G1207="","",IFERROR(IF(VLOOKUP($G1207,AcctTbl,4,0)="","(بدون نام)",VLOOKUP($G1207,AcctTbl,4,0)),"کد ناشناخته"))</f>
        <v/>
      </c>
      <c r="I1207" s="13" t="n"/>
      <c r="J1207" s="13" t="n"/>
      <c r="K1207" s="14" t="n"/>
      <c r="L1207" s="14" t="n"/>
      <c r="M1207" s="15">
        <f>IF(OR($B1207="",$K1207=""),"",($K1207-IF($L1207="",0,$L1207)*IFERROR(VLOOKUP("P01",ParamTbl,3,0),1.5))*(1-IF(IFERROR(VLOOKUP($E1207,OpTbl,3,0),"")="خرید",IFERROR(VLOOKUP("P02",ParamTbl,3,0),1),0)/100))</f>
        <v/>
      </c>
      <c r="N1207" s="14" t="n"/>
      <c r="O1207" s="13" t="n"/>
    </row>
    <row r="1208">
      <c r="A1208" s="11">
        <f>IF($B1208="","",COUNTA($B$9:$B1208))</f>
        <v/>
      </c>
      <c r="B1208" s="12" t="n"/>
      <c r="C1208" s="12" t="n"/>
      <c r="D1208" s="12" t="n"/>
      <c r="E1208" s="13" t="n"/>
      <c r="F1208" s="11">
        <f>IF($E1208="","",IFERROR(VLOOKUP($E1208,OpTbl,2,0),""))</f>
        <v/>
      </c>
      <c r="G1208" s="12" t="n"/>
      <c r="H1208" s="11">
        <f>IF($G1208="","",IFERROR(IF(VLOOKUP($G1208,AcctTbl,4,0)="","(بدون نام)",VLOOKUP($G1208,AcctTbl,4,0)),"کد ناشناخته"))</f>
        <v/>
      </c>
      <c r="I1208" s="13" t="n"/>
      <c r="J1208" s="13" t="n"/>
      <c r="K1208" s="14" t="n"/>
      <c r="L1208" s="14" t="n"/>
      <c r="M1208" s="15">
        <f>IF(OR($B1208="",$K1208=""),"",($K1208-IF($L1208="",0,$L1208)*IFERROR(VLOOKUP("P01",ParamTbl,3,0),1.5))*(1-IF(IFERROR(VLOOKUP($E1208,OpTbl,3,0),"")="خرید",IFERROR(VLOOKUP("P02",ParamTbl,3,0),1),0)/100))</f>
        <v/>
      </c>
      <c r="N1208" s="14" t="n"/>
      <c r="O1208" s="13" t="n"/>
    </row>
    <row r="1209">
      <c r="A1209" s="11">
        <f>IF($B1209="","",COUNTA($B$9:$B1209))</f>
        <v/>
      </c>
      <c r="B1209" s="12" t="n"/>
      <c r="C1209" s="12" t="n"/>
      <c r="D1209" s="12" t="n"/>
      <c r="E1209" s="13" t="n"/>
      <c r="F1209" s="11">
        <f>IF($E1209="","",IFERROR(VLOOKUP($E1209,OpTbl,2,0),""))</f>
        <v/>
      </c>
      <c r="G1209" s="12" t="n"/>
      <c r="H1209" s="11">
        <f>IF($G1209="","",IFERROR(IF(VLOOKUP($G1209,AcctTbl,4,0)="","(بدون نام)",VLOOKUP($G1209,AcctTbl,4,0)),"کد ناشناخته"))</f>
        <v/>
      </c>
      <c r="I1209" s="13" t="n"/>
      <c r="J1209" s="13" t="n"/>
      <c r="K1209" s="14" t="n"/>
      <c r="L1209" s="14" t="n"/>
      <c r="M1209" s="15">
        <f>IF(OR($B1209="",$K1209=""),"",($K1209-IF($L1209="",0,$L1209)*IFERROR(VLOOKUP("P01",ParamTbl,3,0),1.5))*(1-IF(IFERROR(VLOOKUP($E1209,OpTbl,3,0),"")="خرید",IFERROR(VLOOKUP("P02",ParamTbl,3,0),1),0)/100))</f>
        <v/>
      </c>
      <c r="N1209" s="14" t="n"/>
      <c r="O1209" s="13" t="n"/>
    </row>
    <row r="1210">
      <c r="A1210" s="11">
        <f>IF($B1210="","",COUNTA($B$9:$B1210))</f>
        <v/>
      </c>
      <c r="B1210" s="12" t="n"/>
      <c r="C1210" s="12" t="n"/>
      <c r="D1210" s="12" t="n"/>
      <c r="E1210" s="13" t="n"/>
      <c r="F1210" s="11">
        <f>IF($E1210="","",IFERROR(VLOOKUP($E1210,OpTbl,2,0),""))</f>
        <v/>
      </c>
      <c r="G1210" s="12" t="n"/>
      <c r="H1210" s="11">
        <f>IF($G1210="","",IFERROR(IF(VLOOKUP($G1210,AcctTbl,4,0)="","(بدون نام)",VLOOKUP($G1210,AcctTbl,4,0)),"کد ناشناخته"))</f>
        <v/>
      </c>
      <c r="I1210" s="13" t="n"/>
      <c r="J1210" s="13" t="n"/>
      <c r="K1210" s="14" t="n"/>
      <c r="L1210" s="14" t="n"/>
      <c r="M1210" s="15">
        <f>IF(OR($B1210="",$K1210=""),"",($K1210-IF($L1210="",0,$L1210)*IFERROR(VLOOKUP("P01",ParamTbl,3,0),1.5))*(1-IF(IFERROR(VLOOKUP($E1210,OpTbl,3,0),"")="خرید",IFERROR(VLOOKUP("P02",ParamTbl,3,0),1),0)/100))</f>
        <v/>
      </c>
      <c r="N1210" s="14" t="n"/>
      <c r="O1210" s="13" t="n"/>
    </row>
    <row r="1211">
      <c r="A1211" s="11">
        <f>IF($B1211="","",COUNTA($B$9:$B1211))</f>
        <v/>
      </c>
      <c r="B1211" s="12" t="n"/>
      <c r="C1211" s="12" t="n"/>
      <c r="D1211" s="12" t="n"/>
      <c r="E1211" s="13" t="n"/>
      <c r="F1211" s="11">
        <f>IF($E1211="","",IFERROR(VLOOKUP($E1211,OpTbl,2,0),""))</f>
        <v/>
      </c>
      <c r="G1211" s="12" t="n"/>
      <c r="H1211" s="11">
        <f>IF($G1211="","",IFERROR(IF(VLOOKUP($G1211,AcctTbl,4,0)="","(بدون نام)",VLOOKUP($G1211,AcctTbl,4,0)),"کد ناشناخته"))</f>
        <v/>
      </c>
      <c r="I1211" s="13" t="n"/>
      <c r="J1211" s="13" t="n"/>
      <c r="K1211" s="14" t="n"/>
      <c r="L1211" s="14" t="n"/>
      <c r="M1211" s="15">
        <f>IF(OR($B1211="",$K1211=""),"",($K1211-IF($L1211="",0,$L1211)*IFERROR(VLOOKUP("P01",ParamTbl,3,0),1.5))*(1-IF(IFERROR(VLOOKUP($E1211,OpTbl,3,0),"")="خرید",IFERROR(VLOOKUP("P02",ParamTbl,3,0),1),0)/100))</f>
        <v/>
      </c>
      <c r="N1211" s="14" t="n"/>
      <c r="O1211" s="13" t="n"/>
    </row>
    <row r="1212">
      <c r="A1212" s="11">
        <f>IF($B1212="","",COUNTA($B$9:$B1212))</f>
        <v/>
      </c>
      <c r="B1212" s="12" t="n"/>
      <c r="C1212" s="12" t="n"/>
      <c r="D1212" s="12" t="n"/>
      <c r="E1212" s="13" t="n"/>
      <c r="F1212" s="11">
        <f>IF($E1212="","",IFERROR(VLOOKUP($E1212,OpTbl,2,0),""))</f>
        <v/>
      </c>
      <c r="G1212" s="12" t="n"/>
      <c r="H1212" s="11">
        <f>IF($G1212="","",IFERROR(IF(VLOOKUP($G1212,AcctTbl,4,0)="","(بدون نام)",VLOOKUP($G1212,AcctTbl,4,0)),"کد ناشناخته"))</f>
        <v/>
      </c>
      <c r="I1212" s="13" t="n"/>
      <c r="J1212" s="13" t="n"/>
      <c r="K1212" s="14" t="n"/>
      <c r="L1212" s="14" t="n"/>
      <c r="M1212" s="15">
        <f>IF(OR($B1212="",$K1212=""),"",($K1212-IF($L1212="",0,$L1212)*IFERROR(VLOOKUP("P01",ParamTbl,3,0),1.5))*(1-IF(IFERROR(VLOOKUP($E1212,OpTbl,3,0),"")="خرید",IFERROR(VLOOKUP("P02",ParamTbl,3,0),1),0)/100))</f>
        <v/>
      </c>
      <c r="N1212" s="14" t="n"/>
      <c r="O1212" s="13" t="n"/>
    </row>
    <row r="1213">
      <c r="A1213" s="11">
        <f>IF($B1213="","",COUNTA($B$9:$B1213))</f>
        <v/>
      </c>
      <c r="B1213" s="12" t="n"/>
      <c r="C1213" s="12" t="n"/>
      <c r="D1213" s="12" t="n"/>
      <c r="E1213" s="13" t="n"/>
      <c r="F1213" s="11">
        <f>IF($E1213="","",IFERROR(VLOOKUP($E1213,OpTbl,2,0),""))</f>
        <v/>
      </c>
      <c r="G1213" s="12" t="n"/>
      <c r="H1213" s="11">
        <f>IF($G1213="","",IFERROR(IF(VLOOKUP($G1213,AcctTbl,4,0)="","(بدون نام)",VLOOKUP($G1213,AcctTbl,4,0)),"کد ناشناخته"))</f>
        <v/>
      </c>
      <c r="I1213" s="13" t="n"/>
      <c r="J1213" s="13" t="n"/>
      <c r="K1213" s="14" t="n"/>
      <c r="L1213" s="14" t="n"/>
      <c r="M1213" s="15">
        <f>IF(OR($B1213="",$K1213=""),"",($K1213-IF($L1213="",0,$L1213)*IFERROR(VLOOKUP("P01",ParamTbl,3,0),1.5))*(1-IF(IFERROR(VLOOKUP($E1213,OpTbl,3,0),"")="خرید",IFERROR(VLOOKUP("P02",ParamTbl,3,0),1),0)/100))</f>
        <v/>
      </c>
      <c r="N1213" s="14" t="n"/>
      <c r="O1213" s="13" t="n"/>
    </row>
    <row r="1214">
      <c r="A1214" s="11">
        <f>IF($B1214="","",COUNTA($B$9:$B1214))</f>
        <v/>
      </c>
      <c r="B1214" s="12" t="n"/>
      <c r="C1214" s="12" t="n"/>
      <c r="D1214" s="12" t="n"/>
      <c r="E1214" s="13" t="n"/>
      <c r="F1214" s="11">
        <f>IF($E1214="","",IFERROR(VLOOKUP($E1214,OpTbl,2,0),""))</f>
        <v/>
      </c>
      <c r="G1214" s="12" t="n"/>
      <c r="H1214" s="11">
        <f>IF($G1214="","",IFERROR(IF(VLOOKUP($G1214,AcctTbl,4,0)="","(بدون نام)",VLOOKUP($G1214,AcctTbl,4,0)),"کد ناشناخته"))</f>
        <v/>
      </c>
      <c r="I1214" s="13" t="n"/>
      <c r="J1214" s="13" t="n"/>
      <c r="K1214" s="14" t="n"/>
      <c r="L1214" s="14" t="n"/>
      <c r="M1214" s="15">
        <f>IF(OR($B1214="",$K1214=""),"",($K1214-IF($L1214="",0,$L1214)*IFERROR(VLOOKUP("P01",ParamTbl,3,0),1.5))*(1-IF(IFERROR(VLOOKUP($E1214,OpTbl,3,0),"")="خرید",IFERROR(VLOOKUP("P02",ParamTbl,3,0),1),0)/100))</f>
        <v/>
      </c>
      <c r="N1214" s="14" t="n"/>
      <c r="O1214" s="13" t="n"/>
    </row>
    <row r="1215">
      <c r="A1215" s="11">
        <f>IF($B1215="","",COUNTA($B$9:$B1215))</f>
        <v/>
      </c>
      <c r="B1215" s="12" t="n"/>
      <c r="C1215" s="12" t="n"/>
      <c r="D1215" s="12" t="n"/>
      <c r="E1215" s="13" t="n"/>
      <c r="F1215" s="11">
        <f>IF($E1215="","",IFERROR(VLOOKUP($E1215,OpTbl,2,0),""))</f>
        <v/>
      </c>
      <c r="G1215" s="12" t="n"/>
      <c r="H1215" s="11">
        <f>IF($G1215="","",IFERROR(IF(VLOOKUP($G1215,AcctTbl,4,0)="","(بدون نام)",VLOOKUP($G1215,AcctTbl,4,0)),"کد ناشناخته"))</f>
        <v/>
      </c>
      <c r="I1215" s="13" t="n"/>
      <c r="J1215" s="13" t="n"/>
      <c r="K1215" s="14" t="n"/>
      <c r="L1215" s="14" t="n"/>
      <c r="M1215" s="15">
        <f>IF(OR($B1215="",$K1215=""),"",($K1215-IF($L1215="",0,$L1215)*IFERROR(VLOOKUP("P01",ParamTbl,3,0),1.5))*(1-IF(IFERROR(VLOOKUP($E1215,OpTbl,3,0),"")="خرید",IFERROR(VLOOKUP("P02",ParamTbl,3,0),1),0)/100))</f>
        <v/>
      </c>
      <c r="N1215" s="14" t="n"/>
      <c r="O1215" s="13" t="n"/>
    </row>
    <row r="1216">
      <c r="A1216" s="11">
        <f>IF($B1216="","",COUNTA($B$9:$B1216))</f>
        <v/>
      </c>
      <c r="B1216" s="12" t="n"/>
      <c r="C1216" s="12" t="n"/>
      <c r="D1216" s="12" t="n"/>
      <c r="E1216" s="13" t="n"/>
      <c r="F1216" s="11">
        <f>IF($E1216="","",IFERROR(VLOOKUP($E1216,OpTbl,2,0),""))</f>
        <v/>
      </c>
      <c r="G1216" s="12" t="n"/>
      <c r="H1216" s="11">
        <f>IF($G1216="","",IFERROR(IF(VLOOKUP($G1216,AcctTbl,4,0)="","(بدون نام)",VLOOKUP($G1216,AcctTbl,4,0)),"کد ناشناخته"))</f>
        <v/>
      </c>
      <c r="I1216" s="13" t="n"/>
      <c r="J1216" s="13" t="n"/>
      <c r="K1216" s="14" t="n"/>
      <c r="L1216" s="14" t="n"/>
      <c r="M1216" s="15">
        <f>IF(OR($B1216="",$K1216=""),"",($K1216-IF($L1216="",0,$L1216)*IFERROR(VLOOKUP("P01",ParamTbl,3,0),1.5))*(1-IF(IFERROR(VLOOKUP($E1216,OpTbl,3,0),"")="خرید",IFERROR(VLOOKUP("P02",ParamTbl,3,0),1),0)/100))</f>
        <v/>
      </c>
      <c r="N1216" s="14" t="n"/>
      <c r="O1216" s="13" t="n"/>
    </row>
    <row r="1217">
      <c r="A1217" s="11">
        <f>IF($B1217="","",COUNTA($B$9:$B1217))</f>
        <v/>
      </c>
      <c r="B1217" s="12" t="n"/>
      <c r="C1217" s="12" t="n"/>
      <c r="D1217" s="12" t="n"/>
      <c r="E1217" s="13" t="n"/>
      <c r="F1217" s="11">
        <f>IF($E1217="","",IFERROR(VLOOKUP($E1217,OpTbl,2,0),""))</f>
        <v/>
      </c>
      <c r="G1217" s="12" t="n"/>
      <c r="H1217" s="11">
        <f>IF($G1217="","",IFERROR(IF(VLOOKUP($G1217,AcctTbl,4,0)="","(بدون نام)",VLOOKUP($G1217,AcctTbl,4,0)),"کد ناشناخته"))</f>
        <v/>
      </c>
      <c r="I1217" s="13" t="n"/>
      <c r="J1217" s="13" t="n"/>
      <c r="K1217" s="14" t="n"/>
      <c r="L1217" s="14" t="n"/>
      <c r="M1217" s="15">
        <f>IF(OR($B1217="",$K1217=""),"",($K1217-IF($L1217="",0,$L1217)*IFERROR(VLOOKUP("P01",ParamTbl,3,0),1.5))*(1-IF(IFERROR(VLOOKUP($E1217,OpTbl,3,0),"")="خرید",IFERROR(VLOOKUP("P02",ParamTbl,3,0),1),0)/100))</f>
        <v/>
      </c>
      <c r="N1217" s="14" t="n"/>
      <c r="O1217" s="13" t="n"/>
    </row>
    <row r="1218">
      <c r="A1218" s="11">
        <f>IF($B1218="","",COUNTA($B$9:$B1218))</f>
        <v/>
      </c>
      <c r="B1218" s="12" t="n"/>
      <c r="C1218" s="12" t="n"/>
      <c r="D1218" s="12" t="n"/>
      <c r="E1218" s="13" t="n"/>
      <c r="F1218" s="11">
        <f>IF($E1218="","",IFERROR(VLOOKUP($E1218,OpTbl,2,0),""))</f>
        <v/>
      </c>
      <c r="G1218" s="12" t="n"/>
      <c r="H1218" s="11">
        <f>IF($G1218="","",IFERROR(IF(VLOOKUP($G1218,AcctTbl,4,0)="","(بدون نام)",VLOOKUP($G1218,AcctTbl,4,0)),"کد ناشناخته"))</f>
        <v/>
      </c>
      <c r="I1218" s="13" t="n"/>
      <c r="J1218" s="13" t="n"/>
      <c r="K1218" s="14" t="n"/>
      <c r="L1218" s="14" t="n"/>
      <c r="M1218" s="15">
        <f>IF(OR($B1218="",$K1218=""),"",($K1218-IF($L1218="",0,$L1218)*IFERROR(VLOOKUP("P01",ParamTbl,3,0),1.5))*(1-IF(IFERROR(VLOOKUP($E1218,OpTbl,3,0),"")="خرید",IFERROR(VLOOKUP("P02",ParamTbl,3,0),1),0)/100))</f>
        <v/>
      </c>
      <c r="N1218" s="14" t="n"/>
      <c r="O1218" s="13" t="n"/>
    </row>
    <row r="1219">
      <c r="A1219" s="11">
        <f>IF($B1219="","",COUNTA($B$9:$B1219))</f>
        <v/>
      </c>
      <c r="B1219" s="12" t="n"/>
      <c r="C1219" s="12" t="n"/>
      <c r="D1219" s="12" t="n"/>
      <c r="E1219" s="13" t="n"/>
      <c r="F1219" s="11">
        <f>IF($E1219="","",IFERROR(VLOOKUP($E1219,OpTbl,2,0),""))</f>
        <v/>
      </c>
      <c r="G1219" s="12" t="n"/>
      <c r="H1219" s="11">
        <f>IF($G1219="","",IFERROR(IF(VLOOKUP($G1219,AcctTbl,4,0)="","(بدون نام)",VLOOKUP($G1219,AcctTbl,4,0)),"کد ناشناخته"))</f>
        <v/>
      </c>
      <c r="I1219" s="13" t="n"/>
      <c r="J1219" s="13" t="n"/>
      <c r="K1219" s="14" t="n"/>
      <c r="L1219" s="14" t="n"/>
      <c r="M1219" s="15">
        <f>IF(OR($B1219="",$K1219=""),"",($K1219-IF($L1219="",0,$L1219)*IFERROR(VLOOKUP("P01",ParamTbl,3,0),1.5))*(1-IF(IFERROR(VLOOKUP($E1219,OpTbl,3,0),"")="خرید",IFERROR(VLOOKUP("P02",ParamTbl,3,0),1),0)/100))</f>
        <v/>
      </c>
      <c r="N1219" s="14" t="n"/>
      <c r="O1219" s="13" t="n"/>
    </row>
    <row r="1220">
      <c r="A1220" s="11">
        <f>IF($B1220="","",COUNTA($B$9:$B1220))</f>
        <v/>
      </c>
      <c r="B1220" s="12" t="n"/>
      <c r="C1220" s="12" t="n"/>
      <c r="D1220" s="12" t="n"/>
      <c r="E1220" s="13" t="n"/>
      <c r="F1220" s="11">
        <f>IF($E1220="","",IFERROR(VLOOKUP($E1220,OpTbl,2,0),""))</f>
        <v/>
      </c>
      <c r="G1220" s="12" t="n"/>
      <c r="H1220" s="11">
        <f>IF($G1220="","",IFERROR(IF(VLOOKUP($G1220,AcctTbl,4,0)="","(بدون نام)",VLOOKUP($G1220,AcctTbl,4,0)),"کد ناشناخته"))</f>
        <v/>
      </c>
      <c r="I1220" s="13" t="n"/>
      <c r="J1220" s="13" t="n"/>
      <c r="K1220" s="14" t="n"/>
      <c r="L1220" s="14" t="n"/>
      <c r="M1220" s="15">
        <f>IF(OR($B1220="",$K1220=""),"",($K1220-IF($L1220="",0,$L1220)*IFERROR(VLOOKUP("P01",ParamTbl,3,0),1.5))*(1-IF(IFERROR(VLOOKUP($E1220,OpTbl,3,0),"")="خرید",IFERROR(VLOOKUP("P02",ParamTbl,3,0),1),0)/100))</f>
        <v/>
      </c>
      <c r="N1220" s="14" t="n"/>
      <c r="O1220" s="13" t="n"/>
    </row>
    <row r="1221">
      <c r="A1221" s="11">
        <f>IF($B1221="","",COUNTA($B$9:$B1221))</f>
        <v/>
      </c>
      <c r="B1221" s="12" t="n"/>
      <c r="C1221" s="12" t="n"/>
      <c r="D1221" s="12" t="n"/>
      <c r="E1221" s="13" t="n"/>
      <c r="F1221" s="11">
        <f>IF($E1221="","",IFERROR(VLOOKUP($E1221,OpTbl,2,0),""))</f>
        <v/>
      </c>
      <c r="G1221" s="12" t="n"/>
      <c r="H1221" s="11">
        <f>IF($G1221="","",IFERROR(IF(VLOOKUP($G1221,AcctTbl,4,0)="","(بدون نام)",VLOOKUP($G1221,AcctTbl,4,0)),"کد ناشناخته"))</f>
        <v/>
      </c>
      <c r="I1221" s="13" t="n"/>
      <c r="J1221" s="13" t="n"/>
      <c r="K1221" s="14" t="n"/>
      <c r="L1221" s="14" t="n"/>
      <c r="M1221" s="15">
        <f>IF(OR($B1221="",$K1221=""),"",($K1221-IF($L1221="",0,$L1221)*IFERROR(VLOOKUP("P01",ParamTbl,3,0),1.5))*(1-IF(IFERROR(VLOOKUP($E1221,OpTbl,3,0),"")="خرید",IFERROR(VLOOKUP("P02",ParamTbl,3,0),1),0)/100))</f>
        <v/>
      </c>
      <c r="N1221" s="14" t="n"/>
      <c r="O1221" s="13" t="n"/>
    </row>
    <row r="1222">
      <c r="A1222" s="11">
        <f>IF($B1222="","",COUNTA($B$9:$B1222))</f>
        <v/>
      </c>
      <c r="B1222" s="12" t="n"/>
      <c r="C1222" s="12" t="n"/>
      <c r="D1222" s="12" t="n"/>
      <c r="E1222" s="13" t="n"/>
      <c r="F1222" s="11">
        <f>IF($E1222="","",IFERROR(VLOOKUP($E1222,OpTbl,2,0),""))</f>
        <v/>
      </c>
      <c r="G1222" s="12" t="n"/>
      <c r="H1222" s="11">
        <f>IF($G1222="","",IFERROR(IF(VLOOKUP($G1222,AcctTbl,4,0)="","(بدون نام)",VLOOKUP($G1222,AcctTbl,4,0)),"کد ناشناخته"))</f>
        <v/>
      </c>
      <c r="I1222" s="13" t="n"/>
      <c r="J1222" s="13" t="n"/>
      <c r="K1222" s="14" t="n"/>
      <c r="L1222" s="14" t="n"/>
      <c r="M1222" s="15">
        <f>IF(OR($B1222="",$K1222=""),"",($K1222-IF($L1222="",0,$L1222)*IFERROR(VLOOKUP("P01",ParamTbl,3,0),1.5))*(1-IF(IFERROR(VLOOKUP($E1222,OpTbl,3,0),"")="خرید",IFERROR(VLOOKUP("P02",ParamTbl,3,0),1),0)/100))</f>
        <v/>
      </c>
      <c r="N1222" s="14" t="n"/>
      <c r="O1222" s="13" t="n"/>
    </row>
    <row r="1223">
      <c r="A1223" s="11">
        <f>IF($B1223="","",COUNTA($B$9:$B1223))</f>
        <v/>
      </c>
      <c r="B1223" s="12" t="n"/>
      <c r="C1223" s="12" t="n"/>
      <c r="D1223" s="12" t="n"/>
      <c r="E1223" s="13" t="n"/>
      <c r="F1223" s="11">
        <f>IF($E1223="","",IFERROR(VLOOKUP($E1223,OpTbl,2,0),""))</f>
        <v/>
      </c>
      <c r="G1223" s="12" t="n"/>
      <c r="H1223" s="11">
        <f>IF($G1223="","",IFERROR(IF(VLOOKUP($G1223,AcctTbl,4,0)="","(بدون نام)",VLOOKUP($G1223,AcctTbl,4,0)),"کد ناشناخته"))</f>
        <v/>
      </c>
      <c r="I1223" s="13" t="n"/>
      <c r="J1223" s="13" t="n"/>
      <c r="K1223" s="14" t="n"/>
      <c r="L1223" s="14" t="n"/>
      <c r="M1223" s="15">
        <f>IF(OR($B1223="",$K1223=""),"",($K1223-IF($L1223="",0,$L1223)*IFERROR(VLOOKUP("P01",ParamTbl,3,0),1.5))*(1-IF(IFERROR(VLOOKUP($E1223,OpTbl,3,0),"")="خرید",IFERROR(VLOOKUP("P02",ParamTbl,3,0),1),0)/100))</f>
        <v/>
      </c>
      <c r="N1223" s="14" t="n"/>
      <c r="O1223" s="13" t="n"/>
    </row>
    <row r="1224">
      <c r="A1224" s="11">
        <f>IF($B1224="","",COUNTA($B$9:$B1224))</f>
        <v/>
      </c>
      <c r="B1224" s="12" t="n"/>
      <c r="C1224" s="12" t="n"/>
      <c r="D1224" s="12" t="n"/>
      <c r="E1224" s="13" t="n"/>
      <c r="F1224" s="11">
        <f>IF($E1224="","",IFERROR(VLOOKUP($E1224,OpTbl,2,0),""))</f>
        <v/>
      </c>
      <c r="G1224" s="12" t="n"/>
      <c r="H1224" s="11">
        <f>IF($G1224="","",IFERROR(IF(VLOOKUP($G1224,AcctTbl,4,0)="","(بدون نام)",VLOOKUP($G1224,AcctTbl,4,0)),"کد ناشناخته"))</f>
        <v/>
      </c>
      <c r="I1224" s="13" t="n"/>
      <c r="J1224" s="13" t="n"/>
      <c r="K1224" s="14" t="n"/>
      <c r="L1224" s="14" t="n"/>
      <c r="M1224" s="15">
        <f>IF(OR($B1224="",$K1224=""),"",($K1224-IF($L1224="",0,$L1224)*IFERROR(VLOOKUP("P01",ParamTbl,3,0),1.5))*(1-IF(IFERROR(VLOOKUP($E1224,OpTbl,3,0),"")="خرید",IFERROR(VLOOKUP("P02",ParamTbl,3,0),1),0)/100))</f>
        <v/>
      </c>
      <c r="N1224" s="14" t="n"/>
      <c r="O1224" s="13" t="n"/>
    </row>
    <row r="1225">
      <c r="A1225" s="11">
        <f>IF($B1225="","",COUNTA($B$9:$B1225))</f>
        <v/>
      </c>
      <c r="B1225" s="12" t="n"/>
      <c r="C1225" s="12" t="n"/>
      <c r="D1225" s="12" t="n"/>
      <c r="E1225" s="13" t="n"/>
      <c r="F1225" s="11">
        <f>IF($E1225="","",IFERROR(VLOOKUP($E1225,OpTbl,2,0),""))</f>
        <v/>
      </c>
      <c r="G1225" s="12" t="n"/>
      <c r="H1225" s="11">
        <f>IF($G1225="","",IFERROR(IF(VLOOKUP($G1225,AcctTbl,4,0)="","(بدون نام)",VLOOKUP($G1225,AcctTbl,4,0)),"کد ناشناخته"))</f>
        <v/>
      </c>
      <c r="I1225" s="13" t="n"/>
      <c r="J1225" s="13" t="n"/>
      <c r="K1225" s="14" t="n"/>
      <c r="L1225" s="14" t="n"/>
      <c r="M1225" s="15">
        <f>IF(OR($B1225="",$K1225=""),"",($K1225-IF($L1225="",0,$L1225)*IFERROR(VLOOKUP("P01",ParamTbl,3,0),1.5))*(1-IF(IFERROR(VLOOKUP($E1225,OpTbl,3,0),"")="خرید",IFERROR(VLOOKUP("P02",ParamTbl,3,0),1),0)/100))</f>
        <v/>
      </c>
      <c r="N1225" s="14" t="n"/>
      <c r="O1225" s="13" t="n"/>
    </row>
    <row r="1226">
      <c r="A1226" s="11">
        <f>IF($B1226="","",COUNTA($B$9:$B1226))</f>
        <v/>
      </c>
      <c r="B1226" s="12" t="n"/>
      <c r="C1226" s="12" t="n"/>
      <c r="D1226" s="12" t="n"/>
      <c r="E1226" s="13" t="n"/>
      <c r="F1226" s="11">
        <f>IF($E1226="","",IFERROR(VLOOKUP($E1226,OpTbl,2,0),""))</f>
        <v/>
      </c>
      <c r="G1226" s="12" t="n"/>
      <c r="H1226" s="11">
        <f>IF($G1226="","",IFERROR(IF(VLOOKUP($G1226,AcctTbl,4,0)="","(بدون نام)",VLOOKUP($G1226,AcctTbl,4,0)),"کد ناشناخته"))</f>
        <v/>
      </c>
      <c r="I1226" s="13" t="n"/>
      <c r="J1226" s="13" t="n"/>
      <c r="K1226" s="14" t="n"/>
      <c r="L1226" s="14" t="n"/>
      <c r="M1226" s="15">
        <f>IF(OR($B1226="",$K1226=""),"",($K1226-IF($L1226="",0,$L1226)*IFERROR(VLOOKUP("P01",ParamTbl,3,0),1.5))*(1-IF(IFERROR(VLOOKUP($E1226,OpTbl,3,0),"")="خرید",IFERROR(VLOOKUP("P02",ParamTbl,3,0),1),0)/100))</f>
        <v/>
      </c>
      <c r="N1226" s="14" t="n"/>
      <c r="O1226" s="13" t="n"/>
    </row>
    <row r="1227">
      <c r="A1227" s="11">
        <f>IF($B1227="","",COUNTA($B$9:$B1227))</f>
        <v/>
      </c>
      <c r="B1227" s="12" t="n"/>
      <c r="C1227" s="12" t="n"/>
      <c r="D1227" s="12" t="n"/>
      <c r="E1227" s="13" t="n"/>
      <c r="F1227" s="11">
        <f>IF($E1227="","",IFERROR(VLOOKUP($E1227,OpTbl,2,0),""))</f>
        <v/>
      </c>
      <c r="G1227" s="12" t="n"/>
      <c r="H1227" s="11">
        <f>IF($G1227="","",IFERROR(IF(VLOOKUP($G1227,AcctTbl,4,0)="","(بدون نام)",VLOOKUP($G1227,AcctTbl,4,0)),"کد ناشناخته"))</f>
        <v/>
      </c>
      <c r="I1227" s="13" t="n"/>
      <c r="J1227" s="13" t="n"/>
      <c r="K1227" s="14" t="n"/>
      <c r="L1227" s="14" t="n"/>
      <c r="M1227" s="15">
        <f>IF(OR($B1227="",$K1227=""),"",($K1227-IF($L1227="",0,$L1227)*IFERROR(VLOOKUP("P01",ParamTbl,3,0),1.5))*(1-IF(IFERROR(VLOOKUP($E1227,OpTbl,3,0),"")="خرید",IFERROR(VLOOKUP("P02",ParamTbl,3,0),1),0)/100))</f>
        <v/>
      </c>
      <c r="N1227" s="14" t="n"/>
      <c r="O1227" s="13" t="n"/>
    </row>
    <row r="1228">
      <c r="A1228" s="11">
        <f>IF($B1228="","",COUNTA($B$9:$B1228))</f>
        <v/>
      </c>
      <c r="B1228" s="12" t="n"/>
      <c r="C1228" s="12" t="n"/>
      <c r="D1228" s="12" t="n"/>
      <c r="E1228" s="13" t="n"/>
      <c r="F1228" s="11">
        <f>IF($E1228="","",IFERROR(VLOOKUP($E1228,OpTbl,2,0),""))</f>
        <v/>
      </c>
      <c r="G1228" s="12" t="n"/>
      <c r="H1228" s="11">
        <f>IF($G1228="","",IFERROR(IF(VLOOKUP($G1228,AcctTbl,4,0)="","(بدون نام)",VLOOKUP($G1228,AcctTbl,4,0)),"کد ناشناخته"))</f>
        <v/>
      </c>
      <c r="I1228" s="13" t="n"/>
      <c r="J1228" s="13" t="n"/>
      <c r="K1228" s="14" t="n"/>
      <c r="L1228" s="14" t="n"/>
      <c r="M1228" s="15">
        <f>IF(OR($B1228="",$K1228=""),"",($K1228-IF($L1228="",0,$L1228)*IFERROR(VLOOKUP("P01",ParamTbl,3,0),1.5))*(1-IF(IFERROR(VLOOKUP($E1228,OpTbl,3,0),"")="خرید",IFERROR(VLOOKUP("P02",ParamTbl,3,0),1),0)/100))</f>
        <v/>
      </c>
      <c r="N1228" s="14" t="n"/>
      <c r="O1228" s="13" t="n"/>
    </row>
    <row r="1229">
      <c r="A1229" s="11">
        <f>IF($B1229="","",COUNTA($B$9:$B1229))</f>
        <v/>
      </c>
      <c r="B1229" s="12" t="n"/>
      <c r="C1229" s="12" t="n"/>
      <c r="D1229" s="12" t="n"/>
      <c r="E1229" s="13" t="n"/>
      <c r="F1229" s="11">
        <f>IF($E1229="","",IFERROR(VLOOKUP($E1229,OpTbl,2,0),""))</f>
        <v/>
      </c>
      <c r="G1229" s="12" t="n"/>
      <c r="H1229" s="11">
        <f>IF($G1229="","",IFERROR(IF(VLOOKUP($G1229,AcctTbl,4,0)="","(بدون نام)",VLOOKUP($G1229,AcctTbl,4,0)),"کد ناشناخته"))</f>
        <v/>
      </c>
      <c r="I1229" s="13" t="n"/>
      <c r="J1229" s="13" t="n"/>
      <c r="K1229" s="14" t="n"/>
      <c r="L1229" s="14" t="n"/>
      <c r="M1229" s="15">
        <f>IF(OR($B1229="",$K1229=""),"",($K1229-IF($L1229="",0,$L1229)*IFERROR(VLOOKUP("P01",ParamTbl,3,0),1.5))*(1-IF(IFERROR(VLOOKUP($E1229,OpTbl,3,0),"")="خرید",IFERROR(VLOOKUP("P02",ParamTbl,3,0),1),0)/100))</f>
        <v/>
      </c>
      <c r="N1229" s="14" t="n"/>
      <c r="O1229" s="13" t="n"/>
    </row>
    <row r="1230">
      <c r="A1230" s="11">
        <f>IF($B1230="","",COUNTA($B$9:$B1230))</f>
        <v/>
      </c>
      <c r="B1230" s="12" t="n"/>
      <c r="C1230" s="12" t="n"/>
      <c r="D1230" s="12" t="n"/>
      <c r="E1230" s="13" t="n"/>
      <c r="F1230" s="11">
        <f>IF($E1230="","",IFERROR(VLOOKUP($E1230,OpTbl,2,0),""))</f>
        <v/>
      </c>
      <c r="G1230" s="12" t="n"/>
      <c r="H1230" s="11">
        <f>IF($G1230="","",IFERROR(IF(VLOOKUP($G1230,AcctTbl,4,0)="","(بدون نام)",VLOOKUP($G1230,AcctTbl,4,0)),"کد ناشناخته"))</f>
        <v/>
      </c>
      <c r="I1230" s="13" t="n"/>
      <c r="J1230" s="13" t="n"/>
      <c r="K1230" s="14" t="n"/>
      <c r="L1230" s="14" t="n"/>
      <c r="M1230" s="15">
        <f>IF(OR($B1230="",$K1230=""),"",($K1230-IF($L1230="",0,$L1230)*IFERROR(VLOOKUP("P01",ParamTbl,3,0),1.5))*(1-IF(IFERROR(VLOOKUP($E1230,OpTbl,3,0),"")="خرید",IFERROR(VLOOKUP("P02",ParamTbl,3,0),1),0)/100))</f>
        <v/>
      </c>
      <c r="N1230" s="14" t="n"/>
      <c r="O1230" s="13" t="n"/>
    </row>
    <row r="1231">
      <c r="A1231" s="11">
        <f>IF($B1231="","",COUNTA($B$9:$B1231))</f>
        <v/>
      </c>
      <c r="B1231" s="12" t="n"/>
      <c r="C1231" s="12" t="n"/>
      <c r="D1231" s="12" t="n"/>
      <c r="E1231" s="13" t="n"/>
      <c r="F1231" s="11">
        <f>IF($E1231="","",IFERROR(VLOOKUP($E1231,OpTbl,2,0),""))</f>
        <v/>
      </c>
      <c r="G1231" s="12" t="n"/>
      <c r="H1231" s="11">
        <f>IF($G1231="","",IFERROR(IF(VLOOKUP($G1231,AcctTbl,4,0)="","(بدون نام)",VLOOKUP($G1231,AcctTbl,4,0)),"کد ناشناخته"))</f>
        <v/>
      </c>
      <c r="I1231" s="13" t="n"/>
      <c r="J1231" s="13" t="n"/>
      <c r="K1231" s="14" t="n"/>
      <c r="L1231" s="14" t="n"/>
      <c r="M1231" s="15">
        <f>IF(OR($B1231="",$K1231=""),"",($K1231-IF($L1231="",0,$L1231)*IFERROR(VLOOKUP("P01",ParamTbl,3,0),1.5))*(1-IF(IFERROR(VLOOKUP($E1231,OpTbl,3,0),"")="خرید",IFERROR(VLOOKUP("P02",ParamTbl,3,0),1),0)/100))</f>
        <v/>
      </c>
      <c r="N1231" s="14" t="n"/>
      <c r="O1231" s="13" t="n"/>
    </row>
    <row r="1232">
      <c r="A1232" s="11">
        <f>IF($B1232="","",COUNTA($B$9:$B1232))</f>
        <v/>
      </c>
      <c r="B1232" s="12" t="n"/>
      <c r="C1232" s="12" t="n"/>
      <c r="D1232" s="12" t="n"/>
      <c r="E1232" s="13" t="n"/>
      <c r="F1232" s="11">
        <f>IF($E1232="","",IFERROR(VLOOKUP($E1232,OpTbl,2,0),""))</f>
        <v/>
      </c>
      <c r="G1232" s="12" t="n"/>
      <c r="H1232" s="11">
        <f>IF($G1232="","",IFERROR(IF(VLOOKUP($G1232,AcctTbl,4,0)="","(بدون نام)",VLOOKUP($G1232,AcctTbl,4,0)),"کد ناشناخته"))</f>
        <v/>
      </c>
      <c r="I1232" s="13" t="n"/>
      <c r="J1232" s="13" t="n"/>
      <c r="K1232" s="14" t="n"/>
      <c r="L1232" s="14" t="n"/>
      <c r="M1232" s="15">
        <f>IF(OR($B1232="",$K1232=""),"",($K1232-IF($L1232="",0,$L1232)*IFERROR(VLOOKUP("P01",ParamTbl,3,0),1.5))*(1-IF(IFERROR(VLOOKUP($E1232,OpTbl,3,0),"")="خرید",IFERROR(VLOOKUP("P02",ParamTbl,3,0),1),0)/100))</f>
        <v/>
      </c>
      <c r="N1232" s="14" t="n"/>
      <c r="O1232" s="13" t="n"/>
    </row>
    <row r="1233">
      <c r="A1233" s="11">
        <f>IF($B1233="","",COUNTA($B$9:$B1233))</f>
        <v/>
      </c>
      <c r="B1233" s="12" t="n"/>
      <c r="C1233" s="12" t="n"/>
      <c r="D1233" s="12" t="n"/>
      <c r="E1233" s="13" t="n"/>
      <c r="F1233" s="11">
        <f>IF($E1233="","",IFERROR(VLOOKUP($E1233,OpTbl,2,0),""))</f>
        <v/>
      </c>
      <c r="G1233" s="12" t="n"/>
      <c r="H1233" s="11">
        <f>IF($G1233="","",IFERROR(IF(VLOOKUP($G1233,AcctTbl,4,0)="","(بدون نام)",VLOOKUP($G1233,AcctTbl,4,0)),"کد ناشناخته"))</f>
        <v/>
      </c>
      <c r="I1233" s="13" t="n"/>
      <c r="J1233" s="13" t="n"/>
      <c r="K1233" s="14" t="n"/>
      <c r="L1233" s="14" t="n"/>
      <c r="M1233" s="15">
        <f>IF(OR($B1233="",$K1233=""),"",($K1233-IF($L1233="",0,$L1233)*IFERROR(VLOOKUP("P01",ParamTbl,3,0),1.5))*(1-IF(IFERROR(VLOOKUP($E1233,OpTbl,3,0),"")="خرید",IFERROR(VLOOKUP("P02",ParamTbl,3,0),1),0)/100))</f>
        <v/>
      </c>
      <c r="N1233" s="14" t="n"/>
      <c r="O1233" s="13" t="n"/>
    </row>
    <row r="1234">
      <c r="A1234" s="11">
        <f>IF($B1234="","",COUNTA($B$9:$B1234))</f>
        <v/>
      </c>
      <c r="B1234" s="12" t="n"/>
      <c r="C1234" s="12" t="n"/>
      <c r="D1234" s="12" t="n"/>
      <c r="E1234" s="13" t="n"/>
      <c r="F1234" s="11">
        <f>IF($E1234="","",IFERROR(VLOOKUP($E1234,OpTbl,2,0),""))</f>
        <v/>
      </c>
      <c r="G1234" s="12" t="n"/>
      <c r="H1234" s="11">
        <f>IF($G1234="","",IFERROR(IF(VLOOKUP($G1234,AcctTbl,4,0)="","(بدون نام)",VLOOKUP($G1234,AcctTbl,4,0)),"کد ناشناخته"))</f>
        <v/>
      </c>
      <c r="I1234" s="13" t="n"/>
      <c r="J1234" s="13" t="n"/>
      <c r="K1234" s="14" t="n"/>
      <c r="L1234" s="14" t="n"/>
      <c r="M1234" s="15">
        <f>IF(OR($B1234="",$K1234=""),"",($K1234-IF($L1234="",0,$L1234)*IFERROR(VLOOKUP("P01",ParamTbl,3,0),1.5))*(1-IF(IFERROR(VLOOKUP($E1234,OpTbl,3,0),"")="خرید",IFERROR(VLOOKUP("P02",ParamTbl,3,0),1),0)/100))</f>
        <v/>
      </c>
      <c r="N1234" s="14" t="n"/>
      <c r="O1234" s="13" t="n"/>
    </row>
    <row r="1235">
      <c r="A1235" s="11">
        <f>IF($B1235="","",COUNTA($B$9:$B1235))</f>
        <v/>
      </c>
      <c r="B1235" s="12" t="n"/>
      <c r="C1235" s="12" t="n"/>
      <c r="D1235" s="12" t="n"/>
      <c r="E1235" s="13" t="n"/>
      <c r="F1235" s="11">
        <f>IF($E1235="","",IFERROR(VLOOKUP($E1235,OpTbl,2,0),""))</f>
        <v/>
      </c>
      <c r="G1235" s="12" t="n"/>
      <c r="H1235" s="11">
        <f>IF($G1235="","",IFERROR(IF(VLOOKUP($G1235,AcctTbl,4,0)="","(بدون نام)",VLOOKUP($G1235,AcctTbl,4,0)),"کد ناشناخته"))</f>
        <v/>
      </c>
      <c r="I1235" s="13" t="n"/>
      <c r="J1235" s="13" t="n"/>
      <c r="K1235" s="14" t="n"/>
      <c r="L1235" s="14" t="n"/>
      <c r="M1235" s="15">
        <f>IF(OR($B1235="",$K1235=""),"",($K1235-IF($L1235="",0,$L1235)*IFERROR(VLOOKUP("P01",ParamTbl,3,0),1.5))*(1-IF(IFERROR(VLOOKUP($E1235,OpTbl,3,0),"")="خرید",IFERROR(VLOOKUP("P02",ParamTbl,3,0),1),0)/100))</f>
        <v/>
      </c>
      <c r="N1235" s="14" t="n"/>
      <c r="O1235" s="13" t="n"/>
    </row>
    <row r="1236">
      <c r="A1236" s="11">
        <f>IF($B1236="","",COUNTA($B$9:$B1236))</f>
        <v/>
      </c>
      <c r="B1236" s="12" t="n"/>
      <c r="C1236" s="12" t="n"/>
      <c r="D1236" s="12" t="n"/>
      <c r="E1236" s="13" t="n"/>
      <c r="F1236" s="11">
        <f>IF($E1236="","",IFERROR(VLOOKUP($E1236,OpTbl,2,0),""))</f>
        <v/>
      </c>
      <c r="G1236" s="12" t="n"/>
      <c r="H1236" s="11">
        <f>IF($G1236="","",IFERROR(IF(VLOOKUP($G1236,AcctTbl,4,0)="","(بدون نام)",VLOOKUP($G1236,AcctTbl,4,0)),"کد ناشناخته"))</f>
        <v/>
      </c>
      <c r="I1236" s="13" t="n"/>
      <c r="J1236" s="13" t="n"/>
      <c r="K1236" s="14" t="n"/>
      <c r="L1236" s="14" t="n"/>
      <c r="M1236" s="15">
        <f>IF(OR($B1236="",$K1236=""),"",($K1236-IF($L1236="",0,$L1236)*IFERROR(VLOOKUP("P01",ParamTbl,3,0),1.5))*(1-IF(IFERROR(VLOOKUP($E1236,OpTbl,3,0),"")="خرید",IFERROR(VLOOKUP("P02",ParamTbl,3,0),1),0)/100))</f>
        <v/>
      </c>
      <c r="N1236" s="14" t="n"/>
      <c r="O1236" s="13" t="n"/>
    </row>
    <row r="1237">
      <c r="A1237" s="11">
        <f>IF($B1237="","",COUNTA($B$9:$B1237))</f>
        <v/>
      </c>
      <c r="B1237" s="12" t="n"/>
      <c r="C1237" s="12" t="n"/>
      <c r="D1237" s="12" t="n"/>
      <c r="E1237" s="13" t="n"/>
      <c r="F1237" s="11">
        <f>IF($E1237="","",IFERROR(VLOOKUP($E1237,OpTbl,2,0),""))</f>
        <v/>
      </c>
      <c r="G1237" s="12" t="n"/>
      <c r="H1237" s="11">
        <f>IF($G1237="","",IFERROR(IF(VLOOKUP($G1237,AcctTbl,4,0)="","(بدون نام)",VLOOKUP($G1237,AcctTbl,4,0)),"کد ناشناخته"))</f>
        <v/>
      </c>
      <c r="I1237" s="13" t="n"/>
      <c r="J1237" s="13" t="n"/>
      <c r="K1237" s="14" t="n"/>
      <c r="L1237" s="14" t="n"/>
      <c r="M1237" s="15">
        <f>IF(OR($B1237="",$K1237=""),"",($K1237-IF($L1237="",0,$L1237)*IFERROR(VLOOKUP("P01",ParamTbl,3,0),1.5))*(1-IF(IFERROR(VLOOKUP($E1237,OpTbl,3,0),"")="خرید",IFERROR(VLOOKUP("P02",ParamTbl,3,0),1),0)/100))</f>
        <v/>
      </c>
      <c r="N1237" s="14" t="n"/>
      <c r="O1237" s="13" t="n"/>
    </row>
    <row r="1238">
      <c r="A1238" s="11">
        <f>IF($B1238="","",COUNTA($B$9:$B1238))</f>
        <v/>
      </c>
      <c r="B1238" s="12" t="n"/>
      <c r="C1238" s="12" t="n"/>
      <c r="D1238" s="12" t="n"/>
      <c r="E1238" s="13" t="n"/>
      <c r="F1238" s="11">
        <f>IF($E1238="","",IFERROR(VLOOKUP($E1238,OpTbl,2,0),""))</f>
        <v/>
      </c>
      <c r="G1238" s="12" t="n"/>
      <c r="H1238" s="11">
        <f>IF($G1238="","",IFERROR(IF(VLOOKUP($G1238,AcctTbl,4,0)="","(بدون نام)",VLOOKUP($G1238,AcctTbl,4,0)),"کد ناشناخته"))</f>
        <v/>
      </c>
      <c r="I1238" s="13" t="n"/>
      <c r="J1238" s="13" t="n"/>
      <c r="K1238" s="14" t="n"/>
      <c r="L1238" s="14" t="n"/>
      <c r="M1238" s="15">
        <f>IF(OR($B1238="",$K1238=""),"",($K1238-IF($L1238="",0,$L1238)*IFERROR(VLOOKUP("P01",ParamTbl,3,0),1.5))*(1-IF(IFERROR(VLOOKUP($E1238,OpTbl,3,0),"")="خرید",IFERROR(VLOOKUP("P02",ParamTbl,3,0),1),0)/100))</f>
        <v/>
      </c>
      <c r="N1238" s="14" t="n"/>
      <c r="O1238" s="13" t="n"/>
    </row>
    <row r="1239">
      <c r="A1239" s="11">
        <f>IF($B1239="","",COUNTA($B$9:$B1239))</f>
        <v/>
      </c>
      <c r="B1239" s="12" t="n"/>
      <c r="C1239" s="12" t="n"/>
      <c r="D1239" s="12" t="n"/>
      <c r="E1239" s="13" t="n"/>
      <c r="F1239" s="11">
        <f>IF($E1239="","",IFERROR(VLOOKUP($E1239,OpTbl,2,0),""))</f>
        <v/>
      </c>
      <c r="G1239" s="12" t="n"/>
      <c r="H1239" s="11">
        <f>IF($G1239="","",IFERROR(IF(VLOOKUP($G1239,AcctTbl,4,0)="","(بدون نام)",VLOOKUP($G1239,AcctTbl,4,0)),"کد ناشناخته"))</f>
        <v/>
      </c>
      <c r="I1239" s="13" t="n"/>
      <c r="J1239" s="13" t="n"/>
      <c r="K1239" s="14" t="n"/>
      <c r="L1239" s="14" t="n"/>
      <c r="M1239" s="15">
        <f>IF(OR($B1239="",$K1239=""),"",($K1239-IF($L1239="",0,$L1239)*IFERROR(VLOOKUP("P01",ParamTbl,3,0),1.5))*(1-IF(IFERROR(VLOOKUP($E1239,OpTbl,3,0),"")="خرید",IFERROR(VLOOKUP("P02",ParamTbl,3,0),1),0)/100))</f>
        <v/>
      </c>
      <c r="N1239" s="14" t="n"/>
      <c r="O1239" s="13" t="n"/>
    </row>
    <row r="1240">
      <c r="A1240" s="11">
        <f>IF($B1240="","",COUNTA($B$9:$B1240))</f>
        <v/>
      </c>
      <c r="B1240" s="12" t="n"/>
      <c r="C1240" s="12" t="n"/>
      <c r="D1240" s="12" t="n"/>
      <c r="E1240" s="13" t="n"/>
      <c r="F1240" s="11">
        <f>IF($E1240="","",IFERROR(VLOOKUP($E1240,OpTbl,2,0),""))</f>
        <v/>
      </c>
      <c r="G1240" s="12" t="n"/>
      <c r="H1240" s="11">
        <f>IF($G1240="","",IFERROR(IF(VLOOKUP($G1240,AcctTbl,4,0)="","(بدون نام)",VLOOKUP($G1240,AcctTbl,4,0)),"کد ناشناخته"))</f>
        <v/>
      </c>
      <c r="I1240" s="13" t="n"/>
      <c r="J1240" s="13" t="n"/>
      <c r="K1240" s="14" t="n"/>
      <c r="L1240" s="14" t="n"/>
      <c r="M1240" s="15">
        <f>IF(OR($B1240="",$K1240=""),"",($K1240-IF($L1240="",0,$L1240)*IFERROR(VLOOKUP("P01",ParamTbl,3,0),1.5))*(1-IF(IFERROR(VLOOKUP($E1240,OpTbl,3,0),"")="خرید",IFERROR(VLOOKUP("P02",ParamTbl,3,0),1),0)/100))</f>
        <v/>
      </c>
      <c r="N1240" s="14" t="n"/>
      <c r="O1240" s="13" t="n"/>
    </row>
    <row r="1241">
      <c r="A1241" s="11">
        <f>IF($B1241="","",COUNTA($B$9:$B1241))</f>
        <v/>
      </c>
      <c r="B1241" s="12" t="n"/>
      <c r="C1241" s="12" t="n"/>
      <c r="D1241" s="12" t="n"/>
      <c r="E1241" s="13" t="n"/>
      <c r="F1241" s="11">
        <f>IF($E1241="","",IFERROR(VLOOKUP($E1241,OpTbl,2,0),""))</f>
        <v/>
      </c>
      <c r="G1241" s="12" t="n"/>
      <c r="H1241" s="11">
        <f>IF($G1241="","",IFERROR(IF(VLOOKUP($G1241,AcctTbl,4,0)="","(بدون نام)",VLOOKUP($G1241,AcctTbl,4,0)),"کد ناشناخته"))</f>
        <v/>
      </c>
      <c r="I1241" s="13" t="n"/>
      <c r="J1241" s="13" t="n"/>
      <c r="K1241" s="14" t="n"/>
      <c r="L1241" s="14" t="n"/>
      <c r="M1241" s="15">
        <f>IF(OR($B1241="",$K1241=""),"",($K1241-IF($L1241="",0,$L1241)*IFERROR(VLOOKUP("P01",ParamTbl,3,0),1.5))*(1-IF(IFERROR(VLOOKUP($E1241,OpTbl,3,0),"")="خرید",IFERROR(VLOOKUP("P02",ParamTbl,3,0),1),0)/100))</f>
        <v/>
      </c>
      <c r="N1241" s="14" t="n"/>
      <c r="O1241" s="13" t="n"/>
    </row>
    <row r="1242">
      <c r="A1242" s="11">
        <f>IF($B1242="","",COUNTA($B$9:$B1242))</f>
        <v/>
      </c>
      <c r="B1242" s="12" t="n"/>
      <c r="C1242" s="12" t="n"/>
      <c r="D1242" s="12" t="n"/>
      <c r="E1242" s="13" t="n"/>
      <c r="F1242" s="11">
        <f>IF($E1242="","",IFERROR(VLOOKUP($E1242,OpTbl,2,0),""))</f>
        <v/>
      </c>
      <c r="G1242" s="12" t="n"/>
      <c r="H1242" s="11">
        <f>IF($G1242="","",IFERROR(IF(VLOOKUP($G1242,AcctTbl,4,0)="","(بدون نام)",VLOOKUP($G1242,AcctTbl,4,0)),"کد ناشناخته"))</f>
        <v/>
      </c>
      <c r="I1242" s="13" t="n"/>
      <c r="J1242" s="13" t="n"/>
      <c r="K1242" s="14" t="n"/>
      <c r="L1242" s="14" t="n"/>
      <c r="M1242" s="15">
        <f>IF(OR($B1242="",$K1242=""),"",($K1242-IF($L1242="",0,$L1242)*IFERROR(VLOOKUP("P01",ParamTbl,3,0),1.5))*(1-IF(IFERROR(VLOOKUP($E1242,OpTbl,3,0),"")="خرید",IFERROR(VLOOKUP("P02",ParamTbl,3,0),1),0)/100))</f>
        <v/>
      </c>
      <c r="N1242" s="14" t="n"/>
      <c r="O1242" s="13" t="n"/>
    </row>
    <row r="1243">
      <c r="A1243" s="11">
        <f>IF($B1243="","",COUNTA($B$9:$B1243))</f>
        <v/>
      </c>
      <c r="B1243" s="12" t="n"/>
      <c r="C1243" s="12" t="n"/>
      <c r="D1243" s="12" t="n"/>
      <c r="E1243" s="13" t="n"/>
      <c r="F1243" s="11">
        <f>IF($E1243="","",IFERROR(VLOOKUP($E1243,OpTbl,2,0),""))</f>
        <v/>
      </c>
      <c r="G1243" s="12" t="n"/>
      <c r="H1243" s="11">
        <f>IF($G1243="","",IFERROR(IF(VLOOKUP($G1243,AcctTbl,4,0)="","(بدون نام)",VLOOKUP($G1243,AcctTbl,4,0)),"کد ناشناخته"))</f>
        <v/>
      </c>
      <c r="I1243" s="13" t="n"/>
      <c r="J1243" s="13" t="n"/>
      <c r="K1243" s="14" t="n"/>
      <c r="L1243" s="14" t="n"/>
      <c r="M1243" s="15">
        <f>IF(OR($B1243="",$K1243=""),"",($K1243-IF($L1243="",0,$L1243)*IFERROR(VLOOKUP("P01",ParamTbl,3,0),1.5))*(1-IF(IFERROR(VLOOKUP($E1243,OpTbl,3,0),"")="خرید",IFERROR(VLOOKUP("P02",ParamTbl,3,0),1),0)/100))</f>
        <v/>
      </c>
      <c r="N1243" s="14" t="n"/>
      <c r="O1243" s="13" t="n"/>
    </row>
    <row r="1244">
      <c r="A1244" s="11">
        <f>IF($B1244="","",COUNTA($B$9:$B1244))</f>
        <v/>
      </c>
      <c r="B1244" s="12" t="n"/>
      <c r="C1244" s="12" t="n"/>
      <c r="D1244" s="12" t="n"/>
      <c r="E1244" s="13" t="n"/>
      <c r="F1244" s="11">
        <f>IF($E1244="","",IFERROR(VLOOKUP($E1244,OpTbl,2,0),""))</f>
        <v/>
      </c>
      <c r="G1244" s="12" t="n"/>
      <c r="H1244" s="11">
        <f>IF($G1244="","",IFERROR(IF(VLOOKUP($G1244,AcctTbl,4,0)="","(بدون نام)",VLOOKUP($G1244,AcctTbl,4,0)),"کد ناشناخته"))</f>
        <v/>
      </c>
      <c r="I1244" s="13" t="n"/>
      <c r="J1244" s="13" t="n"/>
      <c r="K1244" s="14" t="n"/>
      <c r="L1244" s="14" t="n"/>
      <c r="M1244" s="15">
        <f>IF(OR($B1244="",$K1244=""),"",($K1244-IF($L1244="",0,$L1244)*IFERROR(VLOOKUP("P01",ParamTbl,3,0),1.5))*(1-IF(IFERROR(VLOOKUP($E1244,OpTbl,3,0),"")="خرید",IFERROR(VLOOKUP("P02",ParamTbl,3,0),1),0)/100))</f>
        <v/>
      </c>
      <c r="N1244" s="14" t="n"/>
      <c r="O1244" s="13" t="n"/>
    </row>
    <row r="1245">
      <c r="A1245" s="11">
        <f>IF($B1245="","",COUNTA($B$9:$B1245))</f>
        <v/>
      </c>
      <c r="B1245" s="12" t="n"/>
      <c r="C1245" s="12" t="n"/>
      <c r="D1245" s="12" t="n"/>
      <c r="E1245" s="13" t="n"/>
      <c r="F1245" s="11">
        <f>IF($E1245="","",IFERROR(VLOOKUP($E1245,OpTbl,2,0),""))</f>
        <v/>
      </c>
      <c r="G1245" s="12" t="n"/>
      <c r="H1245" s="11">
        <f>IF($G1245="","",IFERROR(IF(VLOOKUP($G1245,AcctTbl,4,0)="","(بدون نام)",VLOOKUP($G1245,AcctTbl,4,0)),"کد ناشناخته"))</f>
        <v/>
      </c>
      <c r="I1245" s="13" t="n"/>
      <c r="J1245" s="13" t="n"/>
      <c r="K1245" s="14" t="n"/>
      <c r="L1245" s="14" t="n"/>
      <c r="M1245" s="15">
        <f>IF(OR($B1245="",$K1245=""),"",($K1245-IF($L1245="",0,$L1245)*IFERROR(VLOOKUP("P01",ParamTbl,3,0),1.5))*(1-IF(IFERROR(VLOOKUP($E1245,OpTbl,3,0),"")="خرید",IFERROR(VLOOKUP("P02",ParamTbl,3,0),1),0)/100))</f>
        <v/>
      </c>
      <c r="N1245" s="14" t="n"/>
      <c r="O1245" s="13" t="n"/>
    </row>
    <row r="1246">
      <c r="A1246" s="11">
        <f>IF($B1246="","",COUNTA($B$9:$B1246))</f>
        <v/>
      </c>
      <c r="B1246" s="12" t="n"/>
      <c r="C1246" s="12" t="n"/>
      <c r="D1246" s="12" t="n"/>
      <c r="E1246" s="13" t="n"/>
      <c r="F1246" s="11">
        <f>IF($E1246="","",IFERROR(VLOOKUP($E1246,OpTbl,2,0),""))</f>
        <v/>
      </c>
      <c r="G1246" s="12" t="n"/>
      <c r="H1246" s="11">
        <f>IF($G1246="","",IFERROR(IF(VLOOKUP($G1246,AcctTbl,4,0)="","(بدون نام)",VLOOKUP($G1246,AcctTbl,4,0)),"کد ناشناخته"))</f>
        <v/>
      </c>
      <c r="I1246" s="13" t="n"/>
      <c r="J1246" s="13" t="n"/>
      <c r="K1246" s="14" t="n"/>
      <c r="L1246" s="14" t="n"/>
      <c r="M1246" s="15">
        <f>IF(OR($B1246="",$K1246=""),"",($K1246-IF($L1246="",0,$L1246)*IFERROR(VLOOKUP("P01",ParamTbl,3,0),1.5))*(1-IF(IFERROR(VLOOKUP($E1246,OpTbl,3,0),"")="خرید",IFERROR(VLOOKUP("P02",ParamTbl,3,0),1),0)/100))</f>
        <v/>
      </c>
      <c r="N1246" s="14" t="n"/>
      <c r="O1246" s="13" t="n"/>
    </row>
    <row r="1247">
      <c r="A1247" s="11">
        <f>IF($B1247="","",COUNTA($B$9:$B1247))</f>
        <v/>
      </c>
      <c r="B1247" s="12" t="n"/>
      <c r="C1247" s="12" t="n"/>
      <c r="D1247" s="12" t="n"/>
      <c r="E1247" s="13" t="n"/>
      <c r="F1247" s="11">
        <f>IF($E1247="","",IFERROR(VLOOKUP($E1247,OpTbl,2,0),""))</f>
        <v/>
      </c>
      <c r="G1247" s="12" t="n"/>
      <c r="H1247" s="11">
        <f>IF($G1247="","",IFERROR(IF(VLOOKUP($G1247,AcctTbl,4,0)="","(بدون نام)",VLOOKUP($G1247,AcctTbl,4,0)),"کد ناشناخته"))</f>
        <v/>
      </c>
      <c r="I1247" s="13" t="n"/>
      <c r="J1247" s="13" t="n"/>
      <c r="K1247" s="14" t="n"/>
      <c r="L1247" s="14" t="n"/>
      <c r="M1247" s="15">
        <f>IF(OR($B1247="",$K1247=""),"",($K1247-IF($L1247="",0,$L1247)*IFERROR(VLOOKUP("P01",ParamTbl,3,0),1.5))*(1-IF(IFERROR(VLOOKUP($E1247,OpTbl,3,0),"")="خرید",IFERROR(VLOOKUP("P02",ParamTbl,3,0),1),0)/100))</f>
        <v/>
      </c>
      <c r="N1247" s="14" t="n"/>
      <c r="O1247" s="13" t="n"/>
    </row>
    <row r="1248">
      <c r="A1248" s="11">
        <f>IF($B1248="","",COUNTA($B$9:$B1248))</f>
        <v/>
      </c>
      <c r="B1248" s="12" t="n"/>
      <c r="C1248" s="12" t="n"/>
      <c r="D1248" s="12" t="n"/>
      <c r="E1248" s="13" t="n"/>
      <c r="F1248" s="11">
        <f>IF($E1248="","",IFERROR(VLOOKUP($E1248,OpTbl,2,0),""))</f>
        <v/>
      </c>
      <c r="G1248" s="12" t="n"/>
      <c r="H1248" s="11">
        <f>IF($G1248="","",IFERROR(IF(VLOOKUP($G1248,AcctTbl,4,0)="","(بدون نام)",VLOOKUP($G1248,AcctTbl,4,0)),"کد ناشناخته"))</f>
        <v/>
      </c>
      <c r="I1248" s="13" t="n"/>
      <c r="J1248" s="13" t="n"/>
      <c r="K1248" s="14" t="n"/>
      <c r="L1248" s="14" t="n"/>
      <c r="M1248" s="15">
        <f>IF(OR($B1248="",$K1248=""),"",($K1248-IF($L1248="",0,$L1248)*IFERROR(VLOOKUP("P01",ParamTbl,3,0),1.5))*(1-IF(IFERROR(VLOOKUP($E1248,OpTbl,3,0),"")="خرید",IFERROR(VLOOKUP("P02",ParamTbl,3,0),1),0)/100))</f>
        <v/>
      </c>
      <c r="N1248" s="14" t="n"/>
      <c r="O1248" s="13" t="n"/>
    </row>
    <row r="1249">
      <c r="A1249" s="11">
        <f>IF($B1249="","",COUNTA($B$9:$B1249))</f>
        <v/>
      </c>
      <c r="B1249" s="12" t="n"/>
      <c r="C1249" s="12" t="n"/>
      <c r="D1249" s="12" t="n"/>
      <c r="E1249" s="13" t="n"/>
      <c r="F1249" s="11">
        <f>IF($E1249="","",IFERROR(VLOOKUP($E1249,OpTbl,2,0),""))</f>
        <v/>
      </c>
      <c r="G1249" s="12" t="n"/>
      <c r="H1249" s="11">
        <f>IF($G1249="","",IFERROR(IF(VLOOKUP($G1249,AcctTbl,4,0)="","(بدون نام)",VLOOKUP($G1249,AcctTbl,4,0)),"کد ناشناخته"))</f>
        <v/>
      </c>
      <c r="I1249" s="13" t="n"/>
      <c r="J1249" s="13" t="n"/>
      <c r="K1249" s="14" t="n"/>
      <c r="L1249" s="14" t="n"/>
      <c r="M1249" s="15">
        <f>IF(OR($B1249="",$K1249=""),"",($K1249-IF($L1249="",0,$L1249)*IFERROR(VLOOKUP("P01",ParamTbl,3,0),1.5))*(1-IF(IFERROR(VLOOKUP($E1249,OpTbl,3,0),"")="خرید",IFERROR(VLOOKUP("P02",ParamTbl,3,0),1),0)/100))</f>
        <v/>
      </c>
      <c r="N1249" s="14" t="n"/>
      <c r="O1249" s="13" t="n"/>
    </row>
    <row r="1250">
      <c r="A1250" s="11">
        <f>IF($B1250="","",COUNTA($B$9:$B1250))</f>
        <v/>
      </c>
      <c r="B1250" s="12" t="n"/>
      <c r="C1250" s="12" t="n"/>
      <c r="D1250" s="12" t="n"/>
      <c r="E1250" s="13" t="n"/>
      <c r="F1250" s="11">
        <f>IF($E1250="","",IFERROR(VLOOKUP($E1250,OpTbl,2,0),""))</f>
        <v/>
      </c>
      <c r="G1250" s="12" t="n"/>
      <c r="H1250" s="11">
        <f>IF($G1250="","",IFERROR(IF(VLOOKUP($G1250,AcctTbl,4,0)="","(بدون نام)",VLOOKUP($G1250,AcctTbl,4,0)),"کد ناشناخته"))</f>
        <v/>
      </c>
      <c r="I1250" s="13" t="n"/>
      <c r="J1250" s="13" t="n"/>
      <c r="K1250" s="14" t="n"/>
      <c r="L1250" s="14" t="n"/>
      <c r="M1250" s="15">
        <f>IF(OR($B1250="",$K1250=""),"",($K1250-IF($L1250="",0,$L1250)*IFERROR(VLOOKUP("P01",ParamTbl,3,0),1.5))*(1-IF(IFERROR(VLOOKUP($E1250,OpTbl,3,0),"")="خرید",IFERROR(VLOOKUP("P02",ParamTbl,3,0),1),0)/100))</f>
        <v/>
      </c>
      <c r="N1250" s="14" t="n"/>
      <c r="O1250" s="13" t="n"/>
    </row>
    <row r="1251">
      <c r="A1251" s="11">
        <f>IF($B1251="","",COUNTA($B$9:$B1251))</f>
        <v/>
      </c>
      <c r="B1251" s="12" t="n"/>
      <c r="C1251" s="12" t="n"/>
      <c r="D1251" s="12" t="n"/>
      <c r="E1251" s="13" t="n"/>
      <c r="F1251" s="11">
        <f>IF($E1251="","",IFERROR(VLOOKUP($E1251,OpTbl,2,0),""))</f>
        <v/>
      </c>
      <c r="G1251" s="12" t="n"/>
      <c r="H1251" s="11">
        <f>IF($G1251="","",IFERROR(IF(VLOOKUP($G1251,AcctTbl,4,0)="","(بدون نام)",VLOOKUP($G1251,AcctTbl,4,0)),"کد ناشناخته"))</f>
        <v/>
      </c>
      <c r="I1251" s="13" t="n"/>
      <c r="J1251" s="13" t="n"/>
      <c r="K1251" s="14" t="n"/>
      <c r="L1251" s="14" t="n"/>
      <c r="M1251" s="15">
        <f>IF(OR($B1251="",$K1251=""),"",($K1251-IF($L1251="",0,$L1251)*IFERROR(VLOOKUP("P01",ParamTbl,3,0),1.5))*(1-IF(IFERROR(VLOOKUP($E1251,OpTbl,3,0),"")="خرید",IFERROR(VLOOKUP("P02",ParamTbl,3,0),1),0)/100))</f>
        <v/>
      </c>
      <c r="N1251" s="14" t="n"/>
      <c r="O1251" s="13" t="n"/>
    </row>
    <row r="1252">
      <c r="A1252" s="11">
        <f>IF($B1252="","",COUNTA($B$9:$B1252))</f>
        <v/>
      </c>
      <c r="B1252" s="12" t="n"/>
      <c r="C1252" s="12" t="n"/>
      <c r="D1252" s="12" t="n"/>
      <c r="E1252" s="13" t="n"/>
      <c r="F1252" s="11">
        <f>IF($E1252="","",IFERROR(VLOOKUP($E1252,OpTbl,2,0),""))</f>
        <v/>
      </c>
      <c r="G1252" s="12" t="n"/>
      <c r="H1252" s="11">
        <f>IF($G1252="","",IFERROR(IF(VLOOKUP($G1252,AcctTbl,4,0)="","(بدون نام)",VLOOKUP($G1252,AcctTbl,4,0)),"کد ناشناخته"))</f>
        <v/>
      </c>
      <c r="I1252" s="13" t="n"/>
      <c r="J1252" s="13" t="n"/>
      <c r="K1252" s="14" t="n"/>
      <c r="L1252" s="14" t="n"/>
      <c r="M1252" s="15">
        <f>IF(OR($B1252="",$K1252=""),"",($K1252-IF($L1252="",0,$L1252)*IFERROR(VLOOKUP("P01",ParamTbl,3,0),1.5))*(1-IF(IFERROR(VLOOKUP($E1252,OpTbl,3,0),"")="خرید",IFERROR(VLOOKUP("P02",ParamTbl,3,0),1),0)/100))</f>
        <v/>
      </c>
      <c r="N1252" s="14" t="n"/>
      <c r="O1252" s="13" t="n"/>
    </row>
    <row r="1253">
      <c r="A1253" s="11">
        <f>IF($B1253="","",COUNTA($B$9:$B1253))</f>
        <v/>
      </c>
      <c r="B1253" s="12" t="n"/>
      <c r="C1253" s="12" t="n"/>
      <c r="D1253" s="12" t="n"/>
      <c r="E1253" s="13" t="n"/>
      <c r="F1253" s="11">
        <f>IF($E1253="","",IFERROR(VLOOKUP($E1253,OpTbl,2,0),""))</f>
        <v/>
      </c>
      <c r="G1253" s="12" t="n"/>
      <c r="H1253" s="11">
        <f>IF($G1253="","",IFERROR(IF(VLOOKUP($G1253,AcctTbl,4,0)="","(بدون نام)",VLOOKUP($G1253,AcctTbl,4,0)),"کد ناشناخته"))</f>
        <v/>
      </c>
      <c r="I1253" s="13" t="n"/>
      <c r="J1253" s="13" t="n"/>
      <c r="K1253" s="14" t="n"/>
      <c r="L1253" s="14" t="n"/>
      <c r="M1253" s="15">
        <f>IF(OR($B1253="",$K1253=""),"",($K1253-IF($L1253="",0,$L1253)*IFERROR(VLOOKUP("P01",ParamTbl,3,0),1.5))*(1-IF(IFERROR(VLOOKUP($E1253,OpTbl,3,0),"")="خرید",IFERROR(VLOOKUP("P02",ParamTbl,3,0),1),0)/100))</f>
        <v/>
      </c>
      <c r="N1253" s="14" t="n"/>
      <c r="O1253" s="13" t="n"/>
    </row>
    <row r="1254">
      <c r="A1254" s="11">
        <f>IF($B1254="","",COUNTA($B$9:$B1254))</f>
        <v/>
      </c>
      <c r="B1254" s="12" t="n"/>
      <c r="C1254" s="12" t="n"/>
      <c r="D1254" s="12" t="n"/>
      <c r="E1254" s="13" t="n"/>
      <c r="F1254" s="11">
        <f>IF($E1254="","",IFERROR(VLOOKUP($E1254,OpTbl,2,0),""))</f>
        <v/>
      </c>
      <c r="G1254" s="12" t="n"/>
      <c r="H1254" s="11">
        <f>IF($G1254="","",IFERROR(IF(VLOOKUP($G1254,AcctTbl,4,0)="","(بدون نام)",VLOOKUP($G1254,AcctTbl,4,0)),"کد ناشناخته"))</f>
        <v/>
      </c>
      <c r="I1254" s="13" t="n"/>
      <c r="J1254" s="13" t="n"/>
      <c r="K1254" s="14" t="n"/>
      <c r="L1254" s="14" t="n"/>
      <c r="M1254" s="15">
        <f>IF(OR($B1254="",$K1254=""),"",($K1254-IF($L1254="",0,$L1254)*IFERROR(VLOOKUP("P01",ParamTbl,3,0),1.5))*(1-IF(IFERROR(VLOOKUP($E1254,OpTbl,3,0),"")="خرید",IFERROR(VLOOKUP("P02",ParamTbl,3,0),1),0)/100))</f>
        <v/>
      </c>
      <c r="N1254" s="14" t="n"/>
      <c r="O1254" s="13" t="n"/>
    </row>
    <row r="1255">
      <c r="A1255" s="11">
        <f>IF($B1255="","",COUNTA($B$9:$B1255))</f>
        <v/>
      </c>
      <c r="B1255" s="12" t="n"/>
      <c r="C1255" s="12" t="n"/>
      <c r="D1255" s="12" t="n"/>
      <c r="E1255" s="13" t="n"/>
      <c r="F1255" s="11">
        <f>IF($E1255="","",IFERROR(VLOOKUP($E1255,OpTbl,2,0),""))</f>
        <v/>
      </c>
      <c r="G1255" s="12" t="n"/>
      <c r="H1255" s="11">
        <f>IF($G1255="","",IFERROR(IF(VLOOKUP($G1255,AcctTbl,4,0)="","(بدون نام)",VLOOKUP($G1255,AcctTbl,4,0)),"کد ناشناخته"))</f>
        <v/>
      </c>
      <c r="I1255" s="13" t="n"/>
      <c r="J1255" s="13" t="n"/>
      <c r="K1255" s="14" t="n"/>
      <c r="L1255" s="14" t="n"/>
      <c r="M1255" s="15">
        <f>IF(OR($B1255="",$K1255=""),"",($K1255-IF($L1255="",0,$L1255)*IFERROR(VLOOKUP("P01",ParamTbl,3,0),1.5))*(1-IF(IFERROR(VLOOKUP($E1255,OpTbl,3,0),"")="خرید",IFERROR(VLOOKUP("P02",ParamTbl,3,0),1),0)/100))</f>
        <v/>
      </c>
      <c r="N1255" s="14" t="n"/>
      <c r="O1255" s="13" t="n"/>
    </row>
    <row r="1256">
      <c r="A1256" s="11">
        <f>IF($B1256="","",COUNTA($B$9:$B1256))</f>
        <v/>
      </c>
      <c r="B1256" s="12" t="n"/>
      <c r="C1256" s="12" t="n"/>
      <c r="D1256" s="12" t="n"/>
      <c r="E1256" s="13" t="n"/>
      <c r="F1256" s="11">
        <f>IF($E1256="","",IFERROR(VLOOKUP($E1256,OpTbl,2,0),""))</f>
        <v/>
      </c>
      <c r="G1256" s="12" t="n"/>
      <c r="H1256" s="11">
        <f>IF($G1256="","",IFERROR(IF(VLOOKUP($G1256,AcctTbl,4,0)="","(بدون نام)",VLOOKUP($G1256,AcctTbl,4,0)),"کد ناشناخته"))</f>
        <v/>
      </c>
      <c r="I1256" s="13" t="n"/>
      <c r="J1256" s="13" t="n"/>
      <c r="K1256" s="14" t="n"/>
      <c r="L1256" s="14" t="n"/>
      <c r="M1256" s="15">
        <f>IF(OR($B1256="",$K1256=""),"",($K1256-IF($L1256="",0,$L1256)*IFERROR(VLOOKUP("P01",ParamTbl,3,0),1.5))*(1-IF(IFERROR(VLOOKUP($E1256,OpTbl,3,0),"")="خرید",IFERROR(VLOOKUP("P02",ParamTbl,3,0),1),0)/100))</f>
        <v/>
      </c>
      <c r="N1256" s="14" t="n"/>
      <c r="O1256" s="13" t="n"/>
    </row>
    <row r="1257">
      <c r="A1257" s="11">
        <f>IF($B1257="","",COUNTA($B$9:$B1257))</f>
        <v/>
      </c>
      <c r="B1257" s="12" t="n"/>
      <c r="C1257" s="12" t="n"/>
      <c r="D1257" s="12" t="n"/>
      <c r="E1257" s="13" t="n"/>
      <c r="F1257" s="11">
        <f>IF($E1257="","",IFERROR(VLOOKUP($E1257,OpTbl,2,0),""))</f>
        <v/>
      </c>
      <c r="G1257" s="12" t="n"/>
      <c r="H1257" s="11">
        <f>IF($G1257="","",IFERROR(IF(VLOOKUP($G1257,AcctTbl,4,0)="","(بدون نام)",VLOOKUP($G1257,AcctTbl,4,0)),"کد ناشناخته"))</f>
        <v/>
      </c>
      <c r="I1257" s="13" t="n"/>
      <c r="J1257" s="13" t="n"/>
      <c r="K1257" s="14" t="n"/>
      <c r="L1257" s="14" t="n"/>
      <c r="M1257" s="15">
        <f>IF(OR($B1257="",$K1257=""),"",($K1257-IF($L1257="",0,$L1257)*IFERROR(VLOOKUP("P01",ParamTbl,3,0),1.5))*(1-IF(IFERROR(VLOOKUP($E1257,OpTbl,3,0),"")="خرید",IFERROR(VLOOKUP("P02",ParamTbl,3,0),1),0)/100))</f>
        <v/>
      </c>
      <c r="N1257" s="14" t="n"/>
      <c r="O1257" s="13" t="n"/>
    </row>
    <row r="1258">
      <c r="A1258" s="11">
        <f>IF($B1258="","",COUNTA($B$9:$B1258))</f>
        <v/>
      </c>
      <c r="B1258" s="12" t="n"/>
      <c r="C1258" s="12" t="n"/>
      <c r="D1258" s="12" t="n"/>
      <c r="E1258" s="13" t="n"/>
      <c r="F1258" s="11">
        <f>IF($E1258="","",IFERROR(VLOOKUP($E1258,OpTbl,2,0),""))</f>
        <v/>
      </c>
      <c r="G1258" s="12" t="n"/>
      <c r="H1258" s="11">
        <f>IF($G1258="","",IFERROR(IF(VLOOKUP($G1258,AcctTbl,4,0)="","(بدون نام)",VLOOKUP($G1258,AcctTbl,4,0)),"کد ناشناخته"))</f>
        <v/>
      </c>
      <c r="I1258" s="13" t="n"/>
      <c r="J1258" s="13" t="n"/>
      <c r="K1258" s="14" t="n"/>
      <c r="L1258" s="14" t="n"/>
      <c r="M1258" s="15">
        <f>IF(OR($B1258="",$K1258=""),"",($K1258-IF($L1258="",0,$L1258)*IFERROR(VLOOKUP("P01",ParamTbl,3,0),1.5))*(1-IF(IFERROR(VLOOKUP($E1258,OpTbl,3,0),"")="خرید",IFERROR(VLOOKUP("P02",ParamTbl,3,0),1),0)/100))</f>
        <v/>
      </c>
      <c r="N1258" s="14" t="n"/>
      <c r="O1258" s="13" t="n"/>
    </row>
    <row r="1259">
      <c r="A1259" s="11">
        <f>IF($B1259="","",COUNTA($B$9:$B1259))</f>
        <v/>
      </c>
      <c r="B1259" s="12" t="n"/>
      <c r="C1259" s="12" t="n"/>
      <c r="D1259" s="12" t="n"/>
      <c r="E1259" s="13" t="n"/>
      <c r="F1259" s="11">
        <f>IF($E1259="","",IFERROR(VLOOKUP($E1259,OpTbl,2,0),""))</f>
        <v/>
      </c>
      <c r="G1259" s="12" t="n"/>
      <c r="H1259" s="11">
        <f>IF($G1259="","",IFERROR(IF(VLOOKUP($G1259,AcctTbl,4,0)="","(بدون نام)",VLOOKUP($G1259,AcctTbl,4,0)),"کد ناشناخته"))</f>
        <v/>
      </c>
      <c r="I1259" s="13" t="n"/>
      <c r="J1259" s="13" t="n"/>
      <c r="K1259" s="14" t="n"/>
      <c r="L1259" s="14" t="n"/>
      <c r="M1259" s="15">
        <f>IF(OR($B1259="",$K1259=""),"",($K1259-IF($L1259="",0,$L1259)*IFERROR(VLOOKUP("P01",ParamTbl,3,0),1.5))*(1-IF(IFERROR(VLOOKUP($E1259,OpTbl,3,0),"")="خرید",IFERROR(VLOOKUP("P02",ParamTbl,3,0),1),0)/100))</f>
        <v/>
      </c>
      <c r="N1259" s="14" t="n"/>
      <c r="O1259" s="13" t="n"/>
    </row>
    <row r="1260">
      <c r="A1260" s="11">
        <f>IF($B1260="","",COUNTA($B$9:$B1260))</f>
        <v/>
      </c>
      <c r="B1260" s="12" t="n"/>
      <c r="C1260" s="12" t="n"/>
      <c r="D1260" s="12" t="n"/>
      <c r="E1260" s="13" t="n"/>
      <c r="F1260" s="11">
        <f>IF($E1260="","",IFERROR(VLOOKUP($E1260,OpTbl,2,0),""))</f>
        <v/>
      </c>
      <c r="G1260" s="12" t="n"/>
      <c r="H1260" s="11">
        <f>IF($G1260="","",IFERROR(IF(VLOOKUP($G1260,AcctTbl,4,0)="","(بدون نام)",VLOOKUP($G1260,AcctTbl,4,0)),"کد ناشناخته"))</f>
        <v/>
      </c>
      <c r="I1260" s="13" t="n"/>
      <c r="J1260" s="13" t="n"/>
      <c r="K1260" s="14" t="n"/>
      <c r="L1260" s="14" t="n"/>
      <c r="M1260" s="15">
        <f>IF(OR($B1260="",$K1260=""),"",($K1260-IF($L1260="",0,$L1260)*IFERROR(VLOOKUP("P01",ParamTbl,3,0),1.5))*(1-IF(IFERROR(VLOOKUP($E1260,OpTbl,3,0),"")="خرید",IFERROR(VLOOKUP("P02",ParamTbl,3,0),1),0)/100))</f>
        <v/>
      </c>
      <c r="N1260" s="14" t="n"/>
      <c r="O1260" s="13" t="n"/>
    </row>
    <row r="1261">
      <c r="A1261" s="11">
        <f>IF($B1261="","",COUNTA($B$9:$B1261))</f>
        <v/>
      </c>
      <c r="B1261" s="12" t="n"/>
      <c r="C1261" s="12" t="n"/>
      <c r="D1261" s="12" t="n"/>
      <c r="E1261" s="13" t="n"/>
      <c r="F1261" s="11">
        <f>IF($E1261="","",IFERROR(VLOOKUP($E1261,OpTbl,2,0),""))</f>
        <v/>
      </c>
      <c r="G1261" s="12" t="n"/>
      <c r="H1261" s="11">
        <f>IF($G1261="","",IFERROR(IF(VLOOKUP($G1261,AcctTbl,4,0)="","(بدون نام)",VLOOKUP($G1261,AcctTbl,4,0)),"کد ناشناخته"))</f>
        <v/>
      </c>
      <c r="I1261" s="13" t="n"/>
      <c r="J1261" s="13" t="n"/>
      <c r="K1261" s="14" t="n"/>
      <c r="L1261" s="14" t="n"/>
      <c r="M1261" s="15">
        <f>IF(OR($B1261="",$K1261=""),"",($K1261-IF($L1261="",0,$L1261)*IFERROR(VLOOKUP("P01",ParamTbl,3,0),1.5))*(1-IF(IFERROR(VLOOKUP($E1261,OpTbl,3,0),"")="خرید",IFERROR(VLOOKUP("P02",ParamTbl,3,0),1),0)/100))</f>
        <v/>
      </c>
      <c r="N1261" s="14" t="n"/>
      <c r="O1261" s="13" t="n"/>
    </row>
    <row r="1262">
      <c r="A1262" s="11">
        <f>IF($B1262="","",COUNTA($B$9:$B1262))</f>
        <v/>
      </c>
      <c r="B1262" s="12" t="n"/>
      <c r="C1262" s="12" t="n"/>
      <c r="D1262" s="12" t="n"/>
      <c r="E1262" s="13" t="n"/>
      <c r="F1262" s="11">
        <f>IF($E1262="","",IFERROR(VLOOKUP($E1262,OpTbl,2,0),""))</f>
        <v/>
      </c>
      <c r="G1262" s="12" t="n"/>
      <c r="H1262" s="11">
        <f>IF($G1262="","",IFERROR(IF(VLOOKUP($G1262,AcctTbl,4,0)="","(بدون نام)",VLOOKUP($G1262,AcctTbl,4,0)),"کد ناشناخته"))</f>
        <v/>
      </c>
      <c r="I1262" s="13" t="n"/>
      <c r="J1262" s="13" t="n"/>
      <c r="K1262" s="14" t="n"/>
      <c r="L1262" s="14" t="n"/>
      <c r="M1262" s="15">
        <f>IF(OR($B1262="",$K1262=""),"",($K1262-IF($L1262="",0,$L1262)*IFERROR(VLOOKUP("P01",ParamTbl,3,0),1.5))*(1-IF(IFERROR(VLOOKUP($E1262,OpTbl,3,0),"")="خرید",IFERROR(VLOOKUP("P02",ParamTbl,3,0),1),0)/100))</f>
        <v/>
      </c>
      <c r="N1262" s="14" t="n"/>
      <c r="O1262" s="13" t="n"/>
    </row>
    <row r="1263">
      <c r="A1263" s="11">
        <f>IF($B1263="","",COUNTA($B$9:$B1263))</f>
        <v/>
      </c>
      <c r="B1263" s="12" t="n"/>
      <c r="C1263" s="12" t="n"/>
      <c r="D1263" s="12" t="n"/>
      <c r="E1263" s="13" t="n"/>
      <c r="F1263" s="11">
        <f>IF($E1263="","",IFERROR(VLOOKUP($E1263,OpTbl,2,0),""))</f>
        <v/>
      </c>
      <c r="G1263" s="12" t="n"/>
      <c r="H1263" s="11">
        <f>IF($G1263="","",IFERROR(IF(VLOOKUP($G1263,AcctTbl,4,0)="","(بدون نام)",VLOOKUP($G1263,AcctTbl,4,0)),"کد ناشناخته"))</f>
        <v/>
      </c>
      <c r="I1263" s="13" t="n"/>
      <c r="J1263" s="13" t="n"/>
      <c r="K1263" s="14" t="n"/>
      <c r="L1263" s="14" t="n"/>
      <c r="M1263" s="15">
        <f>IF(OR($B1263="",$K1263=""),"",($K1263-IF($L1263="",0,$L1263)*IFERROR(VLOOKUP("P01",ParamTbl,3,0),1.5))*(1-IF(IFERROR(VLOOKUP($E1263,OpTbl,3,0),"")="خرید",IFERROR(VLOOKUP("P02",ParamTbl,3,0),1),0)/100))</f>
        <v/>
      </c>
      <c r="N1263" s="14" t="n"/>
      <c r="O1263" s="13" t="n"/>
    </row>
    <row r="1264">
      <c r="A1264" s="11">
        <f>IF($B1264="","",COUNTA($B$9:$B1264))</f>
        <v/>
      </c>
      <c r="B1264" s="12" t="n"/>
      <c r="C1264" s="12" t="n"/>
      <c r="D1264" s="12" t="n"/>
      <c r="E1264" s="13" t="n"/>
      <c r="F1264" s="11">
        <f>IF($E1264="","",IFERROR(VLOOKUP($E1264,OpTbl,2,0),""))</f>
        <v/>
      </c>
      <c r="G1264" s="12" t="n"/>
      <c r="H1264" s="11">
        <f>IF($G1264="","",IFERROR(IF(VLOOKUP($G1264,AcctTbl,4,0)="","(بدون نام)",VLOOKUP($G1264,AcctTbl,4,0)),"کد ناشناخته"))</f>
        <v/>
      </c>
      <c r="I1264" s="13" t="n"/>
      <c r="J1264" s="13" t="n"/>
      <c r="K1264" s="14" t="n"/>
      <c r="L1264" s="14" t="n"/>
      <c r="M1264" s="15">
        <f>IF(OR($B1264="",$K1264=""),"",($K1264-IF($L1264="",0,$L1264)*IFERROR(VLOOKUP("P01",ParamTbl,3,0),1.5))*(1-IF(IFERROR(VLOOKUP($E1264,OpTbl,3,0),"")="خرید",IFERROR(VLOOKUP("P02",ParamTbl,3,0),1),0)/100))</f>
        <v/>
      </c>
      <c r="N1264" s="14" t="n"/>
      <c r="O1264" s="13" t="n"/>
    </row>
    <row r="1265">
      <c r="A1265" s="11">
        <f>IF($B1265="","",COUNTA($B$9:$B1265))</f>
        <v/>
      </c>
      <c r="B1265" s="12" t="n"/>
      <c r="C1265" s="12" t="n"/>
      <c r="D1265" s="12" t="n"/>
      <c r="E1265" s="13" t="n"/>
      <c r="F1265" s="11">
        <f>IF($E1265="","",IFERROR(VLOOKUP($E1265,OpTbl,2,0),""))</f>
        <v/>
      </c>
      <c r="G1265" s="12" t="n"/>
      <c r="H1265" s="11">
        <f>IF($G1265="","",IFERROR(IF(VLOOKUP($G1265,AcctTbl,4,0)="","(بدون نام)",VLOOKUP($G1265,AcctTbl,4,0)),"کد ناشناخته"))</f>
        <v/>
      </c>
      <c r="I1265" s="13" t="n"/>
      <c r="J1265" s="13" t="n"/>
      <c r="K1265" s="14" t="n"/>
      <c r="L1265" s="14" t="n"/>
      <c r="M1265" s="15">
        <f>IF(OR($B1265="",$K1265=""),"",($K1265-IF($L1265="",0,$L1265)*IFERROR(VLOOKUP("P01",ParamTbl,3,0),1.5))*(1-IF(IFERROR(VLOOKUP($E1265,OpTbl,3,0),"")="خرید",IFERROR(VLOOKUP("P02",ParamTbl,3,0),1),0)/100))</f>
        <v/>
      </c>
      <c r="N1265" s="14" t="n"/>
      <c r="O1265" s="13" t="n"/>
    </row>
    <row r="1266">
      <c r="A1266" s="11">
        <f>IF($B1266="","",COUNTA($B$9:$B1266))</f>
        <v/>
      </c>
      <c r="B1266" s="12" t="n"/>
      <c r="C1266" s="12" t="n"/>
      <c r="D1266" s="12" t="n"/>
      <c r="E1266" s="13" t="n"/>
      <c r="F1266" s="11">
        <f>IF($E1266="","",IFERROR(VLOOKUP($E1266,OpTbl,2,0),""))</f>
        <v/>
      </c>
      <c r="G1266" s="12" t="n"/>
      <c r="H1266" s="11">
        <f>IF($G1266="","",IFERROR(IF(VLOOKUP($G1266,AcctTbl,4,0)="","(بدون نام)",VLOOKUP($G1266,AcctTbl,4,0)),"کد ناشناخته"))</f>
        <v/>
      </c>
      <c r="I1266" s="13" t="n"/>
      <c r="J1266" s="13" t="n"/>
      <c r="K1266" s="14" t="n"/>
      <c r="L1266" s="14" t="n"/>
      <c r="M1266" s="15">
        <f>IF(OR($B1266="",$K1266=""),"",($K1266-IF($L1266="",0,$L1266)*IFERROR(VLOOKUP("P01",ParamTbl,3,0),1.5))*(1-IF(IFERROR(VLOOKUP($E1266,OpTbl,3,0),"")="خرید",IFERROR(VLOOKUP("P02",ParamTbl,3,0),1),0)/100))</f>
        <v/>
      </c>
      <c r="N1266" s="14" t="n"/>
      <c r="O1266" s="13" t="n"/>
    </row>
    <row r="1267">
      <c r="A1267" s="11">
        <f>IF($B1267="","",COUNTA($B$9:$B1267))</f>
        <v/>
      </c>
      <c r="B1267" s="12" t="n"/>
      <c r="C1267" s="12" t="n"/>
      <c r="D1267" s="12" t="n"/>
      <c r="E1267" s="13" t="n"/>
      <c r="F1267" s="11">
        <f>IF($E1267="","",IFERROR(VLOOKUP($E1267,OpTbl,2,0),""))</f>
        <v/>
      </c>
      <c r="G1267" s="12" t="n"/>
      <c r="H1267" s="11">
        <f>IF($G1267="","",IFERROR(IF(VLOOKUP($G1267,AcctTbl,4,0)="","(بدون نام)",VLOOKUP($G1267,AcctTbl,4,0)),"کد ناشناخته"))</f>
        <v/>
      </c>
      <c r="I1267" s="13" t="n"/>
      <c r="J1267" s="13" t="n"/>
      <c r="K1267" s="14" t="n"/>
      <c r="L1267" s="14" t="n"/>
      <c r="M1267" s="15">
        <f>IF(OR($B1267="",$K1267=""),"",($K1267-IF($L1267="",0,$L1267)*IFERROR(VLOOKUP("P01",ParamTbl,3,0),1.5))*(1-IF(IFERROR(VLOOKUP($E1267,OpTbl,3,0),"")="خرید",IFERROR(VLOOKUP("P02",ParamTbl,3,0),1),0)/100))</f>
        <v/>
      </c>
      <c r="N1267" s="14" t="n"/>
      <c r="O1267" s="13" t="n"/>
    </row>
    <row r="1268">
      <c r="A1268" s="11">
        <f>IF($B1268="","",COUNTA($B$9:$B1268))</f>
        <v/>
      </c>
      <c r="B1268" s="12" t="n"/>
      <c r="C1268" s="12" t="n"/>
      <c r="D1268" s="12" t="n"/>
      <c r="E1268" s="13" t="n"/>
      <c r="F1268" s="11">
        <f>IF($E1268="","",IFERROR(VLOOKUP($E1268,OpTbl,2,0),""))</f>
        <v/>
      </c>
      <c r="G1268" s="12" t="n"/>
      <c r="H1268" s="11">
        <f>IF($G1268="","",IFERROR(IF(VLOOKUP($G1268,AcctTbl,4,0)="","(بدون نام)",VLOOKUP($G1268,AcctTbl,4,0)),"کد ناشناخته"))</f>
        <v/>
      </c>
      <c r="I1268" s="13" t="n"/>
      <c r="J1268" s="13" t="n"/>
      <c r="K1268" s="14" t="n"/>
      <c r="L1268" s="14" t="n"/>
      <c r="M1268" s="15">
        <f>IF(OR($B1268="",$K1268=""),"",($K1268-IF($L1268="",0,$L1268)*IFERROR(VLOOKUP("P01",ParamTbl,3,0),1.5))*(1-IF(IFERROR(VLOOKUP($E1268,OpTbl,3,0),"")="خرید",IFERROR(VLOOKUP("P02",ParamTbl,3,0),1),0)/100))</f>
        <v/>
      </c>
      <c r="N1268" s="14" t="n"/>
      <c r="O1268" s="13" t="n"/>
    </row>
    <row r="1269">
      <c r="A1269" s="11">
        <f>IF($B1269="","",COUNTA($B$9:$B1269))</f>
        <v/>
      </c>
      <c r="B1269" s="12" t="n"/>
      <c r="C1269" s="12" t="n"/>
      <c r="D1269" s="12" t="n"/>
      <c r="E1269" s="13" t="n"/>
      <c r="F1269" s="11">
        <f>IF($E1269="","",IFERROR(VLOOKUP($E1269,OpTbl,2,0),""))</f>
        <v/>
      </c>
      <c r="G1269" s="12" t="n"/>
      <c r="H1269" s="11">
        <f>IF($G1269="","",IFERROR(IF(VLOOKUP($G1269,AcctTbl,4,0)="","(بدون نام)",VLOOKUP($G1269,AcctTbl,4,0)),"کد ناشناخته"))</f>
        <v/>
      </c>
      <c r="I1269" s="13" t="n"/>
      <c r="J1269" s="13" t="n"/>
      <c r="K1269" s="14" t="n"/>
      <c r="L1269" s="14" t="n"/>
      <c r="M1269" s="15">
        <f>IF(OR($B1269="",$K1269=""),"",($K1269-IF($L1269="",0,$L1269)*IFERROR(VLOOKUP("P01",ParamTbl,3,0),1.5))*(1-IF(IFERROR(VLOOKUP($E1269,OpTbl,3,0),"")="خرید",IFERROR(VLOOKUP("P02",ParamTbl,3,0),1),0)/100))</f>
        <v/>
      </c>
      <c r="N1269" s="14" t="n"/>
      <c r="O1269" s="13" t="n"/>
    </row>
    <row r="1270">
      <c r="A1270" s="11">
        <f>IF($B1270="","",COUNTA($B$9:$B1270))</f>
        <v/>
      </c>
      <c r="B1270" s="12" t="n"/>
      <c r="C1270" s="12" t="n"/>
      <c r="D1270" s="12" t="n"/>
      <c r="E1270" s="13" t="n"/>
      <c r="F1270" s="11">
        <f>IF($E1270="","",IFERROR(VLOOKUP($E1270,OpTbl,2,0),""))</f>
        <v/>
      </c>
      <c r="G1270" s="12" t="n"/>
      <c r="H1270" s="11">
        <f>IF($G1270="","",IFERROR(IF(VLOOKUP($G1270,AcctTbl,4,0)="","(بدون نام)",VLOOKUP($G1270,AcctTbl,4,0)),"کد ناشناخته"))</f>
        <v/>
      </c>
      <c r="I1270" s="13" t="n"/>
      <c r="J1270" s="13" t="n"/>
      <c r="K1270" s="14" t="n"/>
      <c r="L1270" s="14" t="n"/>
      <c r="M1270" s="15">
        <f>IF(OR($B1270="",$K1270=""),"",($K1270-IF($L1270="",0,$L1270)*IFERROR(VLOOKUP("P01",ParamTbl,3,0),1.5))*(1-IF(IFERROR(VLOOKUP($E1270,OpTbl,3,0),"")="خرید",IFERROR(VLOOKUP("P02",ParamTbl,3,0),1),0)/100))</f>
        <v/>
      </c>
      <c r="N1270" s="14" t="n"/>
      <c r="O1270" s="13" t="n"/>
    </row>
    <row r="1271">
      <c r="A1271" s="11">
        <f>IF($B1271="","",COUNTA($B$9:$B1271))</f>
        <v/>
      </c>
      <c r="B1271" s="12" t="n"/>
      <c r="C1271" s="12" t="n"/>
      <c r="D1271" s="12" t="n"/>
      <c r="E1271" s="13" t="n"/>
      <c r="F1271" s="11">
        <f>IF($E1271="","",IFERROR(VLOOKUP($E1271,OpTbl,2,0),""))</f>
        <v/>
      </c>
      <c r="G1271" s="12" t="n"/>
      <c r="H1271" s="11">
        <f>IF($G1271="","",IFERROR(IF(VLOOKUP($G1271,AcctTbl,4,0)="","(بدون نام)",VLOOKUP($G1271,AcctTbl,4,0)),"کد ناشناخته"))</f>
        <v/>
      </c>
      <c r="I1271" s="13" t="n"/>
      <c r="J1271" s="13" t="n"/>
      <c r="K1271" s="14" t="n"/>
      <c r="L1271" s="14" t="n"/>
      <c r="M1271" s="15">
        <f>IF(OR($B1271="",$K1271=""),"",($K1271-IF($L1271="",0,$L1271)*IFERROR(VLOOKUP("P01",ParamTbl,3,0),1.5))*(1-IF(IFERROR(VLOOKUP($E1271,OpTbl,3,0),"")="خرید",IFERROR(VLOOKUP("P02",ParamTbl,3,0),1),0)/100))</f>
        <v/>
      </c>
      <c r="N1271" s="14" t="n"/>
      <c r="O1271" s="13" t="n"/>
    </row>
    <row r="1272">
      <c r="A1272" s="11">
        <f>IF($B1272="","",COUNTA($B$9:$B1272))</f>
        <v/>
      </c>
      <c r="B1272" s="12" t="n"/>
      <c r="C1272" s="12" t="n"/>
      <c r="D1272" s="12" t="n"/>
      <c r="E1272" s="13" t="n"/>
      <c r="F1272" s="11">
        <f>IF($E1272="","",IFERROR(VLOOKUP($E1272,OpTbl,2,0),""))</f>
        <v/>
      </c>
      <c r="G1272" s="12" t="n"/>
      <c r="H1272" s="11">
        <f>IF($G1272="","",IFERROR(IF(VLOOKUP($G1272,AcctTbl,4,0)="","(بدون نام)",VLOOKUP($G1272,AcctTbl,4,0)),"کد ناشناخته"))</f>
        <v/>
      </c>
      <c r="I1272" s="13" t="n"/>
      <c r="J1272" s="13" t="n"/>
      <c r="K1272" s="14" t="n"/>
      <c r="L1272" s="14" t="n"/>
      <c r="M1272" s="15">
        <f>IF(OR($B1272="",$K1272=""),"",($K1272-IF($L1272="",0,$L1272)*IFERROR(VLOOKUP("P01",ParamTbl,3,0),1.5))*(1-IF(IFERROR(VLOOKUP($E1272,OpTbl,3,0),"")="خرید",IFERROR(VLOOKUP("P02",ParamTbl,3,0),1),0)/100))</f>
        <v/>
      </c>
      <c r="N1272" s="14" t="n"/>
      <c r="O1272" s="13" t="n"/>
    </row>
    <row r="1273">
      <c r="A1273" s="11">
        <f>IF($B1273="","",COUNTA($B$9:$B1273))</f>
        <v/>
      </c>
      <c r="B1273" s="12" t="n"/>
      <c r="C1273" s="12" t="n"/>
      <c r="D1273" s="12" t="n"/>
      <c r="E1273" s="13" t="n"/>
      <c r="F1273" s="11">
        <f>IF($E1273="","",IFERROR(VLOOKUP($E1273,OpTbl,2,0),""))</f>
        <v/>
      </c>
      <c r="G1273" s="12" t="n"/>
      <c r="H1273" s="11">
        <f>IF($G1273="","",IFERROR(IF(VLOOKUP($G1273,AcctTbl,4,0)="","(بدون نام)",VLOOKUP($G1273,AcctTbl,4,0)),"کد ناشناخته"))</f>
        <v/>
      </c>
      <c r="I1273" s="13" t="n"/>
      <c r="J1273" s="13" t="n"/>
      <c r="K1273" s="14" t="n"/>
      <c r="L1273" s="14" t="n"/>
      <c r="M1273" s="15">
        <f>IF(OR($B1273="",$K1273=""),"",($K1273-IF($L1273="",0,$L1273)*IFERROR(VLOOKUP("P01",ParamTbl,3,0),1.5))*(1-IF(IFERROR(VLOOKUP($E1273,OpTbl,3,0),"")="خرید",IFERROR(VLOOKUP("P02",ParamTbl,3,0),1),0)/100))</f>
        <v/>
      </c>
      <c r="N1273" s="14" t="n"/>
      <c r="O1273" s="13" t="n"/>
    </row>
    <row r="1274">
      <c r="A1274" s="11">
        <f>IF($B1274="","",COUNTA($B$9:$B1274))</f>
        <v/>
      </c>
      <c r="B1274" s="12" t="n"/>
      <c r="C1274" s="12" t="n"/>
      <c r="D1274" s="12" t="n"/>
      <c r="E1274" s="13" t="n"/>
      <c r="F1274" s="11">
        <f>IF($E1274="","",IFERROR(VLOOKUP($E1274,OpTbl,2,0),""))</f>
        <v/>
      </c>
      <c r="G1274" s="12" t="n"/>
      <c r="H1274" s="11">
        <f>IF($G1274="","",IFERROR(IF(VLOOKUP($G1274,AcctTbl,4,0)="","(بدون نام)",VLOOKUP($G1274,AcctTbl,4,0)),"کد ناشناخته"))</f>
        <v/>
      </c>
      <c r="I1274" s="13" t="n"/>
      <c r="J1274" s="13" t="n"/>
      <c r="K1274" s="14" t="n"/>
      <c r="L1274" s="14" t="n"/>
      <c r="M1274" s="15">
        <f>IF(OR($B1274="",$K1274=""),"",($K1274-IF($L1274="",0,$L1274)*IFERROR(VLOOKUP("P01",ParamTbl,3,0),1.5))*(1-IF(IFERROR(VLOOKUP($E1274,OpTbl,3,0),"")="خرید",IFERROR(VLOOKUP("P02",ParamTbl,3,0),1),0)/100))</f>
        <v/>
      </c>
      <c r="N1274" s="14" t="n"/>
      <c r="O1274" s="13" t="n"/>
    </row>
    <row r="1275">
      <c r="A1275" s="11">
        <f>IF($B1275="","",COUNTA($B$9:$B1275))</f>
        <v/>
      </c>
      <c r="B1275" s="12" t="n"/>
      <c r="C1275" s="12" t="n"/>
      <c r="D1275" s="12" t="n"/>
      <c r="E1275" s="13" t="n"/>
      <c r="F1275" s="11">
        <f>IF($E1275="","",IFERROR(VLOOKUP($E1275,OpTbl,2,0),""))</f>
        <v/>
      </c>
      <c r="G1275" s="12" t="n"/>
      <c r="H1275" s="11">
        <f>IF($G1275="","",IFERROR(IF(VLOOKUP($G1275,AcctTbl,4,0)="","(بدون نام)",VLOOKUP($G1275,AcctTbl,4,0)),"کد ناشناخته"))</f>
        <v/>
      </c>
      <c r="I1275" s="13" t="n"/>
      <c r="J1275" s="13" t="n"/>
      <c r="K1275" s="14" t="n"/>
      <c r="L1275" s="14" t="n"/>
      <c r="M1275" s="15">
        <f>IF(OR($B1275="",$K1275=""),"",($K1275-IF($L1275="",0,$L1275)*IFERROR(VLOOKUP("P01",ParamTbl,3,0),1.5))*(1-IF(IFERROR(VLOOKUP($E1275,OpTbl,3,0),"")="خرید",IFERROR(VLOOKUP("P02",ParamTbl,3,0),1),0)/100))</f>
        <v/>
      </c>
      <c r="N1275" s="14" t="n"/>
      <c r="O1275" s="13" t="n"/>
    </row>
    <row r="1276">
      <c r="A1276" s="11">
        <f>IF($B1276="","",COUNTA($B$9:$B1276))</f>
        <v/>
      </c>
      <c r="B1276" s="12" t="n"/>
      <c r="C1276" s="12" t="n"/>
      <c r="D1276" s="12" t="n"/>
      <c r="E1276" s="13" t="n"/>
      <c r="F1276" s="11">
        <f>IF($E1276="","",IFERROR(VLOOKUP($E1276,OpTbl,2,0),""))</f>
        <v/>
      </c>
      <c r="G1276" s="12" t="n"/>
      <c r="H1276" s="11">
        <f>IF($G1276="","",IFERROR(IF(VLOOKUP($G1276,AcctTbl,4,0)="","(بدون نام)",VLOOKUP($G1276,AcctTbl,4,0)),"کد ناشناخته"))</f>
        <v/>
      </c>
      <c r="I1276" s="13" t="n"/>
      <c r="J1276" s="13" t="n"/>
      <c r="K1276" s="14" t="n"/>
      <c r="L1276" s="14" t="n"/>
      <c r="M1276" s="15">
        <f>IF(OR($B1276="",$K1276=""),"",($K1276-IF($L1276="",0,$L1276)*IFERROR(VLOOKUP("P01",ParamTbl,3,0),1.5))*(1-IF(IFERROR(VLOOKUP($E1276,OpTbl,3,0),"")="خرید",IFERROR(VLOOKUP("P02",ParamTbl,3,0),1),0)/100))</f>
        <v/>
      </c>
      <c r="N1276" s="14" t="n"/>
      <c r="O1276" s="13" t="n"/>
    </row>
    <row r="1277">
      <c r="A1277" s="11">
        <f>IF($B1277="","",COUNTA($B$9:$B1277))</f>
        <v/>
      </c>
      <c r="B1277" s="12" t="n"/>
      <c r="C1277" s="12" t="n"/>
      <c r="D1277" s="12" t="n"/>
      <c r="E1277" s="13" t="n"/>
      <c r="F1277" s="11">
        <f>IF($E1277="","",IFERROR(VLOOKUP($E1277,OpTbl,2,0),""))</f>
        <v/>
      </c>
      <c r="G1277" s="12" t="n"/>
      <c r="H1277" s="11">
        <f>IF($G1277="","",IFERROR(IF(VLOOKUP($G1277,AcctTbl,4,0)="","(بدون نام)",VLOOKUP($G1277,AcctTbl,4,0)),"کد ناشناخته"))</f>
        <v/>
      </c>
      <c r="I1277" s="13" t="n"/>
      <c r="J1277" s="13" t="n"/>
      <c r="K1277" s="14" t="n"/>
      <c r="L1277" s="14" t="n"/>
      <c r="M1277" s="15">
        <f>IF(OR($B1277="",$K1277=""),"",($K1277-IF($L1277="",0,$L1277)*IFERROR(VLOOKUP("P01",ParamTbl,3,0),1.5))*(1-IF(IFERROR(VLOOKUP($E1277,OpTbl,3,0),"")="خرید",IFERROR(VLOOKUP("P02",ParamTbl,3,0),1),0)/100))</f>
        <v/>
      </c>
      <c r="N1277" s="14" t="n"/>
      <c r="O1277" s="13" t="n"/>
    </row>
    <row r="1278">
      <c r="A1278" s="11">
        <f>IF($B1278="","",COUNTA($B$9:$B1278))</f>
        <v/>
      </c>
      <c r="B1278" s="12" t="n"/>
      <c r="C1278" s="12" t="n"/>
      <c r="D1278" s="12" t="n"/>
      <c r="E1278" s="13" t="n"/>
      <c r="F1278" s="11">
        <f>IF($E1278="","",IFERROR(VLOOKUP($E1278,OpTbl,2,0),""))</f>
        <v/>
      </c>
      <c r="G1278" s="12" t="n"/>
      <c r="H1278" s="11">
        <f>IF($G1278="","",IFERROR(IF(VLOOKUP($G1278,AcctTbl,4,0)="","(بدون نام)",VLOOKUP($G1278,AcctTbl,4,0)),"کد ناشناخته"))</f>
        <v/>
      </c>
      <c r="I1278" s="13" t="n"/>
      <c r="J1278" s="13" t="n"/>
      <c r="K1278" s="14" t="n"/>
      <c r="L1278" s="14" t="n"/>
      <c r="M1278" s="15">
        <f>IF(OR($B1278="",$K1278=""),"",($K1278-IF($L1278="",0,$L1278)*IFERROR(VLOOKUP("P01",ParamTbl,3,0),1.5))*(1-IF(IFERROR(VLOOKUP($E1278,OpTbl,3,0),"")="خرید",IFERROR(VLOOKUP("P02",ParamTbl,3,0),1),0)/100))</f>
        <v/>
      </c>
      <c r="N1278" s="14" t="n"/>
      <c r="O1278" s="13" t="n"/>
    </row>
    <row r="1279">
      <c r="A1279" s="11">
        <f>IF($B1279="","",COUNTA($B$9:$B1279))</f>
        <v/>
      </c>
      <c r="B1279" s="12" t="n"/>
      <c r="C1279" s="12" t="n"/>
      <c r="D1279" s="12" t="n"/>
      <c r="E1279" s="13" t="n"/>
      <c r="F1279" s="11">
        <f>IF($E1279="","",IFERROR(VLOOKUP($E1279,OpTbl,2,0),""))</f>
        <v/>
      </c>
      <c r="G1279" s="12" t="n"/>
      <c r="H1279" s="11">
        <f>IF($G1279="","",IFERROR(IF(VLOOKUP($G1279,AcctTbl,4,0)="","(بدون نام)",VLOOKUP($G1279,AcctTbl,4,0)),"کد ناشناخته"))</f>
        <v/>
      </c>
      <c r="I1279" s="13" t="n"/>
      <c r="J1279" s="13" t="n"/>
      <c r="K1279" s="14" t="n"/>
      <c r="L1279" s="14" t="n"/>
      <c r="M1279" s="15">
        <f>IF(OR($B1279="",$K1279=""),"",($K1279-IF($L1279="",0,$L1279)*IFERROR(VLOOKUP("P01",ParamTbl,3,0),1.5))*(1-IF(IFERROR(VLOOKUP($E1279,OpTbl,3,0),"")="خرید",IFERROR(VLOOKUP("P02",ParamTbl,3,0),1),0)/100))</f>
        <v/>
      </c>
      <c r="N1279" s="14" t="n"/>
      <c r="O1279" s="13" t="n"/>
    </row>
    <row r="1280">
      <c r="A1280" s="11">
        <f>IF($B1280="","",COUNTA($B$9:$B1280))</f>
        <v/>
      </c>
      <c r="B1280" s="12" t="n"/>
      <c r="C1280" s="12" t="n"/>
      <c r="D1280" s="12" t="n"/>
      <c r="E1280" s="13" t="n"/>
      <c r="F1280" s="11">
        <f>IF($E1280="","",IFERROR(VLOOKUP($E1280,OpTbl,2,0),""))</f>
        <v/>
      </c>
      <c r="G1280" s="12" t="n"/>
      <c r="H1280" s="11">
        <f>IF($G1280="","",IFERROR(IF(VLOOKUP($G1280,AcctTbl,4,0)="","(بدون نام)",VLOOKUP($G1280,AcctTbl,4,0)),"کد ناشناخته"))</f>
        <v/>
      </c>
      <c r="I1280" s="13" t="n"/>
      <c r="J1280" s="13" t="n"/>
      <c r="K1280" s="14" t="n"/>
      <c r="L1280" s="14" t="n"/>
      <c r="M1280" s="15">
        <f>IF(OR($B1280="",$K1280=""),"",($K1280-IF($L1280="",0,$L1280)*IFERROR(VLOOKUP("P01",ParamTbl,3,0),1.5))*(1-IF(IFERROR(VLOOKUP($E1280,OpTbl,3,0),"")="خرید",IFERROR(VLOOKUP("P02",ParamTbl,3,0),1),0)/100))</f>
        <v/>
      </c>
      <c r="N1280" s="14" t="n"/>
      <c r="O1280" s="13" t="n"/>
    </row>
    <row r="1281">
      <c r="A1281" s="11">
        <f>IF($B1281="","",COUNTA($B$9:$B1281))</f>
        <v/>
      </c>
      <c r="B1281" s="12" t="n"/>
      <c r="C1281" s="12" t="n"/>
      <c r="D1281" s="12" t="n"/>
      <c r="E1281" s="13" t="n"/>
      <c r="F1281" s="11">
        <f>IF($E1281="","",IFERROR(VLOOKUP($E1281,OpTbl,2,0),""))</f>
        <v/>
      </c>
      <c r="G1281" s="12" t="n"/>
      <c r="H1281" s="11">
        <f>IF($G1281="","",IFERROR(IF(VLOOKUP($G1281,AcctTbl,4,0)="","(بدون نام)",VLOOKUP($G1281,AcctTbl,4,0)),"کد ناشناخته"))</f>
        <v/>
      </c>
      <c r="I1281" s="13" t="n"/>
      <c r="J1281" s="13" t="n"/>
      <c r="K1281" s="14" t="n"/>
      <c r="L1281" s="14" t="n"/>
      <c r="M1281" s="15">
        <f>IF(OR($B1281="",$K1281=""),"",($K1281-IF($L1281="",0,$L1281)*IFERROR(VLOOKUP("P01",ParamTbl,3,0),1.5))*(1-IF(IFERROR(VLOOKUP($E1281,OpTbl,3,0),"")="خرید",IFERROR(VLOOKUP("P02",ParamTbl,3,0),1),0)/100))</f>
        <v/>
      </c>
      <c r="N1281" s="14" t="n"/>
      <c r="O1281" s="13" t="n"/>
    </row>
    <row r="1282">
      <c r="A1282" s="11">
        <f>IF($B1282="","",COUNTA($B$9:$B1282))</f>
        <v/>
      </c>
      <c r="B1282" s="12" t="n"/>
      <c r="C1282" s="12" t="n"/>
      <c r="D1282" s="12" t="n"/>
      <c r="E1282" s="13" t="n"/>
      <c r="F1282" s="11">
        <f>IF($E1282="","",IFERROR(VLOOKUP($E1282,OpTbl,2,0),""))</f>
        <v/>
      </c>
      <c r="G1282" s="12" t="n"/>
      <c r="H1282" s="11">
        <f>IF($G1282="","",IFERROR(IF(VLOOKUP($G1282,AcctTbl,4,0)="","(بدون نام)",VLOOKUP($G1282,AcctTbl,4,0)),"کد ناشناخته"))</f>
        <v/>
      </c>
      <c r="I1282" s="13" t="n"/>
      <c r="J1282" s="13" t="n"/>
      <c r="K1282" s="14" t="n"/>
      <c r="L1282" s="14" t="n"/>
      <c r="M1282" s="15">
        <f>IF(OR($B1282="",$K1282=""),"",($K1282-IF($L1282="",0,$L1282)*IFERROR(VLOOKUP("P01",ParamTbl,3,0),1.5))*(1-IF(IFERROR(VLOOKUP($E1282,OpTbl,3,0),"")="خرید",IFERROR(VLOOKUP("P02",ParamTbl,3,0),1),0)/100))</f>
        <v/>
      </c>
      <c r="N1282" s="14" t="n"/>
      <c r="O1282" s="13" t="n"/>
    </row>
    <row r="1283">
      <c r="A1283" s="11">
        <f>IF($B1283="","",COUNTA($B$9:$B1283))</f>
        <v/>
      </c>
      <c r="B1283" s="12" t="n"/>
      <c r="C1283" s="12" t="n"/>
      <c r="D1283" s="12" t="n"/>
      <c r="E1283" s="13" t="n"/>
      <c r="F1283" s="11">
        <f>IF($E1283="","",IFERROR(VLOOKUP($E1283,OpTbl,2,0),""))</f>
        <v/>
      </c>
      <c r="G1283" s="12" t="n"/>
      <c r="H1283" s="11">
        <f>IF($G1283="","",IFERROR(IF(VLOOKUP($G1283,AcctTbl,4,0)="","(بدون نام)",VLOOKUP($G1283,AcctTbl,4,0)),"کد ناشناخته"))</f>
        <v/>
      </c>
      <c r="I1283" s="13" t="n"/>
      <c r="J1283" s="13" t="n"/>
      <c r="K1283" s="14" t="n"/>
      <c r="L1283" s="14" t="n"/>
      <c r="M1283" s="15">
        <f>IF(OR($B1283="",$K1283=""),"",($K1283-IF($L1283="",0,$L1283)*IFERROR(VLOOKUP("P01",ParamTbl,3,0),1.5))*(1-IF(IFERROR(VLOOKUP($E1283,OpTbl,3,0),"")="خرید",IFERROR(VLOOKUP("P02",ParamTbl,3,0),1),0)/100))</f>
        <v/>
      </c>
      <c r="N1283" s="14" t="n"/>
      <c r="O1283" s="13" t="n"/>
    </row>
    <row r="1284">
      <c r="A1284" s="11">
        <f>IF($B1284="","",COUNTA($B$9:$B1284))</f>
        <v/>
      </c>
      <c r="B1284" s="12" t="n"/>
      <c r="C1284" s="12" t="n"/>
      <c r="D1284" s="12" t="n"/>
      <c r="E1284" s="13" t="n"/>
      <c r="F1284" s="11">
        <f>IF($E1284="","",IFERROR(VLOOKUP($E1284,OpTbl,2,0),""))</f>
        <v/>
      </c>
      <c r="G1284" s="12" t="n"/>
      <c r="H1284" s="11">
        <f>IF($G1284="","",IFERROR(IF(VLOOKUP($G1284,AcctTbl,4,0)="","(بدون نام)",VLOOKUP($G1284,AcctTbl,4,0)),"کد ناشناخته"))</f>
        <v/>
      </c>
      <c r="I1284" s="13" t="n"/>
      <c r="J1284" s="13" t="n"/>
      <c r="K1284" s="14" t="n"/>
      <c r="L1284" s="14" t="n"/>
      <c r="M1284" s="15">
        <f>IF(OR($B1284="",$K1284=""),"",($K1284-IF($L1284="",0,$L1284)*IFERROR(VLOOKUP("P01",ParamTbl,3,0),1.5))*(1-IF(IFERROR(VLOOKUP($E1284,OpTbl,3,0),"")="خرید",IFERROR(VLOOKUP("P02",ParamTbl,3,0),1),0)/100))</f>
        <v/>
      </c>
      <c r="N1284" s="14" t="n"/>
      <c r="O1284" s="13" t="n"/>
    </row>
    <row r="1285">
      <c r="A1285" s="11">
        <f>IF($B1285="","",COUNTA($B$9:$B1285))</f>
        <v/>
      </c>
      <c r="B1285" s="12" t="n"/>
      <c r="C1285" s="12" t="n"/>
      <c r="D1285" s="12" t="n"/>
      <c r="E1285" s="13" t="n"/>
      <c r="F1285" s="11">
        <f>IF($E1285="","",IFERROR(VLOOKUP($E1285,OpTbl,2,0),""))</f>
        <v/>
      </c>
      <c r="G1285" s="12" t="n"/>
      <c r="H1285" s="11">
        <f>IF($G1285="","",IFERROR(IF(VLOOKUP($G1285,AcctTbl,4,0)="","(بدون نام)",VLOOKUP($G1285,AcctTbl,4,0)),"کد ناشناخته"))</f>
        <v/>
      </c>
      <c r="I1285" s="13" t="n"/>
      <c r="J1285" s="13" t="n"/>
      <c r="K1285" s="14" t="n"/>
      <c r="L1285" s="14" t="n"/>
      <c r="M1285" s="15">
        <f>IF(OR($B1285="",$K1285=""),"",($K1285-IF($L1285="",0,$L1285)*IFERROR(VLOOKUP("P01",ParamTbl,3,0),1.5))*(1-IF(IFERROR(VLOOKUP($E1285,OpTbl,3,0),"")="خرید",IFERROR(VLOOKUP("P02",ParamTbl,3,0),1),0)/100))</f>
        <v/>
      </c>
      <c r="N1285" s="14" t="n"/>
      <c r="O1285" s="13" t="n"/>
    </row>
    <row r="1286">
      <c r="A1286" s="11">
        <f>IF($B1286="","",COUNTA($B$9:$B1286))</f>
        <v/>
      </c>
      <c r="B1286" s="12" t="n"/>
      <c r="C1286" s="12" t="n"/>
      <c r="D1286" s="12" t="n"/>
      <c r="E1286" s="13" t="n"/>
      <c r="F1286" s="11">
        <f>IF($E1286="","",IFERROR(VLOOKUP($E1286,OpTbl,2,0),""))</f>
        <v/>
      </c>
      <c r="G1286" s="12" t="n"/>
      <c r="H1286" s="11">
        <f>IF($G1286="","",IFERROR(IF(VLOOKUP($G1286,AcctTbl,4,0)="","(بدون نام)",VLOOKUP($G1286,AcctTbl,4,0)),"کد ناشناخته"))</f>
        <v/>
      </c>
      <c r="I1286" s="13" t="n"/>
      <c r="J1286" s="13" t="n"/>
      <c r="K1286" s="14" t="n"/>
      <c r="L1286" s="14" t="n"/>
      <c r="M1286" s="15">
        <f>IF(OR($B1286="",$K1286=""),"",($K1286-IF($L1286="",0,$L1286)*IFERROR(VLOOKUP("P01",ParamTbl,3,0),1.5))*(1-IF(IFERROR(VLOOKUP($E1286,OpTbl,3,0),"")="خرید",IFERROR(VLOOKUP("P02",ParamTbl,3,0),1),0)/100))</f>
        <v/>
      </c>
      <c r="N1286" s="14" t="n"/>
      <c r="O1286" s="13" t="n"/>
    </row>
    <row r="1287">
      <c r="A1287" s="11">
        <f>IF($B1287="","",COUNTA($B$9:$B1287))</f>
        <v/>
      </c>
      <c r="B1287" s="12" t="n"/>
      <c r="C1287" s="12" t="n"/>
      <c r="D1287" s="12" t="n"/>
      <c r="E1287" s="13" t="n"/>
      <c r="F1287" s="11">
        <f>IF($E1287="","",IFERROR(VLOOKUP($E1287,OpTbl,2,0),""))</f>
        <v/>
      </c>
      <c r="G1287" s="12" t="n"/>
      <c r="H1287" s="11">
        <f>IF($G1287="","",IFERROR(IF(VLOOKUP($G1287,AcctTbl,4,0)="","(بدون نام)",VLOOKUP($G1287,AcctTbl,4,0)),"کد ناشناخته"))</f>
        <v/>
      </c>
      <c r="I1287" s="13" t="n"/>
      <c r="J1287" s="13" t="n"/>
      <c r="K1287" s="14" t="n"/>
      <c r="L1287" s="14" t="n"/>
      <c r="M1287" s="15">
        <f>IF(OR($B1287="",$K1287=""),"",($K1287-IF($L1287="",0,$L1287)*IFERROR(VLOOKUP("P01",ParamTbl,3,0),1.5))*(1-IF(IFERROR(VLOOKUP($E1287,OpTbl,3,0),"")="خرید",IFERROR(VLOOKUP("P02",ParamTbl,3,0),1),0)/100))</f>
        <v/>
      </c>
      <c r="N1287" s="14" t="n"/>
      <c r="O1287" s="13" t="n"/>
    </row>
    <row r="1288">
      <c r="A1288" s="11">
        <f>IF($B1288="","",COUNTA($B$9:$B1288))</f>
        <v/>
      </c>
      <c r="B1288" s="12" t="n"/>
      <c r="C1288" s="12" t="n"/>
      <c r="D1288" s="12" t="n"/>
      <c r="E1288" s="13" t="n"/>
      <c r="F1288" s="11">
        <f>IF($E1288="","",IFERROR(VLOOKUP($E1288,OpTbl,2,0),""))</f>
        <v/>
      </c>
      <c r="G1288" s="12" t="n"/>
      <c r="H1288" s="11">
        <f>IF($G1288="","",IFERROR(IF(VLOOKUP($G1288,AcctTbl,4,0)="","(بدون نام)",VLOOKUP($G1288,AcctTbl,4,0)),"کد ناشناخته"))</f>
        <v/>
      </c>
      <c r="I1288" s="13" t="n"/>
      <c r="J1288" s="13" t="n"/>
      <c r="K1288" s="14" t="n"/>
      <c r="L1288" s="14" t="n"/>
      <c r="M1288" s="15">
        <f>IF(OR($B1288="",$K1288=""),"",($K1288-IF($L1288="",0,$L1288)*IFERROR(VLOOKUP("P01",ParamTbl,3,0),1.5))*(1-IF(IFERROR(VLOOKUP($E1288,OpTbl,3,0),"")="خرید",IFERROR(VLOOKUP("P02",ParamTbl,3,0),1),0)/100))</f>
        <v/>
      </c>
      <c r="N1288" s="14" t="n"/>
      <c r="O1288" s="13" t="n"/>
    </row>
    <row r="1289">
      <c r="A1289" s="11">
        <f>IF($B1289="","",COUNTA($B$9:$B1289))</f>
        <v/>
      </c>
      <c r="B1289" s="12" t="n"/>
      <c r="C1289" s="12" t="n"/>
      <c r="D1289" s="12" t="n"/>
      <c r="E1289" s="13" t="n"/>
      <c r="F1289" s="11">
        <f>IF($E1289="","",IFERROR(VLOOKUP($E1289,OpTbl,2,0),""))</f>
        <v/>
      </c>
      <c r="G1289" s="12" t="n"/>
      <c r="H1289" s="11">
        <f>IF($G1289="","",IFERROR(IF(VLOOKUP($G1289,AcctTbl,4,0)="","(بدون نام)",VLOOKUP($G1289,AcctTbl,4,0)),"کد ناشناخته"))</f>
        <v/>
      </c>
      <c r="I1289" s="13" t="n"/>
      <c r="J1289" s="13" t="n"/>
      <c r="K1289" s="14" t="n"/>
      <c r="L1289" s="14" t="n"/>
      <c r="M1289" s="15">
        <f>IF(OR($B1289="",$K1289=""),"",($K1289-IF($L1289="",0,$L1289)*IFERROR(VLOOKUP("P01",ParamTbl,3,0),1.5))*(1-IF(IFERROR(VLOOKUP($E1289,OpTbl,3,0),"")="خرید",IFERROR(VLOOKUP("P02",ParamTbl,3,0),1),0)/100))</f>
        <v/>
      </c>
      <c r="N1289" s="14" t="n"/>
      <c r="O1289" s="13" t="n"/>
    </row>
    <row r="1290">
      <c r="A1290" s="11">
        <f>IF($B1290="","",COUNTA($B$9:$B1290))</f>
        <v/>
      </c>
      <c r="B1290" s="12" t="n"/>
      <c r="C1290" s="12" t="n"/>
      <c r="D1290" s="12" t="n"/>
      <c r="E1290" s="13" t="n"/>
      <c r="F1290" s="11">
        <f>IF($E1290="","",IFERROR(VLOOKUP($E1290,OpTbl,2,0),""))</f>
        <v/>
      </c>
      <c r="G1290" s="12" t="n"/>
      <c r="H1290" s="11">
        <f>IF($G1290="","",IFERROR(IF(VLOOKUP($G1290,AcctTbl,4,0)="","(بدون نام)",VLOOKUP($G1290,AcctTbl,4,0)),"کد ناشناخته"))</f>
        <v/>
      </c>
      <c r="I1290" s="13" t="n"/>
      <c r="J1290" s="13" t="n"/>
      <c r="K1290" s="14" t="n"/>
      <c r="L1290" s="14" t="n"/>
      <c r="M1290" s="15">
        <f>IF(OR($B1290="",$K1290=""),"",($K1290-IF($L1290="",0,$L1290)*IFERROR(VLOOKUP("P01",ParamTbl,3,0),1.5))*(1-IF(IFERROR(VLOOKUP($E1290,OpTbl,3,0),"")="خرید",IFERROR(VLOOKUP("P02",ParamTbl,3,0),1),0)/100))</f>
        <v/>
      </c>
      <c r="N1290" s="14" t="n"/>
      <c r="O1290" s="13" t="n"/>
    </row>
    <row r="1291">
      <c r="A1291" s="11">
        <f>IF($B1291="","",COUNTA($B$9:$B1291))</f>
        <v/>
      </c>
      <c r="B1291" s="12" t="n"/>
      <c r="C1291" s="12" t="n"/>
      <c r="D1291" s="12" t="n"/>
      <c r="E1291" s="13" t="n"/>
      <c r="F1291" s="11">
        <f>IF($E1291="","",IFERROR(VLOOKUP($E1291,OpTbl,2,0),""))</f>
        <v/>
      </c>
      <c r="G1291" s="12" t="n"/>
      <c r="H1291" s="11">
        <f>IF($G1291="","",IFERROR(IF(VLOOKUP($G1291,AcctTbl,4,0)="","(بدون نام)",VLOOKUP($G1291,AcctTbl,4,0)),"کد ناشناخته"))</f>
        <v/>
      </c>
      <c r="I1291" s="13" t="n"/>
      <c r="J1291" s="13" t="n"/>
      <c r="K1291" s="14" t="n"/>
      <c r="L1291" s="14" t="n"/>
      <c r="M1291" s="15">
        <f>IF(OR($B1291="",$K1291=""),"",($K1291-IF($L1291="",0,$L1291)*IFERROR(VLOOKUP("P01",ParamTbl,3,0),1.5))*(1-IF(IFERROR(VLOOKUP($E1291,OpTbl,3,0),"")="خرید",IFERROR(VLOOKUP("P02",ParamTbl,3,0),1),0)/100))</f>
        <v/>
      </c>
      <c r="N1291" s="14" t="n"/>
      <c r="O1291" s="13" t="n"/>
    </row>
    <row r="1292">
      <c r="A1292" s="11">
        <f>IF($B1292="","",COUNTA($B$9:$B1292))</f>
        <v/>
      </c>
      <c r="B1292" s="12" t="n"/>
      <c r="C1292" s="12" t="n"/>
      <c r="D1292" s="12" t="n"/>
      <c r="E1292" s="13" t="n"/>
      <c r="F1292" s="11">
        <f>IF($E1292="","",IFERROR(VLOOKUP($E1292,OpTbl,2,0),""))</f>
        <v/>
      </c>
      <c r="G1292" s="12" t="n"/>
      <c r="H1292" s="11">
        <f>IF($G1292="","",IFERROR(IF(VLOOKUP($G1292,AcctTbl,4,0)="","(بدون نام)",VLOOKUP($G1292,AcctTbl,4,0)),"کد ناشناخته"))</f>
        <v/>
      </c>
      <c r="I1292" s="13" t="n"/>
      <c r="J1292" s="13" t="n"/>
      <c r="K1292" s="14" t="n"/>
      <c r="L1292" s="14" t="n"/>
      <c r="M1292" s="15">
        <f>IF(OR($B1292="",$K1292=""),"",($K1292-IF($L1292="",0,$L1292)*IFERROR(VLOOKUP("P01",ParamTbl,3,0),1.5))*(1-IF(IFERROR(VLOOKUP($E1292,OpTbl,3,0),"")="خرید",IFERROR(VLOOKUP("P02",ParamTbl,3,0),1),0)/100))</f>
        <v/>
      </c>
      <c r="N1292" s="14" t="n"/>
      <c r="O1292" s="13" t="n"/>
    </row>
    <row r="1293">
      <c r="A1293" s="11">
        <f>IF($B1293="","",COUNTA($B$9:$B1293))</f>
        <v/>
      </c>
      <c r="B1293" s="12" t="n"/>
      <c r="C1293" s="12" t="n"/>
      <c r="D1293" s="12" t="n"/>
      <c r="E1293" s="13" t="n"/>
      <c r="F1293" s="11">
        <f>IF($E1293="","",IFERROR(VLOOKUP($E1293,OpTbl,2,0),""))</f>
        <v/>
      </c>
      <c r="G1293" s="12" t="n"/>
      <c r="H1293" s="11">
        <f>IF($G1293="","",IFERROR(IF(VLOOKUP($G1293,AcctTbl,4,0)="","(بدون نام)",VLOOKUP($G1293,AcctTbl,4,0)),"کد ناشناخته"))</f>
        <v/>
      </c>
      <c r="I1293" s="13" t="n"/>
      <c r="J1293" s="13" t="n"/>
      <c r="K1293" s="14" t="n"/>
      <c r="L1293" s="14" t="n"/>
      <c r="M1293" s="15">
        <f>IF(OR($B1293="",$K1293=""),"",($K1293-IF($L1293="",0,$L1293)*IFERROR(VLOOKUP("P01",ParamTbl,3,0),1.5))*(1-IF(IFERROR(VLOOKUP($E1293,OpTbl,3,0),"")="خرید",IFERROR(VLOOKUP("P02",ParamTbl,3,0),1),0)/100))</f>
        <v/>
      </c>
      <c r="N1293" s="14" t="n"/>
      <c r="O1293" s="13" t="n"/>
    </row>
    <row r="1294">
      <c r="A1294" s="11">
        <f>IF($B1294="","",COUNTA($B$9:$B1294))</f>
        <v/>
      </c>
      <c r="B1294" s="12" t="n"/>
      <c r="C1294" s="12" t="n"/>
      <c r="D1294" s="12" t="n"/>
      <c r="E1294" s="13" t="n"/>
      <c r="F1294" s="11">
        <f>IF($E1294="","",IFERROR(VLOOKUP($E1294,OpTbl,2,0),""))</f>
        <v/>
      </c>
      <c r="G1294" s="12" t="n"/>
      <c r="H1294" s="11">
        <f>IF($G1294="","",IFERROR(IF(VLOOKUP($G1294,AcctTbl,4,0)="","(بدون نام)",VLOOKUP($G1294,AcctTbl,4,0)),"کد ناشناخته"))</f>
        <v/>
      </c>
      <c r="I1294" s="13" t="n"/>
      <c r="J1294" s="13" t="n"/>
      <c r="K1294" s="14" t="n"/>
      <c r="L1294" s="14" t="n"/>
      <c r="M1294" s="15">
        <f>IF(OR($B1294="",$K1294=""),"",($K1294-IF($L1294="",0,$L1294)*IFERROR(VLOOKUP("P01",ParamTbl,3,0),1.5))*(1-IF(IFERROR(VLOOKUP($E1294,OpTbl,3,0),"")="خرید",IFERROR(VLOOKUP("P02",ParamTbl,3,0),1),0)/100))</f>
        <v/>
      </c>
      <c r="N1294" s="14" t="n"/>
      <c r="O1294" s="13" t="n"/>
    </row>
    <row r="1295">
      <c r="A1295" s="11">
        <f>IF($B1295="","",COUNTA($B$9:$B1295))</f>
        <v/>
      </c>
      <c r="B1295" s="12" t="n"/>
      <c r="C1295" s="12" t="n"/>
      <c r="D1295" s="12" t="n"/>
      <c r="E1295" s="13" t="n"/>
      <c r="F1295" s="11">
        <f>IF($E1295="","",IFERROR(VLOOKUP($E1295,OpTbl,2,0),""))</f>
        <v/>
      </c>
      <c r="G1295" s="12" t="n"/>
      <c r="H1295" s="11">
        <f>IF($G1295="","",IFERROR(IF(VLOOKUP($G1295,AcctTbl,4,0)="","(بدون نام)",VLOOKUP($G1295,AcctTbl,4,0)),"کد ناشناخته"))</f>
        <v/>
      </c>
      <c r="I1295" s="13" t="n"/>
      <c r="J1295" s="13" t="n"/>
      <c r="K1295" s="14" t="n"/>
      <c r="L1295" s="14" t="n"/>
      <c r="M1295" s="15">
        <f>IF(OR($B1295="",$K1295=""),"",($K1295-IF($L1295="",0,$L1295)*IFERROR(VLOOKUP("P01",ParamTbl,3,0),1.5))*(1-IF(IFERROR(VLOOKUP($E1295,OpTbl,3,0),"")="خرید",IFERROR(VLOOKUP("P02",ParamTbl,3,0),1),0)/100))</f>
        <v/>
      </c>
      <c r="N1295" s="14" t="n"/>
      <c r="O1295" s="13" t="n"/>
    </row>
    <row r="1296">
      <c r="A1296" s="11">
        <f>IF($B1296="","",COUNTA($B$9:$B1296))</f>
        <v/>
      </c>
      <c r="B1296" s="12" t="n"/>
      <c r="C1296" s="12" t="n"/>
      <c r="D1296" s="12" t="n"/>
      <c r="E1296" s="13" t="n"/>
      <c r="F1296" s="11">
        <f>IF($E1296="","",IFERROR(VLOOKUP($E1296,OpTbl,2,0),""))</f>
        <v/>
      </c>
      <c r="G1296" s="12" t="n"/>
      <c r="H1296" s="11">
        <f>IF($G1296="","",IFERROR(IF(VLOOKUP($G1296,AcctTbl,4,0)="","(بدون نام)",VLOOKUP($G1296,AcctTbl,4,0)),"کد ناشناخته"))</f>
        <v/>
      </c>
      <c r="I1296" s="13" t="n"/>
      <c r="J1296" s="13" t="n"/>
      <c r="K1296" s="14" t="n"/>
      <c r="L1296" s="14" t="n"/>
      <c r="M1296" s="15">
        <f>IF(OR($B1296="",$K1296=""),"",($K1296-IF($L1296="",0,$L1296)*IFERROR(VLOOKUP("P01",ParamTbl,3,0),1.5))*(1-IF(IFERROR(VLOOKUP($E1296,OpTbl,3,0),"")="خرید",IFERROR(VLOOKUP("P02",ParamTbl,3,0),1),0)/100))</f>
        <v/>
      </c>
      <c r="N1296" s="14" t="n"/>
      <c r="O1296" s="13" t="n"/>
    </row>
    <row r="1297">
      <c r="A1297" s="11">
        <f>IF($B1297="","",COUNTA($B$9:$B1297))</f>
        <v/>
      </c>
      <c r="B1297" s="12" t="n"/>
      <c r="C1297" s="12" t="n"/>
      <c r="D1297" s="12" t="n"/>
      <c r="E1297" s="13" t="n"/>
      <c r="F1297" s="11">
        <f>IF($E1297="","",IFERROR(VLOOKUP($E1297,OpTbl,2,0),""))</f>
        <v/>
      </c>
      <c r="G1297" s="12" t="n"/>
      <c r="H1297" s="11">
        <f>IF($G1297="","",IFERROR(IF(VLOOKUP($G1297,AcctTbl,4,0)="","(بدون نام)",VLOOKUP($G1297,AcctTbl,4,0)),"کد ناشناخته"))</f>
        <v/>
      </c>
      <c r="I1297" s="13" t="n"/>
      <c r="J1297" s="13" t="n"/>
      <c r="K1297" s="14" t="n"/>
      <c r="L1297" s="14" t="n"/>
      <c r="M1297" s="15">
        <f>IF(OR($B1297="",$K1297=""),"",($K1297-IF($L1297="",0,$L1297)*IFERROR(VLOOKUP("P01",ParamTbl,3,0),1.5))*(1-IF(IFERROR(VLOOKUP($E1297,OpTbl,3,0),"")="خرید",IFERROR(VLOOKUP("P02",ParamTbl,3,0),1),0)/100))</f>
        <v/>
      </c>
      <c r="N1297" s="14" t="n"/>
      <c r="O1297" s="13" t="n"/>
    </row>
    <row r="1298">
      <c r="A1298" s="11">
        <f>IF($B1298="","",COUNTA($B$9:$B1298))</f>
        <v/>
      </c>
      <c r="B1298" s="12" t="n"/>
      <c r="C1298" s="12" t="n"/>
      <c r="D1298" s="12" t="n"/>
      <c r="E1298" s="13" t="n"/>
      <c r="F1298" s="11">
        <f>IF($E1298="","",IFERROR(VLOOKUP($E1298,OpTbl,2,0),""))</f>
        <v/>
      </c>
      <c r="G1298" s="12" t="n"/>
      <c r="H1298" s="11">
        <f>IF($G1298="","",IFERROR(IF(VLOOKUP($G1298,AcctTbl,4,0)="","(بدون نام)",VLOOKUP($G1298,AcctTbl,4,0)),"کد ناشناخته"))</f>
        <v/>
      </c>
      <c r="I1298" s="13" t="n"/>
      <c r="J1298" s="13" t="n"/>
      <c r="K1298" s="14" t="n"/>
      <c r="L1298" s="14" t="n"/>
      <c r="M1298" s="15">
        <f>IF(OR($B1298="",$K1298=""),"",($K1298-IF($L1298="",0,$L1298)*IFERROR(VLOOKUP("P01",ParamTbl,3,0),1.5))*(1-IF(IFERROR(VLOOKUP($E1298,OpTbl,3,0),"")="خرید",IFERROR(VLOOKUP("P02",ParamTbl,3,0),1),0)/100))</f>
        <v/>
      </c>
      <c r="N1298" s="14" t="n"/>
      <c r="O1298" s="13" t="n"/>
    </row>
    <row r="1299">
      <c r="A1299" s="11">
        <f>IF($B1299="","",COUNTA($B$9:$B1299))</f>
        <v/>
      </c>
      <c r="B1299" s="12" t="n"/>
      <c r="C1299" s="12" t="n"/>
      <c r="D1299" s="12" t="n"/>
      <c r="E1299" s="13" t="n"/>
      <c r="F1299" s="11">
        <f>IF($E1299="","",IFERROR(VLOOKUP($E1299,OpTbl,2,0),""))</f>
        <v/>
      </c>
      <c r="G1299" s="12" t="n"/>
      <c r="H1299" s="11">
        <f>IF($G1299="","",IFERROR(IF(VLOOKUP($G1299,AcctTbl,4,0)="","(بدون نام)",VLOOKUP($G1299,AcctTbl,4,0)),"کد ناشناخته"))</f>
        <v/>
      </c>
      <c r="I1299" s="13" t="n"/>
      <c r="J1299" s="13" t="n"/>
      <c r="K1299" s="14" t="n"/>
      <c r="L1299" s="14" t="n"/>
      <c r="M1299" s="15">
        <f>IF(OR($B1299="",$K1299=""),"",($K1299-IF($L1299="",0,$L1299)*IFERROR(VLOOKUP("P01",ParamTbl,3,0),1.5))*(1-IF(IFERROR(VLOOKUP($E1299,OpTbl,3,0),"")="خرید",IFERROR(VLOOKUP("P02",ParamTbl,3,0),1),0)/100))</f>
        <v/>
      </c>
      <c r="N1299" s="14" t="n"/>
      <c r="O1299" s="13" t="n"/>
    </row>
    <row r="1300">
      <c r="A1300" s="11">
        <f>IF($B1300="","",COUNTA($B$9:$B1300))</f>
        <v/>
      </c>
      <c r="B1300" s="12" t="n"/>
      <c r="C1300" s="12" t="n"/>
      <c r="D1300" s="12" t="n"/>
      <c r="E1300" s="13" t="n"/>
      <c r="F1300" s="11">
        <f>IF($E1300="","",IFERROR(VLOOKUP($E1300,OpTbl,2,0),""))</f>
        <v/>
      </c>
      <c r="G1300" s="12" t="n"/>
      <c r="H1300" s="11">
        <f>IF($G1300="","",IFERROR(IF(VLOOKUP($G1300,AcctTbl,4,0)="","(بدون نام)",VLOOKUP($G1300,AcctTbl,4,0)),"کد ناشناخته"))</f>
        <v/>
      </c>
      <c r="I1300" s="13" t="n"/>
      <c r="J1300" s="13" t="n"/>
      <c r="K1300" s="14" t="n"/>
      <c r="L1300" s="14" t="n"/>
      <c r="M1300" s="15">
        <f>IF(OR($B1300="",$K1300=""),"",($K1300-IF($L1300="",0,$L1300)*IFERROR(VLOOKUP("P01",ParamTbl,3,0),1.5))*(1-IF(IFERROR(VLOOKUP($E1300,OpTbl,3,0),"")="خرید",IFERROR(VLOOKUP("P02",ParamTbl,3,0),1),0)/100))</f>
        <v/>
      </c>
      <c r="N1300" s="14" t="n"/>
      <c r="O1300" s="13" t="n"/>
    </row>
    <row r="1301">
      <c r="A1301" s="11">
        <f>IF($B1301="","",COUNTA($B$9:$B1301))</f>
        <v/>
      </c>
      <c r="B1301" s="12" t="n"/>
      <c r="C1301" s="12" t="n"/>
      <c r="D1301" s="12" t="n"/>
      <c r="E1301" s="13" t="n"/>
      <c r="F1301" s="11">
        <f>IF($E1301="","",IFERROR(VLOOKUP($E1301,OpTbl,2,0),""))</f>
        <v/>
      </c>
      <c r="G1301" s="12" t="n"/>
      <c r="H1301" s="11">
        <f>IF($G1301="","",IFERROR(IF(VLOOKUP($G1301,AcctTbl,4,0)="","(بدون نام)",VLOOKUP($G1301,AcctTbl,4,0)),"کد ناشناخته"))</f>
        <v/>
      </c>
      <c r="I1301" s="13" t="n"/>
      <c r="J1301" s="13" t="n"/>
      <c r="K1301" s="14" t="n"/>
      <c r="L1301" s="14" t="n"/>
      <c r="M1301" s="15">
        <f>IF(OR($B1301="",$K1301=""),"",($K1301-IF($L1301="",0,$L1301)*IFERROR(VLOOKUP("P01",ParamTbl,3,0),1.5))*(1-IF(IFERROR(VLOOKUP($E1301,OpTbl,3,0),"")="خرید",IFERROR(VLOOKUP("P02",ParamTbl,3,0),1),0)/100))</f>
        <v/>
      </c>
      <c r="N1301" s="14" t="n"/>
      <c r="O1301" s="13" t="n"/>
    </row>
    <row r="1302">
      <c r="A1302" s="11">
        <f>IF($B1302="","",COUNTA($B$9:$B1302))</f>
        <v/>
      </c>
      <c r="B1302" s="12" t="n"/>
      <c r="C1302" s="12" t="n"/>
      <c r="D1302" s="12" t="n"/>
      <c r="E1302" s="13" t="n"/>
      <c r="F1302" s="11">
        <f>IF($E1302="","",IFERROR(VLOOKUP($E1302,OpTbl,2,0),""))</f>
        <v/>
      </c>
      <c r="G1302" s="12" t="n"/>
      <c r="H1302" s="11">
        <f>IF($G1302="","",IFERROR(IF(VLOOKUP($G1302,AcctTbl,4,0)="","(بدون نام)",VLOOKUP($G1302,AcctTbl,4,0)),"کد ناشناخته"))</f>
        <v/>
      </c>
      <c r="I1302" s="13" t="n"/>
      <c r="J1302" s="13" t="n"/>
      <c r="K1302" s="14" t="n"/>
      <c r="L1302" s="14" t="n"/>
      <c r="M1302" s="15">
        <f>IF(OR($B1302="",$K1302=""),"",($K1302-IF($L1302="",0,$L1302)*IFERROR(VLOOKUP("P01",ParamTbl,3,0),1.5))*(1-IF(IFERROR(VLOOKUP($E1302,OpTbl,3,0),"")="خرید",IFERROR(VLOOKUP("P02",ParamTbl,3,0),1),0)/100))</f>
        <v/>
      </c>
      <c r="N1302" s="14" t="n"/>
      <c r="O1302" s="13" t="n"/>
    </row>
    <row r="1303">
      <c r="A1303" s="11">
        <f>IF($B1303="","",COUNTA($B$9:$B1303))</f>
        <v/>
      </c>
      <c r="B1303" s="12" t="n"/>
      <c r="C1303" s="12" t="n"/>
      <c r="D1303" s="12" t="n"/>
      <c r="E1303" s="13" t="n"/>
      <c r="F1303" s="11">
        <f>IF($E1303="","",IFERROR(VLOOKUP($E1303,OpTbl,2,0),""))</f>
        <v/>
      </c>
      <c r="G1303" s="12" t="n"/>
      <c r="H1303" s="11">
        <f>IF($G1303="","",IFERROR(IF(VLOOKUP($G1303,AcctTbl,4,0)="","(بدون نام)",VLOOKUP($G1303,AcctTbl,4,0)),"کد ناشناخته"))</f>
        <v/>
      </c>
      <c r="I1303" s="13" t="n"/>
      <c r="J1303" s="13" t="n"/>
      <c r="K1303" s="14" t="n"/>
      <c r="L1303" s="14" t="n"/>
      <c r="M1303" s="15">
        <f>IF(OR($B1303="",$K1303=""),"",($K1303-IF($L1303="",0,$L1303)*IFERROR(VLOOKUP("P01",ParamTbl,3,0),1.5))*(1-IF(IFERROR(VLOOKUP($E1303,OpTbl,3,0),"")="خرید",IFERROR(VLOOKUP("P02",ParamTbl,3,0),1),0)/100))</f>
        <v/>
      </c>
      <c r="N1303" s="14" t="n"/>
      <c r="O1303" s="13" t="n"/>
    </row>
    <row r="1304">
      <c r="A1304" s="11">
        <f>IF($B1304="","",COUNTA($B$9:$B1304))</f>
        <v/>
      </c>
      <c r="B1304" s="12" t="n"/>
      <c r="C1304" s="12" t="n"/>
      <c r="D1304" s="12" t="n"/>
      <c r="E1304" s="13" t="n"/>
      <c r="F1304" s="11">
        <f>IF($E1304="","",IFERROR(VLOOKUP($E1304,OpTbl,2,0),""))</f>
        <v/>
      </c>
      <c r="G1304" s="12" t="n"/>
      <c r="H1304" s="11">
        <f>IF($G1304="","",IFERROR(IF(VLOOKUP($G1304,AcctTbl,4,0)="","(بدون نام)",VLOOKUP($G1304,AcctTbl,4,0)),"کد ناشناخته"))</f>
        <v/>
      </c>
      <c r="I1304" s="13" t="n"/>
      <c r="J1304" s="13" t="n"/>
      <c r="K1304" s="14" t="n"/>
      <c r="L1304" s="14" t="n"/>
      <c r="M1304" s="15">
        <f>IF(OR($B1304="",$K1304=""),"",($K1304-IF($L1304="",0,$L1304)*IFERROR(VLOOKUP("P01",ParamTbl,3,0),1.5))*(1-IF(IFERROR(VLOOKUP($E1304,OpTbl,3,0),"")="خرید",IFERROR(VLOOKUP("P02",ParamTbl,3,0),1),0)/100))</f>
        <v/>
      </c>
      <c r="N1304" s="14" t="n"/>
      <c r="O1304" s="13" t="n"/>
    </row>
    <row r="1305">
      <c r="A1305" s="11">
        <f>IF($B1305="","",COUNTA($B$9:$B1305))</f>
        <v/>
      </c>
      <c r="B1305" s="12" t="n"/>
      <c r="C1305" s="12" t="n"/>
      <c r="D1305" s="12" t="n"/>
      <c r="E1305" s="13" t="n"/>
      <c r="F1305" s="11">
        <f>IF($E1305="","",IFERROR(VLOOKUP($E1305,OpTbl,2,0),""))</f>
        <v/>
      </c>
      <c r="G1305" s="12" t="n"/>
      <c r="H1305" s="11">
        <f>IF($G1305="","",IFERROR(IF(VLOOKUP($G1305,AcctTbl,4,0)="","(بدون نام)",VLOOKUP($G1305,AcctTbl,4,0)),"کد ناشناخته"))</f>
        <v/>
      </c>
      <c r="I1305" s="13" t="n"/>
      <c r="J1305" s="13" t="n"/>
      <c r="K1305" s="14" t="n"/>
      <c r="L1305" s="14" t="n"/>
      <c r="M1305" s="15">
        <f>IF(OR($B1305="",$K1305=""),"",($K1305-IF($L1305="",0,$L1305)*IFERROR(VLOOKUP("P01",ParamTbl,3,0),1.5))*(1-IF(IFERROR(VLOOKUP($E1305,OpTbl,3,0),"")="خرید",IFERROR(VLOOKUP("P02",ParamTbl,3,0),1),0)/100))</f>
        <v/>
      </c>
      <c r="N1305" s="14" t="n"/>
      <c r="O1305" s="13" t="n"/>
    </row>
    <row r="1306">
      <c r="A1306" s="11">
        <f>IF($B1306="","",COUNTA($B$9:$B1306))</f>
        <v/>
      </c>
      <c r="B1306" s="12" t="n"/>
      <c r="C1306" s="12" t="n"/>
      <c r="D1306" s="12" t="n"/>
      <c r="E1306" s="13" t="n"/>
      <c r="F1306" s="11">
        <f>IF($E1306="","",IFERROR(VLOOKUP($E1306,OpTbl,2,0),""))</f>
        <v/>
      </c>
      <c r="G1306" s="12" t="n"/>
      <c r="H1306" s="11">
        <f>IF($G1306="","",IFERROR(IF(VLOOKUP($G1306,AcctTbl,4,0)="","(بدون نام)",VLOOKUP($G1306,AcctTbl,4,0)),"کد ناشناخته"))</f>
        <v/>
      </c>
      <c r="I1306" s="13" t="n"/>
      <c r="J1306" s="13" t="n"/>
      <c r="K1306" s="14" t="n"/>
      <c r="L1306" s="14" t="n"/>
      <c r="M1306" s="15">
        <f>IF(OR($B1306="",$K1306=""),"",($K1306-IF($L1306="",0,$L1306)*IFERROR(VLOOKUP("P01",ParamTbl,3,0),1.5))*(1-IF(IFERROR(VLOOKUP($E1306,OpTbl,3,0),"")="خرید",IFERROR(VLOOKUP("P02",ParamTbl,3,0),1),0)/100))</f>
        <v/>
      </c>
      <c r="N1306" s="14" t="n"/>
      <c r="O1306" s="13" t="n"/>
    </row>
    <row r="1307">
      <c r="A1307" s="11">
        <f>IF($B1307="","",COUNTA($B$9:$B1307))</f>
        <v/>
      </c>
      <c r="B1307" s="12" t="n"/>
      <c r="C1307" s="12" t="n"/>
      <c r="D1307" s="12" t="n"/>
      <c r="E1307" s="13" t="n"/>
      <c r="F1307" s="11">
        <f>IF($E1307="","",IFERROR(VLOOKUP($E1307,OpTbl,2,0),""))</f>
        <v/>
      </c>
      <c r="G1307" s="12" t="n"/>
      <c r="H1307" s="11">
        <f>IF($G1307="","",IFERROR(IF(VLOOKUP($G1307,AcctTbl,4,0)="","(بدون نام)",VLOOKUP($G1307,AcctTbl,4,0)),"کد ناشناخته"))</f>
        <v/>
      </c>
      <c r="I1307" s="13" t="n"/>
      <c r="J1307" s="13" t="n"/>
      <c r="K1307" s="14" t="n"/>
      <c r="L1307" s="14" t="n"/>
      <c r="M1307" s="15">
        <f>IF(OR($B1307="",$K1307=""),"",($K1307-IF($L1307="",0,$L1307)*IFERROR(VLOOKUP("P01",ParamTbl,3,0),1.5))*(1-IF(IFERROR(VLOOKUP($E1307,OpTbl,3,0),"")="خرید",IFERROR(VLOOKUP("P02",ParamTbl,3,0),1),0)/100))</f>
        <v/>
      </c>
      <c r="N1307" s="14" t="n"/>
      <c r="O1307" s="13" t="n"/>
    </row>
    <row r="1308">
      <c r="A1308" s="11">
        <f>IF($B1308="","",COUNTA($B$9:$B1308))</f>
        <v/>
      </c>
      <c r="B1308" s="12" t="n"/>
      <c r="C1308" s="12" t="n"/>
      <c r="D1308" s="12" t="n"/>
      <c r="E1308" s="13" t="n"/>
      <c r="F1308" s="11">
        <f>IF($E1308="","",IFERROR(VLOOKUP($E1308,OpTbl,2,0),""))</f>
        <v/>
      </c>
      <c r="G1308" s="12" t="n"/>
      <c r="H1308" s="11">
        <f>IF($G1308="","",IFERROR(IF(VLOOKUP($G1308,AcctTbl,4,0)="","(بدون نام)",VLOOKUP($G1308,AcctTbl,4,0)),"کد ناشناخته"))</f>
        <v/>
      </c>
      <c r="I1308" s="13" t="n"/>
      <c r="J1308" s="13" t="n"/>
      <c r="K1308" s="14" t="n"/>
      <c r="L1308" s="14" t="n"/>
      <c r="M1308" s="15">
        <f>IF(OR($B1308="",$K1308=""),"",($K1308-IF($L1308="",0,$L1308)*IFERROR(VLOOKUP("P01",ParamTbl,3,0),1.5))*(1-IF(IFERROR(VLOOKUP($E1308,OpTbl,3,0),"")="خرید",IFERROR(VLOOKUP("P02",ParamTbl,3,0),1),0)/100))</f>
        <v/>
      </c>
      <c r="N1308" s="14" t="n"/>
      <c r="O1308" s="13" t="n"/>
    </row>
    <row r="1309">
      <c r="A1309" s="11">
        <f>IF($B1309="","",COUNTA($B$9:$B1309))</f>
        <v/>
      </c>
      <c r="B1309" s="12" t="n"/>
      <c r="C1309" s="12" t="n"/>
      <c r="D1309" s="12" t="n"/>
      <c r="E1309" s="13" t="n"/>
      <c r="F1309" s="11">
        <f>IF($E1309="","",IFERROR(VLOOKUP($E1309,OpTbl,2,0),""))</f>
        <v/>
      </c>
      <c r="G1309" s="12" t="n"/>
      <c r="H1309" s="11">
        <f>IF($G1309="","",IFERROR(IF(VLOOKUP($G1309,AcctTbl,4,0)="","(بدون نام)",VLOOKUP($G1309,AcctTbl,4,0)),"کد ناشناخته"))</f>
        <v/>
      </c>
      <c r="I1309" s="13" t="n"/>
      <c r="J1309" s="13" t="n"/>
      <c r="K1309" s="14" t="n"/>
      <c r="L1309" s="14" t="n"/>
      <c r="M1309" s="15">
        <f>IF(OR($B1309="",$K1309=""),"",($K1309-IF($L1309="",0,$L1309)*IFERROR(VLOOKUP("P01",ParamTbl,3,0),1.5))*(1-IF(IFERROR(VLOOKUP($E1309,OpTbl,3,0),"")="خرید",IFERROR(VLOOKUP("P02",ParamTbl,3,0),1),0)/100))</f>
        <v/>
      </c>
      <c r="N1309" s="14" t="n"/>
      <c r="O1309" s="13" t="n"/>
    </row>
    <row r="1310">
      <c r="A1310" s="11">
        <f>IF($B1310="","",COUNTA($B$9:$B1310))</f>
        <v/>
      </c>
      <c r="B1310" s="12" t="n"/>
      <c r="C1310" s="12" t="n"/>
      <c r="D1310" s="12" t="n"/>
      <c r="E1310" s="13" t="n"/>
      <c r="F1310" s="11">
        <f>IF($E1310="","",IFERROR(VLOOKUP($E1310,OpTbl,2,0),""))</f>
        <v/>
      </c>
      <c r="G1310" s="12" t="n"/>
      <c r="H1310" s="11">
        <f>IF($G1310="","",IFERROR(IF(VLOOKUP($G1310,AcctTbl,4,0)="","(بدون نام)",VLOOKUP($G1310,AcctTbl,4,0)),"کد ناشناخته"))</f>
        <v/>
      </c>
      <c r="I1310" s="13" t="n"/>
      <c r="J1310" s="13" t="n"/>
      <c r="K1310" s="14" t="n"/>
      <c r="L1310" s="14" t="n"/>
      <c r="M1310" s="15">
        <f>IF(OR($B1310="",$K1310=""),"",($K1310-IF($L1310="",0,$L1310)*IFERROR(VLOOKUP("P01",ParamTbl,3,0),1.5))*(1-IF(IFERROR(VLOOKUP($E1310,OpTbl,3,0),"")="خرید",IFERROR(VLOOKUP("P02",ParamTbl,3,0),1),0)/100))</f>
        <v/>
      </c>
      <c r="N1310" s="14" t="n"/>
      <c r="O1310" s="13" t="n"/>
    </row>
    <row r="1311">
      <c r="A1311" s="11">
        <f>IF($B1311="","",COUNTA($B$9:$B1311))</f>
        <v/>
      </c>
      <c r="B1311" s="12" t="n"/>
      <c r="C1311" s="12" t="n"/>
      <c r="D1311" s="12" t="n"/>
      <c r="E1311" s="13" t="n"/>
      <c r="F1311" s="11">
        <f>IF($E1311="","",IFERROR(VLOOKUP($E1311,OpTbl,2,0),""))</f>
        <v/>
      </c>
      <c r="G1311" s="12" t="n"/>
      <c r="H1311" s="11">
        <f>IF($G1311="","",IFERROR(IF(VLOOKUP($G1311,AcctTbl,4,0)="","(بدون نام)",VLOOKUP($G1311,AcctTbl,4,0)),"کد ناشناخته"))</f>
        <v/>
      </c>
      <c r="I1311" s="13" t="n"/>
      <c r="J1311" s="13" t="n"/>
      <c r="K1311" s="14" t="n"/>
      <c r="L1311" s="14" t="n"/>
      <c r="M1311" s="15">
        <f>IF(OR($B1311="",$K1311=""),"",($K1311-IF($L1311="",0,$L1311)*IFERROR(VLOOKUP("P01",ParamTbl,3,0),1.5))*(1-IF(IFERROR(VLOOKUP($E1311,OpTbl,3,0),"")="خرید",IFERROR(VLOOKUP("P02",ParamTbl,3,0),1),0)/100))</f>
        <v/>
      </c>
      <c r="N1311" s="14" t="n"/>
      <c r="O1311" s="13" t="n"/>
    </row>
    <row r="1312">
      <c r="A1312" s="11">
        <f>IF($B1312="","",COUNTA($B$9:$B1312))</f>
        <v/>
      </c>
      <c r="B1312" s="12" t="n"/>
      <c r="C1312" s="12" t="n"/>
      <c r="D1312" s="12" t="n"/>
      <c r="E1312" s="13" t="n"/>
      <c r="F1312" s="11">
        <f>IF($E1312="","",IFERROR(VLOOKUP($E1312,OpTbl,2,0),""))</f>
        <v/>
      </c>
      <c r="G1312" s="12" t="n"/>
      <c r="H1312" s="11">
        <f>IF($G1312="","",IFERROR(IF(VLOOKUP($G1312,AcctTbl,4,0)="","(بدون نام)",VLOOKUP($G1312,AcctTbl,4,0)),"کد ناشناخته"))</f>
        <v/>
      </c>
      <c r="I1312" s="13" t="n"/>
      <c r="J1312" s="13" t="n"/>
      <c r="K1312" s="14" t="n"/>
      <c r="L1312" s="14" t="n"/>
      <c r="M1312" s="15">
        <f>IF(OR($B1312="",$K1312=""),"",($K1312-IF($L1312="",0,$L1312)*IFERROR(VLOOKUP("P01",ParamTbl,3,0),1.5))*(1-IF(IFERROR(VLOOKUP($E1312,OpTbl,3,0),"")="خرید",IFERROR(VLOOKUP("P02",ParamTbl,3,0),1),0)/100))</f>
        <v/>
      </c>
      <c r="N1312" s="14" t="n"/>
      <c r="O1312" s="13" t="n"/>
    </row>
    <row r="1313">
      <c r="A1313" s="11">
        <f>IF($B1313="","",COUNTA($B$9:$B1313))</f>
        <v/>
      </c>
      <c r="B1313" s="12" t="n"/>
      <c r="C1313" s="12" t="n"/>
      <c r="D1313" s="12" t="n"/>
      <c r="E1313" s="13" t="n"/>
      <c r="F1313" s="11">
        <f>IF($E1313="","",IFERROR(VLOOKUP($E1313,OpTbl,2,0),""))</f>
        <v/>
      </c>
      <c r="G1313" s="12" t="n"/>
      <c r="H1313" s="11">
        <f>IF($G1313="","",IFERROR(IF(VLOOKUP($G1313,AcctTbl,4,0)="","(بدون نام)",VLOOKUP($G1313,AcctTbl,4,0)),"کد ناشناخته"))</f>
        <v/>
      </c>
      <c r="I1313" s="13" t="n"/>
      <c r="J1313" s="13" t="n"/>
      <c r="K1313" s="14" t="n"/>
      <c r="L1313" s="14" t="n"/>
      <c r="M1313" s="15">
        <f>IF(OR($B1313="",$K1313=""),"",($K1313-IF($L1313="",0,$L1313)*IFERROR(VLOOKUP("P01",ParamTbl,3,0),1.5))*(1-IF(IFERROR(VLOOKUP($E1313,OpTbl,3,0),"")="خرید",IFERROR(VLOOKUP("P02",ParamTbl,3,0),1),0)/100))</f>
        <v/>
      </c>
      <c r="N1313" s="14" t="n"/>
      <c r="O1313" s="13" t="n"/>
    </row>
    <row r="1314">
      <c r="A1314" s="11">
        <f>IF($B1314="","",COUNTA($B$9:$B1314))</f>
        <v/>
      </c>
      <c r="B1314" s="12" t="n"/>
      <c r="C1314" s="12" t="n"/>
      <c r="D1314" s="12" t="n"/>
      <c r="E1314" s="13" t="n"/>
      <c r="F1314" s="11">
        <f>IF($E1314="","",IFERROR(VLOOKUP($E1314,OpTbl,2,0),""))</f>
        <v/>
      </c>
      <c r="G1314" s="12" t="n"/>
      <c r="H1314" s="11">
        <f>IF($G1314="","",IFERROR(IF(VLOOKUP($G1314,AcctTbl,4,0)="","(بدون نام)",VLOOKUP($G1314,AcctTbl,4,0)),"کد ناشناخته"))</f>
        <v/>
      </c>
      <c r="I1314" s="13" t="n"/>
      <c r="J1314" s="13" t="n"/>
      <c r="K1314" s="14" t="n"/>
      <c r="L1314" s="14" t="n"/>
      <c r="M1314" s="15">
        <f>IF(OR($B1314="",$K1314=""),"",($K1314-IF($L1314="",0,$L1314)*IFERROR(VLOOKUP("P01",ParamTbl,3,0),1.5))*(1-IF(IFERROR(VLOOKUP($E1314,OpTbl,3,0),"")="خرید",IFERROR(VLOOKUP("P02",ParamTbl,3,0),1),0)/100))</f>
        <v/>
      </c>
      <c r="N1314" s="14" t="n"/>
      <c r="O1314" s="13" t="n"/>
    </row>
    <row r="1315">
      <c r="A1315" s="11">
        <f>IF($B1315="","",COUNTA($B$9:$B1315))</f>
        <v/>
      </c>
      <c r="B1315" s="12" t="n"/>
      <c r="C1315" s="12" t="n"/>
      <c r="D1315" s="12" t="n"/>
      <c r="E1315" s="13" t="n"/>
      <c r="F1315" s="11">
        <f>IF($E1315="","",IFERROR(VLOOKUP($E1315,OpTbl,2,0),""))</f>
        <v/>
      </c>
      <c r="G1315" s="12" t="n"/>
      <c r="H1315" s="11">
        <f>IF($G1315="","",IFERROR(IF(VLOOKUP($G1315,AcctTbl,4,0)="","(بدون نام)",VLOOKUP($G1315,AcctTbl,4,0)),"کد ناشناخته"))</f>
        <v/>
      </c>
      <c r="I1315" s="13" t="n"/>
      <c r="J1315" s="13" t="n"/>
      <c r="K1315" s="14" t="n"/>
      <c r="L1315" s="14" t="n"/>
      <c r="M1315" s="15">
        <f>IF(OR($B1315="",$K1315=""),"",($K1315-IF($L1315="",0,$L1315)*IFERROR(VLOOKUP("P01",ParamTbl,3,0),1.5))*(1-IF(IFERROR(VLOOKUP($E1315,OpTbl,3,0),"")="خرید",IFERROR(VLOOKUP("P02",ParamTbl,3,0),1),0)/100))</f>
        <v/>
      </c>
      <c r="N1315" s="14" t="n"/>
      <c r="O1315" s="13" t="n"/>
    </row>
    <row r="1316">
      <c r="A1316" s="11">
        <f>IF($B1316="","",COUNTA($B$9:$B1316))</f>
        <v/>
      </c>
      <c r="B1316" s="12" t="n"/>
      <c r="C1316" s="12" t="n"/>
      <c r="D1316" s="12" t="n"/>
      <c r="E1316" s="13" t="n"/>
      <c r="F1316" s="11">
        <f>IF($E1316="","",IFERROR(VLOOKUP($E1316,OpTbl,2,0),""))</f>
        <v/>
      </c>
      <c r="G1316" s="12" t="n"/>
      <c r="H1316" s="11">
        <f>IF($G1316="","",IFERROR(IF(VLOOKUP($G1316,AcctTbl,4,0)="","(بدون نام)",VLOOKUP($G1316,AcctTbl,4,0)),"کد ناشناخته"))</f>
        <v/>
      </c>
      <c r="I1316" s="13" t="n"/>
      <c r="J1316" s="13" t="n"/>
      <c r="K1316" s="14" t="n"/>
      <c r="L1316" s="14" t="n"/>
      <c r="M1316" s="15">
        <f>IF(OR($B1316="",$K1316=""),"",($K1316-IF($L1316="",0,$L1316)*IFERROR(VLOOKUP("P01",ParamTbl,3,0),1.5))*(1-IF(IFERROR(VLOOKUP($E1316,OpTbl,3,0),"")="خرید",IFERROR(VLOOKUP("P02",ParamTbl,3,0),1),0)/100))</f>
        <v/>
      </c>
      <c r="N1316" s="14" t="n"/>
      <c r="O1316" s="13" t="n"/>
    </row>
    <row r="1317">
      <c r="A1317" s="11">
        <f>IF($B1317="","",COUNTA($B$9:$B1317))</f>
        <v/>
      </c>
      <c r="B1317" s="12" t="n"/>
      <c r="C1317" s="12" t="n"/>
      <c r="D1317" s="12" t="n"/>
      <c r="E1317" s="13" t="n"/>
      <c r="F1317" s="11">
        <f>IF($E1317="","",IFERROR(VLOOKUP($E1317,OpTbl,2,0),""))</f>
        <v/>
      </c>
      <c r="G1317" s="12" t="n"/>
      <c r="H1317" s="11">
        <f>IF($G1317="","",IFERROR(IF(VLOOKUP($G1317,AcctTbl,4,0)="","(بدون نام)",VLOOKUP($G1317,AcctTbl,4,0)),"کد ناشناخته"))</f>
        <v/>
      </c>
      <c r="I1317" s="13" t="n"/>
      <c r="J1317" s="13" t="n"/>
      <c r="K1317" s="14" t="n"/>
      <c r="L1317" s="14" t="n"/>
      <c r="M1317" s="15">
        <f>IF(OR($B1317="",$K1317=""),"",($K1317-IF($L1317="",0,$L1317)*IFERROR(VLOOKUP("P01",ParamTbl,3,0),1.5))*(1-IF(IFERROR(VLOOKUP($E1317,OpTbl,3,0),"")="خرید",IFERROR(VLOOKUP("P02",ParamTbl,3,0),1),0)/100))</f>
        <v/>
      </c>
      <c r="N1317" s="14" t="n"/>
      <c r="O1317" s="13" t="n"/>
    </row>
    <row r="1318">
      <c r="A1318" s="11">
        <f>IF($B1318="","",COUNTA($B$9:$B1318))</f>
        <v/>
      </c>
      <c r="B1318" s="12" t="n"/>
      <c r="C1318" s="12" t="n"/>
      <c r="D1318" s="12" t="n"/>
      <c r="E1318" s="13" t="n"/>
      <c r="F1318" s="11">
        <f>IF($E1318="","",IFERROR(VLOOKUP($E1318,OpTbl,2,0),""))</f>
        <v/>
      </c>
      <c r="G1318" s="12" t="n"/>
      <c r="H1318" s="11">
        <f>IF($G1318="","",IFERROR(IF(VLOOKUP($G1318,AcctTbl,4,0)="","(بدون نام)",VLOOKUP($G1318,AcctTbl,4,0)),"کد ناشناخته"))</f>
        <v/>
      </c>
      <c r="I1318" s="13" t="n"/>
      <c r="J1318" s="13" t="n"/>
      <c r="K1318" s="14" t="n"/>
      <c r="L1318" s="14" t="n"/>
      <c r="M1318" s="15">
        <f>IF(OR($B1318="",$K1318=""),"",($K1318-IF($L1318="",0,$L1318)*IFERROR(VLOOKUP("P01",ParamTbl,3,0),1.5))*(1-IF(IFERROR(VLOOKUP($E1318,OpTbl,3,0),"")="خرید",IFERROR(VLOOKUP("P02",ParamTbl,3,0),1),0)/100))</f>
        <v/>
      </c>
      <c r="N1318" s="14" t="n"/>
      <c r="O1318" s="13" t="n"/>
    </row>
    <row r="1319">
      <c r="A1319" s="11">
        <f>IF($B1319="","",COUNTA($B$9:$B1319))</f>
        <v/>
      </c>
      <c r="B1319" s="12" t="n"/>
      <c r="C1319" s="12" t="n"/>
      <c r="D1319" s="12" t="n"/>
      <c r="E1319" s="13" t="n"/>
      <c r="F1319" s="11">
        <f>IF($E1319="","",IFERROR(VLOOKUP($E1319,OpTbl,2,0),""))</f>
        <v/>
      </c>
      <c r="G1319" s="12" t="n"/>
      <c r="H1319" s="11">
        <f>IF($G1319="","",IFERROR(IF(VLOOKUP($G1319,AcctTbl,4,0)="","(بدون نام)",VLOOKUP($G1319,AcctTbl,4,0)),"کد ناشناخته"))</f>
        <v/>
      </c>
      <c r="I1319" s="13" t="n"/>
      <c r="J1319" s="13" t="n"/>
      <c r="K1319" s="14" t="n"/>
      <c r="L1319" s="14" t="n"/>
      <c r="M1319" s="15">
        <f>IF(OR($B1319="",$K1319=""),"",($K1319-IF($L1319="",0,$L1319)*IFERROR(VLOOKUP("P01",ParamTbl,3,0),1.5))*(1-IF(IFERROR(VLOOKUP($E1319,OpTbl,3,0),"")="خرید",IFERROR(VLOOKUP("P02",ParamTbl,3,0),1),0)/100))</f>
        <v/>
      </c>
      <c r="N1319" s="14" t="n"/>
      <c r="O1319" s="13" t="n"/>
    </row>
    <row r="1320">
      <c r="A1320" s="11">
        <f>IF($B1320="","",COUNTA($B$9:$B1320))</f>
        <v/>
      </c>
      <c r="B1320" s="12" t="n"/>
      <c r="C1320" s="12" t="n"/>
      <c r="D1320" s="12" t="n"/>
      <c r="E1320" s="13" t="n"/>
      <c r="F1320" s="11">
        <f>IF($E1320="","",IFERROR(VLOOKUP($E1320,OpTbl,2,0),""))</f>
        <v/>
      </c>
      <c r="G1320" s="12" t="n"/>
      <c r="H1320" s="11">
        <f>IF($G1320="","",IFERROR(IF(VLOOKUP($G1320,AcctTbl,4,0)="","(بدون نام)",VLOOKUP($G1320,AcctTbl,4,0)),"کد ناشناخته"))</f>
        <v/>
      </c>
      <c r="I1320" s="13" t="n"/>
      <c r="J1320" s="13" t="n"/>
      <c r="K1320" s="14" t="n"/>
      <c r="L1320" s="14" t="n"/>
      <c r="M1320" s="15">
        <f>IF(OR($B1320="",$K1320=""),"",($K1320-IF($L1320="",0,$L1320)*IFERROR(VLOOKUP("P01",ParamTbl,3,0),1.5))*(1-IF(IFERROR(VLOOKUP($E1320,OpTbl,3,0),"")="خرید",IFERROR(VLOOKUP("P02",ParamTbl,3,0),1),0)/100))</f>
        <v/>
      </c>
      <c r="N1320" s="14" t="n"/>
      <c r="O1320" s="13" t="n"/>
    </row>
    <row r="1321">
      <c r="A1321" s="11">
        <f>IF($B1321="","",COUNTA($B$9:$B1321))</f>
        <v/>
      </c>
      <c r="B1321" s="12" t="n"/>
      <c r="C1321" s="12" t="n"/>
      <c r="D1321" s="12" t="n"/>
      <c r="E1321" s="13" t="n"/>
      <c r="F1321" s="11">
        <f>IF($E1321="","",IFERROR(VLOOKUP($E1321,OpTbl,2,0),""))</f>
        <v/>
      </c>
      <c r="G1321" s="12" t="n"/>
      <c r="H1321" s="11">
        <f>IF($G1321="","",IFERROR(IF(VLOOKUP($G1321,AcctTbl,4,0)="","(بدون نام)",VLOOKUP($G1321,AcctTbl,4,0)),"کد ناشناخته"))</f>
        <v/>
      </c>
      <c r="I1321" s="13" t="n"/>
      <c r="J1321" s="13" t="n"/>
      <c r="K1321" s="14" t="n"/>
      <c r="L1321" s="14" t="n"/>
      <c r="M1321" s="15">
        <f>IF(OR($B1321="",$K1321=""),"",($K1321-IF($L1321="",0,$L1321)*IFERROR(VLOOKUP("P01",ParamTbl,3,0),1.5))*(1-IF(IFERROR(VLOOKUP($E1321,OpTbl,3,0),"")="خرید",IFERROR(VLOOKUP("P02",ParamTbl,3,0),1),0)/100))</f>
        <v/>
      </c>
      <c r="N1321" s="14" t="n"/>
      <c r="O1321" s="13" t="n"/>
    </row>
    <row r="1322">
      <c r="A1322" s="11">
        <f>IF($B1322="","",COUNTA($B$9:$B1322))</f>
        <v/>
      </c>
      <c r="B1322" s="12" t="n"/>
      <c r="C1322" s="12" t="n"/>
      <c r="D1322" s="12" t="n"/>
      <c r="E1322" s="13" t="n"/>
      <c r="F1322" s="11">
        <f>IF($E1322="","",IFERROR(VLOOKUP($E1322,OpTbl,2,0),""))</f>
        <v/>
      </c>
      <c r="G1322" s="12" t="n"/>
      <c r="H1322" s="11">
        <f>IF($G1322="","",IFERROR(IF(VLOOKUP($G1322,AcctTbl,4,0)="","(بدون نام)",VLOOKUP($G1322,AcctTbl,4,0)),"کد ناشناخته"))</f>
        <v/>
      </c>
      <c r="I1322" s="13" t="n"/>
      <c r="J1322" s="13" t="n"/>
      <c r="K1322" s="14" t="n"/>
      <c r="L1322" s="14" t="n"/>
      <c r="M1322" s="15">
        <f>IF(OR($B1322="",$K1322=""),"",($K1322-IF($L1322="",0,$L1322)*IFERROR(VLOOKUP("P01",ParamTbl,3,0),1.5))*(1-IF(IFERROR(VLOOKUP($E1322,OpTbl,3,0),"")="خرید",IFERROR(VLOOKUP("P02",ParamTbl,3,0),1),0)/100))</f>
        <v/>
      </c>
      <c r="N1322" s="14" t="n"/>
      <c r="O1322" s="13" t="n"/>
    </row>
    <row r="1323">
      <c r="A1323" s="11">
        <f>IF($B1323="","",COUNTA($B$9:$B1323))</f>
        <v/>
      </c>
      <c r="B1323" s="12" t="n"/>
      <c r="C1323" s="12" t="n"/>
      <c r="D1323" s="12" t="n"/>
      <c r="E1323" s="13" t="n"/>
      <c r="F1323" s="11">
        <f>IF($E1323="","",IFERROR(VLOOKUP($E1323,OpTbl,2,0),""))</f>
        <v/>
      </c>
      <c r="G1323" s="12" t="n"/>
      <c r="H1323" s="11">
        <f>IF($G1323="","",IFERROR(IF(VLOOKUP($G1323,AcctTbl,4,0)="","(بدون نام)",VLOOKUP($G1323,AcctTbl,4,0)),"کد ناشناخته"))</f>
        <v/>
      </c>
      <c r="I1323" s="13" t="n"/>
      <c r="J1323" s="13" t="n"/>
      <c r="K1323" s="14" t="n"/>
      <c r="L1323" s="14" t="n"/>
      <c r="M1323" s="15">
        <f>IF(OR($B1323="",$K1323=""),"",($K1323-IF($L1323="",0,$L1323)*IFERROR(VLOOKUP("P01",ParamTbl,3,0),1.5))*(1-IF(IFERROR(VLOOKUP($E1323,OpTbl,3,0),"")="خرید",IFERROR(VLOOKUP("P02",ParamTbl,3,0),1),0)/100))</f>
        <v/>
      </c>
      <c r="N1323" s="14" t="n"/>
      <c r="O1323" s="13" t="n"/>
    </row>
    <row r="1324">
      <c r="A1324" s="11">
        <f>IF($B1324="","",COUNTA($B$9:$B1324))</f>
        <v/>
      </c>
      <c r="B1324" s="12" t="n"/>
      <c r="C1324" s="12" t="n"/>
      <c r="D1324" s="12" t="n"/>
      <c r="E1324" s="13" t="n"/>
      <c r="F1324" s="11">
        <f>IF($E1324="","",IFERROR(VLOOKUP($E1324,OpTbl,2,0),""))</f>
        <v/>
      </c>
      <c r="G1324" s="12" t="n"/>
      <c r="H1324" s="11">
        <f>IF($G1324="","",IFERROR(IF(VLOOKUP($G1324,AcctTbl,4,0)="","(بدون نام)",VLOOKUP($G1324,AcctTbl,4,0)),"کد ناشناخته"))</f>
        <v/>
      </c>
      <c r="I1324" s="13" t="n"/>
      <c r="J1324" s="13" t="n"/>
      <c r="K1324" s="14" t="n"/>
      <c r="L1324" s="14" t="n"/>
      <c r="M1324" s="15">
        <f>IF(OR($B1324="",$K1324=""),"",($K1324-IF($L1324="",0,$L1324)*IFERROR(VLOOKUP("P01",ParamTbl,3,0),1.5))*(1-IF(IFERROR(VLOOKUP($E1324,OpTbl,3,0),"")="خرید",IFERROR(VLOOKUP("P02",ParamTbl,3,0),1),0)/100))</f>
        <v/>
      </c>
      <c r="N1324" s="14" t="n"/>
      <c r="O1324" s="13" t="n"/>
    </row>
    <row r="1325">
      <c r="A1325" s="11">
        <f>IF($B1325="","",COUNTA($B$9:$B1325))</f>
        <v/>
      </c>
      <c r="B1325" s="12" t="n"/>
      <c r="C1325" s="12" t="n"/>
      <c r="D1325" s="12" t="n"/>
      <c r="E1325" s="13" t="n"/>
      <c r="F1325" s="11">
        <f>IF($E1325="","",IFERROR(VLOOKUP($E1325,OpTbl,2,0),""))</f>
        <v/>
      </c>
      <c r="G1325" s="12" t="n"/>
      <c r="H1325" s="11">
        <f>IF($G1325="","",IFERROR(IF(VLOOKUP($G1325,AcctTbl,4,0)="","(بدون نام)",VLOOKUP($G1325,AcctTbl,4,0)),"کد ناشناخته"))</f>
        <v/>
      </c>
      <c r="I1325" s="13" t="n"/>
      <c r="J1325" s="13" t="n"/>
      <c r="K1325" s="14" t="n"/>
      <c r="L1325" s="14" t="n"/>
      <c r="M1325" s="15">
        <f>IF(OR($B1325="",$K1325=""),"",($K1325-IF($L1325="",0,$L1325)*IFERROR(VLOOKUP("P01",ParamTbl,3,0),1.5))*(1-IF(IFERROR(VLOOKUP($E1325,OpTbl,3,0),"")="خرید",IFERROR(VLOOKUP("P02",ParamTbl,3,0),1),0)/100))</f>
        <v/>
      </c>
      <c r="N1325" s="14" t="n"/>
      <c r="O1325" s="13" t="n"/>
    </row>
    <row r="1326">
      <c r="A1326" s="11">
        <f>IF($B1326="","",COUNTA($B$9:$B1326))</f>
        <v/>
      </c>
      <c r="B1326" s="12" t="n"/>
      <c r="C1326" s="12" t="n"/>
      <c r="D1326" s="12" t="n"/>
      <c r="E1326" s="13" t="n"/>
      <c r="F1326" s="11">
        <f>IF($E1326="","",IFERROR(VLOOKUP($E1326,OpTbl,2,0),""))</f>
        <v/>
      </c>
      <c r="G1326" s="12" t="n"/>
      <c r="H1326" s="11">
        <f>IF($G1326="","",IFERROR(IF(VLOOKUP($G1326,AcctTbl,4,0)="","(بدون نام)",VLOOKUP($G1326,AcctTbl,4,0)),"کد ناشناخته"))</f>
        <v/>
      </c>
      <c r="I1326" s="13" t="n"/>
      <c r="J1326" s="13" t="n"/>
      <c r="K1326" s="14" t="n"/>
      <c r="L1326" s="14" t="n"/>
      <c r="M1326" s="15">
        <f>IF(OR($B1326="",$K1326=""),"",($K1326-IF($L1326="",0,$L1326)*IFERROR(VLOOKUP("P01",ParamTbl,3,0),1.5))*(1-IF(IFERROR(VLOOKUP($E1326,OpTbl,3,0),"")="خرید",IFERROR(VLOOKUP("P02",ParamTbl,3,0),1),0)/100))</f>
        <v/>
      </c>
      <c r="N1326" s="14" t="n"/>
      <c r="O1326" s="13" t="n"/>
    </row>
    <row r="1327">
      <c r="A1327" s="11">
        <f>IF($B1327="","",COUNTA($B$9:$B1327))</f>
        <v/>
      </c>
      <c r="B1327" s="12" t="n"/>
      <c r="C1327" s="12" t="n"/>
      <c r="D1327" s="12" t="n"/>
      <c r="E1327" s="13" t="n"/>
      <c r="F1327" s="11">
        <f>IF($E1327="","",IFERROR(VLOOKUP($E1327,OpTbl,2,0),""))</f>
        <v/>
      </c>
      <c r="G1327" s="12" t="n"/>
      <c r="H1327" s="11">
        <f>IF($G1327="","",IFERROR(IF(VLOOKUP($G1327,AcctTbl,4,0)="","(بدون نام)",VLOOKUP($G1327,AcctTbl,4,0)),"کد ناشناخته"))</f>
        <v/>
      </c>
      <c r="I1327" s="13" t="n"/>
      <c r="J1327" s="13" t="n"/>
      <c r="K1327" s="14" t="n"/>
      <c r="L1327" s="14" t="n"/>
      <c r="M1327" s="15">
        <f>IF(OR($B1327="",$K1327=""),"",($K1327-IF($L1327="",0,$L1327)*IFERROR(VLOOKUP("P01",ParamTbl,3,0),1.5))*(1-IF(IFERROR(VLOOKUP($E1327,OpTbl,3,0),"")="خرید",IFERROR(VLOOKUP("P02",ParamTbl,3,0),1),0)/100))</f>
        <v/>
      </c>
      <c r="N1327" s="14" t="n"/>
      <c r="O1327" s="13" t="n"/>
    </row>
    <row r="1328">
      <c r="A1328" s="11">
        <f>IF($B1328="","",COUNTA($B$9:$B1328))</f>
        <v/>
      </c>
      <c r="B1328" s="12" t="n"/>
      <c r="C1328" s="12" t="n"/>
      <c r="D1328" s="12" t="n"/>
      <c r="E1328" s="13" t="n"/>
      <c r="F1328" s="11">
        <f>IF($E1328="","",IFERROR(VLOOKUP($E1328,OpTbl,2,0),""))</f>
        <v/>
      </c>
      <c r="G1328" s="12" t="n"/>
      <c r="H1328" s="11">
        <f>IF($G1328="","",IFERROR(IF(VLOOKUP($G1328,AcctTbl,4,0)="","(بدون نام)",VLOOKUP($G1328,AcctTbl,4,0)),"کد ناشناخته"))</f>
        <v/>
      </c>
      <c r="I1328" s="13" t="n"/>
      <c r="J1328" s="13" t="n"/>
      <c r="K1328" s="14" t="n"/>
      <c r="L1328" s="14" t="n"/>
      <c r="M1328" s="15">
        <f>IF(OR($B1328="",$K1328=""),"",($K1328-IF($L1328="",0,$L1328)*IFERROR(VLOOKUP("P01",ParamTbl,3,0),1.5))*(1-IF(IFERROR(VLOOKUP($E1328,OpTbl,3,0),"")="خرید",IFERROR(VLOOKUP("P02",ParamTbl,3,0),1),0)/100))</f>
        <v/>
      </c>
      <c r="N1328" s="14" t="n"/>
      <c r="O1328" s="13" t="n"/>
    </row>
    <row r="1329">
      <c r="A1329" s="11">
        <f>IF($B1329="","",COUNTA($B$9:$B1329))</f>
        <v/>
      </c>
      <c r="B1329" s="12" t="n"/>
      <c r="C1329" s="12" t="n"/>
      <c r="D1329" s="12" t="n"/>
      <c r="E1329" s="13" t="n"/>
      <c r="F1329" s="11">
        <f>IF($E1329="","",IFERROR(VLOOKUP($E1329,OpTbl,2,0),""))</f>
        <v/>
      </c>
      <c r="G1329" s="12" t="n"/>
      <c r="H1329" s="11">
        <f>IF($G1329="","",IFERROR(IF(VLOOKUP($G1329,AcctTbl,4,0)="","(بدون نام)",VLOOKUP($G1329,AcctTbl,4,0)),"کد ناشناخته"))</f>
        <v/>
      </c>
      <c r="I1329" s="13" t="n"/>
      <c r="J1329" s="13" t="n"/>
      <c r="K1329" s="14" t="n"/>
      <c r="L1329" s="14" t="n"/>
      <c r="M1329" s="15">
        <f>IF(OR($B1329="",$K1329=""),"",($K1329-IF($L1329="",0,$L1329)*IFERROR(VLOOKUP("P01",ParamTbl,3,0),1.5))*(1-IF(IFERROR(VLOOKUP($E1329,OpTbl,3,0),"")="خرید",IFERROR(VLOOKUP("P02",ParamTbl,3,0),1),0)/100))</f>
        <v/>
      </c>
      <c r="N1329" s="14" t="n"/>
      <c r="O1329" s="13" t="n"/>
    </row>
    <row r="1330">
      <c r="A1330" s="11">
        <f>IF($B1330="","",COUNTA($B$9:$B1330))</f>
        <v/>
      </c>
      <c r="B1330" s="12" t="n"/>
      <c r="C1330" s="12" t="n"/>
      <c r="D1330" s="12" t="n"/>
      <c r="E1330" s="13" t="n"/>
      <c r="F1330" s="11">
        <f>IF($E1330="","",IFERROR(VLOOKUP($E1330,OpTbl,2,0),""))</f>
        <v/>
      </c>
      <c r="G1330" s="12" t="n"/>
      <c r="H1330" s="11">
        <f>IF($G1330="","",IFERROR(IF(VLOOKUP($G1330,AcctTbl,4,0)="","(بدون نام)",VLOOKUP($G1330,AcctTbl,4,0)),"کد ناشناخته"))</f>
        <v/>
      </c>
      <c r="I1330" s="13" t="n"/>
      <c r="J1330" s="13" t="n"/>
      <c r="K1330" s="14" t="n"/>
      <c r="L1330" s="14" t="n"/>
      <c r="M1330" s="15">
        <f>IF(OR($B1330="",$K1330=""),"",($K1330-IF($L1330="",0,$L1330)*IFERROR(VLOOKUP("P01",ParamTbl,3,0),1.5))*(1-IF(IFERROR(VLOOKUP($E1330,OpTbl,3,0),"")="خرید",IFERROR(VLOOKUP("P02",ParamTbl,3,0),1),0)/100))</f>
        <v/>
      </c>
      <c r="N1330" s="14" t="n"/>
      <c r="O1330" s="13" t="n"/>
    </row>
    <row r="1331">
      <c r="A1331" s="11">
        <f>IF($B1331="","",COUNTA($B$9:$B1331))</f>
        <v/>
      </c>
      <c r="B1331" s="12" t="n"/>
      <c r="C1331" s="12" t="n"/>
      <c r="D1331" s="12" t="n"/>
      <c r="E1331" s="13" t="n"/>
      <c r="F1331" s="11">
        <f>IF($E1331="","",IFERROR(VLOOKUP($E1331,OpTbl,2,0),""))</f>
        <v/>
      </c>
      <c r="G1331" s="12" t="n"/>
      <c r="H1331" s="11">
        <f>IF($G1331="","",IFERROR(IF(VLOOKUP($G1331,AcctTbl,4,0)="","(بدون نام)",VLOOKUP($G1331,AcctTbl,4,0)),"کد ناشناخته"))</f>
        <v/>
      </c>
      <c r="I1331" s="13" t="n"/>
      <c r="J1331" s="13" t="n"/>
      <c r="K1331" s="14" t="n"/>
      <c r="L1331" s="14" t="n"/>
      <c r="M1331" s="15">
        <f>IF(OR($B1331="",$K1331=""),"",($K1331-IF($L1331="",0,$L1331)*IFERROR(VLOOKUP("P01",ParamTbl,3,0),1.5))*(1-IF(IFERROR(VLOOKUP($E1331,OpTbl,3,0),"")="خرید",IFERROR(VLOOKUP("P02",ParamTbl,3,0),1),0)/100))</f>
        <v/>
      </c>
      <c r="N1331" s="14" t="n"/>
      <c r="O1331" s="13" t="n"/>
    </row>
    <row r="1332">
      <c r="A1332" s="11">
        <f>IF($B1332="","",COUNTA($B$9:$B1332))</f>
        <v/>
      </c>
      <c r="B1332" s="12" t="n"/>
      <c r="C1332" s="12" t="n"/>
      <c r="D1332" s="12" t="n"/>
      <c r="E1332" s="13" t="n"/>
      <c r="F1332" s="11">
        <f>IF($E1332="","",IFERROR(VLOOKUP($E1332,OpTbl,2,0),""))</f>
        <v/>
      </c>
      <c r="G1332" s="12" t="n"/>
      <c r="H1332" s="11">
        <f>IF($G1332="","",IFERROR(IF(VLOOKUP($G1332,AcctTbl,4,0)="","(بدون نام)",VLOOKUP($G1332,AcctTbl,4,0)),"کد ناشناخته"))</f>
        <v/>
      </c>
      <c r="I1332" s="13" t="n"/>
      <c r="J1332" s="13" t="n"/>
      <c r="K1332" s="14" t="n"/>
      <c r="L1332" s="14" t="n"/>
      <c r="M1332" s="15">
        <f>IF(OR($B1332="",$K1332=""),"",($K1332-IF($L1332="",0,$L1332)*IFERROR(VLOOKUP("P01",ParamTbl,3,0),1.5))*(1-IF(IFERROR(VLOOKUP($E1332,OpTbl,3,0),"")="خرید",IFERROR(VLOOKUP("P02",ParamTbl,3,0),1),0)/100))</f>
        <v/>
      </c>
      <c r="N1332" s="14" t="n"/>
      <c r="O1332" s="13" t="n"/>
    </row>
    <row r="1333">
      <c r="A1333" s="11">
        <f>IF($B1333="","",COUNTA($B$9:$B1333))</f>
        <v/>
      </c>
      <c r="B1333" s="12" t="n"/>
      <c r="C1333" s="12" t="n"/>
      <c r="D1333" s="12" t="n"/>
      <c r="E1333" s="13" t="n"/>
      <c r="F1333" s="11">
        <f>IF($E1333="","",IFERROR(VLOOKUP($E1333,OpTbl,2,0),""))</f>
        <v/>
      </c>
      <c r="G1333" s="12" t="n"/>
      <c r="H1333" s="11">
        <f>IF($G1333="","",IFERROR(IF(VLOOKUP($G1333,AcctTbl,4,0)="","(بدون نام)",VLOOKUP($G1333,AcctTbl,4,0)),"کد ناشناخته"))</f>
        <v/>
      </c>
      <c r="I1333" s="13" t="n"/>
      <c r="J1333" s="13" t="n"/>
      <c r="K1333" s="14" t="n"/>
      <c r="L1333" s="14" t="n"/>
      <c r="M1333" s="15">
        <f>IF(OR($B1333="",$K1333=""),"",($K1333-IF($L1333="",0,$L1333)*IFERROR(VLOOKUP("P01",ParamTbl,3,0),1.5))*(1-IF(IFERROR(VLOOKUP($E1333,OpTbl,3,0),"")="خرید",IFERROR(VLOOKUP("P02",ParamTbl,3,0),1),0)/100))</f>
        <v/>
      </c>
      <c r="N1333" s="14" t="n"/>
      <c r="O1333" s="13" t="n"/>
    </row>
    <row r="1334">
      <c r="A1334" s="11">
        <f>IF($B1334="","",COUNTA($B$9:$B1334))</f>
        <v/>
      </c>
      <c r="B1334" s="12" t="n"/>
      <c r="C1334" s="12" t="n"/>
      <c r="D1334" s="12" t="n"/>
      <c r="E1334" s="13" t="n"/>
      <c r="F1334" s="11">
        <f>IF($E1334="","",IFERROR(VLOOKUP($E1334,OpTbl,2,0),""))</f>
        <v/>
      </c>
      <c r="G1334" s="12" t="n"/>
      <c r="H1334" s="11">
        <f>IF($G1334="","",IFERROR(IF(VLOOKUP($G1334,AcctTbl,4,0)="","(بدون نام)",VLOOKUP($G1334,AcctTbl,4,0)),"کد ناشناخته"))</f>
        <v/>
      </c>
      <c r="I1334" s="13" t="n"/>
      <c r="J1334" s="13" t="n"/>
      <c r="K1334" s="14" t="n"/>
      <c r="L1334" s="14" t="n"/>
      <c r="M1334" s="15">
        <f>IF(OR($B1334="",$K1334=""),"",($K1334-IF($L1334="",0,$L1334)*IFERROR(VLOOKUP("P01",ParamTbl,3,0),1.5))*(1-IF(IFERROR(VLOOKUP($E1334,OpTbl,3,0),"")="خرید",IFERROR(VLOOKUP("P02",ParamTbl,3,0),1),0)/100))</f>
        <v/>
      </c>
      <c r="N1334" s="14" t="n"/>
      <c r="O1334" s="13" t="n"/>
    </row>
    <row r="1335">
      <c r="A1335" s="11">
        <f>IF($B1335="","",COUNTA($B$9:$B1335))</f>
        <v/>
      </c>
      <c r="B1335" s="12" t="n"/>
      <c r="C1335" s="12" t="n"/>
      <c r="D1335" s="12" t="n"/>
      <c r="E1335" s="13" t="n"/>
      <c r="F1335" s="11">
        <f>IF($E1335="","",IFERROR(VLOOKUP($E1335,OpTbl,2,0),""))</f>
        <v/>
      </c>
      <c r="G1335" s="12" t="n"/>
      <c r="H1335" s="11">
        <f>IF($G1335="","",IFERROR(IF(VLOOKUP($G1335,AcctTbl,4,0)="","(بدون نام)",VLOOKUP($G1335,AcctTbl,4,0)),"کد ناشناخته"))</f>
        <v/>
      </c>
      <c r="I1335" s="13" t="n"/>
      <c r="J1335" s="13" t="n"/>
      <c r="K1335" s="14" t="n"/>
      <c r="L1335" s="14" t="n"/>
      <c r="M1335" s="15">
        <f>IF(OR($B1335="",$K1335=""),"",($K1335-IF($L1335="",0,$L1335)*IFERROR(VLOOKUP("P01",ParamTbl,3,0),1.5))*(1-IF(IFERROR(VLOOKUP($E1335,OpTbl,3,0),"")="خرید",IFERROR(VLOOKUP("P02",ParamTbl,3,0),1),0)/100))</f>
        <v/>
      </c>
      <c r="N1335" s="14" t="n"/>
      <c r="O1335" s="13" t="n"/>
    </row>
    <row r="1336">
      <c r="A1336" s="11">
        <f>IF($B1336="","",COUNTA($B$9:$B1336))</f>
        <v/>
      </c>
      <c r="B1336" s="12" t="n"/>
      <c r="C1336" s="12" t="n"/>
      <c r="D1336" s="12" t="n"/>
      <c r="E1336" s="13" t="n"/>
      <c r="F1336" s="11">
        <f>IF($E1336="","",IFERROR(VLOOKUP($E1336,OpTbl,2,0),""))</f>
        <v/>
      </c>
      <c r="G1336" s="12" t="n"/>
      <c r="H1336" s="11">
        <f>IF($G1336="","",IFERROR(IF(VLOOKUP($G1336,AcctTbl,4,0)="","(بدون نام)",VLOOKUP($G1336,AcctTbl,4,0)),"کد ناشناخته"))</f>
        <v/>
      </c>
      <c r="I1336" s="13" t="n"/>
      <c r="J1336" s="13" t="n"/>
      <c r="K1336" s="14" t="n"/>
      <c r="L1336" s="14" t="n"/>
      <c r="M1336" s="15">
        <f>IF(OR($B1336="",$K1336=""),"",($K1336-IF($L1336="",0,$L1336)*IFERROR(VLOOKUP("P01",ParamTbl,3,0),1.5))*(1-IF(IFERROR(VLOOKUP($E1336,OpTbl,3,0),"")="خرید",IFERROR(VLOOKUP("P02",ParamTbl,3,0),1),0)/100))</f>
        <v/>
      </c>
      <c r="N1336" s="14" t="n"/>
      <c r="O1336" s="13" t="n"/>
    </row>
    <row r="1337">
      <c r="A1337" s="11">
        <f>IF($B1337="","",COUNTA($B$9:$B1337))</f>
        <v/>
      </c>
      <c r="B1337" s="12" t="n"/>
      <c r="C1337" s="12" t="n"/>
      <c r="D1337" s="12" t="n"/>
      <c r="E1337" s="13" t="n"/>
      <c r="F1337" s="11">
        <f>IF($E1337="","",IFERROR(VLOOKUP($E1337,OpTbl,2,0),""))</f>
        <v/>
      </c>
      <c r="G1337" s="12" t="n"/>
      <c r="H1337" s="11">
        <f>IF($G1337="","",IFERROR(IF(VLOOKUP($G1337,AcctTbl,4,0)="","(بدون نام)",VLOOKUP($G1337,AcctTbl,4,0)),"کد ناشناخته"))</f>
        <v/>
      </c>
      <c r="I1337" s="13" t="n"/>
      <c r="J1337" s="13" t="n"/>
      <c r="K1337" s="14" t="n"/>
      <c r="L1337" s="14" t="n"/>
      <c r="M1337" s="15">
        <f>IF(OR($B1337="",$K1337=""),"",($K1337-IF($L1337="",0,$L1337)*IFERROR(VLOOKUP("P01",ParamTbl,3,0),1.5))*(1-IF(IFERROR(VLOOKUP($E1337,OpTbl,3,0),"")="خرید",IFERROR(VLOOKUP("P02",ParamTbl,3,0),1),0)/100))</f>
        <v/>
      </c>
      <c r="N1337" s="14" t="n"/>
      <c r="O1337" s="13" t="n"/>
    </row>
    <row r="1338">
      <c r="A1338" s="11">
        <f>IF($B1338="","",COUNTA($B$9:$B1338))</f>
        <v/>
      </c>
      <c r="B1338" s="12" t="n"/>
      <c r="C1338" s="12" t="n"/>
      <c r="D1338" s="12" t="n"/>
      <c r="E1338" s="13" t="n"/>
      <c r="F1338" s="11">
        <f>IF($E1338="","",IFERROR(VLOOKUP($E1338,OpTbl,2,0),""))</f>
        <v/>
      </c>
      <c r="G1338" s="12" t="n"/>
      <c r="H1338" s="11">
        <f>IF($G1338="","",IFERROR(IF(VLOOKUP($G1338,AcctTbl,4,0)="","(بدون نام)",VLOOKUP($G1338,AcctTbl,4,0)),"کد ناشناخته"))</f>
        <v/>
      </c>
      <c r="I1338" s="13" t="n"/>
      <c r="J1338" s="13" t="n"/>
      <c r="K1338" s="14" t="n"/>
      <c r="L1338" s="14" t="n"/>
      <c r="M1338" s="15">
        <f>IF(OR($B1338="",$K1338=""),"",($K1338-IF($L1338="",0,$L1338)*IFERROR(VLOOKUP("P01",ParamTbl,3,0),1.5))*(1-IF(IFERROR(VLOOKUP($E1338,OpTbl,3,0),"")="خرید",IFERROR(VLOOKUP("P02",ParamTbl,3,0),1),0)/100))</f>
        <v/>
      </c>
      <c r="N1338" s="14" t="n"/>
      <c r="O1338" s="13" t="n"/>
    </row>
    <row r="1339">
      <c r="A1339" s="11">
        <f>IF($B1339="","",COUNTA($B$9:$B1339))</f>
        <v/>
      </c>
      <c r="B1339" s="12" t="n"/>
      <c r="C1339" s="12" t="n"/>
      <c r="D1339" s="12" t="n"/>
      <c r="E1339" s="13" t="n"/>
      <c r="F1339" s="11">
        <f>IF($E1339="","",IFERROR(VLOOKUP($E1339,OpTbl,2,0),""))</f>
        <v/>
      </c>
      <c r="G1339" s="12" t="n"/>
      <c r="H1339" s="11">
        <f>IF($G1339="","",IFERROR(IF(VLOOKUP($G1339,AcctTbl,4,0)="","(بدون نام)",VLOOKUP($G1339,AcctTbl,4,0)),"کد ناشناخته"))</f>
        <v/>
      </c>
      <c r="I1339" s="13" t="n"/>
      <c r="J1339" s="13" t="n"/>
      <c r="K1339" s="14" t="n"/>
      <c r="L1339" s="14" t="n"/>
      <c r="M1339" s="15">
        <f>IF(OR($B1339="",$K1339=""),"",($K1339-IF($L1339="",0,$L1339)*IFERROR(VLOOKUP("P01",ParamTbl,3,0),1.5))*(1-IF(IFERROR(VLOOKUP($E1339,OpTbl,3,0),"")="خرید",IFERROR(VLOOKUP("P02",ParamTbl,3,0),1),0)/100))</f>
        <v/>
      </c>
      <c r="N1339" s="14" t="n"/>
      <c r="O1339" s="13" t="n"/>
    </row>
    <row r="1340">
      <c r="A1340" s="11">
        <f>IF($B1340="","",COUNTA($B$9:$B1340))</f>
        <v/>
      </c>
      <c r="B1340" s="12" t="n"/>
      <c r="C1340" s="12" t="n"/>
      <c r="D1340" s="12" t="n"/>
      <c r="E1340" s="13" t="n"/>
      <c r="F1340" s="11">
        <f>IF($E1340="","",IFERROR(VLOOKUP($E1340,OpTbl,2,0),""))</f>
        <v/>
      </c>
      <c r="G1340" s="12" t="n"/>
      <c r="H1340" s="11">
        <f>IF($G1340="","",IFERROR(IF(VLOOKUP($G1340,AcctTbl,4,0)="","(بدون نام)",VLOOKUP($G1340,AcctTbl,4,0)),"کد ناشناخته"))</f>
        <v/>
      </c>
      <c r="I1340" s="13" t="n"/>
      <c r="J1340" s="13" t="n"/>
      <c r="K1340" s="14" t="n"/>
      <c r="L1340" s="14" t="n"/>
      <c r="M1340" s="15">
        <f>IF(OR($B1340="",$K1340=""),"",($K1340-IF($L1340="",0,$L1340)*IFERROR(VLOOKUP("P01",ParamTbl,3,0),1.5))*(1-IF(IFERROR(VLOOKUP($E1340,OpTbl,3,0),"")="خرید",IFERROR(VLOOKUP("P02",ParamTbl,3,0),1),0)/100))</f>
        <v/>
      </c>
      <c r="N1340" s="14" t="n"/>
      <c r="O1340" s="13" t="n"/>
    </row>
    <row r="1341">
      <c r="A1341" s="11">
        <f>IF($B1341="","",COUNTA($B$9:$B1341))</f>
        <v/>
      </c>
      <c r="B1341" s="12" t="n"/>
      <c r="C1341" s="12" t="n"/>
      <c r="D1341" s="12" t="n"/>
      <c r="E1341" s="13" t="n"/>
      <c r="F1341" s="11">
        <f>IF($E1341="","",IFERROR(VLOOKUP($E1341,OpTbl,2,0),""))</f>
        <v/>
      </c>
      <c r="G1341" s="12" t="n"/>
      <c r="H1341" s="11">
        <f>IF($G1341="","",IFERROR(IF(VLOOKUP($G1341,AcctTbl,4,0)="","(بدون نام)",VLOOKUP($G1341,AcctTbl,4,0)),"کد ناشناخته"))</f>
        <v/>
      </c>
      <c r="I1341" s="13" t="n"/>
      <c r="J1341" s="13" t="n"/>
      <c r="K1341" s="14" t="n"/>
      <c r="L1341" s="14" t="n"/>
      <c r="M1341" s="15">
        <f>IF(OR($B1341="",$K1341=""),"",($K1341-IF($L1341="",0,$L1341)*IFERROR(VLOOKUP("P01",ParamTbl,3,0),1.5))*(1-IF(IFERROR(VLOOKUP($E1341,OpTbl,3,0),"")="خرید",IFERROR(VLOOKUP("P02",ParamTbl,3,0),1),0)/100))</f>
        <v/>
      </c>
      <c r="N1341" s="14" t="n"/>
      <c r="O1341" s="13" t="n"/>
    </row>
    <row r="1342">
      <c r="A1342" s="11">
        <f>IF($B1342="","",COUNTA($B$9:$B1342))</f>
        <v/>
      </c>
      <c r="B1342" s="12" t="n"/>
      <c r="C1342" s="12" t="n"/>
      <c r="D1342" s="12" t="n"/>
      <c r="E1342" s="13" t="n"/>
      <c r="F1342" s="11">
        <f>IF($E1342="","",IFERROR(VLOOKUP($E1342,OpTbl,2,0),""))</f>
        <v/>
      </c>
      <c r="G1342" s="12" t="n"/>
      <c r="H1342" s="11">
        <f>IF($G1342="","",IFERROR(IF(VLOOKUP($G1342,AcctTbl,4,0)="","(بدون نام)",VLOOKUP($G1342,AcctTbl,4,0)),"کد ناشناخته"))</f>
        <v/>
      </c>
      <c r="I1342" s="13" t="n"/>
      <c r="J1342" s="13" t="n"/>
      <c r="K1342" s="14" t="n"/>
      <c r="L1342" s="14" t="n"/>
      <c r="M1342" s="15">
        <f>IF(OR($B1342="",$K1342=""),"",($K1342-IF($L1342="",0,$L1342)*IFERROR(VLOOKUP("P01",ParamTbl,3,0),1.5))*(1-IF(IFERROR(VLOOKUP($E1342,OpTbl,3,0),"")="خرید",IFERROR(VLOOKUP("P02",ParamTbl,3,0),1),0)/100))</f>
        <v/>
      </c>
      <c r="N1342" s="14" t="n"/>
      <c r="O1342" s="13" t="n"/>
    </row>
    <row r="1343">
      <c r="A1343" s="11">
        <f>IF($B1343="","",COUNTA($B$9:$B1343))</f>
        <v/>
      </c>
      <c r="B1343" s="12" t="n"/>
      <c r="C1343" s="12" t="n"/>
      <c r="D1343" s="12" t="n"/>
      <c r="E1343" s="13" t="n"/>
      <c r="F1343" s="11">
        <f>IF($E1343="","",IFERROR(VLOOKUP($E1343,OpTbl,2,0),""))</f>
        <v/>
      </c>
      <c r="G1343" s="12" t="n"/>
      <c r="H1343" s="11">
        <f>IF($G1343="","",IFERROR(IF(VLOOKUP($G1343,AcctTbl,4,0)="","(بدون نام)",VLOOKUP($G1343,AcctTbl,4,0)),"کد ناشناخته"))</f>
        <v/>
      </c>
      <c r="I1343" s="13" t="n"/>
      <c r="J1343" s="13" t="n"/>
      <c r="K1343" s="14" t="n"/>
      <c r="L1343" s="14" t="n"/>
      <c r="M1343" s="15">
        <f>IF(OR($B1343="",$K1343=""),"",($K1343-IF($L1343="",0,$L1343)*IFERROR(VLOOKUP("P01",ParamTbl,3,0),1.5))*(1-IF(IFERROR(VLOOKUP($E1343,OpTbl,3,0),"")="خرید",IFERROR(VLOOKUP("P02",ParamTbl,3,0),1),0)/100))</f>
        <v/>
      </c>
      <c r="N1343" s="14" t="n"/>
      <c r="O1343" s="13" t="n"/>
    </row>
    <row r="1344">
      <c r="A1344" s="11">
        <f>IF($B1344="","",COUNTA($B$9:$B1344))</f>
        <v/>
      </c>
      <c r="B1344" s="12" t="n"/>
      <c r="C1344" s="12" t="n"/>
      <c r="D1344" s="12" t="n"/>
      <c r="E1344" s="13" t="n"/>
      <c r="F1344" s="11">
        <f>IF($E1344="","",IFERROR(VLOOKUP($E1344,OpTbl,2,0),""))</f>
        <v/>
      </c>
      <c r="G1344" s="12" t="n"/>
      <c r="H1344" s="11">
        <f>IF($G1344="","",IFERROR(IF(VLOOKUP($G1344,AcctTbl,4,0)="","(بدون نام)",VLOOKUP($G1344,AcctTbl,4,0)),"کد ناشناخته"))</f>
        <v/>
      </c>
      <c r="I1344" s="13" t="n"/>
      <c r="J1344" s="13" t="n"/>
      <c r="K1344" s="14" t="n"/>
      <c r="L1344" s="14" t="n"/>
      <c r="M1344" s="15">
        <f>IF(OR($B1344="",$K1344=""),"",($K1344-IF($L1344="",0,$L1344)*IFERROR(VLOOKUP("P01",ParamTbl,3,0),1.5))*(1-IF(IFERROR(VLOOKUP($E1344,OpTbl,3,0),"")="خرید",IFERROR(VLOOKUP("P02",ParamTbl,3,0),1),0)/100))</f>
        <v/>
      </c>
      <c r="N1344" s="14" t="n"/>
      <c r="O1344" s="13" t="n"/>
    </row>
    <row r="1345">
      <c r="A1345" s="11">
        <f>IF($B1345="","",COUNTA($B$9:$B1345))</f>
        <v/>
      </c>
      <c r="B1345" s="12" t="n"/>
      <c r="C1345" s="12" t="n"/>
      <c r="D1345" s="12" t="n"/>
      <c r="E1345" s="13" t="n"/>
      <c r="F1345" s="11">
        <f>IF($E1345="","",IFERROR(VLOOKUP($E1345,OpTbl,2,0),""))</f>
        <v/>
      </c>
      <c r="G1345" s="12" t="n"/>
      <c r="H1345" s="11">
        <f>IF($G1345="","",IFERROR(IF(VLOOKUP($G1345,AcctTbl,4,0)="","(بدون نام)",VLOOKUP($G1345,AcctTbl,4,0)),"کد ناشناخته"))</f>
        <v/>
      </c>
      <c r="I1345" s="13" t="n"/>
      <c r="J1345" s="13" t="n"/>
      <c r="K1345" s="14" t="n"/>
      <c r="L1345" s="14" t="n"/>
      <c r="M1345" s="15">
        <f>IF(OR($B1345="",$K1345=""),"",($K1345-IF($L1345="",0,$L1345)*IFERROR(VLOOKUP("P01",ParamTbl,3,0),1.5))*(1-IF(IFERROR(VLOOKUP($E1345,OpTbl,3,0),"")="خرید",IFERROR(VLOOKUP("P02",ParamTbl,3,0),1),0)/100))</f>
        <v/>
      </c>
      <c r="N1345" s="14" t="n"/>
      <c r="O1345" s="13" t="n"/>
    </row>
    <row r="1346">
      <c r="A1346" s="11">
        <f>IF($B1346="","",COUNTA($B$9:$B1346))</f>
        <v/>
      </c>
      <c r="B1346" s="12" t="n"/>
      <c r="C1346" s="12" t="n"/>
      <c r="D1346" s="12" t="n"/>
      <c r="E1346" s="13" t="n"/>
      <c r="F1346" s="11">
        <f>IF($E1346="","",IFERROR(VLOOKUP($E1346,OpTbl,2,0),""))</f>
        <v/>
      </c>
      <c r="G1346" s="12" t="n"/>
      <c r="H1346" s="11">
        <f>IF($G1346="","",IFERROR(IF(VLOOKUP($G1346,AcctTbl,4,0)="","(بدون نام)",VLOOKUP($G1346,AcctTbl,4,0)),"کد ناشناخته"))</f>
        <v/>
      </c>
      <c r="I1346" s="13" t="n"/>
      <c r="J1346" s="13" t="n"/>
      <c r="K1346" s="14" t="n"/>
      <c r="L1346" s="14" t="n"/>
      <c r="M1346" s="15">
        <f>IF(OR($B1346="",$K1346=""),"",($K1346-IF($L1346="",0,$L1346)*IFERROR(VLOOKUP("P01",ParamTbl,3,0),1.5))*(1-IF(IFERROR(VLOOKUP($E1346,OpTbl,3,0),"")="خرید",IFERROR(VLOOKUP("P02",ParamTbl,3,0),1),0)/100))</f>
        <v/>
      </c>
      <c r="N1346" s="14" t="n"/>
      <c r="O1346" s="13" t="n"/>
    </row>
    <row r="1347">
      <c r="A1347" s="11">
        <f>IF($B1347="","",COUNTA($B$9:$B1347))</f>
        <v/>
      </c>
      <c r="B1347" s="12" t="n"/>
      <c r="C1347" s="12" t="n"/>
      <c r="D1347" s="12" t="n"/>
      <c r="E1347" s="13" t="n"/>
      <c r="F1347" s="11">
        <f>IF($E1347="","",IFERROR(VLOOKUP($E1347,OpTbl,2,0),""))</f>
        <v/>
      </c>
      <c r="G1347" s="12" t="n"/>
      <c r="H1347" s="11">
        <f>IF($G1347="","",IFERROR(IF(VLOOKUP($G1347,AcctTbl,4,0)="","(بدون نام)",VLOOKUP($G1347,AcctTbl,4,0)),"کد ناشناخته"))</f>
        <v/>
      </c>
      <c r="I1347" s="13" t="n"/>
      <c r="J1347" s="13" t="n"/>
      <c r="K1347" s="14" t="n"/>
      <c r="L1347" s="14" t="n"/>
      <c r="M1347" s="15">
        <f>IF(OR($B1347="",$K1347=""),"",($K1347-IF($L1347="",0,$L1347)*IFERROR(VLOOKUP("P01",ParamTbl,3,0),1.5))*(1-IF(IFERROR(VLOOKUP($E1347,OpTbl,3,0),"")="خرید",IFERROR(VLOOKUP("P02",ParamTbl,3,0),1),0)/100))</f>
        <v/>
      </c>
      <c r="N1347" s="14" t="n"/>
      <c r="O1347" s="13" t="n"/>
    </row>
    <row r="1348">
      <c r="A1348" s="11">
        <f>IF($B1348="","",COUNTA($B$9:$B1348))</f>
        <v/>
      </c>
      <c r="B1348" s="12" t="n"/>
      <c r="C1348" s="12" t="n"/>
      <c r="D1348" s="12" t="n"/>
      <c r="E1348" s="13" t="n"/>
      <c r="F1348" s="11">
        <f>IF($E1348="","",IFERROR(VLOOKUP($E1348,OpTbl,2,0),""))</f>
        <v/>
      </c>
      <c r="G1348" s="12" t="n"/>
      <c r="H1348" s="11">
        <f>IF($G1348="","",IFERROR(IF(VLOOKUP($G1348,AcctTbl,4,0)="","(بدون نام)",VLOOKUP($G1348,AcctTbl,4,0)),"کد ناشناخته"))</f>
        <v/>
      </c>
      <c r="I1348" s="13" t="n"/>
      <c r="J1348" s="13" t="n"/>
      <c r="K1348" s="14" t="n"/>
      <c r="L1348" s="14" t="n"/>
      <c r="M1348" s="15">
        <f>IF(OR($B1348="",$K1348=""),"",($K1348-IF($L1348="",0,$L1348)*IFERROR(VLOOKUP("P01",ParamTbl,3,0),1.5))*(1-IF(IFERROR(VLOOKUP($E1348,OpTbl,3,0),"")="خرید",IFERROR(VLOOKUP("P02",ParamTbl,3,0),1),0)/100))</f>
        <v/>
      </c>
      <c r="N1348" s="14" t="n"/>
      <c r="O1348" s="13" t="n"/>
    </row>
    <row r="1349">
      <c r="A1349" s="11">
        <f>IF($B1349="","",COUNTA($B$9:$B1349))</f>
        <v/>
      </c>
      <c r="B1349" s="12" t="n"/>
      <c r="C1349" s="12" t="n"/>
      <c r="D1349" s="12" t="n"/>
      <c r="E1349" s="13" t="n"/>
      <c r="F1349" s="11">
        <f>IF($E1349="","",IFERROR(VLOOKUP($E1349,OpTbl,2,0),""))</f>
        <v/>
      </c>
      <c r="G1349" s="12" t="n"/>
      <c r="H1349" s="11">
        <f>IF($G1349="","",IFERROR(IF(VLOOKUP($G1349,AcctTbl,4,0)="","(بدون نام)",VLOOKUP($G1349,AcctTbl,4,0)),"کد ناشناخته"))</f>
        <v/>
      </c>
      <c r="I1349" s="13" t="n"/>
      <c r="J1349" s="13" t="n"/>
      <c r="K1349" s="14" t="n"/>
      <c r="L1349" s="14" t="n"/>
      <c r="M1349" s="15">
        <f>IF(OR($B1349="",$K1349=""),"",($K1349-IF($L1349="",0,$L1349)*IFERROR(VLOOKUP("P01",ParamTbl,3,0),1.5))*(1-IF(IFERROR(VLOOKUP($E1349,OpTbl,3,0),"")="خرید",IFERROR(VLOOKUP("P02",ParamTbl,3,0),1),0)/100))</f>
        <v/>
      </c>
      <c r="N1349" s="14" t="n"/>
      <c r="O1349" s="13" t="n"/>
    </row>
    <row r="1350">
      <c r="A1350" s="11">
        <f>IF($B1350="","",COUNTA($B$9:$B1350))</f>
        <v/>
      </c>
      <c r="B1350" s="12" t="n"/>
      <c r="C1350" s="12" t="n"/>
      <c r="D1350" s="12" t="n"/>
      <c r="E1350" s="13" t="n"/>
      <c r="F1350" s="11">
        <f>IF($E1350="","",IFERROR(VLOOKUP($E1350,OpTbl,2,0),""))</f>
        <v/>
      </c>
      <c r="G1350" s="12" t="n"/>
      <c r="H1350" s="11">
        <f>IF($G1350="","",IFERROR(IF(VLOOKUP($G1350,AcctTbl,4,0)="","(بدون نام)",VLOOKUP($G1350,AcctTbl,4,0)),"کد ناشناخته"))</f>
        <v/>
      </c>
      <c r="I1350" s="13" t="n"/>
      <c r="J1350" s="13" t="n"/>
      <c r="K1350" s="14" t="n"/>
      <c r="L1350" s="14" t="n"/>
      <c r="M1350" s="15">
        <f>IF(OR($B1350="",$K1350=""),"",($K1350-IF($L1350="",0,$L1350)*IFERROR(VLOOKUP("P01",ParamTbl,3,0),1.5))*(1-IF(IFERROR(VLOOKUP($E1350,OpTbl,3,0),"")="خرید",IFERROR(VLOOKUP("P02",ParamTbl,3,0),1),0)/100))</f>
        <v/>
      </c>
      <c r="N1350" s="14" t="n"/>
      <c r="O1350" s="13" t="n"/>
    </row>
    <row r="1351">
      <c r="A1351" s="11">
        <f>IF($B1351="","",COUNTA($B$9:$B1351))</f>
        <v/>
      </c>
      <c r="B1351" s="12" t="n"/>
      <c r="C1351" s="12" t="n"/>
      <c r="D1351" s="12" t="n"/>
      <c r="E1351" s="13" t="n"/>
      <c r="F1351" s="11">
        <f>IF($E1351="","",IFERROR(VLOOKUP($E1351,OpTbl,2,0),""))</f>
        <v/>
      </c>
      <c r="G1351" s="12" t="n"/>
      <c r="H1351" s="11">
        <f>IF($G1351="","",IFERROR(IF(VLOOKUP($G1351,AcctTbl,4,0)="","(بدون نام)",VLOOKUP($G1351,AcctTbl,4,0)),"کد ناشناخته"))</f>
        <v/>
      </c>
      <c r="I1351" s="13" t="n"/>
      <c r="J1351" s="13" t="n"/>
      <c r="K1351" s="14" t="n"/>
      <c r="L1351" s="14" t="n"/>
      <c r="M1351" s="15">
        <f>IF(OR($B1351="",$K1351=""),"",($K1351-IF($L1351="",0,$L1351)*IFERROR(VLOOKUP("P01",ParamTbl,3,0),1.5))*(1-IF(IFERROR(VLOOKUP($E1351,OpTbl,3,0),"")="خرید",IFERROR(VLOOKUP("P02",ParamTbl,3,0),1),0)/100))</f>
        <v/>
      </c>
      <c r="N1351" s="14" t="n"/>
      <c r="O1351" s="13" t="n"/>
    </row>
    <row r="1352">
      <c r="A1352" s="11">
        <f>IF($B1352="","",COUNTA($B$9:$B1352))</f>
        <v/>
      </c>
      <c r="B1352" s="12" t="n"/>
      <c r="C1352" s="12" t="n"/>
      <c r="D1352" s="12" t="n"/>
      <c r="E1352" s="13" t="n"/>
      <c r="F1352" s="11">
        <f>IF($E1352="","",IFERROR(VLOOKUP($E1352,OpTbl,2,0),""))</f>
        <v/>
      </c>
      <c r="G1352" s="12" t="n"/>
      <c r="H1352" s="11">
        <f>IF($G1352="","",IFERROR(IF(VLOOKUP($G1352,AcctTbl,4,0)="","(بدون نام)",VLOOKUP($G1352,AcctTbl,4,0)),"کد ناشناخته"))</f>
        <v/>
      </c>
      <c r="I1352" s="13" t="n"/>
      <c r="J1352" s="13" t="n"/>
      <c r="K1352" s="14" t="n"/>
      <c r="L1352" s="14" t="n"/>
      <c r="M1352" s="15">
        <f>IF(OR($B1352="",$K1352=""),"",($K1352-IF($L1352="",0,$L1352)*IFERROR(VLOOKUP("P01",ParamTbl,3,0),1.5))*(1-IF(IFERROR(VLOOKUP($E1352,OpTbl,3,0),"")="خرید",IFERROR(VLOOKUP("P02",ParamTbl,3,0),1),0)/100))</f>
        <v/>
      </c>
      <c r="N1352" s="14" t="n"/>
      <c r="O1352" s="13" t="n"/>
    </row>
    <row r="1353">
      <c r="A1353" s="11">
        <f>IF($B1353="","",COUNTA($B$9:$B1353))</f>
        <v/>
      </c>
      <c r="B1353" s="12" t="n"/>
      <c r="C1353" s="12" t="n"/>
      <c r="D1353" s="12" t="n"/>
      <c r="E1353" s="13" t="n"/>
      <c r="F1353" s="11">
        <f>IF($E1353="","",IFERROR(VLOOKUP($E1353,OpTbl,2,0),""))</f>
        <v/>
      </c>
      <c r="G1353" s="12" t="n"/>
      <c r="H1353" s="11">
        <f>IF($G1353="","",IFERROR(IF(VLOOKUP($G1353,AcctTbl,4,0)="","(بدون نام)",VLOOKUP($G1353,AcctTbl,4,0)),"کد ناشناخته"))</f>
        <v/>
      </c>
      <c r="I1353" s="13" t="n"/>
      <c r="J1353" s="13" t="n"/>
      <c r="K1353" s="14" t="n"/>
      <c r="L1353" s="14" t="n"/>
      <c r="M1353" s="15">
        <f>IF(OR($B1353="",$K1353=""),"",($K1353-IF($L1353="",0,$L1353)*IFERROR(VLOOKUP("P01",ParamTbl,3,0),1.5))*(1-IF(IFERROR(VLOOKUP($E1353,OpTbl,3,0),"")="خرید",IFERROR(VLOOKUP("P02",ParamTbl,3,0),1),0)/100))</f>
        <v/>
      </c>
      <c r="N1353" s="14" t="n"/>
      <c r="O1353" s="13" t="n"/>
    </row>
    <row r="1354">
      <c r="A1354" s="11">
        <f>IF($B1354="","",COUNTA($B$9:$B1354))</f>
        <v/>
      </c>
      <c r="B1354" s="12" t="n"/>
      <c r="C1354" s="12" t="n"/>
      <c r="D1354" s="12" t="n"/>
      <c r="E1354" s="13" t="n"/>
      <c r="F1354" s="11">
        <f>IF($E1354="","",IFERROR(VLOOKUP($E1354,OpTbl,2,0),""))</f>
        <v/>
      </c>
      <c r="G1354" s="12" t="n"/>
      <c r="H1354" s="11">
        <f>IF($G1354="","",IFERROR(IF(VLOOKUP($G1354,AcctTbl,4,0)="","(بدون نام)",VLOOKUP($G1354,AcctTbl,4,0)),"کد ناشناخته"))</f>
        <v/>
      </c>
      <c r="I1354" s="13" t="n"/>
      <c r="J1354" s="13" t="n"/>
      <c r="K1354" s="14" t="n"/>
      <c r="L1354" s="14" t="n"/>
      <c r="M1354" s="15">
        <f>IF(OR($B1354="",$K1354=""),"",($K1354-IF($L1354="",0,$L1354)*IFERROR(VLOOKUP("P01",ParamTbl,3,0),1.5))*(1-IF(IFERROR(VLOOKUP($E1354,OpTbl,3,0),"")="خرید",IFERROR(VLOOKUP("P02",ParamTbl,3,0),1),0)/100))</f>
        <v/>
      </c>
      <c r="N1354" s="14" t="n"/>
      <c r="O1354" s="13" t="n"/>
    </row>
    <row r="1355">
      <c r="A1355" s="11">
        <f>IF($B1355="","",COUNTA($B$9:$B1355))</f>
        <v/>
      </c>
      <c r="B1355" s="12" t="n"/>
      <c r="C1355" s="12" t="n"/>
      <c r="D1355" s="12" t="n"/>
      <c r="E1355" s="13" t="n"/>
      <c r="F1355" s="11">
        <f>IF($E1355="","",IFERROR(VLOOKUP($E1355,OpTbl,2,0),""))</f>
        <v/>
      </c>
      <c r="G1355" s="12" t="n"/>
      <c r="H1355" s="11">
        <f>IF($G1355="","",IFERROR(IF(VLOOKUP($G1355,AcctTbl,4,0)="","(بدون نام)",VLOOKUP($G1355,AcctTbl,4,0)),"کد ناشناخته"))</f>
        <v/>
      </c>
      <c r="I1355" s="13" t="n"/>
      <c r="J1355" s="13" t="n"/>
      <c r="K1355" s="14" t="n"/>
      <c r="L1355" s="14" t="n"/>
      <c r="M1355" s="15">
        <f>IF(OR($B1355="",$K1355=""),"",($K1355-IF($L1355="",0,$L1355)*IFERROR(VLOOKUP("P01",ParamTbl,3,0),1.5))*(1-IF(IFERROR(VLOOKUP($E1355,OpTbl,3,0),"")="خرید",IFERROR(VLOOKUP("P02",ParamTbl,3,0),1),0)/100))</f>
        <v/>
      </c>
      <c r="N1355" s="14" t="n"/>
      <c r="O1355" s="13" t="n"/>
    </row>
    <row r="1356">
      <c r="A1356" s="11">
        <f>IF($B1356="","",COUNTA($B$9:$B1356))</f>
        <v/>
      </c>
      <c r="B1356" s="12" t="n"/>
      <c r="C1356" s="12" t="n"/>
      <c r="D1356" s="12" t="n"/>
      <c r="E1356" s="13" t="n"/>
      <c r="F1356" s="11">
        <f>IF($E1356="","",IFERROR(VLOOKUP($E1356,OpTbl,2,0),""))</f>
        <v/>
      </c>
      <c r="G1356" s="12" t="n"/>
      <c r="H1356" s="11">
        <f>IF($G1356="","",IFERROR(IF(VLOOKUP($G1356,AcctTbl,4,0)="","(بدون نام)",VLOOKUP($G1356,AcctTbl,4,0)),"کد ناشناخته"))</f>
        <v/>
      </c>
      <c r="I1356" s="13" t="n"/>
      <c r="J1356" s="13" t="n"/>
      <c r="K1356" s="14" t="n"/>
      <c r="L1356" s="14" t="n"/>
      <c r="M1356" s="15">
        <f>IF(OR($B1356="",$K1356=""),"",($K1356-IF($L1356="",0,$L1356)*IFERROR(VLOOKUP("P01",ParamTbl,3,0),1.5))*(1-IF(IFERROR(VLOOKUP($E1356,OpTbl,3,0),"")="خرید",IFERROR(VLOOKUP("P02",ParamTbl,3,0),1),0)/100))</f>
        <v/>
      </c>
      <c r="N1356" s="14" t="n"/>
      <c r="O1356" s="13" t="n"/>
    </row>
    <row r="1357">
      <c r="A1357" s="11">
        <f>IF($B1357="","",COUNTA($B$9:$B1357))</f>
        <v/>
      </c>
      <c r="B1357" s="12" t="n"/>
      <c r="C1357" s="12" t="n"/>
      <c r="D1357" s="12" t="n"/>
      <c r="E1357" s="13" t="n"/>
      <c r="F1357" s="11">
        <f>IF($E1357="","",IFERROR(VLOOKUP($E1357,OpTbl,2,0),""))</f>
        <v/>
      </c>
      <c r="G1357" s="12" t="n"/>
      <c r="H1357" s="11">
        <f>IF($G1357="","",IFERROR(IF(VLOOKUP($G1357,AcctTbl,4,0)="","(بدون نام)",VLOOKUP($G1357,AcctTbl,4,0)),"کد ناشناخته"))</f>
        <v/>
      </c>
      <c r="I1357" s="13" t="n"/>
      <c r="J1357" s="13" t="n"/>
      <c r="K1357" s="14" t="n"/>
      <c r="L1357" s="14" t="n"/>
      <c r="M1357" s="15">
        <f>IF(OR($B1357="",$K1357=""),"",($K1357-IF($L1357="",0,$L1357)*IFERROR(VLOOKUP("P01",ParamTbl,3,0),1.5))*(1-IF(IFERROR(VLOOKUP($E1357,OpTbl,3,0),"")="خرید",IFERROR(VLOOKUP("P02",ParamTbl,3,0),1),0)/100))</f>
        <v/>
      </c>
      <c r="N1357" s="14" t="n"/>
      <c r="O1357" s="13" t="n"/>
    </row>
    <row r="1358">
      <c r="A1358" s="11">
        <f>IF($B1358="","",COUNTA($B$9:$B1358))</f>
        <v/>
      </c>
      <c r="B1358" s="12" t="n"/>
      <c r="C1358" s="12" t="n"/>
      <c r="D1358" s="12" t="n"/>
      <c r="E1358" s="13" t="n"/>
      <c r="F1358" s="11">
        <f>IF($E1358="","",IFERROR(VLOOKUP($E1358,OpTbl,2,0),""))</f>
        <v/>
      </c>
      <c r="G1358" s="12" t="n"/>
      <c r="H1358" s="11">
        <f>IF($G1358="","",IFERROR(IF(VLOOKUP($G1358,AcctTbl,4,0)="","(بدون نام)",VLOOKUP($G1358,AcctTbl,4,0)),"کد ناشناخته"))</f>
        <v/>
      </c>
      <c r="I1358" s="13" t="n"/>
      <c r="J1358" s="13" t="n"/>
      <c r="K1358" s="14" t="n"/>
      <c r="L1358" s="14" t="n"/>
      <c r="M1358" s="15">
        <f>IF(OR($B1358="",$K1358=""),"",($K1358-IF($L1358="",0,$L1358)*IFERROR(VLOOKUP("P01",ParamTbl,3,0),1.5))*(1-IF(IFERROR(VLOOKUP($E1358,OpTbl,3,0),"")="خرید",IFERROR(VLOOKUP("P02",ParamTbl,3,0),1),0)/100))</f>
        <v/>
      </c>
      <c r="N1358" s="14" t="n"/>
      <c r="O1358" s="13" t="n"/>
    </row>
    <row r="1359">
      <c r="A1359" s="11">
        <f>IF($B1359="","",COUNTA($B$9:$B1359))</f>
        <v/>
      </c>
      <c r="B1359" s="12" t="n"/>
      <c r="C1359" s="12" t="n"/>
      <c r="D1359" s="12" t="n"/>
      <c r="E1359" s="13" t="n"/>
      <c r="F1359" s="11">
        <f>IF($E1359="","",IFERROR(VLOOKUP($E1359,OpTbl,2,0),""))</f>
        <v/>
      </c>
      <c r="G1359" s="12" t="n"/>
      <c r="H1359" s="11">
        <f>IF($G1359="","",IFERROR(IF(VLOOKUP($G1359,AcctTbl,4,0)="","(بدون نام)",VLOOKUP($G1359,AcctTbl,4,0)),"کد ناشناخته"))</f>
        <v/>
      </c>
      <c r="I1359" s="13" t="n"/>
      <c r="J1359" s="13" t="n"/>
      <c r="K1359" s="14" t="n"/>
      <c r="L1359" s="14" t="n"/>
      <c r="M1359" s="15">
        <f>IF(OR($B1359="",$K1359=""),"",($K1359-IF($L1359="",0,$L1359)*IFERROR(VLOOKUP("P01",ParamTbl,3,0),1.5))*(1-IF(IFERROR(VLOOKUP($E1359,OpTbl,3,0),"")="خرید",IFERROR(VLOOKUP("P02",ParamTbl,3,0),1),0)/100))</f>
        <v/>
      </c>
      <c r="N1359" s="14" t="n"/>
      <c r="O1359" s="13" t="n"/>
    </row>
    <row r="1360">
      <c r="A1360" s="11">
        <f>IF($B1360="","",COUNTA($B$9:$B1360))</f>
        <v/>
      </c>
      <c r="B1360" s="12" t="n"/>
      <c r="C1360" s="12" t="n"/>
      <c r="D1360" s="12" t="n"/>
      <c r="E1360" s="13" t="n"/>
      <c r="F1360" s="11">
        <f>IF($E1360="","",IFERROR(VLOOKUP($E1360,OpTbl,2,0),""))</f>
        <v/>
      </c>
      <c r="G1360" s="12" t="n"/>
      <c r="H1360" s="11">
        <f>IF($G1360="","",IFERROR(IF(VLOOKUP($G1360,AcctTbl,4,0)="","(بدون نام)",VLOOKUP($G1360,AcctTbl,4,0)),"کد ناشناخته"))</f>
        <v/>
      </c>
      <c r="I1360" s="13" t="n"/>
      <c r="J1360" s="13" t="n"/>
      <c r="K1360" s="14" t="n"/>
      <c r="L1360" s="14" t="n"/>
      <c r="M1360" s="15">
        <f>IF(OR($B1360="",$K1360=""),"",($K1360-IF($L1360="",0,$L1360)*IFERROR(VLOOKUP("P01",ParamTbl,3,0),1.5))*(1-IF(IFERROR(VLOOKUP($E1360,OpTbl,3,0),"")="خرید",IFERROR(VLOOKUP("P02",ParamTbl,3,0),1),0)/100))</f>
        <v/>
      </c>
      <c r="N1360" s="14" t="n"/>
      <c r="O1360" s="13" t="n"/>
    </row>
    <row r="1361">
      <c r="A1361" s="11">
        <f>IF($B1361="","",COUNTA($B$9:$B1361))</f>
        <v/>
      </c>
      <c r="B1361" s="12" t="n"/>
      <c r="C1361" s="12" t="n"/>
      <c r="D1361" s="12" t="n"/>
      <c r="E1361" s="13" t="n"/>
      <c r="F1361" s="11">
        <f>IF($E1361="","",IFERROR(VLOOKUP($E1361,OpTbl,2,0),""))</f>
        <v/>
      </c>
      <c r="G1361" s="12" t="n"/>
      <c r="H1361" s="11">
        <f>IF($G1361="","",IFERROR(IF(VLOOKUP($G1361,AcctTbl,4,0)="","(بدون نام)",VLOOKUP($G1361,AcctTbl,4,0)),"کد ناشناخته"))</f>
        <v/>
      </c>
      <c r="I1361" s="13" t="n"/>
      <c r="J1361" s="13" t="n"/>
      <c r="K1361" s="14" t="n"/>
      <c r="L1361" s="14" t="n"/>
      <c r="M1361" s="15">
        <f>IF(OR($B1361="",$K1361=""),"",($K1361-IF($L1361="",0,$L1361)*IFERROR(VLOOKUP("P01",ParamTbl,3,0),1.5))*(1-IF(IFERROR(VLOOKUP($E1361,OpTbl,3,0),"")="خرید",IFERROR(VLOOKUP("P02",ParamTbl,3,0),1),0)/100))</f>
        <v/>
      </c>
      <c r="N1361" s="14" t="n"/>
      <c r="O1361" s="13" t="n"/>
    </row>
    <row r="1362">
      <c r="A1362" s="11">
        <f>IF($B1362="","",COUNTA($B$9:$B1362))</f>
        <v/>
      </c>
      <c r="B1362" s="12" t="n"/>
      <c r="C1362" s="12" t="n"/>
      <c r="D1362" s="12" t="n"/>
      <c r="E1362" s="13" t="n"/>
      <c r="F1362" s="11">
        <f>IF($E1362="","",IFERROR(VLOOKUP($E1362,OpTbl,2,0),""))</f>
        <v/>
      </c>
      <c r="G1362" s="12" t="n"/>
      <c r="H1362" s="11">
        <f>IF($G1362="","",IFERROR(IF(VLOOKUP($G1362,AcctTbl,4,0)="","(بدون نام)",VLOOKUP($G1362,AcctTbl,4,0)),"کد ناشناخته"))</f>
        <v/>
      </c>
      <c r="I1362" s="13" t="n"/>
      <c r="J1362" s="13" t="n"/>
      <c r="K1362" s="14" t="n"/>
      <c r="L1362" s="14" t="n"/>
      <c r="M1362" s="15">
        <f>IF(OR($B1362="",$K1362=""),"",($K1362-IF($L1362="",0,$L1362)*IFERROR(VLOOKUP("P01",ParamTbl,3,0),1.5))*(1-IF(IFERROR(VLOOKUP($E1362,OpTbl,3,0),"")="خرید",IFERROR(VLOOKUP("P02",ParamTbl,3,0),1),0)/100))</f>
        <v/>
      </c>
      <c r="N1362" s="14" t="n"/>
      <c r="O1362" s="13" t="n"/>
    </row>
    <row r="1363">
      <c r="A1363" s="11">
        <f>IF($B1363="","",COUNTA($B$9:$B1363))</f>
        <v/>
      </c>
      <c r="B1363" s="12" t="n"/>
      <c r="C1363" s="12" t="n"/>
      <c r="D1363" s="12" t="n"/>
      <c r="E1363" s="13" t="n"/>
      <c r="F1363" s="11">
        <f>IF($E1363="","",IFERROR(VLOOKUP($E1363,OpTbl,2,0),""))</f>
        <v/>
      </c>
      <c r="G1363" s="12" t="n"/>
      <c r="H1363" s="11">
        <f>IF($G1363="","",IFERROR(IF(VLOOKUP($G1363,AcctTbl,4,0)="","(بدون نام)",VLOOKUP($G1363,AcctTbl,4,0)),"کد ناشناخته"))</f>
        <v/>
      </c>
      <c r="I1363" s="13" t="n"/>
      <c r="J1363" s="13" t="n"/>
      <c r="K1363" s="14" t="n"/>
      <c r="L1363" s="14" t="n"/>
      <c r="M1363" s="15">
        <f>IF(OR($B1363="",$K1363=""),"",($K1363-IF($L1363="",0,$L1363)*IFERROR(VLOOKUP("P01",ParamTbl,3,0),1.5))*(1-IF(IFERROR(VLOOKUP($E1363,OpTbl,3,0),"")="خرید",IFERROR(VLOOKUP("P02",ParamTbl,3,0),1),0)/100))</f>
        <v/>
      </c>
      <c r="N1363" s="14" t="n"/>
      <c r="O1363" s="13" t="n"/>
    </row>
    <row r="1364">
      <c r="A1364" s="11">
        <f>IF($B1364="","",COUNTA($B$9:$B1364))</f>
        <v/>
      </c>
      <c r="B1364" s="12" t="n"/>
      <c r="C1364" s="12" t="n"/>
      <c r="D1364" s="12" t="n"/>
      <c r="E1364" s="13" t="n"/>
      <c r="F1364" s="11">
        <f>IF($E1364="","",IFERROR(VLOOKUP($E1364,OpTbl,2,0),""))</f>
        <v/>
      </c>
      <c r="G1364" s="12" t="n"/>
      <c r="H1364" s="11">
        <f>IF($G1364="","",IFERROR(IF(VLOOKUP($G1364,AcctTbl,4,0)="","(بدون نام)",VLOOKUP($G1364,AcctTbl,4,0)),"کد ناشناخته"))</f>
        <v/>
      </c>
      <c r="I1364" s="13" t="n"/>
      <c r="J1364" s="13" t="n"/>
      <c r="K1364" s="14" t="n"/>
      <c r="L1364" s="14" t="n"/>
      <c r="M1364" s="15">
        <f>IF(OR($B1364="",$K1364=""),"",($K1364-IF($L1364="",0,$L1364)*IFERROR(VLOOKUP("P01",ParamTbl,3,0),1.5))*(1-IF(IFERROR(VLOOKUP($E1364,OpTbl,3,0),"")="خرید",IFERROR(VLOOKUP("P02",ParamTbl,3,0),1),0)/100))</f>
        <v/>
      </c>
      <c r="N1364" s="14" t="n"/>
      <c r="O1364" s="13" t="n"/>
    </row>
    <row r="1365">
      <c r="A1365" s="11">
        <f>IF($B1365="","",COUNTA($B$9:$B1365))</f>
        <v/>
      </c>
      <c r="B1365" s="12" t="n"/>
      <c r="C1365" s="12" t="n"/>
      <c r="D1365" s="12" t="n"/>
      <c r="E1365" s="13" t="n"/>
      <c r="F1365" s="11">
        <f>IF($E1365="","",IFERROR(VLOOKUP($E1365,OpTbl,2,0),""))</f>
        <v/>
      </c>
      <c r="G1365" s="12" t="n"/>
      <c r="H1365" s="11">
        <f>IF($G1365="","",IFERROR(IF(VLOOKUP($G1365,AcctTbl,4,0)="","(بدون نام)",VLOOKUP($G1365,AcctTbl,4,0)),"کد ناشناخته"))</f>
        <v/>
      </c>
      <c r="I1365" s="13" t="n"/>
      <c r="J1365" s="13" t="n"/>
      <c r="K1365" s="14" t="n"/>
      <c r="L1365" s="14" t="n"/>
      <c r="M1365" s="15">
        <f>IF(OR($B1365="",$K1365=""),"",($K1365-IF($L1365="",0,$L1365)*IFERROR(VLOOKUP("P01",ParamTbl,3,0),1.5))*(1-IF(IFERROR(VLOOKUP($E1365,OpTbl,3,0),"")="خرید",IFERROR(VLOOKUP("P02",ParamTbl,3,0),1),0)/100))</f>
        <v/>
      </c>
      <c r="N1365" s="14" t="n"/>
      <c r="O1365" s="13" t="n"/>
    </row>
    <row r="1366">
      <c r="A1366" s="11">
        <f>IF($B1366="","",COUNTA($B$9:$B1366))</f>
        <v/>
      </c>
      <c r="B1366" s="12" t="n"/>
      <c r="C1366" s="12" t="n"/>
      <c r="D1366" s="12" t="n"/>
      <c r="E1366" s="13" t="n"/>
      <c r="F1366" s="11">
        <f>IF($E1366="","",IFERROR(VLOOKUP($E1366,OpTbl,2,0),""))</f>
        <v/>
      </c>
      <c r="G1366" s="12" t="n"/>
      <c r="H1366" s="11">
        <f>IF($G1366="","",IFERROR(IF(VLOOKUP($G1366,AcctTbl,4,0)="","(بدون نام)",VLOOKUP($G1366,AcctTbl,4,0)),"کد ناشناخته"))</f>
        <v/>
      </c>
      <c r="I1366" s="13" t="n"/>
      <c r="J1366" s="13" t="n"/>
      <c r="K1366" s="14" t="n"/>
      <c r="L1366" s="14" t="n"/>
      <c r="M1366" s="15">
        <f>IF(OR($B1366="",$K1366=""),"",($K1366-IF($L1366="",0,$L1366)*IFERROR(VLOOKUP("P01",ParamTbl,3,0),1.5))*(1-IF(IFERROR(VLOOKUP($E1366,OpTbl,3,0),"")="خرید",IFERROR(VLOOKUP("P02",ParamTbl,3,0),1),0)/100))</f>
        <v/>
      </c>
      <c r="N1366" s="14" t="n"/>
      <c r="O1366" s="13" t="n"/>
    </row>
    <row r="1367">
      <c r="A1367" s="11">
        <f>IF($B1367="","",COUNTA($B$9:$B1367))</f>
        <v/>
      </c>
      <c r="B1367" s="12" t="n"/>
      <c r="C1367" s="12" t="n"/>
      <c r="D1367" s="12" t="n"/>
      <c r="E1367" s="13" t="n"/>
      <c r="F1367" s="11">
        <f>IF($E1367="","",IFERROR(VLOOKUP($E1367,OpTbl,2,0),""))</f>
        <v/>
      </c>
      <c r="G1367" s="12" t="n"/>
      <c r="H1367" s="11">
        <f>IF($G1367="","",IFERROR(IF(VLOOKUP($G1367,AcctTbl,4,0)="","(بدون نام)",VLOOKUP($G1367,AcctTbl,4,0)),"کد ناشناخته"))</f>
        <v/>
      </c>
      <c r="I1367" s="13" t="n"/>
      <c r="J1367" s="13" t="n"/>
      <c r="K1367" s="14" t="n"/>
      <c r="L1367" s="14" t="n"/>
      <c r="M1367" s="15">
        <f>IF(OR($B1367="",$K1367=""),"",($K1367-IF($L1367="",0,$L1367)*IFERROR(VLOOKUP("P01",ParamTbl,3,0),1.5))*(1-IF(IFERROR(VLOOKUP($E1367,OpTbl,3,0),"")="خرید",IFERROR(VLOOKUP("P02",ParamTbl,3,0),1),0)/100))</f>
        <v/>
      </c>
      <c r="N1367" s="14" t="n"/>
      <c r="O1367" s="13" t="n"/>
    </row>
    <row r="1368">
      <c r="A1368" s="11">
        <f>IF($B1368="","",COUNTA($B$9:$B1368))</f>
        <v/>
      </c>
      <c r="B1368" s="12" t="n"/>
      <c r="C1368" s="12" t="n"/>
      <c r="D1368" s="12" t="n"/>
      <c r="E1368" s="13" t="n"/>
      <c r="F1368" s="11">
        <f>IF($E1368="","",IFERROR(VLOOKUP($E1368,OpTbl,2,0),""))</f>
        <v/>
      </c>
      <c r="G1368" s="12" t="n"/>
      <c r="H1368" s="11">
        <f>IF($G1368="","",IFERROR(IF(VLOOKUP($G1368,AcctTbl,4,0)="","(بدون نام)",VLOOKUP($G1368,AcctTbl,4,0)),"کد ناشناخته"))</f>
        <v/>
      </c>
      <c r="I1368" s="13" t="n"/>
      <c r="J1368" s="13" t="n"/>
      <c r="K1368" s="14" t="n"/>
      <c r="L1368" s="14" t="n"/>
      <c r="M1368" s="15">
        <f>IF(OR($B1368="",$K1368=""),"",($K1368-IF($L1368="",0,$L1368)*IFERROR(VLOOKUP("P01",ParamTbl,3,0),1.5))*(1-IF(IFERROR(VLOOKUP($E1368,OpTbl,3,0),"")="خرید",IFERROR(VLOOKUP("P02",ParamTbl,3,0),1),0)/100))</f>
        <v/>
      </c>
      <c r="N1368" s="14" t="n"/>
      <c r="O1368" s="13" t="n"/>
    </row>
    <row r="1369">
      <c r="A1369" s="11">
        <f>IF($B1369="","",COUNTA($B$9:$B1369))</f>
        <v/>
      </c>
      <c r="B1369" s="12" t="n"/>
      <c r="C1369" s="12" t="n"/>
      <c r="D1369" s="12" t="n"/>
      <c r="E1369" s="13" t="n"/>
      <c r="F1369" s="11">
        <f>IF($E1369="","",IFERROR(VLOOKUP($E1369,OpTbl,2,0),""))</f>
        <v/>
      </c>
      <c r="G1369" s="12" t="n"/>
      <c r="H1369" s="11">
        <f>IF($G1369="","",IFERROR(IF(VLOOKUP($G1369,AcctTbl,4,0)="","(بدون نام)",VLOOKUP($G1369,AcctTbl,4,0)),"کد ناشناخته"))</f>
        <v/>
      </c>
      <c r="I1369" s="13" t="n"/>
      <c r="J1369" s="13" t="n"/>
      <c r="K1369" s="14" t="n"/>
      <c r="L1369" s="14" t="n"/>
      <c r="M1369" s="15">
        <f>IF(OR($B1369="",$K1369=""),"",($K1369-IF($L1369="",0,$L1369)*IFERROR(VLOOKUP("P01",ParamTbl,3,0),1.5))*(1-IF(IFERROR(VLOOKUP($E1369,OpTbl,3,0),"")="خرید",IFERROR(VLOOKUP("P02",ParamTbl,3,0),1),0)/100))</f>
        <v/>
      </c>
      <c r="N1369" s="14" t="n"/>
      <c r="O1369" s="13" t="n"/>
    </row>
    <row r="1370">
      <c r="A1370" s="11">
        <f>IF($B1370="","",COUNTA($B$9:$B1370))</f>
        <v/>
      </c>
      <c r="B1370" s="12" t="n"/>
      <c r="C1370" s="12" t="n"/>
      <c r="D1370" s="12" t="n"/>
      <c r="E1370" s="13" t="n"/>
      <c r="F1370" s="11">
        <f>IF($E1370="","",IFERROR(VLOOKUP($E1370,OpTbl,2,0),""))</f>
        <v/>
      </c>
      <c r="G1370" s="12" t="n"/>
      <c r="H1370" s="11">
        <f>IF($G1370="","",IFERROR(IF(VLOOKUP($G1370,AcctTbl,4,0)="","(بدون نام)",VLOOKUP($G1370,AcctTbl,4,0)),"کد ناشناخته"))</f>
        <v/>
      </c>
      <c r="I1370" s="13" t="n"/>
      <c r="J1370" s="13" t="n"/>
      <c r="K1370" s="14" t="n"/>
      <c r="L1370" s="14" t="n"/>
      <c r="M1370" s="15">
        <f>IF(OR($B1370="",$K1370=""),"",($K1370-IF($L1370="",0,$L1370)*IFERROR(VLOOKUP("P01",ParamTbl,3,0),1.5))*(1-IF(IFERROR(VLOOKUP($E1370,OpTbl,3,0),"")="خرید",IFERROR(VLOOKUP("P02",ParamTbl,3,0),1),0)/100))</f>
        <v/>
      </c>
      <c r="N1370" s="14" t="n"/>
      <c r="O1370" s="13" t="n"/>
    </row>
    <row r="1371">
      <c r="A1371" s="11">
        <f>IF($B1371="","",COUNTA($B$9:$B1371))</f>
        <v/>
      </c>
      <c r="B1371" s="12" t="n"/>
      <c r="C1371" s="12" t="n"/>
      <c r="D1371" s="12" t="n"/>
      <c r="E1371" s="13" t="n"/>
      <c r="F1371" s="11">
        <f>IF($E1371="","",IFERROR(VLOOKUP($E1371,OpTbl,2,0),""))</f>
        <v/>
      </c>
      <c r="G1371" s="12" t="n"/>
      <c r="H1371" s="11">
        <f>IF($G1371="","",IFERROR(IF(VLOOKUP($G1371,AcctTbl,4,0)="","(بدون نام)",VLOOKUP($G1371,AcctTbl,4,0)),"کد ناشناخته"))</f>
        <v/>
      </c>
      <c r="I1371" s="13" t="n"/>
      <c r="J1371" s="13" t="n"/>
      <c r="K1371" s="14" t="n"/>
      <c r="L1371" s="14" t="n"/>
      <c r="M1371" s="15">
        <f>IF(OR($B1371="",$K1371=""),"",($K1371-IF($L1371="",0,$L1371)*IFERROR(VLOOKUP("P01",ParamTbl,3,0),1.5))*(1-IF(IFERROR(VLOOKUP($E1371,OpTbl,3,0),"")="خرید",IFERROR(VLOOKUP("P02",ParamTbl,3,0),1),0)/100))</f>
        <v/>
      </c>
      <c r="N1371" s="14" t="n"/>
      <c r="O1371" s="13" t="n"/>
    </row>
    <row r="1372">
      <c r="A1372" s="11">
        <f>IF($B1372="","",COUNTA($B$9:$B1372))</f>
        <v/>
      </c>
      <c r="B1372" s="12" t="n"/>
      <c r="C1372" s="12" t="n"/>
      <c r="D1372" s="12" t="n"/>
      <c r="E1372" s="13" t="n"/>
      <c r="F1372" s="11">
        <f>IF($E1372="","",IFERROR(VLOOKUP($E1372,OpTbl,2,0),""))</f>
        <v/>
      </c>
      <c r="G1372" s="12" t="n"/>
      <c r="H1372" s="11">
        <f>IF($G1372="","",IFERROR(IF(VLOOKUP($G1372,AcctTbl,4,0)="","(بدون نام)",VLOOKUP($G1372,AcctTbl,4,0)),"کد ناشناخته"))</f>
        <v/>
      </c>
      <c r="I1372" s="13" t="n"/>
      <c r="J1372" s="13" t="n"/>
      <c r="K1372" s="14" t="n"/>
      <c r="L1372" s="14" t="n"/>
      <c r="M1372" s="15">
        <f>IF(OR($B1372="",$K1372=""),"",($K1372-IF($L1372="",0,$L1372)*IFERROR(VLOOKUP("P01",ParamTbl,3,0),1.5))*(1-IF(IFERROR(VLOOKUP($E1372,OpTbl,3,0),"")="خرید",IFERROR(VLOOKUP("P02",ParamTbl,3,0),1),0)/100))</f>
        <v/>
      </c>
      <c r="N1372" s="14" t="n"/>
      <c r="O1372" s="13" t="n"/>
    </row>
    <row r="1373">
      <c r="A1373" s="11">
        <f>IF($B1373="","",COUNTA($B$9:$B1373))</f>
        <v/>
      </c>
      <c r="B1373" s="12" t="n"/>
      <c r="C1373" s="12" t="n"/>
      <c r="D1373" s="12" t="n"/>
      <c r="E1373" s="13" t="n"/>
      <c r="F1373" s="11">
        <f>IF($E1373="","",IFERROR(VLOOKUP($E1373,OpTbl,2,0),""))</f>
        <v/>
      </c>
      <c r="G1373" s="12" t="n"/>
      <c r="H1373" s="11">
        <f>IF($G1373="","",IFERROR(IF(VLOOKUP($G1373,AcctTbl,4,0)="","(بدون نام)",VLOOKUP($G1373,AcctTbl,4,0)),"کد ناشناخته"))</f>
        <v/>
      </c>
      <c r="I1373" s="13" t="n"/>
      <c r="J1373" s="13" t="n"/>
      <c r="K1373" s="14" t="n"/>
      <c r="L1373" s="14" t="n"/>
      <c r="M1373" s="15">
        <f>IF(OR($B1373="",$K1373=""),"",($K1373-IF($L1373="",0,$L1373)*IFERROR(VLOOKUP("P01",ParamTbl,3,0),1.5))*(1-IF(IFERROR(VLOOKUP($E1373,OpTbl,3,0),"")="خرید",IFERROR(VLOOKUP("P02",ParamTbl,3,0),1),0)/100))</f>
        <v/>
      </c>
      <c r="N1373" s="14" t="n"/>
      <c r="O1373" s="13" t="n"/>
    </row>
    <row r="1374">
      <c r="A1374" s="11">
        <f>IF($B1374="","",COUNTA($B$9:$B1374))</f>
        <v/>
      </c>
      <c r="B1374" s="12" t="n"/>
      <c r="C1374" s="12" t="n"/>
      <c r="D1374" s="12" t="n"/>
      <c r="E1374" s="13" t="n"/>
      <c r="F1374" s="11">
        <f>IF($E1374="","",IFERROR(VLOOKUP($E1374,OpTbl,2,0),""))</f>
        <v/>
      </c>
      <c r="G1374" s="12" t="n"/>
      <c r="H1374" s="11">
        <f>IF($G1374="","",IFERROR(IF(VLOOKUP($G1374,AcctTbl,4,0)="","(بدون نام)",VLOOKUP($G1374,AcctTbl,4,0)),"کد ناشناخته"))</f>
        <v/>
      </c>
      <c r="I1374" s="13" t="n"/>
      <c r="J1374" s="13" t="n"/>
      <c r="K1374" s="14" t="n"/>
      <c r="L1374" s="14" t="n"/>
      <c r="M1374" s="15">
        <f>IF(OR($B1374="",$K1374=""),"",($K1374-IF($L1374="",0,$L1374)*IFERROR(VLOOKUP("P01",ParamTbl,3,0),1.5))*(1-IF(IFERROR(VLOOKUP($E1374,OpTbl,3,0),"")="خرید",IFERROR(VLOOKUP("P02",ParamTbl,3,0),1),0)/100))</f>
        <v/>
      </c>
      <c r="N1374" s="14" t="n"/>
      <c r="O1374" s="13" t="n"/>
    </row>
    <row r="1375">
      <c r="A1375" s="11">
        <f>IF($B1375="","",COUNTA($B$9:$B1375))</f>
        <v/>
      </c>
      <c r="B1375" s="12" t="n"/>
      <c r="C1375" s="12" t="n"/>
      <c r="D1375" s="12" t="n"/>
      <c r="E1375" s="13" t="n"/>
      <c r="F1375" s="11">
        <f>IF($E1375="","",IFERROR(VLOOKUP($E1375,OpTbl,2,0),""))</f>
        <v/>
      </c>
      <c r="G1375" s="12" t="n"/>
      <c r="H1375" s="11">
        <f>IF($G1375="","",IFERROR(IF(VLOOKUP($G1375,AcctTbl,4,0)="","(بدون نام)",VLOOKUP($G1375,AcctTbl,4,0)),"کد ناشناخته"))</f>
        <v/>
      </c>
      <c r="I1375" s="13" t="n"/>
      <c r="J1375" s="13" t="n"/>
      <c r="K1375" s="14" t="n"/>
      <c r="L1375" s="14" t="n"/>
      <c r="M1375" s="15">
        <f>IF(OR($B1375="",$K1375=""),"",($K1375-IF($L1375="",0,$L1375)*IFERROR(VLOOKUP("P01",ParamTbl,3,0),1.5))*(1-IF(IFERROR(VLOOKUP($E1375,OpTbl,3,0),"")="خرید",IFERROR(VLOOKUP("P02",ParamTbl,3,0),1),0)/100))</f>
        <v/>
      </c>
      <c r="N1375" s="14" t="n"/>
      <c r="O1375" s="13" t="n"/>
    </row>
    <row r="1376">
      <c r="A1376" s="11">
        <f>IF($B1376="","",COUNTA($B$9:$B1376))</f>
        <v/>
      </c>
      <c r="B1376" s="12" t="n"/>
      <c r="C1376" s="12" t="n"/>
      <c r="D1376" s="12" t="n"/>
      <c r="E1376" s="13" t="n"/>
      <c r="F1376" s="11">
        <f>IF($E1376="","",IFERROR(VLOOKUP($E1376,OpTbl,2,0),""))</f>
        <v/>
      </c>
      <c r="G1376" s="12" t="n"/>
      <c r="H1376" s="11">
        <f>IF($G1376="","",IFERROR(IF(VLOOKUP($G1376,AcctTbl,4,0)="","(بدون نام)",VLOOKUP($G1376,AcctTbl,4,0)),"کد ناشناخته"))</f>
        <v/>
      </c>
      <c r="I1376" s="13" t="n"/>
      <c r="J1376" s="13" t="n"/>
      <c r="K1376" s="14" t="n"/>
      <c r="L1376" s="14" t="n"/>
      <c r="M1376" s="15">
        <f>IF(OR($B1376="",$K1376=""),"",($K1376-IF($L1376="",0,$L1376)*IFERROR(VLOOKUP("P01",ParamTbl,3,0),1.5))*(1-IF(IFERROR(VLOOKUP($E1376,OpTbl,3,0),"")="خرید",IFERROR(VLOOKUP("P02",ParamTbl,3,0),1),0)/100))</f>
        <v/>
      </c>
      <c r="N1376" s="14" t="n"/>
      <c r="O1376" s="13" t="n"/>
    </row>
    <row r="1377">
      <c r="A1377" s="11">
        <f>IF($B1377="","",COUNTA($B$9:$B1377))</f>
        <v/>
      </c>
      <c r="B1377" s="12" t="n"/>
      <c r="C1377" s="12" t="n"/>
      <c r="D1377" s="12" t="n"/>
      <c r="E1377" s="13" t="n"/>
      <c r="F1377" s="11">
        <f>IF($E1377="","",IFERROR(VLOOKUP($E1377,OpTbl,2,0),""))</f>
        <v/>
      </c>
      <c r="G1377" s="12" t="n"/>
      <c r="H1377" s="11">
        <f>IF($G1377="","",IFERROR(IF(VLOOKUP($G1377,AcctTbl,4,0)="","(بدون نام)",VLOOKUP($G1377,AcctTbl,4,0)),"کد ناشناخته"))</f>
        <v/>
      </c>
      <c r="I1377" s="13" t="n"/>
      <c r="J1377" s="13" t="n"/>
      <c r="K1377" s="14" t="n"/>
      <c r="L1377" s="14" t="n"/>
      <c r="M1377" s="15">
        <f>IF(OR($B1377="",$K1377=""),"",($K1377-IF($L1377="",0,$L1377)*IFERROR(VLOOKUP("P01",ParamTbl,3,0),1.5))*(1-IF(IFERROR(VLOOKUP($E1377,OpTbl,3,0),"")="خرید",IFERROR(VLOOKUP("P02",ParamTbl,3,0),1),0)/100))</f>
        <v/>
      </c>
      <c r="N1377" s="14" t="n"/>
      <c r="O1377" s="13" t="n"/>
    </row>
    <row r="1378">
      <c r="A1378" s="11">
        <f>IF($B1378="","",COUNTA($B$9:$B1378))</f>
        <v/>
      </c>
      <c r="B1378" s="12" t="n"/>
      <c r="C1378" s="12" t="n"/>
      <c r="D1378" s="12" t="n"/>
      <c r="E1378" s="13" t="n"/>
      <c r="F1378" s="11">
        <f>IF($E1378="","",IFERROR(VLOOKUP($E1378,OpTbl,2,0),""))</f>
        <v/>
      </c>
      <c r="G1378" s="12" t="n"/>
      <c r="H1378" s="11">
        <f>IF($G1378="","",IFERROR(IF(VLOOKUP($G1378,AcctTbl,4,0)="","(بدون نام)",VLOOKUP($G1378,AcctTbl,4,0)),"کد ناشناخته"))</f>
        <v/>
      </c>
      <c r="I1378" s="13" t="n"/>
      <c r="J1378" s="13" t="n"/>
      <c r="K1378" s="14" t="n"/>
      <c r="L1378" s="14" t="n"/>
      <c r="M1378" s="15">
        <f>IF(OR($B1378="",$K1378=""),"",($K1378-IF($L1378="",0,$L1378)*IFERROR(VLOOKUP("P01",ParamTbl,3,0),1.5))*(1-IF(IFERROR(VLOOKUP($E1378,OpTbl,3,0),"")="خرید",IFERROR(VLOOKUP("P02",ParamTbl,3,0),1),0)/100))</f>
        <v/>
      </c>
      <c r="N1378" s="14" t="n"/>
      <c r="O1378" s="13" t="n"/>
    </row>
    <row r="1379">
      <c r="A1379" s="11">
        <f>IF($B1379="","",COUNTA($B$9:$B1379))</f>
        <v/>
      </c>
      <c r="B1379" s="12" t="n"/>
      <c r="C1379" s="12" t="n"/>
      <c r="D1379" s="12" t="n"/>
      <c r="E1379" s="13" t="n"/>
      <c r="F1379" s="11">
        <f>IF($E1379="","",IFERROR(VLOOKUP($E1379,OpTbl,2,0),""))</f>
        <v/>
      </c>
      <c r="G1379" s="12" t="n"/>
      <c r="H1379" s="11">
        <f>IF($G1379="","",IFERROR(IF(VLOOKUP($G1379,AcctTbl,4,0)="","(بدون نام)",VLOOKUP($G1379,AcctTbl,4,0)),"کد ناشناخته"))</f>
        <v/>
      </c>
      <c r="I1379" s="13" t="n"/>
      <c r="J1379" s="13" t="n"/>
      <c r="K1379" s="14" t="n"/>
      <c r="L1379" s="14" t="n"/>
      <c r="M1379" s="15">
        <f>IF(OR($B1379="",$K1379=""),"",($K1379-IF($L1379="",0,$L1379)*IFERROR(VLOOKUP("P01",ParamTbl,3,0),1.5))*(1-IF(IFERROR(VLOOKUP($E1379,OpTbl,3,0),"")="خرید",IFERROR(VLOOKUP("P02",ParamTbl,3,0),1),0)/100))</f>
        <v/>
      </c>
      <c r="N1379" s="14" t="n"/>
      <c r="O1379" s="13" t="n"/>
    </row>
    <row r="1380">
      <c r="A1380" s="11">
        <f>IF($B1380="","",COUNTA($B$9:$B1380))</f>
        <v/>
      </c>
      <c r="B1380" s="12" t="n"/>
      <c r="C1380" s="12" t="n"/>
      <c r="D1380" s="12" t="n"/>
      <c r="E1380" s="13" t="n"/>
      <c r="F1380" s="11">
        <f>IF($E1380="","",IFERROR(VLOOKUP($E1380,OpTbl,2,0),""))</f>
        <v/>
      </c>
      <c r="G1380" s="12" t="n"/>
      <c r="H1380" s="11">
        <f>IF($G1380="","",IFERROR(IF(VLOOKUP($G1380,AcctTbl,4,0)="","(بدون نام)",VLOOKUP($G1380,AcctTbl,4,0)),"کد ناشناخته"))</f>
        <v/>
      </c>
      <c r="I1380" s="13" t="n"/>
      <c r="J1380" s="13" t="n"/>
      <c r="K1380" s="14" t="n"/>
      <c r="L1380" s="14" t="n"/>
      <c r="M1380" s="15">
        <f>IF(OR($B1380="",$K1380=""),"",($K1380-IF($L1380="",0,$L1380)*IFERROR(VLOOKUP("P01",ParamTbl,3,0),1.5))*(1-IF(IFERROR(VLOOKUP($E1380,OpTbl,3,0),"")="خرید",IFERROR(VLOOKUP("P02",ParamTbl,3,0),1),0)/100))</f>
        <v/>
      </c>
      <c r="N1380" s="14" t="n"/>
      <c r="O1380" s="13" t="n"/>
    </row>
    <row r="1381">
      <c r="A1381" s="11">
        <f>IF($B1381="","",COUNTA($B$9:$B1381))</f>
        <v/>
      </c>
      <c r="B1381" s="12" t="n"/>
      <c r="C1381" s="12" t="n"/>
      <c r="D1381" s="12" t="n"/>
      <c r="E1381" s="13" t="n"/>
      <c r="F1381" s="11">
        <f>IF($E1381="","",IFERROR(VLOOKUP($E1381,OpTbl,2,0),""))</f>
        <v/>
      </c>
      <c r="G1381" s="12" t="n"/>
      <c r="H1381" s="11">
        <f>IF($G1381="","",IFERROR(IF(VLOOKUP($G1381,AcctTbl,4,0)="","(بدون نام)",VLOOKUP($G1381,AcctTbl,4,0)),"کد ناشناخته"))</f>
        <v/>
      </c>
      <c r="I1381" s="13" t="n"/>
      <c r="J1381" s="13" t="n"/>
      <c r="K1381" s="14" t="n"/>
      <c r="L1381" s="14" t="n"/>
      <c r="M1381" s="15">
        <f>IF(OR($B1381="",$K1381=""),"",($K1381-IF($L1381="",0,$L1381)*IFERROR(VLOOKUP("P01",ParamTbl,3,0),1.5))*(1-IF(IFERROR(VLOOKUP($E1381,OpTbl,3,0),"")="خرید",IFERROR(VLOOKUP("P02",ParamTbl,3,0),1),0)/100))</f>
        <v/>
      </c>
      <c r="N1381" s="14" t="n"/>
      <c r="O1381" s="13" t="n"/>
    </row>
    <row r="1382">
      <c r="A1382" s="11">
        <f>IF($B1382="","",COUNTA($B$9:$B1382))</f>
        <v/>
      </c>
      <c r="B1382" s="12" t="n"/>
      <c r="C1382" s="12" t="n"/>
      <c r="D1382" s="12" t="n"/>
      <c r="E1382" s="13" t="n"/>
      <c r="F1382" s="11">
        <f>IF($E1382="","",IFERROR(VLOOKUP($E1382,OpTbl,2,0),""))</f>
        <v/>
      </c>
      <c r="G1382" s="12" t="n"/>
      <c r="H1382" s="11">
        <f>IF($G1382="","",IFERROR(IF(VLOOKUP($G1382,AcctTbl,4,0)="","(بدون نام)",VLOOKUP($G1382,AcctTbl,4,0)),"کد ناشناخته"))</f>
        <v/>
      </c>
      <c r="I1382" s="13" t="n"/>
      <c r="J1382" s="13" t="n"/>
      <c r="K1382" s="14" t="n"/>
      <c r="L1382" s="14" t="n"/>
      <c r="M1382" s="15">
        <f>IF(OR($B1382="",$K1382=""),"",($K1382-IF($L1382="",0,$L1382)*IFERROR(VLOOKUP("P01",ParamTbl,3,0),1.5))*(1-IF(IFERROR(VLOOKUP($E1382,OpTbl,3,0),"")="خرید",IFERROR(VLOOKUP("P02",ParamTbl,3,0),1),0)/100))</f>
        <v/>
      </c>
      <c r="N1382" s="14" t="n"/>
      <c r="O1382" s="13" t="n"/>
    </row>
    <row r="1383">
      <c r="A1383" s="11">
        <f>IF($B1383="","",COUNTA($B$9:$B1383))</f>
        <v/>
      </c>
      <c r="B1383" s="12" t="n"/>
      <c r="C1383" s="12" t="n"/>
      <c r="D1383" s="12" t="n"/>
      <c r="E1383" s="13" t="n"/>
      <c r="F1383" s="11">
        <f>IF($E1383="","",IFERROR(VLOOKUP($E1383,OpTbl,2,0),""))</f>
        <v/>
      </c>
      <c r="G1383" s="12" t="n"/>
      <c r="H1383" s="11">
        <f>IF($G1383="","",IFERROR(IF(VLOOKUP($G1383,AcctTbl,4,0)="","(بدون نام)",VLOOKUP($G1383,AcctTbl,4,0)),"کد ناشناخته"))</f>
        <v/>
      </c>
      <c r="I1383" s="13" t="n"/>
      <c r="J1383" s="13" t="n"/>
      <c r="K1383" s="14" t="n"/>
      <c r="L1383" s="14" t="n"/>
      <c r="M1383" s="15">
        <f>IF(OR($B1383="",$K1383=""),"",($K1383-IF($L1383="",0,$L1383)*IFERROR(VLOOKUP("P01",ParamTbl,3,0),1.5))*(1-IF(IFERROR(VLOOKUP($E1383,OpTbl,3,0),"")="خرید",IFERROR(VLOOKUP("P02",ParamTbl,3,0),1),0)/100))</f>
        <v/>
      </c>
      <c r="N1383" s="14" t="n"/>
      <c r="O1383" s="13" t="n"/>
    </row>
    <row r="1384">
      <c r="A1384" s="11">
        <f>IF($B1384="","",COUNTA($B$9:$B1384))</f>
        <v/>
      </c>
      <c r="B1384" s="12" t="n"/>
      <c r="C1384" s="12" t="n"/>
      <c r="D1384" s="12" t="n"/>
      <c r="E1384" s="13" t="n"/>
      <c r="F1384" s="11">
        <f>IF($E1384="","",IFERROR(VLOOKUP($E1384,OpTbl,2,0),""))</f>
        <v/>
      </c>
      <c r="G1384" s="12" t="n"/>
      <c r="H1384" s="11">
        <f>IF($G1384="","",IFERROR(IF(VLOOKUP($G1384,AcctTbl,4,0)="","(بدون نام)",VLOOKUP($G1384,AcctTbl,4,0)),"کد ناشناخته"))</f>
        <v/>
      </c>
      <c r="I1384" s="13" t="n"/>
      <c r="J1384" s="13" t="n"/>
      <c r="K1384" s="14" t="n"/>
      <c r="L1384" s="14" t="n"/>
      <c r="M1384" s="15">
        <f>IF(OR($B1384="",$K1384=""),"",($K1384-IF($L1384="",0,$L1384)*IFERROR(VLOOKUP("P01",ParamTbl,3,0),1.5))*(1-IF(IFERROR(VLOOKUP($E1384,OpTbl,3,0),"")="خرید",IFERROR(VLOOKUP("P02",ParamTbl,3,0),1),0)/100))</f>
        <v/>
      </c>
      <c r="N1384" s="14" t="n"/>
      <c r="O1384" s="13" t="n"/>
    </row>
    <row r="1385">
      <c r="A1385" s="11">
        <f>IF($B1385="","",COUNTA($B$9:$B1385))</f>
        <v/>
      </c>
      <c r="B1385" s="12" t="n"/>
      <c r="C1385" s="12" t="n"/>
      <c r="D1385" s="12" t="n"/>
      <c r="E1385" s="13" t="n"/>
      <c r="F1385" s="11">
        <f>IF($E1385="","",IFERROR(VLOOKUP($E1385,OpTbl,2,0),""))</f>
        <v/>
      </c>
      <c r="G1385" s="12" t="n"/>
      <c r="H1385" s="11">
        <f>IF($G1385="","",IFERROR(IF(VLOOKUP($G1385,AcctTbl,4,0)="","(بدون نام)",VLOOKUP($G1385,AcctTbl,4,0)),"کد ناشناخته"))</f>
        <v/>
      </c>
      <c r="I1385" s="13" t="n"/>
      <c r="J1385" s="13" t="n"/>
      <c r="K1385" s="14" t="n"/>
      <c r="L1385" s="14" t="n"/>
      <c r="M1385" s="15">
        <f>IF(OR($B1385="",$K1385=""),"",($K1385-IF($L1385="",0,$L1385)*IFERROR(VLOOKUP("P01",ParamTbl,3,0),1.5))*(1-IF(IFERROR(VLOOKUP($E1385,OpTbl,3,0),"")="خرید",IFERROR(VLOOKUP("P02",ParamTbl,3,0),1),0)/100))</f>
        <v/>
      </c>
      <c r="N1385" s="14" t="n"/>
      <c r="O1385" s="13" t="n"/>
    </row>
    <row r="1386">
      <c r="A1386" s="11">
        <f>IF($B1386="","",COUNTA($B$9:$B1386))</f>
        <v/>
      </c>
      <c r="B1386" s="12" t="n"/>
      <c r="C1386" s="12" t="n"/>
      <c r="D1386" s="12" t="n"/>
      <c r="E1386" s="13" t="n"/>
      <c r="F1386" s="11">
        <f>IF($E1386="","",IFERROR(VLOOKUP($E1386,OpTbl,2,0),""))</f>
        <v/>
      </c>
      <c r="G1386" s="12" t="n"/>
      <c r="H1386" s="11">
        <f>IF($G1386="","",IFERROR(IF(VLOOKUP($G1386,AcctTbl,4,0)="","(بدون نام)",VLOOKUP($G1386,AcctTbl,4,0)),"کد ناشناخته"))</f>
        <v/>
      </c>
      <c r="I1386" s="13" t="n"/>
      <c r="J1386" s="13" t="n"/>
      <c r="K1386" s="14" t="n"/>
      <c r="L1386" s="14" t="n"/>
      <c r="M1386" s="15">
        <f>IF(OR($B1386="",$K1386=""),"",($K1386-IF($L1386="",0,$L1386)*IFERROR(VLOOKUP("P01",ParamTbl,3,0),1.5))*(1-IF(IFERROR(VLOOKUP($E1386,OpTbl,3,0),"")="خرید",IFERROR(VLOOKUP("P02",ParamTbl,3,0),1),0)/100))</f>
        <v/>
      </c>
      <c r="N1386" s="14" t="n"/>
      <c r="O1386" s="13" t="n"/>
    </row>
    <row r="1387">
      <c r="A1387" s="11">
        <f>IF($B1387="","",COUNTA($B$9:$B1387))</f>
        <v/>
      </c>
      <c r="B1387" s="12" t="n"/>
      <c r="C1387" s="12" t="n"/>
      <c r="D1387" s="12" t="n"/>
      <c r="E1387" s="13" t="n"/>
      <c r="F1387" s="11">
        <f>IF($E1387="","",IFERROR(VLOOKUP($E1387,OpTbl,2,0),""))</f>
        <v/>
      </c>
      <c r="G1387" s="12" t="n"/>
      <c r="H1387" s="11">
        <f>IF($G1387="","",IFERROR(IF(VLOOKUP($G1387,AcctTbl,4,0)="","(بدون نام)",VLOOKUP($G1387,AcctTbl,4,0)),"کد ناشناخته"))</f>
        <v/>
      </c>
      <c r="I1387" s="13" t="n"/>
      <c r="J1387" s="13" t="n"/>
      <c r="K1387" s="14" t="n"/>
      <c r="L1387" s="14" t="n"/>
      <c r="M1387" s="15">
        <f>IF(OR($B1387="",$K1387=""),"",($K1387-IF($L1387="",0,$L1387)*IFERROR(VLOOKUP("P01",ParamTbl,3,0),1.5))*(1-IF(IFERROR(VLOOKUP($E1387,OpTbl,3,0),"")="خرید",IFERROR(VLOOKUP("P02",ParamTbl,3,0),1),0)/100))</f>
        <v/>
      </c>
      <c r="N1387" s="14" t="n"/>
      <c r="O1387" s="13" t="n"/>
    </row>
    <row r="1388">
      <c r="A1388" s="11">
        <f>IF($B1388="","",COUNTA($B$9:$B1388))</f>
        <v/>
      </c>
      <c r="B1388" s="12" t="n"/>
      <c r="C1388" s="12" t="n"/>
      <c r="D1388" s="12" t="n"/>
      <c r="E1388" s="13" t="n"/>
      <c r="F1388" s="11">
        <f>IF($E1388="","",IFERROR(VLOOKUP($E1388,OpTbl,2,0),""))</f>
        <v/>
      </c>
      <c r="G1388" s="12" t="n"/>
      <c r="H1388" s="11">
        <f>IF($G1388="","",IFERROR(IF(VLOOKUP($G1388,AcctTbl,4,0)="","(بدون نام)",VLOOKUP($G1388,AcctTbl,4,0)),"کد ناشناخته"))</f>
        <v/>
      </c>
      <c r="I1388" s="13" t="n"/>
      <c r="J1388" s="13" t="n"/>
      <c r="K1388" s="14" t="n"/>
      <c r="L1388" s="14" t="n"/>
      <c r="M1388" s="15">
        <f>IF(OR($B1388="",$K1388=""),"",($K1388-IF($L1388="",0,$L1388)*IFERROR(VLOOKUP("P01",ParamTbl,3,0),1.5))*(1-IF(IFERROR(VLOOKUP($E1388,OpTbl,3,0),"")="خرید",IFERROR(VLOOKUP("P02",ParamTbl,3,0),1),0)/100))</f>
        <v/>
      </c>
      <c r="N1388" s="14" t="n"/>
      <c r="O1388" s="13" t="n"/>
    </row>
    <row r="1389">
      <c r="A1389" s="11">
        <f>IF($B1389="","",COUNTA($B$9:$B1389))</f>
        <v/>
      </c>
      <c r="B1389" s="12" t="n"/>
      <c r="C1389" s="12" t="n"/>
      <c r="D1389" s="12" t="n"/>
      <c r="E1389" s="13" t="n"/>
      <c r="F1389" s="11">
        <f>IF($E1389="","",IFERROR(VLOOKUP($E1389,OpTbl,2,0),""))</f>
        <v/>
      </c>
      <c r="G1389" s="12" t="n"/>
      <c r="H1389" s="11">
        <f>IF($G1389="","",IFERROR(IF(VLOOKUP($G1389,AcctTbl,4,0)="","(بدون نام)",VLOOKUP($G1389,AcctTbl,4,0)),"کد ناشناخته"))</f>
        <v/>
      </c>
      <c r="I1389" s="13" t="n"/>
      <c r="J1389" s="13" t="n"/>
      <c r="K1389" s="14" t="n"/>
      <c r="L1389" s="14" t="n"/>
      <c r="M1389" s="15">
        <f>IF(OR($B1389="",$K1389=""),"",($K1389-IF($L1389="",0,$L1389)*IFERROR(VLOOKUP("P01",ParamTbl,3,0),1.5))*(1-IF(IFERROR(VLOOKUP($E1389,OpTbl,3,0),"")="خرید",IFERROR(VLOOKUP("P02",ParamTbl,3,0),1),0)/100))</f>
        <v/>
      </c>
      <c r="N1389" s="14" t="n"/>
      <c r="O1389" s="13" t="n"/>
    </row>
    <row r="1390">
      <c r="A1390" s="11">
        <f>IF($B1390="","",COUNTA($B$9:$B1390))</f>
        <v/>
      </c>
      <c r="B1390" s="12" t="n"/>
      <c r="C1390" s="12" t="n"/>
      <c r="D1390" s="12" t="n"/>
      <c r="E1390" s="13" t="n"/>
      <c r="F1390" s="11">
        <f>IF($E1390="","",IFERROR(VLOOKUP($E1390,OpTbl,2,0),""))</f>
        <v/>
      </c>
      <c r="G1390" s="12" t="n"/>
      <c r="H1390" s="11">
        <f>IF($G1390="","",IFERROR(IF(VLOOKUP($G1390,AcctTbl,4,0)="","(بدون نام)",VLOOKUP($G1390,AcctTbl,4,0)),"کد ناشناخته"))</f>
        <v/>
      </c>
      <c r="I1390" s="13" t="n"/>
      <c r="J1390" s="13" t="n"/>
      <c r="K1390" s="14" t="n"/>
      <c r="L1390" s="14" t="n"/>
      <c r="M1390" s="15">
        <f>IF(OR($B1390="",$K1390=""),"",($K1390-IF($L1390="",0,$L1390)*IFERROR(VLOOKUP("P01",ParamTbl,3,0),1.5))*(1-IF(IFERROR(VLOOKUP($E1390,OpTbl,3,0),"")="خرید",IFERROR(VLOOKUP("P02",ParamTbl,3,0),1),0)/100))</f>
        <v/>
      </c>
      <c r="N1390" s="14" t="n"/>
      <c r="O1390" s="13" t="n"/>
    </row>
    <row r="1391">
      <c r="A1391" s="11">
        <f>IF($B1391="","",COUNTA($B$9:$B1391))</f>
        <v/>
      </c>
      <c r="B1391" s="12" t="n"/>
      <c r="C1391" s="12" t="n"/>
      <c r="D1391" s="12" t="n"/>
      <c r="E1391" s="13" t="n"/>
      <c r="F1391" s="11">
        <f>IF($E1391="","",IFERROR(VLOOKUP($E1391,OpTbl,2,0),""))</f>
        <v/>
      </c>
      <c r="G1391" s="12" t="n"/>
      <c r="H1391" s="11">
        <f>IF($G1391="","",IFERROR(IF(VLOOKUP($G1391,AcctTbl,4,0)="","(بدون نام)",VLOOKUP($G1391,AcctTbl,4,0)),"کد ناشناخته"))</f>
        <v/>
      </c>
      <c r="I1391" s="13" t="n"/>
      <c r="J1391" s="13" t="n"/>
      <c r="K1391" s="14" t="n"/>
      <c r="L1391" s="14" t="n"/>
      <c r="M1391" s="15">
        <f>IF(OR($B1391="",$K1391=""),"",($K1391-IF($L1391="",0,$L1391)*IFERROR(VLOOKUP("P01",ParamTbl,3,0),1.5))*(1-IF(IFERROR(VLOOKUP($E1391,OpTbl,3,0),"")="خرید",IFERROR(VLOOKUP("P02",ParamTbl,3,0),1),0)/100))</f>
        <v/>
      </c>
      <c r="N1391" s="14" t="n"/>
      <c r="O1391" s="13" t="n"/>
    </row>
    <row r="1392">
      <c r="A1392" s="11">
        <f>IF($B1392="","",COUNTA($B$9:$B1392))</f>
        <v/>
      </c>
      <c r="B1392" s="12" t="n"/>
      <c r="C1392" s="12" t="n"/>
      <c r="D1392" s="12" t="n"/>
      <c r="E1392" s="13" t="n"/>
      <c r="F1392" s="11">
        <f>IF($E1392="","",IFERROR(VLOOKUP($E1392,OpTbl,2,0),""))</f>
        <v/>
      </c>
      <c r="G1392" s="12" t="n"/>
      <c r="H1392" s="11">
        <f>IF($G1392="","",IFERROR(IF(VLOOKUP($G1392,AcctTbl,4,0)="","(بدون نام)",VLOOKUP($G1392,AcctTbl,4,0)),"کد ناشناخته"))</f>
        <v/>
      </c>
      <c r="I1392" s="13" t="n"/>
      <c r="J1392" s="13" t="n"/>
      <c r="K1392" s="14" t="n"/>
      <c r="L1392" s="14" t="n"/>
      <c r="M1392" s="15">
        <f>IF(OR($B1392="",$K1392=""),"",($K1392-IF($L1392="",0,$L1392)*IFERROR(VLOOKUP("P01",ParamTbl,3,0),1.5))*(1-IF(IFERROR(VLOOKUP($E1392,OpTbl,3,0),"")="خرید",IFERROR(VLOOKUP("P02",ParamTbl,3,0),1),0)/100))</f>
        <v/>
      </c>
      <c r="N1392" s="14" t="n"/>
      <c r="O1392" s="13" t="n"/>
    </row>
    <row r="1393">
      <c r="A1393" s="11">
        <f>IF($B1393="","",COUNTA($B$9:$B1393))</f>
        <v/>
      </c>
      <c r="B1393" s="12" t="n"/>
      <c r="C1393" s="12" t="n"/>
      <c r="D1393" s="12" t="n"/>
      <c r="E1393" s="13" t="n"/>
      <c r="F1393" s="11">
        <f>IF($E1393="","",IFERROR(VLOOKUP($E1393,OpTbl,2,0),""))</f>
        <v/>
      </c>
      <c r="G1393" s="12" t="n"/>
      <c r="H1393" s="11">
        <f>IF($G1393="","",IFERROR(IF(VLOOKUP($G1393,AcctTbl,4,0)="","(بدون نام)",VLOOKUP($G1393,AcctTbl,4,0)),"کد ناشناخته"))</f>
        <v/>
      </c>
      <c r="I1393" s="13" t="n"/>
      <c r="J1393" s="13" t="n"/>
      <c r="K1393" s="14" t="n"/>
      <c r="L1393" s="14" t="n"/>
      <c r="M1393" s="15">
        <f>IF(OR($B1393="",$K1393=""),"",($K1393-IF($L1393="",0,$L1393)*IFERROR(VLOOKUP("P01",ParamTbl,3,0),1.5))*(1-IF(IFERROR(VLOOKUP($E1393,OpTbl,3,0),"")="خرید",IFERROR(VLOOKUP("P02",ParamTbl,3,0),1),0)/100))</f>
        <v/>
      </c>
      <c r="N1393" s="14" t="n"/>
      <c r="O1393" s="13" t="n"/>
    </row>
    <row r="1394">
      <c r="A1394" s="11">
        <f>IF($B1394="","",COUNTA($B$9:$B1394))</f>
        <v/>
      </c>
      <c r="B1394" s="12" t="n"/>
      <c r="C1394" s="12" t="n"/>
      <c r="D1394" s="12" t="n"/>
      <c r="E1394" s="13" t="n"/>
      <c r="F1394" s="11">
        <f>IF($E1394="","",IFERROR(VLOOKUP($E1394,OpTbl,2,0),""))</f>
        <v/>
      </c>
      <c r="G1394" s="12" t="n"/>
      <c r="H1394" s="11">
        <f>IF($G1394="","",IFERROR(IF(VLOOKUP($G1394,AcctTbl,4,0)="","(بدون نام)",VLOOKUP($G1394,AcctTbl,4,0)),"کد ناشناخته"))</f>
        <v/>
      </c>
      <c r="I1394" s="13" t="n"/>
      <c r="J1394" s="13" t="n"/>
      <c r="K1394" s="14" t="n"/>
      <c r="L1394" s="14" t="n"/>
      <c r="M1394" s="15">
        <f>IF(OR($B1394="",$K1394=""),"",($K1394-IF($L1394="",0,$L1394)*IFERROR(VLOOKUP("P01",ParamTbl,3,0),1.5))*(1-IF(IFERROR(VLOOKUP($E1394,OpTbl,3,0),"")="خرید",IFERROR(VLOOKUP("P02",ParamTbl,3,0),1),0)/100))</f>
        <v/>
      </c>
      <c r="N1394" s="14" t="n"/>
      <c r="O1394" s="13" t="n"/>
    </row>
    <row r="1395">
      <c r="A1395" s="11">
        <f>IF($B1395="","",COUNTA($B$9:$B1395))</f>
        <v/>
      </c>
      <c r="B1395" s="12" t="n"/>
      <c r="C1395" s="12" t="n"/>
      <c r="D1395" s="12" t="n"/>
      <c r="E1395" s="13" t="n"/>
      <c r="F1395" s="11">
        <f>IF($E1395="","",IFERROR(VLOOKUP($E1395,OpTbl,2,0),""))</f>
        <v/>
      </c>
      <c r="G1395" s="12" t="n"/>
      <c r="H1395" s="11">
        <f>IF($G1395="","",IFERROR(IF(VLOOKUP($G1395,AcctTbl,4,0)="","(بدون نام)",VLOOKUP($G1395,AcctTbl,4,0)),"کد ناشناخته"))</f>
        <v/>
      </c>
      <c r="I1395" s="13" t="n"/>
      <c r="J1395" s="13" t="n"/>
      <c r="K1395" s="14" t="n"/>
      <c r="L1395" s="14" t="n"/>
      <c r="M1395" s="15">
        <f>IF(OR($B1395="",$K1395=""),"",($K1395-IF($L1395="",0,$L1395)*IFERROR(VLOOKUP("P01",ParamTbl,3,0),1.5))*(1-IF(IFERROR(VLOOKUP($E1395,OpTbl,3,0),"")="خرید",IFERROR(VLOOKUP("P02",ParamTbl,3,0),1),0)/100))</f>
        <v/>
      </c>
      <c r="N1395" s="14" t="n"/>
      <c r="O1395" s="13" t="n"/>
    </row>
    <row r="1396">
      <c r="A1396" s="11">
        <f>IF($B1396="","",COUNTA($B$9:$B1396))</f>
        <v/>
      </c>
      <c r="B1396" s="12" t="n"/>
      <c r="C1396" s="12" t="n"/>
      <c r="D1396" s="12" t="n"/>
      <c r="E1396" s="13" t="n"/>
      <c r="F1396" s="11">
        <f>IF($E1396="","",IFERROR(VLOOKUP($E1396,OpTbl,2,0),""))</f>
        <v/>
      </c>
      <c r="G1396" s="12" t="n"/>
      <c r="H1396" s="11">
        <f>IF($G1396="","",IFERROR(IF(VLOOKUP($G1396,AcctTbl,4,0)="","(بدون نام)",VLOOKUP($G1396,AcctTbl,4,0)),"کد ناشناخته"))</f>
        <v/>
      </c>
      <c r="I1396" s="13" t="n"/>
      <c r="J1396" s="13" t="n"/>
      <c r="K1396" s="14" t="n"/>
      <c r="L1396" s="14" t="n"/>
      <c r="M1396" s="15">
        <f>IF(OR($B1396="",$K1396=""),"",($K1396-IF($L1396="",0,$L1396)*IFERROR(VLOOKUP("P01",ParamTbl,3,0),1.5))*(1-IF(IFERROR(VLOOKUP($E1396,OpTbl,3,0),"")="خرید",IFERROR(VLOOKUP("P02",ParamTbl,3,0),1),0)/100))</f>
        <v/>
      </c>
      <c r="N1396" s="14" t="n"/>
      <c r="O1396" s="13" t="n"/>
    </row>
    <row r="1397">
      <c r="A1397" s="11">
        <f>IF($B1397="","",COUNTA($B$9:$B1397))</f>
        <v/>
      </c>
      <c r="B1397" s="12" t="n"/>
      <c r="C1397" s="12" t="n"/>
      <c r="D1397" s="12" t="n"/>
      <c r="E1397" s="13" t="n"/>
      <c r="F1397" s="11">
        <f>IF($E1397="","",IFERROR(VLOOKUP($E1397,OpTbl,2,0),""))</f>
        <v/>
      </c>
      <c r="G1397" s="12" t="n"/>
      <c r="H1397" s="11">
        <f>IF($G1397="","",IFERROR(IF(VLOOKUP($G1397,AcctTbl,4,0)="","(بدون نام)",VLOOKUP($G1397,AcctTbl,4,0)),"کد ناشناخته"))</f>
        <v/>
      </c>
      <c r="I1397" s="13" t="n"/>
      <c r="J1397" s="13" t="n"/>
      <c r="K1397" s="14" t="n"/>
      <c r="L1397" s="14" t="n"/>
      <c r="M1397" s="15">
        <f>IF(OR($B1397="",$K1397=""),"",($K1397-IF($L1397="",0,$L1397)*IFERROR(VLOOKUP("P01",ParamTbl,3,0),1.5))*(1-IF(IFERROR(VLOOKUP($E1397,OpTbl,3,0),"")="خرید",IFERROR(VLOOKUP("P02",ParamTbl,3,0),1),0)/100))</f>
        <v/>
      </c>
      <c r="N1397" s="14" t="n"/>
      <c r="O1397" s="13" t="n"/>
    </row>
    <row r="1398">
      <c r="A1398" s="11">
        <f>IF($B1398="","",COUNTA($B$9:$B1398))</f>
        <v/>
      </c>
      <c r="B1398" s="12" t="n"/>
      <c r="C1398" s="12" t="n"/>
      <c r="D1398" s="12" t="n"/>
      <c r="E1398" s="13" t="n"/>
      <c r="F1398" s="11">
        <f>IF($E1398="","",IFERROR(VLOOKUP($E1398,OpTbl,2,0),""))</f>
        <v/>
      </c>
      <c r="G1398" s="12" t="n"/>
      <c r="H1398" s="11">
        <f>IF($G1398="","",IFERROR(IF(VLOOKUP($G1398,AcctTbl,4,0)="","(بدون نام)",VLOOKUP($G1398,AcctTbl,4,0)),"کد ناشناخته"))</f>
        <v/>
      </c>
      <c r="I1398" s="13" t="n"/>
      <c r="J1398" s="13" t="n"/>
      <c r="K1398" s="14" t="n"/>
      <c r="L1398" s="14" t="n"/>
      <c r="M1398" s="15">
        <f>IF(OR($B1398="",$K1398=""),"",($K1398-IF($L1398="",0,$L1398)*IFERROR(VLOOKUP("P01",ParamTbl,3,0),1.5))*(1-IF(IFERROR(VLOOKUP($E1398,OpTbl,3,0),"")="خرید",IFERROR(VLOOKUP("P02",ParamTbl,3,0),1),0)/100))</f>
        <v/>
      </c>
      <c r="N1398" s="14" t="n"/>
      <c r="O1398" s="13" t="n"/>
    </row>
    <row r="1399">
      <c r="A1399" s="11">
        <f>IF($B1399="","",COUNTA($B$9:$B1399))</f>
        <v/>
      </c>
      <c r="B1399" s="12" t="n"/>
      <c r="C1399" s="12" t="n"/>
      <c r="D1399" s="12" t="n"/>
      <c r="E1399" s="13" t="n"/>
      <c r="F1399" s="11">
        <f>IF($E1399="","",IFERROR(VLOOKUP($E1399,OpTbl,2,0),""))</f>
        <v/>
      </c>
      <c r="G1399" s="12" t="n"/>
      <c r="H1399" s="11">
        <f>IF($G1399="","",IFERROR(IF(VLOOKUP($G1399,AcctTbl,4,0)="","(بدون نام)",VLOOKUP($G1399,AcctTbl,4,0)),"کد ناشناخته"))</f>
        <v/>
      </c>
      <c r="I1399" s="13" t="n"/>
      <c r="J1399" s="13" t="n"/>
      <c r="K1399" s="14" t="n"/>
      <c r="L1399" s="14" t="n"/>
      <c r="M1399" s="15">
        <f>IF(OR($B1399="",$K1399=""),"",($K1399-IF($L1399="",0,$L1399)*IFERROR(VLOOKUP("P01",ParamTbl,3,0),1.5))*(1-IF(IFERROR(VLOOKUP($E1399,OpTbl,3,0),"")="خرید",IFERROR(VLOOKUP("P02",ParamTbl,3,0),1),0)/100))</f>
        <v/>
      </c>
      <c r="N1399" s="14" t="n"/>
      <c r="O1399" s="13" t="n"/>
    </row>
    <row r="1400">
      <c r="A1400" s="11">
        <f>IF($B1400="","",COUNTA($B$9:$B1400))</f>
        <v/>
      </c>
      <c r="B1400" s="12" t="n"/>
      <c r="C1400" s="12" t="n"/>
      <c r="D1400" s="12" t="n"/>
      <c r="E1400" s="13" t="n"/>
      <c r="F1400" s="11">
        <f>IF($E1400="","",IFERROR(VLOOKUP($E1400,OpTbl,2,0),""))</f>
        <v/>
      </c>
      <c r="G1400" s="12" t="n"/>
      <c r="H1400" s="11">
        <f>IF($G1400="","",IFERROR(IF(VLOOKUP($G1400,AcctTbl,4,0)="","(بدون نام)",VLOOKUP($G1400,AcctTbl,4,0)),"کد ناشناخته"))</f>
        <v/>
      </c>
      <c r="I1400" s="13" t="n"/>
      <c r="J1400" s="13" t="n"/>
      <c r="K1400" s="14" t="n"/>
      <c r="L1400" s="14" t="n"/>
      <c r="M1400" s="15">
        <f>IF(OR($B1400="",$K1400=""),"",($K1400-IF($L1400="",0,$L1400)*IFERROR(VLOOKUP("P01",ParamTbl,3,0),1.5))*(1-IF(IFERROR(VLOOKUP($E1400,OpTbl,3,0),"")="خرید",IFERROR(VLOOKUP("P02",ParamTbl,3,0),1),0)/100))</f>
        <v/>
      </c>
      <c r="N1400" s="14" t="n"/>
      <c r="O1400" s="13" t="n"/>
    </row>
    <row r="1401">
      <c r="A1401" s="11">
        <f>IF($B1401="","",COUNTA($B$9:$B1401))</f>
        <v/>
      </c>
      <c r="B1401" s="12" t="n"/>
      <c r="C1401" s="12" t="n"/>
      <c r="D1401" s="12" t="n"/>
      <c r="E1401" s="13" t="n"/>
      <c r="F1401" s="11">
        <f>IF($E1401="","",IFERROR(VLOOKUP($E1401,OpTbl,2,0),""))</f>
        <v/>
      </c>
      <c r="G1401" s="12" t="n"/>
      <c r="H1401" s="11">
        <f>IF($G1401="","",IFERROR(IF(VLOOKUP($G1401,AcctTbl,4,0)="","(بدون نام)",VLOOKUP($G1401,AcctTbl,4,0)),"کد ناشناخته"))</f>
        <v/>
      </c>
      <c r="I1401" s="13" t="n"/>
      <c r="J1401" s="13" t="n"/>
      <c r="K1401" s="14" t="n"/>
      <c r="L1401" s="14" t="n"/>
      <c r="M1401" s="15">
        <f>IF(OR($B1401="",$K1401=""),"",($K1401-IF($L1401="",0,$L1401)*IFERROR(VLOOKUP("P01",ParamTbl,3,0),1.5))*(1-IF(IFERROR(VLOOKUP($E1401,OpTbl,3,0),"")="خرید",IFERROR(VLOOKUP("P02",ParamTbl,3,0),1),0)/100))</f>
        <v/>
      </c>
      <c r="N1401" s="14" t="n"/>
      <c r="O1401" s="13" t="n"/>
    </row>
    <row r="1402">
      <c r="A1402" s="11">
        <f>IF($B1402="","",COUNTA($B$9:$B1402))</f>
        <v/>
      </c>
      <c r="B1402" s="12" t="n"/>
      <c r="C1402" s="12" t="n"/>
      <c r="D1402" s="12" t="n"/>
      <c r="E1402" s="13" t="n"/>
      <c r="F1402" s="11">
        <f>IF($E1402="","",IFERROR(VLOOKUP($E1402,OpTbl,2,0),""))</f>
        <v/>
      </c>
      <c r="G1402" s="12" t="n"/>
      <c r="H1402" s="11">
        <f>IF($G1402="","",IFERROR(IF(VLOOKUP($G1402,AcctTbl,4,0)="","(بدون نام)",VLOOKUP($G1402,AcctTbl,4,0)),"کد ناشناخته"))</f>
        <v/>
      </c>
      <c r="I1402" s="13" t="n"/>
      <c r="J1402" s="13" t="n"/>
      <c r="K1402" s="14" t="n"/>
      <c r="L1402" s="14" t="n"/>
      <c r="M1402" s="15">
        <f>IF(OR($B1402="",$K1402=""),"",($K1402-IF($L1402="",0,$L1402)*IFERROR(VLOOKUP("P01",ParamTbl,3,0),1.5))*(1-IF(IFERROR(VLOOKUP($E1402,OpTbl,3,0),"")="خرید",IFERROR(VLOOKUP("P02",ParamTbl,3,0),1),0)/100))</f>
        <v/>
      </c>
      <c r="N1402" s="14" t="n"/>
      <c r="O1402" s="13" t="n"/>
    </row>
    <row r="1403">
      <c r="A1403" s="11">
        <f>IF($B1403="","",COUNTA($B$9:$B1403))</f>
        <v/>
      </c>
      <c r="B1403" s="12" t="n"/>
      <c r="C1403" s="12" t="n"/>
      <c r="D1403" s="12" t="n"/>
      <c r="E1403" s="13" t="n"/>
      <c r="F1403" s="11">
        <f>IF($E1403="","",IFERROR(VLOOKUP($E1403,OpTbl,2,0),""))</f>
        <v/>
      </c>
      <c r="G1403" s="12" t="n"/>
      <c r="H1403" s="11">
        <f>IF($G1403="","",IFERROR(IF(VLOOKUP($G1403,AcctTbl,4,0)="","(بدون نام)",VLOOKUP($G1403,AcctTbl,4,0)),"کد ناشناخته"))</f>
        <v/>
      </c>
      <c r="I1403" s="13" t="n"/>
      <c r="J1403" s="13" t="n"/>
      <c r="K1403" s="14" t="n"/>
      <c r="L1403" s="14" t="n"/>
      <c r="M1403" s="15">
        <f>IF(OR($B1403="",$K1403=""),"",($K1403-IF($L1403="",0,$L1403)*IFERROR(VLOOKUP("P01",ParamTbl,3,0),1.5))*(1-IF(IFERROR(VLOOKUP($E1403,OpTbl,3,0),"")="خرید",IFERROR(VLOOKUP("P02",ParamTbl,3,0),1),0)/100))</f>
        <v/>
      </c>
      <c r="N1403" s="14" t="n"/>
      <c r="O1403" s="13" t="n"/>
    </row>
    <row r="1404">
      <c r="A1404" s="11">
        <f>IF($B1404="","",COUNTA($B$9:$B1404))</f>
        <v/>
      </c>
      <c r="B1404" s="12" t="n"/>
      <c r="C1404" s="12" t="n"/>
      <c r="D1404" s="12" t="n"/>
      <c r="E1404" s="13" t="n"/>
      <c r="F1404" s="11">
        <f>IF($E1404="","",IFERROR(VLOOKUP($E1404,OpTbl,2,0),""))</f>
        <v/>
      </c>
      <c r="G1404" s="12" t="n"/>
      <c r="H1404" s="11">
        <f>IF($G1404="","",IFERROR(IF(VLOOKUP($G1404,AcctTbl,4,0)="","(بدون نام)",VLOOKUP($G1404,AcctTbl,4,0)),"کد ناشناخته"))</f>
        <v/>
      </c>
      <c r="I1404" s="13" t="n"/>
      <c r="J1404" s="13" t="n"/>
      <c r="K1404" s="14" t="n"/>
      <c r="L1404" s="14" t="n"/>
      <c r="M1404" s="15">
        <f>IF(OR($B1404="",$K1404=""),"",($K1404-IF($L1404="",0,$L1404)*IFERROR(VLOOKUP("P01",ParamTbl,3,0),1.5))*(1-IF(IFERROR(VLOOKUP($E1404,OpTbl,3,0),"")="خرید",IFERROR(VLOOKUP("P02",ParamTbl,3,0),1),0)/100))</f>
        <v/>
      </c>
      <c r="N1404" s="14" t="n"/>
      <c r="O1404" s="13" t="n"/>
    </row>
    <row r="1405">
      <c r="A1405" s="11">
        <f>IF($B1405="","",COUNTA($B$9:$B1405))</f>
        <v/>
      </c>
      <c r="B1405" s="12" t="n"/>
      <c r="C1405" s="12" t="n"/>
      <c r="D1405" s="12" t="n"/>
      <c r="E1405" s="13" t="n"/>
      <c r="F1405" s="11">
        <f>IF($E1405="","",IFERROR(VLOOKUP($E1405,OpTbl,2,0),""))</f>
        <v/>
      </c>
      <c r="G1405" s="12" t="n"/>
      <c r="H1405" s="11">
        <f>IF($G1405="","",IFERROR(IF(VLOOKUP($G1405,AcctTbl,4,0)="","(بدون نام)",VLOOKUP($G1405,AcctTbl,4,0)),"کد ناشناخته"))</f>
        <v/>
      </c>
      <c r="I1405" s="13" t="n"/>
      <c r="J1405" s="13" t="n"/>
      <c r="K1405" s="14" t="n"/>
      <c r="L1405" s="14" t="n"/>
      <c r="M1405" s="15">
        <f>IF(OR($B1405="",$K1405=""),"",($K1405-IF($L1405="",0,$L1405)*IFERROR(VLOOKUP("P01",ParamTbl,3,0),1.5))*(1-IF(IFERROR(VLOOKUP($E1405,OpTbl,3,0),"")="خرید",IFERROR(VLOOKUP("P02",ParamTbl,3,0),1),0)/100))</f>
        <v/>
      </c>
      <c r="N1405" s="14" t="n"/>
      <c r="O1405" s="13" t="n"/>
    </row>
    <row r="1406">
      <c r="A1406" s="11">
        <f>IF($B1406="","",COUNTA($B$9:$B1406))</f>
        <v/>
      </c>
      <c r="B1406" s="12" t="n"/>
      <c r="C1406" s="12" t="n"/>
      <c r="D1406" s="12" t="n"/>
      <c r="E1406" s="13" t="n"/>
      <c r="F1406" s="11">
        <f>IF($E1406="","",IFERROR(VLOOKUP($E1406,OpTbl,2,0),""))</f>
        <v/>
      </c>
      <c r="G1406" s="12" t="n"/>
      <c r="H1406" s="11">
        <f>IF($G1406="","",IFERROR(IF(VLOOKUP($G1406,AcctTbl,4,0)="","(بدون نام)",VLOOKUP($G1406,AcctTbl,4,0)),"کد ناشناخته"))</f>
        <v/>
      </c>
      <c r="I1406" s="13" t="n"/>
      <c r="J1406" s="13" t="n"/>
      <c r="K1406" s="14" t="n"/>
      <c r="L1406" s="14" t="n"/>
      <c r="M1406" s="15">
        <f>IF(OR($B1406="",$K1406=""),"",($K1406-IF($L1406="",0,$L1406)*IFERROR(VLOOKUP("P01",ParamTbl,3,0),1.5))*(1-IF(IFERROR(VLOOKUP($E1406,OpTbl,3,0),"")="خرید",IFERROR(VLOOKUP("P02",ParamTbl,3,0),1),0)/100))</f>
        <v/>
      </c>
      <c r="N1406" s="14" t="n"/>
      <c r="O1406" s="13" t="n"/>
    </row>
    <row r="1407">
      <c r="A1407" s="11">
        <f>IF($B1407="","",COUNTA($B$9:$B1407))</f>
        <v/>
      </c>
      <c r="B1407" s="12" t="n"/>
      <c r="C1407" s="12" t="n"/>
      <c r="D1407" s="12" t="n"/>
      <c r="E1407" s="13" t="n"/>
      <c r="F1407" s="11">
        <f>IF($E1407="","",IFERROR(VLOOKUP($E1407,OpTbl,2,0),""))</f>
        <v/>
      </c>
      <c r="G1407" s="12" t="n"/>
      <c r="H1407" s="11">
        <f>IF($G1407="","",IFERROR(IF(VLOOKUP($G1407,AcctTbl,4,0)="","(بدون نام)",VLOOKUP($G1407,AcctTbl,4,0)),"کد ناشناخته"))</f>
        <v/>
      </c>
      <c r="I1407" s="13" t="n"/>
      <c r="J1407" s="13" t="n"/>
      <c r="K1407" s="14" t="n"/>
      <c r="L1407" s="14" t="n"/>
      <c r="M1407" s="15">
        <f>IF(OR($B1407="",$K1407=""),"",($K1407-IF($L1407="",0,$L1407)*IFERROR(VLOOKUP("P01",ParamTbl,3,0),1.5))*(1-IF(IFERROR(VLOOKUP($E1407,OpTbl,3,0),"")="خرید",IFERROR(VLOOKUP("P02",ParamTbl,3,0),1),0)/100))</f>
        <v/>
      </c>
      <c r="N1407" s="14" t="n"/>
      <c r="O1407" s="13" t="n"/>
    </row>
    <row r="1408">
      <c r="A1408" s="11">
        <f>IF($B1408="","",COUNTA($B$9:$B1408))</f>
        <v/>
      </c>
      <c r="B1408" s="12" t="n"/>
      <c r="C1408" s="12" t="n"/>
      <c r="D1408" s="12" t="n"/>
      <c r="E1408" s="13" t="n"/>
      <c r="F1408" s="11">
        <f>IF($E1408="","",IFERROR(VLOOKUP($E1408,OpTbl,2,0),""))</f>
        <v/>
      </c>
      <c r="G1408" s="12" t="n"/>
      <c r="H1408" s="11">
        <f>IF($G1408="","",IFERROR(IF(VLOOKUP($G1408,AcctTbl,4,0)="","(بدون نام)",VLOOKUP($G1408,AcctTbl,4,0)),"کد ناشناخته"))</f>
        <v/>
      </c>
      <c r="I1408" s="13" t="n"/>
      <c r="J1408" s="13" t="n"/>
      <c r="K1408" s="14" t="n"/>
      <c r="L1408" s="14" t="n"/>
      <c r="M1408" s="15">
        <f>IF(OR($B1408="",$K1408=""),"",($K1408-IF($L1408="",0,$L1408)*IFERROR(VLOOKUP("P01",ParamTbl,3,0),1.5))*(1-IF(IFERROR(VLOOKUP($E1408,OpTbl,3,0),"")="خرید",IFERROR(VLOOKUP("P02",ParamTbl,3,0),1),0)/100))</f>
        <v/>
      </c>
      <c r="N1408" s="14" t="n"/>
      <c r="O1408" s="13" t="n"/>
    </row>
    <row r="1409">
      <c r="A1409" s="11">
        <f>IF($B1409="","",COUNTA($B$9:$B1409))</f>
        <v/>
      </c>
      <c r="B1409" s="12" t="n"/>
      <c r="C1409" s="12" t="n"/>
      <c r="D1409" s="12" t="n"/>
      <c r="E1409" s="13" t="n"/>
      <c r="F1409" s="11">
        <f>IF($E1409="","",IFERROR(VLOOKUP($E1409,OpTbl,2,0),""))</f>
        <v/>
      </c>
      <c r="G1409" s="12" t="n"/>
      <c r="H1409" s="11">
        <f>IF($G1409="","",IFERROR(IF(VLOOKUP($G1409,AcctTbl,4,0)="","(بدون نام)",VLOOKUP($G1409,AcctTbl,4,0)),"کد ناشناخته"))</f>
        <v/>
      </c>
      <c r="I1409" s="13" t="n"/>
      <c r="J1409" s="13" t="n"/>
      <c r="K1409" s="14" t="n"/>
      <c r="L1409" s="14" t="n"/>
      <c r="M1409" s="15">
        <f>IF(OR($B1409="",$K1409=""),"",($K1409-IF($L1409="",0,$L1409)*IFERROR(VLOOKUP("P01",ParamTbl,3,0),1.5))*(1-IF(IFERROR(VLOOKUP($E1409,OpTbl,3,0),"")="خرید",IFERROR(VLOOKUP("P02",ParamTbl,3,0),1),0)/100))</f>
        <v/>
      </c>
      <c r="N1409" s="14" t="n"/>
      <c r="O1409" s="13" t="n"/>
    </row>
    <row r="1410">
      <c r="A1410" s="11">
        <f>IF($B1410="","",COUNTA($B$9:$B1410))</f>
        <v/>
      </c>
      <c r="B1410" s="12" t="n"/>
      <c r="C1410" s="12" t="n"/>
      <c r="D1410" s="12" t="n"/>
      <c r="E1410" s="13" t="n"/>
      <c r="F1410" s="11">
        <f>IF($E1410="","",IFERROR(VLOOKUP($E1410,OpTbl,2,0),""))</f>
        <v/>
      </c>
      <c r="G1410" s="12" t="n"/>
      <c r="H1410" s="11">
        <f>IF($G1410="","",IFERROR(IF(VLOOKUP($G1410,AcctTbl,4,0)="","(بدون نام)",VLOOKUP($G1410,AcctTbl,4,0)),"کد ناشناخته"))</f>
        <v/>
      </c>
      <c r="I1410" s="13" t="n"/>
      <c r="J1410" s="13" t="n"/>
      <c r="K1410" s="14" t="n"/>
      <c r="L1410" s="14" t="n"/>
      <c r="M1410" s="15">
        <f>IF(OR($B1410="",$K1410=""),"",($K1410-IF($L1410="",0,$L1410)*IFERROR(VLOOKUP("P01",ParamTbl,3,0),1.5))*(1-IF(IFERROR(VLOOKUP($E1410,OpTbl,3,0),"")="خرید",IFERROR(VLOOKUP("P02",ParamTbl,3,0),1),0)/100))</f>
        <v/>
      </c>
      <c r="N1410" s="14" t="n"/>
      <c r="O1410" s="13" t="n"/>
    </row>
    <row r="1411">
      <c r="A1411" s="11">
        <f>IF($B1411="","",COUNTA($B$9:$B1411))</f>
        <v/>
      </c>
      <c r="B1411" s="12" t="n"/>
      <c r="C1411" s="12" t="n"/>
      <c r="D1411" s="12" t="n"/>
      <c r="E1411" s="13" t="n"/>
      <c r="F1411" s="11">
        <f>IF($E1411="","",IFERROR(VLOOKUP($E1411,OpTbl,2,0),""))</f>
        <v/>
      </c>
      <c r="G1411" s="12" t="n"/>
      <c r="H1411" s="11">
        <f>IF($G1411="","",IFERROR(IF(VLOOKUP($G1411,AcctTbl,4,0)="","(بدون نام)",VLOOKUP($G1411,AcctTbl,4,0)),"کد ناشناخته"))</f>
        <v/>
      </c>
      <c r="I1411" s="13" t="n"/>
      <c r="J1411" s="13" t="n"/>
      <c r="K1411" s="14" t="n"/>
      <c r="L1411" s="14" t="n"/>
      <c r="M1411" s="15">
        <f>IF(OR($B1411="",$K1411=""),"",($K1411-IF($L1411="",0,$L1411)*IFERROR(VLOOKUP("P01",ParamTbl,3,0),1.5))*(1-IF(IFERROR(VLOOKUP($E1411,OpTbl,3,0),"")="خرید",IFERROR(VLOOKUP("P02",ParamTbl,3,0),1),0)/100))</f>
        <v/>
      </c>
      <c r="N1411" s="14" t="n"/>
      <c r="O1411" s="13" t="n"/>
    </row>
    <row r="1412">
      <c r="A1412" s="11">
        <f>IF($B1412="","",COUNTA($B$9:$B1412))</f>
        <v/>
      </c>
      <c r="B1412" s="12" t="n"/>
      <c r="C1412" s="12" t="n"/>
      <c r="D1412" s="12" t="n"/>
      <c r="E1412" s="13" t="n"/>
      <c r="F1412" s="11">
        <f>IF($E1412="","",IFERROR(VLOOKUP($E1412,OpTbl,2,0),""))</f>
        <v/>
      </c>
      <c r="G1412" s="12" t="n"/>
      <c r="H1412" s="11">
        <f>IF($G1412="","",IFERROR(IF(VLOOKUP($G1412,AcctTbl,4,0)="","(بدون نام)",VLOOKUP($G1412,AcctTbl,4,0)),"کد ناشناخته"))</f>
        <v/>
      </c>
      <c r="I1412" s="13" t="n"/>
      <c r="J1412" s="13" t="n"/>
      <c r="K1412" s="14" t="n"/>
      <c r="L1412" s="14" t="n"/>
      <c r="M1412" s="15">
        <f>IF(OR($B1412="",$K1412=""),"",($K1412-IF($L1412="",0,$L1412)*IFERROR(VLOOKUP("P01",ParamTbl,3,0),1.5))*(1-IF(IFERROR(VLOOKUP($E1412,OpTbl,3,0),"")="خرید",IFERROR(VLOOKUP("P02",ParamTbl,3,0),1),0)/100))</f>
        <v/>
      </c>
      <c r="N1412" s="14" t="n"/>
      <c r="O1412" s="13" t="n"/>
    </row>
    <row r="1413">
      <c r="A1413" s="11">
        <f>IF($B1413="","",COUNTA($B$9:$B1413))</f>
        <v/>
      </c>
      <c r="B1413" s="12" t="n"/>
      <c r="C1413" s="12" t="n"/>
      <c r="D1413" s="12" t="n"/>
      <c r="E1413" s="13" t="n"/>
      <c r="F1413" s="11">
        <f>IF($E1413="","",IFERROR(VLOOKUP($E1413,OpTbl,2,0),""))</f>
        <v/>
      </c>
      <c r="G1413" s="12" t="n"/>
      <c r="H1413" s="11">
        <f>IF($G1413="","",IFERROR(IF(VLOOKUP($G1413,AcctTbl,4,0)="","(بدون نام)",VLOOKUP($G1413,AcctTbl,4,0)),"کد ناشناخته"))</f>
        <v/>
      </c>
      <c r="I1413" s="13" t="n"/>
      <c r="J1413" s="13" t="n"/>
      <c r="K1413" s="14" t="n"/>
      <c r="L1413" s="14" t="n"/>
      <c r="M1413" s="15">
        <f>IF(OR($B1413="",$K1413=""),"",($K1413-IF($L1413="",0,$L1413)*IFERROR(VLOOKUP("P01",ParamTbl,3,0),1.5))*(1-IF(IFERROR(VLOOKUP($E1413,OpTbl,3,0),"")="خرید",IFERROR(VLOOKUP("P02",ParamTbl,3,0),1),0)/100))</f>
        <v/>
      </c>
      <c r="N1413" s="14" t="n"/>
      <c r="O1413" s="13" t="n"/>
    </row>
    <row r="1414">
      <c r="A1414" s="11">
        <f>IF($B1414="","",COUNTA($B$9:$B1414))</f>
        <v/>
      </c>
      <c r="B1414" s="12" t="n"/>
      <c r="C1414" s="12" t="n"/>
      <c r="D1414" s="12" t="n"/>
      <c r="E1414" s="13" t="n"/>
      <c r="F1414" s="11">
        <f>IF($E1414="","",IFERROR(VLOOKUP($E1414,OpTbl,2,0),""))</f>
        <v/>
      </c>
      <c r="G1414" s="12" t="n"/>
      <c r="H1414" s="11">
        <f>IF($G1414="","",IFERROR(IF(VLOOKUP($G1414,AcctTbl,4,0)="","(بدون نام)",VLOOKUP($G1414,AcctTbl,4,0)),"کد ناشناخته"))</f>
        <v/>
      </c>
      <c r="I1414" s="13" t="n"/>
      <c r="J1414" s="13" t="n"/>
      <c r="K1414" s="14" t="n"/>
      <c r="L1414" s="14" t="n"/>
      <c r="M1414" s="15">
        <f>IF(OR($B1414="",$K1414=""),"",($K1414-IF($L1414="",0,$L1414)*IFERROR(VLOOKUP("P01",ParamTbl,3,0),1.5))*(1-IF(IFERROR(VLOOKUP($E1414,OpTbl,3,0),"")="خرید",IFERROR(VLOOKUP("P02",ParamTbl,3,0),1),0)/100))</f>
        <v/>
      </c>
      <c r="N1414" s="14" t="n"/>
      <c r="O1414" s="13" t="n"/>
    </row>
    <row r="1415">
      <c r="A1415" s="11">
        <f>IF($B1415="","",COUNTA($B$9:$B1415))</f>
        <v/>
      </c>
      <c r="B1415" s="12" t="n"/>
      <c r="C1415" s="12" t="n"/>
      <c r="D1415" s="12" t="n"/>
      <c r="E1415" s="13" t="n"/>
      <c r="F1415" s="11">
        <f>IF($E1415="","",IFERROR(VLOOKUP($E1415,OpTbl,2,0),""))</f>
        <v/>
      </c>
      <c r="G1415" s="12" t="n"/>
      <c r="H1415" s="11">
        <f>IF($G1415="","",IFERROR(IF(VLOOKUP($G1415,AcctTbl,4,0)="","(بدون نام)",VLOOKUP($G1415,AcctTbl,4,0)),"کد ناشناخته"))</f>
        <v/>
      </c>
      <c r="I1415" s="13" t="n"/>
      <c r="J1415" s="13" t="n"/>
      <c r="K1415" s="14" t="n"/>
      <c r="L1415" s="14" t="n"/>
      <c r="M1415" s="15">
        <f>IF(OR($B1415="",$K1415=""),"",($K1415-IF($L1415="",0,$L1415)*IFERROR(VLOOKUP("P01",ParamTbl,3,0),1.5))*(1-IF(IFERROR(VLOOKUP($E1415,OpTbl,3,0),"")="خرید",IFERROR(VLOOKUP("P02",ParamTbl,3,0),1),0)/100))</f>
        <v/>
      </c>
      <c r="N1415" s="14" t="n"/>
      <c r="O1415" s="13" t="n"/>
    </row>
    <row r="1416">
      <c r="A1416" s="11">
        <f>IF($B1416="","",COUNTA($B$9:$B1416))</f>
        <v/>
      </c>
      <c r="B1416" s="12" t="n"/>
      <c r="C1416" s="12" t="n"/>
      <c r="D1416" s="12" t="n"/>
      <c r="E1416" s="13" t="n"/>
      <c r="F1416" s="11">
        <f>IF($E1416="","",IFERROR(VLOOKUP($E1416,OpTbl,2,0),""))</f>
        <v/>
      </c>
      <c r="G1416" s="12" t="n"/>
      <c r="H1416" s="11">
        <f>IF($G1416="","",IFERROR(IF(VLOOKUP($G1416,AcctTbl,4,0)="","(بدون نام)",VLOOKUP($G1416,AcctTbl,4,0)),"کد ناشناخته"))</f>
        <v/>
      </c>
      <c r="I1416" s="13" t="n"/>
      <c r="J1416" s="13" t="n"/>
      <c r="K1416" s="14" t="n"/>
      <c r="L1416" s="14" t="n"/>
      <c r="M1416" s="15">
        <f>IF(OR($B1416="",$K1416=""),"",($K1416-IF($L1416="",0,$L1416)*IFERROR(VLOOKUP("P01",ParamTbl,3,0),1.5))*(1-IF(IFERROR(VLOOKUP($E1416,OpTbl,3,0),"")="خرید",IFERROR(VLOOKUP("P02",ParamTbl,3,0),1),0)/100))</f>
        <v/>
      </c>
      <c r="N1416" s="14" t="n"/>
      <c r="O1416" s="13" t="n"/>
    </row>
    <row r="1417">
      <c r="A1417" s="11">
        <f>IF($B1417="","",COUNTA($B$9:$B1417))</f>
        <v/>
      </c>
      <c r="B1417" s="12" t="n"/>
      <c r="C1417" s="12" t="n"/>
      <c r="D1417" s="12" t="n"/>
      <c r="E1417" s="13" t="n"/>
      <c r="F1417" s="11">
        <f>IF($E1417="","",IFERROR(VLOOKUP($E1417,OpTbl,2,0),""))</f>
        <v/>
      </c>
      <c r="G1417" s="12" t="n"/>
      <c r="H1417" s="11">
        <f>IF($G1417="","",IFERROR(IF(VLOOKUP($G1417,AcctTbl,4,0)="","(بدون نام)",VLOOKUP($G1417,AcctTbl,4,0)),"کد ناشناخته"))</f>
        <v/>
      </c>
      <c r="I1417" s="13" t="n"/>
      <c r="J1417" s="13" t="n"/>
      <c r="K1417" s="14" t="n"/>
      <c r="L1417" s="14" t="n"/>
      <c r="M1417" s="15">
        <f>IF(OR($B1417="",$K1417=""),"",($K1417-IF($L1417="",0,$L1417)*IFERROR(VLOOKUP("P01",ParamTbl,3,0),1.5))*(1-IF(IFERROR(VLOOKUP($E1417,OpTbl,3,0),"")="خرید",IFERROR(VLOOKUP("P02",ParamTbl,3,0),1),0)/100))</f>
        <v/>
      </c>
      <c r="N1417" s="14" t="n"/>
      <c r="O1417" s="13" t="n"/>
    </row>
    <row r="1418">
      <c r="A1418" s="11">
        <f>IF($B1418="","",COUNTA($B$9:$B1418))</f>
        <v/>
      </c>
      <c r="B1418" s="12" t="n"/>
      <c r="C1418" s="12" t="n"/>
      <c r="D1418" s="12" t="n"/>
      <c r="E1418" s="13" t="n"/>
      <c r="F1418" s="11">
        <f>IF($E1418="","",IFERROR(VLOOKUP($E1418,OpTbl,2,0),""))</f>
        <v/>
      </c>
      <c r="G1418" s="12" t="n"/>
      <c r="H1418" s="11">
        <f>IF($G1418="","",IFERROR(IF(VLOOKUP($G1418,AcctTbl,4,0)="","(بدون نام)",VLOOKUP($G1418,AcctTbl,4,0)),"کد ناشناخته"))</f>
        <v/>
      </c>
      <c r="I1418" s="13" t="n"/>
      <c r="J1418" s="13" t="n"/>
      <c r="K1418" s="14" t="n"/>
      <c r="L1418" s="14" t="n"/>
      <c r="M1418" s="15">
        <f>IF(OR($B1418="",$K1418=""),"",($K1418-IF($L1418="",0,$L1418)*IFERROR(VLOOKUP("P01",ParamTbl,3,0),1.5))*(1-IF(IFERROR(VLOOKUP($E1418,OpTbl,3,0),"")="خرید",IFERROR(VLOOKUP("P02",ParamTbl,3,0),1),0)/100))</f>
        <v/>
      </c>
      <c r="N1418" s="14" t="n"/>
      <c r="O1418" s="13" t="n"/>
    </row>
    <row r="1419">
      <c r="A1419" s="11">
        <f>IF($B1419="","",COUNTA($B$9:$B1419))</f>
        <v/>
      </c>
      <c r="B1419" s="12" t="n"/>
      <c r="C1419" s="12" t="n"/>
      <c r="D1419" s="12" t="n"/>
      <c r="E1419" s="13" t="n"/>
      <c r="F1419" s="11">
        <f>IF($E1419="","",IFERROR(VLOOKUP($E1419,OpTbl,2,0),""))</f>
        <v/>
      </c>
      <c r="G1419" s="12" t="n"/>
      <c r="H1419" s="11">
        <f>IF($G1419="","",IFERROR(IF(VLOOKUP($G1419,AcctTbl,4,0)="","(بدون نام)",VLOOKUP($G1419,AcctTbl,4,0)),"کد ناشناخته"))</f>
        <v/>
      </c>
      <c r="I1419" s="13" t="n"/>
      <c r="J1419" s="13" t="n"/>
      <c r="K1419" s="14" t="n"/>
      <c r="L1419" s="14" t="n"/>
      <c r="M1419" s="15">
        <f>IF(OR($B1419="",$K1419=""),"",($K1419-IF($L1419="",0,$L1419)*IFERROR(VLOOKUP("P01",ParamTbl,3,0),1.5))*(1-IF(IFERROR(VLOOKUP($E1419,OpTbl,3,0),"")="خرید",IFERROR(VLOOKUP("P02",ParamTbl,3,0),1),0)/100))</f>
        <v/>
      </c>
      <c r="N1419" s="14" t="n"/>
      <c r="O1419" s="13" t="n"/>
    </row>
    <row r="1420">
      <c r="A1420" s="11">
        <f>IF($B1420="","",COUNTA($B$9:$B1420))</f>
        <v/>
      </c>
      <c r="B1420" s="12" t="n"/>
      <c r="C1420" s="12" t="n"/>
      <c r="D1420" s="12" t="n"/>
      <c r="E1420" s="13" t="n"/>
      <c r="F1420" s="11">
        <f>IF($E1420="","",IFERROR(VLOOKUP($E1420,OpTbl,2,0),""))</f>
        <v/>
      </c>
      <c r="G1420" s="12" t="n"/>
      <c r="H1420" s="11">
        <f>IF($G1420="","",IFERROR(IF(VLOOKUP($G1420,AcctTbl,4,0)="","(بدون نام)",VLOOKUP($G1420,AcctTbl,4,0)),"کد ناشناخته"))</f>
        <v/>
      </c>
      <c r="I1420" s="13" t="n"/>
      <c r="J1420" s="13" t="n"/>
      <c r="K1420" s="14" t="n"/>
      <c r="L1420" s="14" t="n"/>
      <c r="M1420" s="15">
        <f>IF(OR($B1420="",$K1420=""),"",($K1420-IF($L1420="",0,$L1420)*IFERROR(VLOOKUP("P01",ParamTbl,3,0),1.5))*(1-IF(IFERROR(VLOOKUP($E1420,OpTbl,3,0),"")="خرید",IFERROR(VLOOKUP("P02",ParamTbl,3,0),1),0)/100))</f>
        <v/>
      </c>
      <c r="N1420" s="14" t="n"/>
      <c r="O1420" s="13" t="n"/>
    </row>
    <row r="1421">
      <c r="A1421" s="11">
        <f>IF($B1421="","",COUNTA($B$9:$B1421))</f>
        <v/>
      </c>
      <c r="B1421" s="12" t="n"/>
      <c r="C1421" s="12" t="n"/>
      <c r="D1421" s="12" t="n"/>
      <c r="E1421" s="13" t="n"/>
      <c r="F1421" s="11">
        <f>IF($E1421="","",IFERROR(VLOOKUP($E1421,OpTbl,2,0),""))</f>
        <v/>
      </c>
      <c r="G1421" s="12" t="n"/>
      <c r="H1421" s="11">
        <f>IF($G1421="","",IFERROR(IF(VLOOKUP($G1421,AcctTbl,4,0)="","(بدون نام)",VLOOKUP($G1421,AcctTbl,4,0)),"کد ناشناخته"))</f>
        <v/>
      </c>
      <c r="I1421" s="13" t="n"/>
      <c r="J1421" s="13" t="n"/>
      <c r="K1421" s="14" t="n"/>
      <c r="L1421" s="14" t="n"/>
      <c r="M1421" s="15">
        <f>IF(OR($B1421="",$K1421=""),"",($K1421-IF($L1421="",0,$L1421)*IFERROR(VLOOKUP("P01",ParamTbl,3,0),1.5))*(1-IF(IFERROR(VLOOKUP($E1421,OpTbl,3,0),"")="خرید",IFERROR(VLOOKUP("P02",ParamTbl,3,0),1),0)/100))</f>
        <v/>
      </c>
      <c r="N1421" s="14" t="n"/>
      <c r="O1421" s="13" t="n"/>
    </row>
    <row r="1422">
      <c r="A1422" s="11">
        <f>IF($B1422="","",COUNTA($B$9:$B1422))</f>
        <v/>
      </c>
      <c r="B1422" s="12" t="n"/>
      <c r="C1422" s="12" t="n"/>
      <c r="D1422" s="12" t="n"/>
      <c r="E1422" s="13" t="n"/>
      <c r="F1422" s="11">
        <f>IF($E1422="","",IFERROR(VLOOKUP($E1422,OpTbl,2,0),""))</f>
        <v/>
      </c>
      <c r="G1422" s="12" t="n"/>
      <c r="H1422" s="11">
        <f>IF($G1422="","",IFERROR(IF(VLOOKUP($G1422,AcctTbl,4,0)="","(بدون نام)",VLOOKUP($G1422,AcctTbl,4,0)),"کد ناشناخته"))</f>
        <v/>
      </c>
      <c r="I1422" s="13" t="n"/>
      <c r="J1422" s="13" t="n"/>
      <c r="K1422" s="14" t="n"/>
      <c r="L1422" s="14" t="n"/>
      <c r="M1422" s="15">
        <f>IF(OR($B1422="",$K1422=""),"",($K1422-IF($L1422="",0,$L1422)*IFERROR(VLOOKUP("P01",ParamTbl,3,0),1.5))*(1-IF(IFERROR(VLOOKUP($E1422,OpTbl,3,0),"")="خرید",IFERROR(VLOOKUP("P02",ParamTbl,3,0),1),0)/100))</f>
        <v/>
      </c>
      <c r="N1422" s="14" t="n"/>
      <c r="O1422" s="13" t="n"/>
    </row>
    <row r="1423">
      <c r="A1423" s="11">
        <f>IF($B1423="","",COUNTA($B$9:$B1423))</f>
        <v/>
      </c>
      <c r="B1423" s="12" t="n"/>
      <c r="C1423" s="12" t="n"/>
      <c r="D1423" s="12" t="n"/>
      <c r="E1423" s="13" t="n"/>
      <c r="F1423" s="11">
        <f>IF($E1423="","",IFERROR(VLOOKUP($E1423,OpTbl,2,0),""))</f>
        <v/>
      </c>
      <c r="G1423" s="12" t="n"/>
      <c r="H1423" s="11">
        <f>IF($G1423="","",IFERROR(IF(VLOOKUP($G1423,AcctTbl,4,0)="","(بدون نام)",VLOOKUP($G1423,AcctTbl,4,0)),"کد ناشناخته"))</f>
        <v/>
      </c>
      <c r="I1423" s="13" t="n"/>
      <c r="J1423" s="13" t="n"/>
      <c r="K1423" s="14" t="n"/>
      <c r="L1423" s="14" t="n"/>
      <c r="M1423" s="15">
        <f>IF(OR($B1423="",$K1423=""),"",($K1423-IF($L1423="",0,$L1423)*IFERROR(VLOOKUP("P01",ParamTbl,3,0),1.5))*(1-IF(IFERROR(VLOOKUP($E1423,OpTbl,3,0),"")="خرید",IFERROR(VLOOKUP("P02",ParamTbl,3,0),1),0)/100))</f>
        <v/>
      </c>
      <c r="N1423" s="14" t="n"/>
      <c r="O1423" s="13" t="n"/>
    </row>
    <row r="1424">
      <c r="A1424" s="11">
        <f>IF($B1424="","",COUNTA($B$9:$B1424))</f>
        <v/>
      </c>
      <c r="B1424" s="12" t="n"/>
      <c r="C1424" s="12" t="n"/>
      <c r="D1424" s="12" t="n"/>
      <c r="E1424" s="13" t="n"/>
      <c r="F1424" s="11">
        <f>IF($E1424="","",IFERROR(VLOOKUP($E1424,OpTbl,2,0),""))</f>
        <v/>
      </c>
      <c r="G1424" s="12" t="n"/>
      <c r="H1424" s="11">
        <f>IF($G1424="","",IFERROR(IF(VLOOKUP($G1424,AcctTbl,4,0)="","(بدون نام)",VLOOKUP($G1424,AcctTbl,4,0)),"کد ناشناخته"))</f>
        <v/>
      </c>
      <c r="I1424" s="13" t="n"/>
      <c r="J1424" s="13" t="n"/>
      <c r="K1424" s="14" t="n"/>
      <c r="L1424" s="14" t="n"/>
      <c r="M1424" s="15">
        <f>IF(OR($B1424="",$K1424=""),"",($K1424-IF($L1424="",0,$L1424)*IFERROR(VLOOKUP("P01",ParamTbl,3,0),1.5))*(1-IF(IFERROR(VLOOKUP($E1424,OpTbl,3,0),"")="خرید",IFERROR(VLOOKUP("P02",ParamTbl,3,0),1),0)/100))</f>
        <v/>
      </c>
      <c r="N1424" s="14" t="n"/>
      <c r="O1424" s="13" t="n"/>
    </row>
    <row r="1425">
      <c r="A1425" s="11">
        <f>IF($B1425="","",COUNTA($B$9:$B1425))</f>
        <v/>
      </c>
      <c r="B1425" s="12" t="n"/>
      <c r="C1425" s="12" t="n"/>
      <c r="D1425" s="12" t="n"/>
      <c r="E1425" s="13" t="n"/>
      <c r="F1425" s="11">
        <f>IF($E1425="","",IFERROR(VLOOKUP($E1425,OpTbl,2,0),""))</f>
        <v/>
      </c>
      <c r="G1425" s="12" t="n"/>
      <c r="H1425" s="11">
        <f>IF($G1425="","",IFERROR(IF(VLOOKUP($G1425,AcctTbl,4,0)="","(بدون نام)",VLOOKUP($G1425,AcctTbl,4,0)),"کد ناشناخته"))</f>
        <v/>
      </c>
      <c r="I1425" s="13" t="n"/>
      <c r="J1425" s="13" t="n"/>
      <c r="K1425" s="14" t="n"/>
      <c r="L1425" s="14" t="n"/>
      <c r="M1425" s="15">
        <f>IF(OR($B1425="",$K1425=""),"",($K1425-IF($L1425="",0,$L1425)*IFERROR(VLOOKUP("P01",ParamTbl,3,0),1.5))*(1-IF(IFERROR(VLOOKUP($E1425,OpTbl,3,0),"")="خرید",IFERROR(VLOOKUP("P02",ParamTbl,3,0),1),0)/100))</f>
        <v/>
      </c>
      <c r="N1425" s="14" t="n"/>
      <c r="O1425" s="13" t="n"/>
    </row>
    <row r="1426">
      <c r="A1426" s="11">
        <f>IF($B1426="","",COUNTA($B$9:$B1426))</f>
        <v/>
      </c>
      <c r="B1426" s="12" t="n"/>
      <c r="C1426" s="12" t="n"/>
      <c r="D1426" s="12" t="n"/>
      <c r="E1426" s="13" t="n"/>
      <c r="F1426" s="11">
        <f>IF($E1426="","",IFERROR(VLOOKUP($E1426,OpTbl,2,0),""))</f>
        <v/>
      </c>
      <c r="G1426" s="12" t="n"/>
      <c r="H1426" s="11">
        <f>IF($G1426="","",IFERROR(IF(VLOOKUP($G1426,AcctTbl,4,0)="","(بدون نام)",VLOOKUP($G1426,AcctTbl,4,0)),"کد ناشناخته"))</f>
        <v/>
      </c>
      <c r="I1426" s="13" t="n"/>
      <c r="J1426" s="13" t="n"/>
      <c r="K1426" s="14" t="n"/>
      <c r="L1426" s="14" t="n"/>
      <c r="M1426" s="15">
        <f>IF(OR($B1426="",$K1426=""),"",($K1426-IF($L1426="",0,$L1426)*IFERROR(VLOOKUP("P01",ParamTbl,3,0),1.5))*(1-IF(IFERROR(VLOOKUP($E1426,OpTbl,3,0),"")="خرید",IFERROR(VLOOKUP("P02",ParamTbl,3,0),1),0)/100))</f>
        <v/>
      </c>
      <c r="N1426" s="14" t="n"/>
      <c r="O1426" s="13" t="n"/>
    </row>
    <row r="1427">
      <c r="A1427" s="11">
        <f>IF($B1427="","",COUNTA($B$9:$B1427))</f>
        <v/>
      </c>
      <c r="B1427" s="12" t="n"/>
      <c r="C1427" s="12" t="n"/>
      <c r="D1427" s="12" t="n"/>
      <c r="E1427" s="13" t="n"/>
      <c r="F1427" s="11">
        <f>IF($E1427="","",IFERROR(VLOOKUP($E1427,OpTbl,2,0),""))</f>
        <v/>
      </c>
      <c r="G1427" s="12" t="n"/>
      <c r="H1427" s="11">
        <f>IF($G1427="","",IFERROR(IF(VLOOKUP($G1427,AcctTbl,4,0)="","(بدون نام)",VLOOKUP($G1427,AcctTbl,4,0)),"کد ناشناخته"))</f>
        <v/>
      </c>
      <c r="I1427" s="13" t="n"/>
      <c r="J1427" s="13" t="n"/>
      <c r="K1427" s="14" t="n"/>
      <c r="L1427" s="14" t="n"/>
      <c r="M1427" s="15">
        <f>IF(OR($B1427="",$K1427=""),"",($K1427-IF($L1427="",0,$L1427)*IFERROR(VLOOKUP("P01",ParamTbl,3,0),1.5))*(1-IF(IFERROR(VLOOKUP($E1427,OpTbl,3,0),"")="خرید",IFERROR(VLOOKUP("P02",ParamTbl,3,0),1),0)/100))</f>
        <v/>
      </c>
      <c r="N1427" s="14" t="n"/>
      <c r="O1427" s="13" t="n"/>
    </row>
    <row r="1428">
      <c r="A1428" s="11">
        <f>IF($B1428="","",COUNTA($B$9:$B1428))</f>
        <v/>
      </c>
      <c r="B1428" s="12" t="n"/>
      <c r="C1428" s="12" t="n"/>
      <c r="D1428" s="12" t="n"/>
      <c r="E1428" s="13" t="n"/>
      <c r="F1428" s="11">
        <f>IF($E1428="","",IFERROR(VLOOKUP($E1428,OpTbl,2,0),""))</f>
        <v/>
      </c>
      <c r="G1428" s="12" t="n"/>
      <c r="H1428" s="11">
        <f>IF($G1428="","",IFERROR(IF(VLOOKUP($G1428,AcctTbl,4,0)="","(بدون نام)",VLOOKUP($G1428,AcctTbl,4,0)),"کد ناشناخته"))</f>
        <v/>
      </c>
      <c r="I1428" s="13" t="n"/>
      <c r="J1428" s="13" t="n"/>
      <c r="K1428" s="14" t="n"/>
      <c r="L1428" s="14" t="n"/>
      <c r="M1428" s="15">
        <f>IF(OR($B1428="",$K1428=""),"",($K1428-IF($L1428="",0,$L1428)*IFERROR(VLOOKUP("P01",ParamTbl,3,0),1.5))*(1-IF(IFERROR(VLOOKUP($E1428,OpTbl,3,0),"")="خرید",IFERROR(VLOOKUP("P02",ParamTbl,3,0),1),0)/100))</f>
        <v/>
      </c>
      <c r="N1428" s="14" t="n"/>
      <c r="O1428" s="13" t="n"/>
    </row>
    <row r="1429">
      <c r="A1429" s="11">
        <f>IF($B1429="","",COUNTA($B$9:$B1429))</f>
        <v/>
      </c>
      <c r="B1429" s="12" t="n"/>
      <c r="C1429" s="12" t="n"/>
      <c r="D1429" s="12" t="n"/>
      <c r="E1429" s="13" t="n"/>
      <c r="F1429" s="11">
        <f>IF($E1429="","",IFERROR(VLOOKUP($E1429,OpTbl,2,0),""))</f>
        <v/>
      </c>
      <c r="G1429" s="12" t="n"/>
      <c r="H1429" s="11">
        <f>IF($G1429="","",IFERROR(IF(VLOOKUP($G1429,AcctTbl,4,0)="","(بدون نام)",VLOOKUP($G1429,AcctTbl,4,0)),"کد ناشناخته"))</f>
        <v/>
      </c>
      <c r="I1429" s="13" t="n"/>
      <c r="J1429" s="13" t="n"/>
      <c r="K1429" s="14" t="n"/>
      <c r="L1429" s="14" t="n"/>
      <c r="M1429" s="15">
        <f>IF(OR($B1429="",$K1429=""),"",($K1429-IF($L1429="",0,$L1429)*IFERROR(VLOOKUP("P01",ParamTbl,3,0),1.5))*(1-IF(IFERROR(VLOOKUP($E1429,OpTbl,3,0),"")="خرید",IFERROR(VLOOKUP("P02",ParamTbl,3,0),1),0)/100))</f>
        <v/>
      </c>
      <c r="N1429" s="14" t="n"/>
      <c r="O1429" s="13" t="n"/>
    </row>
    <row r="1430">
      <c r="A1430" s="11">
        <f>IF($B1430="","",COUNTA($B$9:$B1430))</f>
        <v/>
      </c>
      <c r="B1430" s="12" t="n"/>
      <c r="C1430" s="12" t="n"/>
      <c r="D1430" s="12" t="n"/>
      <c r="E1430" s="13" t="n"/>
      <c r="F1430" s="11">
        <f>IF($E1430="","",IFERROR(VLOOKUP($E1430,OpTbl,2,0),""))</f>
        <v/>
      </c>
      <c r="G1430" s="12" t="n"/>
      <c r="H1430" s="11">
        <f>IF($G1430="","",IFERROR(IF(VLOOKUP($G1430,AcctTbl,4,0)="","(بدون نام)",VLOOKUP($G1430,AcctTbl,4,0)),"کد ناشناخته"))</f>
        <v/>
      </c>
      <c r="I1430" s="13" t="n"/>
      <c r="J1430" s="13" t="n"/>
      <c r="K1430" s="14" t="n"/>
      <c r="L1430" s="14" t="n"/>
      <c r="M1430" s="15">
        <f>IF(OR($B1430="",$K1430=""),"",($K1430-IF($L1430="",0,$L1430)*IFERROR(VLOOKUP("P01",ParamTbl,3,0),1.5))*(1-IF(IFERROR(VLOOKUP($E1430,OpTbl,3,0),"")="خرید",IFERROR(VLOOKUP("P02",ParamTbl,3,0),1),0)/100))</f>
        <v/>
      </c>
      <c r="N1430" s="14" t="n"/>
      <c r="O1430" s="13" t="n"/>
    </row>
    <row r="1431">
      <c r="A1431" s="11">
        <f>IF($B1431="","",COUNTA($B$9:$B1431))</f>
        <v/>
      </c>
      <c r="B1431" s="12" t="n"/>
      <c r="C1431" s="12" t="n"/>
      <c r="D1431" s="12" t="n"/>
      <c r="E1431" s="13" t="n"/>
      <c r="F1431" s="11">
        <f>IF($E1431="","",IFERROR(VLOOKUP($E1431,OpTbl,2,0),""))</f>
        <v/>
      </c>
      <c r="G1431" s="12" t="n"/>
      <c r="H1431" s="11">
        <f>IF($G1431="","",IFERROR(IF(VLOOKUP($G1431,AcctTbl,4,0)="","(بدون نام)",VLOOKUP($G1431,AcctTbl,4,0)),"کد ناشناخته"))</f>
        <v/>
      </c>
      <c r="I1431" s="13" t="n"/>
      <c r="J1431" s="13" t="n"/>
      <c r="K1431" s="14" t="n"/>
      <c r="L1431" s="14" t="n"/>
      <c r="M1431" s="15">
        <f>IF(OR($B1431="",$K1431=""),"",($K1431-IF($L1431="",0,$L1431)*IFERROR(VLOOKUP("P01",ParamTbl,3,0),1.5))*(1-IF(IFERROR(VLOOKUP($E1431,OpTbl,3,0),"")="خرید",IFERROR(VLOOKUP("P02",ParamTbl,3,0),1),0)/100))</f>
        <v/>
      </c>
      <c r="N1431" s="14" t="n"/>
      <c r="O1431" s="13" t="n"/>
    </row>
    <row r="1432">
      <c r="A1432" s="11">
        <f>IF($B1432="","",COUNTA($B$9:$B1432))</f>
        <v/>
      </c>
      <c r="B1432" s="12" t="n"/>
      <c r="C1432" s="12" t="n"/>
      <c r="D1432" s="12" t="n"/>
      <c r="E1432" s="13" t="n"/>
      <c r="F1432" s="11">
        <f>IF($E1432="","",IFERROR(VLOOKUP($E1432,OpTbl,2,0),""))</f>
        <v/>
      </c>
      <c r="G1432" s="12" t="n"/>
      <c r="H1432" s="11">
        <f>IF($G1432="","",IFERROR(IF(VLOOKUP($G1432,AcctTbl,4,0)="","(بدون نام)",VLOOKUP($G1432,AcctTbl,4,0)),"کد ناشناخته"))</f>
        <v/>
      </c>
      <c r="I1432" s="13" t="n"/>
      <c r="J1432" s="13" t="n"/>
      <c r="K1432" s="14" t="n"/>
      <c r="L1432" s="14" t="n"/>
      <c r="M1432" s="15">
        <f>IF(OR($B1432="",$K1432=""),"",($K1432-IF($L1432="",0,$L1432)*IFERROR(VLOOKUP("P01",ParamTbl,3,0),1.5))*(1-IF(IFERROR(VLOOKUP($E1432,OpTbl,3,0),"")="خرید",IFERROR(VLOOKUP("P02",ParamTbl,3,0),1),0)/100))</f>
        <v/>
      </c>
      <c r="N1432" s="14" t="n"/>
      <c r="O1432" s="13" t="n"/>
    </row>
    <row r="1433">
      <c r="A1433" s="11">
        <f>IF($B1433="","",COUNTA($B$9:$B1433))</f>
        <v/>
      </c>
      <c r="B1433" s="12" t="n"/>
      <c r="C1433" s="12" t="n"/>
      <c r="D1433" s="12" t="n"/>
      <c r="E1433" s="13" t="n"/>
      <c r="F1433" s="11">
        <f>IF($E1433="","",IFERROR(VLOOKUP($E1433,OpTbl,2,0),""))</f>
        <v/>
      </c>
      <c r="G1433" s="12" t="n"/>
      <c r="H1433" s="11">
        <f>IF($G1433="","",IFERROR(IF(VLOOKUP($G1433,AcctTbl,4,0)="","(بدون نام)",VLOOKUP($G1433,AcctTbl,4,0)),"کد ناشناخته"))</f>
        <v/>
      </c>
      <c r="I1433" s="13" t="n"/>
      <c r="J1433" s="13" t="n"/>
      <c r="K1433" s="14" t="n"/>
      <c r="L1433" s="14" t="n"/>
      <c r="M1433" s="15">
        <f>IF(OR($B1433="",$K1433=""),"",($K1433-IF($L1433="",0,$L1433)*IFERROR(VLOOKUP("P01",ParamTbl,3,0),1.5))*(1-IF(IFERROR(VLOOKUP($E1433,OpTbl,3,0),"")="خرید",IFERROR(VLOOKUP("P02",ParamTbl,3,0),1),0)/100))</f>
        <v/>
      </c>
      <c r="N1433" s="14" t="n"/>
      <c r="O1433" s="13" t="n"/>
    </row>
    <row r="1434">
      <c r="A1434" s="11">
        <f>IF($B1434="","",COUNTA($B$9:$B1434))</f>
        <v/>
      </c>
      <c r="B1434" s="12" t="n"/>
      <c r="C1434" s="12" t="n"/>
      <c r="D1434" s="12" t="n"/>
      <c r="E1434" s="13" t="n"/>
      <c r="F1434" s="11">
        <f>IF($E1434="","",IFERROR(VLOOKUP($E1434,OpTbl,2,0),""))</f>
        <v/>
      </c>
      <c r="G1434" s="12" t="n"/>
      <c r="H1434" s="11">
        <f>IF($G1434="","",IFERROR(IF(VLOOKUP($G1434,AcctTbl,4,0)="","(بدون نام)",VLOOKUP($G1434,AcctTbl,4,0)),"کد ناشناخته"))</f>
        <v/>
      </c>
      <c r="I1434" s="13" t="n"/>
      <c r="J1434" s="13" t="n"/>
      <c r="K1434" s="14" t="n"/>
      <c r="L1434" s="14" t="n"/>
      <c r="M1434" s="15">
        <f>IF(OR($B1434="",$K1434=""),"",($K1434-IF($L1434="",0,$L1434)*IFERROR(VLOOKUP("P01",ParamTbl,3,0),1.5))*(1-IF(IFERROR(VLOOKUP($E1434,OpTbl,3,0),"")="خرید",IFERROR(VLOOKUP("P02",ParamTbl,3,0),1),0)/100))</f>
        <v/>
      </c>
      <c r="N1434" s="14" t="n"/>
      <c r="O1434" s="13" t="n"/>
    </row>
    <row r="1435">
      <c r="A1435" s="11">
        <f>IF($B1435="","",COUNTA($B$9:$B1435))</f>
        <v/>
      </c>
      <c r="B1435" s="12" t="n"/>
      <c r="C1435" s="12" t="n"/>
      <c r="D1435" s="12" t="n"/>
      <c r="E1435" s="13" t="n"/>
      <c r="F1435" s="11">
        <f>IF($E1435="","",IFERROR(VLOOKUP($E1435,OpTbl,2,0),""))</f>
        <v/>
      </c>
      <c r="G1435" s="12" t="n"/>
      <c r="H1435" s="11">
        <f>IF($G1435="","",IFERROR(IF(VLOOKUP($G1435,AcctTbl,4,0)="","(بدون نام)",VLOOKUP($G1435,AcctTbl,4,0)),"کد ناشناخته"))</f>
        <v/>
      </c>
      <c r="I1435" s="13" t="n"/>
      <c r="J1435" s="13" t="n"/>
      <c r="K1435" s="14" t="n"/>
      <c r="L1435" s="14" t="n"/>
      <c r="M1435" s="15">
        <f>IF(OR($B1435="",$K1435=""),"",($K1435-IF($L1435="",0,$L1435)*IFERROR(VLOOKUP("P01",ParamTbl,3,0),1.5))*(1-IF(IFERROR(VLOOKUP($E1435,OpTbl,3,0),"")="خرید",IFERROR(VLOOKUP("P02",ParamTbl,3,0),1),0)/100))</f>
        <v/>
      </c>
      <c r="N1435" s="14" t="n"/>
      <c r="O1435" s="13" t="n"/>
    </row>
    <row r="1436">
      <c r="A1436" s="11">
        <f>IF($B1436="","",COUNTA($B$9:$B1436))</f>
        <v/>
      </c>
      <c r="B1436" s="12" t="n"/>
      <c r="C1436" s="12" t="n"/>
      <c r="D1436" s="12" t="n"/>
      <c r="E1436" s="13" t="n"/>
      <c r="F1436" s="11">
        <f>IF($E1436="","",IFERROR(VLOOKUP($E1436,OpTbl,2,0),""))</f>
        <v/>
      </c>
      <c r="G1436" s="12" t="n"/>
      <c r="H1436" s="11">
        <f>IF($G1436="","",IFERROR(IF(VLOOKUP($G1436,AcctTbl,4,0)="","(بدون نام)",VLOOKUP($G1436,AcctTbl,4,0)),"کد ناشناخته"))</f>
        <v/>
      </c>
      <c r="I1436" s="13" t="n"/>
      <c r="J1436" s="13" t="n"/>
      <c r="K1436" s="14" t="n"/>
      <c r="L1436" s="14" t="n"/>
      <c r="M1436" s="15">
        <f>IF(OR($B1436="",$K1436=""),"",($K1436-IF($L1436="",0,$L1436)*IFERROR(VLOOKUP("P01",ParamTbl,3,0),1.5))*(1-IF(IFERROR(VLOOKUP($E1436,OpTbl,3,0),"")="خرید",IFERROR(VLOOKUP("P02",ParamTbl,3,0),1),0)/100))</f>
        <v/>
      </c>
      <c r="N1436" s="14" t="n"/>
      <c r="O1436" s="13" t="n"/>
    </row>
    <row r="1437">
      <c r="A1437" s="11">
        <f>IF($B1437="","",COUNTA($B$9:$B1437))</f>
        <v/>
      </c>
      <c r="B1437" s="12" t="n"/>
      <c r="C1437" s="12" t="n"/>
      <c r="D1437" s="12" t="n"/>
      <c r="E1437" s="13" t="n"/>
      <c r="F1437" s="11">
        <f>IF($E1437="","",IFERROR(VLOOKUP($E1437,OpTbl,2,0),""))</f>
        <v/>
      </c>
      <c r="G1437" s="12" t="n"/>
      <c r="H1437" s="11">
        <f>IF($G1437="","",IFERROR(IF(VLOOKUP($G1437,AcctTbl,4,0)="","(بدون نام)",VLOOKUP($G1437,AcctTbl,4,0)),"کد ناشناخته"))</f>
        <v/>
      </c>
      <c r="I1437" s="13" t="n"/>
      <c r="J1437" s="13" t="n"/>
      <c r="K1437" s="14" t="n"/>
      <c r="L1437" s="14" t="n"/>
      <c r="M1437" s="15">
        <f>IF(OR($B1437="",$K1437=""),"",($K1437-IF($L1437="",0,$L1437)*IFERROR(VLOOKUP("P01",ParamTbl,3,0),1.5))*(1-IF(IFERROR(VLOOKUP($E1437,OpTbl,3,0),"")="خرید",IFERROR(VLOOKUP("P02",ParamTbl,3,0),1),0)/100))</f>
        <v/>
      </c>
      <c r="N1437" s="14" t="n"/>
      <c r="O1437" s="13" t="n"/>
    </row>
    <row r="1438">
      <c r="A1438" s="11">
        <f>IF($B1438="","",COUNTA($B$9:$B1438))</f>
        <v/>
      </c>
      <c r="B1438" s="12" t="n"/>
      <c r="C1438" s="12" t="n"/>
      <c r="D1438" s="12" t="n"/>
      <c r="E1438" s="13" t="n"/>
      <c r="F1438" s="11">
        <f>IF($E1438="","",IFERROR(VLOOKUP($E1438,OpTbl,2,0),""))</f>
        <v/>
      </c>
      <c r="G1438" s="12" t="n"/>
      <c r="H1438" s="11">
        <f>IF($G1438="","",IFERROR(IF(VLOOKUP($G1438,AcctTbl,4,0)="","(بدون نام)",VLOOKUP($G1438,AcctTbl,4,0)),"کد ناشناخته"))</f>
        <v/>
      </c>
      <c r="I1438" s="13" t="n"/>
      <c r="J1438" s="13" t="n"/>
      <c r="K1438" s="14" t="n"/>
      <c r="L1438" s="14" t="n"/>
      <c r="M1438" s="15">
        <f>IF(OR($B1438="",$K1438=""),"",($K1438-IF($L1438="",0,$L1438)*IFERROR(VLOOKUP("P01",ParamTbl,3,0),1.5))*(1-IF(IFERROR(VLOOKUP($E1438,OpTbl,3,0),"")="خرید",IFERROR(VLOOKUP("P02",ParamTbl,3,0),1),0)/100))</f>
        <v/>
      </c>
      <c r="N1438" s="14" t="n"/>
      <c r="O1438" s="13" t="n"/>
    </row>
    <row r="1439">
      <c r="A1439" s="11">
        <f>IF($B1439="","",COUNTA($B$9:$B1439))</f>
        <v/>
      </c>
      <c r="B1439" s="12" t="n"/>
      <c r="C1439" s="12" t="n"/>
      <c r="D1439" s="12" t="n"/>
      <c r="E1439" s="13" t="n"/>
      <c r="F1439" s="11">
        <f>IF($E1439="","",IFERROR(VLOOKUP($E1439,OpTbl,2,0),""))</f>
        <v/>
      </c>
      <c r="G1439" s="12" t="n"/>
      <c r="H1439" s="11">
        <f>IF($G1439="","",IFERROR(IF(VLOOKUP($G1439,AcctTbl,4,0)="","(بدون نام)",VLOOKUP($G1439,AcctTbl,4,0)),"کد ناشناخته"))</f>
        <v/>
      </c>
      <c r="I1439" s="13" t="n"/>
      <c r="J1439" s="13" t="n"/>
      <c r="K1439" s="14" t="n"/>
      <c r="L1439" s="14" t="n"/>
      <c r="M1439" s="15">
        <f>IF(OR($B1439="",$K1439=""),"",($K1439-IF($L1439="",0,$L1439)*IFERROR(VLOOKUP("P01",ParamTbl,3,0),1.5))*(1-IF(IFERROR(VLOOKUP($E1439,OpTbl,3,0),"")="خرید",IFERROR(VLOOKUP("P02",ParamTbl,3,0),1),0)/100))</f>
        <v/>
      </c>
      <c r="N1439" s="14" t="n"/>
      <c r="O1439" s="13" t="n"/>
    </row>
    <row r="1440">
      <c r="A1440" s="11">
        <f>IF($B1440="","",COUNTA($B$9:$B1440))</f>
        <v/>
      </c>
      <c r="B1440" s="12" t="n"/>
      <c r="C1440" s="12" t="n"/>
      <c r="D1440" s="12" t="n"/>
      <c r="E1440" s="13" t="n"/>
      <c r="F1440" s="11">
        <f>IF($E1440="","",IFERROR(VLOOKUP($E1440,OpTbl,2,0),""))</f>
        <v/>
      </c>
      <c r="G1440" s="12" t="n"/>
      <c r="H1440" s="11">
        <f>IF($G1440="","",IFERROR(IF(VLOOKUP($G1440,AcctTbl,4,0)="","(بدون نام)",VLOOKUP($G1440,AcctTbl,4,0)),"کد ناشناخته"))</f>
        <v/>
      </c>
      <c r="I1440" s="13" t="n"/>
      <c r="J1440" s="13" t="n"/>
      <c r="K1440" s="14" t="n"/>
      <c r="L1440" s="14" t="n"/>
      <c r="M1440" s="15">
        <f>IF(OR($B1440="",$K1440=""),"",($K1440-IF($L1440="",0,$L1440)*IFERROR(VLOOKUP("P01",ParamTbl,3,0),1.5))*(1-IF(IFERROR(VLOOKUP($E1440,OpTbl,3,0),"")="خرید",IFERROR(VLOOKUP("P02",ParamTbl,3,0),1),0)/100))</f>
        <v/>
      </c>
      <c r="N1440" s="14" t="n"/>
      <c r="O1440" s="13" t="n"/>
    </row>
    <row r="1441">
      <c r="A1441" s="11">
        <f>IF($B1441="","",COUNTA($B$9:$B1441))</f>
        <v/>
      </c>
      <c r="B1441" s="12" t="n"/>
      <c r="C1441" s="12" t="n"/>
      <c r="D1441" s="12" t="n"/>
      <c r="E1441" s="13" t="n"/>
      <c r="F1441" s="11">
        <f>IF($E1441="","",IFERROR(VLOOKUP($E1441,OpTbl,2,0),""))</f>
        <v/>
      </c>
      <c r="G1441" s="12" t="n"/>
      <c r="H1441" s="11">
        <f>IF($G1441="","",IFERROR(IF(VLOOKUP($G1441,AcctTbl,4,0)="","(بدون نام)",VLOOKUP($G1441,AcctTbl,4,0)),"کد ناشناخته"))</f>
        <v/>
      </c>
      <c r="I1441" s="13" t="n"/>
      <c r="J1441" s="13" t="n"/>
      <c r="K1441" s="14" t="n"/>
      <c r="L1441" s="14" t="n"/>
      <c r="M1441" s="15">
        <f>IF(OR($B1441="",$K1441=""),"",($K1441-IF($L1441="",0,$L1441)*IFERROR(VLOOKUP("P01",ParamTbl,3,0),1.5))*(1-IF(IFERROR(VLOOKUP($E1441,OpTbl,3,0),"")="خرید",IFERROR(VLOOKUP("P02",ParamTbl,3,0),1),0)/100))</f>
        <v/>
      </c>
      <c r="N1441" s="14" t="n"/>
      <c r="O1441" s="13" t="n"/>
    </row>
    <row r="1442">
      <c r="A1442" s="11">
        <f>IF($B1442="","",COUNTA($B$9:$B1442))</f>
        <v/>
      </c>
      <c r="B1442" s="12" t="n"/>
      <c r="C1442" s="12" t="n"/>
      <c r="D1442" s="12" t="n"/>
      <c r="E1442" s="13" t="n"/>
      <c r="F1442" s="11">
        <f>IF($E1442="","",IFERROR(VLOOKUP($E1442,OpTbl,2,0),""))</f>
        <v/>
      </c>
      <c r="G1442" s="12" t="n"/>
      <c r="H1442" s="11">
        <f>IF($G1442="","",IFERROR(IF(VLOOKUP($G1442,AcctTbl,4,0)="","(بدون نام)",VLOOKUP($G1442,AcctTbl,4,0)),"کد ناشناخته"))</f>
        <v/>
      </c>
      <c r="I1442" s="13" t="n"/>
      <c r="J1442" s="13" t="n"/>
      <c r="K1442" s="14" t="n"/>
      <c r="L1442" s="14" t="n"/>
      <c r="M1442" s="15">
        <f>IF(OR($B1442="",$K1442=""),"",($K1442-IF($L1442="",0,$L1442)*IFERROR(VLOOKUP("P01",ParamTbl,3,0),1.5))*(1-IF(IFERROR(VLOOKUP($E1442,OpTbl,3,0),"")="خرید",IFERROR(VLOOKUP("P02",ParamTbl,3,0),1),0)/100))</f>
        <v/>
      </c>
      <c r="N1442" s="14" t="n"/>
      <c r="O1442" s="13" t="n"/>
    </row>
    <row r="1443">
      <c r="A1443" s="11">
        <f>IF($B1443="","",COUNTA($B$9:$B1443))</f>
        <v/>
      </c>
      <c r="B1443" s="12" t="n"/>
      <c r="C1443" s="12" t="n"/>
      <c r="D1443" s="12" t="n"/>
      <c r="E1443" s="13" t="n"/>
      <c r="F1443" s="11">
        <f>IF($E1443="","",IFERROR(VLOOKUP($E1443,OpTbl,2,0),""))</f>
        <v/>
      </c>
      <c r="G1443" s="12" t="n"/>
      <c r="H1443" s="11">
        <f>IF($G1443="","",IFERROR(IF(VLOOKUP($G1443,AcctTbl,4,0)="","(بدون نام)",VLOOKUP($G1443,AcctTbl,4,0)),"کد ناشناخته"))</f>
        <v/>
      </c>
      <c r="I1443" s="13" t="n"/>
      <c r="J1443" s="13" t="n"/>
      <c r="K1443" s="14" t="n"/>
      <c r="L1443" s="14" t="n"/>
      <c r="M1443" s="15">
        <f>IF(OR($B1443="",$K1443=""),"",($K1443-IF($L1443="",0,$L1443)*IFERROR(VLOOKUP("P01",ParamTbl,3,0),1.5))*(1-IF(IFERROR(VLOOKUP($E1443,OpTbl,3,0),"")="خرید",IFERROR(VLOOKUP("P02",ParamTbl,3,0),1),0)/100))</f>
        <v/>
      </c>
      <c r="N1443" s="14" t="n"/>
      <c r="O1443" s="13" t="n"/>
    </row>
    <row r="1444">
      <c r="A1444" s="11">
        <f>IF($B1444="","",COUNTA($B$9:$B1444))</f>
        <v/>
      </c>
      <c r="B1444" s="12" t="n"/>
      <c r="C1444" s="12" t="n"/>
      <c r="D1444" s="12" t="n"/>
      <c r="E1444" s="13" t="n"/>
      <c r="F1444" s="11">
        <f>IF($E1444="","",IFERROR(VLOOKUP($E1444,OpTbl,2,0),""))</f>
        <v/>
      </c>
      <c r="G1444" s="12" t="n"/>
      <c r="H1444" s="11">
        <f>IF($G1444="","",IFERROR(IF(VLOOKUP($G1444,AcctTbl,4,0)="","(بدون نام)",VLOOKUP($G1444,AcctTbl,4,0)),"کد ناشناخته"))</f>
        <v/>
      </c>
      <c r="I1444" s="13" t="n"/>
      <c r="J1444" s="13" t="n"/>
      <c r="K1444" s="14" t="n"/>
      <c r="L1444" s="14" t="n"/>
      <c r="M1444" s="15">
        <f>IF(OR($B1444="",$K1444=""),"",($K1444-IF($L1444="",0,$L1444)*IFERROR(VLOOKUP("P01",ParamTbl,3,0),1.5))*(1-IF(IFERROR(VLOOKUP($E1444,OpTbl,3,0),"")="خرید",IFERROR(VLOOKUP("P02",ParamTbl,3,0),1),0)/100))</f>
        <v/>
      </c>
      <c r="N1444" s="14" t="n"/>
      <c r="O1444" s="13" t="n"/>
    </row>
    <row r="1445">
      <c r="A1445" s="11">
        <f>IF($B1445="","",COUNTA($B$9:$B1445))</f>
        <v/>
      </c>
      <c r="B1445" s="12" t="n"/>
      <c r="C1445" s="12" t="n"/>
      <c r="D1445" s="12" t="n"/>
      <c r="E1445" s="13" t="n"/>
      <c r="F1445" s="11">
        <f>IF($E1445="","",IFERROR(VLOOKUP($E1445,OpTbl,2,0),""))</f>
        <v/>
      </c>
      <c r="G1445" s="12" t="n"/>
      <c r="H1445" s="11">
        <f>IF($G1445="","",IFERROR(IF(VLOOKUP($G1445,AcctTbl,4,0)="","(بدون نام)",VLOOKUP($G1445,AcctTbl,4,0)),"کد ناشناخته"))</f>
        <v/>
      </c>
      <c r="I1445" s="13" t="n"/>
      <c r="J1445" s="13" t="n"/>
      <c r="K1445" s="14" t="n"/>
      <c r="L1445" s="14" t="n"/>
      <c r="M1445" s="15">
        <f>IF(OR($B1445="",$K1445=""),"",($K1445-IF($L1445="",0,$L1445)*IFERROR(VLOOKUP("P01",ParamTbl,3,0),1.5))*(1-IF(IFERROR(VLOOKUP($E1445,OpTbl,3,0),"")="خرید",IFERROR(VLOOKUP("P02",ParamTbl,3,0),1),0)/100))</f>
        <v/>
      </c>
      <c r="N1445" s="14" t="n"/>
      <c r="O1445" s="13" t="n"/>
    </row>
    <row r="1446">
      <c r="A1446" s="11">
        <f>IF($B1446="","",COUNTA($B$9:$B1446))</f>
        <v/>
      </c>
      <c r="B1446" s="12" t="n"/>
      <c r="C1446" s="12" t="n"/>
      <c r="D1446" s="12" t="n"/>
      <c r="E1446" s="13" t="n"/>
      <c r="F1446" s="11">
        <f>IF($E1446="","",IFERROR(VLOOKUP($E1446,OpTbl,2,0),""))</f>
        <v/>
      </c>
      <c r="G1446" s="12" t="n"/>
      <c r="H1446" s="11">
        <f>IF($G1446="","",IFERROR(IF(VLOOKUP($G1446,AcctTbl,4,0)="","(بدون نام)",VLOOKUP($G1446,AcctTbl,4,0)),"کد ناشناخته"))</f>
        <v/>
      </c>
      <c r="I1446" s="13" t="n"/>
      <c r="J1446" s="13" t="n"/>
      <c r="K1446" s="14" t="n"/>
      <c r="L1446" s="14" t="n"/>
      <c r="M1446" s="15">
        <f>IF(OR($B1446="",$K1446=""),"",($K1446-IF($L1446="",0,$L1446)*IFERROR(VLOOKUP("P01",ParamTbl,3,0),1.5))*(1-IF(IFERROR(VLOOKUP($E1446,OpTbl,3,0),"")="خرید",IFERROR(VLOOKUP("P02",ParamTbl,3,0),1),0)/100))</f>
        <v/>
      </c>
      <c r="N1446" s="14" t="n"/>
      <c r="O1446" s="13" t="n"/>
    </row>
    <row r="1447">
      <c r="A1447" s="11">
        <f>IF($B1447="","",COUNTA($B$9:$B1447))</f>
        <v/>
      </c>
      <c r="B1447" s="12" t="n"/>
      <c r="C1447" s="12" t="n"/>
      <c r="D1447" s="12" t="n"/>
      <c r="E1447" s="13" t="n"/>
      <c r="F1447" s="11">
        <f>IF($E1447="","",IFERROR(VLOOKUP($E1447,OpTbl,2,0),""))</f>
        <v/>
      </c>
      <c r="G1447" s="12" t="n"/>
      <c r="H1447" s="11">
        <f>IF($G1447="","",IFERROR(IF(VLOOKUP($G1447,AcctTbl,4,0)="","(بدون نام)",VLOOKUP($G1447,AcctTbl,4,0)),"کد ناشناخته"))</f>
        <v/>
      </c>
      <c r="I1447" s="13" t="n"/>
      <c r="J1447" s="13" t="n"/>
      <c r="K1447" s="14" t="n"/>
      <c r="L1447" s="14" t="n"/>
      <c r="M1447" s="15">
        <f>IF(OR($B1447="",$K1447=""),"",($K1447-IF($L1447="",0,$L1447)*IFERROR(VLOOKUP("P01",ParamTbl,3,0),1.5))*(1-IF(IFERROR(VLOOKUP($E1447,OpTbl,3,0),"")="خرید",IFERROR(VLOOKUP("P02",ParamTbl,3,0),1),0)/100))</f>
        <v/>
      </c>
      <c r="N1447" s="14" t="n"/>
      <c r="O1447" s="13" t="n"/>
    </row>
    <row r="1448">
      <c r="A1448" s="11">
        <f>IF($B1448="","",COUNTA($B$9:$B1448))</f>
        <v/>
      </c>
      <c r="B1448" s="12" t="n"/>
      <c r="C1448" s="12" t="n"/>
      <c r="D1448" s="12" t="n"/>
      <c r="E1448" s="13" t="n"/>
      <c r="F1448" s="11">
        <f>IF($E1448="","",IFERROR(VLOOKUP($E1448,OpTbl,2,0),""))</f>
        <v/>
      </c>
      <c r="G1448" s="12" t="n"/>
      <c r="H1448" s="11">
        <f>IF($G1448="","",IFERROR(IF(VLOOKUP($G1448,AcctTbl,4,0)="","(بدون نام)",VLOOKUP($G1448,AcctTbl,4,0)),"کد ناشناخته"))</f>
        <v/>
      </c>
      <c r="I1448" s="13" t="n"/>
      <c r="J1448" s="13" t="n"/>
      <c r="K1448" s="14" t="n"/>
      <c r="L1448" s="14" t="n"/>
      <c r="M1448" s="15">
        <f>IF(OR($B1448="",$K1448=""),"",($K1448-IF($L1448="",0,$L1448)*IFERROR(VLOOKUP("P01",ParamTbl,3,0),1.5))*(1-IF(IFERROR(VLOOKUP($E1448,OpTbl,3,0),"")="خرید",IFERROR(VLOOKUP("P02",ParamTbl,3,0),1),0)/100))</f>
        <v/>
      </c>
      <c r="N1448" s="14" t="n"/>
      <c r="O1448" s="13" t="n"/>
    </row>
    <row r="1449">
      <c r="A1449" s="11">
        <f>IF($B1449="","",COUNTA($B$9:$B1449))</f>
        <v/>
      </c>
      <c r="B1449" s="12" t="n"/>
      <c r="C1449" s="12" t="n"/>
      <c r="D1449" s="12" t="n"/>
      <c r="E1449" s="13" t="n"/>
      <c r="F1449" s="11">
        <f>IF($E1449="","",IFERROR(VLOOKUP($E1449,OpTbl,2,0),""))</f>
        <v/>
      </c>
      <c r="G1449" s="12" t="n"/>
      <c r="H1449" s="11">
        <f>IF($G1449="","",IFERROR(IF(VLOOKUP($G1449,AcctTbl,4,0)="","(بدون نام)",VLOOKUP($G1449,AcctTbl,4,0)),"کد ناشناخته"))</f>
        <v/>
      </c>
      <c r="I1449" s="13" t="n"/>
      <c r="J1449" s="13" t="n"/>
      <c r="K1449" s="14" t="n"/>
      <c r="L1449" s="14" t="n"/>
      <c r="M1449" s="15">
        <f>IF(OR($B1449="",$K1449=""),"",($K1449-IF($L1449="",0,$L1449)*IFERROR(VLOOKUP("P01",ParamTbl,3,0),1.5))*(1-IF(IFERROR(VLOOKUP($E1449,OpTbl,3,0),"")="خرید",IFERROR(VLOOKUP("P02",ParamTbl,3,0),1),0)/100))</f>
        <v/>
      </c>
      <c r="N1449" s="14" t="n"/>
      <c r="O1449" s="13" t="n"/>
    </row>
    <row r="1450">
      <c r="A1450" s="11">
        <f>IF($B1450="","",COUNTA($B$9:$B1450))</f>
        <v/>
      </c>
      <c r="B1450" s="12" t="n"/>
      <c r="C1450" s="12" t="n"/>
      <c r="D1450" s="12" t="n"/>
      <c r="E1450" s="13" t="n"/>
      <c r="F1450" s="11">
        <f>IF($E1450="","",IFERROR(VLOOKUP($E1450,OpTbl,2,0),""))</f>
        <v/>
      </c>
      <c r="G1450" s="12" t="n"/>
      <c r="H1450" s="11">
        <f>IF($G1450="","",IFERROR(IF(VLOOKUP($G1450,AcctTbl,4,0)="","(بدون نام)",VLOOKUP($G1450,AcctTbl,4,0)),"کد ناشناخته"))</f>
        <v/>
      </c>
      <c r="I1450" s="13" t="n"/>
      <c r="J1450" s="13" t="n"/>
      <c r="K1450" s="14" t="n"/>
      <c r="L1450" s="14" t="n"/>
      <c r="M1450" s="15">
        <f>IF(OR($B1450="",$K1450=""),"",($K1450-IF($L1450="",0,$L1450)*IFERROR(VLOOKUP("P01",ParamTbl,3,0),1.5))*(1-IF(IFERROR(VLOOKUP($E1450,OpTbl,3,0),"")="خرید",IFERROR(VLOOKUP("P02",ParamTbl,3,0),1),0)/100))</f>
        <v/>
      </c>
      <c r="N1450" s="14" t="n"/>
      <c r="O1450" s="13" t="n"/>
    </row>
    <row r="1451">
      <c r="A1451" s="11">
        <f>IF($B1451="","",COUNTA($B$9:$B1451))</f>
        <v/>
      </c>
      <c r="B1451" s="12" t="n"/>
      <c r="C1451" s="12" t="n"/>
      <c r="D1451" s="12" t="n"/>
      <c r="E1451" s="13" t="n"/>
      <c r="F1451" s="11">
        <f>IF($E1451="","",IFERROR(VLOOKUP($E1451,OpTbl,2,0),""))</f>
        <v/>
      </c>
      <c r="G1451" s="12" t="n"/>
      <c r="H1451" s="11">
        <f>IF($G1451="","",IFERROR(IF(VLOOKUP($G1451,AcctTbl,4,0)="","(بدون نام)",VLOOKUP($G1451,AcctTbl,4,0)),"کد ناشناخته"))</f>
        <v/>
      </c>
      <c r="I1451" s="13" t="n"/>
      <c r="J1451" s="13" t="n"/>
      <c r="K1451" s="14" t="n"/>
      <c r="L1451" s="14" t="n"/>
      <c r="M1451" s="15">
        <f>IF(OR($B1451="",$K1451=""),"",($K1451-IF($L1451="",0,$L1451)*IFERROR(VLOOKUP("P01",ParamTbl,3,0),1.5))*(1-IF(IFERROR(VLOOKUP($E1451,OpTbl,3,0),"")="خرید",IFERROR(VLOOKUP("P02",ParamTbl,3,0),1),0)/100))</f>
        <v/>
      </c>
      <c r="N1451" s="14" t="n"/>
      <c r="O1451" s="13" t="n"/>
    </row>
    <row r="1452">
      <c r="A1452" s="11">
        <f>IF($B1452="","",COUNTA($B$9:$B1452))</f>
        <v/>
      </c>
      <c r="B1452" s="12" t="n"/>
      <c r="C1452" s="12" t="n"/>
      <c r="D1452" s="12" t="n"/>
      <c r="E1452" s="13" t="n"/>
      <c r="F1452" s="11">
        <f>IF($E1452="","",IFERROR(VLOOKUP($E1452,OpTbl,2,0),""))</f>
        <v/>
      </c>
      <c r="G1452" s="12" t="n"/>
      <c r="H1452" s="11">
        <f>IF($G1452="","",IFERROR(IF(VLOOKUP($G1452,AcctTbl,4,0)="","(بدون نام)",VLOOKUP($G1452,AcctTbl,4,0)),"کد ناشناخته"))</f>
        <v/>
      </c>
      <c r="I1452" s="13" t="n"/>
      <c r="J1452" s="13" t="n"/>
      <c r="K1452" s="14" t="n"/>
      <c r="L1452" s="14" t="n"/>
      <c r="M1452" s="15">
        <f>IF(OR($B1452="",$K1452=""),"",($K1452-IF($L1452="",0,$L1452)*IFERROR(VLOOKUP("P01",ParamTbl,3,0),1.5))*(1-IF(IFERROR(VLOOKUP($E1452,OpTbl,3,0),"")="خرید",IFERROR(VLOOKUP("P02",ParamTbl,3,0),1),0)/100))</f>
        <v/>
      </c>
      <c r="N1452" s="14" t="n"/>
      <c r="O1452" s="13" t="n"/>
    </row>
    <row r="1453">
      <c r="A1453" s="11">
        <f>IF($B1453="","",COUNTA($B$9:$B1453))</f>
        <v/>
      </c>
      <c r="B1453" s="12" t="n"/>
      <c r="C1453" s="12" t="n"/>
      <c r="D1453" s="12" t="n"/>
      <c r="E1453" s="13" t="n"/>
      <c r="F1453" s="11">
        <f>IF($E1453="","",IFERROR(VLOOKUP($E1453,OpTbl,2,0),""))</f>
        <v/>
      </c>
      <c r="G1453" s="12" t="n"/>
      <c r="H1453" s="11">
        <f>IF($G1453="","",IFERROR(IF(VLOOKUP($G1453,AcctTbl,4,0)="","(بدون نام)",VLOOKUP($G1453,AcctTbl,4,0)),"کد ناشناخته"))</f>
        <v/>
      </c>
      <c r="I1453" s="13" t="n"/>
      <c r="J1453" s="13" t="n"/>
      <c r="K1453" s="14" t="n"/>
      <c r="L1453" s="14" t="n"/>
      <c r="M1453" s="15">
        <f>IF(OR($B1453="",$K1453=""),"",($K1453-IF($L1453="",0,$L1453)*IFERROR(VLOOKUP("P01",ParamTbl,3,0),1.5))*(1-IF(IFERROR(VLOOKUP($E1453,OpTbl,3,0),"")="خرید",IFERROR(VLOOKUP("P02",ParamTbl,3,0),1),0)/100))</f>
        <v/>
      </c>
      <c r="N1453" s="14" t="n"/>
      <c r="O1453" s="13" t="n"/>
    </row>
    <row r="1454">
      <c r="A1454" s="11">
        <f>IF($B1454="","",COUNTA($B$9:$B1454))</f>
        <v/>
      </c>
      <c r="B1454" s="12" t="n"/>
      <c r="C1454" s="12" t="n"/>
      <c r="D1454" s="12" t="n"/>
      <c r="E1454" s="13" t="n"/>
      <c r="F1454" s="11">
        <f>IF($E1454="","",IFERROR(VLOOKUP($E1454,OpTbl,2,0),""))</f>
        <v/>
      </c>
      <c r="G1454" s="12" t="n"/>
      <c r="H1454" s="11">
        <f>IF($G1454="","",IFERROR(IF(VLOOKUP($G1454,AcctTbl,4,0)="","(بدون نام)",VLOOKUP($G1454,AcctTbl,4,0)),"کد ناشناخته"))</f>
        <v/>
      </c>
      <c r="I1454" s="13" t="n"/>
      <c r="J1454" s="13" t="n"/>
      <c r="K1454" s="14" t="n"/>
      <c r="L1454" s="14" t="n"/>
      <c r="M1454" s="15">
        <f>IF(OR($B1454="",$K1454=""),"",($K1454-IF($L1454="",0,$L1454)*IFERROR(VLOOKUP("P01",ParamTbl,3,0),1.5))*(1-IF(IFERROR(VLOOKUP($E1454,OpTbl,3,0),"")="خرید",IFERROR(VLOOKUP("P02",ParamTbl,3,0),1),0)/100))</f>
        <v/>
      </c>
      <c r="N1454" s="14" t="n"/>
      <c r="O1454" s="13" t="n"/>
    </row>
    <row r="1455">
      <c r="A1455" s="11">
        <f>IF($B1455="","",COUNTA($B$9:$B1455))</f>
        <v/>
      </c>
      <c r="B1455" s="12" t="n"/>
      <c r="C1455" s="12" t="n"/>
      <c r="D1455" s="12" t="n"/>
      <c r="E1455" s="13" t="n"/>
      <c r="F1455" s="11">
        <f>IF($E1455="","",IFERROR(VLOOKUP($E1455,OpTbl,2,0),""))</f>
        <v/>
      </c>
      <c r="G1455" s="12" t="n"/>
      <c r="H1455" s="11">
        <f>IF($G1455="","",IFERROR(IF(VLOOKUP($G1455,AcctTbl,4,0)="","(بدون نام)",VLOOKUP($G1455,AcctTbl,4,0)),"کد ناشناخته"))</f>
        <v/>
      </c>
      <c r="I1455" s="13" t="n"/>
      <c r="J1455" s="13" t="n"/>
      <c r="K1455" s="14" t="n"/>
      <c r="L1455" s="14" t="n"/>
      <c r="M1455" s="15">
        <f>IF(OR($B1455="",$K1455=""),"",($K1455-IF($L1455="",0,$L1455)*IFERROR(VLOOKUP("P01",ParamTbl,3,0),1.5))*(1-IF(IFERROR(VLOOKUP($E1455,OpTbl,3,0),"")="خرید",IFERROR(VLOOKUP("P02",ParamTbl,3,0),1),0)/100))</f>
        <v/>
      </c>
      <c r="N1455" s="14" t="n"/>
      <c r="O1455" s="13" t="n"/>
    </row>
    <row r="1456">
      <c r="A1456" s="11">
        <f>IF($B1456="","",COUNTA($B$9:$B1456))</f>
        <v/>
      </c>
      <c r="B1456" s="12" t="n"/>
      <c r="C1456" s="12" t="n"/>
      <c r="D1456" s="12" t="n"/>
      <c r="E1456" s="13" t="n"/>
      <c r="F1456" s="11">
        <f>IF($E1456="","",IFERROR(VLOOKUP($E1456,OpTbl,2,0),""))</f>
        <v/>
      </c>
      <c r="G1456" s="12" t="n"/>
      <c r="H1456" s="11">
        <f>IF($G1456="","",IFERROR(IF(VLOOKUP($G1456,AcctTbl,4,0)="","(بدون نام)",VLOOKUP($G1456,AcctTbl,4,0)),"کد ناشناخته"))</f>
        <v/>
      </c>
      <c r="I1456" s="13" t="n"/>
      <c r="J1456" s="13" t="n"/>
      <c r="K1456" s="14" t="n"/>
      <c r="L1456" s="14" t="n"/>
      <c r="M1456" s="15">
        <f>IF(OR($B1456="",$K1456=""),"",($K1456-IF($L1456="",0,$L1456)*IFERROR(VLOOKUP("P01",ParamTbl,3,0),1.5))*(1-IF(IFERROR(VLOOKUP($E1456,OpTbl,3,0),"")="خرید",IFERROR(VLOOKUP("P02",ParamTbl,3,0),1),0)/100))</f>
        <v/>
      </c>
      <c r="N1456" s="14" t="n"/>
      <c r="O1456" s="13" t="n"/>
    </row>
    <row r="1457">
      <c r="A1457" s="11">
        <f>IF($B1457="","",COUNTA($B$9:$B1457))</f>
        <v/>
      </c>
      <c r="B1457" s="12" t="n"/>
      <c r="C1457" s="12" t="n"/>
      <c r="D1457" s="12" t="n"/>
      <c r="E1457" s="13" t="n"/>
      <c r="F1457" s="11">
        <f>IF($E1457="","",IFERROR(VLOOKUP($E1457,OpTbl,2,0),""))</f>
        <v/>
      </c>
      <c r="G1457" s="12" t="n"/>
      <c r="H1457" s="11">
        <f>IF($G1457="","",IFERROR(IF(VLOOKUP($G1457,AcctTbl,4,0)="","(بدون نام)",VLOOKUP($G1457,AcctTbl,4,0)),"کد ناشناخته"))</f>
        <v/>
      </c>
      <c r="I1457" s="13" t="n"/>
      <c r="J1457" s="13" t="n"/>
      <c r="K1457" s="14" t="n"/>
      <c r="L1457" s="14" t="n"/>
      <c r="M1457" s="15">
        <f>IF(OR($B1457="",$K1457=""),"",($K1457-IF($L1457="",0,$L1457)*IFERROR(VLOOKUP("P01",ParamTbl,3,0),1.5))*(1-IF(IFERROR(VLOOKUP($E1457,OpTbl,3,0),"")="خرید",IFERROR(VLOOKUP("P02",ParamTbl,3,0),1),0)/100))</f>
        <v/>
      </c>
      <c r="N1457" s="14" t="n"/>
      <c r="O1457" s="13" t="n"/>
    </row>
    <row r="1458">
      <c r="A1458" s="11">
        <f>IF($B1458="","",COUNTA($B$9:$B1458))</f>
        <v/>
      </c>
      <c r="B1458" s="12" t="n"/>
      <c r="C1458" s="12" t="n"/>
      <c r="D1458" s="12" t="n"/>
      <c r="E1458" s="13" t="n"/>
      <c r="F1458" s="11">
        <f>IF($E1458="","",IFERROR(VLOOKUP($E1458,OpTbl,2,0),""))</f>
        <v/>
      </c>
      <c r="G1458" s="12" t="n"/>
      <c r="H1458" s="11">
        <f>IF($G1458="","",IFERROR(IF(VLOOKUP($G1458,AcctTbl,4,0)="","(بدون نام)",VLOOKUP($G1458,AcctTbl,4,0)),"کد ناشناخته"))</f>
        <v/>
      </c>
      <c r="I1458" s="13" t="n"/>
      <c r="J1458" s="13" t="n"/>
      <c r="K1458" s="14" t="n"/>
      <c r="L1458" s="14" t="n"/>
      <c r="M1458" s="15">
        <f>IF(OR($B1458="",$K1458=""),"",($K1458-IF($L1458="",0,$L1458)*IFERROR(VLOOKUP("P01",ParamTbl,3,0),1.5))*(1-IF(IFERROR(VLOOKUP($E1458,OpTbl,3,0),"")="خرید",IFERROR(VLOOKUP("P02",ParamTbl,3,0),1),0)/100))</f>
        <v/>
      </c>
      <c r="N1458" s="14" t="n"/>
      <c r="O1458" s="13" t="n"/>
    </row>
    <row r="1459">
      <c r="A1459" s="11">
        <f>IF($B1459="","",COUNTA($B$9:$B1459))</f>
        <v/>
      </c>
      <c r="B1459" s="12" t="n"/>
      <c r="C1459" s="12" t="n"/>
      <c r="D1459" s="12" t="n"/>
      <c r="E1459" s="13" t="n"/>
      <c r="F1459" s="11">
        <f>IF($E1459="","",IFERROR(VLOOKUP($E1459,OpTbl,2,0),""))</f>
        <v/>
      </c>
      <c r="G1459" s="12" t="n"/>
      <c r="H1459" s="11">
        <f>IF($G1459="","",IFERROR(IF(VLOOKUP($G1459,AcctTbl,4,0)="","(بدون نام)",VLOOKUP($G1459,AcctTbl,4,0)),"کد ناشناخته"))</f>
        <v/>
      </c>
      <c r="I1459" s="13" t="n"/>
      <c r="J1459" s="13" t="n"/>
      <c r="K1459" s="14" t="n"/>
      <c r="L1459" s="14" t="n"/>
      <c r="M1459" s="15">
        <f>IF(OR($B1459="",$K1459=""),"",($K1459-IF($L1459="",0,$L1459)*IFERROR(VLOOKUP("P01",ParamTbl,3,0),1.5))*(1-IF(IFERROR(VLOOKUP($E1459,OpTbl,3,0),"")="خرید",IFERROR(VLOOKUP("P02",ParamTbl,3,0),1),0)/100))</f>
        <v/>
      </c>
      <c r="N1459" s="14" t="n"/>
      <c r="O1459" s="13" t="n"/>
    </row>
    <row r="1460">
      <c r="A1460" s="11">
        <f>IF($B1460="","",COUNTA($B$9:$B1460))</f>
        <v/>
      </c>
      <c r="B1460" s="12" t="n"/>
      <c r="C1460" s="12" t="n"/>
      <c r="D1460" s="12" t="n"/>
      <c r="E1460" s="13" t="n"/>
      <c r="F1460" s="11">
        <f>IF($E1460="","",IFERROR(VLOOKUP($E1460,OpTbl,2,0),""))</f>
        <v/>
      </c>
      <c r="G1460" s="12" t="n"/>
      <c r="H1460" s="11">
        <f>IF($G1460="","",IFERROR(IF(VLOOKUP($G1460,AcctTbl,4,0)="","(بدون نام)",VLOOKUP($G1460,AcctTbl,4,0)),"کد ناشناخته"))</f>
        <v/>
      </c>
      <c r="I1460" s="13" t="n"/>
      <c r="J1460" s="13" t="n"/>
      <c r="K1460" s="14" t="n"/>
      <c r="L1460" s="14" t="n"/>
      <c r="M1460" s="15">
        <f>IF(OR($B1460="",$K1460=""),"",($K1460-IF($L1460="",0,$L1460)*IFERROR(VLOOKUP("P01",ParamTbl,3,0),1.5))*(1-IF(IFERROR(VLOOKUP($E1460,OpTbl,3,0),"")="خرید",IFERROR(VLOOKUP("P02",ParamTbl,3,0),1),0)/100))</f>
        <v/>
      </c>
      <c r="N1460" s="14" t="n"/>
      <c r="O1460" s="13" t="n"/>
    </row>
    <row r="1461">
      <c r="A1461" s="11">
        <f>IF($B1461="","",COUNTA($B$9:$B1461))</f>
        <v/>
      </c>
      <c r="B1461" s="12" t="n"/>
      <c r="C1461" s="12" t="n"/>
      <c r="D1461" s="12" t="n"/>
      <c r="E1461" s="13" t="n"/>
      <c r="F1461" s="11">
        <f>IF($E1461="","",IFERROR(VLOOKUP($E1461,OpTbl,2,0),""))</f>
        <v/>
      </c>
      <c r="G1461" s="12" t="n"/>
      <c r="H1461" s="11">
        <f>IF($G1461="","",IFERROR(IF(VLOOKUP($G1461,AcctTbl,4,0)="","(بدون نام)",VLOOKUP($G1461,AcctTbl,4,0)),"کد ناشناخته"))</f>
        <v/>
      </c>
      <c r="I1461" s="13" t="n"/>
      <c r="J1461" s="13" t="n"/>
      <c r="K1461" s="14" t="n"/>
      <c r="L1461" s="14" t="n"/>
      <c r="M1461" s="15">
        <f>IF(OR($B1461="",$K1461=""),"",($K1461-IF($L1461="",0,$L1461)*IFERROR(VLOOKUP("P01",ParamTbl,3,0),1.5))*(1-IF(IFERROR(VLOOKUP($E1461,OpTbl,3,0),"")="خرید",IFERROR(VLOOKUP("P02",ParamTbl,3,0),1),0)/100))</f>
        <v/>
      </c>
      <c r="N1461" s="14" t="n"/>
      <c r="O1461" s="13" t="n"/>
    </row>
    <row r="1462">
      <c r="A1462" s="11">
        <f>IF($B1462="","",COUNTA($B$9:$B1462))</f>
        <v/>
      </c>
      <c r="B1462" s="12" t="n"/>
      <c r="C1462" s="12" t="n"/>
      <c r="D1462" s="12" t="n"/>
      <c r="E1462" s="13" t="n"/>
      <c r="F1462" s="11">
        <f>IF($E1462="","",IFERROR(VLOOKUP($E1462,OpTbl,2,0),""))</f>
        <v/>
      </c>
      <c r="G1462" s="12" t="n"/>
      <c r="H1462" s="11">
        <f>IF($G1462="","",IFERROR(IF(VLOOKUP($G1462,AcctTbl,4,0)="","(بدون نام)",VLOOKUP($G1462,AcctTbl,4,0)),"کد ناشناخته"))</f>
        <v/>
      </c>
      <c r="I1462" s="13" t="n"/>
      <c r="J1462" s="13" t="n"/>
      <c r="K1462" s="14" t="n"/>
      <c r="L1462" s="14" t="n"/>
      <c r="M1462" s="15">
        <f>IF(OR($B1462="",$K1462=""),"",($K1462-IF($L1462="",0,$L1462)*IFERROR(VLOOKUP("P01",ParamTbl,3,0),1.5))*(1-IF(IFERROR(VLOOKUP($E1462,OpTbl,3,0),"")="خرید",IFERROR(VLOOKUP("P02",ParamTbl,3,0),1),0)/100))</f>
        <v/>
      </c>
      <c r="N1462" s="14" t="n"/>
      <c r="O1462" s="13" t="n"/>
    </row>
    <row r="1463">
      <c r="A1463" s="11">
        <f>IF($B1463="","",COUNTA($B$9:$B1463))</f>
        <v/>
      </c>
      <c r="B1463" s="12" t="n"/>
      <c r="C1463" s="12" t="n"/>
      <c r="D1463" s="12" t="n"/>
      <c r="E1463" s="13" t="n"/>
      <c r="F1463" s="11">
        <f>IF($E1463="","",IFERROR(VLOOKUP($E1463,OpTbl,2,0),""))</f>
        <v/>
      </c>
      <c r="G1463" s="12" t="n"/>
      <c r="H1463" s="11">
        <f>IF($G1463="","",IFERROR(IF(VLOOKUP($G1463,AcctTbl,4,0)="","(بدون نام)",VLOOKUP($G1463,AcctTbl,4,0)),"کد ناشناخته"))</f>
        <v/>
      </c>
      <c r="I1463" s="13" t="n"/>
      <c r="J1463" s="13" t="n"/>
      <c r="K1463" s="14" t="n"/>
      <c r="L1463" s="14" t="n"/>
      <c r="M1463" s="15">
        <f>IF(OR($B1463="",$K1463=""),"",($K1463-IF($L1463="",0,$L1463)*IFERROR(VLOOKUP("P01",ParamTbl,3,0),1.5))*(1-IF(IFERROR(VLOOKUP($E1463,OpTbl,3,0),"")="خرید",IFERROR(VLOOKUP("P02",ParamTbl,3,0),1),0)/100))</f>
        <v/>
      </c>
      <c r="N1463" s="14" t="n"/>
      <c r="O1463" s="13" t="n"/>
    </row>
    <row r="1464">
      <c r="A1464" s="11">
        <f>IF($B1464="","",COUNTA($B$9:$B1464))</f>
        <v/>
      </c>
      <c r="B1464" s="12" t="n"/>
      <c r="C1464" s="12" t="n"/>
      <c r="D1464" s="12" t="n"/>
      <c r="E1464" s="13" t="n"/>
      <c r="F1464" s="11">
        <f>IF($E1464="","",IFERROR(VLOOKUP($E1464,OpTbl,2,0),""))</f>
        <v/>
      </c>
      <c r="G1464" s="12" t="n"/>
      <c r="H1464" s="11">
        <f>IF($G1464="","",IFERROR(IF(VLOOKUP($G1464,AcctTbl,4,0)="","(بدون نام)",VLOOKUP($G1464,AcctTbl,4,0)),"کد ناشناخته"))</f>
        <v/>
      </c>
      <c r="I1464" s="13" t="n"/>
      <c r="J1464" s="13" t="n"/>
      <c r="K1464" s="14" t="n"/>
      <c r="L1464" s="14" t="n"/>
      <c r="M1464" s="15">
        <f>IF(OR($B1464="",$K1464=""),"",($K1464-IF($L1464="",0,$L1464)*IFERROR(VLOOKUP("P01",ParamTbl,3,0),1.5))*(1-IF(IFERROR(VLOOKUP($E1464,OpTbl,3,0),"")="خرید",IFERROR(VLOOKUP("P02",ParamTbl,3,0),1),0)/100))</f>
        <v/>
      </c>
      <c r="N1464" s="14" t="n"/>
      <c r="O1464" s="13" t="n"/>
    </row>
    <row r="1465">
      <c r="A1465" s="11">
        <f>IF($B1465="","",COUNTA($B$9:$B1465))</f>
        <v/>
      </c>
      <c r="B1465" s="12" t="n"/>
      <c r="C1465" s="12" t="n"/>
      <c r="D1465" s="12" t="n"/>
      <c r="E1465" s="13" t="n"/>
      <c r="F1465" s="11">
        <f>IF($E1465="","",IFERROR(VLOOKUP($E1465,OpTbl,2,0),""))</f>
        <v/>
      </c>
      <c r="G1465" s="12" t="n"/>
      <c r="H1465" s="11">
        <f>IF($G1465="","",IFERROR(IF(VLOOKUP($G1465,AcctTbl,4,0)="","(بدون نام)",VLOOKUP($G1465,AcctTbl,4,0)),"کد ناشناخته"))</f>
        <v/>
      </c>
      <c r="I1465" s="13" t="n"/>
      <c r="J1465" s="13" t="n"/>
      <c r="K1465" s="14" t="n"/>
      <c r="L1465" s="14" t="n"/>
      <c r="M1465" s="15">
        <f>IF(OR($B1465="",$K1465=""),"",($K1465-IF($L1465="",0,$L1465)*IFERROR(VLOOKUP("P01",ParamTbl,3,0),1.5))*(1-IF(IFERROR(VLOOKUP($E1465,OpTbl,3,0),"")="خرید",IFERROR(VLOOKUP("P02",ParamTbl,3,0),1),0)/100))</f>
        <v/>
      </c>
      <c r="N1465" s="14" t="n"/>
      <c r="O1465" s="13" t="n"/>
    </row>
    <row r="1466">
      <c r="A1466" s="11">
        <f>IF($B1466="","",COUNTA($B$9:$B1466))</f>
        <v/>
      </c>
      <c r="B1466" s="12" t="n"/>
      <c r="C1466" s="12" t="n"/>
      <c r="D1466" s="12" t="n"/>
      <c r="E1466" s="13" t="n"/>
      <c r="F1466" s="11">
        <f>IF($E1466="","",IFERROR(VLOOKUP($E1466,OpTbl,2,0),""))</f>
        <v/>
      </c>
      <c r="G1466" s="12" t="n"/>
      <c r="H1466" s="11">
        <f>IF($G1466="","",IFERROR(IF(VLOOKUP($G1466,AcctTbl,4,0)="","(بدون نام)",VLOOKUP($G1466,AcctTbl,4,0)),"کد ناشناخته"))</f>
        <v/>
      </c>
      <c r="I1466" s="13" t="n"/>
      <c r="J1466" s="13" t="n"/>
      <c r="K1466" s="14" t="n"/>
      <c r="L1466" s="14" t="n"/>
      <c r="M1466" s="15">
        <f>IF(OR($B1466="",$K1466=""),"",($K1466-IF($L1466="",0,$L1466)*IFERROR(VLOOKUP("P01",ParamTbl,3,0),1.5))*(1-IF(IFERROR(VLOOKUP($E1466,OpTbl,3,0),"")="خرید",IFERROR(VLOOKUP("P02",ParamTbl,3,0),1),0)/100))</f>
        <v/>
      </c>
      <c r="N1466" s="14" t="n"/>
      <c r="O1466" s="13" t="n"/>
    </row>
    <row r="1467">
      <c r="A1467" s="11">
        <f>IF($B1467="","",COUNTA($B$9:$B1467))</f>
        <v/>
      </c>
      <c r="B1467" s="12" t="n"/>
      <c r="C1467" s="12" t="n"/>
      <c r="D1467" s="12" t="n"/>
      <c r="E1467" s="13" t="n"/>
      <c r="F1467" s="11">
        <f>IF($E1467="","",IFERROR(VLOOKUP($E1467,OpTbl,2,0),""))</f>
        <v/>
      </c>
      <c r="G1467" s="12" t="n"/>
      <c r="H1467" s="11">
        <f>IF($G1467="","",IFERROR(IF(VLOOKUP($G1467,AcctTbl,4,0)="","(بدون نام)",VLOOKUP($G1467,AcctTbl,4,0)),"کد ناشناخته"))</f>
        <v/>
      </c>
      <c r="I1467" s="13" t="n"/>
      <c r="J1467" s="13" t="n"/>
      <c r="K1467" s="14" t="n"/>
      <c r="L1467" s="14" t="n"/>
      <c r="M1467" s="15">
        <f>IF(OR($B1467="",$K1467=""),"",($K1467-IF($L1467="",0,$L1467)*IFERROR(VLOOKUP("P01",ParamTbl,3,0),1.5))*(1-IF(IFERROR(VLOOKUP($E1467,OpTbl,3,0),"")="خرید",IFERROR(VLOOKUP("P02",ParamTbl,3,0),1),0)/100))</f>
        <v/>
      </c>
      <c r="N1467" s="14" t="n"/>
      <c r="O1467" s="13" t="n"/>
    </row>
    <row r="1468">
      <c r="A1468" s="11">
        <f>IF($B1468="","",COUNTA($B$9:$B1468))</f>
        <v/>
      </c>
      <c r="B1468" s="12" t="n"/>
      <c r="C1468" s="12" t="n"/>
      <c r="D1468" s="12" t="n"/>
      <c r="E1468" s="13" t="n"/>
      <c r="F1468" s="11">
        <f>IF($E1468="","",IFERROR(VLOOKUP($E1468,OpTbl,2,0),""))</f>
        <v/>
      </c>
      <c r="G1468" s="12" t="n"/>
      <c r="H1468" s="11">
        <f>IF($G1468="","",IFERROR(IF(VLOOKUP($G1468,AcctTbl,4,0)="","(بدون نام)",VLOOKUP($G1468,AcctTbl,4,0)),"کد ناشناخته"))</f>
        <v/>
      </c>
      <c r="I1468" s="13" t="n"/>
      <c r="J1468" s="13" t="n"/>
      <c r="K1468" s="14" t="n"/>
      <c r="L1468" s="14" t="n"/>
      <c r="M1468" s="15">
        <f>IF(OR($B1468="",$K1468=""),"",($K1468-IF($L1468="",0,$L1468)*IFERROR(VLOOKUP("P01",ParamTbl,3,0),1.5))*(1-IF(IFERROR(VLOOKUP($E1468,OpTbl,3,0),"")="خرید",IFERROR(VLOOKUP("P02",ParamTbl,3,0),1),0)/100))</f>
        <v/>
      </c>
      <c r="N1468" s="14" t="n"/>
      <c r="O1468" s="13" t="n"/>
    </row>
    <row r="1469">
      <c r="A1469" s="11">
        <f>IF($B1469="","",COUNTA($B$9:$B1469))</f>
        <v/>
      </c>
      <c r="B1469" s="12" t="n"/>
      <c r="C1469" s="12" t="n"/>
      <c r="D1469" s="12" t="n"/>
      <c r="E1469" s="13" t="n"/>
      <c r="F1469" s="11">
        <f>IF($E1469="","",IFERROR(VLOOKUP($E1469,OpTbl,2,0),""))</f>
        <v/>
      </c>
      <c r="G1469" s="12" t="n"/>
      <c r="H1469" s="11">
        <f>IF($G1469="","",IFERROR(IF(VLOOKUP($G1469,AcctTbl,4,0)="","(بدون نام)",VLOOKUP($G1469,AcctTbl,4,0)),"کد ناشناخته"))</f>
        <v/>
      </c>
      <c r="I1469" s="13" t="n"/>
      <c r="J1469" s="13" t="n"/>
      <c r="K1469" s="14" t="n"/>
      <c r="L1469" s="14" t="n"/>
      <c r="M1469" s="15">
        <f>IF(OR($B1469="",$K1469=""),"",($K1469-IF($L1469="",0,$L1469)*IFERROR(VLOOKUP("P01",ParamTbl,3,0),1.5))*(1-IF(IFERROR(VLOOKUP($E1469,OpTbl,3,0),"")="خرید",IFERROR(VLOOKUP("P02",ParamTbl,3,0),1),0)/100))</f>
        <v/>
      </c>
      <c r="N1469" s="14" t="n"/>
      <c r="O1469" s="13" t="n"/>
    </row>
    <row r="1470">
      <c r="A1470" s="11">
        <f>IF($B1470="","",COUNTA($B$9:$B1470))</f>
        <v/>
      </c>
      <c r="B1470" s="12" t="n"/>
      <c r="C1470" s="12" t="n"/>
      <c r="D1470" s="12" t="n"/>
      <c r="E1470" s="13" t="n"/>
      <c r="F1470" s="11">
        <f>IF($E1470="","",IFERROR(VLOOKUP($E1470,OpTbl,2,0),""))</f>
        <v/>
      </c>
      <c r="G1470" s="12" t="n"/>
      <c r="H1470" s="11">
        <f>IF($G1470="","",IFERROR(IF(VLOOKUP($G1470,AcctTbl,4,0)="","(بدون نام)",VLOOKUP($G1470,AcctTbl,4,0)),"کد ناشناخته"))</f>
        <v/>
      </c>
      <c r="I1470" s="13" t="n"/>
      <c r="J1470" s="13" t="n"/>
      <c r="K1470" s="14" t="n"/>
      <c r="L1470" s="14" t="n"/>
      <c r="M1470" s="15">
        <f>IF(OR($B1470="",$K1470=""),"",($K1470-IF($L1470="",0,$L1470)*IFERROR(VLOOKUP("P01",ParamTbl,3,0),1.5))*(1-IF(IFERROR(VLOOKUP($E1470,OpTbl,3,0),"")="خرید",IFERROR(VLOOKUP("P02",ParamTbl,3,0),1),0)/100))</f>
        <v/>
      </c>
      <c r="N1470" s="14" t="n"/>
      <c r="O1470" s="13" t="n"/>
    </row>
    <row r="1471">
      <c r="A1471" s="11">
        <f>IF($B1471="","",COUNTA($B$9:$B1471))</f>
        <v/>
      </c>
      <c r="B1471" s="12" t="n"/>
      <c r="C1471" s="12" t="n"/>
      <c r="D1471" s="12" t="n"/>
      <c r="E1471" s="13" t="n"/>
      <c r="F1471" s="11">
        <f>IF($E1471="","",IFERROR(VLOOKUP($E1471,OpTbl,2,0),""))</f>
        <v/>
      </c>
      <c r="G1471" s="12" t="n"/>
      <c r="H1471" s="11">
        <f>IF($G1471="","",IFERROR(IF(VLOOKUP($G1471,AcctTbl,4,0)="","(بدون نام)",VLOOKUP($G1471,AcctTbl,4,0)),"کد ناشناخته"))</f>
        <v/>
      </c>
      <c r="I1471" s="13" t="n"/>
      <c r="J1471" s="13" t="n"/>
      <c r="K1471" s="14" t="n"/>
      <c r="L1471" s="14" t="n"/>
      <c r="M1471" s="15">
        <f>IF(OR($B1471="",$K1471=""),"",($K1471-IF($L1471="",0,$L1471)*IFERROR(VLOOKUP("P01",ParamTbl,3,0),1.5))*(1-IF(IFERROR(VLOOKUP($E1471,OpTbl,3,0),"")="خرید",IFERROR(VLOOKUP("P02",ParamTbl,3,0),1),0)/100))</f>
        <v/>
      </c>
      <c r="N1471" s="14" t="n"/>
      <c r="O1471" s="13" t="n"/>
    </row>
    <row r="1472">
      <c r="A1472" s="11">
        <f>IF($B1472="","",COUNTA($B$9:$B1472))</f>
        <v/>
      </c>
      <c r="B1472" s="12" t="n"/>
      <c r="C1472" s="12" t="n"/>
      <c r="D1472" s="12" t="n"/>
      <c r="E1472" s="13" t="n"/>
      <c r="F1472" s="11">
        <f>IF($E1472="","",IFERROR(VLOOKUP($E1472,OpTbl,2,0),""))</f>
        <v/>
      </c>
      <c r="G1472" s="12" t="n"/>
      <c r="H1472" s="11">
        <f>IF($G1472="","",IFERROR(IF(VLOOKUP($G1472,AcctTbl,4,0)="","(بدون نام)",VLOOKUP($G1472,AcctTbl,4,0)),"کد ناشناخته"))</f>
        <v/>
      </c>
      <c r="I1472" s="13" t="n"/>
      <c r="J1472" s="13" t="n"/>
      <c r="K1472" s="14" t="n"/>
      <c r="L1472" s="14" t="n"/>
      <c r="M1472" s="15">
        <f>IF(OR($B1472="",$K1472=""),"",($K1472-IF($L1472="",0,$L1472)*IFERROR(VLOOKUP("P01",ParamTbl,3,0),1.5))*(1-IF(IFERROR(VLOOKUP($E1472,OpTbl,3,0),"")="خرید",IFERROR(VLOOKUP("P02",ParamTbl,3,0),1),0)/100))</f>
        <v/>
      </c>
      <c r="N1472" s="14" t="n"/>
      <c r="O1472" s="13" t="n"/>
    </row>
    <row r="1473">
      <c r="A1473" s="11">
        <f>IF($B1473="","",COUNTA($B$9:$B1473))</f>
        <v/>
      </c>
      <c r="B1473" s="12" t="n"/>
      <c r="C1473" s="12" t="n"/>
      <c r="D1473" s="12" t="n"/>
      <c r="E1473" s="13" t="n"/>
      <c r="F1473" s="11">
        <f>IF($E1473="","",IFERROR(VLOOKUP($E1473,OpTbl,2,0),""))</f>
        <v/>
      </c>
      <c r="G1473" s="12" t="n"/>
      <c r="H1473" s="11">
        <f>IF($G1473="","",IFERROR(IF(VLOOKUP($G1473,AcctTbl,4,0)="","(بدون نام)",VLOOKUP($G1473,AcctTbl,4,0)),"کد ناشناخته"))</f>
        <v/>
      </c>
      <c r="I1473" s="13" t="n"/>
      <c r="J1473" s="13" t="n"/>
      <c r="K1473" s="14" t="n"/>
      <c r="L1473" s="14" t="n"/>
      <c r="M1473" s="15">
        <f>IF(OR($B1473="",$K1473=""),"",($K1473-IF($L1473="",0,$L1473)*IFERROR(VLOOKUP("P01",ParamTbl,3,0),1.5))*(1-IF(IFERROR(VLOOKUP($E1473,OpTbl,3,0),"")="خرید",IFERROR(VLOOKUP("P02",ParamTbl,3,0),1),0)/100))</f>
        <v/>
      </c>
      <c r="N1473" s="14" t="n"/>
      <c r="O1473" s="13" t="n"/>
    </row>
    <row r="1474">
      <c r="A1474" s="11">
        <f>IF($B1474="","",COUNTA($B$9:$B1474))</f>
        <v/>
      </c>
      <c r="B1474" s="12" t="n"/>
      <c r="C1474" s="12" t="n"/>
      <c r="D1474" s="12" t="n"/>
      <c r="E1474" s="13" t="n"/>
      <c r="F1474" s="11">
        <f>IF($E1474="","",IFERROR(VLOOKUP($E1474,OpTbl,2,0),""))</f>
        <v/>
      </c>
      <c r="G1474" s="12" t="n"/>
      <c r="H1474" s="11">
        <f>IF($G1474="","",IFERROR(IF(VLOOKUP($G1474,AcctTbl,4,0)="","(بدون نام)",VLOOKUP($G1474,AcctTbl,4,0)),"کد ناشناخته"))</f>
        <v/>
      </c>
      <c r="I1474" s="13" t="n"/>
      <c r="J1474" s="13" t="n"/>
      <c r="K1474" s="14" t="n"/>
      <c r="L1474" s="14" t="n"/>
      <c r="M1474" s="15">
        <f>IF(OR($B1474="",$K1474=""),"",($K1474-IF($L1474="",0,$L1474)*IFERROR(VLOOKUP("P01",ParamTbl,3,0),1.5))*(1-IF(IFERROR(VLOOKUP($E1474,OpTbl,3,0),"")="خرید",IFERROR(VLOOKUP("P02",ParamTbl,3,0),1),0)/100))</f>
        <v/>
      </c>
      <c r="N1474" s="14" t="n"/>
      <c r="O1474" s="13" t="n"/>
    </row>
    <row r="1475">
      <c r="A1475" s="11">
        <f>IF($B1475="","",COUNTA($B$9:$B1475))</f>
        <v/>
      </c>
      <c r="B1475" s="12" t="n"/>
      <c r="C1475" s="12" t="n"/>
      <c r="D1475" s="12" t="n"/>
      <c r="E1475" s="13" t="n"/>
      <c r="F1475" s="11">
        <f>IF($E1475="","",IFERROR(VLOOKUP($E1475,OpTbl,2,0),""))</f>
        <v/>
      </c>
      <c r="G1475" s="12" t="n"/>
      <c r="H1475" s="11">
        <f>IF($G1475="","",IFERROR(IF(VLOOKUP($G1475,AcctTbl,4,0)="","(بدون نام)",VLOOKUP($G1475,AcctTbl,4,0)),"کد ناشناخته"))</f>
        <v/>
      </c>
      <c r="I1475" s="13" t="n"/>
      <c r="J1475" s="13" t="n"/>
      <c r="K1475" s="14" t="n"/>
      <c r="L1475" s="14" t="n"/>
      <c r="M1475" s="15">
        <f>IF(OR($B1475="",$K1475=""),"",($K1475-IF($L1475="",0,$L1475)*IFERROR(VLOOKUP("P01",ParamTbl,3,0),1.5))*(1-IF(IFERROR(VLOOKUP($E1475,OpTbl,3,0),"")="خرید",IFERROR(VLOOKUP("P02",ParamTbl,3,0),1),0)/100))</f>
        <v/>
      </c>
      <c r="N1475" s="14" t="n"/>
      <c r="O1475" s="13" t="n"/>
    </row>
    <row r="1476">
      <c r="A1476" s="11">
        <f>IF($B1476="","",COUNTA($B$9:$B1476))</f>
        <v/>
      </c>
      <c r="B1476" s="12" t="n"/>
      <c r="C1476" s="12" t="n"/>
      <c r="D1476" s="12" t="n"/>
      <c r="E1476" s="13" t="n"/>
      <c r="F1476" s="11">
        <f>IF($E1476="","",IFERROR(VLOOKUP($E1476,OpTbl,2,0),""))</f>
        <v/>
      </c>
      <c r="G1476" s="12" t="n"/>
      <c r="H1476" s="11">
        <f>IF($G1476="","",IFERROR(IF(VLOOKUP($G1476,AcctTbl,4,0)="","(بدون نام)",VLOOKUP($G1476,AcctTbl,4,0)),"کد ناشناخته"))</f>
        <v/>
      </c>
      <c r="I1476" s="13" t="n"/>
      <c r="J1476" s="13" t="n"/>
      <c r="K1476" s="14" t="n"/>
      <c r="L1476" s="14" t="n"/>
      <c r="M1476" s="15">
        <f>IF(OR($B1476="",$K1476=""),"",($K1476-IF($L1476="",0,$L1476)*IFERROR(VLOOKUP("P01",ParamTbl,3,0),1.5))*(1-IF(IFERROR(VLOOKUP($E1476,OpTbl,3,0),"")="خرید",IFERROR(VLOOKUP("P02",ParamTbl,3,0),1),0)/100))</f>
        <v/>
      </c>
      <c r="N1476" s="14" t="n"/>
      <c r="O1476" s="13" t="n"/>
    </row>
    <row r="1477">
      <c r="A1477" s="11">
        <f>IF($B1477="","",COUNTA($B$9:$B1477))</f>
        <v/>
      </c>
      <c r="B1477" s="12" t="n"/>
      <c r="C1477" s="12" t="n"/>
      <c r="D1477" s="12" t="n"/>
      <c r="E1477" s="13" t="n"/>
      <c r="F1477" s="11">
        <f>IF($E1477="","",IFERROR(VLOOKUP($E1477,OpTbl,2,0),""))</f>
        <v/>
      </c>
      <c r="G1477" s="12" t="n"/>
      <c r="H1477" s="11">
        <f>IF($G1477="","",IFERROR(IF(VLOOKUP($G1477,AcctTbl,4,0)="","(بدون نام)",VLOOKUP($G1477,AcctTbl,4,0)),"کد ناشناخته"))</f>
        <v/>
      </c>
      <c r="I1477" s="13" t="n"/>
      <c r="J1477" s="13" t="n"/>
      <c r="K1477" s="14" t="n"/>
      <c r="L1477" s="14" t="n"/>
      <c r="M1477" s="15">
        <f>IF(OR($B1477="",$K1477=""),"",($K1477-IF($L1477="",0,$L1477)*IFERROR(VLOOKUP("P01",ParamTbl,3,0),1.5))*(1-IF(IFERROR(VLOOKUP($E1477,OpTbl,3,0),"")="خرید",IFERROR(VLOOKUP("P02",ParamTbl,3,0),1),0)/100))</f>
        <v/>
      </c>
      <c r="N1477" s="14" t="n"/>
      <c r="O1477" s="13" t="n"/>
    </row>
    <row r="1478">
      <c r="A1478" s="11">
        <f>IF($B1478="","",COUNTA($B$9:$B1478))</f>
        <v/>
      </c>
      <c r="B1478" s="12" t="n"/>
      <c r="C1478" s="12" t="n"/>
      <c r="D1478" s="12" t="n"/>
      <c r="E1478" s="13" t="n"/>
      <c r="F1478" s="11">
        <f>IF($E1478="","",IFERROR(VLOOKUP($E1478,OpTbl,2,0),""))</f>
        <v/>
      </c>
      <c r="G1478" s="12" t="n"/>
      <c r="H1478" s="11">
        <f>IF($G1478="","",IFERROR(IF(VLOOKUP($G1478,AcctTbl,4,0)="","(بدون نام)",VLOOKUP($G1478,AcctTbl,4,0)),"کد ناشناخته"))</f>
        <v/>
      </c>
      <c r="I1478" s="13" t="n"/>
      <c r="J1478" s="13" t="n"/>
      <c r="K1478" s="14" t="n"/>
      <c r="L1478" s="14" t="n"/>
      <c r="M1478" s="15">
        <f>IF(OR($B1478="",$K1478=""),"",($K1478-IF($L1478="",0,$L1478)*IFERROR(VLOOKUP("P01",ParamTbl,3,0),1.5))*(1-IF(IFERROR(VLOOKUP($E1478,OpTbl,3,0),"")="خرید",IFERROR(VLOOKUP("P02",ParamTbl,3,0),1),0)/100))</f>
        <v/>
      </c>
      <c r="N1478" s="14" t="n"/>
      <c r="O1478" s="13" t="n"/>
    </row>
    <row r="1479">
      <c r="A1479" s="11">
        <f>IF($B1479="","",COUNTA($B$9:$B1479))</f>
        <v/>
      </c>
      <c r="B1479" s="12" t="n"/>
      <c r="C1479" s="12" t="n"/>
      <c r="D1479" s="12" t="n"/>
      <c r="E1479" s="13" t="n"/>
      <c r="F1479" s="11">
        <f>IF($E1479="","",IFERROR(VLOOKUP($E1479,OpTbl,2,0),""))</f>
        <v/>
      </c>
      <c r="G1479" s="12" t="n"/>
      <c r="H1479" s="11">
        <f>IF($G1479="","",IFERROR(IF(VLOOKUP($G1479,AcctTbl,4,0)="","(بدون نام)",VLOOKUP($G1479,AcctTbl,4,0)),"کد ناشناخته"))</f>
        <v/>
      </c>
      <c r="I1479" s="13" t="n"/>
      <c r="J1479" s="13" t="n"/>
      <c r="K1479" s="14" t="n"/>
      <c r="L1479" s="14" t="n"/>
      <c r="M1479" s="15">
        <f>IF(OR($B1479="",$K1479=""),"",($K1479-IF($L1479="",0,$L1479)*IFERROR(VLOOKUP("P01",ParamTbl,3,0),1.5))*(1-IF(IFERROR(VLOOKUP($E1479,OpTbl,3,0),"")="خرید",IFERROR(VLOOKUP("P02",ParamTbl,3,0),1),0)/100))</f>
        <v/>
      </c>
      <c r="N1479" s="14" t="n"/>
      <c r="O1479" s="13" t="n"/>
    </row>
    <row r="1480">
      <c r="A1480" s="11">
        <f>IF($B1480="","",COUNTA($B$9:$B1480))</f>
        <v/>
      </c>
      <c r="B1480" s="12" t="n"/>
      <c r="C1480" s="12" t="n"/>
      <c r="D1480" s="12" t="n"/>
      <c r="E1480" s="13" t="n"/>
      <c r="F1480" s="11">
        <f>IF($E1480="","",IFERROR(VLOOKUP($E1480,OpTbl,2,0),""))</f>
        <v/>
      </c>
      <c r="G1480" s="12" t="n"/>
      <c r="H1480" s="11">
        <f>IF($G1480="","",IFERROR(IF(VLOOKUP($G1480,AcctTbl,4,0)="","(بدون نام)",VLOOKUP($G1480,AcctTbl,4,0)),"کد ناشناخته"))</f>
        <v/>
      </c>
      <c r="I1480" s="13" t="n"/>
      <c r="J1480" s="13" t="n"/>
      <c r="K1480" s="14" t="n"/>
      <c r="L1480" s="14" t="n"/>
      <c r="M1480" s="15">
        <f>IF(OR($B1480="",$K1480=""),"",($K1480-IF($L1480="",0,$L1480)*IFERROR(VLOOKUP("P01",ParamTbl,3,0),1.5))*(1-IF(IFERROR(VLOOKUP($E1480,OpTbl,3,0),"")="خرید",IFERROR(VLOOKUP("P02",ParamTbl,3,0),1),0)/100))</f>
        <v/>
      </c>
      <c r="N1480" s="14" t="n"/>
      <c r="O1480" s="13" t="n"/>
    </row>
    <row r="1481">
      <c r="A1481" s="11">
        <f>IF($B1481="","",COUNTA($B$9:$B1481))</f>
        <v/>
      </c>
      <c r="B1481" s="12" t="n"/>
      <c r="C1481" s="12" t="n"/>
      <c r="D1481" s="12" t="n"/>
      <c r="E1481" s="13" t="n"/>
      <c r="F1481" s="11">
        <f>IF($E1481="","",IFERROR(VLOOKUP($E1481,OpTbl,2,0),""))</f>
        <v/>
      </c>
      <c r="G1481" s="12" t="n"/>
      <c r="H1481" s="11">
        <f>IF($G1481="","",IFERROR(IF(VLOOKUP($G1481,AcctTbl,4,0)="","(بدون نام)",VLOOKUP($G1481,AcctTbl,4,0)),"کد ناشناخته"))</f>
        <v/>
      </c>
      <c r="I1481" s="13" t="n"/>
      <c r="J1481" s="13" t="n"/>
      <c r="K1481" s="14" t="n"/>
      <c r="L1481" s="14" t="n"/>
      <c r="M1481" s="15">
        <f>IF(OR($B1481="",$K1481=""),"",($K1481-IF($L1481="",0,$L1481)*IFERROR(VLOOKUP("P01",ParamTbl,3,0),1.5))*(1-IF(IFERROR(VLOOKUP($E1481,OpTbl,3,0),"")="خرید",IFERROR(VLOOKUP("P02",ParamTbl,3,0),1),0)/100))</f>
        <v/>
      </c>
      <c r="N1481" s="14" t="n"/>
      <c r="O1481" s="13" t="n"/>
    </row>
    <row r="1482">
      <c r="A1482" s="11">
        <f>IF($B1482="","",COUNTA($B$9:$B1482))</f>
        <v/>
      </c>
      <c r="B1482" s="12" t="n"/>
      <c r="C1482" s="12" t="n"/>
      <c r="D1482" s="12" t="n"/>
      <c r="E1482" s="13" t="n"/>
      <c r="F1482" s="11">
        <f>IF($E1482="","",IFERROR(VLOOKUP($E1482,OpTbl,2,0),""))</f>
        <v/>
      </c>
      <c r="G1482" s="12" t="n"/>
      <c r="H1482" s="11">
        <f>IF($G1482="","",IFERROR(IF(VLOOKUP($G1482,AcctTbl,4,0)="","(بدون نام)",VLOOKUP($G1482,AcctTbl,4,0)),"کد ناشناخته"))</f>
        <v/>
      </c>
      <c r="I1482" s="13" t="n"/>
      <c r="J1482" s="13" t="n"/>
      <c r="K1482" s="14" t="n"/>
      <c r="L1482" s="14" t="n"/>
      <c r="M1482" s="15">
        <f>IF(OR($B1482="",$K1482=""),"",($K1482-IF($L1482="",0,$L1482)*IFERROR(VLOOKUP("P01",ParamTbl,3,0),1.5))*(1-IF(IFERROR(VLOOKUP($E1482,OpTbl,3,0),"")="خرید",IFERROR(VLOOKUP("P02",ParamTbl,3,0),1),0)/100))</f>
        <v/>
      </c>
      <c r="N1482" s="14" t="n"/>
      <c r="O1482" s="13" t="n"/>
    </row>
    <row r="1483">
      <c r="A1483" s="11">
        <f>IF($B1483="","",COUNTA($B$9:$B1483))</f>
        <v/>
      </c>
      <c r="B1483" s="12" t="n"/>
      <c r="C1483" s="12" t="n"/>
      <c r="D1483" s="12" t="n"/>
      <c r="E1483" s="13" t="n"/>
      <c r="F1483" s="11">
        <f>IF($E1483="","",IFERROR(VLOOKUP($E1483,OpTbl,2,0),""))</f>
        <v/>
      </c>
      <c r="G1483" s="12" t="n"/>
      <c r="H1483" s="11">
        <f>IF($G1483="","",IFERROR(IF(VLOOKUP($G1483,AcctTbl,4,0)="","(بدون نام)",VLOOKUP($G1483,AcctTbl,4,0)),"کد ناشناخته"))</f>
        <v/>
      </c>
      <c r="I1483" s="13" t="n"/>
      <c r="J1483" s="13" t="n"/>
      <c r="K1483" s="14" t="n"/>
      <c r="L1483" s="14" t="n"/>
      <c r="M1483" s="15">
        <f>IF(OR($B1483="",$K1483=""),"",($K1483-IF($L1483="",0,$L1483)*IFERROR(VLOOKUP("P01",ParamTbl,3,0),1.5))*(1-IF(IFERROR(VLOOKUP($E1483,OpTbl,3,0),"")="خرید",IFERROR(VLOOKUP("P02",ParamTbl,3,0),1),0)/100))</f>
        <v/>
      </c>
      <c r="N1483" s="14" t="n"/>
      <c r="O1483" s="13" t="n"/>
    </row>
    <row r="1484">
      <c r="A1484" s="11">
        <f>IF($B1484="","",COUNTA($B$9:$B1484))</f>
        <v/>
      </c>
      <c r="B1484" s="12" t="n"/>
      <c r="C1484" s="12" t="n"/>
      <c r="D1484" s="12" t="n"/>
      <c r="E1484" s="13" t="n"/>
      <c r="F1484" s="11">
        <f>IF($E1484="","",IFERROR(VLOOKUP($E1484,OpTbl,2,0),""))</f>
        <v/>
      </c>
      <c r="G1484" s="12" t="n"/>
      <c r="H1484" s="11">
        <f>IF($G1484="","",IFERROR(IF(VLOOKUP($G1484,AcctTbl,4,0)="","(بدون نام)",VLOOKUP($G1484,AcctTbl,4,0)),"کد ناشناخته"))</f>
        <v/>
      </c>
      <c r="I1484" s="13" t="n"/>
      <c r="J1484" s="13" t="n"/>
      <c r="K1484" s="14" t="n"/>
      <c r="L1484" s="14" t="n"/>
      <c r="M1484" s="15">
        <f>IF(OR($B1484="",$K1484=""),"",($K1484-IF($L1484="",0,$L1484)*IFERROR(VLOOKUP("P01",ParamTbl,3,0),1.5))*(1-IF(IFERROR(VLOOKUP($E1484,OpTbl,3,0),"")="خرید",IFERROR(VLOOKUP("P02",ParamTbl,3,0),1),0)/100))</f>
        <v/>
      </c>
      <c r="N1484" s="14" t="n"/>
      <c r="O1484" s="13" t="n"/>
    </row>
    <row r="1485">
      <c r="A1485" s="11">
        <f>IF($B1485="","",COUNTA($B$9:$B1485))</f>
        <v/>
      </c>
      <c r="B1485" s="12" t="n"/>
      <c r="C1485" s="12" t="n"/>
      <c r="D1485" s="12" t="n"/>
      <c r="E1485" s="13" t="n"/>
      <c r="F1485" s="11">
        <f>IF($E1485="","",IFERROR(VLOOKUP($E1485,OpTbl,2,0),""))</f>
        <v/>
      </c>
      <c r="G1485" s="12" t="n"/>
      <c r="H1485" s="11">
        <f>IF($G1485="","",IFERROR(IF(VLOOKUP($G1485,AcctTbl,4,0)="","(بدون نام)",VLOOKUP($G1485,AcctTbl,4,0)),"کد ناشناخته"))</f>
        <v/>
      </c>
      <c r="I1485" s="13" t="n"/>
      <c r="J1485" s="13" t="n"/>
      <c r="K1485" s="14" t="n"/>
      <c r="L1485" s="14" t="n"/>
      <c r="M1485" s="15">
        <f>IF(OR($B1485="",$K1485=""),"",($K1485-IF($L1485="",0,$L1485)*IFERROR(VLOOKUP("P01",ParamTbl,3,0),1.5))*(1-IF(IFERROR(VLOOKUP($E1485,OpTbl,3,0),"")="خرید",IFERROR(VLOOKUP("P02",ParamTbl,3,0),1),0)/100))</f>
        <v/>
      </c>
      <c r="N1485" s="14" t="n"/>
      <c r="O1485" s="13" t="n"/>
    </row>
    <row r="1486">
      <c r="A1486" s="11">
        <f>IF($B1486="","",COUNTA($B$9:$B1486))</f>
        <v/>
      </c>
      <c r="B1486" s="12" t="n"/>
      <c r="C1486" s="12" t="n"/>
      <c r="D1486" s="12" t="n"/>
      <c r="E1486" s="13" t="n"/>
      <c r="F1486" s="11">
        <f>IF($E1486="","",IFERROR(VLOOKUP($E1486,OpTbl,2,0),""))</f>
        <v/>
      </c>
      <c r="G1486" s="12" t="n"/>
      <c r="H1486" s="11">
        <f>IF($G1486="","",IFERROR(IF(VLOOKUP($G1486,AcctTbl,4,0)="","(بدون نام)",VLOOKUP($G1486,AcctTbl,4,0)),"کد ناشناخته"))</f>
        <v/>
      </c>
      <c r="I1486" s="13" t="n"/>
      <c r="J1486" s="13" t="n"/>
      <c r="K1486" s="14" t="n"/>
      <c r="L1486" s="14" t="n"/>
      <c r="M1486" s="15">
        <f>IF(OR($B1486="",$K1486=""),"",($K1486-IF($L1486="",0,$L1486)*IFERROR(VLOOKUP("P01",ParamTbl,3,0),1.5))*(1-IF(IFERROR(VLOOKUP($E1486,OpTbl,3,0),"")="خرید",IFERROR(VLOOKUP("P02",ParamTbl,3,0),1),0)/100))</f>
        <v/>
      </c>
      <c r="N1486" s="14" t="n"/>
      <c r="O1486" s="13" t="n"/>
    </row>
    <row r="1487">
      <c r="A1487" s="11">
        <f>IF($B1487="","",COUNTA($B$9:$B1487))</f>
        <v/>
      </c>
      <c r="B1487" s="12" t="n"/>
      <c r="C1487" s="12" t="n"/>
      <c r="D1487" s="12" t="n"/>
      <c r="E1487" s="13" t="n"/>
      <c r="F1487" s="11">
        <f>IF($E1487="","",IFERROR(VLOOKUP($E1487,OpTbl,2,0),""))</f>
        <v/>
      </c>
      <c r="G1487" s="12" t="n"/>
      <c r="H1487" s="11">
        <f>IF($G1487="","",IFERROR(IF(VLOOKUP($G1487,AcctTbl,4,0)="","(بدون نام)",VLOOKUP($G1487,AcctTbl,4,0)),"کد ناشناخته"))</f>
        <v/>
      </c>
      <c r="I1487" s="13" t="n"/>
      <c r="J1487" s="13" t="n"/>
      <c r="K1487" s="14" t="n"/>
      <c r="L1487" s="14" t="n"/>
      <c r="M1487" s="15">
        <f>IF(OR($B1487="",$K1487=""),"",($K1487-IF($L1487="",0,$L1487)*IFERROR(VLOOKUP("P01",ParamTbl,3,0),1.5))*(1-IF(IFERROR(VLOOKUP($E1487,OpTbl,3,0),"")="خرید",IFERROR(VLOOKUP("P02",ParamTbl,3,0),1),0)/100))</f>
        <v/>
      </c>
      <c r="N1487" s="14" t="n"/>
      <c r="O1487" s="13" t="n"/>
    </row>
    <row r="1488">
      <c r="A1488" s="11">
        <f>IF($B1488="","",COUNTA($B$9:$B1488))</f>
        <v/>
      </c>
      <c r="B1488" s="12" t="n"/>
      <c r="C1488" s="12" t="n"/>
      <c r="D1488" s="12" t="n"/>
      <c r="E1488" s="13" t="n"/>
      <c r="F1488" s="11">
        <f>IF($E1488="","",IFERROR(VLOOKUP($E1488,OpTbl,2,0),""))</f>
        <v/>
      </c>
      <c r="G1488" s="12" t="n"/>
      <c r="H1488" s="11">
        <f>IF($G1488="","",IFERROR(IF(VLOOKUP($G1488,AcctTbl,4,0)="","(بدون نام)",VLOOKUP($G1488,AcctTbl,4,0)),"کد ناشناخته"))</f>
        <v/>
      </c>
      <c r="I1488" s="13" t="n"/>
      <c r="J1488" s="13" t="n"/>
      <c r="K1488" s="14" t="n"/>
      <c r="L1488" s="14" t="n"/>
      <c r="M1488" s="15">
        <f>IF(OR($B1488="",$K1488=""),"",($K1488-IF($L1488="",0,$L1488)*IFERROR(VLOOKUP("P01",ParamTbl,3,0),1.5))*(1-IF(IFERROR(VLOOKUP($E1488,OpTbl,3,0),"")="خرید",IFERROR(VLOOKUP("P02",ParamTbl,3,0),1),0)/100))</f>
        <v/>
      </c>
      <c r="N1488" s="14" t="n"/>
      <c r="O1488" s="13" t="n"/>
    </row>
    <row r="1489">
      <c r="A1489" s="11">
        <f>IF($B1489="","",COUNTA($B$9:$B1489))</f>
        <v/>
      </c>
      <c r="B1489" s="12" t="n"/>
      <c r="C1489" s="12" t="n"/>
      <c r="D1489" s="12" t="n"/>
      <c r="E1489" s="13" t="n"/>
      <c r="F1489" s="11">
        <f>IF($E1489="","",IFERROR(VLOOKUP($E1489,OpTbl,2,0),""))</f>
        <v/>
      </c>
      <c r="G1489" s="12" t="n"/>
      <c r="H1489" s="11">
        <f>IF($G1489="","",IFERROR(IF(VLOOKUP($G1489,AcctTbl,4,0)="","(بدون نام)",VLOOKUP($G1489,AcctTbl,4,0)),"کد ناشناخته"))</f>
        <v/>
      </c>
      <c r="I1489" s="13" t="n"/>
      <c r="J1489" s="13" t="n"/>
      <c r="K1489" s="14" t="n"/>
      <c r="L1489" s="14" t="n"/>
      <c r="M1489" s="15">
        <f>IF(OR($B1489="",$K1489=""),"",($K1489-IF($L1489="",0,$L1489)*IFERROR(VLOOKUP("P01",ParamTbl,3,0),1.5))*(1-IF(IFERROR(VLOOKUP($E1489,OpTbl,3,0),"")="خرید",IFERROR(VLOOKUP("P02",ParamTbl,3,0),1),0)/100))</f>
        <v/>
      </c>
      <c r="N1489" s="14" t="n"/>
      <c r="O1489" s="13" t="n"/>
    </row>
    <row r="1490">
      <c r="A1490" s="11">
        <f>IF($B1490="","",COUNTA($B$9:$B1490))</f>
        <v/>
      </c>
      <c r="B1490" s="12" t="n"/>
      <c r="C1490" s="12" t="n"/>
      <c r="D1490" s="12" t="n"/>
      <c r="E1490" s="13" t="n"/>
      <c r="F1490" s="11">
        <f>IF($E1490="","",IFERROR(VLOOKUP($E1490,OpTbl,2,0),""))</f>
        <v/>
      </c>
      <c r="G1490" s="12" t="n"/>
      <c r="H1490" s="11">
        <f>IF($G1490="","",IFERROR(IF(VLOOKUP($G1490,AcctTbl,4,0)="","(بدون نام)",VLOOKUP($G1490,AcctTbl,4,0)),"کد ناشناخته"))</f>
        <v/>
      </c>
      <c r="I1490" s="13" t="n"/>
      <c r="J1490" s="13" t="n"/>
      <c r="K1490" s="14" t="n"/>
      <c r="L1490" s="14" t="n"/>
      <c r="M1490" s="15">
        <f>IF(OR($B1490="",$K1490=""),"",($K1490-IF($L1490="",0,$L1490)*IFERROR(VLOOKUP("P01",ParamTbl,3,0),1.5))*(1-IF(IFERROR(VLOOKUP($E1490,OpTbl,3,0),"")="خرید",IFERROR(VLOOKUP("P02",ParamTbl,3,0),1),0)/100))</f>
        <v/>
      </c>
      <c r="N1490" s="14" t="n"/>
      <c r="O1490" s="13" t="n"/>
    </row>
    <row r="1491">
      <c r="A1491" s="11">
        <f>IF($B1491="","",COUNTA($B$9:$B1491))</f>
        <v/>
      </c>
      <c r="B1491" s="12" t="n"/>
      <c r="C1491" s="12" t="n"/>
      <c r="D1491" s="12" t="n"/>
      <c r="E1491" s="13" t="n"/>
      <c r="F1491" s="11">
        <f>IF($E1491="","",IFERROR(VLOOKUP($E1491,OpTbl,2,0),""))</f>
        <v/>
      </c>
      <c r="G1491" s="12" t="n"/>
      <c r="H1491" s="11">
        <f>IF($G1491="","",IFERROR(IF(VLOOKUP($G1491,AcctTbl,4,0)="","(بدون نام)",VLOOKUP($G1491,AcctTbl,4,0)),"کد ناشناخته"))</f>
        <v/>
      </c>
      <c r="I1491" s="13" t="n"/>
      <c r="J1491" s="13" t="n"/>
      <c r="K1491" s="14" t="n"/>
      <c r="L1491" s="14" t="n"/>
      <c r="M1491" s="15">
        <f>IF(OR($B1491="",$K1491=""),"",($K1491-IF($L1491="",0,$L1491)*IFERROR(VLOOKUP("P01",ParamTbl,3,0),1.5))*(1-IF(IFERROR(VLOOKUP($E1491,OpTbl,3,0),"")="خرید",IFERROR(VLOOKUP("P02",ParamTbl,3,0),1),0)/100))</f>
        <v/>
      </c>
      <c r="N1491" s="14" t="n"/>
      <c r="O1491" s="13" t="n"/>
    </row>
    <row r="1492">
      <c r="A1492" s="11">
        <f>IF($B1492="","",COUNTA($B$9:$B1492))</f>
        <v/>
      </c>
      <c r="B1492" s="12" t="n"/>
      <c r="C1492" s="12" t="n"/>
      <c r="D1492" s="12" t="n"/>
      <c r="E1492" s="13" t="n"/>
      <c r="F1492" s="11">
        <f>IF($E1492="","",IFERROR(VLOOKUP($E1492,OpTbl,2,0),""))</f>
        <v/>
      </c>
      <c r="G1492" s="12" t="n"/>
      <c r="H1492" s="11">
        <f>IF($G1492="","",IFERROR(IF(VLOOKUP($G1492,AcctTbl,4,0)="","(بدون نام)",VLOOKUP($G1492,AcctTbl,4,0)),"کد ناشناخته"))</f>
        <v/>
      </c>
      <c r="I1492" s="13" t="n"/>
      <c r="J1492" s="13" t="n"/>
      <c r="K1492" s="14" t="n"/>
      <c r="L1492" s="14" t="n"/>
      <c r="M1492" s="15">
        <f>IF(OR($B1492="",$K1492=""),"",($K1492-IF($L1492="",0,$L1492)*IFERROR(VLOOKUP("P01",ParamTbl,3,0),1.5))*(1-IF(IFERROR(VLOOKUP($E1492,OpTbl,3,0),"")="خرید",IFERROR(VLOOKUP("P02",ParamTbl,3,0),1),0)/100))</f>
        <v/>
      </c>
      <c r="N1492" s="14" t="n"/>
      <c r="O1492" s="13" t="n"/>
    </row>
    <row r="1493">
      <c r="A1493" s="11">
        <f>IF($B1493="","",COUNTA($B$9:$B1493))</f>
        <v/>
      </c>
      <c r="B1493" s="12" t="n"/>
      <c r="C1493" s="12" t="n"/>
      <c r="D1493" s="12" t="n"/>
      <c r="E1493" s="13" t="n"/>
      <c r="F1493" s="11">
        <f>IF($E1493="","",IFERROR(VLOOKUP($E1493,OpTbl,2,0),""))</f>
        <v/>
      </c>
      <c r="G1493" s="12" t="n"/>
      <c r="H1493" s="11">
        <f>IF($G1493="","",IFERROR(IF(VLOOKUP($G1493,AcctTbl,4,0)="","(بدون نام)",VLOOKUP($G1493,AcctTbl,4,0)),"کد ناشناخته"))</f>
        <v/>
      </c>
      <c r="I1493" s="13" t="n"/>
      <c r="J1493" s="13" t="n"/>
      <c r="K1493" s="14" t="n"/>
      <c r="L1493" s="14" t="n"/>
      <c r="M1493" s="15">
        <f>IF(OR($B1493="",$K1493=""),"",($K1493-IF($L1493="",0,$L1493)*IFERROR(VLOOKUP("P01",ParamTbl,3,0),1.5))*(1-IF(IFERROR(VLOOKUP($E1493,OpTbl,3,0),"")="خرید",IFERROR(VLOOKUP("P02",ParamTbl,3,0),1),0)/100))</f>
        <v/>
      </c>
      <c r="N1493" s="14" t="n"/>
      <c r="O1493" s="13" t="n"/>
    </row>
    <row r="1494">
      <c r="A1494" s="11">
        <f>IF($B1494="","",COUNTA($B$9:$B1494))</f>
        <v/>
      </c>
      <c r="B1494" s="12" t="n"/>
      <c r="C1494" s="12" t="n"/>
      <c r="D1494" s="12" t="n"/>
      <c r="E1494" s="13" t="n"/>
      <c r="F1494" s="11">
        <f>IF($E1494="","",IFERROR(VLOOKUP($E1494,OpTbl,2,0),""))</f>
        <v/>
      </c>
      <c r="G1494" s="12" t="n"/>
      <c r="H1494" s="11">
        <f>IF($G1494="","",IFERROR(IF(VLOOKUP($G1494,AcctTbl,4,0)="","(بدون نام)",VLOOKUP($G1494,AcctTbl,4,0)),"کد ناشناخته"))</f>
        <v/>
      </c>
      <c r="I1494" s="13" t="n"/>
      <c r="J1494" s="13" t="n"/>
      <c r="K1494" s="14" t="n"/>
      <c r="L1494" s="14" t="n"/>
      <c r="M1494" s="15">
        <f>IF(OR($B1494="",$K1494=""),"",($K1494-IF($L1494="",0,$L1494)*IFERROR(VLOOKUP("P01",ParamTbl,3,0),1.5))*(1-IF(IFERROR(VLOOKUP($E1494,OpTbl,3,0),"")="خرید",IFERROR(VLOOKUP("P02",ParamTbl,3,0),1),0)/100))</f>
        <v/>
      </c>
      <c r="N1494" s="14" t="n"/>
      <c r="O1494" s="13" t="n"/>
    </row>
    <row r="1495">
      <c r="A1495" s="11">
        <f>IF($B1495="","",COUNTA($B$9:$B1495))</f>
        <v/>
      </c>
      <c r="B1495" s="12" t="n"/>
      <c r="C1495" s="12" t="n"/>
      <c r="D1495" s="12" t="n"/>
      <c r="E1495" s="13" t="n"/>
      <c r="F1495" s="11">
        <f>IF($E1495="","",IFERROR(VLOOKUP($E1495,OpTbl,2,0),""))</f>
        <v/>
      </c>
      <c r="G1495" s="12" t="n"/>
      <c r="H1495" s="11">
        <f>IF($G1495="","",IFERROR(IF(VLOOKUP($G1495,AcctTbl,4,0)="","(بدون نام)",VLOOKUP($G1495,AcctTbl,4,0)),"کد ناشناخته"))</f>
        <v/>
      </c>
      <c r="I1495" s="13" t="n"/>
      <c r="J1495" s="13" t="n"/>
      <c r="K1495" s="14" t="n"/>
      <c r="L1495" s="14" t="n"/>
      <c r="M1495" s="15">
        <f>IF(OR($B1495="",$K1495=""),"",($K1495-IF($L1495="",0,$L1495)*IFERROR(VLOOKUP("P01",ParamTbl,3,0),1.5))*(1-IF(IFERROR(VLOOKUP($E1495,OpTbl,3,0),"")="خرید",IFERROR(VLOOKUP("P02",ParamTbl,3,0),1),0)/100))</f>
        <v/>
      </c>
      <c r="N1495" s="14" t="n"/>
      <c r="O1495" s="13" t="n"/>
    </row>
    <row r="1496">
      <c r="A1496" s="11">
        <f>IF($B1496="","",COUNTA($B$9:$B1496))</f>
        <v/>
      </c>
      <c r="B1496" s="12" t="n"/>
      <c r="C1496" s="12" t="n"/>
      <c r="D1496" s="12" t="n"/>
      <c r="E1496" s="13" t="n"/>
      <c r="F1496" s="11">
        <f>IF($E1496="","",IFERROR(VLOOKUP($E1496,OpTbl,2,0),""))</f>
        <v/>
      </c>
      <c r="G1496" s="12" t="n"/>
      <c r="H1496" s="11">
        <f>IF($G1496="","",IFERROR(IF(VLOOKUP($G1496,AcctTbl,4,0)="","(بدون نام)",VLOOKUP($G1496,AcctTbl,4,0)),"کد ناشناخته"))</f>
        <v/>
      </c>
      <c r="I1496" s="13" t="n"/>
      <c r="J1496" s="13" t="n"/>
      <c r="K1496" s="14" t="n"/>
      <c r="L1496" s="14" t="n"/>
      <c r="M1496" s="15">
        <f>IF(OR($B1496="",$K1496=""),"",($K1496-IF($L1496="",0,$L1496)*IFERROR(VLOOKUP("P01",ParamTbl,3,0),1.5))*(1-IF(IFERROR(VLOOKUP($E1496,OpTbl,3,0),"")="خرید",IFERROR(VLOOKUP("P02",ParamTbl,3,0),1),0)/100))</f>
        <v/>
      </c>
      <c r="N1496" s="14" t="n"/>
      <c r="O1496" s="13" t="n"/>
    </row>
    <row r="1497">
      <c r="A1497" s="11">
        <f>IF($B1497="","",COUNTA($B$9:$B1497))</f>
        <v/>
      </c>
      <c r="B1497" s="12" t="n"/>
      <c r="C1497" s="12" t="n"/>
      <c r="D1497" s="12" t="n"/>
      <c r="E1497" s="13" t="n"/>
      <c r="F1497" s="11">
        <f>IF($E1497="","",IFERROR(VLOOKUP($E1497,OpTbl,2,0),""))</f>
        <v/>
      </c>
      <c r="G1497" s="12" t="n"/>
      <c r="H1497" s="11">
        <f>IF($G1497="","",IFERROR(IF(VLOOKUP($G1497,AcctTbl,4,0)="","(بدون نام)",VLOOKUP($G1497,AcctTbl,4,0)),"کد ناشناخته"))</f>
        <v/>
      </c>
      <c r="I1497" s="13" t="n"/>
      <c r="J1497" s="13" t="n"/>
      <c r="K1497" s="14" t="n"/>
      <c r="L1497" s="14" t="n"/>
      <c r="M1497" s="15">
        <f>IF(OR($B1497="",$K1497=""),"",($K1497-IF($L1497="",0,$L1497)*IFERROR(VLOOKUP("P01",ParamTbl,3,0),1.5))*(1-IF(IFERROR(VLOOKUP($E1497,OpTbl,3,0),"")="خرید",IFERROR(VLOOKUP("P02",ParamTbl,3,0),1),0)/100))</f>
        <v/>
      </c>
      <c r="N1497" s="14" t="n"/>
      <c r="O1497" s="13" t="n"/>
    </row>
    <row r="1498">
      <c r="A1498" s="11">
        <f>IF($B1498="","",COUNTA($B$9:$B1498))</f>
        <v/>
      </c>
      <c r="B1498" s="12" t="n"/>
      <c r="C1498" s="12" t="n"/>
      <c r="D1498" s="12" t="n"/>
      <c r="E1498" s="13" t="n"/>
      <c r="F1498" s="11">
        <f>IF($E1498="","",IFERROR(VLOOKUP($E1498,OpTbl,2,0),""))</f>
        <v/>
      </c>
      <c r="G1498" s="12" t="n"/>
      <c r="H1498" s="11">
        <f>IF($G1498="","",IFERROR(IF(VLOOKUP($G1498,AcctTbl,4,0)="","(بدون نام)",VLOOKUP($G1498,AcctTbl,4,0)),"کد ناشناخته"))</f>
        <v/>
      </c>
      <c r="I1498" s="13" t="n"/>
      <c r="J1498" s="13" t="n"/>
      <c r="K1498" s="14" t="n"/>
      <c r="L1498" s="14" t="n"/>
      <c r="M1498" s="15">
        <f>IF(OR($B1498="",$K1498=""),"",($K1498-IF($L1498="",0,$L1498)*IFERROR(VLOOKUP("P01",ParamTbl,3,0),1.5))*(1-IF(IFERROR(VLOOKUP($E1498,OpTbl,3,0),"")="خرید",IFERROR(VLOOKUP("P02",ParamTbl,3,0),1),0)/100))</f>
        <v/>
      </c>
      <c r="N1498" s="14" t="n"/>
      <c r="O1498" s="13" t="n"/>
    </row>
    <row r="1499">
      <c r="A1499" s="11">
        <f>IF($B1499="","",COUNTA($B$9:$B1499))</f>
        <v/>
      </c>
      <c r="B1499" s="12" t="n"/>
      <c r="C1499" s="12" t="n"/>
      <c r="D1499" s="12" t="n"/>
      <c r="E1499" s="13" t="n"/>
      <c r="F1499" s="11">
        <f>IF($E1499="","",IFERROR(VLOOKUP($E1499,OpTbl,2,0),""))</f>
        <v/>
      </c>
      <c r="G1499" s="12" t="n"/>
      <c r="H1499" s="11">
        <f>IF($G1499="","",IFERROR(IF(VLOOKUP($G1499,AcctTbl,4,0)="","(بدون نام)",VLOOKUP($G1499,AcctTbl,4,0)),"کد ناشناخته"))</f>
        <v/>
      </c>
      <c r="I1499" s="13" t="n"/>
      <c r="J1499" s="13" t="n"/>
      <c r="K1499" s="14" t="n"/>
      <c r="L1499" s="14" t="n"/>
      <c r="M1499" s="15">
        <f>IF(OR($B1499="",$K1499=""),"",($K1499-IF($L1499="",0,$L1499)*IFERROR(VLOOKUP("P01",ParamTbl,3,0),1.5))*(1-IF(IFERROR(VLOOKUP($E1499,OpTbl,3,0),"")="خرید",IFERROR(VLOOKUP("P02",ParamTbl,3,0),1),0)/100))</f>
        <v/>
      </c>
      <c r="N1499" s="14" t="n"/>
      <c r="O1499" s="13" t="n"/>
    </row>
    <row r="1500">
      <c r="A1500" s="11">
        <f>IF($B1500="","",COUNTA($B$9:$B1500))</f>
        <v/>
      </c>
      <c r="B1500" s="12" t="n"/>
      <c r="C1500" s="12" t="n"/>
      <c r="D1500" s="12" t="n"/>
      <c r="E1500" s="13" t="n"/>
      <c r="F1500" s="11">
        <f>IF($E1500="","",IFERROR(VLOOKUP($E1500,OpTbl,2,0),""))</f>
        <v/>
      </c>
      <c r="G1500" s="12" t="n"/>
      <c r="H1500" s="11">
        <f>IF($G1500="","",IFERROR(IF(VLOOKUP($G1500,AcctTbl,4,0)="","(بدون نام)",VLOOKUP($G1500,AcctTbl,4,0)),"کد ناشناخته"))</f>
        <v/>
      </c>
      <c r="I1500" s="13" t="n"/>
      <c r="J1500" s="13" t="n"/>
      <c r="K1500" s="14" t="n"/>
      <c r="L1500" s="14" t="n"/>
      <c r="M1500" s="15">
        <f>IF(OR($B1500="",$K1500=""),"",($K1500-IF($L1500="",0,$L1500)*IFERROR(VLOOKUP("P01",ParamTbl,3,0),1.5))*(1-IF(IFERROR(VLOOKUP($E1500,OpTbl,3,0),"")="خرید",IFERROR(VLOOKUP("P02",ParamTbl,3,0),1),0)/100))</f>
        <v/>
      </c>
      <c r="N1500" s="14" t="n"/>
      <c r="O1500" s="13" t="n"/>
    </row>
    <row r="1501">
      <c r="A1501" s="11">
        <f>IF($B1501="","",COUNTA($B$9:$B1501))</f>
        <v/>
      </c>
      <c r="B1501" s="12" t="n"/>
      <c r="C1501" s="12" t="n"/>
      <c r="D1501" s="12" t="n"/>
      <c r="E1501" s="13" t="n"/>
      <c r="F1501" s="11">
        <f>IF($E1501="","",IFERROR(VLOOKUP($E1501,OpTbl,2,0),""))</f>
        <v/>
      </c>
      <c r="G1501" s="12" t="n"/>
      <c r="H1501" s="11">
        <f>IF($G1501="","",IFERROR(IF(VLOOKUP($G1501,AcctTbl,4,0)="","(بدون نام)",VLOOKUP($G1501,AcctTbl,4,0)),"کد ناشناخته"))</f>
        <v/>
      </c>
      <c r="I1501" s="13" t="n"/>
      <c r="J1501" s="13" t="n"/>
      <c r="K1501" s="14" t="n"/>
      <c r="L1501" s="14" t="n"/>
      <c r="M1501" s="15">
        <f>IF(OR($B1501="",$K1501=""),"",($K1501-IF($L1501="",0,$L1501)*IFERROR(VLOOKUP("P01",ParamTbl,3,0),1.5))*(1-IF(IFERROR(VLOOKUP($E1501,OpTbl,3,0),"")="خرید",IFERROR(VLOOKUP("P02",ParamTbl,3,0),1),0)/100))</f>
        <v/>
      </c>
      <c r="N1501" s="14" t="n"/>
      <c r="O1501" s="13" t="n"/>
    </row>
    <row r="1502">
      <c r="A1502" s="11">
        <f>IF($B1502="","",COUNTA($B$9:$B1502))</f>
        <v/>
      </c>
      <c r="B1502" s="12" t="n"/>
      <c r="C1502" s="12" t="n"/>
      <c r="D1502" s="12" t="n"/>
      <c r="E1502" s="13" t="n"/>
      <c r="F1502" s="11">
        <f>IF($E1502="","",IFERROR(VLOOKUP($E1502,OpTbl,2,0),""))</f>
        <v/>
      </c>
      <c r="G1502" s="12" t="n"/>
      <c r="H1502" s="11">
        <f>IF($G1502="","",IFERROR(IF(VLOOKUP($G1502,AcctTbl,4,0)="","(بدون نام)",VLOOKUP($G1502,AcctTbl,4,0)),"کد ناشناخته"))</f>
        <v/>
      </c>
      <c r="I1502" s="13" t="n"/>
      <c r="J1502" s="13" t="n"/>
      <c r="K1502" s="14" t="n"/>
      <c r="L1502" s="14" t="n"/>
      <c r="M1502" s="15">
        <f>IF(OR($B1502="",$K1502=""),"",($K1502-IF($L1502="",0,$L1502)*IFERROR(VLOOKUP("P01",ParamTbl,3,0),1.5))*(1-IF(IFERROR(VLOOKUP($E1502,OpTbl,3,0),"")="خرید",IFERROR(VLOOKUP("P02",ParamTbl,3,0),1),0)/100))</f>
        <v/>
      </c>
      <c r="N1502" s="14" t="n"/>
      <c r="O1502" s="13" t="n"/>
    </row>
    <row r="1503">
      <c r="A1503" s="11">
        <f>IF($B1503="","",COUNTA($B$9:$B1503))</f>
        <v/>
      </c>
      <c r="B1503" s="12" t="n"/>
      <c r="C1503" s="12" t="n"/>
      <c r="D1503" s="12" t="n"/>
      <c r="E1503" s="13" t="n"/>
      <c r="F1503" s="11">
        <f>IF($E1503="","",IFERROR(VLOOKUP($E1503,OpTbl,2,0),""))</f>
        <v/>
      </c>
      <c r="G1503" s="12" t="n"/>
      <c r="H1503" s="11">
        <f>IF($G1503="","",IFERROR(IF(VLOOKUP($G1503,AcctTbl,4,0)="","(بدون نام)",VLOOKUP($G1503,AcctTbl,4,0)),"کد ناشناخته"))</f>
        <v/>
      </c>
      <c r="I1503" s="13" t="n"/>
      <c r="J1503" s="13" t="n"/>
      <c r="K1503" s="14" t="n"/>
      <c r="L1503" s="14" t="n"/>
      <c r="M1503" s="15">
        <f>IF(OR($B1503="",$K1503=""),"",($K1503-IF($L1503="",0,$L1503)*IFERROR(VLOOKUP("P01",ParamTbl,3,0),1.5))*(1-IF(IFERROR(VLOOKUP($E1503,OpTbl,3,0),"")="خرید",IFERROR(VLOOKUP("P02",ParamTbl,3,0),1),0)/100))</f>
        <v/>
      </c>
      <c r="N1503" s="14" t="n"/>
      <c r="O1503" s="13" t="n"/>
    </row>
    <row r="1504">
      <c r="A1504" s="11">
        <f>IF($B1504="","",COUNTA($B$9:$B1504))</f>
        <v/>
      </c>
      <c r="B1504" s="12" t="n"/>
      <c r="C1504" s="12" t="n"/>
      <c r="D1504" s="12" t="n"/>
      <c r="E1504" s="13" t="n"/>
      <c r="F1504" s="11">
        <f>IF($E1504="","",IFERROR(VLOOKUP($E1504,OpTbl,2,0),""))</f>
        <v/>
      </c>
      <c r="G1504" s="12" t="n"/>
      <c r="H1504" s="11">
        <f>IF($G1504="","",IFERROR(IF(VLOOKUP($G1504,AcctTbl,4,0)="","(بدون نام)",VLOOKUP($G1504,AcctTbl,4,0)),"کد ناشناخته"))</f>
        <v/>
      </c>
      <c r="I1504" s="13" t="n"/>
      <c r="J1504" s="13" t="n"/>
      <c r="K1504" s="14" t="n"/>
      <c r="L1504" s="14" t="n"/>
      <c r="M1504" s="15">
        <f>IF(OR($B1504="",$K1504=""),"",($K1504-IF($L1504="",0,$L1504)*IFERROR(VLOOKUP("P01",ParamTbl,3,0),1.5))*(1-IF(IFERROR(VLOOKUP($E1504,OpTbl,3,0),"")="خرید",IFERROR(VLOOKUP("P02",ParamTbl,3,0),1),0)/100))</f>
        <v/>
      </c>
      <c r="N1504" s="14" t="n"/>
      <c r="O1504" s="13" t="n"/>
    </row>
    <row r="1505">
      <c r="A1505" s="11">
        <f>IF($B1505="","",COUNTA($B$9:$B1505))</f>
        <v/>
      </c>
      <c r="B1505" s="12" t="n"/>
      <c r="C1505" s="12" t="n"/>
      <c r="D1505" s="12" t="n"/>
      <c r="E1505" s="13" t="n"/>
      <c r="F1505" s="11">
        <f>IF($E1505="","",IFERROR(VLOOKUP($E1505,OpTbl,2,0),""))</f>
        <v/>
      </c>
      <c r="G1505" s="12" t="n"/>
      <c r="H1505" s="11">
        <f>IF($G1505="","",IFERROR(IF(VLOOKUP($G1505,AcctTbl,4,0)="","(بدون نام)",VLOOKUP($G1505,AcctTbl,4,0)),"کد ناشناخته"))</f>
        <v/>
      </c>
      <c r="I1505" s="13" t="n"/>
      <c r="J1505" s="13" t="n"/>
      <c r="K1505" s="14" t="n"/>
      <c r="L1505" s="14" t="n"/>
      <c r="M1505" s="15">
        <f>IF(OR($B1505="",$K1505=""),"",($K1505-IF($L1505="",0,$L1505)*IFERROR(VLOOKUP("P01",ParamTbl,3,0),1.5))*(1-IF(IFERROR(VLOOKUP($E1505,OpTbl,3,0),"")="خرید",IFERROR(VLOOKUP("P02",ParamTbl,3,0),1),0)/100))</f>
        <v/>
      </c>
      <c r="N1505" s="14" t="n"/>
      <c r="O1505" s="13" t="n"/>
    </row>
    <row r="1506">
      <c r="A1506" s="11">
        <f>IF($B1506="","",COUNTA($B$9:$B1506))</f>
        <v/>
      </c>
      <c r="B1506" s="12" t="n"/>
      <c r="C1506" s="12" t="n"/>
      <c r="D1506" s="12" t="n"/>
      <c r="E1506" s="13" t="n"/>
      <c r="F1506" s="11">
        <f>IF($E1506="","",IFERROR(VLOOKUP($E1506,OpTbl,2,0),""))</f>
        <v/>
      </c>
      <c r="G1506" s="12" t="n"/>
      <c r="H1506" s="11">
        <f>IF($G1506="","",IFERROR(IF(VLOOKUP($G1506,AcctTbl,4,0)="","(بدون نام)",VLOOKUP($G1506,AcctTbl,4,0)),"کد ناشناخته"))</f>
        <v/>
      </c>
      <c r="I1506" s="13" t="n"/>
      <c r="J1506" s="13" t="n"/>
      <c r="K1506" s="14" t="n"/>
      <c r="L1506" s="14" t="n"/>
      <c r="M1506" s="15">
        <f>IF(OR($B1506="",$K1506=""),"",($K1506-IF($L1506="",0,$L1506)*IFERROR(VLOOKUP("P01",ParamTbl,3,0),1.5))*(1-IF(IFERROR(VLOOKUP($E1506,OpTbl,3,0),"")="خرید",IFERROR(VLOOKUP("P02",ParamTbl,3,0),1),0)/100))</f>
        <v/>
      </c>
      <c r="N1506" s="14" t="n"/>
      <c r="O1506" s="13" t="n"/>
    </row>
    <row r="1507">
      <c r="A1507" s="11">
        <f>IF($B1507="","",COUNTA($B$9:$B1507))</f>
        <v/>
      </c>
      <c r="B1507" s="12" t="n"/>
      <c r="C1507" s="12" t="n"/>
      <c r="D1507" s="12" t="n"/>
      <c r="E1507" s="13" t="n"/>
      <c r="F1507" s="11">
        <f>IF($E1507="","",IFERROR(VLOOKUP($E1507,OpTbl,2,0),""))</f>
        <v/>
      </c>
      <c r="G1507" s="12" t="n"/>
      <c r="H1507" s="11">
        <f>IF($G1507="","",IFERROR(IF(VLOOKUP($G1507,AcctTbl,4,0)="","(بدون نام)",VLOOKUP($G1507,AcctTbl,4,0)),"کد ناشناخته"))</f>
        <v/>
      </c>
      <c r="I1507" s="13" t="n"/>
      <c r="J1507" s="13" t="n"/>
      <c r="K1507" s="14" t="n"/>
      <c r="L1507" s="14" t="n"/>
      <c r="M1507" s="15">
        <f>IF(OR($B1507="",$K1507=""),"",($K1507-IF($L1507="",0,$L1507)*IFERROR(VLOOKUP("P01",ParamTbl,3,0),1.5))*(1-IF(IFERROR(VLOOKUP($E1507,OpTbl,3,0),"")="خرید",IFERROR(VLOOKUP("P02",ParamTbl,3,0),1),0)/100))</f>
        <v/>
      </c>
      <c r="N1507" s="14" t="n"/>
      <c r="O1507" s="13" t="n"/>
    </row>
    <row r="1508">
      <c r="A1508" s="11">
        <f>IF($B1508="","",COUNTA($B$9:$B1508))</f>
        <v/>
      </c>
      <c r="B1508" s="12" t="n"/>
      <c r="C1508" s="12" t="n"/>
      <c r="D1508" s="12" t="n"/>
      <c r="E1508" s="13" t="n"/>
      <c r="F1508" s="11">
        <f>IF($E1508="","",IFERROR(VLOOKUP($E1508,OpTbl,2,0),""))</f>
        <v/>
      </c>
      <c r="G1508" s="12" t="n"/>
      <c r="H1508" s="11">
        <f>IF($G1508="","",IFERROR(IF(VLOOKUP($G1508,AcctTbl,4,0)="","(بدون نام)",VLOOKUP($G1508,AcctTbl,4,0)),"کد ناشناخته"))</f>
        <v/>
      </c>
      <c r="I1508" s="13" t="n"/>
      <c r="J1508" s="13" t="n"/>
      <c r="K1508" s="14" t="n"/>
      <c r="L1508" s="14" t="n"/>
      <c r="M1508" s="15">
        <f>IF(OR($B1508="",$K1508=""),"",($K1508-IF($L1508="",0,$L1508)*IFERROR(VLOOKUP("P01",ParamTbl,3,0),1.5))*(1-IF(IFERROR(VLOOKUP($E1508,OpTbl,3,0),"")="خرید",IFERROR(VLOOKUP("P02",ParamTbl,3,0),1),0)/100))</f>
        <v/>
      </c>
      <c r="N1508" s="14" t="n"/>
      <c r="O1508" s="13" t="n"/>
    </row>
    <row r="1509">
      <c r="A1509" s="11">
        <f>IF($B1509="","",COUNTA($B$9:$B1509))</f>
        <v/>
      </c>
      <c r="B1509" s="12" t="n"/>
      <c r="C1509" s="12" t="n"/>
      <c r="D1509" s="12" t="n"/>
      <c r="E1509" s="13" t="n"/>
      <c r="F1509" s="11">
        <f>IF($E1509="","",IFERROR(VLOOKUP($E1509,OpTbl,2,0),""))</f>
        <v/>
      </c>
      <c r="G1509" s="12" t="n"/>
      <c r="H1509" s="11">
        <f>IF($G1509="","",IFERROR(IF(VLOOKUP($G1509,AcctTbl,4,0)="","(بدون نام)",VLOOKUP($G1509,AcctTbl,4,0)),"کد ناشناخته"))</f>
        <v/>
      </c>
      <c r="I1509" s="13" t="n"/>
      <c r="J1509" s="13" t="n"/>
      <c r="K1509" s="14" t="n"/>
      <c r="L1509" s="14" t="n"/>
      <c r="M1509" s="15">
        <f>IF(OR($B1509="",$K1509=""),"",($K1509-IF($L1509="",0,$L1509)*IFERROR(VLOOKUP("P01",ParamTbl,3,0),1.5))*(1-IF(IFERROR(VLOOKUP($E1509,OpTbl,3,0),"")="خرید",IFERROR(VLOOKUP("P02",ParamTbl,3,0),1),0)/100))</f>
        <v/>
      </c>
      <c r="N1509" s="14" t="n"/>
      <c r="O1509" s="13" t="n"/>
    </row>
    <row r="1510">
      <c r="A1510" s="11">
        <f>IF($B1510="","",COUNTA($B$9:$B1510))</f>
        <v/>
      </c>
      <c r="B1510" s="12" t="n"/>
      <c r="C1510" s="12" t="n"/>
      <c r="D1510" s="12" t="n"/>
      <c r="E1510" s="13" t="n"/>
      <c r="F1510" s="11">
        <f>IF($E1510="","",IFERROR(VLOOKUP($E1510,OpTbl,2,0),""))</f>
        <v/>
      </c>
      <c r="G1510" s="12" t="n"/>
      <c r="H1510" s="11">
        <f>IF($G1510="","",IFERROR(IF(VLOOKUP($G1510,AcctTbl,4,0)="","(بدون نام)",VLOOKUP($G1510,AcctTbl,4,0)),"کد ناشناخته"))</f>
        <v/>
      </c>
      <c r="I1510" s="13" t="n"/>
      <c r="J1510" s="13" t="n"/>
      <c r="K1510" s="14" t="n"/>
      <c r="L1510" s="14" t="n"/>
      <c r="M1510" s="15">
        <f>IF(OR($B1510="",$K1510=""),"",($K1510-IF($L1510="",0,$L1510)*IFERROR(VLOOKUP("P01",ParamTbl,3,0),1.5))*(1-IF(IFERROR(VLOOKUP($E1510,OpTbl,3,0),"")="خرید",IFERROR(VLOOKUP("P02",ParamTbl,3,0),1),0)/100))</f>
        <v/>
      </c>
      <c r="N1510" s="14" t="n"/>
      <c r="O1510" s="13" t="n"/>
    </row>
    <row r="1511">
      <c r="A1511" s="11">
        <f>IF($B1511="","",COUNTA($B$9:$B1511))</f>
        <v/>
      </c>
      <c r="B1511" s="12" t="n"/>
      <c r="C1511" s="12" t="n"/>
      <c r="D1511" s="12" t="n"/>
      <c r="E1511" s="13" t="n"/>
      <c r="F1511" s="11">
        <f>IF($E1511="","",IFERROR(VLOOKUP($E1511,OpTbl,2,0),""))</f>
        <v/>
      </c>
      <c r="G1511" s="12" t="n"/>
      <c r="H1511" s="11">
        <f>IF($G1511="","",IFERROR(IF(VLOOKUP($G1511,AcctTbl,4,0)="","(بدون نام)",VLOOKUP($G1511,AcctTbl,4,0)),"کد ناشناخته"))</f>
        <v/>
      </c>
      <c r="I1511" s="13" t="n"/>
      <c r="J1511" s="13" t="n"/>
      <c r="K1511" s="14" t="n"/>
      <c r="L1511" s="14" t="n"/>
      <c r="M1511" s="15">
        <f>IF(OR($B1511="",$K1511=""),"",($K1511-IF($L1511="",0,$L1511)*IFERROR(VLOOKUP("P01",ParamTbl,3,0),1.5))*(1-IF(IFERROR(VLOOKUP($E1511,OpTbl,3,0),"")="خرید",IFERROR(VLOOKUP("P02",ParamTbl,3,0),1),0)/100))</f>
        <v/>
      </c>
      <c r="N1511" s="14" t="n"/>
      <c r="O1511" s="13" t="n"/>
    </row>
    <row r="1512">
      <c r="A1512" s="11">
        <f>IF($B1512="","",COUNTA($B$9:$B1512))</f>
        <v/>
      </c>
      <c r="B1512" s="12" t="n"/>
      <c r="C1512" s="12" t="n"/>
      <c r="D1512" s="12" t="n"/>
      <c r="E1512" s="13" t="n"/>
      <c r="F1512" s="11">
        <f>IF($E1512="","",IFERROR(VLOOKUP($E1512,OpTbl,2,0),""))</f>
        <v/>
      </c>
      <c r="G1512" s="12" t="n"/>
      <c r="H1512" s="11">
        <f>IF($G1512="","",IFERROR(IF(VLOOKUP($G1512,AcctTbl,4,0)="","(بدون نام)",VLOOKUP($G1512,AcctTbl,4,0)),"کد ناشناخته"))</f>
        <v/>
      </c>
      <c r="I1512" s="13" t="n"/>
      <c r="J1512" s="13" t="n"/>
      <c r="K1512" s="14" t="n"/>
      <c r="L1512" s="14" t="n"/>
      <c r="M1512" s="15">
        <f>IF(OR($B1512="",$K1512=""),"",($K1512-IF($L1512="",0,$L1512)*IFERROR(VLOOKUP("P01",ParamTbl,3,0),1.5))*(1-IF(IFERROR(VLOOKUP($E1512,OpTbl,3,0),"")="خرید",IFERROR(VLOOKUP("P02",ParamTbl,3,0),1),0)/100))</f>
        <v/>
      </c>
      <c r="N1512" s="14" t="n"/>
      <c r="O1512" s="13" t="n"/>
    </row>
    <row r="1513">
      <c r="A1513" s="11">
        <f>IF($B1513="","",COUNTA($B$9:$B1513))</f>
        <v/>
      </c>
      <c r="B1513" s="12" t="n"/>
      <c r="C1513" s="12" t="n"/>
      <c r="D1513" s="12" t="n"/>
      <c r="E1513" s="13" t="n"/>
      <c r="F1513" s="11">
        <f>IF($E1513="","",IFERROR(VLOOKUP($E1513,OpTbl,2,0),""))</f>
        <v/>
      </c>
      <c r="G1513" s="12" t="n"/>
      <c r="H1513" s="11">
        <f>IF($G1513="","",IFERROR(IF(VLOOKUP($G1513,AcctTbl,4,0)="","(بدون نام)",VLOOKUP($G1513,AcctTbl,4,0)),"کد ناشناخته"))</f>
        <v/>
      </c>
      <c r="I1513" s="13" t="n"/>
      <c r="J1513" s="13" t="n"/>
      <c r="K1513" s="14" t="n"/>
      <c r="L1513" s="14" t="n"/>
      <c r="M1513" s="15">
        <f>IF(OR($B1513="",$K1513=""),"",($K1513-IF($L1513="",0,$L1513)*IFERROR(VLOOKUP("P01",ParamTbl,3,0),1.5))*(1-IF(IFERROR(VLOOKUP($E1513,OpTbl,3,0),"")="خرید",IFERROR(VLOOKUP("P02",ParamTbl,3,0),1),0)/100))</f>
        <v/>
      </c>
      <c r="N1513" s="14" t="n"/>
      <c r="O1513" s="13" t="n"/>
    </row>
    <row r="1514">
      <c r="A1514" s="11">
        <f>IF($B1514="","",COUNTA($B$9:$B1514))</f>
        <v/>
      </c>
      <c r="B1514" s="12" t="n"/>
      <c r="C1514" s="12" t="n"/>
      <c r="D1514" s="12" t="n"/>
      <c r="E1514" s="13" t="n"/>
      <c r="F1514" s="11">
        <f>IF($E1514="","",IFERROR(VLOOKUP($E1514,OpTbl,2,0),""))</f>
        <v/>
      </c>
      <c r="G1514" s="12" t="n"/>
      <c r="H1514" s="11">
        <f>IF($G1514="","",IFERROR(IF(VLOOKUP($G1514,AcctTbl,4,0)="","(بدون نام)",VLOOKUP($G1514,AcctTbl,4,0)),"کد ناشناخته"))</f>
        <v/>
      </c>
      <c r="I1514" s="13" t="n"/>
      <c r="J1514" s="13" t="n"/>
      <c r="K1514" s="14" t="n"/>
      <c r="L1514" s="14" t="n"/>
      <c r="M1514" s="15">
        <f>IF(OR($B1514="",$K1514=""),"",($K1514-IF($L1514="",0,$L1514)*IFERROR(VLOOKUP("P01",ParamTbl,3,0),1.5))*(1-IF(IFERROR(VLOOKUP($E1514,OpTbl,3,0),"")="خرید",IFERROR(VLOOKUP("P02",ParamTbl,3,0),1),0)/100))</f>
        <v/>
      </c>
      <c r="N1514" s="14" t="n"/>
      <c r="O1514" s="13" t="n"/>
    </row>
    <row r="1515">
      <c r="A1515" s="11">
        <f>IF($B1515="","",COUNTA($B$9:$B1515))</f>
        <v/>
      </c>
      <c r="B1515" s="12" t="n"/>
      <c r="C1515" s="12" t="n"/>
      <c r="D1515" s="12" t="n"/>
      <c r="E1515" s="13" t="n"/>
      <c r="F1515" s="11">
        <f>IF($E1515="","",IFERROR(VLOOKUP($E1515,OpTbl,2,0),""))</f>
        <v/>
      </c>
      <c r="G1515" s="12" t="n"/>
      <c r="H1515" s="11">
        <f>IF($G1515="","",IFERROR(IF(VLOOKUP($G1515,AcctTbl,4,0)="","(بدون نام)",VLOOKUP($G1515,AcctTbl,4,0)),"کد ناشناخته"))</f>
        <v/>
      </c>
      <c r="I1515" s="13" t="n"/>
      <c r="J1515" s="13" t="n"/>
      <c r="K1515" s="14" t="n"/>
      <c r="L1515" s="14" t="n"/>
      <c r="M1515" s="15">
        <f>IF(OR($B1515="",$K1515=""),"",($K1515-IF($L1515="",0,$L1515)*IFERROR(VLOOKUP("P01",ParamTbl,3,0),1.5))*(1-IF(IFERROR(VLOOKUP($E1515,OpTbl,3,0),"")="خرید",IFERROR(VLOOKUP("P02",ParamTbl,3,0),1),0)/100))</f>
        <v/>
      </c>
      <c r="N1515" s="14" t="n"/>
      <c r="O1515" s="13" t="n"/>
    </row>
    <row r="1516">
      <c r="A1516" s="11">
        <f>IF($B1516="","",COUNTA($B$9:$B1516))</f>
        <v/>
      </c>
      <c r="B1516" s="12" t="n"/>
      <c r="C1516" s="12" t="n"/>
      <c r="D1516" s="12" t="n"/>
      <c r="E1516" s="13" t="n"/>
      <c r="F1516" s="11">
        <f>IF($E1516="","",IFERROR(VLOOKUP($E1516,OpTbl,2,0),""))</f>
        <v/>
      </c>
      <c r="G1516" s="12" t="n"/>
      <c r="H1516" s="11">
        <f>IF($G1516="","",IFERROR(IF(VLOOKUP($G1516,AcctTbl,4,0)="","(بدون نام)",VLOOKUP($G1516,AcctTbl,4,0)),"کد ناشناخته"))</f>
        <v/>
      </c>
      <c r="I1516" s="13" t="n"/>
      <c r="J1516" s="13" t="n"/>
      <c r="K1516" s="14" t="n"/>
      <c r="L1516" s="14" t="n"/>
      <c r="M1516" s="15">
        <f>IF(OR($B1516="",$K1516=""),"",($K1516-IF($L1516="",0,$L1516)*IFERROR(VLOOKUP("P01",ParamTbl,3,0),1.5))*(1-IF(IFERROR(VLOOKUP($E1516,OpTbl,3,0),"")="خرید",IFERROR(VLOOKUP("P02",ParamTbl,3,0),1),0)/100))</f>
        <v/>
      </c>
      <c r="N1516" s="14" t="n"/>
      <c r="O1516" s="13" t="n"/>
    </row>
    <row r="1517">
      <c r="A1517" s="11">
        <f>IF($B1517="","",COUNTA($B$9:$B1517))</f>
        <v/>
      </c>
      <c r="B1517" s="12" t="n"/>
      <c r="C1517" s="12" t="n"/>
      <c r="D1517" s="12" t="n"/>
      <c r="E1517" s="13" t="n"/>
      <c r="F1517" s="11">
        <f>IF($E1517="","",IFERROR(VLOOKUP($E1517,OpTbl,2,0),""))</f>
        <v/>
      </c>
      <c r="G1517" s="12" t="n"/>
      <c r="H1517" s="11">
        <f>IF($G1517="","",IFERROR(IF(VLOOKUP($G1517,AcctTbl,4,0)="","(بدون نام)",VLOOKUP($G1517,AcctTbl,4,0)),"کد ناشناخته"))</f>
        <v/>
      </c>
      <c r="I1517" s="13" t="n"/>
      <c r="J1517" s="13" t="n"/>
      <c r="K1517" s="14" t="n"/>
      <c r="L1517" s="14" t="n"/>
      <c r="M1517" s="15">
        <f>IF(OR($B1517="",$K1517=""),"",($K1517-IF($L1517="",0,$L1517)*IFERROR(VLOOKUP("P01",ParamTbl,3,0),1.5))*(1-IF(IFERROR(VLOOKUP($E1517,OpTbl,3,0),"")="خرید",IFERROR(VLOOKUP("P02",ParamTbl,3,0),1),0)/100))</f>
        <v/>
      </c>
      <c r="N1517" s="14" t="n"/>
      <c r="O1517" s="13" t="n"/>
    </row>
    <row r="1518">
      <c r="A1518" s="11">
        <f>IF($B1518="","",COUNTA($B$9:$B1518))</f>
        <v/>
      </c>
      <c r="B1518" s="12" t="n"/>
      <c r="C1518" s="12" t="n"/>
      <c r="D1518" s="12" t="n"/>
      <c r="E1518" s="13" t="n"/>
      <c r="F1518" s="11">
        <f>IF($E1518="","",IFERROR(VLOOKUP($E1518,OpTbl,2,0),""))</f>
        <v/>
      </c>
      <c r="G1518" s="12" t="n"/>
      <c r="H1518" s="11">
        <f>IF($G1518="","",IFERROR(IF(VLOOKUP($G1518,AcctTbl,4,0)="","(بدون نام)",VLOOKUP($G1518,AcctTbl,4,0)),"کد ناشناخته"))</f>
        <v/>
      </c>
      <c r="I1518" s="13" t="n"/>
      <c r="J1518" s="13" t="n"/>
      <c r="K1518" s="14" t="n"/>
      <c r="L1518" s="14" t="n"/>
      <c r="M1518" s="15">
        <f>IF(OR($B1518="",$K1518=""),"",($K1518-IF($L1518="",0,$L1518)*IFERROR(VLOOKUP("P01",ParamTbl,3,0),1.5))*(1-IF(IFERROR(VLOOKUP($E1518,OpTbl,3,0),"")="خرید",IFERROR(VLOOKUP("P02",ParamTbl,3,0),1),0)/100))</f>
        <v/>
      </c>
      <c r="N1518" s="14" t="n"/>
      <c r="O1518" s="13" t="n"/>
    </row>
    <row r="1519">
      <c r="A1519" s="11">
        <f>IF($B1519="","",COUNTA($B$9:$B1519))</f>
        <v/>
      </c>
      <c r="B1519" s="12" t="n"/>
      <c r="C1519" s="12" t="n"/>
      <c r="D1519" s="12" t="n"/>
      <c r="E1519" s="13" t="n"/>
      <c r="F1519" s="11">
        <f>IF($E1519="","",IFERROR(VLOOKUP($E1519,OpTbl,2,0),""))</f>
        <v/>
      </c>
      <c r="G1519" s="12" t="n"/>
      <c r="H1519" s="11">
        <f>IF($G1519="","",IFERROR(IF(VLOOKUP($G1519,AcctTbl,4,0)="","(بدون نام)",VLOOKUP($G1519,AcctTbl,4,0)),"کد ناشناخته"))</f>
        <v/>
      </c>
      <c r="I1519" s="13" t="n"/>
      <c r="J1519" s="13" t="n"/>
      <c r="K1519" s="14" t="n"/>
      <c r="L1519" s="14" t="n"/>
      <c r="M1519" s="15">
        <f>IF(OR($B1519="",$K1519=""),"",($K1519-IF($L1519="",0,$L1519)*IFERROR(VLOOKUP("P01",ParamTbl,3,0),1.5))*(1-IF(IFERROR(VLOOKUP($E1519,OpTbl,3,0),"")="خرید",IFERROR(VLOOKUP("P02",ParamTbl,3,0),1),0)/100))</f>
        <v/>
      </c>
      <c r="N1519" s="14" t="n"/>
      <c r="O1519" s="13" t="n"/>
    </row>
    <row r="1520">
      <c r="A1520" s="11">
        <f>IF($B1520="","",COUNTA($B$9:$B1520))</f>
        <v/>
      </c>
      <c r="B1520" s="12" t="n"/>
      <c r="C1520" s="12" t="n"/>
      <c r="D1520" s="12" t="n"/>
      <c r="E1520" s="13" t="n"/>
      <c r="F1520" s="11">
        <f>IF($E1520="","",IFERROR(VLOOKUP($E1520,OpTbl,2,0),""))</f>
        <v/>
      </c>
      <c r="G1520" s="12" t="n"/>
      <c r="H1520" s="11">
        <f>IF($G1520="","",IFERROR(IF(VLOOKUP($G1520,AcctTbl,4,0)="","(بدون نام)",VLOOKUP($G1520,AcctTbl,4,0)),"کد ناشناخته"))</f>
        <v/>
      </c>
      <c r="I1520" s="13" t="n"/>
      <c r="J1520" s="13" t="n"/>
      <c r="K1520" s="14" t="n"/>
      <c r="L1520" s="14" t="n"/>
      <c r="M1520" s="15">
        <f>IF(OR($B1520="",$K1520=""),"",($K1520-IF($L1520="",0,$L1520)*IFERROR(VLOOKUP("P01",ParamTbl,3,0),1.5))*(1-IF(IFERROR(VLOOKUP($E1520,OpTbl,3,0),"")="خرید",IFERROR(VLOOKUP("P02",ParamTbl,3,0),1),0)/100))</f>
        <v/>
      </c>
      <c r="N1520" s="14" t="n"/>
      <c r="O1520" s="13" t="n"/>
    </row>
    <row r="1521">
      <c r="A1521" s="11">
        <f>IF($B1521="","",COUNTA($B$9:$B1521))</f>
        <v/>
      </c>
      <c r="B1521" s="12" t="n"/>
      <c r="C1521" s="12" t="n"/>
      <c r="D1521" s="12" t="n"/>
      <c r="E1521" s="13" t="n"/>
      <c r="F1521" s="11">
        <f>IF($E1521="","",IFERROR(VLOOKUP($E1521,OpTbl,2,0),""))</f>
        <v/>
      </c>
      <c r="G1521" s="12" t="n"/>
      <c r="H1521" s="11">
        <f>IF($G1521="","",IFERROR(IF(VLOOKUP($G1521,AcctTbl,4,0)="","(بدون نام)",VLOOKUP($G1521,AcctTbl,4,0)),"کد ناشناخته"))</f>
        <v/>
      </c>
      <c r="I1521" s="13" t="n"/>
      <c r="J1521" s="13" t="n"/>
      <c r="K1521" s="14" t="n"/>
      <c r="L1521" s="14" t="n"/>
      <c r="M1521" s="15">
        <f>IF(OR($B1521="",$K1521=""),"",($K1521-IF($L1521="",0,$L1521)*IFERROR(VLOOKUP("P01",ParamTbl,3,0),1.5))*(1-IF(IFERROR(VLOOKUP($E1521,OpTbl,3,0),"")="خرید",IFERROR(VLOOKUP("P02",ParamTbl,3,0),1),0)/100))</f>
        <v/>
      </c>
      <c r="N1521" s="14" t="n"/>
      <c r="O1521" s="13" t="n"/>
    </row>
    <row r="1522">
      <c r="A1522" s="11">
        <f>IF($B1522="","",COUNTA($B$9:$B1522))</f>
        <v/>
      </c>
      <c r="B1522" s="12" t="n"/>
      <c r="C1522" s="12" t="n"/>
      <c r="D1522" s="12" t="n"/>
      <c r="E1522" s="13" t="n"/>
      <c r="F1522" s="11">
        <f>IF($E1522="","",IFERROR(VLOOKUP($E1522,OpTbl,2,0),""))</f>
        <v/>
      </c>
      <c r="G1522" s="12" t="n"/>
      <c r="H1522" s="11">
        <f>IF($G1522="","",IFERROR(IF(VLOOKUP($G1522,AcctTbl,4,0)="","(بدون نام)",VLOOKUP($G1522,AcctTbl,4,0)),"کد ناشناخته"))</f>
        <v/>
      </c>
      <c r="I1522" s="13" t="n"/>
      <c r="J1522" s="13" t="n"/>
      <c r="K1522" s="14" t="n"/>
      <c r="L1522" s="14" t="n"/>
      <c r="M1522" s="15">
        <f>IF(OR($B1522="",$K1522=""),"",($K1522-IF($L1522="",0,$L1522)*IFERROR(VLOOKUP("P01",ParamTbl,3,0),1.5))*(1-IF(IFERROR(VLOOKUP($E1522,OpTbl,3,0),"")="خرید",IFERROR(VLOOKUP("P02",ParamTbl,3,0),1),0)/100))</f>
        <v/>
      </c>
      <c r="N1522" s="14" t="n"/>
      <c r="O1522" s="13" t="n"/>
    </row>
    <row r="1523">
      <c r="A1523" s="11">
        <f>IF($B1523="","",COUNTA($B$9:$B1523))</f>
        <v/>
      </c>
      <c r="B1523" s="12" t="n"/>
      <c r="C1523" s="12" t="n"/>
      <c r="D1523" s="12" t="n"/>
      <c r="E1523" s="13" t="n"/>
      <c r="F1523" s="11">
        <f>IF($E1523="","",IFERROR(VLOOKUP($E1523,OpTbl,2,0),""))</f>
        <v/>
      </c>
      <c r="G1523" s="12" t="n"/>
      <c r="H1523" s="11">
        <f>IF($G1523="","",IFERROR(IF(VLOOKUP($G1523,AcctTbl,4,0)="","(بدون نام)",VLOOKUP($G1523,AcctTbl,4,0)),"کد ناشناخته"))</f>
        <v/>
      </c>
      <c r="I1523" s="13" t="n"/>
      <c r="J1523" s="13" t="n"/>
      <c r="K1523" s="14" t="n"/>
      <c r="L1523" s="14" t="n"/>
      <c r="M1523" s="15">
        <f>IF(OR($B1523="",$K1523=""),"",($K1523-IF($L1523="",0,$L1523)*IFERROR(VLOOKUP("P01",ParamTbl,3,0),1.5))*(1-IF(IFERROR(VLOOKUP($E1523,OpTbl,3,0),"")="خرید",IFERROR(VLOOKUP("P02",ParamTbl,3,0),1),0)/100))</f>
        <v/>
      </c>
      <c r="N1523" s="14" t="n"/>
      <c r="O1523" s="13" t="n"/>
    </row>
    <row r="1524">
      <c r="A1524" s="11">
        <f>IF($B1524="","",COUNTA($B$9:$B1524))</f>
        <v/>
      </c>
      <c r="B1524" s="12" t="n"/>
      <c r="C1524" s="12" t="n"/>
      <c r="D1524" s="12" t="n"/>
      <c r="E1524" s="13" t="n"/>
      <c r="F1524" s="11">
        <f>IF($E1524="","",IFERROR(VLOOKUP($E1524,OpTbl,2,0),""))</f>
        <v/>
      </c>
      <c r="G1524" s="12" t="n"/>
      <c r="H1524" s="11">
        <f>IF($G1524="","",IFERROR(IF(VLOOKUP($G1524,AcctTbl,4,0)="","(بدون نام)",VLOOKUP($G1524,AcctTbl,4,0)),"کد ناشناخته"))</f>
        <v/>
      </c>
      <c r="I1524" s="13" t="n"/>
      <c r="J1524" s="13" t="n"/>
      <c r="K1524" s="14" t="n"/>
      <c r="L1524" s="14" t="n"/>
      <c r="M1524" s="15">
        <f>IF(OR($B1524="",$K1524=""),"",($K1524-IF($L1524="",0,$L1524)*IFERROR(VLOOKUP("P01",ParamTbl,3,0),1.5))*(1-IF(IFERROR(VLOOKUP($E1524,OpTbl,3,0),"")="خرید",IFERROR(VLOOKUP("P02",ParamTbl,3,0),1),0)/100))</f>
        <v/>
      </c>
      <c r="N1524" s="14" t="n"/>
      <c r="O1524" s="13" t="n"/>
    </row>
    <row r="1525">
      <c r="A1525" s="11">
        <f>IF($B1525="","",COUNTA($B$9:$B1525))</f>
        <v/>
      </c>
      <c r="B1525" s="12" t="n"/>
      <c r="C1525" s="12" t="n"/>
      <c r="D1525" s="12" t="n"/>
      <c r="E1525" s="13" t="n"/>
      <c r="F1525" s="11">
        <f>IF($E1525="","",IFERROR(VLOOKUP($E1525,OpTbl,2,0),""))</f>
        <v/>
      </c>
      <c r="G1525" s="12" t="n"/>
      <c r="H1525" s="11">
        <f>IF($G1525="","",IFERROR(IF(VLOOKUP($G1525,AcctTbl,4,0)="","(بدون نام)",VLOOKUP($G1525,AcctTbl,4,0)),"کد ناشناخته"))</f>
        <v/>
      </c>
      <c r="I1525" s="13" t="n"/>
      <c r="J1525" s="13" t="n"/>
      <c r="K1525" s="14" t="n"/>
      <c r="L1525" s="14" t="n"/>
      <c r="M1525" s="15">
        <f>IF(OR($B1525="",$K1525=""),"",($K1525-IF($L1525="",0,$L1525)*IFERROR(VLOOKUP("P01",ParamTbl,3,0),1.5))*(1-IF(IFERROR(VLOOKUP($E1525,OpTbl,3,0),"")="خرید",IFERROR(VLOOKUP("P02",ParamTbl,3,0),1),0)/100))</f>
        <v/>
      </c>
      <c r="N1525" s="14" t="n"/>
      <c r="O1525" s="13" t="n"/>
    </row>
    <row r="1526">
      <c r="A1526" s="11">
        <f>IF($B1526="","",COUNTA($B$9:$B1526))</f>
        <v/>
      </c>
      <c r="B1526" s="12" t="n"/>
      <c r="C1526" s="12" t="n"/>
      <c r="D1526" s="12" t="n"/>
      <c r="E1526" s="13" t="n"/>
      <c r="F1526" s="11">
        <f>IF($E1526="","",IFERROR(VLOOKUP($E1526,OpTbl,2,0),""))</f>
        <v/>
      </c>
      <c r="G1526" s="12" t="n"/>
      <c r="H1526" s="11">
        <f>IF($G1526="","",IFERROR(IF(VLOOKUP($G1526,AcctTbl,4,0)="","(بدون نام)",VLOOKUP($G1526,AcctTbl,4,0)),"کد ناشناخته"))</f>
        <v/>
      </c>
      <c r="I1526" s="13" t="n"/>
      <c r="J1526" s="13" t="n"/>
      <c r="K1526" s="14" t="n"/>
      <c r="L1526" s="14" t="n"/>
      <c r="M1526" s="15">
        <f>IF(OR($B1526="",$K1526=""),"",($K1526-IF($L1526="",0,$L1526)*IFERROR(VLOOKUP("P01",ParamTbl,3,0),1.5))*(1-IF(IFERROR(VLOOKUP($E1526,OpTbl,3,0),"")="خرید",IFERROR(VLOOKUP("P02",ParamTbl,3,0),1),0)/100))</f>
        <v/>
      </c>
      <c r="N1526" s="14" t="n"/>
      <c r="O1526" s="13" t="n"/>
    </row>
    <row r="1527">
      <c r="A1527" s="11">
        <f>IF($B1527="","",COUNTA($B$9:$B1527))</f>
        <v/>
      </c>
      <c r="B1527" s="12" t="n"/>
      <c r="C1527" s="12" t="n"/>
      <c r="D1527" s="12" t="n"/>
      <c r="E1527" s="13" t="n"/>
      <c r="F1527" s="11">
        <f>IF($E1527="","",IFERROR(VLOOKUP($E1527,OpTbl,2,0),""))</f>
        <v/>
      </c>
      <c r="G1527" s="12" t="n"/>
      <c r="H1527" s="11">
        <f>IF($G1527="","",IFERROR(IF(VLOOKUP($G1527,AcctTbl,4,0)="","(بدون نام)",VLOOKUP($G1527,AcctTbl,4,0)),"کد ناشناخته"))</f>
        <v/>
      </c>
      <c r="I1527" s="13" t="n"/>
      <c r="J1527" s="13" t="n"/>
      <c r="K1527" s="14" t="n"/>
      <c r="L1527" s="14" t="n"/>
      <c r="M1527" s="15">
        <f>IF(OR($B1527="",$K1527=""),"",($K1527-IF($L1527="",0,$L1527)*IFERROR(VLOOKUP("P01",ParamTbl,3,0),1.5))*(1-IF(IFERROR(VLOOKUP($E1527,OpTbl,3,0),"")="خرید",IFERROR(VLOOKUP("P02",ParamTbl,3,0),1),0)/100))</f>
        <v/>
      </c>
      <c r="N1527" s="14" t="n"/>
      <c r="O1527" s="13" t="n"/>
    </row>
    <row r="1528">
      <c r="A1528" s="11">
        <f>IF($B1528="","",COUNTA($B$9:$B1528))</f>
        <v/>
      </c>
      <c r="B1528" s="12" t="n"/>
      <c r="C1528" s="12" t="n"/>
      <c r="D1528" s="12" t="n"/>
      <c r="E1528" s="13" t="n"/>
      <c r="F1528" s="11">
        <f>IF($E1528="","",IFERROR(VLOOKUP($E1528,OpTbl,2,0),""))</f>
        <v/>
      </c>
      <c r="G1528" s="12" t="n"/>
      <c r="H1528" s="11">
        <f>IF($G1528="","",IFERROR(IF(VLOOKUP($G1528,AcctTbl,4,0)="","(بدون نام)",VLOOKUP($G1528,AcctTbl,4,0)),"کد ناشناخته"))</f>
        <v/>
      </c>
      <c r="I1528" s="13" t="n"/>
      <c r="J1528" s="13" t="n"/>
      <c r="K1528" s="14" t="n"/>
      <c r="L1528" s="14" t="n"/>
      <c r="M1528" s="15">
        <f>IF(OR($B1528="",$K1528=""),"",($K1528-IF($L1528="",0,$L1528)*IFERROR(VLOOKUP("P01",ParamTbl,3,0),1.5))*(1-IF(IFERROR(VLOOKUP($E1528,OpTbl,3,0),"")="خرید",IFERROR(VLOOKUP("P02",ParamTbl,3,0),1),0)/100))</f>
        <v/>
      </c>
      <c r="N1528" s="14" t="n"/>
      <c r="O1528" s="13" t="n"/>
    </row>
    <row r="1529">
      <c r="A1529" s="11">
        <f>IF($B1529="","",COUNTA($B$9:$B1529))</f>
        <v/>
      </c>
      <c r="B1529" s="12" t="n"/>
      <c r="C1529" s="12" t="n"/>
      <c r="D1529" s="12" t="n"/>
      <c r="E1529" s="13" t="n"/>
      <c r="F1529" s="11">
        <f>IF($E1529="","",IFERROR(VLOOKUP($E1529,OpTbl,2,0),""))</f>
        <v/>
      </c>
      <c r="G1529" s="12" t="n"/>
      <c r="H1529" s="11">
        <f>IF($G1529="","",IFERROR(IF(VLOOKUP($G1529,AcctTbl,4,0)="","(بدون نام)",VLOOKUP($G1529,AcctTbl,4,0)),"کد ناشناخته"))</f>
        <v/>
      </c>
      <c r="I1529" s="13" t="n"/>
      <c r="J1529" s="13" t="n"/>
      <c r="K1529" s="14" t="n"/>
      <c r="L1529" s="14" t="n"/>
      <c r="M1529" s="15">
        <f>IF(OR($B1529="",$K1529=""),"",($K1529-IF($L1529="",0,$L1529)*IFERROR(VLOOKUP("P01",ParamTbl,3,0),1.5))*(1-IF(IFERROR(VLOOKUP($E1529,OpTbl,3,0),"")="خرید",IFERROR(VLOOKUP("P02",ParamTbl,3,0),1),0)/100))</f>
        <v/>
      </c>
      <c r="N1529" s="14" t="n"/>
      <c r="O1529" s="13" t="n"/>
    </row>
    <row r="1530">
      <c r="A1530" s="11">
        <f>IF($B1530="","",COUNTA($B$9:$B1530))</f>
        <v/>
      </c>
      <c r="B1530" s="12" t="n"/>
      <c r="C1530" s="12" t="n"/>
      <c r="D1530" s="12" t="n"/>
      <c r="E1530" s="13" t="n"/>
      <c r="F1530" s="11">
        <f>IF($E1530="","",IFERROR(VLOOKUP($E1530,OpTbl,2,0),""))</f>
        <v/>
      </c>
      <c r="G1530" s="12" t="n"/>
      <c r="H1530" s="11">
        <f>IF($G1530="","",IFERROR(IF(VLOOKUP($G1530,AcctTbl,4,0)="","(بدون نام)",VLOOKUP($G1530,AcctTbl,4,0)),"کد ناشناخته"))</f>
        <v/>
      </c>
      <c r="I1530" s="13" t="n"/>
      <c r="J1530" s="13" t="n"/>
      <c r="K1530" s="14" t="n"/>
      <c r="L1530" s="14" t="n"/>
      <c r="M1530" s="15">
        <f>IF(OR($B1530="",$K1530=""),"",($K1530-IF($L1530="",0,$L1530)*IFERROR(VLOOKUP("P01",ParamTbl,3,0),1.5))*(1-IF(IFERROR(VLOOKUP($E1530,OpTbl,3,0),"")="خرید",IFERROR(VLOOKUP("P02",ParamTbl,3,0),1),0)/100))</f>
        <v/>
      </c>
      <c r="N1530" s="14" t="n"/>
      <c r="O1530" s="13" t="n"/>
    </row>
    <row r="1531">
      <c r="A1531" s="11">
        <f>IF($B1531="","",COUNTA($B$9:$B1531))</f>
        <v/>
      </c>
      <c r="B1531" s="12" t="n"/>
      <c r="C1531" s="12" t="n"/>
      <c r="D1531" s="12" t="n"/>
      <c r="E1531" s="13" t="n"/>
      <c r="F1531" s="11">
        <f>IF($E1531="","",IFERROR(VLOOKUP($E1531,OpTbl,2,0),""))</f>
        <v/>
      </c>
      <c r="G1531" s="12" t="n"/>
      <c r="H1531" s="11">
        <f>IF($G1531="","",IFERROR(IF(VLOOKUP($G1531,AcctTbl,4,0)="","(بدون نام)",VLOOKUP($G1531,AcctTbl,4,0)),"کد ناشناخته"))</f>
        <v/>
      </c>
      <c r="I1531" s="13" t="n"/>
      <c r="J1531" s="13" t="n"/>
      <c r="K1531" s="14" t="n"/>
      <c r="L1531" s="14" t="n"/>
      <c r="M1531" s="15">
        <f>IF(OR($B1531="",$K1531=""),"",($K1531-IF($L1531="",0,$L1531)*IFERROR(VLOOKUP("P01",ParamTbl,3,0),1.5))*(1-IF(IFERROR(VLOOKUP($E1531,OpTbl,3,0),"")="خرید",IFERROR(VLOOKUP("P02",ParamTbl,3,0),1),0)/100))</f>
        <v/>
      </c>
      <c r="N1531" s="14" t="n"/>
      <c r="O1531" s="13" t="n"/>
    </row>
    <row r="1532">
      <c r="A1532" s="11">
        <f>IF($B1532="","",COUNTA($B$9:$B1532))</f>
        <v/>
      </c>
      <c r="B1532" s="12" t="n"/>
      <c r="C1532" s="12" t="n"/>
      <c r="D1532" s="12" t="n"/>
      <c r="E1532" s="13" t="n"/>
      <c r="F1532" s="11">
        <f>IF($E1532="","",IFERROR(VLOOKUP($E1532,OpTbl,2,0),""))</f>
        <v/>
      </c>
      <c r="G1532" s="12" t="n"/>
      <c r="H1532" s="11">
        <f>IF($G1532="","",IFERROR(IF(VLOOKUP($G1532,AcctTbl,4,0)="","(بدون نام)",VLOOKUP($G1532,AcctTbl,4,0)),"کد ناشناخته"))</f>
        <v/>
      </c>
      <c r="I1532" s="13" t="n"/>
      <c r="J1532" s="13" t="n"/>
      <c r="K1532" s="14" t="n"/>
      <c r="L1532" s="14" t="n"/>
      <c r="M1532" s="15">
        <f>IF(OR($B1532="",$K1532=""),"",($K1532-IF($L1532="",0,$L1532)*IFERROR(VLOOKUP("P01",ParamTbl,3,0),1.5))*(1-IF(IFERROR(VLOOKUP($E1532,OpTbl,3,0),"")="خرید",IFERROR(VLOOKUP("P02",ParamTbl,3,0),1),0)/100))</f>
        <v/>
      </c>
      <c r="N1532" s="14" t="n"/>
      <c r="O1532" s="13" t="n"/>
    </row>
    <row r="1533">
      <c r="A1533" s="11">
        <f>IF($B1533="","",COUNTA($B$9:$B1533))</f>
        <v/>
      </c>
      <c r="B1533" s="12" t="n"/>
      <c r="C1533" s="12" t="n"/>
      <c r="D1533" s="12" t="n"/>
      <c r="E1533" s="13" t="n"/>
      <c r="F1533" s="11">
        <f>IF($E1533="","",IFERROR(VLOOKUP($E1533,OpTbl,2,0),""))</f>
        <v/>
      </c>
      <c r="G1533" s="12" t="n"/>
      <c r="H1533" s="11">
        <f>IF($G1533="","",IFERROR(IF(VLOOKUP($G1533,AcctTbl,4,0)="","(بدون نام)",VLOOKUP($G1533,AcctTbl,4,0)),"کد ناشناخته"))</f>
        <v/>
      </c>
      <c r="I1533" s="13" t="n"/>
      <c r="J1533" s="13" t="n"/>
      <c r="K1533" s="14" t="n"/>
      <c r="L1533" s="14" t="n"/>
      <c r="M1533" s="15">
        <f>IF(OR($B1533="",$K1533=""),"",($K1533-IF($L1533="",0,$L1533)*IFERROR(VLOOKUP("P01",ParamTbl,3,0),1.5))*(1-IF(IFERROR(VLOOKUP($E1533,OpTbl,3,0),"")="خرید",IFERROR(VLOOKUP("P02",ParamTbl,3,0),1),0)/100))</f>
        <v/>
      </c>
      <c r="N1533" s="14" t="n"/>
      <c r="O1533" s="13" t="n"/>
    </row>
    <row r="1534">
      <c r="A1534" s="11">
        <f>IF($B1534="","",COUNTA($B$9:$B1534))</f>
        <v/>
      </c>
      <c r="B1534" s="12" t="n"/>
      <c r="C1534" s="12" t="n"/>
      <c r="D1534" s="12" t="n"/>
      <c r="E1534" s="13" t="n"/>
      <c r="F1534" s="11">
        <f>IF($E1534="","",IFERROR(VLOOKUP($E1534,OpTbl,2,0),""))</f>
        <v/>
      </c>
      <c r="G1534" s="12" t="n"/>
      <c r="H1534" s="11">
        <f>IF($G1534="","",IFERROR(IF(VLOOKUP($G1534,AcctTbl,4,0)="","(بدون نام)",VLOOKUP($G1534,AcctTbl,4,0)),"کد ناشناخته"))</f>
        <v/>
      </c>
      <c r="I1534" s="13" t="n"/>
      <c r="J1534" s="13" t="n"/>
      <c r="K1534" s="14" t="n"/>
      <c r="L1534" s="14" t="n"/>
      <c r="M1534" s="15">
        <f>IF(OR($B1534="",$K1534=""),"",($K1534-IF($L1534="",0,$L1534)*IFERROR(VLOOKUP("P01",ParamTbl,3,0),1.5))*(1-IF(IFERROR(VLOOKUP($E1534,OpTbl,3,0),"")="خرید",IFERROR(VLOOKUP("P02",ParamTbl,3,0),1),0)/100))</f>
        <v/>
      </c>
      <c r="N1534" s="14" t="n"/>
      <c r="O1534" s="13" t="n"/>
    </row>
    <row r="1535">
      <c r="A1535" s="11">
        <f>IF($B1535="","",COUNTA($B$9:$B1535))</f>
        <v/>
      </c>
      <c r="B1535" s="12" t="n"/>
      <c r="C1535" s="12" t="n"/>
      <c r="D1535" s="12" t="n"/>
      <c r="E1535" s="13" t="n"/>
      <c r="F1535" s="11">
        <f>IF($E1535="","",IFERROR(VLOOKUP($E1535,OpTbl,2,0),""))</f>
        <v/>
      </c>
      <c r="G1535" s="12" t="n"/>
      <c r="H1535" s="11">
        <f>IF($G1535="","",IFERROR(IF(VLOOKUP($G1535,AcctTbl,4,0)="","(بدون نام)",VLOOKUP($G1535,AcctTbl,4,0)),"کد ناشناخته"))</f>
        <v/>
      </c>
      <c r="I1535" s="13" t="n"/>
      <c r="J1535" s="13" t="n"/>
      <c r="K1535" s="14" t="n"/>
      <c r="L1535" s="14" t="n"/>
      <c r="M1535" s="15">
        <f>IF(OR($B1535="",$K1535=""),"",($K1535-IF($L1535="",0,$L1535)*IFERROR(VLOOKUP("P01",ParamTbl,3,0),1.5))*(1-IF(IFERROR(VLOOKUP($E1535,OpTbl,3,0),"")="خرید",IFERROR(VLOOKUP("P02",ParamTbl,3,0),1),0)/100))</f>
        <v/>
      </c>
      <c r="N1535" s="14" t="n"/>
      <c r="O1535" s="13" t="n"/>
    </row>
    <row r="1536">
      <c r="A1536" s="11">
        <f>IF($B1536="","",COUNTA($B$9:$B1536))</f>
        <v/>
      </c>
      <c r="B1536" s="12" t="n"/>
      <c r="C1536" s="12" t="n"/>
      <c r="D1536" s="12" t="n"/>
      <c r="E1536" s="13" t="n"/>
      <c r="F1536" s="11">
        <f>IF($E1536="","",IFERROR(VLOOKUP($E1536,OpTbl,2,0),""))</f>
        <v/>
      </c>
      <c r="G1536" s="12" t="n"/>
      <c r="H1536" s="11">
        <f>IF($G1536="","",IFERROR(IF(VLOOKUP($G1536,AcctTbl,4,0)="","(بدون نام)",VLOOKUP($G1536,AcctTbl,4,0)),"کد ناشناخته"))</f>
        <v/>
      </c>
      <c r="I1536" s="13" t="n"/>
      <c r="J1536" s="13" t="n"/>
      <c r="K1536" s="14" t="n"/>
      <c r="L1536" s="14" t="n"/>
      <c r="M1536" s="15">
        <f>IF(OR($B1536="",$K1536=""),"",($K1536-IF($L1536="",0,$L1536)*IFERROR(VLOOKUP("P01",ParamTbl,3,0),1.5))*(1-IF(IFERROR(VLOOKUP($E1536,OpTbl,3,0),"")="خرید",IFERROR(VLOOKUP("P02",ParamTbl,3,0),1),0)/100))</f>
        <v/>
      </c>
      <c r="N1536" s="14" t="n"/>
      <c r="O1536" s="13" t="n"/>
    </row>
    <row r="1537">
      <c r="A1537" s="11">
        <f>IF($B1537="","",COUNTA($B$9:$B1537))</f>
        <v/>
      </c>
      <c r="B1537" s="12" t="n"/>
      <c r="C1537" s="12" t="n"/>
      <c r="D1537" s="12" t="n"/>
      <c r="E1537" s="13" t="n"/>
      <c r="F1537" s="11">
        <f>IF($E1537="","",IFERROR(VLOOKUP($E1537,OpTbl,2,0),""))</f>
        <v/>
      </c>
      <c r="G1537" s="12" t="n"/>
      <c r="H1537" s="11">
        <f>IF($G1537="","",IFERROR(IF(VLOOKUP($G1537,AcctTbl,4,0)="","(بدون نام)",VLOOKUP($G1537,AcctTbl,4,0)),"کد ناشناخته"))</f>
        <v/>
      </c>
      <c r="I1537" s="13" t="n"/>
      <c r="J1537" s="13" t="n"/>
      <c r="K1537" s="14" t="n"/>
      <c r="L1537" s="14" t="n"/>
      <c r="M1537" s="15">
        <f>IF(OR($B1537="",$K1537=""),"",($K1537-IF($L1537="",0,$L1537)*IFERROR(VLOOKUP("P01",ParamTbl,3,0),1.5))*(1-IF(IFERROR(VLOOKUP($E1537,OpTbl,3,0),"")="خرید",IFERROR(VLOOKUP("P02",ParamTbl,3,0),1),0)/100))</f>
        <v/>
      </c>
      <c r="N1537" s="14" t="n"/>
      <c r="O1537" s="13" t="n"/>
    </row>
    <row r="1538">
      <c r="A1538" s="11">
        <f>IF($B1538="","",COUNTA($B$9:$B1538))</f>
        <v/>
      </c>
      <c r="B1538" s="12" t="n"/>
      <c r="C1538" s="12" t="n"/>
      <c r="D1538" s="12" t="n"/>
      <c r="E1538" s="13" t="n"/>
      <c r="F1538" s="11">
        <f>IF($E1538="","",IFERROR(VLOOKUP($E1538,OpTbl,2,0),""))</f>
        <v/>
      </c>
      <c r="G1538" s="12" t="n"/>
      <c r="H1538" s="11">
        <f>IF($G1538="","",IFERROR(IF(VLOOKUP($G1538,AcctTbl,4,0)="","(بدون نام)",VLOOKUP($G1538,AcctTbl,4,0)),"کد ناشناخته"))</f>
        <v/>
      </c>
      <c r="I1538" s="13" t="n"/>
      <c r="J1538" s="13" t="n"/>
      <c r="K1538" s="14" t="n"/>
      <c r="L1538" s="14" t="n"/>
      <c r="M1538" s="15">
        <f>IF(OR($B1538="",$K1538=""),"",($K1538-IF($L1538="",0,$L1538)*IFERROR(VLOOKUP("P01",ParamTbl,3,0),1.5))*(1-IF(IFERROR(VLOOKUP($E1538,OpTbl,3,0),"")="خرید",IFERROR(VLOOKUP("P02",ParamTbl,3,0),1),0)/100))</f>
        <v/>
      </c>
      <c r="N1538" s="14" t="n"/>
      <c r="O1538" s="13" t="n"/>
    </row>
    <row r="1539">
      <c r="A1539" s="11">
        <f>IF($B1539="","",COUNTA($B$9:$B1539))</f>
        <v/>
      </c>
      <c r="B1539" s="12" t="n"/>
      <c r="C1539" s="12" t="n"/>
      <c r="D1539" s="12" t="n"/>
      <c r="E1539" s="13" t="n"/>
      <c r="F1539" s="11">
        <f>IF($E1539="","",IFERROR(VLOOKUP($E1539,OpTbl,2,0),""))</f>
        <v/>
      </c>
      <c r="G1539" s="12" t="n"/>
      <c r="H1539" s="11">
        <f>IF($G1539="","",IFERROR(IF(VLOOKUP($G1539,AcctTbl,4,0)="","(بدون نام)",VLOOKUP($G1539,AcctTbl,4,0)),"کد ناشناخته"))</f>
        <v/>
      </c>
      <c r="I1539" s="13" t="n"/>
      <c r="J1539" s="13" t="n"/>
      <c r="K1539" s="14" t="n"/>
      <c r="L1539" s="14" t="n"/>
      <c r="M1539" s="15">
        <f>IF(OR($B1539="",$K1539=""),"",($K1539-IF($L1539="",0,$L1539)*IFERROR(VLOOKUP("P01",ParamTbl,3,0),1.5))*(1-IF(IFERROR(VLOOKUP($E1539,OpTbl,3,0),"")="خرید",IFERROR(VLOOKUP("P02",ParamTbl,3,0),1),0)/100))</f>
        <v/>
      </c>
      <c r="N1539" s="14" t="n"/>
      <c r="O1539" s="13" t="n"/>
    </row>
    <row r="1540">
      <c r="A1540" s="11">
        <f>IF($B1540="","",COUNTA($B$9:$B1540))</f>
        <v/>
      </c>
      <c r="B1540" s="12" t="n"/>
      <c r="C1540" s="12" t="n"/>
      <c r="D1540" s="12" t="n"/>
      <c r="E1540" s="13" t="n"/>
      <c r="F1540" s="11">
        <f>IF($E1540="","",IFERROR(VLOOKUP($E1540,OpTbl,2,0),""))</f>
        <v/>
      </c>
      <c r="G1540" s="12" t="n"/>
      <c r="H1540" s="11">
        <f>IF($G1540="","",IFERROR(IF(VLOOKUP($G1540,AcctTbl,4,0)="","(بدون نام)",VLOOKUP($G1540,AcctTbl,4,0)),"کد ناشناخته"))</f>
        <v/>
      </c>
      <c r="I1540" s="13" t="n"/>
      <c r="J1540" s="13" t="n"/>
      <c r="K1540" s="14" t="n"/>
      <c r="L1540" s="14" t="n"/>
      <c r="M1540" s="15">
        <f>IF(OR($B1540="",$K1540=""),"",($K1540-IF($L1540="",0,$L1540)*IFERROR(VLOOKUP("P01",ParamTbl,3,0),1.5))*(1-IF(IFERROR(VLOOKUP($E1540,OpTbl,3,0),"")="خرید",IFERROR(VLOOKUP("P02",ParamTbl,3,0),1),0)/100))</f>
        <v/>
      </c>
      <c r="N1540" s="14" t="n"/>
      <c r="O1540" s="13" t="n"/>
    </row>
    <row r="1541">
      <c r="A1541" s="11">
        <f>IF($B1541="","",COUNTA($B$9:$B1541))</f>
        <v/>
      </c>
      <c r="B1541" s="12" t="n"/>
      <c r="C1541" s="12" t="n"/>
      <c r="D1541" s="12" t="n"/>
      <c r="E1541" s="13" t="n"/>
      <c r="F1541" s="11">
        <f>IF($E1541="","",IFERROR(VLOOKUP($E1541,OpTbl,2,0),""))</f>
        <v/>
      </c>
      <c r="G1541" s="12" t="n"/>
      <c r="H1541" s="11">
        <f>IF($G1541="","",IFERROR(IF(VLOOKUP($G1541,AcctTbl,4,0)="","(بدون نام)",VLOOKUP($G1541,AcctTbl,4,0)),"کد ناشناخته"))</f>
        <v/>
      </c>
      <c r="I1541" s="13" t="n"/>
      <c r="J1541" s="13" t="n"/>
      <c r="K1541" s="14" t="n"/>
      <c r="L1541" s="14" t="n"/>
      <c r="M1541" s="15">
        <f>IF(OR($B1541="",$K1541=""),"",($K1541-IF($L1541="",0,$L1541)*IFERROR(VLOOKUP("P01",ParamTbl,3,0),1.5))*(1-IF(IFERROR(VLOOKUP($E1541,OpTbl,3,0),"")="خرید",IFERROR(VLOOKUP("P02",ParamTbl,3,0),1),0)/100))</f>
        <v/>
      </c>
      <c r="N1541" s="14" t="n"/>
      <c r="O1541" s="13" t="n"/>
    </row>
    <row r="1542">
      <c r="A1542" s="11">
        <f>IF($B1542="","",COUNTA($B$9:$B1542))</f>
        <v/>
      </c>
      <c r="B1542" s="12" t="n"/>
      <c r="C1542" s="12" t="n"/>
      <c r="D1542" s="12" t="n"/>
      <c r="E1542" s="13" t="n"/>
      <c r="F1542" s="11">
        <f>IF($E1542="","",IFERROR(VLOOKUP($E1542,OpTbl,2,0),""))</f>
        <v/>
      </c>
      <c r="G1542" s="12" t="n"/>
      <c r="H1542" s="11">
        <f>IF($G1542="","",IFERROR(IF(VLOOKUP($G1542,AcctTbl,4,0)="","(بدون نام)",VLOOKUP($G1542,AcctTbl,4,0)),"کد ناشناخته"))</f>
        <v/>
      </c>
      <c r="I1542" s="13" t="n"/>
      <c r="J1542" s="13" t="n"/>
      <c r="K1542" s="14" t="n"/>
      <c r="L1542" s="14" t="n"/>
      <c r="M1542" s="15">
        <f>IF(OR($B1542="",$K1542=""),"",($K1542-IF($L1542="",0,$L1542)*IFERROR(VLOOKUP("P01",ParamTbl,3,0),1.5))*(1-IF(IFERROR(VLOOKUP($E1542,OpTbl,3,0),"")="خرید",IFERROR(VLOOKUP("P02",ParamTbl,3,0),1),0)/100))</f>
        <v/>
      </c>
      <c r="N1542" s="14" t="n"/>
      <c r="O1542" s="13" t="n"/>
    </row>
    <row r="1543">
      <c r="A1543" s="11">
        <f>IF($B1543="","",COUNTA($B$9:$B1543))</f>
        <v/>
      </c>
      <c r="B1543" s="12" t="n"/>
      <c r="C1543" s="12" t="n"/>
      <c r="D1543" s="12" t="n"/>
      <c r="E1543" s="13" t="n"/>
      <c r="F1543" s="11">
        <f>IF($E1543="","",IFERROR(VLOOKUP($E1543,OpTbl,2,0),""))</f>
        <v/>
      </c>
      <c r="G1543" s="12" t="n"/>
      <c r="H1543" s="11">
        <f>IF($G1543="","",IFERROR(IF(VLOOKUP($G1543,AcctTbl,4,0)="","(بدون نام)",VLOOKUP($G1543,AcctTbl,4,0)),"کد ناشناخته"))</f>
        <v/>
      </c>
      <c r="I1543" s="13" t="n"/>
      <c r="J1543" s="13" t="n"/>
      <c r="K1543" s="14" t="n"/>
      <c r="L1543" s="14" t="n"/>
      <c r="M1543" s="15">
        <f>IF(OR($B1543="",$K1543=""),"",($K1543-IF($L1543="",0,$L1543)*IFERROR(VLOOKUP("P01",ParamTbl,3,0),1.5))*(1-IF(IFERROR(VLOOKUP($E1543,OpTbl,3,0),"")="خرید",IFERROR(VLOOKUP("P02",ParamTbl,3,0),1),0)/100))</f>
        <v/>
      </c>
      <c r="N1543" s="14" t="n"/>
      <c r="O1543" s="13" t="n"/>
    </row>
    <row r="1544">
      <c r="A1544" s="11">
        <f>IF($B1544="","",COUNTA($B$9:$B1544))</f>
        <v/>
      </c>
      <c r="B1544" s="12" t="n"/>
      <c r="C1544" s="12" t="n"/>
      <c r="D1544" s="12" t="n"/>
      <c r="E1544" s="13" t="n"/>
      <c r="F1544" s="11">
        <f>IF($E1544="","",IFERROR(VLOOKUP($E1544,OpTbl,2,0),""))</f>
        <v/>
      </c>
      <c r="G1544" s="12" t="n"/>
      <c r="H1544" s="11">
        <f>IF($G1544="","",IFERROR(IF(VLOOKUP($G1544,AcctTbl,4,0)="","(بدون نام)",VLOOKUP($G1544,AcctTbl,4,0)),"کد ناشناخته"))</f>
        <v/>
      </c>
      <c r="I1544" s="13" t="n"/>
      <c r="J1544" s="13" t="n"/>
      <c r="K1544" s="14" t="n"/>
      <c r="L1544" s="14" t="n"/>
      <c r="M1544" s="15">
        <f>IF(OR($B1544="",$K1544=""),"",($K1544-IF($L1544="",0,$L1544)*IFERROR(VLOOKUP("P01",ParamTbl,3,0),1.5))*(1-IF(IFERROR(VLOOKUP($E1544,OpTbl,3,0),"")="خرید",IFERROR(VLOOKUP("P02",ParamTbl,3,0),1),0)/100))</f>
        <v/>
      </c>
      <c r="N1544" s="14" t="n"/>
      <c r="O1544" s="13" t="n"/>
    </row>
    <row r="1545">
      <c r="A1545" s="11">
        <f>IF($B1545="","",COUNTA($B$9:$B1545))</f>
        <v/>
      </c>
      <c r="B1545" s="12" t="n"/>
      <c r="C1545" s="12" t="n"/>
      <c r="D1545" s="12" t="n"/>
      <c r="E1545" s="13" t="n"/>
      <c r="F1545" s="11">
        <f>IF($E1545="","",IFERROR(VLOOKUP($E1545,OpTbl,2,0),""))</f>
        <v/>
      </c>
      <c r="G1545" s="12" t="n"/>
      <c r="H1545" s="11">
        <f>IF($G1545="","",IFERROR(IF(VLOOKUP($G1545,AcctTbl,4,0)="","(بدون نام)",VLOOKUP($G1545,AcctTbl,4,0)),"کد ناشناخته"))</f>
        <v/>
      </c>
      <c r="I1545" s="13" t="n"/>
      <c r="J1545" s="13" t="n"/>
      <c r="K1545" s="14" t="n"/>
      <c r="L1545" s="14" t="n"/>
      <c r="M1545" s="15">
        <f>IF(OR($B1545="",$K1545=""),"",($K1545-IF($L1545="",0,$L1545)*IFERROR(VLOOKUP("P01",ParamTbl,3,0),1.5))*(1-IF(IFERROR(VLOOKUP($E1545,OpTbl,3,0),"")="خرید",IFERROR(VLOOKUP("P02",ParamTbl,3,0),1),0)/100))</f>
        <v/>
      </c>
      <c r="N1545" s="14" t="n"/>
      <c r="O1545" s="13" t="n"/>
    </row>
    <row r="1546">
      <c r="A1546" s="11">
        <f>IF($B1546="","",COUNTA($B$9:$B1546))</f>
        <v/>
      </c>
      <c r="B1546" s="12" t="n"/>
      <c r="C1546" s="12" t="n"/>
      <c r="D1546" s="12" t="n"/>
      <c r="E1546" s="13" t="n"/>
      <c r="F1546" s="11">
        <f>IF($E1546="","",IFERROR(VLOOKUP($E1546,OpTbl,2,0),""))</f>
        <v/>
      </c>
      <c r="G1546" s="12" t="n"/>
      <c r="H1546" s="11">
        <f>IF($G1546="","",IFERROR(IF(VLOOKUP($G1546,AcctTbl,4,0)="","(بدون نام)",VLOOKUP($G1546,AcctTbl,4,0)),"کد ناشناخته"))</f>
        <v/>
      </c>
      <c r="I1546" s="13" t="n"/>
      <c r="J1546" s="13" t="n"/>
      <c r="K1546" s="14" t="n"/>
      <c r="L1546" s="14" t="n"/>
      <c r="M1546" s="15">
        <f>IF(OR($B1546="",$K1546=""),"",($K1546-IF($L1546="",0,$L1546)*IFERROR(VLOOKUP("P01",ParamTbl,3,0),1.5))*(1-IF(IFERROR(VLOOKUP($E1546,OpTbl,3,0),"")="خرید",IFERROR(VLOOKUP("P02",ParamTbl,3,0),1),0)/100))</f>
        <v/>
      </c>
      <c r="N1546" s="14" t="n"/>
      <c r="O1546" s="13" t="n"/>
    </row>
    <row r="1547">
      <c r="A1547" s="11">
        <f>IF($B1547="","",COUNTA($B$9:$B1547))</f>
        <v/>
      </c>
      <c r="B1547" s="12" t="n"/>
      <c r="C1547" s="12" t="n"/>
      <c r="D1547" s="12" t="n"/>
      <c r="E1547" s="13" t="n"/>
      <c r="F1547" s="11">
        <f>IF($E1547="","",IFERROR(VLOOKUP($E1547,OpTbl,2,0),""))</f>
        <v/>
      </c>
      <c r="G1547" s="12" t="n"/>
      <c r="H1547" s="11">
        <f>IF($G1547="","",IFERROR(IF(VLOOKUP($G1547,AcctTbl,4,0)="","(بدون نام)",VLOOKUP($G1547,AcctTbl,4,0)),"کد ناشناخته"))</f>
        <v/>
      </c>
      <c r="I1547" s="13" t="n"/>
      <c r="J1547" s="13" t="n"/>
      <c r="K1547" s="14" t="n"/>
      <c r="L1547" s="14" t="n"/>
      <c r="M1547" s="15">
        <f>IF(OR($B1547="",$K1547=""),"",($K1547-IF($L1547="",0,$L1547)*IFERROR(VLOOKUP("P01",ParamTbl,3,0),1.5))*(1-IF(IFERROR(VLOOKUP($E1547,OpTbl,3,0),"")="خرید",IFERROR(VLOOKUP("P02",ParamTbl,3,0),1),0)/100))</f>
        <v/>
      </c>
      <c r="N1547" s="14" t="n"/>
      <c r="O1547" s="13" t="n"/>
    </row>
    <row r="1548">
      <c r="A1548" s="11">
        <f>IF($B1548="","",COUNTA($B$9:$B1548))</f>
        <v/>
      </c>
      <c r="B1548" s="12" t="n"/>
      <c r="C1548" s="12" t="n"/>
      <c r="D1548" s="12" t="n"/>
      <c r="E1548" s="13" t="n"/>
      <c r="F1548" s="11">
        <f>IF($E1548="","",IFERROR(VLOOKUP($E1548,OpTbl,2,0),""))</f>
        <v/>
      </c>
      <c r="G1548" s="12" t="n"/>
      <c r="H1548" s="11">
        <f>IF($G1548="","",IFERROR(IF(VLOOKUP($G1548,AcctTbl,4,0)="","(بدون نام)",VLOOKUP($G1548,AcctTbl,4,0)),"کد ناشناخته"))</f>
        <v/>
      </c>
      <c r="I1548" s="13" t="n"/>
      <c r="J1548" s="13" t="n"/>
      <c r="K1548" s="14" t="n"/>
      <c r="L1548" s="14" t="n"/>
      <c r="M1548" s="15">
        <f>IF(OR($B1548="",$K1548=""),"",($K1548-IF($L1548="",0,$L1548)*IFERROR(VLOOKUP("P01",ParamTbl,3,0),1.5))*(1-IF(IFERROR(VLOOKUP($E1548,OpTbl,3,0),"")="خرید",IFERROR(VLOOKUP("P02",ParamTbl,3,0),1),0)/100))</f>
        <v/>
      </c>
      <c r="N1548" s="14" t="n"/>
      <c r="O1548" s="13" t="n"/>
    </row>
    <row r="1549">
      <c r="A1549" s="11">
        <f>IF($B1549="","",COUNTA($B$9:$B1549))</f>
        <v/>
      </c>
      <c r="B1549" s="12" t="n"/>
      <c r="C1549" s="12" t="n"/>
      <c r="D1549" s="12" t="n"/>
      <c r="E1549" s="13" t="n"/>
      <c r="F1549" s="11">
        <f>IF($E1549="","",IFERROR(VLOOKUP($E1549,OpTbl,2,0),""))</f>
        <v/>
      </c>
      <c r="G1549" s="12" t="n"/>
      <c r="H1549" s="11">
        <f>IF($G1549="","",IFERROR(IF(VLOOKUP($G1549,AcctTbl,4,0)="","(بدون نام)",VLOOKUP($G1549,AcctTbl,4,0)),"کد ناشناخته"))</f>
        <v/>
      </c>
      <c r="I1549" s="13" t="n"/>
      <c r="J1549" s="13" t="n"/>
      <c r="K1549" s="14" t="n"/>
      <c r="L1549" s="14" t="n"/>
      <c r="M1549" s="15">
        <f>IF(OR($B1549="",$K1549=""),"",($K1549-IF($L1549="",0,$L1549)*IFERROR(VLOOKUP("P01",ParamTbl,3,0),1.5))*(1-IF(IFERROR(VLOOKUP($E1549,OpTbl,3,0),"")="خرید",IFERROR(VLOOKUP("P02",ParamTbl,3,0),1),0)/100))</f>
        <v/>
      </c>
      <c r="N1549" s="14" t="n"/>
      <c r="O1549" s="13" t="n"/>
    </row>
    <row r="1550">
      <c r="A1550" s="11">
        <f>IF($B1550="","",COUNTA($B$9:$B1550))</f>
        <v/>
      </c>
      <c r="B1550" s="12" t="n"/>
      <c r="C1550" s="12" t="n"/>
      <c r="D1550" s="12" t="n"/>
      <c r="E1550" s="13" t="n"/>
      <c r="F1550" s="11">
        <f>IF($E1550="","",IFERROR(VLOOKUP($E1550,OpTbl,2,0),""))</f>
        <v/>
      </c>
      <c r="G1550" s="12" t="n"/>
      <c r="H1550" s="11">
        <f>IF($G1550="","",IFERROR(IF(VLOOKUP($G1550,AcctTbl,4,0)="","(بدون نام)",VLOOKUP($G1550,AcctTbl,4,0)),"کد ناشناخته"))</f>
        <v/>
      </c>
      <c r="I1550" s="13" t="n"/>
      <c r="J1550" s="13" t="n"/>
      <c r="K1550" s="14" t="n"/>
      <c r="L1550" s="14" t="n"/>
      <c r="M1550" s="15">
        <f>IF(OR($B1550="",$K1550=""),"",($K1550-IF($L1550="",0,$L1550)*IFERROR(VLOOKUP("P01",ParamTbl,3,0),1.5))*(1-IF(IFERROR(VLOOKUP($E1550,OpTbl,3,0),"")="خرید",IFERROR(VLOOKUP("P02",ParamTbl,3,0),1),0)/100))</f>
        <v/>
      </c>
      <c r="N1550" s="14" t="n"/>
      <c r="O1550" s="13" t="n"/>
    </row>
    <row r="1551">
      <c r="A1551" s="11">
        <f>IF($B1551="","",COUNTA($B$9:$B1551))</f>
        <v/>
      </c>
      <c r="B1551" s="12" t="n"/>
      <c r="C1551" s="12" t="n"/>
      <c r="D1551" s="12" t="n"/>
      <c r="E1551" s="13" t="n"/>
      <c r="F1551" s="11">
        <f>IF($E1551="","",IFERROR(VLOOKUP($E1551,OpTbl,2,0),""))</f>
        <v/>
      </c>
      <c r="G1551" s="12" t="n"/>
      <c r="H1551" s="11">
        <f>IF($G1551="","",IFERROR(IF(VLOOKUP($G1551,AcctTbl,4,0)="","(بدون نام)",VLOOKUP($G1551,AcctTbl,4,0)),"کد ناشناخته"))</f>
        <v/>
      </c>
      <c r="I1551" s="13" t="n"/>
      <c r="J1551" s="13" t="n"/>
      <c r="K1551" s="14" t="n"/>
      <c r="L1551" s="14" t="n"/>
      <c r="M1551" s="15">
        <f>IF(OR($B1551="",$K1551=""),"",($K1551-IF($L1551="",0,$L1551)*IFERROR(VLOOKUP("P01",ParamTbl,3,0),1.5))*(1-IF(IFERROR(VLOOKUP($E1551,OpTbl,3,0),"")="خرید",IFERROR(VLOOKUP("P02",ParamTbl,3,0),1),0)/100))</f>
        <v/>
      </c>
      <c r="N1551" s="14" t="n"/>
      <c r="O1551" s="13" t="n"/>
    </row>
    <row r="1552">
      <c r="A1552" s="11">
        <f>IF($B1552="","",COUNTA($B$9:$B1552))</f>
        <v/>
      </c>
      <c r="B1552" s="12" t="n"/>
      <c r="C1552" s="12" t="n"/>
      <c r="D1552" s="12" t="n"/>
      <c r="E1552" s="13" t="n"/>
      <c r="F1552" s="11">
        <f>IF($E1552="","",IFERROR(VLOOKUP($E1552,OpTbl,2,0),""))</f>
        <v/>
      </c>
      <c r="G1552" s="12" t="n"/>
      <c r="H1552" s="11">
        <f>IF($G1552="","",IFERROR(IF(VLOOKUP($G1552,AcctTbl,4,0)="","(بدون نام)",VLOOKUP($G1552,AcctTbl,4,0)),"کد ناشناخته"))</f>
        <v/>
      </c>
      <c r="I1552" s="13" t="n"/>
      <c r="J1552" s="13" t="n"/>
      <c r="K1552" s="14" t="n"/>
      <c r="L1552" s="14" t="n"/>
      <c r="M1552" s="15">
        <f>IF(OR($B1552="",$K1552=""),"",($K1552-IF($L1552="",0,$L1552)*IFERROR(VLOOKUP("P01",ParamTbl,3,0),1.5))*(1-IF(IFERROR(VLOOKUP($E1552,OpTbl,3,0),"")="خرید",IFERROR(VLOOKUP("P02",ParamTbl,3,0),1),0)/100))</f>
        <v/>
      </c>
      <c r="N1552" s="14" t="n"/>
      <c r="O1552" s="13" t="n"/>
    </row>
    <row r="1553">
      <c r="A1553" s="11">
        <f>IF($B1553="","",COUNTA($B$9:$B1553))</f>
        <v/>
      </c>
      <c r="B1553" s="12" t="n"/>
      <c r="C1553" s="12" t="n"/>
      <c r="D1553" s="12" t="n"/>
      <c r="E1553" s="13" t="n"/>
      <c r="F1553" s="11">
        <f>IF($E1553="","",IFERROR(VLOOKUP($E1553,OpTbl,2,0),""))</f>
        <v/>
      </c>
      <c r="G1553" s="12" t="n"/>
      <c r="H1553" s="11">
        <f>IF($G1553="","",IFERROR(IF(VLOOKUP($G1553,AcctTbl,4,0)="","(بدون نام)",VLOOKUP($G1553,AcctTbl,4,0)),"کد ناشناخته"))</f>
        <v/>
      </c>
      <c r="I1553" s="13" t="n"/>
      <c r="J1553" s="13" t="n"/>
      <c r="K1553" s="14" t="n"/>
      <c r="L1553" s="14" t="n"/>
      <c r="M1553" s="15">
        <f>IF(OR($B1553="",$K1553=""),"",($K1553-IF($L1553="",0,$L1553)*IFERROR(VLOOKUP("P01",ParamTbl,3,0),1.5))*(1-IF(IFERROR(VLOOKUP($E1553,OpTbl,3,0),"")="خرید",IFERROR(VLOOKUP("P02",ParamTbl,3,0),1),0)/100))</f>
        <v/>
      </c>
      <c r="N1553" s="14" t="n"/>
      <c r="O1553" s="13" t="n"/>
    </row>
    <row r="1554">
      <c r="A1554" s="11">
        <f>IF($B1554="","",COUNTA($B$9:$B1554))</f>
        <v/>
      </c>
      <c r="B1554" s="12" t="n"/>
      <c r="C1554" s="12" t="n"/>
      <c r="D1554" s="12" t="n"/>
      <c r="E1554" s="13" t="n"/>
      <c r="F1554" s="11">
        <f>IF($E1554="","",IFERROR(VLOOKUP($E1554,OpTbl,2,0),""))</f>
        <v/>
      </c>
      <c r="G1554" s="12" t="n"/>
      <c r="H1554" s="11">
        <f>IF($G1554="","",IFERROR(IF(VLOOKUP($G1554,AcctTbl,4,0)="","(بدون نام)",VLOOKUP($G1554,AcctTbl,4,0)),"کد ناشناخته"))</f>
        <v/>
      </c>
      <c r="I1554" s="13" t="n"/>
      <c r="J1554" s="13" t="n"/>
      <c r="K1554" s="14" t="n"/>
      <c r="L1554" s="14" t="n"/>
      <c r="M1554" s="15">
        <f>IF(OR($B1554="",$K1554=""),"",($K1554-IF($L1554="",0,$L1554)*IFERROR(VLOOKUP("P01",ParamTbl,3,0),1.5))*(1-IF(IFERROR(VLOOKUP($E1554,OpTbl,3,0),"")="خرید",IFERROR(VLOOKUP("P02",ParamTbl,3,0),1),0)/100))</f>
        <v/>
      </c>
      <c r="N1554" s="14" t="n"/>
      <c r="O1554" s="13" t="n"/>
    </row>
    <row r="1555">
      <c r="A1555" s="11">
        <f>IF($B1555="","",COUNTA($B$9:$B1555))</f>
        <v/>
      </c>
      <c r="B1555" s="12" t="n"/>
      <c r="C1555" s="12" t="n"/>
      <c r="D1555" s="12" t="n"/>
      <c r="E1555" s="13" t="n"/>
      <c r="F1555" s="11">
        <f>IF($E1555="","",IFERROR(VLOOKUP($E1555,OpTbl,2,0),""))</f>
        <v/>
      </c>
      <c r="G1555" s="12" t="n"/>
      <c r="H1555" s="11">
        <f>IF($G1555="","",IFERROR(IF(VLOOKUP($G1555,AcctTbl,4,0)="","(بدون نام)",VLOOKUP($G1555,AcctTbl,4,0)),"کد ناشناخته"))</f>
        <v/>
      </c>
      <c r="I1555" s="13" t="n"/>
      <c r="J1555" s="13" t="n"/>
      <c r="K1555" s="14" t="n"/>
      <c r="L1555" s="14" t="n"/>
      <c r="M1555" s="15">
        <f>IF(OR($B1555="",$K1555=""),"",($K1555-IF($L1555="",0,$L1555)*IFERROR(VLOOKUP("P01",ParamTbl,3,0),1.5))*(1-IF(IFERROR(VLOOKUP($E1555,OpTbl,3,0),"")="خرید",IFERROR(VLOOKUP("P02",ParamTbl,3,0),1),0)/100))</f>
        <v/>
      </c>
      <c r="N1555" s="14" t="n"/>
      <c r="O1555" s="13" t="n"/>
    </row>
    <row r="1556">
      <c r="A1556" s="11">
        <f>IF($B1556="","",COUNTA($B$9:$B1556))</f>
        <v/>
      </c>
      <c r="B1556" s="12" t="n"/>
      <c r="C1556" s="12" t="n"/>
      <c r="D1556" s="12" t="n"/>
      <c r="E1556" s="13" t="n"/>
      <c r="F1556" s="11">
        <f>IF($E1556="","",IFERROR(VLOOKUP($E1556,OpTbl,2,0),""))</f>
        <v/>
      </c>
      <c r="G1556" s="12" t="n"/>
      <c r="H1556" s="11">
        <f>IF($G1556="","",IFERROR(IF(VLOOKUP($G1556,AcctTbl,4,0)="","(بدون نام)",VLOOKUP($G1556,AcctTbl,4,0)),"کد ناشناخته"))</f>
        <v/>
      </c>
      <c r="I1556" s="13" t="n"/>
      <c r="J1556" s="13" t="n"/>
      <c r="K1556" s="14" t="n"/>
      <c r="L1556" s="14" t="n"/>
      <c r="M1556" s="15">
        <f>IF(OR($B1556="",$K1556=""),"",($K1556-IF($L1556="",0,$L1556)*IFERROR(VLOOKUP("P01",ParamTbl,3,0),1.5))*(1-IF(IFERROR(VLOOKUP($E1556,OpTbl,3,0),"")="خرید",IFERROR(VLOOKUP("P02",ParamTbl,3,0),1),0)/100))</f>
        <v/>
      </c>
      <c r="N1556" s="14" t="n"/>
      <c r="O1556" s="13" t="n"/>
    </row>
    <row r="1557">
      <c r="A1557" s="11">
        <f>IF($B1557="","",COUNTA($B$9:$B1557))</f>
        <v/>
      </c>
      <c r="B1557" s="12" t="n"/>
      <c r="C1557" s="12" t="n"/>
      <c r="D1557" s="12" t="n"/>
      <c r="E1557" s="13" t="n"/>
      <c r="F1557" s="11">
        <f>IF($E1557="","",IFERROR(VLOOKUP($E1557,OpTbl,2,0),""))</f>
        <v/>
      </c>
      <c r="G1557" s="12" t="n"/>
      <c r="H1557" s="11">
        <f>IF($G1557="","",IFERROR(IF(VLOOKUP($G1557,AcctTbl,4,0)="","(بدون نام)",VLOOKUP($G1557,AcctTbl,4,0)),"کد ناشناخته"))</f>
        <v/>
      </c>
      <c r="I1557" s="13" t="n"/>
      <c r="J1557" s="13" t="n"/>
      <c r="K1557" s="14" t="n"/>
      <c r="L1557" s="14" t="n"/>
      <c r="M1557" s="15">
        <f>IF(OR($B1557="",$K1557=""),"",($K1557-IF($L1557="",0,$L1557)*IFERROR(VLOOKUP("P01",ParamTbl,3,0),1.5))*(1-IF(IFERROR(VLOOKUP($E1557,OpTbl,3,0),"")="خرید",IFERROR(VLOOKUP("P02",ParamTbl,3,0),1),0)/100))</f>
        <v/>
      </c>
      <c r="N1557" s="14" t="n"/>
      <c r="O1557" s="13" t="n"/>
    </row>
    <row r="1558">
      <c r="A1558" s="11">
        <f>IF($B1558="","",COUNTA($B$9:$B1558))</f>
        <v/>
      </c>
      <c r="B1558" s="12" t="n"/>
      <c r="C1558" s="12" t="n"/>
      <c r="D1558" s="12" t="n"/>
      <c r="E1558" s="13" t="n"/>
      <c r="F1558" s="11">
        <f>IF($E1558="","",IFERROR(VLOOKUP($E1558,OpTbl,2,0),""))</f>
        <v/>
      </c>
      <c r="G1558" s="12" t="n"/>
      <c r="H1558" s="11">
        <f>IF($G1558="","",IFERROR(IF(VLOOKUP($G1558,AcctTbl,4,0)="","(بدون نام)",VLOOKUP($G1558,AcctTbl,4,0)),"کد ناشناخته"))</f>
        <v/>
      </c>
      <c r="I1558" s="13" t="n"/>
      <c r="J1558" s="13" t="n"/>
      <c r="K1558" s="14" t="n"/>
      <c r="L1558" s="14" t="n"/>
      <c r="M1558" s="15">
        <f>IF(OR($B1558="",$K1558=""),"",($K1558-IF($L1558="",0,$L1558)*IFERROR(VLOOKUP("P01",ParamTbl,3,0),1.5))*(1-IF(IFERROR(VLOOKUP($E1558,OpTbl,3,0),"")="خرید",IFERROR(VLOOKUP("P02",ParamTbl,3,0),1),0)/100))</f>
        <v/>
      </c>
      <c r="N1558" s="14" t="n"/>
      <c r="O1558" s="13" t="n"/>
    </row>
    <row r="1559">
      <c r="A1559" s="11">
        <f>IF($B1559="","",COUNTA($B$9:$B1559))</f>
        <v/>
      </c>
      <c r="B1559" s="12" t="n"/>
      <c r="C1559" s="12" t="n"/>
      <c r="D1559" s="12" t="n"/>
      <c r="E1559" s="13" t="n"/>
      <c r="F1559" s="11">
        <f>IF($E1559="","",IFERROR(VLOOKUP($E1559,OpTbl,2,0),""))</f>
        <v/>
      </c>
      <c r="G1559" s="12" t="n"/>
      <c r="H1559" s="11">
        <f>IF($G1559="","",IFERROR(IF(VLOOKUP($G1559,AcctTbl,4,0)="","(بدون نام)",VLOOKUP($G1559,AcctTbl,4,0)),"کد ناشناخته"))</f>
        <v/>
      </c>
      <c r="I1559" s="13" t="n"/>
      <c r="J1559" s="13" t="n"/>
      <c r="K1559" s="14" t="n"/>
      <c r="L1559" s="14" t="n"/>
      <c r="M1559" s="15">
        <f>IF(OR($B1559="",$K1559=""),"",($K1559-IF($L1559="",0,$L1559)*IFERROR(VLOOKUP("P01",ParamTbl,3,0),1.5))*(1-IF(IFERROR(VLOOKUP($E1559,OpTbl,3,0),"")="خرید",IFERROR(VLOOKUP("P02",ParamTbl,3,0),1),0)/100))</f>
        <v/>
      </c>
      <c r="N1559" s="14" t="n"/>
      <c r="O1559" s="13" t="n"/>
    </row>
    <row r="1560">
      <c r="A1560" s="11">
        <f>IF($B1560="","",COUNTA($B$9:$B1560))</f>
        <v/>
      </c>
      <c r="B1560" s="12" t="n"/>
      <c r="C1560" s="12" t="n"/>
      <c r="D1560" s="12" t="n"/>
      <c r="E1560" s="13" t="n"/>
      <c r="F1560" s="11">
        <f>IF($E1560="","",IFERROR(VLOOKUP($E1560,OpTbl,2,0),""))</f>
        <v/>
      </c>
      <c r="G1560" s="12" t="n"/>
      <c r="H1560" s="11">
        <f>IF($G1560="","",IFERROR(IF(VLOOKUP($G1560,AcctTbl,4,0)="","(بدون نام)",VLOOKUP($G1560,AcctTbl,4,0)),"کد ناشناخته"))</f>
        <v/>
      </c>
      <c r="I1560" s="13" t="n"/>
      <c r="J1560" s="13" t="n"/>
      <c r="K1560" s="14" t="n"/>
      <c r="L1560" s="14" t="n"/>
      <c r="M1560" s="15">
        <f>IF(OR($B1560="",$K1560=""),"",($K1560-IF($L1560="",0,$L1560)*IFERROR(VLOOKUP("P01",ParamTbl,3,0),1.5))*(1-IF(IFERROR(VLOOKUP($E1560,OpTbl,3,0),"")="خرید",IFERROR(VLOOKUP("P02",ParamTbl,3,0),1),0)/100))</f>
        <v/>
      </c>
      <c r="N1560" s="14" t="n"/>
      <c r="O1560" s="13" t="n"/>
    </row>
    <row r="1561">
      <c r="A1561" s="11">
        <f>IF($B1561="","",COUNTA($B$9:$B1561))</f>
        <v/>
      </c>
      <c r="B1561" s="12" t="n"/>
      <c r="C1561" s="12" t="n"/>
      <c r="D1561" s="12" t="n"/>
      <c r="E1561" s="13" t="n"/>
      <c r="F1561" s="11">
        <f>IF($E1561="","",IFERROR(VLOOKUP($E1561,OpTbl,2,0),""))</f>
        <v/>
      </c>
      <c r="G1561" s="12" t="n"/>
      <c r="H1561" s="11">
        <f>IF($G1561="","",IFERROR(IF(VLOOKUP($G1561,AcctTbl,4,0)="","(بدون نام)",VLOOKUP($G1561,AcctTbl,4,0)),"کد ناشناخته"))</f>
        <v/>
      </c>
      <c r="I1561" s="13" t="n"/>
      <c r="J1561" s="13" t="n"/>
      <c r="K1561" s="14" t="n"/>
      <c r="L1561" s="14" t="n"/>
      <c r="M1561" s="15">
        <f>IF(OR($B1561="",$K1561=""),"",($K1561-IF($L1561="",0,$L1561)*IFERROR(VLOOKUP("P01",ParamTbl,3,0),1.5))*(1-IF(IFERROR(VLOOKUP($E1561,OpTbl,3,0),"")="خرید",IFERROR(VLOOKUP("P02",ParamTbl,3,0),1),0)/100))</f>
        <v/>
      </c>
      <c r="N1561" s="14" t="n"/>
      <c r="O1561" s="13" t="n"/>
    </row>
    <row r="1562">
      <c r="A1562" s="11">
        <f>IF($B1562="","",COUNTA($B$9:$B1562))</f>
        <v/>
      </c>
      <c r="B1562" s="12" t="n"/>
      <c r="C1562" s="12" t="n"/>
      <c r="D1562" s="12" t="n"/>
      <c r="E1562" s="13" t="n"/>
      <c r="F1562" s="11">
        <f>IF($E1562="","",IFERROR(VLOOKUP($E1562,OpTbl,2,0),""))</f>
        <v/>
      </c>
      <c r="G1562" s="12" t="n"/>
      <c r="H1562" s="11">
        <f>IF($G1562="","",IFERROR(IF(VLOOKUP($G1562,AcctTbl,4,0)="","(بدون نام)",VLOOKUP($G1562,AcctTbl,4,0)),"کد ناشناخته"))</f>
        <v/>
      </c>
      <c r="I1562" s="13" t="n"/>
      <c r="J1562" s="13" t="n"/>
      <c r="K1562" s="14" t="n"/>
      <c r="L1562" s="14" t="n"/>
      <c r="M1562" s="15">
        <f>IF(OR($B1562="",$K1562=""),"",($K1562-IF($L1562="",0,$L1562)*IFERROR(VLOOKUP("P01",ParamTbl,3,0),1.5))*(1-IF(IFERROR(VLOOKUP($E1562,OpTbl,3,0),"")="خرید",IFERROR(VLOOKUP("P02",ParamTbl,3,0),1),0)/100))</f>
        <v/>
      </c>
      <c r="N1562" s="14" t="n"/>
      <c r="O1562" s="13" t="n"/>
    </row>
    <row r="1563">
      <c r="A1563" s="11">
        <f>IF($B1563="","",COUNTA($B$9:$B1563))</f>
        <v/>
      </c>
      <c r="B1563" s="12" t="n"/>
      <c r="C1563" s="12" t="n"/>
      <c r="D1563" s="12" t="n"/>
      <c r="E1563" s="13" t="n"/>
      <c r="F1563" s="11">
        <f>IF($E1563="","",IFERROR(VLOOKUP($E1563,OpTbl,2,0),""))</f>
        <v/>
      </c>
      <c r="G1563" s="12" t="n"/>
      <c r="H1563" s="11">
        <f>IF($G1563="","",IFERROR(IF(VLOOKUP($G1563,AcctTbl,4,0)="","(بدون نام)",VLOOKUP($G1563,AcctTbl,4,0)),"کد ناشناخته"))</f>
        <v/>
      </c>
      <c r="I1563" s="13" t="n"/>
      <c r="J1563" s="13" t="n"/>
      <c r="K1563" s="14" t="n"/>
      <c r="L1563" s="14" t="n"/>
      <c r="M1563" s="15">
        <f>IF(OR($B1563="",$K1563=""),"",($K1563-IF($L1563="",0,$L1563)*IFERROR(VLOOKUP("P01",ParamTbl,3,0),1.5))*(1-IF(IFERROR(VLOOKUP($E1563,OpTbl,3,0),"")="خرید",IFERROR(VLOOKUP("P02",ParamTbl,3,0),1),0)/100))</f>
        <v/>
      </c>
      <c r="N1563" s="14" t="n"/>
      <c r="O1563" s="13" t="n"/>
    </row>
    <row r="1564">
      <c r="A1564" s="11">
        <f>IF($B1564="","",COUNTA($B$9:$B1564))</f>
        <v/>
      </c>
      <c r="B1564" s="12" t="n"/>
      <c r="C1564" s="12" t="n"/>
      <c r="D1564" s="12" t="n"/>
      <c r="E1564" s="13" t="n"/>
      <c r="F1564" s="11">
        <f>IF($E1564="","",IFERROR(VLOOKUP($E1564,OpTbl,2,0),""))</f>
        <v/>
      </c>
      <c r="G1564" s="12" t="n"/>
      <c r="H1564" s="11">
        <f>IF($G1564="","",IFERROR(IF(VLOOKUP($G1564,AcctTbl,4,0)="","(بدون نام)",VLOOKUP($G1564,AcctTbl,4,0)),"کد ناشناخته"))</f>
        <v/>
      </c>
      <c r="I1564" s="13" t="n"/>
      <c r="J1564" s="13" t="n"/>
      <c r="K1564" s="14" t="n"/>
      <c r="L1564" s="14" t="n"/>
      <c r="M1564" s="15">
        <f>IF(OR($B1564="",$K1564=""),"",($K1564-IF($L1564="",0,$L1564)*IFERROR(VLOOKUP("P01",ParamTbl,3,0),1.5))*(1-IF(IFERROR(VLOOKUP($E1564,OpTbl,3,0),"")="خرید",IFERROR(VLOOKUP("P02",ParamTbl,3,0),1),0)/100))</f>
        <v/>
      </c>
      <c r="N1564" s="14" t="n"/>
      <c r="O1564" s="13" t="n"/>
    </row>
    <row r="1565">
      <c r="A1565" s="11">
        <f>IF($B1565="","",COUNTA($B$9:$B1565))</f>
        <v/>
      </c>
      <c r="B1565" s="12" t="n"/>
      <c r="C1565" s="12" t="n"/>
      <c r="D1565" s="12" t="n"/>
      <c r="E1565" s="13" t="n"/>
      <c r="F1565" s="11">
        <f>IF($E1565="","",IFERROR(VLOOKUP($E1565,OpTbl,2,0),""))</f>
        <v/>
      </c>
      <c r="G1565" s="12" t="n"/>
      <c r="H1565" s="11">
        <f>IF($G1565="","",IFERROR(IF(VLOOKUP($G1565,AcctTbl,4,0)="","(بدون نام)",VLOOKUP($G1565,AcctTbl,4,0)),"کد ناشناخته"))</f>
        <v/>
      </c>
      <c r="I1565" s="13" t="n"/>
      <c r="J1565" s="13" t="n"/>
      <c r="K1565" s="14" t="n"/>
      <c r="L1565" s="14" t="n"/>
      <c r="M1565" s="15">
        <f>IF(OR($B1565="",$K1565=""),"",($K1565-IF($L1565="",0,$L1565)*IFERROR(VLOOKUP("P01",ParamTbl,3,0),1.5))*(1-IF(IFERROR(VLOOKUP($E1565,OpTbl,3,0),"")="خرید",IFERROR(VLOOKUP("P02",ParamTbl,3,0),1),0)/100))</f>
        <v/>
      </c>
      <c r="N1565" s="14" t="n"/>
      <c r="O1565" s="13" t="n"/>
    </row>
    <row r="1566">
      <c r="A1566" s="11">
        <f>IF($B1566="","",COUNTA($B$9:$B1566))</f>
        <v/>
      </c>
      <c r="B1566" s="12" t="n"/>
      <c r="C1566" s="12" t="n"/>
      <c r="D1566" s="12" t="n"/>
      <c r="E1566" s="13" t="n"/>
      <c r="F1566" s="11">
        <f>IF($E1566="","",IFERROR(VLOOKUP($E1566,OpTbl,2,0),""))</f>
        <v/>
      </c>
      <c r="G1566" s="12" t="n"/>
      <c r="H1566" s="11">
        <f>IF($G1566="","",IFERROR(IF(VLOOKUP($G1566,AcctTbl,4,0)="","(بدون نام)",VLOOKUP($G1566,AcctTbl,4,0)),"کد ناشناخته"))</f>
        <v/>
      </c>
      <c r="I1566" s="13" t="n"/>
      <c r="J1566" s="13" t="n"/>
      <c r="K1566" s="14" t="n"/>
      <c r="L1566" s="14" t="n"/>
      <c r="M1566" s="15">
        <f>IF(OR($B1566="",$K1566=""),"",($K1566-IF($L1566="",0,$L1566)*IFERROR(VLOOKUP("P01",ParamTbl,3,0),1.5))*(1-IF(IFERROR(VLOOKUP($E1566,OpTbl,3,0),"")="خرید",IFERROR(VLOOKUP("P02",ParamTbl,3,0),1),0)/100))</f>
        <v/>
      </c>
      <c r="N1566" s="14" t="n"/>
      <c r="O1566" s="13" t="n"/>
    </row>
    <row r="1567">
      <c r="A1567" s="11">
        <f>IF($B1567="","",COUNTA($B$9:$B1567))</f>
        <v/>
      </c>
      <c r="B1567" s="12" t="n"/>
      <c r="C1567" s="12" t="n"/>
      <c r="D1567" s="12" t="n"/>
      <c r="E1567" s="13" t="n"/>
      <c r="F1567" s="11">
        <f>IF($E1567="","",IFERROR(VLOOKUP($E1567,OpTbl,2,0),""))</f>
        <v/>
      </c>
      <c r="G1567" s="12" t="n"/>
      <c r="H1567" s="11">
        <f>IF($G1567="","",IFERROR(IF(VLOOKUP($G1567,AcctTbl,4,0)="","(بدون نام)",VLOOKUP($G1567,AcctTbl,4,0)),"کد ناشناخته"))</f>
        <v/>
      </c>
      <c r="I1567" s="13" t="n"/>
      <c r="J1567" s="13" t="n"/>
      <c r="K1567" s="14" t="n"/>
      <c r="L1567" s="14" t="n"/>
      <c r="M1567" s="15">
        <f>IF(OR($B1567="",$K1567=""),"",($K1567-IF($L1567="",0,$L1567)*IFERROR(VLOOKUP("P01",ParamTbl,3,0),1.5))*(1-IF(IFERROR(VLOOKUP($E1567,OpTbl,3,0),"")="خرید",IFERROR(VLOOKUP("P02",ParamTbl,3,0),1),0)/100))</f>
        <v/>
      </c>
      <c r="N1567" s="14" t="n"/>
      <c r="O1567" s="13" t="n"/>
    </row>
    <row r="1568">
      <c r="A1568" s="11">
        <f>IF($B1568="","",COUNTA($B$9:$B1568))</f>
        <v/>
      </c>
      <c r="B1568" s="12" t="n"/>
      <c r="C1568" s="12" t="n"/>
      <c r="D1568" s="12" t="n"/>
      <c r="E1568" s="13" t="n"/>
      <c r="F1568" s="11">
        <f>IF($E1568="","",IFERROR(VLOOKUP($E1568,OpTbl,2,0),""))</f>
        <v/>
      </c>
      <c r="G1568" s="12" t="n"/>
      <c r="H1568" s="11">
        <f>IF($G1568="","",IFERROR(IF(VLOOKUP($G1568,AcctTbl,4,0)="","(بدون نام)",VLOOKUP($G1568,AcctTbl,4,0)),"کد ناشناخته"))</f>
        <v/>
      </c>
      <c r="I1568" s="13" t="n"/>
      <c r="J1568" s="13" t="n"/>
      <c r="K1568" s="14" t="n"/>
      <c r="L1568" s="14" t="n"/>
      <c r="M1568" s="15">
        <f>IF(OR($B1568="",$K1568=""),"",($K1568-IF($L1568="",0,$L1568)*IFERROR(VLOOKUP("P01",ParamTbl,3,0),1.5))*(1-IF(IFERROR(VLOOKUP($E1568,OpTbl,3,0),"")="خرید",IFERROR(VLOOKUP("P02",ParamTbl,3,0),1),0)/100))</f>
        <v/>
      </c>
      <c r="N1568" s="14" t="n"/>
      <c r="O1568" s="13" t="n"/>
    </row>
    <row r="1569">
      <c r="A1569" s="11">
        <f>IF($B1569="","",COUNTA($B$9:$B1569))</f>
        <v/>
      </c>
      <c r="B1569" s="12" t="n"/>
      <c r="C1569" s="12" t="n"/>
      <c r="D1569" s="12" t="n"/>
      <c r="E1569" s="13" t="n"/>
      <c r="F1569" s="11">
        <f>IF($E1569="","",IFERROR(VLOOKUP($E1569,OpTbl,2,0),""))</f>
        <v/>
      </c>
      <c r="G1569" s="12" t="n"/>
      <c r="H1569" s="11">
        <f>IF($G1569="","",IFERROR(IF(VLOOKUP($G1569,AcctTbl,4,0)="","(بدون نام)",VLOOKUP($G1569,AcctTbl,4,0)),"کد ناشناخته"))</f>
        <v/>
      </c>
      <c r="I1569" s="13" t="n"/>
      <c r="J1569" s="13" t="n"/>
      <c r="K1569" s="14" t="n"/>
      <c r="L1569" s="14" t="n"/>
      <c r="M1569" s="15">
        <f>IF(OR($B1569="",$K1569=""),"",($K1569-IF($L1569="",0,$L1569)*IFERROR(VLOOKUP("P01",ParamTbl,3,0),1.5))*(1-IF(IFERROR(VLOOKUP($E1569,OpTbl,3,0),"")="خرید",IFERROR(VLOOKUP("P02",ParamTbl,3,0),1),0)/100))</f>
        <v/>
      </c>
      <c r="N1569" s="14" t="n"/>
      <c r="O1569" s="13" t="n"/>
    </row>
    <row r="1570">
      <c r="A1570" s="11">
        <f>IF($B1570="","",COUNTA($B$9:$B1570))</f>
        <v/>
      </c>
      <c r="B1570" s="12" t="n"/>
      <c r="C1570" s="12" t="n"/>
      <c r="D1570" s="12" t="n"/>
      <c r="E1570" s="13" t="n"/>
      <c r="F1570" s="11">
        <f>IF($E1570="","",IFERROR(VLOOKUP($E1570,OpTbl,2,0),""))</f>
        <v/>
      </c>
      <c r="G1570" s="12" t="n"/>
      <c r="H1570" s="11">
        <f>IF($G1570="","",IFERROR(IF(VLOOKUP($G1570,AcctTbl,4,0)="","(بدون نام)",VLOOKUP($G1570,AcctTbl,4,0)),"کد ناشناخته"))</f>
        <v/>
      </c>
      <c r="I1570" s="13" t="n"/>
      <c r="J1570" s="13" t="n"/>
      <c r="K1570" s="14" t="n"/>
      <c r="L1570" s="14" t="n"/>
      <c r="M1570" s="15">
        <f>IF(OR($B1570="",$K1570=""),"",($K1570-IF($L1570="",0,$L1570)*IFERROR(VLOOKUP("P01",ParamTbl,3,0),1.5))*(1-IF(IFERROR(VLOOKUP($E1570,OpTbl,3,0),"")="خرید",IFERROR(VLOOKUP("P02",ParamTbl,3,0),1),0)/100))</f>
        <v/>
      </c>
      <c r="N1570" s="14" t="n"/>
      <c r="O1570" s="13" t="n"/>
    </row>
    <row r="1571">
      <c r="A1571" s="11">
        <f>IF($B1571="","",COUNTA($B$9:$B1571))</f>
        <v/>
      </c>
      <c r="B1571" s="12" t="n"/>
      <c r="C1571" s="12" t="n"/>
      <c r="D1571" s="12" t="n"/>
      <c r="E1571" s="13" t="n"/>
      <c r="F1571" s="11">
        <f>IF($E1571="","",IFERROR(VLOOKUP($E1571,OpTbl,2,0),""))</f>
        <v/>
      </c>
      <c r="G1571" s="12" t="n"/>
      <c r="H1571" s="11">
        <f>IF($G1571="","",IFERROR(IF(VLOOKUP($G1571,AcctTbl,4,0)="","(بدون نام)",VLOOKUP($G1571,AcctTbl,4,0)),"کد ناشناخته"))</f>
        <v/>
      </c>
      <c r="I1571" s="13" t="n"/>
      <c r="J1571" s="13" t="n"/>
      <c r="K1571" s="14" t="n"/>
      <c r="L1571" s="14" t="n"/>
      <c r="M1571" s="15">
        <f>IF(OR($B1571="",$K1571=""),"",($K1571-IF($L1571="",0,$L1571)*IFERROR(VLOOKUP("P01",ParamTbl,3,0),1.5))*(1-IF(IFERROR(VLOOKUP($E1571,OpTbl,3,0),"")="خرید",IFERROR(VLOOKUP("P02",ParamTbl,3,0),1),0)/100))</f>
        <v/>
      </c>
      <c r="N1571" s="14" t="n"/>
      <c r="O1571" s="13" t="n"/>
    </row>
    <row r="1572">
      <c r="A1572" s="11">
        <f>IF($B1572="","",COUNTA($B$9:$B1572))</f>
        <v/>
      </c>
      <c r="B1572" s="12" t="n"/>
      <c r="C1572" s="12" t="n"/>
      <c r="D1572" s="12" t="n"/>
      <c r="E1572" s="13" t="n"/>
      <c r="F1572" s="11">
        <f>IF($E1572="","",IFERROR(VLOOKUP($E1572,OpTbl,2,0),""))</f>
        <v/>
      </c>
      <c r="G1572" s="12" t="n"/>
      <c r="H1572" s="11">
        <f>IF($G1572="","",IFERROR(IF(VLOOKUP($G1572,AcctTbl,4,0)="","(بدون نام)",VLOOKUP($G1572,AcctTbl,4,0)),"کد ناشناخته"))</f>
        <v/>
      </c>
      <c r="I1572" s="13" t="n"/>
      <c r="J1572" s="13" t="n"/>
      <c r="K1572" s="14" t="n"/>
      <c r="L1572" s="14" t="n"/>
      <c r="M1572" s="15">
        <f>IF(OR($B1572="",$K1572=""),"",($K1572-IF($L1572="",0,$L1572)*IFERROR(VLOOKUP("P01",ParamTbl,3,0),1.5))*(1-IF(IFERROR(VLOOKUP($E1572,OpTbl,3,0),"")="خرید",IFERROR(VLOOKUP("P02",ParamTbl,3,0),1),0)/100))</f>
        <v/>
      </c>
      <c r="N1572" s="14" t="n"/>
      <c r="O1572" s="13" t="n"/>
    </row>
    <row r="1573">
      <c r="A1573" s="11">
        <f>IF($B1573="","",COUNTA($B$9:$B1573))</f>
        <v/>
      </c>
      <c r="B1573" s="12" t="n"/>
      <c r="C1573" s="12" t="n"/>
      <c r="D1573" s="12" t="n"/>
      <c r="E1573" s="13" t="n"/>
      <c r="F1573" s="11">
        <f>IF($E1573="","",IFERROR(VLOOKUP($E1573,OpTbl,2,0),""))</f>
        <v/>
      </c>
      <c r="G1573" s="12" t="n"/>
      <c r="H1573" s="11">
        <f>IF($G1573="","",IFERROR(IF(VLOOKUP($G1573,AcctTbl,4,0)="","(بدون نام)",VLOOKUP($G1573,AcctTbl,4,0)),"کد ناشناخته"))</f>
        <v/>
      </c>
      <c r="I1573" s="13" t="n"/>
      <c r="J1573" s="13" t="n"/>
      <c r="K1573" s="14" t="n"/>
      <c r="L1573" s="14" t="n"/>
      <c r="M1573" s="15">
        <f>IF(OR($B1573="",$K1573=""),"",($K1573-IF($L1573="",0,$L1573)*IFERROR(VLOOKUP("P01",ParamTbl,3,0),1.5))*(1-IF(IFERROR(VLOOKUP($E1573,OpTbl,3,0),"")="خرید",IFERROR(VLOOKUP("P02",ParamTbl,3,0),1),0)/100))</f>
        <v/>
      </c>
      <c r="N1573" s="14" t="n"/>
      <c r="O1573" s="13" t="n"/>
    </row>
    <row r="1574">
      <c r="A1574" s="11">
        <f>IF($B1574="","",COUNTA($B$9:$B1574))</f>
        <v/>
      </c>
      <c r="B1574" s="12" t="n"/>
      <c r="C1574" s="12" t="n"/>
      <c r="D1574" s="12" t="n"/>
      <c r="E1574" s="13" t="n"/>
      <c r="F1574" s="11">
        <f>IF($E1574="","",IFERROR(VLOOKUP($E1574,OpTbl,2,0),""))</f>
        <v/>
      </c>
      <c r="G1574" s="12" t="n"/>
      <c r="H1574" s="11">
        <f>IF($G1574="","",IFERROR(IF(VLOOKUP($G1574,AcctTbl,4,0)="","(بدون نام)",VLOOKUP($G1574,AcctTbl,4,0)),"کد ناشناخته"))</f>
        <v/>
      </c>
      <c r="I1574" s="13" t="n"/>
      <c r="J1574" s="13" t="n"/>
      <c r="K1574" s="14" t="n"/>
      <c r="L1574" s="14" t="n"/>
      <c r="M1574" s="15">
        <f>IF(OR($B1574="",$K1574=""),"",($K1574-IF($L1574="",0,$L1574)*IFERROR(VLOOKUP("P01",ParamTbl,3,0),1.5))*(1-IF(IFERROR(VLOOKUP($E1574,OpTbl,3,0),"")="خرید",IFERROR(VLOOKUP("P02",ParamTbl,3,0),1),0)/100))</f>
        <v/>
      </c>
      <c r="N1574" s="14" t="n"/>
      <c r="O1574" s="13" t="n"/>
    </row>
    <row r="1575">
      <c r="A1575" s="11">
        <f>IF($B1575="","",COUNTA($B$9:$B1575))</f>
        <v/>
      </c>
      <c r="B1575" s="12" t="n"/>
      <c r="C1575" s="12" t="n"/>
      <c r="D1575" s="12" t="n"/>
      <c r="E1575" s="13" t="n"/>
      <c r="F1575" s="11">
        <f>IF($E1575="","",IFERROR(VLOOKUP($E1575,OpTbl,2,0),""))</f>
        <v/>
      </c>
      <c r="G1575" s="12" t="n"/>
      <c r="H1575" s="11">
        <f>IF($G1575="","",IFERROR(IF(VLOOKUP($G1575,AcctTbl,4,0)="","(بدون نام)",VLOOKUP($G1575,AcctTbl,4,0)),"کد ناشناخته"))</f>
        <v/>
      </c>
      <c r="I1575" s="13" t="n"/>
      <c r="J1575" s="13" t="n"/>
      <c r="K1575" s="14" t="n"/>
      <c r="L1575" s="14" t="n"/>
      <c r="M1575" s="15">
        <f>IF(OR($B1575="",$K1575=""),"",($K1575-IF($L1575="",0,$L1575)*IFERROR(VLOOKUP("P01",ParamTbl,3,0),1.5))*(1-IF(IFERROR(VLOOKUP($E1575,OpTbl,3,0),"")="خرید",IFERROR(VLOOKUP("P02",ParamTbl,3,0),1),0)/100))</f>
        <v/>
      </c>
      <c r="N1575" s="14" t="n"/>
      <c r="O1575" s="13" t="n"/>
    </row>
    <row r="1576">
      <c r="A1576" s="11">
        <f>IF($B1576="","",COUNTA($B$9:$B1576))</f>
        <v/>
      </c>
      <c r="B1576" s="12" t="n"/>
      <c r="C1576" s="12" t="n"/>
      <c r="D1576" s="12" t="n"/>
      <c r="E1576" s="13" t="n"/>
      <c r="F1576" s="11">
        <f>IF($E1576="","",IFERROR(VLOOKUP($E1576,OpTbl,2,0),""))</f>
        <v/>
      </c>
      <c r="G1576" s="12" t="n"/>
      <c r="H1576" s="11">
        <f>IF($G1576="","",IFERROR(IF(VLOOKUP($G1576,AcctTbl,4,0)="","(بدون نام)",VLOOKUP($G1576,AcctTbl,4,0)),"کد ناشناخته"))</f>
        <v/>
      </c>
      <c r="I1576" s="13" t="n"/>
      <c r="J1576" s="13" t="n"/>
      <c r="K1576" s="14" t="n"/>
      <c r="L1576" s="14" t="n"/>
      <c r="M1576" s="15">
        <f>IF(OR($B1576="",$K1576=""),"",($K1576-IF($L1576="",0,$L1576)*IFERROR(VLOOKUP("P01",ParamTbl,3,0),1.5))*(1-IF(IFERROR(VLOOKUP($E1576,OpTbl,3,0),"")="خرید",IFERROR(VLOOKUP("P02",ParamTbl,3,0),1),0)/100))</f>
        <v/>
      </c>
      <c r="N1576" s="14" t="n"/>
      <c r="O1576" s="13" t="n"/>
    </row>
    <row r="1577">
      <c r="A1577" s="11">
        <f>IF($B1577="","",COUNTA($B$9:$B1577))</f>
        <v/>
      </c>
      <c r="B1577" s="12" t="n"/>
      <c r="C1577" s="12" t="n"/>
      <c r="D1577" s="12" t="n"/>
      <c r="E1577" s="13" t="n"/>
      <c r="F1577" s="11">
        <f>IF($E1577="","",IFERROR(VLOOKUP($E1577,OpTbl,2,0),""))</f>
        <v/>
      </c>
      <c r="G1577" s="12" t="n"/>
      <c r="H1577" s="11">
        <f>IF($G1577="","",IFERROR(IF(VLOOKUP($G1577,AcctTbl,4,0)="","(بدون نام)",VLOOKUP($G1577,AcctTbl,4,0)),"کد ناشناخته"))</f>
        <v/>
      </c>
      <c r="I1577" s="13" t="n"/>
      <c r="J1577" s="13" t="n"/>
      <c r="K1577" s="14" t="n"/>
      <c r="L1577" s="14" t="n"/>
      <c r="M1577" s="15">
        <f>IF(OR($B1577="",$K1577=""),"",($K1577-IF($L1577="",0,$L1577)*IFERROR(VLOOKUP("P01",ParamTbl,3,0),1.5))*(1-IF(IFERROR(VLOOKUP($E1577,OpTbl,3,0),"")="خرید",IFERROR(VLOOKUP("P02",ParamTbl,3,0),1),0)/100))</f>
        <v/>
      </c>
      <c r="N1577" s="14" t="n"/>
      <c r="O1577" s="13" t="n"/>
    </row>
    <row r="1578">
      <c r="A1578" s="11">
        <f>IF($B1578="","",COUNTA($B$9:$B1578))</f>
        <v/>
      </c>
      <c r="B1578" s="12" t="n"/>
      <c r="C1578" s="12" t="n"/>
      <c r="D1578" s="12" t="n"/>
      <c r="E1578" s="13" t="n"/>
      <c r="F1578" s="11">
        <f>IF($E1578="","",IFERROR(VLOOKUP($E1578,OpTbl,2,0),""))</f>
        <v/>
      </c>
      <c r="G1578" s="12" t="n"/>
      <c r="H1578" s="11">
        <f>IF($G1578="","",IFERROR(IF(VLOOKUP($G1578,AcctTbl,4,0)="","(بدون نام)",VLOOKUP($G1578,AcctTbl,4,0)),"کد ناشناخته"))</f>
        <v/>
      </c>
      <c r="I1578" s="13" t="n"/>
      <c r="J1578" s="13" t="n"/>
      <c r="K1578" s="14" t="n"/>
      <c r="L1578" s="14" t="n"/>
      <c r="M1578" s="15">
        <f>IF(OR($B1578="",$K1578=""),"",($K1578-IF($L1578="",0,$L1578)*IFERROR(VLOOKUP("P01",ParamTbl,3,0),1.5))*(1-IF(IFERROR(VLOOKUP($E1578,OpTbl,3,0),"")="خرید",IFERROR(VLOOKUP("P02",ParamTbl,3,0),1),0)/100))</f>
        <v/>
      </c>
      <c r="N1578" s="14" t="n"/>
      <c r="O1578" s="13" t="n"/>
    </row>
    <row r="1579">
      <c r="A1579" s="11">
        <f>IF($B1579="","",COUNTA($B$9:$B1579))</f>
        <v/>
      </c>
      <c r="B1579" s="12" t="n"/>
      <c r="C1579" s="12" t="n"/>
      <c r="D1579" s="12" t="n"/>
      <c r="E1579" s="13" t="n"/>
      <c r="F1579" s="11">
        <f>IF($E1579="","",IFERROR(VLOOKUP($E1579,OpTbl,2,0),""))</f>
        <v/>
      </c>
      <c r="G1579" s="12" t="n"/>
      <c r="H1579" s="11">
        <f>IF($G1579="","",IFERROR(IF(VLOOKUP($G1579,AcctTbl,4,0)="","(بدون نام)",VLOOKUP($G1579,AcctTbl,4,0)),"کد ناشناخته"))</f>
        <v/>
      </c>
      <c r="I1579" s="13" t="n"/>
      <c r="J1579" s="13" t="n"/>
      <c r="K1579" s="14" t="n"/>
      <c r="L1579" s="14" t="n"/>
      <c r="M1579" s="15">
        <f>IF(OR($B1579="",$K1579=""),"",($K1579-IF($L1579="",0,$L1579)*IFERROR(VLOOKUP("P01",ParamTbl,3,0),1.5))*(1-IF(IFERROR(VLOOKUP($E1579,OpTbl,3,0),"")="خرید",IFERROR(VLOOKUP("P02",ParamTbl,3,0),1),0)/100))</f>
        <v/>
      </c>
      <c r="N1579" s="14" t="n"/>
      <c r="O1579" s="13" t="n"/>
    </row>
    <row r="1580">
      <c r="A1580" s="11">
        <f>IF($B1580="","",COUNTA($B$9:$B1580))</f>
        <v/>
      </c>
      <c r="B1580" s="12" t="n"/>
      <c r="C1580" s="12" t="n"/>
      <c r="D1580" s="12" t="n"/>
      <c r="E1580" s="13" t="n"/>
      <c r="F1580" s="11">
        <f>IF($E1580="","",IFERROR(VLOOKUP($E1580,OpTbl,2,0),""))</f>
        <v/>
      </c>
      <c r="G1580" s="12" t="n"/>
      <c r="H1580" s="11">
        <f>IF($G1580="","",IFERROR(IF(VLOOKUP($G1580,AcctTbl,4,0)="","(بدون نام)",VLOOKUP($G1580,AcctTbl,4,0)),"کد ناشناخته"))</f>
        <v/>
      </c>
      <c r="I1580" s="13" t="n"/>
      <c r="J1580" s="13" t="n"/>
      <c r="K1580" s="14" t="n"/>
      <c r="L1580" s="14" t="n"/>
      <c r="M1580" s="15">
        <f>IF(OR($B1580="",$K1580=""),"",($K1580-IF($L1580="",0,$L1580)*IFERROR(VLOOKUP("P01",ParamTbl,3,0),1.5))*(1-IF(IFERROR(VLOOKUP($E1580,OpTbl,3,0),"")="خرید",IFERROR(VLOOKUP("P02",ParamTbl,3,0),1),0)/100))</f>
        <v/>
      </c>
      <c r="N1580" s="14" t="n"/>
      <c r="O1580" s="13" t="n"/>
    </row>
    <row r="1581">
      <c r="A1581" s="11">
        <f>IF($B1581="","",COUNTA($B$9:$B1581))</f>
        <v/>
      </c>
      <c r="B1581" s="12" t="n"/>
      <c r="C1581" s="12" t="n"/>
      <c r="D1581" s="12" t="n"/>
      <c r="E1581" s="13" t="n"/>
      <c r="F1581" s="11">
        <f>IF($E1581="","",IFERROR(VLOOKUP($E1581,OpTbl,2,0),""))</f>
        <v/>
      </c>
      <c r="G1581" s="12" t="n"/>
      <c r="H1581" s="11">
        <f>IF($G1581="","",IFERROR(IF(VLOOKUP($G1581,AcctTbl,4,0)="","(بدون نام)",VLOOKUP($G1581,AcctTbl,4,0)),"کد ناشناخته"))</f>
        <v/>
      </c>
      <c r="I1581" s="13" t="n"/>
      <c r="J1581" s="13" t="n"/>
      <c r="K1581" s="14" t="n"/>
      <c r="L1581" s="14" t="n"/>
      <c r="M1581" s="15">
        <f>IF(OR($B1581="",$K1581=""),"",($K1581-IF($L1581="",0,$L1581)*IFERROR(VLOOKUP("P01",ParamTbl,3,0),1.5))*(1-IF(IFERROR(VLOOKUP($E1581,OpTbl,3,0),"")="خرید",IFERROR(VLOOKUP("P02",ParamTbl,3,0),1),0)/100))</f>
        <v/>
      </c>
      <c r="N1581" s="14" t="n"/>
      <c r="O1581" s="13" t="n"/>
    </row>
    <row r="1582">
      <c r="A1582" s="11">
        <f>IF($B1582="","",COUNTA($B$9:$B1582))</f>
        <v/>
      </c>
      <c r="B1582" s="12" t="n"/>
      <c r="C1582" s="12" t="n"/>
      <c r="D1582" s="12" t="n"/>
      <c r="E1582" s="13" t="n"/>
      <c r="F1582" s="11">
        <f>IF($E1582="","",IFERROR(VLOOKUP($E1582,OpTbl,2,0),""))</f>
        <v/>
      </c>
      <c r="G1582" s="12" t="n"/>
      <c r="H1582" s="11">
        <f>IF($G1582="","",IFERROR(IF(VLOOKUP($G1582,AcctTbl,4,0)="","(بدون نام)",VLOOKUP($G1582,AcctTbl,4,0)),"کد ناشناخته"))</f>
        <v/>
      </c>
      <c r="I1582" s="13" t="n"/>
      <c r="J1582" s="13" t="n"/>
      <c r="K1582" s="14" t="n"/>
      <c r="L1582" s="14" t="n"/>
      <c r="M1582" s="15">
        <f>IF(OR($B1582="",$K1582=""),"",($K1582-IF($L1582="",0,$L1582)*IFERROR(VLOOKUP("P01",ParamTbl,3,0),1.5))*(1-IF(IFERROR(VLOOKUP($E1582,OpTbl,3,0),"")="خرید",IFERROR(VLOOKUP("P02",ParamTbl,3,0),1),0)/100))</f>
        <v/>
      </c>
      <c r="N1582" s="14" t="n"/>
      <c r="O1582" s="13" t="n"/>
    </row>
    <row r="1583">
      <c r="A1583" s="11">
        <f>IF($B1583="","",COUNTA($B$9:$B1583))</f>
        <v/>
      </c>
      <c r="B1583" s="12" t="n"/>
      <c r="C1583" s="12" t="n"/>
      <c r="D1583" s="12" t="n"/>
      <c r="E1583" s="13" t="n"/>
      <c r="F1583" s="11">
        <f>IF($E1583="","",IFERROR(VLOOKUP($E1583,OpTbl,2,0),""))</f>
        <v/>
      </c>
      <c r="G1583" s="12" t="n"/>
      <c r="H1583" s="11">
        <f>IF($G1583="","",IFERROR(IF(VLOOKUP($G1583,AcctTbl,4,0)="","(بدون نام)",VLOOKUP($G1583,AcctTbl,4,0)),"کد ناشناخته"))</f>
        <v/>
      </c>
      <c r="I1583" s="13" t="n"/>
      <c r="J1583" s="13" t="n"/>
      <c r="K1583" s="14" t="n"/>
      <c r="L1583" s="14" t="n"/>
      <c r="M1583" s="15">
        <f>IF(OR($B1583="",$K1583=""),"",($K1583-IF($L1583="",0,$L1583)*IFERROR(VLOOKUP("P01",ParamTbl,3,0),1.5))*(1-IF(IFERROR(VLOOKUP($E1583,OpTbl,3,0),"")="خرید",IFERROR(VLOOKUP("P02",ParamTbl,3,0),1),0)/100))</f>
        <v/>
      </c>
      <c r="N1583" s="14" t="n"/>
      <c r="O1583" s="13" t="n"/>
    </row>
    <row r="1584">
      <c r="A1584" s="11">
        <f>IF($B1584="","",COUNTA($B$9:$B1584))</f>
        <v/>
      </c>
      <c r="B1584" s="12" t="n"/>
      <c r="C1584" s="12" t="n"/>
      <c r="D1584" s="12" t="n"/>
      <c r="E1584" s="13" t="n"/>
      <c r="F1584" s="11">
        <f>IF($E1584="","",IFERROR(VLOOKUP($E1584,OpTbl,2,0),""))</f>
        <v/>
      </c>
      <c r="G1584" s="12" t="n"/>
      <c r="H1584" s="11">
        <f>IF($G1584="","",IFERROR(IF(VLOOKUP($G1584,AcctTbl,4,0)="","(بدون نام)",VLOOKUP($G1584,AcctTbl,4,0)),"کد ناشناخته"))</f>
        <v/>
      </c>
      <c r="I1584" s="13" t="n"/>
      <c r="J1584" s="13" t="n"/>
      <c r="K1584" s="14" t="n"/>
      <c r="L1584" s="14" t="n"/>
      <c r="M1584" s="15">
        <f>IF(OR($B1584="",$K1584=""),"",($K1584-IF($L1584="",0,$L1584)*IFERROR(VLOOKUP("P01",ParamTbl,3,0),1.5))*(1-IF(IFERROR(VLOOKUP($E1584,OpTbl,3,0),"")="خرید",IFERROR(VLOOKUP("P02",ParamTbl,3,0),1),0)/100))</f>
        <v/>
      </c>
      <c r="N1584" s="14" t="n"/>
      <c r="O1584" s="13" t="n"/>
    </row>
    <row r="1585">
      <c r="A1585" s="11">
        <f>IF($B1585="","",COUNTA($B$9:$B1585))</f>
        <v/>
      </c>
      <c r="B1585" s="12" t="n"/>
      <c r="C1585" s="12" t="n"/>
      <c r="D1585" s="12" t="n"/>
      <c r="E1585" s="13" t="n"/>
      <c r="F1585" s="11">
        <f>IF($E1585="","",IFERROR(VLOOKUP($E1585,OpTbl,2,0),""))</f>
        <v/>
      </c>
      <c r="G1585" s="12" t="n"/>
      <c r="H1585" s="11">
        <f>IF($G1585="","",IFERROR(IF(VLOOKUP($G1585,AcctTbl,4,0)="","(بدون نام)",VLOOKUP($G1585,AcctTbl,4,0)),"کد ناشناخته"))</f>
        <v/>
      </c>
      <c r="I1585" s="13" t="n"/>
      <c r="J1585" s="13" t="n"/>
      <c r="K1585" s="14" t="n"/>
      <c r="L1585" s="14" t="n"/>
      <c r="M1585" s="15">
        <f>IF(OR($B1585="",$K1585=""),"",($K1585-IF($L1585="",0,$L1585)*IFERROR(VLOOKUP("P01",ParamTbl,3,0),1.5))*(1-IF(IFERROR(VLOOKUP($E1585,OpTbl,3,0),"")="خرید",IFERROR(VLOOKUP("P02",ParamTbl,3,0),1),0)/100))</f>
        <v/>
      </c>
      <c r="N1585" s="14" t="n"/>
      <c r="O1585" s="13" t="n"/>
    </row>
    <row r="1586">
      <c r="A1586" s="11">
        <f>IF($B1586="","",COUNTA($B$9:$B1586))</f>
        <v/>
      </c>
      <c r="B1586" s="12" t="n"/>
      <c r="C1586" s="12" t="n"/>
      <c r="D1586" s="12" t="n"/>
      <c r="E1586" s="13" t="n"/>
      <c r="F1586" s="11">
        <f>IF($E1586="","",IFERROR(VLOOKUP($E1586,OpTbl,2,0),""))</f>
        <v/>
      </c>
      <c r="G1586" s="12" t="n"/>
      <c r="H1586" s="11">
        <f>IF($G1586="","",IFERROR(IF(VLOOKUP($G1586,AcctTbl,4,0)="","(بدون نام)",VLOOKUP($G1586,AcctTbl,4,0)),"کد ناشناخته"))</f>
        <v/>
      </c>
      <c r="I1586" s="13" t="n"/>
      <c r="J1586" s="13" t="n"/>
      <c r="K1586" s="14" t="n"/>
      <c r="L1586" s="14" t="n"/>
      <c r="M1586" s="15">
        <f>IF(OR($B1586="",$K1586=""),"",($K1586-IF($L1586="",0,$L1586)*IFERROR(VLOOKUP("P01",ParamTbl,3,0),1.5))*(1-IF(IFERROR(VLOOKUP($E1586,OpTbl,3,0),"")="خرید",IFERROR(VLOOKUP("P02",ParamTbl,3,0),1),0)/100))</f>
        <v/>
      </c>
      <c r="N1586" s="14" t="n"/>
      <c r="O1586" s="13" t="n"/>
    </row>
    <row r="1587">
      <c r="A1587" s="11">
        <f>IF($B1587="","",COUNTA($B$9:$B1587))</f>
        <v/>
      </c>
      <c r="B1587" s="12" t="n"/>
      <c r="C1587" s="12" t="n"/>
      <c r="D1587" s="12" t="n"/>
      <c r="E1587" s="13" t="n"/>
      <c r="F1587" s="11">
        <f>IF($E1587="","",IFERROR(VLOOKUP($E1587,OpTbl,2,0),""))</f>
        <v/>
      </c>
      <c r="G1587" s="12" t="n"/>
      <c r="H1587" s="11">
        <f>IF($G1587="","",IFERROR(IF(VLOOKUP($G1587,AcctTbl,4,0)="","(بدون نام)",VLOOKUP($G1587,AcctTbl,4,0)),"کد ناشناخته"))</f>
        <v/>
      </c>
      <c r="I1587" s="13" t="n"/>
      <c r="J1587" s="13" t="n"/>
      <c r="K1587" s="14" t="n"/>
      <c r="L1587" s="14" t="n"/>
      <c r="M1587" s="15">
        <f>IF(OR($B1587="",$K1587=""),"",($K1587-IF($L1587="",0,$L1587)*IFERROR(VLOOKUP("P01",ParamTbl,3,0),1.5))*(1-IF(IFERROR(VLOOKUP($E1587,OpTbl,3,0),"")="خرید",IFERROR(VLOOKUP("P02",ParamTbl,3,0),1),0)/100))</f>
        <v/>
      </c>
      <c r="N1587" s="14" t="n"/>
      <c r="O1587" s="13" t="n"/>
    </row>
    <row r="1588">
      <c r="A1588" s="11">
        <f>IF($B1588="","",COUNTA($B$9:$B1588))</f>
        <v/>
      </c>
      <c r="B1588" s="12" t="n"/>
      <c r="C1588" s="12" t="n"/>
      <c r="D1588" s="12" t="n"/>
      <c r="E1588" s="13" t="n"/>
      <c r="F1588" s="11">
        <f>IF($E1588="","",IFERROR(VLOOKUP($E1588,OpTbl,2,0),""))</f>
        <v/>
      </c>
      <c r="G1588" s="12" t="n"/>
      <c r="H1588" s="11">
        <f>IF($G1588="","",IFERROR(IF(VLOOKUP($G1588,AcctTbl,4,0)="","(بدون نام)",VLOOKUP($G1588,AcctTbl,4,0)),"کد ناشناخته"))</f>
        <v/>
      </c>
      <c r="I1588" s="13" t="n"/>
      <c r="J1588" s="13" t="n"/>
      <c r="K1588" s="14" t="n"/>
      <c r="L1588" s="14" t="n"/>
      <c r="M1588" s="15">
        <f>IF(OR($B1588="",$K1588=""),"",($K1588-IF($L1588="",0,$L1588)*IFERROR(VLOOKUP("P01",ParamTbl,3,0),1.5))*(1-IF(IFERROR(VLOOKUP($E1588,OpTbl,3,0),"")="خرید",IFERROR(VLOOKUP("P02",ParamTbl,3,0),1),0)/100))</f>
        <v/>
      </c>
      <c r="N1588" s="14" t="n"/>
      <c r="O1588" s="13" t="n"/>
    </row>
    <row r="1589">
      <c r="A1589" s="11">
        <f>IF($B1589="","",COUNTA($B$9:$B1589))</f>
        <v/>
      </c>
      <c r="B1589" s="12" t="n"/>
      <c r="C1589" s="12" t="n"/>
      <c r="D1589" s="12" t="n"/>
      <c r="E1589" s="13" t="n"/>
      <c r="F1589" s="11">
        <f>IF($E1589="","",IFERROR(VLOOKUP($E1589,OpTbl,2,0),""))</f>
        <v/>
      </c>
      <c r="G1589" s="12" t="n"/>
      <c r="H1589" s="11">
        <f>IF($G1589="","",IFERROR(IF(VLOOKUP($G1589,AcctTbl,4,0)="","(بدون نام)",VLOOKUP($G1589,AcctTbl,4,0)),"کد ناشناخته"))</f>
        <v/>
      </c>
      <c r="I1589" s="13" t="n"/>
      <c r="J1589" s="13" t="n"/>
      <c r="K1589" s="14" t="n"/>
      <c r="L1589" s="14" t="n"/>
      <c r="M1589" s="15">
        <f>IF(OR($B1589="",$K1589=""),"",($K1589-IF($L1589="",0,$L1589)*IFERROR(VLOOKUP("P01",ParamTbl,3,0),1.5))*(1-IF(IFERROR(VLOOKUP($E1589,OpTbl,3,0),"")="خرید",IFERROR(VLOOKUP("P02",ParamTbl,3,0),1),0)/100))</f>
        <v/>
      </c>
      <c r="N1589" s="14" t="n"/>
      <c r="O1589" s="13" t="n"/>
    </row>
    <row r="1590">
      <c r="A1590" s="11">
        <f>IF($B1590="","",COUNTA($B$9:$B1590))</f>
        <v/>
      </c>
      <c r="B1590" s="12" t="n"/>
      <c r="C1590" s="12" t="n"/>
      <c r="D1590" s="12" t="n"/>
      <c r="E1590" s="13" t="n"/>
      <c r="F1590" s="11">
        <f>IF($E1590="","",IFERROR(VLOOKUP($E1590,OpTbl,2,0),""))</f>
        <v/>
      </c>
      <c r="G1590" s="12" t="n"/>
      <c r="H1590" s="11">
        <f>IF($G1590="","",IFERROR(IF(VLOOKUP($G1590,AcctTbl,4,0)="","(بدون نام)",VLOOKUP($G1590,AcctTbl,4,0)),"کد ناشناخته"))</f>
        <v/>
      </c>
      <c r="I1590" s="13" t="n"/>
      <c r="J1590" s="13" t="n"/>
      <c r="K1590" s="14" t="n"/>
      <c r="L1590" s="14" t="n"/>
      <c r="M1590" s="15">
        <f>IF(OR($B1590="",$K1590=""),"",($K1590-IF($L1590="",0,$L1590)*IFERROR(VLOOKUP("P01",ParamTbl,3,0),1.5))*(1-IF(IFERROR(VLOOKUP($E1590,OpTbl,3,0),"")="خرید",IFERROR(VLOOKUP("P02",ParamTbl,3,0),1),0)/100))</f>
        <v/>
      </c>
      <c r="N1590" s="14" t="n"/>
      <c r="O1590" s="13" t="n"/>
    </row>
    <row r="1591">
      <c r="A1591" s="11">
        <f>IF($B1591="","",COUNTA($B$9:$B1591))</f>
        <v/>
      </c>
      <c r="B1591" s="12" t="n"/>
      <c r="C1591" s="12" t="n"/>
      <c r="D1591" s="12" t="n"/>
      <c r="E1591" s="13" t="n"/>
      <c r="F1591" s="11">
        <f>IF($E1591="","",IFERROR(VLOOKUP($E1591,OpTbl,2,0),""))</f>
        <v/>
      </c>
      <c r="G1591" s="12" t="n"/>
      <c r="H1591" s="11">
        <f>IF($G1591="","",IFERROR(IF(VLOOKUP($G1591,AcctTbl,4,0)="","(بدون نام)",VLOOKUP($G1591,AcctTbl,4,0)),"کد ناشناخته"))</f>
        <v/>
      </c>
      <c r="I1591" s="13" t="n"/>
      <c r="J1591" s="13" t="n"/>
      <c r="K1591" s="14" t="n"/>
      <c r="L1591" s="14" t="n"/>
      <c r="M1591" s="15">
        <f>IF(OR($B1591="",$K1591=""),"",($K1591-IF($L1591="",0,$L1591)*IFERROR(VLOOKUP("P01",ParamTbl,3,0),1.5))*(1-IF(IFERROR(VLOOKUP($E1591,OpTbl,3,0),"")="خرید",IFERROR(VLOOKUP("P02",ParamTbl,3,0),1),0)/100))</f>
        <v/>
      </c>
      <c r="N1591" s="14" t="n"/>
      <c r="O1591" s="13" t="n"/>
    </row>
    <row r="1592">
      <c r="A1592" s="11">
        <f>IF($B1592="","",COUNTA($B$9:$B1592))</f>
        <v/>
      </c>
      <c r="B1592" s="12" t="n"/>
      <c r="C1592" s="12" t="n"/>
      <c r="D1592" s="12" t="n"/>
      <c r="E1592" s="13" t="n"/>
      <c r="F1592" s="11">
        <f>IF($E1592="","",IFERROR(VLOOKUP($E1592,OpTbl,2,0),""))</f>
        <v/>
      </c>
      <c r="G1592" s="12" t="n"/>
      <c r="H1592" s="11">
        <f>IF($G1592="","",IFERROR(IF(VLOOKUP($G1592,AcctTbl,4,0)="","(بدون نام)",VLOOKUP($G1592,AcctTbl,4,0)),"کد ناشناخته"))</f>
        <v/>
      </c>
      <c r="I1592" s="13" t="n"/>
      <c r="J1592" s="13" t="n"/>
      <c r="K1592" s="14" t="n"/>
      <c r="L1592" s="14" t="n"/>
      <c r="M1592" s="15">
        <f>IF(OR($B1592="",$K1592=""),"",($K1592-IF($L1592="",0,$L1592)*IFERROR(VLOOKUP("P01",ParamTbl,3,0),1.5))*(1-IF(IFERROR(VLOOKUP($E1592,OpTbl,3,0),"")="خرید",IFERROR(VLOOKUP("P02",ParamTbl,3,0),1),0)/100))</f>
        <v/>
      </c>
      <c r="N1592" s="14" t="n"/>
      <c r="O1592" s="13" t="n"/>
    </row>
    <row r="1593">
      <c r="A1593" s="11">
        <f>IF($B1593="","",COUNTA($B$9:$B1593))</f>
        <v/>
      </c>
      <c r="B1593" s="12" t="n"/>
      <c r="C1593" s="12" t="n"/>
      <c r="D1593" s="12" t="n"/>
      <c r="E1593" s="13" t="n"/>
      <c r="F1593" s="11">
        <f>IF($E1593="","",IFERROR(VLOOKUP($E1593,OpTbl,2,0),""))</f>
        <v/>
      </c>
      <c r="G1593" s="12" t="n"/>
      <c r="H1593" s="11">
        <f>IF($G1593="","",IFERROR(IF(VLOOKUP($G1593,AcctTbl,4,0)="","(بدون نام)",VLOOKUP($G1593,AcctTbl,4,0)),"کد ناشناخته"))</f>
        <v/>
      </c>
      <c r="I1593" s="13" t="n"/>
      <c r="J1593" s="13" t="n"/>
      <c r="K1593" s="14" t="n"/>
      <c r="L1593" s="14" t="n"/>
      <c r="M1593" s="15">
        <f>IF(OR($B1593="",$K1593=""),"",($K1593-IF($L1593="",0,$L1593)*IFERROR(VLOOKUP("P01",ParamTbl,3,0),1.5))*(1-IF(IFERROR(VLOOKUP($E1593,OpTbl,3,0),"")="خرید",IFERROR(VLOOKUP("P02",ParamTbl,3,0),1),0)/100))</f>
        <v/>
      </c>
      <c r="N1593" s="14" t="n"/>
      <c r="O1593" s="13" t="n"/>
    </row>
    <row r="1594">
      <c r="A1594" s="11">
        <f>IF($B1594="","",COUNTA($B$9:$B1594))</f>
        <v/>
      </c>
      <c r="B1594" s="12" t="n"/>
      <c r="C1594" s="12" t="n"/>
      <c r="D1594" s="12" t="n"/>
      <c r="E1594" s="13" t="n"/>
      <c r="F1594" s="11">
        <f>IF($E1594="","",IFERROR(VLOOKUP($E1594,OpTbl,2,0),""))</f>
        <v/>
      </c>
      <c r="G1594" s="12" t="n"/>
      <c r="H1594" s="11">
        <f>IF($G1594="","",IFERROR(IF(VLOOKUP($G1594,AcctTbl,4,0)="","(بدون نام)",VLOOKUP($G1594,AcctTbl,4,0)),"کد ناشناخته"))</f>
        <v/>
      </c>
      <c r="I1594" s="13" t="n"/>
      <c r="J1594" s="13" t="n"/>
      <c r="K1594" s="14" t="n"/>
      <c r="L1594" s="14" t="n"/>
      <c r="M1594" s="15">
        <f>IF(OR($B1594="",$K1594=""),"",($K1594-IF($L1594="",0,$L1594)*IFERROR(VLOOKUP("P01",ParamTbl,3,0),1.5))*(1-IF(IFERROR(VLOOKUP($E1594,OpTbl,3,0),"")="خرید",IFERROR(VLOOKUP("P02",ParamTbl,3,0),1),0)/100))</f>
        <v/>
      </c>
      <c r="N1594" s="14" t="n"/>
      <c r="O1594" s="13" t="n"/>
    </row>
    <row r="1595">
      <c r="A1595" s="11">
        <f>IF($B1595="","",COUNTA($B$9:$B1595))</f>
        <v/>
      </c>
      <c r="B1595" s="12" t="n"/>
      <c r="C1595" s="12" t="n"/>
      <c r="D1595" s="12" t="n"/>
      <c r="E1595" s="13" t="n"/>
      <c r="F1595" s="11">
        <f>IF($E1595="","",IFERROR(VLOOKUP($E1595,OpTbl,2,0),""))</f>
        <v/>
      </c>
      <c r="G1595" s="12" t="n"/>
      <c r="H1595" s="11">
        <f>IF($G1595="","",IFERROR(IF(VLOOKUP($G1595,AcctTbl,4,0)="","(بدون نام)",VLOOKUP($G1595,AcctTbl,4,0)),"کد ناشناخته"))</f>
        <v/>
      </c>
      <c r="I1595" s="13" t="n"/>
      <c r="J1595" s="13" t="n"/>
      <c r="K1595" s="14" t="n"/>
      <c r="L1595" s="14" t="n"/>
      <c r="M1595" s="15">
        <f>IF(OR($B1595="",$K1595=""),"",($K1595-IF($L1595="",0,$L1595)*IFERROR(VLOOKUP("P01",ParamTbl,3,0),1.5))*(1-IF(IFERROR(VLOOKUP($E1595,OpTbl,3,0),"")="خرید",IFERROR(VLOOKUP("P02",ParamTbl,3,0),1),0)/100))</f>
        <v/>
      </c>
      <c r="N1595" s="14" t="n"/>
      <c r="O1595" s="13" t="n"/>
    </row>
    <row r="1596">
      <c r="A1596" s="11">
        <f>IF($B1596="","",COUNTA($B$9:$B1596))</f>
        <v/>
      </c>
      <c r="B1596" s="12" t="n"/>
      <c r="C1596" s="12" t="n"/>
      <c r="D1596" s="12" t="n"/>
      <c r="E1596" s="13" t="n"/>
      <c r="F1596" s="11">
        <f>IF($E1596="","",IFERROR(VLOOKUP($E1596,OpTbl,2,0),""))</f>
        <v/>
      </c>
      <c r="G1596" s="12" t="n"/>
      <c r="H1596" s="11">
        <f>IF($G1596="","",IFERROR(IF(VLOOKUP($G1596,AcctTbl,4,0)="","(بدون نام)",VLOOKUP($G1596,AcctTbl,4,0)),"کد ناشناخته"))</f>
        <v/>
      </c>
      <c r="I1596" s="13" t="n"/>
      <c r="J1596" s="13" t="n"/>
      <c r="K1596" s="14" t="n"/>
      <c r="L1596" s="14" t="n"/>
      <c r="M1596" s="15">
        <f>IF(OR($B1596="",$K1596=""),"",($K1596-IF($L1596="",0,$L1596)*IFERROR(VLOOKUP("P01",ParamTbl,3,0),1.5))*(1-IF(IFERROR(VLOOKUP($E1596,OpTbl,3,0),"")="خرید",IFERROR(VLOOKUP("P02",ParamTbl,3,0),1),0)/100))</f>
        <v/>
      </c>
      <c r="N1596" s="14" t="n"/>
      <c r="O1596" s="13" t="n"/>
    </row>
    <row r="1597">
      <c r="A1597" s="11">
        <f>IF($B1597="","",COUNTA($B$9:$B1597))</f>
        <v/>
      </c>
      <c r="B1597" s="12" t="n"/>
      <c r="C1597" s="12" t="n"/>
      <c r="D1597" s="12" t="n"/>
      <c r="E1597" s="13" t="n"/>
      <c r="F1597" s="11">
        <f>IF($E1597="","",IFERROR(VLOOKUP($E1597,OpTbl,2,0),""))</f>
        <v/>
      </c>
      <c r="G1597" s="12" t="n"/>
      <c r="H1597" s="11">
        <f>IF($G1597="","",IFERROR(IF(VLOOKUP($G1597,AcctTbl,4,0)="","(بدون نام)",VLOOKUP($G1597,AcctTbl,4,0)),"کد ناشناخته"))</f>
        <v/>
      </c>
      <c r="I1597" s="13" t="n"/>
      <c r="J1597" s="13" t="n"/>
      <c r="K1597" s="14" t="n"/>
      <c r="L1597" s="14" t="n"/>
      <c r="M1597" s="15">
        <f>IF(OR($B1597="",$K1597=""),"",($K1597-IF($L1597="",0,$L1597)*IFERROR(VLOOKUP("P01",ParamTbl,3,0),1.5))*(1-IF(IFERROR(VLOOKUP($E1597,OpTbl,3,0),"")="خرید",IFERROR(VLOOKUP("P02",ParamTbl,3,0),1),0)/100))</f>
        <v/>
      </c>
      <c r="N1597" s="14" t="n"/>
      <c r="O1597" s="13" t="n"/>
    </row>
    <row r="1598">
      <c r="A1598" s="11">
        <f>IF($B1598="","",COUNTA($B$9:$B1598))</f>
        <v/>
      </c>
      <c r="B1598" s="12" t="n"/>
      <c r="C1598" s="12" t="n"/>
      <c r="D1598" s="12" t="n"/>
      <c r="E1598" s="13" t="n"/>
      <c r="F1598" s="11">
        <f>IF($E1598="","",IFERROR(VLOOKUP($E1598,OpTbl,2,0),""))</f>
        <v/>
      </c>
      <c r="G1598" s="12" t="n"/>
      <c r="H1598" s="11">
        <f>IF($G1598="","",IFERROR(IF(VLOOKUP($G1598,AcctTbl,4,0)="","(بدون نام)",VLOOKUP($G1598,AcctTbl,4,0)),"کد ناشناخته"))</f>
        <v/>
      </c>
      <c r="I1598" s="13" t="n"/>
      <c r="J1598" s="13" t="n"/>
      <c r="K1598" s="14" t="n"/>
      <c r="L1598" s="14" t="n"/>
      <c r="M1598" s="15">
        <f>IF(OR($B1598="",$K1598=""),"",($K1598-IF($L1598="",0,$L1598)*IFERROR(VLOOKUP("P01",ParamTbl,3,0),1.5))*(1-IF(IFERROR(VLOOKUP($E1598,OpTbl,3,0),"")="خرید",IFERROR(VLOOKUP("P02",ParamTbl,3,0),1),0)/100))</f>
        <v/>
      </c>
      <c r="N1598" s="14" t="n"/>
      <c r="O1598" s="13" t="n"/>
    </row>
    <row r="1599">
      <c r="A1599" s="11">
        <f>IF($B1599="","",COUNTA($B$9:$B1599))</f>
        <v/>
      </c>
      <c r="B1599" s="12" t="n"/>
      <c r="C1599" s="12" t="n"/>
      <c r="D1599" s="12" t="n"/>
      <c r="E1599" s="13" t="n"/>
      <c r="F1599" s="11">
        <f>IF($E1599="","",IFERROR(VLOOKUP($E1599,OpTbl,2,0),""))</f>
        <v/>
      </c>
      <c r="G1599" s="12" t="n"/>
      <c r="H1599" s="11">
        <f>IF($G1599="","",IFERROR(IF(VLOOKUP($G1599,AcctTbl,4,0)="","(بدون نام)",VLOOKUP($G1599,AcctTbl,4,0)),"کد ناشناخته"))</f>
        <v/>
      </c>
      <c r="I1599" s="13" t="n"/>
      <c r="J1599" s="13" t="n"/>
      <c r="K1599" s="14" t="n"/>
      <c r="L1599" s="14" t="n"/>
      <c r="M1599" s="15">
        <f>IF(OR($B1599="",$K1599=""),"",($K1599-IF($L1599="",0,$L1599)*IFERROR(VLOOKUP("P01",ParamTbl,3,0),1.5))*(1-IF(IFERROR(VLOOKUP($E1599,OpTbl,3,0),"")="خرید",IFERROR(VLOOKUP("P02",ParamTbl,3,0),1),0)/100))</f>
        <v/>
      </c>
      <c r="N1599" s="14" t="n"/>
      <c r="O1599" s="13" t="n"/>
    </row>
    <row r="1600">
      <c r="A1600" s="11">
        <f>IF($B1600="","",COUNTA($B$9:$B1600))</f>
        <v/>
      </c>
      <c r="B1600" s="12" t="n"/>
      <c r="C1600" s="12" t="n"/>
      <c r="D1600" s="12" t="n"/>
      <c r="E1600" s="13" t="n"/>
      <c r="F1600" s="11">
        <f>IF($E1600="","",IFERROR(VLOOKUP($E1600,OpTbl,2,0),""))</f>
        <v/>
      </c>
      <c r="G1600" s="12" t="n"/>
      <c r="H1600" s="11">
        <f>IF($G1600="","",IFERROR(IF(VLOOKUP($G1600,AcctTbl,4,0)="","(بدون نام)",VLOOKUP($G1600,AcctTbl,4,0)),"کد ناشناخته"))</f>
        <v/>
      </c>
      <c r="I1600" s="13" t="n"/>
      <c r="J1600" s="13" t="n"/>
      <c r="K1600" s="14" t="n"/>
      <c r="L1600" s="14" t="n"/>
      <c r="M1600" s="15">
        <f>IF(OR($B1600="",$K1600=""),"",($K1600-IF($L1600="",0,$L1600)*IFERROR(VLOOKUP("P01",ParamTbl,3,0),1.5))*(1-IF(IFERROR(VLOOKUP($E1600,OpTbl,3,0),"")="خرید",IFERROR(VLOOKUP("P02",ParamTbl,3,0),1),0)/100))</f>
        <v/>
      </c>
      <c r="N1600" s="14" t="n"/>
      <c r="O1600" s="13" t="n"/>
    </row>
    <row r="1601">
      <c r="A1601" s="11">
        <f>IF($B1601="","",COUNTA($B$9:$B1601))</f>
        <v/>
      </c>
      <c r="B1601" s="12" t="n"/>
      <c r="C1601" s="12" t="n"/>
      <c r="D1601" s="12" t="n"/>
      <c r="E1601" s="13" t="n"/>
      <c r="F1601" s="11">
        <f>IF($E1601="","",IFERROR(VLOOKUP($E1601,OpTbl,2,0),""))</f>
        <v/>
      </c>
      <c r="G1601" s="12" t="n"/>
      <c r="H1601" s="11">
        <f>IF($G1601="","",IFERROR(IF(VLOOKUP($G1601,AcctTbl,4,0)="","(بدون نام)",VLOOKUP($G1601,AcctTbl,4,0)),"کد ناشناخته"))</f>
        <v/>
      </c>
      <c r="I1601" s="13" t="n"/>
      <c r="J1601" s="13" t="n"/>
      <c r="K1601" s="14" t="n"/>
      <c r="L1601" s="14" t="n"/>
      <c r="M1601" s="15">
        <f>IF(OR($B1601="",$K1601=""),"",($K1601-IF($L1601="",0,$L1601)*IFERROR(VLOOKUP("P01",ParamTbl,3,0),1.5))*(1-IF(IFERROR(VLOOKUP($E1601,OpTbl,3,0),"")="خرید",IFERROR(VLOOKUP("P02",ParamTbl,3,0),1),0)/100))</f>
        <v/>
      </c>
      <c r="N1601" s="14" t="n"/>
      <c r="O1601" s="13" t="n"/>
    </row>
    <row r="1602">
      <c r="A1602" s="11">
        <f>IF($B1602="","",COUNTA($B$9:$B1602))</f>
        <v/>
      </c>
      <c r="B1602" s="12" t="n"/>
      <c r="C1602" s="12" t="n"/>
      <c r="D1602" s="12" t="n"/>
      <c r="E1602" s="13" t="n"/>
      <c r="F1602" s="11">
        <f>IF($E1602="","",IFERROR(VLOOKUP($E1602,OpTbl,2,0),""))</f>
        <v/>
      </c>
      <c r="G1602" s="12" t="n"/>
      <c r="H1602" s="11">
        <f>IF($G1602="","",IFERROR(IF(VLOOKUP($G1602,AcctTbl,4,0)="","(بدون نام)",VLOOKUP($G1602,AcctTbl,4,0)),"کد ناشناخته"))</f>
        <v/>
      </c>
      <c r="I1602" s="13" t="n"/>
      <c r="J1602" s="13" t="n"/>
      <c r="K1602" s="14" t="n"/>
      <c r="L1602" s="14" t="n"/>
      <c r="M1602" s="15">
        <f>IF(OR($B1602="",$K1602=""),"",($K1602-IF($L1602="",0,$L1602)*IFERROR(VLOOKUP("P01",ParamTbl,3,0),1.5))*(1-IF(IFERROR(VLOOKUP($E1602,OpTbl,3,0),"")="خرید",IFERROR(VLOOKUP("P02",ParamTbl,3,0),1),0)/100))</f>
        <v/>
      </c>
      <c r="N1602" s="14" t="n"/>
      <c r="O1602" s="13" t="n"/>
    </row>
    <row r="1603">
      <c r="A1603" s="11">
        <f>IF($B1603="","",COUNTA($B$9:$B1603))</f>
        <v/>
      </c>
      <c r="B1603" s="12" t="n"/>
      <c r="C1603" s="12" t="n"/>
      <c r="D1603" s="12" t="n"/>
      <c r="E1603" s="13" t="n"/>
      <c r="F1603" s="11">
        <f>IF($E1603="","",IFERROR(VLOOKUP($E1603,OpTbl,2,0),""))</f>
        <v/>
      </c>
      <c r="G1603" s="12" t="n"/>
      <c r="H1603" s="11">
        <f>IF($G1603="","",IFERROR(IF(VLOOKUP($G1603,AcctTbl,4,0)="","(بدون نام)",VLOOKUP($G1603,AcctTbl,4,0)),"کد ناشناخته"))</f>
        <v/>
      </c>
      <c r="I1603" s="13" t="n"/>
      <c r="J1603" s="13" t="n"/>
      <c r="K1603" s="14" t="n"/>
      <c r="L1603" s="14" t="n"/>
      <c r="M1603" s="15">
        <f>IF(OR($B1603="",$K1603=""),"",($K1603-IF($L1603="",0,$L1603)*IFERROR(VLOOKUP("P01",ParamTbl,3,0),1.5))*(1-IF(IFERROR(VLOOKUP($E1603,OpTbl,3,0),"")="خرید",IFERROR(VLOOKUP("P02",ParamTbl,3,0),1),0)/100))</f>
        <v/>
      </c>
      <c r="N1603" s="14" t="n"/>
      <c r="O1603" s="13" t="n"/>
    </row>
    <row r="1604">
      <c r="A1604" s="11">
        <f>IF($B1604="","",COUNTA($B$9:$B1604))</f>
        <v/>
      </c>
      <c r="B1604" s="12" t="n"/>
      <c r="C1604" s="12" t="n"/>
      <c r="D1604" s="12" t="n"/>
      <c r="E1604" s="13" t="n"/>
      <c r="F1604" s="11">
        <f>IF($E1604="","",IFERROR(VLOOKUP($E1604,OpTbl,2,0),""))</f>
        <v/>
      </c>
      <c r="G1604" s="12" t="n"/>
      <c r="H1604" s="11">
        <f>IF($G1604="","",IFERROR(IF(VLOOKUP($G1604,AcctTbl,4,0)="","(بدون نام)",VLOOKUP($G1604,AcctTbl,4,0)),"کد ناشناخته"))</f>
        <v/>
      </c>
      <c r="I1604" s="13" t="n"/>
      <c r="J1604" s="13" t="n"/>
      <c r="K1604" s="14" t="n"/>
      <c r="L1604" s="14" t="n"/>
      <c r="M1604" s="15">
        <f>IF(OR($B1604="",$K1604=""),"",($K1604-IF($L1604="",0,$L1604)*IFERROR(VLOOKUP("P01",ParamTbl,3,0),1.5))*(1-IF(IFERROR(VLOOKUP($E1604,OpTbl,3,0),"")="خرید",IFERROR(VLOOKUP("P02",ParamTbl,3,0),1),0)/100))</f>
        <v/>
      </c>
      <c r="N1604" s="14" t="n"/>
      <c r="O1604" s="13" t="n"/>
    </row>
    <row r="1605">
      <c r="A1605" s="11">
        <f>IF($B1605="","",COUNTA($B$9:$B1605))</f>
        <v/>
      </c>
      <c r="B1605" s="12" t="n"/>
      <c r="C1605" s="12" t="n"/>
      <c r="D1605" s="12" t="n"/>
      <c r="E1605" s="13" t="n"/>
      <c r="F1605" s="11">
        <f>IF($E1605="","",IFERROR(VLOOKUP($E1605,OpTbl,2,0),""))</f>
        <v/>
      </c>
      <c r="G1605" s="12" t="n"/>
      <c r="H1605" s="11">
        <f>IF($G1605="","",IFERROR(IF(VLOOKUP($G1605,AcctTbl,4,0)="","(بدون نام)",VLOOKUP($G1605,AcctTbl,4,0)),"کد ناشناخته"))</f>
        <v/>
      </c>
      <c r="I1605" s="13" t="n"/>
      <c r="J1605" s="13" t="n"/>
      <c r="K1605" s="14" t="n"/>
      <c r="L1605" s="14" t="n"/>
      <c r="M1605" s="15">
        <f>IF(OR($B1605="",$K1605=""),"",($K1605-IF($L1605="",0,$L1605)*IFERROR(VLOOKUP("P01",ParamTbl,3,0),1.5))*(1-IF(IFERROR(VLOOKUP($E1605,OpTbl,3,0),"")="خرید",IFERROR(VLOOKUP("P02",ParamTbl,3,0),1),0)/100))</f>
        <v/>
      </c>
      <c r="N1605" s="14" t="n"/>
      <c r="O1605" s="13" t="n"/>
    </row>
    <row r="1606">
      <c r="A1606" s="11">
        <f>IF($B1606="","",COUNTA($B$9:$B1606))</f>
        <v/>
      </c>
      <c r="B1606" s="12" t="n"/>
      <c r="C1606" s="12" t="n"/>
      <c r="D1606" s="12" t="n"/>
      <c r="E1606" s="13" t="n"/>
      <c r="F1606" s="11">
        <f>IF($E1606="","",IFERROR(VLOOKUP($E1606,OpTbl,2,0),""))</f>
        <v/>
      </c>
      <c r="G1606" s="12" t="n"/>
      <c r="H1606" s="11">
        <f>IF($G1606="","",IFERROR(IF(VLOOKUP($G1606,AcctTbl,4,0)="","(بدون نام)",VLOOKUP($G1606,AcctTbl,4,0)),"کد ناشناخته"))</f>
        <v/>
      </c>
      <c r="I1606" s="13" t="n"/>
      <c r="J1606" s="13" t="n"/>
      <c r="K1606" s="14" t="n"/>
      <c r="L1606" s="14" t="n"/>
      <c r="M1606" s="15">
        <f>IF(OR($B1606="",$K1606=""),"",($K1606-IF($L1606="",0,$L1606)*IFERROR(VLOOKUP("P01",ParamTbl,3,0),1.5))*(1-IF(IFERROR(VLOOKUP($E1606,OpTbl,3,0),"")="خرید",IFERROR(VLOOKUP("P02",ParamTbl,3,0),1),0)/100))</f>
        <v/>
      </c>
      <c r="N1606" s="14" t="n"/>
      <c r="O1606" s="13" t="n"/>
    </row>
    <row r="1607">
      <c r="A1607" s="11">
        <f>IF($B1607="","",COUNTA($B$9:$B1607))</f>
        <v/>
      </c>
      <c r="B1607" s="12" t="n"/>
      <c r="C1607" s="12" t="n"/>
      <c r="D1607" s="12" t="n"/>
      <c r="E1607" s="13" t="n"/>
      <c r="F1607" s="11">
        <f>IF($E1607="","",IFERROR(VLOOKUP($E1607,OpTbl,2,0),""))</f>
        <v/>
      </c>
      <c r="G1607" s="12" t="n"/>
      <c r="H1607" s="11">
        <f>IF($G1607="","",IFERROR(IF(VLOOKUP($G1607,AcctTbl,4,0)="","(بدون نام)",VLOOKUP($G1607,AcctTbl,4,0)),"کد ناشناخته"))</f>
        <v/>
      </c>
      <c r="I1607" s="13" t="n"/>
      <c r="J1607" s="13" t="n"/>
      <c r="K1607" s="14" t="n"/>
      <c r="L1607" s="14" t="n"/>
      <c r="M1607" s="15">
        <f>IF(OR($B1607="",$K1607=""),"",($K1607-IF($L1607="",0,$L1607)*IFERROR(VLOOKUP("P01",ParamTbl,3,0),1.5))*(1-IF(IFERROR(VLOOKUP($E1607,OpTbl,3,0),"")="خرید",IFERROR(VLOOKUP("P02",ParamTbl,3,0),1),0)/100))</f>
        <v/>
      </c>
      <c r="N1607" s="14" t="n"/>
      <c r="O1607" s="13" t="n"/>
    </row>
    <row r="1608">
      <c r="A1608" s="11">
        <f>IF($B1608="","",COUNTA($B$9:$B1608))</f>
        <v/>
      </c>
      <c r="B1608" s="12" t="n"/>
      <c r="C1608" s="12" t="n"/>
      <c r="D1608" s="12" t="n"/>
      <c r="E1608" s="13" t="n"/>
      <c r="F1608" s="11">
        <f>IF($E1608="","",IFERROR(VLOOKUP($E1608,OpTbl,2,0),""))</f>
        <v/>
      </c>
      <c r="G1608" s="12" t="n"/>
      <c r="H1608" s="11">
        <f>IF($G1608="","",IFERROR(IF(VLOOKUP($G1608,AcctTbl,4,0)="","(بدون نام)",VLOOKUP($G1608,AcctTbl,4,0)),"کد ناشناخته"))</f>
        <v/>
      </c>
      <c r="I1608" s="13" t="n"/>
      <c r="J1608" s="13" t="n"/>
      <c r="K1608" s="14" t="n"/>
      <c r="L1608" s="14" t="n"/>
      <c r="M1608" s="15">
        <f>IF(OR($B1608="",$K1608=""),"",($K1608-IF($L1608="",0,$L1608)*IFERROR(VLOOKUP("P01",ParamTbl,3,0),1.5))*(1-IF(IFERROR(VLOOKUP($E1608,OpTbl,3,0),"")="خرید",IFERROR(VLOOKUP("P02",ParamTbl,3,0),1),0)/100))</f>
        <v/>
      </c>
      <c r="N1608" s="14" t="n"/>
      <c r="O1608" s="13" t="n"/>
    </row>
    <row r="1609">
      <c r="A1609" s="11">
        <f>IF($B1609="","",COUNTA($B$9:$B1609))</f>
        <v/>
      </c>
      <c r="B1609" s="12" t="n"/>
      <c r="C1609" s="12" t="n"/>
      <c r="D1609" s="12" t="n"/>
      <c r="E1609" s="13" t="n"/>
      <c r="F1609" s="11">
        <f>IF($E1609="","",IFERROR(VLOOKUP($E1609,OpTbl,2,0),""))</f>
        <v/>
      </c>
      <c r="G1609" s="12" t="n"/>
      <c r="H1609" s="11">
        <f>IF($G1609="","",IFERROR(IF(VLOOKUP($G1609,AcctTbl,4,0)="","(بدون نام)",VLOOKUP($G1609,AcctTbl,4,0)),"کد ناشناخته"))</f>
        <v/>
      </c>
      <c r="I1609" s="13" t="n"/>
      <c r="J1609" s="13" t="n"/>
      <c r="K1609" s="14" t="n"/>
      <c r="L1609" s="14" t="n"/>
      <c r="M1609" s="15">
        <f>IF(OR($B1609="",$K1609=""),"",($K1609-IF($L1609="",0,$L1609)*IFERROR(VLOOKUP("P01",ParamTbl,3,0),1.5))*(1-IF(IFERROR(VLOOKUP($E1609,OpTbl,3,0),"")="خرید",IFERROR(VLOOKUP("P02",ParamTbl,3,0),1),0)/100))</f>
        <v/>
      </c>
      <c r="N1609" s="14" t="n"/>
      <c r="O1609" s="13" t="n"/>
    </row>
    <row r="1610">
      <c r="A1610" s="11">
        <f>IF($B1610="","",COUNTA($B$9:$B1610))</f>
        <v/>
      </c>
      <c r="B1610" s="12" t="n"/>
      <c r="C1610" s="12" t="n"/>
      <c r="D1610" s="12" t="n"/>
      <c r="E1610" s="13" t="n"/>
      <c r="F1610" s="11">
        <f>IF($E1610="","",IFERROR(VLOOKUP($E1610,OpTbl,2,0),""))</f>
        <v/>
      </c>
      <c r="G1610" s="12" t="n"/>
      <c r="H1610" s="11">
        <f>IF($G1610="","",IFERROR(IF(VLOOKUP($G1610,AcctTbl,4,0)="","(بدون نام)",VLOOKUP($G1610,AcctTbl,4,0)),"کد ناشناخته"))</f>
        <v/>
      </c>
      <c r="I1610" s="13" t="n"/>
      <c r="J1610" s="13" t="n"/>
      <c r="K1610" s="14" t="n"/>
      <c r="L1610" s="14" t="n"/>
      <c r="M1610" s="15">
        <f>IF(OR($B1610="",$K1610=""),"",($K1610-IF($L1610="",0,$L1610)*IFERROR(VLOOKUP("P01",ParamTbl,3,0),1.5))*(1-IF(IFERROR(VLOOKUP($E1610,OpTbl,3,0),"")="خرید",IFERROR(VLOOKUP("P02",ParamTbl,3,0),1),0)/100))</f>
        <v/>
      </c>
      <c r="N1610" s="14" t="n"/>
      <c r="O1610" s="13" t="n"/>
    </row>
    <row r="1611">
      <c r="A1611" s="11">
        <f>IF($B1611="","",COUNTA($B$9:$B1611))</f>
        <v/>
      </c>
      <c r="B1611" s="12" t="n"/>
      <c r="C1611" s="12" t="n"/>
      <c r="D1611" s="12" t="n"/>
      <c r="E1611" s="13" t="n"/>
      <c r="F1611" s="11">
        <f>IF($E1611="","",IFERROR(VLOOKUP($E1611,OpTbl,2,0),""))</f>
        <v/>
      </c>
      <c r="G1611" s="12" t="n"/>
      <c r="H1611" s="11">
        <f>IF($G1611="","",IFERROR(IF(VLOOKUP($G1611,AcctTbl,4,0)="","(بدون نام)",VLOOKUP($G1611,AcctTbl,4,0)),"کد ناشناخته"))</f>
        <v/>
      </c>
      <c r="I1611" s="13" t="n"/>
      <c r="J1611" s="13" t="n"/>
      <c r="K1611" s="14" t="n"/>
      <c r="L1611" s="14" t="n"/>
      <c r="M1611" s="15">
        <f>IF(OR($B1611="",$K1611=""),"",($K1611-IF($L1611="",0,$L1611)*IFERROR(VLOOKUP("P01",ParamTbl,3,0),1.5))*(1-IF(IFERROR(VLOOKUP($E1611,OpTbl,3,0),"")="خرید",IFERROR(VLOOKUP("P02",ParamTbl,3,0),1),0)/100))</f>
        <v/>
      </c>
      <c r="N1611" s="14" t="n"/>
      <c r="O1611" s="13" t="n"/>
    </row>
    <row r="1612">
      <c r="A1612" s="11">
        <f>IF($B1612="","",COUNTA($B$9:$B1612))</f>
        <v/>
      </c>
      <c r="B1612" s="12" t="n"/>
      <c r="C1612" s="12" t="n"/>
      <c r="D1612" s="12" t="n"/>
      <c r="E1612" s="13" t="n"/>
      <c r="F1612" s="11">
        <f>IF($E1612="","",IFERROR(VLOOKUP($E1612,OpTbl,2,0),""))</f>
        <v/>
      </c>
      <c r="G1612" s="12" t="n"/>
      <c r="H1612" s="11">
        <f>IF($G1612="","",IFERROR(IF(VLOOKUP($G1612,AcctTbl,4,0)="","(بدون نام)",VLOOKUP($G1612,AcctTbl,4,0)),"کد ناشناخته"))</f>
        <v/>
      </c>
      <c r="I1612" s="13" t="n"/>
      <c r="J1612" s="13" t="n"/>
      <c r="K1612" s="14" t="n"/>
      <c r="L1612" s="14" t="n"/>
      <c r="M1612" s="15">
        <f>IF(OR($B1612="",$K1612=""),"",($K1612-IF($L1612="",0,$L1612)*IFERROR(VLOOKUP("P01",ParamTbl,3,0),1.5))*(1-IF(IFERROR(VLOOKUP($E1612,OpTbl,3,0),"")="خرید",IFERROR(VLOOKUP("P02",ParamTbl,3,0),1),0)/100))</f>
        <v/>
      </c>
      <c r="N1612" s="14" t="n"/>
      <c r="O1612" s="13" t="n"/>
    </row>
    <row r="1613">
      <c r="A1613" s="11">
        <f>IF($B1613="","",COUNTA($B$9:$B1613))</f>
        <v/>
      </c>
      <c r="B1613" s="12" t="n"/>
      <c r="C1613" s="12" t="n"/>
      <c r="D1613" s="12" t="n"/>
      <c r="E1613" s="13" t="n"/>
      <c r="F1613" s="11">
        <f>IF($E1613="","",IFERROR(VLOOKUP($E1613,OpTbl,2,0),""))</f>
        <v/>
      </c>
      <c r="G1613" s="12" t="n"/>
      <c r="H1613" s="11">
        <f>IF($G1613="","",IFERROR(IF(VLOOKUP($G1613,AcctTbl,4,0)="","(بدون نام)",VLOOKUP($G1613,AcctTbl,4,0)),"کد ناشناخته"))</f>
        <v/>
      </c>
      <c r="I1613" s="13" t="n"/>
      <c r="J1613" s="13" t="n"/>
      <c r="K1613" s="14" t="n"/>
      <c r="L1613" s="14" t="n"/>
      <c r="M1613" s="15">
        <f>IF(OR($B1613="",$K1613=""),"",($K1613-IF($L1613="",0,$L1613)*IFERROR(VLOOKUP("P01",ParamTbl,3,0),1.5))*(1-IF(IFERROR(VLOOKUP($E1613,OpTbl,3,0),"")="خرید",IFERROR(VLOOKUP("P02",ParamTbl,3,0),1),0)/100))</f>
        <v/>
      </c>
      <c r="N1613" s="14" t="n"/>
      <c r="O1613" s="13" t="n"/>
    </row>
    <row r="1614">
      <c r="A1614" s="11">
        <f>IF($B1614="","",COUNTA($B$9:$B1614))</f>
        <v/>
      </c>
      <c r="B1614" s="12" t="n"/>
      <c r="C1614" s="12" t="n"/>
      <c r="D1614" s="12" t="n"/>
      <c r="E1614" s="13" t="n"/>
      <c r="F1614" s="11">
        <f>IF($E1614="","",IFERROR(VLOOKUP($E1614,OpTbl,2,0),""))</f>
        <v/>
      </c>
      <c r="G1614" s="12" t="n"/>
      <c r="H1614" s="11">
        <f>IF($G1614="","",IFERROR(IF(VLOOKUP($G1614,AcctTbl,4,0)="","(بدون نام)",VLOOKUP($G1614,AcctTbl,4,0)),"کد ناشناخته"))</f>
        <v/>
      </c>
      <c r="I1614" s="13" t="n"/>
      <c r="J1614" s="13" t="n"/>
      <c r="K1614" s="14" t="n"/>
      <c r="L1614" s="14" t="n"/>
      <c r="M1614" s="15">
        <f>IF(OR($B1614="",$K1614=""),"",($K1614-IF($L1614="",0,$L1614)*IFERROR(VLOOKUP("P01",ParamTbl,3,0),1.5))*(1-IF(IFERROR(VLOOKUP($E1614,OpTbl,3,0),"")="خرید",IFERROR(VLOOKUP("P02",ParamTbl,3,0),1),0)/100))</f>
        <v/>
      </c>
      <c r="N1614" s="14" t="n"/>
      <c r="O1614" s="13" t="n"/>
    </row>
    <row r="1615">
      <c r="A1615" s="11">
        <f>IF($B1615="","",COUNTA($B$9:$B1615))</f>
        <v/>
      </c>
      <c r="B1615" s="12" t="n"/>
      <c r="C1615" s="12" t="n"/>
      <c r="D1615" s="12" t="n"/>
      <c r="E1615" s="13" t="n"/>
      <c r="F1615" s="11">
        <f>IF($E1615="","",IFERROR(VLOOKUP($E1615,OpTbl,2,0),""))</f>
        <v/>
      </c>
      <c r="G1615" s="12" t="n"/>
      <c r="H1615" s="11">
        <f>IF($G1615="","",IFERROR(IF(VLOOKUP($G1615,AcctTbl,4,0)="","(بدون نام)",VLOOKUP($G1615,AcctTbl,4,0)),"کد ناشناخته"))</f>
        <v/>
      </c>
      <c r="I1615" s="13" t="n"/>
      <c r="J1615" s="13" t="n"/>
      <c r="K1615" s="14" t="n"/>
      <c r="L1615" s="14" t="n"/>
      <c r="M1615" s="15">
        <f>IF(OR($B1615="",$K1615=""),"",($K1615-IF($L1615="",0,$L1615)*IFERROR(VLOOKUP("P01",ParamTbl,3,0),1.5))*(1-IF(IFERROR(VLOOKUP($E1615,OpTbl,3,0),"")="خرید",IFERROR(VLOOKUP("P02",ParamTbl,3,0),1),0)/100))</f>
        <v/>
      </c>
      <c r="N1615" s="14" t="n"/>
      <c r="O1615" s="13" t="n"/>
    </row>
    <row r="1616">
      <c r="A1616" s="11">
        <f>IF($B1616="","",COUNTA($B$9:$B1616))</f>
        <v/>
      </c>
      <c r="B1616" s="12" t="n"/>
      <c r="C1616" s="12" t="n"/>
      <c r="D1616" s="12" t="n"/>
      <c r="E1616" s="13" t="n"/>
      <c r="F1616" s="11">
        <f>IF($E1616="","",IFERROR(VLOOKUP($E1616,OpTbl,2,0),""))</f>
        <v/>
      </c>
      <c r="G1616" s="12" t="n"/>
      <c r="H1616" s="11">
        <f>IF($G1616="","",IFERROR(IF(VLOOKUP($G1616,AcctTbl,4,0)="","(بدون نام)",VLOOKUP($G1616,AcctTbl,4,0)),"کد ناشناخته"))</f>
        <v/>
      </c>
      <c r="I1616" s="13" t="n"/>
      <c r="J1616" s="13" t="n"/>
      <c r="K1616" s="14" t="n"/>
      <c r="L1616" s="14" t="n"/>
      <c r="M1616" s="15">
        <f>IF(OR($B1616="",$K1616=""),"",($K1616-IF($L1616="",0,$L1616)*IFERROR(VLOOKUP("P01",ParamTbl,3,0),1.5))*(1-IF(IFERROR(VLOOKUP($E1616,OpTbl,3,0),"")="خرید",IFERROR(VLOOKUP("P02",ParamTbl,3,0),1),0)/100))</f>
        <v/>
      </c>
      <c r="N1616" s="14" t="n"/>
      <c r="O1616" s="13" t="n"/>
    </row>
    <row r="1617">
      <c r="A1617" s="11">
        <f>IF($B1617="","",COUNTA($B$9:$B1617))</f>
        <v/>
      </c>
      <c r="B1617" s="12" t="n"/>
      <c r="C1617" s="12" t="n"/>
      <c r="D1617" s="12" t="n"/>
      <c r="E1617" s="13" t="n"/>
      <c r="F1617" s="11">
        <f>IF($E1617="","",IFERROR(VLOOKUP($E1617,OpTbl,2,0),""))</f>
        <v/>
      </c>
      <c r="G1617" s="12" t="n"/>
      <c r="H1617" s="11">
        <f>IF($G1617="","",IFERROR(IF(VLOOKUP($G1617,AcctTbl,4,0)="","(بدون نام)",VLOOKUP($G1617,AcctTbl,4,0)),"کد ناشناخته"))</f>
        <v/>
      </c>
      <c r="I1617" s="13" t="n"/>
      <c r="J1617" s="13" t="n"/>
      <c r="K1617" s="14" t="n"/>
      <c r="L1617" s="14" t="n"/>
      <c r="M1617" s="15">
        <f>IF(OR($B1617="",$K1617=""),"",($K1617-IF($L1617="",0,$L1617)*IFERROR(VLOOKUP("P01",ParamTbl,3,0),1.5))*(1-IF(IFERROR(VLOOKUP($E1617,OpTbl,3,0),"")="خرید",IFERROR(VLOOKUP("P02",ParamTbl,3,0),1),0)/100))</f>
        <v/>
      </c>
      <c r="N1617" s="14" t="n"/>
      <c r="O1617" s="13" t="n"/>
    </row>
    <row r="1618">
      <c r="A1618" s="11">
        <f>IF($B1618="","",COUNTA($B$9:$B1618))</f>
        <v/>
      </c>
      <c r="B1618" s="12" t="n"/>
      <c r="C1618" s="12" t="n"/>
      <c r="D1618" s="12" t="n"/>
      <c r="E1618" s="13" t="n"/>
      <c r="F1618" s="11">
        <f>IF($E1618="","",IFERROR(VLOOKUP($E1618,OpTbl,2,0),""))</f>
        <v/>
      </c>
      <c r="G1618" s="12" t="n"/>
      <c r="H1618" s="11">
        <f>IF($G1618="","",IFERROR(IF(VLOOKUP($G1618,AcctTbl,4,0)="","(بدون نام)",VLOOKUP($G1618,AcctTbl,4,0)),"کد ناشناخته"))</f>
        <v/>
      </c>
      <c r="I1618" s="13" t="n"/>
      <c r="J1618" s="13" t="n"/>
      <c r="K1618" s="14" t="n"/>
      <c r="L1618" s="14" t="n"/>
      <c r="M1618" s="15">
        <f>IF(OR($B1618="",$K1618=""),"",($K1618-IF($L1618="",0,$L1618)*IFERROR(VLOOKUP("P01",ParamTbl,3,0),1.5))*(1-IF(IFERROR(VLOOKUP($E1618,OpTbl,3,0),"")="خرید",IFERROR(VLOOKUP("P02",ParamTbl,3,0),1),0)/100))</f>
        <v/>
      </c>
      <c r="N1618" s="14" t="n"/>
      <c r="O1618" s="13" t="n"/>
    </row>
    <row r="1619">
      <c r="A1619" s="11">
        <f>IF($B1619="","",COUNTA($B$9:$B1619))</f>
        <v/>
      </c>
      <c r="B1619" s="12" t="n"/>
      <c r="C1619" s="12" t="n"/>
      <c r="D1619" s="12" t="n"/>
      <c r="E1619" s="13" t="n"/>
      <c r="F1619" s="11">
        <f>IF($E1619="","",IFERROR(VLOOKUP($E1619,OpTbl,2,0),""))</f>
        <v/>
      </c>
      <c r="G1619" s="12" t="n"/>
      <c r="H1619" s="11">
        <f>IF($G1619="","",IFERROR(IF(VLOOKUP($G1619,AcctTbl,4,0)="","(بدون نام)",VLOOKUP($G1619,AcctTbl,4,0)),"کد ناشناخته"))</f>
        <v/>
      </c>
      <c r="I1619" s="13" t="n"/>
      <c r="J1619" s="13" t="n"/>
      <c r="K1619" s="14" t="n"/>
      <c r="L1619" s="14" t="n"/>
      <c r="M1619" s="15">
        <f>IF(OR($B1619="",$K1619=""),"",($K1619-IF($L1619="",0,$L1619)*IFERROR(VLOOKUP("P01",ParamTbl,3,0),1.5))*(1-IF(IFERROR(VLOOKUP($E1619,OpTbl,3,0),"")="خرید",IFERROR(VLOOKUP("P02",ParamTbl,3,0),1),0)/100))</f>
        <v/>
      </c>
      <c r="N1619" s="14" t="n"/>
      <c r="O1619" s="13" t="n"/>
    </row>
    <row r="1620">
      <c r="A1620" s="11">
        <f>IF($B1620="","",COUNTA($B$9:$B1620))</f>
        <v/>
      </c>
      <c r="B1620" s="12" t="n"/>
      <c r="C1620" s="12" t="n"/>
      <c r="D1620" s="12" t="n"/>
      <c r="E1620" s="13" t="n"/>
      <c r="F1620" s="11">
        <f>IF($E1620="","",IFERROR(VLOOKUP($E1620,OpTbl,2,0),""))</f>
        <v/>
      </c>
      <c r="G1620" s="12" t="n"/>
      <c r="H1620" s="11">
        <f>IF($G1620="","",IFERROR(IF(VLOOKUP($G1620,AcctTbl,4,0)="","(بدون نام)",VLOOKUP($G1620,AcctTbl,4,0)),"کد ناشناخته"))</f>
        <v/>
      </c>
      <c r="I1620" s="13" t="n"/>
      <c r="J1620" s="13" t="n"/>
      <c r="K1620" s="14" t="n"/>
      <c r="L1620" s="14" t="n"/>
      <c r="M1620" s="15">
        <f>IF(OR($B1620="",$K1620=""),"",($K1620-IF($L1620="",0,$L1620)*IFERROR(VLOOKUP("P01",ParamTbl,3,0),1.5))*(1-IF(IFERROR(VLOOKUP($E1620,OpTbl,3,0),"")="خرید",IFERROR(VLOOKUP("P02",ParamTbl,3,0),1),0)/100))</f>
        <v/>
      </c>
      <c r="N1620" s="14" t="n"/>
      <c r="O1620" s="13" t="n"/>
    </row>
    <row r="1621">
      <c r="A1621" s="11">
        <f>IF($B1621="","",COUNTA($B$9:$B1621))</f>
        <v/>
      </c>
      <c r="B1621" s="12" t="n"/>
      <c r="C1621" s="12" t="n"/>
      <c r="D1621" s="12" t="n"/>
      <c r="E1621" s="13" t="n"/>
      <c r="F1621" s="11">
        <f>IF($E1621="","",IFERROR(VLOOKUP($E1621,OpTbl,2,0),""))</f>
        <v/>
      </c>
      <c r="G1621" s="12" t="n"/>
      <c r="H1621" s="11">
        <f>IF($G1621="","",IFERROR(IF(VLOOKUP($G1621,AcctTbl,4,0)="","(بدون نام)",VLOOKUP($G1621,AcctTbl,4,0)),"کد ناشناخته"))</f>
        <v/>
      </c>
      <c r="I1621" s="13" t="n"/>
      <c r="J1621" s="13" t="n"/>
      <c r="K1621" s="14" t="n"/>
      <c r="L1621" s="14" t="n"/>
      <c r="M1621" s="15">
        <f>IF(OR($B1621="",$K1621=""),"",($K1621-IF($L1621="",0,$L1621)*IFERROR(VLOOKUP("P01",ParamTbl,3,0),1.5))*(1-IF(IFERROR(VLOOKUP($E1621,OpTbl,3,0),"")="خرید",IFERROR(VLOOKUP("P02",ParamTbl,3,0),1),0)/100))</f>
        <v/>
      </c>
      <c r="N1621" s="14" t="n"/>
      <c r="O1621" s="13" t="n"/>
    </row>
    <row r="1622">
      <c r="A1622" s="11">
        <f>IF($B1622="","",COUNTA($B$9:$B1622))</f>
        <v/>
      </c>
      <c r="B1622" s="12" t="n"/>
      <c r="C1622" s="12" t="n"/>
      <c r="D1622" s="12" t="n"/>
      <c r="E1622" s="13" t="n"/>
      <c r="F1622" s="11">
        <f>IF($E1622="","",IFERROR(VLOOKUP($E1622,OpTbl,2,0),""))</f>
        <v/>
      </c>
      <c r="G1622" s="12" t="n"/>
      <c r="H1622" s="11">
        <f>IF($G1622="","",IFERROR(IF(VLOOKUP($G1622,AcctTbl,4,0)="","(بدون نام)",VLOOKUP($G1622,AcctTbl,4,0)),"کد ناشناخته"))</f>
        <v/>
      </c>
      <c r="I1622" s="13" t="n"/>
      <c r="J1622" s="13" t="n"/>
      <c r="K1622" s="14" t="n"/>
      <c r="L1622" s="14" t="n"/>
      <c r="M1622" s="15">
        <f>IF(OR($B1622="",$K1622=""),"",($K1622-IF($L1622="",0,$L1622)*IFERROR(VLOOKUP("P01",ParamTbl,3,0),1.5))*(1-IF(IFERROR(VLOOKUP($E1622,OpTbl,3,0),"")="خرید",IFERROR(VLOOKUP("P02",ParamTbl,3,0),1),0)/100))</f>
        <v/>
      </c>
      <c r="N1622" s="14" t="n"/>
      <c r="O1622" s="13" t="n"/>
    </row>
    <row r="1623">
      <c r="A1623" s="11">
        <f>IF($B1623="","",COUNTA($B$9:$B1623))</f>
        <v/>
      </c>
      <c r="B1623" s="12" t="n"/>
      <c r="C1623" s="12" t="n"/>
      <c r="D1623" s="12" t="n"/>
      <c r="E1623" s="13" t="n"/>
      <c r="F1623" s="11">
        <f>IF($E1623="","",IFERROR(VLOOKUP($E1623,OpTbl,2,0),""))</f>
        <v/>
      </c>
      <c r="G1623" s="12" t="n"/>
      <c r="H1623" s="11">
        <f>IF($G1623="","",IFERROR(IF(VLOOKUP($G1623,AcctTbl,4,0)="","(بدون نام)",VLOOKUP($G1623,AcctTbl,4,0)),"کد ناشناخته"))</f>
        <v/>
      </c>
      <c r="I1623" s="13" t="n"/>
      <c r="J1623" s="13" t="n"/>
      <c r="K1623" s="14" t="n"/>
      <c r="L1623" s="14" t="n"/>
      <c r="M1623" s="15">
        <f>IF(OR($B1623="",$K1623=""),"",($K1623-IF($L1623="",0,$L1623)*IFERROR(VLOOKUP("P01",ParamTbl,3,0),1.5))*(1-IF(IFERROR(VLOOKUP($E1623,OpTbl,3,0),"")="خرید",IFERROR(VLOOKUP("P02",ParamTbl,3,0),1),0)/100))</f>
        <v/>
      </c>
      <c r="N1623" s="14" t="n"/>
      <c r="O1623" s="13" t="n"/>
    </row>
    <row r="1624">
      <c r="A1624" s="11">
        <f>IF($B1624="","",COUNTA($B$9:$B1624))</f>
        <v/>
      </c>
      <c r="B1624" s="12" t="n"/>
      <c r="C1624" s="12" t="n"/>
      <c r="D1624" s="12" t="n"/>
      <c r="E1624" s="13" t="n"/>
      <c r="F1624" s="11">
        <f>IF($E1624="","",IFERROR(VLOOKUP($E1624,OpTbl,2,0),""))</f>
        <v/>
      </c>
      <c r="G1624" s="12" t="n"/>
      <c r="H1624" s="11">
        <f>IF($G1624="","",IFERROR(IF(VLOOKUP($G1624,AcctTbl,4,0)="","(بدون نام)",VLOOKUP($G1624,AcctTbl,4,0)),"کد ناشناخته"))</f>
        <v/>
      </c>
      <c r="I1624" s="13" t="n"/>
      <c r="J1624" s="13" t="n"/>
      <c r="K1624" s="14" t="n"/>
      <c r="L1624" s="14" t="n"/>
      <c r="M1624" s="15">
        <f>IF(OR($B1624="",$K1624=""),"",($K1624-IF($L1624="",0,$L1624)*IFERROR(VLOOKUP("P01",ParamTbl,3,0),1.5))*(1-IF(IFERROR(VLOOKUP($E1624,OpTbl,3,0),"")="خرید",IFERROR(VLOOKUP("P02",ParamTbl,3,0),1),0)/100))</f>
        <v/>
      </c>
      <c r="N1624" s="14" t="n"/>
      <c r="O1624" s="13" t="n"/>
    </row>
    <row r="1625">
      <c r="A1625" s="11">
        <f>IF($B1625="","",COUNTA($B$9:$B1625))</f>
        <v/>
      </c>
      <c r="B1625" s="12" t="n"/>
      <c r="C1625" s="12" t="n"/>
      <c r="D1625" s="12" t="n"/>
      <c r="E1625" s="13" t="n"/>
      <c r="F1625" s="11">
        <f>IF($E1625="","",IFERROR(VLOOKUP($E1625,OpTbl,2,0),""))</f>
        <v/>
      </c>
      <c r="G1625" s="12" t="n"/>
      <c r="H1625" s="11">
        <f>IF($G1625="","",IFERROR(IF(VLOOKUP($G1625,AcctTbl,4,0)="","(بدون نام)",VLOOKUP($G1625,AcctTbl,4,0)),"کد ناشناخته"))</f>
        <v/>
      </c>
      <c r="I1625" s="13" t="n"/>
      <c r="J1625" s="13" t="n"/>
      <c r="K1625" s="14" t="n"/>
      <c r="L1625" s="14" t="n"/>
      <c r="M1625" s="15">
        <f>IF(OR($B1625="",$K1625=""),"",($K1625-IF($L1625="",0,$L1625)*IFERROR(VLOOKUP("P01",ParamTbl,3,0),1.5))*(1-IF(IFERROR(VLOOKUP($E1625,OpTbl,3,0),"")="خرید",IFERROR(VLOOKUP("P02",ParamTbl,3,0),1),0)/100))</f>
        <v/>
      </c>
      <c r="N1625" s="14" t="n"/>
      <c r="O1625" s="13" t="n"/>
    </row>
    <row r="1626">
      <c r="A1626" s="11">
        <f>IF($B1626="","",COUNTA($B$9:$B1626))</f>
        <v/>
      </c>
      <c r="B1626" s="12" t="n"/>
      <c r="C1626" s="12" t="n"/>
      <c r="D1626" s="12" t="n"/>
      <c r="E1626" s="13" t="n"/>
      <c r="F1626" s="11">
        <f>IF($E1626="","",IFERROR(VLOOKUP($E1626,OpTbl,2,0),""))</f>
        <v/>
      </c>
      <c r="G1626" s="12" t="n"/>
      <c r="H1626" s="11">
        <f>IF($G1626="","",IFERROR(IF(VLOOKUP($G1626,AcctTbl,4,0)="","(بدون نام)",VLOOKUP($G1626,AcctTbl,4,0)),"کد ناشناخته"))</f>
        <v/>
      </c>
      <c r="I1626" s="13" t="n"/>
      <c r="J1626" s="13" t="n"/>
      <c r="K1626" s="14" t="n"/>
      <c r="L1626" s="14" t="n"/>
      <c r="M1626" s="15">
        <f>IF(OR($B1626="",$K1626=""),"",($K1626-IF($L1626="",0,$L1626)*IFERROR(VLOOKUP("P01",ParamTbl,3,0),1.5))*(1-IF(IFERROR(VLOOKUP($E1626,OpTbl,3,0),"")="خرید",IFERROR(VLOOKUP("P02",ParamTbl,3,0),1),0)/100))</f>
        <v/>
      </c>
      <c r="N1626" s="14" t="n"/>
      <c r="O1626" s="13" t="n"/>
    </row>
    <row r="1627">
      <c r="A1627" s="11">
        <f>IF($B1627="","",COUNTA($B$9:$B1627))</f>
        <v/>
      </c>
      <c r="B1627" s="12" t="n"/>
      <c r="C1627" s="12" t="n"/>
      <c r="D1627" s="12" t="n"/>
      <c r="E1627" s="13" t="n"/>
      <c r="F1627" s="11">
        <f>IF($E1627="","",IFERROR(VLOOKUP($E1627,OpTbl,2,0),""))</f>
        <v/>
      </c>
      <c r="G1627" s="12" t="n"/>
      <c r="H1627" s="11">
        <f>IF($G1627="","",IFERROR(IF(VLOOKUP($G1627,AcctTbl,4,0)="","(بدون نام)",VLOOKUP($G1627,AcctTbl,4,0)),"کد ناشناخته"))</f>
        <v/>
      </c>
      <c r="I1627" s="13" t="n"/>
      <c r="J1627" s="13" t="n"/>
      <c r="K1627" s="14" t="n"/>
      <c r="L1627" s="14" t="n"/>
      <c r="M1627" s="15">
        <f>IF(OR($B1627="",$K1627=""),"",($K1627-IF($L1627="",0,$L1627)*IFERROR(VLOOKUP("P01",ParamTbl,3,0),1.5))*(1-IF(IFERROR(VLOOKUP($E1627,OpTbl,3,0),"")="خرید",IFERROR(VLOOKUP("P02",ParamTbl,3,0),1),0)/100))</f>
        <v/>
      </c>
      <c r="N1627" s="14" t="n"/>
      <c r="O1627" s="13" t="n"/>
    </row>
    <row r="1628">
      <c r="A1628" s="11">
        <f>IF($B1628="","",COUNTA($B$9:$B1628))</f>
        <v/>
      </c>
      <c r="B1628" s="12" t="n"/>
      <c r="C1628" s="12" t="n"/>
      <c r="D1628" s="12" t="n"/>
      <c r="E1628" s="13" t="n"/>
      <c r="F1628" s="11">
        <f>IF($E1628="","",IFERROR(VLOOKUP($E1628,OpTbl,2,0),""))</f>
        <v/>
      </c>
      <c r="G1628" s="12" t="n"/>
      <c r="H1628" s="11">
        <f>IF($G1628="","",IFERROR(IF(VLOOKUP($G1628,AcctTbl,4,0)="","(بدون نام)",VLOOKUP($G1628,AcctTbl,4,0)),"کد ناشناخته"))</f>
        <v/>
      </c>
      <c r="I1628" s="13" t="n"/>
      <c r="J1628" s="13" t="n"/>
      <c r="K1628" s="14" t="n"/>
      <c r="L1628" s="14" t="n"/>
      <c r="M1628" s="15">
        <f>IF(OR($B1628="",$K1628=""),"",($K1628-IF($L1628="",0,$L1628)*IFERROR(VLOOKUP("P01",ParamTbl,3,0),1.5))*(1-IF(IFERROR(VLOOKUP($E1628,OpTbl,3,0),"")="خرید",IFERROR(VLOOKUP("P02",ParamTbl,3,0),1),0)/100))</f>
        <v/>
      </c>
      <c r="N1628" s="14" t="n"/>
      <c r="O1628" s="13" t="n"/>
    </row>
    <row r="1629">
      <c r="A1629" s="11">
        <f>IF($B1629="","",COUNTA($B$9:$B1629))</f>
        <v/>
      </c>
      <c r="B1629" s="12" t="n"/>
      <c r="C1629" s="12" t="n"/>
      <c r="D1629" s="12" t="n"/>
      <c r="E1629" s="13" t="n"/>
      <c r="F1629" s="11">
        <f>IF($E1629="","",IFERROR(VLOOKUP($E1629,OpTbl,2,0),""))</f>
        <v/>
      </c>
      <c r="G1629" s="12" t="n"/>
      <c r="H1629" s="11">
        <f>IF($G1629="","",IFERROR(IF(VLOOKUP($G1629,AcctTbl,4,0)="","(بدون نام)",VLOOKUP($G1629,AcctTbl,4,0)),"کد ناشناخته"))</f>
        <v/>
      </c>
      <c r="I1629" s="13" t="n"/>
      <c r="J1629" s="13" t="n"/>
      <c r="K1629" s="14" t="n"/>
      <c r="L1629" s="14" t="n"/>
      <c r="M1629" s="15">
        <f>IF(OR($B1629="",$K1629=""),"",($K1629-IF($L1629="",0,$L1629)*IFERROR(VLOOKUP("P01",ParamTbl,3,0),1.5))*(1-IF(IFERROR(VLOOKUP($E1629,OpTbl,3,0),"")="خرید",IFERROR(VLOOKUP("P02",ParamTbl,3,0),1),0)/100))</f>
        <v/>
      </c>
      <c r="N1629" s="14" t="n"/>
      <c r="O1629" s="13" t="n"/>
    </row>
    <row r="1630">
      <c r="A1630" s="11">
        <f>IF($B1630="","",COUNTA($B$9:$B1630))</f>
        <v/>
      </c>
      <c r="B1630" s="12" t="n"/>
      <c r="C1630" s="12" t="n"/>
      <c r="D1630" s="12" t="n"/>
      <c r="E1630" s="13" t="n"/>
      <c r="F1630" s="11">
        <f>IF($E1630="","",IFERROR(VLOOKUP($E1630,OpTbl,2,0),""))</f>
        <v/>
      </c>
      <c r="G1630" s="12" t="n"/>
      <c r="H1630" s="11">
        <f>IF($G1630="","",IFERROR(IF(VLOOKUP($G1630,AcctTbl,4,0)="","(بدون نام)",VLOOKUP($G1630,AcctTbl,4,0)),"کد ناشناخته"))</f>
        <v/>
      </c>
      <c r="I1630" s="13" t="n"/>
      <c r="J1630" s="13" t="n"/>
      <c r="K1630" s="14" t="n"/>
      <c r="L1630" s="14" t="n"/>
      <c r="M1630" s="15">
        <f>IF(OR($B1630="",$K1630=""),"",($K1630-IF($L1630="",0,$L1630)*IFERROR(VLOOKUP("P01",ParamTbl,3,0),1.5))*(1-IF(IFERROR(VLOOKUP($E1630,OpTbl,3,0),"")="خرید",IFERROR(VLOOKUP("P02",ParamTbl,3,0),1),0)/100))</f>
        <v/>
      </c>
      <c r="N1630" s="14" t="n"/>
      <c r="O1630" s="13" t="n"/>
    </row>
    <row r="1631">
      <c r="A1631" s="11">
        <f>IF($B1631="","",COUNTA($B$9:$B1631))</f>
        <v/>
      </c>
      <c r="B1631" s="12" t="n"/>
      <c r="C1631" s="12" t="n"/>
      <c r="D1631" s="12" t="n"/>
      <c r="E1631" s="13" t="n"/>
      <c r="F1631" s="11">
        <f>IF($E1631="","",IFERROR(VLOOKUP($E1631,OpTbl,2,0),""))</f>
        <v/>
      </c>
      <c r="G1631" s="12" t="n"/>
      <c r="H1631" s="11">
        <f>IF($G1631="","",IFERROR(IF(VLOOKUP($G1631,AcctTbl,4,0)="","(بدون نام)",VLOOKUP($G1631,AcctTbl,4,0)),"کد ناشناخته"))</f>
        <v/>
      </c>
      <c r="I1631" s="13" t="n"/>
      <c r="J1631" s="13" t="n"/>
      <c r="K1631" s="14" t="n"/>
      <c r="L1631" s="14" t="n"/>
      <c r="M1631" s="15">
        <f>IF(OR($B1631="",$K1631=""),"",($K1631-IF($L1631="",0,$L1631)*IFERROR(VLOOKUP("P01",ParamTbl,3,0),1.5))*(1-IF(IFERROR(VLOOKUP($E1631,OpTbl,3,0),"")="خرید",IFERROR(VLOOKUP("P02",ParamTbl,3,0),1),0)/100))</f>
        <v/>
      </c>
      <c r="N1631" s="14" t="n"/>
      <c r="O1631" s="13" t="n"/>
    </row>
    <row r="1632">
      <c r="A1632" s="11">
        <f>IF($B1632="","",COUNTA($B$9:$B1632))</f>
        <v/>
      </c>
      <c r="B1632" s="12" t="n"/>
      <c r="C1632" s="12" t="n"/>
      <c r="D1632" s="12" t="n"/>
      <c r="E1632" s="13" t="n"/>
      <c r="F1632" s="11">
        <f>IF($E1632="","",IFERROR(VLOOKUP($E1632,OpTbl,2,0),""))</f>
        <v/>
      </c>
      <c r="G1632" s="12" t="n"/>
      <c r="H1632" s="11">
        <f>IF($G1632="","",IFERROR(IF(VLOOKUP($G1632,AcctTbl,4,0)="","(بدون نام)",VLOOKUP($G1632,AcctTbl,4,0)),"کد ناشناخته"))</f>
        <v/>
      </c>
      <c r="I1632" s="13" t="n"/>
      <c r="J1632" s="13" t="n"/>
      <c r="K1632" s="14" t="n"/>
      <c r="L1632" s="14" t="n"/>
      <c r="M1632" s="15">
        <f>IF(OR($B1632="",$K1632=""),"",($K1632-IF($L1632="",0,$L1632)*IFERROR(VLOOKUP("P01",ParamTbl,3,0),1.5))*(1-IF(IFERROR(VLOOKUP($E1632,OpTbl,3,0),"")="خرید",IFERROR(VLOOKUP("P02",ParamTbl,3,0),1),0)/100))</f>
        <v/>
      </c>
      <c r="N1632" s="14" t="n"/>
      <c r="O1632" s="13" t="n"/>
    </row>
    <row r="1633">
      <c r="A1633" s="11">
        <f>IF($B1633="","",COUNTA($B$9:$B1633))</f>
        <v/>
      </c>
      <c r="B1633" s="12" t="n"/>
      <c r="C1633" s="12" t="n"/>
      <c r="D1633" s="12" t="n"/>
      <c r="E1633" s="13" t="n"/>
      <c r="F1633" s="11">
        <f>IF($E1633="","",IFERROR(VLOOKUP($E1633,OpTbl,2,0),""))</f>
        <v/>
      </c>
      <c r="G1633" s="12" t="n"/>
      <c r="H1633" s="11">
        <f>IF($G1633="","",IFERROR(IF(VLOOKUP($G1633,AcctTbl,4,0)="","(بدون نام)",VLOOKUP($G1633,AcctTbl,4,0)),"کد ناشناخته"))</f>
        <v/>
      </c>
      <c r="I1633" s="13" t="n"/>
      <c r="J1633" s="13" t="n"/>
      <c r="K1633" s="14" t="n"/>
      <c r="L1633" s="14" t="n"/>
      <c r="M1633" s="15">
        <f>IF(OR($B1633="",$K1633=""),"",($K1633-IF($L1633="",0,$L1633)*IFERROR(VLOOKUP("P01",ParamTbl,3,0),1.5))*(1-IF(IFERROR(VLOOKUP($E1633,OpTbl,3,0),"")="خرید",IFERROR(VLOOKUP("P02",ParamTbl,3,0),1),0)/100))</f>
        <v/>
      </c>
      <c r="N1633" s="14" t="n"/>
      <c r="O1633" s="13" t="n"/>
    </row>
    <row r="1634">
      <c r="A1634" s="11">
        <f>IF($B1634="","",COUNTA($B$9:$B1634))</f>
        <v/>
      </c>
      <c r="B1634" s="12" t="n"/>
      <c r="C1634" s="12" t="n"/>
      <c r="D1634" s="12" t="n"/>
      <c r="E1634" s="13" t="n"/>
      <c r="F1634" s="11">
        <f>IF($E1634="","",IFERROR(VLOOKUP($E1634,OpTbl,2,0),""))</f>
        <v/>
      </c>
      <c r="G1634" s="12" t="n"/>
      <c r="H1634" s="11">
        <f>IF($G1634="","",IFERROR(IF(VLOOKUP($G1634,AcctTbl,4,0)="","(بدون نام)",VLOOKUP($G1634,AcctTbl,4,0)),"کد ناشناخته"))</f>
        <v/>
      </c>
      <c r="I1634" s="13" t="n"/>
      <c r="J1634" s="13" t="n"/>
      <c r="K1634" s="14" t="n"/>
      <c r="L1634" s="14" t="n"/>
      <c r="M1634" s="15">
        <f>IF(OR($B1634="",$K1634=""),"",($K1634-IF($L1634="",0,$L1634)*IFERROR(VLOOKUP("P01",ParamTbl,3,0),1.5))*(1-IF(IFERROR(VLOOKUP($E1634,OpTbl,3,0),"")="خرید",IFERROR(VLOOKUP("P02",ParamTbl,3,0),1),0)/100))</f>
        <v/>
      </c>
      <c r="N1634" s="14" t="n"/>
      <c r="O1634" s="13" t="n"/>
    </row>
    <row r="1635">
      <c r="A1635" s="11">
        <f>IF($B1635="","",COUNTA($B$9:$B1635))</f>
        <v/>
      </c>
      <c r="B1635" s="12" t="n"/>
      <c r="C1635" s="12" t="n"/>
      <c r="D1635" s="12" t="n"/>
      <c r="E1635" s="13" t="n"/>
      <c r="F1635" s="11">
        <f>IF($E1635="","",IFERROR(VLOOKUP($E1635,OpTbl,2,0),""))</f>
        <v/>
      </c>
      <c r="G1635" s="12" t="n"/>
      <c r="H1635" s="11">
        <f>IF($G1635="","",IFERROR(IF(VLOOKUP($G1635,AcctTbl,4,0)="","(بدون نام)",VLOOKUP($G1635,AcctTbl,4,0)),"کد ناشناخته"))</f>
        <v/>
      </c>
      <c r="I1635" s="13" t="n"/>
      <c r="J1635" s="13" t="n"/>
      <c r="K1635" s="14" t="n"/>
      <c r="L1635" s="14" t="n"/>
      <c r="M1635" s="15">
        <f>IF(OR($B1635="",$K1635=""),"",($K1635-IF($L1635="",0,$L1635)*IFERROR(VLOOKUP("P01",ParamTbl,3,0),1.5))*(1-IF(IFERROR(VLOOKUP($E1635,OpTbl,3,0),"")="خرید",IFERROR(VLOOKUP("P02",ParamTbl,3,0),1),0)/100))</f>
        <v/>
      </c>
      <c r="N1635" s="14" t="n"/>
      <c r="O1635" s="13" t="n"/>
    </row>
    <row r="1636">
      <c r="A1636" s="11">
        <f>IF($B1636="","",COUNTA($B$9:$B1636))</f>
        <v/>
      </c>
      <c r="B1636" s="12" t="n"/>
      <c r="C1636" s="12" t="n"/>
      <c r="D1636" s="12" t="n"/>
      <c r="E1636" s="13" t="n"/>
      <c r="F1636" s="11">
        <f>IF($E1636="","",IFERROR(VLOOKUP($E1636,OpTbl,2,0),""))</f>
        <v/>
      </c>
      <c r="G1636" s="12" t="n"/>
      <c r="H1636" s="11">
        <f>IF($G1636="","",IFERROR(IF(VLOOKUP($G1636,AcctTbl,4,0)="","(بدون نام)",VLOOKUP($G1636,AcctTbl,4,0)),"کد ناشناخته"))</f>
        <v/>
      </c>
      <c r="I1636" s="13" t="n"/>
      <c r="J1636" s="13" t="n"/>
      <c r="K1636" s="14" t="n"/>
      <c r="L1636" s="14" t="n"/>
      <c r="M1636" s="15">
        <f>IF(OR($B1636="",$K1636=""),"",($K1636-IF($L1636="",0,$L1636)*IFERROR(VLOOKUP("P01",ParamTbl,3,0),1.5))*(1-IF(IFERROR(VLOOKUP($E1636,OpTbl,3,0),"")="خرید",IFERROR(VLOOKUP("P02",ParamTbl,3,0),1),0)/100))</f>
        <v/>
      </c>
      <c r="N1636" s="14" t="n"/>
      <c r="O1636" s="13" t="n"/>
    </row>
    <row r="1637">
      <c r="A1637" s="11">
        <f>IF($B1637="","",COUNTA($B$9:$B1637))</f>
        <v/>
      </c>
      <c r="B1637" s="12" t="n"/>
      <c r="C1637" s="12" t="n"/>
      <c r="D1637" s="12" t="n"/>
      <c r="E1637" s="13" t="n"/>
      <c r="F1637" s="11">
        <f>IF($E1637="","",IFERROR(VLOOKUP($E1637,OpTbl,2,0),""))</f>
        <v/>
      </c>
      <c r="G1637" s="12" t="n"/>
      <c r="H1637" s="11">
        <f>IF($G1637="","",IFERROR(IF(VLOOKUP($G1637,AcctTbl,4,0)="","(بدون نام)",VLOOKUP($G1637,AcctTbl,4,0)),"کد ناشناخته"))</f>
        <v/>
      </c>
      <c r="I1637" s="13" t="n"/>
      <c r="J1637" s="13" t="n"/>
      <c r="K1637" s="14" t="n"/>
      <c r="L1637" s="14" t="n"/>
      <c r="M1637" s="15">
        <f>IF(OR($B1637="",$K1637=""),"",($K1637-IF($L1637="",0,$L1637)*IFERROR(VLOOKUP("P01",ParamTbl,3,0),1.5))*(1-IF(IFERROR(VLOOKUP($E1637,OpTbl,3,0),"")="خرید",IFERROR(VLOOKUP("P02",ParamTbl,3,0),1),0)/100))</f>
        <v/>
      </c>
      <c r="N1637" s="14" t="n"/>
      <c r="O1637" s="13" t="n"/>
    </row>
    <row r="1638">
      <c r="A1638" s="11">
        <f>IF($B1638="","",COUNTA($B$9:$B1638))</f>
        <v/>
      </c>
      <c r="B1638" s="12" t="n"/>
      <c r="C1638" s="12" t="n"/>
      <c r="D1638" s="12" t="n"/>
      <c r="E1638" s="13" t="n"/>
      <c r="F1638" s="11">
        <f>IF($E1638="","",IFERROR(VLOOKUP($E1638,OpTbl,2,0),""))</f>
        <v/>
      </c>
      <c r="G1638" s="12" t="n"/>
      <c r="H1638" s="11">
        <f>IF($G1638="","",IFERROR(IF(VLOOKUP($G1638,AcctTbl,4,0)="","(بدون نام)",VLOOKUP($G1638,AcctTbl,4,0)),"کد ناشناخته"))</f>
        <v/>
      </c>
      <c r="I1638" s="13" t="n"/>
      <c r="J1638" s="13" t="n"/>
      <c r="K1638" s="14" t="n"/>
      <c r="L1638" s="14" t="n"/>
      <c r="M1638" s="15">
        <f>IF(OR($B1638="",$K1638=""),"",($K1638-IF($L1638="",0,$L1638)*IFERROR(VLOOKUP("P01",ParamTbl,3,0),1.5))*(1-IF(IFERROR(VLOOKUP($E1638,OpTbl,3,0),"")="خرید",IFERROR(VLOOKUP("P02",ParamTbl,3,0),1),0)/100))</f>
        <v/>
      </c>
      <c r="N1638" s="14" t="n"/>
      <c r="O1638" s="13" t="n"/>
    </row>
    <row r="1639">
      <c r="A1639" s="11">
        <f>IF($B1639="","",COUNTA($B$9:$B1639))</f>
        <v/>
      </c>
      <c r="B1639" s="12" t="n"/>
      <c r="C1639" s="12" t="n"/>
      <c r="D1639" s="12" t="n"/>
      <c r="E1639" s="13" t="n"/>
      <c r="F1639" s="11">
        <f>IF($E1639="","",IFERROR(VLOOKUP($E1639,OpTbl,2,0),""))</f>
        <v/>
      </c>
      <c r="G1639" s="12" t="n"/>
      <c r="H1639" s="11">
        <f>IF($G1639="","",IFERROR(IF(VLOOKUP($G1639,AcctTbl,4,0)="","(بدون نام)",VLOOKUP($G1639,AcctTbl,4,0)),"کد ناشناخته"))</f>
        <v/>
      </c>
      <c r="I1639" s="13" t="n"/>
      <c r="J1639" s="13" t="n"/>
      <c r="K1639" s="14" t="n"/>
      <c r="L1639" s="14" t="n"/>
      <c r="M1639" s="15">
        <f>IF(OR($B1639="",$K1639=""),"",($K1639-IF($L1639="",0,$L1639)*IFERROR(VLOOKUP("P01",ParamTbl,3,0),1.5))*(1-IF(IFERROR(VLOOKUP($E1639,OpTbl,3,0),"")="خرید",IFERROR(VLOOKUP("P02",ParamTbl,3,0),1),0)/100))</f>
        <v/>
      </c>
      <c r="N1639" s="14" t="n"/>
      <c r="O1639" s="13" t="n"/>
    </row>
    <row r="1640">
      <c r="A1640" s="11">
        <f>IF($B1640="","",COUNTA($B$9:$B1640))</f>
        <v/>
      </c>
      <c r="B1640" s="12" t="n"/>
      <c r="C1640" s="12" t="n"/>
      <c r="D1640" s="12" t="n"/>
      <c r="E1640" s="13" t="n"/>
      <c r="F1640" s="11">
        <f>IF($E1640="","",IFERROR(VLOOKUP($E1640,OpTbl,2,0),""))</f>
        <v/>
      </c>
      <c r="G1640" s="12" t="n"/>
      <c r="H1640" s="11">
        <f>IF($G1640="","",IFERROR(IF(VLOOKUP($G1640,AcctTbl,4,0)="","(بدون نام)",VLOOKUP($G1640,AcctTbl,4,0)),"کد ناشناخته"))</f>
        <v/>
      </c>
      <c r="I1640" s="13" t="n"/>
      <c r="J1640" s="13" t="n"/>
      <c r="K1640" s="14" t="n"/>
      <c r="L1640" s="14" t="n"/>
      <c r="M1640" s="15">
        <f>IF(OR($B1640="",$K1640=""),"",($K1640-IF($L1640="",0,$L1640)*IFERROR(VLOOKUP("P01",ParamTbl,3,0),1.5))*(1-IF(IFERROR(VLOOKUP($E1640,OpTbl,3,0),"")="خرید",IFERROR(VLOOKUP("P02",ParamTbl,3,0),1),0)/100))</f>
        <v/>
      </c>
      <c r="N1640" s="14" t="n"/>
      <c r="O1640" s="13" t="n"/>
    </row>
    <row r="1641">
      <c r="A1641" s="11">
        <f>IF($B1641="","",COUNTA($B$9:$B1641))</f>
        <v/>
      </c>
      <c r="B1641" s="12" t="n"/>
      <c r="C1641" s="12" t="n"/>
      <c r="D1641" s="12" t="n"/>
      <c r="E1641" s="13" t="n"/>
      <c r="F1641" s="11">
        <f>IF($E1641="","",IFERROR(VLOOKUP($E1641,OpTbl,2,0),""))</f>
        <v/>
      </c>
      <c r="G1641" s="12" t="n"/>
      <c r="H1641" s="11">
        <f>IF($G1641="","",IFERROR(IF(VLOOKUP($G1641,AcctTbl,4,0)="","(بدون نام)",VLOOKUP($G1641,AcctTbl,4,0)),"کد ناشناخته"))</f>
        <v/>
      </c>
      <c r="I1641" s="13" t="n"/>
      <c r="J1641" s="13" t="n"/>
      <c r="K1641" s="14" t="n"/>
      <c r="L1641" s="14" t="n"/>
      <c r="M1641" s="15">
        <f>IF(OR($B1641="",$K1641=""),"",($K1641-IF($L1641="",0,$L1641)*IFERROR(VLOOKUP("P01",ParamTbl,3,0),1.5))*(1-IF(IFERROR(VLOOKUP($E1641,OpTbl,3,0),"")="خرید",IFERROR(VLOOKUP("P02",ParamTbl,3,0),1),0)/100))</f>
        <v/>
      </c>
      <c r="N1641" s="14" t="n"/>
      <c r="O1641" s="13" t="n"/>
    </row>
    <row r="1642">
      <c r="A1642" s="11">
        <f>IF($B1642="","",COUNTA($B$9:$B1642))</f>
        <v/>
      </c>
      <c r="B1642" s="12" t="n"/>
      <c r="C1642" s="12" t="n"/>
      <c r="D1642" s="12" t="n"/>
      <c r="E1642" s="13" t="n"/>
      <c r="F1642" s="11">
        <f>IF($E1642="","",IFERROR(VLOOKUP($E1642,OpTbl,2,0),""))</f>
        <v/>
      </c>
      <c r="G1642" s="12" t="n"/>
      <c r="H1642" s="11">
        <f>IF($G1642="","",IFERROR(IF(VLOOKUP($G1642,AcctTbl,4,0)="","(بدون نام)",VLOOKUP($G1642,AcctTbl,4,0)),"کد ناشناخته"))</f>
        <v/>
      </c>
      <c r="I1642" s="13" t="n"/>
      <c r="J1642" s="13" t="n"/>
      <c r="K1642" s="14" t="n"/>
      <c r="L1642" s="14" t="n"/>
      <c r="M1642" s="15">
        <f>IF(OR($B1642="",$K1642=""),"",($K1642-IF($L1642="",0,$L1642)*IFERROR(VLOOKUP("P01",ParamTbl,3,0),1.5))*(1-IF(IFERROR(VLOOKUP($E1642,OpTbl,3,0),"")="خرید",IFERROR(VLOOKUP("P02",ParamTbl,3,0),1),0)/100))</f>
        <v/>
      </c>
      <c r="N1642" s="14" t="n"/>
      <c r="O1642" s="13" t="n"/>
    </row>
    <row r="1643">
      <c r="A1643" s="11">
        <f>IF($B1643="","",COUNTA($B$9:$B1643))</f>
        <v/>
      </c>
      <c r="B1643" s="12" t="n"/>
      <c r="C1643" s="12" t="n"/>
      <c r="D1643" s="12" t="n"/>
      <c r="E1643" s="13" t="n"/>
      <c r="F1643" s="11">
        <f>IF($E1643="","",IFERROR(VLOOKUP($E1643,OpTbl,2,0),""))</f>
        <v/>
      </c>
      <c r="G1643" s="12" t="n"/>
      <c r="H1643" s="11">
        <f>IF($G1643="","",IFERROR(IF(VLOOKUP($G1643,AcctTbl,4,0)="","(بدون نام)",VLOOKUP($G1643,AcctTbl,4,0)),"کد ناشناخته"))</f>
        <v/>
      </c>
      <c r="I1643" s="13" t="n"/>
      <c r="J1643" s="13" t="n"/>
      <c r="K1643" s="14" t="n"/>
      <c r="L1643" s="14" t="n"/>
      <c r="M1643" s="15">
        <f>IF(OR($B1643="",$K1643=""),"",($K1643-IF($L1643="",0,$L1643)*IFERROR(VLOOKUP("P01",ParamTbl,3,0),1.5))*(1-IF(IFERROR(VLOOKUP($E1643,OpTbl,3,0),"")="خرید",IFERROR(VLOOKUP("P02",ParamTbl,3,0),1),0)/100))</f>
        <v/>
      </c>
      <c r="N1643" s="14" t="n"/>
      <c r="O1643" s="13" t="n"/>
    </row>
    <row r="1644">
      <c r="A1644" s="11">
        <f>IF($B1644="","",COUNTA($B$9:$B1644))</f>
        <v/>
      </c>
      <c r="B1644" s="12" t="n"/>
      <c r="C1644" s="12" t="n"/>
      <c r="D1644" s="12" t="n"/>
      <c r="E1644" s="13" t="n"/>
      <c r="F1644" s="11">
        <f>IF($E1644="","",IFERROR(VLOOKUP($E1644,OpTbl,2,0),""))</f>
        <v/>
      </c>
      <c r="G1644" s="12" t="n"/>
      <c r="H1644" s="11">
        <f>IF($G1644="","",IFERROR(IF(VLOOKUP($G1644,AcctTbl,4,0)="","(بدون نام)",VLOOKUP($G1644,AcctTbl,4,0)),"کد ناشناخته"))</f>
        <v/>
      </c>
      <c r="I1644" s="13" t="n"/>
      <c r="J1644" s="13" t="n"/>
      <c r="K1644" s="14" t="n"/>
      <c r="L1644" s="14" t="n"/>
      <c r="M1644" s="15">
        <f>IF(OR($B1644="",$K1644=""),"",($K1644-IF($L1644="",0,$L1644)*IFERROR(VLOOKUP("P01",ParamTbl,3,0),1.5))*(1-IF(IFERROR(VLOOKUP($E1644,OpTbl,3,0),"")="خرید",IFERROR(VLOOKUP("P02",ParamTbl,3,0),1),0)/100))</f>
        <v/>
      </c>
      <c r="N1644" s="14" t="n"/>
      <c r="O1644" s="13" t="n"/>
    </row>
    <row r="1645">
      <c r="A1645" s="11">
        <f>IF($B1645="","",COUNTA($B$9:$B1645))</f>
        <v/>
      </c>
      <c r="B1645" s="12" t="n"/>
      <c r="C1645" s="12" t="n"/>
      <c r="D1645" s="12" t="n"/>
      <c r="E1645" s="13" t="n"/>
      <c r="F1645" s="11">
        <f>IF($E1645="","",IFERROR(VLOOKUP($E1645,OpTbl,2,0),""))</f>
        <v/>
      </c>
      <c r="G1645" s="12" t="n"/>
      <c r="H1645" s="11">
        <f>IF($G1645="","",IFERROR(IF(VLOOKUP($G1645,AcctTbl,4,0)="","(بدون نام)",VLOOKUP($G1645,AcctTbl,4,0)),"کد ناشناخته"))</f>
        <v/>
      </c>
      <c r="I1645" s="13" t="n"/>
      <c r="J1645" s="13" t="n"/>
      <c r="K1645" s="14" t="n"/>
      <c r="L1645" s="14" t="n"/>
      <c r="M1645" s="15">
        <f>IF(OR($B1645="",$K1645=""),"",($K1645-IF($L1645="",0,$L1645)*IFERROR(VLOOKUP("P01",ParamTbl,3,0),1.5))*(1-IF(IFERROR(VLOOKUP($E1645,OpTbl,3,0),"")="خرید",IFERROR(VLOOKUP("P02",ParamTbl,3,0),1),0)/100))</f>
        <v/>
      </c>
      <c r="N1645" s="14" t="n"/>
      <c r="O1645" s="13" t="n"/>
    </row>
    <row r="1646">
      <c r="A1646" s="11">
        <f>IF($B1646="","",COUNTA($B$9:$B1646))</f>
        <v/>
      </c>
      <c r="B1646" s="12" t="n"/>
      <c r="C1646" s="12" t="n"/>
      <c r="D1646" s="12" t="n"/>
      <c r="E1646" s="13" t="n"/>
      <c r="F1646" s="11">
        <f>IF($E1646="","",IFERROR(VLOOKUP($E1646,OpTbl,2,0),""))</f>
        <v/>
      </c>
      <c r="G1646" s="12" t="n"/>
      <c r="H1646" s="11">
        <f>IF($G1646="","",IFERROR(IF(VLOOKUP($G1646,AcctTbl,4,0)="","(بدون نام)",VLOOKUP($G1646,AcctTbl,4,0)),"کد ناشناخته"))</f>
        <v/>
      </c>
      <c r="I1646" s="13" t="n"/>
      <c r="J1646" s="13" t="n"/>
      <c r="K1646" s="14" t="n"/>
      <c r="L1646" s="14" t="n"/>
      <c r="M1646" s="15">
        <f>IF(OR($B1646="",$K1646=""),"",($K1646-IF($L1646="",0,$L1646)*IFERROR(VLOOKUP("P01",ParamTbl,3,0),1.5))*(1-IF(IFERROR(VLOOKUP($E1646,OpTbl,3,0),"")="خرید",IFERROR(VLOOKUP("P02",ParamTbl,3,0),1),0)/100))</f>
        <v/>
      </c>
      <c r="N1646" s="14" t="n"/>
      <c r="O1646" s="13" t="n"/>
    </row>
    <row r="1647">
      <c r="A1647" s="11">
        <f>IF($B1647="","",COUNTA($B$9:$B1647))</f>
        <v/>
      </c>
      <c r="B1647" s="12" t="n"/>
      <c r="C1647" s="12" t="n"/>
      <c r="D1647" s="12" t="n"/>
      <c r="E1647" s="13" t="n"/>
      <c r="F1647" s="11">
        <f>IF($E1647="","",IFERROR(VLOOKUP($E1647,OpTbl,2,0),""))</f>
        <v/>
      </c>
      <c r="G1647" s="12" t="n"/>
      <c r="H1647" s="11">
        <f>IF($G1647="","",IFERROR(IF(VLOOKUP($G1647,AcctTbl,4,0)="","(بدون نام)",VLOOKUP($G1647,AcctTbl,4,0)),"کد ناشناخته"))</f>
        <v/>
      </c>
      <c r="I1647" s="13" t="n"/>
      <c r="J1647" s="13" t="n"/>
      <c r="K1647" s="14" t="n"/>
      <c r="L1647" s="14" t="n"/>
      <c r="M1647" s="15">
        <f>IF(OR($B1647="",$K1647=""),"",($K1647-IF($L1647="",0,$L1647)*IFERROR(VLOOKUP("P01",ParamTbl,3,0),1.5))*(1-IF(IFERROR(VLOOKUP($E1647,OpTbl,3,0),"")="خرید",IFERROR(VLOOKUP("P02",ParamTbl,3,0),1),0)/100))</f>
        <v/>
      </c>
      <c r="N1647" s="14" t="n"/>
      <c r="O1647" s="13" t="n"/>
    </row>
    <row r="1648">
      <c r="A1648" s="11">
        <f>IF($B1648="","",COUNTA($B$9:$B1648))</f>
        <v/>
      </c>
      <c r="B1648" s="12" t="n"/>
      <c r="C1648" s="12" t="n"/>
      <c r="D1648" s="12" t="n"/>
      <c r="E1648" s="13" t="n"/>
      <c r="F1648" s="11">
        <f>IF($E1648="","",IFERROR(VLOOKUP($E1648,OpTbl,2,0),""))</f>
        <v/>
      </c>
      <c r="G1648" s="12" t="n"/>
      <c r="H1648" s="11">
        <f>IF($G1648="","",IFERROR(IF(VLOOKUP($G1648,AcctTbl,4,0)="","(بدون نام)",VLOOKUP($G1648,AcctTbl,4,0)),"کد ناشناخته"))</f>
        <v/>
      </c>
      <c r="I1648" s="13" t="n"/>
      <c r="J1648" s="13" t="n"/>
      <c r="K1648" s="14" t="n"/>
      <c r="L1648" s="14" t="n"/>
      <c r="M1648" s="15">
        <f>IF(OR($B1648="",$K1648=""),"",($K1648-IF($L1648="",0,$L1648)*IFERROR(VLOOKUP("P01",ParamTbl,3,0),1.5))*(1-IF(IFERROR(VLOOKUP($E1648,OpTbl,3,0),"")="خرید",IFERROR(VLOOKUP("P02",ParamTbl,3,0),1),0)/100))</f>
        <v/>
      </c>
      <c r="N1648" s="14" t="n"/>
      <c r="O1648" s="13" t="n"/>
    </row>
    <row r="1649">
      <c r="A1649" s="11">
        <f>IF($B1649="","",COUNTA($B$9:$B1649))</f>
        <v/>
      </c>
      <c r="B1649" s="12" t="n"/>
      <c r="C1649" s="12" t="n"/>
      <c r="D1649" s="12" t="n"/>
      <c r="E1649" s="13" t="n"/>
      <c r="F1649" s="11">
        <f>IF($E1649="","",IFERROR(VLOOKUP($E1649,OpTbl,2,0),""))</f>
        <v/>
      </c>
      <c r="G1649" s="12" t="n"/>
      <c r="H1649" s="11">
        <f>IF($G1649="","",IFERROR(IF(VLOOKUP($G1649,AcctTbl,4,0)="","(بدون نام)",VLOOKUP($G1649,AcctTbl,4,0)),"کد ناشناخته"))</f>
        <v/>
      </c>
      <c r="I1649" s="13" t="n"/>
      <c r="J1649" s="13" t="n"/>
      <c r="K1649" s="14" t="n"/>
      <c r="L1649" s="14" t="n"/>
      <c r="M1649" s="15">
        <f>IF(OR($B1649="",$K1649=""),"",($K1649-IF($L1649="",0,$L1649)*IFERROR(VLOOKUP("P01",ParamTbl,3,0),1.5))*(1-IF(IFERROR(VLOOKUP($E1649,OpTbl,3,0),"")="خرید",IFERROR(VLOOKUP("P02",ParamTbl,3,0),1),0)/100))</f>
        <v/>
      </c>
      <c r="N1649" s="14" t="n"/>
      <c r="O1649" s="13" t="n"/>
    </row>
    <row r="1650">
      <c r="A1650" s="11">
        <f>IF($B1650="","",COUNTA($B$9:$B1650))</f>
        <v/>
      </c>
      <c r="B1650" s="12" t="n"/>
      <c r="C1650" s="12" t="n"/>
      <c r="D1650" s="12" t="n"/>
      <c r="E1650" s="13" t="n"/>
      <c r="F1650" s="11">
        <f>IF($E1650="","",IFERROR(VLOOKUP($E1650,OpTbl,2,0),""))</f>
        <v/>
      </c>
      <c r="G1650" s="12" t="n"/>
      <c r="H1650" s="11">
        <f>IF($G1650="","",IFERROR(IF(VLOOKUP($G1650,AcctTbl,4,0)="","(بدون نام)",VLOOKUP($G1650,AcctTbl,4,0)),"کد ناشناخته"))</f>
        <v/>
      </c>
      <c r="I1650" s="13" t="n"/>
      <c r="J1650" s="13" t="n"/>
      <c r="K1650" s="14" t="n"/>
      <c r="L1650" s="14" t="n"/>
      <c r="M1650" s="15">
        <f>IF(OR($B1650="",$K1650=""),"",($K1650-IF($L1650="",0,$L1650)*IFERROR(VLOOKUP("P01",ParamTbl,3,0),1.5))*(1-IF(IFERROR(VLOOKUP($E1650,OpTbl,3,0),"")="خرید",IFERROR(VLOOKUP("P02",ParamTbl,3,0),1),0)/100))</f>
        <v/>
      </c>
      <c r="N1650" s="14" t="n"/>
      <c r="O1650" s="13" t="n"/>
    </row>
    <row r="1651">
      <c r="A1651" s="11">
        <f>IF($B1651="","",COUNTA($B$9:$B1651))</f>
        <v/>
      </c>
      <c r="B1651" s="12" t="n"/>
      <c r="C1651" s="12" t="n"/>
      <c r="D1651" s="12" t="n"/>
      <c r="E1651" s="13" t="n"/>
      <c r="F1651" s="11">
        <f>IF($E1651="","",IFERROR(VLOOKUP($E1651,OpTbl,2,0),""))</f>
        <v/>
      </c>
      <c r="G1651" s="12" t="n"/>
      <c r="H1651" s="11">
        <f>IF($G1651="","",IFERROR(IF(VLOOKUP($G1651,AcctTbl,4,0)="","(بدون نام)",VLOOKUP($G1651,AcctTbl,4,0)),"کد ناشناخته"))</f>
        <v/>
      </c>
      <c r="I1651" s="13" t="n"/>
      <c r="J1651" s="13" t="n"/>
      <c r="K1651" s="14" t="n"/>
      <c r="L1651" s="14" t="n"/>
      <c r="M1651" s="15">
        <f>IF(OR($B1651="",$K1651=""),"",($K1651-IF($L1651="",0,$L1651)*IFERROR(VLOOKUP("P01",ParamTbl,3,0),1.5))*(1-IF(IFERROR(VLOOKUP($E1651,OpTbl,3,0),"")="خرید",IFERROR(VLOOKUP("P02",ParamTbl,3,0),1),0)/100))</f>
        <v/>
      </c>
      <c r="N1651" s="14" t="n"/>
      <c r="O1651" s="13" t="n"/>
    </row>
    <row r="1652">
      <c r="A1652" s="11">
        <f>IF($B1652="","",COUNTA($B$9:$B1652))</f>
        <v/>
      </c>
      <c r="B1652" s="12" t="n"/>
      <c r="C1652" s="12" t="n"/>
      <c r="D1652" s="12" t="n"/>
      <c r="E1652" s="13" t="n"/>
      <c r="F1652" s="11">
        <f>IF($E1652="","",IFERROR(VLOOKUP($E1652,OpTbl,2,0),""))</f>
        <v/>
      </c>
      <c r="G1652" s="12" t="n"/>
      <c r="H1652" s="11">
        <f>IF($G1652="","",IFERROR(IF(VLOOKUP($G1652,AcctTbl,4,0)="","(بدون نام)",VLOOKUP($G1652,AcctTbl,4,0)),"کد ناشناخته"))</f>
        <v/>
      </c>
      <c r="I1652" s="13" t="n"/>
      <c r="J1652" s="13" t="n"/>
      <c r="K1652" s="14" t="n"/>
      <c r="L1652" s="14" t="n"/>
      <c r="M1652" s="15">
        <f>IF(OR($B1652="",$K1652=""),"",($K1652-IF($L1652="",0,$L1652)*IFERROR(VLOOKUP("P01",ParamTbl,3,0),1.5))*(1-IF(IFERROR(VLOOKUP($E1652,OpTbl,3,0),"")="خرید",IFERROR(VLOOKUP("P02",ParamTbl,3,0),1),0)/100))</f>
        <v/>
      </c>
      <c r="N1652" s="14" t="n"/>
      <c r="O1652" s="13" t="n"/>
    </row>
    <row r="1653">
      <c r="A1653" s="11">
        <f>IF($B1653="","",COUNTA($B$9:$B1653))</f>
        <v/>
      </c>
      <c r="B1653" s="12" t="n"/>
      <c r="C1653" s="12" t="n"/>
      <c r="D1653" s="12" t="n"/>
      <c r="E1653" s="13" t="n"/>
      <c r="F1653" s="11">
        <f>IF($E1653="","",IFERROR(VLOOKUP($E1653,OpTbl,2,0),""))</f>
        <v/>
      </c>
      <c r="G1653" s="12" t="n"/>
      <c r="H1653" s="11">
        <f>IF($G1653="","",IFERROR(IF(VLOOKUP($G1653,AcctTbl,4,0)="","(بدون نام)",VLOOKUP($G1653,AcctTbl,4,0)),"کد ناشناخته"))</f>
        <v/>
      </c>
      <c r="I1653" s="13" t="n"/>
      <c r="J1653" s="13" t="n"/>
      <c r="K1653" s="14" t="n"/>
      <c r="L1653" s="14" t="n"/>
      <c r="M1653" s="15">
        <f>IF(OR($B1653="",$K1653=""),"",($K1653-IF($L1653="",0,$L1653)*IFERROR(VLOOKUP("P01",ParamTbl,3,0),1.5))*(1-IF(IFERROR(VLOOKUP($E1653,OpTbl,3,0),"")="خرید",IFERROR(VLOOKUP("P02",ParamTbl,3,0),1),0)/100))</f>
        <v/>
      </c>
      <c r="N1653" s="14" t="n"/>
      <c r="O1653" s="13" t="n"/>
    </row>
    <row r="1654">
      <c r="A1654" s="11">
        <f>IF($B1654="","",COUNTA($B$9:$B1654))</f>
        <v/>
      </c>
      <c r="B1654" s="12" t="n"/>
      <c r="C1654" s="12" t="n"/>
      <c r="D1654" s="12" t="n"/>
      <c r="E1654" s="13" t="n"/>
      <c r="F1654" s="11">
        <f>IF($E1654="","",IFERROR(VLOOKUP($E1654,OpTbl,2,0),""))</f>
        <v/>
      </c>
      <c r="G1654" s="12" t="n"/>
      <c r="H1654" s="11">
        <f>IF($G1654="","",IFERROR(IF(VLOOKUP($G1654,AcctTbl,4,0)="","(بدون نام)",VLOOKUP($G1654,AcctTbl,4,0)),"کد ناشناخته"))</f>
        <v/>
      </c>
      <c r="I1654" s="13" t="n"/>
      <c r="J1654" s="13" t="n"/>
      <c r="K1654" s="14" t="n"/>
      <c r="L1654" s="14" t="n"/>
      <c r="M1654" s="15">
        <f>IF(OR($B1654="",$K1654=""),"",($K1654-IF($L1654="",0,$L1654)*IFERROR(VLOOKUP("P01",ParamTbl,3,0),1.5))*(1-IF(IFERROR(VLOOKUP($E1654,OpTbl,3,0),"")="خرید",IFERROR(VLOOKUP("P02",ParamTbl,3,0),1),0)/100))</f>
        <v/>
      </c>
      <c r="N1654" s="14" t="n"/>
      <c r="O1654" s="13" t="n"/>
    </row>
    <row r="1655">
      <c r="A1655" s="11">
        <f>IF($B1655="","",COUNTA($B$9:$B1655))</f>
        <v/>
      </c>
      <c r="B1655" s="12" t="n"/>
      <c r="C1655" s="12" t="n"/>
      <c r="D1655" s="12" t="n"/>
      <c r="E1655" s="13" t="n"/>
      <c r="F1655" s="11">
        <f>IF($E1655="","",IFERROR(VLOOKUP($E1655,OpTbl,2,0),""))</f>
        <v/>
      </c>
      <c r="G1655" s="12" t="n"/>
      <c r="H1655" s="11">
        <f>IF($G1655="","",IFERROR(IF(VLOOKUP($G1655,AcctTbl,4,0)="","(بدون نام)",VLOOKUP($G1655,AcctTbl,4,0)),"کد ناشناخته"))</f>
        <v/>
      </c>
      <c r="I1655" s="13" t="n"/>
      <c r="J1655" s="13" t="n"/>
      <c r="K1655" s="14" t="n"/>
      <c r="L1655" s="14" t="n"/>
      <c r="M1655" s="15">
        <f>IF(OR($B1655="",$K1655=""),"",($K1655-IF($L1655="",0,$L1655)*IFERROR(VLOOKUP("P01",ParamTbl,3,0),1.5))*(1-IF(IFERROR(VLOOKUP($E1655,OpTbl,3,0),"")="خرید",IFERROR(VLOOKUP("P02",ParamTbl,3,0),1),0)/100))</f>
        <v/>
      </c>
      <c r="N1655" s="14" t="n"/>
      <c r="O1655" s="13" t="n"/>
    </row>
    <row r="1656">
      <c r="A1656" s="11">
        <f>IF($B1656="","",COUNTA($B$9:$B1656))</f>
        <v/>
      </c>
      <c r="B1656" s="12" t="n"/>
      <c r="C1656" s="12" t="n"/>
      <c r="D1656" s="12" t="n"/>
      <c r="E1656" s="13" t="n"/>
      <c r="F1656" s="11">
        <f>IF($E1656="","",IFERROR(VLOOKUP($E1656,OpTbl,2,0),""))</f>
        <v/>
      </c>
      <c r="G1656" s="12" t="n"/>
      <c r="H1656" s="11">
        <f>IF($G1656="","",IFERROR(IF(VLOOKUP($G1656,AcctTbl,4,0)="","(بدون نام)",VLOOKUP($G1656,AcctTbl,4,0)),"کد ناشناخته"))</f>
        <v/>
      </c>
      <c r="I1656" s="13" t="n"/>
      <c r="J1656" s="13" t="n"/>
      <c r="K1656" s="14" t="n"/>
      <c r="L1656" s="14" t="n"/>
      <c r="M1656" s="15">
        <f>IF(OR($B1656="",$K1656=""),"",($K1656-IF($L1656="",0,$L1656)*IFERROR(VLOOKUP("P01",ParamTbl,3,0),1.5))*(1-IF(IFERROR(VLOOKUP($E1656,OpTbl,3,0),"")="خرید",IFERROR(VLOOKUP("P02",ParamTbl,3,0),1),0)/100))</f>
        <v/>
      </c>
      <c r="N1656" s="14" t="n"/>
      <c r="O1656" s="13" t="n"/>
    </row>
    <row r="1657">
      <c r="A1657" s="11">
        <f>IF($B1657="","",COUNTA($B$9:$B1657))</f>
        <v/>
      </c>
      <c r="B1657" s="12" t="n"/>
      <c r="C1657" s="12" t="n"/>
      <c r="D1657" s="12" t="n"/>
      <c r="E1657" s="13" t="n"/>
      <c r="F1657" s="11">
        <f>IF($E1657="","",IFERROR(VLOOKUP($E1657,OpTbl,2,0),""))</f>
        <v/>
      </c>
      <c r="G1657" s="12" t="n"/>
      <c r="H1657" s="11">
        <f>IF($G1657="","",IFERROR(IF(VLOOKUP($G1657,AcctTbl,4,0)="","(بدون نام)",VLOOKUP($G1657,AcctTbl,4,0)),"کد ناشناخته"))</f>
        <v/>
      </c>
      <c r="I1657" s="13" t="n"/>
      <c r="J1657" s="13" t="n"/>
      <c r="K1657" s="14" t="n"/>
      <c r="L1657" s="14" t="n"/>
      <c r="M1657" s="15">
        <f>IF(OR($B1657="",$K1657=""),"",($K1657-IF($L1657="",0,$L1657)*IFERROR(VLOOKUP("P01",ParamTbl,3,0),1.5))*(1-IF(IFERROR(VLOOKUP($E1657,OpTbl,3,0),"")="خرید",IFERROR(VLOOKUP("P02",ParamTbl,3,0),1),0)/100))</f>
        <v/>
      </c>
      <c r="N1657" s="14" t="n"/>
      <c r="O1657" s="13" t="n"/>
    </row>
    <row r="1658">
      <c r="A1658" s="11">
        <f>IF($B1658="","",COUNTA($B$9:$B1658))</f>
        <v/>
      </c>
      <c r="B1658" s="12" t="n"/>
      <c r="C1658" s="12" t="n"/>
      <c r="D1658" s="12" t="n"/>
      <c r="E1658" s="13" t="n"/>
      <c r="F1658" s="11">
        <f>IF($E1658="","",IFERROR(VLOOKUP($E1658,OpTbl,2,0),""))</f>
        <v/>
      </c>
      <c r="G1658" s="12" t="n"/>
      <c r="H1658" s="11">
        <f>IF($G1658="","",IFERROR(IF(VLOOKUP($G1658,AcctTbl,4,0)="","(بدون نام)",VLOOKUP($G1658,AcctTbl,4,0)),"کد ناشناخته"))</f>
        <v/>
      </c>
      <c r="I1658" s="13" t="n"/>
      <c r="J1658" s="13" t="n"/>
      <c r="K1658" s="14" t="n"/>
      <c r="L1658" s="14" t="n"/>
      <c r="M1658" s="15">
        <f>IF(OR($B1658="",$K1658=""),"",($K1658-IF($L1658="",0,$L1658)*IFERROR(VLOOKUP("P01",ParamTbl,3,0),1.5))*(1-IF(IFERROR(VLOOKUP($E1658,OpTbl,3,0),"")="خرید",IFERROR(VLOOKUP("P02",ParamTbl,3,0),1),0)/100))</f>
        <v/>
      </c>
      <c r="N1658" s="14" t="n"/>
      <c r="O1658" s="13" t="n"/>
    </row>
    <row r="1659">
      <c r="A1659" s="11">
        <f>IF($B1659="","",COUNTA($B$9:$B1659))</f>
        <v/>
      </c>
      <c r="B1659" s="12" t="n"/>
      <c r="C1659" s="12" t="n"/>
      <c r="D1659" s="12" t="n"/>
      <c r="E1659" s="13" t="n"/>
      <c r="F1659" s="11">
        <f>IF($E1659="","",IFERROR(VLOOKUP($E1659,OpTbl,2,0),""))</f>
        <v/>
      </c>
      <c r="G1659" s="12" t="n"/>
      <c r="H1659" s="11">
        <f>IF($G1659="","",IFERROR(IF(VLOOKUP($G1659,AcctTbl,4,0)="","(بدون نام)",VLOOKUP($G1659,AcctTbl,4,0)),"کد ناشناخته"))</f>
        <v/>
      </c>
      <c r="I1659" s="13" t="n"/>
      <c r="J1659" s="13" t="n"/>
      <c r="K1659" s="14" t="n"/>
      <c r="L1659" s="14" t="n"/>
      <c r="M1659" s="15">
        <f>IF(OR($B1659="",$K1659=""),"",($K1659-IF($L1659="",0,$L1659)*IFERROR(VLOOKUP("P01",ParamTbl,3,0),1.5))*(1-IF(IFERROR(VLOOKUP($E1659,OpTbl,3,0),"")="خرید",IFERROR(VLOOKUP("P02",ParamTbl,3,0),1),0)/100))</f>
        <v/>
      </c>
      <c r="N1659" s="14" t="n"/>
      <c r="O1659" s="13" t="n"/>
    </row>
    <row r="1660">
      <c r="A1660" s="11">
        <f>IF($B1660="","",COUNTA($B$9:$B1660))</f>
        <v/>
      </c>
      <c r="B1660" s="12" t="n"/>
      <c r="C1660" s="12" t="n"/>
      <c r="D1660" s="12" t="n"/>
      <c r="E1660" s="13" t="n"/>
      <c r="F1660" s="11">
        <f>IF($E1660="","",IFERROR(VLOOKUP($E1660,OpTbl,2,0),""))</f>
        <v/>
      </c>
      <c r="G1660" s="12" t="n"/>
      <c r="H1660" s="11">
        <f>IF($G1660="","",IFERROR(IF(VLOOKUP($G1660,AcctTbl,4,0)="","(بدون نام)",VLOOKUP($G1660,AcctTbl,4,0)),"کد ناشناخته"))</f>
        <v/>
      </c>
      <c r="I1660" s="13" t="n"/>
      <c r="J1660" s="13" t="n"/>
      <c r="K1660" s="14" t="n"/>
      <c r="L1660" s="14" t="n"/>
      <c r="M1660" s="15">
        <f>IF(OR($B1660="",$K1660=""),"",($K1660-IF($L1660="",0,$L1660)*IFERROR(VLOOKUP("P01",ParamTbl,3,0),1.5))*(1-IF(IFERROR(VLOOKUP($E1660,OpTbl,3,0),"")="خرید",IFERROR(VLOOKUP("P02",ParamTbl,3,0),1),0)/100))</f>
        <v/>
      </c>
      <c r="N1660" s="14" t="n"/>
      <c r="O1660" s="13" t="n"/>
    </row>
    <row r="1661">
      <c r="A1661" s="11">
        <f>IF($B1661="","",COUNTA($B$9:$B1661))</f>
        <v/>
      </c>
      <c r="B1661" s="12" t="n"/>
      <c r="C1661" s="12" t="n"/>
      <c r="D1661" s="12" t="n"/>
      <c r="E1661" s="13" t="n"/>
      <c r="F1661" s="11">
        <f>IF($E1661="","",IFERROR(VLOOKUP($E1661,OpTbl,2,0),""))</f>
        <v/>
      </c>
      <c r="G1661" s="12" t="n"/>
      <c r="H1661" s="11">
        <f>IF($G1661="","",IFERROR(IF(VLOOKUP($G1661,AcctTbl,4,0)="","(بدون نام)",VLOOKUP($G1661,AcctTbl,4,0)),"کد ناشناخته"))</f>
        <v/>
      </c>
      <c r="I1661" s="13" t="n"/>
      <c r="J1661" s="13" t="n"/>
      <c r="K1661" s="14" t="n"/>
      <c r="L1661" s="14" t="n"/>
      <c r="M1661" s="15">
        <f>IF(OR($B1661="",$K1661=""),"",($K1661-IF($L1661="",0,$L1661)*IFERROR(VLOOKUP("P01",ParamTbl,3,0),1.5))*(1-IF(IFERROR(VLOOKUP($E1661,OpTbl,3,0),"")="خرید",IFERROR(VLOOKUP("P02",ParamTbl,3,0),1),0)/100))</f>
        <v/>
      </c>
      <c r="N1661" s="14" t="n"/>
      <c r="O1661" s="13" t="n"/>
    </row>
    <row r="1662">
      <c r="A1662" s="11">
        <f>IF($B1662="","",COUNTA($B$9:$B1662))</f>
        <v/>
      </c>
      <c r="B1662" s="12" t="n"/>
      <c r="C1662" s="12" t="n"/>
      <c r="D1662" s="12" t="n"/>
      <c r="E1662" s="13" t="n"/>
      <c r="F1662" s="11">
        <f>IF($E1662="","",IFERROR(VLOOKUP($E1662,OpTbl,2,0),""))</f>
        <v/>
      </c>
      <c r="G1662" s="12" t="n"/>
      <c r="H1662" s="11">
        <f>IF($G1662="","",IFERROR(IF(VLOOKUP($G1662,AcctTbl,4,0)="","(بدون نام)",VLOOKUP($G1662,AcctTbl,4,0)),"کد ناشناخته"))</f>
        <v/>
      </c>
      <c r="I1662" s="13" t="n"/>
      <c r="J1662" s="13" t="n"/>
      <c r="K1662" s="14" t="n"/>
      <c r="L1662" s="14" t="n"/>
      <c r="M1662" s="15">
        <f>IF(OR($B1662="",$K1662=""),"",($K1662-IF($L1662="",0,$L1662)*IFERROR(VLOOKUP("P01",ParamTbl,3,0),1.5))*(1-IF(IFERROR(VLOOKUP($E1662,OpTbl,3,0),"")="خرید",IFERROR(VLOOKUP("P02",ParamTbl,3,0),1),0)/100))</f>
        <v/>
      </c>
      <c r="N1662" s="14" t="n"/>
      <c r="O1662" s="13" t="n"/>
    </row>
    <row r="1663">
      <c r="A1663" s="11">
        <f>IF($B1663="","",COUNTA($B$9:$B1663))</f>
        <v/>
      </c>
      <c r="B1663" s="12" t="n"/>
      <c r="C1663" s="12" t="n"/>
      <c r="D1663" s="12" t="n"/>
      <c r="E1663" s="13" t="n"/>
      <c r="F1663" s="11">
        <f>IF($E1663="","",IFERROR(VLOOKUP($E1663,OpTbl,2,0),""))</f>
        <v/>
      </c>
      <c r="G1663" s="12" t="n"/>
      <c r="H1663" s="11">
        <f>IF($G1663="","",IFERROR(IF(VLOOKUP($G1663,AcctTbl,4,0)="","(بدون نام)",VLOOKUP($G1663,AcctTbl,4,0)),"کد ناشناخته"))</f>
        <v/>
      </c>
      <c r="I1663" s="13" t="n"/>
      <c r="J1663" s="13" t="n"/>
      <c r="K1663" s="14" t="n"/>
      <c r="L1663" s="14" t="n"/>
      <c r="M1663" s="15">
        <f>IF(OR($B1663="",$K1663=""),"",($K1663-IF($L1663="",0,$L1663)*IFERROR(VLOOKUP("P01",ParamTbl,3,0),1.5))*(1-IF(IFERROR(VLOOKUP($E1663,OpTbl,3,0),"")="خرید",IFERROR(VLOOKUP("P02",ParamTbl,3,0),1),0)/100))</f>
        <v/>
      </c>
      <c r="N1663" s="14" t="n"/>
      <c r="O1663" s="13" t="n"/>
    </row>
    <row r="1664">
      <c r="A1664" s="11">
        <f>IF($B1664="","",COUNTA($B$9:$B1664))</f>
        <v/>
      </c>
      <c r="B1664" s="12" t="n"/>
      <c r="C1664" s="12" t="n"/>
      <c r="D1664" s="12" t="n"/>
      <c r="E1664" s="13" t="n"/>
      <c r="F1664" s="11">
        <f>IF($E1664="","",IFERROR(VLOOKUP($E1664,OpTbl,2,0),""))</f>
        <v/>
      </c>
      <c r="G1664" s="12" t="n"/>
      <c r="H1664" s="11">
        <f>IF($G1664="","",IFERROR(IF(VLOOKUP($G1664,AcctTbl,4,0)="","(بدون نام)",VLOOKUP($G1664,AcctTbl,4,0)),"کد ناشناخته"))</f>
        <v/>
      </c>
      <c r="I1664" s="13" t="n"/>
      <c r="J1664" s="13" t="n"/>
      <c r="K1664" s="14" t="n"/>
      <c r="L1664" s="14" t="n"/>
      <c r="M1664" s="15">
        <f>IF(OR($B1664="",$K1664=""),"",($K1664-IF($L1664="",0,$L1664)*IFERROR(VLOOKUP("P01",ParamTbl,3,0),1.5))*(1-IF(IFERROR(VLOOKUP($E1664,OpTbl,3,0),"")="خرید",IFERROR(VLOOKUP("P02",ParamTbl,3,0),1),0)/100))</f>
        <v/>
      </c>
      <c r="N1664" s="14" t="n"/>
      <c r="O1664" s="13" t="n"/>
    </row>
    <row r="1665">
      <c r="A1665" s="11">
        <f>IF($B1665="","",COUNTA($B$9:$B1665))</f>
        <v/>
      </c>
      <c r="B1665" s="12" t="n"/>
      <c r="C1665" s="12" t="n"/>
      <c r="D1665" s="12" t="n"/>
      <c r="E1665" s="13" t="n"/>
      <c r="F1665" s="11">
        <f>IF($E1665="","",IFERROR(VLOOKUP($E1665,OpTbl,2,0),""))</f>
        <v/>
      </c>
      <c r="G1665" s="12" t="n"/>
      <c r="H1665" s="11">
        <f>IF($G1665="","",IFERROR(IF(VLOOKUP($G1665,AcctTbl,4,0)="","(بدون نام)",VLOOKUP($G1665,AcctTbl,4,0)),"کد ناشناخته"))</f>
        <v/>
      </c>
      <c r="I1665" s="13" t="n"/>
      <c r="J1665" s="13" t="n"/>
      <c r="K1665" s="14" t="n"/>
      <c r="L1665" s="14" t="n"/>
      <c r="M1665" s="15">
        <f>IF(OR($B1665="",$K1665=""),"",($K1665-IF($L1665="",0,$L1665)*IFERROR(VLOOKUP("P01",ParamTbl,3,0),1.5))*(1-IF(IFERROR(VLOOKUP($E1665,OpTbl,3,0),"")="خرید",IFERROR(VLOOKUP("P02",ParamTbl,3,0),1),0)/100))</f>
        <v/>
      </c>
      <c r="N1665" s="14" t="n"/>
      <c r="O1665" s="13" t="n"/>
    </row>
    <row r="1666">
      <c r="A1666" s="11">
        <f>IF($B1666="","",COUNTA($B$9:$B1666))</f>
        <v/>
      </c>
      <c r="B1666" s="12" t="n"/>
      <c r="C1666" s="12" t="n"/>
      <c r="D1666" s="12" t="n"/>
      <c r="E1666" s="13" t="n"/>
      <c r="F1666" s="11">
        <f>IF($E1666="","",IFERROR(VLOOKUP($E1666,OpTbl,2,0),""))</f>
        <v/>
      </c>
      <c r="G1666" s="12" t="n"/>
      <c r="H1666" s="11">
        <f>IF($G1666="","",IFERROR(IF(VLOOKUP($G1666,AcctTbl,4,0)="","(بدون نام)",VLOOKUP($G1666,AcctTbl,4,0)),"کد ناشناخته"))</f>
        <v/>
      </c>
      <c r="I1666" s="13" t="n"/>
      <c r="J1666" s="13" t="n"/>
      <c r="K1666" s="14" t="n"/>
      <c r="L1666" s="14" t="n"/>
      <c r="M1666" s="15">
        <f>IF(OR($B1666="",$K1666=""),"",($K1666-IF($L1666="",0,$L1666)*IFERROR(VLOOKUP("P01",ParamTbl,3,0),1.5))*(1-IF(IFERROR(VLOOKUP($E1666,OpTbl,3,0),"")="خرید",IFERROR(VLOOKUP("P02",ParamTbl,3,0),1),0)/100))</f>
        <v/>
      </c>
      <c r="N1666" s="14" t="n"/>
      <c r="O1666" s="13" t="n"/>
    </row>
    <row r="1667">
      <c r="A1667" s="11">
        <f>IF($B1667="","",COUNTA($B$9:$B1667))</f>
        <v/>
      </c>
      <c r="B1667" s="12" t="n"/>
      <c r="C1667" s="12" t="n"/>
      <c r="D1667" s="12" t="n"/>
      <c r="E1667" s="13" t="n"/>
      <c r="F1667" s="11">
        <f>IF($E1667="","",IFERROR(VLOOKUP($E1667,OpTbl,2,0),""))</f>
        <v/>
      </c>
      <c r="G1667" s="12" t="n"/>
      <c r="H1667" s="11">
        <f>IF($G1667="","",IFERROR(IF(VLOOKUP($G1667,AcctTbl,4,0)="","(بدون نام)",VLOOKUP($G1667,AcctTbl,4,0)),"کد ناشناخته"))</f>
        <v/>
      </c>
      <c r="I1667" s="13" t="n"/>
      <c r="J1667" s="13" t="n"/>
      <c r="K1667" s="14" t="n"/>
      <c r="L1667" s="14" t="n"/>
      <c r="M1667" s="15">
        <f>IF(OR($B1667="",$K1667=""),"",($K1667-IF($L1667="",0,$L1667)*IFERROR(VLOOKUP("P01",ParamTbl,3,0),1.5))*(1-IF(IFERROR(VLOOKUP($E1667,OpTbl,3,0),"")="خرید",IFERROR(VLOOKUP("P02",ParamTbl,3,0),1),0)/100))</f>
        <v/>
      </c>
      <c r="N1667" s="14" t="n"/>
      <c r="O1667" s="13" t="n"/>
    </row>
    <row r="1668">
      <c r="A1668" s="11">
        <f>IF($B1668="","",COUNTA($B$9:$B1668))</f>
        <v/>
      </c>
      <c r="B1668" s="12" t="n"/>
      <c r="C1668" s="12" t="n"/>
      <c r="D1668" s="12" t="n"/>
      <c r="E1668" s="13" t="n"/>
      <c r="F1668" s="11">
        <f>IF($E1668="","",IFERROR(VLOOKUP($E1668,OpTbl,2,0),""))</f>
        <v/>
      </c>
      <c r="G1668" s="12" t="n"/>
      <c r="H1668" s="11">
        <f>IF($G1668="","",IFERROR(IF(VLOOKUP($G1668,AcctTbl,4,0)="","(بدون نام)",VLOOKUP($G1668,AcctTbl,4,0)),"کد ناشناخته"))</f>
        <v/>
      </c>
      <c r="I1668" s="13" t="n"/>
      <c r="J1668" s="13" t="n"/>
      <c r="K1668" s="14" t="n"/>
      <c r="L1668" s="14" t="n"/>
      <c r="M1668" s="15">
        <f>IF(OR($B1668="",$K1668=""),"",($K1668-IF($L1668="",0,$L1668)*IFERROR(VLOOKUP("P01",ParamTbl,3,0),1.5))*(1-IF(IFERROR(VLOOKUP($E1668,OpTbl,3,0),"")="خرید",IFERROR(VLOOKUP("P02",ParamTbl,3,0),1),0)/100))</f>
        <v/>
      </c>
      <c r="N1668" s="14" t="n"/>
      <c r="O1668" s="13" t="n"/>
    </row>
    <row r="1669">
      <c r="A1669" s="11">
        <f>IF($B1669="","",COUNTA($B$9:$B1669))</f>
        <v/>
      </c>
      <c r="B1669" s="12" t="n"/>
      <c r="C1669" s="12" t="n"/>
      <c r="D1669" s="12" t="n"/>
      <c r="E1669" s="13" t="n"/>
      <c r="F1669" s="11">
        <f>IF($E1669="","",IFERROR(VLOOKUP($E1669,OpTbl,2,0),""))</f>
        <v/>
      </c>
      <c r="G1669" s="12" t="n"/>
      <c r="H1669" s="11">
        <f>IF($G1669="","",IFERROR(IF(VLOOKUP($G1669,AcctTbl,4,0)="","(بدون نام)",VLOOKUP($G1669,AcctTbl,4,0)),"کد ناشناخته"))</f>
        <v/>
      </c>
      <c r="I1669" s="13" t="n"/>
      <c r="J1669" s="13" t="n"/>
      <c r="K1669" s="14" t="n"/>
      <c r="L1669" s="14" t="n"/>
      <c r="M1669" s="15">
        <f>IF(OR($B1669="",$K1669=""),"",($K1669-IF($L1669="",0,$L1669)*IFERROR(VLOOKUP("P01",ParamTbl,3,0),1.5))*(1-IF(IFERROR(VLOOKUP($E1669,OpTbl,3,0),"")="خرید",IFERROR(VLOOKUP("P02",ParamTbl,3,0),1),0)/100))</f>
        <v/>
      </c>
      <c r="N1669" s="14" t="n"/>
      <c r="O1669" s="13" t="n"/>
    </row>
    <row r="1670">
      <c r="A1670" s="11">
        <f>IF($B1670="","",COUNTA($B$9:$B1670))</f>
        <v/>
      </c>
      <c r="B1670" s="12" t="n"/>
      <c r="C1670" s="12" t="n"/>
      <c r="D1670" s="12" t="n"/>
      <c r="E1670" s="13" t="n"/>
      <c r="F1670" s="11">
        <f>IF($E1670="","",IFERROR(VLOOKUP($E1670,OpTbl,2,0),""))</f>
        <v/>
      </c>
      <c r="G1670" s="12" t="n"/>
      <c r="H1670" s="11">
        <f>IF($G1670="","",IFERROR(IF(VLOOKUP($G1670,AcctTbl,4,0)="","(بدون نام)",VLOOKUP($G1670,AcctTbl,4,0)),"کد ناشناخته"))</f>
        <v/>
      </c>
      <c r="I1670" s="13" t="n"/>
      <c r="J1670" s="13" t="n"/>
      <c r="K1670" s="14" t="n"/>
      <c r="L1670" s="14" t="n"/>
      <c r="M1670" s="15">
        <f>IF(OR($B1670="",$K1670=""),"",($K1670-IF($L1670="",0,$L1670)*IFERROR(VLOOKUP("P01",ParamTbl,3,0),1.5))*(1-IF(IFERROR(VLOOKUP($E1670,OpTbl,3,0),"")="خرید",IFERROR(VLOOKUP("P02",ParamTbl,3,0),1),0)/100))</f>
        <v/>
      </c>
      <c r="N1670" s="14" t="n"/>
      <c r="O1670" s="13" t="n"/>
    </row>
    <row r="1671">
      <c r="A1671" s="11">
        <f>IF($B1671="","",COUNTA($B$9:$B1671))</f>
        <v/>
      </c>
      <c r="B1671" s="12" t="n"/>
      <c r="C1671" s="12" t="n"/>
      <c r="D1671" s="12" t="n"/>
      <c r="E1671" s="13" t="n"/>
      <c r="F1671" s="11">
        <f>IF($E1671="","",IFERROR(VLOOKUP($E1671,OpTbl,2,0),""))</f>
        <v/>
      </c>
      <c r="G1671" s="12" t="n"/>
      <c r="H1671" s="11">
        <f>IF($G1671="","",IFERROR(IF(VLOOKUP($G1671,AcctTbl,4,0)="","(بدون نام)",VLOOKUP($G1671,AcctTbl,4,0)),"کد ناشناخته"))</f>
        <v/>
      </c>
      <c r="I1671" s="13" t="n"/>
      <c r="J1671" s="13" t="n"/>
      <c r="K1671" s="14" t="n"/>
      <c r="L1671" s="14" t="n"/>
      <c r="M1671" s="15">
        <f>IF(OR($B1671="",$K1671=""),"",($K1671-IF($L1671="",0,$L1671)*IFERROR(VLOOKUP("P01",ParamTbl,3,0),1.5))*(1-IF(IFERROR(VLOOKUP($E1671,OpTbl,3,0),"")="خرید",IFERROR(VLOOKUP("P02",ParamTbl,3,0),1),0)/100))</f>
        <v/>
      </c>
      <c r="N1671" s="14" t="n"/>
      <c r="O1671" s="13" t="n"/>
    </row>
    <row r="1672">
      <c r="A1672" s="11">
        <f>IF($B1672="","",COUNTA($B$9:$B1672))</f>
        <v/>
      </c>
      <c r="B1672" s="12" t="n"/>
      <c r="C1672" s="12" t="n"/>
      <c r="D1672" s="12" t="n"/>
      <c r="E1672" s="13" t="n"/>
      <c r="F1672" s="11">
        <f>IF($E1672="","",IFERROR(VLOOKUP($E1672,OpTbl,2,0),""))</f>
        <v/>
      </c>
      <c r="G1672" s="12" t="n"/>
      <c r="H1672" s="11">
        <f>IF($G1672="","",IFERROR(IF(VLOOKUP($G1672,AcctTbl,4,0)="","(بدون نام)",VLOOKUP($G1672,AcctTbl,4,0)),"کد ناشناخته"))</f>
        <v/>
      </c>
      <c r="I1672" s="13" t="n"/>
      <c r="J1672" s="13" t="n"/>
      <c r="K1672" s="14" t="n"/>
      <c r="L1672" s="14" t="n"/>
      <c r="M1672" s="15">
        <f>IF(OR($B1672="",$K1672=""),"",($K1672-IF($L1672="",0,$L1672)*IFERROR(VLOOKUP("P01",ParamTbl,3,0),1.5))*(1-IF(IFERROR(VLOOKUP($E1672,OpTbl,3,0),"")="خرید",IFERROR(VLOOKUP("P02",ParamTbl,3,0),1),0)/100))</f>
        <v/>
      </c>
      <c r="N1672" s="14" t="n"/>
      <c r="O1672" s="13" t="n"/>
    </row>
    <row r="1673">
      <c r="A1673" s="11">
        <f>IF($B1673="","",COUNTA($B$9:$B1673))</f>
        <v/>
      </c>
      <c r="B1673" s="12" t="n"/>
      <c r="C1673" s="12" t="n"/>
      <c r="D1673" s="12" t="n"/>
      <c r="E1673" s="13" t="n"/>
      <c r="F1673" s="11">
        <f>IF($E1673="","",IFERROR(VLOOKUP($E1673,OpTbl,2,0),""))</f>
        <v/>
      </c>
      <c r="G1673" s="12" t="n"/>
      <c r="H1673" s="11">
        <f>IF($G1673="","",IFERROR(IF(VLOOKUP($G1673,AcctTbl,4,0)="","(بدون نام)",VLOOKUP($G1673,AcctTbl,4,0)),"کد ناشناخته"))</f>
        <v/>
      </c>
      <c r="I1673" s="13" t="n"/>
      <c r="J1673" s="13" t="n"/>
      <c r="K1673" s="14" t="n"/>
      <c r="L1673" s="14" t="n"/>
      <c r="M1673" s="15">
        <f>IF(OR($B1673="",$K1673=""),"",($K1673-IF($L1673="",0,$L1673)*IFERROR(VLOOKUP("P01",ParamTbl,3,0),1.5))*(1-IF(IFERROR(VLOOKUP($E1673,OpTbl,3,0),"")="خرید",IFERROR(VLOOKUP("P02",ParamTbl,3,0),1),0)/100))</f>
        <v/>
      </c>
      <c r="N1673" s="14" t="n"/>
      <c r="O1673" s="13" t="n"/>
    </row>
    <row r="1674">
      <c r="A1674" s="11">
        <f>IF($B1674="","",COUNTA($B$9:$B1674))</f>
        <v/>
      </c>
      <c r="B1674" s="12" t="n"/>
      <c r="C1674" s="12" t="n"/>
      <c r="D1674" s="12" t="n"/>
      <c r="E1674" s="13" t="n"/>
      <c r="F1674" s="11">
        <f>IF($E1674="","",IFERROR(VLOOKUP($E1674,OpTbl,2,0),""))</f>
        <v/>
      </c>
      <c r="G1674" s="12" t="n"/>
      <c r="H1674" s="11">
        <f>IF($G1674="","",IFERROR(IF(VLOOKUP($G1674,AcctTbl,4,0)="","(بدون نام)",VLOOKUP($G1674,AcctTbl,4,0)),"کد ناشناخته"))</f>
        <v/>
      </c>
      <c r="I1674" s="13" t="n"/>
      <c r="J1674" s="13" t="n"/>
      <c r="K1674" s="14" t="n"/>
      <c r="L1674" s="14" t="n"/>
      <c r="M1674" s="15">
        <f>IF(OR($B1674="",$K1674=""),"",($K1674-IF($L1674="",0,$L1674)*IFERROR(VLOOKUP("P01",ParamTbl,3,0),1.5))*(1-IF(IFERROR(VLOOKUP($E1674,OpTbl,3,0),"")="خرید",IFERROR(VLOOKUP("P02",ParamTbl,3,0),1),0)/100))</f>
        <v/>
      </c>
      <c r="N1674" s="14" t="n"/>
      <c r="O1674" s="13" t="n"/>
    </row>
    <row r="1675">
      <c r="A1675" s="11">
        <f>IF($B1675="","",COUNTA($B$9:$B1675))</f>
        <v/>
      </c>
      <c r="B1675" s="12" t="n"/>
      <c r="C1675" s="12" t="n"/>
      <c r="D1675" s="12" t="n"/>
      <c r="E1675" s="13" t="n"/>
      <c r="F1675" s="11">
        <f>IF($E1675="","",IFERROR(VLOOKUP($E1675,OpTbl,2,0),""))</f>
        <v/>
      </c>
      <c r="G1675" s="12" t="n"/>
      <c r="H1675" s="11">
        <f>IF($G1675="","",IFERROR(IF(VLOOKUP($G1675,AcctTbl,4,0)="","(بدون نام)",VLOOKUP($G1675,AcctTbl,4,0)),"کد ناشناخته"))</f>
        <v/>
      </c>
      <c r="I1675" s="13" t="n"/>
      <c r="J1675" s="13" t="n"/>
      <c r="K1675" s="14" t="n"/>
      <c r="L1675" s="14" t="n"/>
      <c r="M1675" s="15">
        <f>IF(OR($B1675="",$K1675=""),"",($K1675-IF($L1675="",0,$L1675)*IFERROR(VLOOKUP("P01",ParamTbl,3,0),1.5))*(1-IF(IFERROR(VLOOKUP($E1675,OpTbl,3,0),"")="خرید",IFERROR(VLOOKUP("P02",ParamTbl,3,0),1),0)/100))</f>
        <v/>
      </c>
      <c r="N1675" s="14" t="n"/>
      <c r="O1675" s="13" t="n"/>
    </row>
    <row r="1676">
      <c r="A1676" s="11">
        <f>IF($B1676="","",COUNTA($B$9:$B1676))</f>
        <v/>
      </c>
      <c r="B1676" s="12" t="n"/>
      <c r="C1676" s="12" t="n"/>
      <c r="D1676" s="12" t="n"/>
      <c r="E1676" s="13" t="n"/>
      <c r="F1676" s="11">
        <f>IF($E1676="","",IFERROR(VLOOKUP($E1676,OpTbl,2,0),""))</f>
        <v/>
      </c>
      <c r="G1676" s="12" t="n"/>
      <c r="H1676" s="11">
        <f>IF($G1676="","",IFERROR(IF(VLOOKUP($G1676,AcctTbl,4,0)="","(بدون نام)",VLOOKUP($G1676,AcctTbl,4,0)),"کد ناشناخته"))</f>
        <v/>
      </c>
      <c r="I1676" s="13" t="n"/>
      <c r="J1676" s="13" t="n"/>
      <c r="K1676" s="14" t="n"/>
      <c r="L1676" s="14" t="n"/>
      <c r="M1676" s="15">
        <f>IF(OR($B1676="",$K1676=""),"",($K1676-IF($L1676="",0,$L1676)*IFERROR(VLOOKUP("P01",ParamTbl,3,0),1.5))*(1-IF(IFERROR(VLOOKUP($E1676,OpTbl,3,0),"")="خرید",IFERROR(VLOOKUP("P02",ParamTbl,3,0),1),0)/100))</f>
        <v/>
      </c>
      <c r="N1676" s="14" t="n"/>
      <c r="O1676" s="13" t="n"/>
    </row>
    <row r="1677">
      <c r="A1677" s="11">
        <f>IF($B1677="","",COUNTA($B$9:$B1677))</f>
        <v/>
      </c>
      <c r="B1677" s="12" t="n"/>
      <c r="C1677" s="12" t="n"/>
      <c r="D1677" s="12" t="n"/>
      <c r="E1677" s="13" t="n"/>
      <c r="F1677" s="11">
        <f>IF($E1677="","",IFERROR(VLOOKUP($E1677,OpTbl,2,0),""))</f>
        <v/>
      </c>
      <c r="G1677" s="12" t="n"/>
      <c r="H1677" s="11">
        <f>IF($G1677="","",IFERROR(IF(VLOOKUP($G1677,AcctTbl,4,0)="","(بدون نام)",VLOOKUP($G1677,AcctTbl,4,0)),"کد ناشناخته"))</f>
        <v/>
      </c>
      <c r="I1677" s="13" t="n"/>
      <c r="J1677" s="13" t="n"/>
      <c r="K1677" s="14" t="n"/>
      <c r="L1677" s="14" t="n"/>
      <c r="M1677" s="15">
        <f>IF(OR($B1677="",$K1677=""),"",($K1677-IF($L1677="",0,$L1677)*IFERROR(VLOOKUP("P01",ParamTbl,3,0),1.5))*(1-IF(IFERROR(VLOOKUP($E1677,OpTbl,3,0),"")="خرید",IFERROR(VLOOKUP("P02",ParamTbl,3,0),1),0)/100))</f>
        <v/>
      </c>
      <c r="N1677" s="14" t="n"/>
      <c r="O1677" s="13" t="n"/>
    </row>
    <row r="1678">
      <c r="A1678" s="11">
        <f>IF($B1678="","",COUNTA($B$9:$B1678))</f>
        <v/>
      </c>
      <c r="B1678" s="12" t="n"/>
      <c r="C1678" s="12" t="n"/>
      <c r="D1678" s="12" t="n"/>
      <c r="E1678" s="13" t="n"/>
      <c r="F1678" s="11">
        <f>IF($E1678="","",IFERROR(VLOOKUP($E1678,OpTbl,2,0),""))</f>
        <v/>
      </c>
      <c r="G1678" s="12" t="n"/>
      <c r="H1678" s="11">
        <f>IF($G1678="","",IFERROR(IF(VLOOKUP($G1678,AcctTbl,4,0)="","(بدون نام)",VLOOKUP($G1678,AcctTbl,4,0)),"کد ناشناخته"))</f>
        <v/>
      </c>
      <c r="I1678" s="13" t="n"/>
      <c r="J1678" s="13" t="n"/>
      <c r="K1678" s="14" t="n"/>
      <c r="L1678" s="14" t="n"/>
      <c r="M1678" s="15">
        <f>IF(OR($B1678="",$K1678=""),"",($K1678-IF($L1678="",0,$L1678)*IFERROR(VLOOKUP("P01",ParamTbl,3,0),1.5))*(1-IF(IFERROR(VLOOKUP($E1678,OpTbl,3,0),"")="خرید",IFERROR(VLOOKUP("P02",ParamTbl,3,0),1),0)/100))</f>
        <v/>
      </c>
      <c r="N1678" s="14" t="n"/>
      <c r="O1678" s="13" t="n"/>
    </row>
    <row r="1679">
      <c r="A1679" s="11">
        <f>IF($B1679="","",COUNTA($B$9:$B1679))</f>
        <v/>
      </c>
      <c r="B1679" s="12" t="n"/>
      <c r="C1679" s="12" t="n"/>
      <c r="D1679" s="12" t="n"/>
      <c r="E1679" s="13" t="n"/>
      <c r="F1679" s="11">
        <f>IF($E1679="","",IFERROR(VLOOKUP($E1679,OpTbl,2,0),""))</f>
        <v/>
      </c>
      <c r="G1679" s="12" t="n"/>
      <c r="H1679" s="11">
        <f>IF($G1679="","",IFERROR(IF(VLOOKUP($G1679,AcctTbl,4,0)="","(بدون نام)",VLOOKUP($G1679,AcctTbl,4,0)),"کد ناشناخته"))</f>
        <v/>
      </c>
      <c r="I1679" s="13" t="n"/>
      <c r="J1679" s="13" t="n"/>
      <c r="K1679" s="14" t="n"/>
      <c r="L1679" s="14" t="n"/>
      <c r="M1679" s="15">
        <f>IF(OR($B1679="",$K1679=""),"",($K1679-IF($L1679="",0,$L1679)*IFERROR(VLOOKUP("P01",ParamTbl,3,0),1.5))*(1-IF(IFERROR(VLOOKUP($E1679,OpTbl,3,0),"")="خرید",IFERROR(VLOOKUP("P02",ParamTbl,3,0),1),0)/100))</f>
        <v/>
      </c>
      <c r="N1679" s="14" t="n"/>
      <c r="O1679" s="13" t="n"/>
    </row>
    <row r="1680">
      <c r="A1680" s="11">
        <f>IF($B1680="","",COUNTA($B$9:$B1680))</f>
        <v/>
      </c>
      <c r="B1680" s="12" t="n"/>
      <c r="C1680" s="12" t="n"/>
      <c r="D1680" s="12" t="n"/>
      <c r="E1680" s="13" t="n"/>
      <c r="F1680" s="11">
        <f>IF($E1680="","",IFERROR(VLOOKUP($E1680,OpTbl,2,0),""))</f>
        <v/>
      </c>
      <c r="G1680" s="12" t="n"/>
      <c r="H1680" s="11">
        <f>IF($G1680="","",IFERROR(IF(VLOOKUP($G1680,AcctTbl,4,0)="","(بدون نام)",VLOOKUP($G1680,AcctTbl,4,0)),"کد ناشناخته"))</f>
        <v/>
      </c>
      <c r="I1680" s="13" t="n"/>
      <c r="J1680" s="13" t="n"/>
      <c r="K1680" s="14" t="n"/>
      <c r="L1680" s="14" t="n"/>
      <c r="M1680" s="15">
        <f>IF(OR($B1680="",$K1680=""),"",($K1680-IF($L1680="",0,$L1680)*IFERROR(VLOOKUP("P01",ParamTbl,3,0),1.5))*(1-IF(IFERROR(VLOOKUP($E1680,OpTbl,3,0),"")="خرید",IFERROR(VLOOKUP("P02",ParamTbl,3,0),1),0)/100))</f>
        <v/>
      </c>
      <c r="N1680" s="14" t="n"/>
      <c r="O1680" s="13" t="n"/>
    </row>
    <row r="1681">
      <c r="A1681" s="11">
        <f>IF($B1681="","",COUNTA($B$9:$B1681))</f>
        <v/>
      </c>
      <c r="B1681" s="12" t="n"/>
      <c r="C1681" s="12" t="n"/>
      <c r="D1681" s="12" t="n"/>
      <c r="E1681" s="13" t="n"/>
      <c r="F1681" s="11">
        <f>IF($E1681="","",IFERROR(VLOOKUP($E1681,OpTbl,2,0),""))</f>
        <v/>
      </c>
      <c r="G1681" s="12" t="n"/>
      <c r="H1681" s="11">
        <f>IF($G1681="","",IFERROR(IF(VLOOKUP($G1681,AcctTbl,4,0)="","(بدون نام)",VLOOKUP($G1681,AcctTbl,4,0)),"کد ناشناخته"))</f>
        <v/>
      </c>
      <c r="I1681" s="13" t="n"/>
      <c r="J1681" s="13" t="n"/>
      <c r="K1681" s="14" t="n"/>
      <c r="L1681" s="14" t="n"/>
      <c r="M1681" s="15">
        <f>IF(OR($B1681="",$K1681=""),"",($K1681-IF($L1681="",0,$L1681)*IFERROR(VLOOKUP("P01",ParamTbl,3,0),1.5))*(1-IF(IFERROR(VLOOKUP($E1681,OpTbl,3,0),"")="خرید",IFERROR(VLOOKUP("P02",ParamTbl,3,0),1),0)/100))</f>
        <v/>
      </c>
      <c r="N1681" s="14" t="n"/>
      <c r="O1681" s="13" t="n"/>
    </row>
    <row r="1682">
      <c r="A1682" s="11">
        <f>IF($B1682="","",COUNTA($B$9:$B1682))</f>
        <v/>
      </c>
      <c r="B1682" s="12" t="n"/>
      <c r="C1682" s="12" t="n"/>
      <c r="D1682" s="12" t="n"/>
      <c r="E1682" s="13" t="n"/>
      <c r="F1682" s="11">
        <f>IF($E1682="","",IFERROR(VLOOKUP($E1682,OpTbl,2,0),""))</f>
        <v/>
      </c>
      <c r="G1682" s="12" t="n"/>
      <c r="H1682" s="11">
        <f>IF($G1682="","",IFERROR(IF(VLOOKUP($G1682,AcctTbl,4,0)="","(بدون نام)",VLOOKUP($G1682,AcctTbl,4,0)),"کد ناشناخته"))</f>
        <v/>
      </c>
      <c r="I1682" s="13" t="n"/>
      <c r="J1682" s="13" t="n"/>
      <c r="K1682" s="14" t="n"/>
      <c r="L1682" s="14" t="n"/>
      <c r="M1682" s="15">
        <f>IF(OR($B1682="",$K1682=""),"",($K1682-IF($L1682="",0,$L1682)*IFERROR(VLOOKUP("P01",ParamTbl,3,0),1.5))*(1-IF(IFERROR(VLOOKUP($E1682,OpTbl,3,0),"")="خرید",IFERROR(VLOOKUP("P02",ParamTbl,3,0),1),0)/100))</f>
        <v/>
      </c>
      <c r="N1682" s="14" t="n"/>
      <c r="O1682" s="13" t="n"/>
    </row>
    <row r="1683">
      <c r="A1683" s="11">
        <f>IF($B1683="","",COUNTA($B$9:$B1683))</f>
        <v/>
      </c>
      <c r="B1683" s="12" t="n"/>
      <c r="C1683" s="12" t="n"/>
      <c r="D1683" s="12" t="n"/>
      <c r="E1683" s="13" t="n"/>
      <c r="F1683" s="11">
        <f>IF($E1683="","",IFERROR(VLOOKUP($E1683,OpTbl,2,0),""))</f>
        <v/>
      </c>
      <c r="G1683" s="12" t="n"/>
      <c r="H1683" s="11">
        <f>IF($G1683="","",IFERROR(IF(VLOOKUP($G1683,AcctTbl,4,0)="","(بدون نام)",VLOOKUP($G1683,AcctTbl,4,0)),"کد ناشناخته"))</f>
        <v/>
      </c>
      <c r="I1683" s="13" t="n"/>
      <c r="J1683" s="13" t="n"/>
      <c r="K1683" s="14" t="n"/>
      <c r="L1683" s="14" t="n"/>
      <c r="M1683" s="15">
        <f>IF(OR($B1683="",$K1683=""),"",($K1683-IF($L1683="",0,$L1683)*IFERROR(VLOOKUP("P01",ParamTbl,3,0),1.5))*(1-IF(IFERROR(VLOOKUP($E1683,OpTbl,3,0),"")="خرید",IFERROR(VLOOKUP("P02",ParamTbl,3,0),1),0)/100))</f>
        <v/>
      </c>
      <c r="N1683" s="14" t="n"/>
      <c r="O1683" s="13" t="n"/>
    </row>
    <row r="1684">
      <c r="A1684" s="11">
        <f>IF($B1684="","",COUNTA($B$9:$B1684))</f>
        <v/>
      </c>
      <c r="B1684" s="12" t="n"/>
      <c r="C1684" s="12" t="n"/>
      <c r="D1684" s="12" t="n"/>
      <c r="E1684" s="13" t="n"/>
      <c r="F1684" s="11">
        <f>IF($E1684="","",IFERROR(VLOOKUP($E1684,OpTbl,2,0),""))</f>
        <v/>
      </c>
      <c r="G1684" s="12" t="n"/>
      <c r="H1684" s="11">
        <f>IF($G1684="","",IFERROR(IF(VLOOKUP($G1684,AcctTbl,4,0)="","(بدون نام)",VLOOKUP($G1684,AcctTbl,4,0)),"کد ناشناخته"))</f>
        <v/>
      </c>
      <c r="I1684" s="13" t="n"/>
      <c r="J1684" s="13" t="n"/>
      <c r="K1684" s="14" t="n"/>
      <c r="L1684" s="14" t="n"/>
      <c r="M1684" s="15">
        <f>IF(OR($B1684="",$K1684=""),"",($K1684-IF($L1684="",0,$L1684)*IFERROR(VLOOKUP("P01",ParamTbl,3,0),1.5))*(1-IF(IFERROR(VLOOKUP($E1684,OpTbl,3,0),"")="خرید",IFERROR(VLOOKUP("P02",ParamTbl,3,0),1),0)/100))</f>
        <v/>
      </c>
      <c r="N1684" s="14" t="n"/>
      <c r="O1684" s="13" t="n"/>
    </row>
    <row r="1685">
      <c r="A1685" s="11">
        <f>IF($B1685="","",COUNTA($B$9:$B1685))</f>
        <v/>
      </c>
      <c r="B1685" s="12" t="n"/>
      <c r="C1685" s="12" t="n"/>
      <c r="D1685" s="12" t="n"/>
      <c r="E1685" s="13" t="n"/>
      <c r="F1685" s="11">
        <f>IF($E1685="","",IFERROR(VLOOKUP($E1685,OpTbl,2,0),""))</f>
        <v/>
      </c>
      <c r="G1685" s="12" t="n"/>
      <c r="H1685" s="11">
        <f>IF($G1685="","",IFERROR(IF(VLOOKUP($G1685,AcctTbl,4,0)="","(بدون نام)",VLOOKUP($G1685,AcctTbl,4,0)),"کد ناشناخته"))</f>
        <v/>
      </c>
      <c r="I1685" s="13" t="n"/>
      <c r="J1685" s="13" t="n"/>
      <c r="K1685" s="14" t="n"/>
      <c r="L1685" s="14" t="n"/>
      <c r="M1685" s="15">
        <f>IF(OR($B1685="",$K1685=""),"",($K1685-IF($L1685="",0,$L1685)*IFERROR(VLOOKUP("P01",ParamTbl,3,0),1.5))*(1-IF(IFERROR(VLOOKUP($E1685,OpTbl,3,0),"")="خرید",IFERROR(VLOOKUP("P02",ParamTbl,3,0),1),0)/100))</f>
        <v/>
      </c>
      <c r="N1685" s="14" t="n"/>
      <c r="O1685" s="13" t="n"/>
    </row>
    <row r="1686">
      <c r="A1686" s="11">
        <f>IF($B1686="","",COUNTA($B$9:$B1686))</f>
        <v/>
      </c>
      <c r="B1686" s="12" t="n"/>
      <c r="C1686" s="12" t="n"/>
      <c r="D1686" s="12" t="n"/>
      <c r="E1686" s="13" t="n"/>
      <c r="F1686" s="11">
        <f>IF($E1686="","",IFERROR(VLOOKUP($E1686,OpTbl,2,0),""))</f>
        <v/>
      </c>
      <c r="G1686" s="12" t="n"/>
      <c r="H1686" s="11">
        <f>IF($G1686="","",IFERROR(IF(VLOOKUP($G1686,AcctTbl,4,0)="","(بدون نام)",VLOOKUP($G1686,AcctTbl,4,0)),"کد ناشناخته"))</f>
        <v/>
      </c>
      <c r="I1686" s="13" t="n"/>
      <c r="J1686" s="13" t="n"/>
      <c r="K1686" s="14" t="n"/>
      <c r="L1686" s="14" t="n"/>
      <c r="M1686" s="15">
        <f>IF(OR($B1686="",$K1686=""),"",($K1686-IF($L1686="",0,$L1686)*IFERROR(VLOOKUP("P01",ParamTbl,3,0),1.5))*(1-IF(IFERROR(VLOOKUP($E1686,OpTbl,3,0),"")="خرید",IFERROR(VLOOKUP("P02",ParamTbl,3,0),1),0)/100))</f>
        <v/>
      </c>
      <c r="N1686" s="14" t="n"/>
      <c r="O1686" s="13" t="n"/>
    </row>
    <row r="1687">
      <c r="A1687" s="11">
        <f>IF($B1687="","",COUNTA($B$9:$B1687))</f>
        <v/>
      </c>
      <c r="B1687" s="12" t="n"/>
      <c r="C1687" s="12" t="n"/>
      <c r="D1687" s="12" t="n"/>
      <c r="E1687" s="13" t="n"/>
      <c r="F1687" s="11">
        <f>IF($E1687="","",IFERROR(VLOOKUP($E1687,OpTbl,2,0),""))</f>
        <v/>
      </c>
      <c r="G1687" s="12" t="n"/>
      <c r="H1687" s="11">
        <f>IF($G1687="","",IFERROR(IF(VLOOKUP($G1687,AcctTbl,4,0)="","(بدون نام)",VLOOKUP($G1687,AcctTbl,4,0)),"کد ناشناخته"))</f>
        <v/>
      </c>
      <c r="I1687" s="13" t="n"/>
      <c r="J1687" s="13" t="n"/>
      <c r="K1687" s="14" t="n"/>
      <c r="L1687" s="14" t="n"/>
      <c r="M1687" s="15">
        <f>IF(OR($B1687="",$K1687=""),"",($K1687-IF($L1687="",0,$L1687)*IFERROR(VLOOKUP("P01",ParamTbl,3,0),1.5))*(1-IF(IFERROR(VLOOKUP($E1687,OpTbl,3,0),"")="خرید",IFERROR(VLOOKUP("P02",ParamTbl,3,0),1),0)/100))</f>
        <v/>
      </c>
      <c r="N1687" s="14" t="n"/>
      <c r="O1687" s="13" t="n"/>
    </row>
    <row r="1688">
      <c r="A1688" s="11">
        <f>IF($B1688="","",COUNTA($B$9:$B1688))</f>
        <v/>
      </c>
      <c r="B1688" s="12" t="n"/>
      <c r="C1688" s="12" t="n"/>
      <c r="D1688" s="12" t="n"/>
      <c r="E1688" s="13" t="n"/>
      <c r="F1688" s="11">
        <f>IF($E1688="","",IFERROR(VLOOKUP($E1688,OpTbl,2,0),""))</f>
        <v/>
      </c>
      <c r="G1688" s="12" t="n"/>
      <c r="H1688" s="11">
        <f>IF($G1688="","",IFERROR(IF(VLOOKUP($G1688,AcctTbl,4,0)="","(بدون نام)",VLOOKUP($G1688,AcctTbl,4,0)),"کد ناشناخته"))</f>
        <v/>
      </c>
      <c r="I1688" s="13" t="n"/>
      <c r="J1688" s="13" t="n"/>
      <c r="K1688" s="14" t="n"/>
      <c r="L1688" s="14" t="n"/>
      <c r="M1688" s="15">
        <f>IF(OR($B1688="",$K1688=""),"",($K1688-IF($L1688="",0,$L1688)*IFERROR(VLOOKUP("P01",ParamTbl,3,0),1.5))*(1-IF(IFERROR(VLOOKUP($E1688,OpTbl,3,0),"")="خرید",IFERROR(VLOOKUP("P02",ParamTbl,3,0),1),0)/100))</f>
        <v/>
      </c>
      <c r="N1688" s="14" t="n"/>
      <c r="O1688" s="13" t="n"/>
    </row>
    <row r="1689">
      <c r="A1689" s="11">
        <f>IF($B1689="","",COUNTA($B$9:$B1689))</f>
        <v/>
      </c>
      <c r="B1689" s="12" t="n"/>
      <c r="C1689" s="12" t="n"/>
      <c r="D1689" s="12" t="n"/>
      <c r="E1689" s="13" t="n"/>
      <c r="F1689" s="11">
        <f>IF($E1689="","",IFERROR(VLOOKUP($E1689,OpTbl,2,0),""))</f>
        <v/>
      </c>
      <c r="G1689" s="12" t="n"/>
      <c r="H1689" s="11">
        <f>IF($G1689="","",IFERROR(IF(VLOOKUP($G1689,AcctTbl,4,0)="","(بدون نام)",VLOOKUP($G1689,AcctTbl,4,0)),"کد ناشناخته"))</f>
        <v/>
      </c>
      <c r="I1689" s="13" t="n"/>
      <c r="J1689" s="13" t="n"/>
      <c r="K1689" s="14" t="n"/>
      <c r="L1689" s="14" t="n"/>
      <c r="M1689" s="15">
        <f>IF(OR($B1689="",$K1689=""),"",($K1689-IF($L1689="",0,$L1689)*IFERROR(VLOOKUP("P01",ParamTbl,3,0),1.5))*(1-IF(IFERROR(VLOOKUP($E1689,OpTbl,3,0),"")="خرید",IFERROR(VLOOKUP("P02",ParamTbl,3,0),1),0)/100))</f>
        <v/>
      </c>
      <c r="N1689" s="14" t="n"/>
      <c r="O1689" s="13" t="n"/>
    </row>
    <row r="1690">
      <c r="A1690" s="11">
        <f>IF($B1690="","",COUNTA($B$9:$B1690))</f>
        <v/>
      </c>
      <c r="B1690" s="12" t="n"/>
      <c r="C1690" s="12" t="n"/>
      <c r="D1690" s="12" t="n"/>
      <c r="E1690" s="13" t="n"/>
      <c r="F1690" s="11">
        <f>IF($E1690="","",IFERROR(VLOOKUP($E1690,OpTbl,2,0),""))</f>
        <v/>
      </c>
      <c r="G1690" s="12" t="n"/>
      <c r="H1690" s="11">
        <f>IF($G1690="","",IFERROR(IF(VLOOKUP($G1690,AcctTbl,4,0)="","(بدون نام)",VLOOKUP($G1690,AcctTbl,4,0)),"کد ناشناخته"))</f>
        <v/>
      </c>
      <c r="I1690" s="13" t="n"/>
      <c r="J1690" s="13" t="n"/>
      <c r="K1690" s="14" t="n"/>
      <c r="L1690" s="14" t="n"/>
      <c r="M1690" s="15">
        <f>IF(OR($B1690="",$K1690=""),"",($K1690-IF($L1690="",0,$L1690)*IFERROR(VLOOKUP("P01",ParamTbl,3,0),1.5))*(1-IF(IFERROR(VLOOKUP($E1690,OpTbl,3,0),"")="خرید",IFERROR(VLOOKUP("P02",ParamTbl,3,0),1),0)/100))</f>
        <v/>
      </c>
      <c r="N1690" s="14" t="n"/>
      <c r="O1690" s="13" t="n"/>
    </row>
    <row r="1691">
      <c r="A1691" s="11">
        <f>IF($B1691="","",COUNTA($B$9:$B1691))</f>
        <v/>
      </c>
      <c r="B1691" s="12" t="n"/>
      <c r="C1691" s="12" t="n"/>
      <c r="D1691" s="12" t="n"/>
      <c r="E1691" s="13" t="n"/>
      <c r="F1691" s="11">
        <f>IF($E1691="","",IFERROR(VLOOKUP($E1691,OpTbl,2,0),""))</f>
        <v/>
      </c>
      <c r="G1691" s="12" t="n"/>
      <c r="H1691" s="11">
        <f>IF($G1691="","",IFERROR(IF(VLOOKUP($G1691,AcctTbl,4,0)="","(بدون نام)",VLOOKUP($G1691,AcctTbl,4,0)),"کد ناشناخته"))</f>
        <v/>
      </c>
      <c r="I1691" s="13" t="n"/>
      <c r="J1691" s="13" t="n"/>
      <c r="K1691" s="14" t="n"/>
      <c r="L1691" s="14" t="n"/>
      <c r="M1691" s="15">
        <f>IF(OR($B1691="",$K1691=""),"",($K1691-IF($L1691="",0,$L1691)*IFERROR(VLOOKUP("P01",ParamTbl,3,0),1.5))*(1-IF(IFERROR(VLOOKUP($E1691,OpTbl,3,0),"")="خرید",IFERROR(VLOOKUP("P02",ParamTbl,3,0),1),0)/100))</f>
        <v/>
      </c>
      <c r="N1691" s="14" t="n"/>
      <c r="O1691" s="13" t="n"/>
    </row>
    <row r="1692">
      <c r="A1692" s="11">
        <f>IF($B1692="","",COUNTA($B$9:$B1692))</f>
        <v/>
      </c>
      <c r="B1692" s="12" t="n"/>
      <c r="C1692" s="12" t="n"/>
      <c r="D1692" s="12" t="n"/>
      <c r="E1692" s="13" t="n"/>
      <c r="F1692" s="11">
        <f>IF($E1692="","",IFERROR(VLOOKUP($E1692,OpTbl,2,0),""))</f>
        <v/>
      </c>
      <c r="G1692" s="12" t="n"/>
      <c r="H1692" s="11">
        <f>IF($G1692="","",IFERROR(IF(VLOOKUP($G1692,AcctTbl,4,0)="","(بدون نام)",VLOOKUP($G1692,AcctTbl,4,0)),"کد ناشناخته"))</f>
        <v/>
      </c>
      <c r="I1692" s="13" t="n"/>
      <c r="J1692" s="13" t="n"/>
      <c r="K1692" s="14" t="n"/>
      <c r="L1692" s="14" t="n"/>
      <c r="M1692" s="15">
        <f>IF(OR($B1692="",$K1692=""),"",($K1692-IF($L1692="",0,$L1692)*IFERROR(VLOOKUP("P01",ParamTbl,3,0),1.5))*(1-IF(IFERROR(VLOOKUP($E1692,OpTbl,3,0),"")="خرید",IFERROR(VLOOKUP("P02",ParamTbl,3,0),1),0)/100))</f>
        <v/>
      </c>
      <c r="N1692" s="14" t="n"/>
      <c r="O1692" s="13" t="n"/>
    </row>
    <row r="1693">
      <c r="A1693" s="11">
        <f>IF($B1693="","",COUNTA($B$9:$B1693))</f>
        <v/>
      </c>
      <c r="B1693" s="12" t="n"/>
      <c r="C1693" s="12" t="n"/>
      <c r="D1693" s="12" t="n"/>
      <c r="E1693" s="13" t="n"/>
      <c r="F1693" s="11">
        <f>IF($E1693="","",IFERROR(VLOOKUP($E1693,OpTbl,2,0),""))</f>
        <v/>
      </c>
      <c r="G1693" s="12" t="n"/>
      <c r="H1693" s="11">
        <f>IF($G1693="","",IFERROR(IF(VLOOKUP($G1693,AcctTbl,4,0)="","(بدون نام)",VLOOKUP($G1693,AcctTbl,4,0)),"کد ناشناخته"))</f>
        <v/>
      </c>
      <c r="I1693" s="13" t="n"/>
      <c r="J1693" s="13" t="n"/>
      <c r="K1693" s="14" t="n"/>
      <c r="L1693" s="14" t="n"/>
      <c r="M1693" s="15">
        <f>IF(OR($B1693="",$K1693=""),"",($K1693-IF($L1693="",0,$L1693)*IFERROR(VLOOKUP("P01",ParamTbl,3,0),1.5))*(1-IF(IFERROR(VLOOKUP($E1693,OpTbl,3,0),"")="خرید",IFERROR(VLOOKUP("P02",ParamTbl,3,0),1),0)/100))</f>
        <v/>
      </c>
      <c r="N1693" s="14" t="n"/>
      <c r="O1693" s="13" t="n"/>
    </row>
    <row r="1694">
      <c r="A1694" s="11">
        <f>IF($B1694="","",COUNTA($B$9:$B1694))</f>
        <v/>
      </c>
      <c r="B1694" s="12" t="n"/>
      <c r="C1694" s="12" t="n"/>
      <c r="D1694" s="12" t="n"/>
      <c r="E1694" s="13" t="n"/>
      <c r="F1694" s="11">
        <f>IF($E1694="","",IFERROR(VLOOKUP($E1694,OpTbl,2,0),""))</f>
        <v/>
      </c>
      <c r="G1694" s="12" t="n"/>
      <c r="H1694" s="11">
        <f>IF($G1694="","",IFERROR(IF(VLOOKUP($G1694,AcctTbl,4,0)="","(بدون نام)",VLOOKUP($G1694,AcctTbl,4,0)),"کد ناشناخته"))</f>
        <v/>
      </c>
      <c r="I1694" s="13" t="n"/>
      <c r="J1694" s="13" t="n"/>
      <c r="K1694" s="14" t="n"/>
      <c r="L1694" s="14" t="n"/>
      <c r="M1694" s="15">
        <f>IF(OR($B1694="",$K1694=""),"",($K1694-IF($L1694="",0,$L1694)*IFERROR(VLOOKUP("P01",ParamTbl,3,0),1.5))*(1-IF(IFERROR(VLOOKUP($E1694,OpTbl,3,0),"")="خرید",IFERROR(VLOOKUP("P02",ParamTbl,3,0),1),0)/100))</f>
        <v/>
      </c>
      <c r="N1694" s="14" t="n"/>
      <c r="O1694" s="13" t="n"/>
    </row>
    <row r="1695">
      <c r="A1695" s="11">
        <f>IF($B1695="","",COUNTA($B$9:$B1695))</f>
        <v/>
      </c>
      <c r="B1695" s="12" t="n"/>
      <c r="C1695" s="12" t="n"/>
      <c r="D1695" s="12" t="n"/>
      <c r="E1695" s="13" t="n"/>
      <c r="F1695" s="11">
        <f>IF($E1695="","",IFERROR(VLOOKUP($E1695,OpTbl,2,0),""))</f>
        <v/>
      </c>
      <c r="G1695" s="12" t="n"/>
      <c r="H1695" s="11">
        <f>IF($G1695="","",IFERROR(IF(VLOOKUP($G1695,AcctTbl,4,0)="","(بدون نام)",VLOOKUP($G1695,AcctTbl,4,0)),"کد ناشناخته"))</f>
        <v/>
      </c>
      <c r="I1695" s="13" t="n"/>
      <c r="J1695" s="13" t="n"/>
      <c r="K1695" s="14" t="n"/>
      <c r="L1695" s="14" t="n"/>
      <c r="M1695" s="15">
        <f>IF(OR($B1695="",$K1695=""),"",($K1695-IF($L1695="",0,$L1695)*IFERROR(VLOOKUP("P01",ParamTbl,3,0),1.5))*(1-IF(IFERROR(VLOOKUP($E1695,OpTbl,3,0),"")="خرید",IFERROR(VLOOKUP("P02",ParamTbl,3,0),1),0)/100))</f>
        <v/>
      </c>
      <c r="N1695" s="14" t="n"/>
      <c r="O1695" s="13" t="n"/>
    </row>
    <row r="1696">
      <c r="A1696" s="11">
        <f>IF($B1696="","",COUNTA($B$9:$B1696))</f>
        <v/>
      </c>
      <c r="B1696" s="12" t="n"/>
      <c r="C1696" s="12" t="n"/>
      <c r="D1696" s="12" t="n"/>
      <c r="E1696" s="13" t="n"/>
      <c r="F1696" s="11">
        <f>IF($E1696="","",IFERROR(VLOOKUP($E1696,OpTbl,2,0),""))</f>
        <v/>
      </c>
      <c r="G1696" s="12" t="n"/>
      <c r="H1696" s="11">
        <f>IF($G1696="","",IFERROR(IF(VLOOKUP($G1696,AcctTbl,4,0)="","(بدون نام)",VLOOKUP($G1696,AcctTbl,4,0)),"کد ناشناخته"))</f>
        <v/>
      </c>
      <c r="I1696" s="13" t="n"/>
      <c r="J1696" s="13" t="n"/>
      <c r="K1696" s="14" t="n"/>
      <c r="L1696" s="14" t="n"/>
      <c r="M1696" s="15">
        <f>IF(OR($B1696="",$K1696=""),"",($K1696-IF($L1696="",0,$L1696)*IFERROR(VLOOKUP("P01",ParamTbl,3,0),1.5))*(1-IF(IFERROR(VLOOKUP($E1696,OpTbl,3,0),"")="خرید",IFERROR(VLOOKUP("P02",ParamTbl,3,0),1),0)/100))</f>
        <v/>
      </c>
      <c r="N1696" s="14" t="n"/>
      <c r="O1696" s="13" t="n"/>
    </row>
    <row r="1697">
      <c r="A1697" s="11">
        <f>IF($B1697="","",COUNTA($B$9:$B1697))</f>
        <v/>
      </c>
      <c r="B1697" s="12" t="n"/>
      <c r="C1697" s="12" t="n"/>
      <c r="D1697" s="12" t="n"/>
      <c r="E1697" s="13" t="n"/>
      <c r="F1697" s="11">
        <f>IF($E1697="","",IFERROR(VLOOKUP($E1697,OpTbl,2,0),""))</f>
        <v/>
      </c>
      <c r="G1697" s="12" t="n"/>
      <c r="H1697" s="11">
        <f>IF($G1697="","",IFERROR(IF(VLOOKUP($G1697,AcctTbl,4,0)="","(بدون نام)",VLOOKUP($G1697,AcctTbl,4,0)),"کد ناشناخته"))</f>
        <v/>
      </c>
      <c r="I1697" s="13" t="n"/>
      <c r="J1697" s="13" t="n"/>
      <c r="K1697" s="14" t="n"/>
      <c r="L1697" s="14" t="n"/>
      <c r="M1697" s="15">
        <f>IF(OR($B1697="",$K1697=""),"",($K1697-IF($L1697="",0,$L1697)*IFERROR(VLOOKUP("P01",ParamTbl,3,0),1.5))*(1-IF(IFERROR(VLOOKUP($E1697,OpTbl,3,0),"")="خرید",IFERROR(VLOOKUP("P02",ParamTbl,3,0),1),0)/100))</f>
        <v/>
      </c>
      <c r="N1697" s="14" t="n"/>
      <c r="O1697" s="13" t="n"/>
    </row>
    <row r="1698">
      <c r="A1698" s="11">
        <f>IF($B1698="","",COUNTA($B$9:$B1698))</f>
        <v/>
      </c>
      <c r="B1698" s="12" t="n"/>
      <c r="C1698" s="12" t="n"/>
      <c r="D1698" s="12" t="n"/>
      <c r="E1698" s="13" t="n"/>
      <c r="F1698" s="11">
        <f>IF($E1698="","",IFERROR(VLOOKUP($E1698,OpTbl,2,0),""))</f>
        <v/>
      </c>
      <c r="G1698" s="12" t="n"/>
      <c r="H1698" s="11">
        <f>IF($G1698="","",IFERROR(IF(VLOOKUP($G1698,AcctTbl,4,0)="","(بدون نام)",VLOOKUP($G1698,AcctTbl,4,0)),"کد ناشناخته"))</f>
        <v/>
      </c>
      <c r="I1698" s="13" t="n"/>
      <c r="J1698" s="13" t="n"/>
      <c r="K1698" s="14" t="n"/>
      <c r="L1698" s="14" t="n"/>
      <c r="M1698" s="15">
        <f>IF(OR($B1698="",$K1698=""),"",($K1698-IF($L1698="",0,$L1698)*IFERROR(VLOOKUP("P01",ParamTbl,3,0),1.5))*(1-IF(IFERROR(VLOOKUP($E1698,OpTbl,3,0),"")="خرید",IFERROR(VLOOKUP("P02",ParamTbl,3,0),1),0)/100))</f>
        <v/>
      </c>
      <c r="N1698" s="14" t="n"/>
      <c r="O1698" s="13" t="n"/>
    </row>
    <row r="1699">
      <c r="A1699" s="11">
        <f>IF($B1699="","",COUNTA($B$9:$B1699))</f>
        <v/>
      </c>
      <c r="B1699" s="12" t="n"/>
      <c r="C1699" s="12" t="n"/>
      <c r="D1699" s="12" t="n"/>
      <c r="E1699" s="13" t="n"/>
      <c r="F1699" s="11">
        <f>IF($E1699="","",IFERROR(VLOOKUP($E1699,OpTbl,2,0),""))</f>
        <v/>
      </c>
      <c r="G1699" s="12" t="n"/>
      <c r="H1699" s="11">
        <f>IF($G1699="","",IFERROR(IF(VLOOKUP($G1699,AcctTbl,4,0)="","(بدون نام)",VLOOKUP($G1699,AcctTbl,4,0)),"کد ناشناخته"))</f>
        <v/>
      </c>
      <c r="I1699" s="13" t="n"/>
      <c r="J1699" s="13" t="n"/>
      <c r="K1699" s="14" t="n"/>
      <c r="L1699" s="14" t="n"/>
      <c r="M1699" s="15">
        <f>IF(OR($B1699="",$K1699=""),"",($K1699-IF($L1699="",0,$L1699)*IFERROR(VLOOKUP("P01",ParamTbl,3,0),1.5))*(1-IF(IFERROR(VLOOKUP($E1699,OpTbl,3,0),"")="خرید",IFERROR(VLOOKUP("P02",ParamTbl,3,0),1),0)/100))</f>
        <v/>
      </c>
      <c r="N1699" s="14" t="n"/>
      <c r="O1699" s="13" t="n"/>
    </row>
    <row r="1700">
      <c r="A1700" s="11">
        <f>IF($B1700="","",COUNTA($B$9:$B1700))</f>
        <v/>
      </c>
      <c r="B1700" s="12" t="n"/>
      <c r="C1700" s="12" t="n"/>
      <c r="D1700" s="12" t="n"/>
      <c r="E1700" s="13" t="n"/>
      <c r="F1700" s="11">
        <f>IF($E1700="","",IFERROR(VLOOKUP($E1700,OpTbl,2,0),""))</f>
        <v/>
      </c>
      <c r="G1700" s="12" t="n"/>
      <c r="H1700" s="11">
        <f>IF($G1700="","",IFERROR(IF(VLOOKUP($G1700,AcctTbl,4,0)="","(بدون نام)",VLOOKUP($G1700,AcctTbl,4,0)),"کد ناشناخته"))</f>
        <v/>
      </c>
      <c r="I1700" s="13" t="n"/>
      <c r="J1700" s="13" t="n"/>
      <c r="K1700" s="14" t="n"/>
      <c r="L1700" s="14" t="n"/>
      <c r="M1700" s="15">
        <f>IF(OR($B1700="",$K1700=""),"",($K1700-IF($L1700="",0,$L1700)*IFERROR(VLOOKUP("P01",ParamTbl,3,0),1.5))*(1-IF(IFERROR(VLOOKUP($E1700,OpTbl,3,0),"")="خرید",IFERROR(VLOOKUP("P02",ParamTbl,3,0),1),0)/100))</f>
        <v/>
      </c>
      <c r="N1700" s="14" t="n"/>
      <c r="O1700" s="13" t="n"/>
    </row>
    <row r="1701">
      <c r="A1701" s="11">
        <f>IF($B1701="","",COUNTA($B$9:$B1701))</f>
        <v/>
      </c>
      <c r="B1701" s="12" t="n"/>
      <c r="C1701" s="12" t="n"/>
      <c r="D1701" s="12" t="n"/>
      <c r="E1701" s="13" t="n"/>
      <c r="F1701" s="11">
        <f>IF($E1701="","",IFERROR(VLOOKUP($E1701,OpTbl,2,0),""))</f>
        <v/>
      </c>
      <c r="G1701" s="12" t="n"/>
      <c r="H1701" s="11">
        <f>IF($G1701="","",IFERROR(IF(VLOOKUP($G1701,AcctTbl,4,0)="","(بدون نام)",VLOOKUP($G1701,AcctTbl,4,0)),"کد ناشناخته"))</f>
        <v/>
      </c>
      <c r="I1701" s="13" t="n"/>
      <c r="J1701" s="13" t="n"/>
      <c r="K1701" s="14" t="n"/>
      <c r="L1701" s="14" t="n"/>
      <c r="M1701" s="15">
        <f>IF(OR($B1701="",$K1701=""),"",($K1701-IF($L1701="",0,$L1701)*IFERROR(VLOOKUP("P01",ParamTbl,3,0),1.5))*(1-IF(IFERROR(VLOOKUP($E1701,OpTbl,3,0),"")="خرید",IFERROR(VLOOKUP("P02",ParamTbl,3,0),1),0)/100))</f>
        <v/>
      </c>
      <c r="N1701" s="14" t="n"/>
      <c r="O1701" s="13" t="n"/>
    </row>
    <row r="1702">
      <c r="A1702" s="11">
        <f>IF($B1702="","",COUNTA($B$9:$B1702))</f>
        <v/>
      </c>
      <c r="B1702" s="12" t="n"/>
      <c r="C1702" s="12" t="n"/>
      <c r="D1702" s="12" t="n"/>
      <c r="E1702" s="13" t="n"/>
      <c r="F1702" s="11">
        <f>IF($E1702="","",IFERROR(VLOOKUP($E1702,OpTbl,2,0),""))</f>
        <v/>
      </c>
      <c r="G1702" s="12" t="n"/>
      <c r="H1702" s="11">
        <f>IF($G1702="","",IFERROR(IF(VLOOKUP($G1702,AcctTbl,4,0)="","(بدون نام)",VLOOKUP($G1702,AcctTbl,4,0)),"کد ناشناخته"))</f>
        <v/>
      </c>
      <c r="I1702" s="13" t="n"/>
      <c r="J1702" s="13" t="n"/>
      <c r="K1702" s="14" t="n"/>
      <c r="L1702" s="14" t="n"/>
      <c r="M1702" s="15">
        <f>IF(OR($B1702="",$K1702=""),"",($K1702-IF($L1702="",0,$L1702)*IFERROR(VLOOKUP("P01",ParamTbl,3,0),1.5))*(1-IF(IFERROR(VLOOKUP($E1702,OpTbl,3,0),"")="خرید",IFERROR(VLOOKUP("P02",ParamTbl,3,0),1),0)/100))</f>
        <v/>
      </c>
      <c r="N1702" s="14" t="n"/>
      <c r="O1702" s="13" t="n"/>
    </row>
    <row r="1703">
      <c r="A1703" s="11">
        <f>IF($B1703="","",COUNTA($B$9:$B1703))</f>
        <v/>
      </c>
      <c r="B1703" s="12" t="n"/>
      <c r="C1703" s="12" t="n"/>
      <c r="D1703" s="12" t="n"/>
      <c r="E1703" s="13" t="n"/>
      <c r="F1703" s="11">
        <f>IF($E1703="","",IFERROR(VLOOKUP($E1703,OpTbl,2,0),""))</f>
        <v/>
      </c>
      <c r="G1703" s="12" t="n"/>
      <c r="H1703" s="11">
        <f>IF($G1703="","",IFERROR(IF(VLOOKUP($G1703,AcctTbl,4,0)="","(بدون نام)",VLOOKUP($G1703,AcctTbl,4,0)),"کد ناشناخته"))</f>
        <v/>
      </c>
      <c r="I1703" s="13" t="n"/>
      <c r="J1703" s="13" t="n"/>
      <c r="K1703" s="14" t="n"/>
      <c r="L1703" s="14" t="n"/>
      <c r="M1703" s="15">
        <f>IF(OR($B1703="",$K1703=""),"",($K1703-IF($L1703="",0,$L1703)*IFERROR(VLOOKUP("P01",ParamTbl,3,0),1.5))*(1-IF(IFERROR(VLOOKUP($E1703,OpTbl,3,0),"")="خرید",IFERROR(VLOOKUP("P02",ParamTbl,3,0),1),0)/100))</f>
        <v/>
      </c>
      <c r="N1703" s="14" t="n"/>
      <c r="O1703" s="13" t="n"/>
    </row>
    <row r="1704">
      <c r="A1704" s="11">
        <f>IF($B1704="","",COUNTA($B$9:$B1704))</f>
        <v/>
      </c>
      <c r="B1704" s="12" t="n"/>
      <c r="C1704" s="12" t="n"/>
      <c r="D1704" s="12" t="n"/>
      <c r="E1704" s="13" t="n"/>
      <c r="F1704" s="11">
        <f>IF($E1704="","",IFERROR(VLOOKUP($E1704,OpTbl,2,0),""))</f>
        <v/>
      </c>
      <c r="G1704" s="12" t="n"/>
      <c r="H1704" s="11">
        <f>IF($G1704="","",IFERROR(IF(VLOOKUP($G1704,AcctTbl,4,0)="","(بدون نام)",VLOOKUP($G1704,AcctTbl,4,0)),"کد ناشناخته"))</f>
        <v/>
      </c>
      <c r="I1704" s="13" t="n"/>
      <c r="J1704" s="13" t="n"/>
      <c r="K1704" s="14" t="n"/>
      <c r="L1704" s="14" t="n"/>
      <c r="M1704" s="15">
        <f>IF(OR($B1704="",$K1704=""),"",($K1704-IF($L1704="",0,$L1704)*IFERROR(VLOOKUP("P01",ParamTbl,3,0),1.5))*(1-IF(IFERROR(VLOOKUP($E1704,OpTbl,3,0),"")="خرید",IFERROR(VLOOKUP("P02",ParamTbl,3,0),1),0)/100))</f>
        <v/>
      </c>
      <c r="N1704" s="14" t="n"/>
      <c r="O1704" s="13" t="n"/>
    </row>
    <row r="1705">
      <c r="A1705" s="11">
        <f>IF($B1705="","",COUNTA($B$9:$B1705))</f>
        <v/>
      </c>
      <c r="B1705" s="12" t="n"/>
      <c r="C1705" s="12" t="n"/>
      <c r="D1705" s="12" t="n"/>
      <c r="E1705" s="13" t="n"/>
      <c r="F1705" s="11">
        <f>IF($E1705="","",IFERROR(VLOOKUP($E1705,OpTbl,2,0),""))</f>
        <v/>
      </c>
      <c r="G1705" s="12" t="n"/>
      <c r="H1705" s="11">
        <f>IF($G1705="","",IFERROR(IF(VLOOKUP($G1705,AcctTbl,4,0)="","(بدون نام)",VLOOKUP($G1705,AcctTbl,4,0)),"کد ناشناخته"))</f>
        <v/>
      </c>
      <c r="I1705" s="13" t="n"/>
      <c r="J1705" s="13" t="n"/>
      <c r="K1705" s="14" t="n"/>
      <c r="L1705" s="14" t="n"/>
      <c r="M1705" s="15">
        <f>IF(OR($B1705="",$K1705=""),"",($K1705-IF($L1705="",0,$L1705)*IFERROR(VLOOKUP("P01",ParamTbl,3,0),1.5))*(1-IF(IFERROR(VLOOKUP($E1705,OpTbl,3,0),"")="خرید",IFERROR(VLOOKUP("P02",ParamTbl,3,0),1),0)/100))</f>
        <v/>
      </c>
      <c r="N1705" s="14" t="n"/>
      <c r="O1705" s="13" t="n"/>
    </row>
    <row r="1706">
      <c r="A1706" s="11">
        <f>IF($B1706="","",COUNTA($B$9:$B1706))</f>
        <v/>
      </c>
      <c r="B1706" s="12" t="n"/>
      <c r="C1706" s="12" t="n"/>
      <c r="D1706" s="12" t="n"/>
      <c r="E1706" s="13" t="n"/>
      <c r="F1706" s="11">
        <f>IF($E1706="","",IFERROR(VLOOKUP($E1706,OpTbl,2,0),""))</f>
        <v/>
      </c>
      <c r="G1706" s="12" t="n"/>
      <c r="H1706" s="11">
        <f>IF($G1706="","",IFERROR(IF(VLOOKUP($G1706,AcctTbl,4,0)="","(بدون نام)",VLOOKUP($G1706,AcctTbl,4,0)),"کد ناشناخته"))</f>
        <v/>
      </c>
      <c r="I1706" s="13" t="n"/>
      <c r="J1706" s="13" t="n"/>
      <c r="K1706" s="14" t="n"/>
      <c r="L1706" s="14" t="n"/>
      <c r="M1706" s="15">
        <f>IF(OR($B1706="",$K1706=""),"",($K1706-IF($L1706="",0,$L1706)*IFERROR(VLOOKUP("P01",ParamTbl,3,0),1.5))*(1-IF(IFERROR(VLOOKUP($E1706,OpTbl,3,0),"")="خرید",IFERROR(VLOOKUP("P02",ParamTbl,3,0),1),0)/100))</f>
        <v/>
      </c>
      <c r="N1706" s="14" t="n"/>
      <c r="O1706" s="13" t="n"/>
    </row>
    <row r="1707">
      <c r="A1707" s="11">
        <f>IF($B1707="","",COUNTA($B$9:$B1707))</f>
        <v/>
      </c>
      <c r="B1707" s="12" t="n"/>
      <c r="C1707" s="12" t="n"/>
      <c r="D1707" s="12" t="n"/>
      <c r="E1707" s="13" t="n"/>
      <c r="F1707" s="11">
        <f>IF($E1707="","",IFERROR(VLOOKUP($E1707,OpTbl,2,0),""))</f>
        <v/>
      </c>
      <c r="G1707" s="12" t="n"/>
      <c r="H1707" s="11">
        <f>IF($G1707="","",IFERROR(IF(VLOOKUP($G1707,AcctTbl,4,0)="","(بدون نام)",VLOOKUP($G1707,AcctTbl,4,0)),"کد ناشناخته"))</f>
        <v/>
      </c>
      <c r="I1707" s="13" t="n"/>
      <c r="J1707" s="13" t="n"/>
      <c r="K1707" s="14" t="n"/>
      <c r="L1707" s="14" t="n"/>
      <c r="M1707" s="15">
        <f>IF(OR($B1707="",$K1707=""),"",($K1707-IF($L1707="",0,$L1707)*IFERROR(VLOOKUP("P01",ParamTbl,3,0),1.5))*(1-IF(IFERROR(VLOOKUP($E1707,OpTbl,3,0),"")="خرید",IFERROR(VLOOKUP("P02",ParamTbl,3,0),1),0)/100))</f>
        <v/>
      </c>
      <c r="N1707" s="14" t="n"/>
      <c r="O1707" s="13" t="n"/>
    </row>
    <row r="1708">
      <c r="A1708" s="11">
        <f>IF($B1708="","",COUNTA($B$9:$B1708))</f>
        <v/>
      </c>
      <c r="B1708" s="12" t="n"/>
      <c r="C1708" s="12" t="n"/>
      <c r="D1708" s="12" t="n"/>
      <c r="E1708" s="13" t="n"/>
      <c r="F1708" s="11">
        <f>IF($E1708="","",IFERROR(VLOOKUP($E1708,OpTbl,2,0),""))</f>
        <v/>
      </c>
      <c r="G1708" s="12" t="n"/>
      <c r="H1708" s="11">
        <f>IF($G1708="","",IFERROR(IF(VLOOKUP($G1708,AcctTbl,4,0)="","(بدون نام)",VLOOKUP($G1708,AcctTbl,4,0)),"کد ناشناخته"))</f>
        <v/>
      </c>
      <c r="I1708" s="13" t="n"/>
      <c r="J1708" s="13" t="n"/>
      <c r="K1708" s="14" t="n"/>
      <c r="L1708" s="14" t="n"/>
      <c r="M1708" s="15">
        <f>IF(OR($B1708="",$K1708=""),"",($K1708-IF($L1708="",0,$L1708)*IFERROR(VLOOKUP("P01",ParamTbl,3,0),1.5))*(1-IF(IFERROR(VLOOKUP($E1708,OpTbl,3,0),"")="خرید",IFERROR(VLOOKUP("P02",ParamTbl,3,0),1),0)/100))</f>
        <v/>
      </c>
      <c r="N1708" s="14" t="n"/>
      <c r="O1708" s="13" t="n"/>
    </row>
    <row r="1709">
      <c r="A1709" s="11">
        <f>IF($B1709="","",COUNTA($B$9:$B1709))</f>
        <v/>
      </c>
      <c r="B1709" s="12" t="n"/>
      <c r="C1709" s="12" t="n"/>
      <c r="D1709" s="12" t="n"/>
      <c r="E1709" s="13" t="n"/>
      <c r="F1709" s="11">
        <f>IF($E1709="","",IFERROR(VLOOKUP($E1709,OpTbl,2,0),""))</f>
        <v/>
      </c>
      <c r="G1709" s="12" t="n"/>
      <c r="H1709" s="11">
        <f>IF($G1709="","",IFERROR(IF(VLOOKUP($G1709,AcctTbl,4,0)="","(بدون نام)",VLOOKUP($G1709,AcctTbl,4,0)),"کد ناشناخته"))</f>
        <v/>
      </c>
      <c r="I1709" s="13" t="n"/>
      <c r="J1709" s="13" t="n"/>
      <c r="K1709" s="14" t="n"/>
      <c r="L1709" s="14" t="n"/>
      <c r="M1709" s="15">
        <f>IF(OR($B1709="",$K1709=""),"",($K1709-IF($L1709="",0,$L1709)*IFERROR(VLOOKUP("P01",ParamTbl,3,0),1.5))*(1-IF(IFERROR(VLOOKUP($E1709,OpTbl,3,0),"")="خرید",IFERROR(VLOOKUP("P02",ParamTbl,3,0),1),0)/100))</f>
        <v/>
      </c>
      <c r="N1709" s="14" t="n"/>
      <c r="O1709" s="13" t="n"/>
    </row>
    <row r="1710">
      <c r="A1710" s="11">
        <f>IF($B1710="","",COUNTA($B$9:$B1710))</f>
        <v/>
      </c>
      <c r="B1710" s="12" t="n"/>
      <c r="C1710" s="12" t="n"/>
      <c r="D1710" s="12" t="n"/>
      <c r="E1710" s="13" t="n"/>
      <c r="F1710" s="11">
        <f>IF($E1710="","",IFERROR(VLOOKUP($E1710,OpTbl,2,0),""))</f>
        <v/>
      </c>
      <c r="G1710" s="12" t="n"/>
      <c r="H1710" s="11">
        <f>IF($G1710="","",IFERROR(IF(VLOOKUP($G1710,AcctTbl,4,0)="","(بدون نام)",VLOOKUP($G1710,AcctTbl,4,0)),"کد ناشناخته"))</f>
        <v/>
      </c>
      <c r="I1710" s="13" t="n"/>
      <c r="J1710" s="13" t="n"/>
      <c r="K1710" s="14" t="n"/>
      <c r="L1710" s="14" t="n"/>
      <c r="M1710" s="15">
        <f>IF(OR($B1710="",$K1710=""),"",($K1710-IF($L1710="",0,$L1710)*IFERROR(VLOOKUP("P01",ParamTbl,3,0),1.5))*(1-IF(IFERROR(VLOOKUP($E1710,OpTbl,3,0),"")="خرید",IFERROR(VLOOKUP("P02",ParamTbl,3,0),1),0)/100))</f>
        <v/>
      </c>
      <c r="N1710" s="14" t="n"/>
      <c r="O1710" s="13" t="n"/>
    </row>
    <row r="1711">
      <c r="A1711" s="11">
        <f>IF($B1711="","",COUNTA($B$9:$B1711))</f>
        <v/>
      </c>
      <c r="B1711" s="12" t="n"/>
      <c r="C1711" s="12" t="n"/>
      <c r="D1711" s="12" t="n"/>
      <c r="E1711" s="13" t="n"/>
      <c r="F1711" s="11">
        <f>IF($E1711="","",IFERROR(VLOOKUP($E1711,OpTbl,2,0),""))</f>
        <v/>
      </c>
      <c r="G1711" s="12" t="n"/>
      <c r="H1711" s="11">
        <f>IF($G1711="","",IFERROR(IF(VLOOKUP($G1711,AcctTbl,4,0)="","(بدون نام)",VLOOKUP($G1711,AcctTbl,4,0)),"کد ناشناخته"))</f>
        <v/>
      </c>
      <c r="I1711" s="13" t="n"/>
      <c r="J1711" s="13" t="n"/>
      <c r="K1711" s="14" t="n"/>
      <c r="L1711" s="14" t="n"/>
      <c r="M1711" s="15">
        <f>IF(OR($B1711="",$K1711=""),"",($K1711-IF($L1711="",0,$L1711)*IFERROR(VLOOKUP("P01",ParamTbl,3,0),1.5))*(1-IF(IFERROR(VLOOKUP($E1711,OpTbl,3,0),"")="خرید",IFERROR(VLOOKUP("P02",ParamTbl,3,0),1),0)/100))</f>
        <v/>
      </c>
      <c r="N1711" s="14" t="n"/>
      <c r="O1711" s="13" t="n"/>
    </row>
    <row r="1712">
      <c r="A1712" s="11">
        <f>IF($B1712="","",COUNTA($B$9:$B1712))</f>
        <v/>
      </c>
      <c r="B1712" s="12" t="n"/>
      <c r="C1712" s="12" t="n"/>
      <c r="D1712" s="12" t="n"/>
      <c r="E1712" s="13" t="n"/>
      <c r="F1712" s="11">
        <f>IF($E1712="","",IFERROR(VLOOKUP($E1712,OpTbl,2,0),""))</f>
        <v/>
      </c>
      <c r="G1712" s="12" t="n"/>
      <c r="H1712" s="11">
        <f>IF($G1712="","",IFERROR(IF(VLOOKUP($G1712,AcctTbl,4,0)="","(بدون نام)",VLOOKUP($G1712,AcctTbl,4,0)),"کد ناشناخته"))</f>
        <v/>
      </c>
      <c r="I1712" s="13" t="n"/>
      <c r="J1712" s="13" t="n"/>
      <c r="K1712" s="14" t="n"/>
      <c r="L1712" s="14" t="n"/>
      <c r="M1712" s="15">
        <f>IF(OR($B1712="",$K1712=""),"",($K1712-IF($L1712="",0,$L1712)*IFERROR(VLOOKUP("P01",ParamTbl,3,0),1.5))*(1-IF(IFERROR(VLOOKUP($E1712,OpTbl,3,0),"")="خرید",IFERROR(VLOOKUP("P02",ParamTbl,3,0),1),0)/100))</f>
        <v/>
      </c>
      <c r="N1712" s="14" t="n"/>
      <c r="O1712" s="13" t="n"/>
    </row>
    <row r="1713">
      <c r="A1713" s="11">
        <f>IF($B1713="","",COUNTA($B$9:$B1713))</f>
        <v/>
      </c>
      <c r="B1713" s="12" t="n"/>
      <c r="C1713" s="12" t="n"/>
      <c r="D1713" s="12" t="n"/>
      <c r="E1713" s="13" t="n"/>
      <c r="F1713" s="11">
        <f>IF($E1713="","",IFERROR(VLOOKUP($E1713,OpTbl,2,0),""))</f>
        <v/>
      </c>
      <c r="G1713" s="12" t="n"/>
      <c r="H1713" s="11">
        <f>IF($G1713="","",IFERROR(IF(VLOOKUP($G1713,AcctTbl,4,0)="","(بدون نام)",VLOOKUP($G1713,AcctTbl,4,0)),"کد ناشناخته"))</f>
        <v/>
      </c>
      <c r="I1713" s="13" t="n"/>
      <c r="J1713" s="13" t="n"/>
      <c r="K1713" s="14" t="n"/>
      <c r="L1713" s="14" t="n"/>
      <c r="M1713" s="15">
        <f>IF(OR($B1713="",$K1713=""),"",($K1713-IF($L1713="",0,$L1713)*IFERROR(VLOOKUP("P01",ParamTbl,3,0),1.5))*(1-IF(IFERROR(VLOOKUP($E1713,OpTbl,3,0),"")="خرید",IFERROR(VLOOKUP("P02",ParamTbl,3,0),1),0)/100))</f>
        <v/>
      </c>
      <c r="N1713" s="14" t="n"/>
      <c r="O1713" s="13" t="n"/>
    </row>
    <row r="1714">
      <c r="A1714" s="11">
        <f>IF($B1714="","",COUNTA($B$9:$B1714))</f>
        <v/>
      </c>
      <c r="B1714" s="12" t="n"/>
      <c r="C1714" s="12" t="n"/>
      <c r="D1714" s="12" t="n"/>
      <c r="E1714" s="13" t="n"/>
      <c r="F1714" s="11">
        <f>IF($E1714="","",IFERROR(VLOOKUP($E1714,OpTbl,2,0),""))</f>
        <v/>
      </c>
      <c r="G1714" s="12" t="n"/>
      <c r="H1714" s="11">
        <f>IF($G1714="","",IFERROR(IF(VLOOKUP($G1714,AcctTbl,4,0)="","(بدون نام)",VLOOKUP($G1714,AcctTbl,4,0)),"کد ناشناخته"))</f>
        <v/>
      </c>
      <c r="I1714" s="13" t="n"/>
      <c r="J1714" s="13" t="n"/>
      <c r="K1714" s="14" t="n"/>
      <c r="L1714" s="14" t="n"/>
      <c r="M1714" s="15">
        <f>IF(OR($B1714="",$K1714=""),"",($K1714-IF($L1714="",0,$L1714)*IFERROR(VLOOKUP("P01",ParamTbl,3,0),1.5))*(1-IF(IFERROR(VLOOKUP($E1714,OpTbl,3,0),"")="خرید",IFERROR(VLOOKUP("P02",ParamTbl,3,0),1),0)/100))</f>
        <v/>
      </c>
      <c r="N1714" s="14" t="n"/>
      <c r="O1714" s="13" t="n"/>
    </row>
    <row r="1715">
      <c r="A1715" s="11">
        <f>IF($B1715="","",COUNTA($B$9:$B1715))</f>
        <v/>
      </c>
      <c r="B1715" s="12" t="n"/>
      <c r="C1715" s="12" t="n"/>
      <c r="D1715" s="12" t="n"/>
      <c r="E1715" s="13" t="n"/>
      <c r="F1715" s="11">
        <f>IF($E1715="","",IFERROR(VLOOKUP($E1715,OpTbl,2,0),""))</f>
        <v/>
      </c>
      <c r="G1715" s="12" t="n"/>
      <c r="H1715" s="11">
        <f>IF($G1715="","",IFERROR(IF(VLOOKUP($G1715,AcctTbl,4,0)="","(بدون نام)",VLOOKUP($G1715,AcctTbl,4,0)),"کد ناشناخته"))</f>
        <v/>
      </c>
      <c r="I1715" s="13" t="n"/>
      <c r="J1715" s="13" t="n"/>
      <c r="K1715" s="14" t="n"/>
      <c r="L1715" s="14" t="n"/>
      <c r="M1715" s="15">
        <f>IF(OR($B1715="",$K1715=""),"",($K1715-IF($L1715="",0,$L1715)*IFERROR(VLOOKUP("P01",ParamTbl,3,0),1.5))*(1-IF(IFERROR(VLOOKUP($E1715,OpTbl,3,0),"")="خرید",IFERROR(VLOOKUP("P02",ParamTbl,3,0),1),0)/100))</f>
        <v/>
      </c>
      <c r="N1715" s="14" t="n"/>
      <c r="O1715" s="13" t="n"/>
    </row>
    <row r="1716">
      <c r="A1716" s="11">
        <f>IF($B1716="","",COUNTA($B$9:$B1716))</f>
        <v/>
      </c>
      <c r="B1716" s="12" t="n"/>
      <c r="C1716" s="12" t="n"/>
      <c r="D1716" s="12" t="n"/>
      <c r="E1716" s="13" t="n"/>
      <c r="F1716" s="11">
        <f>IF($E1716="","",IFERROR(VLOOKUP($E1716,OpTbl,2,0),""))</f>
        <v/>
      </c>
      <c r="G1716" s="12" t="n"/>
      <c r="H1716" s="11">
        <f>IF($G1716="","",IFERROR(IF(VLOOKUP($G1716,AcctTbl,4,0)="","(بدون نام)",VLOOKUP($G1716,AcctTbl,4,0)),"کد ناشناخته"))</f>
        <v/>
      </c>
      <c r="I1716" s="13" t="n"/>
      <c r="J1716" s="13" t="n"/>
      <c r="K1716" s="14" t="n"/>
      <c r="L1716" s="14" t="n"/>
      <c r="M1716" s="15">
        <f>IF(OR($B1716="",$K1716=""),"",($K1716-IF($L1716="",0,$L1716)*IFERROR(VLOOKUP("P01",ParamTbl,3,0),1.5))*(1-IF(IFERROR(VLOOKUP($E1716,OpTbl,3,0),"")="خرید",IFERROR(VLOOKUP("P02",ParamTbl,3,0),1),0)/100))</f>
        <v/>
      </c>
      <c r="N1716" s="14" t="n"/>
      <c r="O1716" s="13" t="n"/>
    </row>
    <row r="1717">
      <c r="A1717" s="11">
        <f>IF($B1717="","",COUNTA($B$9:$B1717))</f>
        <v/>
      </c>
      <c r="B1717" s="12" t="n"/>
      <c r="C1717" s="12" t="n"/>
      <c r="D1717" s="12" t="n"/>
      <c r="E1717" s="13" t="n"/>
      <c r="F1717" s="11">
        <f>IF($E1717="","",IFERROR(VLOOKUP($E1717,OpTbl,2,0),""))</f>
        <v/>
      </c>
      <c r="G1717" s="12" t="n"/>
      <c r="H1717" s="11">
        <f>IF($G1717="","",IFERROR(IF(VLOOKUP($G1717,AcctTbl,4,0)="","(بدون نام)",VLOOKUP($G1717,AcctTbl,4,0)),"کد ناشناخته"))</f>
        <v/>
      </c>
      <c r="I1717" s="13" t="n"/>
      <c r="J1717" s="13" t="n"/>
      <c r="K1717" s="14" t="n"/>
      <c r="L1717" s="14" t="n"/>
      <c r="M1717" s="15">
        <f>IF(OR($B1717="",$K1717=""),"",($K1717-IF($L1717="",0,$L1717)*IFERROR(VLOOKUP("P01",ParamTbl,3,0),1.5))*(1-IF(IFERROR(VLOOKUP($E1717,OpTbl,3,0),"")="خرید",IFERROR(VLOOKUP("P02",ParamTbl,3,0),1),0)/100))</f>
        <v/>
      </c>
      <c r="N1717" s="14" t="n"/>
      <c r="O1717" s="13" t="n"/>
    </row>
    <row r="1718">
      <c r="A1718" s="11">
        <f>IF($B1718="","",COUNTA($B$9:$B1718))</f>
        <v/>
      </c>
      <c r="B1718" s="12" t="n"/>
      <c r="C1718" s="12" t="n"/>
      <c r="D1718" s="12" t="n"/>
      <c r="E1718" s="13" t="n"/>
      <c r="F1718" s="11">
        <f>IF($E1718="","",IFERROR(VLOOKUP($E1718,OpTbl,2,0),""))</f>
        <v/>
      </c>
      <c r="G1718" s="12" t="n"/>
      <c r="H1718" s="11">
        <f>IF($G1718="","",IFERROR(IF(VLOOKUP($G1718,AcctTbl,4,0)="","(بدون نام)",VLOOKUP($G1718,AcctTbl,4,0)),"کد ناشناخته"))</f>
        <v/>
      </c>
      <c r="I1718" s="13" t="n"/>
      <c r="J1718" s="13" t="n"/>
      <c r="K1718" s="14" t="n"/>
      <c r="L1718" s="14" t="n"/>
      <c r="M1718" s="15">
        <f>IF(OR($B1718="",$K1718=""),"",($K1718-IF($L1718="",0,$L1718)*IFERROR(VLOOKUP("P01",ParamTbl,3,0),1.5))*(1-IF(IFERROR(VLOOKUP($E1718,OpTbl,3,0),"")="خرید",IFERROR(VLOOKUP("P02",ParamTbl,3,0),1),0)/100))</f>
        <v/>
      </c>
      <c r="N1718" s="14" t="n"/>
      <c r="O1718" s="13" t="n"/>
    </row>
    <row r="1719">
      <c r="A1719" s="11">
        <f>IF($B1719="","",COUNTA($B$9:$B1719))</f>
        <v/>
      </c>
      <c r="B1719" s="12" t="n"/>
      <c r="C1719" s="12" t="n"/>
      <c r="D1719" s="12" t="n"/>
      <c r="E1719" s="13" t="n"/>
      <c r="F1719" s="11">
        <f>IF($E1719="","",IFERROR(VLOOKUP($E1719,OpTbl,2,0),""))</f>
        <v/>
      </c>
      <c r="G1719" s="12" t="n"/>
      <c r="H1719" s="11">
        <f>IF($G1719="","",IFERROR(IF(VLOOKUP($G1719,AcctTbl,4,0)="","(بدون نام)",VLOOKUP($G1719,AcctTbl,4,0)),"کد ناشناخته"))</f>
        <v/>
      </c>
      <c r="I1719" s="13" t="n"/>
      <c r="J1719" s="13" t="n"/>
      <c r="K1719" s="14" t="n"/>
      <c r="L1719" s="14" t="n"/>
      <c r="M1719" s="15">
        <f>IF(OR($B1719="",$K1719=""),"",($K1719-IF($L1719="",0,$L1719)*IFERROR(VLOOKUP("P01",ParamTbl,3,0),1.5))*(1-IF(IFERROR(VLOOKUP($E1719,OpTbl,3,0),"")="خرید",IFERROR(VLOOKUP("P02",ParamTbl,3,0),1),0)/100))</f>
        <v/>
      </c>
      <c r="N1719" s="14" t="n"/>
      <c r="O1719" s="13" t="n"/>
    </row>
    <row r="1720">
      <c r="A1720" s="11">
        <f>IF($B1720="","",COUNTA($B$9:$B1720))</f>
        <v/>
      </c>
      <c r="B1720" s="12" t="n"/>
      <c r="C1720" s="12" t="n"/>
      <c r="D1720" s="12" t="n"/>
      <c r="E1720" s="13" t="n"/>
      <c r="F1720" s="11">
        <f>IF($E1720="","",IFERROR(VLOOKUP($E1720,OpTbl,2,0),""))</f>
        <v/>
      </c>
      <c r="G1720" s="12" t="n"/>
      <c r="H1720" s="11">
        <f>IF($G1720="","",IFERROR(IF(VLOOKUP($G1720,AcctTbl,4,0)="","(بدون نام)",VLOOKUP($G1720,AcctTbl,4,0)),"کد ناشناخته"))</f>
        <v/>
      </c>
      <c r="I1720" s="13" t="n"/>
      <c r="J1720" s="13" t="n"/>
      <c r="K1720" s="14" t="n"/>
      <c r="L1720" s="14" t="n"/>
      <c r="M1720" s="15">
        <f>IF(OR($B1720="",$K1720=""),"",($K1720-IF($L1720="",0,$L1720)*IFERROR(VLOOKUP("P01",ParamTbl,3,0),1.5))*(1-IF(IFERROR(VLOOKUP($E1720,OpTbl,3,0),"")="خرید",IFERROR(VLOOKUP("P02",ParamTbl,3,0),1),0)/100))</f>
        <v/>
      </c>
      <c r="N1720" s="14" t="n"/>
      <c r="O1720" s="13" t="n"/>
    </row>
    <row r="1721">
      <c r="A1721" s="11">
        <f>IF($B1721="","",COUNTA($B$9:$B1721))</f>
        <v/>
      </c>
      <c r="B1721" s="12" t="n"/>
      <c r="C1721" s="12" t="n"/>
      <c r="D1721" s="12" t="n"/>
      <c r="E1721" s="13" t="n"/>
      <c r="F1721" s="11">
        <f>IF($E1721="","",IFERROR(VLOOKUP($E1721,OpTbl,2,0),""))</f>
        <v/>
      </c>
      <c r="G1721" s="12" t="n"/>
      <c r="H1721" s="11">
        <f>IF($G1721="","",IFERROR(IF(VLOOKUP($G1721,AcctTbl,4,0)="","(بدون نام)",VLOOKUP($G1721,AcctTbl,4,0)),"کد ناشناخته"))</f>
        <v/>
      </c>
      <c r="I1721" s="13" t="n"/>
      <c r="J1721" s="13" t="n"/>
      <c r="K1721" s="14" t="n"/>
      <c r="L1721" s="14" t="n"/>
      <c r="M1721" s="15">
        <f>IF(OR($B1721="",$K1721=""),"",($K1721-IF($L1721="",0,$L1721)*IFERROR(VLOOKUP("P01",ParamTbl,3,0),1.5))*(1-IF(IFERROR(VLOOKUP($E1721,OpTbl,3,0),"")="خرید",IFERROR(VLOOKUP("P02",ParamTbl,3,0),1),0)/100))</f>
        <v/>
      </c>
      <c r="N1721" s="14" t="n"/>
      <c r="O1721" s="13" t="n"/>
    </row>
    <row r="1722">
      <c r="A1722" s="11">
        <f>IF($B1722="","",COUNTA($B$9:$B1722))</f>
        <v/>
      </c>
      <c r="B1722" s="12" t="n"/>
      <c r="C1722" s="12" t="n"/>
      <c r="D1722" s="12" t="n"/>
      <c r="E1722" s="13" t="n"/>
      <c r="F1722" s="11">
        <f>IF($E1722="","",IFERROR(VLOOKUP($E1722,OpTbl,2,0),""))</f>
        <v/>
      </c>
      <c r="G1722" s="12" t="n"/>
      <c r="H1722" s="11">
        <f>IF($G1722="","",IFERROR(IF(VLOOKUP($G1722,AcctTbl,4,0)="","(بدون نام)",VLOOKUP($G1722,AcctTbl,4,0)),"کد ناشناخته"))</f>
        <v/>
      </c>
      <c r="I1722" s="13" t="n"/>
      <c r="J1722" s="13" t="n"/>
      <c r="K1722" s="14" t="n"/>
      <c r="L1722" s="14" t="n"/>
      <c r="M1722" s="15">
        <f>IF(OR($B1722="",$K1722=""),"",($K1722-IF($L1722="",0,$L1722)*IFERROR(VLOOKUP("P01",ParamTbl,3,0),1.5))*(1-IF(IFERROR(VLOOKUP($E1722,OpTbl,3,0),"")="خرید",IFERROR(VLOOKUP("P02",ParamTbl,3,0),1),0)/100))</f>
        <v/>
      </c>
      <c r="N1722" s="14" t="n"/>
      <c r="O1722" s="13" t="n"/>
    </row>
    <row r="1723">
      <c r="A1723" s="11">
        <f>IF($B1723="","",COUNTA($B$9:$B1723))</f>
        <v/>
      </c>
      <c r="B1723" s="12" t="n"/>
      <c r="C1723" s="12" t="n"/>
      <c r="D1723" s="12" t="n"/>
      <c r="E1723" s="13" t="n"/>
      <c r="F1723" s="11">
        <f>IF($E1723="","",IFERROR(VLOOKUP($E1723,OpTbl,2,0),""))</f>
        <v/>
      </c>
      <c r="G1723" s="12" t="n"/>
      <c r="H1723" s="11">
        <f>IF($G1723="","",IFERROR(IF(VLOOKUP($G1723,AcctTbl,4,0)="","(بدون نام)",VLOOKUP($G1723,AcctTbl,4,0)),"کد ناشناخته"))</f>
        <v/>
      </c>
      <c r="I1723" s="13" t="n"/>
      <c r="J1723" s="13" t="n"/>
      <c r="K1723" s="14" t="n"/>
      <c r="L1723" s="14" t="n"/>
      <c r="M1723" s="15">
        <f>IF(OR($B1723="",$K1723=""),"",($K1723-IF($L1723="",0,$L1723)*IFERROR(VLOOKUP("P01",ParamTbl,3,0),1.5))*(1-IF(IFERROR(VLOOKUP($E1723,OpTbl,3,0),"")="خرید",IFERROR(VLOOKUP("P02",ParamTbl,3,0),1),0)/100))</f>
        <v/>
      </c>
      <c r="N1723" s="14" t="n"/>
      <c r="O1723" s="13" t="n"/>
    </row>
    <row r="1724">
      <c r="A1724" s="11">
        <f>IF($B1724="","",COUNTA($B$9:$B1724))</f>
        <v/>
      </c>
      <c r="B1724" s="12" t="n"/>
      <c r="C1724" s="12" t="n"/>
      <c r="D1724" s="12" t="n"/>
      <c r="E1724" s="13" t="n"/>
      <c r="F1724" s="11">
        <f>IF($E1724="","",IFERROR(VLOOKUP($E1724,OpTbl,2,0),""))</f>
        <v/>
      </c>
      <c r="G1724" s="12" t="n"/>
      <c r="H1724" s="11">
        <f>IF($G1724="","",IFERROR(IF(VLOOKUP($G1724,AcctTbl,4,0)="","(بدون نام)",VLOOKUP($G1724,AcctTbl,4,0)),"کد ناشناخته"))</f>
        <v/>
      </c>
      <c r="I1724" s="13" t="n"/>
      <c r="J1724" s="13" t="n"/>
      <c r="K1724" s="14" t="n"/>
      <c r="L1724" s="14" t="n"/>
      <c r="M1724" s="15">
        <f>IF(OR($B1724="",$K1724=""),"",($K1724-IF($L1724="",0,$L1724)*IFERROR(VLOOKUP("P01",ParamTbl,3,0),1.5))*(1-IF(IFERROR(VLOOKUP($E1724,OpTbl,3,0),"")="خرید",IFERROR(VLOOKUP("P02",ParamTbl,3,0),1),0)/100))</f>
        <v/>
      </c>
      <c r="N1724" s="14" t="n"/>
      <c r="O1724" s="13" t="n"/>
    </row>
    <row r="1725">
      <c r="A1725" s="11">
        <f>IF($B1725="","",COUNTA($B$9:$B1725))</f>
        <v/>
      </c>
      <c r="B1725" s="12" t="n"/>
      <c r="C1725" s="12" t="n"/>
      <c r="D1725" s="12" t="n"/>
      <c r="E1725" s="13" t="n"/>
      <c r="F1725" s="11">
        <f>IF($E1725="","",IFERROR(VLOOKUP($E1725,OpTbl,2,0),""))</f>
        <v/>
      </c>
      <c r="G1725" s="12" t="n"/>
      <c r="H1725" s="11">
        <f>IF($G1725="","",IFERROR(IF(VLOOKUP($G1725,AcctTbl,4,0)="","(بدون نام)",VLOOKUP($G1725,AcctTbl,4,0)),"کد ناشناخته"))</f>
        <v/>
      </c>
      <c r="I1725" s="13" t="n"/>
      <c r="J1725" s="13" t="n"/>
      <c r="K1725" s="14" t="n"/>
      <c r="L1725" s="14" t="n"/>
      <c r="M1725" s="15">
        <f>IF(OR($B1725="",$K1725=""),"",($K1725-IF($L1725="",0,$L1725)*IFERROR(VLOOKUP("P01",ParamTbl,3,0),1.5))*(1-IF(IFERROR(VLOOKUP($E1725,OpTbl,3,0),"")="خرید",IFERROR(VLOOKUP("P02",ParamTbl,3,0),1),0)/100))</f>
        <v/>
      </c>
      <c r="N1725" s="14" t="n"/>
      <c r="O1725" s="13" t="n"/>
    </row>
    <row r="1726">
      <c r="A1726" s="11">
        <f>IF($B1726="","",COUNTA($B$9:$B1726))</f>
        <v/>
      </c>
      <c r="B1726" s="12" t="n"/>
      <c r="C1726" s="12" t="n"/>
      <c r="D1726" s="12" t="n"/>
      <c r="E1726" s="13" t="n"/>
      <c r="F1726" s="11">
        <f>IF($E1726="","",IFERROR(VLOOKUP($E1726,OpTbl,2,0),""))</f>
        <v/>
      </c>
      <c r="G1726" s="12" t="n"/>
      <c r="H1726" s="11">
        <f>IF($G1726="","",IFERROR(IF(VLOOKUP($G1726,AcctTbl,4,0)="","(بدون نام)",VLOOKUP($G1726,AcctTbl,4,0)),"کد ناشناخته"))</f>
        <v/>
      </c>
      <c r="I1726" s="13" t="n"/>
      <c r="J1726" s="13" t="n"/>
      <c r="K1726" s="14" t="n"/>
      <c r="L1726" s="14" t="n"/>
      <c r="M1726" s="15">
        <f>IF(OR($B1726="",$K1726=""),"",($K1726-IF($L1726="",0,$L1726)*IFERROR(VLOOKUP("P01",ParamTbl,3,0),1.5))*(1-IF(IFERROR(VLOOKUP($E1726,OpTbl,3,0),"")="خرید",IFERROR(VLOOKUP("P02",ParamTbl,3,0),1),0)/100))</f>
        <v/>
      </c>
      <c r="N1726" s="14" t="n"/>
      <c r="O1726" s="13" t="n"/>
    </row>
    <row r="1727">
      <c r="A1727" s="11">
        <f>IF($B1727="","",COUNTA($B$9:$B1727))</f>
        <v/>
      </c>
      <c r="B1727" s="12" t="n"/>
      <c r="C1727" s="12" t="n"/>
      <c r="D1727" s="12" t="n"/>
      <c r="E1727" s="13" t="n"/>
      <c r="F1727" s="11">
        <f>IF($E1727="","",IFERROR(VLOOKUP($E1727,OpTbl,2,0),""))</f>
        <v/>
      </c>
      <c r="G1727" s="12" t="n"/>
      <c r="H1727" s="11">
        <f>IF($G1727="","",IFERROR(IF(VLOOKUP($G1727,AcctTbl,4,0)="","(بدون نام)",VLOOKUP($G1727,AcctTbl,4,0)),"کد ناشناخته"))</f>
        <v/>
      </c>
      <c r="I1727" s="13" t="n"/>
      <c r="J1727" s="13" t="n"/>
      <c r="K1727" s="14" t="n"/>
      <c r="L1727" s="14" t="n"/>
      <c r="M1727" s="15">
        <f>IF(OR($B1727="",$K1727=""),"",($K1727-IF($L1727="",0,$L1727)*IFERROR(VLOOKUP("P01",ParamTbl,3,0),1.5))*(1-IF(IFERROR(VLOOKUP($E1727,OpTbl,3,0),"")="خرید",IFERROR(VLOOKUP("P02",ParamTbl,3,0),1),0)/100))</f>
        <v/>
      </c>
      <c r="N1727" s="14" t="n"/>
      <c r="O1727" s="13" t="n"/>
    </row>
    <row r="1728">
      <c r="A1728" s="11">
        <f>IF($B1728="","",COUNTA($B$9:$B1728))</f>
        <v/>
      </c>
      <c r="B1728" s="12" t="n"/>
      <c r="C1728" s="12" t="n"/>
      <c r="D1728" s="12" t="n"/>
      <c r="E1728" s="13" t="n"/>
      <c r="F1728" s="11">
        <f>IF($E1728="","",IFERROR(VLOOKUP($E1728,OpTbl,2,0),""))</f>
        <v/>
      </c>
      <c r="G1728" s="12" t="n"/>
      <c r="H1728" s="11">
        <f>IF($G1728="","",IFERROR(IF(VLOOKUP($G1728,AcctTbl,4,0)="","(بدون نام)",VLOOKUP($G1728,AcctTbl,4,0)),"کد ناشناخته"))</f>
        <v/>
      </c>
      <c r="I1728" s="13" t="n"/>
      <c r="J1728" s="13" t="n"/>
      <c r="K1728" s="14" t="n"/>
      <c r="L1728" s="14" t="n"/>
      <c r="M1728" s="15">
        <f>IF(OR($B1728="",$K1728=""),"",($K1728-IF($L1728="",0,$L1728)*IFERROR(VLOOKUP("P01",ParamTbl,3,0),1.5))*(1-IF(IFERROR(VLOOKUP($E1728,OpTbl,3,0),"")="خرید",IFERROR(VLOOKUP("P02",ParamTbl,3,0),1),0)/100))</f>
        <v/>
      </c>
      <c r="N1728" s="14" t="n"/>
      <c r="O1728" s="13" t="n"/>
    </row>
    <row r="1729">
      <c r="A1729" s="11">
        <f>IF($B1729="","",COUNTA($B$9:$B1729))</f>
        <v/>
      </c>
      <c r="B1729" s="12" t="n"/>
      <c r="C1729" s="12" t="n"/>
      <c r="D1729" s="12" t="n"/>
      <c r="E1729" s="13" t="n"/>
      <c r="F1729" s="11">
        <f>IF($E1729="","",IFERROR(VLOOKUP($E1729,OpTbl,2,0),""))</f>
        <v/>
      </c>
      <c r="G1729" s="12" t="n"/>
      <c r="H1729" s="11">
        <f>IF($G1729="","",IFERROR(IF(VLOOKUP($G1729,AcctTbl,4,0)="","(بدون نام)",VLOOKUP($G1729,AcctTbl,4,0)),"کد ناشناخته"))</f>
        <v/>
      </c>
      <c r="I1729" s="13" t="n"/>
      <c r="J1729" s="13" t="n"/>
      <c r="K1729" s="14" t="n"/>
      <c r="L1729" s="14" t="n"/>
      <c r="M1729" s="15">
        <f>IF(OR($B1729="",$K1729=""),"",($K1729-IF($L1729="",0,$L1729)*IFERROR(VLOOKUP("P01",ParamTbl,3,0),1.5))*(1-IF(IFERROR(VLOOKUP($E1729,OpTbl,3,0),"")="خرید",IFERROR(VLOOKUP("P02",ParamTbl,3,0),1),0)/100))</f>
        <v/>
      </c>
      <c r="N1729" s="14" t="n"/>
      <c r="O1729" s="13" t="n"/>
    </row>
    <row r="1730">
      <c r="A1730" s="11">
        <f>IF($B1730="","",COUNTA($B$9:$B1730))</f>
        <v/>
      </c>
      <c r="B1730" s="12" t="n"/>
      <c r="C1730" s="12" t="n"/>
      <c r="D1730" s="12" t="n"/>
      <c r="E1730" s="13" t="n"/>
      <c r="F1730" s="11">
        <f>IF($E1730="","",IFERROR(VLOOKUP($E1730,OpTbl,2,0),""))</f>
        <v/>
      </c>
      <c r="G1730" s="12" t="n"/>
      <c r="H1730" s="11">
        <f>IF($G1730="","",IFERROR(IF(VLOOKUP($G1730,AcctTbl,4,0)="","(بدون نام)",VLOOKUP($G1730,AcctTbl,4,0)),"کد ناشناخته"))</f>
        <v/>
      </c>
      <c r="I1730" s="13" t="n"/>
      <c r="J1730" s="13" t="n"/>
      <c r="K1730" s="14" t="n"/>
      <c r="L1730" s="14" t="n"/>
      <c r="M1730" s="15">
        <f>IF(OR($B1730="",$K1730=""),"",($K1730-IF($L1730="",0,$L1730)*IFERROR(VLOOKUP("P01",ParamTbl,3,0),1.5))*(1-IF(IFERROR(VLOOKUP($E1730,OpTbl,3,0),"")="خرید",IFERROR(VLOOKUP("P02",ParamTbl,3,0),1),0)/100))</f>
        <v/>
      </c>
      <c r="N1730" s="14" t="n"/>
      <c r="O1730" s="13" t="n"/>
    </row>
    <row r="1731">
      <c r="A1731" s="11">
        <f>IF($B1731="","",COUNTA($B$9:$B1731))</f>
        <v/>
      </c>
      <c r="B1731" s="12" t="n"/>
      <c r="C1731" s="12" t="n"/>
      <c r="D1731" s="12" t="n"/>
      <c r="E1731" s="13" t="n"/>
      <c r="F1731" s="11">
        <f>IF($E1731="","",IFERROR(VLOOKUP($E1731,OpTbl,2,0),""))</f>
        <v/>
      </c>
      <c r="G1731" s="12" t="n"/>
      <c r="H1731" s="11">
        <f>IF($G1731="","",IFERROR(IF(VLOOKUP($G1731,AcctTbl,4,0)="","(بدون نام)",VLOOKUP($G1731,AcctTbl,4,0)),"کد ناشناخته"))</f>
        <v/>
      </c>
      <c r="I1731" s="13" t="n"/>
      <c r="J1731" s="13" t="n"/>
      <c r="K1731" s="14" t="n"/>
      <c r="L1731" s="14" t="n"/>
      <c r="M1731" s="15">
        <f>IF(OR($B1731="",$K1731=""),"",($K1731-IF($L1731="",0,$L1731)*IFERROR(VLOOKUP("P01",ParamTbl,3,0),1.5))*(1-IF(IFERROR(VLOOKUP($E1731,OpTbl,3,0),"")="خرید",IFERROR(VLOOKUP("P02",ParamTbl,3,0),1),0)/100))</f>
        <v/>
      </c>
      <c r="N1731" s="14" t="n"/>
      <c r="O1731" s="13" t="n"/>
    </row>
    <row r="1732">
      <c r="A1732" s="11">
        <f>IF($B1732="","",COUNTA($B$9:$B1732))</f>
        <v/>
      </c>
      <c r="B1732" s="12" t="n"/>
      <c r="C1732" s="12" t="n"/>
      <c r="D1732" s="12" t="n"/>
      <c r="E1732" s="13" t="n"/>
      <c r="F1732" s="11">
        <f>IF($E1732="","",IFERROR(VLOOKUP($E1732,OpTbl,2,0),""))</f>
        <v/>
      </c>
      <c r="G1732" s="12" t="n"/>
      <c r="H1732" s="11">
        <f>IF($G1732="","",IFERROR(IF(VLOOKUP($G1732,AcctTbl,4,0)="","(بدون نام)",VLOOKUP($G1732,AcctTbl,4,0)),"کد ناشناخته"))</f>
        <v/>
      </c>
      <c r="I1732" s="13" t="n"/>
      <c r="J1732" s="13" t="n"/>
      <c r="K1732" s="14" t="n"/>
      <c r="L1732" s="14" t="n"/>
      <c r="M1732" s="15">
        <f>IF(OR($B1732="",$K1732=""),"",($K1732-IF($L1732="",0,$L1732)*IFERROR(VLOOKUP("P01",ParamTbl,3,0),1.5))*(1-IF(IFERROR(VLOOKUP($E1732,OpTbl,3,0),"")="خرید",IFERROR(VLOOKUP("P02",ParamTbl,3,0),1),0)/100))</f>
        <v/>
      </c>
      <c r="N1732" s="14" t="n"/>
      <c r="O1732" s="13" t="n"/>
    </row>
    <row r="1733">
      <c r="A1733" s="11">
        <f>IF($B1733="","",COUNTA($B$9:$B1733))</f>
        <v/>
      </c>
      <c r="B1733" s="12" t="n"/>
      <c r="C1733" s="12" t="n"/>
      <c r="D1733" s="12" t="n"/>
      <c r="E1733" s="13" t="n"/>
      <c r="F1733" s="11">
        <f>IF($E1733="","",IFERROR(VLOOKUP($E1733,OpTbl,2,0),""))</f>
        <v/>
      </c>
      <c r="G1733" s="12" t="n"/>
      <c r="H1733" s="11">
        <f>IF($G1733="","",IFERROR(IF(VLOOKUP($G1733,AcctTbl,4,0)="","(بدون نام)",VLOOKUP($G1733,AcctTbl,4,0)),"کد ناشناخته"))</f>
        <v/>
      </c>
      <c r="I1733" s="13" t="n"/>
      <c r="J1733" s="13" t="n"/>
      <c r="K1733" s="14" t="n"/>
      <c r="L1733" s="14" t="n"/>
      <c r="M1733" s="15">
        <f>IF(OR($B1733="",$K1733=""),"",($K1733-IF($L1733="",0,$L1733)*IFERROR(VLOOKUP("P01",ParamTbl,3,0),1.5))*(1-IF(IFERROR(VLOOKUP($E1733,OpTbl,3,0),"")="خرید",IFERROR(VLOOKUP("P02",ParamTbl,3,0),1),0)/100))</f>
        <v/>
      </c>
      <c r="N1733" s="14" t="n"/>
      <c r="O1733" s="13" t="n"/>
    </row>
    <row r="1734">
      <c r="A1734" s="11">
        <f>IF($B1734="","",COUNTA($B$9:$B1734))</f>
        <v/>
      </c>
      <c r="B1734" s="12" t="n"/>
      <c r="C1734" s="12" t="n"/>
      <c r="D1734" s="12" t="n"/>
      <c r="E1734" s="13" t="n"/>
      <c r="F1734" s="11">
        <f>IF($E1734="","",IFERROR(VLOOKUP($E1734,OpTbl,2,0),""))</f>
        <v/>
      </c>
      <c r="G1734" s="12" t="n"/>
      <c r="H1734" s="11">
        <f>IF($G1734="","",IFERROR(IF(VLOOKUP($G1734,AcctTbl,4,0)="","(بدون نام)",VLOOKUP($G1734,AcctTbl,4,0)),"کد ناشناخته"))</f>
        <v/>
      </c>
      <c r="I1734" s="13" t="n"/>
      <c r="J1734" s="13" t="n"/>
      <c r="K1734" s="14" t="n"/>
      <c r="L1734" s="14" t="n"/>
      <c r="M1734" s="15">
        <f>IF(OR($B1734="",$K1734=""),"",($K1734-IF($L1734="",0,$L1734)*IFERROR(VLOOKUP("P01",ParamTbl,3,0),1.5))*(1-IF(IFERROR(VLOOKUP($E1734,OpTbl,3,0),"")="خرید",IFERROR(VLOOKUP("P02",ParamTbl,3,0),1),0)/100))</f>
        <v/>
      </c>
      <c r="N1734" s="14" t="n"/>
      <c r="O1734" s="13" t="n"/>
    </row>
    <row r="1735">
      <c r="A1735" s="11">
        <f>IF($B1735="","",COUNTA($B$9:$B1735))</f>
        <v/>
      </c>
      <c r="B1735" s="12" t="n"/>
      <c r="C1735" s="12" t="n"/>
      <c r="D1735" s="12" t="n"/>
      <c r="E1735" s="13" t="n"/>
      <c r="F1735" s="11">
        <f>IF($E1735="","",IFERROR(VLOOKUP($E1735,OpTbl,2,0),""))</f>
        <v/>
      </c>
      <c r="G1735" s="12" t="n"/>
      <c r="H1735" s="11">
        <f>IF($G1735="","",IFERROR(IF(VLOOKUP($G1735,AcctTbl,4,0)="","(بدون نام)",VLOOKUP($G1735,AcctTbl,4,0)),"کد ناشناخته"))</f>
        <v/>
      </c>
      <c r="I1735" s="13" t="n"/>
      <c r="J1735" s="13" t="n"/>
      <c r="K1735" s="14" t="n"/>
      <c r="L1735" s="14" t="n"/>
      <c r="M1735" s="15">
        <f>IF(OR($B1735="",$K1735=""),"",($K1735-IF($L1735="",0,$L1735)*IFERROR(VLOOKUP("P01",ParamTbl,3,0),1.5))*(1-IF(IFERROR(VLOOKUP($E1735,OpTbl,3,0),"")="خرید",IFERROR(VLOOKUP("P02",ParamTbl,3,0),1),0)/100))</f>
        <v/>
      </c>
      <c r="N1735" s="14" t="n"/>
      <c r="O1735" s="13" t="n"/>
    </row>
    <row r="1736">
      <c r="A1736" s="11">
        <f>IF($B1736="","",COUNTA($B$9:$B1736))</f>
        <v/>
      </c>
      <c r="B1736" s="12" t="n"/>
      <c r="C1736" s="12" t="n"/>
      <c r="D1736" s="12" t="n"/>
      <c r="E1736" s="13" t="n"/>
      <c r="F1736" s="11">
        <f>IF($E1736="","",IFERROR(VLOOKUP($E1736,OpTbl,2,0),""))</f>
        <v/>
      </c>
      <c r="G1736" s="12" t="n"/>
      <c r="H1736" s="11">
        <f>IF($G1736="","",IFERROR(IF(VLOOKUP($G1736,AcctTbl,4,0)="","(بدون نام)",VLOOKUP($G1736,AcctTbl,4,0)),"کد ناشناخته"))</f>
        <v/>
      </c>
      <c r="I1736" s="13" t="n"/>
      <c r="J1736" s="13" t="n"/>
      <c r="K1736" s="14" t="n"/>
      <c r="L1736" s="14" t="n"/>
      <c r="M1736" s="15">
        <f>IF(OR($B1736="",$K1736=""),"",($K1736-IF($L1736="",0,$L1736)*IFERROR(VLOOKUP("P01",ParamTbl,3,0),1.5))*(1-IF(IFERROR(VLOOKUP($E1736,OpTbl,3,0),"")="خرید",IFERROR(VLOOKUP("P02",ParamTbl,3,0),1),0)/100))</f>
        <v/>
      </c>
      <c r="N1736" s="14" t="n"/>
      <c r="O1736" s="13" t="n"/>
    </row>
    <row r="1737">
      <c r="A1737" s="11">
        <f>IF($B1737="","",COUNTA($B$9:$B1737))</f>
        <v/>
      </c>
      <c r="B1737" s="12" t="n"/>
      <c r="C1737" s="12" t="n"/>
      <c r="D1737" s="12" t="n"/>
      <c r="E1737" s="13" t="n"/>
      <c r="F1737" s="11">
        <f>IF($E1737="","",IFERROR(VLOOKUP($E1737,OpTbl,2,0),""))</f>
        <v/>
      </c>
      <c r="G1737" s="12" t="n"/>
      <c r="H1737" s="11">
        <f>IF($G1737="","",IFERROR(IF(VLOOKUP($G1737,AcctTbl,4,0)="","(بدون نام)",VLOOKUP($G1737,AcctTbl,4,0)),"کد ناشناخته"))</f>
        <v/>
      </c>
      <c r="I1737" s="13" t="n"/>
      <c r="J1737" s="13" t="n"/>
      <c r="K1737" s="14" t="n"/>
      <c r="L1737" s="14" t="n"/>
      <c r="M1737" s="15">
        <f>IF(OR($B1737="",$K1737=""),"",($K1737-IF($L1737="",0,$L1737)*IFERROR(VLOOKUP("P01",ParamTbl,3,0),1.5))*(1-IF(IFERROR(VLOOKUP($E1737,OpTbl,3,0),"")="خرید",IFERROR(VLOOKUP("P02",ParamTbl,3,0),1),0)/100))</f>
        <v/>
      </c>
      <c r="N1737" s="14" t="n"/>
      <c r="O1737" s="13" t="n"/>
    </row>
    <row r="1738">
      <c r="A1738" s="11">
        <f>IF($B1738="","",COUNTA($B$9:$B1738))</f>
        <v/>
      </c>
      <c r="B1738" s="12" t="n"/>
      <c r="C1738" s="12" t="n"/>
      <c r="D1738" s="12" t="n"/>
      <c r="E1738" s="13" t="n"/>
      <c r="F1738" s="11">
        <f>IF($E1738="","",IFERROR(VLOOKUP($E1738,OpTbl,2,0),""))</f>
        <v/>
      </c>
      <c r="G1738" s="12" t="n"/>
      <c r="H1738" s="11">
        <f>IF($G1738="","",IFERROR(IF(VLOOKUP($G1738,AcctTbl,4,0)="","(بدون نام)",VLOOKUP($G1738,AcctTbl,4,0)),"کد ناشناخته"))</f>
        <v/>
      </c>
      <c r="I1738" s="13" t="n"/>
      <c r="J1738" s="13" t="n"/>
      <c r="K1738" s="14" t="n"/>
      <c r="L1738" s="14" t="n"/>
      <c r="M1738" s="15">
        <f>IF(OR($B1738="",$K1738=""),"",($K1738-IF($L1738="",0,$L1738)*IFERROR(VLOOKUP("P01",ParamTbl,3,0),1.5))*(1-IF(IFERROR(VLOOKUP($E1738,OpTbl,3,0),"")="خرید",IFERROR(VLOOKUP("P02",ParamTbl,3,0),1),0)/100))</f>
        <v/>
      </c>
      <c r="N1738" s="14" t="n"/>
      <c r="O1738" s="13" t="n"/>
    </row>
    <row r="1739">
      <c r="A1739" s="11">
        <f>IF($B1739="","",COUNTA($B$9:$B1739))</f>
        <v/>
      </c>
      <c r="B1739" s="12" t="n"/>
      <c r="C1739" s="12" t="n"/>
      <c r="D1739" s="12" t="n"/>
      <c r="E1739" s="13" t="n"/>
      <c r="F1739" s="11">
        <f>IF($E1739="","",IFERROR(VLOOKUP($E1739,OpTbl,2,0),""))</f>
        <v/>
      </c>
      <c r="G1739" s="12" t="n"/>
      <c r="H1739" s="11">
        <f>IF($G1739="","",IFERROR(IF(VLOOKUP($G1739,AcctTbl,4,0)="","(بدون نام)",VLOOKUP($G1739,AcctTbl,4,0)),"کد ناشناخته"))</f>
        <v/>
      </c>
      <c r="I1739" s="13" t="n"/>
      <c r="J1739" s="13" t="n"/>
      <c r="K1739" s="14" t="n"/>
      <c r="L1739" s="14" t="n"/>
      <c r="M1739" s="15">
        <f>IF(OR($B1739="",$K1739=""),"",($K1739-IF($L1739="",0,$L1739)*IFERROR(VLOOKUP("P01",ParamTbl,3,0),1.5))*(1-IF(IFERROR(VLOOKUP($E1739,OpTbl,3,0),"")="خرید",IFERROR(VLOOKUP("P02",ParamTbl,3,0),1),0)/100))</f>
        <v/>
      </c>
      <c r="N1739" s="14" t="n"/>
      <c r="O1739" s="13" t="n"/>
    </row>
    <row r="1740">
      <c r="A1740" s="11">
        <f>IF($B1740="","",COUNTA($B$9:$B1740))</f>
        <v/>
      </c>
      <c r="B1740" s="12" t="n"/>
      <c r="C1740" s="12" t="n"/>
      <c r="D1740" s="12" t="n"/>
      <c r="E1740" s="13" t="n"/>
      <c r="F1740" s="11">
        <f>IF($E1740="","",IFERROR(VLOOKUP($E1740,OpTbl,2,0),""))</f>
        <v/>
      </c>
      <c r="G1740" s="12" t="n"/>
      <c r="H1740" s="11">
        <f>IF($G1740="","",IFERROR(IF(VLOOKUP($G1740,AcctTbl,4,0)="","(بدون نام)",VLOOKUP($G1740,AcctTbl,4,0)),"کد ناشناخته"))</f>
        <v/>
      </c>
      <c r="I1740" s="13" t="n"/>
      <c r="J1740" s="13" t="n"/>
      <c r="K1740" s="14" t="n"/>
      <c r="L1740" s="14" t="n"/>
      <c r="M1740" s="15">
        <f>IF(OR($B1740="",$K1740=""),"",($K1740-IF($L1740="",0,$L1740)*IFERROR(VLOOKUP("P01",ParamTbl,3,0),1.5))*(1-IF(IFERROR(VLOOKUP($E1740,OpTbl,3,0),"")="خرید",IFERROR(VLOOKUP("P02",ParamTbl,3,0),1),0)/100))</f>
        <v/>
      </c>
      <c r="N1740" s="14" t="n"/>
      <c r="O1740" s="13" t="n"/>
    </row>
    <row r="1741">
      <c r="A1741" s="11">
        <f>IF($B1741="","",COUNTA($B$9:$B1741))</f>
        <v/>
      </c>
      <c r="B1741" s="12" t="n"/>
      <c r="C1741" s="12" t="n"/>
      <c r="D1741" s="12" t="n"/>
      <c r="E1741" s="13" t="n"/>
      <c r="F1741" s="11">
        <f>IF($E1741="","",IFERROR(VLOOKUP($E1741,OpTbl,2,0),""))</f>
        <v/>
      </c>
      <c r="G1741" s="12" t="n"/>
      <c r="H1741" s="11">
        <f>IF($G1741="","",IFERROR(IF(VLOOKUP($G1741,AcctTbl,4,0)="","(بدون نام)",VLOOKUP($G1741,AcctTbl,4,0)),"کد ناشناخته"))</f>
        <v/>
      </c>
      <c r="I1741" s="13" t="n"/>
      <c r="J1741" s="13" t="n"/>
      <c r="K1741" s="14" t="n"/>
      <c r="L1741" s="14" t="n"/>
      <c r="M1741" s="15">
        <f>IF(OR($B1741="",$K1741=""),"",($K1741-IF($L1741="",0,$L1741)*IFERROR(VLOOKUP("P01",ParamTbl,3,0),1.5))*(1-IF(IFERROR(VLOOKUP($E1741,OpTbl,3,0),"")="خرید",IFERROR(VLOOKUP("P02",ParamTbl,3,0),1),0)/100))</f>
        <v/>
      </c>
      <c r="N1741" s="14" t="n"/>
      <c r="O1741" s="13" t="n"/>
    </row>
    <row r="1742">
      <c r="A1742" s="11">
        <f>IF($B1742="","",COUNTA($B$9:$B1742))</f>
        <v/>
      </c>
      <c r="B1742" s="12" t="n"/>
      <c r="C1742" s="12" t="n"/>
      <c r="D1742" s="12" t="n"/>
      <c r="E1742" s="13" t="n"/>
      <c r="F1742" s="11">
        <f>IF($E1742="","",IFERROR(VLOOKUP($E1742,OpTbl,2,0),""))</f>
        <v/>
      </c>
      <c r="G1742" s="12" t="n"/>
      <c r="H1742" s="11">
        <f>IF($G1742="","",IFERROR(IF(VLOOKUP($G1742,AcctTbl,4,0)="","(بدون نام)",VLOOKUP($G1742,AcctTbl,4,0)),"کد ناشناخته"))</f>
        <v/>
      </c>
      <c r="I1742" s="13" t="n"/>
      <c r="J1742" s="13" t="n"/>
      <c r="K1742" s="14" t="n"/>
      <c r="L1742" s="14" t="n"/>
      <c r="M1742" s="15">
        <f>IF(OR($B1742="",$K1742=""),"",($K1742-IF($L1742="",0,$L1742)*IFERROR(VLOOKUP("P01",ParamTbl,3,0),1.5))*(1-IF(IFERROR(VLOOKUP($E1742,OpTbl,3,0),"")="خرید",IFERROR(VLOOKUP("P02",ParamTbl,3,0),1),0)/100))</f>
        <v/>
      </c>
      <c r="N1742" s="14" t="n"/>
      <c r="O1742" s="13" t="n"/>
    </row>
    <row r="1743">
      <c r="A1743" s="11">
        <f>IF($B1743="","",COUNTA($B$9:$B1743))</f>
        <v/>
      </c>
      <c r="B1743" s="12" t="n"/>
      <c r="C1743" s="12" t="n"/>
      <c r="D1743" s="12" t="n"/>
      <c r="E1743" s="13" t="n"/>
      <c r="F1743" s="11">
        <f>IF($E1743="","",IFERROR(VLOOKUP($E1743,OpTbl,2,0),""))</f>
        <v/>
      </c>
      <c r="G1743" s="12" t="n"/>
      <c r="H1743" s="11">
        <f>IF($G1743="","",IFERROR(IF(VLOOKUP($G1743,AcctTbl,4,0)="","(بدون نام)",VLOOKUP($G1743,AcctTbl,4,0)),"کد ناشناخته"))</f>
        <v/>
      </c>
      <c r="I1743" s="13" t="n"/>
      <c r="J1743" s="13" t="n"/>
      <c r="K1743" s="14" t="n"/>
      <c r="L1743" s="14" t="n"/>
      <c r="M1743" s="15">
        <f>IF(OR($B1743="",$K1743=""),"",($K1743-IF($L1743="",0,$L1743)*IFERROR(VLOOKUP("P01",ParamTbl,3,0),1.5))*(1-IF(IFERROR(VLOOKUP($E1743,OpTbl,3,0),"")="خرید",IFERROR(VLOOKUP("P02",ParamTbl,3,0),1),0)/100))</f>
        <v/>
      </c>
      <c r="N1743" s="14" t="n"/>
      <c r="O1743" s="13" t="n"/>
    </row>
    <row r="1744">
      <c r="A1744" s="11">
        <f>IF($B1744="","",COUNTA($B$9:$B1744))</f>
        <v/>
      </c>
      <c r="B1744" s="12" t="n"/>
      <c r="C1744" s="12" t="n"/>
      <c r="D1744" s="12" t="n"/>
      <c r="E1744" s="13" t="n"/>
      <c r="F1744" s="11">
        <f>IF($E1744="","",IFERROR(VLOOKUP($E1744,OpTbl,2,0),""))</f>
        <v/>
      </c>
      <c r="G1744" s="12" t="n"/>
      <c r="H1744" s="11">
        <f>IF($G1744="","",IFERROR(IF(VLOOKUP($G1744,AcctTbl,4,0)="","(بدون نام)",VLOOKUP($G1744,AcctTbl,4,0)),"کد ناشناخته"))</f>
        <v/>
      </c>
      <c r="I1744" s="13" t="n"/>
      <c r="J1744" s="13" t="n"/>
      <c r="K1744" s="14" t="n"/>
      <c r="L1744" s="14" t="n"/>
      <c r="M1744" s="15">
        <f>IF(OR($B1744="",$K1744=""),"",($K1744-IF($L1744="",0,$L1744)*IFERROR(VLOOKUP("P01",ParamTbl,3,0),1.5))*(1-IF(IFERROR(VLOOKUP($E1744,OpTbl,3,0),"")="خرید",IFERROR(VLOOKUP("P02",ParamTbl,3,0),1),0)/100))</f>
        <v/>
      </c>
      <c r="N1744" s="14" t="n"/>
      <c r="O1744" s="13" t="n"/>
    </row>
    <row r="1745">
      <c r="A1745" s="11">
        <f>IF($B1745="","",COUNTA($B$9:$B1745))</f>
        <v/>
      </c>
      <c r="B1745" s="12" t="n"/>
      <c r="C1745" s="12" t="n"/>
      <c r="D1745" s="12" t="n"/>
      <c r="E1745" s="13" t="n"/>
      <c r="F1745" s="11">
        <f>IF($E1745="","",IFERROR(VLOOKUP($E1745,OpTbl,2,0),""))</f>
        <v/>
      </c>
      <c r="G1745" s="12" t="n"/>
      <c r="H1745" s="11">
        <f>IF($G1745="","",IFERROR(IF(VLOOKUP($G1745,AcctTbl,4,0)="","(بدون نام)",VLOOKUP($G1745,AcctTbl,4,0)),"کد ناشناخته"))</f>
        <v/>
      </c>
      <c r="I1745" s="13" t="n"/>
      <c r="J1745" s="13" t="n"/>
      <c r="K1745" s="14" t="n"/>
      <c r="L1745" s="14" t="n"/>
      <c r="M1745" s="15">
        <f>IF(OR($B1745="",$K1745=""),"",($K1745-IF($L1745="",0,$L1745)*IFERROR(VLOOKUP("P01",ParamTbl,3,0),1.5))*(1-IF(IFERROR(VLOOKUP($E1745,OpTbl,3,0),"")="خرید",IFERROR(VLOOKUP("P02",ParamTbl,3,0),1),0)/100))</f>
        <v/>
      </c>
      <c r="N1745" s="14" t="n"/>
      <c r="O1745" s="13" t="n"/>
    </row>
    <row r="1746">
      <c r="A1746" s="11">
        <f>IF($B1746="","",COUNTA($B$9:$B1746))</f>
        <v/>
      </c>
      <c r="B1746" s="12" t="n"/>
      <c r="C1746" s="12" t="n"/>
      <c r="D1746" s="12" t="n"/>
      <c r="E1746" s="13" t="n"/>
      <c r="F1746" s="11">
        <f>IF($E1746="","",IFERROR(VLOOKUP($E1746,OpTbl,2,0),""))</f>
        <v/>
      </c>
      <c r="G1746" s="12" t="n"/>
      <c r="H1746" s="11">
        <f>IF($G1746="","",IFERROR(IF(VLOOKUP($G1746,AcctTbl,4,0)="","(بدون نام)",VLOOKUP($G1746,AcctTbl,4,0)),"کد ناشناخته"))</f>
        <v/>
      </c>
      <c r="I1746" s="13" t="n"/>
      <c r="J1746" s="13" t="n"/>
      <c r="K1746" s="14" t="n"/>
      <c r="L1746" s="14" t="n"/>
      <c r="M1746" s="15">
        <f>IF(OR($B1746="",$K1746=""),"",($K1746-IF($L1746="",0,$L1746)*IFERROR(VLOOKUP("P01",ParamTbl,3,0),1.5))*(1-IF(IFERROR(VLOOKUP($E1746,OpTbl,3,0),"")="خرید",IFERROR(VLOOKUP("P02",ParamTbl,3,0),1),0)/100))</f>
        <v/>
      </c>
      <c r="N1746" s="14" t="n"/>
      <c r="O1746" s="13" t="n"/>
    </row>
    <row r="1747">
      <c r="A1747" s="11">
        <f>IF($B1747="","",COUNTA($B$9:$B1747))</f>
        <v/>
      </c>
      <c r="B1747" s="12" t="n"/>
      <c r="C1747" s="12" t="n"/>
      <c r="D1747" s="12" t="n"/>
      <c r="E1747" s="13" t="n"/>
      <c r="F1747" s="11">
        <f>IF($E1747="","",IFERROR(VLOOKUP($E1747,OpTbl,2,0),""))</f>
        <v/>
      </c>
      <c r="G1747" s="12" t="n"/>
      <c r="H1747" s="11">
        <f>IF($G1747="","",IFERROR(IF(VLOOKUP($G1747,AcctTbl,4,0)="","(بدون نام)",VLOOKUP($G1747,AcctTbl,4,0)),"کد ناشناخته"))</f>
        <v/>
      </c>
      <c r="I1747" s="13" t="n"/>
      <c r="J1747" s="13" t="n"/>
      <c r="K1747" s="14" t="n"/>
      <c r="L1747" s="14" t="n"/>
      <c r="M1747" s="15">
        <f>IF(OR($B1747="",$K1747=""),"",($K1747-IF($L1747="",0,$L1747)*IFERROR(VLOOKUP("P01",ParamTbl,3,0),1.5))*(1-IF(IFERROR(VLOOKUP($E1747,OpTbl,3,0),"")="خرید",IFERROR(VLOOKUP("P02",ParamTbl,3,0),1),0)/100))</f>
        <v/>
      </c>
      <c r="N1747" s="14" t="n"/>
      <c r="O1747" s="13" t="n"/>
    </row>
    <row r="1748">
      <c r="A1748" s="11">
        <f>IF($B1748="","",COUNTA($B$9:$B1748))</f>
        <v/>
      </c>
      <c r="B1748" s="12" t="n"/>
      <c r="C1748" s="12" t="n"/>
      <c r="D1748" s="12" t="n"/>
      <c r="E1748" s="13" t="n"/>
      <c r="F1748" s="11">
        <f>IF($E1748="","",IFERROR(VLOOKUP($E1748,OpTbl,2,0),""))</f>
        <v/>
      </c>
      <c r="G1748" s="12" t="n"/>
      <c r="H1748" s="11">
        <f>IF($G1748="","",IFERROR(IF(VLOOKUP($G1748,AcctTbl,4,0)="","(بدون نام)",VLOOKUP($G1748,AcctTbl,4,0)),"کد ناشناخته"))</f>
        <v/>
      </c>
      <c r="I1748" s="13" t="n"/>
      <c r="J1748" s="13" t="n"/>
      <c r="K1748" s="14" t="n"/>
      <c r="L1748" s="14" t="n"/>
      <c r="M1748" s="15">
        <f>IF(OR($B1748="",$K1748=""),"",($K1748-IF($L1748="",0,$L1748)*IFERROR(VLOOKUP("P01",ParamTbl,3,0),1.5))*(1-IF(IFERROR(VLOOKUP($E1748,OpTbl,3,0),"")="خرید",IFERROR(VLOOKUP("P02",ParamTbl,3,0),1),0)/100))</f>
        <v/>
      </c>
      <c r="N1748" s="14" t="n"/>
      <c r="O1748" s="13" t="n"/>
    </row>
    <row r="1749">
      <c r="A1749" s="11">
        <f>IF($B1749="","",COUNTA($B$9:$B1749))</f>
        <v/>
      </c>
      <c r="B1749" s="12" t="n"/>
      <c r="C1749" s="12" t="n"/>
      <c r="D1749" s="12" t="n"/>
      <c r="E1749" s="13" t="n"/>
      <c r="F1749" s="11">
        <f>IF($E1749="","",IFERROR(VLOOKUP($E1749,OpTbl,2,0),""))</f>
        <v/>
      </c>
      <c r="G1749" s="12" t="n"/>
      <c r="H1749" s="11">
        <f>IF($G1749="","",IFERROR(IF(VLOOKUP($G1749,AcctTbl,4,0)="","(بدون نام)",VLOOKUP($G1749,AcctTbl,4,0)),"کد ناشناخته"))</f>
        <v/>
      </c>
      <c r="I1749" s="13" t="n"/>
      <c r="J1749" s="13" t="n"/>
      <c r="K1749" s="14" t="n"/>
      <c r="L1749" s="14" t="n"/>
      <c r="M1749" s="15">
        <f>IF(OR($B1749="",$K1749=""),"",($K1749-IF($L1749="",0,$L1749)*IFERROR(VLOOKUP("P01",ParamTbl,3,0),1.5))*(1-IF(IFERROR(VLOOKUP($E1749,OpTbl,3,0),"")="خرید",IFERROR(VLOOKUP("P02",ParamTbl,3,0),1),0)/100))</f>
        <v/>
      </c>
      <c r="N1749" s="14" t="n"/>
      <c r="O1749" s="13" t="n"/>
    </row>
    <row r="1750">
      <c r="A1750" s="11">
        <f>IF($B1750="","",COUNTA($B$9:$B1750))</f>
        <v/>
      </c>
      <c r="B1750" s="12" t="n"/>
      <c r="C1750" s="12" t="n"/>
      <c r="D1750" s="12" t="n"/>
      <c r="E1750" s="13" t="n"/>
      <c r="F1750" s="11">
        <f>IF($E1750="","",IFERROR(VLOOKUP($E1750,OpTbl,2,0),""))</f>
        <v/>
      </c>
      <c r="G1750" s="12" t="n"/>
      <c r="H1750" s="11">
        <f>IF($G1750="","",IFERROR(IF(VLOOKUP($G1750,AcctTbl,4,0)="","(بدون نام)",VLOOKUP($G1750,AcctTbl,4,0)),"کد ناشناخته"))</f>
        <v/>
      </c>
      <c r="I1750" s="13" t="n"/>
      <c r="J1750" s="13" t="n"/>
      <c r="K1750" s="14" t="n"/>
      <c r="L1750" s="14" t="n"/>
      <c r="M1750" s="15">
        <f>IF(OR($B1750="",$K1750=""),"",($K1750-IF($L1750="",0,$L1750)*IFERROR(VLOOKUP("P01",ParamTbl,3,0),1.5))*(1-IF(IFERROR(VLOOKUP($E1750,OpTbl,3,0),"")="خرید",IFERROR(VLOOKUP("P02",ParamTbl,3,0),1),0)/100))</f>
        <v/>
      </c>
      <c r="N1750" s="14" t="n"/>
      <c r="O1750" s="13" t="n"/>
    </row>
    <row r="1751">
      <c r="A1751" s="11">
        <f>IF($B1751="","",COUNTA($B$9:$B1751))</f>
        <v/>
      </c>
      <c r="B1751" s="12" t="n"/>
      <c r="C1751" s="12" t="n"/>
      <c r="D1751" s="12" t="n"/>
      <c r="E1751" s="13" t="n"/>
      <c r="F1751" s="11">
        <f>IF($E1751="","",IFERROR(VLOOKUP($E1751,OpTbl,2,0),""))</f>
        <v/>
      </c>
      <c r="G1751" s="12" t="n"/>
      <c r="H1751" s="11">
        <f>IF($G1751="","",IFERROR(IF(VLOOKUP($G1751,AcctTbl,4,0)="","(بدون نام)",VLOOKUP($G1751,AcctTbl,4,0)),"کد ناشناخته"))</f>
        <v/>
      </c>
      <c r="I1751" s="13" t="n"/>
      <c r="J1751" s="13" t="n"/>
      <c r="K1751" s="14" t="n"/>
      <c r="L1751" s="14" t="n"/>
      <c r="M1751" s="15">
        <f>IF(OR($B1751="",$K1751=""),"",($K1751-IF($L1751="",0,$L1751)*IFERROR(VLOOKUP("P01",ParamTbl,3,0),1.5))*(1-IF(IFERROR(VLOOKUP($E1751,OpTbl,3,0),"")="خرید",IFERROR(VLOOKUP("P02",ParamTbl,3,0),1),0)/100))</f>
        <v/>
      </c>
      <c r="N1751" s="14" t="n"/>
      <c r="O1751" s="13" t="n"/>
    </row>
    <row r="1752">
      <c r="A1752" s="11">
        <f>IF($B1752="","",COUNTA($B$9:$B1752))</f>
        <v/>
      </c>
      <c r="B1752" s="12" t="n"/>
      <c r="C1752" s="12" t="n"/>
      <c r="D1752" s="12" t="n"/>
      <c r="E1752" s="13" t="n"/>
      <c r="F1752" s="11">
        <f>IF($E1752="","",IFERROR(VLOOKUP($E1752,OpTbl,2,0),""))</f>
        <v/>
      </c>
      <c r="G1752" s="12" t="n"/>
      <c r="H1752" s="11">
        <f>IF($G1752="","",IFERROR(IF(VLOOKUP($G1752,AcctTbl,4,0)="","(بدون نام)",VLOOKUP($G1752,AcctTbl,4,0)),"کد ناشناخته"))</f>
        <v/>
      </c>
      <c r="I1752" s="13" t="n"/>
      <c r="J1752" s="13" t="n"/>
      <c r="K1752" s="14" t="n"/>
      <c r="L1752" s="14" t="n"/>
      <c r="M1752" s="15">
        <f>IF(OR($B1752="",$K1752=""),"",($K1752-IF($L1752="",0,$L1752)*IFERROR(VLOOKUP("P01",ParamTbl,3,0),1.5))*(1-IF(IFERROR(VLOOKUP($E1752,OpTbl,3,0),"")="خرید",IFERROR(VLOOKUP("P02",ParamTbl,3,0),1),0)/100))</f>
        <v/>
      </c>
      <c r="N1752" s="14" t="n"/>
      <c r="O1752" s="13" t="n"/>
    </row>
    <row r="1753">
      <c r="A1753" s="11">
        <f>IF($B1753="","",COUNTA($B$9:$B1753))</f>
        <v/>
      </c>
      <c r="B1753" s="12" t="n"/>
      <c r="C1753" s="12" t="n"/>
      <c r="D1753" s="12" t="n"/>
      <c r="E1753" s="13" t="n"/>
      <c r="F1753" s="11">
        <f>IF($E1753="","",IFERROR(VLOOKUP($E1753,OpTbl,2,0),""))</f>
        <v/>
      </c>
      <c r="G1753" s="12" t="n"/>
      <c r="H1753" s="11">
        <f>IF($G1753="","",IFERROR(IF(VLOOKUP($G1753,AcctTbl,4,0)="","(بدون نام)",VLOOKUP($G1753,AcctTbl,4,0)),"کد ناشناخته"))</f>
        <v/>
      </c>
      <c r="I1753" s="13" t="n"/>
      <c r="J1753" s="13" t="n"/>
      <c r="K1753" s="14" t="n"/>
      <c r="L1753" s="14" t="n"/>
      <c r="M1753" s="15">
        <f>IF(OR($B1753="",$K1753=""),"",($K1753-IF($L1753="",0,$L1753)*IFERROR(VLOOKUP("P01",ParamTbl,3,0),1.5))*(1-IF(IFERROR(VLOOKUP($E1753,OpTbl,3,0),"")="خرید",IFERROR(VLOOKUP("P02",ParamTbl,3,0),1),0)/100))</f>
        <v/>
      </c>
      <c r="N1753" s="14" t="n"/>
      <c r="O1753" s="13" t="n"/>
    </row>
    <row r="1754">
      <c r="A1754" s="11">
        <f>IF($B1754="","",COUNTA($B$9:$B1754))</f>
        <v/>
      </c>
      <c r="B1754" s="12" t="n"/>
      <c r="C1754" s="12" t="n"/>
      <c r="D1754" s="12" t="n"/>
      <c r="E1754" s="13" t="n"/>
      <c r="F1754" s="11">
        <f>IF($E1754="","",IFERROR(VLOOKUP($E1754,OpTbl,2,0),""))</f>
        <v/>
      </c>
      <c r="G1754" s="12" t="n"/>
      <c r="H1754" s="11">
        <f>IF($G1754="","",IFERROR(IF(VLOOKUP($G1754,AcctTbl,4,0)="","(بدون نام)",VLOOKUP($G1754,AcctTbl,4,0)),"کد ناشناخته"))</f>
        <v/>
      </c>
      <c r="I1754" s="13" t="n"/>
      <c r="J1754" s="13" t="n"/>
      <c r="K1754" s="14" t="n"/>
      <c r="L1754" s="14" t="n"/>
      <c r="M1754" s="15">
        <f>IF(OR($B1754="",$K1754=""),"",($K1754-IF($L1754="",0,$L1754)*IFERROR(VLOOKUP("P01",ParamTbl,3,0),1.5))*(1-IF(IFERROR(VLOOKUP($E1754,OpTbl,3,0),"")="خرید",IFERROR(VLOOKUP("P02",ParamTbl,3,0),1),0)/100))</f>
        <v/>
      </c>
      <c r="N1754" s="14" t="n"/>
      <c r="O1754" s="13" t="n"/>
    </row>
    <row r="1755">
      <c r="A1755" s="11">
        <f>IF($B1755="","",COUNTA($B$9:$B1755))</f>
        <v/>
      </c>
      <c r="B1755" s="12" t="n"/>
      <c r="C1755" s="12" t="n"/>
      <c r="D1755" s="12" t="n"/>
      <c r="E1755" s="13" t="n"/>
      <c r="F1755" s="11">
        <f>IF($E1755="","",IFERROR(VLOOKUP($E1755,OpTbl,2,0),""))</f>
        <v/>
      </c>
      <c r="G1755" s="12" t="n"/>
      <c r="H1755" s="11">
        <f>IF($G1755="","",IFERROR(IF(VLOOKUP($G1755,AcctTbl,4,0)="","(بدون نام)",VLOOKUP($G1755,AcctTbl,4,0)),"کد ناشناخته"))</f>
        <v/>
      </c>
      <c r="I1755" s="13" t="n"/>
      <c r="J1755" s="13" t="n"/>
      <c r="K1755" s="14" t="n"/>
      <c r="L1755" s="14" t="n"/>
      <c r="M1755" s="15">
        <f>IF(OR($B1755="",$K1755=""),"",($K1755-IF($L1755="",0,$L1755)*IFERROR(VLOOKUP("P01",ParamTbl,3,0),1.5))*(1-IF(IFERROR(VLOOKUP($E1755,OpTbl,3,0),"")="خرید",IFERROR(VLOOKUP("P02",ParamTbl,3,0),1),0)/100))</f>
        <v/>
      </c>
      <c r="N1755" s="14" t="n"/>
      <c r="O1755" s="13" t="n"/>
    </row>
    <row r="1756">
      <c r="A1756" s="11">
        <f>IF($B1756="","",COUNTA($B$9:$B1756))</f>
        <v/>
      </c>
      <c r="B1756" s="12" t="n"/>
      <c r="C1756" s="12" t="n"/>
      <c r="D1756" s="12" t="n"/>
      <c r="E1756" s="13" t="n"/>
      <c r="F1756" s="11">
        <f>IF($E1756="","",IFERROR(VLOOKUP($E1756,OpTbl,2,0),""))</f>
        <v/>
      </c>
      <c r="G1756" s="12" t="n"/>
      <c r="H1756" s="11">
        <f>IF($G1756="","",IFERROR(IF(VLOOKUP($G1756,AcctTbl,4,0)="","(بدون نام)",VLOOKUP($G1756,AcctTbl,4,0)),"کد ناشناخته"))</f>
        <v/>
      </c>
      <c r="I1756" s="13" t="n"/>
      <c r="J1756" s="13" t="n"/>
      <c r="K1756" s="14" t="n"/>
      <c r="L1756" s="14" t="n"/>
      <c r="M1756" s="15">
        <f>IF(OR($B1756="",$K1756=""),"",($K1756-IF($L1756="",0,$L1756)*IFERROR(VLOOKUP("P01",ParamTbl,3,0),1.5))*(1-IF(IFERROR(VLOOKUP($E1756,OpTbl,3,0),"")="خرید",IFERROR(VLOOKUP("P02",ParamTbl,3,0),1),0)/100))</f>
        <v/>
      </c>
      <c r="N1756" s="14" t="n"/>
      <c r="O1756" s="13" t="n"/>
    </row>
    <row r="1757">
      <c r="A1757" s="11">
        <f>IF($B1757="","",COUNTA($B$9:$B1757))</f>
        <v/>
      </c>
      <c r="B1757" s="12" t="n"/>
      <c r="C1757" s="12" t="n"/>
      <c r="D1757" s="12" t="n"/>
      <c r="E1757" s="13" t="n"/>
      <c r="F1757" s="11">
        <f>IF($E1757="","",IFERROR(VLOOKUP($E1757,OpTbl,2,0),""))</f>
        <v/>
      </c>
      <c r="G1757" s="12" t="n"/>
      <c r="H1757" s="11">
        <f>IF($G1757="","",IFERROR(IF(VLOOKUP($G1757,AcctTbl,4,0)="","(بدون نام)",VLOOKUP($G1757,AcctTbl,4,0)),"کد ناشناخته"))</f>
        <v/>
      </c>
      <c r="I1757" s="13" t="n"/>
      <c r="J1757" s="13" t="n"/>
      <c r="K1757" s="14" t="n"/>
      <c r="L1757" s="14" t="n"/>
      <c r="M1757" s="15">
        <f>IF(OR($B1757="",$K1757=""),"",($K1757-IF($L1757="",0,$L1757)*IFERROR(VLOOKUP("P01",ParamTbl,3,0),1.5))*(1-IF(IFERROR(VLOOKUP($E1757,OpTbl,3,0),"")="خرید",IFERROR(VLOOKUP("P02",ParamTbl,3,0),1),0)/100))</f>
        <v/>
      </c>
      <c r="N1757" s="14" t="n"/>
      <c r="O1757" s="13" t="n"/>
    </row>
    <row r="1758">
      <c r="A1758" s="11">
        <f>IF($B1758="","",COUNTA($B$9:$B1758))</f>
        <v/>
      </c>
      <c r="B1758" s="12" t="n"/>
      <c r="C1758" s="12" t="n"/>
      <c r="D1758" s="12" t="n"/>
      <c r="E1758" s="13" t="n"/>
      <c r="F1758" s="11">
        <f>IF($E1758="","",IFERROR(VLOOKUP($E1758,OpTbl,2,0),""))</f>
        <v/>
      </c>
      <c r="G1758" s="12" t="n"/>
      <c r="H1758" s="11">
        <f>IF($G1758="","",IFERROR(IF(VLOOKUP($G1758,AcctTbl,4,0)="","(بدون نام)",VLOOKUP($G1758,AcctTbl,4,0)),"کد ناشناخته"))</f>
        <v/>
      </c>
      <c r="I1758" s="13" t="n"/>
      <c r="J1758" s="13" t="n"/>
      <c r="K1758" s="14" t="n"/>
      <c r="L1758" s="14" t="n"/>
      <c r="M1758" s="15">
        <f>IF(OR($B1758="",$K1758=""),"",($K1758-IF($L1758="",0,$L1758)*IFERROR(VLOOKUP("P01",ParamTbl,3,0),1.5))*(1-IF(IFERROR(VLOOKUP($E1758,OpTbl,3,0),"")="خرید",IFERROR(VLOOKUP("P02",ParamTbl,3,0),1),0)/100))</f>
        <v/>
      </c>
      <c r="N1758" s="14" t="n"/>
      <c r="O1758" s="13" t="n"/>
    </row>
    <row r="1759">
      <c r="A1759" s="11">
        <f>IF($B1759="","",COUNTA($B$9:$B1759))</f>
        <v/>
      </c>
      <c r="B1759" s="12" t="n"/>
      <c r="C1759" s="12" t="n"/>
      <c r="D1759" s="12" t="n"/>
      <c r="E1759" s="13" t="n"/>
      <c r="F1759" s="11">
        <f>IF($E1759="","",IFERROR(VLOOKUP($E1759,OpTbl,2,0),""))</f>
        <v/>
      </c>
      <c r="G1759" s="12" t="n"/>
      <c r="H1759" s="11">
        <f>IF($G1759="","",IFERROR(IF(VLOOKUP($G1759,AcctTbl,4,0)="","(بدون نام)",VLOOKUP($G1759,AcctTbl,4,0)),"کد ناشناخته"))</f>
        <v/>
      </c>
      <c r="I1759" s="13" t="n"/>
      <c r="J1759" s="13" t="n"/>
      <c r="K1759" s="14" t="n"/>
      <c r="L1759" s="14" t="n"/>
      <c r="M1759" s="15">
        <f>IF(OR($B1759="",$K1759=""),"",($K1759-IF($L1759="",0,$L1759)*IFERROR(VLOOKUP("P01",ParamTbl,3,0),1.5))*(1-IF(IFERROR(VLOOKUP($E1759,OpTbl,3,0),"")="خرید",IFERROR(VLOOKUP("P02",ParamTbl,3,0),1),0)/100))</f>
        <v/>
      </c>
      <c r="N1759" s="14" t="n"/>
      <c r="O1759" s="13" t="n"/>
    </row>
    <row r="1760">
      <c r="A1760" s="11">
        <f>IF($B1760="","",COUNTA($B$9:$B1760))</f>
        <v/>
      </c>
      <c r="B1760" s="12" t="n"/>
      <c r="C1760" s="12" t="n"/>
      <c r="D1760" s="12" t="n"/>
      <c r="E1760" s="13" t="n"/>
      <c r="F1760" s="11">
        <f>IF($E1760="","",IFERROR(VLOOKUP($E1760,OpTbl,2,0),""))</f>
        <v/>
      </c>
      <c r="G1760" s="12" t="n"/>
      <c r="H1760" s="11">
        <f>IF($G1760="","",IFERROR(IF(VLOOKUP($G1760,AcctTbl,4,0)="","(بدون نام)",VLOOKUP($G1760,AcctTbl,4,0)),"کد ناشناخته"))</f>
        <v/>
      </c>
      <c r="I1760" s="13" t="n"/>
      <c r="J1760" s="13" t="n"/>
      <c r="K1760" s="14" t="n"/>
      <c r="L1760" s="14" t="n"/>
      <c r="M1760" s="15">
        <f>IF(OR($B1760="",$K1760=""),"",($K1760-IF($L1760="",0,$L1760)*IFERROR(VLOOKUP("P01",ParamTbl,3,0),1.5))*(1-IF(IFERROR(VLOOKUP($E1760,OpTbl,3,0),"")="خرید",IFERROR(VLOOKUP("P02",ParamTbl,3,0),1),0)/100))</f>
        <v/>
      </c>
      <c r="N1760" s="14" t="n"/>
      <c r="O1760" s="13" t="n"/>
    </row>
    <row r="1761">
      <c r="A1761" s="11">
        <f>IF($B1761="","",COUNTA($B$9:$B1761))</f>
        <v/>
      </c>
      <c r="B1761" s="12" t="n"/>
      <c r="C1761" s="12" t="n"/>
      <c r="D1761" s="12" t="n"/>
      <c r="E1761" s="13" t="n"/>
      <c r="F1761" s="11">
        <f>IF($E1761="","",IFERROR(VLOOKUP($E1761,OpTbl,2,0),""))</f>
        <v/>
      </c>
      <c r="G1761" s="12" t="n"/>
      <c r="H1761" s="11">
        <f>IF($G1761="","",IFERROR(IF(VLOOKUP($G1761,AcctTbl,4,0)="","(بدون نام)",VLOOKUP($G1761,AcctTbl,4,0)),"کد ناشناخته"))</f>
        <v/>
      </c>
      <c r="I1761" s="13" t="n"/>
      <c r="J1761" s="13" t="n"/>
      <c r="K1761" s="14" t="n"/>
      <c r="L1761" s="14" t="n"/>
      <c r="M1761" s="15">
        <f>IF(OR($B1761="",$K1761=""),"",($K1761-IF($L1761="",0,$L1761)*IFERROR(VLOOKUP("P01",ParamTbl,3,0),1.5))*(1-IF(IFERROR(VLOOKUP($E1761,OpTbl,3,0),"")="خرید",IFERROR(VLOOKUP("P02",ParamTbl,3,0),1),0)/100))</f>
        <v/>
      </c>
      <c r="N1761" s="14" t="n"/>
      <c r="O1761" s="13" t="n"/>
    </row>
    <row r="1762">
      <c r="A1762" s="11">
        <f>IF($B1762="","",COUNTA($B$9:$B1762))</f>
        <v/>
      </c>
      <c r="B1762" s="12" t="n"/>
      <c r="C1762" s="12" t="n"/>
      <c r="D1762" s="12" t="n"/>
      <c r="E1762" s="13" t="n"/>
      <c r="F1762" s="11">
        <f>IF($E1762="","",IFERROR(VLOOKUP($E1762,OpTbl,2,0),""))</f>
        <v/>
      </c>
      <c r="G1762" s="12" t="n"/>
      <c r="H1762" s="11">
        <f>IF($G1762="","",IFERROR(IF(VLOOKUP($G1762,AcctTbl,4,0)="","(بدون نام)",VLOOKUP($G1762,AcctTbl,4,0)),"کد ناشناخته"))</f>
        <v/>
      </c>
      <c r="I1762" s="13" t="n"/>
      <c r="J1762" s="13" t="n"/>
      <c r="K1762" s="14" t="n"/>
      <c r="L1762" s="14" t="n"/>
      <c r="M1762" s="15">
        <f>IF(OR($B1762="",$K1762=""),"",($K1762-IF($L1762="",0,$L1762)*IFERROR(VLOOKUP("P01",ParamTbl,3,0),1.5))*(1-IF(IFERROR(VLOOKUP($E1762,OpTbl,3,0),"")="خرید",IFERROR(VLOOKUP("P02",ParamTbl,3,0),1),0)/100))</f>
        <v/>
      </c>
      <c r="N1762" s="14" t="n"/>
      <c r="O1762" s="13" t="n"/>
    </row>
    <row r="1763">
      <c r="A1763" s="11">
        <f>IF($B1763="","",COUNTA($B$9:$B1763))</f>
        <v/>
      </c>
      <c r="B1763" s="12" t="n"/>
      <c r="C1763" s="12" t="n"/>
      <c r="D1763" s="12" t="n"/>
      <c r="E1763" s="13" t="n"/>
      <c r="F1763" s="11">
        <f>IF($E1763="","",IFERROR(VLOOKUP($E1763,OpTbl,2,0),""))</f>
        <v/>
      </c>
      <c r="G1763" s="12" t="n"/>
      <c r="H1763" s="11">
        <f>IF($G1763="","",IFERROR(IF(VLOOKUP($G1763,AcctTbl,4,0)="","(بدون نام)",VLOOKUP($G1763,AcctTbl,4,0)),"کد ناشناخته"))</f>
        <v/>
      </c>
      <c r="I1763" s="13" t="n"/>
      <c r="J1763" s="13" t="n"/>
      <c r="K1763" s="14" t="n"/>
      <c r="L1763" s="14" t="n"/>
      <c r="M1763" s="15">
        <f>IF(OR($B1763="",$K1763=""),"",($K1763-IF($L1763="",0,$L1763)*IFERROR(VLOOKUP("P01",ParamTbl,3,0),1.5))*(1-IF(IFERROR(VLOOKUP($E1763,OpTbl,3,0),"")="خرید",IFERROR(VLOOKUP("P02",ParamTbl,3,0),1),0)/100))</f>
        <v/>
      </c>
      <c r="N1763" s="14" t="n"/>
      <c r="O1763" s="13" t="n"/>
    </row>
    <row r="1764">
      <c r="A1764" s="11">
        <f>IF($B1764="","",COUNTA($B$9:$B1764))</f>
        <v/>
      </c>
      <c r="B1764" s="12" t="n"/>
      <c r="C1764" s="12" t="n"/>
      <c r="D1764" s="12" t="n"/>
      <c r="E1764" s="13" t="n"/>
      <c r="F1764" s="11">
        <f>IF($E1764="","",IFERROR(VLOOKUP($E1764,OpTbl,2,0),""))</f>
        <v/>
      </c>
      <c r="G1764" s="12" t="n"/>
      <c r="H1764" s="11">
        <f>IF($G1764="","",IFERROR(IF(VLOOKUP($G1764,AcctTbl,4,0)="","(بدون نام)",VLOOKUP($G1764,AcctTbl,4,0)),"کد ناشناخته"))</f>
        <v/>
      </c>
      <c r="I1764" s="13" t="n"/>
      <c r="J1764" s="13" t="n"/>
      <c r="K1764" s="14" t="n"/>
      <c r="L1764" s="14" t="n"/>
      <c r="M1764" s="15">
        <f>IF(OR($B1764="",$K1764=""),"",($K1764-IF($L1764="",0,$L1764)*IFERROR(VLOOKUP("P01",ParamTbl,3,0),1.5))*(1-IF(IFERROR(VLOOKUP($E1764,OpTbl,3,0),"")="خرید",IFERROR(VLOOKUP("P02",ParamTbl,3,0),1),0)/100))</f>
        <v/>
      </c>
      <c r="N1764" s="14" t="n"/>
      <c r="O1764" s="13" t="n"/>
    </row>
    <row r="1765">
      <c r="A1765" s="11">
        <f>IF($B1765="","",COUNTA($B$9:$B1765))</f>
        <v/>
      </c>
      <c r="B1765" s="12" t="n"/>
      <c r="C1765" s="12" t="n"/>
      <c r="D1765" s="12" t="n"/>
      <c r="E1765" s="13" t="n"/>
      <c r="F1765" s="11">
        <f>IF($E1765="","",IFERROR(VLOOKUP($E1765,OpTbl,2,0),""))</f>
        <v/>
      </c>
      <c r="G1765" s="12" t="n"/>
      <c r="H1765" s="11">
        <f>IF($G1765="","",IFERROR(IF(VLOOKUP($G1765,AcctTbl,4,0)="","(بدون نام)",VLOOKUP($G1765,AcctTbl,4,0)),"کد ناشناخته"))</f>
        <v/>
      </c>
      <c r="I1765" s="13" t="n"/>
      <c r="J1765" s="13" t="n"/>
      <c r="K1765" s="14" t="n"/>
      <c r="L1765" s="14" t="n"/>
      <c r="M1765" s="15">
        <f>IF(OR($B1765="",$K1765=""),"",($K1765-IF($L1765="",0,$L1765)*IFERROR(VLOOKUP("P01",ParamTbl,3,0),1.5))*(1-IF(IFERROR(VLOOKUP($E1765,OpTbl,3,0),"")="خرید",IFERROR(VLOOKUP("P02",ParamTbl,3,0),1),0)/100))</f>
        <v/>
      </c>
      <c r="N1765" s="14" t="n"/>
      <c r="O1765" s="13" t="n"/>
    </row>
    <row r="1766">
      <c r="A1766" s="11">
        <f>IF($B1766="","",COUNTA($B$9:$B1766))</f>
        <v/>
      </c>
      <c r="B1766" s="12" t="n"/>
      <c r="C1766" s="12" t="n"/>
      <c r="D1766" s="12" t="n"/>
      <c r="E1766" s="13" t="n"/>
      <c r="F1766" s="11">
        <f>IF($E1766="","",IFERROR(VLOOKUP($E1766,OpTbl,2,0),""))</f>
        <v/>
      </c>
      <c r="G1766" s="12" t="n"/>
      <c r="H1766" s="11">
        <f>IF($G1766="","",IFERROR(IF(VLOOKUP($G1766,AcctTbl,4,0)="","(بدون نام)",VLOOKUP($G1766,AcctTbl,4,0)),"کد ناشناخته"))</f>
        <v/>
      </c>
      <c r="I1766" s="13" t="n"/>
      <c r="J1766" s="13" t="n"/>
      <c r="K1766" s="14" t="n"/>
      <c r="L1766" s="14" t="n"/>
      <c r="M1766" s="15">
        <f>IF(OR($B1766="",$K1766=""),"",($K1766-IF($L1766="",0,$L1766)*IFERROR(VLOOKUP("P01",ParamTbl,3,0),1.5))*(1-IF(IFERROR(VLOOKUP($E1766,OpTbl,3,0),"")="خرید",IFERROR(VLOOKUP("P02",ParamTbl,3,0),1),0)/100))</f>
        <v/>
      </c>
      <c r="N1766" s="14" t="n"/>
      <c r="O1766" s="13" t="n"/>
    </row>
    <row r="1767">
      <c r="A1767" s="11">
        <f>IF($B1767="","",COUNTA($B$9:$B1767))</f>
        <v/>
      </c>
      <c r="B1767" s="12" t="n"/>
      <c r="C1767" s="12" t="n"/>
      <c r="D1767" s="12" t="n"/>
      <c r="E1767" s="13" t="n"/>
      <c r="F1767" s="11">
        <f>IF($E1767="","",IFERROR(VLOOKUP($E1767,OpTbl,2,0),""))</f>
        <v/>
      </c>
      <c r="G1767" s="12" t="n"/>
      <c r="H1767" s="11">
        <f>IF($G1767="","",IFERROR(IF(VLOOKUP($G1767,AcctTbl,4,0)="","(بدون نام)",VLOOKUP($G1767,AcctTbl,4,0)),"کد ناشناخته"))</f>
        <v/>
      </c>
      <c r="I1767" s="13" t="n"/>
      <c r="J1767" s="13" t="n"/>
      <c r="K1767" s="14" t="n"/>
      <c r="L1767" s="14" t="n"/>
      <c r="M1767" s="15">
        <f>IF(OR($B1767="",$K1767=""),"",($K1767-IF($L1767="",0,$L1767)*IFERROR(VLOOKUP("P01",ParamTbl,3,0),1.5))*(1-IF(IFERROR(VLOOKUP($E1767,OpTbl,3,0),"")="خرید",IFERROR(VLOOKUP("P02",ParamTbl,3,0),1),0)/100))</f>
        <v/>
      </c>
      <c r="N1767" s="14" t="n"/>
      <c r="O1767" s="13" t="n"/>
    </row>
    <row r="1768">
      <c r="A1768" s="11">
        <f>IF($B1768="","",COUNTA($B$9:$B1768))</f>
        <v/>
      </c>
      <c r="B1768" s="12" t="n"/>
      <c r="C1768" s="12" t="n"/>
      <c r="D1768" s="12" t="n"/>
      <c r="E1768" s="13" t="n"/>
      <c r="F1768" s="11">
        <f>IF($E1768="","",IFERROR(VLOOKUP($E1768,OpTbl,2,0),""))</f>
        <v/>
      </c>
      <c r="G1768" s="12" t="n"/>
      <c r="H1768" s="11">
        <f>IF($G1768="","",IFERROR(IF(VLOOKUP($G1768,AcctTbl,4,0)="","(بدون نام)",VLOOKUP($G1768,AcctTbl,4,0)),"کد ناشناخته"))</f>
        <v/>
      </c>
      <c r="I1768" s="13" t="n"/>
      <c r="J1768" s="13" t="n"/>
      <c r="K1768" s="14" t="n"/>
      <c r="L1768" s="14" t="n"/>
      <c r="M1768" s="15">
        <f>IF(OR($B1768="",$K1768=""),"",($K1768-IF($L1768="",0,$L1768)*IFERROR(VLOOKUP("P01",ParamTbl,3,0),1.5))*(1-IF(IFERROR(VLOOKUP($E1768,OpTbl,3,0),"")="خرید",IFERROR(VLOOKUP("P02",ParamTbl,3,0),1),0)/100))</f>
        <v/>
      </c>
      <c r="N1768" s="14" t="n"/>
      <c r="O1768" s="13" t="n"/>
    </row>
    <row r="1769">
      <c r="A1769" s="11">
        <f>IF($B1769="","",COUNTA($B$9:$B1769))</f>
        <v/>
      </c>
      <c r="B1769" s="12" t="n"/>
      <c r="C1769" s="12" t="n"/>
      <c r="D1769" s="12" t="n"/>
      <c r="E1769" s="13" t="n"/>
      <c r="F1769" s="11">
        <f>IF($E1769="","",IFERROR(VLOOKUP($E1769,OpTbl,2,0),""))</f>
        <v/>
      </c>
      <c r="G1769" s="12" t="n"/>
      <c r="H1769" s="11">
        <f>IF($G1769="","",IFERROR(IF(VLOOKUP($G1769,AcctTbl,4,0)="","(بدون نام)",VLOOKUP($G1769,AcctTbl,4,0)),"کد ناشناخته"))</f>
        <v/>
      </c>
      <c r="I1769" s="13" t="n"/>
      <c r="J1769" s="13" t="n"/>
      <c r="K1769" s="14" t="n"/>
      <c r="L1769" s="14" t="n"/>
      <c r="M1769" s="15">
        <f>IF(OR($B1769="",$K1769=""),"",($K1769-IF($L1769="",0,$L1769)*IFERROR(VLOOKUP("P01",ParamTbl,3,0),1.5))*(1-IF(IFERROR(VLOOKUP($E1769,OpTbl,3,0),"")="خرید",IFERROR(VLOOKUP("P02",ParamTbl,3,0),1),0)/100))</f>
        <v/>
      </c>
      <c r="N1769" s="14" t="n"/>
      <c r="O1769" s="13" t="n"/>
    </row>
    <row r="1770">
      <c r="A1770" s="11">
        <f>IF($B1770="","",COUNTA($B$9:$B1770))</f>
        <v/>
      </c>
      <c r="B1770" s="12" t="n"/>
      <c r="C1770" s="12" t="n"/>
      <c r="D1770" s="12" t="n"/>
      <c r="E1770" s="13" t="n"/>
      <c r="F1770" s="11">
        <f>IF($E1770="","",IFERROR(VLOOKUP($E1770,OpTbl,2,0),""))</f>
        <v/>
      </c>
      <c r="G1770" s="12" t="n"/>
      <c r="H1770" s="11">
        <f>IF($G1770="","",IFERROR(IF(VLOOKUP($G1770,AcctTbl,4,0)="","(بدون نام)",VLOOKUP($G1770,AcctTbl,4,0)),"کد ناشناخته"))</f>
        <v/>
      </c>
      <c r="I1770" s="13" t="n"/>
      <c r="J1770" s="13" t="n"/>
      <c r="K1770" s="14" t="n"/>
      <c r="L1770" s="14" t="n"/>
      <c r="M1770" s="15">
        <f>IF(OR($B1770="",$K1770=""),"",($K1770-IF($L1770="",0,$L1770)*IFERROR(VLOOKUP("P01",ParamTbl,3,0),1.5))*(1-IF(IFERROR(VLOOKUP($E1770,OpTbl,3,0),"")="خرید",IFERROR(VLOOKUP("P02",ParamTbl,3,0),1),0)/100))</f>
        <v/>
      </c>
      <c r="N1770" s="14" t="n"/>
      <c r="O1770" s="13" t="n"/>
    </row>
    <row r="1771">
      <c r="A1771" s="11">
        <f>IF($B1771="","",COUNTA($B$9:$B1771))</f>
        <v/>
      </c>
      <c r="B1771" s="12" t="n"/>
      <c r="C1771" s="12" t="n"/>
      <c r="D1771" s="12" t="n"/>
      <c r="E1771" s="13" t="n"/>
      <c r="F1771" s="11">
        <f>IF($E1771="","",IFERROR(VLOOKUP($E1771,OpTbl,2,0),""))</f>
        <v/>
      </c>
      <c r="G1771" s="12" t="n"/>
      <c r="H1771" s="11">
        <f>IF($G1771="","",IFERROR(IF(VLOOKUP($G1771,AcctTbl,4,0)="","(بدون نام)",VLOOKUP($G1771,AcctTbl,4,0)),"کد ناشناخته"))</f>
        <v/>
      </c>
      <c r="I1771" s="13" t="n"/>
      <c r="J1771" s="13" t="n"/>
      <c r="K1771" s="14" t="n"/>
      <c r="L1771" s="14" t="n"/>
      <c r="M1771" s="15">
        <f>IF(OR($B1771="",$K1771=""),"",($K1771-IF($L1771="",0,$L1771)*IFERROR(VLOOKUP("P01",ParamTbl,3,0),1.5))*(1-IF(IFERROR(VLOOKUP($E1771,OpTbl,3,0),"")="خرید",IFERROR(VLOOKUP("P02",ParamTbl,3,0),1),0)/100))</f>
        <v/>
      </c>
      <c r="N1771" s="14" t="n"/>
      <c r="O1771" s="13" t="n"/>
    </row>
    <row r="1772">
      <c r="A1772" s="11">
        <f>IF($B1772="","",COUNTA($B$9:$B1772))</f>
        <v/>
      </c>
      <c r="B1772" s="12" t="n"/>
      <c r="C1772" s="12" t="n"/>
      <c r="D1772" s="12" t="n"/>
      <c r="E1772" s="13" t="n"/>
      <c r="F1772" s="11">
        <f>IF($E1772="","",IFERROR(VLOOKUP($E1772,OpTbl,2,0),""))</f>
        <v/>
      </c>
      <c r="G1772" s="12" t="n"/>
      <c r="H1772" s="11">
        <f>IF($G1772="","",IFERROR(IF(VLOOKUP($G1772,AcctTbl,4,0)="","(بدون نام)",VLOOKUP($G1772,AcctTbl,4,0)),"کد ناشناخته"))</f>
        <v/>
      </c>
      <c r="I1772" s="13" t="n"/>
      <c r="J1772" s="13" t="n"/>
      <c r="K1772" s="14" t="n"/>
      <c r="L1772" s="14" t="n"/>
      <c r="M1772" s="15">
        <f>IF(OR($B1772="",$K1772=""),"",($K1772-IF($L1772="",0,$L1772)*IFERROR(VLOOKUP("P01",ParamTbl,3,0),1.5))*(1-IF(IFERROR(VLOOKUP($E1772,OpTbl,3,0),"")="خرید",IFERROR(VLOOKUP("P02",ParamTbl,3,0),1),0)/100))</f>
        <v/>
      </c>
      <c r="N1772" s="14" t="n"/>
      <c r="O1772" s="13" t="n"/>
    </row>
    <row r="1773">
      <c r="A1773" s="11">
        <f>IF($B1773="","",COUNTA($B$9:$B1773))</f>
        <v/>
      </c>
      <c r="B1773" s="12" t="n"/>
      <c r="C1773" s="12" t="n"/>
      <c r="D1773" s="12" t="n"/>
      <c r="E1773" s="13" t="n"/>
      <c r="F1773" s="11">
        <f>IF($E1773="","",IFERROR(VLOOKUP($E1773,OpTbl,2,0),""))</f>
        <v/>
      </c>
      <c r="G1773" s="12" t="n"/>
      <c r="H1773" s="11">
        <f>IF($G1773="","",IFERROR(IF(VLOOKUP($G1773,AcctTbl,4,0)="","(بدون نام)",VLOOKUP($G1773,AcctTbl,4,0)),"کد ناشناخته"))</f>
        <v/>
      </c>
      <c r="I1773" s="13" t="n"/>
      <c r="J1773" s="13" t="n"/>
      <c r="K1773" s="14" t="n"/>
      <c r="L1773" s="14" t="n"/>
      <c r="M1773" s="15">
        <f>IF(OR($B1773="",$K1773=""),"",($K1773-IF($L1773="",0,$L1773)*IFERROR(VLOOKUP("P01",ParamTbl,3,0),1.5))*(1-IF(IFERROR(VLOOKUP($E1773,OpTbl,3,0),"")="خرید",IFERROR(VLOOKUP("P02",ParamTbl,3,0),1),0)/100))</f>
        <v/>
      </c>
      <c r="N1773" s="14" t="n"/>
      <c r="O1773" s="13" t="n"/>
    </row>
    <row r="1774">
      <c r="A1774" s="11">
        <f>IF($B1774="","",COUNTA($B$9:$B1774))</f>
        <v/>
      </c>
      <c r="B1774" s="12" t="n"/>
      <c r="C1774" s="12" t="n"/>
      <c r="D1774" s="12" t="n"/>
      <c r="E1774" s="13" t="n"/>
      <c r="F1774" s="11">
        <f>IF($E1774="","",IFERROR(VLOOKUP($E1774,OpTbl,2,0),""))</f>
        <v/>
      </c>
      <c r="G1774" s="12" t="n"/>
      <c r="H1774" s="11">
        <f>IF($G1774="","",IFERROR(IF(VLOOKUP($G1774,AcctTbl,4,0)="","(بدون نام)",VLOOKUP($G1774,AcctTbl,4,0)),"کد ناشناخته"))</f>
        <v/>
      </c>
      <c r="I1774" s="13" t="n"/>
      <c r="J1774" s="13" t="n"/>
      <c r="K1774" s="14" t="n"/>
      <c r="L1774" s="14" t="n"/>
      <c r="M1774" s="15">
        <f>IF(OR($B1774="",$K1774=""),"",($K1774-IF($L1774="",0,$L1774)*IFERROR(VLOOKUP("P01",ParamTbl,3,0),1.5))*(1-IF(IFERROR(VLOOKUP($E1774,OpTbl,3,0),"")="خرید",IFERROR(VLOOKUP("P02",ParamTbl,3,0),1),0)/100))</f>
        <v/>
      </c>
      <c r="N1774" s="14" t="n"/>
      <c r="O1774" s="13" t="n"/>
    </row>
    <row r="1775">
      <c r="A1775" s="11">
        <f>IF($B1775="","",COUNTA($B$9:$B1775))</f>
        <v/>
      </c>
      <c r="B1775" s="12" t="n"/>
      <c r="C1775" s="12" t="n"/>
      <c r="D1775" s="12" t="n"/>
      <c r="E1775" s="13" t="n"/>
      <c r="F1775" s="11">
        <f>IF($E1775="","",IFERROR(VLOOKUP($E1775,OpTbl,2,0),""))</f>
        <v/>
      </c>
      <c r="G1775" s="12" t="n"/>
      <c r="H1775" s="11">
        <f>IF($G1775="","",IFERROR(IF(VLOOKUP($G1775,AcctTbl,4,0)="","(بدون نام)",VLOOKUP($G1775,AcctTbl,4,0)),"کد ناشناخته"))</f>
        <v/>
      </c>
      <c r="I1775" s="13" t="n"/>
      <c r="J1775" s="13" t="n"/>
      <c r="K1775" s="14" t="n"/>
      <c r="L1775" s="14" t="n"/>
      <c r="M1775" s="15">
        <f>IF(OR($B1775="",$K1775=""),"",($K1775-IF($L1775="",0,$L1775)*IFERROR(VLOOKUP("P01",ParamTbl,3,0),1.5))*(1-IF(IFERROR(VLOOKUP($E1775,OpTbl,3,0),"")="خرید",IFERROR(VLOOKUP("P02",ParamTbl,3,0),1),0)/100))</f>
        <v/>
      </c>
      <c r="N1775" s="14" t="n"/>
      <c r="O1775" s="13" t="n"/>
    </row>
    <row r="1776">
      <c r="A1776" s="11">
        <f>IF($B1776="","",COUNTA($B$9:$B1776))</f>
        <v/>
      </c>
      <c r="B1776" s="12" t="n"/>
      <c r="C1776" s="12" t="n"/>
      <c r="D1776" s="12" t="n"/>
      <c r="E1776" s="13" t="n"/>
      <c r="F1776" s="11">
        <f>IF($E1776="","",IFERROR(VLOOKUP($E1776,OpTbl,2,0),""))</f>
        <v/>
      </c>
      <c r="G1776" s="12" t="n"/>
      <c r="H1776" s="11">
        <f>IF($G1776="","",IFERROR(IF(VLOOKUP($G1776,AcctTbl,4,0)="","(بدون نام)",VLOOKUP($G1776,AcctTbl,4,0)),"کد ناشناخته"))</f>
        <v/>
      </c>
      <c r="I1776" s="13" t="n"/>
      <c r="J1776" s="13" t="n"/>
      <c r="K1776" s="14" t="n"/>
      <c r="L1776" s="14" t="n"/>
      <c r="M1776" s="15">
        <f>IF(OR($B1776="",$K1776=""),"",($K1776-IF($L1776="",0,$L1776)*IFERROR(VLOOKUP("P01",ParamTbl,3,0),1.5))*(1-IF(IFERROR(VLOOKUP($E1776,OpTbl,3,0),"")="خرید",IFERROR(VLOOKUP("P02",ParamTbl,3,0),1),0)/100))</f>
        <v/>
      </c>
      <c r="N1776" s="14" t="n"/>
      <c r="O1776" s="13" t="n"/>
    </row>
    <row r="1777">
      <c r="A1777" s="11">
        <f>IF($B1777="","",COUNTA($B$9:$B1777))</f>
        <v/>
      </c>
      <c r="B1777" s="12" t="n"/>
      <c r="C1777" s="12" t="n"/>
      <c r="D1777" s="12" t="n"/>
      <c r="E1777" s="13" t="n"/>
      <c r="F1777" s="11">
        <f>IF($E1777="","",IFERROR(VLOOKUP($E1777,OpTbl,2,0),""))</f>
        <v/>
      </c>
      <c r="G1777" s="12" t="n"/>
      <c r="H1777" s="11">
        <f>IF($G1777="","",IFERROR(IF(VLOOKUP($G1777,AcctTbl,4,0)="","(بدون نام)",VLOOKUP($G1777,AcctTbl,4,0)),"کد ناشناخته"))</f>
        <v/>
      </c>
      <c r="I1777" s="13" t="n"/>
      <c r="J1777" s="13" t="n"/>
      <c r="K1777" s="14" t="n"/>
      <c r="L1777" s="14" t="n"/>
      <c r="M1777" s="15">
        <f>IF(OR($B1777="",$K1777=""),"",($K1777-IF($L1777="",0,$L1777)*IFERROR(VLOOKUP("P01",ParamTbl,3,0),1.5))*(1-IF(IFERROR(VLOOKUP($E1777,OpTbl,3,0),"")="خرید",IFERROR(VLOOKUP("P02",ParamTbl,3,0),1),0)/100))</f>
        <v/>
      </c>
      <c r="N1777" s="14" t="n"/>
      <c r="O1777" s="13" t="n"/>
    </row>
    <row r="1778">
      <c r="A1778" s="11">
        <f>IF($B1778="","",COUNTA($B$9:$B1778))</f>
        <v/>
      </c>
      <c r="B1778" s="12" t="n"/>
      <c r="C1778" s="12" t="n"/>
      <c r="D1778" s="12" t="n"/>
      <c r="E1778" s="13" t="n"/>
      <c r="F1778" s="11">
        <f>IF($E1778="","",IFERROR(VLOOKUP($E1778,OpTbl,2,0),""))</f>
        <v/>
      </c>
      <c r="G1778" s="12" t="n"/>
      <c r="H1778" s="11">
        <f>IF($G1778="","",IFERROR(IF(VLOOKUP($G1778,AcctTbl,4,0)="","(بدون نام)",VLOOKUP($G1778,AcctTbl,4,0)),"کد ناشناخته"))</f>
        <v/>
      </c>
      <c r="I1778" s="13" t="n"/>
      <c r="J1778" s="13" t="n"/>
      <c r="K1778" s="14" t="n"/>
      <c r="L1778" s="14" t="n"/>
      <c r="M1778" s="15">
        <f>IF(OR($B1778="",$K1778=""),"",($K1778-IF($L1778="",0,$L1778)*IFERROR(VLOOKUP("P01",ParamTbl,3,0),1.5))*(1-IF(IFERROR(VLOOKUP($E1778,OpTbl,3,0),"")="خرید",IFERROR(VLOOKUP("P02",ParamTbl,3,0),1),0)/100))</f>
        <v/>
      </c>
      <c r="N1778" s="14" t="n"/>
      <c r="O1778" s="13" t="n"/>
    </row>
    <row r="1779">
      <c r="A1779" s="11">
        <f>IF($B1779="","",COUNTA($B$9:$B1779))</f>
        <v/>
      </c>
      <c r="B1779" s="12" t="n"/>
      <c r="C1779" s="12" t="n"/>
      <c r="D1779" s="12" t="n"/>
      <c r="E1779" s="13" t="n"/>
      <c r="F1779" s="11">
        <f>IF($E1779="","",IFERROR(VLOOKUP($E1779,OpTbl,2,0),""))</f>
        <v/>
      </c>
      <c r="G1779" s="12" t="n"/>
      <c r="H1779" s="11">
        <f>IF($G1779="","",IFERROR(IF(VLOOKUP($G1779,AcctTbl,4,0)="","(بدون نام)",VLOOKUP($G1779,AcctTbl,4,0)),"کد ناشناخته"))</f>
        <v/>
      </c>
      <c r="I1779" s="13" t="n"/>
      <c r="J1779" s="13" t="n"/>
      <c r="K1779" s="14" t="n"/>
      <c r="L1779" s="14" t="n"/>
      <c r="M1779" s="15">
        <f>IF(OR($B1779="",$K1779=""),"",($K1779-IF($L1779="",0,$L1779)*IFERROR(VLOOKUP("P01",ParamTbl,3,0),1.5))*(1-IF(IFERROR(VLOOKUP($E1779,OpTbl,3,0),"")="خرید",IFERROR(VLOOKUP("P02",ParamTbl,3,0),1),0)/100))</f>
        <v/>
      </c>
      <c r="N1779" s="14" t="n"/>
      <c r="O1779" s="13" t="n"/>
    </row>
    <row r="1780">
      <c r="A1780" s="11">
        <f>IF($B1780="","",COUNTA($B$9:$B1780))</f>
        <v/>
      </c>
      <c r="B1780" s="12" t="n"/>
      <c r="C1780" s="12" t="n"/>
      <c r="D1780" s="12" t="n"/>
      <c r="E1780" s="13" t="n"/>
      <c r="F1780" s="11">
        <f>IF($E1780="","",IFERROR(VLOOKUP($E1780,OpTbl,2,0),""))</f>
        <v/>
      </c>
      <c r="G1780" s="12" t="n"/>
      <c r="H1780" s="11">
        <f>IF($G1780="","",IFERROR(IF(VLOOKUP($G1780,AcctTbl,4,0)="","(بدون نام)",VLOOKUP($G1780,AcctTbl,4,0)),"کد ناشناخته"))</f>
        <v/>
      </c>
      <c r="I1780" s="13" t="n"/>
      <c r="J1780" s="13" t="n"/>
      <c r="K1780" s="14" t="n"/>
      <c r="L1780" s="14" t="n"/>
      <c r="M1780" s="15">
        <f>IF(OR($B1780="",$K1780=""),"",($K1780-IF($L1780="",0,$L1780)*IFERROR(VLOOKUP("P01",ParamTbl,3,0),1.5))*(1-IF(IFERROR(VLOOKUP($E1780,OpTbl,3,0),"")="خرید",IFERROR(VLOOKUP("P02",ParamTbl,3,0),1),0)/100))</f>
        <v/>
      </c>
      <c r="N1780" s="14" t="n"/>
      <c r="O1780" s="13" t="n"/>
    </row>
    <row r="1781">
      <c r="A1781" s="11">
        <f>IF($B1781="","",COUNTA($B$9:$B1781))</f>
        <v/>
      </c>
      <c r="B1781" s="12" t="n"/>
      <c r="C1781" s="12" t="n"/>
      <c r="D1781" s="12" t="n"/>
      <c r="E1781" s="13" t="n"/>
      <c r="F1781" s="11">
        <f>IF($E1781="","",IFERROR(VLOOKUP($E1781,OpTbl,2,0),""))</f>
        <v/>
      </c>
      <c r="G1781" s="12" t="n"/>
      <c r="H1781" s="11">
        <f>IF($G1781="","",IFERROR(IF(VLOOKUP($G1781,AcctTbl,4,0)="","(بدون نام)",VLOOKUP($G1781,AcctTbl,4,0)),"کد ناشناخته"))</f>
        <v/>
      </c>
      <c r="I1781" s="13" t="n"/>
      <c r="J1781" s="13" t="n"/>
      <c r="K1781" s="14" t="n"/>
      <c r="L1781" s="14" t="n"/>
      <c r="M1781" s="15">
        <f>IF(OR($B1781="",$K1781=""),"",($K1781-IF($L1781="",0,$L1781)*IFERROR(VLOOKUP("P01",ParamTbl,3,0),1.5))*(1-IF(IFERROR(VLOOKUP($E1781,OpTbl,3,0),"")="خرید",IFERROR(VLOOKUP("P02",ParamTbl,3,0),1),0)/100))</f>
        <v/>
      </c>
      <c r="N1781" s="14" t="n"/>
      <c r="O1781" s="13" t="n"/>
    </row>
    <row r="1782">
      <c r="A1782" s="11">
        <f>IF($B1782="","",COUNTA($B$9:$B1782))</f>
        <v/>
      </c>
      <c r="B1782" s="12" t="n"/>
      <c r="C1782" s="12" t="n"/>
      <c r="D1782" s="12" t="n"/>
      <c r="E1782" s="13" t="n"/>
      <c r="F1782" s="11">
        <f>IF($E1782="","",IFERROR(VLOOKUP($E1782,OpTbl,2,0),""))</f>
        <v/>
      </c>
      <c r="G1782" s="12" t="n"/>
      <c r="H1782" s="11">
        <f>IF($G1782="","",IFERROR(IF(VLOOKUP($G1782,AcctTbl,4,0)="","(بدون نام)",VLOOKUP($G1782,AcctTbl,4,0)),"کد ناشناخته"))</f>
        <v/>
      </c>
      <c r="I1782" s="13" t="n"/>
      <c r="J1782" s="13" t="n"/>
      <c r="K1782" s="14" t="n"/>
      <c r="L1782" s="14" t="n"/>
      <c r="M1782" s="15">
        <f>IF(OR($B1782="",$K1782=""),"",($K1782-IF($L1782="",0,$L1782)*IFERROR(VLOOKUP("P01",ParamTbl,3,0),1.5))*(1-IF(IFERROR(VLOOKUP($E1782,OpTbl,3,0),"")="خرید",IFERROR(VLOOKUP("P02",ParamTbl,3,0),1),0)/100))</f>
        <v/>
      </c>
      <c r="N1782" s="14" t="n"/>
      <c r="O1782" s="13" t="n"/>
    </row>
    <row r="1783">
      <c r="A1783" s="11">
        <f>IF($B1783="","",COUNTA($B$9:$B1783))</f>
        <v/>
      </c>
      <c r="B1783" s="12" t="n"/>
      <c r="C1783" s="12" t="n"/>
      <c r="D1783" s="12" t="n"/>
      <c r="E1783" s="13" t="n"/>
      <c r="F1783" s="11">
        <f>IF($E1783="","",IFERROR(VLOOKUP($E1783,OpTbl,2,0),""))</f>
        <v/>
      </c>
      <c r="G1783" s="12" t="n"/>
      <c r="H1783" s="11">
        <f>IF($G1783="","",IFERROR(IF(VLOOKUP($G1783,AcctTbl,4,0)="","(بدون نام)",VLOOKUP($G1783,AcctTbl,4,0)),"کد ناشناخته"))</f>
        <v/>
      </c>
      <c r="I1783" s="13" t="n"/>
      <c r="J1783" s="13" t="n"/>
      <c r="K1783" s="14" t="n"/>
      <c r="L1783" s="14" t="n"/>
      <c r="M1783" s="15">
        <f>IF(OR($B1783="",$K1783=""),"",($K1783-IF($L1783="",0,$L1783)*IFERROR(VLOOKUP("P01",ParamTbl,3,0),1.5))*(1-IF(IFERROR(VLOOKUP($E1783,OpTbl,3,0),"")="خرید",IFERROR(VLOOKUP("P02",ParamTbl,3,0),1),0)/100))</f>
        <v/>
      </c>
      <c r="N1783" s="14" t="n"/>
      <c r="O1783" s="13" t="n"/>
    </row>
    <row r="1784">
      <c r="A1784" s="11">
        <f>IF($B1784="","",COUNTA($B$9:$B1784))</f>
        <v/>
      </c>
      <c r="B1784" s="12" t="n"/>
      <c r="C1784" s="12" t="n"/>
      <c r="D1784" s="12" t="n"/>
      <c r="E1784" s="13" t="n"/>
      <c r="F1784" s="11">
        <f>IF($E1784="","",IFERROR(VLOOKUP($E1784,OpTbl,2,0),""))</f>
        <v/>
      </c>
      <c r="G1784" s="12" t="n"/>
      <c r="H1784" s="11">
        <f>IF($G1784="","",IFERROR(IF(VLOOKUP($G1784,AcctTbl,4,0)="","(بدون نام)",VLOOKUP($G1784,AcctTbl,4,0)),"کد ناشناخته"))</f>
        <v/>
      </c>
      <c r="I1784" s="13" t="n"/>
      <c r="J1784" s="13" t="n"/>
      <c r="K1784" s="14" t="n"/>
      <c r="L1784" s="14" t="n"/>
      <c r="M1784" s="15">
        <f>IF(OR($B1784="",$K1784=""),"",($K1784-IF($L1784="",0,$L1784)*IFERROR(VLOOKUP("P01",ParamTbl,3,0),1.5))*(1-IF(IFERROR(VLOOKUP($E1784,OpTbl,3,0),"")="خرید",IFERROR(VLOOKUP("P02",ParamTbl,3,0),1),0)/100))</f>
        <v/>
      </c>
      <c r="N1784" s="14" t="n"/>
      <c r="O1784" s="13" t="n"/>
    </row>
    <row r="1785">
      <c r="A1785" s="11">
        <f>IF($B1785="","",COUNTA($B$9:$B1785))</f>
        <v/>
      </c>
      <c r="B1785" s="12" t="n"/>
      <c r="C1785" s="12" t="n"/>
      <c r="D1785" s="12" t="n"/>
      <c r="E1785" s="13" t="n"/>
      <c r="F1785" s="11">
        <f>IF($E1785="","",IFERROR(VLOOKUP($E1785,OpTbl,2,0),""))</f>
        <v/>
      </c>
      <c r="G1785" s="12" t="n"/>
      <c r="H1785" s="11">
        <f>IF($G1785="","",IFERROR(IF(VLOOKUP($G1785,AcctTbl,4,0)="","(بدون نام)",VLOOKUP($G1785,AcctTbl,4,0)),"کد ناشناخته"))</f>
        <v/>
      </c>
      <c r="I1785" s="13" t="n"/>
      <c r="J1785" s="13" t="n"/>
      <c r="K1785" s="14" t="n"/>
      <c r="L1785" s="14" t="n"/>
      <c r="M1785" s="15">
        <f>IF(OR($B1785="",$K1785=""),"",($K1785-IF($L1785="",0,$L1785)*IFERROR(VLOOKUP("P01",ParamTbl,3,0),1.5))*(1-IF(IFERROR(VLOOKUP($E1785,OpTbl,3,0),"")="خرید",IFERROR(VLOOKUP("P02",ParamTbl,3,0),1),0)/100))</f>
        <v/>
      </c>
      <c r="N1785" s="14" t="n"/>
      <c r="O1785" s="13" t="n"/>
    </row>
    <row r="1786">
      <c r="A1786" s="11">
        <f>IF($B1786="","",COUNTA($B$9:$B1786))</f>
        <v/>
      </c>
      <c r="B1786" s="12" t="n"/>
      <c r="C1786" s="12" t="n"/>
      <c r="D1786" s="12" t="n"/>
      <c r="E1786" s="13" t="n"/>
      <c r="F1786" s="11">
        <f>IF($E1786="","",IFERROR(VLOOKUP($E1786,OpTbl,2,0),""))</f>
        <v/>
      </c>
      <c r="G1786" s="12" t="n"/>
      <c r="H1786" s="11">
        <f>IF($G1786="","",IFERROR(IF(VLOOKUP($G1786,AcctTbl,4,0)="","(بدون نام)",VLOOKUP($G1786,AcctTbl,4,0)),"کد ناشناخته"))</f>
        <v/>
      </c>
      <c r="I1786" s="13" t="n"/>
      <c r="J1786" s="13" t="n"/>
      <c r="K1786" s="14" t="n"/>
      <c r="L1786" s="14" t="n"/>
      <c r="M1786" s="15">
        <f>IF(OR($B1786="",$K1786=""),"",($K1786-IF($L1786="",0,$L1786)*IFERROR(VLOOKUP("P01",ParamTbl,3,0),1.5))*(1-IF(IFERROR(VLOOKUP($E1786,OpTbl,3,0),"")="خرید",IFERROR(VLOOKUP("P02",ParamTbl,3,0),1),0)/100))</f>
        <v/>
      </c>
      <c r="N1786" s="14" t="n"/>
      <c r="O1786" s="13" t="n"/>
    </row>
    <row r="1787">
      <c r="A1787" s="11">
        <f>IF($B1787="","",COUNTA($B$9:$B1787))</f>
        <v/>
      </c>
      <c r="B1787" s="12" t="n"/>
      <c r="C1787" s="12" t="n"/>
      <c r="D1787" s="12" t="n"/>
      <c r="E1787" s="13" t="n"/>
      <c r="F1787" s="11">
        <f>IF($E1787="","",IFERROR(VLOOKUP($E1787,OpTbl,2,0),""))</f>
        <v/>
      </c>
      <c r="G1787" s="12" t="n"/>
      <c r="H1787" s="11">
        <f>IF($G1787="","",IFERROR(IF(VLOOKUP($G1787,AcctTbl,4,0)="","(بدون نام)",VLOOKUP($G1787,AcctTbl,4,0)),"کد ناشناخته"))</f>
        <v/>
      </c>
      <c r="I1787" s="13" t="n"/>
      <c r="J1787" s="13" t="n"/>
      <c r="K1787" s="14" t="n"/>
      <c r="L1787" s="14" t="n"/>
      <c r="M1787" s="15">
        <f>IF(OR($B1787="",$K1787=""),"",($K1787-IF($L1787="",0,$L1787)*IFERROR(VLOOKUP("P01",ParamTbl,3,0),1.5))*(1-IF(IFERROR(VLOOKUP($E1787,OpTbl,3,0),"")="خرید",IFERROR(VLOOKUP("P02",ParamTbl,3,0),1),0)/100))</f>
        <v/>
      </c>
      <c r="N1787" s="14" t="n"/>
      <c r="O1787" s="13" t="n"/>
    </row>
    <row r="1788">
      <c r="A1788" s="11">
        <f>IF($B1788="","",COUNTA($B$9:$B1788))</f>
        <v/>
      </c>
      <c r="B1788" s="12" t="n"/>
      <c r="C1788" s="12" t="n"/>
      <c r="D1788" s="12" t="n"/>
      <c r="E1788" s="13" t="n"/>
      <c r="F1788" s="11">
        <f>IF($E1788="","",IFERROR(VLOOKUP($E1788,OpTbl,2,0),""))</f>
        <v/>
      </c>
      <c r="G1788" s="12" t="n"/>
      <c r="H1788" s="11">
        <f>IF($G1788="","",IFERROR(IF(VLOOKUP($G1788,AcctTbl,4,0)="","(بدون نام)",VLOOKUP($G1788,AcctTbl,4,0)),"کد ناشناخته"))</f>
        <v/>
      </c>
      <c r="I1788" s="13" t="n"/>
      <c r="J1788" s="13" t="n"/>
      <c r="K1788" s="14" t="n"/>
      <c r="L1788" s="14" t="n"/>
      <c r="M1788" s="15">
        <f>IF(OR($B1788="",$K1788=""),"",($K1788-IF($L1788="",0,$L1788)*IFERROR(VLOOKUP("P01",ParamTbl,3,0),1.5))*(1-IF(IFERROR(VLOOKUP($E1788,OpTbl,3,0),"")="خرید",IFERROR(VLOOKUP("P02",ParamTbl,3,0),1),0)/100))</f>
        <v/>
      </c>
      <c r="N1788" s="14" t="n"/>
      <c r="O1788" s="13" t="n"/>
    </row>
    <row r="1789">
      <c r="A1789" s="11">
        <f>IF($B1789="","",COUNTA($B$9:$B1789))</f>
        <v/>
      </c>
      <c r="B1789" s="12" t="n"/>
      <c r="C1789" s="12" t="n"/>
      <c r="D1789" s="12" t="n"/>
      <c r="E1789" s="13" t="n"/>
      <c r="F1789" s="11">
        <f>IF($E1789="","",IFERROR(VLOOKUP($E1789,OpTbl,2,0),""))</f>
        <v/>
      </c>
      <c r="G1789" s="12" t="n"/>
      <c r="H1789" s="11">
        <f>IF($G1789="","",IFERROR(IF(VLOOKUP($G1789,AcctTbl,4,0)="","(بدون نام)",VLOOKUP($G1789,AcctTbl,4,0)),"کد ناشناخته"))</f>
        <v/>
      </c>
      <c r="I1789" s="13" t="n"/>
      <c r="J1789" s="13" t="n"/>
      <c r="K1789" s="14" t="n"/>
      <c r="L1789" s="14" t="n"/>
      <c r="M1789" s="15">
        <f>IF(OR($B1789="",$K1789=""),"",($K1789-IF($L1789="",0,$L1789)*IFERROR(VLOOKUP("P01",ParamTbl,3,0),1.5))*(1-IF(IFERROR(VLOOKUP($E1789,OpTbl,3,0),"")="خرید",IFERROR(VLOOKUP("P02",ParamTbl,3,0),1),0)/100))</f>
        <v/>
      </c>
      <c r="N1789" s="14" t="n"/>
      <c r="O1789" s="13" t="n"/>
    </row>
    <row r="1790">
      <c r="A1790" s="11">
        <f>IF($B1790="","",COUNTA($B$9:$B1790))</f>
        <v/>
      </c>
      <c r="B1790" s="12" t="n"/>
      <c r="C1790" s="12" t="n"/>
      <c r="D1790" s="12" t="n"/>
      <c r="E1790" s="13" t="n"/>
      <c r="F1790" s="11">
        <f>IF($E1790="","",IFERROR(VLOOKUP($E1790,OpTbl,2,0),""))</f>
        <v/>
      </c>
      <c r="G1790" s="12" t="n"/>
      <c r="H1790" s="11">
        <f>IF($G1790="","",IFERROR(IF(VLOOKUP($G1790,AcctTbl,4,0)="","(بدون نام)",VLOOKUP($G1790,AcctTbl,4,0)),"کد ناشناخته"))</f>
        <v/>
      </c>
      <c r="I1790" s="13" t="n"/>
      <c r="J1790" s="13" t="n"/>
      <c r="K1790" s="14" t="n"/>
      <c r="L1790" s="14" t="n"/>
      <c r="M1790" s="15">
        <f>IF(OR($B1790="",$K1790=""),"",($K1790-IF($L1790="",0,$L1790)*IFERROR(VLOOKUP("P01",ParamTbl,3,0),1.5))*(1-IF(IFERROR(VLOOKUP($E1790,OpTbl,3,0),"")="خرید",IFERROR(VLOOKUP("P02",ParamTbl,3,0),1),0)/100))</f>
        <v/>
      </c>
      <c r="N1790" s="14" t="n"/>
      <c r="O1790" s="13" t="n"/>
    </row>
    <row r="1791">
      <c r="A1791" s="11">
        <f>IF($B1791="","",COUNTA($B$9:$B1791))</f>
        <v/>
      </c>
      <c r="B1791" s="12" t="n"/>
      <c r="C1791" s="12" t="n"/>
      <c r="D1791" s="12" t="n"/>
      <c r="E1791" s="13" t="n"/>
      <c r="F1791" s="11">
        <f>IF($E1791="","",IFERROR(VLOOKUP($E1791,OpTbl,2,0),""))</f>
        <v/>
      </c>
      <c r="G1791" s="12" t="n"/>
      <c r="H1791" s="11">
        <f>IF($G1791="","",IFERROR(IF(VLOOKUP($G1791,AcctTbl,4,0)="","(بدون نام)",VLOOKUP($G1791,AcctTbl,4,0)),"کد ناشناخته"))</f>
        <v/>
      </c>
      <c r="I1791" s="13" t="n"/>
      <c r="J1791" s="13" t="n"/>
      <c r="K1791" s="14" t="n"/>
      <c r="L1791" s="14" t="n"/>
      <c r="M1791" s="15">
        <f>IF(OR($B1791="",$K1791=""),"",($K1791-IF($L1791="",0,$L1791)*IFERROR(VLOOKUP("P01",ParamTbl,3,0),1.5))*(1-IF(IFERROR(VLOOKUP($E1791,OpTbl,3,0),"")="خرید",IFERROR(VLOOKUP("P02",ParamTbl,3,0),1),0)/100))</f>
        <v/>
      </c>
      <c r="N1791" s="14" t="n"/>
      <c r="O1791" s="13" t="n"/>
    </row>
    <row r="1792">
      <c r="A1792" s="11">
        <f>IF($B1792="","",COUNTA($B$9:$B1792))</f>
        <v/>
      </c>
      <c r="B1792" s="12" t="n"/>
      <c r="C1792" s="12" t="n"/>
      <c r="D1792" s="12" t="n"/>
      <c r="E1792" s="13" t="n"/>
      <c r="F1792" s="11">
        <f>IF($E1792="","",IFERROR(VLOOKUP($E1792,OpTbl,2,0),""))</f>
        <v/>
      </c>
      <c r="G1792" s="12" t="n"/>
      <c r="H1792" s="11">
        <f>IF($G1792="","",IFERROR(IF(VLOOKUP($G1792,AcctTbl,4,0)="","(بدون نام)",VLOOKUP($G1792,AcctTbl,4,0)),"کد ناشناخته"))</f>
        <v/>
      </c>
      <c r="I1792" s="13" t="n"/>
      <c r="J1792" s="13" t="n"/>
      <c r="K1792" s="14" t="n"/>
      <c r="L1792" s="14" t="n"/>
      <c r="M1792" s="15">
        <f>IF(OR($B1792="",$K1792=""),"",($K1792-IF($L1792="",0,$L1792)*IFERROR(VLOOKUP("P01",ParamTbl,3,0),1.5))*(1-IF(IFERROR(VLOOKUP($E1792,OpTbl,3,0),"")="خرید",IFERROR(VLOOKUP("P02",ParamTbl,3,0),1),0)/100))</f>
        <v/>
      </c>
      <c r="N1792" s="14" t="n"/>
      <c r="O1792" s="13" t="n"/>
    </row>
    <row r="1793">
      <c r="A1793" s="11">
        <f>IF($B1793="","",COUNTA($B$9:$B1793))</f>
        <v/>
      </c>
      <c r="B1793" s="12" t="n"/>
      <c r="C1793" s="12" t="n"/>
      <c r="D1793" s="12" t="n"/>
      <c r="E1793" s="13" t="n"/>
      <c r="F1793" s="11">
        <f>IF($E1793="","",IFERROR(VLOOKUP($E1793,OpTbl,2,0),""))</f>
        <v/>
      </c>
      <c r="G1793" s="12" t="n"/>
      <c r="H1793" s="11">
        <f>IF($G1793="","",IFERROR(IF(VLOOKUP($G1793,AcctTbl,4,0)="","(بدون نام)",VLOOKUP($G1793,AcctTbl,4,0)),"کد ناشناخته"))</f>
        <v/>
      </c>
      <c r="I1793" s="13" t="n"/>
      <c r="J1793" s="13" t="n"/>
      <c r="K1793" s="14" t="n"/>
      <c r="L1793" s="14" t="n"/>
      <c r="M1793" s="15">
        <f>IF(OR($B1793="",$K1793=""),"",($K1793-IF($L1793="",0,$L1793)*IFERROR(VLOOKUP("P01",ParamTbl,3,0),1.5))*(1-IF(IFERROR(VLOOKUP($E1793,OpTbl,3,0),"")="خرید",IFERROR(VLOOKUP("P02",ParamTbl,3,0),1),0)/100))</f>
        <v/>
      </c>
      <c r="N1793" s="14" t="n"/>
      <c r="O1793" s="13" t="n"/>
    </row>
    <row r="1794">
      <c r="A1794" s="11">
        <f>IF($B1794="","",COUNTA($B$9:$B1794))</f>
        <v/>
      </c>
      <c r="B1794" s="12" t="n"/>
      <c r="C1794" s="12" t="n"/>
      <c r="D1794" s="12" t="n"/>
      <c r="E1794" s="13" t="n"/>
      <c r="F1794" s="11">
        <f>IF($E1794="","",IFERROR(VLOOKUP($E1794,OpTbl,2,0),""))</f>
        <v/>
      </c>
      <c r="G1794" s="12" t="n"/>
      <c r="H1794" s="11">
        <f>IF($G1794="","",IFERROR(IF(VLOOKUP($G1794,AcctTbl,4,0)="","(بدون نام)",VLOOKUP($G1794,AcctTbl,4,0)),"کد ناشناخته"))</f>
        <v/>
      </c>
      <c r="I1794" s="13" t="n"/>
      <c r="J1794" s="13" t="n"/>
      <c r="K1794" s="14" t="n"/>
      <c r="L1794" s="14" t="n"/>
      <c r="M1794" s="15">
        <f>IF(OR($B1794="",$K1794=""),"",($K1794-IF($L1794="",0,$L1794)*IFERROR(VLOOKUP("P01",ParamTbl,3,0),1.5))*(1-IF(IFERROR(VLOOKUP($E1794,OpTbl,3,0),"")="خرید",IFERROR(VLOOKUP("P02",ParamTbl,3,0),1),0)/100))</f>
        <v/>
      </c>
      <c r="N1794" s="14" t="n"/>
      <c r="O1794" s="13" t="n"/>
    </row>
    <row r="1795">
      <c r="A1795" s="11">
        <f>IF($B1795="","",COUNTA($B$9:$B1795))</f>
        <v/>
      </c>
      <c r="B1795" s="12" t="n"/>
      <c r="C1795" s="12" t="n"/>
      <c r="D1795" s="12" t="n"/>
      <c r="E1795" s="13" t="n"/>
      <c r="F1795" s="11">
        <f>IF($E1795="","",IFERROR(VLOOKUP($E1795,OpTbl,2,0),""))</f>
        <v/>
      </c>
      <c r="G1795" s="12" t="n"/>
      <c r="H1795" s="11">
        <f>IF($G1795="","",IFERROR(IF(VLOOKUP($G1795,AcctTbl,4,0)="","(بدون نام)",VLOOKUP($G1795,AcctTbl,4,0)),"کد ناشناخته"))</f>
        <v/>
      </c>
      <c r="I1795" s="13" t="n"/>
      <c r="J1795" s="13" t="n"/>
      <c r="K1795" s="14" t="n"/>
      <c r="L1795" s="14" t="n"/>
      <c r="M1795" s="15">
        <f>IF(OR($B1795="",$K1795=""),"",($K1795-IF($L1795="",0,$L1795)*IFERROR(VLOOKUP("P01",ParamTbl,3,0),1.5))*(1-IF(IFERROR(VLOOKUP($E1795,OpTbl,3,0),"")="خرید",IFERROR(VLOOKUP("P02",ParamTbl,3,0),1),0)/100))</f>
        <v/>
      </c>
      <c r="N1795" s="14" t="n"/>
      <c r="O1795" s="13" t="n"/>
    </row>
    <row r="1796">
      <c r="A1796" s="11">
        <f>IF($B1796="","",COUNTA($B$9:$B1796))</f>
        <v/>
      </c>
      <c r="B1796" s="12" t="n"/>
      <c r="C1796" s="12" t="n"/>
      <c r="D1796" s="12" t="n"/>
      <c r="E1796" s="13" t="n"/>
      <c r="F1796" s="11">
        <f>IF($E1796="","",IFERROR(VLOOKUP($E1796,OpTbl,2,0),""))</f>
        <v/>
      </c>
      <c r="G1796" s="12" t="n"/>
      <c r="H1796" s="11">
        <f>IF($G1796="","",IFERROR(IF(VLOOKUP($G1796,AcctTbl,4,0)="","(بدون نام)",VLOOKUP($G1796,AcctTbl,4,0)),"کد ناشناخته"))</f>
        <v/>
      </c>
      <c r="I1796" s="13" t="n"/>
      <c r="J1796" s="13" t="n"/>
      <c r="K1796" s="14" t="n"/>
      <c r="L1796" s="14" t="n"/>
      <c r="M1796" s="15">
        <f>IF(OR($B1796="",$K1796=""),"",($K1796-IF($L1796="",0,$L1796)*IFERROR(VLOOKUP("P01",ParamTbl,3,0),1.5))*(1-IF(IFERROR(VLOOKUP($E1796,OpTbl,3,0),"")="خرید",IFERROR(VLOOKUP("P02",ParamTbl,3,0),1),0)/100))</f>
        <v/>
      </c>
      <c r="N1796" s="14" t="n"/>
      <c r="O1796" s="13" t="n"/>
    </row>
    <row r="1797">
      <c r="A1797" s="11">
        <f>IF($B1797="","",COUNTA($B$9:$B1797))</f>
        <v/>
      </c>
      <c r="B1797" s="12" t="n"/>
      <c r="C1797" s="12" t="n"/>
      <c r="D1797" s="12" t="n"/>
      <c r="E1797" s="13" t="n"/>
      <c r="F1797" s="11">
        <f>IF($E1797="","",IFERROR(VLOOKUP($E1797,OpTbl,2,0),""))</f>
        <v/>
      </c>
      <c r="G1797" s="12" t="n"/>
      <c r="H1797" s="11">
        <f>IF($G1797="","",IFERROR(IF(VLOOKUP($G1797,AcctTbl,4,0)="","(بدون نام)",VLOOKUP($G1797,AcctTbl,4,0)),"کد ناشناخته"))</f>
        <v/>
      </c>
      <c r="I1797" s="13" t="n"/>
      <c r="J1797" s="13" t="n"/>
      <c r="K1797" s="14" t="n"/>
      <c r="L1797" s="14" t="n"/>
      <c r="M1797" s="15">
        <f>IF(OR($B1797="",$K1797=""),"",($K1797-IF($L1797="",0,$L1797)*IFERROR(VLOOKUP("P01",ParamTbl,3,0),1.5))*(1-IF(IFERROR(VLOOKUP($E1797,OpTbl,3,0),"")="خرید",IFERROR(VLOOKUP("P02",ParamTbl,3,0),1),0)/100))</f>
        <v/>
      </c>
      <c r="N1797" s="14" t="n"/>
      <c r="O1797" s="13" t="n"/>
    </row>
    <row r="1798">
      <c r="A1798" s="11">
        <f>IF($B1798="","",COUNTA($B$9:$B1798))</f>
        <v/>
      </c>
      <c r="B1798" s="12" t="n"/>
      <c r="C1798" s="12" t="n"/>
      <c r="D1798" s="12" t="n"/>
      <c r="E1798" s="13" t="n"/>
      <c r="F1798" s="11">
        <f>IF($E1798="","",IFERROR(VLOOKUP($E1798,OpTbl,2,0),""))</f>
        <v/>
      </c>
      <c r="G1798" s="12" t="n"/>
      <c r="H1798" s="11">
        <f>IF($G1798="","",IFERROR(IF(VLOOKUP($G1798,AcctTbl,4,0)="","(بدون نام)",VLOOKUP($G1798,AcctTbl,4,0)),"کد ناشناخته"))</f>
        <v/>
      </c>
      <c r="I1798" s="13" t="n"/>
      <c r="J1798" s="13" t="n"/>
      <c r="K1798" s="14" t="n"/>
      <c r="L1798" s="14" t="n"/>
      <c r="M1798" s="15">
        <f>IF(OR($B1798="",$K1798=""),"",($K1798-IF($L1798="",0,$L1798)*IFERROR(VLOOKUP("P01",ParamTbl,3,0),1.5))*(1-IF(IFERROR(VLOOKUP($E1798,OpTbl,3,0),"")="خرید",IFERROR(VLOOKUP("P02",ParamTbl,3,0),1),0)/100))</f>
        <v/>
      </c>
      <c r="N1798" s="14" t="n"/>
      <c r="O1798" s="13" t="n"/>
    </row>
    <row r="1799">
      <c r="A1799" s="11">
        <f>IF($B1799="","",COUNTA($B$9:$B1799))</f>
        <v/>
      </c>
      <c r="B1799" s="12" t="n"/>
      <c r="C1799" s="12" t="n"/>
      <c r="D1799" s="12" t="n"/>
      <c r="E1799" s="13" t="n"/>
      <c r="F1799" s="11">
        <f>IF($E1799="","",IFERROR(VLOOKUP($E1799,OpTbl,2,0),""))</f>
        <v/>
      </c>
      <c r="G1799" s="12" t="n"/>
      <c r="H1799" s="11">
        <f>IF($G1799="","",IFERROR(IF(VLOOKUP($G1799,AcctTbl,4,0)="","(بدون نام)",VLOOKUP($G1799,AcctTbl,4,0)),"کد ناشناخته"))</f>
        <v/>
      </c>
      <c r="I1799" s="13" t="n"/>
      <c r="J1799" s="13" t="n"/>
      <c r="K1799" s="14" t="n"/>
      <c r="L1799" s="14" t="n"/>
      <c r="M1799" s="15">
        <f>IF(OR($B1799="",$K1799=""),"",($K1799-IF($L1799="",0,$L1799)*IFERROR(VLOOKUP("P01",ParamTbl,3,0),1.5))*(1-IF(IFERROR(VLOOKUP($E1799,OpTbl,3,0),"")="خرید",IFERROR(VLOOKUP("P02",ParamTbl,3,0),1),0)/100))</f>
        <v/>
      </c>
      <c r="N1799" s="14" t="n"/>
      <c r="O1799" s="13" t="n"/>
    </row>
    <row r="1800">
      <c r="A1800" s="11">
        <f>IF($B1800="","",COUNTA($B$9:$B1800))</f>
        <v/>
      </c>
      <c r="B1800" s="12" t="n"/>
      <c r="C1800" s="12" t="n"/>
      <c r="D1800" s="12" t="n"/>
      <c r="E1800" s="13" t="n"/>
      <c r="F1800" s="11">
        <f>IF($E1800="","",IFERROR(VLOOKUP($E1800,OpTbl,2,0),""))</f>
        <v/>
      </c>
      <c r="G1800" s="12" t="n"/>
      <c r="H1800" s="11">
        <f>IF($G1800="","",IFERROR(IF(VLOOKUP($G1800,AcctTbl,4,0)="","(بدون نام)",VLOOKUP($G1800,AcctTbl,4,0)),"کد ناشناخته"))</f>
        <v/>
      </c>
      <c r="I1800" s="13" t="n"/>
      <c r="J1800" s="13" t="n"/>
      <c r="K1800" s="14" t="n"/>
      <c r="L1800" s="14" t="n"/>
      <c r="M1800" s="15">
        <f>IF(OR($B1800="",$K1800=""),"",($K1800-IF($L1800="",0,$L1800)*IFERROR(VLOOKUP("P01",ParamTbl,3,0),1.5))*(1-IF(IFERROR(VLOOKUP($E1800,OpTbl,3,0),"")="خرید",IFERROR(VLOOKUP("P02",ParamTbl,3,0),1),0)/100))</f>
        <v/>
      </c>
      <c r="N1800" s="14" t="n"/>
      <c r="O1800" s="13" t="n"/>
    </row>
    <row r="1801">
      <c r="A1801" s="11">
        <f>IF($B1801="","",COUNTA($B$9:$B1801))</f>
        <v/>
      </c>
      <c r="B1801" s="12" t="n"/>
      <c r="C1801" s="12" t="n"/>
      <c r="D1801" s="12" t="n"/>
      <c r="E1801" s="13" t="n"/>
      <c r="F1801" s="11">
        <f>IF($E1801="","",IFERROR(VLOOKUP($E1801,OpTbl,2,0),""))</f>
        <v/>
      </c>
      <c r="G1801" s="12" t="n"/>
      <c r="H1801" s="11">
        <f>IF($G1801="","",IFERROR(IF(VLOOKUP($G1801,AcctTbl,4,0)="","(بدون نام)",VLOOKUP($G1801,AcctTbl,4,0)),"کد ناشناخته"))</f>
        <v/>
      </c>
      <c r="I1801" s="13" t="n"/>
      <c r="J1801" s="13" t="n"/>
      <c r="K1801" s="14" t="n"/>
      <c r="L1801" s="14" t="n"/>
      <c r="M1801" s="15">
        <f>IF(OR($B1801="",$K1801=""),"",($K1801-IF($L1801="",0,$L1801)*IFERROR(VLOOKUP("P01",ParamTbl,3,0),1.5))*(1-IF(IFERROR(VLOOKUP($E1801,OpTbl,3,0),"")="خرید",IFERROR(VLOOKUP("P02",ParamTbl,3,0),1),0)/100))</f>
        <v/>
      </c>
      <c r="N1801" s="14" t="n"/>
      <c r="O1801" s="13" t="n"/>
    </row>
    <row r="1802">
      <c r="A1802" s="11">
        <f>IF($B1802="","",COUNTA($B$9:$B1802))</f>
        <v/>
      </c>
      <c r="B1802" s="12" t="n"/>
      <c r="C1802" s="12" t="n"/>
      <c r="D1802" s="12" t="n"/>
      <c r="E1802" s="13" t="n"/>
      <c r="F1802" s="11">
        <f>IF($E1802="","",IFERROR(VLOOKUP($E1802,OpTbl,2,0),""))</f>
        <v/>
      </c>
      <c r="G1802" s="12" t="n"/>
      <c r="H1802" s="11">
        <f>IF($G1802="","",IFERROR(IF(VLOOKUP($G1802,AcctTbl,4,0)="","(بدون نام)",VLOOKUP($G1802,AcctTbl,4,0)),"کد ناشناخته"))</f>
        <v/>
      </c>
      <c r="I1802" s="13" t="n"/>
      <c r="J1802" s="13" t="n"/>
      <c r="K1802" s="14" t="n"/>
      <c r="L1802" s="14" t="n"/>
      <c r="M1802" s="15">
        <f>IF(OR($B1802="",$K1802=""),"",($K1802-IF($L1802="",0,$L1802)*IFERROR(VLOOKUP("P01",ParamTbl,3,0),1.5))*(1-IF(IFERROR(VLOOKUP($E1802,OpTbl,3,0),"")="خرید",IFERROR(VLOOKUP("P02",ParamTbl,3,0),1),0)/100))</f>
        <v/>
      </c>
      <c r="N1802" s="14" t="n"/>
      <c r="O1802" s="13" t="n"/>
    </row>
    <row r="1803">
      <c r="A1803" s="11">
        <f>IF($B1803="","",COUNTA($B$9:$B1803))</f>
        <v/>
      </c>
      <c r="B1803" s="12" t="n"/>
      <c r="C1803" s="12" t="n"/>
      <c r="D1803" s="12" t="n"/>
      <c r="E1803" s="13" t="n"/>
      <c r="F1803" s="11">
        <f>IF($E1803="","",IFERROR(VLOOKUP($E1803,OpTbl,2,0),""))</f>
        <v/>
      </c>
      <c r="G1803" s="12" t="n"/>
      <c r="H1803" s="11">
        <f>IF($G1803="","",IFERROR(IF(VLOOKUP($G1803,AcctTbl,4,0)="","(بدون نام)",VLOOKUP($G1803,AcctTbl,4,0)),"کد ناشناخته"))</f>
        <v/>
      </c>
      <c r="I1803" s="13" t="n"/>
      <c r="J1803" s="13" t="n"/>
      <c r="K1803" s="14" t="n"/>
      <c r="L1803" s="14" t="n"/>
      <c r="M1803" s="15">
        <f>IF(OR($B1803="",$K1803=""),"",($K1803-IF($L1803="",0,$L1803)*IFERROR(VLOOKUP("P01",ParamTbl,3,0),1.5))*(1-IF(IFERROR(VLOOKUP($E1803,OpTbl,3,0),"")="خرید",IFERROR(VLOOKUP("P02",ParamTbl,3,0),1),0)/100))</f>
        <v/>
      </c>
      <c r="N1803" s="14" t="n"/>
      <c r="O1803" s="13" t="n"/>
    </row>
    <row r="1804">
      <c r="A1804" s="11">
        <f>IF($B1804="","",COUNTA($B$9:$B1804))</f>
        <v/>
      </c>
      <c r="B1804" s="12" t="n"/>
      <c r="C1804" s="12" t="n"/>
      <c r="D1804" s="12" t="n"/>
      <c r="E1804" s="13" t="n"/>
      <c r="F1804" s="11">
        <f>IF($E1804="","",IFERROR(VLOOKUP($E1804,OpTbl,2,0),""))</f>
        <v/>
      </c>
      <c r="G1804" s="12" t="n"/>
      <c r="H1804" s="11">
        <f>IF($G1804="","",IFERROR(IF(VLOOKUP($G1804,AcctTbl,4,0)="","(بدون نام)",VLOOKUP($G1804,AcctTbl,4,0)),"کد ناشناخته"))</f>
        <v/>
      </c>
      <c r="I1804" s="13" t="n"/>
      <c r="J1804" s="13" t="n"/>
      <c r="K1804" s="14" t="n"/>
      <c r="L1804" s="14" t="n"/>
      <c r="M1804" s="15">
        <f>IF(OR($B1804="",$K1804=""),"",($K1804-IF($L1804="",0,$L1804)*IFERROR(VLOOKUP("P01",ParamTbl,3,0),1.5))*(1-IF(IFERROR(VLOOKUP($E1804,OpTbl,3,0),"")="خرید",IFERROR(VLOOKUP("P02",ParamTbl,3,0),1),0)/100))</f>
        <v/>
      </c>
      <c r="N1804" s="14" t="n"/>
      <c r="O1804" s="13" t="n"/>
    </row>
    <row r="1805">
      <c r="A1805" s="11">
        <f>IF($B1805="","",COUNTA($B$9:$B1805))</f>
        <v/>
      </c>
      <c r="B1805" s="12" t="n"/>
      <c r="C1805" s="12" t="n"/>
      <c r="D1805" s="12" t="n"/>
      <c r="E1805" s="13" t="n"/>
      <c r="F1805" s="11">
        <f>IF($E1805="","",IFERROR(VLOOKUP($E1805,OpTbl,2,0),""))</f>
        <v/>
      </c>
      <c r="G1805" s="12" t="n"/>
      <c r="H1805" s="11">
        <f>IF($G1805="","",IFERROR(IF(VLOOKUP($G1805,AcctTbl,4,0)="","(بدون نام)",VLOOKUP($G1805,AcctTbl,4,0)),"کد ناشناخته"))</f>
        <v/>
      </c>
      <c r="I1805" s="13" t="n"/>
      <c r="J1805" s="13" t="n"/>
      <c r="K1805" s="14" t="n"/>
      <c r="L1805" s="14" t="n"/>
      <c r="M1805" s="15">
        <f>IF(OR($B1805="",$K1805=""),"",($K1805-IF($L1805="",0,$L1805)*IFERROR(VLOOKUP("P01",ParamTbl,3,0),1.5))*(1-IF(IFERROR(VLOOKUP($E1805,OpTbl,3,0),"")="خرید",IFERROR(VLOOKUP("P02",ParamTbl,3,0),1),0)/100))</f>
        <v/>
      </c>
      <c r="N1805" s="14" t="n"/>
      <c r="O1805" s="13" t="n"/>
    </row>
    <row r="1806">
      <c r="A1806" s="11">
        <f>IF($B1806="","",COUNTA($B$9:$B1806))</f>
        <v/>
      </c>
      <c r="B1806" s="12" t="n"/>
      <c r="C1806" s="12" t="n"/>
      <c r="D1806" s="12" t="n"/>
      <c r="E1806" s="13" t="n"/>
      <c r="F1806" s="11">
        <f>IF($E1806="","",IFERROR(VLOOKUP($E1806,OpTbl,2,0),""))</f>
        <v/>
      </c>
      <c r="G1806" s="12" t="n"/>
      <c r="H1806" s="11">
        <f>IF($G1806="","",IFERROR(IF(VLOOKUP($G1806,AcctTbl,4,0)="","(بدون نام)",VLOOKUP($G1806,AcctTbl,4,0)),"کد ناشناخته"))</f>
        <v/>
      </c>
      <c r="I1806" s="13" t="n"/>
      <c r="J1806" s="13" t="n"/>
      <c r="K1806" s="14" t="n"/>
      <c r="L1806" s="14" t="n"/>
      <c r="M1806" s="15">
        <f>IF(OR($B1806="",$K1806=""),"",($K1806-IF($L1806="",0,$L1806)*IFERROR(VLOOKUP("P01",ParamTbl,3,0),1.5))*(1-IF(IFERROR(VLOOKUP($E1806,OpTbl,3,0),"")="خرید",IFERROR(VLOOKUP("P02",ParamTbl,3,0),1),0)/100))</f>
        <v/>
      </c>
      <c r="N1806" s="14" t="n"/>
      <c r="O1806" s="13" t="n"/>
    </row>
    <row r="1807">
      <c r="A1807" s="11">
        <f>IF($B1807="","",COUNTA($B$9:$B1807))</f>
        <v/>
      </c>
      <c r="B1807" s="12" t="n"/>
      <c r="C1807" s="12" t="n"/>
      <c r="D1807" s="12" t="n"/>
      <c r="E1807" s="13" t="n"/>
      <c r="F1807" s="11">
        <f>IF($E1807="","",IFERROR(VLOOKUP($E1807,OpTbl,2,0),""))</f>
        <v/>
      </c>
      <c r="G1807" s="12" t="n"/>
      <c r="H1807" s="11">
        <f>IF($G1807="","",IFERROR(IF(VLOOKUP($G1807,AcctTbl,4,0)="","(بدون نام)",VLOOKUP($G1807,AcctTbl,4,0)),"کد ناشناخته"))</f>
        <v/>
      </c>
      <c r="I1807" s="13" t="n"/>
      <c r="J1807" s="13" t="n"/>
      <c r="K1807" s="14" t="n"/>
      <c r="L1807" s="14" t="n"/>
      <c r="M1807" s="15">
        <f>IF(OR($B1807="",$K1807=""),"",($K1807-IF($L1807="",0,$L1807)*IFERROR(VLOOKUP("P01",ParamTbl,3,0),1.5))*(1-IF(IFERROR(VLOOKUP($E1807,OpTbl,3,0),"")="خرید",IFERROR(VLOOKUP("P02",ParamTbl,3,0),1),0)/100))</f>
        <v/>
      </c>
      <c r="N1807" s="14" t="n"/>
      <c r="O1807" s="13" t="n"/>
    </row>
    <row r="1808">
      <c r="A1808" s="11">
        <f>IF($B1808="","",COUNTA($B$9:$B1808))</f>
        <v/>
      </c>
      <c r="B1808" s="12" t="n"/>
      <c r="C1808" s="12" t="n"/>
      <c r="D1808" s="12" t="n"/>
      <c r="E1808" s="13" t="n"/>
      <c r="F1808" s="11">
        <f>IF($E1808="","",IFERROR(VLOOKUP($E1808,OpTbl,2,0),""))</f>
        <v/>
      </c>
      <c r="G1808" s="12" t="n"/>
      <c r="H1808" s="11">
        <f>IF($G1808="","",IFERROR(IF(VLOOKUP($G1808,AcctTbl,4,0)="","(بدون نام)",VLOOKUP($G1808,AcctTbl,4,0)),"کد ناشناخته"))</f>
        <v/>
      </c>
      <c r="I1808" s="13" t="n"/>
      <c r="J1808" s="13" t="n"/>
      <c r="K1808" s="14" t="n"/>
      <c r="L1808" s="14" t="n"/>
      <c r="M1808" s="15">
        <f>IF(OR($B1808="",$K1808=""),"",($K1808-IF($L1808="",0,$L1808)*IFERROR(VLOOKUP("P01",ParamTbl,3,0),1.5))*(1-IF(IFERROR(VLOOKUP($E1808,OpTbl,3,0),"")="خرید",IFERROR(VLOOKUP("P02",ParamTbl,3,0),1),0)/100))</f>
        <v/>
      </c>
      <c r="N1808" s="14" t="n"/>
      <c r="O1808" s="13" t="n"/>
    </row>
    <row r="1809">
      <c r="A1809" s="11">
        <f>IF($B1809="","",COUNTA($B$9:$B1809))</f>
        <v/>
      </c>
      <c r="B1809" s="12" t="n"/>
      <c r="C1809" s="12" t="n"/>
      <c r="D1809" s="12" t="n"/>
      <c r="E1809" s="13" t="n"/>
      <c r="F1809" s="11">
        <f>IF($E1809="","",IFERROR(VLOOKUP($E1809,OpTbl,2,0),""))</f>
        <v/>
      </c>
      <c r="G1809" s="12" t="n"/>
      <c r="H1809" s="11">
        <f>IF($G1809="","",IFERROR(IF(VLOOKUP($G1809,AcctTbl,4,0)="","(بدون نام)",VLOOKUP($G1809,AcctTbl,4,0)),"کد ناشناخته"))</f>
        <v/>
      </c>
      <c r="I1809" s="13" t="n"/>
      <c r="J1809" s="13" t="n"/>
      <c r="K1809" s="14" t="n"/>
      <c r="L1809" s="14" t="n"/>
      <c r="M1809" s="15">
        <f>IF(OR($B1809="",$K1809=""),"",($K1809-IF($L1809="",0,$L1809)*IFERROR(VLOOKUP("P01",ParamTbl,3,0),1.5))*(1-IF(IFERROR(VLOOKUP($E1809,OpTbl,3,0),"")="خرید",IFERROR(VLOOKUP("P02",ParamTbl,3,0),1),0)/100))</f>
        <v/>
      </c>
      <c r="N1809" s="14" t="n"/>
      <c r="O1809" s="13" t="n"/>
    </row>
    <row r="1810">
      <c r="A1810" s="11">
        <f>IF($B1810="","",COUNTA($B$9:$B1810))</f>
        <v/>
      </c>
      <c r="B1810" s="12" t="n"/>
      <c r="C1810" s="12" t="n"/>
      <c r="D1810" s="12" t="n"/>
      <c r="E1810" s="13" t="n"/>
      <c r="F1810" s="11">
        <f>IF($E1810="","",IFERROR(VLOOKUP($E1810,OpTbl,2,0),""))</f>
        <v/>
      </c>
      <c r="G1810" s="12" t="n"/>
      <c r="H1810" s="11">
        <f>IF($G1810="","",IFERROR(IF(VLOOKUP($G1810,AcctTbl,4,0)="","(بدون نام)",VLOOKUP($G1810,AcctTbl,4,0)),"کد ناشناخته"))</f>
        <v/>
      </c>
      <c r="I1810" s="13" t="n"/>
      <c r="J1810" s="13" t="n"/>
      <c r="K1810" s="14" t="n"/>
      <c r="L1810" s="14" t="n"/>
      <c r="M1810" s="15">
        <f>IF(OR($B1810="",$K1810=""),"",($K1810-IF($L1810="",0,$L1810)*IFERROR(VLOOKUP("P01",ParamTbl,3,0),1.5))*(1-IF(IFERROR(VLOOKUP($E1810,OpTbl,3,0),"")="خرید",IFERROR(VLOOKUP("P02",ParamTbl,3,0),1),0)/100))</f>
        <v/>
      </c>
      <c r="N1810" s="14" t="n"/>
      <c r="O1810" s="13" t="n"/>
    </row>
    <row r="1811">
      <c r="A1811" s="11">
        <f>IF($B1811="","",COUNTA($B$9:$B1811))</f>
        <v/>
      </c>
      <c r="B1811" s="12" t="n"/>
      <c r="C1811" s="12" t="n"/>
      <c r="D1811" s="12" t="n"/>
      <c r="E1811" s="13" t="n"/>
      <c r="F1811" s="11">
        <f>IF($E1811="","",IFERROR(VLOOKUP($E1811,OpTbl,2,0),""))</f>
        <v/>
      </c>
      <c r="G1811" s="12" t="n"/>
      <c r="H1811" s="11">
        <f>IF($G1811="","",IFERROR(IF(VLOOKUP($G1811,AcctTbl,4,0)="","(بدون نام)",VLOOKUP($G1811,AcctTbl,4,0)),"کد ناشناخته"))</f>
        <v/>
      </c>
      <c r="I1811" s="13" t="n"/>
      <c r="J1811" s="13" t="n"/>
      <c r="K1811" s="14" t="n"/>
      <c r="L1811" s="14" t="n"/>
      <c r="M1811" s="15">
        <f>IF(OR($B1811="",$K1811=""),"",($K1811-IF($L1811="",0,$L1811)*IFERROR(VLOOKUP("P01",ParamTbl,3,0),1.5))*(1-IF(IFERROR(VLOOKUP($E1811,OpTbl,3,0),"")="خرید",IFERROR(VLOOKUP("P02",ParamTbl,3,0),1),0)/100))</f>
        <v/>
      </c>
      <c r="N1811" s="14" t="n"/>
      <c r="O1811" s="13" t="n"/>
    </row>
    <row r="1812">
      <c r="A1812" s="11">
        <f>IF($B1812="","",COUNTA($B$9:$B1812))</f>
        <v/>
      </c>
      <c r="B1812" s="12" t="n"/>
      <c r="C1812" s="12" t="n"/>
      <c r="D1812" s="12" t="n"/>
      <c r="E1812" s="13" t="n"/>
      <c r="F1812" s="11">
        <f>IF($E1812="","",IFERROR(VLOOKUP($E1812,OpTbl,2,0),""))</f>
        <v/>
      </c>
      <c r="G1812" s="12" t="n"/>
      <c r="H1812" s="11">
        <f>IF($G1812="","",IFERROR(IF(VLOOKUP($G1812,AcctTbl,4,0)="","(بدون نام)",VLOOKUP($G1812,AcctTbl,4,0)),"کد ناشناخته"))</f>
        <v/>
      </c>
      <c r="I1812" s="13" t="n"/>
      <c r="J1812" s="13" t="n"/>
      <c r="K1812" s="14" t="n"/>
      <c r="L1812" s="14" t="n"/>
      <c r="M1812" s="15">
        <f>IF(OR($B1812="",$K1812=""),"",($K1812-IF($L1812="",0,$L1812)*IFERROR(VLOOKUP("P01",ParamTbl,3,0),1.5))*(1-IF(IFERROR(VLOOKUP($E1812,OpTbl,3,0),"")="خرید",IFERROR(VLOOKUP("P02",ParamTbl,3,0),1),0)/100))</f>
        <v/>
      </c>
      <c r="N1812" s="14" t="n"/>
      <c r="O1812" s="13" t="n"/>
    </row>
    <row r="1813">
      <c r="A1813" s="11">
        <f>IF($B1813="","",COUNTA($B$9:$B1813))</f>
        <v/>
      </c>
      <c r="B1813" s="12" t="n"/>
      <c r="C1813" s="12" t="n"/>
      <c r="D1813" s="12" t="n"/>
      <c r="E1813" s="13" t="n"/>
      <c r="F1813" s="11">
        <f>IF($E1813="","",IFERROR(VLOOKUP($E1813,OpTbl,2,0),""))</f>
        <v/>
      </c>
      <c r="G1813" s="12" t="n"/>
      <c r="H1813" s="11">
        <f>IF($G1813="","",IFERROR(IF(VLOOKUP($G1813,AcctTbl,4,0)="","(بدون نام)",VLOOKUP($G1813,AcctTbl,4,0)),"کد ناشناخته"))</f>
        <v/>
      </c>
      <c r="I1813" s="13" t="n"/>
      <c r="J1813" s="13" t="n"/>
      <c r="K1813" s="14" t="n"/>
      <c r="L1813" s="14" t="n"/>
      <c r="M1813" s="15">
        <f>IF(OR($B1813="",$K1813=""),"",($K1813-IF($L1813="",0,$L1813)*IFERROR(VLOOKUP("P01",ParamTbl,3,0),1.5))*(1-IF(IFERROR(VLOOKUP($E1813,OpTbl,3,0),"")="خرید",IFERROR(VLOOKUP("P02",ParamTbl,3,0),1),0)/100))</f>
        <v/>
      </c>
      <c r="N1813" s="14" t="n"/>
      <c r="O1813" s="13" t="n"/>
    </row>
    <row r="1814">
      <c r="A1814" s="11">
        <f>IF($B1814="","",COUNTA($B$9:$B1814))</f>
        <v/>
      </c>
      <c r="B1814" s="12" t="n"/>
      <c r="C1814" s="12" t="n"/>
      <c r="D1814" s="12" t="n"/>
      <c r="E1814" s="13" t="n"/>
      <c r="F1814" s="11">
        <f>IF($E1814="","",IFERROR(VLOOKUP($E1814,OpTbl,2,0),""))</f>
        <v/>
      </c>
      <c r="G1814" s="12" t="n"/>
      <c r="H1814" s="11">
        <f>IF($G1814="","",IFERROR(IF(VLOOKUP($G1814,AcctTbl,4,0)="","(بدون نام)",VLOOKUP($G1814,AcctTbl,4,0)),"کد ناشناخته"))</f>
        <v/>
      </c>
      <c r="I1814" s="13" t="n"/>
      <c r="J1814" s="13" t="n"/>
      <c r="K1814" s="14" t="n"/>
      <c r="L1814" s="14" t="n"/>
      <c r="M1814" s="15">
        <f>IF(OR($B1814="",$K1814=""),"",($K1814-IF($L1814="",0,$L1814)*IFERROR(VLOOKUP("P01",ParamTbl,3,0),1.5))*(1-IF(IFERROR(VLOOKUP($E1814,OpTbl,3,0),"")="خرید",IFERROR(VLOOKUP("P02",ParamTbl,3,0),1),0)/100))</f>
        <v/>
      </c>
      <c r="N1814" s="14" t="n"/>
      <c r="O1814" s="13" t="n"/>
    </row>
    <row r="1815">
      <c r="A1815" s="11">
        <f>IF($B1815="","",COUNTA($B$9:$B1815))</f>
        <v/>
      </c>
      <c r="B1815" s="12" t="n"/>
      <c r="C1815" s="12" t="n"/>
      <c r="D1815" s="12" t="n"/>
      <c r="E1815" s="13" t="n"/>
      <c r="F1815" s="11">
        <f>IF($E1815="","",IFERROR(VLOOKUP($E1815,OpTbl,2,0),""))</f>
        <v/>
      </c>
      <c r="G1815" s="12" t="n"/>
      <c r="H1815" s="11">
        <f>IF($G1815="","",IFERROR(IF(VLOOKUP($G1815,AcctTbl,4,0)="","(بدون نام)",VLOOKUP($G1815,AcctTbl,4,0)),"کد ناشناخته"))</f>
        <v/>
      </c>
      <c r="I1815" s="13" t="n"/>
      <c r="J1815" s="13" t="n"/>
      <c r="K1815" s="14" t="n"/>
      <c r="L1815" s="14" t="n"/>
      <c r="M1815" s="15">
        <f>IF(OR($B1815="",$K1815=""),"",($K1815-IF($L1815="",0,$L1815)*IFERROR(VLOOKUP("P01",ParamTbl,3,0),1.5))*(1-IF(IFERROR(VLOOKUP($E1815,OpTbl,3,0),"")="خرید",IFERROR(VLOOKUP("P02",ParamTbl,3,0),1),0)/100))</f>
        <v/>
      </c>
      <c r="N1815" s="14" t="n"/>
      <c r="O1815" s="13" t="n"/>
    </row>
    <row r="1816">
      <c r="A1816" s="11">
        <f>IF($B1816="","",COUNTA($B$9:$B1816))</f>
        <v/>
      </c>
      <c r="B1816" s="12" t="n"/>
      <c r="C1816" s="12" t="n"/>
      <c r="D1816" s="12" t="n"/>
      <c r="E1816" s="13" t="n"/>
      <c r="F1816" s="11">
        <f>IF($E1816="","",IFERROR(VLOOKUP($E1816,OpTbl,2,0),""))</f>
        <v/>
      </c>
      <c r="G1816" s="12" t="n"/>
      <c r="H1816" s="11">
        <f>IF($G1816="","",IFERROR(IF(VLOOKUP($G1816,AcctTbl,4,0)="","(بدون نام)",VLOOKUP($G1816,AcctTbl,4,0)),"کد ناشناخته"))</f>
        <v/>
      </c>
      <c r="I1816" s="13" t="n"/>
      <c r="J1816" s="13" t="n"/>
      <c r="K1816" s="14" t="n"/>
      <c r="L1816" s="14" t="n"/>
      <c r="M1816" s="15">
        <f>IF(OR($B1816="",$K1816=""),"",($K1816-IF($L1816="",0,$L1816)*IFERROR(VLOOKUP("P01",ParamTbl,3,0),1.5))*(1-IF(IFERROR(VLOOKUP($E1816,OpTbl,3,0),"")="خرید",IFERROR(VLOOKUP("P02",ParamTbl,3,0),1),0)/100))</f>
        <v/>
      </c>
      <c r="N1816" s="14" t="n"/>
      <c r="O1816" s="13" t="n"/>
    </row>
    <row r="1817">
      <c r="A1817" s="11">
        <f>IF($B1817="","",COUNTA($B$9:$B1817))</f>
        <v/>
      </c>
      <c r="B1817" s="12" t="n"/>
      <c r="C1817" s="12" t="n"/>
      <c r="D1817" s="12" t="n"/>
      <c r="E1817" s="13" t="n"/>
      <c r="F1817" s="11">
        <f>IF($E1817="","",IFERROR(VLOOKUP($E1817,OpTbl,2,0),""))</f>
        <v/>
      </c>
      <c r="G1817" s="12" t="n"/>
      <c r="H1817" s="11">
        <f>IF($G1817="","",IFERROR(IF(VLOOKUP($G1817,AcctTbl,4,0)="","(بدون نام)",VLOOKUP($G1817,AcctTbl,4,0)),"کد ناشناخته"))</f>
        <v/>
      </c>
      <c r="I1817" s="13" t="n"/>
      <c r="J1817" s="13" t="n"/>
      <c r="K1817" s="14" t="n"/>
      <c r="L1817" s="14" t="n"/>
      <c r="M1817" s="15">
        <f>IF(OR($B1817="",$K1817=""),"",($K1817-IF($L1817="",0,$L1817)*IFERROR(VLOOKUP("P01",ParamTbl,3,0),1.5))*(1-IF(IFERROR(VLOOKUP($E1817,OpTbl,3,0),"")="خرید",IFERROR(VLOOKUP("P02",ParamTbl,3,0),1),0)/100))</f>
        <v/>
      </c>
      <c r="N1817" s="14" t="n"/>
      <c r="O1817" s="13" t="n"/>
    </row>
    <row r="1818">
      <c r="A1818" s="11">
        <f>IF($B1818="","",COUNTA($B$9:$B1818))</f>
        <v/>
      </c>
      <c r="B1818" s="12" t="n"/>
      <c r="C1818" s="12" t="n"/>
      <c r="D1818" s="12" t="n"/>
      <c r="E1818" s="13" t="n"/>
      <c r="F1818" s="11">
        <f>IF($E1818="","",IFERROR(VLOOKUP($E1818,OpTbl,2,0),""))</f>
        <v/>
      </c>
      <c r="G1818" s="12" t="n"/>
      <c r="H1818" s="11">
        <f>IF($G1818="","",IFERROR(IF(VLOOKUP($G1818,AcctTbl,4,0)="","(بدون نام)",VLOOKUP($G1818,AcctTbl,4,0)),"کد ناشناخته"))</f>
        <v/>
      </c>
      <c r="I1818" s="13" t="n"/>
      <c r="J1818" s="13" t="n"/>
      <c r="K1818" s="14" t="n"/>
      <c r="L1818" s="14" t="n"/>
      <c r="M1818" s="15">
        <f>IF(OR($B1818="",$K1818=""),"",($K1818-IF($L1818="",0,$L1818)*IFERROR(VLOOKUP("P01",ParamTbl,3,0),1.5))*(1-IF(IFERROR(VLOOKUP($E1818,OpTbl,3,0),"")="خرید",IFERROR(VLOOKUP("P02",ParamTbl,3,0),1),0)/100))</f>
        <v/>
      </c>
      <c r="N1818" s="14" t="n"/>
      <c r="O1818" s="13" t="n"/>
    </row>
    <row r="1819">
      <c r="A1819" s="11">
        <f>IF($B1819="","",COUNTA($B$9:$B1819))</f>
        <v/>
      </c>
      <c r="B1819" s="12" t="n"/>
      <c r="C1819" s="12" t="n"/>
      <c r="D1819" s="12" t="n"/>
      <c r="E1819" s="13" t="n"/>
      <c r="F1819" s="11">
        <f>IF($E1819="","",IFERROR(VLOOKUP($E1819,OpTbl,2,0),""))</f>
        <v/>
      </c>
      <c r="G1819" s="12" t="n"/>
      <c r="H1819" s="11">
        <f>IF($G1819="","",IFERROR(IF(VLOOKUP($G1819,AcctTbl,4,0)="","(بدون نام)",VLOOKUP($G1819,AcctTbl,4,0)),"کد ناشناخته"))</f>
        <v/>
      </c>
      <c r="I1819" s="13" t="n"/>
      <c r="J1819" s="13" t="n"/>
      <c r="K1819" s="14" t="n"/>
      <c r="L1819" s="14" t="n"/>
      <c r="M1819" s="15">
        <f>IF(OR($B1819="",$K1819=""),"",($K1819-IF($L1819="",0,$L1819)*IFERROR(VLOOKUP("P01",ParamTbl,3,0),1.5))*(1-IF(IFERROR(VLOOKUP($E1819,OpTbl,3,0),"")="خرید",IFERROR(VLOOKUP("P02",ParamTbl,3,0),1),0)/100))</f>
        <v/>
      </c>
      <c r="N1819" s="14" t="n"/>
      <c r="O1819" s="13" t="n"/>
    </row>
    <row r="1820">
      <c r="A1820" s="11">
        <f>IF($B1820="","",COUNTA($B$9:$B1820))</f>
        <v/>
      </c>
      <c r="B1820" s="12" t="n"/>
      <c r="C1820" s="12" t="n"/>
      <c r="D1820" s="12" t="n"/>
      <c r="E1820" s="13" t="n"/>
      <c r="F1820" s="11">
        <f>IF($E1820="","",IFERROR(VLOOKUP($E1820,OpTbl,2,0),""))</f>
        <v/>
      </c>
      <c r="G1820" s="12" t="n"/>
      <c r="H1820" s="11">
        <f>IF($G1820="","",IFERROR(IF(VLOOKUP($G1820,AcctTbl,4,0)="","(بدون نام)",VLOOKUP($G1820,AcctTbl,4,0)),"کد ناشناخته"))</f>
        <v/>
      </c>
      <c r="I1820" s="13" t="n"/>
      <c r="J1820" s="13" t="n"/>
      <c r="K1820" s="14" t="n"/>
      <c r="L1820" s="14" t="n"/>
      <c r="M1820" s="15">
        <f>IF(OR($B1820="",$K1820=""),"",($K1820-IF($L1820="",0,$L1820)*IFERROR(VLOOKUP("P01",ParamTbl,3,0),1.5))*(1-IF(IFERROR(VLOOKUP($E1820,OpTbl,3,0),"")="خرید",IFERROR(VLOOKUP("P02",ParamTbl,3,0),1),0)/100))</f>
        <v/>
      </c>
      <c r="N1820" s="14" t="n"/>
      <c r="O1820" s="13" t="n"/>
    </row>
    <row r="1821">
      <c r="A1821" s="11">
        <f>IF($B1821="","",COUNTA($B$9:$B1821))</f>
        <v/>
      </c>
      <c r="B1821" s="12" t="n"/>
      <c r="C1821" s="12" t="n"/>
      <c r="D1821" s="12" t="n"/>
      <c r="E1821" s="13" t="n"/>
      <c r="F1821" s="11">
        <f>IF($E1821="","",IFERROR(VLOOKUP($E1821,OpTbl,2,0),""))</f>
        <v/>
      </c>
      <c r="G1821" s="12" t="n"/>
      <c r="H1821" s="11">
        <f>IF($G1821="","",IFERROR(IF(VLOOKUP($G1821,AcctTbl,4,0)="","(بدون نام)",VLOOKUP($G1821,AcctTbl,4,0)),"کد ناشناخته"))</f>
        <v/>
      </c>
      <c r="I1821" s="13" t="n"/>
      <c r="J1821" s="13" t="n"/>
      <c r="K1821" s="14" t="n"/>
      <c r="L1821" s="14" t="n"/>
      <c r="M1821" s="15">
        <f>IF(OR($B1821="",$K1821=""),"",($K1821-IF($L1821="",0,$L1821)*IFERROR(VLOOKUP("P01",ParamTbl,3,0),1.5))*(1-IF(IFERROR(VLOOKUP($E1821,OpTbl,3,0),"")="خرید",IFERROR(VLOOKUP("P02",ParamTbl,3,0),1),0)/100))</f>
        <v/>
      </c>
      <c r="N1821" s="14" t="n"/>
      <c r="O1821" s="13" t="n"/>
    </row>
    <row r="1822">
      <c r="A1822" s="11">
        <f>IF($B1822="","",COUNTA($B$9:$B1822))</f>
        <v/>
      </c>
      <c r="B1822" s="12" t="n"/>
      <c r="C1822" s="12" t="n"/>
      <c r="D1822" s="12" t="n"/>
      <c r="E1822" s="13" t="n"/>
      <c r="F1822" s="11">
        <f>IF($E1822="","",IFERROR(VLOOKUP($E1822,OpTbl,2,0),""))</f>
        <v/>
      </c>
      <c r="G1822" s="12" t="n"/>
      <c r="H1822" s="11">
        <f>IF($G1822="","",IFERROR(IF(VLOOKUP($G1822,AcctTbl,4,0)="","(بدون نام)",VLOOKUP($G1822,AcctTbl,4,0)),"کد ناشناخته"))</f>
        <v/>
      </c>
      <c r="I1822" s="13" t="n"/>
      <c r="J1822" s="13" t="n"/>
      <c r="K1822" s="14" t="n"/>
      <c r="L1822" s="14" t="n"/>
      <c r="M1822" s="15">
        <f>IF(OR($B1822="",$K1822=""),"",($K1822-IF($L1822="",0,$L1822)*IFERROR(VLOOKUP("P01",ParamTbl,3,0),1.5))*(1-IF(IFERROR(VLOOKUP($E1822,OpTbl,3,0),"")="خرید",IFERROR(VLOOKUP("P02",ParamTbl,3,0),1),0)/100))</f>
        <v/>
      </c>
      <c r="N1822" s="14" t="n"/>
      <c r="O1822" s="13" t="n"/>
    </row>
    <row r="1823">
      <c r="A1823" s="11">
        <f>IF($B1823="","",COUNTA($B$9:$B1823))</f>
        <v/>
      </c>
      <c r="B1823" s="12" t="n"/>
      <c r="C1823" s="12" t="n"/>
      <c r="D1823" s="12" t="n"/>
      <c r="E1823" s="13" t="n"/>
      <c r="F1823" s="11">
        <f>IF($E1823="","",IFERROR(VLOOKUP($E1823,OpTbl,2,0),""))</f>
        <v/>
      </c>
      <c r="G1823" s="12" t="n"/>
      <c r="H1823" s="11">
        <f>IF($G1823="","",IFERROR(IF(VLOOKUP($G1823,AcctTbl,4,0)="","(بدون نام)",VLOOKUP($G1823,AcctTbl,4,0)),"کد ناشناخته"))</f>
        <v/>
      </c>
      <c r="I1823" s="13" t="n"/>
      <c r="J1823" s="13" t="n"/>
      <c r="K1823" s="14" t="n"/>
      <c r="L1823" s="14" t="n"/>
      <c r="M1823" s="15">
        <f>IF(OR($B1823="",$K1823=""),"",($K1823-IF($L1823="",0,$L1823)*IFERROR(VLOOKUP("P01",ParamTbl,3,0),1.5))*(1-IF(IFERROR(VLOOKUP($E1823,OpTbl,3,0),"")="خرید",IFERROR(VLOOKUP("P02",ParamTbl,3,0),1),0)/100))</f>
        <v/>
      </c>
      <c r="N1823" s="14" t="n"/>
      <c r="O1823" s="13" t="n"/>
    </row>
    <row r="1824">
      <c r="A1824" s="11">
        <f>IF($B1824="","",COUNTA($B$9:$B1824))</f>
        <v/>
      </c>
      <c r="B1824" s="12" t="n"/>
      <c r="C1824" s="12" t="n"/>
      <c r="D1824" s="12" t="n"/>
      <c r="E1824" s="13" t="n"/>
      <c r="F1824" s="11">
        <f>IF($E1824="","",IFERROR(VLOOKUP($E1824,OpTbl,2,0),""))</f>
        <v/>
      </c>
      <c r="G1824" s="12" t="n"/>
      <c r="H1824" s="11">
        <f>IF($G1824="","",IFERROR(IF(VLOOKUP($G1824,AcctTbl,4,0)="","(بدون نام)",VLOOKUP($G1824,AcctTbl,4,0)),"کد ناشناخته"))</f>
        <v/>
      </c>
      <c r="I1824" s="13" t="n"/>
      <c r="J1824" s="13" t="n"/>
      <c r="K1824" s="14" t="n"/>
      <c r="L1824" s="14" t="n"/>
      <c r="M1824" s="15">
        <f>IF(OR($B1824="",$K1824=""),"",($K1824-IF($L1824="",0,$L1824)*IFERROR(VLOOKUP("P01",ParamTbl,3,0),1.5))*(1-IF(IFERROR(VLOOKUP($E1824,OpTbl,3,0),"")="خرید",IFERROR(VLOOKUP("P02",ParamTbl,3,0),1),0)/100))</f>
        <v/>
      </c>
      <c r="N1824" s="14" t="n"/>
      <c r="O1824" s="13" t="n"/>
    </row>
    <row r="1825">
      <c r="A1825" s="11">
        <f>IF($B1825="","",COUNTA($B$9:$B1825))</f>
        <v/>
      </c>
      <c r="B1825" s="12" t="n"/>
      <c r="C1825" s="12" t="n"/>
      <c r="D1825" s="12" t="n"/>
      <c r="E1825" s="13" t="n"/>
      <c r="F1825" s="11">
        <f>IF($E1825="","",IFERROR(VLOOKUP($E1825,OpTbl,2,0),""))</f>
        <v/>
      </c>
      <c r="G1825" s="12" t="n"/>
      <c r="H1825" s="11">
        <f>IF($G1825="","",IFERROR(IF(VLOOKUP($G1825,AcctTbl,4,0)="","(بدون نام)",VLOOKUP($G1825,AcctTbl,4,0)),"کد ناشناخته"))</f>
        <v/>
      </c>
      <c r="I1825" s="13" t="n"/>
      <c r="J1825" s="13" t="n"/>
      <c r="K1825" s="14" t="n"/>
      <c r="L1825" s="14" t="n"/>
      <c r="M1825" s="15">
        <f>IF(OR($B1825="",$K1825=""),"",($K1825-IF($L1825="",0,$L1825)*IFERROR(VLOOKUP("P01",ParamTbl,3,0),1.5))*(1-IF(IFERROR(VLOOKUP($E1825,OpTbl,3,0),"")="خرید",IFERROR(VLOOKUP("P02",ParamTbl,3,0),1),0)/100))</f>
        <v/>
      </c>
      <c r="N1825" s="14" t="n"/>
      <c r="O1825" s="13" t="n"/>
    </row>
    <row r="1826">
      <c r="A1826" s="11">
        <f>IF($B1826="","",COUNTA($B$9:$B1826))</f>
        <v/>
      </c>
      <c r="B1826" s="12" t="n"/>
      <c r="C1826" s="12" t="n"/>
      <c r="D1826" s="12" t="n"/>
      <c r="E1826" s="13" t="n"/>
      <c r="F1826" s="11">
        <f>IF($E1826="","",IFERROR(VLOOKUP($E1826,OpTbl,2,0),""))</f>
        <v/>
      </c>
      <c r="G1826" s="12" t="n"/>
      <c r="H1826" s="11">
        <f>IF($G1826="","",IFERROR(IF(VLOOKUP($G1826,AcctTbl,4,0)="","(بدون نام)",VLOOKUP($G1826,AcctTbl,4,0)),"کد ناشناخته"))</f>
        <v/>
      </c>
      <c r="I1826" s="13" t="n"/>
      <c r="J1826" s="13" t="n"/>
      <c r="K1826" s="14" t="n"/>
      <c r="L1826" s="14" t="n"/>
      <c r="M1826" s="15">
        <f>IF(OR($B1826="",$K1826=""),"",($K1826-IF($L1826="",0,$L1826)*IFERROR(VLOOKUP("P01",ParamTbl,3,0),1.5))*(1-IF(IFERROR(VLOOKUP($E1826,OpTbl,3,0),"")="خرید",IFERROR(VLOOKUP("P02",ParamTbl,3,0),1),0)/100))</f>
        <v/>
      </c>
      <c r="N1826" s="14" t="n"/>
      <c r="O1826" s="13" t="n"/>
    </row>
    <row r="1827">
      <c r="A1827" s="11">
        <f>IF($B1827="","",COUNTA($B$9:$B1827))</f>
        <v/>
      </c>
      <c r="B1827" s="12" t="n"/>
      <c r="C1827" s="12" t="n"/>
      <c r="D1827" s="12" t="n"/>
      <c r="E1827" s="13" t="n"/>
      <c r="F1827" s="11">
        <f>IF($E1827="","",IFERROR(VLOOKUP($E1827,OpTbl,2,0),""))</f>
        <v/>
      </c>
      <c r="G1827" s="12" t="n"/>
      <c r="H1827" s="11">
        <f>IF($G1827="","",IFERROR(IF(VLOOKUP($G1827,AcctTbl,4,0)="","(بدون نام)",VLOOKUP($G1827,AcctTbl,4,0)),"کد ناشناخته"))</f>
        <v/>
      </c>
      <c r="I1827" s="13" t="n"/>
      <c r="J1827" s="13" t="n"/>
      <c r="K1827" s="14" t="n"/>
      <c r="L1827" s="14" t="n"/>
      <c r="M1827" s="15">
        <f>IF(OR($B1827="",$K1827=""),"",($K1827-IF($L1827="",0,$L1827)*IFERROR(VLOOKUP("P01",ParamTbl,3,0),1.5))*(1-IF(IFERROR(VLOOKUP($E1827,OpTbl,3,0),"")="خرید",IFERROR(VLOOKUP("P02",ParamTbl,3,0),1),0)/100))</f>
        <v/>
      </c>
      <c r="N1827" s="14" t="n"/>
      <c r="O1827" s="13" t="n"/>
    </row>
    <row r="1828">
      <c r="A1828" s="11">
        <f>IF($B1828="","",COUNTA($B$9:$B1828))</f>
        <v/>
      </c>
      <c r="B1828" s="12" t="n"/>
      <c r="C1828" s="12" t="n"/>
      <c r="D1828" s="12" t="n"/>
      <c r="E1828" s="13" t="n"/>
      <c r="F1828" s="11">
        <f>IF($E1828="","",IFERROR(VLOOKUP($E1828,OpTbl,2,0),""))</f>
        <v/>
      </c>
      <c r="G1828" s="12" t="n"/>
      <c r="H1828" s="11">
        <f>IF($G1828="","",IFERROR(IF(VLOOKUP($G1828,AcctTbl,4,0)="","(بدون نام)",VLOOKUP($G1828,AcctTbl,4,0)),"کد ناشناخته"))</f>
        <v/>
      </c>
      <c r="I1828" s="13" t="n"/>
      <c r="J1828" s="13" t="n"/>
      <c r="K1828" s="14" t="n"/>
      <c r="L1828" s="14" t="n"/>
      <c r="M1828" s="15">
        <f>IF(OR($B1828="",$K1828=""),"",($K1828-IF($L1828="",0,$L1828)*IFERROR(VLOOKUP("P01",ParamTbl,3,0),1.5))*(1-IF(IFERROR(VLOOKUP($E1828,OpTbl,3,0),"")="خرید",IFERROR(VLOOKUP("P02",ParamTbl,3,0),1),0)/100))</f>
        <v/>
      </c>
      <c r="N1828" s="14" t="n"/>
      <c r="O1828" s="13" t="n"/>
    </row>
    <row r="1829">
      <c r="A1829" s="11">
        <f>IF($B1829="","",COUNTA($B$9:$B1829))</f>
        <v/>
      </c>
      <c r="B1829" s="12" t="n"/>
      <c r="C1829" s="12" t="n"/>
      <c r="D1829" s="12" t="n"/>
      <c r="E1829" s="13" t="n"/>
      <c r="F1829" s="11">
        <f>IF($E1829="","",IFERROR(VLOOKUP($E1829,OpTbl,2,0),""))</f>
        <v/>
      </c>
      <c r="G1829" s="12" t="n"/>
      <c r="H1829" s="11">
        <f>IF($G1829="","",IFERROR(IF(VLOOKUP($G1829,AcctTbl,4,0)="","(بدون نام)",VLOOKUP($G1829,AcctTbl,4,0)),"کد ناشناخته"))</f>
        <v/>
      </c>
      <c r="I1829" s="13" t="n"/>
      <c r="J1829" s="13" t="n"/>
      <c r="K1829" s="14" t="n"/>
      <c r="L1829" s="14" t="n"/>
      <c r="M1829" s="15">
        <f>IF(OR($B1829="",$K1829=""),"",($K1829-IF($L1829="",0,$L1829)*IFERROR(VLOOKUP("P01",ParamTbl,3,0),1.5))*(1-IF(IFERROR(VLOOKUP($E1829,OpTbl,3,0),"")="خرید",IFERROR(VLOOKUP("P02",ParamTbl,3,0),1),0)/100))</f>
        <v/>
      </c>
      <c r="N1829" s="14" t="n"/>
      <c r="O1829" s="13" t="n"/>
    </row>
    <row r="1830">
      <c r="A1830" s="11">
        <f>IF($B1830="","",COUNTA($B$9:$B1830))</f>
        <v/>
      </c>
      <c r="B1830" s="12" t="n"/>
      <c r="C1830" s="12" t="n"/>
      <c r="D1830" s="12" t="n"/>
      <c r="E1830" s="13" t="n"/>
      <c r="F1830" s="11">
        <f>IF($E1830="","",IFERROR(VLOOKUP($E1830,OpTbl,2,0),""))</f>
        <v/>
      </c>
      <c r="G1830" s="12" t="n"/>
      <c r="H1830" s="11">
        <f>IF($G1830="","",IFERROR(IF(VLOOKUP($G1830,AcctTbl,4,0)="","(بدون نام)",VLOOKUP($G1830,AcctTbl,4,0)),"کد ناشناخته"))</f>
        <v/>
      </c>
      <c r="I1830" s="13" t="n"/>
      <c r="J1830" s="13" t="n"/>
      <c r="K1830" s="14" t="n"/>
      <c r="L1830" s="14" t="n"/>
      <c r="M1830" s="15">
        <f>IF(OR($B1830="",$K1830=""),"",($K1830-IF($L1830="",0,$L1830)*IFERROR(VLOOKUP("P01",ParamTbl,3,0),1.5))*(1-IF(IFERROR(VLOOKUP($E1830,OpTbl,3,0),"")="خرید",IFERROR(VLOOKUP("P02",ParamTbl,3,0),1),0)/100))</f>
        <v/>
      </c>
      <c r="N1830" s="14" t="n"/>
      <c r="O1830" s="13" t="n"/>
    </row>
    <row r="1831">
      <c r="A1831" s="11">
        <f>IF($B1831="","",COUNTA($B$9:$B1831))</f>
        <v/>
      </c>
      <c r="B1831" s="12" t="n"/>
      <c r="C1831" s="12" t="n"/>
      <c r="D1831" s="12" t="n"/>
      <c r="E1831" s="13" t="n"/>
      <c r="F1831" s="11">
        <f>IF($E1831="","",IFERROR(VLOOKUP($E1831,OpTbl,2,0),""))</f>
        <v/>
      </c>
      <c r="G1831" s="12" t="n"/>
      <c r="H1831" s="11">
        <f>IF($G1831="","",IFERROR(IF(VLOOKUP($G1831,AcctTbl,4,0)="","(بدون نام)",VLOOKUP($G1831,AcctTbl,4,0)),"کد ناشناخته"))</f>
        <v/>
      </c>
      <c r="I1831" s="13" t="n"/>
      <c r="J1831" s="13" t="n"/>
      <c r="K1831" s="14" t="n"/>
      <c r="L1831" s="14" t="n"/>
      <c r="M1831" s="15">
        <f>IF(OR($B1831="",$K1831=""),"",($K1831-IF($L1831="",0,$L1831)*IFERROR(VLOOKUP("P01",ParamTbl,3,0),1.5))*(1-IF(IFERROR(VLOOKUP($E1831,OpTbl,3,0),"")="خرید",IFERROR(VLOOKUP("P02",ParamTbl,3,0),1),0)/100))</f>
        <v/>
      </c>
      <c r="N1831" s="14" t="n"/>
      <c r="O1831" s="13" t="n"/>
    </row>
    <row r="1832">
      <c r="A1832" s="11">
        <f>IF($B1832="","",COUNTA($B$9:$B1832))</f>
        <v/>
      </c>
      <c r="B1832" s="12" t="n"/>
      <c r="C1832" s="12" t="n"/>
      <c r="D1832" s="12" t="n"/>
      <c r="E1832" s="13" t="n"/>
      <c r="F1832" s="11">
        <f>IF($E1832="","",IFERROR(VLOOKUP($E1832,OpTbl,2,0),""))</f>
        <v/>
      </c>
      <c r="G1832" s="12" t="n"/>
      <c r="H1832" s="11">
        <f>IF($G1832="","",IFERROR(IF(VLOOKUP($G1832,AcctTbl,4,0)="","(بدون نام)",VLOOKUP($G1832,AcctTbl,4,0)),"کد ناشناخته"))</f>
        <v/>
      </c>
      <c r="I1832" s="13" t="n"/>
      <c r="J1832" s="13" t="n"/>
      <c r="K1832" s="14" t="n"/>
      <c r="L1832" s="14" t="n"/>
      <c r="M1832" s="15">
        <f>IF(OR($B1832="",$K1832=""),"",($K1832-IF($L1832="",0,$L1832)*IFERROR(VLOOKUP("P01",ParamTbl,3,0),1.5))*(1-IF(IFERROR(VLOOKUP($E1832,OpTbl,3,0),"")="خرید",IFERROR(VLOOKUP("P02",ParamTbl,3,0),1),0)/100))</f>
        <v/>
      </c>
      <c r="N1832" s="14" t="n"/>
      <c r="O1832" s="13" t="n"/>
    </row>
    <row r="1833">
      <c r="A1833" s="11">
        <f>IF($B1833="","",COUNTA($B$9:$B1833))</f>
        <v/>
      </c>
      <c r="B1833" s="12" t="n"/>
      <c r="C1833" s="12" t="n"/>
      <c r="D1833" s="12" t="n"/>
      <c r="E1833" s="13" t="n"/>
      <c r="F1833" s="11">
        <f>IF($E1833="","",IFERROR(VLOOKUP($E1833,OpTbl,2,0),""))</f>
        <v/>
      </c>
      <c r="G1833" s="12" t="n"/>
      <c r="H1833" s="11">
        <f>IF($G1833="","",IFERROR(IF(VLOOKUP($G1833,AcctTbl,4,0)="","(بدون نام)",VLOOKUP($G1833,AcctTbl,4,0)),"کد ناشناخته"))</f>
        <v/>
      </c>
      <c r="I1833" s="13" t="n"/>
      <c r="J1833" s="13" t="n"/>
      <c r="K1833" s="14" t="n"/>
      <c r="L1833" s="14" t="n"/>
      <c r="M1833" s="15">
        <f>IF(OR($B1833="",$K1833=""),"",($K1833-IF($L1833="",0,$L1833)*IFERROR(VLOOKUP("P01",ParamTbl,3,0),1.5))*(1-IF(IFERROR(VLOOKUP($E1833,OpTbl,3,0),"")="خرید",IFERROR(VLOOKUP("P02",ParamTbl,3,0),1),0)/100))</f>
        <v/>
      </c>
      <c r="N1833" s="14" t="n"/>
      <c r="O1833" s="13" t="n"/>
    </row>
    <row r="1834">
      <c r="A1834" s="11">
        <f>IF($B1834="","",COUNTA($B$9:$B1834))</f>
        <v/>
      </c>
      <c r="B1834" s="12" t="n"/>
      <c r="C1834" s="12" t="n"/>
      <c r="D1834" s="12" t="n"/>
      <c r="E1834" s="13" t="n"/>
      <c r="F1834" s="11">
        <f>IF($E1834="","",IFERROR(VLOOKUP($E1834,OpTbl,2,0),""))</f>
        <v/>
      </c>
      <c r="G1834" s="12" t="n"/>
      <c r="H1834" s="11">
        <f>IF($G1834="","",IFERROR(IF(VLOOKUP($G1834,AcctTbl,4,0)="","(بدون نام)",VLOOKUP($G1834,AcctTbl,4,0)),"کد ناشناخته"))</f>
        <v/>
      </c>
      <c r="I1834" s="13" t="n"/>
      <c r="J1834" s="13" t="n"/>
      <c r="K1834" s="14" t="n"/>
      <c r="L1834" s="14" t="n"/>
      <c r="M1834" s="15">
        <f>IF(OR($B1834="",$K1834=""),"",($K1834-IF($L1834="",0,$L1834)*IFERROR(VLOOKUP("P01",ParamTbl,3,0),1.5))*(1-IF(IFERROR(VLOOKUP($E1834,OpTbl,3,0),"")="خرید",IFERROR(VLOOKUP("P02",ParamTbl,3,0),1),0)/100))</f>
        <v/>
      </c>
      <c r="N1834" s="14" t="n"/>
      <c r="O1834" s="13" t="n"/>
    </row>
    <row r="1835">
      <c r="A1835" s="11">
        <f>IF($B1835="","",COUNTA($B$9:$B1835))</f>
        <v/>
      </c>
      <c r="B1835" s="12" t="n"/>
      <c r="C1835" s="12" t="n"/>
      <c r="D1835" s="12" t="n"/>
      <c r="E1835" s="13" t="n"/>
      <c r="F1835" s="11">
        <f>IF($E1835="","",IFERROR(VLOOKUP($E1835,OpTbl,2,0),""))</f>
        <v/>
      </c>
      <c r="G1835" s="12" t="n"/>
      <c r="H1835" s="11">
        <f>IF($G1835="","",IFERROR(IF(VLOOKUP($G1835,AcctTbl,4,0)="","(بدون نام)",VLOOKUP($G1835,AcctTbl,4,0)),"کد ناشناخته"))</f>
        <v/>
      </c>
      <c r="I1835" s="13" t="n"/>
      <c r="J1835" s="13" t="n"/>
      <c r="K1835" s="14" t="n"/>
      <c r="L1835" s="14" t="n"/>
      <c r="M1835" s="15">
        <f>IF(OR($B1835="",$K1835=""),"",($K1835-IF($L1835="",0,$L1835)*IFERROR(VLOOKUP("P01",ParamTbl,3,0),1.5))*(1-IF(IFERROR(VLOOKUP($E1835,OpTbl,3,0),"")="خرید",IFERROR(VLOOKUP("P02",ParamTbl,3,0),1),0)/100))</f>
        <v/>
      </c>
      <c r="N1835" s="14" t="n"/>
      <c r="O1835" s="13" t="n"/>
    </row>
    <row r="1836">
      <c r="A1836" s="11">
        <f>IF($B1836="","",COUNTA($B$9:$B1836))</f>
        <v/>
      </c>
      <c r="B1836" s="12" t="n"/>
      <c r="C1836" s="12" t="n"/>
      <c r="D1836" s="12" t="n"/>
      <c r="E1836" s="13" t="n"/>
      <c r="F1836" s="11">
        <f>IF($E1836="","",IFERROR(VLOOKUP($E1836,OpTbl,2,0),""))</f>
        <v/>
      </c>
      <c r="G1836" s="12" t="n"/>
      <c r="H1836" s="11">
        <f>IF($G1836="","",IFERROR(IF(VLOOKUP($G1836,AcctTbl,4,0)="","(بدون نام)",VLOOKUP($G1836,AcctTbl,4,0)),"کد ناشناخته"))</f>
        <v/>
      </c>
      <c r="I1836" s="13" t="n"/>
      <c r="J1836" s="13" t="n"/>
      <c r="K1836" s="14" t="n"/>
      <c r="L1836" s="14" t="n"/>
      <c r="M1836" s="15">
        <f>IF(OR($B1836="",$K1836=""),"",($K1836-IF($L1836="",0,$L1836)*IFERROR(VLOOKUP("P01",ParamTbl,3,0),1.5))*(1-IF(IFERROR(VLOOKUP($E1836,OpTbl,3,0),"")="خرید",IFERROR(VLOOKUP("P02",ParamTbl,3,0),1),0)/100))</f>
        <v/>
      </c>
      <c r="N1836" s="14" t="n"/>
      <c r="O1836" s="13" t="n"/>
    </row>
    <row r="1837">
      <c r="A1837" s="11">
        <f>IF($B1837="","",COUNTA($B$9:$B1837))</f>
        <v/>
      </c>
      <c r="B1837" s="12" t="n"/>
      <c r="C1837" s="12" t="n"/>
      <c r="D1837" s="12" t="n"/>
      <c r="E1837" s="13" t="n"/>
      <c r="F1837" s="11">
        <f>IF($E1837="","",IFERROR(VLOOKUP($E1837,OpTbl,2,0),""))</f>
        <v/>
      </c>
      <c r="G1837" s="12" t="n"/>
      <c r="H1837" s="11">
        <f>IF($G1837="","",IFERROR(IF(VLOOKUP($G1837,AcctTbl,4,0)="","(بدون نام)",VLOOKUP($G1837,AcctTbl,4,0)),"کد ناشناخته"))</f>
        <v/>
      </c>
      <c r="I1837" s="13" t="n"/>
      <c r="J1837" s="13" t="n"/>
      <c r="K1837" s="14" t="n"/>
      <c r="L1837" s="14" t="n"/>
      <c r="M1837" s="15">
        <f>IF(OR($B1837="",$K1837=""),"",($K1837-IF($L1837="",0,$L1837)*IFERROR(VLOOKUP("P01",ParamTbl,3,0),1.5))*(1-IF(IFERROR(VLOOKUP($E1837,OpTbl,3,0),"")="خرید",IFERROR(VLOOKUP("P02",ParamTbl,3,0),1),0)/100))</f>
        <v/>
      </c>
      <c r="N1837" s="14" t="n"/>
      <c r="O1837" s="13" t="n"/>
    </row>
    <row r="1838">
      <c r="A1838" s="11">
        <f>IF($B1838="","",COUNTA($B$9:$B1838))</f>
        <v/>
      </c>
      <c r="B1838" s="12" t="n"/>
      <c r="C1838" s="12" t="n"/>
      <c r="D1838" s="12" t="n"/>
      <c r="E1838" s="13" t="n"/>
      <c r="F1838" s="11">
        <f>IF($E1838="","",IFERROR(VLOOKUP($E1838,OpTbl,2,0),""))</f>
        <v/>
      </c>
      <c r="G1838" s="12" t="n"/>
      <c r="H1838" s="11">
        <f>IF($G1838="","",IFERROR(IF(VLOOKUP($G1838,AcctTbl,4,0)="","(بدون نام)",VLOOKUP($G1838,AcctTbl,4,0)),"کد ناشناخته"))</f>
        <v/>
      </c>
      <c r="I1838" s="13" t="n"/>
      <c r="J1838" s="13" t="n"/>
      <c r="K1838" s="14" t="n"/>
      <c r="L1838" s="14" t="n"/>
      <c r="M1838" s="15">
        <f>IF(OR($B1838="",$K1838=""),"",($K1838-IF($L1838="",0,$L1838)*IFERROR(VLOOKUP("P01",ParamTbl,3,0),1.5))*(1-IF(IFERROR(VLOOKUP($E1838,OpTbl,3,0),"")="خرید",IFERROR(VLOOKUP("P02",ParamTbl,3,0),1),0)/100))</f>
        <v/>
      </c>
      <c r="N1838" s="14" t="n"/>
      <c r="O1838" s="13" t="n"/>
    </row>
    <row r="1839">
      <c r="A1839" s="11">
        <f>IF($B1839="","",COUNTA($B$9:$B1839))</f>
        <v/>
      </c>
      <c r="B1839" s="12" t="n"/>
      <c r="C1839" s="12" t="n"/>
      <c r="D1839" s="12" t="n"/>
      <c r="E1839" s="13" t="n"/>
      <c r="F1839" s="11">
        <f>IF($E1839="","",IFERROR(VLOOKUP($E1839,OpTbl,2,0),""))</f>
        <v/>
      </c>
      <c r="G1839" s="12" t="n"/>
      <c r="H1839" s="11">
        <f>IF($G1839="","",IFERROR(IF(VLOOKUP($G1839,AcctTbl,4,0)="","(بدون نام)",VLOOKUP($G1839,AcctTbl,4,0)),"کد ناشناخته"))</f>
        <v/>
      </c>
      <c r="I1839" s="13" t="n"/>
      <c r="J1839" s="13" t="n"/>
      <c r="K1839" s="14" t="n"/>
      <c r="L1839" s="14" t="n"/>
      <c r="M1839" s="15">
        <f>IF(OR($B1839="",$K1839=""),"",($K1839-IF($L1839="",0,$L1839)*IFERROR(VLOOKUP("P01",ParamTbl,3,0),1.5))*(1-IF(IFERROR(VLOOKUP($E1839,OpTbl,3,0),"")="خرید",IFERROR(VLOOKUP("P02",ParamTbl,3,0),1),0)/100))</f>
        <v/>
      </c>
      <c r="N1839" s="14" t="n"/>
      <c r="O1839" s="13" t="n"/>
    </row>
    <row r="1840">
      <c r="A1840" s="11">
        <f>IF($B1840="","",COUNTA($B$9:$B1840))</f>
        <v/>
      </c>
      <c r="B1840" s="12" t="n"/>
      <c r="C1840" s="12" t="n"/>
      <c r="D1840" s="12" t="n"/>
      <c r="E1840" s="13" t="n"/>
      <c r="F1840" s="11">
        <f>IF($E1840="","",IFERROR(VLOOKUP($E1840,OpTbl,2,0),""))</f>
        <v/>
      </c>
      <c r="G1840" s="12" t="n"/>
      <c r="H1840" s="11">
        <f>IF($G1840="","",IFERROR(IF(VLOOKUP($G1840,AcctTbl,4,0)="","(بدون نام)",VLOOKUP($G1840,AcctTbl,4,0)),"کد ناشناخته"))</f>
        <v/>
      </c>
      <c r="I1840" s="13" t="n"/>
      <c r="J1840" s="13" t="n"/>
      <c r="K1840" s="14" t="n"/>
      <c r="L1840" s="14" t="n"/>
      <c r="M1840" s="15">
        <f>IF(OR($B1840="",$K1840=""),"",($K1840-IF($L1840="",0,$L1840)*IFERROR(VLOOKUP("P01",ParamTbl,3,0),1.5))*(1-IF(IFERROR(VLOOKUP($E1840,OpTbl,3,0),"")="خرید",IFERROR(VLOOKUP("P02",ParamTbl,3,0),1),0)/100))</f>
        <v/>
      </c>
      <c r="N1840" s="14" t="n"/>
      <c r="O1840" s="13" t="n"/>
    </row>
    <row r="1841">
      <c r="A1841" s="11">
        <f>IF($B1841="","",COUNTA($B$9:$B1841))</f>
        <v/>
      </c>
      <c r="B1841" s="12" t="n"/>
      <c r="C1841" s="12" t="n"/>
      <c r="D1841" s="12" t="n"/>
      <c r="E1841" s="13" t="n"/>
      <c r="F1841" s="11">
        <f>IF($E1841="","",IFERROR(VLOOKUP($E1841,OpTbl,2,0),""))</f>
        <v/>
      </c>
      <c r="G1841" s="12" t="n"/>
      <c r="H1841" s="11">
        <f>IF($G1841="","",IFERROR(IF(VLOOKUP($G1841,AcctTbl,4,0)="","(بدون نام)",VLOOKUP($G1841,AcctTbl,4,0)),"کد ناشناخته"))</f>
        <v/>
      </c>
      <c r="I1841" s="13" t="n"/>
      <c r="J1841" s="13" t="n"/>
      <c r="K1841" s="14" t="n"/>
      <c r="L1841" s="14" t="n"/>
      <c r="M1841" s="15">
        <f>IF(OR($B1841="",$K1841=""),"",($K1841-IF($L1841="",0,$L1841)*IFERROR(VLOOKUP("P01",ParamTbl,3,0),1.5))*(1-IF(IFERROR(VLOOKUP($E1841,OpTbl,3,0),"")="خرید",IFERROR(VLOOKUP("P02",ParamTbl,3,0),1),0)/100))</f>
        <v/>
      </c>
      <c r="N1841" s="14" t="n"/>
      <c r="O1841" s="13" t="n"/>
    </row>
    <row r="1842">
      <c r="A1842" s="11">
        <f>IF($B1842="","",COUNTA($B$9:$B1842))</f>
        <v/>
      </c>
      <c r="B1842" s="12" t="n"/>
      <c r="C1842" s="12" t="n"/>
      <c r="D1842" s="12" t="n"/>
      <c r="E1842" s="13" t="n"/>
      <c r="F1842" s="11">
        <f>IF($E1842="","",IFERROR(VLOOKUP($E1842,OpTbl,2,0),""))</f>
        <v/>
      </c>
      <c r="G1842" s="12" t="n"/>
      <c r="H1842" s="11">
        <f>IF($G1842="","",IFERROR(IF(VLOOKUP($G1842,AcctTbl,4,0)="","(بدون نام)",VLOOKUP($G1842,AcctTbl,4,0)),"کد ناشناخته"))</f>
        <v/>
      </c>
      <c r="I1842" s="13" t="n"/>
      <c r="J1842" s="13" t="n"/>
      <c r="K1842" s="14" t="n"/>
      <c r="L1842" s="14" t="n"/>
      <c r="M1842" s="15">
        <f>IF(OR($B1842="",$K1842=""),"",($K1842-IF($L1842="",0,$L1842)*IFERROR(VLOOKUP("P01",ParamTbl,3,0),1.5))*(1-IF(IFERROR(VLOOKUP($E1842,OpTbl,3,0),"")="خرید",IFERROR(VLOOKUP("P02",ParamTbl,3,0),1),0)/100))</f>
        <v/>
      </c>
      <c r="N1842" s="14" t="n"/>
      <c r="O1842" s="13" t="n"/>
    </row>
    <row r="1843">
      <c r="A1843" s="11">
        <f>IF($B1843="","",COUNTA($B$9:$B1843))</f>
        <v/>
      </c>
      <c r="B1843" s="12" t="n"/>
      <c r="C1843" s="12" t="n"/>
      <c r="D1843" s="12" t="n"/>
      <c r="E1843" s="13" t="n"/>
      <c r="F1843" s="11">
        <f>IF($E1843="","",IFERROR(VLOOKUP($E1843,OpTbl,2,0),""))</f>
        <v/>
      </c>
      <c r="G1843" s="12" t="n"/>
      <c r="H1843" s="11">
        <f>IF($G1843="","",IFERROR(IF(VLOOKUP($G1843,AcctTbl,4,0)="","(بدون نام)",VLOOKUP($G1843,AcctTbl,4,0)),"کد ناشناخته"))</f>
        <v/>
      </c>
      <c r="I1843" s="13" t="n"/>
      <c r="J1843" s="13" t="n"/>
      <c r="K1843" s="14" t="n"/>
      <c r="L1843" s="14" t="n"/>
      <c r="M1843" s="15">
        <f>IF(OR($B1843="",$K1843=""),"",($K1843-IF($L1843="",0,$L1843)*IFERROR(VLOOKUP("P01",ParamTbl,3,0),1.5))*(1-IF(IFERROR(VLOOKUP($E1843,OpTbl,3,0),"")="خرید",IFERROR(VLOOKUP("P02",ParamTbl,3,0),1),0)/100))</f>
        <v/>
      </c>
      <c r="N1843" s="14" t="n"/>
      <c r="O1843" s="13" t="n"/>
    </row>
    <row r="1844">
      <c r="A1844" s="11">
        <f>IF($B1844="","",COUNTA($B$9:$B1844))</f>
        <v/>
      </c>
      <c r="B1844" s="12" t="n"/>
      <c r="C1844" s="12" t="n"/>
      <c r="D1844" s="12" t="n"/>
      <c r="E1844" s="13" t="n"/>
      <c r="F1844" s="11">
        <f>IF($E1844="","",IFERROR(VLOOKUP($E1844,OpTbl,2,0),""))</f>
        <v/>
      </c>
      <c r="G1844" s="12" t="n"/>
      <c r="H1844" s="11">
        <f>IF($G1844="","",IFERROR(IF(VLOOKUP($G1844,AcctTbl,4,0)="","(بدون نام)",VLOOKUP($G1844,AcctTbl,4,0)),"کد ناشناخته"))</f>
        <v/>
      </c>
      <c r="I1844" s="13" t="n"/>
      <c r="J1844" s="13" t="n"/>
      <c r="K1844" s="14" t="n"/>
      <c r="L1844" s="14" t="n"/>
      <c r="M1844" s="15">
        <f>IF(OR($B1844="",$K1844=""),"",($K1844-IF($L1844="",0,$L1844)*IFERROR(VLOOKUP("P01",ParamTbl,3,0),1.5))*(1-IF(IFERROR(VLOOKUP($E1844,OpTbl,3,0),"")="خرید",IFERROR(VLOOKUP("P02",ParamTbl,3,0),1),0)/100))</f>
        <v/>
      </c>
      <c r="N1844" s="14" t="n"/>
      <c r="O1844" s="13" t="n"/>
    </row>
    <row r="1845">
      <c r="A1845" s="11">
        <f>IF($B1845="","",COUNTA($B$9:$B1845))</f>
        <v/>
      </c>
      <c r="B1845" s="12" t="n"/>
      <c r="C1845" s="12" t="n"/>
      <c r="D1845" s="12" t="n"/>
      <c r="E1845" s="13" t="n"/>
      <c r="F1845" s="11">
        <f>IF($E1845="","",IFERROR(VLOOKUP($E1845,OpTbl,2,0),""))</f>
        <v/>
      </c>
      <c r="G1845" s="12" t="n"/>
      <c r="H1845" s="11">
        <f>IF($G1845="","",IFERROR(IF(VLOOKUP($G1845,AcctTbl,4,0)="","(بدون نام)",VLOOKUP($G1845,AcctTbl,4,0)),"کد ناشناخته"))</f>
        <v/>
      </c>
      <c r="I1845" s="13" t="n"/>
      <c r="J1845" s="13" t="n"/>
      <c r="K1845" s="14" t="n"/>
      <c r="L1845" s="14" t="n"/>
      <c r="M1845" s="15">
        <f>IF(OR($B1845="",$K1845=""),"",($K1845-IF($L1845="",0,$L1845)*IFERROR(VLOOKUP("P01",ParamTbl,3,0),1.5))*(1-IF(IFERROR(VLOOKUP($E1845,OpTbl,3,0),"")="خرید",IFERROR(VLOOKUP("P02",ParamTbl,3,0),1),0)/100))</f>
        <v/>
      </c>
      <c r="N1845" s="14" t="n"/>
      <c r="O1845" s="13" t="n"/>
    </row>
    <row r="1846">
      <c r="A1846" s="11">
        <f>IF($B1846="","",COUNTA($B$9:$B1846))</f>
        <v/>
      </c>
      <c r="B1846" s="12" t="n"/>
      <c r="C1846" s="12" t="n"/>
      <c r="D1846" s="12" t="n"/>
      <c r="E1846" s="13" t="n"/>
      <c r="F1846" s="11">
        <f>IF($E1846="","",IFERROR(VLOOKUP($E1846,OpTbl,2,0),""))</f>
        <v/>
      </c>
      <c r="G1846" s="12" t="n"/>
      <c r="H1846" s="11">
        <f>IF($G1846="","",IFERROR(IF(VLOOKUP($G1846,AcctTbl,4,0)="","(بدون نام)",VLOOKUP($G1846,AcctTbl,4,0)),"کد ناشناخته"))</f>
        <v/>
      </c>
      <c r="I1846" s="13" t="n"/>
      <c r="J1846" s="13" t="n"/>
      <c r="K1846" s="14" t="n"/>
      <c r="L1846" s="14" t="n"/>
      <c r="M1846" s="15">
        <f>IF(OR($B1846="",$K1846=""),"",($K1846-IF($L1846="",0,$L1846)*IFERROR(VLOOKUP("P01",ParamTbl,3,0),1.5))*(1-IF(IFERROR(VLOOKUP($E1846,OpTbl,3,0),"")="خرید",IFERROR(VLOOKUP("P02",ParamTbl,3,0),1),0)/100))</f>
        <v/>
      </c>
      <c r="N1846" s="14" t="n"/>
      <c r="O1846" s="13" t="n"/>
    </row>
    <row r="1847">
      <c r="A1847" s="11">
        <f>IF($B1847="","",COUNTA($B$9:$B1847))</f>
        <v/>
      </c>
      <c r="B1847" s="12" t="n"/>
      <c r="C1847" s="12" t="n"/>
      <c r="D1847" s="12" t="n"/>
      <c r="E1847" s="13" t="n"/>
      <c r="F1847" s="11">
        <f>IF($E1847="","",IFERROR(VLOOKUP($E1847,OpTbl,2,0),""))</f>
        <v/>
      </c>
      <c r="G1847" s="12" t="n"/>
      <c r="H1847" s="11">
        <f>IF($G1847="","",IFERROR(IF(VLOOKUP($G1847,AcctTbl,4,0)="","(بدون نام)",VLOOKUP($G1847,AcctTbl,4,0)),"کد ناشناخته"))</f>
        <v/>
      </c>
      <c r="I1847" s="13" t="n"/>
      <c r="J1847" s="13" t="n"/>
      <c r="K1847" s="14" t="n"/>
      <c r="L1847" s="14" t="n"/>
      <c r="M1847" s="15">
        <f>IF(OR($B1847="",$K1847=""),"",($K1847-IF($L1847="",0,$L1847)*IFERROR(VLOOKUP("P01",ParamTbl,3,0),1.5))*(1-IF(IFERROR(VLOOKUP($E1847,OpTbl,3,0),"")="خرید",IFERROR(VLOOKUP("P02",ParamTbl,3,0),1),0)/100))</f>
        <v/>
      </c>
      <c r="N1847" s="14" t="n"/>
      <c r="O1847" s="13" t="n"/>
    </row>
    <row r="1848">
      <c r="A1848" s="11">
        <f>IF($B1848="","",COUNTA($B$9:$B1848))</f>
        <v/>
      </c>
      <c r="B1848" s="12" t="n"/>
      <c r="C1848" s="12" t="n"/>
      <c r="D1848" s="12" t="n"/>
      <c r="E1848" s="13" t="n"/>
      <c r="F1848" s="11">
        <f>IF($E1848="","",IFERROR(VLOOKUP($E1848,OpTbl,2,0),""))</f>
        <v/>
      </c>
      <c r="G1848" s="12" t="n"/>
      <c r="H1848" s="11">
        <f>IF($G1848="","",IFERROR(IF(VLOOKUP($G1848,AcctTbl,4,0)="","(بدون نام)",VLOOKUP($G1848,AcctTbl,4,0)),"کد ناشناخته"))</f>
        <v/>
      </c>
      <c r="I1848" s="13" t="n"/>
      <c r="J1848" s="13" t="n"/>
      <c r="K1848" s="14" t="n"/>
      <c r="L1848" s="14" t="n"/>
      <c r="M1848" s="15">
        <f>IF(OR($B1848="",$K1848=""),"",($K1848-IF($L1848="",0,$L1848)*IFERROR(VLOOKUP("P01",ParamTbl,3,0),1.5))*(1-IF(IFERROR(VLOOKUP($E1848,OpTbl,3,0),"")="خرید",IFERROR(VLOOKUP("P02",ParamTbl,3,0),1),0)/100))</f>
        <v/>
      </c>
      <c r="N1848" s="14" t="n"/>
      <c r="O1848" s="13" t="n"/>
    </row>
    <row r="1849">
      <c r="A1849" s="11">
        <f>IF($B1849="","",COUNTA($B$9:$B1849))</f>
        <v/>
      </c>
      <c r="B1849" s="12" t="n"/>
      <c r="C1849" s="12" t="n"/>
      <c r="D1849" s="12" t="n"/>
      <c r="E1849" s="13" t="n"/>
      <c r="F1849" s="11">
        <f>IF($E1849="","",IFERROR(VLOOKUP($E1849,OpTbl,2,0),""))</f>
        <v/>
      </c>
      <c r="G1849" s="12" t="n"/>
      <c r="H1849" s="11">
        <f>IF($G1849="","",IFERROR(IF(VLOOKUP($G1849,AcctTbl,4,0)="","(بدون نام)",VLOOKUP($G1849,AcctTbl,4,0)),"کد ناشناخته"))</f>
        <v/>
      </c>
      <c r="I1849" s="13" t="n"/>
      <c r="J1849" s="13" t="n"/>
      <c r="K1849" s="14" t="n"/>
      <c r="L1849" s="14" t="n"/>
      <c r="M1849" s="15">
        <f>IF(OR($B1849="",$K1849=""),"",($K1849-IF($L1849="",0,$L1849)*IFERROR(VLOOKUP("P01",ParamTbl,3,0),1.5))*(1-IF(IFERROR(VLOOKUP($E1849,OpTbl,3,0),"")="خرید",IFERROR(VLOOKUP("P02",ParamTbl,3,0),1),0)/100))</f>
        <v/>
      </c>
      <c r="N1849" s="14" t="n"/>
      <c r="O1849" s="13" t="n"/>
    </row>
    <row r="1850">
      <c r="A1850" s="11">
        <f>IF($B1850="","",COUNTA($B$9:$B1850))</f>
        <v/>
      </c>
      <c r="B1850" s="12" t="n"/>
      <c r="C1850" s="12" t="n"/>
      <c r="D1850" s="12" t="n"/>
      <c r="E1850" s="13" t="n"/>
      <c r="F1850" s="11">
        <f>IF($E1850="","",IFERROR(VLOOKUP($E1850,OpTbl,2,0),""))</f>
        <v/>
      </c>
      <c r="G1850" s="12" t="n"/>
      <c r="H1850" s="11">
        <f>IF($G1850="","",IFERROR(IF(VLOOKUP($G1850,AcctTbl,4,0)="","(بدون نام)",VLOOKUP($G1850,AcctTbl,4,0)),"کد ناشناخته"))</f>
        <v/>
      </c>
      <c r="I1850" s="13" t="n"/>
      <c r="J1850" s="13" t="n"/>
      <c r="K1850" s="14" t="n"/>
      <c r="L1850" s="14" t="n"/>
      <c r="M1850" s="15">
        <f>IF(OR($B1850="",$K1850=""),"",($K1850-IF($L1850="",0,$L1850)*IFERROR(VLOOKUP("P01",ParamTbl,3,0),1.5))*(1-IF(IFERROR(VLOOKUP($E1850,OpTbl,3,0),"")="خرید",IFERROR(VLOOKUP("P02",ParamTbl,3,0),1),0)/100))</f>
        <v/>
      </c>
      <c r="N1850" s="14" t="n"/>
      <c r="O1850" s="13" t="n"/>
    </row>
    <row r="1851">
      <c r="A1851" s="11">
        <f>IF($B1851="","",COUNTA($B$9:$B1851))</f>
        <v/>
      </c>
      <c r="B1851" s="12" t="n"/>
      <c r="C1851" s="12" t="n"/>
      <c r="D1851" s="12" t="n"/>
      <c r="E1851" s="13" t="n"/>
      <c r="F1851" s="11">
        <f>IF($E1851="","",IFERROR(VLOOKUP($E1851,OpTbl,2,0),""))</f>
        <v/>
      </c>
      <c r="G1851" s="12" t="n"/>
      <c r="H1851" s="11">
        <f>IF($G1851="","",IFERROR(IF(VLOOKUP($G1851,AcctTbl,4,0)="","(بدون نام)",VLOOKUP($G1851,AcctTbl,4,0)),"کد ناشناخته"))</f>
        <v/>
      </c>
      <c r="I1851" s="13" t="n"/>
      <c r="J1851" s="13" t="n"/>
      <c r="K1851" s="14" t="n"/>
      <c r="L1851" s="14" t="n"/>
      <c r="M1851" s="15">
        <f>IF(OR($B1851="",$K1851=""),"",($K1851-IF($L1851="",0,$L1851)*IFERROR(VLOOKUP("P01",ParamTbl,3,0),1.5))*(1-IF(IFERROR(VLOOKUP($E1851,OpTbl,3,0),"")="خرید",IFERROR(VLOOKUP("P02",ParamTbl,3,0),1),0)/100))</f>
        <v/>
      </c>
      <c r="N1851" s="14" t="n"/>
      <c r="O1851" s="13" t="n"/>
    </row>
    <row r="1852">
      <c r="A1852" s="11">
        <f>IF($B1852="","",COUNTA($B$9:$B1852))</f>
        <v/>
      </c>
      <c r="B1852" s="12" t="n"/>
      <c r="C1852" s="12" t="n"/>
      <c r="D1852" s="12" t="n"/>
      <c r="E1852" s="13" t="n"/>
      <c r="F1852" s="11">
        <f>IF($E1852="","",IFERROR(VLOOKUP($E1852,OpTbl,2,0),""))</f>
        <v/>
      </c>
      <c r="G1852" s="12" t="n"/>
      <c r="H1852" s="11">
        <f>IF($G1852="","",IFERROR(IF(VLOOKUP($G1852,AcctTbl,4,0)="","(بدون نام)",VLOOKUP($G1852,AcctTbl,4,0)),"کد ناشناخته"))</f>
        <v/>
      </c>
      <c r="I1852" s="13" t="n"/>
      <c r="J1852" s="13" t="n"/>
      <c r="K1852" s="14" t="n"/>
      <c r="L1852" s="14" t="n"/>
      <c r="M1852" s="15">
        <f>IF(OR($B1852="",$K1852=""),"",($K1852-IF($L1852="",0,$L1852)*IFERROR(VLOOKUP("P01",ParamTbl,3,0),1.5))*(1-IF(IFERROR(VLOOKUP($E1852,OpTbl,3,0),"")="خرید",IFERROR(VLOOKUP("P02",ParamTbl,3,0),1),0)/100))</f>
        <v/>
      </c>
      <c r="N1852" s="14" t="n"/>
      <c r="O1852" s="13" t="n"/>
    </row>
    <row r="1853">
      <c r="A1853" s="11">
        <f>IF($B1853="","",COUNTA($B$9:$B1853))</f>
        <v/>
      </c>
      <c r="B1853" s="12" t="n"/>
      <c r="C1853" s="12" t="n"/>
      <c r="D1853" s="12" t="n"/>
      <c r="E1853" s="13" t="n"/>
      <c r="F1853" s="11">
        <f>IF($E1853="","",IFERROR(VLOOKUP($E1853,OpTbl,2,0),""))</f>
        <v/>
      </c>
      <c r="G1853" s="12" t="n"/>
      <c r="H1853" s="11">
        <f>IF($G1853="","",IFERROR(IF(VLOOKUP($G1853,AcctTbl,4,0)="","(بدون نام)",VLOOKUP($G1853,AcctTbl,4,0)),"کد ناشناخته"))</f>
        <v/>
      </c>
      <c r="I1853" s="13" t="n"/>
      <c r="J1853" s="13" t="n"/>
      <c r="K1853" s="14" t="n"/>
      <c r="L1853" s="14" t="n"/>
      <c r="M1853" s="15">
        <f>IF(OR($B1853="",$K1853=""),"",($K1853-IF($L1853="",0,$L1853)*IFERROR(VLOOKUP("P01",ParamTbl,3,0),1.5))*(1-IF(IFERROR(VLOOKUP($E1853,OpTbl,3,0),"")="خرید",IFERROR(VLOOKUP("P02",ParamTbl,3,0),1),0)/100))</f>
        <v/>
      </c>
      <c r="N1853" s="14" t="n"/>
      <c r="O1853" s="13" t="n"/>
    </row>
    <row r="1854">
      <c r="A1854" s="11">
        <f>IF($B1854="","",COUNTA($B$9:$B1854))</f>
        <v/>
      </c>
      <c r="B1854" s="12" t="n"/>
      <c r="C1854" s="12" t="n"/>
      <c r="D1854" s="12" t="n"/>
      <c r="E1854" s="13" t="n"/>
      <c r="F1854" s="11">
        <f>IF($E1854="","",IFERROR(VLOOKUP($E1854,OpTbl,2,0),""))</f>
        <v/>
      </c>
      <c r="G1854" s="12" t="n"/>
      <c r="H1854" s="11">
        <f>IF($G1854="","",IFERROR(IF(VLOOKUP($G1854,AcctTbl,4,0)="","(بدون نام)",VLOOKUP($G1854,AcctTbl,4,0)),"کد ناشناخته"))</f>
        <v/>
      </c>
      <c r="I1854" s="13" t="n"/>
      <c r="J1854" s="13" t="n"/>
      <c r="K1854" s="14" t="n"/>
      <c r="L1854" s="14" t="n"/>
      <c r="M1854" s="15">
        <f>IF(OR($B1854="",$K1854=""),"",($K1854-IF($L1854="",0,$L1854)*IFERROR(VLOOKUP("P01",ParamTbl,3,0),1.5))*(1-IF(IFERROR(VLOOKUP($E1854,OpTbl,3,0),"")="خرید",IFERROR(VLOOKUP("P02",ParamTbl,3,0),1),0)/100))</f>
        <v/>
      </c>
      <c r="N1854" s="14" t="n"/>
      <c r="O1854" s="13" t="n"/>
    </row>
    <row r="1855">
      <c r="A1855" s="11">
        <f>IF($B1855="","",COUNTA($B$9:$B1855))</f>
        <v/>
      </c>
      <c r="B1855" s="12" t="n"/>
      <c r="C1855" s="12" t="n"/>
      <c r="D1855" s="12" t="n"/>
      <c r="E1855" s="13" t="n"/>
      <c r="F1855" s="11">
        <f>IF($E1855="","",IFERROR(VLOOKUP($E1855,OpTbl,2,0),""))</f>
        <v/>
      </c>
      <c r="G1855" s="12" t="n"/>
      <c r="H1855" s="11">
        <f>IF($G1855="","",IFERROR(IF(VLOOKUP($G1855,AcctTbl,4,0)="","(بدون نام)",VLOOKUP($G1855,AcctTbl,4,0)),"کد ناشناخته"))</f>
        <v/>
      </c>
      <c r="I1855" s="13" t="n"/>
      <c r="J1855" s="13" t="n"/>
      <c r="K1855" s="14" t="n"/>
      <c r="L1855" s="14" t="n"/>
      <c r="M1855" s="15">
        <f>IF(OR($B1855="",$K1855=""),"",($K1855-IF($L1855="",0,$L1855)*IFERROR(VLOOKUP("P01",ParamTbl,3,0),1.5))*(1-IF(IFERROR(VLOOKUP($E1855,OpTbl,3,0),"")="خرید",IFERROR(VLOOKUP("P02",ParamTbl,3,0),1),0)/100))</f>
        <v/>
      </c>
      <c r="N1855" s="14" t="n"/>
      <c r="O1855" s="13" t="n"/>
    </row>
    <row r="1856">
      <c r="A1856" s="11">
        <f>IF($B1856="","",COUNTA($B$9:$B1856))</f>
        <v/>
      </c>
      <c r="B1856" s="12" t="n"/>
      <c r="C1856" s="12" t="n"/>
      <c r="D1856" s="12" t="n"/>
      <c r="E1856" s="13" t="n"/>
      <c r="F1856" s="11">
        <f>IF($E1856="","",IFERROR(VLOOKUP($E1856,OpTbl,2,0),""))</f>
        <v/>
      </c>
      <c r="G1856" s="12" t="n"/>
      <c r="H1856" s="11">
        <f>IF($G1856="","",IFERROR(IF(VLOOKUP($G1856,AcctTbl,4,0)="","(بدون نام)",VLOOKUP($G1856,AcctTbl,4,0)),"کد ناشناخته"))</f>
        <v/>
      </c>
      <c r="I1856" s="13" t="n"/>
      <c r="J1856" s="13" t="n"/>
      <c r="K1856" s="14" t="n"/>
      <c r="L1856" s="14" t="n"/>
      <c r="M1856" s="15">
        <f>IF(OR($B1856="",$K1856=""),"",($K1856-IF($L1856="",0,$L1856)*IFERROR(VLOOKUP("P01",ParamTbl,3,0),1.5))*(1-IF(IFERROR(VLOOKUP($E1856,OpTbl,3,0),"")="خرید",IFERROR(VLOOKUP("P02",ParamTbl,3,0),1),0)/100))</f>
        <v/>
      </c>
      <c r="N1856" s="14" t="n"/>
      <c r="O1856" s="13" t="n"/>
    </row>
    <row r="1857">
      <c r="A1857" s="11">
        <f>IF($B1857="","",COUNTA($B$9:$B1857))</f>
        <v/>
      </c>
      <c r="B1857" s="12" t="n"/>
      <c r="C1857" s="12" t="n"/>
      <c r="D1857" s="12" t="n"/>
      <c r="E1857" s="13" t="n"/>
      <c r="F1857" s="11">
        <f>IF($E1857="","",IFERROR(VLOOKUP($E1857,OpTbl,2,0),""))</f>
        <v/>
      </c>
      <c r="G1857" s="12" t="n"/>
      <c r="H1857" s="11">
        <f>IF($G1857="","",IFERROR(IF(VLOOKUP($G1857,AcctTbl,4,0)="","(بدون نام)",VLOOKUP($G1857,AcctTbl,4,0)),"کد ناشناخته"))</f>
        <v/>
      </c>
      <c r="I1857" s="13" t="n"/>
      <c r="J1857" s="13" t="n"/>
      <c r="K1857" s="14" t="n"/>
      <c r="L1857" s="14" t="n"/>
      <c r="M1857" s="15">
        <f>IF(OR($B1857="",$K1857=""),"",($K1857-IF($L1857="",0,$L1857)*IFERROR(VLOOKUP("P01",ParamTbl,3,0),1.5))*(1-IF(IFERROR(VLOOKUP($E1857,OpTbl,3,0),"")="خرید",IFERROR(VLOOKUP("P02",ParamTbl,3,0),1),0)/100))</f>
        <v/>
      </c>
      <c r="N1857" s="14" t="n"/>
      <c r="O1857" s="13" t="n"/>
    </row>
    <row r="1858">
      <c r="A1858" s="11">
        <f>IF($B1858="","",COUNTA($B$9:$B1858))</f>
        <v/>
      </c>
      <c r="B1858" s="12" t="n"/>
      <c r="C1858" s="12" t="n"/>
      <c r="D1858" s="12" t="n"/>
      <c r="E1858" s="13" t="n"/>
      <c r="F1858" s="11">
        <f>IF($E1858="","",IFERROR(VLOOKUP($E1858,OpTbl,2,0),""))</f>
        <v/>
      </c>
      <c r="G1858" s="12" t="n"/>
      <c r="H1858" s="11">
        <f>IF($G1858="","",IFERROR(IF(VLOOKUP($G1858,AcctTbl,4,0)="","(بدون نام)",VLOOKUP($G1858,AcctTbl,4,0)),"کد ناشناخته"))</f>
        <v/>
      </c>
      <c r="I1858" s="13" t="n"/>
      <c r="J1858" s="13" t="n"/>
      <c r="K1858" s="14" t="n"/>
      <c r="L1858" s="14" t="n"/>
      <c r="M1858" s="15">
        <f>IF(OR($B1858="",$K1858=""),"",($K1858-IF($L1858="",0,$L1858)*IFERROR(VLOOKUP("P01",ParamTbl,3,0),1.5))*(1-IF(IFERROR(VLOOKUP($E1858,OpTbl,3,0),"")="خرید",IFERROR(VLOOKUP("P02",ParamTbl,3,0),1),0)/100))</f>
        <v/>
      </c>
      <c r="N1858" s="14" t="n"/>
      <c r="O1858" s="13" t="n"/>
    </row>
    <row r="1859">
      <c r="A1859" s="11">
        <f>IF($B1859="","",COUNTA($B$9:$B1859))</f>
        <v/>
      </c>
      <c r="B1859" s="12" t="n"/>
      <c r="C1859" s="12" t="n"/>
      <c r="D1859" s="12" t="n"/>
      <c r="E1859" s="13" t="n"/>
      <c r="F1859" s="11">
        <f>IF($E1859="","",IFERROR(VLOOKUP($E1859,OpTbl,2,0),""))</f>
        <v/>
      </c>
      <c r="G1859" s="12" t="n"/>
      <c r="H1859" s="11">
        <f>IF($G1859="","",IFERROR(IF(VLOOKUP($G1859,AcctTbl,4,0)="","(بدون نام)",VLOOKUP($G1859,AcctTbl,4,0)),"کد ناشناخته"))</f>
        <v/>
      </c>
      <c r="I1859" s="13" t="n"/>
      <c r="J1859" s="13" t="n"/>
      <c r="K1859" s="14" t="n"/>
      <c r="L1859" s="14" t="n"/>
      <c r="M1859" s="15">
        <f>IF(OR($B1859="",$K1859=""),"",($K1859-IF($L1859="",0,$L1859)*IFERROR(VLOOKUP("P01",ParamTbl,3,0),1.5))*(1-IF(IFERROR(VLOOKUP($E1859,OpTbl,3,0),"")="خرید",IFERROR(VLOOKUP("P02",ParamTbl,3,0),1),0)/100))</f>
        <v/>
      </c>
      <c r="N1859" s="14" t="n"/>
      <c r="O1859" s="13" t="n"/>
    </row>
    <row r="1860">
      <c r="A1860" s="11">
        <f>IF($B1860="","",COUNTA($B$9:$B1860))</f>
        <v/>
      </c>
      <c r="B1860" s="12" t="n"/>
      <c r="C1860" s="12" t="n"/>
      <c r="D1860" s="12" t="n"/>
      <c r="E1860" s="13" t="n"/>
      <c r="F1860" s="11">
        <f>IF($E1860="","",IFERROR(VLOOKUP($E1860,OpTbl,2,0),""))</f>
        <v/>
      </c>
      <c r="G1860" s="12" t="n"/>
      <c r="H1860" s="11">
        <f>IF($G1860="","",IFERROR(IF(VLOOKUP($G1860,AcctTbl,4,0)="","(بدون نام)",VLOOKUP($G1860,AcctTbl,4,0)),"کد ناشناخته"))</f>
        <v/>
      </c>
      <c r="I1860" s="13" t="n"/>
      <c r="J1860" s="13" t="n"/>
      <c r="K1860" s="14" t="n"/>
      <c r="L1860" s="14" t="n"/>
      <c r="M1860" s="15">
        <f>IF(OR($B1860="",$K1860=""),"",($K1860-IF($L1860="",0,$L1860)*IFERROR(VLOOKUP("P01",ParamTbl,3,0),1.5))*(1-IF(IFERROR(VLOOKUP($E1860,OpTbl,3,0),"")="خرید",IFERROR(VLOOKUP("P02",ParamTbl,3,0),1),0)/100))</f>
        <v/>
      </c>
      <c r="N1860" s="14" t="n"/>
      <c r="O1860" s="13" t="n"/>
    </row>
    <row r="1861">
      <c r="A1861" s="11">
        <f>IF($B1861="","",COUNTA($B$9:$B1861))</f>
        <v/>
      </c>
      <c r="B1861" s="12" t="n"/>
      <c r="C1861" s="12" t="n"/>
      <c r="D1861" s="12" t="n"/>
      <c r="E1861" s="13" t="n"/>
      <c r="F1861" s="11">
        <f>IF($E1861="","",IFERROR(VLOOKUP($E1861,OpTbl,2,0),""))</f>
        <v/>
      </c>
      <c r="G1861" s="12" t="n"/>
      <c r="H1861" s="11">
        <f>IF($G1861="","",IFERROR(IF(VLOOKUP($G1861,AcctTbl,4,0)="","(بدون نام)",VLOOKUP($G1861,AcctTbl,4,0)),"کد ناشناخته"))</f>
        <v/>
      </c>
      <c r="I1861" s="13" t="n"/>
      <c r="J1861" s="13" t="n"/>
      <c r="K1861" s="14" t="n"/>
      <c r="L1861" s="14" t="n"/>
      <c r="M1861" s="15">
        <f>IF(OR($B1861="",$K1861=""),"",($K1861-IF($L1861="",0,$L1861)*IFERROR(VLOOKUP("P01",ParamTbl,3,0),1.5))*(1-IF(IFERROR(VLOOKUP($E1861,OpTbl,3,0),"")="خرید",IFERROR(VLOOKUP("P02",ParamTbl,3,0),1),0)/100))</f>
        <v/>
      </c>
      <c r="N1861" s="14" t="n"/>
      <c r="O1861" s="13" t="n"/>
    </row>
    <row r="1862">
      <c r="A1862" s="11">
        <f>IF($B1862="","",COUNTA($B$9:$B1862))</f>
        <v/>
      </c>
      <c r="B1862" s="12" t="n"/>
      <c r="C1862" s="12" t="n"/>
      <c r="D1862" s="12" t="n"/>
      <c r="E1862" s="13" t="n"/>
      <c r="F1862" s="11">
        <f>IF($E1862="","",IFERROR(VLOOKUP($E1862,OpTbl,2,0),""))</f>
        <v/>
      </c>
      <c r="G1862" s="12" t="n"/>
      <c r="H1862" s="11">
        <f>IF($G1862="","",IFERROR(IF(VLOOKUP($G1862,AcctTbl,4,0)="","(بدون نام)",VLOOKUP($G1862,AcctTbl,4,0)),"کد ناشناخته"))</f>
        <v/>
      </c>
      <c r="I1862" s="13" t="n"/>
      <c r="J1862" s="13" t="n"/>
      <c r="K1862" s="14" t="n"/>
      <c r="L1862" s="14" t="n"/>
      <c r="M1862" s="15">
        <f>IF(OR($B1862="",$K1862=""),"",($K1862-IF($L1862="",0,$L1862)*IFERROR(VLOOKUP("P01",ParamTbl,3,0),1.5))*(1-IF(IFERROR(VLOOKUP($E1862,OpTbl,3,0),"")="خرید",IFERROR(VLOOKUP("P02",ParamTbl,3,0),1),0)/100))</f>
        <v/>
      </c>
      <c r="N1862" s="14" t="n"/>
      <c r="O1862" s="13" t="n"/>
    </row>
    <row r="1863">
      <c r="A1863" s="11">
        <f>IF($B1863="","",COUNTA($B$9:$B1863))</f>
        <v/>
      </c>
      <c r="B1863" s="12" t="n"/>
      <c r="C1863" s="12" t="n"/>
      <c r="D1863" s="12" t="n"/>
      <c r="E1863" s="13" t="n"/>
      <c r="F1863" s="11">
        <f>IF($E1863="","",IFERROR(VLOOKUP($E1863,OpTbl,2,0),""))</f>
        <v/>
      </c>
      <c r="G1863" s="12" t="n"/>
      <c r="H1863" s="11">
        <f>IF($G1863="","",IFERROR(IF(VLOOKUP($G1863,AcctTbl,4,0)="","(بدون نام)",VLOOKUP($G1863,AcctTbl,4,0)),"کد ناشناخته"))</f>
        <v/>
      </c>
      <c r="I1863" s="13" t="n"/>
      <c r="J1863" s="13" t="n"/>
      <c r="K1863" s="14" t="n"/>
      <c r="L1863" s="14" t="n"/>
      <c r="M1863" s="15">
        <f>IF(OR($B1863="",$K1863=""),"",($K1863-IF($L1863="",0,$L1863)*IFERROR(VLOOKUP("P01",ParamTbl,3,0),1.5))*(1-IF(IFERROR(VLOOKUP($E1863,OpTbl,3,0),"")="خرید",IFERROR(VLOOKUP("P02",ParamTbl,3,0),1),0)/100))</f>
        <v/>
      </c>
      <c r="N1863" s="14" t="n"/>
      <c r="O1863" s="13" t="n"/>
    </row>
    <row r="1864">
      <c r="A1864" s="11">
        <f>IF($B1864="","",COUNTA($B$9:$B1864))</f>
        <v/>
      </c>
      <c r="B1864" s="12" t="n"/>
      <c r="C1864" s="12" t="n"/>
      <c r="D1864" s="12" t="n"/>
      <c r="E1864" s="13" t="n"/>
      <c r="F1864" s="11">
        <f>IF($E1864="","",IFERROR(VLOOKUP($E1864,OpTbl,2,0),""))</f>
        <v/>
      </c>
      <c r="G1864" s="12" t="n"/>
      <c r="H1864" s="11">
        <f>IF($G1864="","",IFERROR(IF(VLOOKUP($G1864,AcctTbl,4,0)="","(بدون نام)",VLOOKUP($G1864,AcctTbl,4,0)),"کد ناشناخته"))</f>
        <v/>
      </c>
      <c r="I1864" s="13" t="n"/>
      <c r="J1864" s="13" t="n"/>
      <c r="K1864" s="14" t="n"/>
      <c r="L1864" s="14" t="n"/>
      <c r="M1864" s="15">
        <f>IF(OR($B1864="",$K1864=""),"",($K1864-IF($L1864="",0,$L1864)*IFERROR(VLOOKUP("P01",ParamTbl,3,0),1.5))*(1-IF(IFERROR(VLOOKUP($E1864,OpTbl,3,0),"")="خرید",IFERROR(VLOOKUP("P02",ParamTbl,3,0),1),0)/100))</f>
        <v/>
      </c>
      <c r="N1864" s="14" t="n"/>
      <c r="O1864" s="13" t="n"/>
    </row>
    <row r="1865">
      <c r="A1865" s="11">
        <f>IF($B1865="","",COUNTA($B$9:$B1865))</f>
        <v/>
      </c>
      <c r="B1865" s="12" t="n"/>
      <c r="C1865" s="12" t="n"/>
      <c r="D1865" s="12" t="n"/>
      <c r="E1865" s="13" t="n"/>
      <c r="F1865" s="11">
        <f>IF($E1865="","",IFERROR(VLOOKUP($E1865,OpTbl,2,0),""))</f>
        <v/>
      </c>
      <c r="G1865" s="12" t="n"/>
      <c r="H1865" s="11">
        <f>IF($G1865="","",IFERROR(IF(VLOOKUP($G1865,AcctTbl,4,0)="","(بدون نام)",VLOOKUP($G1865,AcctTbl,4,0)),"کد ناشناخته"))</f>
        <v/>
      </c>
      <c r="I1865" s="13" t="n"/>
      <c r="J1865" s="13" t="n"/>
      <c r="K1865" s="14" t="n"/>
      <c r="L1865" s="14" t="n"/>
      <c r="M1865" s="15">
        <f>IF(OR($B1865="",$K1865=""),"",($K1865-IF($L1865="",0,$L1865)*IFERROR(VLOOKUP("P01",ParamTbl,3,0),1.5))*(1-IF(IFERROR(VLOOKUP($E1865,OpTbl,3,0),"")="خرید",IFERROR(VLOOKUP("P02",ParamTbl,3,0),1),0)/100))</f>
        <v/>
      </c>
      <c r="N1865" s="14" t="n"/>
      <c r="O1865" s="13" t="n"/>
    </row>
    <row r="1866">
      <c r="A1866" s="11">
        <f>IF($B1866="","",COUNTA($B$9:$B1866))</f>
        <v/>
      </c>
      <c r="B1866" s="12" t="n"/>
      <c r="C1866" s="12" t="n"/>
      <c r="D1866" s="12" t="n"/>
      <c r="E1866" s="13" t="n"/>
      <c r="F1866" s="11">
        <f>IF($E1866="","",IFERROR(VLOOKUP($E1866,OpTbl,2,0),""))</f>
        <v/>
      </c>
      <c r="G1866" s="12" t="n"/>
      <c r="H1866" s="11">
        <f>IF($G1866="","",IFERROR(IF(VLOOKUP($G1866,AcctTbl,4,0)="","(بدون نام)",VLOOKUP($G1866,AcctTbl,4,0)),"کد ناشناخته"))</f>
        <v/>
      </c>
      <c r="I1866" s="13" t="n"/>
      <c r="J1866" s="13" t="n"/>
      <c r="K1866" s="14" t="n"/>
      <c r="L1866" s="14" t="n"/>
      <c r="M1866" s="15">
        <f>IF(OR($B1866="",$K1866=""),"",($K1866-IF($L1866="",0,$L1866)*IFERROR(VLOOKUP("P01",ParamTbl,3,0),1.5))*(1-IF(IFERROR(VLOOKUP($E1866,OpTbl,3,0),"")="خرید",IFERROR(VLOOKUP("P02",ParamTbl,3,0),1),0)/100))</f>
        <v/>
      </c>
      <c r="N1866" s="14" t="n"/>
      <c r="O1866" s="13" t="n"/>
    </row>
    <row r="1867">
      <c r="A1867" s="11">
        <f>IF($B1867="","",COUNTA($B$9:$B1867))</f>
        <v/>
      </c>
      <c r="B1867" s="12" t="n"/>
      <c r="C1867" s="12" t="n"/>
      <c r="D1867" s="12" t="n"/>
      <c r="E1867" s="13" t="n"/>
      <c r="F1867" s="11">
        <f>IF($E1867="","",IFERROR(VLOOKUP($E1867,OpTbl,2,0),""))</f>
        <v/>
      </c>
      <c r="G1867" s="12" t="n"/>
      <c r="H1867" s="11">
        <f>IF($G1867="","",IFERROR(IF(VLOOKUP($G1867,AcctTbl,4,0)="","(بدون نام)",VLOOKUP($G1867,AcctTbl,4,0)),"کد ناشناخته"))</f>
        <v/>
      </c>
      <c r="I1867" s="13" t="n"/>
      <c r="J1867" s="13" t="n"/>
      <c r="K1867" s="14" t="n"/>
      <c r="L1867" s="14" t="n"/>
      <c r="M1867" s="15">
        <f>IF(OR($B1867="",$K1867=""),"",($K1867-IF($L1867="",0,$L1867)*IFERROR(VLOOKUP("P01",ParamTbl,3,0),1.5))*(1-IF(IFERROR(VLOOKUP($E1867,OpTbl,3,0),"")="خرید",IFERROR(VLOOKUP("P02",ParamTbl,3,0),1),0)/100))</f>
        <v/>
      </c>
      <c r="N1867" s="14" t="n"/>
      <c r="O1867" s="13" t="n"/>
    </row>
    <row r="1868">
      <c r="A1868" s="11">
        <f>IF($B1868="","",COUNTA($B$9:$B1868))</f>
        <v/>
      </c>
      <c r="B1868" s="12" t="n"/>
      <c r="C1868" s="12" t="n"/>
      <c r="D1868" s="12" t="n"/>
      <c r="E1868" s="13" t="n"/>
      <c r="F1868" s="11">
        <f>IF($E1868="","",IFERROR(VLOOKUP($E1868,OpTbl,2,0),""))</f>
        <v/>
      </c>
      <c r="G1868" s="12" t="n"/>
      <c r="H1868" s="11">
        <f>IF($G1868="","",IFERROR(IF(VLOOKUP($G1868,AcctTbl,4,0)="","(بدون نام)",VLOOKUP($G1868,AcctTbl,4,0)),"کد ناشناخته"))</f>
        <v/>
      </c>
      <c r="I1868" s="13" t="n"/>
      <c r="J1868" s="13" t="n"/>
      <c r="K1868" s="14" t="n"/>
      <c r="L1868" s="14" t="n"/>
      <c r="M1868" s="15">
        <f>IF(OR($B1868="",$K1868=""),"",($K1868-IF($L1868="",0,$L1868)*IFERROR(VLOOKUP("P01",ParamTbl,3,0),1.5))*(1-IF(IFERROR(VLOOKUP($E1868,OpTbl,3,0),"")="خرید",IFERROR(VLOOKUP("P02",ParamTbl,3,0),1),0)/100))</f>
        <v/>
      </c>
      <c r="N1868" s="14" t="n"/>
      <c r="O1868" s="13" t="n"/>
    </row>
    <row r="1869">
      <c r="A1869" s="11">
        <f>IF($B1869="","",COUNTA($B$9:$B1869))</f>
        <v/>
      </c>
      <c r="B1869" s="12" t="n"/>
      <c r="C1869" s="12" t="n"/>
      <c r="D1869" s="12" t="n"/>
      <c r="E1869" s="13" t="n"/>
      <c r="F1869" s="11">
        <f>IF($E1869="","",IFERROR(VLOOKUP($E1869,OpTbl,2,0),""))</f>
        <v/>
      </c>
      <c r="G1869" s="12" t="n"/>
      <c r="H1869" s="11">
        <f>IF($G1869="","",IFERROR(IF(VLOOKUP($G1869,AcctTbl,4,0)="","(بدون نام)",VLOOKUP($G1869,AcctTbl,4,0)),"کد ناشناخته"))</f>
        <v/>
      </c>
      <c r="I1869" s="13" t="n"/>
      <c r="J1869" s="13" t="n"/>
      <c r="K1869" s="14" t="n"/>
      <c r="L1869" s="14" t="n"/>
      <c r="M1869" s="15">
        <f>IF(OR($B1869="",$K1869=""),"",($K1869-IF($L1869="",0,$L1869)*IFERROR(VLOOKUP("P01",ParamTbl,3,0),1.5))*(1-IF(IFERROR(VLOOKUP($E1869,OpTbl,3,0),"")="خرید",IFERROR(VLOOKUP("P02",ParamTbl,3,0),1),0)/100))</f>
        <v/>
      </c>
      <c r="N1869" s="14" t="n"/>
      <c r="O1869" s="13" t="n"/>
    </row>
    <row r="1870">
      <c r="A1870" s="11">
        <f>IF($B1870="","",COUNTA($B$9:$B1870))</f>
        <v/>
      </c>
      <c r="B1870" s="12" t="n"/>
      <c r="C1870" s="12" t="n"/>
      <c r="D1870" s="12" t="n"/>
      <c r="E1870" s="13" t="n"/>
      <c r="F1870" s="11">
        <f>IF($E1870="","",IFERROR(VLOOKUP($E1870,OpTbl,2,0),""))</f>
        <v/>
      </c>
      <c r="G1870" s="12" t="n"/>
      <c r="H1870" s="11">
        <f>IF($G1870="","",IFERROR(IF(VLOOKUP($G1870,AcctTbl,4,0)="","(بدون نام)",VLOOKUP($G1870,AcctTbl,4,0)),"کد ناشناخته"))</f>
        <v/>
      </c>
      <c r="I1870" s="13" t="n"/>
      <c r="J1870" s="13" t="n"/>
      <c r="K1870" s="14" t="n"/>
      <c r="L1870" s="14" t="n"/>
      <c r="M1870" s="15">
        <f>IF(OR($B1870="",$K1870=""),"",($K1870-IF($L1870="",0,$L1870)*IFERROR(VLOOKUP("P01",ParamTbl,3,0),1.5))*(1-IF(IFERROR(VLOOKUP($E1870,OpTbl,3,0),"")="خرید",IFERROR(VLOOKUP("P02",ParamTbl,3,0),1),0)/100))</f>
        <v/>
      </c>
      <c r="N1870" s="14" t="n"/>
      <c r="O1870" s="13" t="n"/>
    </row>
    <row r="1871">
      <c r="A1871" s="11">
        <f>IF($B1871="","",COUNTA($B$9:$B1871))</f>
        <v/>
      </c>
      <c r="B1871" s="12" t="n"/>
      <c r="C1871" s="12" t="n"/>
      <c r="D1871" s="12" t="n"/>
      <c r="E1871" s="13" t="n"/>
      <c r="F1871" s="11">
        <f>IF($E1871="","",IFERROR(VLOOKUP($E1871,OpTbl,2,0),""))</f>
        <v/>
      </c>
      <c r="G1871" s="12" t="n"/>
      <c r="H1871" s="11">
        <f>IF($G1871="","",IFERROR(IF(VLOOKUP($G1871,AcctTbl,4,0)="","(بدون نام)",VLOOKUP($G1871,AcctTbl,4,0)),"کد ناشناخته"))</f>
        <v/>
      </c>
      <c r="I1871" s="13" t="n"/>
      <c r="J1871" s="13" t="n"/>
      <c r="K1871" s="14" t="n"/>
      <c r="L1871" s="14" t="n"/>
      <c r="M1871" s="15">
        <f>IF(OR($B1871="",$K1871=""),"",($K1871-IF($L1871="",0,$L1871)*IFERROR(VLOOKUP("P01",ParamTbl,3,0),1.5))*(1-IF(IFERROR(VLOOKUP($E1871,OpTbl,3,0),"")="خرید",IFERROR(VLOOKUP("P02",ParamTbl,3,0),1),0)/100))</f>
        <v/>
      </c>
      <c r="N1871" s="14" t="n"/>
      <c r="O1871" s="13" t="n"/>
    </row>
    <row r="1872">
      <c r="A1872" s="11">
        <f>IF($B1872="","",COUNTA($B$9:$B1872))</f>
        <v/>
      </c>
      <c r="B1872" s="12" t="n"/>
      <c r="C1872" s="12" t="n"/>
      <c r="D1872" s="12" t="n"/>
      <c r="E1872" s="13" t="n"/>
      <c r="F1872" s="11">
        <f>IF($E1872="","",IFERROR(VLOOKUP($E1872,OpTbl,2,0),""))</f>
        <v/>
      </c>
      <c r="G1872" s="12" t="n"/>
      <c r="H1872" s="11">
        <f>IF($G1872="","",IFERROR(IF(VLOOKUP($G1872,AcctTbl,4,0)="","(بدون نام)",VLOOKUP($G1872,AcctTbl,4,0)),"کد ناشناخته"))</f>
        <v/>
      </c>
      <c r="I1872" s="13" t="n"/>
      <c r="J1872" s="13" t="n"/>
      <c r="K1872" s="14" t="n"/>
      <c r="L1872" s="14" t="n"/>
      <c r="M1872" s="15">
        <f>IF(OR($B1872="",$K1872=""),"",($K1872-IF($L1872="",0,$L1872)*IFERROR(VLOOKUP("P01",ParamTbl,3,0),1.5))*(1-IF(IFERROR(VLOOKUP($E1872,OpTbl,3,0),"")="خرید",IFERROR(VLOOKUP("P02",ParamTbl,3,0),1),0)/100))</f>
        <v/>
      </c>
      <c r="N1872" s="14" t="n"/>
      <c r="O1872" s="13" t="n"/>
    </row>
    <row r="1873">
      <c r="A1873" s="11">
        <f>IF($B1873="","",COUNTA($B$9:$B1873))</f>
        <v/>
      </c>
      <c r="B1873" s="12" t="n"/>
      <c r="C1873" s="12" t="n"/>
      <c r="D1873" s="12" t="n"/>
      <c r="E1873" s="13" t="n"/>
      <c r="F1873" s="11">
        <f>IF($E1873="","",IFERROR(VLOOKUP($E1873,OpTbl,2,0),""))</f>
        <v/>
      </c>
      <c r="G1873" s="12" t="n"/>
      <c r="H1873" s="11">
        <f>IF($G1873="","",IFERROR(IF(VLOOKUP($G1873,AcctTbl,4,0)="","(بدون نام)",VLOOKUP($G1873,AcctTbl,4,0)),"کد ناشناخته"))</f>
        <v/>
      </c>
      <c r="I1873" s="13" t="n"/>
      <c r="J1873" s="13" t="n"/>
      <c r="K1873" s="14" t="n"/>
      <c r="L1873" s="14" t="n"/>
      <c r="M1873" s="15">
        <f>IF(OR($B1873="",$K1873=""),"",($K1873-IF($L1873="",0,$L1873)*IFERROR(VLOOKUP("P01",ParamTbl,3,0),1.5))*(1-IF(IFERROR(VLOOKUP($E1873,OpTbl,3,0),"")="خرید",IFERROR(VLOOKUP("P02",ParamTbl,3,0),1),0)/100))</f>
        <v/>
      </c>
      <c r="N1873" s="14" t="n"/>
      <c r="O1873" s="13" t="n"/>
    </row>
    <row r="1874">
      <c r="A1874" s="11">
        <f>IF($B1874="","",COUNTA($B$9:$B1874))</f>
        <v/>
      </c>
      <c r="B1874" s="12" t="n"/>
      <c r="C1874" s="12" t="n"/>
      <c r="D1874" s="12" t="n"/>
      <c r="E1874" s="13" t="n"/>
      <c r="F1874" s="11">
        <f>IF($E1874="","",IFERROR(VLOOKUP($E1874,OpTbl,2,0),""))</f>
        <v/>
      </c>
      <c r="G1874" s="12" t="n"/>
      <c r="H1874" s="11">
        <f>IF($G1874="","",IFERROR(IF(VLOOKUP($G1874,AcctTbl,4,0)="","(بدون نام)",VLOOKUP($G1874,AcctTbl,4,0)),"کد ناشناخته"))</f>
        <v/>
      </c>
      <c r="I1874" s="13" t="n"/>
      <c r="J1874" s="13" t="n"/>
      <c r="K1874" s="14" t="n"/>
      <c r="L1874" s="14" t="n"/>
      <c r="M1874" s="15">
        <f>IF(OR($B1874="",$K1874=""),"",($K1874-IF($L1874="",0,$L1874)*IFERROR(VLOOKUP("P01",ParamTbl,3,0),1.5))*(1-IF(IFERROR(VLOOKUP($E1874,OpTbl,3,0),"")="خرید",IFERROR(VLOOKUP("P02",ParamTbl,3,0),1),0)/100))</f>
        <v/>
      </c>
      <c r="N1874" s="14" t="n"/>
      <c r="O1874" s="13" t="n"/>
    </row>
    <row r="1875">
      <c r="A1875" s="11">
        <f>IF($B1875="","",COUNTA($B$9:$B1875))</f>
        <v/>
      </c>
      <c r="B1875" s="12" t="n"/>
      <c r="C1875" s="12" t="n"/>
      <c r="D1875" s="12" t="n"/>
      <c r="E1875" s="13" t="n"/>
      <c r="F1875" s="11">
        <f>IF($E1875="","",IFERROR(VLOOKUP($E1875,OpTbl,2,0),""))</f>
        <v/>
      </c>
      <c r="G1875" s="12" t="n"/>
      <c r="H1875" s="11">
        <f>IF($G1875="","",IFERROR(IF(VLOOKUP($G1875,AcctTbl,4,0)="","(بدون نام)",VLOOKUP($G1875,AcctTbl,4,0)),"کد ناشناخته"))</f>
        <v/>
      </c>
      <c r="I1875" s="13" t="n"/>
      <c r="J1875" s="13" t="n"/>
      <c r="K1875" s="14" t="n"/>
      <c r="L1875" s="14" t="n"/>
      <c r="M1875" s="15">
        <f>IF(OR($B1875="",$K1875=""),"",($K1875-IF($L1875="",0,$L1875)*IFERROR(VLOOKUP("P01",ParamTbl,3,0),1.5))*(1-IF(IFERROR(VLOOKUP($E1875,OpTbl,3,0),"")="خرید",IFERROR(VLOOKUP("P02",ParamTbl,3,0),1),0)/100))</f>
        <v/>
      </c>
      <c r="N1875" s="14" t="n"/>
      <c r="O1875" s="13" t="n"/>
    </row>
    <row r="1876">
      <c r="A1876" s="11">
        <f>IF($B1876="","",COUNTA($B$9:$B1876))</f>
        <v/>
      </c>
      <c r="B1876" s="12" t="n"/>
      <c r="C1876" s="12" t="n"/>
      <c r="D1876" s="12" t="n"/>
      <c r="E1876" s="13" t="n"/>
      <c r="F1876" s="11">
        <f>IF($E1876="","",IFERROR(VLOOKUP($E1876,OpTbl,2,0),""))</f>
        <v/>
      </c>
      <c r="G1876" s="12" t="n"/>
      <c r="H1876" s="11">
        <f>IF($G1876="","",IFERROR(IF(VLOOKUP($G1876,AcctTbl,4,0)="","(بدون نام)",VLOOKUP($G1876,AcctTbl,4,0)),"کد ناشناخته"))</f>
        <v/>
      </c>
      <c r="I1876" s="13" t="n"/>
      <c r="J1876" s="13" t="n"/>
      <c r="K1876" s="14" t="n"/>
      <c r="L1876" s="14" t="n"/>
      <c r="M1876" s="15">
        <f>IF(OR($B1876="",$K1876=""),"",($K1876-IF($L1876="",0,$L1876)*IFERROR(VLOOKUP("P01",ParamTbl,3,0),1.5))*(1-IF(IFERROR(VLOOKUP($E1876,OpTbl,3,0),"")="خرید",IFERROR(VLOOKUP("P02",ParamTbl,3,0),1),0)/100))</f>
        <v/>
      </c>
      <c r="N1876" s="14" t="n"/>
      <c r="O1876" s="13" t="n"/>
    </row>
    <row r="1877">
      <c r="A1877" s="11">
        <f>IF($B1877="","",COUNTA($B$9:$B1877))</f>
        <v/>
      </c>
      <c r="B1877" s="12" t="n"/>
      <c r="C1877" s="12" t="n"/>
      <c r="D1877" s="12" t="n"/>
      <c r="E1877" s="13" t="n"/>
      <c r="F1877" s="11">
        <f>IF($E1877="","",IFERROR(VLOOKUP($E1877,OpTbl,2,0),""))</f>
        <v/>
      </c>
      <c r="G1877" s="12" t="n"/>
      <c r="H1877" s="11">
        <f>IF($G1877="","",IFERROR(IF(VLOOKUP($G1877,AcctTbl,4,0)="","(بدون نام)",VLOOKUP($G1877,AcctTbl,4,0)),"کد ناشناخته"))</f>
        <v/>
      </c>
      <c r="I1877" s="13" t="n"/>
      <c r="J1877" s="13" t="n"/>
      <c r="K1877" s="14" t="n"/>
      <c r="L1877" s="14" t="n"/>
      <c r="M1877" s="15">
        <f>IF(OR($B1877="",$K1877=""),"",($K1877-IF($L1877="",0,$L1877)*IFERROR(VLOOKUP("P01",ParamTbl,3,0),1.5))*(1-IF(IFERROR(VLOOKUP($E1877,OpTbl,3,0),"")="خرید",IFERROR(VLOOKUP("P02",ParamTbl,3,0),1),0)/100))</f>
        <v/>
      </c>
      <c r="N1877" s="14" t="n"/>
      <c r="O1877" s="13" t="n"/>
    </row>
    <row r="1878">
      <c r="A1878" s="11">
        <f>IF($B1878="","",COUNTA($B$9:$B1878))</f>
        <v/>
      </c>
      <c r="B1878" s="12" t="n"/>
      <c r="C1878" s="12" t="n"/>
      <c r="D1878" s="12" t="n"/>
      <c r="E1878" s="13" t="n"/>
      <c r="F1878" s="11">
        <f>IF($E1878="","",IFERROR(VLOOKUP($E1878,OpTbl,2,0),""))</f>
        <v/>
      </c>
      <c r="G1878" s="12" t="n"/>
      <c r="H1878" s="11">
        <f>IF($G1878="","",IFERROR(IF(VLOOKUP($G1878,AcctTbl,4,0)="","(بدون نام)",VLOOKUP($G1878,AcctTbl,4,0)),"کد ناشناخته"))</f>
        <v/>
      </c>
      <c r="I1878" s="13" t="n"/>
      <c r="J1878" s="13" t="n"/>
      <c r="K1878" s="14" t="n"/>
      <c r="L1878" s="14" t="n"/>
      <c r="M1878" s="15">
        <f>IF(OR($B1878="",$K1878=""),"",($K1878-IF($L1878="",0,$L1878)*IFERROR(VLOOKUP("P01",ParamTbl,3,0),1.5))*(1-IF(IFERROR(VLOOKUP($E1878,OpTbl,3,0),"")="خرید",IFERROR(VLOOKUP("P02",ParamTbl,3,0),1),0)/100))</f>
        <v/>
      </c>
      <c r="N1878" s="14" t="n"/>
      <c r="O1878" s="13" t="n"/>
    </row>
    <row r="1879">
      <c r="A1879" s="11">
        <f>IF($B1879="","",COUNTA($B$9:$B1879))</f>
        <v/>
      </c>
      <c r="B1879" s="12" t="n"/>
      <c r="C1879" s="12" t="n"/>
      <c r="D1879" s="12" t="n"/>
      <c r="E1879" s="13" t="n"/>
      <c r="F1879" s="11">
        <f>IF($E1879="","",IFERROR(VLOOKUP($E1879,OpTbl,2,0),""))</f>
        <v/>
      </c>
      <c r="G1879" s="12" t="n"/>
      <c r="H1879" s="11">
        <f>IF($G1879="","",IFERROR(IF(VLOOKUP($G1879,AcctTbl,4,0)="","(بدون نام)",VLOOKUP($G1879,AcctTbl,4,0)),"کد ناشناخته"))</f>
        <v/>
      </c>
      <c r="I1879" s="13" t="n"/>
      <c r="J1879" s="13" t="n"/>
      <c r="K1879" s="14" t="n"/>
      <c r="L1879" s="14" t="n"/>
      <c r="M1879" s="15">
        <f>IF(OR($B1879="",$K1879=""),"",($K1879-IF($L1879="",0,$L1879)*IFERROR(VLOOKUP("P01",ParamTbl,3,0),1.5))*(1-IF(IFERROR(VLOOKUP($E1879,OpTbl,3,0),"")="خرید",IFERROR(VLOOKUP("P02",ParamTbl,3,0),1),0)/100))</f>
        <v/>
      </c>
      <c r="N1879" s="14" t="n"/>
      <c r="O1879" s="13" t="n"/>
    </row>
    <row r="1880">
      <c r="A1880" s="11">
        <f>IF($B1880="","",COUNTA($B$9:$B1880))</f>
        <v/>
      </c>
      <c r="B1880" s="12" t="n"/>
      <c r="C1880" s="12" t="n"/>
      <c r="D1880" s="12" t="n"/>
      <c r="E1880" s="13" t="n"/>
      <c r="F1880" s="11">
        <f>IF($E1880="","",IFERROR(VLOOKUP($E1880,OpTbl,2,0),""))</f>
        <v/>
      </c>
      <c r="G1880" s="12" t="n"/>
      <c r="H1880" s="11">
        <f>IF($G1880="","",IFERROR(IF(VLOOKUP($G1880,AcctTbl,4,0)="","(بدون نام)",VLOOKUP($G1880,AcctTbl,4,0)),"کد ناشناخته"))</f>
        <v/>
      </c>
      <c r="I1880" s="13" t="n"/>
      <c r="J1880" s="13" t="n"/>
      <c r="K1880" s="14" t="n"/>
      <c r="L1880" s="14" t="n"/>
      <c r="M1880" s="15">
        <f>IF(OR($B1880="",$K1880=""),"",($K1880-IF($L1880="",0,$L1880)*IFERROR(VLOOKUP("P01",ParamTbl,3,0),1.5))*(1-IF(IFERROR(VLOOKUP($E1880,OpTbl,3,0),"")="خرید",IFERROR(VLOOKUP("P02",ParamTbl,3,0),1),0)/100))</f>
        <v/>
      </c>
      <c r="N1880" s="14" t="n"/>
      <c r="O1880" s="13" t="n"/>
    </row>
    <row r="1881">
      <c r="A1881" s="11">
        <f>IF($B1881="","",COUNTA($B$9:$B1881))</f>
        <v/>
      </c>
      <c r="B1881" s="12" t="n"/>
      <c r="C1881" s="12" t="n"/>
      <c r="D1881" s="12" t="n"/>
      <c r="E1881" s="13" t="n"/>
      <c r="F1881" s="11">
        <f>IF($E1881="","",IFERROR(VLOOKUP($E1881,OpTbl,2,0),""))</f>
        <v/>
      </c>
      <c r="G1881" s="12" t="n"/>
      <c r="H1881" s="11">
        <f>IF($G1881="","",IFERROR(IF(VLOOKUP($G1881,AcctTbl,4,0)="","(بدون نام)",VLOOKUP($G1881,AcctTbl,4,0)),"کد ناشناخته"))</f>
        <v/>
      </c>
      <c r="I1881" s="13" t="n"/>
      <c r="J1881" s="13" t="n"/>
      <c r="K1881" s="14" t="n"/>
      <c r="L1881" s="14" t="n"/>
      <c r="M1881" s="15">
        <f>IF(OR($B1881="",$K1881=""),"",($K1881-IF($L1881="",0,$L1881)*IFERROR(VLOOKUP("P01",ParamTbl,3,0),1.5))*(1-IF(IFERROR(VLOOKUP($E1881,OpTbl,3,0),"")="خرید",IFERROR(VLOOKUP("P02",ParamTbl,3,0),1),0)/100))</f>
        <v/>
      </c>
      <c r="N1881" s="14" t="n"/>
      <c r="O1881" s="13" t="n"/>
    </row>
    <row r="1882">
      <c r="A1882" s="11">
        <f>IF($B1882="","",COUNTA($B$9:$B1882))</f>
        <v/>
      </c>
      <c r="B1882" s="12" t="n"/>
      <c r="C1882" s="12" t="n"/>
      <c r="D1882" s="12" t="n"/>
      <c r="E1882" s="13" t="n"/>
      <c r="F1882" s="11">
        <f>IF($E1882="","",IFERROR(VLOOKUP($E1882,OpTbl,2,0),""))</f>
        <v/>
      </c>
      <c r="G1882" s="12" t="n"/>
      <c r="H1882" s="11">
        <f>IF($G1882="","",IFERROR(IF(VLOOKUP($G1882,AcctTbl,4,0)="","(بدون نام)",VLOOKUP($G1882,AcctTbl,4,0)),"کد ناشناخته"))</f>
        <v/>
      </c>
      <c r="I1882" s="13" t="n"/>
      <c r="J1882" s="13" t="n"/>
      <c r="K1882" s="14" t="n"/>
      <c r="L1882" s="14" t="n"/>
      <c r="M1882" s="15">
        <f>IF(OR($B1882="",$K1882=""),"",($K1882-IF($L1882="",0,$L1882)*IFERROR(VLOOKUP("P01",ParamTbl,3,0),1.5))*(1-IF(IFERROR(VLOOKUP($E1882,OpTbl,3,0),"")="خرید",IFERROR(VLOOKUP("P02",ParamTbl,3,0),1),0)/100))</f>
        <v/>
      </c>
      <c r="N1882" s="14" t="n"/>
      <c r="O1882" s="13" t="n"/>
    </row>
    <row r="1883">
      <c r="A1883" s="11">
        <f>IF($B1883="","",COUNTA($B$9:$B1883))</f>
        <v/>
      </c>
      <c r="B1883" s="12" t="n"/>
      <c r="C1883" s="12" t="n"/>
      <c r="D1883" s="12" t="n"/>
      <c r="E1883" s="13" t="n"/>
      <c r="F1883" s="11">
        <f>IF($E1883="","",IFERROR(VLOOKUP($E1883,OpTbl,2,0),""))</f>
        <v/>
      </c>
      <c r="G1883" s="12" t="n"/>
      <c r="H1883" s="11">
        <f>IF($G1883="","",IFERROR(IF(VLOOKUP($G1883,AcctTbl,4,0)="","(بدون نام)",VLOOKUP($G1883,AcctTbl,4,0)),"کد ناشناخته"))</f>
        <v/>
      </c>
      <c r="I1883" s="13" t="n"/>
      <c r="J1883" s="13" t="n"/>
      <c r="K1883" s="14" t="n"/>
      <c r="L1883" s="14" t="n"/>
      <c r="M1883" s="15">
        <f>IF(OR($B1883="",$K1883=""),"",($K1883-IF($L1883="",0,$L1883)*IFERROR(VLOOKUP("P01",ParamTbl,3,0),1.5))*(1-IF(IFERROR(VLOOKUP($E1883,OpTbl,3,0),"")="خرید",IFERROR(VLOOKUP("P02",ParamTbl,3,0),1),0)/100))</f>
        <v/>
      </c>
      <c r="N1883" s="14" t="n"/>
      <c r="O1883" s="13" t="n"/>
    </row>
    <row r="1884">
      <c r="A1884" s="11">
        <f>IF($B1884="","",COUNTA($B$9:$B1884))</f>
        <v/>
      </c>
      <c r="B1884" s="12" t="n"/>
      <c r="C1884" s="12" t="n"/>
      <c r="D1884" s="12" t="n"/>
      <c r="E1884" s="13" t="n"/>
      <c r="F1884" s="11">
        <f>IF($E1884="","",IFERROR(VLOOKUP($E1884,OpTbl,2,0),""))</f>
        <v/>
      </c>
      <c r="G1884" s="12" t="n"/>
      <c r="H1884" s="11">
        <f>IF($G1884="","",IFERROR(IF(VLOOKUP($G1884,AcctTbl,4,0)="","(بدون نام)",VLOOKUP($G1884,AcctTbl,4,0)),"کد ناشناخته"))</f>
        <v/>
      </c>
      <c r="I1884" s="13" t="n"/>
      <c r="J1884" s="13" t="n"/>
      <c r="K1884" s="14" t="n"/>
      <c r="L1884" s="14" t="n"/>
      <c r="M1884" s="15">
        <f>IF(OR($B1884="",$K1884=""),"",($K1884-IF($L1884="",0,$L1884)*IFERROR(VLOOKUP("P01",ParamTbl,3,0),1.5))*(1-IF(IFERROR(VLOOKUP($E1884,OpTbl,3,0),"")="خرید",IFERROR(VLOOKUP("P02",ParamTbl,3,0),1),0)/100))</f>
        <v/>
      </c>
      <c r="N1884" s="14" t="n"/>
      <c r="O1884" s="13" t="n"/>
    </row>
    <row r="1885">
      <c r="A1885" s="11">
        <f>IF($B1885="","",COUNTA($B$9:$B1885))</f>
        <v/>
      </c>
      <c r="B1885" s="12" t="n"/>
      <c r="C1885" s="12" t="n"/>
      <c r="D1885" s="12" t="n"/>
      <c r="E1885" s="13" t="n"/>
      <c r="F1885" s="11">
        <f>IF($E1885="","",IFERROR(VLOOKUP($E1885,OpTbl,2,0),""))</f>
        <v/>
      </c>
      <c r="G1885" s="12" t="n"/>
      <c r="H1885" s="11">
        <f>IF($G1885="","",IFERROR(IF(VLOOKUP($G1885,AcctTbl,4,0)="","(بدون نام)",VLOOKUP($G1885,AcctTbl,4,0)),"کد ناشناخته"))</f>
        <v/>
      </c>
      <c r="I1885" s="13" t="n"/>
      <c r="J1885" s="13" t="n"/>
      <c r="K1885" s="14" t="n"/>
      <c r="L1885" s="14" t="n"/>
      <c r="M1885" s="15">
        <f>IF(OR($B1885="",$K1885=""),"",($K1885-IF($L1885="",0,$L1885)*IFERROR(VLOOKUP("P01",ParamTbl,3,0),1.5))*(1-IF(IFERROR(VLOOKUP($E1885,OpTbl,3,0),"")="خرید",IFERROR(VLOOKUP("P02",ParamTbl,3,0),1),0)/100))</f>
        <v/>
      </c>
      <c r="N1885" s="14" t="n"/>
      <c r="O1885" s="13" t="n"/>
    </row>
    <row r="1886">
      <c r="A1886" s="11">
        <f>IF($B1886="","",COUNTA($B$9:$B1886))</f>
        <v/>
      </c>
      <c r="B1886" s="12" t="n"/>
      <c r="C1886" s="12" t="n"/>
      <c r="D1886" s="12" t="n"/>
      <c r="E1886" s="13" t="n"/>
      <c r="F1886" s="11">
        <f>IF($E1886="","",IFERROR(VLOOKUP($E1886,OpTbl,2,0),""))</f>
        <v/>
      </c>
      <c r="G1886" s="12" t="n"/>
      <c r="H1886" s="11">
        <f>IF($G1886="","",IFERROR(IF(VLOOKUP($G1886,AcctTbl,4,0)="","(بدون نام)",VLOOKUP($G1886,AcctTbl,4,0)),"کد ناشناخته"))</f>
        <v/>
      </c>
      <c r="I1886" s="13" t="n"/>
      <c r="J1886" s="13" t="n"/>
      <c r="K1886" s="14" t="n"/>
      <c r="L1886" s="14" t="n"/>
      <c r="M1886" s="15">
        <f>IF(OR($B1886="",$K1886=""),"",($K1886-IF($L1886="",0,$L1886)*IFERROR(VLOOKUP("P01",ParamTbl,3,0),1.5))*(1-IF(IFERROR(VLOOKUP($E1886,OpTbl,3,0),"")="خرید",IFERROR(VLOOKUP("P02",ParamTbl,3,0),1),0)/100))</f>
        <v/>
      </c>
      <c r="N1886" s="14" t="n"/>
      <c r="O1886" s="13" t="n"/>
    </row>
    <row r="1887">
      <c r="A1887" s="11">
        <f>IF($B1887="","",COUNTA($B$9:$B1887))</f>
        <v/>
      </c>
      <c r="B1887" s="12" t="n"/>
      <c r="C1887" s="12" t="n"/>
      <c r="D1887" s="12" t="n"/>
      <c r="E1887" s="13" t="n"/>
      <c r="F1887" s="11">
        <f>IF($E1887="","",IFERROR(VLOOKUP($E1887,OpTbl,2,0),""))</f>
        <v/>
      </c>
      <c r="G1887" s="12" t="n"/>
      <c r="H1887" s="11">
        <f>IF($G1887="","",IFERROR(IF(VLOOKUP($G1887,AcctTbl,4,0)="","(بدون نام)",VLOOKUP($G1887,AcctTbl,4,0)),"کد ناشناخته"))</f>
        <v/>
      </c>
      <c r="I1887" s="13" t="n"/>
      <c r="J1887" s="13" t="n"/>
      <c r="K1887" s="14" t="n"/>
      <c r="L1887" s="14" t="n"/>
      <c r="M1887" s="15">
        <f>IF(OR($B1887="",$K1887=""),"",($K1887-IF($L1887="",0,$L1887)*IFERROR(VLOOKUP("P01",ParamTbl,3,0),1.5))*(1-IF(IFERROR(VLOOKUP($E1887,OpTbl,3,0),"")="خرید",IFERROR(VLOOKUP("P02",ParamTbl,3,0),1),0)/100))</f>
        <v/>
      </c>
      <c r="N1887" s="14" t="n"/>
      <c r="O1887" s="13" t="n"/>
    </row>
    <row r="1888">
      <c r="A1888" s="11">
        <f>IF($B1888="","",COUNTA($B$9:$B1888))</f>
        <v/>
      </c>
      <c r="B1888" s="12" t="n"/>
      <c r="C1888" s="12" t="n"/>
      <c r="D1888" s="12" t="n"/>
      <c r="E1888" s="13" t="n"/>
      <c r="F1888" s="11">
        <f>IF($E1888="","",IFERROR(VLOOKUP($E1888,OpTbl,2,0),""))</f>
        <v/>
      </c>
      <c r="G1888" s="12" t="n"/>
      <c r="H1888" s="11">
        <f>IF($G1888="","",IFERROR(IF(VLOOKUP($G1888,AcctTbl,4,0)="","(بدون نام)",VLOOKUP($G1888,AcctTbl,4,0)),"کد ناشناخته"))</f>
        <v/>
      </c>
      <c r="I1888" s="13" t="n"/>
      <c r="J1888" s="13" t="n"/>
      <c r="K1888" s="14" t="n"/>
      <c r="L1888" s="14" t="n"/>
      <c r="M1888" s="15">
        <f>IF(OR($B1888="",$K1888=""),"",($K1888-IF($L1888="",0,$L1888)*IFERROR(VLOOKUP("P01",ParamTbl,3,0),1.5))*(1-IF(IFERROR(VLOOKUP($E1888,OpTbl,3,0),"")="خرید",IFERROR(VLOOKUP("P02",ParamTbl,3,0),1),0)/100))</f>
        <v/>
      </c>
      <c r="N1888" s="14" t="n"/>
      <c r="O1888" s="13" t="n"/>
    </row>
    <row r="1889">
      <c r="A1889" s="11">
        <f>IF($B1889="","",COUNTA($B$9:$B1889))</f>
        <v/>
      </c>
      <c r="B1889" s="12" t="n"/>
      <c r="C1889" s="12" t="n"/>
      <c r="D1889" s="12" t="n"/>
      <c r="E1889" s="13" t="n"/>
      <c r="F1889" s="11">
        <f>IF($E1889="","",IFERROR(VLOOKUP($E1889,OpTbl,2,0),""))</f>
        <v/>
      </c>
      <c r="G1889" s="12" t="n"/>
      <c r="H1889" s="11">
        <f>IF($G1889="","",IFERROR(IF(VLOOKUP($G1889,AcctTbl,4,0)="","(بدون نام)",VLOOKUP($G1889,AcctTbl,4,0)),"کد ناشناخته"))</f>
        <v/>
      </c>
      <c r="I1889" s="13" t="n"/>
      <c r="J1889" s="13" t="n"/>
      <c r="K1889" s="14" t="n"/>
      <c r="L1889" s="14" t="n"/>
      <c r="M1889" s="15">
        <f>IF(OR($B1889="",$K1889=""),"",($K1889-IF($L1889="",0,$L1889)*IFERROR(VLOOKUP("P01",ParamTbl,3,0),1.5))*(1-IF(IFERROR(VLOOKUP($E1889,OpTbl,3,0),"")="خرید",IFERROR(VLOOKUP("P02",ParamTbl,3,0),1),0)/100))</f>
        <v/>
      </c>
      <c r="N1889" s="14" t="n"/>
      <c r="O1889" s="13" t="n"/>
    </row>
    <row r="1890">
      <c r="A1890" s="11">
        <f>IF($B1890="","",COUNTA($B$9:$B1890))</f>
        <v/>
      </c>
      <c r="B1890" s="12" t="n"/>
      <c r="C1890" s="12" t="n"/>
      <c r="D1890" s="12" t="n"/>
      <c r="E1890" s="13" t="n"/>
      <c r="F1890" s="11">
        <f>IF($E1890="","",IFERROR(VLOOKUP($E1890,OpTbl,2,0),""))</f>
        <v/>
      </c>
      <c r="G1890" s="12" t="n"/>
      <c r="H1890" s="11">
        <f>IF($G1890="","",IFERROR(IF(VLOOKUP($G1890,AcctTbl,4,0)="","(بدون نام)",VLOOKUP($G1890,AcctTbl,4,0)),"کد ناشناخته"))</f>
        <v/>
      </c>
      <c r="I1890" s="13" t="n"/>
      <c r="J1890" s="13" t="n"/>
      <c r="K1890" s="14" t="n"/>
      <c r="L1890" s="14" t="n"/>
      <c r="M1890" s="15">
        <f>IF(OR($B1890="",$K1890=""),"",($K1890-IF($L1890="",0,$L1890)*IFERROR(VLOOKUP("P01",ParamTbl,3,0),1.5))*(1-IF(IFERROR(VLOOKUP($E1890,OpTbl,3,0),"")="خرید",IFERROR(VLOOKUP("P02",ParamTbl,3,0),1),0)/100))</f>
        <v/>
      </c>
      <c r="N1890" s="14" t="n"/>
      <c r="O1890" s="13" t="n"/>
    </row>
    <row r="1891">
      <c r="A1891" s="11">
        <f>IF($B1891="","",COUNTA($B$9:$B1891))</f>
        <v/>
      </c>
      <c r="B1891" s="12" t="n"/>
      <c r="C1891" s="12" t="n"/>
      <c r="D1891" s="12" t="n"/>
      <c r="E1891" s="13" t="n"/>
      <c r="F1891" s="11">
        <f>IF($E1891="","",IFERROR(VLOOKUP($E1891,OpTbl,2,0),""))</f>
        <v/>
      </c>
      <c r="G1891" s="12" t="n"/>
      <c r="H1891" s="11">
        <f>IF($G1891="","",IFERROR(IF(VLOOKUP($G1891,AcctTbl,4,0)="","(بدون نام)",VLOOKUP($G1891,AcctTbl,4,0)),"کد ناشناخته"))</f>
        <v/>
      </c>
      <c r="I1891" s="13" t="n"/>
      <c r="J1891" s="13" t="n"/>
      <c r="K1891" s="14" t="n"/>
      <c r="L1891" s="14" t="n"/>
      <c r="M1891" s="15">
        <f>IF(OR($B1891="",$K1891=""),"",($K1891-IF($L1891="",0,$L1891)*IFERROR(VLOOKUP("P01",ParamTbl,3,0),1.5))*(1-IF(IFERROR(VLOOKUP($E1891,OpTbl,3,0),"")="خرید",IFERROR(VLOOKUP("P02",ParamTbl,3,0),1),0)/100))</f>
        <v/>
      </c>
      <c r="N1891" s="14" t="n"/>
      <c r="O1891" s="13" t="n"/>
    </row>
    <row r="1892">
      <c r="A1892" s="11">
        <f>IF($B1892="","",COUNTA($B$9:$B1892))</f>
        <v/>
      </c>
      <c r="B1892" s="12" t="n"/>
      <c r="C1892" s="12" t="n"/>
      <c r="D1892" s="12" t="n"/>
      <c r="E1892" s="13" t="n"/>
      <c r="F1892" s="11">
        <f>IF($E1892="","",IFERROR(VLOOKUP($E1892,OpTbl,2,0),""))</f>
        <v/>
      </c>
      <c r="G1892" s="12" t="n"/>
      <c r="H1892" s="11">
        <f>IF($G1892="","",IFERROR(IF(VLOOKUP($G1892,AcctTbl,4,0)="","(بدون نام)",VLOOKUP($G1892,AcctTbl,4,0)),"کد ناشناخته"))</f>
        <v/>
      </c>
      <c r="I1892" s="13" t="n"/>
      <c r="J1892" s="13" t="n"/>
      <c r="K1892" s="14" t="n"/>
      <c r="L1892" s="14" t="n"/>
      <c r="M1892" s="15">
        <f>IF(OR($B1892="",$K1892=""),"",($K1892-IF($L1892="",0,$L1892)*IFERROR(VLOOKUP("P01",ParamTbl,3,0),1.5))*(1-IF(IFERROR(VLOOKUP($E1892,OpTbl,3,0),"")="خرید",IFERROR(VLOOKUP("P02",ParamTbl,3,0),1),0)/100))</f>
        <v/>
      </c>
      <c r="N1892" s="14" t="n"/>
      <c r="O1892" s="13" t="n"/>
    </row>
    <row r="1893">
      <c r="A1893" s="11">
        <f>IF($B1893="","",COUNTA($B$9:$B1893))</f>
        <v/>
      </c>
      <c r="B1893" s="12" t="n"/>
      <c r="C1893" s="12" t="n"/>
      <c r="D1893" s="12" t="n"/>
      <c r="E1893" s="13" t="n"/>
      <c r="F1893" s="11">
        <f>IF($E1893="","",IFERROR(VLOOKUP($E1893,OpTbl,2,0),""))</f>
        <v/>
      </c>
      <c r="G1893" s="12" t="n"/>
      <c r="H1893" s="11">
        <f>IF($G1893="","",IFERROR(IF(VLOOKUP($G1893,AcctTbl,4,0)="","(بدون نام)",VLOOKUP($G1893,AcctTbl,4,0)),"کد ناشناخته"))</f>
        <v/>
      </c>
      <c r="I1893" s="13" t="n"/>
      <c r="J1893" s="13" t="n"/>
      <c r="K1893" s="14" t="n"/>
      <c r="L1893" s="14" t="n"/>
      <c r="M1893" s="15">
        <f>IF(OR($B1893="",$K1893=""),"",($K1893-IF($L1893="",0,$L1893)*IFERROR(VLOOKUP("P01",ParamTbl,3,0),1.5))*(1-IF(IFERROR(VLOOKUP($E1893,OpTbl,3,0),"")="خرید",IFERROR(VLOOKUP("P02",ParamTbl,3,0),1),0)/100))</f>
        <v/>
      </c>
      <c r="N1893" s="14" t="n"/>
      <c r="O1893" s="13" t="n"/>
    </row>
    <row r="1894">
      <c r="A1894" s="11">
        <f>IF($B1894="","",COUNTA($B$9:$B1894))</f>
        <v/>
      </c>
      <c r="B1894" s="12" t="n"/>
      <c r="C1894" s="12" t="n"/>
      <c r="D1894" s="12" t="n"/>
      <c r="E1894" s="13" t="n"/>
      <c r="F1894" s="11">
        <f>IF($E1894="","",IFERROR(VLOOKUP($E1894,OpTbl,2,0),""))</f>
        <v/>
      </c>
      <c r="G1894" s="12" t="n"/>
      <c r="H1894" s="11">
        <f>IF($G1894="","",IFERROR(IF(VLOOKUP($G1894,AcctTbl,4,0)="","(بدون نام)",VLOOKUP($G1894,AcctTbl,4,0)),"کد ناشناخته"))</f>
        <v/>
      </c>
      <c r="I1894" s="13" t="n"/>
      <c r="J1894" s="13" t="n"/>
      <c r="K1894" s="14" t="n"/>
      <c r="L1894" s="14" t="n"/>
      <c r="M1894" s="15">
        <f>IF(OR($B1894="",$K1894=""),"",($K1894-IF($L1894="",0,$L1894)*IFERROR(VLOOKUP("P01",ParamTbl,3,0),1.5))*(1-IF(IFERROR(VLOOKUP($E1894,OpTbl,3,0),"")="خرید",IFERROR(VLOOKUP("P02",ParamTbl,3,0),1),0)/100))</f>
        <v/>
      </c>
      <c r="N1894" s="14" t="n"/>
      <c r="O1894" s="13" t="n"/>
    </row>
    <row r="1895">
      <c r="A1895" s="11">
        <f>IF($B1895="","",COUNTA($B$9:$B1895))</f>
        <v/>
      </c>
      <c r="B1895" s="12" t="n"/>
      <c r="C1895" s="12" t="n"/>
      <c r="D1895" s="12" t="n"/>
      <c r="E1895" s="13" t="n"/>
      <c r="F1895" s="11">
        <f>IF($E1895="","",IFERROR(VLOOKUP($E1895,OpTbl,2,0),""))</f>
        <v/>
      </c>
      <c r="G1895" s="12" t="n"/>
      <c r="H1895" s="11">
        <f>IF($G1895="","",IFERROR(IF(VLOOKUP($G1895,AcctTbl,4,0)="","(بدون نام)",VLOOKUP($G1895,AcctTbl,4,0)),"کد ناشناخته"))</f>
        <v/>
      </c>
      <c r="I1895" s="13" t="n"/>
      <c r="J1895" s="13" t="n"/>
      <c r="K1895" s="14" t="n"/>
      <c r="L1895" s="14" t="n"/>
      <c r="M1895" s="15">
        <f>IF(OR($B1895="",$K1895=""),"",($K1895-IF($L1895="",0,$L1895)*IFERROR(VLOOKUP("P01",ParamTbl,3,0),1.5))*(1-IF(IFERROR(VLOOKUP($E1895,OpTbl,3,0),"")="خرید",IFERROR(VLOOKUP("P02",ParamTbl,3,0),1),0)/100))</f>
        <v/>
      </c>
      <c r="N1895" s="14" t="n"/>
      <c r="O1895" s="13" t="n"/>
    </row>
    <row r="1896">
      <c r="A1896" s="11">
        <f>IF($B1896="","",COUNTA($B$9:$B1896))</f>
        <v/>
      </c>
      <c r="B1896" s="12" t="n"/>
      <c r="C1896" s="12" t="n"/>
      <c r="D1896" s="12" t="n"/>
      <c r="E1896" s="13" t="n"/>
      <c r="F1896" s="11">
        <f>IF($E1896="","",IFERROR(VLOOKUP($E1896,OpTbl,2,0),""))</f>
        <v/>
      </c>
      <c r="G1896" s="12" t="n"/>
      <c r="H1896" s="11">
        <f>IF($G1896="","",IFERROR(IF(VLOOKUP($G1896,AcctTbl,4,0)="","(بدون نام)",VLOOKUP($G1896,AcctTbl,4,0)),"کد ناشناخته"))</f>
        <v/>
      </c>
      <c r="I1896" s="13" t="n"/>
      <c r="J1896" s="13" t="n"/>
      <c r="K1896" s="14" t="n"/>
      <c r="L1896" s="14" t="n"/>
      <c r="M1896" s="15">
        <f>IF(OR($B1896="",$K1896=""),"",($K1896-IF($L1896="",0,$L1896)*IFERROR(VLOOKUP("P01",ParamTbl,3,0),1.5))*(1-IF(IFERROR(VLOOKUP($E1896,OpTbl,3,0),"")="خرید",IFERROR(VLOOKUP("P02",ParamTbl,3,0),1),0)/100))</f>
        <v/>
      </c>
      <c r="N1896" s="14" t="n"/>
      <c r="O1896" s="13" t="n"/>
    </row>
    <row r="1897">
      <c r="A1897" s="11">
        <f>IF($B1897="","",COUNTA($B$9:$B1897))</f>
        <v/>
      </c>
      <c r="B1897" s="12" t="n"/>
      <c r="C1897" s="12" t="n"/>
      <c r="D1897" s="12" t="n"/>
      <c r="E1897" s="13" t="n"/>
      <c r="F1897" s="11">
        <f>IF($E1897="","",IFERROR(VLOOKUP($E1897,OpTbl,2,0),""))</f>
        <v/>
      </c>
      <c r="G1897" s="12" t="n"/>
      <c r="H1897" s="11">
        <f>IF($G1897="","",IFERROR(IF(VLOOKUP($G1897,AcctTbl,4,0)="","(بدون نام)",VLOOKUP($G1897,AcctTbl,4,0)),"کد ناشناخته"))</f>
        <v/>
      </c>
      <c r="I1897" s="13" t="n"/>
      <c r="J1897" s="13" t="n"/>
      <c r="K1897" s="14" t="n"/>
      <c r="L1897" s="14" t="n"/>
      <c r="M1897" s="15">
        <f>IF(OR($B1897="",$K1897=""),"",($K1897-IF($L1897="",0,$L1897)*IFERROR(VLOOKUP("P01",ParamTbl,3,0),1.5))*(1-IF(IFERROR(VLOOKUP($E1897,OpTbl,3,0),"")="خرید",IFERROR(VLOOKUP("P02",ParamTbl,3,0),1),0)/100))</f>
        <v/>
      </c>
      <c r="N1897" s="14" t="n"/>
      <c r="O1897" s="13" t="n"/>
    </row>
    <row r="1898">
      <c r="A1898" s="11">
        <f>IF($B1898="","",COUNTA($B$9:$B1898))</f>
        <v/>
      </c>
      <c r="B1898" s="12" t="n"/>
      <c r="C1898" s="12" t="n"/>
      <c r="D1898" s="12" t="n"/>
      <c r="E1898" s="13" t="n"/>
      <c r="F1898" s="11">
        <f>IF($E1898="","",IFERROR(VLOOKUP($E1898,OpTbl,2,0),""))</f>
        <v/>
      </c>
      <c r="G1898" s="12" t="n"/>
      <c r="H1898" s="11">
        <f>IF($G1898="","",IFERROR(IF(VLOOKUP($G1898,AcctTbl,4,0)="","(بدون نام)",VLOOKUP($G1898,AcctTbl,4,0)),"کد ناشناخته"))</f>
        <v/>
      </c>
      <c r="I1898" s="13" t="n"/>
      <c r="J1898" s="13" t="n"/>
      <c r="K1898" s="14" t="n"/>
      <c r="L1898" s="14" t="n"/>
      <c r="M1898" s="15">
        <f>IF(OR($B1898="",$K1898=""),"",($K1898-IF($L1898="",0,$L1898)*IFERROR(VLOOKUP("P01",ParamTbl,3,0),1.5))*(1-IF(IFERROR(VLOOKUP($E1898,OpTbl,3,0),"")="خرید",IFERROR(VLOOKUP("P02",ParamTbl,3,0),1),0)/100))</f>
        <v/>
      </c>
      <c r="N1898" s="14" t="n"/>
      <c r="O1898" s="13" t="n"/>
    </row>
    <row r="1899">
      <c r="A1899" s="11">
        <f>IF($B1899="","",COUNTA($B$9:$B1899))</f>
        <v/>
      </c>
      <c r="B1899" s="12" t="n"/>
      <c r="C1899" s="12" t="n"/>
      <c r="D1899" s="12" t="n"/>
      <c r="E1899" s="13" t="n"/>
      <c r="F1899" s="11">
        <f>IF($E1899="","",IFERROR(VLOOKUP($E1899,OpTbl,2,0),""))</f>
        <v/>
      </c>
      <c r="G1899" s="12" t="n"/>
      <c r="H1899" s="11">
        <f>IF($G1899="","",IFERROR(IF(VLOOKUP($G1899,AcctTbl,4,0)="","(بدون نام)",VLOOKUP($G1899,AcctTbl,4,0)),"کد ناشناخته"))</f>
        <v/>
      </c>
      <c r="I1899" s="13" t="n"/>
      <c r="J1899" s="13" t="n"/>
      <c r="K1899" s="14" t="n"/>
      <c r="L1899" s="14" t="n"/>
      <c r="M1899" s="15">
        <f>IF(OR($B1899="",$K1899=""),"",($K1899-IF($L1899="",0,$L1899)*IFERROR(VLOOKUP("P01",ParamTbl,3,0),1.5))*(1-IF(IFERROR(VLOOKUP($E1899,OpTbl,3,0),"")="خرید",IFERROR(VLOOKUP("P02",ParamTbl,3,0),1),0)/100))</f>
        <v/>
      </c>
      <c r="N1899" s="14" t="n"/>
      <c r="O1899" s="13" t="n"/>
    </row>
    <row r="1900">
      <c r="A1900" s="11">
        <f>IF($B1900="","",COUNTA($B$9:$B1900))</f>
        <v/>
      </c>
      <c r="B1900" s="12" t="n"/>
      <c r="C1900" s="12" t="n"/>
      <c r="D1900" s="12" t="n"/>
      <c r="E1900" s="13" t="n"/>
      <c r="F1900" s="11">
        <f>IF($E1900="","",IFERROR(VLOOKUP($E1900,OpTbl,2,0),""))</f>
        <v/>
      </c>
      <c r="G1900" s="12" t="n"/>
      <c r="H1900" s="11">
        <f>IF($G1900="","",IFERROR(IF(VLOOKUP($G1900,AcctTbl,4,0)="","(بدون نام)",VLOOKUP($G1900,AcctTbl,4,0)),"کد ناشناخته"))</f>
        <v/>
      </c>
      <c r="I1900" s="13" t="n"/>
      <c r="J1900" s="13" t="n"/>
      <c r="K1900" s="14" t="n"/>
      <c r="L1900" s="14" t="n"/>
      <c r="M1900" s="15">
        <f>IF(OR($B1900="",$K1900=""),"",($K1900-IF($L1900="",0,$L1900)*IFERROR(VLOOKUP("P01",ParamTbl,3,0),1.5))*(1-IF(IFERROR(VLOOKUP($E1900,OpTbl,3,0),"")="خرید",IFERROR(VLOOKUP("P02",ParamTbl,3,0),1),0)/100))</f>
        <v/>
      </c>
      <c r="N1900" s="14" t="n"/>
      <c r="O1900" s="13" t="n"/>
    </row>
    <row r="1901">
      <c r="A1901" s="11">
        <f>IF($B1901="","",COUNTA($B$9:$B1901))</f>
        <v/>
      </c>
      <c r="B1901" s="12" t="n"/>
      <c r="C1901" s="12" t="n"/>
      <c r="D1901" s="12" t="n"/>
      <c r="E1901" s="13" t="n"/>
      <c r="F1901" s="11">
        <f>IF($E1901="","",IFERROR(VLOOKUP($E1901,OpTbl,2,0),""))</f>
        <v/>
      </c>
      <c r="G1901" s="12" t="n"/>
      <c r="H1901" s="11">
        <f>IF($G1901="","",IFERROR(IF(VLOOKUP($G1901,AcctTbl,4,0)="","(بدون نام)",VLOOKUP($G1901,AcctTbl,4,0)),"کد ناشناخته"))</f>
        <v/>
      </c>
      <c r="I1901" s="13" t="n"/>
      <c r="J1901" s="13" t="n"/>
      <c r="K1901" s="14" t="n"/>
      <c r="L1901" s="14" t="n"/>
      <c r="M1901" s="15">
        <f>IF(OR($B1901="",$K1901=""),"",($K1901-IF($L1901="",0,$L1901)*IFERROR(VLOOKUP("P01",ParamTbl,3,0),1.5))*(1-IF(IFERROR(VLOOKUP($E1901,OpTbl,3,0),"")="خرید",IFERROR(VLOOKUP("P02",ParamTbl,3,0),1),0)/100))</f>
        <v/>
      </c>
      <c r="N1901" s="14" t="n"/>
      <c r="O1901" s="13" t="n"/>
    </row>
    <row r="1902">
      <c r="A1902" s="11">
        <f>IF($B1902="","",COUNTA($B$9:$B1902))</f>
        <v/>
      </c>
      <c r="B1902" s="12" t="n"/>
      <c r="C1902" s="12" t="n"/>
      <c r="D1902" s="12" t="n"/>
      <c r="E1902" s="13" t="n"/>
      <c r="F1902" s="11">
        <f>IF($E1902="","",IFERROR(VLOOKUP($E1902,OpTbl,2,0),""))</f>
        <v/>
      </c>
      <c r="G1902" s="12" t="n"/>
      <c r="H1902" s="11">
        <f>IF($G1902="","",IFERROR(IF(VLOOKUP($G1902,AcctTbl,4,0)="","(بدون نام)",VLOOKUP($G1902,AcctTbl,4,0)),"کد ناشناخته"))</f>
        <v/>
      </c>
      <c r="I1902" s="13" t="n"/>
      <c r="J1902" s="13" t="n"/>
      <c r="K1902" s="14" t="n"/>
      <c r="L1902" s="14" t="n"/>
      <c r="M1902" s="15">
        <f>IF(OR($B1902="",$K1902=""),"",($K1902-IF($L1902="",0,$L1902)*IFERROR(VLOOKUP("P01",ParamTbl,3,0),1.5))*(1-IF(IFERROR(VLOOKUP($E1902,OpTbl,3,0),"")="خرید",IFERROR(VLOOKUP("P02",ParamTbl,3,0),1),0)/100))</f>
        <v/>
      </c>
      <c r="N1902" s="14" t="n"/>
      <c r="O1902" s="13" t="n"/>
    </row>
    <row r="1903">
      <c r="A1903" s="11">
        <f>IF($B1903="","",COUNTA($B$9:$B1903))</f>
        <v/>
      </c>
      <c r="B1903" s="12" t="n"/>
      <c r="C1903" s="12" t="n"/>
      <c r="D1903" s="12" t="n"/>
      <c r="E1903" s="13" t="n"/>
      <c r="F1903" s="11">
        <f>IF($E1903="","",IFERROR(VLOOKUP($E1903,OpTbl,2,0),""))</f>
        <v/>
      </c>
      <c r="G1903" s="12" t="n"/>
      <c r="H1903" s="11">
        <f>IF($G1903="","",IFERROR(IF(VLOOKUP($G1903,AcctTbl,4,0)="","(بدون نام)",VLOOKUP($G1903,AcctTbl,4,0)),"کد ناشناخته"))</f>
        <v/>
      </c>
      <c r="I1903" s="13" t="n"/>
      <c r="J1903" s="13" t="n"/>
      <c r="K1903" s="14" t="n"/>
      <c r="L1903" s="14" t="n"/>
      <c r="M1903" s="15">
        <f>IF(OR($B1903="",$K1903=""),"",($K1903-IF($L1903="",0,$L1903)*IFERROR(VLOOKUP("P01",ParamTbl,3,0),1.5))*(1-IF(IFERROR(VLOOKUP($E1903,OpTbl,3,0),"")="خرید",IFERROR(VLOOKUP("P02",ParamTbl,3,0),1),0)/100))</f>
        <v/>
      </c>
      <c r="N1903" s="14" t="n"/>
      <c r="O1903" s="13" t="n"/>
    </row>
    <row r="1904">
      <c r="A1904" s="11">
        <f>IF($B1904="","",COUNTA($B$9:$B1904))</f>
        <v/>
      </c>
      <c r="B1904" s="12" t="n"/>
      <c r="C1904" s="12" t="n"/>
      <c r="D1904" s="12" t="n"/>
      <c r="E1904" s="13" t="n"/>
      <c r="F1904" s="11">
        <f>IF($E1904="","",IFERROR(VLOOKUP($E1904,OpTbl,2,0),""))</f>
        <v/>
      </c>
      <c r="G1904" s="12" t="n"/>
      <c r="H1904" s="11">
        <f>IF($G1904="","",IFERROR(IF(VLOOKUP($G1904,AcctTbl,4,0)="","(بدون نام)",VLOOKUP($G1904,AcctTbl,4,0)),"کد ناشناخته"))</f>
        <v/>
      </c>
      <c r="I1904" s="13" t="n"/>
      <c r="J1904" s="13" t="n"/>
      <c r="K1904" s="14" t="n"/>
      <c r="L1904" s="14" t="n"/>
      <c r="M1904" s="15">
        <f>IF(OR($B1904="",$K1904=""),"",($K1904-IF($L1904="",0,$L1904)*IFERROR(VLOOKUP("P01",ParamTbl,3,0),1.5))*(1-IF(IFERROR(VLOOKUP($E1904,OpTbl,3,0),"")="خرید",IFERROR(VLOOKUP("P02",ParamTbl,3,0),1),0)/100))</f>
        <v/>
      </c>
      <c r="N1904" s="14" t="n"/>
      <c r="O1904" s="13" t="n"/>
    </row>
    <row r="1905">
      <c r="A1905" s="11">
        <f>IF($B1905="","",COUNTA($B$9:$B1905))</f>
        <v/>
      </c>
      <c r="B1905" s="12" t="n"/>
      <c r="C1905" s="12" t="n"/>
      <c r="D1905" s="12" t="n"/>
      <c r="E1905" s="13" t="n"/>
      <c r="F1905" s="11">
        <f>IF($E1905="","",IFERROR(VLOOKUP($E1905,OpTbl,2,0),""))</f>
        <v/>
      </c>
      <c r="G1905" s="12" t="n"/>
      <c r="H1905" s="11">
        <f>IF($G1905="","",IFERROR(IF(VLOOKUP($G1905,AcctTbl,4,0)="","(بدون نام)",VLOOKUP($G1905,AcctTbl,4,0)),"کد ناشناخته"))</f>
        <v/>
      </c>
      <c r="I1905" s="13" t="n"/>
      <c r="J1905" s="13" t="n"/>
      <c r="K1905" s="14" t="n"/>
      <c r="L1905" s="14" t="n"/>
      <c r="M1905" s="15">
        <f>IF(OR($B1905="",$K1905=""),"",($K1905-IF($L1905="",0,$L1905)*IFERROR(VLOOKUP("P01",ParamTbl,3,0),1.5))*(1-IF(IFERROR(VLOOKUP($E1905,OpTbl,3,0),"")="خرید",IFERROR(VLOOKUP("P02",ParamTbl,3,0),1),0)/100))</f>
        <v/>
      </c>
      <c r="N1905" s="14" t="n"/>
      <c r="O1905" s="13" t="n"/>
    </row>
    <row r="1906">
      <c r="A1906" s="11">
        <f>IF($B1906="","",COUNTA($B$9:$B1906))</f>
        <v/>
      </c>
      <c r="B1906" s="12" t="n"/>
      <c r="C1906" s="12" t="n"/>
      <c r="D1906" s="12" t="n"/>
      <c r="E1906" s="13" t="n"/>
      <c r="F1906" s="11">
        <f>IF($E1906="","",IFERROR(VLOOKUP($E1906,OpTbl,2,0),""))</f>
        <v/>
      </c>
      <c r="G1906" s="12" t="n"/>
      <c r="H1906" s="11">
        <f>IF($G1906="","",IFERROR(IF(VLOOKUP($G1906,AcctTbl,4,0)="","(بدون نام)",VLOOKUP($G1906,AcctTbl,4,0)),"کد ناشناخته"))</f>
        <v/>
      </c>
      <c r="I1906" s="13" t="n"/>
      <c r="J1906" s="13" t="n"/>
      <c r="K1906" s="14" t="n"/>
      <c r="L1906" s="14" t="n"/>
      <c r="M1906" s="15">
        <f>IF(OR($B1906="",$K1906=""),"",($K1906-IF($L1906="",0,$L1906)*IFERROR(VLOOKUP("P01",ParamTbl,3,0),1.5))*(1-IF(IFERROR(VLOOKUP($E1906,OpTbl,3,0),"")="خرید",IFERROR(VLOOKUP("P02",ParamTbl,3,0),1),0)/100))</f>
        <v/>
      </c>
      <c r="N1906" s="14" t="n"/>
      <c r="O1906" s="13" t="n"/>
    </row>
    <row r="1907">
      <c r="A1907" s="11">
        <f>IF($B1907="","",COUNTA($B$9:$B1907))</f>
        <v/>
      </c>
      <c r="B1907" s="12" t="n"/>
      <c r="C1907" s="12" t="n"/>
      <c r="D1907" s="12" t="n"/>
      <c r="E1907" s="13" t="n"/>
      <c r="F1907" s="11">
        <f>IF($E1907="","",IFERROR(VLOOKUP($E1907,OpTbl,2,0),""))</f>
        <v/>
      </c>
      <c r="G1907" s="12" t="n"/>
      <c r="H1907" s="11">
        <f>IF($G1907="","",IFERROR(IF(VLOOKUP($G1907,AcctTbl,4,0)="","(بدون نام)",VLOOKUP($G1907,AcctTbl,4,0)),"کد ناشناخته"))</f>
        <v/>
      </c>
      <c r="I1907" s="13" t="n"/>
      <c r="J1907" s="13" t="n"/>
      <c r="K1907" s="14" t="n"/>
      <c r="L1907" s="14" t="n"/>
      <c r="M1907" s="15">
        <f>IF(OR($B1907="",$K1907=""),"",($K1907-IF($L1907="",0,$L1907)*IFERROR(VLOOKUP("P01",ParamTbl,3,0),1.5))*(1-IF(IFERROR(VLOOKUP($E1907,OpTbl,3,0),"")="خرید",IFERROR(VLOOKUP("P02",ParamTbl,3,0),1),0)/100))</f>
        <v/>
      </c>
      <c r="N1907" s="14" t="n"/>
      <c r="O1907" s="13" t="n"/>
    </row>
    <row r="1908">
      <c r="A1908" s="11">
        <f>IF($B1908="","",COUNTA($B$9:$B1908))</f>
        <v/>
      </c>
      <c r="B1908" s="12" t="n"/>
      <c r="C1908" s="12" t="n"/>
      <c r="D1908" s="12" t="n"/>
      <c r="E1908" s="13" t="n"/>
      <c r="F1908" s="11">
        <f>IF($E1908="","",IFERROR(VLOOKUP($E1908,OpTbl,2,0),""))</f>
        <v/>
      </c>
      <c r="G1908" s="12" t="n"/>
      <c r="H1908" s="11">
        <f>IF($G1908="","",IFERROR(IF(VLOOKUP($G1908,AcctTbl,4,0)="","(بدون نام)",VLOOKUP($G1908,AcctTbl,4,0)),"کد ناشناخته"))</f>
        <v/>
      </c>
      <c r="I1908" s="13" t="n"/>
      <c r="J1908" s="13" t="n"/>
      <c r="K1908" s="14" t="n"/>
      <c r="L1908" s="14" t="n"/>
      <c r="M1908" s="15">
        <f>IF(OR($B1908="",$K1908=""),"",($K1908-IF($L1908="",0,$L1908)*IFERROR(VLOOKUP("P01",ParamTbl,3,0),1.5))*(1-IF(IFERROR(VLOOKUP($E1908,OpTbl,3,0),"")="خرید",IFERROR(VLOOKUP("P02",ParamTbl,3,0),1),0)/100))</f>
        <v/>
      </c>
      <c r="N1908" s="14" t="n"/>
      <c r="O1908" s="13" t="n"/>
    </row>
    <row r="1909">
      <c r="A1909" s="11">
        <f>IF($B1909="","",COUNTA($B$9:$B1909))</f>
        <v/>
      </c>
      <c r="B1909" s="12" t="n"/>
      <c r="C1909" s="12" t="n"/>
      <c r="D1909" s="12" t="n"/>
      <c r="E1909" s="13" t="n"/>
      <c r="F1909" s="11">
        <f>IF($E1909="","",IFERROR(VLOOKUP($E1909,OpTbl,2,0),""))</f>
        <v/>
      </c>
      <c r="G1909" s="12" t="n"/>
      <c r="H1909" s="11">
        <f>IF($G1909="","",IFERROR(IF(VLOOKUP($G1909,AcctTbl,4,0)="","(بدون نام)",VLOOKUP($G1909,AcctTbl,4,0)),"کد ناشناخته"))</f>
        <v/>
      </c>
      <c r="I1909" s="13" t="n"/>
      <c r="J1909" s="13" t="n"/>
      <c r="K1909" s="14" t="n"/>
      <c r="L1909" s="14" t="n"/>
      <c r="M1909" s="15">
        <f>IF(OR($B1909="",$K1909=""),"",($K1909-IF($L1909="",0,$L1909)*IFERROR(VLOOKUP("P01",ParamTbl,3,0),1.5))*(1-IF(IFERROR(VLOOKUP($E1909,OpTbl,3,0),"")="خرید",IFERROR(VLOOKUP("P02",ParamTbl,3,0),1),0)/100))</f>
        <v/>
      </c>
      <c r="N1909" s="14" t="n"/>
      <c r="O1909" s="13" t="n"/>
    </row>
    <row r="1910">
      <c r="A1910" s="11">
        <f>IF($B1910="","",COUNTA($B$9:$B1910))</f>
        <v/>
      </c>
      <c r="B1910" s="12" t="n"/>
      <c r="C1910" s="12" t="n"/>
      <c r="D1910" s="12" t="n"/>
      <c r="E1910" s="13" t="n"/>
      <c r="F1910" s="11">
        <f>IF($E1910="","",IFERROR(VLOOKUP($E1910,OpTbl,2,0),""))</f>
        <v/>
      </c>
      <c r="G1910" s="12" t="n"/>
      <c r="H1910" s="11">
        <f>IF($G1910="","",IFERROR(IF(VLOOKUP($G1910,AcctTbl,4,0)="","(بدون نام)",VLOOKUP($G1910,AcctTbl,4,0)),"کد ناشناخته"))</f>
        <v/>
      </c>
      <c r="I1910" s="13" t="n"/>
      <c r="J1910" s="13" t="n"/>
      <c r="K1910" s="14" t="n"/>
      <c r="L1910" s="14" t="n"/>
      <c r="M1910" s="15">
        <f>IF(OR($B1910="",$K1910=""),"",($K1910-IF($L1910="",0,$L1910)*IFERROR(VLOOKUP("P01",ParamTbl,3,0),1.5))*(1-IF(IFERROR(VLOOKUP($E1910,OpTbl,3,0),"")="خرید",IFERROR(VLOOKUP("P02",ParamTbl,3,0),1),0)/100))</f>
        <v/>
      </c>
      <c r="N1910" s="14" t="n"/>
      <c r="O1910" s="13" t="n"/>
    </row>
    <row r="1911">
      <c r="A1911" s="11">
        <f>IF($B1911="","",COUNTA($B$9:$B1911))</f>
        <v/>
      </c>
      <c r="B1911" s="12" t="n"/>
      <c r="C1911" s="12" t="n"/>
      <c r="D1911" s="12" t="n"/>
      <c r="E1911" s="13" t="n"/>
      <c r="F1911" s="11">
        <f>IF($E1911="","",IFERROR(VLOOKUP($E1911,OpTbl,2,0),""))</f>
        <v/>
      </c>
      <c r="G1911" s="12" t="n"/>
      <c r="H1911" s="11">
        <f>IF($G1911="","",IFERROR(IF(VLOOKUP($G1911,AcctTbl,4,0)="","(بدون نام)",VLOOKUP($G1911,AcctTbl,4,0)),"کد ناشناخته"))</f>
        <v/>
      </c>
      <c r="I1911" s="13" t="n"/>
      <c r="J1911" s="13" t="n"/>
      <c r="K1911" s="14" t="n"/>
      <c r="L1911" s="14" t="n"/>
      <c r="M1911" s="15">
        <f>IF(OR($B1911="",$K1911=""),"",($K1911-IF($L1911="",0,$L1911)*IFERROR(VLOOKUP("P01",ParamTbl,3,0),1.5))*(1-IF(IFERROR(VLOOKUP($E1911,OpTbl,3,0),"")="خرید",IFERROR(VLOOKUP("P02",ParamTbl,3,0),1),0)/100))</f>
        <v/>
      </c>
      <c r="N1911" s="14" t="n"/>
      <c r="O1911" s="13" t="n"/>
    </row>
    <row r="1912">
      <c r="A1912" s="11">
        <f>IF($B1912="","",COUNTA($B$9:$B1912))</f>
        <v/>
      </c>
      <c r="B1912" s="12" t="n"/>
      <c r="C1912" s="12" t="n"/>
      <c r="D1912" s="12" t="n"/>
      <c r="E1912" s="13" t="n"/>
      <c r="F1912" s="11">
        <f>IF($E1912="","",IFERROR(VLOOKUP($E1912,OpTbl,2,0),""))</f>
        <v/>
      </c>
      <c r="G1912" s="12" t="n"/>
      <c r="H1912" s="11">
        <f>IF($G1912="","",IFERROR(IF(VLOOKUP($G1912,AcctTbl,4,0)="","(بدون نام)",VLOOKUP($G1912,AcctTbl,4,0)),"کد ناشناخته"))</f>
        <v/>
      </c>
      <c r="I1912" s="13" t="n"/>
      <c r="J1912" s="13" t="n"/>
      <c r="K1912" s="14" t="n"/>
      <c r="L1912" s="14" t="n"/>
      <c r="M1912" s="15">
        <f>IF(OR($B1912="",$K1912=""),"",($K1912-IF($L1912="",0,$L1912)*IFERROR(VLOOKUP("P01",ParamTbl,3,0),1.5))*(1-IF(IFERROR(VLOOKUP($E1912,OpTbl,3,0),"")="خرید",IFERROR(VLOOKUP("P02",ParamTbl,3,0),1),0)/100))</f>
        <v/>
      </c>
      <c r="N1912" s="14" t="n"/>
      <c r="O1912" s="13" t="n"/>
    </row>
    <row r="1913">
      <c r="A1913" s="11">
        <f>IF($B1913="","",COUNTA($B$9:$B1913))</f>
        <v/>
      </c>
      <c r="B1913" s="12" t="n"/>
      <c r="C1913" s="12" t="n"/>
      <c r="D1913" s="12" t="n"/>
      <c r="E1913" s="13" t="n"/>
      <c r="F1913" s="11">
        <f>IF($E1913="","",IFERROR(VLOOKUP($E1913,OpTbl,2,0),""))</f>
        <v/>
      </c>
      <c r="G1913" s="12" t="n"/>
      <c r="H1913" s="11">
        <f>IF($G1913="","",IFERROR(IF(VLOOKUP($G1913,AcctTbl,4,0)="","(بدون نام)",VLOOKUP($G1913,AcctTbl,4,0)),"کد ناشناخته"))</f>
        <v/>
      </c>
      <c r="I1913" s="13" t="n"/>
      <c r="J1913" s="13" t="n"/>
      <c r="K1913" s="14" t="n"/>
      <c r="L1913" s="14" t="n"/>
      <c r="M1913" s="15">
        <f>IF(OR($B1913="",$K1913=""),"",($K1913-IF($L1913="",0,$L1913)*IFERROR(VLOOKUP("P01",ParamTbl,3,0),1.5))*(1-IF(IFERROR(VLOOKUP($E1913,OpTbl,3,0),"")="خرید",IFERROR(VLOOKUP("P02",ParamTbl,3,0),1),0)/100))</f>
        <v/>
      </c>
      <c r="N1913" s="14" t="n"/>
      <c r="O1913" s="13" t="n"/>
    </row>
    <row r="1914">
      <c r="A1914" s="11">
        <f>IF($B1914="","",COUNTA($B$9:$B1914))</f>
        <v/>
      </c>
      <c r="B1914" s="12" t="n"/>
      <c r="C1914" s="12" t="n"/>
      <c r="D1914" s="12" t="n"/>
      <c r="E1914" s="13" t="n"/>
      <c r="F1914" s="11">
        <f>IF($E1914="","",IFERROR(VLOOKUP($E1914,OpTbl,2,0),""))</f>
        <v/>
      </c>
      <c r="G1914" s="12" t="n"/>
      <c r="H1914" s="11">
        <f>IF($G1914="","",IFERROR(IF(VLOOKUP($G1914,AcctTbl,4,0)="","(بدون نام)",VLOOKUP($G1914,AcctTbl,4,0)),"کد ناشناخته"))</f>
        <v/>
      </c>
      <c r="I1914" s="13" t="n"/>
      <c r="J1914" s="13" t="n"/>
      <c r="K1914" s="14" t="n"/>
      <c r="L1914" s="14" t="n"/>
      <c r="M1914" s="15">
        <f>IF(OR($B1914="",$K1914=""),"",($K1914-IF($L1914="",0,$L1914)*IFERROR(VLOOKUP("P01",ParamTbl,3,0),1.5))*(1-IF(IFERROR(VLOOKUP($E1914,OpTbl,3,0),"")="خرید",IFERROR(VLOOKUP("P02",ParamTbl,3,0),1),0)/100))</f>
        <v/>
      </c>
      <c r="N1914" s="14" t="n"/>
      <c r="O1914" s="13" t="n"/>
    </row>
    <row r="1915">
      <c r="A1915" s="11">
        <f>IF($B1915="","",COUNTA($B$9:$B1915))</f>
        <v/>
      </c>
      <c r="B1915" s="12" t="n"/>
      <c r="C1915" s="12" t="n"/>
      <c r="D1915" s="12" t="n"/>
      <c r="E1915" s="13" t="n"/>
      <c r="F1915" s="11">
        <f>IF($E1915="","",IFERROR(VLOOKUP($E1915,OpTbl,2,0),""))</f>
        <v/>
      </c>
      <c r="G1915" s="12" t="n"/>
      <c r="H1915" s="11">
        <f>IF($G1915="","",IFERROR(IF(VLOOKUP($G1915,AcctTbl,4,0)="","(بدون نام)",VLOOKUP($G1915,AcctTbl,4,0)),"کد ناشناخته"))</f>
        <v/>
      </c>
      <c r="I1915" s="13" t="n"/>
      <c r="J1915" s="13" t="n"/>
      <c r="K1915" s="14" t="n"/>
      <c r="L1915" s="14" t="n"/>
      <c r="M1915" s="15">
        <f>IF(OR($B1915="",$K1915=""),"",($K1915-IF($L1915="",0,$L1915)*IFERROR(VLOOKUP("P01",ParamTbl,3,0),1.5))*(1-IF(IFERROR(VLOOKUP($E1915,OpTbl,3,0),"")="خرید",IFERROR(VLOOKUP("P02",ParamTbl,3,0),1),0)/100))</f>
        <v/>
      </c>
      <c r="N1915" s="14" t="n"/>
      <c r="O1915" s="13" t="n"/>
    </row>
    <row r="1916">
      <c r="A1916" s="11">
        <f>IF($B1916="","",COUNTA($B$9:$B1916))</f>
        <v/>
      </c>
      <c r="B1916" s="12" t="n"/>
      <c r="C1916" s="12" t="n"/>
      <c r="D1916" s="12" t="n"/>
      <c r="E1916" s="13" t="n"/>
      <c r="F1916" s="11">
        <f>IF($E1916="","",IFERROR(VLOOKUP($E1916,OpTbl,2,0),""))</f>
        <v/>
      </c>
      <c r="G1916" s="12" t="n"/>
      <c r="H1916" s="11">
        <f>IF($G1916="","",IFERROR(IF(VLOOKUP($G1916,AcctTbl,4,0)="","(بدون نام)",VLOOKUP($G1916,AcctTbl,4,0)),"کد ناشناخته"))</f>
        <v/>
      </c>
      <c r="I1916" s="13" t="n"/>
      <c r="J1916" s="13" t="n"/>
      <c r="K1916" s="14" t="n"/>
      <c r="L1916" s="14" t="n"/>
      <c r="M1916" s="15">
        <f>IF(OR($B1916="",$K1916=""),"",($K1916-IF($L1916="",0,$L1916)*IFERROR(VLOOKUP("P01",ParamTbl,3,0),1.5))*(1-IF(IFERROR(VLOOKUP($E1916,OpTbl,3,0),"")="خرید",IFERROR(VLOOKUP("P02",ParamTbl,3,0),1),0)/100))</f>
        <v/>
      </c>
      <c r="N1916" s="14" t="n"/>
      <c r="O1916" s="13" t="n"/>
    </row>
    <row r="1917">
      <c r="A1917" s="11">
        <f>IF($B1917="","",COUNTA($B$9:$B1917))</f>
        <v/>
      </c>
      <c r="B1917" s="12" t="n"/>
      <c r="C1917" s="12" t="n"/>
      <c r="D1917" s="12" t="n"/>
      <c r="E1917" s="13" t="n"/>
      <c r="F1917" s="11">
        <f>IF($E1917="","",IFERROR(VLOOKUP($E1917,OpTbl,2,0),""))</f>
        <v/>
      </c>
      <c r="G1917" s="12" t="n"/>
      <c r="H1917" s="11">
        <f>IF($G1917="","",IFERROR(IF(VLOOKUP($G1917,AcctTbl,4,0)="","(بدون نام)",VLOOKUP($G1917,AcctTbl,4,0)),"کد ناشناخته"))</f>
        <v/>
      </c>
      <c r="I1917" s="13" t="n"/>
      <c r="J1917" s="13" t="n"/>
      <c r="K1917" s="14" t="n"/>
      <c r="L1917" s="14" t="n"/>
      <c r="M1917" s="15">
        <f>IF(OR($B1917="",$K1917=""),"",($K1917-IF($L1917="",0,$L1917)*IFERROR(VLOOKUP("P01",ParamTbl,3,0),1.5))*(1-IF(IFERROR(VLOOKUP($E1917,OpTbl,3,0),"")="خرید",IFERROR(VLOOKUP("P02",ParamTbl,3,0),1),0)/100))</f>
        <v/>
      </c>
      <c r="N1917" s="14" t="n"/>
      <c r="O1917" s="13" t="n"/>
    </row>
    <row r="1918">
      <c r="A1918" s="11">
        <f>IF($B1918="","",COUNTA($B$9:$B1918))</f>
        <v/>
      </c>
      <c r="B1918" s="12" t="n"/>
      <c r="C1918" s="12" t="n"/>
      <c r="D1918" s="12" t="n"/>
      <c r="E1918" s="13" t="n"/>
      <c r="F1918" s="11">
        <f>IF($E1918="","",IFERROR(VLOOKUP($E1918,OpTbl,2,0),""))</f>
        <v/>
      </c>
      <c r="G1918" s="12" t="n"/>
      <c r="H1918" s="11">
        <f>IF($G1918="","",IFERROR(IF(VLOOKUP($G1918,AcctTbl,4,0)="","(بدون نام)",VLOOKUP($G1918,AcctTbl,4,0)),"کد ناشناخته"))</f>
        <v/>
      </c>
      <c r="I1918" s="13" t="n"/>
      <c r="J1918" s="13" t="n"/>
      <c r="K1918" s="14" t="n"/>
      <c r="L1918" s="14" t="n"/>
      <c r="M1918" s="15">
        <f>IF(OR($B1918="",$K1918=""),"",($K1918-IF($L1918="",0,$L1918)*IFERROR(VLOOKUP("P01",ParamTbl,3,0),1.5))*(1-IF(IFERROR(VLOOKUP($E1918,OpTbl,3,0),"")="خرید",IFERROR(VLOOKUP("P02",ParamTbl,3,0),1),0)/100))</f>
        <v/>
      </c>
      <c r="N1918" s="14" t="n"/>
      <c r="O1918" s="13" t="n"/>
    </row>
    <row r="1919">
      <c r="A1919" s="11">
        <f>IF($B1919="","",COUNTA($B$9:$B1919))</f>
        <v/>
      </c>
      <c r="B1919" s="12" t="n"/>
      <c r="C1919" s="12" t="n"/>
      <c r="D1919" s="12" t="n"/>
      <c r="E1919" s="13" t="n"/>
      <c r="F1919" s="11">
        <f>IF($E1919="","",IFERROR(VLOOKUP($E1919,OpTbl,2,0),""))</f>
        <v/>
      </c>
      <c r="G1919" s="12" t="n"/>
      <c r="H1919" s="11">
        <f>IF($G1919="","",IFERROR(IF(VLOOKUP($G1919,AcctTbl,4,0)="","(بدون نام)",VLOOKUP($G1919,AcctTbl,4,0)),"کد ناشناخته"))</f>
        <v/>
      </c>
      <c r="I1919" s="13" t="n"/>
      <c r="J1919" s="13" t="n"/>
      <c r="K1919" s="14" t="n"/>
      <c r="L1919" s="14" t="n"/>
      <c r="M1919" s="15">
        <f>IF(OR($B1919="",$K1919=""),"",($K1919-IF($L1919="",0,$L1919)*IFERROR(VLOOKUP("P01",ParamTbl,3,0),1.5))*(1-IF(IFERROR(VLOOKUP($E1919,OpTbl,3,0),"")="خرید",IFERROR(VLOOKUP("P02",ParamTbl,3,0),1),0)/100))</f>
        <v/>
      </c>
      <c r="N1919" s="14" t="n"/>
      <c r="O1919" s="13" t="n"/>
    </row>
    <row r="1920">
      <c r="A1920" s="11">
        <f>IF($B1920="","",COUNTA($B$9:$B1920))</f>
        <v/>
      </c>
      <c r="B1920" s="12" t="n"/>
      <c r="C1920" s="12" t="n"/>
      <c r="D1920" s="12" t="n"/>
      <c r="E1920" s="13" t="n"/>
      <c r="F1920" s="11">
        <f>IF($E1920="","",IFERROR(VLOOKUP($E1920,OpTbl,2,0),""))</f>
        <v/>
      </c>
      <c r="G1920" s="12" t="n"/>
      <c r="H1920" s="11">
        <f>IF($G1920="","",IFERROR(IF(VLOOKUP($G1920,AcctTbl,4,0)="","(بدون نام)",VLOOKUP($G1920,AcctTbl,4,0)),"کد ناشناخته"))</f>
        <v/>
      </c>
      <c r="I1920" s="13" t="n"/>
      <c r="J1920" s="13" t="n"/>
      <c r="K1920" s="14" t="n"/>
      <c r="L1920" s="14" t="n"/>
      <c r="M1920" s="15">
        <f>IF(OR($B1920="",$K1920=""),"",($K1920-IF($L1920="",0,$L1920)*IFERROR(VLOOKUP("P01",ParamTbl,3,0),1.5))*(1-IF(IFERROR(VLOOKUP($E1920,OpTbl,3,0),"")="خرید",IFERROR(VLOOKUP("P02",ParamTbl,3,0),1),0)/100))</f>
        <v/>
      </c>
      <c r="N1920" s="14" t="n"/>
      <c r="O1920" s="13" t="n"/>
    </row>
    <row r="1921">
      <c r="A1921" s="11">
        <f>IF($B1921="","",COUNTA($B$9:$B1921))</f>
        <v/>
      </c>
      <c r="B1921" s="12" t="n"/>
      <c r="C1921" s="12" t="n"/>
      <c r="D1921" s="12" t="n"/>
      <c r="E1921" s="13" t="n"/>
      <c r="F1921" s="11">
        <f>IF($E1921="","",IFERROR(VLOOKUP($E1921,OpTbl,2,0),""))</f>
        <v/>
      </c>
      <c r="G1921" s="12" t="n"/>
      <c r="H1921" s="11">
        <f>IF($G1921="","",IFERROR(IF(VLOOKUP($G1921,AcctTbl,4,0)="","(بدون نام)",VLOOKUP($G1921,AcctTbl,4,0)),"کد ناشناخته"))</f>
        <v/>
      </c>
      <c r="I1921" s="13" t="n"/>
      <c r="J1921" s="13" t="n"/>
      <c r="K1921" s="14" t="n"/>
      <c r="L1921" s="14" t="n"/>
      <c r="M1921" s="15">
        <f>IF(OR($B1921="",$K1921=""),"",($K1921-IF($L1921="",0,$L1921)*IFERROR(VLOOKUP("P01",ParamTbl,3,0),1.5))*(1-IF(IFERROR(VLOOKUP($E1921,OpTbl,3,0),"")="خرید",IFERROR(VLOOKUP("P02",ParamTbl,3,0),1),0)/100))</f>
        <v/>
      </c>
      <c r="N1921" s="14" t="n"/>
      <c r="O1921" s="13" t="n"/>
    </row>
    <row r="1922">
      <c r="A1922" s="11">
        <f>IF($B1922="","",COUNTA($B$9:$B1922))</f>
        <v/>
      </c>
      <c r="B1922" s="12" t="n"/>
      <c r="C1922" s="12" t="n"/>
      <c r="D1922" s="12" t="n"/>
      <c r="E1922" s="13" t="n"/>
      <c r="F1922" s="11">
        <f>IF($E1922="","",IFERROR(VLOOKUP($E1922,OpTbl,2,0),""))</f>
        <v/>
      </c>
      <c r="G1922" s="12" t="n"/>
      <c r="H1922" s="11">
        <f>IF($G1922="","",IFERROR(IF(VLOOKUP($G1922,AcctTbl,4,0)="","(بدون نام)",VLOOKUP($G1922,AcctTbl,4,0)),"کد ناشناخته"))</f>
        <v/>
      </c>
      <c r="I1922" s="13" t="n"/>
      <c r="J1922" s="13" t="n"/>
      <c r="K1922" s="14" t="n"/>
      <c r="L1922" s="14" t="n"/>
      <c r="M1922" s="15">
        <f>IF(OR($B1922="",$K1922=""),"",($K1922-IF($L1922="",0,$L1922)*IFERROR(VLOOKUP("P01",ParamTbl,3,0),1.5))*(1-IF(IFERROR(VLOOKUP($E1922,OpTbl,3,0),"")="خرید",IFERROR(VLOOKUP("P02",ParamTbl,3,0),1),0)/100))</f>
        <v/>
      </c>
      <c r="N1922" s="14" t="n"/>
      <c r="O1922" s="13" t="n"/>
    </row>
    <row r="1923">
      <c r="A1923" s="11">
        <f>IF($B1923="","",COUNTA($B$9:$B1923))</f>
        <v/>
      </c>
      <c r="B1923" s="12" t="n"/>
      <c r="C1923" s="12" t="n"/>
      <c r="D1923" s="12" t="n"/>
      <c r="E1923" s="13" t="n"/>
      <c r="F1923" s="11">
        <f>IF($E1923="","",IFERROR(VLOOKUP($E1923,OpTbl,2,0),""))</f>
        <v/>
      </c>
      <c r="G1923" s="12" t="n"/>
      <c r="H1923" s="11">
        <f>IF($G1923="","",IFERROR(IF(VLOOKUP($G1923,AcctTbl,4,0)="","(بدون نام)",VLOOKUP($G1923,AcctTbl,4,0)),"کد ناشناخته"))</f>
        <v/>
      </c>
      <c r="I1923" s="13" t="n"/>
      <c r="J1923" s="13" t="n"/>
      <c r="K1923" s="14" t="n"/>
      <c r="L1923" s="14" t="n"/>
      <c r="M1923" s="15">
        <f>IF(OR($B1923="",$K1923=""),"",($K1923-IF($L1923="",0,$L1923)*IFERROR(VLOOKUP("P01",ParamTbl,3,0),1.5))*(1-IF(IFERROR(VLOOKUP($E1923,OpTbl,3,0),"")="خرید",IFERROR(VLOOKUP("P02",ParamTbl,3,0),1),0)/100))</f>
        <v/>
      </c>
      <c r="N1923" s="14" t="n"/>
      <c r="O1923" s="13" t="n"/>
    </row>
    <row r="1924">
      <c r="A1924" s="11">
        <f>IF($B1924="","",COUNTA($B$9:$B1924))</f>
        <v/>
      </c>
      <c r="B1924" s="12" t="n"/>
      <c r="C1924" s="12" t="n"/>
      <c r="D1924" s="12" t="n"/>
      <c r="E1924" s="13" t="n"/>
      <c r="F1924" s="11">
        <f>IF($E1924="","",IFERROR(VLOOKUP($E1924,OpTbl,2,0),""))</f>
        <v/>
      </c>
      <c r="G1924" s="12" t="n"/>
      <c r="H1924" s="11">
        <f>IF($G1924="","",IFERROR(IF(VLOOKUP($G1924,AcctTbl,4,0)="","(بدون نام)",VLOOKUP($G1924,AcctTbl,4,0)),"کد ناشناخته"))</f>
        <v/>
      </c>
      <c r="I1924" s="13" t="n"/>
      <c r="J1924" s="13" t="n"/>
      <c r="K1924" s="14" t="n"/>
      <c r="L1924" s="14" t="n"/>
      <c r="M1924" s="15">
        <f>IF(OR($B1924="",$K1924=""),"",($K1924-IF($L1924="",0,$L1924)*IFERROR(VLOOKUP("P01",ParamTbl,3,0),1.5))*(1-IF(IFERROR(VLOOKUP($E1924,OpTbl,3,0),"")="خرید",IFERROR(VLOOKUP("P02",ParamTbl,3,0),1),0)/100))</f>
        <v/>
      </c>
      <c r="N1924" s="14" t="n"/>
      <c r="O1924" s="13" t="n"/>
    </row>
    <row r="1925">
      <c r="A1925" s="11">
        <f>IF($B1925="","",COUNTA($B$9:$B1925))</f>
        <v/>
      </c>
      <c r="B1925" s="12" t="n"/>
      <c r="C1925" s="12" t="n"/>
      <c r="D1925" s="12" t="n"/>
      <c r="E1925" s="13" t="n"/>
      <c r="F1925" s="11">
        <f>IF($E1925="","",IFERROR(VLOOKUP($E1925,OpTbl,2,0),""))</f>
        <v/>
      </c>
      <c r="G1925" s="12" t="n"/>
      <c r="H1925" s="11">
        <f>IF($G1925="","",IFERROR(IF(VLOOKUP($G1925,AcctTbl,4,0)="","(بدون نام)",VLOOKUP($G1925,AcctTbl,4,0)),"کد ناشناخته"))</f>
        <v/>
      </c>
      <c r="I1925" s="13" t="n"/>
      <c r="J1925" s="13" t="n"/>
      <c r="K1925" s="14" t="n"/>
      <c r="L1925" s="14" t="n"/>
      <c r="M1925" s="15">
        <f>IF(OR($B1925="",$K1925=""),"",($K1925-IF($L1925="",0,$L1925)*IFERROR(VLOOKUP("P01",ParamTbl,3,0),1.5))*(1-IF(IFERROR(VLOOKUP($E1925,OpTbl,3,0),"")="خرید",IFERROR(VLOOKUP("P02",ParamTbl,3,0),1),0)/100))</f>
        <v/>
      </c>
      <c r="N1925" s="14" t="n"/>
      <c r="O1925" s="13" t="n"/>
    </row>
    <row r="1926">
      <c r="A1926" s="11">
        <f>IF($B1926="","",COUNTA($B$9:$B1926))</f>
        <v/>
      </c>
      <c r="B1926" s="12" t="n"/>
      <c r="C1926" s="12" t="n"/>
      <c r="D1926" s="12" t="n"/>
      <c r="E1926" s="13" t="n"/>
      <c r="F1926" s="11">
        <f>IF($E1926="","",IFERROR(VLOOKUP($E1926,OpTbl,2,0),""))</f>
        <v/>
      </c>
      <c r="G1926" s="12" t="n"/>
      <c r="H1926" s="11">
        <f>IF($G1926="","",IFERROR(IF(VLOOKUP($G1926,AcctTbl,4,0)="","(بدون نام)",VLOOKUP($G1926,AcctTbl,4,0)),"کد ناشناخته"))</f>
        <v/>
      </c>
      <c r="I1926" s="13" t="n"/>
      <c r="J1926" s="13" t="n"/>
      <c r="K1926" s="14" t="n"/>
      <c r="L1926" s="14" t="n"/>
      <c r="M1926" s="15">
        <f>IF(OR($B1926="",$K1926=""),"",($K1926-IF($L1926="",0,$L1926)*IFERROR(VLOOKUP("P01",ParamTbl,3,0),1.5))*(1-IF(IFERROR(VLOOKUP($E1926,OpTbl,3,0),"")="خرید",IFERROR(VLOOKUP("P02",ParamTbl,3,0),1),0)/100))</f>
        <v/>
      </c>
      <c r="N1926" s="14" t="n"/>
      <c r="O1926" s="13" t="n"/>
    </row>
    <row r="1927">
      <c r="A1927" s="11">
        <f>IF($B1927="","",COUNTA($B$9:$B1927))</f>
        <v/>
      </c>
      <c r="B1927" s="12" t="n"/>
      <c r="C1927" s="12" t="n"/>
      <c r="D1927" s="12" t="n"/>
      <c r="E1927" s="13" t="n"/>
      <c r="F1927" s="11">
        <f>IF($E1927="","",IFERROR(VLOOKUP($E1927,OpTbl,2,0),""))</f>
        <v/>
      </c>
      <c r="G1927" s="12" t="n"/>
      <c r="H1927" s="11">
        <f>IF($G1927="","",IFERROR(IF(VLOOKUP($G1927,AcctTbl,4,0)="","(بدون نام)",VLOOKUP($G1927,AcctTbl,4,0)),"کد ناشناخته"))</f>
        <v/>
      </c>
      <c r="I1927" s="13" t="n"/>
      <c r="J1927" s="13" t="n"/>
      <c r="K1927" s="14" t="n"/>
      <c r="L1927" s="14" t="n"/>
      <c r="M1927" s="15">
        <f>IF(OR($B1927="",$K1927=""),"",($K1927-IF($L1927="",0,$L1927)*IFERROR(VLOOKUP("P01",ParamTbl,3,0),1.5))*(1-IF(IFERROR(VLOOKUP($E1927,OpTbl,3,0),"")="خرید",IFERROR(VLOOKUP("P02",ParamTbl,3,0),1),0)/100))</f>
        <v/>
      </c>
      <c r="N1927" s="14" t="n"/>
      <c r="O1927" s="13" t="n"/>
    </row>
    <row r="1928">
      <c r="A1928" s="11">
        <f>IF($B1928="","",COUNTA($B$9:$B1928))</f>
        <v/>
      </c>
      <c r="B1928" s="12" t="n"/>
      <c r="C1928" s="12" t="n"/>
      <c r="D1928" s="12" t="n"/>
      <c r="E1928" s="13" t="n"/>
      <c r="F1928" s="11">
        <f>IF($E1928="","",IFERROR(VLOOKUP($E1928,OpTbl,2,0),""))</f>
        <v/>
      </c>
      <c r="G1928" s="12" t="n"/>
      <c r="H1928" s="11">
        <f>IF($G1928="","",IFERROR(IF(VLOOKUP($G1928,AcctTbl,4,0)="","(بدون نام)",VLOOKUP($G1928,AcctTbl,4,0)),"کد ناشناخته"))</f>
        <v/>
      </c>
      <c r="I1928" s="13" t="n"/>
      <c r="J1928" s="13" t="n"/>
      <c r="K1928" s="14" t="n"/>
      <c r="L1928" s="14" t="n"/>
      <c r="M1928" s="15">
        <f>IF(OR($B1928="",$K1928=""),"",($K1928-IF($L1928="",0,$L1928)*IFERROR(VLOOKUP("P01",ParamTbl,3,0),1.5))*(1-IF(IFERROR(VLOOKUP($E1928,OpTbl,3,0),"")="خرید",IFERROR(VLOOKUP("P02",ParamTbl,3,0),1),0)/100))</f>
        <v/>
      </c>
      <c r="N1928" s="14" t="n"/>
      <c r="O1928" s="13" t="n"/>
    </row>
    <row r="1929">
      <c r="A1929" s="11">
        <f>IF($B1929="","",COUNTA($B$9:$B1929))</f>
        <v/>
      </c>
      <c r="B1929" s="12" t="n"/>
      <c r="C1929" s="12" t="n"/>
      <c r="D1929" s="12" t="n"/>
      <c r="E1929" s="13" t="n"/>
      <c r="F1929" s="11">
        <f>IF($E1929="","",IFERROR(VLOOKUP($E1929,OpTbl,2,0),""))</f>
        <v/>
      </c>
      <c r="G1929" s="12" t="n"/>
      <c r="H1929" s="11">
        <f>IF($G1929="","",IFERROR(IF(VLOOKUP($G1929,AcctTbl,4,0)="","(بدون نام)",VLOOKUP($G1929,AcctTbl,4,0)),"کد ناشناخته"))</f>
        <v/>
      </c>
      <c r="I1929" s="13" t="n"/>
      <c r="J1929" s="13" t="n"/>
      <c r="K1929" s="14" t="n"/>
      <c r="L1929" s="14" t="n"/>
      <c r="M1929" s="15">
        <f>IF(OR($B1929="",$K1929=""),"",($K1929-IF($L1929="",0,$L1929)*IFERROR(VLOOKUP("P01",ParamTbl,3,0),1.5))*(1-IF(IFERROR(VLOOKUP($E1929,OpTbl,3,0),"")="خرید",IFERROR(VLOOKUP("P02",ParamTbl,3,0),1),0)/100))</f>
        <v/>
      </c>
      <c r="N1929" s="14" t="n"/>
      <c r="O1929" s="13" t="n"/>
    </row>
    <row r="1930">
      <c r="A1930" s="11">
        <f>IF($B1930="","",COUNTA($B$9:$B1930))</f>
        <v/>
      </c>
      <c r="B1930" s="12" t="n"/>
      <c r="C1930" s="12" t="n"/>
      <c r="D1930" s="12" t="n"/>
      <c r="E1930" s="13" t="n"/>
      <c r="F1930" s="11">
        <f>IF($E1930="","",IFERROR(VLOOKUP($E1930,OpTbl,2,0),""))</f>
        <v/>
      </c>
      <c r="G1930" s="12" t="n"/>
      <c r="H1930" s="11">
        <f>IF($G1930="","",IFERROR(IF(VLOOKUP($G1930,AcctTbl,4,0)="","(بدون نام)",VLOOKUP($G1930,AcctTbl,4,0)),"کد ناشناخته"))</f>
        <v/>
      </c>
      <c r="I1930" s="13" t="n"/>
      <c r="J1930" s="13" t="n"/>
      <c r="K1930" s="14" t="n"/>
      <c r="L1930" s="14" t="n"/>
      <c r="M1930" s="15">
        <f>IF(OR($B1930="",$K1930=""),"",($K1930-IF($L1930="",0,$L1930)*IFERROR(VLOOKUP("P01",ParamTbl,3,0),1.5))*(1-IF(IFERROR(VLOOKUP($E1930,OpTbl,3,0),"")="خرید",IFERROR(VLOOKUP("P02",ParamTbl,3,0),1),0)/100))</f>
        <v/>
      </c>
      <c r="N1930" s="14" t="n"/>
      <c r="O1930" s="13" t="n"/>
    </row>
    <row r="1931">
      <c r="A1931" s="11">
        <f>IF($B1931="","",COUNTA($B$9:$B1931))</f>
        <v/>
      </c>
      <c r="B1931" s="12" t="n"/>
      <c r="C1931" s="12" t="n"/>
      <c r="D1931" s="12" t="n"/>
      <c r="E1931" s="13" t="n"/>
      <c r="F1931" s="11">
        <f>IF($E1931="","",IFERROR(VLOOKUP($E1931,OpTbl,2,0),""))</f>
        <v/>
      </c>
      <c r="G1931" s="12" t="n"/>
      <c r="H1931" s="11">
        <f>IF($G1931="","",IFERROR(IF(VLOOKUP($G1931,AcctTbl,4,0)="","(بدون نام)",VLOOKUP($G1931,AcctTbl,4,0)),"کد ناشناخته"))</f>
        <v/>
      </c>
      <c r="I1931" s="13" t="n"/>
      <c r="J1931" s="13" t="n"/>
      <c r="K1931" s="14" t="n"/>
      <c r="L1931" s="14" t="n"/>
      <c r="M1931" s="15">
        <f>IF(OR($B1931="",$K1931=""),"",($K1931-IF($L1931="",0,$L1931)*IFERROR(VLOOKUP("P01",ParamTbl,3,0),1.5))*(1-IF(IFERROR(VLOOKUP($E1931,OpTbl,3,0),"")="خرید",IFERROR(VLOOKUP("P02",ParamTbl,3,0),1),0)/100))</f>
        <v/>
      </c>
      <c r="N1931" s="14" t="n"/>
      <c r="O1931" s="13" t="n"/>
    </row>
    <row r="1932">
      <c r="A1932" s="11">
        <f>IF($B1932="","",COUNTA($B$9:$B1932))</f>
        <v/>
      </c>
      <c r="B1932" s="12" t="n"/>
      <c r="C1932" s="12" t="n"/>
      <c r="D1932" s="12" t="n"/>
      <c r="E1932" s="13" t="n"/>
      <c r="F1932" s="11">
        <f>IF($E1932="","",IFERROR(VLOOKUP($E1932,OpTbl,2,0),""))</f>
        <v/>
      </c>
      <c r="G1932" s="12" t="n"/>
      <c r="H1932" s="11">
        <f>IF($G1932="","",IFERROR(IF(VLOOKUP($G1932,AcctTbl,4,0)="","(بدون نام)",VLOOKUP($G1932,AcctTbl,4,0)),"کد ناشناخته"))</f>
        <v/>
      </c>
      <c r="I1932" s="13" t="n"/>
      <c r="J1932" s="13" t="n"/>
      <c r="K1932" s="14" t="n"/>
      <c r="L1932" s="14" t="n"/>
      <c r="M1932" s="15">
        <f>IF(OR($B1932="",$K1932=""),"",($K1932-IF($L1932="",0,$L1932)*IFERROR(VLOOKUP("P01",ParamTbl,3,0),1.5))*(1-IF(IFERROR(VLOOKUP($E1932,OpTbl,3,0),"")="خرید",IFERROR(VLOOKUP("P02",ParamTbl,3,0),1),0)/100))</f>
        <v/>
      </c>
      <c r="N1932" s="14" t="n"/>
      <c r="O1932" s="13" t="n"/>
    </row>
    <row r="1933">
      <c r="A1933" s="11">
        <f>IF($B1933="","",COUNTA($B$9:$B1933))</f>
        <v/>
      </c>
      <c r="B1933" s="12" t="n"/>
      <c r="C1933" s="12" t="n"/>
      <c r="D1933" s="12" t="n"/>
      <c r="E1933" s="13" t="n"/>
      <c r="F1933" s="11">
        <f>IF($E1933="","",IFERROR(VLOOKUP($E1933,OpTbl,2,0),""))</f>
        <v/>
      </c>
      <c r="G1933" s="12" t="n"/>
      <c r="H1933" s="11">
        <f>IF($G1933="","",IFERROR(IF(VLOOKUP($G1933,AcctTbl,4,0)="","(بدون نام)",VLOOKUP($G1933,AcctTbl,4,0)),"کد ناشناخته"))</f>
        <v/>
      </c>
      <c r="I1933" s="13" t="n"/>
      <c r="J1933" s="13" t="n"/>
      <c r="K1933" s="14" t="n"/>
      <c r="L1933" s="14" t="n"/>
      <c r="M1933" s="15">
        <f>IF(OR($B1933="",$K1933=""),"",($K1933-IF($L1933="",0,$L1933)*IFERROR(VLOOKUP("P01",ParamTbl,3,0),1.5))*(1-IF(IFERROR(VLOOKUP($E1933,OpTbl,3,0),"")="خرید",IFERROR(VLOOKUP("P02",ParamTbl,3,0),1),0)/100))</f>
        <v/>
      </c>
      <c r="N1933" s="14" t="n"/>
      <c r="O1933" s="13" t="n"/>
    </row>
    <row r="1934">
      <c r="A1934" s="11">
        <f>IF($B1934="","",COUNTA($B$9:$B1934))</f>
        <v/>
      </c>
      <c r="B1934" s="12" t="n"/>
      <c r="C1934" s="12" t="n"/>
      <c r="D1934" s="12" t="n"/>
      <c r="E1934" s="13" t="n"/>
      <c r="F1934" s="11">
        <f>IF($E1934="","",IFERROR(VLOOKUP($E1934,OpTbl,2,0),""))</f>
        <v/>
      </c>
      <c r="G1934" s="12" t="n"/>
      <c r="H1934" s="11">
        <f>IF($G1934="","",IFERROR(IF(VLOOKUP($G1934,AcctTbl,4,0)="","(بدون نام)",VLOOKUP($G1934,AcctTbl,4,0)),"کد ناشناخته"))</f>
        <v/>
      </c>
      <c r="I1934" s="13" t="n"/>
      <c r="J1934" s="13" t="n"/>
      <c r="K1934" s="14" t="n"/>
      <c r="L1934" s="14" t="n"/>
      <c r="M1934" s="15">
        <f>IF(OR($B1934="",$K1934=""),"",($K1934-IF($L1934="",0,$L1934)*IFERROR(VLOOKUP("P01",ParamTbl,3,0),1.5))*(1-IF(IFERROR(VLOOKUP($E1934,OpTbl,3,0),"")="خرید",IFERROR(VLOOKUP("P02",ParamTbl,3,0),1),0)/100))</f>
        <v/>
      </c>
      <c r="N1934" s="14" t="n"/>
      <c r="O1934" s="13" t="n"/>
    </row>
    <row r="1935">
      <c r="A1935" s="11">
        <f>IF($B1935="","",COUNTA($B$9:$B1935))</f>
        <v/>
      </c>
      <c r="B1935" s="12" t="n"/>
      <c r="C1935" s="12" t="n"/>
      <c r="D1935" s="12" t="n"/>
      <c r="E1935" s="13" t="n"/>
      <c r="F1935" s="11">
        <f>IF($E1935="","",IFERROR(VLOOKUP($E1935,OpTbl,2,0),""))</f>
        <v/>
      </c>
      <c r="G1935" s="12" t="n"/>
      <c r="H1935" s="11">
        <f>IF($G1935="","",IFERROR(IF(VLOOKUP($G1935,AcctTbl,4,0)="","(بدون نام)",VLOOKUP($G1935,AcctTbl,4,0)),"کد ناشناخته"))</f>
        <v/>
      </c>
      <c r="I1935" s="13" t="n"/>
      <c r="J1935" s="13" t="n"/>
      <c r="K1935" s="14" t="n"/>
      <c r="L1935" s="14" t="n"/>
      <c r="M1935" s="15">
        <f>IF(OR($B1935="",$K1935=""),"",($K1935-IF($L1935="",0,$L1935)*IFERROR(VLOOKUP("P01",ParamTbl,3,0),1.5))*(1-IF(IFERROR(VLOOKUP($E1935,OpTbl,3,0),"")="خرید",IFERROR(VLOOKUP("P02",ParamTbl,3,0),1),0)/100))</f>
        <v/>
      </c>
      <c r="N1935" s="14" t="n"/>
      <c r="O1935" s="13" t="n"/>
    </row>
    <row r="1936">
      <c r="A1936" s="11">
        <f>IF($B1936="","",COUNTA($B$9:$B1936))</f>
        <v/>
      </c>
      <c r="B1936" s="12" t="n"/>
      <c r="C1936" s="12" t="n"/>
      <c r="D1936" s="12" t="n"/>
      <c r="E1936" s="13" t="n"/>
      <c r="F1936" s="11">
        <f>IF($E1936="","",IFERROR(VLOOKUP($E1936,OpTbl,2,0),""))</f>
        <v/>
      </c>
      <c r="G1936" s="12" t="n"/>
      <c r="H1936" s="11">
        <f>IF($G1936="","",IFERROR(IF(VLOOKUP($G1936,AcctTbl,4,0)="","(بدون نام)",VLOOKUP($G1936,AcctTbl,4,0)),"کد ناشناخته"))</f>
        <v/>
      </c>
      <c r="I1936" s="13" t="n"/>
      <c r="J1936" s="13" t="n"/>
      <c r="K1936" s="14" t="n"/>
      <c r="L1936" s="14" t="n"/>
      <c r="M1936" s="15">
        <f>IF(OR($B1936="",$K1936=""),"",($K1936-IF($L1936="",0,$L1936)*IFERROR(VLOOKUP("P01",ParamTbl,3,0),1.5))*(1-IF(IFERROR(VLOOKUP($E1936,OpTbl,3,0),"")="خرید",IFERROR(VLOOKUP("P02",ParamTbl,3,0),1),0)/100))</f>
        <v/>
      </c>
      <c r="N1936" s="14" t="n"/>
      <c r="O1936" s="13" t="n"/>
    </row>
    <row r="1937">
      <c r="A1937" s="11">
        <f>IF($B1937="","",COUNTA($B$9:$B1937))</f>
        <v/>
      </c>
      <c r="B1937" s="12" t="n"/>
      <c r="C1937" s="12" t="n"/>
      <c r="D1937" s="12" t="n"/>
      <c r="E1937" s="13" t="n"/>
      <c r="F1937" s="11">
        <f>IF($E1937="","",IFERROR(VLOOKUP($E1937,OpTbl,2,0),""))</f>
        <v/>
      </c>
      <c r="G1937" s="12" t="n"/>
      <c r="H1937" s="11">
        <f>IF($G1937="","",IFERROR(IF(VLOOKUP($G1937,AcctTbl,4,0)="","(بدون نام)",VLOOKUP($G1937,AcctTbl,4,0)),"کد ناشناخته"))</f>
        <v/>
      </c>
      <c r="I1937" s="13" t="n"/>
      <c r="J1937" s="13" t="n"/>
      <c r="K1937" s="14" t="n"/>
      <c r="L1937" s="14" t="n"/>
      <c r="M1937" s="15">
        <f>IF(OR($B1937="",$K1937=""),"",($K1937-IF($L1937="",0,$L1937)*IFERROR(VLOOKUP("P01",ParamTbl,3,0),1.5))*(1-IF(IFERROR(VLOOKUP($E1937,OpTbl,3,0),"")="خرید",IFERROR(VLOOKUP("P02",ParamTbl,3,0),1),0)/100))</f>
        <v/>
      </c>
      <c r="N1937" s="14" t="n"/>
      <c r="O1937" s="13" t="n"/>
    </row>
    <row r="1938">
      <c r="A1938" s="11">
        <f>IF($B1938="","",COUNTA($B$9:$B1938))</f>
        <v/>
      </c>
      <c r="B1938" s="12" t="n"/>
      <c r="C1938" s="12" t="n"/>
      <c r="D1938" s="12" t="n"/>
      <c r="E1938" s="13" t="n"/>
      <c r="F1938" s="11">
        <f>IF($E1938="","",IFERROR(VLOOKUP($E1938,OpTbl,2,0),""))</f>
        <v/>
      </c>
      <c r="G1938" s="12" t="n"/>
      <c r="H1938" s="11">
        <f>IF($G1938="","",IFERROR(IF(VLOOKUP($G1938,AcctTbl,4,0)="","(بدون نام)",VLOOKUP($G1938,AcctTbl,4,0)),"کد ناشناخته"))</f>
        <v/>
      </c>
      <c r="I1938" s="13" t="n"/>
      <c r="J1938" s="13" t="n"/>
      <c r="K1938" s="14" t="n"/>
      <c r="L1938" s="14" t="n"/>
      <c r="M1938" s="15">
        <f>IF(OR($B1938="",$K1938=""),"",($K1938-IF($L1938="",0,$L1938)*IFERROR(VLOOKUP("P01",ParamTbl,3,0),1.5))*(1-IF(IFERROR(VLOOKUP($E1938,OpTbl,3,0),"")="خرید",IFERROR(VLOOKUP("P02",ParamTbl,3,0),1),0)/100))</f>
        <v/>
      </c>
      <c r="N1938" s="14" t="n"/>
      <c r="O1938" s="13" t="n"/>
    </row>
    <row r="1939">
      <c r="A1939" s="11">
        <f>IF($B1939="","",COUNTA($B$9:$B1939))</f>
        <v/>
      </c>
      <c r="B1939" s="12" t="n"/>
      <c r="C1939" s="12" t="n"/>
      <c r="D1939" s="12" t="n"/>
      <c r="E1939" s="13" t="n"/>
      <c r="F1939" s="11">
        <f>IF($E1939="","",IFERROR(VLOOKUP($E1939,OpTbl,2,0),""))</f>
        <v/>
      </c>
      <c r="G1939" s="12" t="n"/>
      <c r="H1939" s="11">
        <f>IF($G1939="","",IFERROR(IF(VLOOKUP($G1939,AcctTbl,4,0)="","(بدون نام)",VLOOKUP($G1939,AcctTbl,4,0)),"کد ناشناخته"))</f>
        <v/>
      </c>
      <c r="I1939" s="13" t="n"/>
      <c r="J1939" s="13" t="n"/>
      <c r="K1939" s="14" t="n"/>
      <c r="L1939" s="14" t="n"/>
      <c r="M1939" s="15">
        <f>IF(OR($B1939="",$K1939=""),"",($K1939-IF($L1939="",0,$L1939)*IFERROR(VLOOKUP("P01",ParamTbl,3,0),1.5))*(1-IF(IFERROR(VLOOKUP($E1939,OpTbl,3,0),"")="خرید",IFERROR(VLOOKUP("P02",ParamTbl,3,0),1),0)/100))</f>
        <v/>
      </c>
      <c r="N1939" s="14" t="n"/>
      <c r="O1939" s="13" t="n"/>
    </row>
    <row r="1940">
      <c r="A1940" s="11">
        <f>IF($B1940="","",COUNTA($B$9:$B1940))</f>
        <v/>
      </c>
      <c r="B1940" s="12" t="n"/>
      <c r="C1940" s="12" t="n"/>
      <c r="D1940" s="12" t="n"/>
      <c r="E1940" s="13" t="n"/>
      <c r="F1940" s="11">
        <f>IF($E1940="","",IFERROR(VLOOKUP($E1940,OpTbl,2,0),""))</f>
        <v/>
      </c>
      <c r="G1940" s="12" t="n"/>
      <c r="H1940" s="11">
        <f>IF($G1940="","",IFERROR(IF(VLOOKUP($G1940,AcctTbl,4,0)="","(بدون نام)",VLOOKUP($G1940,AcctTbl,4,0)),"کد ناشناخته"))</f>
        <v/>
      </c>
      <c r="I1940" s="13" t="n"/>
      <c r="J1940" s="13" t="n"/>
      <c r="K1940" s="14" t="n"/>
      <c r="L1940" s="14" t="n"/>
      <c r="M1940" s="15">
        <f>IF(OR($B1940="",$K1940=""),"",($K1940-IF($L1940="",0,$L1940)*IFERROR(VLOOKUP("P01",ParamTbl,3,0),1.5))*(1-IF(IFERROR(VLOOKUP($E1940,OpTbl,3,0),"")="خرید",IFERROR(VLOOKUP("P02",ParamTbl,3,0),1),0)/100))</f>
        <v/>
      </c>
      <c r="N1940" s="14" t="n"/>
      <c r="O1940" s="13" t="n"/>
    </row>
    <row r="1941">
      <c r="A1941" s="11">
        <f>IF($B1941="","",COUNTA($B$9:$B1941))</f>
        <v/>
      </c>
      <c r="B1941" s="12" t="n"/>
      <c r="C1941" s="12" t="n"/>
      <c r="D1941" s="12" t="n"/>
      <c r="E1941" s="13" t="n"/>
      <c r="F1941" s="11">
        <f>IF($E1941="","",IFERROR(VLOOKUP($E1941,OpTbl,2,0),""))</f>
        <v/>
      </c>
      <c r="G1941" s="12" t="n"/>
      <c r="H1941" s="11">
        <f>IF($G1941="","",IFERROR(IF(VLOOKUP($G1941,AcctTbl,4,0)="","(بدون نام)",VLOOKUP($G1941,AcctTbl,4,0)),"کد ناشناخته"))</f>
        <v/>
      </c>
      <c r="I1941" s="13" t="n"/>
      <c r="J1941" s="13" t="n"/>
      <c r="K1941" s="14" t="n"/>
      <c r="L1941" s="14" t="n"/>
      <c r="M1941" s="15">
        <f>IF(OR($B1941="",$K1941=""),"",($K1941-IF($L1941="",0,$L1941)*IFERROR(VLOOKUP("P01",ParamTbl,3,0),1.5))*(1-IF(IFERROR(VLOOKUP($E1941,OpTbl,3,0),"")="خرید",IFERROR(VLOOKUP("P02",ParamTbl,3,0),1),0)/100))</f>
        <v/>
      </c>
      <c r="N1941" s="14" t="n"/>
      <c r="O1941" s="13" t="n"/>
    </row>
    <row r="1942">
      <c r="A1942" s="11">
        <f>IF($B1942="","",COUNTA($B$9:$B1942))</f>
        <v/>
      </c>
      <c r="B1942" s="12" t="n"/>
      <c r="C1942" s="12" t="n"/>
      <c r="D1942" s="12" t="n"/>
      <c r="E1942" s="13" t="n"/>
      <c r="F1942" s="11">
        <f>IF($E1942="","",IFERROR(VLOOKUP($E1942,OpTbl,2,0),""))</f>
        <v/>
      </c>
      <c r="G1942" s="12" t="n"/>
      <c r="H1942" s="11">
        <f>IF($G1942="","",IFERROR(IF(VLOOKUP($G1942,AcctTbl,4,0)="","(بدون نام)",VLOOKUP($G1942,AcctTbl,4,0)),"کد ناشناخته"))</f>
        <v/>
      </c>
      <c r="I1942" s="13" t="n"/>
      <c r="J1942" s="13" t="n"/>
      <c r="K1942" s="14" t="n"/>
      <c r="L1942" s="14" t="n"/>
      <c r="M1942" s="15">
        <f>IF(OR($B1942="",$K1942=""),"",($K1942-IF($L1942="",0,$L1942)*IFERROR(VLOOKUP("P01",ParamTbl,3,0),1.5))*(1-IF(IFERROR(VLOOKUP($E1942,OpTbl,3,0),"")="خرید",IFERROR(VLOOKUP("P02",ParamTbl,3,0),1),0)/100))</f>
        <v/>
      </c>
      <c r="N1942" s="14" t="n"/>
      <c r="O1942" s="13" t="n"/>
    </row>
    <row r="1943">
      <c r="A1943" s="11">
        <f>IF($B1943="","",COUNTA($B$9:$B1943))</f>
        <v/>
      </c>
      <c r="B1943" s="12" t="n"/>
      <c r="C1943" s="12" t="n"/>
      <c r="D1943" s="12" t="n"/>
      <c r="E1943" s="13" t="n"/>
      <c r="F1943" s="11">
        <f>IF($E1943="","",IFERROR(VLOOKUP($E1943,OpTbl,2,0),""))</f>
        <v/>
      </c>
      <c r="G1943" s="12" t="n"/>
      <c r="H1943" s="11">
        <f>IF($G1943="","",IFERROR(IF(VLOOKUP($G1943,AcctTbl,4,0)="","(بدون نام)",VLOOKUP($G1943,AcctTbl,4,0)),"کد ناشناخته"))</f>
        <v/>
      </c>
      <c r="I1943" s="13" t="n"/>
      <c r="J1943" s="13" t="n"/>
      <c r="K1943" s="14" t="n"/>
      <c r="L1943" s="14" t="n"/>
      <c r="M1943" s="15">
        <f>IF(OR($B1943="",$K1943=""),"",($K1943-IF($L1943="",0,$L1943)*IFERROR(VLOOKUP("P01",ParamTbl,3,0),1.5))*(1-IF(IFERROR(VLOOKUP($E1943,OpTbl,3,0),"")="خرید",IFERROR(VLOOKUP("P02",ParamTbl,3,0),1),0)/100))</f>
        <v/>
      </c>
      <c r="N1943" s="14" t="n"/>
      <c r="O1943" s="13" t="n"/>
    </row>
    <row r="1944">
      <c r="A1944" s="11">
        <f>IF($B1944="","",COUNTA($B$9:$B1944))</f>
        <v/>
      </c>
      <c r="B1944" s="12" t="n"/>
      <c r="C1944" s="12" t="n"/>
      <c r="D1944" s="12" t="n"/>
      <c r="E1944" s="13" t="n"/>
      <c r="F1944" s="11">
        <f>IF($E1944="","",IFERROR(VLOOKUP($E1944,OpTbl,2,0),""))</f>
        <v/>
      </c>
      <c r="G1944" s="12" t="n"/>
      <c r="H1944" s="11">
        <f>IF($G1944="","",IFERROR(IF(VLOOKUP($G1944,AcctTbl,4,0)="","(بدون نام)",VLOOKUP($G1944,AcctTbl,4,0)),"کد ناشناخته"))</f>
        <v/>
      </c>
      <c r="I1944" s="13" t="n"/>
      <c r="J1944" s="13" t="n"/>
      <c r="K1944" s="14" t="n"/>
      <c r="L1944" s="14" t="n"/>
      <c r="M1944" s="15">
        <f>IF(OR($B1944="",$K1944=""),"",($K1944-IF($L1944="",0,$L1944)*IFERROR(VLOOKUP("P01",ParamTbl,3,0),1.5))*(1-IF(IFERROR(VLOOKUP($E1944,OpTbl,3,0),"")="خرید",IFERROR(VLOOKUP("P02",ParamTbl,3,0),1),0)/100))</f>
        <v/>
      </c>
      <c r="N1944" s="14" t="n"/>
      <c r="O1944" s="13" t="n"/>
    </row>
    <row r="1945">
      <c r="A1945" s="11">
        <f>IF($B1945="","",COUNTA($B$9:$B1945))</f>
        <v/>
      </c>
      <c r="B1945" s="12" t="n"/>
      <c r="C1945" s="12" t="n"/>
      <c r="D1945" s="12" t="n"/>
      <c r="E1945" s="13" t="n"/>
      <c r="F1945" s="11">
        <f>IF($E1945="","",IFERROR(VLOOKUP($E1945,OpTbl,2,0),""))</f>
        <v/>
      </c>
      <c r="G1945" s="12" t="n"/>
      <c r="H1945" s="11">
        <f>IF($G1945="","",IFERROR(IF(VLOOKUP($G1945,AcctTbl,4,0)="","(بدون نام)",VLOOKUP($G1945,AcctTbl,4,0)),"کد ناشناخته"))</f>
        <v/>
      </c>
      <c r="I1945" s="13" t="n"/>
      <c r="J1945" s="13" t="n"/>
      <c r="K1945" s="14" t="n"/>
      <c r="L1945" s="14" t="n"/>
      <c r="M1945" s="15">
        <f>IF(OR($B1945="",$K1945=""),"",($K1945-IF($L1945="",0,$L1945)*IFERROR(VLOOKUP("P01",ParamTbl,3,0),1.5))*(1-IF(IFERROR(VLOOKUP($E1945,OpTbl,3,0),"")="خرید",IFERROR(VLOOKUP("P02",ParamTbl,3,0),1),0)/100))</f>
        <v/>
      </c>
      <c r="N1945" s="14" t="n"/>
      <c r="O1945" s="13" t="n"/>
    </row>
    <row r="1946">
      <c r="A1946" s="11">
        <f>IF($B1946="","",COUNTA($B$9:$B1946))</f>
        <v/>
      </c>
      <c r="B1946" s="12" t="n"/>
      <c r="C1946" s="12" t="n"/>
      <c r="D1946" s="12" t="n"/>
      <c r="E1946" s="13" t="n"/>
      <c r="F1946" s="11">
        <f>IF($E1946="","",IFERROR(VLOOKUP($E1946,OpTbl,2,0),""))</f>
        <v/>
      </c>
      <c r="G1946" s="12" t="n"/>
      <c r="H1946" s="11">
        <f>IF($G1946="","",IFERROR(IF(VLOOKUP($G1946,AcctTbl,4,0)="","(بدون نام)",VLOOKUP($G1946,AcctTbl,4,0)),"کد ناشناخته"))</f>
        <v/>
      </c>
      <c r="I1946" s="13" t="n"/>
      <c r="J1946" s="13" t="n"/>
      <c r="K1946" s="14" t="n"/>
      <c r="L1946" s="14" t="n"/>
      <c r="M1946" s="15">
        <f>IF(OR($B1946="",$K1946=""),"",($K1946-IF($L1946="",0,$L1946)*IFERROR(VLOOKUP("P01",ParamTbl,3,0),1.5))*(1-IF(IFERROR(VLOOKUP($E1946,OpTbl,3,0),"")="خرید",IFERROR(VLOOKUP("P02",ParamTbl,3,0),1),0)/100))</f>
        <v/>
      </c>
      <c r="N1946" s="14" t="n"/>
      <c r="O1946" s="13" t="n"/>
    </row>
    <row r="1947">
      <c r="A1947" s="11">
        <f>IF($B1947="","",COUNTA($B$9:$B1947))</f>
        <v/>
      </c>
      <c r="B1947" s="12" t="n"/>
      <c r="C1947" s="12" t="n"/>
      <c r="D1947" s="12" t="n"/>
      <c r="E1947" s="13" t="n"/>
      <c r="F1947" s="11">
        <f>IF($E1947="","",IFERROR(VLOOKUP($E1947,OpTbl,2,0),""))</f>
        <v/>
      </c>
      <c r="G1947" s="12" t="n"/>
      <c r="H1947" s="11">
        <f>IF($G1947="","",IFERROR(IF(VLOOKUP($G1947,AcctTbl,4,0)="","(بدون نام)",VLOOKUP($G1947,AcctTbl,4,0)),"کد ناشناخته"))</f>
        <v/>
      </c>
      <c r="I1947" s="13" t="n"/>
      <c r="J1947" s="13" t="n"/>
      <c r="K1947" s="14" t="n"/>
      <c r="L1947" s="14" t="n"/>
      <c r="M1947" s="15">
        <f>IF(OR($B1947="",$K1947=""),"",($K1947-IF($L1947="",0,$L1947)*IFERROR(VLOOKUP("P01",ParamTbl,3,0),1.5))*(1-IF(IFERROR(VLOOKUP($E1947,OpTbl,3,0),"")="خرید",IFERROR(VLOOKUP("P02",ParamTbl,3,0),1),0)/100))</f>
        <v/>
      </c>
      <c r="N1947" s="14" t="n"/>
      <c r="O1947" s="13" t="n"/>
    </row>
    <row r="1948">
      <c r="A1948" s="11">
        <f>IF($B1948="","",COUNTA($B$9:$B1948))</f>
        <v/>
      </c>
      <c r="B1948" s="12" t="n"/>
      <c r="C1948" s="12" t="n"/>
      <c r="D1948" s="12" t="n"/>
      <c r="E1948" s="13" t="n"/>
      <c r="F1948" s="11">
        <f>IF($E1948="","",IFERROR(VLOOKUP($E1948,OpTbl,2,0),""))</f>
        <v/>
      </c>
      <c r="G1948" s="12" t="n"/>
      <c r="H1948" s="11">
        <f>IF($G1948="","",IFERROR(IF(VLOOKUP($G1948,AcctTbl,4,0)="","(بدون نام)",VLOOKUP($G1948,AcctTbl,4,0)),"کد ناشناخته"))</f>
        <v/>
      </c>
      <c r="I1948" s="13" t="n"/>
      <c r="J1948" s="13" t="n"/>
      <c r="K1948" s="14" t="n"/>
      <c r="L1948" s="14" t="n"/>
      <c r="M1948" s="15">
        <f>IF(OR($B1948="",$K1948=""),"",($K1948-IF($L1948="",0,$L1948)*IFERROR(VLOOKUP("P01",ParamTbl,3,0),1.5))*(1-IF(IFERROR(VLOOKUP($E1948,OpTbl,3,0),"")="خرید",IFERROR(VLOOKUP("P02",ParamTbl,3,0),1),0)/100))</f>
        <v/>
      </c>
      <c r="N1948" s="14" t="n"/>
      <c r="O1948" s="13" t="n"/>
    </row>
    <row r="1949">
      <c r="A1949" s="11">
        <f>IF($B1949="","",COUNTA($B$9:$B1949))</f>
        <v/>
      </c>
      <c r="B1949" s="12" t="n"/>
      <c r="C1949" s="12" t="n"/>
      <c r="D1949" s="12" t="n"/>
      <c r="E1949" s="13" t="n"/>
      <c r="F1949" s="11">
        <f>IF($E1949="","",IFERROR(VLOOKUP($E1949,OpTbl,2,0),""))</f>
        <v/>
      </c>
      <c r="G1949" s="12" t="n"/>
      <c r="H1949" s="11">
        <f>IF($G1949="","",IFERROR(IF(VLOOKUP($G1949,AcctTbl,4,0)="","(بدون نام)",VLOOKUP($G1949,AcctTbl,4,0)),"کد ناشناخته"))</f>
        <v/>
      </c>
      <c r="I1949" s="13" t="n"/>
      <c r="J1949" s="13" t="n"/>
      <c r="K1949" s="14" t="n"/>
      <c r="L1949" s="14" t="n"/>
      <c r="M1949" s="15">
        <f>IF(OR($B1949="",$K1949=""),"",($K1949-IF($L1949="",0,$L1949)*IFERROR(VLOOKUP("P01",ParamTbl,3,0),1.5))*(1-IF(IFERROR(VLOOKUP($E1949,OpTbl,3,0),"")="خرید",IFERROR(VLOOKUP("P02",ParamTbl,3,0),1),0)/100))</f>
        <v/>
      </c>
      <c r="N1949" s="14" t="n"/>
      <c r="O1949" s="13" t="n"/>
    </row>
    <row r="1950">
      <c r="A1950" s="11">
        <f>IF($B1950="","",COUNTA($B$9:$B1950))</f>
        <v/>
      </c>
      <c r="B1950" s="12" t="n"/>
      <c r="C1950" s="12" t="n"/>
      <c r="D1950" s="12" t="n"/>
      <c r="E1950" s="13" t="n"/>
      <c r="F1950" s="11">
        <f>IF($E1950="","",IFERROR(VLOOKUP($E1950,OpTbl,2,0),""))</f>
        <v/>
      </c>
      <c r="G1950" s="12" t="n"/>
      <c r="H1950" s="11">
        <f>IF($G1950="","",IFERROR(IF(VLOOKUP($G1950,AcctTbl,4,0)="","(بدون نام)",VLOOKUP($G1950,AcctTbl,4,0)),"کد ناشناخته"))</f>
        <v/>
      </c>
      <c r="I1950" s="13" t="n"/>
      <c r="J1950" s="13" t="n"/>
      <c r="K1950" s="14" t="n"/>
      <c r="L1950" s="14" t="n"/>
      <c r="M1950" s="15">
        <f>IF(OR($B1950="",$K1950=""),"",($K1950-IF($L1950="",0,$L1950)*IFERROR(VLOOKUP("P01",ParamTbl,3,0),1.5))*(1-IF(IFERROR(VLOOKUP($E1950,OpTbl,3,0),"")="خرید",IFERROR(VLOOKUP("P02",ParamTbl,3,0),1),0)/100))</f>
        <v/>
      </c>
      <c r="N1950" s="14" t="n"/>
      <c r="O1950" s="13" t="n"/>
    </row>
    <row r="1951">
      <c r="A1951" s="11">
        <f>IF($B1951="","",COUNTA($B$9:$B1951))</f>
        <v/>
      </c>
      <c r="B1951" s="12" t="n"/>
      <c r="C1951" s="12" t="n"/>
      <c r="D1951" s="12" t="n"/>
      <c r="E1951" s="13" t="n"/>
      <c r="F1951" s="11">
        <f>IF($E1951="","",IFERROR(VLOOKUP($E1951,OpTbl,2,0),""))</f>
        <v/>
      </c>
      <c r="G1951" s="12" t="n"/>
      <c r="H1951" s="11">
        <f>IF($G1951="","",IFERROR(IF(VLOOKUP($G1951,AcctTbl,4,0)="","(بدون نام)",VLOOKUP($G1951,AcctTbl,4,0)),"کد ناشناخته"))</f>
        <v/>
      </c>
      <c r="I1951" s="13" t="n"/>
      <c r="J1951" s="13" t="n"/>
      <c r="K1951" s="14" t="n"/>
      <c r="L1951" s="14" t="n"/>
      <c r="M1951" s="15">
        <f>IF(OR($B1951="",$K1951=""),"",($K1951-IF($L1951="",0,$L1951)*IFERROR(VLOOKUP("P01",ParamTbl,3,0),1.5))*(1-IF(IFERROR(VLOOKUP($E1951,OpTbl,3,0),"")="خرید",IFERROR(VLOOKUP("P02",ParamTbl,3,0),1),0)/100))</f>
        <v/>
      </c>
      <c r="N1951" s="14" t="n"/>
      <c r="O1951" s="13" t="n"/>
    </row>
    <row r="1952">
      <c r="A1952" s="11">
        <f>IF($B1952="","",COUNTA($B$9:$B1952))</f>
        <v/>
      </c>
      <c r="B1952" s="12" t="n"/>
      <c r="C1952" s="12" t="n"/>
      <c r="D1952" s="12" t="n"/>
      <c r="E1952" s="13" t="n"/>
      <c r="F1952" s="11">
        <f>IF($E1952="","",IFERROR(VLOOKUP($E1952,OpTbl,2,0),""))</f>
        <v/>
      </c>
      <c r="G1952" s="12" t="n"/>
      <c r="H1952" s="11">
        <f>IF($G1952="","",IFERROR(IF(VLOOKUP($G1952,AcctTbl,4,0)="","(بدون نام)",VLOOKUP($G1952,AcctTbl,4,0)),"کد ناشناخته"))</f>
        <v/>
      </c>
      <c r="I1952" s="13" t="n"/>
      <c r="J1952" s="13" t="n"/>
      <c r="K1952" s="14" t="n"/>
      <c r="L1952" s="14" t="n"/>
      <c r="M1952" s="15">
        <f>IF(OR($B1952="",$K1952=""),"",($K1952-IF($L1952="",0,$L1952)*IFERROR(VLOOKUP("P01",ParamTbl,3,0),1.5))*(1-IF(IFERROR(VLOOKUP($E1952,OpTbl,3,0),"")="خرید",IFERROR(VLOOKUP("P02",ParamTbl,3,0),1),0)/100))</f>
        <v/>
      </c>
      <c r="N1952" s="14" t="n"/>
      <c r="O1952" s="13" t="n"/>
    </row>
    <row r="1953">
      <c r="A1953" s="11">
        <f>IF($B1953="","",COUNTA($B$9:$B1953))</f>
        <v/>
      </c>
      <c r="B1953" s="12" t="n"/>
      <c r="C1953" s="12" t="n"/>
      <c r="D1953" s="12" t="n"/>
      <c r="E1953" s="13" t="n"/>
      <c r="F1953" s="11">
        <f>IF($E1953="","",IFERROR(VLOOKUP($E1953,OpTbl,2,0),""))</f>
        <v/>
      </c>
      <c r="G1953" s="12" t="n"/>
      <c r="H1953" s="11">
        <f>IF($G1953="","",IFERROR(IF(VLOOKUP($G1953,AcctTbl,4,0)="","(بدون نام)",VLOOKUP($G1953,AcctTbl,4,0)),"کد ناشناخته"))</f>
        <v/>
      </c>
      <c r="I1953" s="13" t="n"/>
      <c r="J1953" s="13" t="n"/>
      <c r="K1953" s="14" t="n"/>
      <c r="L1953" s="14" t="n"/>
      <c r="M1953" s="15">
        <f>IF(OR($B1953="",$K1953=""),"",($K1953-IF($L1953="",0,$L1953)*IFERROR(VLOOKUP("P01",ParamTbl,3,0),1.5))*(1-IF(IFERROR(VLOOKUP($E1953,OpTbl,3,0),"")="خرید",IFERROR(VLOOKUP("P02",ParamTbl,3,0),1),0)/100))</f>
        <v/>
      </c>
      <c r="N1953" s="14" t="n"/>
      <c r="O1953" s="13" t="n"/>
    </row>
    <row r="1954">
      <c r="A1954" s="11">
        <f>IF($B1954="","",COUNTA($B$9:$B1954))</f>
        <v/>
      </c>
      <c r="B1954" s="12" t="n"/>
      <c r="C1954" s="12" t="n"/>
      <c r="D1954" s="12" t="n"/>
      <c r="E1954" s="13" t="n"/>
      <c r="F1954" s="11">
        <f>IF($E1954="","",IFERROR(VLOOKUP($E1954,OpTbl,2,0),""))</f>
        <v/>
      </c>
      <c r="G1954" s="12" t="n"/>
      <c r="H1954" s="11">
        <f>IF($G1954="","",IFERROR(IF(VLOOKUP($G1954,AcctTbl,4,0)="","(بدون نام)",VLOOKUP($G1954,AcctTbl,4,0)),"کد ناشناخته"))</f>
        <v/>
      </c>
      <c r="I1954" s="13" t="n"/>
      <c r="J1954" s="13" t="n"/>
      <c r="K1954" s="14" t="n"/>
      <c r="L1954" s="14" t="n"/>
      <c r="M1954" s="15">
        <f>IF(OR($B1954="",$K1954=""),"",($K1954-IF($L1954="",0,$L1954)*IFERROR(VLOOKUP("P01",ParamTbl,3,0),1.5))*(1-IF(IFERROR(VLOOKUP($E1954,OpTbl,3,0),"")="خرید",IFERROR(VLOOKUP("P02",ParamTbl,3,0),1),0)/100))</f>
        <v/>
      </c>
      <c r="N1954" s="14" t="n"/>
      <c r="O1954" s="13" t="n"/>
    </row>
    <row r="1955">
      <c r="A1955" s="11">
        <f>IF($B1955="","",COUNTA($B$9:$B1955))</f>
        <v/>
      </c>
      <c r="B1955" s="12" t="n"/>
      <c r="C1955" s="12" t="n"/>
      <c r="D1955" s="12" t="n"/>
      <c r="E1955" s="13" t="n"/>
      <c r="F1955" s="11">
        <f>IF($E1955="","",IFERROR(VLOOKUP($E1955,OpTbl,2,0),""))</f>
        <v/>
      </c>
      <c r="G1955" s="12" t="n"/>
      <c r="H1955" s="11">
        <f>IF($G1955="","",IFERROR(IF(VLOOKUP($G1955,AcctTbl,4,0)="","(بدون نام)",VLOOKUP($G1955,AcctTbl,4,0)),"کد ناشناخته"))</f>
        <v/>
      </c>
      <c r="I1955" s="13" t="n"/>
      <c r="J1955" s="13" t="n"/>
      <c r="K1955" s="14" t="n"/>
      <c r="L1955" s="14" t="n"/>
      <c r="M1955" s="15">
        <f>IF(OR($B1955="",$K1955=""),"",($K1955-IF($L1955="",0,$L1955)*IFERROR(VLOOKUP("P01",ParamTbl,3,0),1.5))*(1-IF(IFERROR(VLOOKUP($E1955,OpTbl,3,0),"")="خرید",IFERROR(VLOOKUP("P02",ParamTbl,3,0),1),0)/100))</f>
        <v/>
      </c>
      <c r="N1955" s="14" t="n"/>
      <c r="O1955" s="13" t="n"/>
    </row>
    <row r="1956">
      <c r="A1956" s="11">
        <f>IF($B1956="","",COUNTA($B$9:$B1956))</f>
        <v/>
      </c>
      <c r="B1956" s="12" t="n"/>
      <c r="C1956" s="12" t="n"/>
      <c r="D1956" s="12" t="n"/>
      <c r="E1956" s="13" t="n"/>
      <c r="F1956" s="11">
        <f>IF($E1956="","",IFERROR(VLOOKUP($E1956,OpTbl,2,0),""))</f>
        <v/>
      </c>
      <c r="G1956" s="12" t="n"/>
      <c r="H1956" s="11">
        <f>IF($G1956="","",IFERROR(IF(VLOOKUP($G1956,AcctTbl,4,0)="","(بدون نام)",VLOOKUP($G1956,AcctTbl,4,0)),"کد ناشناخته"))</f>
        <v/>
      </c>
      <c r="I1956" s="13" t="n"/>
      <c r="J1956" s="13" t="n"/>
      <c r="K1956" s="14" t="n"/>
      <c r="L1956" s="14" t="n"/>
      <c r="M1956" s="15">
        <f>IF(OR($B1956="",$K1956=""),"",($K1956-IF($L1956="",0,$L1956)*IFERROR(VLOOKUP("P01",ParamTbl,3,0),1.5))*(1-IF(IFERROR(VLOOKUP($E1956,OpTbl,3,0),"")="خرید",IFERROR(VLOOKUP("P02",ParamTbl,3,0),1),0)/100))</f>
        <v/>
      </c>
      <c r="N1956" s="14" t="n"/>
      <c r="O1956" s="13" t="n"/>
    </row>
    <row r="1957">
      <c r="A1957" s="11">
        <f>IF($B1957="","",COUNTA($B$9:$B1957))</f>
        <v/>
      </c>
      <c r="B1957" s="12" t="n"/>
      <c r="C1957" s="12" t="n"/>
      <c r="D1957" s="12" t="n"/>
      <c r="E1957" s="13" t="n"/>
      <c r="F1957" s="11">
        <f>IF($E1957="","",IFERROR(VLOOKUP($E1957,OpTbl,2,0),""))</f>
        <v/>
      </c>
      <c r="G1957" s="12" t="n"/>
      <c r="H1957" s="11">
        <f>IF($G1957="","",IFERROR(IF(VLOOKUP($G1957,AcctTbl,4,0)="","(بدون نام)",VLOOKUP($G1957,AcctTbl,4,0)),"کد ناشناخته"))</f>
        <v/>
      </c>
      <c r="I1957" s="13" t="n"/>
      <c r="J1957" s="13" t="n"/>
      <c r="K1957" s="14" t="n"/>
      <c r="L1957" s="14" t="n"/>
      <c r="M1957" s="15">
        <f>IF(OR($B1957="",$K1957=""),"",($K1957-IF($L1957="",0,$L1957)*IFERROR(VLOOKUP("P01",ParamTbl,3,0),1.5))*(1-IF(IFERROR(VLOOKUP($E1957,OpTbl,3,0),"")="خرید",IFERROR(VLOOKUP("P02",ParamTbl,3,0),1),0)/100))</f>
        <v/>
      </c>
      <c r="N1957" s="14" t="n"/>
      <c r="O1957" s="13" t="n"/>
    </row>
    <row r="1958">
      <c r="A1958" s="11">
        <f>IF($B1958="","",COUNTA($B$9:$B1958))</f>
        <v/>
      </c>
      <c r="B1958" s="12" t="n"/>
      <c r="C1958" s="12" t="n"/>
      <c r="D1958" s="12" t="n"/>
      <c r="E1958" s="13" t="n"/>
      <c r="F1958" s="11">
        <f>IF($E1958="","",IFERROR(VLOOKUP($E1958,OpTbl,2,0),""))</f>
        <v/>
      </c>
      <c r="G1958" s="12" t="n"/>
      <c r="H1958" s="11">
        <f>IF($G1958="","",IFERROR(IF(VLOOKUP($G1958,AcctTbl,4,0)="","(بدون نام)",VLOOKUP($G1958,AcctTbl,4,0)),"کد ناشناخته"))</f>
        <v/>
      </c>
      <c r="I1958" s="13" t="n"/>
      <c r="J1958" s="13" t="n"/>
      <c r="K1958" s="14" t="n"/>
      <c r="L1958" s="14" t="n"/>
      <c r="M1958" s="15">
        <f>IF(OR($B1958="",$K1958=""),"",($K1958-IF($L1958="",0,$L1958)*IFERROR(VLOOKUP("P01",ParamTbl,3,0),1.5))*(1-IF(IFERROR(VLOOKUP($E1958,OpTbl,3,0),"")="خرید",IFERROR(VLOOKUP("P02",ParamTbl,3,0),1),0)/100))</f>
        <v/>
      </c>
      <c r="N1958" s="14" t="n"/>
      <c r="O1958" s="13" t="n"/>
    </row>
    <row r="1959">
      <c r="A1959" s="11">
        <f>IF($B1959="","",COUNTA($B$9:$B1959))</f>
        <v/>
      </c>
      <c r="B1959" s="12" t="n"/>
      <c r="C1959" s="12" t="n"/>
      <c r="D1959" s="12" t="n"/>
      <c r="E1959" s="13" t="n"/>
      <c r="F1959" s="11">
        <f>IF($E1959="","",IFERROR(VLOOKUP($E1959,OpTbl,2,0),""))</f>
        <v/>
      </c>
      <c r="G1959" s="12" t="n"/>
      <c r="H1959" s="11">
        <f>IF($G1959="","",IFERROR(IF(VLOOKUP($G1959,AcctTbl,4,0)="","(بدون نام)",VLOOKUP($G1959,AcctTbl,4,0)),"کد ناشناخته"))</f>
        <v/>
      </c>
      <c r="I1959" s="13" t="n"/>
      <c r="J1959" s="13" t="n"/>
      <c r="K1959" s="14" t="n"/>
      <c r="L1959" s="14" t="n"/>
      <c r="M1959" s="15">
        <f>IF(OR($B1959="",$K1959=""),"",($K1959-IF($L1959="",0,$L1959)*IFERROR(VLOOKUP("P01",ParamTbl,3,0),1.5))*(1-IF(IFERROR(VLOOKUP($E1959,OpTbl,3,0),"")="خرید",IFERROR(VLOOKUP("P02",ParamTbl,3,0),1),0)/100))</f>
        <v/>
      </c>
      <c r="N1959" s="14" t="n"/>
      <c r="O1959" s="13" t="n"/>
    </row>
    <row r="1960">
      <c r="A1960" s="11">
        <f>IF($B1960="","",COUNTA($B$9:$B1960))</f>
        <v/>
      </c>
      <c r="B1960" s="12" t="n"/>
      <c r="C1960" s="12" t="n"/>
      <c r="D1960" s="12" t="n"/>
      <c r="E1960" s="13" t="n"/>
      <c r="F1960" s="11">
        <f>IF($E1960="","",IFERROR(VLOOKUP($E1960,OpTbl,2,0),""))</f>
        <v/>
      </c>
      <c r="G1960" s="12" t="n"/>
      <c r="H1960" s="11">
        <f>IF($G1960="","",IFERROR(IF(VLOOKUP($G1960,AcctTbl,4,0)="","(بدون نام)",VLOOKUP($G1960,AcctTbl,4,0)),"کد ناشناخته"))</f>
        <v/>
      </c>
      <c r="I1960" s="13" t="n"/>
      <c r="J1960" s="13" t="n"/>
      <c r="K1960" s="14" t="n"/>
      <c r="L1960" s="14" t="n"/>
      <c r="M1960" s="15">
        <f>IF(OR($B1960="",$K1960=""),"",($K1960-IF($L1960="",0,$L1960)*IFERROR(VLOOKUP("P01",ParamTbl,3,0),1.5))*(1-IF(IFERROR(VLOOKUP($E1960,OpTbl,3,0),"")="خرید",IFERROR(VLOOKUP("P02",ParamTbl,3,0),1),0)/100))</f>
        <v/>
      </c>
      <c r="N1960" s="14" t="n"/>
      <c r="O1960" s="13" t="n"/>
    </row>
    <row r="1961">
      <c r="A1961" s="11">
        <f>IF($B1961="","",COUNTA($B$9:$B1961))</f>
        <v/>
      </c>
      <c r="B1961" s="12" t="n"/>
      <c r="C1961" s="12" t="n"/>
      <c r="D1961" s="12" t="n"/>
      <c r="E1961" s="13" t="n"/>
      <c r="F1961" s="11">
        <f>IF($E1961="","",IFERROR(VLOOKUP($E1961,OpTbl,2,0),""))</f>
        <v/>
      </c>
      <c r="G1961" s="12" t="n"/>
      <c r="H1961" s="11">
        <f>IF($G1961="","",IFERROR(IF(VLOOKUP($G1961,AcctTbl,4,0)="","(بدون نام)",VLOOKUP($G1961,AcctTbl,4,0)),"کد ناشناخته"))</f>
        <v/>
      </c>
      <c r="I1961" s="13" t="n"/>
      <c r="J1961" s="13" t="n"/>
      <c r="K1961" s="14" t="n"/>
      <c r="L1961" s="14" t="n"/>
      <c r="M1961" s="15">
        <f>IF(OR($B1961="",$K1961=""),"",($K1961-IF($L1961="",0,$L1961)*IFERROR(VLOOKUP("P01",ParamTbl,3,0),1.5))*(1-IF(IFERROR(VLOOKUP($E1961,OpTbl,3,0),"")="خرید",IFERROR(VLOOKUP("P02",ParamTbl,3,0),1),0)/100))</f>
        <v/>
      </c>
      <c r="N1961" s="14" t="n"/>
      <c r="O1961" s="13" t="n"/>
    </row>
    <row r="1962">
      <c r="A1962" s="11">
        <f>IF($B1962="","",COUNTA($B$9:$B1962))</f>
        <v/>
      </c>
      <c r="B1962" s="12" t="n"/>
      <c r="C1962" s="12" t="n"/>
      <c r="D1962" s="12" t="n"/>
      <c r="E1962" s="13" t="n"/>
      <c r="F1962" s="11">
        <f>IF($E1962="","",IFERROR(VLOOKUP($E1962,OpTbl,2,0),""))</f>
        <v/>
      </c>
      <c r="G1962" s="12" t="n"/>
      <c r="H1962" s="11">
        <f>IF($G1962="","",IFERROR(IF(VLOOKUP($G1962,AcctTbl,4,0)="","(بدون نام)",VLOOKUP($G1962,AcctTbl,4,0)),"کد ناشناخته"))</f>
        <v/>
      </c>
      <c r="I1962" s="13" t="n"/>
      <c r="J1962" s="13" t="n"/>
      <c r="K1962" s="14" t="n"/>
      <c r="L1962" s="14" t="n"/>
      <c r="M1962" s="15">
        <f>IF(OR($B1962="",$K1962=""),"",($K1962-IF($L1962="",0,$L1962)*IFERROR(VLOOKUP("P01",ParamTbl,3,0),1.5))*(1-IF(IFERROR(VLOOKUP($E1962,OpTbl,3,0),"")="خرید",IFERROR(VLOOKUP("P02",ParamTbl,3,0),1),0)/100))</f>
        <v/>
      </c>
      <c r="N1962" s="14" t="n"/>
      <c r="O1962" s="13" t="n"/>
    </row>
    <row r="1963">
      <c r="A1963" s="11">
        <f>IF($B1963="","",COUNTA($B$9:$B1963))</f>
        <v/>
      </c>
      <c r="B1963" s="12" t="n"/>
      <c r="C1963" s="12" t="n"/>
      <c r="D1963" s="12" t="n"/>
      <c r="E1963" s="13" t="n"/>
      <c r="F1963" s="11">
        <f>IF($E1963="","",IFERROR(VLOOKUP($E1963,OpTbl,2,0),""))</f>
        <v/>
      </c>
      <c r="G1963" s="12" t="n"/>
      <c r="H1963" s="11">
        <f>IF($G1963="","",IFERROR(IF(VLOOKUP($G1963,AcctTbl,4,0)="","(بدون نام)",VLOOKUP($G1963,AcctTbl,4,0)),"کد ناشناخته"))</f>
        <v/>
      </c>
      <c r="I1963" s="13" t="n"/>
      <c r="J1963" s="13" t="n"/>
      <c r="K1963" s="14" t="n"/>
      <c r="L1963" s="14" t="n"/>
      <c r="M1963" s="15">
        <f>IF(OR($B1963="",$K1963=""),"",($K1963-IF($L1963="",0,$L1963)*IFERROR(VLOOKUP("P01",ParamTbl,3,0),1.5))*(1-IF(IFERROR(VLOOKUP($E1963,OpTbl,3,0),"")="خرید",IFERROR(VLOOKUP("P02",ParamTbl,3,0),1),0)/100))</f>
        <v/>
      </c>
      <c r="N1963" s="14" t="n"/>
      <c r="O1963" s="13" t="n"/>
    </row>
    <row r="1964">
      <c r="A1964" s="11">
        <f>IF($B1964="","",COUNTA($B$9:$B1964))</f>
        <v/>
      </c>
      <c r="B1964" s="12" t="n"/>
      <c r="C1964" s="12" t="n"/>
      <c r="D1964" s="12" t="n"/>
      <c r="E1964" s="13" t="n"/>
      <c r="F1964" s="11">
        <f>IF($E1964="","",IFERROR(VLOOKUP($E1964,OpTbl,2,0),""))</f>
        <v/>
      </c>
      <c r="G1964" s="12" t="n"/>
      <c r="H1964" s="11">
        <f>IF($G1964="","",IFERROR(IF(VLOOKUP($G1964,AcctTbl,4,0)="","(بدون نام)",VLOOKUP($G1964,AcctTbl,4,0)),"کد ناشناخته"))</f>
        <v/>
      </c>
      <c r="I1964" s="13" t="n"/>
      <c r="J1964" s="13" t="n"/>
      <c r="K1964" s="14" t="n"/>
      <c r="L1964" s="14" t="n"/>
      <c r="M1964" s="15">
        <f>IF(OR($B1964="",$K1964=""),"",($K1964-IF($L1964="",0,$L1964)*IFERROR(VLOOKUP("P01",ParamTbl,3,0),1.5))*(1-IF(IFERROR(VLOOKUP($E1964,OpTbl,3,0),"")="خرید",IFERROR(VLOOKUP("P02",ParamTbl,3,0),1),0)/100))</f>
        <v/>
      </c>
      <c r="N1964" s="14" t="n"/>
      <c r="O1964" s="13" t="n"/>
    </row>
    <row r="1965">
      <c r="A1965" s="11">
        <f>IF($B1965="","",COUNTA($B$9:$B1965))</f>
        <v/>
      </c>
      <c r="B1965" s="12" t="n"/>
      <c r="C1965" s="12" t="n"/>
      <c r="D1965" s="12" t="n"/>
      <c r="E1965" s="13" t="n"/>
      <c r="F1965" s="11">
        <f>IF($E1965="","",IFERROR(VLOOKUP($E1965,OpTbl,2,0),""))</f>
        <v/>
      </c>
      <c r="G1965" s="12" t="n"/>
      <c r="H1965" s="11">
        <f>IF($G1965="","",IFERROR(IF(VLOOKUP($G1965,AcctTbl,4,0)="","(بدون نام)",VLOOKUP($G1965,AcctTbl,4,0)),"کد ناشناخته"))</f>
        <v/>
      </c>
      <c r="I1965" s="13" t="n"/>
      <c r="J1965" s="13" t="n"/>
      <c r="K1965" s="14" t="n"/>
      <c r="L1965" s="14" t="n"/>
      <c r="M1965" s="15">
        <f>IF(OR($B1965="",$K1965=""),"",($K1965-IF($L1965="",0,$L1965)*IFERROR(VLOOKUP("P01",ParamTbl,3,0),1.5))*(1-IF(IFERROR(VLOOKUP($E1965,OpTbl,3,0),"")="خرید",IFERROR(VLOOKUP("P02",ParamTbl,3,0),1),0)/100))</f>
        <v/>
      </c>
      <c r="N1965" s="14" t="n"/>
      <c r="O1965" s="13" t="n"/>
    </row>
    <row r="1966">
      <c r="A1966" s="11">
        <f>IF($B1966="","",COUNTA($B$9:$B1966))</f>
        <v/>
      </c>
      <c r="B1966" s="12" t="n"/>
      <c r="C1966" s="12" t="n"/>
      <c r="D1966" s="12" t="n"/>
      <c r="E1966" s="13" t="n"/>
      <c r="F1966" s="11">
        <f>IF($E1966="","",IFERROR(VLOOKUP($E1966,OpTbl,2,0),""))</f>
        <v/>
      </c>
      <c r="G1966" s="12" t="n"/>
      <c r="H1966" s="11">
        <f>IF($G1966="","",IFERROR(IF(VLOOKUP($G1966,AcctTbl,4,0)="","(بدون نام)",VLOOKUP($G1966,AcctTbl,4,0)),"کد ناشناخته"))</f>
        <v/>
      </c>
      <c r="I1966" s="13" t="n"/>
      <c r="J1966" s="13" t="n"/>
      <c r="K1966" s="14" t="n"/>
      <c r="L1966" s="14" t="n"/>
      <c r="M1966" s="15">
        <f>IF(OR($B1966="",$K1966=""),"",($K1966-IF($L1966="",0,$L1966)*IFERROR(VLOOKUP("P01",ParamTbl,3,0),1.5))*(1-IF(IFERROR(VLOOKUP($E1966,OpTbl,3,0),"")="خرید",IFERROR(VLOOKUP("P02",ParamTbl,3,0),1),0)/100))</f>
        <v/>
      </c>
      <c r="N1966" s="14" t="n"/>
      <c r="O1966" s="13" t="n"/>
    </row>
    <row r="1967">
      <c r="A1967" s="11">
        <f>IF($B1967="","",COUNTA($B$9:$B1967))</f>
        <v/>
      </c>
      <c r="B1967" s="12" t="n"/>
      <c r="C1967" s="12" t="n"/>
      <c r="D1967" s="12" t="n"/>
      <c r="E1967" s="13" t="n"/>
      <c r="F1967" s="11">
        <f>IF($E1967="","",IFERROR(VLOOKUP($E1967,OpTbl,2,0),""))</f>
        <v/>
      </c>
      <c r="G1967" s="12" t="n"/>
      <c r="H1967" s="11">
        <f>IF($G1967="","",IFERROR(IF(VLOOKUP($G1967,AcctTbl,4,0)="","(بدون نام)",VLOOKUP($G1967,AcctTbl,4,0)),"کد ناشناخته"))</f>
        <v/>
      </c>
      <c r="I1967" s="13" t="n"/>
      <c r="J1967" s="13" t="n"/>
      <c r="K1967" s="14" t="n"/>
      <c r="L1967" s="14" t="n"/>
      <c r="M1967" s="15">
        <f>IF(OR($B1967="",$K1967=""),"",($K1967-IF($L1967="",0,$L1967)*IFERROR(VLOOKUP("P01",ParamTbl,3,0),1.5))*(1-IF(IFERROR(VLOOKUP($E1967,OpTbl,3,0),"")="خرید",IFERROR(VLOOKUP("P02",ParamTbl,3,0),1),0)/100))</f>
        <v/>
      </c>
      <c r="N1967" s="14" t="n"/>
      <c r="O1967" s="13" t="n"/>
    </row>
    <row r="1968">
      <c r="A1968" s="11">
        <f>IF($B1968="","",COUNTA($B$9:$B1968))</f>
        <v/>
      </c>
      <c r="B1968" s="12" t="n"/>
      <c r="C1968" s="12" t="n"/>
      <c r="D1968" s="12" t="n"/>
      <c r="E1968" s="13" t="n"/>
      <c r="F1968" s="11">
        <f>IF($E1968="","",IFERROR(VLOOKUP($E1968,OpTbl,2,0),""))</f>
        <v/>
      </c>
      <c r="G1968" s="12" t="n"/>
      <c r="H1968" s="11">
        <f>IF($G1968="","",IFERROR(IF(VLOOKUP($G1968,AcctTbl,4,0)="","(بدون نام)",VLOOKUP($G1968,AcctTbl,4,0)),"کد ناشناخته"))</f>
        <v/>
      </c>
      <c r="I1968" s="13" t="n"/>
      <c r="J1968" s="13" t="n"/>
      <c r="K1968" s="14" t="n"/>
      <c r="L1968" s="14" t="n"/>
      <c r="M1968" s="15">
        <f>IF(OR($B1968="",$K1968=""),"",($K1968-IF($L1968="",0,$L1968)*IFERROR(VLOOKUP("P01",ParamTbl,3,0),1.5))*(1-IF(IFERROR(VLOOKUP($E1968,OpTbl,3,0),"")="خرید",IFERROR(VLOOKUP("P02",ParamTbl,3,0),1),0)/100))</f>
        <v/>
      </c>
      <c r="N1968" s="14" t="n"/>
      <c r="O1968" s="13" t="n"/>
    </row>
    <row r="1969">
      <c r="A1969" s="11">
        <f>IF($B1969="","",COUNTA($B$9:$B1969))</f>
        <v/>
      </c>
      <c r="B1969" s="12" t="n"/>
      <c r="C1969" s="12" t="n"/>
      <c r="D1969" s="12" t="n"/>
      <c r="E1969" s="13" t="n"/>
      <c r="F1969" s="11">
        <f>IF($E1969="","",IFERROR(VLOOKUP($E1969,OpTbl,2,0),""))</f>
        <v/>
      </c>
      <c r="G1969" s="12" t="n"/>
      <c r="H1969" s="11">
        <f>IF($G1969="","",IFERROR(IF(VLOOKUP($G1969,AcctTbl,4,0)="","(بدون نام)",VLOOKUP($G1969,AcctTbl,4,0)),"کد ناشناخته"))</f>
        <v/>
      </c>
      <c r="I1969" s="13" t="n"/>
      <c r="J1969" s="13" t="n"/>
      <c r="K1969" s="14" t="n"/>
      <c r="L1969" s="14" t="n"/>
      <c r="M1969" s="15">
        <f>IF(OR($B1969="",$K1969=""),"",($K1969-IF($L1969="",0,$L1969)*IFERROR(VLOOKUP("P01",ParamTbl,3,0),1.5))*(1-IF(IFERROR(VLOOKUP($E1969,OpTbl,3,0),"")="خرید",IFERROR(VLOOKUP("P02",ParamTbl,3,0),1),0)/100))</f>
        <v/>
      </c>
      <c r="N1969" s="14" t="n"/>
      <c r="O1969" s="13" t="n"/>
    </row>
    <row r="1970">
      <c r="A1970" s="11">
        <f>IF($B1970="","",COUNTA($B$9:$B1970))</f>
        <v/>
      </c>
      <c r="B1970" s="12" t="n"/>
      <c r="C1970" s="12" t="n"/>
      <c r="D1970" s="12" t="n"/>
      <c r="E1970" s="13" t="n"/>
      <c r="F1970" s="11">
        <f>IF($E1970="","",IFERROR(VLOOKUP($E1970,OpTbl,2,0),""))</f>
        <v/>
      </c>
      <c r="G1970" s="12" t="n"/>
      <c r="H1970" s="11">
        <f>IF($G1970="","",IFERROR(IF(VLOOKUP($G1970,AcctTbl,4,0)="","(بدون نام)",VLOOKUP($G1970,AcctTbl,4,0)),"کد ناشناخته"))</f>
        <v/>
      </c>
      <c r="I1970" s="13" t="n"/>
      <c r="J1970" s="13" t="n"/>
      <c r="K1970" s="14" t="n"/>
      <c r="L1970" s="14" t="n"/>
      <c r="M1970" s="15">
        <f>IF(OR($B1970="",$K1970=""),"",($K1970-IF($L1970="",0,$L1970)*IFERROR(VLOOKUP("P01",ParamTbl,3,0),1.5))*(1-IF(IFERROR(VLOOKUP($E1970,OpTbl,3,0),"")="خرید",IFERROR(VLOOKUP("P02",ParamTbl,3,0),1),0)/100))</f>
        <v/>
      </c>
      <c r="N1970" s="14" t="n"/>
      <c r="O1970" s="13" t="n"/>
    </row>
    <row r="1971">
      <c r="A1971" s="11">
        <f>IF($B1971="","",COUNTA($B$9:$B1971))</f>
        <v/>
      </c>
      <c r="B1971" s="12" t="n"/>
      <c r="C1971" s="12" t="n"/>
      <c r="D1971" s="12" t="n"/>
      <c r="E1971" s="13" t="n"/>
      <c r="F1971" s="11">
        <f>IF($E1971="","",IFERROR(VLOOKUP($E1971,OpTbl,2,0),""))</f>
        <v/>
      </c>
      <c r="G1971" s="12" t="n"/>
      <c r="H1971" s="11">
        <f>IF($G1971="","",IFERROR(IF(VLOOKUP($G1971,AcctTbl,4,0)="","(بدون نام)",VLOOKUP($G1971,AcctTbl,4,0)),"کد ناشناخته"))</f>
        <v/>
      </c>
      <c r="I1971" s="13" t="n"/>
      <c r="J1971" s="13" t="n"/>
      <c r="K1971" s="14" t="n"/>
      <c r="L1971" s="14" t="n"/>
      <c r="M1971" s="15">
        <f>IF(OR($B1971="",$K1971=""),"",($K1971-IF($L1971="",0,$L1971)*IFERROR(VLOOKUP("P01",ParamTbl,3,0),1.5))*(1-IF(IFERROR(VLOOKUP($E1971,OpTbl,3,0),"")="خرید",IFERROR(VLOOKUP("P02",ParamTbl,3,0),1),0)/100))</f>
        <v/>
      </c>
      <c r="N1971" s="14" t="n"/>
      <c r="O1971" s="13" t="n"/>
    </row>
    <row r="1972">
      <c r="A1972" s="11">
        <f>IF($B1972="","",COUNTA($B$9:$B1972))</f>
        <v/>
      </c>
      <c r="B1972" s="12" t="n"/>
      <c r="C1972" s="12" t="n"/>
      <c r="D1972" s="12" t="n"/>
      <c r="E1972" s="13" t="n"/>
      <c r="F1972" s="11">
        <f>IF($E1972="","",IFERROR(VLOOKUP($E1972,OpTbl,2,0),""))</f>
        <v/>
      </c>
      <c r="G1972" s="12" t="n"/>
      <c r="H1972" s="11">
        <f>IF($G1972="","",IFERROR(IF(VLOOKUP($G1972,AcctTbl,4,0)="","(بدون نام)",VLOOKUP($G1972,AcctTbl,4,0)),"کد ناشناخته"))</f>
        <v/>
      </c>
      <c r="I1972" s="13" t="n"/>
      <c r="J1972" s="13" t="n"/>
      <c r="K1972" s="14" t="n"/>
      <c r="L1972" s="14" t="n"/>
      <c r="M1972" s="15">
        <f>IF(OR($B1972="",$K1972=""),"",($K1972-IF($L1972="",0,$L1972)*IFERROR(VLOOKUP("P01",ParamTbl,3,0),1.5))*(1-IF(IFERROR(VLOOKUP($E1972,OpTbl,3,0),"")="خرید",IFERROR(VLOOKUP("P02",ParamTbl,3,0),1),0)/100))</f>
        <v/>
      </c>
      <c r="N1972" s="14" t="n"/>
      <c r="O1972" s="13" t="n"/>
    </row>
    <row r="1973">
      <c r="A1973" s="11">
        <f>IF($B1973="","",COUNTA($B$9:$B1973))</f>
        <v/>
      </c>
      <c r="B1973" s="12" t="n"/>
      <c r="C1973" s="12" t="n"/>
      <c r="D1973" s="12" t="n"/>
      <c r="E1973" s="13" t="n"/>
      <c r="F1973" s="11">
        <f>IF($E1973="","",IFERROR(VLOOKUP($E1973,OpTbl,2,0),""))</f>
        <v/>
      </c>
      <c r="G1973" s="12" t="n"/>
      <c r="H1973" s="11">
        <f>IF($G1973="","",IFERROR(IF(VLOOKUP($G1973,AcctTbl,4,0)="","(بدون نام)",VLOOKUP($G1973,AcctTbl,4,0)),"کد ناشناخته"))</f>
        <v/>
      </c>
      <c r="I1973" s="13" t="n"/>
      <c r="J1973" s="13" t="n"/>
      <c r="K1973" s="14" t="n"/>
      <c r="L1973" s="14" t="n"/>
      <c r="M1973" s="15">
        <f>IF(OR($B1973="",$K1973=""),"",($K1973-IF($L1973="",0,$L1973)*IFERROR(VLOOKUP("P01",ParamTbl,3,0),1.5))*(1-IF(IFERROR(VLOOKUP($E1973,OpTbl,3,0),"")="خرید",IFERROR(VLOOKUP("P02",ParamTbl,3,0),1),0)/100))</f>
        <v/>
      </c>
      <c r="N1973" s="14" t="n"/>
      <c r="O1973" s="13" t="n"/>
    </row>
    <row r="1974">
      <c r="A1974" s="11">
        <f>IF($B1974="","",COUNTA($B$9:$B1974))</f>
        <v/>
      </c>
      <c r="B1974" s="12" t="n"/>
      <c r="C1974" s="12" t="n"/>
      <c r="D1974" s="12" t="n"/>
      <c r="E1974" s="13" t="n"/>
      <c r="F1974" s="11">
        <f>IF($E1974="","",IFERROR(VLOOKUP($E1974,OpTbl,2,0),""))</f>
        <v/>
      </c>
      <c r="G1974" s="12" t="n"/>
      <c r="H1974" s="11">
        <f>IF($G1974="","",IFERROR(IF(VLOOKUP($G1974,AcctTbl,4,0)="","(بدون نام)",VLOOKUP($G1974,AcctTbl,4,0)),"کد ناشناخته"))</f>
        <v/>
      </c>
      <c r="I1974" s="13" t="n"/>
      <c r="J1974" s="13" t="n"/>
      <c r="K1974" s="14" t="n"/>
      <c r="L1974" s="14" t="n"/>
      <c r="M1974" s="15">
        <f>IF(OR($B1974="",$K1974=""),"",($K1974-IF($L1974="",0,$L1974)*IFERROR(VLOOKUP("P01",ParamTbl,3,0),1.5))*(1-IF(IFERROR(VLOOKUP($E1974,OpTbl,3,0),"")="خرید",IFERROR(VLOOKUP("P02",ParamTbl,3,0),1),0)/100))</f>
        <v/>
      </c>
      <c r="N1974" s="14" t="n"/>
      <c r="O1974" s="13" t="n"/>
    </row>
    <row r="1975">
      <c r="A1975" s="11">
        <f>IF($B1975="","",COUNTA($B$9:$B1975))</f>
        <v/>
      </c>
      <c r="B1975" s="12" t="n"/>
      <c r="C1975" s="12" t="n"/>
      <c r="D1975" s="12" t="n"/>
      <c r="E1975" s="13" t="n"/>
      <c r="F1975" s="11">
        <f>IF($E1975="","",IFERROR(VLOOKUP($E1975,OpTbl,2,0),""))</f>
        <v/>
      </c>
      <c r="G1975" s="12" t="n"/>
      <c r="H1975" s="11">
        <f>IF($G1975="","",IFERROR(IF(VLOOKUP($G1975,AcctTbl,4,0)="","(بدون نام)",VLOOKUP($G1975,AcctTbl,4,0)),"کد ناشناخته"))</f>
        <v/>
      </c>
      <c r="I1975" s="13" t="n"/>
      <c r="J1975" s="13" t="n"/>
      <c r="K1975" s="14" t="n"/>
      <c r="L1975" s="14" t="n"/>
      <c r="M1975" s="15">
        <f>IF(OR($B1975="",$K1975=""),"",($K1975-IF($L1975="",0,$L1975)*IFERROR(VLOOKUP("P01",ParamTbl,3,0),1.5))*(1-IF(IFERROR(VLOOKUP($E1975,OpTbl,3,0),"")="خرید",IFERROR(VLOOKUP("P02",ParamTbl,3,0),1),0)/100))</f>
        <v/>
      </c>
      <c r="N1975" s="14" t="n"/>
      <c r="O1975" s="13" t="n"/>
    </row>
    <row r="1976">
      <c r="A1976" s="11">
        <f>IF($B1976="","",COUNTA($B$9:$B1976))</f>
        <v/>
      </c>
      <c r="B1976" s="12" t="n"/>
      <c r="C1976" s="12" t="n"/>
      <c r="D1976" s="12" t="n"/>
      <c r="E1976" s="13" t="n"/>
      <c r="F1976" s="11">
        <f>IF($E1976="","",IFERROR(VLOOKUP($E1976,OpTbl,2,0),""))</f>
        <v/>
      </c>
      <c r="G1976" s="12" t="n"/>
      <c r="H1976" s="11">
        <f>IF($G1976="","",IFERROR(IF(VLOOKUP($G1976,AcctTbl,4,0)="","(بدون نام)",VLOOKUP($G1976,AcctTbl,4,0)),"کد ناشناخته"))</f>
        <v/>
      </c>
      <c r="I1976" s="13" t="n"/>
      <c r="J1976" s="13" t="n"/>
      <c r="K1976" s="14" t="n"/>
      <c r="L1976" s="14" t="n"/>
      <c r="M1976" s="15">
        <f>IF(OR($B1976="",$K1976=""),"",($K1976-IF($L1976="",0,$L1976)*IFERROR(VLOOKUP("P01",ParamTbl,3,0),1.5))*(1-IF(IFERROR(VLOOKUP($E1976,OpTbl,3,0),"")="خرید",IFERROR(VLOOKUP("P02",ParamTbl,3,0),1),0)/100))</f>
        <v/>
      </c>
      <c r="N1976" s="14" t="n"/>
      <c r="O1976" s="13" t="n"/>
    </row>
    <row r="1977">
      <c r="A1977" s="11">
        <f>IF($B1977="","",COUNTA($B$9:$B1977))</f>
        <v/>
      </c>
      <c r="B1977" s="12" t="n"/>
      <c r="C1977" s="12" t="n"/>
      <c r="D1977" s="12" t="n"/>
      <c r="E1977" s="13" t="n"/>
      <c r="F1977" s="11">
        <f>IF($E1977="","",IFERROR(VLOOKUP($E1977,OpTbl,2,0),""))</f>
        <v/>
      </c>
      <c r="G1977" s="12" t="n"/>
      <c r="H1977" s="11">
        <f>IF($G1977="","",IFERROR(IF(VLOOKUP($G1977,AcctTbl,4,0)="","(بدون نام)",VLOOKUP($G1977,AcctTbl,4,0)),"کد ناشناخته"))</f>
        <v/>
      </c>
      <c r="I1977" s="13" t="n"/>
      <c r="J1977" s="13" t="n"/>
      <c r="K1977" s="14" t="n"/>
      <c r="L1977" s="14" t="n"/>
      <c r="M1977" s="15">
        <f>IF(OR($B1977="",$K1977=""),"",($K1977-IF($L1977="",0,$L1977)*IFERROR(VLOOKUP("P01",ParamTbl,3,0),1.5))*(1-IF(IFERROR(VLOOKUP($E1977,OpTbl,3,0),"")="خرید",IFERROR(VLOOKUP("P02",ParamTbl,3,0),1),0)/100))</f>
        <v/>
      </c>
      <c r="N1977" s="14" t="n"/>
      <c r="O1977" s="13" t="n"/>
    </row>
    <row r="1978">
      <c r="A1978" s="11">
        <f>IF($B1978="","",COUNTA($B$9:$B1978))</f>
        <v/>
      </c>
      <c r="B1978" s="12" t="n"/>
      <c r="C1978" s="12" t="n"/>
      <c r="D1978" s="12" t="n"/>
      <c r="E1978" s="13" t="n"/>
      <c r="F1978" s="11">
        <f>IF($E1978="","",IFERROR(VLOOKUP($E1978,OpTbl,2,0),""))</f>
        <v/>
      </c>
      <c r="G1978" s="12" t="n"/>
      <c r="H1978" s="11">
        <f>IF($G1978="","",IFERROR(IF(VLOOKUP($G1978,AcctTbl,4,0)="","(بدون نام)",VLOOKUP($G1978,AcctTbl,4,0)),"کد ناشناخته"))</f>
        <v/>
      </c>
      <c r="I1978" s="13" t="n"/>
      <c r="J1978" s="13" t="n"/>
      <c r="K1978" s="14" t="n"/>
      <c r="L1978" s="14" t="n"/>
      <c r="M1978" s="15">
        <f>IF(OR($B1978="",$K1978=""),"",($K1978-IF($L1978="",0,$L1978)*IFERROR(VLOOKUP("P01",ParamTbl,3,0),1.5))*(1-IF(IFERROR(VLOOKUP($E1978,OpTbl,3,0),"")="خرید",IFERROR(VLOOKUP("P02",ParamTbl,3,0),1),0)/100))</f>
        <v/>
      </c>
      <c r="N1978" s="14" t="n"/>
      <c r="O1978" s="13" t="n"/>
    </row>
    <row r="1979">
      <c r="A1979" s="11">
        <f>IF($B1979="","",COUNTA($B$9:$B1979))</f>
        <v/>
      </c>
      <c r="B1979" s="12" t="n"/>
      <c r="C1979" s="12" t="n"/>
      <c r="D1979" s="12" t="n"/>
      <c r="E1979" s="13" t="n"/>
      <c r="F1979" s="11">
        <f>IF($E1979="","",IFERROR(VLOOKUP($E1979,OpTbl,2,0),""))</f>
        <v/>
      </c>
      <c r="G1979" s="12" t="n"/>
      <c r="H1979" s="11">
        <f>IF($G1979="","",IFERROR(IF(VLOOKUP($G1979,AcctTbl,4,0)="","(بدون نام)",VLOOKUP($G1979,AcctTbl,4,0)),"کد ناشناخته"))</f>
        <v/>
      </c>
      <c r="I1979" s="13" t="n"/>
      <c r="J1979" s="13" t="n"/>
      <c r="K1979" s="14" t="n"/>
      <c r="L1979" s="14" t="n"/>
      <c r="M1979" s="15">
        <f>IF(OR($B1979="",$K1979=""),"",($K1979-IF($L1979="",0,$L1979)*IFERROR(VLOOKUP("P01",ParamTbl,3,0),1.5))*(1-IF(IFERROR(VLOOKUP($E1979,OpTbl,3,0),"")="خرید",IFERROR(VLOOKUP("P02",ParamTbl,3,0),1),0)/100))</f>
        <v/>
      </c>
      <c r="N1979" s="14" t="n"/>
      <c r="O1979" s="13" t="n"/>
    </row>
    <row r="1980">
      <c r="A1980" s="11">
        <f>IF($B1980="","",COUNTA($B$9:$B1980))</f>
        <v/>
      </c>
      <c r="B1980" s="12" t="n"/>
      <c r="C1980" s="12" t="n"/>
      <c r="D1980" s="12" t="n"/>
      <c r="E1980" s="13" t="n"/>
      <c r="F1980" s="11">
        <f>IF($E1980="","",IFERROR(VLOOKUP($E1980,OpTbl,2,0),""))</f>
        <v/>
      </c>
      <c r="G1980" s="12" t="n"/>
      <c r="H1980" s="11">
        <f>IF($G1980="","",IFERROR(IF(VLOOKUP($G1980,AcctTbl,4,0)="","(بدون نام)",VLOOKUP($G1980,AcctTbl,4,0)),"کد ناشناخته"))</f>
        <v/>
      </c>
      <c r="I1980" s="13" t="n"/>
      <c r="J1980" s="13" t="n"/>
      <c r="K1980" s="14" t="n"/>
      <c r="L1980" s="14" t="n"/>
      <c r="M1980" s="15">
        <f>IF(OR($B1980="",$K1980=""),"",($K1980-IF($L1980="",0,$L1980)*IFERROR(VLOOKUP("P01",ParamTbl,3,0),1.5))*(1-IF(IFERROR(VLOOKUP($E1980,OpTbl,3,0),"")="خرید",IFERROR(VLOOKUP("P02",ParamTbl,3,0),1),0)/100))</f>
        <v/>
      </c>
      <c r="N1980" s="14" t="n"/>
      <c r="O1980" s="13" t="n"/>
    </row>
    <row r="1981">
      <c r="A1981" s="11">
        <f>IF($B1981="","",COUNTA($B$9:$B1981))</f>
        <v/>
      </c>
      <c r="B1981" s="12" t="n"/>
      <c r="C1981" s="12" t="n"/>
      <c r="D1981" s="12" t="n"/>
      <c r="E1981" s="13" t="n"/>
      <c r="F1981" s="11">
        <f>IF($E1981="","",IFERROR(VLOOKUP($E1981,OpTbl,2,0),""))</f>
        <v/>
      </c>
      <c r="G1981" s="12" t="n"/>
      <c r="H1981" s="11">
        <f>IF($G1981="","",IFERROR(IF(VLOOKUP($G1981,AcctTbl,4,0)="","(بدون نام)",VLOOKUP($G1981,AcctTbl,4,0)),"کد ناشناخته"))</f>
        <v/>
      </c>
      <c r="I1981" s="13" t="n"/>
      <c r="J1981" s="13" t="n"/>
      <c r="K1981" s="14" t="n"/>
      <c r="L1981" s="14" t="n"/>
      <c r="M1981" s="15">
        <f>IF(OR($B1981="",$K1981=""),"",($K1981-IF($L1981="",0,$L1981)*IFERROR(VLOOKUP("P01",ParamTbl,3,0),1.5))*(1-IF(IFERROR(VLOOKUP($E1981,OpTbl,3,0),"")="خرید",IFERROR(VLOOKUP("P02",ParamTbl,3,0),1),0)/100))</f>
        <v/>
      </c>
      <c r="N1981" s="14" t="n"/>
      <c r="O1981" s="13" t="n"/>
    </row>
    <row r="1982">
      <c r="A1982" s="11">
        <f>IF($B1982="","",COUNTA($B$9:$B1982))</f>
        <v/>
      </c>
      <c r="B1982" s="12" t="n"/>
      <c r="C1982" s="12" t="n"/>
      <c r="D1982" s="12" t="n"/>
      <c r="E1982" s="13" t="n"/>
      <c r="F1982" s="11">
        <f>IF($E1982="","",IFERROR(VLOOKUP($E1982,OpTbl,2,0),""))</f>
        <v/>
      </c>
      <c r="G1982" s="12" t="n"/>
      <c r="H1982" s="11">
        <f>IF($G1982="","",IFERROR(IF(VLOOKUP($G1982,AcctTbl,4,0)="","(بدون نام)",VLOOKUP($G1982,AcctTbl,4,0)),"کد ناشناخته"))</f>
        <v/>
      </c>
      <c r="I1982" s="13" t="n"/>
      <c r="J1982" s="13" t="n"/>
      <c r="K1982" s="14" t="n"/>
      <c r="L1982" s="14" t="n"/>
      <c r="M1982" s="15">
        <f>IF(OR($B1982="",$K1982=""),"",($K1982-IF($L1982="",0,$L1982)*IFERROR(VLOOKUP("P01",ParamTbl,3,0),1.5))*(1-IF(IFERROR(VLOOKUP($E1982,OpTbl,3,0),"")="خرید",IFERROR(VLOOKUP("P02",ParamTbl,3,0),1),0)/100))</f>
        <v/>
      </c>
      <c r="N1982" s="14" t="n"/>
      <c r="O1982" s="13" t="n"/>
    </row>
    <row r="1983">
      <c r="A1983" s="11">
        <f>IF($B1983="","",COUNTA($B$9:$B1983))</f>
        <v/>
      </c>
      <c r="B1983" s="12" t="n"/>
      <c r="C1983" s="12" t="n"/>
      <c r="D1983" s="12" t="n"/>
      <c r="E1983" s="13" t="n"/>
      <c r="F1983" s="11">
        <f>IF($E1983="","",IFERROR(VLOOKUP($E1983,OpTbl,2,0),""))</f>
        <v/>
      </c>
      <c r="G1983" s="12" t="n"/>
      <c r="H1983" s="11">
        <f>IF($G1983="","",IFERROR(IF(VLOOKUP($G1983,AcctTbl,4,0)="","(بدون نام)",VLOOKUP($G1983,AcctTbl,4,0)),"کد ناشناخته"))</f>
        <v/>
      </c>
      <c r="I1983" s="13" t="n"/>
      <c r="J1983" s="13" t="n"/>
      <c r="K1983" s="14" t="n"/>
      <c r="L1983" s="14" t="n"/>
      <c r="M1983" s="15">
        <f>IF(OR($B1983="",$K1983=""),"",($K1983-IF($L1983="",0,$L1983)*IFERROR(VLOOKUP("P01",ParamTbl,3,0),1.5))*(1-IF(IFERROR(VLOOKUP($E1983,OpTbl,3,0),"")="خرید",IFERROR(VLOOKUP("P02",ParamTbl,3,0),1),0)/100))</f>
        <v/>
      </c>
      <c r="N1983" s="14" t="n"/>
      <c r="O1983" s="13" t="n"/>
    </row>
    <row r="1984">
      <c r="A1984" s="11">
        <f>IF($B1984="","",COUNTA($B$9:$B1984))</f>
        <v/>
      </c>
      <c r="B1984" s="12" t="n"/>
      <c r="C1984" s="12" t="n"/>
      <c r="D1984" s="12" t="n"/>
      <c r="E1984" s="13" t="n"/>
      <c r="F1984" s="11">
        <f>IF($E1984="","",IFERROR(VLOOKUP($E1984,OpTbl,2,0),""))</f>
        <v/>
      </c>
      <c r="G1984" s="12" t="n"/>
      <c r="H1984" s="11">
        <f>IF($G1984="","",IFERROR(IF(VLOOKUP($G1984,AcctTbl,4,0)="","(بدون نام)",VLOOKUP($G1984,AcctTbl,4,0)),"کد ناشناخته"))</f>
        <v/>
      </c>
      <c r="I1984" s="13" t="n"/>
      <c r="J1984" s="13" t="n"/>
      <c r="K1984" s="14" t="n"/>
      <c r="L1984" s="14" t="n"/>
      <c r="M1984" s="15">
        <f>IF(OR($B1984="",$K1984=""),"",($K1984-IF($L1984="",0,$L1984)*IFERROR(VLOOKUP("P01",ParamTbl,3,0),1.5))*(1-IF(IFERROR(VLOOKUP($E1984,OpTbl,3,0),"")="خرید",IFERROR(VLOOKUP("P02",ParamTbl,3,0),1),0)/100))</f>
        <v/>
      </c>
      <c r="N1984" s="14" t="n"/>
      <c r="O1984" s="13" t="n"/>
    </row>
    <row r="1985">
      <c r="A1985" s="11">
        <f>IF($B1985="","",COUNTA($B$9:$B1985))</f>
        <v/>
      </c>
      <c r="B1985" s="12" t="n"/>
      <c r="C1985" s="12" t="n"/>
      <c r="D1985" s="12" t="n"/>
      <c r="E1985" s="13" t="n"/>
      <c r="F1985" s="11">
        <f>IF($E1985="","",IFERROR(VLOOKUP($E1985,OpTbl,2,0),""))</f>
        <v/>
      </c>
      <c r="G1985" s="12" t="n"/>
      <c r="H1985" s="11">
        <f>IF($G1985="","",IFERROR(IF(VLOOKUP($G1985,AcctTbl,4,0)="","(بدون نام)",VLOOKUP($G1985,AcctTbl,4,0)),"کد ناشناخته"))</f>
        <v/>
      </c>
      <c r="I1985" s="13" t="n"/>
      <c r="J1985" s="13" t="n"/>
      <c r="K1985" s="14" t="n"/>
      <c r="L1985" s="14" t="n"/>
      <c r="M1985" s="15">
        <f>IF(OR($B1985="",$K1985=""),"",($K1985-IF($L1985="",0,$L1985)*IFERROR(VLOOKUP("P01",ParamTbl,3,0),1.5))*(1-IF(IFERROR(VLOOKUP($E1985,OpTbl,3,0),"")="خرید",IFERROR(VLOOKUP("P02",ParamTbl,3,0),1),0)/100))</f>
        <v/>
      </c>
      <c r="N1985" s="14" t="n"/>
      <c r="O1985" s="13" t="n"/>
    </row>
    <row r="1986">
      <c r="A1986" s="11">
        <f>IF($B1986="","",COUNTA($B$9:$B1986))</f>
        <v/>
      </c>
      <c r="B1986" s="12" t="n"/>
      <c r="C1986" s="12" t="n"/>
      <c r="D1986" s="12" t="n"/>
      <c r="E1986" s="13" t="n"/>
      <c r="F1986" s="11">
        <f>IF($E1986="","",IFERROR(VLOOKUP($E1986,OpTbl,2,0),""))</f>
        <v/>
      </c>
      <c r="G1986" s="12" t="n"/>
      <c r="H1986" s="11">
        <f>IF($G1986="","",IFERROR(IF(VLOOKUP($G1986,AcctTbl,4,0)="","(بدون نام)",VLOOKUP($G1986,AcctTbl,4,0)),"کد ناشناخته"))</f>
        <v/>
      </c>
      <c r="I1986" s="13" t="n"/>
      <c r="J1986" s="13" t="n"/>
      <c r="K1986" s="14" t="n"/>
      <c r="L1986" s="14" t="n"/>
      <c r="M1986" s="15">
        <f>IF(OR($B1986="",$K1986=""),"",($K1986-IF($L1986="",0,$L1986)*IFERROR(VLOOKUP("P01",ParamTbl,3,0),1.5))*(1-IF(IFERROR(VLOOKUP($E1986,OpTbl,3,0),"")="خرید",IFERROR(VLOOKUP("P02",ParamTbl,3,0),1),0)/100))</f>
        <v/>
      </c>
      <c r="N1986" s="14" t="n"/>
      <c r="O1986" s="13" t="n"/>
    </row>
    <row r="1987">
      <c r="A1987" s="11">
        <f>IF($B1987="","",COUNTA($B$9:$B1987))</f>
        <v/>
      </c>
      <c r="B1987" s="12" t="n"/>
      <c r="C1987" s="12" t="n"/>
      <c r="D1987" s="12" t="n"/>
      <c r="E1987" s="13" t="n"/>
      <c r="F1987" s="11">
        <f>IF($E1987="","",IFERROR(VLOOKUP($E1987,OpTbl,2,0),""))</f>
        <v/>
      </c>
      <c r="G1987" s="12" t="n"/>
      <c r="H1987" s="11">
        <f>IF($G1987="","",IFERROR(IF(VLOOKUP($G1987,AcctTbl,4,0)="","(بدون نام)",VLOOKUP($G1987,AcctTbl,4,0)),"کد ناشناخته"))</f>
        <v/>
      </c>
      <c r="I1987" s="13" t="n"/>
      <c r="J1987" s="13" t="n"/>
      <c r="K1987" s="14" t="n"/>
      <c r="L1987" s="14" t="n"/>
      <c r="M1987" s="15">
        <f>IF(OR($B1987="",$K1987=""),"",($K1987-IF($L1987="",0,$L1987)*IFERROR(VLOOKUP("P01",ParamTbl,3,0),1.5))*(1-IF(IFERROR(VLOOKUP($E1987,OpTbl,3,0),"")="خرید",IFERROR(VLOOKUP("P02",ParamTbl,3,0),1),0)/100))</f>
        <v/>
      </c>
      <c r="N1987" s="14" t="n"/>
      <c r="O1987" s="13" t="n"/>
    </row>
    <row r="1988">
      <c r="A1988" s="11">
        <f>IF($B1988="","",COUNTA($B$9:$B1988))</f>
        <v/>
      </c>
      <c r="B1988" s="12" t="n"/>
      <c r="C1988" s="12" t="n"/>
      <c r="D1988" s="12" t="n"/>
      <c r="E1988" s="13" t="n"/>
      <c r="F1988" s="11">
        <f>IF($E1988="","",IFERROR(VLOOKUP($E1988,OpTbl,2,0),""))</f>
        <v/>
      </c>
      <c r="G1988" s="12" t="n"/>
      <c r="H1988" s="11">
        <f>IF($G1988="","",IFERROR(IF(VLOOKUP($G1988,AcctTbl,4,0)="","(بدون نام)",VLOOKUP($G1988,AcctTbl,4,0)),"کد ناشناخته"))</f>
        <v/>
      </c>
      <c r="I1988" s="13" t="n"/>
      <c r="J1988" s="13" t="n"/>
      <c r="K1988" s="14" t="n"/>
      <c r="L1988" s="14" t="n"/>
      <c r="M1988" s="15">
        <f>IF(OR($B1988="",$K1988=""),"",($K1988-IF($L1988="",0,$L1988)*IFERROR(VLOOKUP("P01",ParamTbl,3,0),1.5))*(1-IF(IFERROR(VLOOKUP($E1988,OpTbl,3,0),"")="خرید",IFERROR(VLOOKUP("P02",ParamTbl,3,0),1),0)/100))</f>
        <v/>
      </c>
      <c r="N1988" s="14" t="n"/>
      <c r="O1988" s="13" t="n"/>
    </row>
    <row r="1989">
      <c r="A1989" s="11">
        <f>IF($B1989="","",COUNTA($B$9:$B1989))</f>
        <v/>
      </c>
      <c r="B1989" s="12" t="n"/>
      <c r="C1989" s="12" t="n"/>
      <c r="D1989" s="12" t="n"/>
      <c r="E1989" s="13" t="n"/>
      <c r="F1989" s="11">
        <f>IF($E1989="","",IFERROR(VLOOKUP($E1989,OpTbl,2,0),""))</f>
        <v/>
      </c>
      <c r="G1989" s="12" t="n"/>
      <c r="H1989" s="11">
        <f>IF($G1989="","",IFERROR(IF(VLOOKUP($G1989,AcctTbl,4,0)="","(بدون نام)",VLOOKUP($G1989,AcctTbl,4,0)),"کد ناشناخته"))</f>
        <v/>
      </c>
      <c r="I1989" s="13" t="n"/>
      <c r="J1989" s="13" t="n"/>
      <c r="K1989" s="14" t="n"/>
      <c r="L1989" s="14" t="n"/>
      <c r="M1989" s="15">
        <f>IF(OR($B1989="",$K1989=""),"",($K1989-IF($L1989="",0,$L1989)*IFERROR(VLOOKUP("P01",ParamTbl,3,0),1.5))*(1-IF(IFERROR(VLOOKUP($E1989,OpTbl,3,0),"")="خرید",IFERROR(VLOOKUP("P02",ParamTbl,3,0),1),0)/100))</f>
        <v/>
      </c>
      <c r="N1989" s="14" t="n"/>
      <c r="O1989" s="13" t="n"/>
    </row>
    <row r="1990">
      <c r="A1990" s="11">
        <f>IF($B1990="","",COUNTA($B$9:$B1990))</f>
        <v/>
      </c>
      <c r="B1990" s="12" t="n"/>
      <c r="C1990" s="12" t="n"/>
      <c r="D1990" s="12" t="n"/>
      <c r="E1990" s="13" t="n"/>
      <c r="F1990" s="11">
        <f>IF($E1990="","",IFERROR(VLOOKUP($E1990,OpTbl,2,0),""))</f>
        <v/>
      </c>
      <c r="G1990" s="12" t="n"/>
      <c r="H1990" s="11">
        <f>IF($G1990="","",IFERROR(IF(VLOOKUP($G1990,AcctTbl,4,0)="","(بدون نام)",VLOOKUP($G1990,AcctTbl,4,0)),"کد ناشناخته"))</f>
        <v/>
      </c>
      <c r="I1990" s="13" t="n"/>
      <c r="J1990" s="13" t="n"/>
      <c r="K1990" s="14" t="n"/>
      <c r="L1990" s="14" t="n"/>
      <c r="M1990" s="15">
        <f>IF(OR($B1990="",$K1990=""),"",($K1990-IF($L1990="",0,$L1990)*IFERROR(VLOOKUP("P01",ParamTbl,3,0),1.5))*(1-IF(IFERROR(VLOOKUP($E1990,OpTbl,3,0),"")="خرید",IFERROR(VLOOKUP("P02",ParamTbl,3,0),1),0)/100))</f>
        <v/>
      </c>
      <c r="N1990" s="14" t="n"/>
      <c r="O1990" s="13" t="n"/>
    </row>
    <row r="1991">
      <c r="A1991" s="11">
        <f>IF($B1991="","",COUNTA($B$9:$B1991))</f>
        <v/>
      </c>
      <c r="B1991" s="12" t="n"/>
      <c r="C1991" s="12" t="n"/>
      <c r="D1991" s="12" t="n"/>
      <c r="E1991" s="13" t="n"/>
      <c r="F1991" s="11">
        <f>IF($E1991="","",IFERROR(VLOOKUP($E1991,OpTbl,2,0),""))</f>
        <v/>
      </c>
      <c r="G1991" s="12" t="n"/>
      <c r="H1991" s="11">
        <f>IF($G1991="","",IFERROR(IF(VLOOKUP($G1991,AcctTbl,4,0)="","(بدون نام)",VLOOKUP($G1991,AcctTbl,4,0)),"کد ناشناخته"))</f>
        <v/>
      </c>
      <c r="I1991" s="13" t="n"/>
      <c r="J1991" s="13" t="n"/>
      <c r="K1991" s="14" t="n"/>
      <c r="L1991" s="14" t="n"/>
      <c r="M1991" s="15">
        <f>IF(OR($B1991="",$K1991=""),"",($K1991-IF($L1991="",0,$L1991)*IFERROR(VLOOKUP("P01",ParamTbl,3,0),1.5))*(1-IF(IFERROR(VLOOKUP($E1991,OpTbl,3,0),"")="خرید",IFERROR(VLOOKUP("P02",ParamTbl,3,0),1),0)/100))</f>
        <v/>
      </c>
      <c r="N1991" s="14" t="n"/>
      <c r="O1991" s="13" t="n"/>
    </row>
    <row r="1992">
      <c r="A1992" s="11">
        <f>IF($B1992="","",COUNTA($B$9:$B1992))</f>
        <v/>
      </c>
      <c r="B1992" s="12" t="n"/>
      <c r="C1992" s="12" t="n"/>
      <c r="D1992" s="12" t="n"/>
      <c r="E1992" s="13" t="n"/>
      <c r="F1992" s="11">
        <f>IF($E1992="","",IFERROR(VLOOKUP($E1992,OpTbl,2,0),""))</f>
        <v/>
      </c>
      <c r="G1992" s="12" t="n"/>
      <c r="H1992" s="11">
        <f>IF($G1992="","",IFERROR(IF(VLOOKUP($G1992,AcctTbl,4,0)="","(بدون نام)",VLOOKUP($G1992,AcctTbl,4,0)),"کد ناشناخته"))</f>
        <v/>
      </c>
      <c r="I1992" s="13" t="n"/>
      <c r="J1992" s="13" t="n"/>
      <c r="K1992" s="14" t="n"/>
      <c r="L1992" s="14" t="n"/>
      <c r="M1992" s="15">
        <f>IF(OR($B1992="",$K1992=""),"",($K1992-IF($L1992="",0,$L1992)*IFERROR(VLOOKUP("P01",ParamTbl,3,0),1.5))*(1-IF(IFERROR(VLOOKUP($E1992,OpTbl,3,0),"")="خرید",IFERROR(VLOOKUP("P02",ParamTbl,3,0),1),0)/100))</f>
        <v/>
      </c>
      <c r="N1992" s="14" t="n"/>
      <c r="O1992" s="13" t="n"/>
    </row>
    <row r="1993">
      <c r="A1993" s="11">
        <f>IF($B1993="","",COUNTA($B$9:$B1993))</f>
        <v/>
      </c>
      <c r="B1993" s="12" t="n"/>
      <c r="C1993" s="12" t="n"/>
      <c r="D1993" s="12" t="n"/>
      <c r="E1993" s="13" t="n"/>
      <c r="F1993" s="11">
        <f>IF($E1993="","",IFERROR(VLOOKUP($E1993,OpTbl,2,0),""))</f>
        <v/>
      </c>
      <c r="G1993" s="12" t="n"/>
      <c r="H1993" s="11">
        <f>IF($G1993="","",IFERROR(IF(VLOOKUP($G1993,AcctTbl,4,0)="","(بدون نام)",VLOOKUP($G1993,AcctTbl,4,0)),"کد ناشناخته"))</f>
        <v/>
      </c>
      <c r="I1993" s="13" t="n"/>
      <c r="J1993" s="13" t="n"/>
      <c r="K1993" s="14" t="n"/>
      <c r="L1993" s="14" t="n"/>
      <c r="M1993" s="15">
        <f>IF(OR($B1993="",$K1993=""),"",($K1993-IF($L1993="",0,$L1993)*IFERROR(VLOOKUP("P01",ParamTbl,3,0),1.5))*(1-IF(IFERROR(VLOOKUP($E1993,OpTbl,3,0),"")="خرید",IFERROR(VLOOKUP("P02",ParamTbl,3,0),1),0)/100))</f>
        <v/>
      </c>
      <c r="N1993" s="14" t="n"/>
      <c r="O1993" s="13" t="n"/>
    </row>
    <row r="1994">
      <c r="A1994" s="11">
        <f>IF($B1994="","",COUNTA($B$9:$B1994))</f>
        <v/>
      </c>
      <c r="B1994" s="12" t="n"/>
      <c r="C1994" s="12" t="n"/>
      <c r="D1994" s="12" t="n"/>
      <c r="E1994" s="13" t="n"/>
      <c r="F1994" s="11">
        <f>IF($E1994="","",IFERROR(VLOOKUP($E1994,OpTbl,2,0),""))</f>
        <v/>
      </c>
      <c r="G1994" s="12" t="n"/>
      <c r="H1994" s="11">
        <f>IF($G1994="","",IFERROR(IF(VLOOKUP($G1994,AcctTbl,4,0)="","(بدون نام)",VLOOKUP($G1994,AcctTbl,4,0)),"کد ناشناخته"))</f>
        <v/>
      </c>
      <c r="I1994" s="13" t="n"/>
      <c r="J1994" s="13" t="n"/>
      <c r="K1994" s="14" t="n"/>
      <c r="L1994" s="14" t="n"/>
      <c r="M1994" s="15">
        <f>IF(OR($B1994="",$K1994=""),"",($K1994-IF($L1994="",0,$L1994)*IFERROR(VLOOKUP("P01",ParamTbl,3,0),1.5))*(1-IF(IFERROR(VLOOKUP($E1994,OpTbl,3,0),"")="خرید",IFERROR(VLOOKUP("P02",ParamTbl,3,0),1),0)/100))</f>
        <v/>
      </c>
      <c r="N1994" s="14" t="n"/>
      <c r="O1994" s="13" t="n"/>
    </row>
    <row r="1995">
      <c r="A1995" s="11">
        <f>IF($B1995="","",COUNTA($B$9:$B1995))</f>
        <v/>
      </c>
      <c r="B1995" s="12" t="n"/>
      <c r="C1995" s="12" t="n"/>
      <c r="D1995" s="12" t="n"/>
      <c r="E1995" s="13" t="n"/>
      <c r="F1995" s="11">
        <f>IF($E1995="","",IFERROR(VLOOKUP($E1995,OpTbl,2,0),""))</f>
        <v/>
      </c>
      <c r="G1995" s="12" t="n"/>
      <c r="H1995" s="11">
        <f>IF($G1995="","",IFERROR(IF(VLOOKUP($G1995,AcctTbl,4,0)="","(بدون نام)",VLOOKUP($G1995,AcctTbl,4,0)),"کد ناشناخته"))</f>
        <v/>
      </c>
      <c r="I1995" s="13" t="n"/>
      <c r="J1995" s="13" t="n"/>
      <c r="K1995" s="14" t="n"/>
      <c r="L1995" s="14" t="n"/>
      <c r="M1995" s="15">
        <f>IF(OR($B1995="",$K1995=""),"",($K1995-IF($L1995="",0,$L1995)*IFERROR(VLOOKUP("P01",ParamTbl,3,0),1.5))*(1-IF(IFERROR(VLOOKUP($E1995,OpTbl,3,0),"")="خرید",IFERROR(VLOOKUP("P02",ParamTbl,3,0),1),0)/100))</f>
        <v/>
      </c>
      <c r="N1995" s="14" t="n"/>
      <c r="O1995" s="13" t="n"/>
    </row>
    <row r="1996">
      <c r="A1996" s="11">
        <f>IF($B1996="","",COUNTA($B$9:$B1996))</f>
        <v/>
      </c>
      <c r="B1996" s="12" t="n"/>
      <c r="C1996" s="12" t="n"/>
      <c r="D1996" s="12" t="n"/>
      <c r="E1996" s="13" t="n"/>
      <c r="F1996" s="11">
        <f>IF($E1996="","",IFERROR(VLOOKUP($E1996,OpTbl,2,0),""))</f>
        <v/>
      </c>
      <c r="G1996" s="12" t="n"/>
      <c r="H1996" s="11">
        <f>IF($G1996="","",IFERROR(IF(VLOOKUP($G1996,AcctTbl,4,0)="","(بدون نام)",VLOOKUP($G1996,AcctTbl,4,0)),"کد ناشناخته"))</f>
        <v/>
      </c>
      <c r="I1996" s="13" t="n"/>
      <c r="J1996" s="13" t="n"/>
      <c r="K1996" s="14" t="n"/>
      <c r="L1996" s="14" t="n"/>
      <c r="M1996" s="15">
        <f>IF(OR($B1996="",$K1996=""),"",($K1996-IF($L1996="",0,$L1996)*IFERROR(VLOOKUP("P01",ParamTbl,3,0),1.5))*(1-IF(IFERROR(VLOOKUP($E1996,OpTbl,3,0),"")="خرید",IFERROR(VLOOKUP("P02",ParamTbl,3,0),1),0)/100))</f>
        <v/>
      </c>
      <c r="N1996" s="14" t="n"/>
      <c r="O1996" s="13" t="n"/>
    </row>
    <row r="1997">
      <c r="A1997" s="11">
        <f>IF($B1997="","",COUNTA($B$9:$B1997))</f>
        <v/>
      </c>
      <c r="B1997" s="12" t="n"/>
      <c r="C1997" s="12" t="n"/>
      <c r="D1997" s="12" t="n"/>
      <c r="E1997" s="13" t="n"/>
      <c r="F1997" s="11">
        <f>IF($E1997="","",IFERROR(VLOOKUP($E1997,OpTbl,2,0),""))</f>
        <v/>
      </c>
      <c r="G1997" s="12" t="n"/>
      <c r="H1997" s="11">
        <f>IF($G1997="","",IFERROR(IF(VLOOKUP($G1997,AcctTbl,4,0)="","(بدون نام)",VLOOKUP($G1997,AcctTbl,4,0)),"کد ناشناخته"))</f>
        <v/>
      </c>
      <c r="I1997" s="13" t="n"/>
      <c r="J1997" s="13" t="n"/>
      <c r="K1997" s="14" t="n"/>
      <c r="L1997" s="14" t="n"/>
      <c r="M1997" s="15">
        <f>IF(OR($B1997="",$K1997=""),"",($K1997-IF($L1997="",0,$L1997)*IFERROR(VLOOKUP("P01",ParamTbl,3,0),1.5))*(1-IF(IFERROR(VLOOKUP($E1997,OpTbl,3,0),"")="خرید",IFERROR(VLOOKUP("P02",ParamTbl,3,0),1),0)/100))</f>
        <v/>
      </c>
      <c r="N1997" s="14" t="n"/>
      <c r="O1997" s="13" t="n"/>
    </row>
    <row r="1998">
      <c r="A1998" s="11">
        <f>IF($B1998="","",COUNTA($B$9:$B1998))</f>
        <v/>
      </c>
      <c r="B1998" s="12" t="n"/>
      <c r="C1998" s="12" t="n"/>
      <c r="D1998" s="12" t="n"/>
      <c r="E1998" s="13" t="n"/>
      <c r="F1998" s="11">
        <f>IF($E1998="","",IFERROR(VLOOKUP($E1998,OpTbl,2,0),""))</f>
        <v/>
      </c>
      <c r="G1998" s="12" t="n"/>
      <c r="H1998" s="11">
        <f>IF($G1998="","",IFERROR(IF(VLOOKUP($G1998,AcctTbl,4,0)="","(بدون نام)",VLOOKUP($G1998,AcctTbl,4,0)),"کد ناشناخته"))</f>
        <v/>
      </c>
      <c r="I1998" s="13" t="n"/>
      <c r="J1998" s="13" t="n"/>
      <c r="K1998" s="14" t="n"/>
      <c r="L1998" s="14" t="n"/>
      <c r="M1998" s="15">
        <f>IF(OR($B1998="",$K1998=""),"",($K1998-IF($L1998="",0,$L1998)*IFERROR(VLOOKUP("P01",ParamTbl,3,0),1.5))*(1-IF(IFERROR(VLOOKUP($E1998,OpTbl,3,0),"")="خرید",IFERROR(VLOOKUP("P02",ParamTbl,3,0),1),0)/100))</f>
        <v/>
      </c>
      <c r="N1998" s="14" t="n"/>
      <c r="O1998" s="13" t="n"/>
    </row>
    <row r="1999">
      <c r="A1999" s="11">
        <f>IF($B1999="","",COUNTA($B$9:$B1999))</f>
        <v/>
      </c>
      <c r="B1999" s="12" t="n"/>
      <c r="C1999" s="12" t="n"/>
      <c r="D1999" s="12" t="n"/>
      <c r="E1999" s="13" t="n"/>
      <c r="F1999" s="11">
        <f>IF($E1999="","",IFERROR(VLOOKUP($E1999,OpTbl,2,0),""))</f>
        <v/>
      </c>
      <c r="G1999" s="12" t="n"/>
      <c r="H1999" s="11">
        <f>IF($G1999="","",IFERROR(IF(VLOOKUP($G1999,AcctTbl,4,0)="","(بدون نام)",VLOOKUP($G1999,AcctTbl,4,0)),"کد ناشناخته"))</f>
        <v/>
      </c>
      <c r="I1999" s="13" t="n"/>
      <c r="J1999" s="13" t="n"/>
      <c r="K1999" s="14" t="n"/>
      <c r="L1999" s="14" t="n"/>
      <c r="M1999" s="15">
        <f>IF(OR($B1999="",$K1999=""),"",($K1999-IF($L1999="",0,$L1999)*IFERROR(VLOOKUP("P01",ParamTbl,3,0),1.5))*(1-IF(IFERROR(VLOOKUP($E1999,OpTbl,3,0),"")="خرید",IFERROR(VLOOKUP("P02",ParamTbl,3,0),1),0)/100))</f>
        <v/>
      </c>
      <c r="N1999" s="14" t="n"/>
      <c r="O1999" s="13" t="n"/>
    </row>
    <row r="2000">
      <c r="A2000" s="11">
        <f>IF($B2000="","",COUNTA($B$9:$B2000))</f>
        <v/>
      </c>
      <c r="B2000" s="12" t="n"/>
      <c r="C2000" s="12" t="n"/>
      <c r="D2000" s="12" t="n"/>
      <c r="E2000" s="13" t="n"/>
      <c r="F2000" s="11">
        <f>IF($E2000="","",IFERROR(VLOOKUP($E2000,OpTbl,2,0),""))</f>
        <v/>
      </c>
      <c r="G2000" s="12" t="n"/>
      <c r="H2000" s="11">
        <f>IF($G2000="","",IFERROR(IF(VLOOKUP($G2000,AcctTbl,4,0)="","(بدون نام)",VLOOKUP($G2000,AcctTbl,4,0)),"کد ناشناخته"))</f>
        <v/>
      </c>
      <c r="I2000" s="13" t="n"/>
      <c r="J2000" s="13" t="n"/>
      <c r="K2000" s="14" t="n"/>
      <c r="L2000" s="14" t="n"/>
      <c r="M2000" s="15">
        <f>IF(OR($B2000="",$K2000=""),"",($K2000-IF($L2000="",0,$L2000)*IFERROR(VLOOKUP("P01",ParamTbl,3,0),1.5))*(1-IF(IFERROR(VLOOKUP($E2000,OpTbl,3,0),"")="خرید",IFERROR(VLOOKUP("P02",ParamTbl,3,0),1),0)/100))</f>
        <v/>
      </c>
      <c r="N2000" s="14" t="n"/>
      <c r="O2000" s="13" t="n"/>
    </row>
    <row r="2001">
      <c r="A2001" s="11">
        <f>IF($B2001="","",COUNTA($B$9:$B2001))</f>
        <v/>
      </c>
      <c r="B2001" s="12" t="n"/>
      <c r="C2001" s="12" t="n"/>
      <c r="D2001" s="12" t="n"/>
      <c r="E2001" s="13" t="n"/>
      <c r="F2001" s="11">
        <f>IF($E2001="","",IFERROR(VLOOKUP($E2001,OpTbl,2,0),""))</f>
        <v/>
      </c>
      <c r="G2001" s="12" t="n"/>
      <c r="H2001" s="11">
        <f>IF($G2001="","",IFERROR(IF(VLOOKUP($G2001,AcctTbl,4,0)="","(بدون نام)",VLOOKUP($G2001,AcctTbl,4,0)),"کد ناشناخته"))</f>
        <v/>
      </c>
      <c r="I2001" s="13" t="n"/>
      <c r="J2001" s="13" t="n"/>
      <c r="K2001" s="14" t="n"/>
      <c r="L2001" s="14" t="n"/>
      <c r="M2001" s="15">
        <f>IF(OR($B2001="",$K2001=""),"",($K2001-IF($L2001="",0,$L2001)*IFERROR(VLOOKUP("P01",ParamTbl,3,0),1.5))*(1-IF(IFERROR(VLOOKUP($E2001,OpTbl,3,0),"")="خرید",IFERROR(VLOOKUP("P02",ParamTbl,3,0),1),0)/100))</f>
        <v/>
      </c>
      <c r="N2001" s="14" t="n"/>
      <c r="O2001" s="13" t="n"/>
    </row>
    <row r="2002">
      <c r="A2002" s="11">
        <f>IF($B2002="","",COUNTA($B$9:$B2002))</f>
        <v/>
      </c>
      <c r="B2002" s="12" t="n"/>
      <c r="C2002" s="12" t="n"/>
      <c r="D2002" s="12" t="n"/>
      <c r="E2002" s="13" t="n"/>
      <c r="F2002" s="11">
        <f>IF($E2002="","",IFERROR(VLOOKUP($E2002,OpTbl,2,0),""))</f>
        <v/>
      </c>
      <c r="G2002" s="12" t="n"/>
      <c r="H2002" s="11">
        <f>IF($G2002="","",IFERROR(IF(VLOOKUP($G2002,AcctTbl,4,0)="","(بدون نام)",VLOOKUP($G2002,AcctTbl,4,0)),"کد ناشناخته"))</f>
        <v/>
      </c>
      <c r="I2002" s="13" t="n"/>
      <c r="J2002" s="13" t="n"/>
      <c r="K2002" s="14" t="n"/>
      <c r="L2002" s="14" t="n"/>
      <c r="M2002" s="15">
        <f>IF(OR($B2002="",$K2002=""),"",($K2002-IF($L2002="",0,$L2002)*IFERROR(VLOOKUP("P01",ParamTbl,3,0),1.5))*(1-IF(IFERROR(VLOOKUP($E2002,OpTbl,3,0),"")="خرید",IFERROR(VLOOKUP("P02",ParamTbl,3,0),1),0)/100))</f>
        <v/>
      </c>
      <c r="N2002" s="14" t="n"/>
      <c r="O2002" s="13" t="n"/>
    </row>
    <row r="2003">
      <c r="A2003" s="11">
        <f>IF($B2003="","",COUNTA($B$9:$B2003))</f>
        <v/>
      </c>
      <c r="B2003" s="12" t="n"/>
      <c r="C2003" s="12" t="n"/>
      <c r="D2003" s="12" t="n"/>
      <c r="E2003" s="13" t="n"/>
      <c r="F2003" s="11">
        <f>IF($E2003="","",IFERROR(VLOOKUP($E2003,OpTbl,2,0),""))</f>
        <v/>
      </c>
      <c r="G2003" s="12" t="n"/>
      <c r="H2003" s="11">
        <f>IF($G2003="","",IFERROR(IF(VLOOKUP($G2003,AcctTbl,4,0)="","(بدون نام)",VLOOKUP($G2003,AcctTbl,4,0)),"کد ناشناخته"))</f>
        <v/>
      </c>
      <c r="I2003" s="13" t="n"/>
      <c r="J2003" s="13" t="n"/>
      <c r="K2003" s="14" t="n"/>
      <c r="L2003" s="14" t="n"/>
      <c r="M2003" s="15">
        <f>IF(OR($B2003="",$K2003=""),"",($K2003-IF($L2003="",0,$L2003)*IFERROR(VLOOKUP("P01",ParamTbl,3,0),1.5))*(1-IF(IFERROR(VLOOKUP($E2003,OpTbl,3,0),"")="خرید",IFERROR(VLOOKUP("P02",ParamTbl,3,0),1),0)/100))</f>
        <v/>
      </c>
      <c r="N2003" s="14" t="n"/>
      <c r="O2003" s="13" t="n"/>
    </row>
    <row r="2004">
      <c r="A2004" s="11">
        <f>IF($B2004="","",COUNTA($B$9:$B2004))</f>
        <v/>
      </c>
      <c r="B2004" s="12" t="n"/>
      <c r="C2004" s="12" t="n"/>
      <c r="D2004" s="12" t="n"/>
      <c r="E2004" s="13" t="n"/>
      <c r="F2004" s="11">
        <f>IF($E2004="","",IFERROR(VLOOKUP($E2004,OpTbl,2,0),""))</f>
        <v/>
      </c>
      <c r="G2004" s="12" t="n"/>
      <c r="H2004" s="11">
        <f>IF($G2004="","",IFERROR(IF(VLOOKUP($G2004,AcctTbl,4,0)="","(بدون نام)",VLOOKUP($G2004,AcctTbl,4,0)),"کد ناشناخته"))</f>
        <v/>
      </c>
      <c r="I2004" s="13" t="n"/>
      <c r="J2004" s="13" t="n"/>
      <c r="K2004" s="14" t="n"/>
      <c r="L2004" s="14" t="n"/>
      <c r="M2004" s="15">
        <f>IF(OR($B2004="",$K2004=""),"",($K2004-IF($L2004="",0,$L2004)*IFERROR(VLOOKUP("P01",ParamTbl,3,0),1.5))*(1-IF(IFERROR(VLOOKUP($E2004,OpTbl,3,0),"")="خرید",IFERROR(VLOOKUP("P02",ParamTbl,3,0),1),0)/100))</f>
        <v/>
      </c>
      <c r="N2004" s="14" t="n"/>
      <c r="O2004" s="13" t="n"/>
    </row>
    <row r="2005">
      <c r="A2005" s="11">
        <f>IF($B2005="","",COUNTA($B$9:$B2005))</f>
        <v/>
      </c>
      <c r="B2005" s="12" t="n"/>
      <c r="C2005" s="12" t="n"/>
      <c r="D2005" s="12" t="n"/>
      <c r="E2005" s="13" t="n"/>
      <c r="F2005" s="11">
        <f>IF($E2005="","",IFERROR(VLOOKUP($E2005,OpTbl,2,0),""))</f>
        <v/>
      </c>
      <c r="G2005" s="12" t="n"/>
      <c r="H2005" s="11">
        <f>IF($G2005="","",IFERROR(IF(VLOOKUP($G2005,AcctTbl,4,0)="","(بدون نام)",VLOOKUP($G2005,AcctTbl,4,0)),"کد ناشناخته"))</f>
        <v/>
      </c>
      <c r="I2005" s="13" t="n"/>
      <c r="J2005" s="13" t="n"/>
      <c r="K2005" s="14" t="n"/>
      <c r="L2005" s="14" t="n"/>
      <c r="M2005" s="15">
        <f>IF(OR($B2005="",$K2005=""),"",($K2005-IF($L2005="",0,$L2005)*IFERROR(VLOOKUP("P01",ParamTbl,3,0),1.5))*(1-IF(IFERROR(VLOOKUP($E2005,OpTbl,3,0),"")="خرید",IFERROR(VLOOKUP("P02",ParamTbl,3,0),1),0)/100))</f>
        <v/>
      </c>
      <c r="N2005" s="14" t="n"/>
      <c r="O2005" s="13" t="n"/>
    </row>
    <row r="2006">
      <c r="A2006" s="11">
        <f>IF($B2006="","",COUNTA($B$9:$B2006))</f>
        <v/>
      </c>
      <c r="B2006" s="12" t="n"/>
      <c r="C2006" s="12" t="n"/>
      <c r="D2006" s="12" t="n"/>
      <c r="E2006" s="13" t="n"/>
      <c r="F2006" s="11">
        <f>IF($E2006="","",IFERROR(VLOOKUP($E2006,OpTbl,2,0),""))</f>
        <v/>
      </c>
      <c r="G2006" s="12" t="n"/>
      <c r="H2006" s="11">
        <f>IF($G2006="","",IFERROR(IF(VLOOKUP($G2006,AcctTbl,4,0)="","(بدون نام)",VLOOKUP($G2006,AcctTbl,4,0)),"کد ناشناخته"))</f>
        <v/>
      </c>
      <c r="I2006" s="13" t="n"/>
      <c r="J2006" s="13" t="n"/>
      <c r="K2006" s="14" t="n"/>
      <c r="L2006" s="14" t="n"/>
      <c r="M2006" s="15">
        <f>IF(OR($B2006="",$K2006=""),"",($K2006-IF($L2006="",0,$L2006)*IFERROR(VLOOKUP("P01",ParamTbl,3,0),1.5))*(1-IF(IFERROR(VLOOKUP($E2006,OpTbl,3,0),"")="خرید",IFERROR(VLOOKUP("P02",ParamTbl,3,0),1),0)/100))</f>
        <v/>
      </c>
      <c r="N2006" s="14" t="n"/>
      <c r="O2006" s="13" t="n"/>
    </row>
    <row r="2007">
      <c r="A2007" s="11">
        <f>IF($B2007="","",COUNTA($B$9:$B2007))</f>
        <v/>
      </c>
      <c r="B2007" s="12" t="n"/>
      <c r="C2007" s="12" t="n"/>
      <c r="D2007" s="12" t="n"/>
      <c r="E2007" s="13" t="n"/>
      <c r="F2007" s="11">
        <f>IF($E2007="","",IFERROR(VLOOKUP($E2007,OpTbl,2,0),""))</f>
        <v/>
      </c>
      <c r="G2007" s="12" t="n"/>
      <c r="H2007" s="11">
        <f>IF($G2007="","",IFERROR(IF(VLOOKUP($G2007,AcctTbl,4,0)="","(بدون نام)",VLOOKUP($G2007,AcctTbl,4,0)),"کد ناشناخته"))</f>
        <v/>
      </c>
      <c r="I2007" s="13" t="n"/>
      <c r="J2007" s="13" t="n"/>
      <c r="K2007" s="14" t="n"/>
      <c r="L2007" s="14" t="n"/>
      <c r="M2007" s="15">
        <f>IF(OR($B2007="",$K2007=""),"",($K2007-IF($L2007="",0,$L2007)*IFERROR(VLOOKUP("P01",ParamTbl,3,0),1.5))*(1-IF(IFERROR(VLOOKUP($E2007,OpTbl,3,0),"")="خرید",IFERROR(VLOOKUP("P02",ParamTbl,3,0),1),0)/100))</f>
        <v/>
      </c>
      <c r="N2007" s="14" t="n"/>
      <c r="O2007" s="13" t="n"/>
    </row>
    <row r="2008">
      <c r="A2008" s="11">
        <f>IF($B2008="","",COUNTA($B$9:$B2008))</f>
        <v/>
      </c>
      <c r="B2008" s="12" t="n"/>
      <c r="C2008" s="12" t="n"/>
      <c r="D2008" s="12" t="n"/>
      <c r="E2008" s="13" t="n"/>
      <c r="F2008" s="11">
        <f>IF($E2008="","",IFERROR(VLOOKUP($E2008,OpTbl,2,0),""))</f>
        <v/>
      </c>
      <c r="G2008" s="12" t="n"/>
      <c r="H2008" s="11">
        <f>IF($G2008="","",IFERROR(IF(VLOOKUP($G2008,AcctTbl,4,0)="","(بدون نام)",VLOOKUP($G2008,AcctTbl,4,0)),"کد ناشناخته"))</f>
        <v/>
      </c>
      <c r="I2008" s="13" t="n"/>
      <c r="J2008" s="13" t="n"/>
      <c r="K2008" s="14" t="n"/>
      <c r="L2008" s="14" t="n"/>
      <c r="M2008" s="15">
        <f>IF(OR($B2008="",$K2008=""),"",($K2008-IF($L2008="",0,$L2008)*IFERROR(VLOOKUP("P01",ParamTbl,3,0),1.5))*(1-IF(IFERROR(VLOOKUP($E2008,OpTbl,3,0),"")="خرید",IFERROR(VLOOKUP("P02",ParamTbl,3,0),1),0)/100))</f>
        <v/>
      </c>
      <c r="N2008" s="14" t="n"/>
      <c r="O2008" s="13" t="n"/>
    </row>
  </sheetData>
  <mergeCells count="14">
    <mergeCell ref="E6:F6"/>
    <mergeCell ref="C6:D6"/>
    <mergeCell ref="A2:O2"/>
    <mergeCell ref="I5:K5"/>
    <mergeCell ref="C5:D5"/>
    <mergeCell ref="A5:B5"/>
    <mergeCell ref="G5:H5"/>
    <mergeCell ref="A1:O1"/>
    <mergeCell ref="E5:F5"/>
    <mergeCell ref="G6:H6"/>
    <mergeCell ref="A4:O4"/>
    <mergeCell ref="A6:B6"/>
    <mergeCell ref="A3:O3"/>
    <mergeCell ref="I6:K6"/>
  </mergeCells>
  <conditionalFormatting sqref="F9:F2008">
    <cfRule type="cellIs" priority="1" operator="equal" dxfId="0">
      <formula>"ورود"</formula>
    </cfRule>
    <cfRule type="cellIs" priority="2" operator="equal" dxfId="1">
      <formula>"خروج"</formula>
    </cfRule>
  </conditionalFormatting>
  <conditionalFormatting sqref="M9:M2008">
    <cfRule type="cellIs" priority="3" operator="lessThan" dxfId="2">
      <formula>0</formula>
    </cfRule>
  </conditionalFormatting>
  <conditionalFormatting sqref="H9:H2008">
    <cfRule type="cellIs" priority="4" operator="equal" dxfId="2">
      <formula>"کد ناشناخته"</formula>
    </cfRule>
  </conditionalFormatting>
  <dataValidations count="9">
    <dataValidation sqref="B9:B2008" showDropDown="0" showInputMessage="0" showErrorMessage="0" allowBlank="1" errorTitle="قالب تاریخ" error="تاریخ شمسی با قالب 1405/07/10 یا 14050710 وارد کنید (ارقام لاتین)." type="custom" errorStyle="warning">
      <formula1>AND(LEN($B9)=10,MID($B9,5,1)="/",MID($B9,8,1)="/",ISNUMBER(VALUE(LEFT($B9,4))),ISNUMBER(VALUE(MID($B9,6,2))),ISNUMBER(VALUE(MID($B9,9,2))))</formula1>
    </dataValidation>
    <dataValidation sqref="C9:C2008" showDropDown="0" showInputMessage="0" showErrorMessage="0" allowBlank="1" errorTitle="قالب ساعت" error="ساعت را با قالب 24 ساعته 09:30 یا 9:30 وارد کنید." type="custom" errorStyle="warning">
      <formula1>OR(AND(ISNUMBER($C9),$C9&gt;=0,$C9&lt;1),AND(LEN($C9)=5,MID($C9,3,1)=":",ISNUMBER(VALUE(LEFT($C9,2))),ISNUMBER(VALUE(MID($C9,4,2)))))</formula1>
    </dataValidation>
    <dataValidation sqref="E9:E2008" showDropDown="0" showInputMessage="1" showErrorMessage="0" allowBlank="1" errorTitle="عملیات نامعتبر" error="عنوان عملیات از فایل مادر (INFO ← شیت Ops) انتخاب شود." promptTitle="نوع عملیات" prompt="جهت (ورود/خروج) و گروه اصلی از همین انتخاب خودکار می‌آیند." type="list">
      <formula1>ListOps</formula1>
    </dataValidation>
    <dataValidation sqref="G9:G2008" showDropDown="0" showInputMessage="1" showErrorMessage="0" allowBlank="1" errorTitle="کد حساب نامعتبر" error="این کد در فایل INFO (شیت Accounts — دفتر حساب‌ها) یافت نشد. کدها: C…، SL…، S…، E…، X…" promptTitle="کد حساب" prompt="کد را تایپ کنید؛ نام صاحب حساب خودکار می‌آید (منبع: INFO ← Accounts)." type="custom" errorStyle="stop">
      <formula1>OR($G9="",COUNTIF(AcctCodes,$G9)&gt;0)</formula1>
    </dataValidation>
    <dataValidation sqref="I9:I2008" showDropDown="0" showInputMessage="1" showErrorMessage="0" allowBlank="1" promptTitle="زیرگروه (اختیاری)" prompt="بر اساس گروه اصلی عملیات انتخابی — زیرگروه‌ها در INFO ← SubGroups قابل گسترش‌اند." type="list">
      <formula1>IFERROR(OFFSET($AD$6,0,MATCH(VLOOKUP($E9,OpTbl,3,0),$AD$5:$AW$5,0)-1,MAX(COUNTIF(OFFSET($AD$6,0,MATCH(VLOOKUP($E9,OpTbl,3,0),$AD$5:$AW$5,0)-1,100,1),"?*"),1),1),OFFSET($AD$6,0,0,1,1))</formula1>
    </dataValidation>
    <dataValidation sqref="J9:J2008" showDropDown="0" showInputMessage="1" showErrorMessage="0" allowBlank="1" promptTitle="نوع مرکبات" prompt="فهرست از INFO ← شیت Lists (دسته محصولات)." type="list">
      <formula1>ListCitrus</formula1>
    </dataValidation>
    <dataValidation sqref="K9:K2008" showDropDown="0" showInputMessage="0" showErrorMessage="0" allowBlank="1" errorTitle="وزن باسکول" error="وزن باسکول باید عددی مثبت (کیلوگرم) باشد." type="decimal" errorStyle="warning" operator="greaterThanOrEqual">
      <formula1>0</formula1>
    </dataValidation>
    <dataValidation sqref="L9:L2008" showDropDown="0" showInputMessage="0" showErrorMessage="0" allowBlank="1" errorTitle="تعداد سبد" error="تعداد سبد باید عدد صحیح مثبت باشد." type="whole" errorStyle="warning" operator="greaterThanOrEqual">
      <formula1>0</formula1>
    </dataValidation>
    <dataValidation sqref="N9:N2008" showDropDown="0" showInputMessage="0" showErrorMessage="0" allowBlank="1" errorTitle="مبلغ" error="مبلغ باید عددی مثبت (ریال) باشد." type="decimal" errorStyle="warning" operator="greaterThanOrEqual">
      <formula1>0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دفتر باسکول — ورود و خروج کالا&amp;R&amp;"Tahoma"&amp;8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90A4AE"/>
    <outlinePr summaryBelow="1" summaryRight="1"/>
    <pageSetUpPr/>
  </sheetPr>
  <dimension ref="A1:AV56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4" customWidth="1" min="4" max="4"/>
    <col width="9" customWidth="1" min="6" max="6"/>
    <col width="14" customWidth="1" min="7" max="7"/>
    <col width="20" customWidth="1" min="8" max="8"/>
    <col width="26" customWidth="1" min="9" max="9"/>
    <col width="16" customWidth="1" min="11" max="11"/>
    <col width="9" customWidth="1" min="13" max="13"/>
    <col width="24" customWidth="1" min="14" max="14"/>
    <col width="10" customWidth="1" min="15" max="15"/>
    <col width="30" customWidth="1" min="17" max="17"/>
    <col width="7" customWidth="1" min="19" max="19"/>
    <col width="24" customWidth="1" min="20" max="20"/>
    <col width="9" customWidth="1" min="22" max="22"/>
    <col width="14" customWidth="1" min="23" max="23"/>
    <col width="10" customWidth="1" min="25" max="25"/>
    <col width="14" customWidth="1" min="26" max="26"/>
    <col width="24" customWidth="1" min="27" max="27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16" t="inlineStr">
        <is>
          <t>برگه فنی — آینه‌ی فایل مادر (INFO) برای دفتر باسکول. فرمول‌ها را تغییر ندهید. اگر همه سلول‌ها خالی شدند یعنی لینک به‌روز نشده: Data ← Edit Links ← Update Values.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</row>
    <row r="5">
      <c r="A5" s="17" t="inlineStr">
        <is>
          <t>Ops · Code</t>
        </is>
      </c>
      <c r="B5" s="17" t="inlineStr">
        <is>
          <t>· Title</t>
        </is>
      </c>
      <c r="C5" s="17" t="inlineStr">
        <is>
          <t>· Direction</t>
        </is>
      </c>
      <c r="D5" s="17" t="inlineStr">
        <is>
          <t>· Group</t>
        </is>
      </c>
      <c r="F5" s="17" t="inlineStr">
        <is>
          <t>Accounts · Code</t>
        </is>
      </c>
      <c r="G5" s="17" t="inlineStr">
        <is>
          <t>· Nature</t>
        </is>
      </c>
      <c r="H5" s="17" t="inlineStr">
        <is>
          <t>· Subgroup</t>
        </is>
      </c>
      <c r="I5" s="17" t="inlineStr">
        <is>
          <t>· Name</t>
        </is>
      </c>
      <c r="K5" s="17" t="inlineStr">
        <is>
          <t>Lists · Citrus Types</t>
        </is>
      </c>
      <c r="M5" s="17" t="inlineStr">
        <is>
          <t>Params · Code</t>
        </is>
      </c>
      <c r="N5" s="17" t="inlineStr">
        <is>
          <t>· Name</t>
        </is>
      </c>
      <c r="O5" s="17" t="inlineStr">
        <is>
          <t>· Value</t>
        </is>
      </c>
      <c r="Q5" s="17" t="inlineStr">
        <is>
          <t>Company</t>
        </is>
      </c>
      <c r="S5" s="17" t="inlineStr">
        <is>
          <t>cum·OP</t>
        </is>
      </c>
      <c r="T5" s="17" t="inlineStr">
        <is>
          <t>LIST · Operations</t>
        </is>
      </c>
      <c r="V5" s="17" t="inlineStr">
        <is>
          <t>MainGroups · Code</t>
        </is>
      </c>
      <c r="W5" s="17" t="inlineStr">
        <is>
          <t>· Title</t>
        </is>
      </c>
      <c r="AD5">
        <f>IF($W$6="","",$W$6)</f>
        <v/>
      </c>
      <c r="AF5">
        <f>IF($W$7="","",$W$7)</f>
        <v/>
      </c>
      <c r="AH5">
        <f>IF($W$8="","",$W$8)</f>
        <v/>
      </c>
      <c r="AJ5">
        <f>IF($W$9="","",$W$9)</f>
        <v/>
      </c>
      <c r="AL5">
        <f>IF($W$10="","",$W$10)</f>
        <v/>
      </c>
      <c r="AN5">
        <f>IF($W$11="","",$W$11)</f>
        <v/>
      </c>
      <c r="AP5">
        <f>IF($W$12="","",$W$12)</f>
        <v/>
      </c>
      <c r="AR5">
        <f>IF($W$13="","",$W$13)</f>
        <v/>
      </c>
      <c r="AT5">
        <f>IF($W$14="","",$W$14)</f>
        <v/>
      </c>
      <c r="AV5">
        <f>IF($W$15="","",$W$15)</f>
        <v/>
      </c>
    </row>
    <row r="6">
      <c r="A6">
        <f>IF([1]Ops!$B$7="","",[1]Ops!$A$7)</f>
        <v/>
      </c>
      <c r="B6">
        <f>IF([1]Ops!$B$7="","",[1]Ops!$B$7)</f>
        <v/>
      </c>
      <c r="C6">
        <f>IF([1]Ops!$B$7="","",[1]Ops!$C$7)</f>
        <v/>
      </c>
      <c r="D6">
        <f>IF([1]Ops!$B$7="","",[1]Ops!$D$7)</f>
        <v/>
      </c>
      <c r="F6">
        <f>IF([1]Accounts!$D$7="","",[1]Accounts!$A$7)</f>
        <v/>
      </c>
      <c r="G6">
        <f>IF([1]Accounts!$D$7="","",[1]Accounts!$B$7)</f>
        <v/>
      </c>
      <c r="H6">
        <f>IF([1]Accounts!$D$7="","",[1]Accounts!$C$7)</f>
        <v/>
      </c>
      <c r="I6">
        <f>IF([1]Accounts!$D$7="","",[1]Accounts!$D$7)</f>
        <v/>
      </c>
      <c r="K6">
        <f>IF([1]Lists!$C$7="","",[1]Lists!$C$7)</f>
        <v/>
      </c>
      <c r="M6">
        <f>IF([1]Params!$A$7="","",[1]Params!$A$7)</f>
        <v/>
      </c>
      <c r="N6">
        <f>IF([1]Params!$B$7="","",[1]Params!$B$7)</f>
        <v/>
      </c>
      <c r="O6">
        <f>[1]Params!$C$7</f>
        <v/>
      </c>
      <c r="Q6">
        <f>IF([1]Company!$C$5="","",[1]Company!$C$5)</f>
        <v/>
      </c>
      <c r="S6">
        <f>COUNTIF($B$6:$B6,"?*")</f>
        <v/>
      </c>
      <c r="T6">
        <f>IFERROR(INDEX($B$6:$B$25,MATCH(ROW()-5,$S$6:$S$25,0)),"")</f>
        <v/>
      </c>
      <c r="V6">
        <f>IF([1]MainGroups!$B$7="","",[1]MainGroups!$A$7)</f>
        <v/>
      </c>
      <c r="W6">
        <f>IF([1]MainGroups!$B$7="","",[1]MainGroups!$B$7)</f>
        <v/>
      </c>
      <c r="Y6">
        <f>IF([1]SubGroups!$C$7="","",[1]SubGroups!$A$7)</f>
        <v/>
      </c>
      <c r="Z6">
        <f>IF([1]SubGroups!$C$7="","",[1]SubGroups!$B$7)</f>
        <v/>
      </c>
      <c r="AA6">
        <f>IF([1]SubGroups!$C$7="","",[1]SubGroups!$C$7)</f>
        <v/>
      </c>
      <c r="AC6">
        <f>COUNTIFS($Z$6:$Z6,$AD$5,$AA$6:$AA6,"?*")</f>
        <v/>
      </c>
      <c r="AD6">
        <f>IFERROR(INDEX($AA$6:$AA$105,MATCH(ROW()-5,$AC$6:$AC$105,0)),"")</f>
        <v/>
      </c>
      <c r="AE6">
        <f>COUNTIFS($Z$6:$Z6,$AF$5,$AA$6:$AA6,"?*")</f>
        <v/>
      </c>
      <c r="AF6">
        <f>IFERROR(INDEX($AA$6:$AA$105,MATCH(ROW()-5,$AE$6:$AE$105,0)),"")</f>
        <v/>
      </c>
      <c r="AG6">
        <f>COUNTIFS($Z$6:$Z6,$AH$5,$AA$6:$AA6,"?*")</f>
        <v/>
      </c>
      <c r="AH6">
        <f>IFERROR(INDEX($AA$6:$AA$105,MATCH(ROW()-5,$AG$6:$AG$105,0)),"")</f>
        <v/>
      </c>
      <c r="AI6">
        <f>COUNTIFS($Z$6:$Z6,$AJ$5,$AA$6:$AA6,"?*")</f>
        <v/>
      </c>
      <c r="AJ6">
        <f>IFERROR(INDEX($AA$6:$AA$105,MATCH(ROW()-5,$AI$6:$AI$105,0)),"")</f>
        <v/>
      </c>
      <c r="AK6">
        <f>COUNTIFS($Z$6:$Z6,$AL$5,$AA$6:$AA6,"?*")</f>
        <v/>
      </c>
      <c r="AL6">
        <f>IFERROR(INDEX($AA$6:$AA$105,MATCH(ROW()-5,$AK$6:$AK$105,0)),"")</f>
        <v/>
      </c>
      <c r="AM6">
        <f>COUNTIFS($Z$6:$Z6,$AN$5,$AA$6:$AA6,"?*")</f>
        <v/>
      </c>
      <c r="AN6">
        <f>IFERROR(INDEX($AA$6:$AA$105,MATCH(ROW()-5,$AM$6:$AM$105,0)),"")</f>
        <v/>
      </c>
      <c r="AO6">
        <f>COUNTIFS($Z$6:$Z6,$AP$5,$AA$6:$AA6,"?*")</f>
        <v/>
      </c>
      <c r="AP6">
        <f>IFERROR(INDEX($AA$6:$AA$105,MATCH(ROW()-5,$AO$6:$AO$105,0)),"")</f>
        <v/>
      </c>
      <c r="AQ6">
        <f>COUNTIFS($Z$6:$Z6,$AR$5,$AA$6:$AA6,"?*")</f>
        <v/>
      </c>
      <c r="AR6">
        <f>IFERROR(INDEX($AA$6:$AA$105,MATCH(ROW()-5,$AQ$6:$AQ$105,0)),"")</f>
        <v/>
      </c>
      <c r="AS6">
        <f>COUNTIFS($Z$6:$Z6,$AT$5,$AA$6:$AA6,"?*")</f>
        <v/>
      </c>
      <c r="AT6">
        <f>IFERROR(INDEX($AA$6:$AA$105,MATCH(ROW()-5,$AS$6:$AS$105,0)),"")</f>
        <v/>
      </c>
      <c r="AU6">
        <f>COUNTIFS($Z$6:$Z6,$AV$5,$AA$6:$AA6,"?*")</f>
        <v/>
      </c>
      <c r="AV6">
        <f>IFERROR(INDEX($AA$6:$AA$105,MATCH(ROW()-5,$AU$6:$AU$105,0)),"")</f>
        <v/>
      </c>
    </row>
    <row r="7">
      <c r="A7">
        <f>IF([1]Ops!$B$8="","",[1]Ops!$A$8)</f>
        <v/>
      </c>
      <c r="B7">
        <f>IF([1]Ops!$B$8="","",[1]Ops!$B$8)</f>
        <v/>
      </c>
      <c r="C7">
        <f>IF([1]Ops!$B$8="","",[1]Ops!$C$8)</f>
        <v/>
      </c>
      <c r="D7">
        <f>IF([1]Ops!$B$8="","",[1]Ops!$D$8)</f>
        <v/>
      </c>
      <c r="F7">
        <f>IF([1]Accounts!$D$8="","",[1]Accounts!$A$8)</f>
        <v/>
      </c>
      <c r="G7">
        <f>IF([1]Accounts!$D$8="","",[1]Accounts!$B$8)</f>
        <v/>
      </c>
      <c r="H7">
        <f>IF([1]Accounts!$D$8="","",[1]Accounts!$C$8)</f>
        <v/>
      </c>
      <c r="I7">
        <f>IF([1]Accounts!$D$8="","",[1]Accounts!$D$8)</f>
        <v/>
      </c>
      <c r="K7">
        <f>IF([1]Lists!$C$8="","",[1]Lists!$C$8)</f>
        <v/>
      </c>
      <c r="M7">
        <f>IF([1]Params!$A$8="","",[1]Params!$A$8)</f>
        <v/>
      </c>
      <c r="N7">
        <f>IF([1]Params!$B$8="","",[1]Params!$B$8)</f>
        <v/>
      </c>
      <c r="O7">
        <f>[1]Params!$C$8</f>
        <v/>
      </c>
      <c r="Q7">
        <f>IF([1]Company!$C$8="","",[1]Company!$C$8)</f>
        <v/>
      </c>
      <c r="S7">
        <f>COUNTIF($B$6:$B7,"?*")</f>
        <v/>
      </c>
      <c r="T7">
        <f>IFERROR(INDEX($B$6:$B$25,MATCH(ROW()-5,$S$6:$S$25,0)),"")</f>
        <v/>
      </c>
      <c r="V7">
        <f>IF([1]MainGroups!$B$8="","",[1]MainGroups!$A$8)</f>
        <v/>
      </c>
      <c r="W7">
        <f>IF([1]MainGroups!$B$8="","",[1]MainGroups!$B$8)</f>
        <v/>
      </c>
      <c r="Y7">
        <f>IF([1]SubGroups!$C$8="","",[1]SubGroups!$A$8)</f>
        <v/>
      </c>
      <c r="Z7">
        <f>IF([1]SubGroups!$C$8="","",[1]SubGroups!$B$8)</f>
        <v/>
      </c>
      <c r="AA7">
        <f>IF([1]SubGroups!$C$8="","",[1]SubGroups!$C$8)</f>
        <v/>
      </c>
      <c r="AC7">
        <f>COUNTIFS($Z$6:$Z7,$AD$5,$AA$6:$AA7,"?*")</f>
        <v/>
      </c>
      <c r="AD7">
        <f>IFERROR(INDEX($AA$6:$AA$105,MATCH(ROW()-5,$AC$6:$AC$105,0)),"")</f>
        <v/>
      </c>
      <c r="AE7">
        <f>COUNTIFS($Z$6:$Z7,$AF$5,$AA$6:$AA7,"?*")</f>
        <v/>
      </c>
      <c r="AF7">
        <f>IFERROR(INDEX($AA$6:$AA$105,MATCH(ROW()-5,$AE$6:$AE$105,0)),"")</f>
        <v/>
      </c>
      <c r="AG7">
        <f>COUNTIFS($Z$6:$Z7,$AH$5,$AA$6:$AA7,"?*")</f>
        <v/>
      </c>
      <c r="AH7">
        <f>IFERROR(INDEX($AA$6:$AA$105,MATCH(ROW()-5,$AG$6:$AG$105,0)),"")</f>
        <v/>
      </c>
      <c r="AI7">
        <f>COUNTIFS($Z$6:$Z7,$AJ$5,$AA$6:$AA7,"?*")</f>
        <v/>
      </c>
      <c r="AJ7">
        <f>IFERROR(INDEX($AA$6:$AA$105,MATCH(ROW()-5,$AI$6:$AI$105,0)),"")</f>
        <v/>
      </c>
      <c r="AK7">
        <f>COUNTIFS($Z$6:$Z7,$AL$5,$AA$6:$AA7,"?*")</f>
        <v/>
      </c>
      <c r="AL7">
        <f>IFERROR(INDEX($AA$6:$AA$105,MATCH(ROW()-5,$AK$6:$AK$105,0)),"")</f>
        <v/>
      </c>
      <c r="AM7">
        <f>COUNTIFS($Z$6:$Z7,$AN$5,$AA$6:$AA7,"?*")</f>
        <v/>
      </c>
      <c r="AN7">
        <f>IFERROR(INDEX($AA$6:$AA$105,MATCH(ROW()-5,$AM$6:$AM$105,0)),"")</f>
        <v/>
      </c>
      <c r="AO7">
        <f>COUNTIFS($Z$6:$Z7,$AP$5,$AA$6:$AA7,"?*")</f>
        <v/>
      </c>
      <c r="AP7">
        <f>IFERROR(INDEX($AA$6:$AA$105,MATCH(ROW()-5,$AO$6:$AO$105,0)),"")</f>
        <v/>
      </c>
      <c r="AQ7">
        <f>COUNTIFS($Z$6:$Z7,$AR$5,$AA$6:$AA7,"?*")</f>
        <v/>
      </c>
      <c r="AR7">
        <f>IFERROR(INDEX($AA$6:$AA$105,MATCH(ROW()-5,$AQ$6:$AQ$105,0)),"")</f>
        <v/>
      </c>
      <c r="AS7">
        <f>COUNTIFS($Z$6:$Z7,$AT$5,$AA$6:$AA7,"?*")</f>
        <v/>
      </c>
      <c r="AT7">
        <f>IFERROR(INDEX($AA$6:$AA$105,MATCH(ROW()-5,$AS$6:$AS$105,0)),"")</f>
        <v/>
      </c>
      <c r="AU7">
        <f>COUNTIFS($Z$6:$Z7,$AV$5,$AA$6:$AA7,"?*")</f>
        <v/>
      </c>
      <c r="AV7">
        <f>IFERROR(INDEX($AA$6:$AA$105,MATCH(ROW()-5,$AU$6:$AU$105,0)),"")</f>
        <v/>
      </c>
    </row>
    <row r="8">
      <c r="A8">
        <f>IF([1]Ops!$B$9="","",[1]Ops!$A$9)</f>
        <v/>
      </c>
      <c r="B8">
        <f>IF([1]Ops!$B$9="","",[1]Ops!$B$9)</f>
        <v/>
      </c>
      <c r="C8">
        <f>IF([1]Ops!$B$9="","",[1]Ops!$C$9)</f>
        <v/>
      </c>
      <c r="D8">
        <f>IF([1]Ops!$B$9="","",[1]Ops!$D$9)</f>
        <v/>
      </c>
      <c r="F8">
        <f>IF([1]Accounts!$D$9="","",[1]Accounts!$A$9)</f>
        <v/>
      </c>
      <c r="G8">
        <f>IF([1]Accounts!$D$9="","",[1]Accounts!$B$9)</f>
        <v/>
      </c>
      <c r="H8">
        <f>IF([1]Accounts!$D$9="","",[1]Accounts!$C$9)</f>
        <v/>
      </c>
      <c r="I8">
        <f>IF([1]Accounts!$D$9="","",[1]Accounts!$D$9)</f>
        <v/>
      </c>
      <c r="K8">
        <f>IF([1]Lists!$C$9="","",[1]Lists!$C$9)</f>
        <v/>
      </c>
      <c r="M8">
        <f>IF([1]Params!$A$9="","",[1]Params!$A$9)</f>
        <v/>
      </c>
      <c r="N8">
        <f>IF([1]Params!$B$9="","",[1]Params!$B$9)</f>
        <v/>
      </c>
      <c r="O8">
        <f>[1]Params!$C$9</f>
        <v/>
      </c>
      <c r="Q8">
        <f>IF([1]Company!$C$9="","",[1]Company!$C$9)</f>
        <v/>
      </c>
      <c r="S8">
        <f>COUNTIF($B$6:$B8,"?*")</f>
        <v/>
      </c>
      <c r="T8">
        <f>IFERROR(INDEX($B$6:$B$25,MATCH(ROW()-5,$S$6:$S$25,0)),"")</f>
        <v/>
      </c>
      <c r="V8">
        <f>IF([1]MainGroups!$B$9="","",[1]MainGroups!$A$9)</f>
        <v/>
      </c>
      <c r="W8">
        <f>IF([1]MainGroups!$B$9="","",[1]MainGroups!$B$9)</f>
        <v/>
      </c>
      <c r="Y8">
        <f>IF([1]SubGroups!$C$9="","",[1]SubGroups!$A$9)</f>
        <v/>
      </c>
      <c r="Z8">
        <f>IF([1]SubGroups!$C$9="","",[1]SubGroups!$B$9)</f>
        <v/>
      </c>
      <c r="AA8">
        <f>IF([1]SubGroups!$C$9="","",[1]SubGroups!$C$9)</f>
        <v/>
      </c>
      <c r="AC8">
        <f>COUNTIFS($Z$6:$Z8,$AD$5,$AA$6:$AA8,"?*")</f>
        <v/>
      </c>
      <c r="AD8">
        <f>IFERROR(INDEX($AA$6:$AA$105,MATCH(ROW()-5,$AC$6:$AC$105,0)),"")</f>
        <v/>
      </c>
      <c r="AE8">
        <f>COUNTIFS($Z$6:$Z8,$AF$5,$AA$6:$AA8,"?*")</f>
        <v/>
      </c>
      <c r="AF8">
        <f>IFERROR(INDEX($AA$6:$AA$105,MATCH(ROW()-5,$AE$6:$AE$105,0)),"")</f>
        <v/>
      </c>
      <c r="AG8">
        <f>COUNTIFS($Z$6:$Z8,$AH$5,$AA$6:$AA8,"?*")</f>
        <v/>
      </c>
      <c r="AH8">
        <f>IFERROR(INDEX($AA$6:$AA$105,MATCH(ROW()-5,$AG$6:$AG$105,0)),"")</f>
        <v/>
      </c>
      <c r="AI8">
        <f>COUNTIFS($Z$6:$Z8,$AJ$5,$AA$6:$AA8,"?*")</f>
        <v/>
      </c>
      <c r="AJ8">
        <f>IFERROR(INDEX($AA$6:$AA$105,MATCH(ROW()-5,$AI$6:$AI$105,0)),"")</f>
        <v/>
      </c>
      <c r="AK8">
        <f>COUNTIFS($Z$6:$Z8,$AL$5,$AA$6:$AA8,"?*")</f>
        <v/>
      </c>
      <c r="AL8">
        <f>IFERROR(INDEX($AA$6:$AA$105,MATCH(ROW()-5,$AK$6:$AK$105,0)),"")</f>
        <v/>
      </c>
      <c r="AM8">
        <f>COUNTIFS($Z$6:$Z8,$AN$5,$AA$6:$AA8,"?*")</f>
        <v/>
      </c>
      <c r="AN8">
        <f>IFERROR(INDEX($AA$6:$AA$105,MATCH(ROW()-5,$AM$6:$AM$105,0)),"")</f>
        <v/>
      </c>
      <c r="AO8">
        <f>COUNTIFS($Z$6:$Z8,$AP$5,$AA$6:$AA8,"?*")</f>
        <v/>
      </c>
      <c r="AP8">
        <f>IFERROR(INDEX($AA$6:$AA$105,MATCH(ROW()-5,$AO$6:$AO$105,0)),"")</f>
        <v/>
      </c>
      <c r="AQ8">
        <f>COUNTIFS($Z$6:$Z8,$AR$5,$AA$6:$AA8,"?*")</f>
        <v/>
      </c>
      <c r="AR8">
        <f>IFERROR(INDEX($AA$6:$AA$105,MATCH(ROW()-5,$AQ$6:$AQ$105,0)),"")</f>
        <v/>
      </c>
      <c r="AS8">
        <f>COUNTIFS($Z$6:$Z8,$AT$5,$AA$6:$AA8,"?*")</f>
        <v/>
      </c>
      <c r="AT8">
        <f>IFERROR(INDEX($AA$6:$AA$105,MATCH(ROW()-5,$AS$6:$AS$105,0)),"")</f>
        <v/>
      </c>
      <c r="AU8">
        <f>COUNTIFS($Z$6:$Z8,$AV$5,$AA$6:$AA8,"?*")</f>
        <v/>
      </c>
      <c r="AV8">
        <f>IFERROR(INDEX($AA$6:$AA$105,MATCH(ROW()-5,$AU$6:$AU$105,0)),"")</f>
        <v/>
      </c>
    </row>
    <row r="9">
      <c r="A9">
        <f>IF([1]Ops!$B$10="","",[1]Ops!$A$10)</f>
        <v/>
      </c>
      <c r="B9">
        <f>IF([1]Ops!$B$10="","",[1]Ops!$B$10)</f>
        <v/>
      </c>
      <c r="C9">
        <f>IF([1]Ops!$B$10="","",[1]Ops!$C$10)</f>
        <v/>
      </c>
      <c r="D9">
        <f>IF([1]Ops!$B$10="","",[1]Ops!$D$10)</f>
        <v/>
      </c>
      <c r="F9">
        <f>IF([1]Accounts!$D$10="","",[1]Accounts!$A$10)</f>
        <v/>
      </c>
      <c r="G9">
        <f>IF([1]Accounts!$D$10="","",[1]Accounts!$B$10)</f>
        <v/>
      </c>
      <c r="H9">
        <f>IF([1]Accounts!$D$10="","",[1]Accounts!$C$10)</f>
        <v/>
      </c>
      <c r="I9">
        <f>IF([1]Accounts!$D$10="","",[1]Accounts!$D$10)</f>
        <v/>
      </c>
      <c r="K9">
        <f>IF([1]Lists!$C$10="","",[1]Lists!$C$10)</f>
        <v/>
      </c>
      <c r="M9">
        <f>IF([1]Params!$A$10="","",[1]Params!$A$10)</f>
        <v/>
      </c>
      <c r="N9">
        <f>IF([1]Params!$B$10="","",[1]Params!$B$10)</f>
        <v/>
      </c>
      <c r="O9">
        <f>[1]Params!$C$10</f>
        <v/>
      </c>
      <c r="Q9">
        <f>IF([1]Company!$C$7="","",[1]Company!$C$7)</f>
        <v/>
      </c>
      <c r="S9">
        <f>COUNTIF($B$6:$B9,"?*")</f>
        <v/>
      </c>
      <c r="T9">
        <f>IFERROR(INDEX($B$6:$B$25,MATCH(ROW()-5,$S$6:$S$25,0)),"")</f>
        <v/>
      </c>
      <c r="V9">
        <f>IF([1]MainGroups!$B$10="","",[1]MainGroups!$A$10)</f>
        <v/>
      </c>
      <c r="W9">
        <f>IF([1]MainGroups!$B$10="","",[1]MainGroups!$B$10)</f>
        <v/>
      </c>
      <c r="Y9">
        <f>IF([1]SubGroups!$C$10="","",[1]SubGroups!$A$10)</f>
        <v/>
      </c>
      <c r="Z9">
        <f>IF([1]SubGroups!$C$10="","",[1]SubGroups!$B$10)</f>
        <v/>
      </c>
      <c r="AA9">
        <f>IF([1]SubGroups!$C$10="","",[1]SubGroups!$C$10)</f>
        <v/>
      </c>
      <c r="AC9">
        <f>COUNTIFS($Z$6:$Z9,$AD$5,$AA$6:$AA9,"?*")</f>
        <v/>
      </c>
      <c r="AD9">
        <f>IFERROR(INDEX($AA$6:$AA$105,MATCH(ROW()-5,$AC$6:$AC$105,0)),"")</f>
        <v/>
      </c>
      <c r="AE9">
        <f>COUNTIFS($Z$6:$Z9,$AF$5,$AA$6:$AA9,"?*")</f>
        <v/>
      </c>
      <c r="AF9">
        <f>IFERROR(INDEX($AA$6:$AA$105,MATCH(ROW()-5,$AE$6:$AE$105,0)),"")</f>
        <v/>
      </c>
      <c r="AG9">
        <f>COUNTIFS($Z$6:$Z9,$AH$5,$AA$6:$AA9,"?*")</f>
        <v/>
      </c>
      <c r="AH9">
        <f>IFERROR(INDEX($AA$6:$AA$105,MATCH(ROW()-5,$AG$6:$AG$105,0)),"")</f>
        <v/>
      </c>
      <c r="AI9">
        <f>COUNTIFS($Z$6:$Z9,$AJ$5,$AA$6:$AA9,"?*")</f>
        <v/>
      </c>
      <c r="AJ9">
        <f>IFERROR(INDEX($AA$6:$AA$105,MATCH(ROW()-5,$AI$6:$AI$105,0)),"")</f>
        <v/>
      </c>
      <c r="AK9">
        <f>COUNTIFS($Z$6:$Z9,$AL$5,$AA$6:$AA9,"?*")</f>
        <v/>
      </c>
      <c r="AL9">
        <f>IFERROR(INDEX($AA$6:$AA$105,MATCH(ROW()-5,$AK$6:$AK$105,0)),"")</f>
        <v/>
      </c>
      <c r="AM9">
        <f>COUNTIFS($Z$6:$Z9,$AN$5,$AA$6:$AA9,"?*")</f>
        <v/>
      </c>
      <c r="AN9">
        <f>IFERROR(INDEX($AA$6:$AA$105,MATCH(ROW()-5,$AM$6:$AM$105,0)),"")</f>
        <v/>
      </c>
      <c r="AO9">
        <f>COUNTIFS($Z$6:$Z9,$AP$5,$AA$6:$AA9,"?*")</f>
        <v/>
      </c>
      <c r="AP9">
        <f>IFERROR(INDEX($AA$6:$AA$105,MATCH(ROW()-5,$AO$6:$AO$105,0)),"")</f>
        <v/>
      </c>
      <c r="AQ9">
        <f>COUNTIFS($Z$6:$Z9,$AR$5,$AA$6:$AA9,"?*")</f>
        <v/>
      </c>
      <c r="AR9">
        <f>IFERROR(INDEX($AA$6:$AA$105,MATCH(ROW()-5,$AQ$6:$AQ$105,0)),"")</f>
        <v/>
      </c>
      <c r="AS9">
        <f>COUNTIFS($Z$6:$Z9,$AT$5,$AA$6:$AA9,"?*")</f>
        <v/>
      </c>
      <c r="AT9">
        <f>IFERROR(INDEX($AA$6:$AA$105,MATCH(ROW()-5,$AS$6:$AS$105,0)),"")</f>
        <v/>
      </c>
      <c r="AU9">
        <f>COUNTIFS($Z$6:$Z9,$AV$5,$AA$6:$AA9,"?*")</f>
        <v/>
      </c>
      <c r="AV9">
        <f>IFERROR(INDEX($AA$6:$AA$105,MATCH(ROW()-5,$AU$6:$AU$105,0)),"")</f>
        <v/>
      </c>
    </row>
    <row r="10">
      <c r="A10">
        <f>IF([1]Ops!$B$11="","",[1]Ops!$A$11)</f>
        <v/>
      </c>
      <c r="B10">
        <f>IF([1]Ops!$B$11="","",[1]Ops!$B$11)</f>
        <v/>
      </c>
      <c r="C10">
        <f>IF([1]Ops!$B$11="","",[1]Ops!$C$11)</f>
        <v/>
      </c>
      <c r="D10">
        <f>IF([1]Ops!$B$11="","",[1]Ops!$D$11)</f>
        <v/>
      </c>
      <c r="F10">
        <f>IF([1]Accounts!$D$11="","",[1]Accounts!$A$11)</f>
        <v/>
      </c>
      <c r="G10">
        <f>IF([1]Accounts!$D$11="","",[1]Accounts!$B$11)</f>
        <v/>
      </c>
      <c r="H10">
        <f>IF([1]Accounts!$D$11="","",[1]Accounts!$C$11)</f>
        <v/>
      </c>
      <c r="I10">
        <f>IF([1]Accounts!$D$11="","",[1]Accounts!$D$11)</f>
        <v/>
      </c>
      <c r="K10">
        <f>IF([1]Lists!$C$11="","",[1]Lists!$C$11)</f>
        <v/>
      </c>
      <c r="M10">
        <f>IF([1]Params!$A$11="","",[1]Params!$A$11)</f>
        <v/>
      </c>
      <c r="N10">
        <f>IF([1]Params!$B$11="","",[1]Params!$B$11)</f>
        <v/>
      </c>
      <c r="O10">
        <f>[1]Params!$C$11</f>
        <v/>
      </c>
      <c r="S10">
        <f>COUNTIF($B$6:$B10,"?*")</f>
        <v/>
      </c>
      <c r="T10">
        <f>IFERROR(INDEX($B$6:$B$25,MATCH(ROW()-5,$S$6:$S$25,0)),"")</f>
        <v/>
      </c>
      <c r="V10">
        <f>IF([1]MainGroups!$B$11="","",[1]MainGroups!$A$11)</f>
        <v/>
      </c>
      <c r="W10">
        <f>IF([1]MainGroups!$B$11="","",[1]MainGroups!$B$11)</f>
        <v/>
      </c>
      <c r="Y10">
        <f>IF([1]SubGroups!$C$11="","",[1]SubGroups!$A$11)</f>
        <v/>
      </c>
      <c r="Z10">
        <f>IF([1]SubGroups!$C$11="","",[1]SubGroups!$B$11)</f>
        <v/>
      </c>
      <c r="AA10">
        <f>IF([1]SubGroups!$C$11="","",[1]SubGroups!$C$11)</f>
        <v/>
      </c>
      <c r="AC10">
        <f>COUNTIFS($Z$6:$Z10,$AD$5,$AA$6:$AA10,"?*")</f>
        <v/>
      </c>
      <c r="AD10">
        <f>IFERROR(INDEX($AA$6:$AA$105,MATCH(ROW()-5,$AC$6:$AC$105,0)),"")</f>
        <v/>
      </c>
      <c r="AE10">
        <f>COUNTIFS($Z$6:$Z10,$AF$5,$AA$6:$AA10,"?*")</f>
        <v/>
      </c>
      <c r="AF10">
        <f>IFERROR(INDEX($AA$6:$AA$105,MATCH(ROW()-5,$AE$6:$AE$105,0)),"")</f>
        <v/>
      </c>
      <c r="AG10">
        <f>COUNTIFS($Z$6:$Z10,$AH$5,$AA$6:$AA10,"?*")</f>
        <v/>
      </c>
      <c r="AH10">
        <f>IFERROR(INDEX($AA$6:$AA$105,MATCH(ROW()-5,$AG$6:$AG$105,0)),"")</f>
        <v/>
      </c>
      <c r="AI10">
        <f>COUNTIFS($Z$6:$Z10,$AJ$5,$AA$6:$AA10,"?*")</f>
        <v/>
      </c>
      <c r="AJ10">
        <f>IFERROR(INDEX($AA$6:$AA$105,MATCH(ROW()-5,$AI$6:$AI$105,0)),"")</f>
        <v/>
      </c>
      <c r="AK10">
        <f>COUNTIFS($Z$6:$Z10,$AL$5,$AA$6:$AA10,"?*")</f>
        <v/>
      </c>
      <c r="AL10">
        <f>IFERROR(INDEX($AA$6:$AA$105,MATCH(ROW()-5,$AK$6:$AK$105,0)),"")</f>
        <v/>
      </c>
      <c r="AM10">
        <f>COUNTIFS($Z$6:$Z10,$AN$5,$AA$6:$AA10,"?*")</f>
        <v/>
      </c>
      <c r="AN10">
        <f>IFERROR(INDEX($AA$6:$AA$105,MATCH(ROW()-5,$AM$6:$AM$105,0)),"")</f>
        <v/>
      </c>
      <c r="AO10">
        <f>COUNTIFS($Z$6:$Z10,$AP$5,$AA$6:$AA10,"?*")</f>
        <v/>
      </c>
      <c r="AP10">
        <f>IFERROR(INDEX($AA$6:$AA$105,MATCH(ROW()-5,$AO$6:$AO$105,0)),"")</f>
        <v/>
      </c>
      <c r="AQ10">
        <f>COUNTIFS($Z$6:$Z10,$AR$5,$AA$6:$AA10,"?*")</f>
        <v/>
      </c>
      <c r="AR10">
        <f>IFERROR(INDEX($AA$6:$AA$105,MATCH(ROW()-5,$AQ$6:$AQ$105,0)),"")</f>
        <v/>
      </c>
      <c r="AS10">
        <f>COUNTIFS($Z$6:$Z10,$AT$5,$AA$6:$AA10,"?*")</f>
        <v/>
      </c>
      <c r="AT10">
        <f>IFERROR(INDEX($AA$6:$AA$105,MATCH(ROW()-5,$AS$6:$AS$105,0)),"")</f>
        <v/>
      </c>
      <c r="AU10">
        <f>COUNTIFS($Z$6:$Z10,$AV$5,$AA$6:$AA10,"?*")</f>
        <v/>
      </c>
      <c r="AV10">
        <f>IFERROR(INDEX($AA$6:$AA$105,MATCH(ROW()-5,$AU$6:$AU$105,0)),"")</f>
        <v/>
      </c>
    </row>
    <row r="11">
      <c r="A11">
        <f>IF([1]Ops!$B$12="","",[1]Ops!$A$12)</f>
        <v/>
      </c>
      <c r="B11">
        <f>IF([1]Ops!$B$12="","",[1]Ops!$B$12)</f>
        <v/>
      </c>
      <c r="C11">
        <f>IF([1]Ops!$B$12="","",[1]Ops!$C$12)</f>
        <v/>
      </c>
      <c r="D11">
        <f>IF([1]Ops!$B$12="","",[1]Ops!$D$12)</f>
        <v/>
      </c>
      <c r="F11">
        <f>IF([1]Accounts!$D$12="","",[1]Accounts!$A$12)</f>
        <v/>
      </c>
      <c r="G11">
        <f>IF([1]Accounts!$D$12="","",[1]Accounts!$B$12)</f>
        <v/>
      </c>
      <c r="H11">
        <f>IF([1]Accounts!$D$12="","",[1]Accounts!$C$12)</f>
        <v/>
      </c>
      <c r="I11">
        <f>IF([1]Accounts!$D$12="","",[1]Accounts!$D$12)</f>
        <v/>
      </c>
      <c r="K11">
        <f>IF([1]Lists!$C$12="","",[1]Lists!$C$12)</f>
        <v/>
      </c>
      <c r="M11">
        <f>IF([1]Params!$A$12="","",[1]Params!$A$12)</f>
        <v/>
      </c>
      <c r="N11">
        <f>IF([1]Params!$B$12="","",[1]Params!$B$12)</f>
        <v/>
      </c>
      <c r="O11">
        <f>[1]Params!$C$12</f>
        <v/>
      </c>
      <c r="S11">
        <f>COUNTIF($B$6:$B11,"?*")</f>
        <v/>
      </c>
      <c r="T11">
        <f>IFERROR(INDEX($B$6:$B$25,MATCH(ROW()-5,$S$6:$S$25,0)),"")</f>
        <v/>
      </c>
      <c r="V11">
        <f>IF([1]MainGroups!$B$12="","",[1]MainGroups!$A$12)</f>
        <v/>
      </c>
      <c r="W11">
        <f>IF([1]MainGroups!$B$12="","",[1]MainGroups!$B$12)</f>
        <v/>
      </c>
      <c r="Y11">
        <f>IF([1]SubGroups!$C$12="","",[1]SubGroups!$A$12)</f>
        <v/>
      </c>
      <c r="Z11">
        <f>IF([1]SubGroups!$C$12="","",[1]SubGroups!$B$12)</f>
        <v/>
      </c>
      <c r="AA11">
        <f>IF([1]SubGroups!$C$12="","",[1]SubGroups!$C$12)</f>
        <v/>
      </c>
      <c r="AC11">
        <f>COUNTIFS($Z$6:$Z11,$AD$5,$AA$6:$AA11,"?*")</f>
        <v/>
      </c>
      <c r="AD11">
        <f>IFERROR(INDEX($AA$6:$AA$105,MATCH(ROW()-5,$AC$6:$AC$105,0)),"")</f>
        <v/>
      </c>
      <c r="AE11">
        <f>COUNTIFS($Z$6:$Z11,$AF$5,$AA$6:$AA11,"?*")</f>
        <v/>
      </c>
      <c r="AF11">
        <f>IFERROR(INDEX($AA$6:$AA$105,MATCH(ROW()-5,$AE$6:$AE$105,0)),"")</f>
        <v/>
      </c>
      <c r="AG11">
        <f>COUNTIFS($Z$6:$Z11,$AH$5,$AA$6:$AA11,"?*")</f>
        <v/>
      </c>
      <c r="AH11">
        <f>IFERROR(INDEX($AA$6:$AA$105,MATCH(ROW()-5,$AG$6:$AG$105,0)),"")</f>
        <v/>
      </c>
      <c r="AI11">
        <f>COUNTIFS($Z$6:$Z11,$AJ$5,$AA$6:$AA11,"?*")</f>
        <v/>
      </c>
      <c r="AJ11">
        <f>IFERROR(INDEX($AA$6:$AA$105,MATCH(ROW()-5,$AI$6:$AI$105,0)),"")</f>
        <v/>
      </c>
      <c r="AK11">
        <f>COUNTIFS($Z$6:$Z11,$AL$5,$AA$6:$AA11,"?*")</f>
        <v/>
      </c>
      <c r="AL11">
        <f>IFERROR(INDEX($AA$6:$AA$105,MATCH(ROW()-5,$AK$6:$AK$105,0)),"")</f>
        <v/>
      </c>
      <c r="AM11">
        <f>COUNTIFS($Z$6:$Z11,$AN$5,$AA$6:$AA11,"?*")</f>
        <v/>
      </c>
      <c r="AN11">
        <f>IFERROR(INDEX($AA$6:$AA$105,MATCH(ROW()-5,$AM$6:$AM$105,0)),"")</f>
        <v/>
      </c>
      <c r="AO11">
        <f>COUNTIFS($Z$6:$Z11,$AP$5,$AA$6:$AA11,"?*")</f>
        <v/>
      </c>
      <c r="AP11">
        <f>IFERROR(INDEX($AA$6:$AA$105,MATCH(ROW()-5,$AO$6:$AO$105,0)),"")</f>
        <v/>
      </c>
      <c r="AQ11">
        <f>COUNTIFS($Z$6:$Z11,$AR$5,$AA$6:$AA11,"?*")</f>
        <v/>
      </c>
      <c r="AR11">
        <f>IFERROR(INDEX($AA$6:$AA$105,MATCH(ROW()-5,$AQ$6:$AQ$105,0)),"")</f>
        <v/>
      </c>
      <c r="AS11">
        <f>COUNTIFS($Z$6:$Z11,$AT$5,$AA$6:$AA11,"?*")</f>
        <v/>
      </c>
      <c r="AT11">
        <f>IFERROR(INDEX($AA$6:$AA$105,MATCH(ROW()-5,$AS$6:$AS$105,0)),"")</f>
        <v/>
      </c>
      <c r="AU11">
        <f>COUNTIFS($Z$6:$Z11,$AV$5,$AA$6:$AA11,"?*")</f>
        <v/>
      </c>
      <c r="AV11">
        <f>IFERROR(INDEX($AA$6:$AA$105,MATCH(ROW()-5,$AU$6:$AU$105,0)),"")</f>
        <v/>
      </c>
    </row>
    <row r="12">
      <c r="A12">
        <f>IF([1]Ops!$B$13="","",[1]Ops!$A$13)</f>
        <v/>
      </c>
      <c r="B12">
        <f>IF([1]Ops!$B$13="","",[1]Ops!$B$13)</f>
        <v/>
      </c>
      <c r="C12">
        <f>IF([1]Ops!$B$13="","",[1]Ops!$C$13)</f>
        <v/>
      </c>
      <c r="D12">
        <f>IF([1]Ops!$B$13="","",[1]Ops!$D$13)</f>
        <v/>
      </c>
      <c r="F12">
        <f>IF([1]Accounts!$D$13="","",[1]Accounts!$A$13)</f>
        <v/>
      </c>
      <c r="G12">
        <f>IF([1]Accounts!$D$13="","",[1]Accounts!$B$13)</f>
        <v/>
      </c>
      <c r="H12">
        <f>IF([1]Accounts!$D$13="","",[1]Accounts!$C$13)</f>
        <v/>
      </c>
      <c r="I12">
        <f>IF([1]Accounts!$D$13="","",[1]Accounts!$D$13)</f>
        <v/>
      </c>
      <c r="K12">
        <f>IF([1]Lists!$C$13="","",[1]Lists!$C$13)</f>
        <v/>
      </c>
      <c r="M12">
        <f>IF([1]Params!$A$13="","",[1]Params!$A$13)</f>
        <v/>
      </c>
      <c r="N12">
        <f>IF([1]Params!$B$13="","",[1]Params!$B$13)</f>
        <v/>
      </c>
      <c r="O12">
        <f>[1]Params!$C$13</f>
        <v/>
      </c>
      <c r="S12">
        <f>COUNTIF($B$6:$B12,"?*")</f>
        <v/>
      </c>
      <c r="T12">
        <f>IFERROR(INDEX($B$6:$B$25,MATCH(ROW()-5,$S$6:$S$25,0)),"")</f>
        <v/>
      </c>
      <c r="V12">
        <f>IF([1]MainGroups!$B$13="","",[1]MainGroups!$A$13)</f>
        <v/>
      </c>
      <c r="W12">
        <f>IF([1]MainGroups!$B$13="","",[1]MainGroups!$B$13)</f>
        <v/>
      </c>
      <c r="Y12">
        <f>IF([1]SubGroups!$C$13="","",[1]SubGroups!$A$13)</f>
        <v/>
      </c>
      <c r="Z12">
        <f>IF([1]SubGroups!$C$13="","",[1]SubGroups!$B$13)</f>
        <v/>
      </c>
      <c r="AA12">
        <f>IF([1]SubGroups!$C$13="","",[1]SubGroups!$C$13)</f>
        <v/>
      </c>
      <c r="AC12">
        <f>COUNTIFS($Z$6:$Z12,$AD$5,$AA$6:$AA12,"?*")</f>
        <v/>
      </c>
      <c r="AD12">
        <f>IFERROR(INDEX($AA$6:$AA$105,MATCH(ROW()-5,$AC$6:$AC$105,0)),"")</f>
        <v/>
      </c>
      <c r="AE12">
        <f>COUNTIFS($Z$6:$Z12,$AF$5,$AA$6:$AA12,"?*")</f>
        <v/>
      </c>
      <c r="AF12">
        <f>IFERROR(INDEX($AA$6:$AA$105,MATCH(ROW()-5,$AE$6:$AE$105,0)),"")</f>
        <v/>
      </c>
      <c r="AG12">
        <f>COUNTIFS($Z$6:$Z12,$AH$5,$AA$6:$AA12,"?*")</f>
        <v/>
      </c>
      <c r="AH12">
        <f>IFERROR(INDEX($AA$6:$AA$105,MATCH(ROW()-5,$AG$6:$AG$105,0)),"")</f>
        <v/>
      </c>
      <c r="AI12">
        <f>COUNTIFS($Z$6:$Z12,$AJ$5,$AA$6:$AA12,"?*")</f>
        <v/>
      </c>
      <c r="AJ12">
        <f>IFERROR(INDEX($AA$6:$AA$105,MATCH(ROW()-5,$AI$6:$AI$105,0)),"")</f>
        <v/>
      </c>
      <c r="AK12">
        <f>COUNTIFS($Z$6:$Z12,$AL$5,$AA$6:$AA12,"?*")</f>
        <v/>
      </c>
      <c r="AL12">
        <f>IFERROR(INDEX($AA$6:$AA$105,MATCH(ROW()-5,$AK$6:$AK$105,0)),"")</f>
        <v/>
      </c>
      <c r="AM12">
        <f>COUNTIFS($Z$6:$Z12,$AN$5,$AA$6:$AA12,"?*")</f>
        <v/>
      </c>
      <c r="AN12">
        <f>IFERROR(INDEX($AA$6:$AA$105,MATCH(ROW()-5,$AM$6:$AM$105,0)),"")</f>
        <v/>
      </c>
      <c r="AO12">
        <f>COUNTIFS($Z$6:$Z12,$AP$5,$AA$6:$AA12,"?*")</f>
        <v/>
      </c>
      <c r="AP12">
        <f>IFERROR(INDEX($AA$6:$AA$105,MATCH(ROW()-5,$AO$6:$AO$105,0)),"")</f>
        <v/>
      </c>
      <c r="AQ12">
        <f>COUNTIFS($Z$6:$Z12,$AR$5,$AA$6:$AA12,"?*")</f>
        <v/>
      </c>
      <c r="AR12">
        <f>IFERROR(INDEX($AA$6:$AA$105,MATCH(ROW()-5,$AQ$6:$AQ$105,0)),"")</f>
        <v/>
      </c>
      <c r="AS12">
        <f>COUNTIFS($Z$6:$Z12,$AT$5,$AA$6:$AA12,"?*")</f>
        <v/>
      </c>
      <c r="AT12">
        <f>IFERROR(INDEX($AA$6:$AA$105,MATCH(ROW()-5,$AS$6:$AS$105,0)),"")</f>
        <v/>
      </c>
      <c r="AU12">
        <f>COUNTIFS($Z$6:$Z12,$AV$5,$AA$6:$AA12,"?*")</f>
        <v/>
      </c>
      <c r="AV12">
        <f>IFERROR(INDEX($AA$6:$AA$105,MATCH(ROW()-5,$AU$6:$AU$105,0)),"")</f>
        <v/>
      </c>
    </row>
    <row r="13">
      <c r="A13">
        <f>IF([1]Ops!$B$14="","",[1]Ops!$A$14)</f>
        <v/>
      </c>
      <c r="B13">
        <f>IF([1]Ops!$B$14="","",[1]Ops!$B$14)</f>
        <v/>
      </c>
      <c r="C13">
        <f>IF([1]Ops!$B$14="","",[1]Ops!$C$14)</f>
        <v/>
      </c>
      <c r="D13">
        <f>IF([1]Ops!$B$14="","",[1]Ops!$D$14)</f>
        <v/>
      </c>
      <c r="F13">
        <f>IF([1]Accounts!$D$14="","",[1]Accounts!$A$14)</f>
        <v/>
      </c>
      <c r="G13">
        <f>IF([1]Accounts!$D$14="","",[1]Accounts!$B$14)</f>
        <v/>
      </c>
      <c r="H13">
        <f>IF([1]Accounts!$D$14="","",[1]Accounts!$C$14)</f>
        <v/>
      </c>
      <c r="I13">
        <f>IF([1]Accounts!$D$14="","",[1]Accounts!$D$14)</f>
        <v/>
      </c>
      <c r="K13">
        <f>IF([1]Lists!$C$14="","",[1]Lists!$C$14)</f>
        <v/>
      </c>
      <c r="M13">
        <f>IF([1]Params!$A$14="","",[1]Params!$A$14)</f>
        <v/>
      </c>
      <c r="N13">
        <f>IF([1]Params!$B$14="","",[1]Params!$B$14)</f>
        <v/>
      </c>
      <c r="O13">
        <f>[1]Params!$C$14</f>
        <v/>
      </c>
      <c r="S13">
        <f>COUNTIF($B$6:$B13,"?*")</f>
        <v/>
      </c>
      <c r="T13">
        <f>IFERROR(INDEX($B$6:$B$25,MATCH(ROW()-5,$S$6:$S$25,0)),"")</f>
        <v/>
      </c>
      <c r="V13">
        <f>IF([1]MainGroups!$B$14="","",[1]MainGroups!$A$14)</f>
        <v/>
      </c>
      <c r="W13">
        <f>IF([1]MainGroups!$B$14="","",[1]MainGroups!$B$14)</f>
        <v/>
      </c>
      <c r="Y13">
        <f>IF([1]SubGroups!$C$14="","",[1]SubGroups!$A$14)</f>
        <v/>
      </c>
      <c r="Z13">
        <f>IF([1]SubGroups!$C$14="","",[1]SubGroups!$B$14)</f>
        <v/>
      </c>
      <c r="AA13">
        <f>IF([1]SubGroups!$C$14="","",[1]SubGroups!$C$14)</f>
        <v/>
      </c>
      <c r="AC13">
        <f>COUNTIFS($Z$6:$Z13,$AD$5,$AA$6:$AA13,"?*")</f>
        <v/>
      </c>
      <c r="AD13">
        <f>IFERROR(INDEX($AA$6:$AA$105,MATCH(ROW()-5,$AC$6:$AC$105,0)),"")</f>
        <v/>
      </c>
      <c r="AE13">
        <f>COUNTIFS($Z$6:$Z13,$AF$5,$AA$6:$AA13,"?*")</f>
        <v/>
      </c>
      <c r="AF13">
        <f>IFERROR(INDEX($AA$6:$AA$105,MATCH(ROW()-5,$AE$6:$AE$105,0)),"")</f>
        <v/>
      </c>
      <c r="AG13">
        <f>COUNTIFS($Z$6:$Z13,$AH$5,$AA$6:$AA13,"?*")</f>
        <v/>
      </c>
      <c r="AH13">
        <f>IFERROR(INDEX($AA$6:$AA$105,MATCH(ROW()-5,$AG$6:$AG$105,0)),"")</f>
        <v/>
      </c>
      <c r="AI13">
        <f>COUNTIFS($Z$6:$Z13,$AJ$5,$AA$6:$AA13,"?*")</f>
        <v/>
      </c>
      <c r="AJ13">
        <f>IFERROR(INDEX($AA$6:$AA$105,MATCH(ROW()-5,$AI$6:$AI$105,0)),"")</f>
        <v/>
      </c>
      <c r="AK13">
        <f>COUNTIFS($Z$6:$Z13,$AL$5,$AA$6:$AA13,"?*")</f>
        <v/>
      </c>
      <c r="AL13">
        <f>IFERROR(INDEX($AA$6:$AA$105,MATCH(ROW()-5,$AK$6:$AK$105,0)),"")</f>
        <v/>
      </c>
      <c r="AM13">
        <f>COUNTIFS($Z$6:$Z13,$AN$5,$AA$6:$AA13,"?*")</f>
        <v/>
      </c>
      <c r="AN13">
        <f>IFERROR(INDEX($AA$6:$AA$105,MATCH(ROW()-5,$AM$6:$AM$105,0)),"")</f>
        <v/>
      </c>
      <c r="AO13">
        <f>COUNTIFS($Z$6:$Z13,$AP$5,$AA$6:$AA13,"?*")</f>
        <v/>
      </c>
      <c r="AP13">
        <f>IFERROR(INDEX($AA$6:$AA$105,MATCH(ROW()-5,$AO$6:$AO$105,0)),"")</f>
        <v/>
      </c>
      <c r="AQ13">
        <f>COUNTIFS($Z$6:$Z13,$AR$5,$AA$6:$AA13,"?*")</f>
        <v/>
      </c>
      <c r="AR13">
        <f>IFERROR(INDEX($AA$6:$AA$105,MATCH(ROW()-5,$AQ$6:$AQ$105,0)),"")</f>
        <v/>
      </c>
      <c r="AS13">
        <f>COUNTIFS($Z$6:$Z13,$AT$5,$AA$6:$AA13,"?*")</f>
        <v/>
      </c>
      <c r="AT13">
        <f>IFERROR(INDEX($AA$6:$AA$105,MATCH(ROW()-5,$AS$6:$AS$105,0)),"")</f>
        <v/>
      </c>
      <c r="AU13">
        <f>COUNTIFS($Z$6:$Z13,$AV$5,$AA$6:$AA13,"?*")</f>
        <v/>
      </c>
      <c r="AV13">
        <f>IFERROR(INDEX($AA$6:$AA$105,MATCH(ROW()-5,$AU$6:$AU$105,0)),"")</f>
        <v/>
      </c>
    </row>
    <row r="14">
      <c r="A14">
        <f>IF([1]Ops!$B$15="","",[1]Ops!$A$15)</f>
        <v/>
      </c>
      <c r="B14">
        <f>IF([1]Ops!$B$15="","",[1]Ops!$B$15)</f>
        <v/>
      </c>
      <c r="C14">
        <f>IF([1]Ops!$B$15="","",[1]Ops!$C$15)</f>
        <v/>
      </c>
      <c r="D14">
        <f>IF([1]Ops!$B$15="","",[1]Ops!$D$15)</f>
        <v/>
      </c>
      <c r="F14">
        <f>IF([1]Accounts!$D$15="","",[1]Accounts!$A$15)</f>
        <v/>
      </c>
      <c r="G14">
        <f>IF([1]Accounts!$D$15="","",[1]Accounts!$B$15)</f>
        <v/>
      </c>
      <c r="H14">
        <f>IF([1]Accounts!$D$15="","",[1]Accounts!$C$15)</f>
        <v/>
      </c>
      <c r="I14">
        <f>IF([1]Accounts!$D$15="","",[1]Accounts!$D$15)</f>
        <v/>
      </c>
      <c r="K14">
        <f>IF([1]Lists!$C$15="","",[1]Lists!$C$15)</f>
        <v/>
      </c>
      <c r="M14">
        <f>IF([1]Params!$A$15="","",[1]Params!$A$15)</f>
        <v/>
      </c>
      <c r="N14">
        <f>IF([1]Params!$B$15="","",[1]Params!$B$15)</f>
        <v/>
      </c>
      <c r="O14">
        <f>[1]Params!$C$15</f>
        <v/>
      </c>
      <c r="S14">
        <f>COUNTIF($B$6:$B14,"?*")</f>
        <v/>
      </c>
      <c r="T14">
        <f>IFERROR(INDEX($B$6:$B$25,MATCH(ROW()-5,$S$6:$S$25,0)),"")</f>
        <v/>
      </c>
      <c r="V14">
        <f>IF([1]MainGroups!$B$15="","",[1]MainGroups!$A$15)</f>
        <v/>
      </c>
      <c r="W14">
        <f>IF([1]MainGroups!$B$15="","",[1]MainGroups!$B$15)</f>
        <v/>
      </c>
      <c r="Y14">
        <f>IF([1]SubGroups!$C$15="","",[1]SubGroups!$A$15)</f>
        <v/>
      </c>
      <c r="Z14">
        <f>IF([1]SubGroups!$C$15="","",[1]SubGroups!$B$15)</f>
        <v/>
      </c>
      <c r="AA14">
        <f>IF([1]SubGroups!$C$15="","",[1]SubGroups!$C$15)</f>
        <v/>
      </c>
      <c r="AC14">
        <f>COUNTIFS($Z$6:$Z14,$AD$5,$AA$6:$AA14,"?*")</f>
        <v/>
      </c>
      <c r="AD14">
        <f>IFERROR(INDEX($AA$6:$AA$105,MATCH(ROW()-5,$AC$6:$AC$105,0)),"")</f>
        <v/>
      </c>
      <c r="AE14">
        <f>COUNTIFS($Z$6:$Z14,$AF$5,$AA$6:$AA14,"?*")</f>
        <v/>
      </c>
      <c r="AF14">
        <f>IFERROR(INDEX($AA$6:$AA$105,MATCH(ROW()-5,$AE$6:$AE$105,0)),"")</f>
        <v/>
      </c>
      <c r="AG14">
        <f>COUNTIFS($Z$6:$Z14,$AH$5,$AA$6:$AA14,"?*")</f>
        <v/>
      </c>
      <c r="AH14">
        <f>IFERROR(INDEX($AA$6:$AA$105,MATCH(ROW()-5,$AG$6:$AG$105,0)),"")</f>
        <v/>
      </c>
      <c r="AI14">
        <f>COUNTIFS($Z$6:$Z14,$AJ$5,$AA$6:$AA14,"?*")</f>
        <v/>
      </c>
      <c r="AJ14">
        <f>IFERROR(INDEX($AA$6:$AA$105,MATCH(ROW()-5,$AI$6:$AI$105,0)),"")</f>
        <v/>
      </c>
      <c r="AK14">
        <f>COUNTIFS($Z$6:$Z14,$AL$5,$AA$6:$AA14,"?*")</f>
        <v/>
      </c>
      <c r="AL14">
        <f>IFERROR(INDEX($AA$6:$AA$105,MATCH(ROW()-5,$AK$6:$AK$105,0)),"")</f>
        <v/>
      </c>
      <c r="AM14">
        <f>COUNTIFS($Z$6:$Z14,$AN$5,$AA$6:$AA14,"?*")</f>
        <v/>
      </c>
      <c r="AN14">
        <f>IFERROR(INDEX($AA$6:$AA$105,MATCH(ROW()-5,$AM$6:$AM$105,0)),"")</f>
        <v/>
      </c>
      <c r="AO14">
        <f>COUNTIFS($Z$6:$Z14,$AP$5,$AA$6:$AA14,"?*")</f>
        <v/>
      </c>
      <c r="AP14">
        <f>IFERROR(INDEX($AA$6:$AA$105,MATCH(ROW()-5,$AO$6:$AO$105,0)),"")</f>
        <v/>
      </c>
      <c r="AQ14">
        <f>COUNTIFS($Z$6:$Z14,$AR$5,$AA$6:$AA14,"?*")</f>
        <v/>
      </c>
      <c r="AR14">
        <f>IFERROR(INDEX($AA$6:$AA$105,MATCH(ROW()-5,$AQ$6:$AQ$105,0)),"")</f>
        <v/>
      </c>
      <c r="AS14">
        <f>COUNTIFS($Z$6:$Z14,$AT$5,$AA$6:$AA14,"?*")</f>
        <v/>
      </c>
      <c r="AT14">
        <f>IFERROR(INDEX($AA$6:$AA$105,MATCH(ROW()-5,$AS$6:$AS$105,0)),"")</f>
        <v/>
      </c>
      <c r="AU14">
        <f>COUNTIFS($Z$6:$Z14,$AV$5,$AA$6:$AA14,"?*")</f>
        <v/>
      </c>
      <c r="AV14">
        <f>IFERROR(INDEX($AA$6:$AA$105,MATCH(ROW()-5,$AU$6:$AU$105,0)),"")</f>
        <v/>
      </c>
    </row>
    <row r="15">
      <c r="A15">
        <f>IF([1]Ops!$B$16="","",[1]Ops!$A$16)</f>
        <v/>
      </c>
      <c r="B15">
        <f>IF([1]Ops!$B$16="","",[1]Ops!$B$16)</f>
        <v/>
      </c>
      <c r="C15">
        <f>IF([1]Ops!$B$16="","",[1]Ops!$C$16)</f>
        <v/>
      </c>
      <c r="D15">
        <f>IF([1]Ops!$B$16="","",[1]Ops!$D$16)</f>
        <v/>
      </c>
      <c r="F15">
        <f>IF([1]Accounts!$D$16="","",[1]Accounts!$A$16)</f>
        <v/>
      </c>
      <c r="G15">
        <f>IF([1]Accounts!$D$16="","",[1]Accounts!$B$16)</f>
        <v/>
      </c>
      <c r="H15">
        <f>IF([1]Accounts!$D$16="","",[1]Accounts!$C$16)</f>
        <v/>
      </c>
      <c r="I15">
        <f>IF([1]Accounts!$D$16="","",[1]Accounts!$D$16)</f>
        <v/>
      </c>
      <c r="K15">
        <f>IF([1]Lists!$C$16="","",[1]Lists!$C$16)</f>
        <v/>
      </c>
      <c r="M15">
        <f>IF([1]Params!$A$16="","",[1]Params!$A$16)</f>
        <v/>
      </c>
      <c r="N15">
        <f>IF([1]Params!$B$16="","",[1]Params!$B$16)</f>
        <v/>
      </c>
      <c r="O15">
        <f>[1]Params!$C$16</f>
        <v/>
      </c>
      <c r="S15">
        <f>COUNTIF($B$6:$B15,"?*")</f>
        <v/>
      </c>
      <c r="T15">
        <f>IFERROR(INDEX($B$6:$B$25,MATCH(ROW()-5,$S$6:$S$25,0)),"")</f>
        <v/>
      </c>
      <c r="V15">
        <f>IF([1]MainGroups!$B$16="","",[1]MainGroups!$A$16)</f>
        <v/>
      </c>
      <c r="W15">
        <f>IF([1]MainGroups!$B$16="","",[1]MainGroups!$B$16)</f>
        <v/>
      </c>
      <c r="Y15">
        <f>IF([1]SubGroups!$C$16="","",[1]SubGroups!$A$16)</f>
        <v/>
      </c>
      <c r="Z15">
        <f>IF([1]SubGroups!$C$16="","",[1]SubGroups!$B$16)</f>
        <v/>
      </c>
      <c r="AA15">
        <f>IF([1]SubGroups!$C$16="","",[1]SubGroups!$C$16)</f>
        <v/>
      </c>
      <c r="AC15">
        <f>COUNTIFS($Z$6:$Z15,$AD$5,$AA$6:$AA15,"?*")</f>
        <v/>
      </c>
      <c r="AD15">
        <f>IFERROR(INDEX($AA$6:$AA$105,MATCH(ROW()-5,$AC$6:$AC$105,0)),"")</f>
        <v/>
      </c>
      <c r="AE15">
        <f>COUNTIFS($Z$6:$Z15,$AF$5,$AA$6:$AA15,"?*")</f>
        <v/>
      </c>
      <c r="AF15">
        <f>IFERROR(INDEX($AA$6:$AA$105,MATCH(ROW()-5,$AE$6:$AE$105,0)),"")</f>
        <v/>
      </c>
      <c r="AG15">
        <f>COUNTIFS($Z$6:$Z15,$AH$5,$AA$6:$AA15,"?*")</f>
        <v/>
      </c>
      <c r="AH15">
        <f>IFERROR(INDEX($AA$6:$AA$105,MATCH(ROW()-5,$AG$6:$AG$105,0)),"")</f>
        <v/>
      </c>
      <c r="AI15">
        <f>COUNTIFS($Z$6:$Z15,$AJ$5,$AA$6:$AA15,"?*")</f>
        <v/>
      </c>
      <c r="AJ15">
        <f>IFERROR(INDEX($AA$6:$AA$105,MATCH(ROW()-5,$AI$6:$AI$105,0)),"")</f>
        <v/>
      </c>
      <c r="AK15">
        <f>COUNTIFS($Z$6:$Z15,$AL$5,$AA$6:$AA15,"?*")</f>
        <v/>
      </c>
      <c r="AL15">
        <f>IFERROR(INDEX($AA$6:$AA$105,MATCH(ROW()-5,$AK$6:$AK$105,0)),"")</f>
        <v/>
      </c>
      <c r="AM15">
        <f>COUNTIFS($Z$6:$Z15,$AN$5,$AA$6:$AA15,"?*")</f>
        <v/>
      </c>
      <c r="AN15">
        <f>IFERROR(INDEX($AA$6:$AA$105,MATCH(ROW()-5,$AM$6:$AM$105,0)),"")</f>
        <v/>
      </c>
      <c r="AO15">
        <f>COUNTIFS($Z$6:$Z15,$AP$5,$AA$6:$AA15,"?*")</f>
        <v/>
      </c>
      <c r="AP15">
        <f>IFERROR(INDEX($AA$6:$AA$105,MATCH(ROW()-5,$AO$6:$AO$105,0)),"")</f>
        <v/>
      </c>
      <c r="AQ15">
        <f>COUNTIFS($Z$6:$Z15,$AR$5,$AA$6:$AA15,"?*")</f>
        <v/>
      </c>
      <c r="AR15">
        <f>IFERROR(INDEX($AA$6:$AA$105,MATCH(ROW()-5,$AQ$6:$AQ$105,0)),"")</f>
        <v/>
      </c>
      <c r="AS15">
        <f>COUNTIFS($Z$6:$Z15,$AT$5,$AA$6:$AA15,"?*")</f>
        <v/>
      </c>
      <c r="AT15">
        <f>IFERROR(INDEX($AA$6:$AA$105,MATCH(ROW()-5,$AS$6:$AS$105,0)),"")</f>
        <v/>
      </c>
      <c r="AU15">
        <f>COUNTIFS($Z$6:$Z15,$AV$5,$AA$6:$AA15,"?*")</f>
        <v/>
      </c>
      <c r="AV15">
        <f>IFERROR(INDEX($AA$6:$AA$105,MATCH(ROW()-5,$AU$6:$AU$105,0)),"")</f>
        <v/>
      </c>
    </row>
    <row r="16">
      <c r="A16">
        <f>IF([1]Ops!$B$17="","",[1]Ops!$A$17)</f>
        <v/>
      </c>
      <c r="B16">
        <f>IF([1]Ops!$B$17="","",[1]Ops!$B$17)</f>
        <v/>
      </c>
      <c r="C16">
        <f>IF([1]Ops!$B$17="","",[1]Ops!$C$17)</f>
        <v/>
      </c>
      <c r="D16">
        <f>IF([1]Ops!$B$17="","",[1]Ops!$D$17)</f>
        <v/>
      </c>
      <c r="F16">
        <f>IF([1]Accounts!$D$17="","",[1]Accounts!$A$17)</f>
        <v/>
      </c>
      <c r="G16">
        <f>IF([1]Accounts!$D$17="","",[1]Accounts!$B$17)</f>
        <v/>
      </c>
      <c r="H16">
        <f>IF([1]Accounts!$D$17="","",[1]Accounts!$C$17)</f>
        <v/>
      </c>
      <c r="I16">
        <f>IF([1]Accounts!$D$17="","",[1]Accounts!$D$17)</f>
        <v/>
      </c>
      <c r="K16">
        <f>IF([1]Lists!$C$17="","",[1]Lists!$C$17)</f>
        <v/>
      </c>
      <c r="M16">
        <f>IF([1]Params!$A$17="","",[1]Params!$A$17)</f>
        <v/>
      </c>
      <c r="N16">
        <f>IF([1]Params!$B$17="","",[1]Params!$B$17)</f>
        <v/>
      </c>
      <c r="O16">
        <f>[1]Params!$C$17</f>
        <v/>
      </c>
      <c r="S16">
        <f>COUNTIF($B$6:$B16,"?*")</f>
        <v/>
      </c>
      <c r="T16">
        <f>IFERROR(INDEX($B$6:$B$25,MATCH(ROW()-5,$S$6:$S$25,0)),"")</f>
        <v/>
      </c>
      <c r="Y16">
        <f>IF([1]SubGroups!$C$17="","",[1]SubGroups!$A$17)</f>
        <v/>
      </c>
      <c r="Z16">
        <f>IF([1]SubGroups!$C$17="","",[1]SubGroups!$B$17)</f>
        <v/>
      </c>
      <c r="AA16">
        <f>IF([1]SubGroups!$C$17="","",[1]SubGroups!$C$17)</f>
        <v/>
      </c>
      <c r="AC16">
        <f>COUNTIFS($Z$6:$Z16,$AD$5,$AA$6:$AA16,"?*")</f>
        <v/>
      </c>
      <c r="AD16">
        <f>IFERROR(INDEX($AA$6:$AA$105,MATCH(ROW()-5,$AC$6:$AC$105,0)),"")</f>
        <v/>
      </c>
      <c r="AE16">
        <f>COUNTIFS($Z$6:$Z16,$AF$5,$AA$6:$AA16,"?*")</f>
        <v/>
      </c>
      <c r="AF16">
        <f>IFERROR(INDEX($AA$6:$AA$105,MATCH(ROW()-5,$AE$6:$AE$105,0)),"")</f>
        <v/>
      </c>
      <c r="AG16">
        <f>COUNTIFS($Z$6:$Z16,$AH$5,$AA$6:$AA16,"?*")</f>
        <v/>
      </c>
      <c r="AH16">
        <f>IFERROR(INDEX($AA$6:$AA$105,MATCH(ROW()-5,$AG$6:$AG$105,0)),"")</f>
        <v/>
      </c>
      <c r="AI16">
        <f>COUNTIFS($Z$6:$Z16,$AJ$5,$AA$6:$AA16,"?*")</f>
        <v/>
      </c>
      <c r="AJ16">
        <f>IFERROR(INDEX($AA$6:$AA$105,MATCH(ROW()-5,$AI$6:$AI$105,0)),"")</f>
        <v/>
      </c>
      <c r="AK16">
        <f>COUNTIFS($Z$6:$Z16,$AL$5,$AA$6:$AA16,"?*")</f>
        <v/>
      </c>
      <c r="AL16">
        <f>IFERROR(INDEX($AA$6:$AA$105,MATCH(ROW()-5,$AK$6:$AK$105,0)),"")</f>
        <v/>
      </c>
      <c r="AM16">
        <f>COUNTIFS($Z$6:$Z16,$AN$5,$AA$6:$AA16,"?*")</f>
        <v/>
      </c>
      <c r="AN16">
        <f>IFERROR(INDEX($AA$6:$AA$105,MATCH(ROW()-5,$AM$6:$AM$105,0)),"")</f>
        <v/>
      </c>
      <c r="AO16">
        <f>COUNTIFS($Z$6:$Z16,$AP$5,$AA$6:$AA16,"?*")</f>
        <v/>
      </c>
      <c r="AP16">
        <f>IFERROR(INDEX($AA$6:$AA$105,MATCH(ROW()-5,$AO$6:$AO$105,0)),"")</f>
        <v/>
      </c>
      <c r="AQ16">
        <f>COUNTIFS($Z$6:$Z16,$AR$5,$AA$6:$AA16,"?*")</f>
        <v/>
      </c>
      <c r="AR16">
        <f>IFERROR(INDEX($AA$6:$AA$105,MATCH(ROW()-5,$AQ$6:$AQ$105,0)),"")</f>
        <v/>
      </c>
      <c r="AS16">
        <f>COUNTIFS($Z$6:$Z16,$AT$5,$AA$6:$AA16,"?*")</f>
        <v/>
      </c>
      <c r="AT16">
        <f>IFERROR(INDEX($AA$6:$AA$105,MATCH(ROW()-5,$AS$6:$AS$105,0)),"")</f>
        <v/>
      </c>
      <c r="AU16">
        <f>COUNTIFS($Z$6:$Z16,$AV$5,$AA$6:$AA16,"?*")</f>
        <v/>
      </c>
      <c r="AV16">
        <f>IFERROR(INDEX($AA$6:$AA$105,MATCH(ROW()-5,$AU$6:$AU$105,0)),"")</f>
        <v/>
      </c>
    </row>
    <row r="17">
      <c r="A17">
        <f>IF([1]Ops!$B$18="","",[1]Ops!$A$18)</f>
        <v/>
      </c>
      <c r="B17">
        <f>IF([1]Ops!$B$18="","",[1]Ops!$B$18)</f>
        <v/>
      </c>
      <c r="C17">
        <f>IF([1]Ops!$B$18="","",[1]Ops!$C$18)</f>
        <v/>
      </c>
      <c r="D17">
        <f>IF([1]Ops!$B$18="","",[1]Ops!$D$18)</f>
        <v/>
      </c>
      <c r="F17">
        <f>IF([1]Accounts!$D$18="","",[1]Accounts!$A$18)</f>
        <v/>
      </c>
      <c r="G17">
        <f>IF([1]Accounts!$D$18="","",[1]Accounts!$B$18)</f>
        <v/>
      </c>
      <c r="H17">
        <f>IF([1]Accounts!$D$18="","",[1]Accounts!$C$18)</f>
        <v/>
      </c>
      <c r="I17">
        <f>IF([1]Accounts!$D$18="","",[1]Accounts!$D$18)</f>
        <v/>
      </c>
      <c r="K17">
        <f>IF([1]Lists!$C$18="","",[1]Lists!$C$18)</f>
        <v/>
      </c>
      <c r="M17">
        <f>IF([1]Params!$A$18="","",[1]Params!$A$18)</f>
        <v/>
      </c>
      <c r="N17">
        <f>IF([1]Params!$B$18="","",[1]Params!$B$18)</f>
        <v/>
      </c>
      <c r="O17">
        <f>[1]Params!$C$18</f>
        <v/>
      </c>
      <c r="S17">
        <f>COUNTIF($B$6:$B17,"?*")</f>
        <v/>
      </c>
      <c r="T17">
        <f>IFERROR(INDEX($B$6:$B$25,MATCH(ROW()-5,$S$6:$S$25,0)),"")</f>
        <v/>
      </c>
      <c r="Y17">
        <f>IF([1]SubGroups!$C$18="","",[1]SubGroups!$A$18)</f>
        <v/>
      </c>
      <c r="Z17">
        <f>IF([1]SubGroups!$C$18="","",[1]SubGroups!$B$18)</f>
        <v/>
      </c>
      <c r="AA17">
        <f>IF([1]SubGroups!$C$18="","",[1]SubGroups!$C$18)</f>
        <v/>
      </c>
      <c r="AC17">
        <f>COUNTIFS($Z$6:$Z17,$AD$5,$AA$6:$AA17,"?*")</f>
        <v/>
      </c>
      <c r="AD17">
        <f>IFERROR(INDEX($AA$6:$AA$105,MATCH(ROW()-5,$AC$6:$AC$105,0)),"")</f>
        <v/>
      </c>
      <c r="AE17">
        <f>COUNTIFS($Z$6:$Z17,$AF$5,$AA$6:$AA17,"?*")</f>
        <v/>
      </c>
      <c r="AF17">
        <f>IFERROR(INDEX($AA$6:$AA$105,MATCH(ROW()-5,$AE$6:$AE$105,0)),"")</f>
        <v/>
      </c>
      <c r="AG17">
        <f>COUNTIFS($Z$6:$Z17,$AH$5,$AA$6:$AA17,"?*")</f>
        <v/>
      </c>
      <c r="AH17">
        <f>IFERROR(INDEX($AA$6:$AA$105,MATCH(ROW()-5,$AG$6:$AG$105,0)),"")</f>
        <v/>
      </c>
      <c r="AI17">
        <f>COUNTIFS($Z$6:$Z17,$AJ$5,$AA$6:$AA17,"?*")</f>
        <v/>
      </c>
      <c r="AJ17">
        <f>IFERROR(INDEX($AA$6:$AA$105,MATCH(ROW()-5,$AI$6:$AI$105,0)),"")</f>
        <v/>
      </c>
      <c r="AK17">
        <f>COUNTIFS($Z$6:$Z17,$AL$5,$AA$6:$AA17,"?*")</f>
        <v/>
      </c>
      <c r="AL17">
        <f>IFERROR(INDEX($AA$6:$AA$105,MATCH(ROW()-5,$AK$6:$AK$105,0)),"")</f>
        <v/>
      </c>
      <c r="AM17">
        <f>COUNTIFS($Z$6:$Z17,$AN$5,$AA$6:$AA17,"?*")</f>
        <v/>
      </c>
      <c r="AN17">
        <f>IFERROR(INDEX($AA$6:$AA$105,MATCH(ROW()-5,$AM$6:$AM$105,0)),"")</f>
        <v/>
      </c>
      <c r="AO17">
        <f>COUNTIFS($Z$6:$Z17,$AP$5,$AA$6:$AA17,"?*")</f>
        <v/>
      </c>
      <c r="AP17">
        <f>IFERROR(INDEX($AA$6:$AA$105,MATCH(ROW()-5,$AO$6:$AO$105,0)),"")</f>
        <v/>
      </c>
      <c r="AQ17">
        <f>COUNTIFS($Z$6:$Z17,$AR$5,$AA$6:$AA17,"?*")</f>
        <v/>
      </c>
      <c r="AR17">
        <f>IFERROR(INDEX($AA$6:$AA$105,MATCH(ROW()-5,$AQ$6:$AQ$105,0)),"")</f>
        <v/>
      </c>
      <c r="AS17">
        <f>COUNTIFS($Z$6:$Z17,$AT$5,$AA$6:$AA17,"?*")</f>
        <v/>
      </c>
      <c r="AT17">
        <f>IFERROR(INDEX($AA$6:$AA$105,MATCH(ROW()-5,$AS$6:$AS$105,0)),"")</f>
        <v/>
      </c>
      <c r="AU17">
        <f>COUNTIFS($Z$6:$Z17,$AV$5,$AA$6:$AA17,"?*")</f>
        <v/>
      </c>
      <c r="AV17">
        <f>IFERROR(INDEX($AA$6:$AA$105,MATCH(ROW()-5,$AU$6:$AU$105,0)),"")</f>
        <v/>
      </c>
    </row>
    <row r="18">
      <c r="A18">
        <f>IF([1]Ops!$B$19="","",[1]Ops!$A$19)</f>
        <v/>
      </c>
      <c r="B18">
        <f>IF([1]Ops!$B$19="","",[1]Ops!$B$19)</f>
        <v/>
      </c>
      <c r="C18">
        <f>IF([1]Ops!$B$19="","",[1]Ops!$C$19)</f>
        <v/>
      </c>
      <c r="D18">
        <f>IF([1]Ops!$B$19="","",[1]Ops!$D$19)</f>
        <v/>
      </c>
      <c r="F18">
        <f>IF([1]Accounts!$D$19="","",[1]Accounts!$A$19)</f>
        <v/>
      </c>
      <c r="G18">
        <f>IF([1]Accounts!$D$19="","",[1]Accounts!$B$19)</f>
        <v/>
      </c>
      <c r="H18">
        <f>IF([1]Accounts!$D$19="","",[1]Accounts!$C$19)</f>
        <v/>
      </c>
      <c r="I18">
        <f>IF([1]Accounts!$D$19="","",[1]Accounts!$D$19)</f>
        <v/>
      </c>
      <c r="K18">
        <f>IF([1]Lists!$C$19="","",[1]Lists!$C$19)</f>
        <v/>
      </c>
      <c r="S18">
        <f>COUNTIF($B$6:$B18,"?*")</f>
        <v/>
      </c>
      <c r="T18">
        <f>IFERROR(INDEX($B$6:$B$25,MATCH(ROW()-5,$S$6:$S$25,0)),"")</f>
        <v/>
      </c>
      <c r="Y18">
        <f>IF([1]SubGroups!$C$19="","",[1]SubGroups!$A$19)</f>
        <v/>
      </c>
      <c r="Z18">
        <f>IF([1]SubGroups!$C$19="","",[1]SubGroups!$B$19)</f>
        <v/>
      </c>
      <c r="AA18">
        <f>IF([1]SubGroups!$C$19="","",[1]SubGroups!$C$19)</f>
        <v/>
      </c>
      <c r="AC18">
        <f>COUNTIFS($Z$6:$Z18,$AD$5,$AA$6:$AA18,"?*")</f>
        <v/>
      </c>
      <c r="AD18">
        <f>IFERROR(INDEX($AA$6:$AA$105,MATCH(ROW()-5,$AC$6:$AC$105,0)),"")</f>
        <v/>
      </c>
      <c r="AE18">
        <f>COUNTIFS($Z$6:$Z18,$AF$5,$AA$6:$AA18,"?*")</f>
        <v/>
      </c>
      <c r="AF18">
        <f>IFERROR(INDEX($AA$6:$AA$105,MATCH(ROW()-5,$AE$6:$AE$105,0)),"")</f>
        <v/>
      </c>
      <c r="AG18">
        <f>COUNTIFS($Z$6:$Z18,$AH$5,$AA$6:$AA18,"?*")</f>
        <v/>
      </c>
      <c r="AH18">
        <f>IFERROR(INDEX($AA$6:$AA$105,MATCH(ROW()-5,$AG$6:$AG$105,0)),"")</f>
        <v/>
      </c>
      <c r="AI18">
        <f>COUNTIFS($Z$6:$Z18,$AJ$5,$AA$6:$AA18,"?*")</f>
        <v/>
      </c>
      <c r="AJ18">
        <f>IFERROR(INDEX($AA$6:$AA$105,MATCH(ROW()-5,$AI$6:$AI$105,0)),"")</f>
        <v/>
      </c>
      <c r="AK18">
        <f>COUNTIFS($Z$6:$Z18,$AL$5,$AA$6:$AA18,"?*")</f>
        <v/>
      </c>
      <c r="AL18">
        <f>IFERROR(INDEX($AA$6:$AA$105,MATCH(ROW()-5,$AK$6:$AK$105,0)),"")</f>
        <v/>
      </c>
      <c r="AM18">
        <f>COUNTIFS($Z$6:$Z18,$AN$5,$AA$6:$AA18,"?*")</f>
        <v/>
      </c>
      <c r="AN18">
        <f>IFERROR(INDEX($AA$6:$AA$105,MATCH(ROW()-5,$AM$6:$AM$105,0)),"")</f>
        <v/>
      </c>
      <c r="AO18">
        <f>COUNTIFS($Z$6:$Z18,$AP$5,$AA$6:$AA18,"?*")</f>
        <v/>
      </c>
      <c r="AP18">
        <f>IFERROR(INDEX($AA$6:$AA$105,MATCH(ROW()-5,$AO$6:$AO$105,0)),"")</f>
        <v/>
      </c>
      <c r="AQ18">
        <f>COUNTIFS($Z$6:$Z18,$AR$5,$AA$6:$AA18,"?*")</f>
        <v/>
      </c>
      <c r="AR18">
        <f>IFERROR(INDEX($AA$6:$AA$105,MATCH(ROW()-5,$AQ$6:$AQ$105,0)),"")</f>
        <v/>
      </c>
      <c r="AS18">
        <f>COUNTIFS($Z$6:$Z18,$AT$5,$AA$6:$AA18,"?*")</f>
        <v/>
      </c>
      <c r="AT18">
        <f>IFERROR(INDEX($AA$6:$AA$105,MATCH(ROW()-5,$AS$6:$AS$105,0)),"")</f>
        <v/>
      </c>
      <c r="AU18">
        <f>COUNTIFS($Z$6:$Z18,$AV$5,$AA$6:$AA18,"?*")</f>
        <v/>
      </c>
      <c r="AV18">
        <f>IFERROR(INDEX($AA$6:$AA$105,MATCH(ROW()-5,$AU$6:$AU$105,0)),"")</f>
        <v/>
      </c>
    </row>
    <row r="19">
      <c r="A19">
        <f>IF([1]Ops!$B$20="","",[1]Ops!$A$20)</f>
        <v/>
      </c>
      <c r="B19">
        <f>IF([1]Ops!$B$20="","",[1]Ops!$B$20)</f>
        <v/>
      </c>
      <c r="C19">
        <f>IF([1]Ops!$B$20="","",[1]Ops!$C$20)</f>
        <v/>
      </c>
      <c r="D19">
        <f>IF([1]Ops!$B$20="","",[1]Ops!$D$20)</f>
        <v/>
      </c>
      <c r="F19">
        <f>IF([1]Accounts!$D$20="","",[1]Accounts!$A$20)</f>
        <v/>
      </c>
      <c r="G19">
        <f>IF([1]Accounts!$D$20="","",[1]Accounts!$B$20)</f>
        <v/>
      </c>
      <c r="H19">
        <f>IF([1]Accounts!$D$20="","",[1]Accounts!$C$20)</f>
        <v/>
      </c>
      <c r="I19">
        <f>IF([1]Accounts!$D$20="","",[1]Accounts!$D$20)</f>
        <v/>
      </c>
      <c r="K19">
        <f>IF([1]Lists!$C$20="","",[1]Lists!$C$20)</f>
        <v/>
      </c>
      <c r="S19">
        <f>COUNTIF($B$6:$B19,"?*")</f>
        <v/>
      </c>
      <c r="T19">
        <f>IFERROR(INDEX($B$6:$B$25,MATCH(ROW()-5,$S$6:$S$25,0)),"")</f>
        <v/>
      </c>
      <c r="Y19">
        <f>IF([1]SubGroups!$C$20="","",[1]SubGroups!$A$20)</f>
        <v/>
      </c>
      <c r="Z19">
        <f>IF([1]SubGroups!$C$20="","",[1]SubGroups!$B$20)</f>
        <v/>
      </c>
      <c r="AA19">
        <f>IF([1]SubGroups!$C$20="","",[1]SubGroups!$C$20)</f>
        <v/>
      </c>
      <c r="AC19">
        <f>COUNTIFS($Z$6:$Z19,$AD$5,$AA$6:$AA19,"?*")</f>
        <v/>
      </c>
      <c r="AD19">
        <f>IFERROR(INDEX($AA$6:$AA$105,MATCH(ROW()-5,$AC$6:$AC$105,0)),"")</f>
        <v/>
      </c>
      <c r="AE19">
        <f>COUNTIFS($Z$6:$Z19,$AF$5,$AA$6:$AA19,"?*")</f>
        <v/>
      </c>
      <c r="AF19">
        <f>IFERROR(INDEX($AA$6:$AA$105,MATCH(ROW()-5,$AE$6:$AE$105,0)),"")</f>
        <v/>
      </c>
      <c r="AG19">
        <f>COUNTIFS($Z$6:$Z19,$AH$5,$AA$6:$AA19,"?*")</f>
        <v/>
      </c>
      <c r="AH19">
        <f>IFERROR(INDEX($AA$6:$AA$105,MATCH(ROW()-5,$AG$6:$AG$105,0)),"")</f>
        <v/>
      </c>
      <c r="AI19">
        <f>COUNTIFS($Z$6:$Z19,$AJ$5,$AA$6:$AA19,"?*")</f>
        <v/>
      </c>
      <c r="AJ19">
        <f>IFERROR(INDEX($AA$6:$AA$105,MATCH(ROW()-5,$AI$6:$AI$105,0)),"")</f>
        <v/>
      </c>
      <c r="AK19">
        <f>COUNTIFS($Z$6:$Z19,$AL$5,$AA$6:$AA19,"?*")</f>
        <v/>
      </c>
      <c r="AL19">
        <f>IFERROR(INDEX($AA$6:$AA$105,MATCH(ROW()-5,$AK$6:$AK$105,0)),"")</f>
        <v/>
      </c>
      <c r="AM19">
        <f>COUNTIFS($Z$6:$Z19,$AN$5,$AA$6:$AA19,"?*")</f>
        <v/>
      </c>
      <c r="AN19">
        <f>IFERROR(INDEX($AA$6:$AA$105,MATCH(ROW()-5,$AM$6:$AM$105,0)),"")</f>
        <v/>
      </c>
      <c r="AO19">
        <f>COUNTIFS($Z$6:$Z19,$AP$5,$AA$6:$AA19,"?*")</f>
        <v/>
      </c>
      <c r="AP19">
        <f>IFERROR(INDEX($AA$6:$AA$105,MATCH(ROW()-5,$AO$6:$AO$105,0)),"")</f>
        <v/>
      </c>
      <c r="AQ19">
        <f>COUNTIFS($Z$6:$Z19,$AR$5,$AA$6:$AA19,"?*")</f>
        <v/>
      </c>
      <c r="AR19">
        <f>IFERROR(INDEX($AA$6:$AA$105,MATCH(ROW()-5,$AQ$6:$AQ$105,0)),"")</f>
        <v/>
      </c>
      <c r="AS19">
        <f>COUNTIFS($Z$6:$Z19,$AT$5,$AA$6:$AA19,"?*")</f>
        <v/>
      </c>
      <c r="AT19">
        <f>IFERROR(INDEX($AA$6:$AA$105,MATCH(ROW()-5,$AS$6:$AS$105,0)),"")</f>
        <v/>
      </c>
      <c r="AU19">
        <f>COUNTIFS($Z$6:$Z19,$AV$5,$AA$6:$AA19,"?*")</f>
        <v/>
      </c>
      <c r="AV19">
        <f>IFERROR(INDEX($AA$6:$AA$105,MATCH(ROW()-5,$AU$6:$AU$105,0)),"")</f>
        <v/>
      </c>
    </row>
    <row r="20">
      <c r="A20">
        <f>IF([1]Ops!$B$21="","",[1]Ops!$A$21)</f>
        <v/>
      </c>
      <c r="B20">
        <f>IF([1]Ops!$B$21="","",[1]Ops!$B$21)</f>
        <v/>
      </c>
      <c r="C20">
        <f>IF([1]Ops!$B$21="","",[1]Ops!$C$21)</f>
        <v/>
      </c>
      <c r="D20">
        <f>IF([1]Ops!$B$21="","",[1]Ops!$D$21)</f>
        <v/>
      </c>
      <c r="F20">
        <f>IF([1]Accounts!$D$21="","",[1]Accounts!$A$21)</f>
        <v/>
      </c>
      <c r="G20">
        <f>IF([1]Accounts!$D$21="","",[1]Accounts!$B$21)</f>
        <v/>
      </c>
      <c r="H20">
        <f>IF([1]Accounts!$D$21="","",[1]Accounts!$C$21)</f>
        <v/>
      </c>
      <c r="I20">
        <f>IF([1]Accounts!$D$21="","",[1]Accounts!$D$21)</f>
        <v/>
      </c>
      <c r="K20">
        <f>IF([1]Lists!$C$21="","",[1]Lists!$C$21)</f>
        <v/>
      </c>
      <c r="S20">
        <f>COUNTIF($B$6:$B20,"?*")</f>
        <v/>
      </c>
      <c r="T20">
        <f>IFERROR(INDEX($B$6:$B$25,MATCH(ROW()-5,$S$6:$S$25,0)),"")</f>
        <v/>
      </c>
      <c r="Y20">
        <f>IF([1]SubGroups!$C$21="","",[1]SubGroups!$A$21)</f>
        <v/>
      </c>
      <c r="Z20">
        <f>IF([1]SubGroups!$C$21="","",[1]SubGroups!$B$21)</f>
        <v/>
      </c>
      <c r="AA20">
        <f>IF([1]SubGroups!$C$21="","",[1]SubGroups!$C$21)</f>
        <v/>
      </c>
      <c r="AC20">
        <f>COUNTIFS($Z$6:$Z20,$AD$5,$AA$6:$AA20,"?*")</f>
        <v/>
      </c>
      <c r="AD20">
        <f>IFERROR(INDEX($AA$6:$AA$105,MATCH(ROW()-5,$AC$6:$AC$105,0)),"")</f>
        <v/>
      </c>
      <c r="AE20">
        <f>COUNTIFS($Z$6:$Z20,$AF$5,$AA$6:$AA20,"?*")</f>
        <v/>
      </c>
      <c r="AF20">
        <f>IFERROR(INDEX($AA$6:$AA$105,MATCH(ROW()-5,$AE$6:$AE$105,0)),"")</f>
        <v/>
      </c>
      <c r="AG20">
        <f>COUNTIFS($Z$6:$Z20,$AH$5,$AA$6:$AA20,"?*")</f>
        <v/>
      </c>
      <c r="AH20">
        <f>IFERROR(INDEX($AA$6:$AA$105,MATCH(ROW()-5,$AG$6:$AG$105,0)),"")</f>
        <v/>
      </c>
      <c r="AI20">
        <f>COUNTIFS($Z$6:$Z20,$AJ$5,$AA$6:$AA20,"?*")</f>
        <v/>
      </c>
      <c r="AJ20">
        <f>IFERROR(INDEX($AA$6:$AA$105,MATCH(ROW()-5,$AI$6:$AI$105,0)),"")</f>
        <v/>
      </c>
      <c r="AK20">
        <f>COUNTIFS($Z$6:$Z20,$AL$5,$AA$6:$AA20,"?*")</f>
        <v/>
      </c>
      <c r="AL20">
        <f>IFERROR(INDEX($AA$6:$AA$105,MATCH(ROW()-5,$AK$6:$AK$105,0)),"")</f>
        <v/>
      </c>
      <c r="AM20">
        <f>COUNTIFS($Z$6:$Z20,$AN$5,$AA$6:$AA20,"?*")</f>
        <v/>
      </c>
      <c r="AN20">
        <f>IFERROR(INDEX($AA$6:$AA$105,MATCH(ROW()-5,$AM$6:$AM$105,0)),"")</f>
        <v/>
      </c>
      <c r="AO20">
        <f>COUNTIFS($Z$6:$Z20,$AP$5,$AA$6:$AA20,"?*")</f>
        <v/>
      </c>
      <c r="AP20">
        <f>IFERROR(INDEX($AA$6:$AA$105,MATCH(ROW()-5,$AO$6:$AO$105,0)),"")</f>
        <v/>
      </c>
      <c r="AQ20">
        <f>COUNTIFS($Z$6:$Z20,$AR$5,$AA$6:$AA20,"?*")</f>
        <v/>
      </c>
      <c r="AR20">
        <f>IFERROR(INDEX($AA$6:$AA$105,MATCH(ROW()-5,$AQ$6:$AQ$105,0)),"")</f>
        <v/>
      </c>
      <c r="AS20">
        <f>COUNTIFS($Z$6:$Z20,$AT$5,$AA$6:$AA20,"?*")</f>
        <v/>
      </c>
      <c r="AT20">
        <f>IFERROR(INDEX($AA$6:$AA$105,MATCH(ROW()-5,$AS$6:$AS$105,0)),"")</f>
        <v/>
      </c>
      <c r="AU20">
        <f>COUNTIFS($Z$6:$Z20,$AV$5,$AA$6:$AA20,"?*")</f>
        <v/>
      </c>
      <c r="AV20">
        <f>IFERROR(INDEX($AA$6:$AA$105,MATCH(ROW()-5,$AU$6:$AU$105,0)),"")</f>
        <v/>
      </c>
    </row>
    <row r="21">
      <c r="A21">
        <f>IF([1]Ops!$B$22="","",[1]Ops!$A$22)</f>
        <v/>
      </c>
      <c r="B21">
        <f>IF([1]Ops!$B$22="","",[1]Ops!$B$22)</f>
        <v/>
      </c>
      <c r="C21">
        <f>IF([1]Ops!$B$22="","",[1]Ops!$C$22)</f>
        <v/>
      </c>
      <c r="D21">
        <f>IF([1]Ops!$B$22="","",[1]Ops!$D$22)</f>
        <v/>
      </c>
      <c r="F21">
        <f>IF([1]Accounts!$D$22="","",[1]Accounts!$A$22)</f>
        <v/>
      </c>
      <c r="G21">
        <f>IF([1]Accounts!$D$22="","",[1]Accounts!$B$22)</f>
        <v/>
      </c>
      <c r="H21">
        <f>IF([1]Accounts!$D$22="","",[1]Accounts!$C$22)</f>
        <v/>
      </c>
      <c r="I21">
        <f>IF([1]Accounts!$D$22="","",[1]Accounts!$D$22)</f>
        <v/>
      </c>
      <c r="K21">
        <f>IF([1]Lists!$C$22="","",[1]Lists!$C$22)</f>
        <v/>
      </c>
      <c r="S21">
        <f>COUNTIF($B$6:$B21,"?*")</f>
        <v/>
      </c>
      <c r="T21">
        <f>IFERROR(INDEX($B$6:$B$25,MATCH(ROW()-5,$S$6:$S$25,0)),"")</f>
        <v/>
      </c>
      <c r="Y21">
        <f>IF([1]SubGroups!$C$22="","",[1]SubGroups!$A$22)</f>
        <v/>
      </c>
      <c r="Z21">
        <f>IF([1]SubGroups!$C$22="","",[1]SubGroups!$B$22)</f>
        <v/>
      </c>
      <c r="AA21">
        <f>IF([1]SubGroups!$C$22="","",[1]SubGroups!$C$22)</f>
        <v/>
      </c>
      <c r="AC21">
        <f>COUNTIFS($Z$6:$Z21,$AD$5,$AA$6:$AA21,"?*")</f>
        <v/>
      </c>
      <c r="AD21">
        <f>IFERROR(INDEX($AA$6:$AA$105,MATCH(ROW()-5,$AC$6:$AC$105,0)),"")</f>
        <v/>
      </c>
      <c r="AE21">
        <f>COUNTIFS($Z$6:$Z21,$AF$5,$AA$6:$AA21,"?*")</f>
        <v/>
      </c>
      <c r="AF21">
        <f>IFERROR(INDEX($AA$6:$AA$105,MATCH(ROW()-5,$AE$6:$AE$105,0)),"")</f>
        <v/>
      </c>
      <c r="AG21">
        <f>COUNTIFS($Z$6:$Z21,$AH$5,$AA$6:$AA21,"?*")</f>
        <v/>
      </c>
      <c r="AH21">
        <f>IFERROR(INDEX($AA$6:$AA$105,MATCH(ROW()-5,$AG$6:$AG$105,0)),"")</f>
        <v/>
      </c>
      <c r="AI21">
        <f>COUNTIFS($Z$6:$Z21,$AJ$5,$AA$6:$AA21,"?*")</f>
        <v/>
      </c>
      <c r="AJ21">
        <f>IFERROR(INDEX($AA$6:$AA$105,MATCH(ROW()-5,$AI$6:$AI$105,0)),"")</f>
        <v/>
      </c>
      <c r="AK21">
        <f>COUNTIFS($Z$6:$Z21,$AL$5,$AA$6:$AA21,"?*")</f>
        <v/>
      </c>
      <c r="AL21">
        <f>IFERROR(INDEX($AA$6:$AA$105,MATCH(ROW()-5,$AK$6:$AK$105,0)),"")</f>
        <v/>
      </c>
      <c r="AM21">
        <f>COUNTIFS($Z$6:$Z21,$AN$5,$AA$6:$AA21,"?*")</f>
        <v/>
      </c>
      <c r="AN21">
        <f>IFERROR(INDEX($AA$6:$AA$105,MATCH(ROW()-5,$AM$6:$AM$105,0)),"")</f>
        <v/>
      </c>
      <c r="AO21">
        <f>COUNTIFS($Z$6:$Z21,$AP$5,$AA$6:$AA21,"?*")</f>
        <v/>
      </c>
      <c r="AP21">
        <f>IFERROR(INDEX($AA$6:$AA$105,MATCH(ROW()-5,$AO$6:$AO$105,0)),"")</f>
        <v/>
      </c>
      <c r="AQ21">
        <f>COUNTIFS($Z$6:$Z21,$AR$5,$AA$6:$AA21,"?*")</f>
        <v/>
      </c>
      <c r="AR21">
        <f>IFERROR(INDEX($AA$6:$AA$105,MATCH(ROW()-5,$AQ$6:$AQ$105,0)),"")</f>
        <v/>
      </c>
      <c r="AS21">
        <f>COUNTIFS($Z$6:$Z21,$AT$5,$AA$6:$AA21,"?*")</f>
        <v/>
      </c>
      <c r="AT21">
        <f>IFERROR(INDEX($AA$6:$AA$105,MATCH(ROW()-5,$AS$6:$AS$105,0)),"")</f>
        <v/>
      </c>
      <c r="AU21">
        <f>COUNTIFS($Z$6:$Z21,$AV$5,$AA$6:$AA21,"?*")</f>
        <v/>
      </c>
      <c r="AV21">
        <f>IFERROR(INDEX($AA$6:$AA$105,MATCH(ROW()-5,$AU$6:$AU$105,0)),"")</f>
        <v/>
      </c>
    </row>
    <row r="22">
      <c r="A22">
        <f>IF([1]Ops!$B$23="","",[1]Ops!$A$23)</f>
        <v/>
      </c>
      <c r="B22">
        <f>IF([1]Ops!$B$23="","",[1]Ops!$B$23)</f>
        <v/>
      </c>
      <c r="C22">
        <f>IF([1]Ops!$B$23="","",[1]Ops!$C$23)</f>
        <v/>
      </c>
      <c r="D22">
        <f>IF([1]Ops!$B$23="","",[1]Ops!$D$23)</f>
        <v/>
      </c>
      <c r="F22">
        <f>IF([1]Accounts!$D$23="","",[1]Accounts!$A$23)</f>
        <v/>
      </c>
      <c r="G22">
        <f>IF([1]Accounts!$D$23="","",[1]Accounts!$B$23)</f>
        <v/>
      </c>
      <c r="H22">
        <f>IF([1]Accounts!$D$23="","",[1]Accounts!$C$23)</f>
        <v/>
      </c>
      <c r="I22">
        <f>IF([1]Accounts!$D$23="","",[1]Accounts!$D$23)</f>
        <v/>
      </c>
      <c r="K22">
        <f>IF([1]Lists!$C$23="","",[1]Lists!$C$23)</f>
        <v/>
      </c>
      <c r="S22">
        <f>COUNTIF($B$6:$B22,"?*")</f>
        <v/>
      </c>
      <c r="T22">
        <f>IFERROR(INDEX($B$6:$B$25,MATCH(ROW()-5,$S$6:$S$25,0)),"")</f>
        <v/>
      </c>
      <c r="Y22">
        <f>IF([1]SubGroups!$C$23="","",[1]SubGroups!$A$23)</f>
        <v/>
      </c>
      <c r="Z22">
        <f>IF([1]SubGroups!$C$23="","",[1]SubGroups!$B$23)</f>
        <v/>
      </c>
      <c r="AA22">
        <f>IF([1]SubGroups!$C$23="","",[1]SubGroups!$C$23)</f>
        <v/>
      </c>
      <c r="AC22">
        <f>COUNTIFS($Z$6:$Z22,$AD$5,$AA$6:$AA22,"?*")</f>
        <v/>
      </c>
      <c r="AD22">
        <f>IFERROR(INDEX($AA$6:$AA$105,MATCH(ROW()-5,$AC$6:$AC$105,0)),"")</f>
        <v/>
      </c>
      <c r="AE22">
        <f>COUNTIFS($Z$6:$Z22,$AF$5,$AA$6:$AA22,"?*")</f>
        <v/>
      </c>
      <c r="AF22">
        <f>IFERROR(INDEX($AA$6:$AA$105,MATCH(ROW()-5,$AE$6:$AE$105,0)),"")</f>
        <v/>
      </c>
      <c r="AG22">
        <f>COUNTIFS($Z$6:$Z22,$AH$5,$AA$6:$AA22,"?*")</f>
        <v/>
      </c>
      <c r="AH22">
        <f>IFERROR(INDEX($AA$6:$AA$105,MATCH(ROW()-5,$AG$6:$AG$105,0)),"")</f>
        <v/>
      </c>
      <c r="AI22">
        <f>COUNTIFS($Z$6:$Z22,$AJ$5,$AA$6:$AA22,"?*")</f>
        <v/>
      </c>
      <c r="AJ22">
        <f>IFERROR(INDEX($AA$6:$AA$105,MATCH(ROW()-5,$AI$6:$AI$105,0)),"")</f>
        <v/>
      </c>
      <c r="AK22">
        <f>COUNTIFS($Z$6:$Z22,$AL$5,$AA$6:$AA22,"?*")</f>
        <v/>
      </c>
      <c r="AL22">
        <f>IFERROR(INDEX($AA$6:$AA$105,MATCH(ROW()-5,$AK$6:$AK$105,0)),"")</f>
        <v/>
      </c>
      <c r="AM22">
        <f>COUNTIFS($Z$6:$Z22,$AN$5,$AA$6:$AA22,"?*")</f>
        <v/>
      </c>
      <c r="AN22">
        <f>IFERROR(INDEX($AA$6:$AA$105,MATCH(ROW()-5,$AM$6:$AM$105,0)),"")</f>
        <v/>
      </c>
      <c r="AO22">
        <f>COUNTIFS($Z$6:$Z22,$AP$5,$AA$6:$AA22,"?*")</f>
        <v/>
      </c>
      <c r="AP22">
        <f>IFERROR(INDEX($AA$6:$AA$105,MATCH(ROW()-5,$AO$6:$AO$105,0)),"")</f>
        <v/>
      </c>
      <c r="AQ22">
        <f>COUNTIFS($Z$6:$Z22,$AR$5,$AA$6:$AA22,"?*")</f>
        <v/>
      </c>
      <c r="AR22">
        <f>IFERROR(INDEX($AA$6:$AA$105,MATCH(ROW()-5,$AQ$6:$AQ$105,0)),"")</f>
        <v/>
      </c>
      <c r="AS22">
        <f>COUNTIFS($Z$6:$Z22,$AT$5,$AA$6:$AA22,"?*")</f>
        <v/>
      </c>
      <c r="AT22">
        <f>IFERROR(INDEX($AA$6:$AA$105,MATCH(ROW()-5,$AS$6:$AS$105,0)),"")</f>
        <v/>
      </c>
      <c r="AU22">
        <f>COUNTIFS($Z$6:$Z22,$AV$5,$AA$6:$AA22,"?*")</f>
        <v/>
      </c>
      <c r="AV22">
        <f>IFERROR(INDEX($AA$6:$AA$105,MATCH(ROW()-5,$AU$6:$AU$105,0)),"")</f>
        <v/>
      </c>
    </row>
    <row r="23">
      <c r="A23">
        <f>IF([1]Ops!$B$24="","",[1]Ops!$A$24)</f>
        <v/>
      </c>
      <c r="B23">
        <f>IF([1]Ops!$B$24="","",[1]Ops!$B$24)</f>
        <v/>
      </c>
      <c r="C23">
        <f>IF([1]Ops!$B$24="","",[1]Ops!$C$24)</f>
        <v/>
      </c>
      <c r="D23">
        <f>IF([1]Ops!$B$24="","",[1]Ops!$D$24)</f>
        <v/>
      </c>
      <c r="F23">
        <f>IF([1]Accounts!$D$24="","",[1]Accounts!$A$24)</f>
        <v/>
      </c>
      <c r="G23">
        <f>IF([1]Accounts!$D$24="","",[1]Accounts!$B$24)</f>
        <v/>
      </c>
      <c r="H23">
        <f>IF([1]Accounts!$D$24="","",[1]Accounts!$C$24)</f>
        <v/>
      </c>
      <c r="I23">
        <f>IF([1]Accounts!$D$24="","",[1]Accounts!$D$24)</f>
        <v/>
      </c>
      <c r="K23">
        <f>IF([1]Lists!$C$24="","",[1]Lists!$C$24)</f>
        <v/>
      </c>
      <c r="S23">
        <f>COUNTIF($B$6:$B23,"?*")</f>
        <v/>
      </c>
      <c r="T23">
        <f>IFERROR(INDEX($B$6:$B$25,MATCH(ROW()-5,$S$6:$S$25,0)),"")</f>
        <v/>
      </c>
      <c r="Y23">
        <f>IF([1]SubGroups!$C$24="","",[1]SubGroups!$A$24)</f>
        <v/>
      </c>
      <c r="Z23">
        <f>IF([1]SubGroups!$C$24="","",[1]SubGroups!$B$24)</f>
        <v/>
      </c>
      <c r="AA23">
        <f>IF([1]SubGroups!$C$24="","",[1]SubGroups!$C$24)</f>
        <v/>
      </c>
      <c r="AC23">
        <f>COUNTIFS($Z$6:$Z23,$AD$5,$AA$6:$AA23,"?*")</f>
        <v/>
      </c>
      <c r="AD23">
        <f>IFERROR(INDEX($AA$6:$AA$105,MATCH(ROW()-5,$AC$6:$AC$105,0)),"")</f>
        <v/>
      </c>
      <c r="AE23">
        <f>COUNTIFS($Z$6:$Z23,$AF$5,$AA$6:$AA23,"?*")</f>
        <v/>
      </c>
      <c r="AF23">
        <f>IFERROR(INDEX($AA$6:$AA$105,MATCH(ROW()-5,$AE$6:$AE$105,0)),"")</f>
        <v/>
      </c>
      <c r="AG23">
        <f>COUNTIFS($Z$6:$Z23,$AH$5,$AA$6:$AA23,"?*")</f>
        <v/>
      </c>
      <c r="AH23">
        <f>IFERROR(INDEX($AA$6:$AA$105,MATCH(ROW()-5,$AG$6:$AG$105,0)),"")</f>
        <v/>
      </c>
      <c r="AI23">
        <f>COUNTIFS($Z$6:$Z23,$AJ$5,$AA$6:$AA23,"?*")</f>
        <v/>
      </c>
      <c r="AJ23">
        <f>IFERROR(INDEX($AA$6:$AA$105,MATCH(ROW()-5,$AI$6:$AI$105,0)),"")</f>
        <v/>
      </c>
      <c r="AK23">
        <f>COUNTIFS($Z$6:$Z23,$AL$5,$AA$6:$AA23,"?*")</f>
        <v/>
      </c>
      <c r="AL23">
        <f>IFERROR(INDEX($AA$6:$AA$105,MATCH(ROW()-5,$AK$6:$AK$105,0)),"")</f>
        <v/>
      </c>
      <c r="AM23">
        <f>COUNTIFS($Z$6:$Z23,$AN$5,$AA$6:$AA23,"?*")</f>
        <v/>
      </c>
      <c r="AN23">
        <f>IFERROR(INDEX($AA$6:$AA$105,MATCH(ROW()-5,$AM$6:$AM$105,0)),"")</f>
        <v/>
      </c>
      <c r="AO23">
        <f>COUNTIFS($Z$6:$Z23,$AP$5,$AA$6:$AA23,"?*")</f>
        <v/>
      </c>
      <c r="AP23">
        <f>IFERROR(INDEX($AA$6:$AA$105,MATCH(ROW()-5,$AO$6:$AO$105,0)),"")</f>
        <v/>
      </c>
      <c r="AQ23">
        <f>COUNTIFS($Z$6:$Z23,$AR$5,$AA$6:$AA23,"?*")</f>
        <v/>
      </c>
      <c r="AR23">
        <f>IFERROR(INDEX($AA$6:$AA$105,MATCH(ROW()-5,$AQ$6:$AQ$105,0)),"")</f>
        <v/>
      </c>
      <c r="AS23">
        <f>COUNTIFS($Z$6:$Z23,$AT$5,$AA$6:$AA23,"?*")</f>
        <v/>
      </c>
      <c r="AT23">
        <f>IFERROR(INDEX($AA$6:$AA$105,MATCH(ROW()-5,$AS$6:$AS$105,0)),"")</f>
        <v/>
      </c>
      <c r="AU23">
        <f>COUNTIFS($Z$6:$Z23,$AV$5,$AA$6:$AA23,"?*")</f>
        <v/>
      </c>
      <c r="AV23">
        <f>IFERROR(INDEX($AA$6:$AA$105,MATCH(ROW()-5,$AU$6:$AU$105,0)),"")</f>
        <v/>
      </c>
    </row>
    <row r="24">
      <c r="A24">
        <f>IF([1]Ops!$B$25="","",[1]Ops!$A$25)</f>
        <v/>
      </c>
      <c r="B24">
        <f>IF([1]Ops!$B$25="","",[1]Ops!$B$25)</f>
        <v/>
      </c>
      <c r="C24">
        <f>IF([1]Ops!$B$25="","",[1]Ops!$C$25)</f>
        <v/>
      </c>
      <c r="D24">
        <f>IF([1]Ops!$B$25="","",[1]Ops!$D$25)</f>
        <v/>
      </c>
      <c r="F24">
        <f>IF([1]Accounts!$D$25="","",[1]Accounts!$A$25)</f>
        <v/>
      </c>
      <c r="G24">
        <f>IF([1]Accounts!$D$25="","",[1]Accounts!$B$25)</f>
        <v/>
      </c>
      <c r="H24">
        <f>IF([1]Accounts!$D$25="","",[1]Accounts!$C$25)</f>
        <v/>
      </c>
      <c r="I24">
        <f>IF([1]Accounts!$D$25="","",[1]Accounts!$D$25)</f>
        <v/>
      </c>
      <c r="K24">
        <f>IF([1]Lists!$C$25="","",[1]Lists!$C$25)</f>
        <v/>
      </c>
      <c r="S24">
        <f>COUNTIF($B$6:$B24,"?*")</f>
        <v/>
      </c>
      <c r="T24">
        <f>IFERROR(INDEX($B$6:$B$25,MATCH(ROW()-5,$S$6:$S$25,0)),"")</f>
        <v/>
      </c>
      <c r="Y24">
        <f>IF([1]SubGroups!$C$25="","",[1]SubGroups!$A$25)</f>
        <v/>
      </c>
      <c r="Z24">
        <f>IF([1]SubGroups!$C$25="","",[1]SubGroups!$B$25)</f>
        <v/>
      </c>
      <c r="AA24">
        <f>IF([1]SubGroups!$C$25="","",[1]SubGroups!$C$25)</f>
        <v/>
      </c>
      <c r="AC24">
        <f>COUNTIFS($Z$6:$Z24,$AD$5,$AA$6:$AA24,"?*")</f>
        <v/>
      </c>
      <c r="AD24">
        <f>IFERROR(INDEX($AA$6:$AA$105,MATCH(ROW()-5,$AC$6:$AC$105,0)),"")</f>
        <v/>
      </c>
      <c r="AE24">
        <f>COUNTIFS($Z$6:$Z24,$AF$5,$AA$6:$AA24,"?*")</f>
        <v/>
      </c>
      <c r="AF24">
        <f>IFERROR(INDEX($AA$6:$AA$105,MATCH(ROW()-5,$AE$6:$AE$105,0)),"")</f>
        <v/>
      </c>
      <c r="AG24">
        <f>COUNTIFS($Z$6:$Z24,$AH$5,$AA$6:$AA24,"?*")</f>
        <v/>
      </c>
      <c r="AH24">
        <f>IFERROR(INDEX($AA$6:$AA$105,MATCH(ROW()-5,$AG$6:$AG$105,0)),"")</f>
        <v/>
      </c>
      <c r="AI24">
        <f>COUNTIFS($Z$6:$Z24,$AJ$5,$AA$6:$AA24,"?*")</f>
        <v/>
      </c>
      <c r="AJ24">
        <f>IFERROR(INDEX($AA$6:$AA$105,MATCH(ROW()-5,$AI$6:$AI$105,0)),"")</f>
        <v/>
      </c>
      <c r="AK24">
        <f>COUNTIFS($Z$6:$Z24,$AL$5,$AA$6:$AA24,"?*")</f>
        <v/>
      </c>
      <c r="AL24">
        <f>IFERROR(INDEX($AA$6:$AA$105,MATCH(ROW()-5,$AK$6:$AK$105,0)),"")</f>
        <v/>
      </c>
      <c r="AM24">
        <f>COUNTIFS($Z$6:$Z24,$AN$5,$AA$6:$AA24,"?*")</f>
        <v/>
      </c>
      <c r="AN24">
        <f>IFERROR(INDEX($AA$6:$AA$105,MATCH(ROW()-5,$AM$6:$AM$105,0)),"")</f>
        <v/>
      </c>
      <c r="AO24">
        <f>COUNTIFS($Z$6:$Z24,$AP$5,$AA$6:$AA24,"?*")</f>
        <v/>
      </c>
      <c r="AP24">
        <f>IFERROR(INDEX($AA$6:$AA$105,MATCH(ROW()-5,$AO$6:$AO$105,0)),"")</f>
        <v/>
      </c>
      <c r="AQ24">
        <f>COUNTIFS($Z$6:$Z24,$AR$5,$AA$6:$AA24,"?*")</f>
        <v/>
      </c>
      <c r="AR24">
        <f>IFERROR(INDEX($AA$6:$AA$105,MATCH(ROW()-5,$AQ$6:$AQ$105,0)),"")</f>
        <v/>
      </c>
      <c r="AS24">
        <f>COUNTIFS($Z$6:$Z24,$AT$5,$AA$6:$AA24,"?*")</f>
        <v/>
      </c>
      <c r="AT24">
        <f>IFERROR(INDEX($AA$6:$AA$105,MATCH(ROW()-5,$AS$6:$AS$105,0)),"")</f>
        <v/>
      </c>
      <c r="AU24">
        <f>COUNTIFS($Z$6:$Z24,$AV$5,$AA$6:$AA24,"?*")</f>
        <v/>
      </c>
      <c r="AV24">
        <f>IFERROR(INDEX($AA$6:$AA$105,MATCH(ROW()-5,$AU$6:$AU$105,0)),"")</f>
        <v/>
      </c>
    </row>
    <row r="25">
      <c r="A25">
        <f>IF([1]Ops!$B$26="","",[1]Ops!$A$26)</f>
        <v/>
      </c>
      <c r="B25">
        <f>IF([1]Ops!$B$26="","",[1]Ops!$B$26)</f>
        <v/>
      </c>
      <c r="C25">
        <f>IF([1]Ops!$B$26="","",[1]Ops!$C$26)</f>
        <v/>
      </c>
      <c r="D25">
        <f>IF([1]Ops!$B$26="","",[1]Ops!$D$26)</f>
        <v/>
      </c>
      <c r="F25">
        <f>IF([1]Accounts!$D$26="","",[1]Accounts!$A$26)</f>
        <v/>
      </c>
      <c r="G25">
        <f>IF([1]Accounts!$D$26="","",[1]Accounts!$B$26)</f>
        <v/>
      </c>
      <c r="H25">
        <f>IF([1]Accounts!$D$26="","",[1]Accounts!$C$26)</f>
        <v/>
      </c>
      <c r="I25">
        <f>IF([1]Accounts!$D$26="","",[1]Accounts!$D$26)</f>
        <v/>
      </c>
      <c r="K25">
        <f>IF([1]Lists!$C$26="","",[1]Lists!$C$26)</f>
        <v/>
      </c>
      <c r="S25">
        <f>COUNTIF($B$6:$B25,"?*")</f>
        <v/>
      </c>
      <c r="T25">
        <f>IFERROR(INDEX($B$6:$B$25,MATCH(ROW()-5,$S$6:$S$25,0)),"")</f>
        <v/>
      </c>
      <c r="Y25">
        <f>IF([1]SubGroups!$C$26="","",[1]SubGroups!$A$26)</f>
        <v/>
      </c>
      <c r="Z25">
        <f>IF([1]SubGroups!$C$26="","",[1]SubGroups!$B$26)</f>
        <v/>
      </c>
      <c r="AA25">
        <f>IF([1]SubGroups!$C$26="","",[1]SubGroups!$C$26)</f>
        <v/>
      </c>
      <c r="AC25">
        <f>COUNTIFS($Z$6:$Z25,$AD$5,$AA$6:$AA25,"?*")</f>
        <v/>
      </c>
      <c r="AD25">
        <f>IFERROR(INDEX($AA$6:$AA$105,MATCH(ROW()-5,$AC$6:$AC$105,0)),"")</f>
        <v/>
      </c>
      <c r="AE25">
        <f>COUNTIFS($Z$6:$Z25,$AF$5,$AA$6:$AA25,"?*")</f>
        <v/>
      </c>
      <c r="AF25">
        <f>IFERROR(INDEX($AA$6:$AA$105,MATCH(ROW()-5,$AE$6:$AE$105,0)),"")</f>
        <v/>
      </c>
      <c r="AG25">
        <f>COUNTIFS($Z$6:$Z25,$AH$5,$AA$6:$AA25,"?*")</f>
        <v/>
      </c>
      <c r="AH25">
        <f>IFERROR(INDEX($AA$6:$AA$105,MATCH(ROW()-5,$AG$6:$AG$105,0)),"")</f>
        <v/>
      </c>
      <c r="AI25">
        <f>COUNTIFS($Z$6:$Z25,$AJ$5,$AA$6:$AA25,"?*")</f>
        <v/>
      </c>
      <c r="AJ25">
        <f>IFERROR(INDEX($AA$6:$AA$105,MATCH(ROW()-5,$AI$6:$AI$105,0)),"")</f>
        <v/>
      </c>
      <c r="AK25">
        <f>COUNTIFS($Z$6:$Z25,$AL$5,$AA$6:$AA25,"?*")</f>
        <v/>
      </c>
      <c r="AL25">
        <f>IFERROR(INDEX($AA$6:$AA$105,MATCH(ROW()-5,$AK$6:$AK$105,0)),"")</f>
        <v/>
      </c>
      <c r="AM25">
        <f>COUNTIFS($Z$6:$Z25,$AN$5,$AA$6:$AA25,"?*")</f>
        <v/>
      </c>
      <c r="AN25">
        <f>IFERROR(INDEX($AA$6:$AA$105,MATCH(ROW()-5,$AM$6:$AM$105,0)),"")</f>
        <v/>
      </c>
      <c r="AO25">
        <f>COUNTIFS($Z$6:$Z25,$AP$5,$AA$6:$AA25,"?*")</f>
        <v/>
      </c>
      <c r="AP25">
        <f>IFERROR(INDEX($AA$6:$AA$105,MATCH(ROW()-5,$AO$6:$AO$105,0)),"")</f>
        <v/>
      </c>
      <c r="AQ25">
        <f>COUNTIFS($Z$6:$Z25,$AR$5,$AA$6:$AA25,"?*")</f>
        <v/>
      </c>
      <c r="AR25">
        <f>IFERROR(INDEX($AA$6:$AA$105,MATCH(ROW()-5,$AQ$6:$AQ$105,0)),"")</f>
        <v/>
      </c>
      <c r="AS25">
        <f>COUNTIFS($Z$6:$Z25,$AT$5,$AA$6:$AA25,"?*")</f>
        <v/>
      </c>
      <c r="AT25">
        <f>IFERROR(INDEX($AA$6:$AA$105,MATCH(ROW()-5,$AS$6:$AS$105,0)),"")</f>
        <v/>
      </c>
      <c r="AU25">
        <f>COUNTIFS($Z$6:$Z25,$AV$5,$AA$6:$AA25,"?*")</f>
        <v/>
      </c>
      <c r="AV25">
        <f>IFERROR(INDEX($AA$6:$AA$105,MATCH(ROW()-5,$AU$6:$AU$105,0)),"")</f>
        <v/>
      </c>
    </row>
    <row r="26">
      <c r="F26">
        <f>IF([1]Accounts!$D$27="","",[1]Accounts!$A$27)</f>
        <v/>
      </c>
      <c r="G26">
        <f>IF([1]Accounts!$D$27="","",[1]Accounts!$B$27)</f>
        <v/>
      </c>
      <c r="H26">
        <f>IF([1]Accounts!$D$27="","",[1]Accounts!$C$27)</f>
        <v/>
      </c>
      <c r="I26">
        <f>IF([1]Accounts!$D$27="","",[1]Accounts!$D$27)</f>
        <v/>
      </c>
      <c r="K26">
        <f>IF([1]Lists!$C$27="","",[1]Lists!$C$27)</f>
        <v/>
      </c>
      <c r="Y26">
        <f>IF([1]SubGroups!$C$27="","",[1]SubGroups!$A$27)</f>
        <v/>
      </c>
      <c r="Z26">
        <f>IF([1]SubGroups!$C$27="","",[1]SubGroups!$B$27)</f>
        <v/>
      </c>
      <c r="AA26">
        <f>IF([1]SubGroups!$C$27="","",[1]SubGroups!$C$27)</f>
        <v/>
      </c>
      <c r="AC26">
        <f>COUNTIFS($Z$6:$Z26,$AD$5,$AA$6:$AA26,"?*")</f>
        <v/>
      </c>
      <c r="AD26">
        <f>IFERROR(INDEX($AA$6:$AA$105,MATCH(ROW()-5,$AC$6:$AC$105,0)),"")</f>
        <v/>
      </c>
      <c r="AE26">
        <f>COUNTIFS($Z$6:$Z26,$AF$5,$AA$6:$AA26,"?*")</f>
        <v/>
      </c>
      <c r="AF26">
        <f>IFERROR(INDEX($AA$6:$AA$105,MATCH(ROW()-5,$AE$6:$AE$105,0)),"")</f>
        <v/>
      </c>
      <c r="AG26">
        <f>COUNTIFS($Z$6:$Z26,$AH$5,$AA$6:$AA26,"?*")</f>
        <v/>
      </c>
      <c r="AH26">
        <f>IFERROR(INDEX($AA$6:$AA$105,MATCH(ROW()-5,$AG$6:$AG$105,0)),"")</f>
        <v/>
      </c>
      <c r="AI26">
        <f>COUNTIFS($Z$6:$Z26,$AJ$5,$AA$6:$AA26,"?*")</f>
        <v/>
      </c>
      <c r="AJ26">
        <f>IFERROR(INDEX($AA$6:$AA$105,MATCH(ROW()-5,$AI$6:$AI$105,0)),"")</f>
        <v/>
      </c>
      <c r="AK26">
        <f>COUNTIFS($Z$6:$Z26,$AL$5,$AA$6:$AA26,"?*")</f>
        <v/>
      </c>
      <c r="AL26">
        <f>IFERROR(INDEX($AA$6:$AA$105,MATCH(ROW()-5,$AK$6:$AK$105,0)),"")</f>
        <v/>
      </c>
      <c r="AM26">
        <f>COUNTIFS($Z$6:$Z26,$AN$5,$AA$6:$AA26,"?*")</f>
        <v/>
      </c>
      <c r="AN26">
        <f>IFERROR(INDEX($AA$6:$AA$105,MATCH(ROW()-5,$AM$6:$AM$105,0)),"")</f>
        <v/>
      </c>
      <c r="AO26">
        <f>COUNTIFS($Z$6:$Z26,$AP$5,$AA$6:$AA26,"?*")</f>
        <v/>
      </c>
      <c r="AP26">
        <f>IFERROR(INDEX($AA$6:$AA$105,MATCH(ROW()-5,$AO$6:$AO$105,0)),"")</f>
        <v/>
      </c>
      <c r="AQ26">
        <f>COUNTIFS($Z$6:$Z26,$AR$5,$AA$6:$AA26,"?*")</f>
        <v/>
      </c>
      <c r="AR26">
        <f>IFERROR(INDEX($AA$6:$AA$105,MATCH(ROW()-5,$AQ$6:$AQ$105,0)),"")</f>
        <v/>
      </c>
      <c r="AS26">
        <f>COUNTIFS($Z$6:$Z26,$AT$5,$AA$6:$AA26,"?*")</f>
        <v/>
      </c>
      <c r="AT26">
        <f>IFERROR(INDEX($AA$6:$AA$105,MATCH(ROW()-5,$AS$6:$AS$105,0)),"")</f>
        <v/>
      </c>
      <c r="AU26">
        <f>COUNTIFS($Z$6:$Z26,$AV$5,$AA$6:$AA26,"?*")</f>
        <v/>
      </c>
      <c r="AV26">
        <f>IFERROR(INDEX($AA$6:$AA$105,MATCH(ROW()-5,$AU$6:$AU$105,0)),"")</f>
        <v/>
      </c>
    </row>
    <row r="27">
      <c r="F27">
        <f>IF([1]Accounts!$D$28="","",[1]Accounts!$A$28)</f>
        <v/>
      </c>
      <c r="G27">
        <f>IF([1]Accounts!$D$28="","",[1]Accounts!$B$28)</f>
        <v/>
      </c>
      <c r="H27">
        <f>IF([1]Accounts!$D$28="","",[1]Accounts!$C$28)</f>
        <v/>
      </c>
      <c r="I27">
        <f>IF([1]Accounts!$D$28="","",[1]Accounts!$D$28)</f>
        <v/>
      </c>
      <c r="K27">
        <f>IF([1]Lists!$C$28="","",[1]Lists!$C$28)</f>
        <v/>
      </c>
      <c r="Y27">
        <f>IF([1]SubGroups!$C$28="","",[1]SubGroups!$A$28)</f>
        <v/>
      </c>
      <c r="Z27">
        <f>IF([1]SubGroups!$C$28="","",[1]SubGroups!$B$28)</f>
        <v/>
      </c>
      <c r="AA27">
        <f>IF([1]SubGroups!$C$28="","",[1]SubGroups!$C$28)</f>
        <v/>
      </c>
      <c r="AC27">
        <f>COUNTIFS($Z$6:$Z27,$AD$5,$AA$6:$AA27,"?*")</f>
        <v/>
      </c>
      <c r="AD27">
        <f>IFERROR(INDEX($AA$6:$AA$105,MATCH(ROW()-5,$AC$6:$AC$105,0)),"")</f>
        <v/>
      </c>
      <c r="AE27">
        <f>COUNTIFS($Z$6:$Z27,$AF$5,$AA$6:$AA27,"?*")</f>
        <v/>
      </c>
      <c r="AF27">
        <f>IFERROR(INDEX($AA$6:$AA$105,MATCH(ROW()-5,$AE$6:$AE$105,0)),"")</f>
        <v/>
      </c>
      <c r="AG27">
        <f>COUNTIFS($Z$6:$Z27,$AH$5,$AA$6:$AA27,"?*")</f>
        <v/>
      </c>
      <c r="AH27">
        <f>IFERROR(INDEX($AA$6:$AA$105,MATCH(ROW()-5,$AG$6:$AG$105,0)),"")</f>
        <v/>
      </c>
      <c r="AI27">
        <f>COUNTIFS($Z$6:$Z27,$AJ$5,$AA$6:$AA27,"?*")</f>
        <v/>
      </c>
      <c r="AJ27">
        <f>IFERROR(INDEX($AA$6:$AA$105,MATCH(ROW()-5,$AI$6:$AI$105,0)),"")</f>
        <v/>
      </c>
      <c r="AK27">
        <f>COUNTIFS($Z$6:$Z27,$AL$5,$AA$6:$AA27,"?*")</f>
        <v/>
      </c>
      <c r="AL27">
        <f>IFERROR(INDEX($AA$6:$AA$105,MATCH(ROW()-5,$AK$6:$AK$105,0)),"")</f>
        <v/>
      </c>
      <c r="AM27">
        <f>COUNTIFS($Z$6:$Z27,$AN$5,$AA$6:$AA27,"?*")</f>
        <v/>
      </c>
      <c r="AN27">
        <f>IFERROR(INDEX($AA$6:$AA$105,MATCH(ROW()-5,$AM$6:$AM$105,0)),"")</f>
        <v/>
      </c>
      <c r="AO27">
        <f>COUNTIFS($Z$6:$Z27,$AP$5,$AA$6:$AA27,"?*")</f>
        <v/>
      </c>
      <c r="AP27">
        <f>IFERROR(INDEX($AA$6:$AA$105,MATCH(ROW()-5,$AO$6:$AO$105,0)),"")</f>
        <v/>
      </c>
      <c r="AQ27">
        <f>COUNTIFS($Z$6:$Z27,$AR$5,$AA$6:$AA27,"?*")</f>
        <v/>
      </c>
      <c r="AR27">
        <f>IFERROR(INDEX($AA$6:$AA$105,MATCH(ROW()-5,$AQ$6:$AQ$105,0)),"")</f>
        <v/>
      </c>
      <c r="AS27">
        <f>COUNTIFS($Z$6:$Z27,$AT$5,$AA$6:$AA27,"?*")</f>
        <v/>
      </c>
      <c r="AT27">
        <f>IFERROR(INDEX($AA$6:$AA$105,MATCH(ROW()-5,$AS$6:$AS$105,0)),"")</f>
        <v/>
      </c>
      <c r="AU27">
        <f>COUNTIFS($Z$6:$Z27,$AV$5,$AA$6:$AA27,"?*")</f>
        <v/>
      </c>
      <c r="AV27">
        <f>IFERROR(INDEX($AA$6:$AA$105,MATCH(ROW()-5,$AU$6:$AU$105,0)),"")</f>
        <v/>
      </c>
    </row>
    <row r="28">
      <c r="F28">
        <f>IF([1]Accounts!$D$29="","",[1]Accounts!$A$29)</f>
        <v/>
      </c>
      <c r="G28">
        <f>IF([1]Accounts!$D$29="","",[1]Accounts!$B$29)</f>
        <v/>
      </c>
      <c r="H28">
        <f>IF([1]Accounts!$D$29="","",[1]Accounts!$C$29)</f>
        <v/>
      </c>
      <c r="I28">
        <f>IF([1]Accounts!$D$29="","",[1]Accounts!$D$29)</f>
        <v/>
      </c>
      <c r="K28">
        <f>IF([1]Lists!$C$29="","",[1]Lists!$C$29)</f>
        <v/>
      </c>
      <c r="Y28">
        <f>IF([1]SubGroups!$C$29="","",[1]SubGroups!$A$29)</f>
        <v/>
      </c>
      <c r="Z28">
        <f>IF([1]SubGroups!$C$29="","",[1]SubGroups!$B$29)</f>
        <v/>
      </c>
      <c r="AA28">
        <f>IF([1]SubGroups!$C$29="","",[1]SubGroups!$C$29)</f>
        <v/>
      </c>
      <c r="AC28">
        <f>COUNTIFS($Z$6:$Z28,$AD$5,$AA$6:$AA28,"?*")</f>
        <v/>
      </c>
      <c r="AD28">
        <f>IFERROR(INDEX($AA$6:$AA$105,MATCH(ROW()-5,$AC$6:$AC$105,0)),"")</f>
        <v/>
      </c>
      <c r="AE28">
        <f>COUNTIFS($Z$6:$Z28,$AF$5,$AA$6:$AA28,"?*")</f>
        <v/>
      </c>
      <c r="AF28">
        <f>IFERROR(INDEX($AA$6:$AA$105,MATCH(ROW()-5,$AE$6:$AE$105,0)),"")</f>
        <v/>
      </c>
      <c r="AG28">
        <f>COUNTIFS($Z$6:$Z28,$AH$5,$AA$6:$AA28,"?*")</f>
        <v/>
      </c>
      <c r="AH28">
        <f>IFERROR(INDEX($AA$6:$AA$105,MATCH(ROW()-5,$AG$6:$AG$105,0)),"")</f>
        <v/>
      </c>
      <c r="AI28">
        <f>COUNTIFS($Z$6:$Z28,$AJ$5,$AA$6:$AA28,"?*")</f>
        <v/>
      </c>
      <c r="AJ28">
        <f>IFERROR(INDEX($AA$6:$AA$105,MATCH(ROW()-5,$AI$6:$AI$105,0)),"")</f>
        <v/>
      </c>
      <c r="AK28">
        <f>COUNTIFS($Z$6:$Z28,$AL$5,$AA$6:$AA28,"?*")</f>
        <v/>
      </c>
      <c r="AL28">
        <f>IFERROR(INDEX($AA$6:$AA$105,MATCH(ROW()-5,$AK$6:$AK$105,0)),"")</f>
        <v/>
      </c>
      <c r="AM28">
        <f>COUNTIFS($Z$6:$Z28,$AN$5,$AA$6:$AA28,"?*")</f>
        <v/>
      </c>
      <c r="AN28">
        <f>IFERROR(INDEX($AA$6:$AA$105,MATCH(ROW()-5,$AM$6:$AM$105,0)),"")</f>
        <v/>
      </c>
      <c r="AO28">
        <f>COUNTIFS($Z$6:$Z28,$AP$5,$AA$6:$AA28,"?*")</f>
        <v/>
      </c>
      <c r="AP28">
        <f>IFERROR(INDEX($AA$6:$AA$105,MATCH(ROW()-5,$AO$6:$AO$105,0)),"")</f>
        <v/>
      </c>
      <c r="AQ28">
        <f>COUNTIFS($Z$6:$Z28,$AR$5,$AA$6:$AA28,"?*")</f>
        <v/>
      </c>
      <c r="AR28">
        <f>IFERROR(INDEX($AA$6:$AA$105,MATCH(ROW()-5,$AQ$6:$AQ$105,0)),"")</f>
        <v/>
      </c>
      <c r="AS28">
        <f>COUNTIFS($Z$6:$Z28,$AT$5,$AA$6:$AA28,"?*")</f>
        <v/>
      </c>
      <c r="AT28">
        <f>IFERROR(INDEX($AA$6:$AA$105,MATCH(ROW()-5,$AS$6:$AS$105,0)),"")</f>
        <v/>
      </c>
      <c r="AU28">
        <f>COUNTIFS($Z$6:$Z28,$AV$5,$AA$6:$AA28,"?*")</f>
        <v/>
      </c>
      <c r="AV28">
        <f>IFERROR(INDEX($AA$6:$AA$105,MATCH(ROW()-5,$AU$6:$AU$105,0)),"")</f>
        <v/>
      </c>
    </row>
    <row r="29">
      <c r="F29">
        <f>IF([1]Accounts!$D$30="","",[1]Accounts!$A$30)</f>
        <v/>
      </c>
      <c r="G29">
        <f>IF([1]Accounts!$D$30="","",[1]Accounts!$B$30)</f>
        <v/>
      </c>
      <c r="H29">
        <f>IF([1]Accounts!$D$30="","",[1]Accounts!$C$30)</f>
        <v/>
      </c>
      <c r="I29">
        <f>IF([1]Accounts!$D$30="","",[1]Accounts!$D$30)</f>
        <v/>
      </c>
      <c r="K29">
        <f>IF([1]Lists!$C$30="","",[1]Lists!$C$30)</f>
        <v/>
      </c>
      <c r="Y29">
        <f>IF([1]SubGroups!$C$30="","",[1]SubGroups!$A$30)</f>
        <v/>
      </c>
      <c r="Z29">
        <f>IF([1]SubGroups!$C$30="","",[1]SubGroups!$B$30)</f>
        <v/>
      </c>
      <c r="AA29">
        <f>IF([1]SubGroups!$C$30="","",[1]SubGroups!$C$30)</f>
        <v/>
      </c>
      <c r="AC29">
        <f>COUNTIFS($Z$6:$Z29,$AD$5,$AA$6:$AA29,"?*")</f>
        <v/>
      </c>
      <c r="AD29">
        <f>IFERROR(INDEX($AA$6:$AA$105,MATCH(ROW()-5,$AC$6:$AC$105,0)),"")</f>
        <v/>
      </c>
      <c r="AE29">
        <f>COUNTIFS($Z$6:$Z29,$AF$5,$AA$6:$AA29,"?*")</f>
        <v/>
      </c>
      <c r="AF29">
        <f>IFERROR(INDEX($AA$6:$AA$105,MATCH(ROW()-5,$AE$6:$AE$105,0)),"")</f>
        <v/>
      </c>
      <c r="AG29">
        <f>COUNTIFS($Z$6:$Z29,$AH$5,$AA$6:$AA29,"?*")</f>
        <v/>
      </c>
      <c r="AH29">
        <f>IFERROR(INDEX($AA$6:$AA$105,MATCH(ROW()-5,$AG$6:$AG$105,0)),"")</f>
        <v/>
      </c>
      <c r="AI29">
        <f>COUNTIFS($Z$6:$Z29,$AJ$5,$AA$6:$AA29,"?*")</f>
        <v/>
      </c>
      <c r="AJ29">
        <f>IFERROR(INDEX($AA$6:$AA$105,MATCH(ROW()-5,$AI$6:$AI$105,0)),"")</f>
        <v/>
      </c>
      <c r="AK29">
        <f>COUNTIFS($Z$6:$Z29,$AL$5,$AA$6:$AA29,"?*")</f>
        <v/>
      </c>
      <c r="AL29">
        <f>IFERROR(INDEX($AA$6:$AA$105,MATCH(ROW()-5,$AK$6:$AK$105,0)),"")</f>
        <v/>
      </c>
      <c r="AM29">
        <f>COUNTIFS($Z$6:$Z29,$AN$5,$AA$6:$AA29,"?*")</f>
        <v/>
      </c>
      <c r="AN29">
        <f>IFERROR(INDEX($AA$6:$AA$105,MATCH(ROW()-5,$AM$6:$AM$105,0)),"")</f>
        <v/>
      </c>
      <c r="AO29">
        <f>COUNTIFS($Z$6:$Z29,$AP$5,$AA$6:$AA29,"?*")</f>
        <v/>
      </c>
      <c r="AP29">
        <f>IFERROR(INDEX($AA$6:$AA$105,MATCH(ROW()-5,$AO$6:$AO$105,0)),"")</f>
        <v/>
      </c>
      <c r="AQ29">
        <f>COUNTIFS($Z$6:$Z29,$AR$5,$AA$6:$AA29,"?*")</f>
        <v/>
      </c>
      <c r="AR29">
        <f>IFERROR(INDEX($AA$6:$AA$105,MATCH(ROW()-5,$AQ$6:$AQ$105,0)),"")</f>
        <v/>
      </c>
      <c r="AS29">
        <f>COUNTIFS($Z$6:$Z29,$AT$5,$AA$6:$AA29,"?*")</f>
        <v/>
      </c>
      <c r="AT29">
        <f>IFERROR(INDEX($AA$6:$AA$105,MATCH(ROW()-5,$AS$6:$AS$105,0)),"")</f>
        <v/>
      </c>
      <c r="AU29">
        <f>COUNTIFS($Z$6:$Z29,$AV$5,$AA$6:$AA29,"?*")</f>
        <v/>
      </c>
      <c r="AV29">
        <f>IFERROR(INDEX($AA$6:$AA$105,MATCH(ROW()-5,$AU$6:$AU$105,0)),"")</f>
        <v/>
      </c>
    </row>
    <row r="30">
      <c r="F30">
        <f>IF([1]Accounts!$D$31="","",[1]Accounts!$A$31)</f>
        <v/>
      </c>
      <c r="G30">
        <f>IF([1]Accounts!$D$31="","",[1]Accounts!$B$31)</f>
        <v/>
      </c>
      <c r="H30">
        <f>IF([1]Accounts!$D$31="","",[1]Accounts!$C$31)</f>
        <v/>
      </c>
      <c r="I30">
        <f>IF([1]Accounts!$D$31="","",[1]Accounts!$D$31)</f>
        <v/>
      </c>
      <c r="K30">
        <f>IF([1]Lists!$C$31="","",[1]Lists!$C$31)</f>
        <v/>
      </c>
      <c r="Y30">
        <f>IF([1]SubGroups!$C$31="","",[1]SubGroups!$A$31)</f>
        <v/>
      </c>
      <c r="Z30">
        <f>IF([1]SubGroups!$C$31="","",[1]SubGroups!$B$31)</f>
        <v/>
      </c>
      <c r="AA30">
        <f>IF([1]SubGroups!$C$31="","",[1]SubGroups!$C$31)</f>
        <v/>
      </c>
      <c r="AC30">
        <f>COUNTIFS($Z$6:$Z30,$AD$5,$AA$6:$AA30,"?*")</f>
        <v/>
      </c>
      <c r="AD30">
        <f>IFERROR(INDEX($AA$6:$AA$105,MATCH(ROW()-5,$AC$6:$AC$105,0)),"")</f>
        <v/>
      </c>
      <c r="AE30">
        <f>COUNTIFS($Z$6:$Z30,$AF$5,$AA$6:$AA30,"?*")</f>
        <v/>
      </c>
      <c r="AF30">
        <f>IFERROR(INDEX($AA$6:$AA$105,MATCH(ROW()-5,$AE$6:$AE$105,0)),"")</f>
        <v/>
      </c>
      <c r="AG30">
        <f>COUNTIFS($Z$6:$Z30,$AH$5,$AA$6:$AA30,"?*")</f>
        <v/>
      </c>
      <c r="AH30">
        <f>IFERROR(INDEX($AA$6:$AA$105,MATCH(ROW()-5,$AG$6:$AG$105,0)),"")</f>
        <v/>
      </c>
      <c r="AI30">
        <f>COUNTIFS($Z$6:$Z30,$AJ$5,$AA$6:$AA30,"?*")</f>
        <v/>
      </c>
      <c r="AJ30">
        <f>IFERROR(INDEX($AA$6:$AA$105,MATCH(ROW()-5,$AI$6:$AI$105,0)),"")</f>
        <v/>
      </c>
      <c r="AK30">
        <f>COUNTIFS($Z$6:$Z30,$AL$5,$AA$6:$AA30,"?*")</f>
        <v/>
      </c>
      <c r="AL30">
        <f>IFERROR(INDEX($AA$6:$AA$105,MATCH(ROW()-5,$AK$6:$AK$105,0)),"")</f>
        <v/>
      </c>
      <c r="AM30">
        <f>COUNTIFS($Z$6:$Z30,$AN$5,$AA$6:$AA30,"?*")</f>
        <v/>
      </c>
      <c r="AN30">
        <f>IFERROR(INDEX($AA$6:$AA$105,MATCH(ROW()-5,$AM$6:$AM$105,0)),"")</f>
        <v/>
      </c>
      <c r="AO30">
        <f>COUNTIFS($Z$6:$Z30,$AP$5,$AA$6:$AA30,"?*")</f>
        <v/>
      </c>
      <c r="AP30">
        <f>IFERROR(INDEX($AA$6:$AA$105,MATCH(ROW()-5,$AO$6:$AO$105,0)),"")</f>
        <v/>
      </c>
      <c r="AQ30">
        <f>COUNTIFS($Z$6:$Z30,$AR$5,$AA$6:$AA30,"?*")</f>
        <v/>
      </c>
      <c r="AR30">
        <f>IFERROR(INDEX($AA$6:$AA$105,MATCH(ROW()-5,$AQ$6:$AQ$105,0)),"")</f>
        <v/>
      </c>
      <c r="AS30">
        <f>COUNTIFS($Z$6:$Z30,$AT$5,$AA$6:$AA30,"?*")</f>
        <v/>
      </c>
      <c r="AT30">
        <f>IFERROR(INDEX($AA$6:$AA$105,MATCH(ROW()-5,$AS$6:$AS$105,0)),"")</f>
        <v/>
      </c>
      <c r="AU30">
        <f>COUNTIFS($Z$6:$Z30,$AV$5,$AA$6:$AA30,"?*")</f>
        <v/>
      </c>
      <c r="AV30">
        <f>IFERROR(INDEX($AA$6:$AA$105,MATCH(ROW()-5,$AU$6:$AU$105,0)),"")</f>
        <v/>
      </c>
    </row>
    <row r="31">
      <c r="F31">
        <f>IF([1]Accounts!$D$32="","",[1]Accounts!$A$32)</f>
        <v/>
      </c>
      <c r="G31">
        <f>IF([1]Accounts!$D$32="","",[1]Accounts!$B$32)</f>
        <v/>
      </c>
      <c r="H31">
        <f>IF([1]Accounts!$D$32="","",[1]Accounts!$C$32)</f>
        <v/>
      </c>
      <c r="I31">
        <f>IF([1]Accounts!$D$32="","",[1]Accounts!$D$32)</f>
        <v/>
      </c>
      <c r="K31">
        <f>IF([1]Lists!$C$32="","",[1]Lists!$C$32)</f>
        <v/>
      </c>
      <c r="Y31">
        <f>IF([1]SubGroups!$C$32="","",[1]SubGroups!$A$32)</f>
        <v/>
      </c>
      <c r="Z31">
        <f>IF([1]SubGroups!$C$32="","",[1]SubGroups!$B$32)</f>
        <v/>
      </c>
      <c r="AA31">
        <f>IF([1]SubGroups!$C$32="","",[1]SubGroups!$C$32)</f>
        <v/>
      </c>
      <c r="AC31">
        <f>COUNTIFS($Z$6:$Z31,$AD$5,$AA$6:$AA31,"?*")</f>
        <v/>
      </c>
      <c r="AD31">
        <f>IFERROR(INDEX($AA$6:$AA$105,MATCH(ROW()-5,$AC$6:$AC$105,0)),"")</f>
        <v/>
      </c>
      <c r="AE31">
        <f>COUNTIFS($Z$6:$Z31,$AF$5,$AA$6:$AA31,"?*")</f>
        <v/>
      </c>
      <c r="AF31">
        <f>IFERROR(INDEX($AA$6:$AA$105,MATCH(ROW()-5,$AE$6:$AE$105,0)),"")</f>
        <v/>
      </c>
      <c r="AG31">
        <f>COUNTIFS($Z$6:$Z31,$AH$5,$AA$6:$AA31,"?*")</f>
        <v/>
      </c>
      <c r="AH31">
        <f>IFERROR(INDEX($AA$6:$AA$105,MATCH(ROW()-5,$AG$6:$AG$105,0)),"")</f>
        <v/>
      </c>
      <c r="AI31">
        <f>COUNTIFS($Z$6:$Z31,$AJ$5,$AA$6:$AA31,"?*")</f>
        <v/>
      </c>
      <c r="AJ31">
        <f>IFERROR(INDEX($AA$6:$AA$105,MATCH(ROW()-5,$AI$6:$AI$105,0)),"")</f>
        <v/>
      </c>
      <c r="AK31">
        <f>COUNTIFS($Z$6:$Z31,$AL$5,$AA$6:$AA31,"?*")</f>
        <v/>
      </c>
      <c r="AL31">
        <f>IFERROR(INDEX($AA$6:$AA$105,MATCH(ROW()-5,$AK$6:$AK$105,0)),"")</f>
        <v/>
      </c>
      <c r="AM31">
        <f>COUNTIFS($Z$6:$Z31,$AN$5,$AA$6:$AA31,"?*")</f>
        <v/>
      </c>
      <c r="AN31">
        <f>IFERROR(INDEX($AA$6:$AA$105,MATCH(ROW()-5,$AM$6:$AM$105,0)),"")</f>
        <v/>
      </c>
      <c r="AO31">
        <f>COUNTIFS($Z$6:$Z31,$AP$5,$AA$6:$AA31,"?*")</f>
        <v/>
      </c>
      <c r="AP31">
        <f>IFERROR(INDEX($AA$6:$AA$105,MATCH(ROW()-5,$AO$6:$AO$105,0)),"")</f>
        <v/>
      </c>
      <c r="AQ31">
        <f>COUNTIFS($Z$6:$Z31,$AR$5,$AA$6:$AA31,"?*")</f>
        <v/>
      </c>
      <c r="AR31">
        <f>IFERROR(INDEX($AA$6:$AA$105,MATCH(ROW()-5,$AQ$6:$AQ$105,0)),"")</f>
        <v/>
      </c>
      <c r="AS31">
        <f>COUNTIFS($Z$6:$Z31,$AT$5,$AA$6:$AA31,"?*")</f>
        <v/>
      </c>
      <c r="AT31">
        <f>IFERROR(INDEX($AA$6:$AA$105,MATCH(ROW()-5,$AS$6:$AS$105,0)),"")</f>
        <v/>
      </c>
      <c r="AU31">
        <f>COUNTIFS($Z$6:$Z31,$AV$5,$AA$6:$AA31,"?*")</f>
        <v/>
      </c>
      <c r="AV31">
        <f>IFERROR(INDEX($AA$6:$AA$105,MATCH(ROW()-5,$AU$6:$AU$105,0)),"")</f>
        <v/>
      </c>
    </row>
    <row r="32">
      <c r="F32">
        <f>IF([1]Accounts!$D$33="","",[1]Accounts!$A$33)</f>
        <v/>
      </c>
      <c r="G32">
        <f>IF([1]Accounts!$D$33="","",[1]Accounts!$B$33)</f>
        <v/>
      </c>
      <c r="H32">
        <f>IF([1]Accounts!$D$33="","",[1]Accounts!$C$33)</f>
        <v/>
      </c>
      <c r="I32">
        <f>IF([1]Accounts!$D$33="","",[1]Accounts!$D$33)</f>
        <v/>
      </c>
      <c r="Y32">
        <f>IF([1]SubGroups!$C$33="","",[1]SubGroups!$A$33)</f>
        <v/>
      </c>
      <c r="Z32">
        <f>IF([1]SubGroups!$C$33="","",[1]SubGroups!$B$33)</f>
        <v/>
      </c>
      <c r="AA32">
        <f>IF([1]SubGroups!$C$33="","",[1]SubGroups!$C$33)</f>
        <v/>
      </c>
      <c r="AC32">
        <f>COUNTIFS($Z$6:$Z32,$AD$5,$AA$6:$AA32,"?*")</f>
        <v/>
      </c>
      <c r="AD32">
        <f>IFERROR(INDEX($AA$6:$AA$105,MATCH(ROW()-5,$AC$6:$AC$105,0)),"")</f>
        <v/>
      </c>
      <c r="AE32">
        <f>COUNTIFS($Z$6:$Z32,$AF$5,$AA$6:$AA32,"?*")</f>
        <v/>
      </c>
      <c r="AF32">
        <f>IFERROR(INDEX($AA$6:$AA$105,MATCH(ROW()-5,$AE$6:$AE$105,0)),"")</f>
        <v/>
      </c>
      <c r="AG32">
        <f>COUNTIFS($Z$6:$Z32,$AH$5,$AA$6:$AA32,"?*")</f>
        <v/>
      </c>
      <c r="AH32">
        <f>IFERROR(INDEX($AA$6:$AA$105,MATCH(ROW()-5,$AG$6:$AG$105,0)),"")</f>
        <v/>
      </c>
      <c r="AI32">
        <f>COUNTIFS($Z$6:$Z32,$AJ$5,$AA$6:$AA32,"?*")</f>
        <v/>
      </c>
      <c r="AJ32">
        <f>IFERROR(INDEX($AA$6:$AA$105,MATCH(ROW()-5,$AI$6:$AI$105,0)),"")</f>
        <v/>
      </c>
      <c r="AK32">
        <f>COUNTIFS($Z$6:$Z32,$AL$5,$AA$6:$AA32,"?*")</f>
        <v/>
      </c>
      <c r="AL32">
        <f>IFERROR(INDEX($AA$6:$AA$105,MATCH(ROW()-5,$AK$6:$AK$105,0)),"")</f>
        <v/>
      </c>
      <c r="AM32">
        <f>COUNTIFS($Z$6:$Z32,$AN$5,$AA$6:$AA32,"?*")</f>
        <v/>
      </c>
      <c r="AN32">
        <f>IFERROR(INDEX($AA$6:$AA$105,MATCH(ROW()-5,$AM$6:$AM$105,0)),"")</f>
        <v/>
      </c>
      <c r="AO32">
        <f>COUNTIFS($Z$6:$Z32,$AP$5,$AA$6:$AA32,"?*")</f>
        <v/>
      </c>
      <c r="AP32">
        <f>IFERROR(INDEX($AA$6:$AA$105,MATCH(ROW()-5,$AO$6:$AO$105,0)),"")</f>
        <v/>
      </c>
      <c r="AQ32">
        <f>COUNTIFS($Z$6:$Z32,$AR$5,$AA$6:$AA32,"?*")</f>
        <v/>
      </c>
      <c r="AR32">
        <f>IFERROR(INDEX($AA$6:$AA$105,MATCH(ROW()-5,$AQ$6:$AQ$105,0)),"")</f>
        <v/>
      </c>
      <c r="AS32">
        <f>COUNTIFS($Z$6:$Z32,$AT$5,$AA$6:$AA32,"?*")</f>
        <v/>
      </c>
      <c r="AT32">
        <f>IFERROR(INDEX($AA$6:$AA$105,MATCH(ROW()-5,$AS$6:$AS$105,0)),"")</f>
        <v/>
      </c>
      <c r="AU32">
        <f>COUNTIFS($Z$6:$Z32,$AV$5,$AA$6:$AA32,"?*")</f>
        <v/>
      </c>
      <c r="AV32">
        <f>IFERROR(INDEX($AA$6:$AA$105,MATCH(ROW()-5,$AU$6:$AU$105,0)),"")</f>
        <v/>
      </c>
    </row>
    <row r="33">
      <c r="F33">
        <f>IF([1]Accounts!$D$34="","",[1]Accounts!$A$34)</f>
        <v/>
      </c>
      <c r="G33">
        <f>IF([1]Accounts!$D$34="","",[1]Accounts!$B$34)</f>
        <v/>
      </c>
      <c r="H33">
        <f>IF([1]Accounts!$D$34="","",[1]Accounts!$C$34)</f>
        <v/>
      </c>
      <c r="I33">
        <f>IF([1]Accounts!$D$34="","",[1]Accounts!$D$34)</f>
        <v/>
      </c>
      <c r="Y33">
        <f>IF([1]SubGroups!$C$34="","",[1]SubGroups!$A$34)</f>
        <v/>
      </c>
      <c r="Z33">
        <f>IF([1]SubGroups!$C$34="","",[1]SubGroups!$B$34)</f>
        <v/>
      </c>
      <c r="AA33">
        <f>IF([1]SubGroups!$C$34="","",[1]SubGroups!$C$34)</f>
        <v/>
      </c>
      <c r="AC33">
        <f>COUNTIFS($Z$6:$Z33,$AD$5,$AA$6:$AA33,"?*")</f>
        <v/>
      </c>
      <c r="AD33">
        <f>IFERROR(INDEX($AA$6:$AA$105,MATCH(ROW()-5,$AC$6:$AC$105,0)),"")</f>
        <v/>
      </c>
      <c r="AE33">
        <f>COUNTIFS($Z$6:$Z33,$AF$5,$AA$6:$AA33,"?*")</f>
        <v/>
      </c>
      <c r="AF33">
        <f>IFERROR(INDEX($AA$6:$AA$105,MATCH(ROW()-5,$AE$6:$AE$105,0)),"")</f>
        <v/>
      </c>
      <c r="AG33">
        <f>COUNTIFS($Z$6:$Z33,$AH$5,$AA$6:$AA33,"?*")</f>
        <v/>
      </c>
      <c r="AH33">
        <f>IFERROR(INDEX($AA$6:$AA$105,MATCH(ROW()-5,$AG$6:$AG$105,0)),"")</f>
        <v/>
      </c>
      <c r="AI33">
        <f>COUNTIFS($Z$6:$Z33,$AJ$5,$AA$6:$AA33,"?*")</f>
        <v/>
      </c>
      <c r="AJ33">
        <f>IFERROR(INDEX($AA$6:$AA$105,MATCH(ROW()-5,$AI$6:$AI$105,0)),"")</f>
        <v/>
      </c>
      <c r="AK33">
        <f>COUNTIFS($Z$6:$Z33,$AL$5,$AA$6:$AA33,"?*")</f>
        <v/>
      </c>
      <c r="AL33">
        <f>IFERROR(INDEX($AA$6:$AA$105,MATCH(ROW()-5,$AK$6:$AK$105,0)),"")</f>
        <v/>
      </c>
      <c r="AM33">
        <f>COUNTIFS($Z$6:$Z33,$AN$5,$AA$6:$AA33,"?*")</f>
        <v/>
      </c>
      <c r="AN33">
        <f>IFERROR(INDEX($AA$6:$AA$105,MATCH(ROW()-5,$AM$6:$AM$105,0)),"")</f>
        <v/>
      </c>
      <c r="AO33">
        <f>COUNTIFS($Z$6:$Z33,$AP$5,$AA$6:$AA33,"?*")</f>
        <v/>
      </c>
      <c r="AP33">
        <f>IFERROR(INDEX($AA$6:$AA$105,MATCH(ROW()-5,$AO$6:$AO$105,0)),"")</f>
        <v/>
      </c>
      <c r="AQ33">
        <f>COUNTIFS($Z$6:$Z33,$AR$5,$AA$6:$AA33,"?*")</f>
        <v/>
      </c>
      <c r="AR33">
        <f>IFERROR(INDEX($AA$6:$AA$105,MATCH(ROW()-5,$AQ$6:$AQ$105,0)),"")</f>
        <v/>
      </c>
      <c r="AS33">
        <f>COUNTIFS($Z$6:$Z33,$AT$5,$AA$6:$AA33,"?*")</f>
        <v/>
      </c>
      <c r="AT33">
        <f>IFERROR(INDEX($AA$6:$AA$105,MATCH(ROW()-5,$AS$6:$AS$105,0)),"")</f>
        <v/>
      </c>
      <c r="AU33">
        <f>COUNTIFS($Z$6:$Z33,$AV$5,$AA$6:$AA33,"?*")</f>
        <v/>
      </c>
      <c r="AV33">
        <f>IFERROR(INDEX($AA$6:$AA$105,MATCH(ROW()-5,$AU$6:$AU$105,0)),"")</f>
        <v/>
      </c>
    </row>
    <row r="34">
      <c r="F34">
        <f>IF([1]Accounts!$D$35="","",[1]Accounts!$A$35)</f>
        <v/>
      </c>
      <c r="G34">
        <f>IF([1]Accounts!$D$35="","",[1]Accounts!$B$35)</f>
        <v/>
      </c>
      <c r="H34">
        <f>IF([1]Accounts!$D$35="","",[1]Accounts!$C$35)</f>
        <v/>
      </c>
      <c r="I34">
        <f>IF([1]Accounts!$D$35="","",[1]Accounts!$D$35)</f>
        <v/>
      </c>
      <c r="Y34">
        <f>IF([1]SubGroups!$C$35="","",[1]SubGroups!$A$35)</f>
        <v/>
      </c>
      <c r="Z34">
        <f>IF([1]SubGroups!$C$35="","",[1]SubGroups!$B$35)</f>
        <v/>
      </c>
      <c r="AA34">
        <f>IF([1]SubGroups!$C$35="","",[1]SubGroups!$C$35)</f>
        <v/>
      </c>
      <c r="AC34">
        <f>COUNTIFS($Z$6:$Z34,$AD$5,$AA$6:$AA34,"?*")</f>
        <v/>
      </c>
      <c r="AD34">
        <f>IFERROR(INDEX($AA$6:$AA$105,MATCH(ROW()-5,$AC$6:$AC$105,0)),"")</f>
        <v/>
      </c>
      <c r="AE34">
        <f>COUNTIFS($Z$6:$Z34,$AF$5,$AA$6:$AA34,"?*")</f>
        <v/>
      </c>
      <c r="AF34">
        <f>IFERROR(INDEX($AA$6:$AA$105,MATCH(ROW()-5,$AE$6:$AE$105,0)),"")</f>
        <v/>
      </c>
      <c r="AG34">
        <f>COUNTIFS($Z$6:$Z34,$AH$5,$AA$6:$AA34,"?*")</f>
        <v/>
      </c>
      <c r="AH34">
        <f>IFERROR(INDEX($AA$6:$AA$105,MATCH(ROW()-5,$AG$6:$AG$105,0)),"")</f>
        <v/>
      </c>
      <c r="AI34">
        <f>COUNTIFS($Z$6:$Z34,$AJ$5,$AA$6:$AA34,"?*")</f>
        <v/>
      </c>
      <c r="AJ34">
        <f>IFERROR(INDEX($AA$6:$AA$105,MATCH(ROW()-5,$AI$6:$AI$105,0)),"")</f>
        <v/>
      </c>
      <c r="AK34">
        <f>COUNTIFS($Z$6:$Z34,$AL$5,$AA$6:$AA34,"?*")</f>
        <v/>
      </c>
      <c r="AL34">
        <f>IFERROR(INDEX($AA$6:$AA$105,MATCH(ROW()-5,$AK$6:$AK$105,0)),"")</f>
        <v/>
      </c>
      <c r="AM34">
        <f>COUNTIFS($Z$6:$Z34,$AN$5,$AA$6:$AA34,"?*")</f>
        <v/>
      </c>
      <c r="AN34">
        <f>IFERROR(INDEX($AA$6:$AA$105,MATCH(ROW()-5,$AM$6:$AM$105,0)),"")</f>
        <v/>
      </c>
      <c r="AO34">
        <f>COUNTIFS($Z$6:$Z34,$AP$5,$AA$6:$AA34,"?*")</f>
        <v/>
      </c>
      <c r="AP34">
        <f>IFERROR(INDEX($AA$6:$AA$105,MATCH(ROW()-5,$AO$6:$AO$105,0)),"")</f>
        <v/>
      </c>
      <c r="AQ34">
        <f>COUNTIFS($Z$6:$Z34,$AR$5,$AA$6:$AA34,"?*")</f>
        <v/>
      </c>
      <c r="AR34">
        <f>IFERROR(INDEX($AA$6:$AA$105,MATCH(ROW()-5,$AQ$6:$AQ$105,0)),"")</f>
        <v/>
      </c>
      <c r="AS34">
        <f>COUNTIFS($Z$6:$Z34,$AT$5,$AA$6:$AA34,"?*")</f>
        <v/>
      </c>
      <c r="AT34">
        <f>IFERROR(INDEX($AA$6:$AA$105,MATCH(ROW()-5,$AS$6:$AS$105,0)),"")</f>
        <v/>
      </c>
      <c r="AU34">
        <f>COUNTIFS($Z$6:$Z34,$AV$5,$AA$6:$AA34,"?*")</f>
        <v/>
      </c>
      <c r="AV34">
        <f>IFERROR(INDEX($AA$6:$AA$105,MATCH(ROW()-5,$AU$6:$AU$105,0)),"")</f>
        <v/>
      </c>
    </row>
    <row r="35">
      <c r="F35">
        <f>IF([1]Accounts!$D$36="","",[1]Accounts!$A$36)</f>
        <v/>
      </c>
      <c r="G35">
        <f>IF([1]Accounts!$D$36="","",[1]Accounts!$B$36)</f>
        <v/>
      </c>
      <c r="H35">
        <f>IF([1]Accounts!$D$36="","",[1]Accounts!$C$36)</f>
        <v/>
      </c>
      <c r="I35">
        <f>IF([1]Accounts!$D$36="","",[1]Accounts!$D$36)</f>
        <v/>
      </c>
      <c r="Y35">
        <f>IF([1]SubGroups!$C$36="","",[1]SubGroups!$A$36)</f>
        <v/>
      </c>
      <c r="Z35">
        <f>IF([1]SubGroups!$C$36="","",[1]SubGroups!$B$36)</f>
        <v/>
      </c>
      <c r="AA35">
        <f>IF([1]SubGroups!$C$36="","",[1]SubGroups!$C$36)</f>
        <v/>
      </c>
      <c r="AC35">
        <f>COUNTIFS($Z$6:$Z35,$AD$5,$AA$6:$AA35,"?*")</f>
        <v/>
      </c>
      <c r="AD35">
        <f>IFERROR(INDEX($AA$6:$AA$105,MATCH(ROW()-5,$AC$6:$AC$105,0)),"")</f>
        <v/>
      </c>
      <c r="AE35">
        <f>COUNTIFS($Z$6:$Z35,$AF$5,$AA$6:$AA35,"?*")</f>
        <v/>
      </c>
      <c r="AF35">
        <f>IFERROR(INDEX($AA$6:$AA$105,MATCH(ROW()-5,$AE$6:$AE$105,0)),"")</f>
        <v/>
      </c>
      <c r="AG35">
        <f>COUNTIFS($Z$6:$Z35,$AH$5,$AA$6:$AA35,"?*")</f>
        <v/>
      </c>
      <c r="AH35">
        <f>IFERROR(INDEX($AA$6:$AA$105,MATCH(ROW()-5,$AG$6:$AG$105,0)),"")</f>
        <v/>
      </c>
      <c r="AI35">
        <f>COUNTIFS($Z$6:$Z35,$AJ$5,$AA$6:$AA35,"?*")</f>
        <v/>
      </c>
      <c r="AJ35">
        <f>IFERROR(INDEX($AA$6:$AA$105,MATCH(ROW()-5,$AI$6:$AI$105,0)),"")</f>
        <v/>
      </c>
      <c r="AK35">
        <f>COUNTIFS($Z$6:$Z35,$AL$5,$AA$6:$AA35,"?*")</f>
        <v/>
      </c>
      <c r="AL35">
        <f>IFERROR(INDEX($AA$6:$AA$105,MATCH(ROW()-5,$AK$6:$AK$105,0)),"")</f>
        <v/>
      </c>
      <c r="AM35">
        <f>COUNTIFS($Z$6:$Z35,$AN$5,$AA$6:$AA35,"?*")</f>
        <v/>
      </c>
      <c r="AN35">
        <f>IFERROR(INDEX($AA$6:$AA$105,MATCH(ROW()-5,$AM$6:$AM$105,0)),"")</f>
        <v/>
      </c>
      <c r="AO35">
        <f>COUNTIFS($Z$6:$Z35,$AP$5,$AA$6:$AA35,"?*")</f>
        <v/>
      </c>
      <c r="AP35">
        <f>IFERROR(INDEX($AA$6:$AA$105,MATCH(ROW()-5,$AO$6:$AO$105,0)),"")</f>
        <v/>
      </c>
      <c r="AQ35">
        <f>COUNTIFS($Z$6:$Z35,$AR$5,$AA$6:$AA35,"?*")</f>
        <v/>
      </c>
      <c r="AR35">
        <f>IFERROR(INDEX($AA$6:$AA$105,MATCH(ROW()-5,$AQ$6:$AQ$105,0)),"")</f>
        <v/>
      </c>
      <c r="AS35">
        <f>COUNTIFS($Z$6:$Z35,$AT$5,$AA$6:$AA35,"?*")</f>
        <v/>
      </c>
      <c r="AT35">
        <f>IFERROR(INDEX($AA$6:$AA$105,MATCH(ROW()-5,$AS$6:$AS$105,0)),"")</f>
        <v/>
      </c>
      <c r="AU35">
        <f>COUNTIFS($Z$6:$Z35,$AV$5,$AA$6:$AA35,"?*")</f>
        <v/>
      </c>
      <c r="AV35">
        <f>IFERROR(INDEX($AA$6:$AA$105,MATCH(ROW()-5,$AU$6:$AU$105,0)),"")</f>
        <v/>
      </c>
    </row>
    <row r="36">
      <c r="F36">
        <f>IF([1]Accounts!$D$37="","",[1]Accounts!$A$37)</f>
        <v/>
      </c>
      <c r="G36">
        <f>IF([1]Accounts!$D$37="","",[1]Accounts!$B$37)</f>
        <v/>
      </c>
      <c r="H36">
        <f>IF([1]Accounts!$D$37="","",[1]Accounts!$C$37)</f>
        <v/>
      </c>
      <c r="I36">
        <f>IF([1]Accounts!$D$37="","",[1]Accounts!$D$37)</f>
        <v/>
      </c>
      <c r="Y36">
        <f>IF([1]SubGroups!$C$37="","",[1]SubGroups!$A$37)</f>
        <v/>
      </c>
      <c r="Z36">
        <f>IF([1]SubGroups!$C$37="","",[1]SubGroups!$B$37)</f>
        <v/>
      </c>
      <c r="AA36">
        <f>IF([1]SubGroups!$C$37="","",[1]SubGroups!$C$37)</f>
        <v/>
      </c>
      <c r="AC36">
        <f>COUNTIFS($Z$6:$Z36,$AD$5,$AA$6:$AA36,"?*")</f>
        <v/>
      </c>
      <c r="AD36">
        <f>IFERROR(INDEX($AA$6:$AA$105,MATCH(ROW()-5,$AC$6:$AC$105,0)),"")</f>
        <v/>
      </c>
      <c r="AE36">
        <f>COUNTIFS($Z$6:$Z36,$AF$5,$AA$6:$AA36,"?*")</f>
        <v/>
      </c>
      <c r="AF36">
        <f>IFERROR(INDEX($AA$6:$AA$105,MATCH(ROW()-5,$AE$6:$AE$105,0)),"")</f>
        <v/>
      </c>
      <c r="AG36">
        <f>COUNTIFS($Z$6:$Z36,$AH$5,$AA$6:$AA36,"?*")</f>
        <v/>
      </c>
      <c r="AH36">
        <f>IFERROR(INDEX($AA$6:$AA$105,MATCH(ROW()-5,$AG$6:$AG$105,0)),"")</f>
        <v/>
      </c>
      <c r="AI36">
        <f>COUNTIFS($Z$6:$Z36,$AJ$5,$AA$6:$AA36,"?*")</f>
        <v/>
      </c>
      <c r="AJ36">
        <f>IFERROR(INDEX($AA$6:$AA$105,MATCH(ROW()-5,$AI$6:$AI$105,0)),"")</f>
        <v/>
      </c>
      <c r="AK36">
        <f>COUNTIFS($Z$6:$Z36,$AL$5,$AA$6:$AA36,"?*")</f>
        <v/>
      </c>
      <c r="AL36">
        <f>IFERROR(INDEX($AA$6:$AA$105,MATCH(ROW()-5,$AK$6:$AK$105,0)),"")</f>
        <v/>
      </c>
      <c r="AM36">
        <f>COUNTIFS($Z$6:$Z36,$AN$5,$AA$6:$AA36,"?*")</f>
        <v/>
      </c>
      <c r="AN36">
        <f>IFERROR(INDEX($AA$6:$AA$105,MATCH(ROW()-5,$AM$6:$AM$105,0)),"")</f>
        <v/>
      </c>
      <c r="AO36">
        <f>COUNTIFS($Z$6:$Z36,$AP$5,$AA$6:$AA36,"?*")</f>
        <v/>
      </c>
      <c r="AP36">
        <f>IFERROR(INDEX($AA$6:$AA$105,MATCH(ROW()-5,$AO$6:$AO$105,0)),"")</f>
        <v/>
      </c>
      <c r="AQ36">
        <f>COUNTIFS($Z$6:$Z36,$AR$5,$AA$6:$AA36,"?*")</f>
        <v/>
      </c>
      <c r="AR36">
        <f>IFERROR(INDEX($AA$6:$AA$105,MATCH(ROW()-5,$AQ$6:$AQ$105,0)),"")</f>
        <v/>
      </c>
      <c r="AS36">
        <f>COUNTIFS($Z$6:$Z36,$AT$5,$AA$6:$AA36,"?*")</f>
        <v/>
      </c>
      <c r="AT36">
        <f>IFERROR(INDEX($AA$6:$AA$105,MATCH(ROW()-5,$AS$6:$AS$105,0)),"")</f>
        <v/>
      </c>
      <c r="AU36">
        <f>COUNTIFS($Z$6:$Z36,$AV$5,$AA$6:$AA36,"?*")</f>
        <v/>
      </c>
      <c r="AV36">
        <f>IFERROR(INDEX($AA$6:$AA$105,MATCH(ROW()-5,$AU$6:$AU$105,0)),"")</f>
        <v/>
      </c>
    </row>
    <row r="37">
      <c r="F37">
        <f>IF([1]Accounts!$D$38="","",[1]Accounts!$A$38)</f>
        <v/>
      </c>
      <c r="G37">
        <f>IF([1]Accounts!$D$38="","",[1]Accounts!$B$38)</f>
        <v/>
      </c>
      <c r="H37">
        <f>IF([1]Accounts!$D$38="","",[1]Accounts!$C$38)</f>
        <v/>
      </c>
      <c r="I37">
        <f>IF([1]Accounts!$D$38="","",[1]Accounts!$D$38)</f>
        <v/>
      </c>
      <c r="Y37">
        <f>IF([1]SubGroups!$C$38="","",[1]SubGroups!$A$38)</f>
        <v/>
      </c>
      <c r="Z37">
        <f>IF([1]SubGroups!$C$38="","",[1]SubGroups!$B$38)</f>
        <v/>
      </c>
      <c r="AA37">
        <f>IF([1]SubGroups!$C$38="","",[1]SubGroups!$C$38)</f>
        <v/>
      </c>
      <c r="AC37">
        <f>COUNTIFS($Z$6:$Z37,$AD$5,$AA$6:$AA37,"?*")</f>
        <v/>
      </c>
      <c r="AD37">
        <f>IFERROR(INDEX($AA$6:$AA$105,MATCH(ROW()-5,$AC$6:$AC$105,0)),"")</f>
        <v/>
      </c>
      <c r="AE37">
        <f>COUNTIFS($Z$6:$Z37,$AF$5,$AA$6:$AA37,"?*")</f>
        <v/>
      </c>
      <c r="AF37">
        <f>IFERROR(INDEX($AA$6:$AA$105,MATCH(ROW()-5,$AE$6:$AE$105,0)),"")</f>
        <v/>
      </c>
      <c r="AG37">
        <f>COUNTIFS($Z$6:$Z37,$AH$5,$AA$6:$AA37,"?*")</f>
        <v/>
      </c>
      <c r="AH37">
        <f>IFERROR(INDEX($AA$6:$AA$105,MATCH(ROW()-5,$AG$6:$AG$105,0)),"")</f>
        <v/>
      </c>
      <c r="AI37">
        <f>COUNTIFS($Z$6:$Z37,$AJ$5,$AA$6:$AA37,"?*")</f>
        <v/>
      </c>
      <c r="AJ37">
        <f>IFERROR(INDEX($AA$6:$AA$105,MATCH(ROW()-5,$AI$6:$AI$105,0)),"")</f>
        <v/>
      </c>
      <c r="AK37">
        <f>COUNTIFS($Z$6:$Z37,$AL$5,$AA$6:$AA37,"?*")</f>
        <v/>
      </c>
      <c r="AL37">
        <f>IFERROR(INDEX($AA$6:$AA$105,MATCH(ROW()-5,$AK$6:$AK$105,0)),"")</f>
        <v/>
      </c>
      <c r="AM37">
        <f>COUNTIFS($Z$6:$Z37,$AN$5,$AA$6:$AA37,"?*")</f>
        <v/>
      </c>
      <c r="AN37">
        <f>IFERROR(INDEX($AA$6:$AA$105,MATCH(ROW()-5,$AM$6:$AM$105,0)),"")</f>
        <v/>
      </c>
      <c r="AO37">
        <f>COUNTIFS($Z$6:$Z37,$AP$5,$AA$6:$AA37,"?*")</f>
        <v/>
      </c>
      <c r="AP37">
        <f>IFERROR(INDEX($AA$6:$AA$105,MATCH(ROW()-5,$AO$6:$AO$105,0)),"")</f>
        <v/>
      </c>
      <c r="AQ37">
        <f>COUNTIFS($Z$6:$Z37,$AR$5,$AA$6:$AA37,"?*")</f>
        <v/>
      </c>
      <c r="AR37">
        <f>IFERROR(INDEX($AA$6:$AA$105,MATCH(ROW()-5,$AQ$6:$AQ$105,0)),"")</f>
        <v/>
      </c>
      <c r="AS37">
        <f>COUNTIFS($Z$6:$Z37,$AT$5,$AA$6:$AA37,"?*")</f>
        <v/>
      </c>
      <c r="AT37">
        <f>IFERROR(INDEX($AA$6:$AA$105,MATCH(ROW()-5,$AS$6:$AS$105,0)),"")</f>
        <v/>
      </c>
      <c r="AU37">
        <f>COUNTIFS($Z$6:$Z37,$AV$5,$AA$6:$AA37,"?*")</f>
        <v/>
      </c>
      <c r="AV37">
        <f>IFERROR(INDEX($AA$6:$AA$105,MATCH(ROW()-5,$AU$6:$AU$105,0)),"")</f>
        <v/>
      </c>
    </row>
    <row r="38">
      <c r="F38">
        <f>IF([1]Accounts!$D$39="","",[1]Accounts!$A$39)</f>
        <v/>
      </c>
      <c r="G38">
        <f>IF([1]Accounts!$D$39="","",[1]Accounts!$B$39)</f>
        <v/>
      </c>
      <c r="H38">
        <f>IF([1]Accounts!$D$39="","",[1]Accounts!$C$39)</f>
        <v/>
      </c>
      <c r="I38">
        <f>IF([1]Accounts!$D$39="","",[1]Accounts!$D$39)</f>
        <v/>
      </c>
      <c r="Y38">
        <f>IF([1]SubGroups!$C$39="","",[1]SubGroups!$A$39)</f>
        <v/>
      </c>
      <c r="Z38">
        <f>IF([1]SubGroups!$C$39="","",[1]SubGroups!$B$39)</f>
        <v/>
      </c>
      <c r="AA38">
        <f>IF([1]SubGroups!$C$39="","",[1]SubGroups!$C$39)</f>
        <v/>
      </c>
      <c r="AC38">
        <f>COUNTIFS($Z$6:$Z38,$AD$5,$AA$6:$AA38,"?*")</f>
        <v/>
      </c>
      <c r="AD38">
        <f>IFERROR(INDEX($AA$6:$AA$105,MATCH(ROW()-5,$AC$6:$AC$105,0)),"")</f>
        <v/>
      </c>
      <c r="AE38">
        <f>COUNTIFS($Z$6:$Z38,$AF$5,$AA$6:$AA38,"?*")</f>
        <v/>
      </c>
      <c r="AF38">
        <f>IFERROR(INDEX($AA$6:$AA$105,MATCH(ROW()-5,$AE$6:$AE$105,0)),"")</f>
        <v/>
      </c>
      <c r="AG38">
        <f>COUNTIFS($Z$6:$Z38,$AH$5,$AA$6:$AA38,"?*")</f>
        <v/>
      </c>
      <c r="AH38">
        <f>IFERROR(INDEX($AA$6:$AA$105,MATCH(ROW()-5,$AG$6:$AG$105,0)),"")</f>
        <v/>
      </c>
      <c r="AI38">
        <f>COUNTIFS($Z$6:$Z38,$AJ$5,$AA$6:$AA38,"?*")</f>
        <v/>
      </c>
      <c r="AJ38">
        <f>IFERROR(INDEX($AA$6:$AA$105,MATCH(ROW()-5,$AI$6:$AI$105,0)),"")</f>
        <v/>
      </c>
      <c r="AK38">
        <f>COUNTIFS($Z$6:$Z38,$AL$5,$AA$6:$AA38,"?*")</f>
        <v/>
      </c>
      <c r="AL38">
        <f>IFERROR(INDEX($AA$6:$AA$105,MATCH(ROW()-5,$AK$6:$AK$105,0)),"")</f>
        <v/>
      </c>
      <c r="AM38">
        <f>COUNTIFS($Z$6:$Z38,$AN$5,$AA$6:$AA38,"?*")</f>
        <v/>
      </c>
      <c r="AN38">
        <f>IFERROR(INDEX($AA$6:$AA$105,MATCH(ROW()-5,$AM$6:$AM$105,0)),"")</f>
        <v/>
      </c>
      <c r="AO38">
        <f>COUNTIFS($Z$6:$Z38,$AP$5,$AA$6:$AA38,"?*")</f>
        <v/>
      </c>
      <c r="AP38">
        <f>IFERROR(INDEX($AA$6:$AA$105,MATCH(ROW()-5,$AO$6:$AO$105,0)),"")</f>
        <v/>
      </c>
      <c r="AQ38">
        <f>COUNTIFS($Z$6:$Z38,$AR$5,$AA$6:$AA38,"?*")</f>
        <v/>
      </c>
      <c r="AR38">
        <f>IFERROR(INDEX($AA$6:$AA$105,MATCH(ROW()-5,$AQ$6:$AQ$105,0)),"")</f>
        <v/>
      </c>
      <c r="AS38">
        <f>COUNTIFS($Z$6:$Z38,$AT$5,$AA$6:$AA38,"?*")</f>
        <v/>
      </c>
      <c r="AT38">
        <f>IFERROR(INDEX($AA$6:$AA$105,MATCH(ROW()-5,$AS$6:$AS$105,0)),"")</f>
        <v/>
      </c>
      <c r="AU38">
        <f>COUNTIFS($Z$6:$Z38,$AV$5,$AA$6:$AA38,"?*")</f>
        <v/>
      </c>
      <c r="AV38">
        <f>IFERROR(INDEX($AA$6:$AA$105,MATCH(ROW()-5,$AU$6:$AU$105,0)),"")</f>
        <v/>
      </c>
    </row>
    <row r="39">
      <c r="F39">
        <f>IF([1]Accounts!$D$40="","",[1]Accounts!$A$40)</f>
        <v/>
      </c>
      <c r="G39">
        <f>IF([1]Accounts!$D$40="","",[1]Accounts!$B$40)</f>
        <v/>
      </c>
      <c r="H39">
        <f>IF([1]Accounts!$D$40="","",[1]Accounts!$C$40)</f>
        <v/>
      </c>
      <c r="I39">
        <f>IF([1]Accounts!$D$40="","",[1]Accounts!$D$40)</f>
        <v/>
      </c>
      <c r="Y39">
        <f>IF([1]SubGroups!$C$40="","",[1]SubGroups!$A$40)</f>
        <v/>
      </c>
      <c r="Z39">
        <f>IF([1]SubGroups!$C$40="","",[1]SubGroups!$B$40)</f>
        <v/>
      </c>
      <c r="AA39">
        <f>IF([1]SubGroups!$C$40="","",[1]SubGroups!$C$40)</f>
        <v/>
      </c>
      <c r="AC39">
        <f>COUNTIFS($Z$6:$Z39,$AD$5,$AA$6:$AA39,"?*")</f>
        <v/>
      </c>
      <c r="AD39">
        <f>IFERROR(INDEX($AA$6:$AA$105,MATCH(ROW()-5,$AC$6:$AC$105,0)),"")</f>
        <v/>
      </c>
      <c r="AE39">
        <f>COUNTIFS($Z$6:$Z39,$AF$5,$AA$6:$AA39,"?*")</f>
        <v/>
      </c>
      <c r="AF39">
        <f>IFERROR(INDEX($AA$6:$AA$105,MATCH(ROW()-5,$AE$6:$AE$105,0)),"")</f>
        <v/>
      </c>
      <c r="AG39">
        <f>COUNTIFS($Z$6:$Z39,$AH$5,$AA$6:$AA39,"?*")</f>
        <v/>
      </c>
      <c r="AH39">
        <f>IFERROR(INDEX($AA$6:$AA$105,MATCH(ROW()-5,$AG$6:$AG$105,0)),"")</f>
        <v/>
      </c>
      <c r="AI39">
        <f>COUNTIFS($Z$6:$Z39,$AJ$5,$AA$6:$AA39,"?*")</f>
        <v/>
      </c>
      <c r="AJ39">
        <f>IFERROR(INDEX($AA$6:$AA$105,MATCH(ROW()-5,$AI$6:$AI$105,0)),"")</f>
        <v/>
      </c>
      <c r="AK39">
        <f>COUNTIFS($Z$6:$Z39,$AL$5,$AA$6:$AA39,"?*")</f>
        <v/>
      </c>
      <c r="AL39">
        <f>IFERROR(INDEX($AA$6:$AA$105,MATCH(ROW()-5,$AK$6:$AK$105,0)),"")</f>
        <v/>
      </c>
      <c r="AM39">
        <f>COUNTIFS($Z$6:$Z39,$AN$5,$AA$6:$AA39,"?*")</f>
        <v/>
      </c>
      <c r="AN39">
        <f>IFERROR(INDEX($AA$6:$AA$105,MATCH(ROW()-5,$AM$6:$AM$105,0)),"")</f>
        <v/>
      </c>
      <c r="AO39">
        <f>COUNTIFS($Z$6:$Z39,$AP$5,$AA$6:$AA39,"?*")</f>
        <v/>
      </c>
      <c r="AP39">
        <f>IFERROR(INDEX($AA$6:$AA$105,MATCH(ROW()-5,$AO$6:$AO$105,0)),"")</f>
        <v/>
      </c>
      <c r="AQ39">
        <f>COUNTIFS($Z$6:$Z39,$AR$5,$AA$6:$AA39,"?*")</f>
        <v/>
      </c>
      <c r="AR39">
        <f>IFERROR(INDEX($AA$6:$AA$105,MATCH(ROW()-5,$AQ$6:$AQ$105,0)),"")</f>
        <v/>
      </c>
      <c r="AS39">
        <f>COUNTIFS($Z$6:$Z39,$AT$5,$AA$6:$AA39,"?*")</f>
        <v/>
      </c>
      <c r="AT39">
        <f>IFERROR(INDEX($AA$6:$AA$105,MATCH(ROW()-5,$AS$6:$AS$105,0)),"")</f>
        <v/>
      </c>
      <c r="AU39">
        <f>COUNTIFS($Z$6:$Z39,$AV$5,$AA$6:$AA39,"?*")</f>
        <v/>
      </c>
      <c r="AV39">
        <f>IFERROR(INDEX($AA$6:$AA$105,MATCH(ROW()-5,$AU$6:$AU$105,0)),"")</f>
        <v/>
      </c>
    </row>
    <row r="40">
      <c r="F40">
        <f>IF([1]Accounts!$D$41="","",[1]Accounts!$A$41)</f>
        <v/>
      </c>
      <c r="G40">
        <f>IF([1]Accounts!$D$41="","",[1]Accounts!$B$41)</f>
        <v/>
      </c>
      <c r="H40">
        <f>IF([1]Accounts!$D$41="","",[1]Accounts!$C$41)</f>
        <v/>
      </c>
      <c r="I40">
        <f>IF([1]Accounts!$D$41="","",[1]Accounts!$D$41)</f>
        <v/>
      </c>
      <c r="Y40">
        <f>IF([1]SubGroups!$C$41="","",[1]SubGroups!$A$41)</f>
        <v/>
      </c>
      <c r="Z40">
        <f>IF([1]SubGroups!$C$41="","",[1]SubGroups!$B$41)</f>
        <v/>
      </c>
      <c r="AA40">
        <f>IF([1]SubGroups!$C$41="","",[1]SubGroups!$C$41)</f>
        <v/>
      </c>
      <c r="AC40">
        <f>COUNTIFS($Z$6:$Z40,$AD$5,$AA$6:$AA40,"?*")</f>
        <v/>
      </c>
      <c r="AD40">
        <f>IFERROR(INDEX($AA$6:$AA$105,MATCH(ROW()-5,$AC$6:$AC$105,0)),"")</f>
        <v/>
      </c>
      <c r="AE40">
        <f>COUNTIFS($Z$6:$Z40,$AF$5,$AA$6:$AA40,"?*")</f>
        <v/>
      </c>
      <c r="AF40">
        <f>IFERROR(INDEX($AA$6:$AA$105,MATCH(ROW()-5,$AE$6:$AE$105,0)),"")</f>
        <v/>
      </c>
      <c r="AG40">
        <f>COUNTIFS($Z$6:$Z40,$AH$5,$AA$6:$AA40,"?*")</f>
        <v/>
      </c>
      <c r="AH40">
        <f>IFERROR(INDEX($AA$6:$AA$105,MATCH(ROW()-5,$AG$6:$AG$105,0)),"")</f>
        <v/>
      </c>
      <c r="AI40">
        <f>COUNTIFS($Z$6:$Z40,$AJ$5,$AA$6:$AA40,"?*")</f>
        <v/>
      </c>
      <c r="AJ40">
        <f>IFERROR(INDEX($AA$6:$AA$105,MATCH(ROW()-5,$AI$6:$AI$105,0)),"")</f>
        <v/>
      </c>
      <c r="AK40">
        <f>COUNTIFS($Z$6:$Z40,$AL$5,$AA$6:$AA40,"?*")</f>
        <v/>
      </c>
      <c r="AL40">
        <f>IFERROR(INDEX($AA$6:$AA$105,MATCH(ROW()-5,$AK$6:$AK$105,0)),"")</f>
        <v/>
      </c>
      <c r="AM40">
        <f>COUNTIFS($Z$6:$Z40,$AN$5,$AA$6:$AA40,"?*")</f>
        <v/>
      </c>
      <c r="AN40">
        <f>IFERROR(INDEX($AA$6:$AA$105,MATCH(ROW()-5,$AM$6:$AM$105,0)),"")</f>
        <v/>
      </c>
      <c r="AO40">
        <f>COUNTIFS($Z$6:$Z40,$AP$5,$AA$6:$AA40,"?*")</f>
        <v/>
      </c>
      <c r="AP40">
        <f>IFERROR(INDEX($AA$6:$AA$105,MATCH(ROW()-5,$AO$6:$AO$105,0)),"")</f>
        <v/>
      </c>
      <c r="AQ40">
        <f>COUNTIFS($Z$6:$Z40,$AR$5,$AA$6:$AA40,"?*")</f>
        <v/>
      </c>
      <c r="AR40">
        <f>IFERROR(INDEX($AA$6:$AA$105,MATCH(ROW()-5,$AQ$6:$AQ$105,0)),"")</f>
        <v/>
      </c>
      <c r="AS40">
        <f>COUNTIFS($Z$6:$Z40,$AT$5,$AA$6:$AA40,"?*")</f>
        <v/>
      </c>
      <c r="AT40">
        <f>IFERROR(INDEX($AA$6:$AA$105,MATCH(ROW()-5,$AS$6:$AS$105,0)),"")</f>
        <v/>
      </c>
      <c r="AU40">
        <f>COUNTIFS($Z$6:$Z40,$AV$5,$AA$6:$AA40,"?*")</f>
        <v/>
      </c>
      <c r="AV40">
        <f>IFERROR(INDEX($AA$6:$AA$105,MATCH(ROW()-5,$AU$6:$AU$105,0)),"")</f>
        <v/>
      </c>
    </row>
    <row r="41">
      <c r="F41">
        <f>IF([1]Accounts!$D$42="","",[1]Accounts!$A$42)</f>
        <v/>
      </c>
      <c r="G41">
        <f>IF([1]Accounts!$D$42="","",[1]Accounts!$B$42)</f>
        <v/>
      </c>
      <c r="H41">
        <f>IF([1]Accounts!$D$42="","",[1]Accounts!$C$42)</f>
        <v/>
      </c>
      <c r="I41">
        <f>IF([1]Accounts!$D$42="","",[1]Accounts!$D$42)</f>
        <v/>
      </c>
      <c r="Y41">
        <f>IF([1]SubGroups!$C$42="","",[1]SubGroups!$A$42)</f>
        <v/>
      </c>
      <c r="Z41">
        <f>IF([1]SubGroups!$C$42="","",[1]SubGroups!$B$42)</f>
        <v/>
      </c>
      <c r="AA41">
        <f>IF([1]SubGroups!$C$42="","",[1]SubGroups!$C$42)</f>
        <v/>
      </c>
      <c r="AC41">
        <f>COUNTIFS($Z$6:$Z41,$AD$5,$AA$6:$AA41,"?*")</f>
        <v/>
      </c>
      <c r="AD41">
        <f>IFERROR(INDEX($AA$6:$AA$105,MATCH(ROW()-5,$AC$6:$AC$105,0)),"")</f>
        <v/>
      </c>
      <c r="AE41">
        <f>COUNTIFS($Z$6:$Z41,$AF$5,$AA$6:$AA41,"?*")</f>
        <v/>
      </c>
      <c r="AF41">
        <f>IFERROR(INDEX($AA$6:$AA$105,MATCH(ROW()-5,$AE$6:$AE$105,0)),"")</f>
        <v/>
      </c>
      <c r="AG41">
        <f>COUNTIFS($Z$6:$Z41,$AH$5,$AA$6:$AA41,"?*")</f>
        <v/>
      </c>
      <c r="AH41">
        <f>IFERROR(INDEX($AA$6:$AA$105,MATCH(ROW()-5,$AG$6:$AG$105,0)),"")</f>
        <v/>
      </c>
      <c r="AI41">
        <f>COUNTIFS($Z$6:$Z41,$AJ$5,$AA$6:$AA41,"?*")</f>
        <v/>
      </c>
      <c r="AJ41">
        <f>IFERROR(INDEX($AA$6:$AA$105,MATCH(ROW()-5,$AI$6:$AI$105,0)),"")</f>
        <v/>
      </c>
      <c r="AK41">
        <f>COUNTIFS($Z$6:$Z41,$AL$5,$AA$6:$AA41,"?*")</f>
        <v/>
      </c>
      <c r="AL41">
        <f>IFERROR(INDEX($AA$6:$AA$105,MATCH(ROW()-5,$AK$6:$AK$105,0)),"")</f>
        <v/>
      </c>
      <c r="AM41">
        <f>COUNTIFS($Z$6:$Z41,$AN$5,$AA$6:$AA41,"?*")</f>
        <v/>
      </c>
      <c r="AN41">
        <f>IFERROR(INDEX($AA$6:$AA$105,MATCH(ROW()-5,$AM$6:$AM$105,0)),"")</f>
        <v/>
      </c>
      <c r="AO41">
        <f>COUNTIFS($Z$6:$Z41,$AP$5,$AA$6:$AA41,"?*")</f>
        <v/>
      </c>
      <c r="AP41">
        <f>IFERROR(INDEX($AA$6:$AA$105,MATCH(ROW()-5,$AO$6:$AO$105,0)),"")</f>
        <v/>
      </c>
      <c r="AQ41">
        <f>COUNTIFS($Z$6:$Z41,$AR$5,$AA$6:$AA41,"?*")</f>
        <v/>
      </c>
      <c r="AR41">
        <f>IFERROR(INDEX($AA$6:$AA$105,MATCH(ROW()-5,$AQ$6:$AQ$105,0)),"")</f>
        <v/>
      </c>
      <c r="AS41">
        <f>COUNTIFS($Z$6:$Z41,$AT$5,$AA$6:$AA41,"?*")</f>
        <v/>
      </c>
      <c r="AT41">
        <f>IFERROR(INDEX($AA$6:$AA$105,MATCH(ROW()-5,$AS$6:$AS$105,0)),"")</f>
        <v/>
      </c>
      <c r="AU41">
        <f>COUNTIFS($Z$6:$Z41,$AV$5,$AA$6:$AA41,"?*")</f>
        <v/>
      </c>
      <c r="AV41">
        <f>IFERROR(INDEX($AA$6:$AA$105,MATCH(ROW()-5,$AU$6:$AU$105,0)),"")</f>
        <v/>
      </c>
    </row>
    <row r="42">
      <c r="F42">
        <f>IF([1]Accounts!$D$43="","",[1]Accounts!$A$43)</f>
        <v/>
      </c>
      <c r="G42">
        <f>IF([1]Accounts!$D$43="","",[1]Accounts!$B$43)</f>
        <v/>
      </c>
      <c r="H42">
        <f>IF([1]Accounts!$D$43="","",[1]Accounts!$C$43)</f>
        <v/>
      </c>
      <c r="I42">
        <f>IF([1]Accounts!$D$43="","",[1]Accounts!$D$43)</f>
        <v/>
      </c>
      <c r="Y42">
        <f>IF([1]SubGroups!$C$43="","",[1]SubGroups!$A$43)</f>
        <v/>
      </c>
      <c r="Z42">
        <f>IF([1]SubGroups!$C$43="","",[1]SubGroups!$B$43)</f>
        <v/>
      </c>
      <c r="AA42">
        <f>IF([1]SubGroups!$C$43="","",[1]SubGroups!$C$43)</f>
        <v/>
      </c>
      <c r="AC42">
        <f>COUNTIFS($Z$6:$Z42,$AD$5,$AA$6:$AA42,"?*")</f>
        <v/>
      </c>
      <c r="AD42">
        <f>IFERROR(INDEX($AA$6:$AA$105,MATCH(ROW()-5,$AC$6:$AC$105,0)),"")</f>
        <v/>
      </c>
      <c r="AE42">
        <f>COUNTIFS($Z$6:$Z42,$AF$5,$AA$6:$AA42,"?*")</f>
        <v/>
      </c>
      <c r="AF42">
        <f>IFERROR(INDEX($AA$6:$AA$105,MATCH(ROW()-5,$AE$6:$AE$105,0)),"")</f>
        <v/>
      </c>
      <c r="AG42">
        <f>COUNTIFS($Z$6:$Z42,$AH$5,$AA$6:$AA42,"?*")</f>
        <v/>
      </c>
      <c r="AH42">
        <f>IFERROR(INDEX($AA$6:$AA$105,MATCH(ROW()-5,$AG$6:$AG$105,0)),"")</f>
        <v/>
      </c>
      <c r="AI42">
        <f>COUNTIFS($Z$6:$Z42,$AJ$5,$AA$6:$AA42,"?*")</f>
        <v/>
      </c>
      <c r="AJ42">
        <f>IFERROR(INDEX($AA$6:$AA$105,MATCH(ROW()-5,$AI$6:$AI$105,0)),"")</f>
        <v/>
      </c>
      <c r="AK42">
        <f>COUNTIFS($Z$6:$Z42,$AL$5,$AA$6:$AA42,"?*")</f>
        <v/>
      </c>
      <c r="AL42">
        <f>IFERROR(INDEX($AA$6:$AA$105,MATCH(ROW()-5,$AK$6:$AK$105,0)),"")</f>
        <v/>
      </c>
      <c r="AM42">
        <f>COUNTIFS($Z$6:$Z42,$AN$5,$AA$6:$AA42,"?*")</f>
        <v/>
      </c>
      <c r="AN42">
        <f>IFERROR(INDEX($AA$6:$AA$105,MATCH(ROW()-5,$AM$6:$AM$105,0)),"")</f>
        <v/>
      </c>
      <c r="AO42">
        <f>COUNTIFS($Z$6:$Z42,$AP$5,$AA$6:$AA42,"?*")</f>
        <v/>
      </c>
      <c r="AP42">
        <f>IFERROR(INDEX($AA$6:$AA$105,MATCH(ROW()-5,$AO$6:$AO$105,0)),"")</f>
        <v/>
      </c>
      <c r="AQ42">
        <f>COUNTIFS($Z$6:$Z42,$AR$5,$AA$6:$AA42,"?*")</f>
        <v/>
      </c>
      <c r="AR42">
        <f>IFERROR(INDEX($AA$6:$AA$105,MATCH(ROW()-5,$AQ$6:$AQ$105,0)),"")</f>
        <v/>
      </c>
      <c r="AS42">
        <f>COUNTIFS($Z$6:$Z42,$AT$5,$AA$6:$AA42,"?*")</f>
        <v/>
      </c>
      <c r="AT42">
        <f>IFERROR(INDEX($AA$6:$AA$105,MATCH(ROW()-5,$AS$6:$AS$105,0)),"")</f>
        <v/>
      </c>
      <c r="AU42">
        <f>COUNTIFS($Z$6:$Z42,$AV$5,$AA$6:$AA42,"?*")</f>
        <v/>
      </c>
      <c r="AV42">
        <f>IFERROR(INDEX($AA$6:$AA$105,MATCH(ROW()-5,$AU$6:$AU$105,0)),"")</f>
        <v/>
      </c>
    </row>
    <row r="43">
      <c r="F43">
        <f>IF([1]Accounts!$D$44="","",[1]Accounts!$A$44)</f>
        <v/>
      </c>
      <c r="G43">
        <f>IF([1]Accounts!$D$44="","",[1]Accounts!$B$44)</f>
        <v/>
      </c>
      <c r="H43">
        <f>IF([1]Accounts!$D$44="","",[1]Accounts!$C$44)</f>
        <v/>
      </c>
      <c r="I43">
        <f>IF([1]Accounts!$D$44="","",[1]Accounts!$D$44)</f>
        <v/>
      </c>
      <c r="Y43">
        <f>IF([1]SubGroups!$C$44="","",[1]SubGroups!$A$44)</f>
        <v/>
      </c>
      <c r="Z43">
        <f>IF([1]SubGroups!$C$44="","",[1]SubGroups!$B$44)</f>
        <v/>
      </c>
      <c r="AA43">
        <f>IF([1]SubGroups!$C$44="","",[1]SubGroups!$C$44)</f>
        <v/>
      </c>
      <c r="AC43">
        <f>COUNTIFS($Z$6:$Z43,$AD$5,$AA$6:$AA43,"?*")</f>
        <v/>
      </c>
      <c r="AD43">
        <f>IFERROR(INDEX($AA$6:$AA$105,MATCH(ROW()-5,$AC$6:$AC$105,0)),"")</f>
        <v/>
      </c>
      <c r="AE43">
        <f>COUNTIFS($Z$6:$Z43,$AF$5,$AA$6:$AA43,"?*")</f>
        <v/>
      </c>
      <c r="AF43">
        <f>IFERROR(INDEX($AA$6:$AA$105,MATCH(ROW()-5,$AE$6:$AE$105,0)),"")</f>
        <v/>
      </c>
      <c r="AG43">
        <f>COUNTIFS($Z$6:$Z43,$AH$5,$AA$6:$AA43,"?*")</f>
        <v/>
      </c>
      <c r="AH43">
        <f>IFERROR(INDEX($AA$6:$AA$105,MATCH(ROW()-5,$AG$6:$AG$105,0)),"")</f>
        <v/>
      </c>
      <c r="AI43">
        <f>COUNTIFS($Z$6:$Z43,$AJ$5,$AA$6:$AA43,"?*")</f>
        <v/>
      </c>
      <c r="AJ43">
        <f>IFERROR(INDEX($AA$6:$AA$105,MATCH(ROW()-5,$AI$6:$AI$105,0)),"")</f>
        <v/>
      </c>
      <c r="AK43">
        <f>COUNTIFS($Z$6:$Z43,$AL$5,$AA$6:$AA43,"?*")</f>
        <v/>
      </c>
      <c r="AL43">
        <f>IFERROR(INDEX($AA$6:$AA$105,MATCH(ROW()-5,$AK$6:$AK$105,0)),"")</f>
        <v/>
      </c>
      <c r="AM43">
        <f>COUNTIFS($Z$6:$Z43,$AN$5,$AA$6:$AA43,"?*")</f>
        <v/>
      </c>
      <c r="AN43">
        <f>IFERROR(INDEX($AA$6:$AA$105,MATCH(ROW()-5,$AM$6:$AM$105,0)),"")</f>
        <v/>
      </c>
      <c r="AO43">
        <f>COUNTIFS($Z$6:$Z43,$AP$5,$AA$6:$AA43,"?*")</f>
        <v/>
      </c>
      <c r="AP43">
        <f>IFERROR(INDEX($AA$6:$AA$105,MATCH(ROW()-5,$AO$6:$AO$105,0)),"")</f>
        <v/>
      </c>
      <c r="AQ43">
        <f>COUNTIFS($Z$6:$Z43,$AR$5,$AA$6:$AA43,"?*")</f>
        <v/>
      </c>
      <c r="AR43">
        <f>IFERROR(INDEX($AA$6:$AA$105,MATCH(ROW()-5,$AQ$6:$AQ$105,0)),"")</f>
        <v/>
      </c>
      <c r="AS43">
        <f>COUNTIFS($Z$6:$Z43,$AT$5,$AA$6:$AA43,"?*")</f>
        <v/>
      </c>
      <c r="AT43">
        <f>IFERROR(INDEX($AA$6:$AA$105,MATCH(ROW()-5,$AS$6:$AS$105,0)),"")</f>
        <v/>
      </c>
      <c r="AU43">
        <f>COUNTIFS($Z$6:$Z43,$AV$5,$AA$6:$AA43,"?*")</f>
        <v/>
      </c>
      <c r="AV43">
        <f>IFERROR(INDEX($AA$6:$AA$105,MATCH(ROW()-5,$AU$6:$AU$105,0)),"")</f>
        <v/>
      </c>
    </row>
    <row r="44">
      <c r="F44">
        <f>IF([1]Accounts!$D$45="","",[1]Accounts!$A$45)</f>
        <v/>
      </c>
      <c r="G44">
        <f>IF([1]Accounts!$D$45="","",[1]Accounts!$B$45)</f>
        <v/>
      </c>
      <c r="H44">
        <f>IF([1]Accounts!$D$45="","",[1]Accounts!$C$45)</f>
        <v/>
      </c>
      <c r="I44">
        <f>IF([1]Accounts!$D$45="","",[1]Accounts!$D$45)</f>
        <v/>
      </c>
      <c r="Y44">
        <f>IF([1]SubGroups!$C$45="","",[1]SubGroups!$A$45)</f>
        <v/>
      </c>
      <c r="Z44">
        <f>IF([1]SubGroups!$C$45="","",[1]SubGroups!$B$45)</f>
        <v/>
      </c>
      <c r="AA44">
        <f>IF([1]SubGroups!$C$45="","",[1]SubGroups!$C$45)</f>
        <v/>
      </c>
      <c r="AC44">
        <f>COUNTIFS($Z$6:$Z44,$AD$5,$AA$6:$AA44,"?*")</f>
        <v/>
      </c>
      <c r="AD44">
        <f>IFERROR(INDEX($AA$6:$AA$105,MATCH(ROW()-5,$AC$6:$AC$105,0)),"")</f>
        <v/>
      </c>
      <c r="AE44">
        <f>COUNTIFS($Z$6:$Z44,$AF$5,$AA$6:$AA44,"?*")</f>
        <v/>
      </c>
      <c r="AF44">
        <f>IFERROR(INDEX($AA$6:$AA$105,MATCH(ROW()-5,$AE$6:$AE$105,0)),"")</f>
        <v/>
      </c>
      <c r="AG44">
        <f>COUNTIFS($Z$6:$Z44,$AH$5,$AA$6:$AA44,"?*")</f>
        <v/>
      </c>
      <c r="AH44">
        <f>IFERROR(INDEX($AA$6:$AA$105,MATCH(ROW()-5,$AG$6:$AG$105,0)),"")</f>
        <v/>
      </c>
      <c r="AI44">
        <f>COUNTIFS($Z$6:$Z44,$AJ$5,$AA$6:$AA44,"?*")</f>
        <v/>
      </c>
      <c r="AJ44">
        <f>IFERROR(INDEX($AA$6:$AA$105,MATCH(ROW()-5,$AI$6:$AI$105,0)),"")</f>
        <v/>
      </c>
      <c r="AK44">
        <f>COUNTIFS($Z$6:$Z44,$AL$5,$AA$6:$AA44,"?*")</f>
        <v/>
      </c>
      <c r="AL44">
        <f>IFERROR(INDEX($AA$6:$AA$105,MATCH(ROW()-5,$AK$6:$AK$105,0)),"")</f>
        <v/>
      </c>
      <c r="AM44">
        <f>COUNTIFS($Z$6:$Z44,$AN$5,$AA$6:$AA44,"?*")</f>
        <v/>
      </c>
      <c r="AN44">
        <f>IFERROR(INDEX($AA$6:$AA$105,MATCH(ROW()-5,$AM$6:$AM$105,0)),"")</f>
        <v/>
      </c>
      <c r="AO44">
        <f>COUNTIFS($Z$6:$Z44,$AP$5,$AA$6:$AA44,"?*")</f>
        <v/>
      </c>
      <c r="AP44">
        <f>IFERROR(INDEX($AA$6:$AA$105,MATCH(ROW()-5,$AO$6:$AO$105,0)),"")</f>
        <v/>
      </c>
      <c r="AQ44">
        <f>COUNTIFS($Z$6:$Z44,$AR$5,$AA$6:$AA44,"?*")</f>
        <v/>
      </c>
      <c r="AR44">
        <f>IFERROR(INDEX($AA$6:$AA$105,MATCH(ROW()-5,$AQ$6:$AQ$105,0)),"")</f>
        <v/>
      </c>
      <c r="AS44">
        <f>COUNTIFS($Z$6:$Z44,$AT$5,$AA$6:$AA44,"?*")</f>
        <v/>
      </c>
      <c r="AT44">
        <f>IFERROR(INDEX($AA$6:$AA$105,MATCH(ROW()-5,$AS$6:$AS$105,0)),"")</f>
        <v/>
      </c>
      <c r="AU44">
        <f>COUNTIFS($Z$6:$Z44,$AV$5,$AA$6:$AA44,"?*")</f>
        <v/>
      </c>
      <c r="AV44">
        <f>IFERROR(INDEX($AA$6:$AA$105,MATCH(ROW()-5,$AU$6:$AU$105,0)),"")</f>
        <v/>
      </c>
    </row>
    <row r="45">
      <c r="F45">
        <f>IF([1]Accounts!$D$46="","",[1]Accounts!$A$46)</f>
        <v/>
      </c>
      <c r="G45">
        <f>IF([1]Accounts!$D$46="","",[1]Accounts!$B$46)</f>
        <v/>
      </c>
      <c r="H45">
        <f>IF([1]Accounts!$D$46="","",[1]Accounts!$C$46)</f>
        <v/>
      </c>
      <c r="I45">
        <f>IF([1]Accounts!$D$46="","",[1]Accounts!$D$46)</f>
        <v/>
      </c>
      <c r="Y45">
        <f>IF([1]SubGroups!$C$46="","",[1]SubGroups!$A$46)</f>
        <v/>
      </c>
      <c r="Z45">
        <f>IF([1]SubGroups!$C$46="","",[1]SubGroups!$B$46)</f>
        <v/>
      </c>
      <c r="AA45">
        <f>IF([1]SubGroups!$C$46="","",[1]SubGroups!$C$46)</f>
        <v/>
      </c>
      <c r="AC45">
        <f>COUNTIFS($Z$6:$Z45,$AD$5,$AA$6:$AA45,"?*")</f>
        <v/>
      </c>
      <c r="AD45">
        <f>IFERROR(INDEX($AA$6:$AA$105,MATCH(ROW()-5,$AC$6:$AC$105,0)),"")</f>
        <v/>
      </c>
      <c r="AE45">
        <f>COUNTIFS($Z$6:$Z45,$AF$5,$AA$6:$AA45,"?*")</f>
        <v/>
      </c>
      <c r="AF45">
        <f>IFERROR(INDEX($AA$6:$AA$105,MATCH(ROW()-5,$AE$6:$AE$105,0)),"")</f>
        <v/>
      </c>
      <c r="AG45">
        <f>COUNTIFS($Z$6:$Z45,$AH$5,$AA$6:$AA45,"?*")</f>
        <v/>
      </c>
      <c r="AH45">
        <f>IFERROR(INDEX($AA$6:$AA$105,MATCH(ROW()-5,$AG$6:$AG$105,0)),"")</f>
        <v/>
      </c>
      <c r="AI45">
        <f>COUNTIFS($Z$6:$Z45,$AJ$5,$AA$6:$AA45,"?*")</f>
        <v/>
      </c>
      <c r="AJ45">
        <f>IFERROR(INDEX($AA$6:$AA$105,MATCH(ROW()-5,$AI$6:$AI$105,0)),"")</f>
        <v/>
      </c>
      <c r="AK45">
        <f>COUNTIFS($Z$6:$Z45,$AL$5,$AA$6:$AA45,"?*")</f>
        <v/>
      </c>
      <c r="AL45">
        <f>IFERROR(INDEX($AA$6:$AA$105,MATCH(ROW()-5,$AK$6:$AK$105,0)),"")</f>
        <v/>
      </c>
      <c r="AM45">
        <f>COUNTIFS($Z$6:$Z45,$AN$5,$AA$6:$AA45,"?*")</f>
        <v/>
      </c>
      <c r="AN45">
        <f>IFERROR(INDEX($AA$6:$AA$105,MATCH(ROW()-5,$AM$6:$AM$105,0)),"")</f>
        <v/>
      </c>
      <c r="AO45">
        <f>COUNTIFS($Z$6:$Z45,$AP$5,$AA$6:$AA45,"?*")</f>
        <v/>
      </c>
      <c r="AP45">
        <f>IFERROR(INDEX($AA$6:$AA$105,MATCH(ROW()-5,$AO$6:$AO$105,0)),"")</f>
        <v/>
      </c>
      <c r="AQ45">
        <f>COUNTIFS($Z$6:$Z45,$AR$5,$AA$6:$AA45,"?*")</f>
        <v/>
      </c>
      <c r="AR45">
        <f>IFERROR(INDEX($AA$6:$AA$105,MATCH(ROW()-5,$AQ$6:$AQ$105,0)),"")</f>
        <v/>
      </c>
      <c r="AS45">
        <f>COUNTIFS($Z$6:$Z45,$AT$5,$AA$6:$AA45,"?*")</f>
        <v/>
      </c>
      <c r="AT45">
        <f>IFERROR(INDEX($AA$6:$AA$105,MATCH(ROW()-5,$AS$6:$AS$105,0)),"")</f>
        <v/>
      </c>
      <c r="AU45">
        <f>COUNTIFS($Z$6:$Z45,$AV$5,$AA$6:$AA45,"?*")</f>
        <v/>
      </c>
      <c r="AV45">
        <f>IFERROR(INDEX($AA$6:$AA$105,MATCH(ROW()-5,$AU$6:$AU$105,0)),"")</f>
        <v/>
      </c>
    </row>
    <row r="46">
      <c r="F46">
        <f>IF([1]Accounts!$D$47="","",[1]Accounts!$A$47)</f>
        <v/>
      </c>
      <c r="G46">
        <f>IF([1]Accounts!$D$47="","",[1]Accounts!$B$47)</f>
        <v/>
      </c>
      <c r="H46">
        <f>IF([1]Accounts!$D$47="","",[1]Accounts!$C$47)</f>
        <v/>
      </c>
      <c r="I46">
        <f>IF([1]Accounts!$D$47="","",[1]Accounts!$D$47)</f>
        <v/>
      </c>
      <c r="Y46">
        <f>IF([1]SubGroups!$C$47="","",[1]SubGroups!$A$47)</f>
        <v/>
      </c>
      <c r="Z46">
        <f>IF([1]SubGroups!$C$47="","",[1]SubGroups!$B$47)</f>
        <v/>
      </c>
      <c r="AA46">
        <f>IF([1]SubGroups!$C$47="","",[1]SubGroups!$C$47)</f>
        <v/>
      </c>
      <c r="AC46">
        <f>COUNTIFS($Z$6:$Z46,$AD$5,$AA$6:$AA46,"?*")</f>
        <v/>
      </c>
      <c r="AD46">
        <f>IFERROR(INDEX($AA$6:$AA$105,MATCH(ROW()-5,$AC$6:$AC$105,0)),"")</f>
        <v/>
      </c>
      <c r="AE46">
        <f>COUNTIFS($Z$6:$Z46,$AF$5,$AA$6:$AA46,"?*")</f>
        <v/>
      </c>
      <c r="AF46">
        <f>IFERROR(INDEX($AA$6:$AA$105,MATCH(ROW()-5,$AE$6:$AE$105,0)),"")</f>
        <v/>
      </c>
      <c r="AG46">
        <f>COUNTIFS($Z$6:$Z46,$AH$5,$AA$6:$AA46,"?*")</f>
        <v/>
      </c>
      <c r="AH46">
        <f>IFERROR(INDEX($AA$6:$AA$105,MATCH(ROW()-5,$AG$6:$AG$105,0)),"")</f>
        <v/>
      </c>
      <c r="AI46">
        <f>COUNTIFS($Z$6:$Z46,$AJ$5,$AA$6:$AA46,"?*")</f>
        <v/>
      </c>
      <c r="AJ46">
        <f>IFERROR(INDEX($AA$6:$AA$105,MATCH(ROW()-5,$AI$6:$AI$105,0)),"")</f>
        <v/>
      </c>
      <c r="AK46">
        <f>COUNTIFS($Z$6:$Z46,$AL$5,$AA$6:$AA46,"?*")</f>
        <v/>
      </c>
      <c r="AL46">
        <f>IFERROR(INDEX($AA$6:$AA$105,MATCH(ROW()-5,$AK$6:$AK$105,0)),"")</f>
        <v/>
      </c>
      <c r="AM46">
        <f>COUNTIFS($Z$6:$Z46,$AN$5,$AA$6:$AA46,"?*")</f>
        <v/>
      </c>
      <c r="AN46">
        <f>IFERROR(INDEX($AA$6:$AA$105,MATCH(ROW()-5,$AM$6:$AM$105,0)),"")</f>
        <v/>
      </c>
      <c r="AO46">
        <f>COUNTIFS($Z$6:$Z46,$AP$5,$AA$6:$AA46,"?*")</f>
        <v/>
      </c>
      <c r="AP46">
        <f>IFERROR(INDEX($AA$6:$AA$105,MATCH(ROW()-5,$AO$6:$AO$105,0)),"")</f>
        <v/>
      </c>
      <c r="AQ46">
        <f>COUNTIFS($Z$6:$Z46,$AR$5,$AA$6:$AA46,"?*")</f>
        <v/>
      </c>
      <c r="AR46">
        <f>IFERROR(INDEX($AA$6:$AA$105,MATCH(ROW()-5,$AQ$6:$AQ$105,0)),"")</f>
        <v/>
      </c>
      <c r="AS46">
        <f>COUNTIFS($Z$6:$Z46,$AT$5,$AA$6:$AA46,"?*")</f>
        <v/>
      </c>
      <c r="AT46">
        <f>IFERROR(INDEX($AA$6:$AA$105,MATCH(ROW()-5,$AS$6:$AS$105,0)),"")</f>
        <v/>
      </c>
      <c r="AU46">
        <f>COUNTIFS($Z$6:$Z46,$AV$5,$AA$6:$AA46,"?*")</f>
        <v/>
      </c>
      <c r="AV46">
        <f>IFERROR(INDEX($AA$6:$AA$105,MATCH(ROW()-5,$AU$6:$AU$105,0)),"")</f>
        <v/>
      </c>
    </row>
    <row r="47">
      <c r="F47">
        <f>IF([1]Accounts!$D$48="","",[1]Accounts!$A$48)</f>
        <v/>
      </c>
      <c r="G47">
        <f>IF([1]Accounts!$D$48="","",[1]Accounts!$B$48)</f>
        <v/>
      </c>
      <c r="H47">
        <f>IF([1]Accounts!$D$48="","",[1]Accounts!$C$48)</f>
        <v/>
      </c>
      <c r="I47">
        <f>IF([1]Accounts!$D$48="","",[1]Accounts!$D$48)</f>
        <v/>
      </c>
      <c r="Y47">
        <f>IF([1]SubGroups!$C$48="","",[1]SubGroups!$A$48)</f>
        <v/>
      </c>
      <c r="Z47">
        <f>IF([1]SubGroups!$C$48="","",[1]SubGroups!$B$48)</f>
        <v/>
      </c>
      <c r="AA47">
        <f>IF([1]SubGroups!$C$48="","",[1]SubGroups!$C$48)</f>
        <v/>
      </c>
      <c r="AC47">
        <f>COUNTIFS($Z$6:$Z47,$AD$5,$AA$6:$AA47,"?*")</f>
        <v/>
      </c>
      <c r="AD47">
        <f>IFERROR(INDEX($AA$6:$AA$105,MATCH(ROW()-5,$AC$6:$AC$105,0)),"")</f>
        <v/>
      </c>
      <c r="AE47">
        <f>COUNTIFS($Z$6:$Z47,$AF$5,$AA$6:$AA47,"?*")</f>
        <v/>
      </c>
      <c r="AF47">
        <f>IFERROR(INDEX($AA$6:$AA$105,MATCH(ROW()-5,$AE$6:$AE$105,0)),"")</f>
        <v/>
      </c>
      <c r="AG47">
        <f>COUNTIFS($Z$6:$Z47,$AH$5,$AA$6:$AA47,"?*")</f>
        <v/>
      </c>
      <c r="AH47">
        <f>IFERROR(INDEX($AA$6:$AA$105,MATCH(ROW()-5,$AG$6:$AG$105,0)),"")</f>
        <v/>
      </c>
      <c r="AI47">
        <f>COUNTIFS($Z$6:$Z47,$AJ$5,$AA$6:$AA47,"?*")</f>
        <v/>
      </c>
      <c r="AJ47">
        <f>IFERROR(INDEX($AA$6:$AA$105,MATCH(ROW()-5,$AI$6:$AI$105,0)),"")</f>
        <v/>
      </c>
      <c r="AK47">
        <f>COUNTIFS($Z$6:$Z47,$AL$5,$AA$6:$AA47,"?*")</f>
        <v/>
      </c>
      <c r="AL47">
        <f>IFERROR(INDEX($AA$6:$AA$105,MATCH(ROW()-5,$AK$6:$AK$105,0)),"")</f>
        <v/>
      </c>
      <c r="AM47">
        <f>COUNTIFS($Z$6:$Z47,$AN$5,$AA$6:$AA47,"?*")</f>
        <v/>
      </c>
      <c r="AN47">
        <f>IFERROR(INDEX($AA$6:$AA$105,MATCH(ROW()-5,$AM$6:$AM$105,0)),"")</f>
        <v/>
      </c>
      <c r="AO47">
        <f>COUNTIFS($Z$6:$Z47,$AP$5,$AA$6:$AA47,"?*")</f>
        <v/>
      </c>
      <c r="AP47">
        <f>IFERROR(INDEX($AA$6:$AA$105,MATCH(ROW()-5,$AO$6:$AO$105,0)),"")</f>
        <v/>
      </c>
      <c r="AQ47">
        <f>COUNTIFS($Z$6:$Z47,$AR$5,$AA$6:$AA47,"?*")</f>
        <v/>
      </c>
      <c r="AR47">
        <f>IFERROR(INDEX($AA$6:$AA$105,MATCH(ROW()-5,$AQ$6:$AQ$105,0)),"")</f>
        <v/>
      </c>
      <c r="AS47">
        <f>COUNTIFS($Z$6:$Z47,$AT$5,$AA$6:$AA47,"?*")</f>
        <v/>
      </c>
      <c r="AT47">
        <f>IFERROR(INDEX($AA$6:$AA$105,MATCH(ROW()-5,$AS$6:$AS$105,0)),"")</f>
        <v/>
      </c>
      <c r="AU47">
        <f>COUNTIFS($Z$6:$Z47,$AV$5,$AA$6:$AA47,"?*")</f>
        <v/>
      </c>
      <c r="AV47">
        <f>IFERROR(INDEX($AA$6:$AA$105,MATCH(ROW()-5,$AU$6:$AU$105,0)),"")</f>
        <v/>
      </c>
    </row>
    <row r="48">
      <c r="F48">
        <f>IF([1]Accounts!$D$49="","",[1]Accounts!$A$49)</f>
        <v/>
      </c>
      <c r="G48">
        <f>IF([1]Accounts!$D$49="","",[1]Accounts!$B$49)</f>
        <v/>
      </c>
      <c r="H48">
        <f>IF([1]Accounts!$D$49="","",[1]Accounts!$C$49)</f>
        <v/>
      </c>
      <c r="I48">
        <f>IF([1]Accounts!$D$49="","",[1]Accounts!$D$49)</f>
        <v/>
      </c>
      <c r="Y48">
        <f>IF([1]SubGroups!$C$49="","",[1]SubGroups!$A$49)</f>
        <v/>
      </c>
      <c r="Z48">
        <f>IF([1]SubGroups!$C$49="","",[1]SubGroups!$B$49)</f>
        <v/>
      </c>
      <c r="AA48">
        <f>IF([1]SubGroups!$C$49="","",[1]SubGroups!$C$49)</f>
        <v/>
      </c>
      <c r="AC48">
        <f>COUNTIFS($Z$6:$Z48,$AD$5,$AA$6:$AA48,"?*")</f>
        <v/>
      </c>
      <c r="AD48">
        <f>IFERROR(INDEX($AA$6:$AA$105,MATCH(ROW()-5,$AC$6:$AC$105,0)),"")</f>
        <v/>
      </c>
      <c r="AE48">
        <f>COUNTIFS($Z$6:$Z48,$AF$5,$AA$6:$AA48,"?*")</f>
        <v/>
      </c>
      <c r="AF48">
        <f>IFERROR(INDEX($AA$6:$AA$105,MATCH(ROW()-5,$AE$6:$AE$105,0)),"")</f>
        <v/>
      </c>
      <c r="AG48">
        <f>COUNTIFS($Z$6:$Z48,$AH$5,$AA$6:$AA48,"?*")</f>
        <v/>
      </c>
      <c r="AH48">
        <f>IFERROR(INDEX($AA$6:$AA$105,MATCH(ROW()-5,$AG$6:$AG$105,0)),"")</f>
        <v/>
      </c>
      <c r="AI48">
        <f>COUNTIFS($Z$6:$Z48,$AJ$5,$AA$6:$AA48,"?*")</f>
        <v/>
      </c>
      <c r="AJ48">
        <f>IFERROR(INDEX($AA$6:$AA$105,MATCH(ROW()-5,$AI$6:$AI$105,0)),"")</f>
        <v/>
      </c>
      <c r="AK48">
        <f>COUNTIFS($Z$6:$Z48,$AL$5,$AA$6:$AA48,"?*")</f>
        <v/>
      </c>
      <c r="AL48">
        <f>IFERROR(INDEX($AA$6:$AA$105,MATCH(ROW()-5,$AK$6:$AK$105,0)),"")</f>
        <v/>
      </c>
      <c r="AM48">
        <f>COUNTIFS($Z$6:$Z48,$AN$5,$AA$6:$AA48,"?*")</f>
        <v/>
      </c>
      <c r="AN48">
        <f>IFERROR(INDEX($AA$6:$AA$105,MATCH(ROW()-5,$AM$6:$AM$105,0)),"")</f>
        <v/>
      </c>
      <c r="AO48">
        <f>COUNTIFS($Z$6:$Z48,$AP$5,$AA$6:$AA48,"?*")</f>
        <v/>
      </c>
      <c r="AP48">
        <f>IFERROR(INDEX($AA$6:$AA$105,MATCH(ROW()-5,$AO$6:$AO$105,0)),"")</f>
        <v/>
      </c>
      <c r="AQ48">
        <f>COUNTIFS($Z$6:$Z48,$AR$5,$AA$6:$AA48,"?*")</f>
        <v/>
      </c>
      <c r="AR48">
        <f>IFERROR(INDEX($AA$6:$AA$105,MATCH(ROW()-5,$AQ$6:$AQ$105,0)),"")</f>
        <v/>
      </c>
      <c r="AS48">
        <f>COUNTIFS($Z$6:$Z48,$AT$5,$AA$6:$AA48,"?*")</f>
        <v/>
      </c>
      <c r="AT48">
        <f>IFERROR(INDEX($AA$6:$AA$105,MATCH(ROW()-5,$AS$6:$AS$105,0)),"")</f>
        <v/>
      </c>
      <c r="AU48">
        <f>COUNTIFS($Z$6:$Z48,$AV$5,$AA$6:$AA48,"?*")</f>
        <v/>
      </c>
      <c r="AV48">
        <f>IFERROR(INDEX($AA$6:$AA$105,MATCH(ROW()-5,$AU$6:$AU$105,0)),"")</f>
        <v/>
      </c>
    </row>
    <row r="49">
      <c r="F49">
        <f>IF([1]Accounts!$D$50="","",[1]Accounts!$A$50)</f>
        <v/>
      </c>
      <c r="G49">
        <f>IF([1]Accounts!$D$50="","",[1]Accounts!$B$50)</f>
        <v/>
      </c>
      <c r="H49">
        <f>IF([1]Accounts!$D$50="","",[1]Accounts!$C$50)</f>
        <v/>
      </c>
      <c r="I49">
        <f>IF([1]Accounts!$D$50="","",[1]Accounts!$D$50)</f>
        <v/>
      </c>
      <c r="Y49">
        <f>IF([1]SubGroups!$C$50="","",[1]SubGroups!$A$50)</f>
        <v/>
      </c>
      <c r="Z49">
        <f>IF([1]SubGroups!$C$50="","",[1]SubGroups!$B$50)</f>
        <v/>
      </c>
      <c r="AA49">
        <f>IF([1]SubGroups!$C$50="","",[1]SubGroups!$C$50)</f>
        <v/>
      </c>
      <c r="AC49">
        <f>COUNTIFS($Z$6:$Z49,$AD$5,$AA$6:$AA49,"?*")</f>
        <v/>
      </c>
      <c r="AD49">
        <f>IFERROR(INDEX($AA$6:$AA$105,MATCH(ROW()-5,$AC$6:$AC$105,0)),"")</f>
        <v/>
      </c>
      <c r="AE49">
        <f>COUNTIFS($Z$6:$Z49,$AF$5,$AA$6:$AA49,"?*")</f>
        <v/>
      </c>
      <c r="AF49">
        <f>IFERROR(INDEX($AA$6:$AA$105,MATCH(ROW()-5,$AE$6:$AE$105,0)),"")</f>
        <v/>
      </c>
      <c r="AG49">
        <f>COUNTIFS($Z$6:$Z49,$AH$5,$AA$6:$AA49,"?*")</f>
        <v/>
      </c>
      <c r="AH49">
        <f>IFERROR(INDEX($AA$6:$AA$105,MATCH(ROW()-5,$AG$6:$AG$105,0)),"")</f>
        <v/>
      </c>
      <c r="AI49">
        <f>COUNTIFS($Z$6:$Z49,$AJ$5,$AA$6:$AA49,"?*")</f>
        <v/>
      </c>
      <c r="AJ49">
        <f>IFERROR(INDEX($AA$6:$AA$105,MATCH(ROW()-5,$AI$6:$AI$105,0)),"")</f>
        <v/>
      </c>
      <c r="AK49">
        <f>COUNTIFS($Z$6:$Z49,$AL$5,$AA$6:$AA49,"?*")</f>
        <v/>
      </c>
      <c r="AL49">
        <f>IFERROR(INDEX($AA$6:$AA$105,MATCH(ROW()-5,$AK$6:$AK$105,0)),"")</f>
        <v/>
      </c>
      <c r="AM49">
        <f>COUNTIFS($Z$6:$Z49,$AN$5,$AA$6:$AA49,"?*")</f>
        <v/>
      </c>
      <c r="AN49">
        <f>IFERROR(INDEX($AA$6:$AA$105,MATCH(ROW()-5,$AM$6:$AM$105,0)),"")</f>
        <v/>
      </c>
      <c r="AO49">
        <f>COUNTIFS($Z$6:$Z49,$AP$5,$AA$6:$AA49,"?*")</f>
        <v/>
      </c>
      <c r="AP49">
        <f>IFERROR(INDEX($AA$6:$AA$105,MATCH(ROW()-5,$AO$6:$AO$105,0)),"")</f>
        <v/>
      </c>
      <c r="AQ49">
        <f>COUNTIFS($Z$6:$Z49,$AR$5,$AA$6:$AA49,"?*")</f>
        <v/>
      </c>
      <c r="AR49">
        <f>IFERROR(INDEX($AA$6:$AA$105,MATCH(ROW()-5,$AQ$6:$AQ$105,0)),"")</f>
        <v/>
      </c>
      <c r="AS49">
        <f>COUNTIFS($Z$6:$Z49,$AT$5,$AA$6:$AA49,"?*")</f>
        <v/>
      </c>
      <c r="AT49">
        <f>IFERROR(INDEX($AA$6:$AA$105,MATCH(ROW()-5,$AS$6:$AS$105,0)),"")</f>
        <v/>
      </c>
      <c r="AU49">
        <f>COUNTIFS($Z$6:$Z49,$AV$5,$AA$6:$AA49,"?*")</f>
        <v/>
      </c>
      <c r="AV49">
        <f>IFERROR(INDEX($AA$6:$AA$105,MATCH(ROW()-5,$AU$6:$AU$105,0)),"")</f>
        <v/>
      </c>
    </row>
    <row r="50">
      <c r="F50">
        <f>IF([1]Accounts!$D$51="","",[1]Accounts!$A$51)</f>
        <v/>
      </c>
      <c r="G50">
        <f>IF([1]Accounts!$D$51="","",[1]Accounts!$B$51)</f>
        <v/>
      </c>
      <c r="H50">
        <f>IF([1]Accounts!$D$51="","",[1]Accounts!$C$51)</f>
        <v/>
      </c>
      <c r="I50">
        <f>IF([1]Accounts!$D$51="","",[1]Accounts!$D$51)</f>
        <v/>
      </c>
      <c r="Y50">
        <f>IF([1]SubGroups!$C$51="","",[1]SubGroups!$A$51)</f>
        <v/>
      </c>
      <c r="Z50">
        <f>IF([1]SubGroups!$C$51="","",[1]SubGroups!$B$51)</f>
        <v/>
      </c>
      <c r="AA50">
        <f>IF([1]SubGroups!$C$51="","",[1]SubGroups!$C$51)</f>
        <v/>
      </c>
      <c r="AC50">
        <f>COUNTIFS($Z$6:$Z50,$AD$5,$AA$6:$AA50,"?*")</f>
        <v/>
      </c>
      <c r="AD50">
        <f>IFERROR(INDEX($AA$6:$AA$105,MATCH(ROW()-5,$AC$6:$AC$105,0)),"")</f>
        <v/>
      </c>
      <c r="AE50">
        <f>COUNTIFS($Z$6:$Z50,$AF$5,$AA$6:$AA50,"?*")</f>
        <v/>
      </c>
      <c r="AF50">
        <f>IFERROR(INDEX($AA$6:$AA$105,MATCH(ROW()-5,$AE$6:$AE$105,0)),"")</f>
        <v/>
      </c>
      <c r="AG50">
        <f>COUNTIFS($Z$6:$Z50,$AH$5,$AA$6:$AA50,"?*")</f>
        <v/>
      </c>
      <c r="AH50">
        <f>IFERROR(INDEX($AA$6:$AA$105,MATCH(ROW()-5,$AG$6:$AG$105,0)),"")</f>
        <v/>
      </c>
      <c r="AI50">
        <f>COUNTIFS($Z$6:$Z50,$AJ$5,$AA$6:$AA50,"?*")</f>
        <v/>
      </c>
      <c r="AJ50">
        <f>IFERROR(INDEX($AA$6:$AA$105,MATCH(ROW()-5,$AI$6:$AI$105,0)),"")</f>
        <v/>
      </c>
      <c r="AK50">
        <f>COUNTIFS($Z$6:$Z50,$AL$5,$AA$6:$AA50,"?*")</f>
        <v/>
      </c>
      <c r="AL50">
        <f>IFERROR(INDEX($AA$6:$AA$105,MATCH(ROW()-5,$AK$6:$AK$105,0)),"")</f>
        <v/>
      </c>
      <c r="AM50">
        <f>COUNTIFS($Z$6:$Z50,$AN$5,$AA$6:$AA50,"?*")</f>
        <v/>
      </c>
      <c r="AN50">
        <f>IFERROR(INDEX($AA$6:$AA$105,MATCH(ROW()-5,$AM$6:$AM$105,0)),"")</f>
        <v/>
      </c>
      <c r="AO50">
        <f>COUNTIFS($Z$6:$Z50,$AP$5,$AA$6:$AA50,"?*")</f>
        <v/>
      </c>
      <c r="AP50">
        <f>IFERROR(INDEX($AA$6:$AA$105,MATCH(ROW()-5,$AO$6:$AO$105,0)),"")</f>
        <v/>
      </c>
      <c r="AQ50">
        <f>COUNTIFS($Z$6:$Z50,$AR$5,$AA$6:$AA50,"?*")</f>
        <v/>
      </c>
      <c r="AR50">
        <f>IFERROR(INDEX($AA$6:$AA$105,MATCH(ROW()-5,$AQ$6:$AQ$105,0)),"")</f>
        <v/>
      </c>
      <c r="AS50">
        <f>COUNTIFS($Z$6:$Z50,$AT$5,$AA$6:$AA50,"?*")</f>
        <v/>
      </c>
      <c r="AT50">
        <f>IFERROR(INDEX($AA$6:$AA$105,MATCH(ROW()-5,$AS$6:$AS$105,0)),"")</f>
        <v/>
      </c>
      <c r="AU50">
        <f>COUNTIFS($Z$6:$Z50,$AV$5,$AA$6:$AA50,"?*")</f>
        <v/>
      </c>
      <c r="AV50">
        <f>IFERROR(INDEX($AA$6:$AA$105,MATCH(ROW()-5,$AU$6:$AU$105,0)),"")</f>
        <v/>
      </c>
    </row>
    <row r="51">
      <c r="F51">
        <f>IF([1]Accounts!$D$52="","",[1]Accounts!$A$52)</f>
        <v/>
      </c>
      <c r="G51">
        <f>IF([1]Accounts!$D$52="","",[1]Accounts!$B$52)</f>
        <v/>
      </c>
      <c r="H51">
        <f>IF([1]Accounts!$D$52="","",[1]Accounts!$C$52)</f>
        <v/>
      </c>
      <c r="I51">
        <f>IF([1]Accounts!$D$52="","",[1]Accounts!$D$52)</f>
        <v/>
      </c>
      <c r="Y51">
        <f>IF([1]SubGroups!$C$52="","",[1]SubGroups!$A$52)</f>
        <v/>
      </c>
      <c r="Z51">
        <f>IF([1]SubGroups!$C$52="","",[1]SubGroups!$B$52)</f>
        <v/>
      </c>
      <c r="AA51">
        <f>IF([1]SubGroups!$C$52="","",[1]SubGroups!$C$52)</f>
        <v/>
      </c>
      <c r="AC51">
        <f>COUNTIFS($Z$6:$Z51,$AD$5,$AA$6:$AA51,"?*")</f>
        <v/>
      </c>
      <c r="AD51">
        <f>IFERROR(INDEX($AA$6:$AA$105,MATCH(ROW()-5,$AC$6:$AC$105,0)),"")</f>
        <v/>
      </c>
      <c r="AE51">
        <f>COUNTIFS($Z$6:$Z51,$AF$5,$AA$6:$AA51,"?*")</f>
        <v/>
      </c>
      <c r="AF51">
        <f>IFERROR(INDEX($AA$6:$AA$105,MATCH(ROW()-5,$AE$6:$AE$105,0)),"")</f>
        <v/>
      </c>
      <c r="AG51">
        <f>COUNTIFS($Z$6:$Z51,$AH$5,$AA$6:$AA51,"?*")</f>
        <v/>
      </c>
      <c r="AH51">
        <f>IFERROR(INDEX($AA$6:$AA$105,MATCH(ROW()-5,$AG$6:$AG$105,0)),"")</f>
        <v/>
      </c>
      <c r="AI51">
        <f>COUNTIFS($Z$6:$Z51,$AJ$5,$AA$6:$AA51,"?*")</f>
        <v/>
      </c>
      <c r="AJ51">
        <f>IFERROR(INDEX($AA$6:$AA$105,MATCH(ROW()-5,$AI$6:$AI$105,0)),"")</f>
        <v/>
      </c>
      <c r="AK51">
        <f>COUNTIFS($Z$6:$Z51,$AL$5,$AA$6:$AA51,"?*")</f>
        <v/>
      </c>
      <c r="AL51">
        <f>IFERROR(INDEX($AA$6:$AA$105,MATCH(ROW()-5,$AK$6:$AK$105,0)),"")</f>
        <v/>
      </c>
      <c r="AM51">
        <f>COUNTIFS($Z$6:$Z51,$AN$5,$AA$6:$AA51,"?*")</f>
        <v/>
      </c>
      <c r="AN51">
        <f>IFERROR(INDEX($AA$6:$AA$105,MATCH(ROW()-5,$AM$6:$AM$105,0)),"")</f>
        <v/>
      </c>
      <c r="AO51">
        <f>COUNTIFS($Z$6:$Z51,$AP$5,$AA$6:$AA51,"?*")</f>
        <v/>
      </c>
      <c r="AP51">
        <f>IFERROR(INDEX($AA$6:$AA$105,MATCH(ROW()-5,$AO$6:$AO$105,0)),"")</f>
        <v/>
      </c>
      <c r="AQ51">
        <f>COUNTIFS($Z$6:$Z51,$AR$5,$AA$6:$AA51,"?*")</f>
        <v/>
      </c>
      <c r="AR51">
        <f>IFERROR(INDEX($AA$6:$AA$105,MATCH(ROW()-5,$AQ$6:$AQ$105,0)),"")</f>
        <v/>
      </c>
      <c r="AS51">
        <f>COUNTIFS($Z$6:$Z51,$AT$5,$AA$6:$AA51,"?*")</f>
        <v/>
      </c>
      <c r="AT51">
        <f>IFERROR(INDEX($AA$6:$AA$105,MATCH(ROW()-5,$AS$6:$AS$105,0)),"")</f>
        <v/>
      </c>
      <c r="AU51">
        <f>COUNTIFS($Z$6:$Z51,$AV$5,$AA$6:$AA51,"?*")</f>
        <v/>
      </c>
      <c r="AV51">
        <f>IFERROR(INDEX($AA$6:$AA$105,MATCH(ROW()-5,$AU$6:$AU$105,0)),"")</f>
        <v/>
      </c>
    </row>
    <row r="52">
      <c r="F52">
        <f>IF([1]Accounts!$D$53="","",[1]Accounts!$A$53)</f>
        <v/>
      </c>
      <c r="G52">
        <f>IF([1]Accounts!$D$53="","",[1]Accounts!$B$53)</f>
        <v/>
      </c>
      <c r="H52">
        <f>IF([1]Accounts!$D$53="","",[1]Accounts!$C$53)</f>
        <v/>
      </c>
      <c r="I52">
        <f>IF([1]Accounts!$D$53="","",[1]Accounts!$D$53)</f>
        <v/>
      </c>
      <c r="Y52">
        <f>IF([1]SubGroups!$C$53="","",[1]SubGroups!$A$53)</f>
        <v/>
      </c>
      <c r="Z52">
        <f>IF([1]SubGroups!$C$53="","",[1]SubGroups!$B$53)</f>
        <v/>
      </c>
      <c r="AA52">
        <f>IF([1]SubGroups!$C$53="","",[1]SubGroups!$C$53)</f>
        <v/>
      </c>
      <c r="AC52">
        <f>COUNTIFS($Z$6:$Z52,$AD$5,$AA$6:$AA52,"?*")</f>
        <v/>
      </c>
      <c r="AD52">
        <f>IFERROR(INDEX($AA$6:$AA$105,MATCH(ROW()-5,$AC$6:$AC$105,0)),"")</f>
        <v/>
      </c>
      <c r="AE52">
        <f>COUNTIFS($Z$6:$Z52,$AF$5,$AA$6:$AA52,"?*")</f>
        <v/>
      </c>
      <c r="AF52">
        <f>IFERROR(INDEX($AA$6:$AA$105,MATCH(ROW()-5,$AE$6:$AE$105,0)),"")</f>
        <v/>
      </c>
      <c r="AG52">
        <f>COUNTIFS($Z$6:$Z52,$AH$5,$AA$6:$AA52,"?*")</f>
        <v/>
      </c>
      <c r="AH52">
        <f>IFERROR(INDEX($AA$6:$AA$105,MATCH(ROW()-5,$AG$6:$AG$105,0)),"")</f>
        <v/>
      </c>
      <c r="AI52">
        <f>COUNTIFS($Z$6:$Z52,$AJ$5,$AA$6:$AA52,"?*")</f>
        <v/>
      </c>
      <c r="AJ52">
        <f>IFERROR(INDEX($AA$6:$AA$105,MATCH(ROW()-5,$AI$6:$AI$105,0)),"")</f>
        <v/>
      </c>
      <c r="AK52">
        <f>COUNTIFS($Z$6:$Z52,$AL$5,$AA$6:$AA52,"?*")</f>
        <v/>
      </c>
      <c r="AL52">
        <f>IFERROR(INDEX($AA$6:$AA$105,MATCH(ROW()-5,$AK$6:$AK$105,0)),"")</f>
        <v/>
      </c>
      <c r="AM52">
        <f>COUNTIFS($Z$6:$Z52,$AN$5,$AA$6:$AA52,"?*")</f>
        <v/>
      </c>
      <c r="AN52">
        <f>IFERROR(INDEX($AA$6:$AA$105,MATCH(ROW()-5,$AM$6:$AM$105,0)),"")</f>
        <v/>
      </c>
      <c r="AO52">
        <f>COUNTIFS($Z$6:$Z52,$AP$5,$AA$6:$AA52,"?*")</f>
        <v/>
      </c>
      <c r="AP52">
        <f>IFERROR(INDEX($AA$6:$AA$105,MATCH(ROW()-5,$AO$6:$AO$105,0)),"")</f>
        <v/>
      </c>
      <c r="AQ52">
        <f>COUNTIFS($Z$6:$Z52,$AR$5,$AA$6:$AA52,"?*")</f>
        <v/>
      </c>
      <c r="AR52">
        <f>IFERROR(INDEX($AA$6:$AA$105,MATCH(ROW()-5,$AQ$6:$AQ$105,0)),"")</f>
        <v/>
      </c>
      <c r="AS52">
        <f>COUNTIFS($Z$6:$Z52,$AT$5,$AA$6:$AA52,"?*")</f>
        <v/>
      </c>
      <c r="AT52">
        <f>IFERROR(INDEX($AA$6:$AA$105,MATCH(ROW()-5,$AS$6:$AS$105,0)),"")</f>
        <v/>
      </c>
      <c r="AU52">
        <f>COUNTIFS($Z$6:$Z52,$AV$5,$AA$6:$AA52,"?*")</f>
        <v/>
      </c>
      <c r="AV52">
        <f>IFERROR(INDEX($AA$6:$AA$105,MATCH(ROW()-5,$AU$6:$AU$105,0)),"")</f>
        <v/>
      </c>
    </row>
    <row r="53">
      <c r="F53">
        <f>IF([1]Accounts!$D$54="","",[1]Accounts!$A$54)</f>
        <v/>
      </c>
      <c r="G53">
        <f>IF([1]Accounts!$D$54="","",[1]Accounts!$B$54)</f>
        <v/>
      </c>
      <c r="H53">
        <f>IF([1]Accounts!$D$54="","",[1]Accounts!$C$54)</f>
        <v/>
      </c>
      <c r="I53">
        <f>IF([1]Accounts!$D$54="","",[1]Accounts!$D$54)</f>
        <v/>
      </c>
      <c r="Y53">
        <f>IF([1]SubGroups!$C$54="","",[1]SubGroups!$A$54)</f>
        <v/>
      </c>
      <c r="Z53">
        <f>IF([1]SubGroups!$C$54="","",[1]SubGroups!$B$54)</f>
        <v/>
      </c>
      <c r="AA53">
        <f>IF([1]SubGroups!$C$54="","",[1]SubGroups!$C$54)</f>
        <v/>
      </c>
      <c r="AC53">
        <f>COUNTIFS($Z$6:$Z53,$AD$5,$AA$6:$AA53,"?*")</f>
        <v/>
      </c>
      <c r="AD53">
        <f>IFERROR(INDEX($AA$6:$AA$105,MATCH(ROW()-5,$AC$6:$AC$105,0)),"")</f>
        <v/>
      </c>
      <c r="AE53">
        <f>COUNTIFS($Z$6:$Z53,$AF$5,$AA$6:$AA53,"?*")</f>
        <v/>
      </c>
      <c r="AF53">
        <f>IFERROR(INDEX($AA$6:$AA$105,MATCH(ROW()-5,$AE$6:$AE$105,0)),"")</f>
        <v/>
      </c>
      <c r="AG53">
        <f>COUNTIFS($Z$6:$Z53,$AH$5,$AA$6:$AA53,"?*")</f>
        <v/>
      </c>
      <c r="AH53">
        <f>IFERROR(INDEX($AA$6:$AA$105,MATCH(ROW()-5,$AG$6:$AG$105,0)),"")</f>
        <v/>
      </c>
      <c r="AI53">
        <f>COUNTIFS($Z$6:$Z53,$AJ$5,$AA$6:$AA53,"?*")</f>
        <v/>
      </c>
      <c r="AJ53">
        <f>IFERROR(INDEX($AA$6:$AA$105,MATCH(ROW()-5,$AI$6:$AI$105,0)),"")</f>
        <v/>
      </c>
      <c r="AK53">
        <f>COUNTIFS($Z$6:$Z53,$AL$5,$AA$6:$AA53,"?*")</f>
        <v/>
      </c>
      <c r="AL53">
        <f>IFERROR(INDEX($AA$6:$AA$105,MATCH(ROW()-5,$AK$6:$AK$105,0)),"")</f>
        <v/>
      </c>
      <c r="AM53">
        <f>COUNTIFS($Z$6:$Z53,$AN$5,$AA$6:$AA53,"?*")</f>
        <v/>
      </c>
      <c r="AN53">
        <f>IFERROR(INDEX($AA$6:$AA$105,MATCH(ROW()-5,$AM$6:$AM$105,0)),"")</f>
        <v/>
      </c>
      <c r="AO53">
        <f>COUNTIFS($Z$6:$Z53,$AP$5,$AA$6:$AA53,"?*")</f>
        <v/>
      </c>
      <c r="AP53">
        <f>IFERROR(INDEX($AA$6:$AA$105,MATCH(ROW()-5,$AO$6:$AO$105,0)),"")</f>
        <v/>
      </c>
      <c r="AQ53">
        <f>COUNTIFS($Z$6:$Z53,$AR$5,$AA$6:$AA53,"?*")</f>
        <v/>
      </c>
      <c r="AR53">
        <f>IFERROR(INDEX($AA$6:$AA$105,MATCH(ROW()-5,$AQ$6:$AQ$105,0)),"")</f>
        <v/>
      </c>
      <c r="AS53">
        <f>COUNTIFS($Z$6:$Z53,$AT$5,$AA$6:$AA53,"?*")</f>
        <v/>
      </c>
      <c r="AT53">
        <f>IFERROR(INDEX($AA$6:$AA$105,MATCH(ROW()-5,$AS$6:$AS$105,0)),"")</f>
        <v/>
      </c>
      <c r="AU53">
        <f>COUNTIFS($Z$6:$Z53,$AV$5,$AA$6:$AA53,"?*")</f>
        <v/>
      </c>
      <c r="AV53">
        <f>IFERROR(INDEX($AA$6:$AA$105,MATCH(ROW()-5,$AU$6:$AU$105,0)),"")</f>
        <v/>
      </c>
    </row>
    <row r="54">
      <c r="F54">
        <f>IF([1]Accounts!$D$55="","",[1]Accounts!$A$55)</f>
        <v/>
      </c>
      <c r="G54">
        <f>IF([1]Accounts!$D$55="","",[1]Accounts!$B$55)</f>
        <v/>
      </c>
      <c r="H54">
        <f>IF([1]Accounts!$D$55="","",[1]Accounts!$C$55)</f>
        <v/>
      </c>
      <c r="I54">
        <f>IF([1]Accounts!$D$55="","",[1]Accounts!$D$55)</f>
        <v/>
      </c>
      <c r="Y54">
        <f>IF([1]SubGroups!$C$55="","",[1]SubGroups!$A$55)</f>
        <v/>
      </c>
      <c r="Z54">
        <f>IF([1]SubGroups!$C$55="","",[1]SubGroups!$B$55)</f>
        <v/>
      </c>
      <c r="AA54">
        <f>IF([1]SubGroups!$C$55="","",[1]SubGroups!$C$55)</f>
        <v/>
      </c>
      <c r="AC54">
        <f>COUNTIFS($Z$6:$Z54,$AD$5,$AA$6:$AA54,"?*")</f>
        <v/>
      </c>
      <c r="AD54">
        <f>IFERROR(INDEX($AA$6:$AA$105,MATCH(ROW()-5,$AC$6:$AC$105,0)),"")</f>
        <v/>
      </c>
      <c r="AE54">
        <f>COUNTIFS($Z$6:$Z54,$AF$5,$AA$6:$AA54,"?*")</f>
        <v/>
      </c>
      <c r="AF54">
        <f>IFERROR(INDEX($AA$6:$AA$105,MATCH(ROW()-5,$AE$6:$AE$105,0)),"")</f>
        <v/>
      </c>
      <c r="AG54">
        <f>COUNTIFS($Z$6:$Z54,$AH$5,$AA$6:$AA54,"?*")</f>
        <v/>
      </c>
      <c r="AH54">
        <f>IFERROR(INDEX($AA$6:$AA$105,MATCH(ROW()-5,$AG$6:$AG$105,0)),"")</f>
        <v/>
      </c>
      <c r="AI54">
        <f>COUNTIFS($Z$6:$Z54,$AJ$5,$AA$6:$AA54,"?*")</f>
        <v/>
      </c>
      <c r="AJ54">
        <f>IFERROR(INDEX($AA$6:$AA$105,MATCH(ROW()-5,$AI$6:$AI$105,0)),"")</f>
        <v/>
      </c>
      <c r="AK54">
        <f>COUNTIFS($Z$6:$Z54,$AL$5,$AA$6:$AA54,"?*")</f>
        <v/>
      </c>
      <c r="AL54">
        <f>IFERROR(INDEX($AA$6:$AA$105,MATCH(ROW()-5,$AK$6:$AK$105,0)),"")</f>
        <v/>
      </c>
      <c r="AM54">
        <f>COUNTIFS($Z$6:$Z54,$AN$5,$AA$6:$AA54,"?*")</f>
        <v/>
      </c>
      <c r="AN54">
        <f>IFERROR(INDEX($AA$6:$AA$105,MATCH(ROW()-5,$AM$6:$AM$105,0)),"")</f>
        <v/>
      </c>
      <c r="AO54">
        <f>COUNTIFS($Z$6:$Z54,$AP$5,$AA$6:$AA54,"?*")</f>
        <v/>
      </c>
      <c r="AP54">
        <f>IFERROR(INDEX($AA$6:$AA$105,MATCH(ROW()-5,$AO$6:$AO$105,0)),"")</f>
        <v/>
      </c>
      <c r="AQ54">
        <f>COUNTIFS($Z$6:$Z54,$AR$5,$AA$6:$AA54,"?*")</f>
        <v/>
      </c>
      <c r="AR54">
        <f>IFERROR(INDEX($AA$6:$AA$105,MATCH(ROW()-5,$AQ$6:$AQ$105,0)),"")</f>
        <v/>
      </c>
      <c r="AS54">
        <f>COUNTIFS($Z$6:$Z54,$AT$5,$AA$6:$AA54,"?*")</f>
        <v/>
      </c>
      <c r="AT54">
        <f>IFERROR(INDEX($AA$6:$AA$105,MATCH(ROW()-5,$AS$6:$AS$105,0)),"")</f>
        <v/>
      </c>
      <c r="AU54">
        <f>COUNTIFS($Z$6:$Z54,$AV$5,$AA$6:$AA54,"?*")</f>
        <v/>
      </c>
      <c r="AV54">
        <f>IFERROR(INDEX($AA$6:$AA$105,MATCH(ROW()-5,$AU$6:$AU$105,0)),"")</f>
        <v/>
      </c>
    </row>
    <row r="55">
      <c r="F55">
        <f>IF([1]Accounts!$D$56="","",[1]Accounts!$A$56)</f>
        <v/>
      </c>
      <c r="G55">
        <f>IF([1]Accounts!$D$56="","",[1]Accounts!$B$56)</f>
        <v/>
      </c>
      <c r="H55">
        <f>IF([1]Accounts!$D$56="","",[1]Accounts!$C$56)</f>
        <v/>
      </c>
      <c r="I55">
        <f>IF([1]Accounts!$D$56="","",[1]Accounts!$D$56)</f>
        <v/>
      </c>
      <c r="Y55">
        <f>IF([1]SubGroups!$C$56="","",[1]SubGroups!$A$56)</f>
        <v/>
      </c>
      <c r="Z55">
        <f>IF([1]SubGroups!$C$56="","",[1]SubGroups!$B$56)</f>
        <v/>
      </c>
      <c r="AA55">
        <f>IF([1]SubGroups!$C$56="","",[1]SubGroups!$C$56)</f>
        <v/>
      </c>
      <c r="AC55">
        <f>COUNTIFS($Z$6:$Z55,$AD$5,$AA$6:$AA55,"?*")</f>
        <v/>
      </c>
      <c r="AD55">
        <f>IFERROR(INDEX($AA$6:$AA$105,MATCH(ROW()-5,$AC$6:$AC$105,0)),"")</f>
        <v/>
      </c>
      <c r="AE55">
        <f>COUNTIFS($Z$6:$Z55,$AF$5,$AA$6:$AA55,"?*")</f>
        <v/>
      </c>
      <c r="AF55">
        <f>IFERROR(INDEX($AA$6:$AA$105,MATCH(ROW()-5,$AE$6:$AE$105,0)),"")</f>
        <v/>
      </c>
      <c r="AG55">
        <f>COUNTIFS($Z$6:$Z55,$AH$5,$AA$6:$AA55,"?*")</f>
        <v/>
      </c>
      <c r="AH55">
        <f>IFERROR(INDEX($AA$6:$AA$105,MATCH(ROW()-5,$AG$6:$AG$105,0)),"")</f>
        <v/>
      </c>
      <c r="AI55">
        <f>COUNTIFS($Z$6:$Z55,$AJ$5,$AA$6:$AA55,"?*")</f>
        <v/>
      </c>
      <c r="AJ55">
        <f>IFERROR(INDEX($AA$6:$AA$105,MATCH(ROW()-5,$AI$6:$AI$105,0)),"")</f>
        <v/>
      </c>
      <c r="AK55">
        <f>COUNTIFS($Z$6:$Z55,$AL$5,$AA$6:$AA55,"?*")</f>
        <v/>
      </c>
      <c r="AL55">
        <f>IFERROR(INDEX($AA$6:$AA$105,MATCH(ROW()-5,$AK$6:$AK$105,0)),"")</f>
        <v/>
      </c>
      <c r="AM55">
        <f>COUNTIFS($Z$6:$Z55,$AN$5,$AA$6:$AA55,"?*")</f>
        <v/>
      </c>
      <c r="AN55">
        <f>IFERROR(INDEX($AA$6:$AA$105,MATCH(ROW()-5,$AM$6:$AM$105,0)),"")</f>
        <v/>
      </c>
      <c r="AO55">
        <f>COUNTIFS($Z$6:$Z55,$AP$5,$AA$6:$AA55,"?*")</f>
        <v/>
      </c>
      <c r="AP55">
        <f>IFERROR(INDEX($AA$6:$AA$105,MATCH(ROW()-5,$AO$6:$AO$105,0)),"")</f>
        <v/>
      </c>
      <c r="AQ55">
        <f>COUNTIFS($Z$6:$Z55,$AR$5,$AA$6:$AA55,"?*")</f>
        <v/>
      </c>
      <c r="AR55">
        <f>IFERROR(INDEX($AA$6:$AA$105,MATCH(ROW()-5,$AQ$6:$AQ$105,0)),"")</f>
        <v/>
      </c>
      <c r="AS55">
        <f>COUNTIFS($Z$6:$Z55,$AT$5,$AA$6:$AA55,"?*")</f>
        <v/>
      </c>
      <c r="AT55">
        <f>IFERROR(INDEX($AA$6:$AA$105,MATCH(ROW()-5,$AS$6:$AS$105,0)),"")</f>
        <v/>
      </c>
      <c r="AU55">
        <f>COUNTIFS($Z$6:$Z55,$AV$5,$AA$6:$AA55,"?*")</f>
        <v/>
      </c>
      <c r="AV55">
        <f>IFERROR(INDEX($AA$6:$AA$105,MATCH(ROW()-5,$AU$6:$AU$105,0)),"")</f>
        <v/>
      </c>
    </row>
    <row r="56">
      <c r="F56">
        <f>IF([1]Accounts!$D$57="","",[1]Accounts!$A$57)</f>
        <v/>
      </c>
      <c r="G56">
        <f>IF([1]Accounts!$D$57="","",[1]Accounts!$B$57)</f>
        <v/>
      </c>
      <c r="H56">
        <f>IF([1]Accounts!$D$57="","",[1]Accounts!$C$57)</f>
        <v/>
      </c>
      <c r="I56">
        <f>IF([1]Accounts!$D$57="","",[1]Accounts!$D$57)</f>
        <v/>
      </c>
      <c r="Y56">
        <f>IF([1]SubGroups!$C$57="","",[1]SubGroups!$A$57)</f>
        <v/>
      </c>
      <c r="Z56">
        <f>IF([1]SubGroups!$C$57="","",[1]SubGroups!$B$57)</f>
        <v/>
      </c>
      <c r="AA56">
        <f>IF([1]SubGroups!$C$57="","",[1]SubGroups!$C$57)</f>
        <v/>
      </c>
      <c r="AC56">
        <f>COUNTIFS($Z$6:$Z56,$AD$5,$AA$6:$AA56,"?*")</f>
        <v/>
      </c>
      <c r="AD56">
        <f>IFERROR(INDEX($AA$6:$AA$105,MATCH(ROW()-5,$AC$6:$AC$105,0)),"")</f>
        <v/>
      </c>
      <c r="AE56">
        <f>COUNTIFS($Z$6:$Z56,$AF$5,$AA$6:$AA56,"?*")</f>
        <v/>
      </c>
      <c r="AF56">
        <f>IFERROR(INDEX($AA$6:$AA$105,MATCH(ROW()-5,$AE$6:$AE$105,0)),"")</f>
        <v/>
      </c>
      <c r="AG56">
        <f>COUNTIFS($Z$6:$Z56,$AH$5,$AA$6:$AA56,"?*")</f>
        <v/>
      </c>
      <c r="AH56">
        <f>IFERROR(INDEX($AA$6:$AA$105,MATCH(ROW()-5,$AG$6:$AG$105,0)),"")</f>
        <v/>
      </c>
      <c r="AI56">
        <f>COUNTIFS($Z$6:$Z56,$AJ$5,$AA$6:$AA56,"?*")</f>
        <v/>
      </c>
      <c r="AJ56">
        <f>IFERROR(INDEX($AA$6:$AA$105,MATCH(ROW()-5,$AI$6:$AI$105,0)),"")</f>
        <v/>
      </c>
      <c r="AK56">
        <f>COUNTIFS($Z$6:$Z56,$AL$5,$AA$6:$AA56,"?*")</f>
        <v/>
      </c>
      <c r="AL56">
        <f>IFERROR(INDEX($AA$6:$AA$105,MATCH(ROW()-5,$AK$6:$AK$105,0)),"")</f>
        <v/>
      </c>
      <c r="AM56">
        <f>COUNTIFS($Z$6:$Z56,$AN$5,$AA$6:$AA56,"?*")</f>
        <v/>
      </c>
      <c r="AN56">
        <f>IFERROR(INDEX($AA$6:$AA$105,MATCH(ROW()-5,$AM$6:$AM$105,0)),"")</f>
        <v/>
      </c>
      <c r="AO56">
        <f>COUNTIFS($Z$6:$Z56,$AP$5,$AA$6:$AA56,"?*")</f>
        <v/>
      </c>
      <c r="AP56">
        <f>IFERROR(INDEX($AA$6:$AA$105,MATCH(ROW()-5,$AO$6:$AO$105,0)),"")</f>
        <v/>
      </c>
      <c r="AQ56">
        <f>COUNTIFS($Z$6:$Z56,$AR$5,$AA$6:$AA56,"?*")</f>
        <v/>
      </c>
      <c r="AR56">
        <f>IFERROR(INDEX($AA$6:$AA$105,MATCH(ROW()-5,$AQ$6:$AQ$105,0)),"")</f>
        <v/>
      </c>
      <c r="AS56">
        <f>COUNTIFS($Z$6:$Z56,$AT$5,$AA$6:$AA56,"?*")</f>
        <v/>
      </c>
      <c r="AT56">
        <f>IFERROR(INDEX($AA$6:$AA$105,MATCH(ROW()-5,$AS$6:$AS$105,0)),"")</f>
        <v/>
      </c>
      <c r="AU56">
        <f>COUNTIFS($Z$6:$Z56,$AV$5,$AA$6:$AA56,"?*")</f>
        <v/>
      </c>
      <c r="AV56">
        <f>IFERROR(INDEX($AA$6:$AA$105,MATCH(ROW()-5,$AU$6:$AU$105,0)),"")</f>
        <v/>
      </c>
    </row>
    <row r="57">
      <c r="F57">
        <f>IF([1]Accounts!$D$58="","",[1]Accounts!$A$58)</f>
        <v/>
      </c>
      <c r="G57">
        <f>IF([1]Accounts!$D$58="","",[1]Accounts!$B$58)</f>
        <v/>
      </c>
      <c r="H57">
        <f>IF([1]Accounts!$D$58="","",[1]Accounts!$C$58)</f>
        <v/>
      </c>
      <c r="I57">
        <f>IF([1]Accounts!$D$58="","",[1]Accounts!$D$58)</f>
        <v/>
      </c>
      <c r="Y57">
        <f>IF([1]SubGroups!$C$58="","",[1]SubGroups!$A$58)</f>
        <v/>
      </c>
      <c r="Z57">
        <f>IF([1]SubGroups!$C$58="","",[1]SubGroups!$B$58)</f>
        <v/>
      </c>
      <c r="AA57">
        <f>IF([1]SubGroups!$C$58="","",[1]SubGroups!$C$58)</f>
        <v/>
      </c>
      <c r="AC57">
        <f>COUNTIFS($Z$6:$Z57,$AD$5,$AA$6:$AA57,"?*")</f>
        <v/>
      </c>
      <c r="AD57">
        <f>IFERROR(INDEX($AA$6:$AA$105,MATCH(ROW()-5,$AC$6:$AC$105,0)),"")</f>
        <v/>
      </c>
      <c r="AE57">
        <f>COUNTIFS($Z$6:$Z57,$AF$5,$AA$6:$AA57,"?*")</f>
        <v/>
      </c>
      <c r="AF57">
        <f>IFERROR(INDEX($AA$6:$AA$105,MATCH(ROW()-5,$AE$6:$AE$105,0)),"")</f>
        <v/>
      </c>
      <c r="AG57">
        <f>COUNTIFS($Z$6:$Z57,$AH$5,$AA$6:$AA57,"?*")</f>
        <v/>
      </c>
      <c r="AH57">
        <f>IFERROR(INDEX($AA$6:$AA$105,MATCH(ROW()-5,$AG$6:$AG$105,0)),"")</f>
        <v/>
      </c>
      <c r="AI57">
        <f>COUNTIFS($Z$6:$Z57,$AJ$5,$AA$6:$AA57,"?*")</f>
        <v/>
      </c>
      <c r="AJ57">
        <f>IFERROR(INDEX($AA$6:$AA$105,MATCH(ROW()-5,$AI$6:$AI$105,0)),"")</f>
        <v/>
      </c>
      <c r="AK57">
        <f>COUNTIFS($Z$6:$Z57,$AL$5,$AA$6:$AA57,"?*")</f>
        <v/>
      </c>
      <c r="AL57">
        <f>IFERROR(INDEX($AA$6:$AA$105,MATCH(ROW()-5,$AK$6:$AK$105,0)),"")</f>
        <v/>
      </c>
      <c r="AM57">
        <f>COUNTIFS($Z$6:$Z57,$AN$5,$AA$6:$AA57,"?*")</f>
        <v/>
      </c>
      <c r="AN57">
        <f>IFERROR(INDEX($AA$6:$AA$105,MATCH(ROW()-5,$AM$6:$AM$105,0)),"")</f>
        <v/>
      </c>
      <c r="AO57">
        <f>COUNTIFS($Z$6:$Z57,$AP$5,$AA$6:$AA57,"?*")</f>
        <v/>
      </c>
      <c r="AP57">
        <f>IFERROR(INDEX($AA$6:$AA$105,MATCH(ROW()-5,$AO$6:$AO$105,0)),"")</f>
        <v/>
      </c>
      <c r="AQ57">
        <f>COUNTIFS($Z$6:$Z57,$AR$5,$AA$6:$AA57,"?*")</f>
        <v/>
      </c>
      <c r="AR57">
        <f>IFERROR(INDEX($AA$6:$AA$105,MATCH(ROW()-5,$AQ$6:$AQ$105,0)),"")</f>
        <v/>
      </c>
      <c r="AS57">
        <f>COUNTIFS($Z$6:$Z57,$AT$5,$AA$6:$AA57,"?*")</f>
        <v/>
      </c>
      <c r="AT57">
        <f>IFERROR(INDEX($AA$6:$AA$105,MATCH(ROW()-5,$AS$6:$AS$105,0)),"")</f>
        <v/>
      </c>
      <c r="AU57">
        <f>COUNTIFS($Z$6:$Z57,$AV$5,$AA$6:$AA57,"?*")</f>
        <v/>
      </c>
      <c r="AV57">
        <f>IFERROR(INDEX($AA$6:$AA$105,MATCH(ROW()-5,$AU$6:$AU$105,0)),"")</f>
        <v/>
      </c>
    </row>
    <row r="58">
      <c r="F58">
        <f>IF([1]Accounts!$D$59="","",[1]Accounts!$A$59)</f>
        <v/>
      </c>
      <c r="G58">
        <f>IF([1]Accounts!$D$59="","",[1]Accounts!$B$59)</f>
        <v/>
      </c>
      <c r="H58">
        <f>IF([1]Accounts!$D$59="","",[1]Accounts!$C$59)</f>
        <v/>
      </c>
      <c r="I58">
        <f>IF([1]Accounts!$D$59="","",[1]Accounts!$D$59)</f>
        <v/>
      </c>
      <c r="Y58">
        <f>IF([1]SubGroups!$C$59="","",[1]SubGroups!$A$59)</f>
        <v/>
      </c>
      <c r="Z58">
        <f>IF([1]SubGroups!$C$59="","",[1]SubGroups!$B$59)</f>
        <v/>
      </c>
      <c r="AA58">
        <f>IF([1]SubGroups!$C$59="","",[1]SubGroups!$C$59)</f>
        <v/>
      </c>
      <c r="AC58">
        <f>COUNTIFS($Z$6:$Z58,$AD$5,$AA$6:$AA58,"?*")</f>
        <v/>
      </c>
      <c r="AD58">
        <f>IFERROR(INDEX($AA$6:$AA$105,MATCH(ROW()-5,$AC$6:$AC$105,0)),"")</f>
        <v/>
      </c>
      <c r="AE58">
        <f>COUNTIFS($Z$6:$Z58,$AF$5,$AA$6:$AA58,"?*")</f>
        <v/>
      </c>
      <c r="AF58">
        <f>IFERROR(INDEX($AA$6:$AA$105,MATCH(ROW()-5,$AE$6:$AE$105,0)),"")</f>
        <v/>
      </c>
      <c r="AG58">
        <f>COUNTIFS($Z$6:$Z58,$AH$5,$AA$6:$AA58,"?*")</f>
        <v/>
      </c>
      <c r="AH58">
        <f>IFERROR(INDEX($AA$6:$AA$105,MATCH(ROW()-5,$AG$6:$AG$105,0)),"")</f>
        <v/>
      </c>
      <c r="AI58">
        <f>COUNTIFS($Z$6:$Z58,$AJ$5,$AA$6:$AA58,"?*")</f>
        <v/>
      </c>
      <c r="AJ58">
        <f>IFERROR(INDEX($AA$6:$AA$105,MATCH(ROW()-5,$AI$6:$AI$105,0)),"")</f>
        <v/>
      </c>
      <c r="AK58">
        <f>COUNTIFS($Z$6:$Z58,$AL$5,$AA$6:$AA58,"?*")</f>
        <v/>
      </c>
      <c r="AL58">
        <f>IFERROR(INDEX($AA$6:$AA$105,MATCH(ROW()-5,$AK$6:$AK$105,0)),"")</f>
        <v/>
      </c>
      <c r="AM58">
        <f>COUNTIFS($Z$6:$Z58,$AN$5,$AA$6:$AA58,"?*")</f>
        <v/>
      </c>
      <c r="AN58">
        <f>IFERROR(INDEX($AA$6:$AA$105,MATCH(ROW()-5,$AM$6:$AM$105,0)),"")</f>
        <v/>
      </c>
      <c r="AO58">
        <f>COUNTIFS($Z$6:$Z58,$AP$5,$AA$6:$AA58,"?*")</f>
        <v/>
      </c>
      <c r="AP58">
        <f>IFERROR(INDEX($AA$6:$AA$105,MATCH(ROW()-5,$AO$6:$AO$105,0)),"")</f>
        <v/>
      </c>
      <c r="AQ58">
        <f>COUNTIFS($Z$6:$Z58,$AR$5,$AA$6:$AA58,"?*")</f>
        <v/>
      </c>
      <c r="AR58">
        <f>IFERROR(INDEX($AA$6:$AA$105,MATCH(ROW()-5,$AQ$6:$AQ$105,0)),"")</f>
        <v/>
      </c>
      <c r="AS58">
        <f>COUNTIFS($Z$6:$Z58,$AT$5,$AA$6:$AA58,"?*")</f>
        <v/>
      </c>
      <c r="AT58">
        <f>IFERROR(INDEX($AA$6:$AA$105,MATCH(ROW()-5,$AS$6:$AS$105,0)),"")</f>
        <v/>
      </c>
      <c r="AU58">
        <f>COUNTIFS($Z$6:$Z58,$AV$5,$AA$6:$AA58,"?*")</f>
        <v/>
      </c>
      <c r="AV58">
        <f>IFERROR(INDEX($AA$6:$AA$105,MATCH(ROW()-5,$AU$6:$AU$105,0)),"")</f>
        <v/>
      </c>
    </row>
    <row r="59">
      <c r="F59">
        <f>IF([1]Accounts!$D$60="","",[1]Accounts!$A$60)</f>
        <v/>
      </c>
      <c r="G59">
        <f>IF([1]Accounts!$D$60="","",[1]Accounts!$B$60)</f>
        <v/>
      </c>
      <c r="H59">
        <f>IF([1]Accounts!$D$60="","",[1]Accounts!$C$60)</f>
        <v/>
      </c>
      <c r="I59">
        <f>IF([1]Accounts!$D$60="","",[1]Accounts!$D$60)</f>
        <v/>
      </c>
      <c r="Y59">
        <f>IF([1]SubGroups!$C$60="","",[1]SubGroups!$A$60)</f>
        <v/>
      </c>
      <c r="Z59">
        <f>IF([1]SubGroups!$C$60="","",[1]SubGroups!$B$60)</f>
        <v/>
      </c>
      <c r="AA59">
        <f>IF([1]SubGroups!$C$60="","",[1]SubGroups!$C$60)</f>
        <v/>
      </c>
      <c r="AC59">
        <f>COUNTIFS($Z$6:$Z59,$AD$5,$AA$6:$AA59,"?*")</f>
        <v/>
      </c>
      <c r="AD59">
        <f>IFERROR(INDEX($AA$6:$AA$105,MATCH(ROW()-5,$AC$6:$AC$105,0)),"")</f>
        <v/>
      </c>
      <c r="AE59">
        <f>COUNTIFS($Z$6:$Z59,$AF$5,$AA$6:$AA59,"?*")</f>
        <v/>
      </c>
      <c r="AF59">
        <f>IFERROR(INDEX($AA$6:$AA$105,MATCH(ROW()-5,$AE$6:$AE$105,0)),"")</f>
        <v/>
      </c>
      <c r="AG59">
        <f>COUNTIFS($Z$6:$Z59,$AH$5,$AA$6:$AA59,"?*")</f>
        <v/>
      </c>
      <c r="AH59">
        <f>IFERROR(INDEX($AA$6:$AA$105,MATCH(ROW()-5,$AG$6:$AG$105,0)),"")</f>
        <v/>
      </c>
      <c r="AI59">
        <f>COUNTIFS($Z$6:$Z59,$AJ$5,$AA$6:$AA59,"?*")</f>
        <v/>
      </c>
      <c r="AJ59">
        <f>IFERROR(INDEX($AA$6:$AA$105,MATCH(ROW()-5,$AI$6:$AI$105,0)),"")</f>
        <v/>
      </c>
      <c r="AK59">
        <f>COUNTIFS($Z$6:$Z59,$AL$5,$AA$6:$AA59,"?*")</f>
        <v/>
      </c>
      <c r="AL59">
        <f>IFERROR(INDEX($AA$6:$AA$105,MATCH(ROW()-5,$AK$6:$AK$105,0)),"")</f>
        <v/>
      </c>
      <c r="AM59">
        <f>COUNTIFS($Z$6:$Z59,$AN$5,$AA$6:$AA59,"?*")</f>
        <v/>
      </c>
      <c r="AN59">
        <f>IFERROR(INDEX($AA$6:$AA$105,MATCH(ROW()-5,$AM$6:$AM$105,0)),"")</f>
        <v/>
      </c>
      <c r="AO59">
        <f>COUNTIFS($Z$6:$Z59,$AP$5,$AA$6:$AA59,"?*")</f>
        <v/>
      </c>
      <c r="AP59">
        <f>IFERROR(INDEX($AA$6:$AA$105,MATCH(ROW()-5,$AO$6:$AO$105,0)),"")</f>
        <v/>
      </c>
      <c r="AQ59">
        <f>COUNTIFS($Z$6:$Z59,$AR$5,$AA$6:$AA59,"?*")</f>
        <v/>
      </c>
      <c r="AR59">
        <f>IFERROR(INDEX($AA$6:$AA$105,MATCH(ROW()-5,$AQ$6:$AQ$105,0)),"")</f>
        <v/>
      </c>
      <c r="AS59">
        <f>COUNTIFS($Z$6:$Z59,$AT$5,$AA$6:$AA59,"?*")</f>
        <v/>
      </c>
      <c r="AT59">
        <f>IFERROR(INDEX($AA$6:$AA$105,MATCH(ROW()-5,$AS$6:$AS$105,0)),"")</f>
        <v/>
      </c>
      <c r="AU59">
        <f>COUNTIFS($Z$6:$Z59,$AV$5,$AA$6:$AA59,"?*")</f>
        <v/>
      </c>
      <c r="AV59">
        <f>IFERROR(INDEX($AA$6:$AA$105,MATCH(ROW()-5,$AU$6:$AU$105,0)),"")</f>
        <v/>
      </c>
    </row>
    <row r="60">
      <c r="F60">
        <f>IF([1]Accounts!$D$61="","",[1]Accounts!$A$61)</f>
        <v/>
      </c>
      <c r="G60">
        <f>IF([1]Accounts!$D$61="","",[1]Accounts!$B$61)</f>
        <v/>
      </c>
      <c r="H60">
        <f>IF([1]Accounts!$D$61="","",[1]Accounts!$C$61)</f>
        <v/>
      </c>
      <c r="I60">
        <f>IF([1]Accounts!$D$61="","",[1]Accounts!$D$61)</f>
        <v/>
      </c>
      <c r="Y60">
        <f>IF([1]SubGroups!$C$61="","",[1]SubGroups!$A$61)</f>
        <v/>
      </c>
      <c r="Z60">
        <f>IF([1]SubGroups!$C$61="","",[1]SubGroups!$B$61)</f>
        <v/>
      </c>
      <c r="AA60">
        <f>IF([1]SubGroups!$C$61="","",[1]SubGroups!$C$61)</f>
        <v/>
      </c>
      <c r="AC60">
        <f>COUNTIFS($Z$6:$Z60,$AD$5,$AA$6:$AA60,"?*")</f>
        <v/>
      </c>
      <c r="AD60">
        <f>IFERROR(INDEX($AA$6:$AA$105,MATCH(ROW()-5,$AC$6:$AC$105,0)),"")</f>
        <v/>
      </c>
      <c r="AE60">
        <f>COUNTIFS($Z$6:$Z60,$AF$5,$AA$6:$AA60,"?*")</f>
        <v/>
      </c>
      <c r="AF60">
        <f>IFERROR(INDEX($AA$6:$AA$105,MATCH(ROW()-5,$AE$6:$AE$105,0)),"")</f>
        <v/>
      </c>
      <c r="AG60">
        <f>COUNTIFS($Z$6:$Z60,$AH$5,$AA$6:$AA60,"?*")</f>
        <v/>
      </c>
      <c r="AH60">
        <f>IFERROR(INDEX($AA$6:$AA$105,MATCH(ROW()-5,$AG$6:$AG$105,0)),"")</f>
        <v/>
      </c>
      <c r="AI60">
        <f>COUNTIFS($Z$6:$Z60,$AJ$5,$AA$6:$AA60,"?*")</f>
        <v/>
      </c>
      <c r="AJ60">
        <f>IFERROR(INDEX($AA$6:$AA$105,MATCH(ROW()-5,$AI$6:$AI$105,0)),"")</f>
        <v/>
      </c>
      <c r="AK60">
        <f>COUNTIFS($Z$6:$Z60,$AL$5,$AA$6:$AA60,"?*")</f>
        <v/>
      </c>
      <c r="AL60">
        <f>IFERROR(INDEX($AA$6:$AA$105,MATCH(ROW()-5,$AK$6:$AK$105,0)),"")</f>
        <v/>
      </c>
      <c r="AM60">
        <f>COUNTIFS($Z$6:$Z60,$AN$5,$AA$6:$AA60,"?*")</f>
        <v/>
      </c>
      <c r="AN60">
        <f>IFERROR(INDEX($AA$6:$AA$105,MATCH(ROW()-5,$AM$6:$AM$105,0)),"")</f>
        <v/>
      </c>
      <c r="AO60">
        <f>COUNTIFS($Z$6:$Z60,$AP$5,$AA$6:$AA60,"?*")</f>
        <v/>
      </c>
      <c r="AP60">
        <f>IFERROR(INDEX($AA$6:$AA$105,MATCH(ROW()-5,$AO$6:$AO$105,0)),"")</f>
        <v/>
      </c>
      <c r="AQ60">
        <f>COUNTIFS($Z$6:$Z60,$AR$5,$AA$6:$AA60,"?*")</f>
        <v/>
      </c>
      <c r="AR60">
        <f>IFERROR(INDEX($AA$6:$AA$105,MATCH(ROW()-5,$AQ$6:$AQ$105,0)),"")</f>
        <v/>
      </c>
      <c r="AS60">
        <f>COUNTIFS($Z$6:$Z60,$AT$5,$AA$6:$AA60,"?*")</f>
        <v/>
      </c>
      <c r="AT60">
        <f>IFERROR(INDEX($AA$6:$AA$105,MATCH(ROW()-5,$AS$6:$AS$105,0)),"")</f>
        <v/>
      </c>
      <c r="AU60">
        <f>COUNTIFS($Z$6:$Z60,$AV$5,$AA$6:$AA60,"?*")</f>
        <v/>
      </c>
      <c r="AV60">
        <f>IFERROR(INDEX($AA$6:$AA$105,MATCH(ROW()-5,$AU$6:$AU$105,0)),"")</f>
        <v/>
      </c>
    </row>
    <row r="61">
      <c r="F61">
        <f>IF([1]Accounts!$D$62="","",[1]Accounts!$A$62)</f>
        <v/>
      </c>
      <c r="G61">
        <f>IF([1]Accounts!$D$62="","",[1]Accounts!$B$62)</f>
        <v/>
      </c>
      <c r="H61">
        <f>IF([1]Accounts!$D$62="","",[1]Accounts!$C$62)</f>
        <v/>
      </c>
      <c r="I61">
        <f>IF([1]Accounts!$D$62="","",[1]Accounts!$D$62)</f>
        <v/>
      </c>
      <c r="Y61">
        <f>IF([1]SubGroups!$C$62="","",[1]SubGroups!$A$62)</f>
        <v/>
      </c>
      <c r="Z61">
        <f>IF([1]SubGroups!$C$62="","",[1]SubGroups!$B$62)</f>
        <v/>
      </c>
      <c r="AA61">
        <f>IF([1]SubGroups!$C$62="","",[1]SubGroups!$C$62)</f>
        <v/>
      </c>
      <c r="AC61">
        <f>COUNTIFS($Z$6:$Z61,$AD$5,$AA$6:$AA61,"?*")</f>
        <v/>
      </c>
      <c r="AD61">
        <f>IFERROR(INDEX($AA$6:$AA$105,MATCH(ROW()-5,$AC$6:$AC$105,0)),"")</f>
        <v/>
      </c>
      <c r="AE61">
        <f>COUNTIFS($Z$6:$Z61,$AF$5,$AA$6:$AA61,"?*")</f>
        <v/>
      </c>
      <c r="AF61">
        <f>IFERROR(INDEX($AA$6:$AA$105,MATCH(ROW()-5,$AE$6:$AE$105,0)),"")</f>
        <v/>
      </c>
      <c r="AG61">
        <f>COUNTIFS($Z$6:$Z61,$AH$5,$AA$6:$AA61,"?*")</f>
        <v/>
      </c>
      <c r="AH61">
        <f>IFERROR(INDEX($AA$6:$AA$105,MATCH(ROW()-5,$AG$6:$AG$105,0)),"")</f>
        <v/>
      </c>
      <c r="AI61">
        <f>COUNTIFS($Z$6:$Z61,$AJ$5,$AA$6:$AA61,"?*")</f>
        <v/>
      </c>
      <c r="AJ61">
        <f>IFERROR(INDEX($AA$6:$AA$105,MATCH(ROW()-5,$AI$6:$AI$105,0)),"")</f>
        <v/>
      </c>
      <c r="AK61">
        <f>COUNTIFS($Z$6:$Z61,$AL$5,$AA$6:$AA61,"?*")</f>
        <v/>
      </c>
      <c r="AL61">
        <f>IFERROR(INDEX($AA$6:$AA$105,MATCH(ROW()-5,$AK$6:$AK$105,0)),"")</f>
        <v/>
      </c>
      <c r="AM61">
        <f>COUNTIFS($Z$6:$Z61,$AN$5,$AA$6:$AA61,"?*")</f>
        <v/>
      </c>
      <c r="AN61">
        <f>IFERROR(INDEX($AA$6:$AA$105,MATCH(ROW()-5,$AM$6:$AM$105,0)),"")</f>
        <v/>
      </c>
      <c r="AO61">
        <f>COUNTIFS($Z$6:$Z61,$AP$5,$AA$6:$AA61,"?*")</f>
        <v/>
      </c>
      <c r="AP61">
        <f>IFERROR(INDEX($AA$6:$AA$105,MATCH(ROW()-5,$AO$6:$AO$105,0)),"")</f>
        <v/>
      </c>
      <c r="AQ61">
        <f>COUNTIFS($Z$6:$Z61,$AR$5,$AA$6:$AA61,"?*")</f>
        <v/>
      </c>
      <c r="AR61">
        <f>IFERROR(INDEX($AA$6:$AA$105,MATCH(ROW()-5,$AQ$6:$AQ$105,0)),"")</f>
        <v/>
      </c>
      <c r="AS61">
        <f>COUNTIFS($Z$6:$Z61,$AT$5,$AA$6:$AA61,"?*")</f>
        <v/>
      </c>
      <c r="AT61">
        <f>IFERROR(INDEX($AA$6:$AA$105,MATCH(ROW()-5,$AS$6:$AS$105,0)),"")</f>
        <v/>
      </c>
      <c r="AU61">
        <f>COUNTIFS($Z$6:$Z61,$AV$5,$AA$6:$AA61,"?*")</f>
        <v/>
      </c>
      <c r="AV61">
        <f>IFERROR(INDEX($AA$6:$AA$105,MATCH(ROW()-5,$AU$6:$AU$105,0)),"")</f>
        <v/>
      </c>
    </row>
    <row r="62">
      <c r="F62">
        <f>IF([1]Accounts!$D$63="","",[1]Accounts!$A$63)</f>
        <v/>
      </c>
      <c r="G62">
        <f>IF([1]Accounts!$D$63="","",[1]Accounts!$B$63)</f>
        <v/>
      </c>
      <c r="H62">
        <f>IF([1]Accounts!$D$63="","",[1]Accounts!$C$63)</f>
        <v/>
      </c>
      <c r="I62">
        <f>IF([1]Accounts!$D$63="","",[1]Accounts!$D$63)</f>
        <v/>
      </c>
      <c r="Y62">
        <f>IF([1]SubGroups!$C$63="","",[1]SubGroups!$A$63)</f>
        <v/>
      </c>
      <c r="Z62">
        <f>IF([1]SubGroups!$C$63="","",[1]SubGroups!$B$63)</f>
        <v/>
      </c>
      <c r="AA62">
        <f>IF([1]SubGroups!$C$63="","",[1]SubGroups!$C$63)</f>
        <v/>
      </c>
      <c r="AC62">
        <f>COUNTIFS($Z$6:$Z62,$AD$5,$AA$6:$AA62,"?*")</f>
        <v/>
      </c>
      <c r="AD62">
        <f>IFERROR(INDEX($AA$6:$AA$105,MATCH(ROW()-5,$AC$6:$AC$105,0)),"")</f>
        <v/>
      </c>
      <c r="AE62">
        <f>COUNTIFS($Z$6:$Z62,$AF$5,$AA$6:$AA62,"?*")</f>
        <v/>
      </c>
      <c r="AF62">
        <f>IFERROR(INDEX($AA$6:$AA$105,MATCH(ROW()-5,$AE$6:$AE$105,0)),"")</f>
        <v/>
      </c>
      <c r="AG62">
        <f>COUNTIFS($Z$6:$Z62,$AH$5,$AA$6:$AA62,"?*")</f>
        <v/>
      </c>
      <c r="AH62">
        <f>IFERROR(INDEX($AA$6:$AA$105,MATCH(ROW()-5,$AG$6:$AG$105,0)),"")</f>
        <v/>
      </c>
      <c r="AI62">
        <f>COUNTIFS($Z$6:$Z62,$AJ$5,$AA$6:$AA62,"?*")</f>
        <v/>
      </c>
      <c r="AJ62">
        <f>IFERROR(INDEX($AA$6:$AA$105,MATCH(ROW()-5,$AI$6:$AI$105,0)),"")</f>
        <v/>
      </c>
      <c r="AK62">
        <f>COUNTIFS($Z$6:$Z62,$AL$5,$AA$6:$AA62,"?*")</f>
        <v/>
      </c>
      <c r="AL62">
        <f>IFERROR(INDEX($AA$6:$AA$105,MATCH(ROW()-5,$AK$6:$AK$105,0)),"")</f>
        <v/>
      </c>
      <c r="AM62">
        <f>COUNTIFS($Z$6:$Z62,$AN$5,$AA$6:$AA62,"?*")</f>
        <v/>
      </c>
      <c r="AN62">
        <f>IFERROR(INDEX($AA$6:$AA$105,MATCH(ROW()-5,$AM$6:$AM$105,0)),"")</f>
        <v/>
      </c>
      <c r="AO62">
        <f>COUNTIFS($Z$6:$Z62,$AP$5,$AA$6:$AA62,"?*")</f>
        <v/>
      </c>
      <c r="AP62">
        <f>IFERROR(INDEX($AA$6:$AA$105,MATCH(ROW()-5,$AO$6:$AO$105,0)),"")</f>
        <v/>
      </c>
      <c r="AQ62">
        <f>COUNTIFS($Z$6:$Z62,$AR$5,$AA$6:$AA62,"?*")</f>
        <v/>
      </c>
      <c r="AR62">
        <f>IFERROR(INDEX($AA$6:$AA$105,MATCH(ROW()-5,$AQ$6:$AQ$105,0)),"")</f>
        <v/>
      </c>
      <c r="AS62">
        <f>COUNTIFS($Z$6:$Z62,$AT$5,$AA$6:$AA62,"?*")</f>
        <v/>
      </c>
      <c r="AT62">
        <f>IFERROR(INDEX($AA$6:$AA$105,MATCH(ROW()-5,$AS$6:$AS$105,0)),"")</f>
        <v/>
      </c>
      <c r="AU62">
        <f>COUNTIFS($Z$6:$Z62,$AV$5,$AA$6:$AA62,"?*")</f>
        <v/>
      </c>
      <c r="AV62">
        <f>IFERROR(INDEX($AA$6:$AA$105,MATCH(ROW()-5,$AU$6:$AU$105,0)),"")</f>
        <v/>
      </c>
    </row>
    <row r="63">
      <c r="F63">
        <f>IF([1]Accounts!$D$64="","",[1]Accounts!$A$64)</f>
        <v/>
      </c>
      <c r="G63">
        <f>IF([1]Accounts!$D$64="","",[1]Accounts!$B$64)</f>
        <v/>
      </c>
      <c r="H63">
        <f>IF([1]Accounts!$D$64="","",[1]Accounts!$C$64)</f>
        <v/>
      </c>
      <c r="I63">
        <f>IF([1]Accounts!$D$64="","",[1]Accounts!$D$64)</f>
        <v/>
      </c>
      <c r="Y63">
        <f>IF([1]SubGroups!$C$64="","",[1]SubGroups!$A$64)</f>
        <v/>
      </c>
      <c r="Z63">
        <f>IF([1]SubGroups!$C$64="","",[1]SubGroups!$B$64)</f>
        <v/>
      </c>
      <c r="AA63">
        <f>IF([1]SubGroups!$C$64="","",[1]SubGroups!$C$64)</f>
        <v/>
      </c>
      <c r="AC63">
        <f>COUNTIFS($Z$6:$Z63,$AD$5,$AA$6:$AA63,"?*")</f>
        <v/>
      </c>
      <c r="AD63">
        <f>IFERROR(INDEX($AA$6:$AA$105,MATCH(ROW()-5,$AC$6:$AC$105,0)),"")</f>
        <v/>
      </c>
      <c r="AE63">
        <f>COUNTIFS($Z$6:$Z63,$AF$5,$AA$6:$AA63,"?*")</f>
        <v/>
      </c>
      <c r="AF63">
        <f>IFERROR(INDEX($AA$6:$AA$105,MATCH(ROW()-5,$AE$6:$AE$105,0)),"")</f>
        <v/>
      </c>
      <c r="AG63">
        <f>COUNTIFS($Z$6:$Z63,$AH$5,$AA$6:$AA63,"?*")</f>
        <v/>
      </c>
      <c r="AH63">
        <f>IFERROR(INDEX($AA$6:$AA$105,MATCH(ROW()-5,$AG$6:$AG$105,0)),"")</f>
        <v/>
      </c>
      <c r="AI63">
        <f>COUNTIFS($Z$6:$Z63,$AJ$5,$AA$6:$AA63,"?*")</f>
        <v/>
      </c>
      <c r="AJ63">
        <f>IFERROR(INDEX($AA$6:$AA$105,MATCH(ROW()-5,$AI$6:$AI$105,0)),"")</f>
        <v/>
      </c>
      <c r="AK63">
        <f>COUNTIFS($Z$6:$Z63,$AL$5,$AA$6:$AA63,"?*")</f>
        <v/>
      </c>
      <c r="AL63">
        <f>IFERROR(INDEX($AA$6:$AA$105,MATCH(ROW()-5,$AK$6:$AK$105,0)),"")</f>
        <v/>
      </c>
      <c r="AM63">
        <f>COUNTIFS($Z$6:$Z63,$AN$5,$AA$6:$AA63,"?*")</f>
        <v/>
      </c>
      <c r="AN63">
        <f>IFERROR(INDEX($AA$6:$AA$105,MATCH(ROW()-5,$AM$6:$AM$105,0)),"")</f>
        <v/>
      </c>
      <c r="AO63">
        <f>COUNTIFS($Z$6:$Z63,$AP$5,$AA$6:$AA63,"?*")</f>
        <v/>
      </c>
      <c r="AP63">
        <f>IFERROR(INDEX($AA$6:$AA$105,MATCH(ROW()-5,$AO$6:$AO$105,0)),"")</f>
        <v/>
      </c>
      <c r="AQ63">
        <f>COUNTIFS($Z$6:$Z63,$AR$5,$AA$6:$AA63,"?*")</f>
        <v/>
      </c>
      <c r="AR63">
        <f>IFERROR(INDEX($AA$6:$AA$105,MATCH(ROW()-5,$AQ$6:$AQ$105,0)),"")</f>
        <v/>
      </c>
      <c r="AS63">
        <f>COUNTIFS($Z$6:$Z63,$AT$5,$AA$6:$AA63,"?*")</f>
        <v/>
      </c>
      <c r="AT63">
        <f>IFERROR(INDEX($AA$6:$AA$105,MATCH(ROW()-5,$AS$6:$AS$105,0)),"")</f>
        <v/>
      </c>
      <c r="AU63">
        <f>COUNTIFS($Z$6:$Z63,$AV$5,$AA$6:$AA63,"?*")</f>
        <v/>
      </c>
      <c r="AV63">
        <f>IFERROR(INDEX($AA$6:$AA$105,MATCH(ROW()-5,$AU$6:$AU$105,0)),"")</f>
        <v/>
      </c>
    </row>
    <row r="64">
      <c r="F64">
        <f>IF([1]Accounts!$D$65="","",[1]Accounts!$A$65)</f>
        <v/>
      </c>
      <c r="G64">
        <f>IF([1]Accounts!$D$65="","",[1]Accounts!$B$65)</f>
        <v/>
      </c>
      <c r="H64">
        <f>IF([1]Accounts!$D$65="","",[1]Accounts!$C$65)</f>
        <v/>
      </c>
      <c r="I64">
        <f>IF([1]Accounts!$D$65="","",[1]Accounts!$D$65)</f>
        <v/>
      </c>
      <c r="Y64">
        <f>IF([1]SubGroups!$C$65="","",[1]SubGroups!$A$65)</f>
        <v/>
      </c>
      <c r="Z64">
        <f>IF([1]SubGroups!$C$65="","",[1]SubGroups!$B$65)</f>
        <v/>
      </c>
      <c r="AA64">
        <f>IF([1]SubGroups!$C$65="","",[1]SubGroups!$C$65)</f>
        <v/>
      </c>
      <c r="AC64">
        <f>COUNTIFS($Z$6:$Z64,$AD$5,$AA$6:$AA64,"?*")</f>
        <v/>
      </c>
      <c r="AD64">
        <f>IFERROR(INDEX($AA$6:$AA$105,MATCH(ROW()-5,$AC$6:$AC$105,0)),"")</f>
        <v/>
      </c>
      <c r="AE64">
        <f>COUNTIFS($Z$6:$Z64,$AF$5,$AA$6:$AA64,"?*")</f>
        <v/>
      </c>
      <c r="AF64">
        <f>IFERROR(INDEX($AA$6:$AA$105,MATCH(ROW()-5,$AE$6:$AE$105,0)),"")</f>
        <v/>
      </c>
      <c r="AG64">
        <f>COUNTIFS($Z$6:$Z64,$AH$5,$AA$6:$AA64,"?*")</f>
        <v/>
      </c>
      <c r="AH64">
        <f>IFERROR(INDEX($AA$6:$AA$105,MATCH(ROW()-5,$AG$6:$AG$105,0)),"")</f>
        <v/>
      </c>
      <c r="AI64">
        <f>COUNTIFS($Z$6:$Z64,$AJ$5,$AA$6:$AA64,"?*")</f>
        <v/>
      </c>
      <c r="AJ64">
        <f>IFERROR(INDEX($AA$6:$AA$105,MATCH(ROW()-5,$AI$6:$AI$105,0)),"")</f>
        <v/>
      </c>
      <c r="AK64">
        <f>COUNTIFS($Z$6:$Z64,$AL$5,$AA$6:$AA64,"?*")</f>
        <v/>
      </c>
      <c r="AL64">
        <f>IFERROR(INDEX($AA$6:$AA$105,MATCH(ROW()-5,$AK$6:$AK$105,0)),"")</f>
        <v/>
      </c>
      <c r="AM64">
        <f>COUNTIFS($Z$6:$Z64,$AN$5,$AA$6:$AA64,"?*")</f>
        <v/>
      </c>
      <c r="AN64">
        <f>IFERROR(INDEX($AA$6:$AA$105,MATCH(ROW()-5,$AM$6:$AM$105,0)),"")</f>
        <v/>
      </c>
      <c r="AO64">
        <f>COUNTIFS($Z$6:$Z64,$AP$5,$AA$6:$AA64,"?*")</f>
        <v/>
      </c>
      <c r="AP64">
        <f>IFERROR(INDEX($AA$6:$AA$105,MATCH(ROW()-5,$AO$6:$AO$105,0)),"")</f>
        <v/>
      </c>
      <c r="AQ64">
        <f>COUNTIFS($Z$6:$Z64,$AR$5,$AA$6:$AA64,"?*")</f>
        <v/>
      </c>
      <c r="AR64">
        <f>IFERROR(INDEX($AA$6:$AA$105,MATCH(ROW()-5,$AQ$6:$AQ$105,0)),"")</f>
        <v/>
      </c>
      <c r="AS64">
        <f>COUNTIFS($Z$6:$Z64,$AT$5,$AA$6:$AA64,"?*")</f>
        <v/>
      </c>
      <c r="AT64">
        <f>IFERROR(INDEX($AA$6:$AA$105,MATCH(ROW()-5,$AS$6:$AS$105,0)),"")</f>
        <v/>
      </c>
      <c r="AU64">
        <f>COUNTIFS($Z$6:$Z64,$AV$5,$AA$6:$AA64,"?*")</f>
        <v/>
      </c>
      <c r="AV64">
        <f>IFERROR(INDEX($AA$6:$AA$105,MATCH(ROW()-5,$AU$6:$AU$105,0)),"")</f>
        <v/>
      </c>
    </row>
    <row r="65">
      <c r="F65">
        <f>IF([1]Accounts!$D$66="","",[1]Accounts!$A$66)</f>
        <v/>
      </c>
      <c r="G65">
        <f>IF([1]Accounts!$D$66="","",[1]Accounts!$B$66)</f>
        <v/>
      </c>
      <c r="H65">
        <f>IF([1]Accounts!$D$66="","",[1]Accounts!$C$66)</f>
        <v/>
      </c>
      <c r="I65">
        <f>IF([1]Accounts!$D$66="","",[1]Accounts!$D$66)</f>
        <v/>
      </c>
      <c r="Y65">
        <f>IF([1]SubGroups!$C$66="","",[1]SubGroups!$A$66)</f>
        <v/>
      </c>
      <c r="Z65">
        <f>IF([1]SubGroups!$C$66="","",[1]SubGroups!$B$66)</f>
        <v/>
      </c>
      <c r="AA65">
        <f>IF([1]SubGroups!$C$66="","",[1]SubGroups!$C$66)</f>
        <v/>
      </c>
      <c r="AC65">
        <f>COUNTIFS($Z$6:$Z65,$AD$5,$AA$6:$AA65,"?*")</f>
        <v/>
      </c>
      <c r="AD65">
        <f>IFERROR(INDEX($AA$6:$AA$105,MATCH(ROW()-5,$AC$6:$AC$105,0)),"")</f>
        <v/>
      </c>
      <c r="AE65">
        <f>COUNTIFS($Z$6:$Z65,$AF$5,$AA$6:$AA65,"?*")</f>
        <v/>
      </c>
      <c r="AF65">
        <f>IFERROR(INDEX($AA$6:$AA$105,MATCH(ROW()-5,$AE$6:$AE$105,0)),"")</f>
        <v/>
      </c>
      <c r="AG65">
        <f>COUNTIFS($Z$6:$Z65,$AH$5,$AA$6:$AA65,"?*")</f>
        <v/>
      </c>
      <c r="AH65">
        <f>IFERROR(INDEX($AA$6:$AA$105,MATCH(ROW()-5,$AG$6:$AG$105,0)),"")</f>
        <v/>
      </c>
      <c r="AI65">
        <f>COUNTIFS($Z$6:$Z65,$AJ$5,$AA$6:$AA65,"?*")</f>
        <v/>
      </c>
      <c r="AJ65">
        <f>IFERROR(INDEX($AA$6:$AA$105,MATCH(ROW()-5,$AI$6:$AI$105,0)),"")</f>
        <v/>
      </c>
      <c r="AK65">
        <f>COUNTIFS($Z$6:$Z65,$AL$5,$AA$6:$AA65,"?*")</f>
        <v/>
      </c>
      <c r="AL65">
        <f>IFERROR(INDEX($AA$6:$AA$105,MATCH(ROW()-5,$AK$6:$AK$105,0)),"")</f>
        <v/>
      </c>
      <c r="AM65">
        <f>COUNTIFS($Z$6:$Z65,$AN$5,$AA$6:$AA65,"?*")</f>
        <v/>
      </c>
      <c r="AN65">
        <f>IFERROR(INDEX($AA$6:$AA$105,MATCH(ROW()-5,$AM$6:$AM$105,0)),"")</f>
        <v/>
      </c>
      <c r="AO65">
        <f>COUNTIFS($Z$6:$Z65,$AP$5,$AA$6:$AA65,"?*")</f>
        <v/>
      </c>
      <c r="AP65">
        <f>IFERROR(INDEX($AA$6:$AA$105,MATCH(ROW()-5,$AO$6:$AO$105,0)),"")</f>
        <v/>
      </c>
      <c r="AQ65">
        <f>COUNTIFS($Z$6:$Z65,$AR$5,$AA$6:$AA65,"?*")</f>
        <v/>
      </c>
      <c r="AR65">
        <f>IFERROR(INDEX($AA$6:$AA$105,MATCH(ROW()-5,$AQ$6:$AQ$105,0)),"")</f>
        <v/>
      </c>
      <c r="AS65">
        <f>COUNTIFS($Z$6:$Z65,$AT$5,$AA$6:$AA65,"?*")</f>
        <v/>
      </c>
      <c r="AT65">
        <f>IFERROR(INDEX($AA$6:$AA$105,MATCH(ROW()-5,$AS$6:$AS$105,0)),"")</f>
        <v/>
      </c>
      <c r="AU65">
        <f>COUNTIFS($Z$6:$Z65,$AV$5,$AA$6:$AA65,"?*")</f>
        <v/>
      </c>
      <c r="AV65">
        <f>IFERROR(INDEX($AA$6:$AA$105,MATCH(ROW()-5,$AU$6:$AU$105,0)),"")</f>
        <v/>
      </c>
    </row>
    <row r="66">
      <c r="F66">
        <f>IF([1]Accounts!$D$67="","",[1]Accounts!$A$67)</f>
        <v/>
      </c>
      <c r="G66">
        <f>IF([1]Accounts!$D$67="","",[1]Accounts!$B$67)</f>
        <v/>
      </c>
      <c r="H66">
        <f>IF([1]Accounts!$D$67="","",[1]Accounts!$C$67)</f>
        <v/>
      </c>
      <c r="I66">
        <f>IF([1]Accounts!$D$67="","",[1]Accounts!$D$67)</f>
        <v/>
      </c>
      <c r="Y66">
        <f>IF([1]SubGroups!$C$67="","",[1]SubGroups!$A$67)</f>
        <v/>
      </c>
      <c r="Z66">
        <f>IF([1]SubGroups!$C$67="","",[1]SubGroups!$B$67)</f>
        <v/>
      </c>
      <c r="AA66">
        <f>IF([1]SubGroups!$C$67="","",[1]SubGroups!$C$67)</f>
        <v/>
      </c>
      <c r="AC66">
        <f>COUNTIFS($Z$6:$Z66,$AD$5,$AA$6:$AA66,"?*")</f>
        <v/>
      </c>
      <c r="AD66">
        <f>IFERROR(INDEX($AA$6:$AA$105,MATCH(ROW()-5,$AC$6:$AC$105,0)),"")</f>
        <v/>
      </c>
      <c r="AE66">
        <f>COUNTIFS($Z$6:$Z66,$AF$5,$AA$6:$AA66,"?*")</f>
        <v/>
      </c>
      <c r="AF66">
        <f>IFERROR(INDEX($AA$6:$AA$105,MATCH(ROW()-5,$AE$6:$AE$105,0)),"")</f>
        <v/>
      </c>
      <c r="AG66">
        <f>COUNTIFS($Z$6:$Z66,$AH$5,$AA$6:$AA66,"?*")</f>
        <v/>
      </c>
      <c r="AH66">
        <f>IFERROR(INDEX($AA$6:$AA$105,MATCH(ROW()-5,$AG$6:$AG$105,0)),"")</f>
        <v/>
      </c>
      <c r="AI66">
        <f>COUNTIFS($Z$6:$Z66,$AJ$5,$AA$6:$AA66,"?*")</f>
        <v/>
      </c>
      <c r="AJ66">
        <f>IFERROR(INDEX($AA$6:$AA$105,MATCH(ROW()-5,$AI$6:$AI$105,0)),"")</f>
        <v/>
      </c>
      <c r="AK66">
        <f>COUNTIFS($Z$6:$Z66,$AL$5,$AA$6:$AA66,"?*")</f>
        <v/>
      </c>
      <c r="AL66">
        <f>IFERROR(INDEX($AA$6:$AA$105,MATCH(ROW()-5,$AK$6:$AK$105,0)),"")</f>
        <v/>
      </c>
      <c r="AM66">
        <f>COUNTIFS($Z$6:$Z66,$AN$5,$AA$6:$AA66,"?*")</f>
        <v/>
      </c>
      <c r="AN66">
        <f>IFERROR(INDEX($AA$6:$AA$105,MATCH(ROW()-5,$AM$6:$AM$105,0)),"")</f>
        <v/>
      </c>
      <c r="AO66">
        <f>COUNTIFS($Z$6:$Z66,$AP$5,$AA$6:$AA66,"?*")</f>
        <v/>
      </c>
      <c r="AP66">
        <f>IFERROR(INDEX($AA$6:$AA$105,MATCH(ROW()-5,$AO$6:$AO$105,0)),"")</f>
        <v/>
      </c>
      <c r="AQ66">
        <f>COUNTIFS($Z$6:$Z66,$AR$5,$AA$6:$AA66,"?*")</f>
        <v/>
      </c>
      <c r="AR66">
        <f>IFERROR(INDEX($AA$6:$AA$105,MATCH(ROW()-5,$AQ$6:$AQ$105,0)),"")</f>
        <v/>
      </c>
      <c r="AS66">
        <f>COUNTIFS($Z$6:$Z66,$AT$5,$AA$6:$AA66,"?*")</f>
        <v/>
      </c>
      <c r="AT66">
        <f>IFERROR(INDEX($AA$6:$AA$105,MATCH(ROW()-5,$AS$6:$AS$105,0)),"")</f>
        <v/>
      </c>
      <c r="AU66">
        <f>COUNTIFS($Z$6:$Z66,$AV$5,$AA$6:$AA66,"?*")</f>
        <v/>
      </c>
      <c r="AV66">
        <f>IFERROR(INDEX($AA$6:$AA$105,MATCH(ROW()-5,$AU$6:$AU$105,0)),"")</f>
        <v/>
      </c>
    </row>
    <row r="67">
      <c r="F67">
        <f>IF([1]Accounts!$D$68="","",[1]Accounts!$A$68)</f>
        <v/>
      </c>
      <c r="G67">
        <f>IF([1]Accounts!$D$68="","",[1]Accounts!$B$68)</f>
        <v/>
      </c>
      <c r="H67">
        <f>IF([1]Accounts!$D$68="","",[1]Accounts!$C$68)</f>
        <v/>
      </c>
      <c r="I67">
        <f>IF([1]Accounts!$D$68="","",[1]Accounts!$D$68)</f>
        <v/>
      </c>
      <c r="Y67">
        <f>IF([1]SubGroups!$C$68="","",[1]SubGroups!$A$68)</f>
        <v/>
      </c>
      <c r="Z67">
        <f>IF([1]SubGroups!$C$68="","",[1]SubGroups!$B$68)</f>
        <v/>
      </c>
      <c r="AA67">
        <f>IF([1]SubGroups!$C$68="","",[1]SubGroups!$C$68)</f>
        <v/>
      </c>
      <c r="AC67">
        <f>COUNTIFS($Z$6:$Z67,$AD$5,$AA$6:$AA67,"?*")</f>
        <v/>
      </c>
      <c r="AD67">
        <f>IFERROR(INDEX($AA$6:$AA$105,MATCH(ROW()-5,$AC$6:$AC$105,0)),"")</f>
        <v/>
      </c>
      <c r="AE67">
        <f>COUNTIFS($Z$6:$Z67,$AF$5,$AA$6:$AA67,"?*")</f>
        <v/>
      </c>
      <c r="AF67">
        <f>IFERROR(INDEX($AA$6:$AA$105,MATCH(ROW()-5,$AE$6:$AE$105,0)),"")</f>
        <v/>
      </c>
      <c r="AG67">
        <f>COUNTIFS($Z$6:$Z67,$AH$5,$AA$6:$AA67,"?*")</f>
        <v/>
      </c>
      <c r="AH67">
        <f>IFERROR(INDEX($AA$6:$AA$105,MATCH(ROW()-5,$AG$6:$AG$105,0)),"")</f>
        <v/>
      </c>
      <c r="AI67">
        <f>COUNTIFS($Z$6:$Z67,$AJ$5,$AA$6:$AA67,"?*")</f>
        <v/>
      </c>
      <c r="AJ67">
        <f>IFERROR(INDEX($AA$6:$AA$105,MATCH(ROW()-5,$AI$6:$AI$105,0)),"")</f>
        <v/>
      </c>
      <c r="AK67">
        <f>COUNTIFS($Z$6:$Z67,$AL$5,$AA$6:$AA67,"?*")</f>
        <v/>
      </c>
      <c r="AL67">
        <f>IFERROR(INDEX($AA$6:$AA$105,MATCH(ROW()-5,$AK$6:$AK$105,0)),"")</f>
        <v/>
      </c>
      <c r="AM67">
        <f>COUNTIFS($Z$6:$Z67,$AN$5,$AA$6:$AA67,"?*")</f>
        <v/>
      </c>
      <c r="AN67">
        <f>IFERROR(INDEX($AA$6:$AA$105,MATCH(ROW()-5,$AM$6:$AM$105,0)),"")</f>
        <v/>
      </c>
      <c r="AO67">
        <f>COUNTIFS($Z$6:$Z67,$AP$5,$AA$6:$AA67,"?*")</f>
        <v/>
      </c>
      <c r="AP67">
        <f>IFERROR(INDEX($AA$6:$AA$105,MATCH(ROW()-5,$AO$6:$AO$105,0)),"")</f>
        <v/>
      </c>
      <c r="AQ67">
        <f>COUNTIFS($Z$6:$Z67,$AR$5,$AA$6:$AA67,"?*")</f>
        <v/>
      </c>
      <c r="AR67">
        <f>IFERROR(INDEX($AA$6:$AA$105,MATCH(ROW()-5,$AQ$6:$AQ$105,0)),"")</f>
        <v/>
      </c>
      <c r="AS67">
        <f>COUNTIFS($Z$6:$Z67,$AT$5,$AA$6:$AA67,"?*")</f>
        <v/>
      </c>
      <c r="AT67">
        <f>IFERROR(INDEX($AA$6:$AA$105,MATCH(ROW()-5,$AS$6:$AS$105,0)),"")</f>
        <v/>
      </c>
      <c r="AU67">
        <f>COUNTIFS($Z$6:$Z67,$AV$5,$AA$6:$AA67,"?*")</f>
        <v/>
      </c>
      <c r="AV67">
        <f>IFERROR(INDEX($AA$6:$AA$105,MATCH(ROW()-5,$AU$6:$AU$105,0)),"")</f>
        <v/>
      </c>
    </row>
    <row r="68">
      <c r="F68">
        <f>IF([1]Accounts!$D$69="","",[1]Accounts!$A$69)</f>
        <v/>
      </c>
      <c r="G68">
        <f>IF([1]Accounts!$D$69="","",[1]Accounts!$B$69)</f>
        <v/>
      </c>
      <c r="H68">
        <f>IF([1]Accounts!$D$69="","",[1]Accounts!$C$69)</f>
        <v/>
      </c>
      <c r="I68">
        <f>IF([1]Accounts!$D$69="","",[1]Accounts!$D$69)</f>
        <v/>
      </c>
      <c r="Y68">
        <f>IF([1]SubGroups!$C$69="","",[1]SubGroups!$A$69)</f>
        <v/>
      </c>
      <c r="Z68">
        <f>IF([1]SubGroups!$C$69="","",[1]SubGroups!$B$69)</f>
        <v/>
      </c>
      <c r="AA68">
        <f>IF([1]SubGroups!$C$69="","",[1]SubGroups!$C$69)</f>
        <v/>
      </c>
      <c r="AC68">
        <f>COUNTIFS($Z$6:$Z68,$AD$5,$AA$6:$AA68,"?*")</f>
        <v/>
      </c>
      <c r="AD68">
        <f>IFERROR(INDEX($AA$6:$AA$105,MATCH(ROW()-5,$AC$6:$AC$105,0)),"")</f>
        <v/>
      </c>
      <c r="AE68">
        <f>COUNTIFS($Z$6:$Z68,$AF$5,$AA$6:$AA68,"?*")</f>
        <v/>
      </c>
      <c r="AF68">
        <f>IFERROR(INDEX($AA$6:$AA$105,MATCH(ROW()-5,$AE$6:$AE$105,0)),"")</f>
        <v/>
      </c>
      <c r="AG68">
        <f>COUNTIFS($Z$6:$Z68,$AH$5,$AA$6:$AA68,"?*")</f>
        <v/>
      </c>
      <c r="AH68">
        <f>IFERROR(INDEX($AA$6:$AA$105,MATCH(ROW()-5,$AG$6:$AG$105,0)),"")</f>
        <v/>
      </c>
      <c r="AI68">
        <f>COUNTIFS($Z$6:$Z68,$AJ$5,$AA$6:$AA68,"?*")</f>
        <v/>
      </c>
      <c r="AJ68">
        <f>IFERROR(INDEX($AA$6:$AA$105,MATCH(ROW()-5,$AI$6:$AI$105,0)),"")</f>
        <v/>
      </c>
      <c r="AK68">
        <f>COUNTIFS($Z$6:$Z68,$AL$5,$AA$6:$AA68,"?*")</f>
        <v/>
      </c>
      <c r="AL68">
        <f>IFERROR(INDEX($AA$6:$AA$105,MATCH(ROW()-5,$AK$6:$AK$105,0)),"")</f>
        <v/>
      </c>
      <c r="AM68">
        <f>COUNTIFS($Z$6:$Z68,$AN$5,$AA$6:$AA68,"?*")</f>
        <v/>
      </c>
      <c r="AN68">
        <f>IFERROR(INDEX($AA$6:$AA$105,MATCH(ROW()-5,$AM$6:$AM$105,0)),"")</f>
        <v/>
      </c>
      <c r="AO68">
        <f>COUNTIFS($Z$6:$Z68,$AP$5,$AA$6:$AA68,"?*")</f>
        <v/>
      </c>
      <c r="AP68">
        <f>IFERROR(INDEX($AA$6:$AA$105,MATCH(ROW()-5,$AO$6:$AO$105,0)),"")</f>
        <v/>
      </c>
      <c r="AQ68">
        <f>COUNTIFS($Z$6:$Z68,$AR$5,$AA$6:$AA68,"?*")</f>
        <v/>
      </c>
      <c r="AR68">
        <f>IFERROR(INDEX($AA$6:$AA$105,MATCH(ROW()-5,$AQ$6:$AQ$105,0)),"")</f>
        <v/>
      </c>
      <c r="AS68">
        <f>COUNTIFS($Z$6:$Z68,$AT$5,$AA$6:$AA68,"?*")</f>
        <v/>
      </c>
      <c r="AT68">
        <f>IFERROR(INDEX($AA$6:$AA$105,MATCH(ROW()-5,$AS$6:$AS$105,0)),"")</f>
        <v/>
      </c>
      <c r="AU68">
        <f>COUNTIFS($Z$6:$Z68,$AV$5,$AA$6:$AA68,"?*")</f>
        <v/>
      </c>
      <c r="AV68">
        <f>IFERROR(INDEX($AA$6:$AA$105,MATCH(ROW()-5,$AU$6:$AU$105,0)),"")</f>
        <v/>
      </c>
    </row>
    <row r="69">
      <c r="F69">
        <f>IF([1]Accounts!$D$70="","",[1]Accounts!$A$70)</f>
        <v/>
      </c>
      <c r="G69">
        <f>IF([1]Accounts!$D$70="","",[1]Accounts!$B$70)</f>
        <v/>
      </c>
      <c r="H69">
        <f>IF([1]Accounts!$D$70="","",[1]Accounts!$C$70)</f>
        <v/>
      </c>
      <c r="I69">
        <f>IF([1]Accounts!$D$70="","",[1]Accounts!$D$70)</f>
        <v/>
      </c>
      <c r="Y69">
        <f>IF([1]SubGroups!$C$70="","",[1]SubGroups!$A$70)</f>
        <v/>
      </c>
      <c r="Z69">
        <f>IF([1]SubGroups!$C$70="","",[1]SubGroups!$B$70)</f>
        <v/>
      </c>
      <c r="AA69">
        <f>IF([1]SubGroups!$C$70="","",[1]SubGroups!$C$70)</f>
        <v/>
      </c>
      <c r="AC69">
        <f>COUNTIFS($Z$6:$Z69,$AD$5,$AA$6:$AA69,"?*")</f>
        <v/>
      </c>
      <c r="AD69">
        <f>IFERROR(INDEX($AA$6:$AA$105,MATCH(ROW()-5,$AC$6:$AC$105,0)),"")</f>
        <v/>
      </c>
      <c r="AE69">
        <f>COUNTIFS($Z$6:$Z69,$AF$5,$AA$6:$AA69,"?*")</f>
        <v/>
      </c>
      <c r="AF69">
        <f>IFERROR(INDEX($AA$6:$AA$105,MATCH(ROW()-5,$AE$6:$AE$105,0)),"")</f>
        <v/>
      </c>
      <c r="AG69">
        <f>COUNTIFS($Z$6:$Z69,$AH$5,$AA$6:$AA69,"?*")</f>
        <v/>
      </c>
      <c r="AH69">
        <f>IFERROR(INDEX($AA$6:$AA$105,MATCH(ROW()-5,$AG$6:$AG$105,0)),"")</f>
        <v/>
      </c>
      <c r="AI69">
        <f>COUNTIFS($Z$6:$Z69,$AJ$5,$AA$6:$AA69,"?*")</f>
        <v/>
      </c>
      <c r="AJ69">
        <f>IFERROR(INDEX($AA$6:$AA$105,MATCH(ROW()-5,$AI$6:$AI$105,0)),"")</f>
        <v/>
      </c>
      <c r="AK69">
        <f>COUNTIFS($Z$6:$Z69,$AL$5,$AA$6:$AA69,"?*")</f>
        <v/>
      </c>
      <c r="AL69">
        <f>IFERROR(INDEX($AA$6:$AA$105,MATCH(ROW()-5,$AK$6:$AK$105,0)),"")</f>
        <v/>
      </c>
      <c r="AM69">
        <f>COUNTIFS($Z$6:$Z69,$AN$5,$AA$6:$AA69,"?*")</f>
        <v/>
      </c>
      <c r="AN69">
        <f>IFERROR(INDEX($AA$6:$AA$105,MATCH(ROW()-5,$AM$6:$AM$105,0)),"")</f>
        <v/>
      </c>
      <c r="AO69">
        <f>COUNTIFS($Z$6:$Z69,$AP$5,$AA$6:$AA69,"?*")</f>
        <v/>
      </c>
      <c r="AP69">
        <f>IFERROR(INDEX($AA$6:$AA$105,MATCH(ROW()-5,$AO$6:$AO$105,0)),"")</f>
        <v/>
      </c>
      <c r="AQ69">
        <f>COUNTIFS($Z$6:$Z69,$AR$5,$AA$6:$AA69,"?*")</f>
        <v/>
      </c>
      <c r="AR69">
        <f>IFERROR(INDEX($AA$6:$AA$105,MATCH(ROW()-5,$AQ$6:$AQ$105,0)),"")</f>
        <v/>
      </c>
      <c r="AS69">
        <f>COUNTIFS($Z$6:$Z69,$AT$5,$AA$6:$AA69,"?*")</f>
        <v/>
      </c>
      <c r="AT69">
        <f>IFERROR(INDEX($AA$6:$AA$105,MATCH(ROW()-5,$AS$6:$AS$105,0)),"")</f>
        <v/>
      </c>
      <c r="AU69">
        <f>COUNTIFS($Z$6:$Z69,$AV$5,$AA$6:$AA69,"?*")</f>
        <v/>
      </c>
      <c r="AV69">
        <f>IFERROR(INDEX($AA$6:$AA$105,MATCH(ROW()-5,$AU$6:$AU$105,0)),"")</f>
        <v/>
      </c>
    </row>
    <row r="70">
      <c r="F70">
        <f>IF([1]Accounts!$D$71="","",[1]Accounts!$A$71)</f>
        <v/>
      </c>
      <c r="G70">
        <f>IF([1]Accounts!$D$71="","",[1]Accounts!$B$71)</f>
        <v/>
      </c>
      <c r="H70">
        <f>IF([1]Accounts!$D$71="","",[1]Accounts!$C$71)</f>
        <v/>
      </c>
      <c r="I70">
        <f>IF([1]Accounts!$D$71="","",[1]Accounts!$D$71)</f>
        <v/>
      </c>
      <c r="Y70">
        <f>IF([1]SubGroups!$C$71="","",[1]SubGroups!$A$71)</f>
        <v/>
      </c>
      <c r="Z70">
        <f>IF([1]SubGroups!$C$71="","",[1]SubGroups!$B$71)</f>
        <v/>
      </c>
      <c r="AA70">
        <f>IF([1]SubGroups!$C$71="","",[1]SubGroups!$C$71)</f>
        <v/>
      </c>
      <c r="AC70">
        <f>COUNTIFS($Z$6:$Z70,$AD$5,$AA$6:$AA70,"?*")</f>
        <v/>
      </c>
      <c r="AD70">
        <f>IFERROR(INDEX($AA$6:$AA$105,MATCH(ROW()-5,$AC$6:$AC$105,0)),"")</f>
        <v/>
      </c>
      <c r="AE70">
        <f>COUNTIFS($Z$6:$Z70,$AF$5,$AA$6:$AA70,"?*")</f>
        <v/>
      </c>
      <c r="AF70">
        <f>IFERROR(INDEX($AA$6:$AA$105,MATCH(ROW()-5,$AE$6:$AE$105,0)),"")</f>
        <v/>
      </c>
      <c r="AG70">
        <f>COUNTIFS($Z$6:$Z70,$AH$5,$AA$6:$AA70,"?*")</f>
        <v/>
      </c>
      <c r="AH70">
        <f>IFERROR(INDEX($AA$6:$AA$105,MATCH(ROW()-5,$AG$6:$AG$105,0)),"")</f>
        <v/>
      </c>
      <c r="AI70">
        <f>COUNTIFS($Z$6:$Z70,$AJ$5,$AA$6:$AA70,"?*")</f>
        <v/>
      </c>
      <c r="AJ70">
        <f>IFERROR(INDEX($AA$6:$AA$105,MATCH(ROW()-5,$AI$6:$AI$105,0)),"")</f>
        <v/>
      </c>
      <c r="AK70">
        <f>COUNTIFS($Z$6:$Z70,$AL$5,$AA$6:$AA70,"?*")</f>
        <v/>
      </c>
      <c r="AL70">
        <f>IFERROR(INDEX($AA$6:$AA$105,MATCH(ROW()-5,$AK$6:$AK$105,0)),"")</f>
        <v/>
      </c>
      <c r="AM70">
        <f>COUNTIFS($Z$6:$Z70,$AN$5,$AA$6:$AA70,"?*")</f>
        <v/>
      </c>
      <c r="AN70">
        <f>IFERROR(INDEX($AA$6:$AA$105,MATCH(ROW()-5,$AM$6:$AM$105,0)),"")</f>
        <v/>
      </c>
      <c r="AO70">
        <f>COUNTIFS($Z$6:$Z70,$AP$5,$AA$6:$AA70,"?*")</f>
        <v/>
      </c>
      <c r="AP70">
        <f>IFERROR(INDEX($AA$6:$AA$105,MATCH(ROW()-5,$AO$6:$AO$105,0)),"")</f>
        <v/>
      </c>
      <c r="AQ70">
        <f>COUNTIFS($Z$6:$Z70,$AR$5,$AA$6:$AA70,"?*")</f>
        <v/>
      </c>
      <c r="AR70">
        <f>IFERROR(INDEX($AA$6:$AA$105,MATCH(ROW()-5,$AQ$6:$AQ$105,0)),"")</f>
        <v/>
      </c>
      <c r="AS70">
        <f>COUNTIFS($Z$6:$Z70,$AT$5,$AA$6:$AA70,"?*")</f>
        <v/>
      </c>
      <c r="AT70">
        <f>IFERROR(INDEX($AA$6:$AA$105,MATCH(ROW()-5,$AS$6:$AS$105,0)),"")</f>
        <v/>
      </c>
      <c r="AU70">
        <f>COUNTIFS($Z$6:$Z70,$AV$5,$AA$6:$AA70,"?*")</f>
        <v/>
      </c>
      <c r="AV70">
        <f>IFERROR(INDEX($AA$6:$AA$105,MATCH(ROW()-5,$AU$6:$AU$105,0)),"")</f>
        <v/>
      </c>
    </row>
    <row r="71">
      <c r="F71">
        <f>IF([1]Accounts!$D$72="","",[1]Accounts!$A$72)</f>
        <v/>
      </c>
      <c r="G71">
        <f>IF([1]Accounts!$D$72="","",[1]Accounts!$B$72)</f>
        <v/>
      </c>
      <c r="H71">
        <f>IF([1]Accounts!$D$72="","",[1]Accounts!$C$72)</f>
        <v/>
      </c>
      <c r="I71">
        <f>IF([1]Accounts!$D$72="","",[1]Accounts!$D$72)</f>
        <v/>
      </c>
      <c r="Y71">
        <f>IF([1]SubGroups!$C$72="","",[1]SubGroups!$A$72)</f>
        <v/>
      </c>
      <c r="Z71">
        <f>IF([1]SubGroups!$C$72="","",[1]SubGroups!$B$72)</f>
        <v/>
      </c>
      <c r="AA71">
        <f>IF([1]SubGroups!$C$72="","",[1]SubGroups!$C$72)</f>
        <v/>
      </c>
      <c r="AC71">
        <f>COUNTIFS($Z$6:$Z71,$AD$5,$AA$6:$AA71,"?*")</f>
        <v/>
      </c>
      <c r="AD71">
        <f>IFERROR(INDEX($AA$6:$AA$105,MATCH(ROW()-5,$AC$6:$AC$105,0)),"")</f>
        <v/>
      </c>
      <c r="AE71">
        <f>COUNTIFS($Z$6:$Z71,$AF$5,$AA$6:$AA71,"?*")</f>
        <v/>
      </c>
      <c r="AF71">
        <f>IFERROR(INDEX($AA$6:$AA$105,MATCH(ROW()-5,$AE$6:$AE$105,0)),"")</f>
        <v/>
      </c>
      <c r="AG71">
        <f>COUNTIFS($Z$6:$Z71,$AH$5,$AA$6:$AA71,"?*")</f>
        <v/>
      </c>
      <c r="AH71">
        <f>IFERROR(INDEX($AA$6:$AA$105,MATCH(ROW()-5,$AG$6:$AG$105,0)),"")</f>
        <v/>
      </c>
      <c r="AI71">
        <f>COUNTIFS($Z$6:$Z71,$AJ$5,$AA$6:$AA71,"?*")</f>
        <v/>
      </c>
      <c r="AJ71">
        <f>IFERROR(INDEX($AA$6:$AA$105,MATCH(ROW()-5,$AI$6:$AI$105,0)),"")</f>
        <v/>
      </c>
      <c r="AK71">
        <f>COUNTIFS($Z$6:$Z71,$AL$5,$AA$6:$AA71,"?*")</f>
        <v/>
      </c>
      <c r="AL71">
        <f>IFERROR(INDEX($AA$6:$AA$105,MATCH(ROW()-5,$AK$6:$AK$105,0)),"")</f>
        <v/>
      </c>
      <c r="AM71">
        <f>COUNTIFS($Z$6:$Z71,$AN$5,$AA$6:$AA71,"?*")</f>
        <v/>
      </c>
      <c r="AN71">
        <f>IFERROR(INDEX($AA$6:$AA$105,MATCH(ROW()-5,$AM$6:$AM$105,0)),"")</f>
        <v/>
      </c>
      <c r="AO71">
        <f>COUNTIFS($Z$6:$Z71,$AP$5,$AA$6:$AA71,"?*")</f>
        <v/>
      </c>
      <c r="AP71">
        <f>IFERROR(INDEX($AA$6:$AA$105,MATCH(ROW()-5,$AO$6:$AO$105,0)),"")</f>
        <v/>
      </c>
      <c r="AQ71">
        <f>COUNTIFS($Z$6:$Z71,$AR$5,$AA$6:$AA71,"?*")</f>
        <v/>
      </c>
      <c r="AR71">
        <f>IFERROR(INDEX($AA$6:$AA$105,MATCH(ROW()-5,$AQ$6:$AQ$105,0)),"")</f>
        <v/>
      </c>
      <c r="AS71">
        <f>COUNTIFS($Z$6:$Z71,$AT$5,$AA$6:$AA71,"?*")</f>
        <v/>
      </c>
      <c r="AT71">
        <f>IFERROR(INDEX($AA$6:$AA$105,MATCH(ROW()-5,$AS$6:$AS$105,0)),"")</f>
        <v/>
      </c>
      <c r="AU71">
        <f>COUNTIFS($Z$6:$Z71,$AV$5,$AA$6:$AA71,"?*")</f>
        <v/>
      </c>
      <c r="AV71">
        <f>IFERROR(INDEX($AA$6:$AA$105,MATCH(ROW()-5,$AU$6:$AU$105,0)),"")</f>
        <v/>
      </c>
    </row>
    <row r="72">
      <c r="F72">
        <f>IF([1]Accounts!$D$73="","",[1]Accounts!$A$73)</f>
        <v/>
      </c>
      <c r="G72">
        <f>IF([1]Accounts!$D$73="","",[1]Accounts!$B$73)</f>
        <v/>
      </c>
      <c r="H72">
        <f>IF([1]Accounts!$D$73="","",[1]Accounts!$C$73)</f>
        <v/>
      </c>
      <c r="I72">
        <f>IF([1]Accounts!$D$73="","",[1]Accounts!$D$73)</f>
        <v/>
      </c>
      <c r="Y72">
        <f>IF([1]SubGroups!$C$73="","",[1]SubGroups!$A$73)</f>
        <v/>
      </c>
      <c r="Z72">
        <f>IF([1]SubGroups!$C$73="","",[1]SubGroups!$B$73)</f>
        <v/>
      </c>
      <c r="AA72">
        <f>IF([1]SubGroups!$C$73="","",[1]SubGroups!$C$73)</f>
        <v/>
      </c>
      <c r="AC72">
        <f>COUNTIFS($Z$6:$Z72,$AD$5,$AA$6:$AA72,"?*")</f>
        <v/>
      </c>
      <c r="AD72">
        <f>IFERROR(INDEX($AA$6:$AA$105,MATCH(ROW()-5,$AC$6:$AC$105,0)),"")</f>
        <v/>
      </c>
      <c r="AE72">
        <f>COUNTIFS($Z$6:$Z72,$AF$5,$AA$6:$AA72,"?*")</f>
        <v/>
      </c>
      <c r="AF72">
        <f>IFERROR(INDEX($AA$6:$AA$105,MATCH(ROW()-5,$AE$6:$AE$105,0)),"")</f>
        <v/>
      </c>
      <c r="AG72">
        <f>COUNTIFS($Z$6:$Z72,$AH$5,$AA$6:$AA72,"?*")</f>
        <v/>
      </c>
      <c r="AH72">
        <f>IFERROR(INDEX($AA$6:$AA$105,MATCH(ROW()-5,$AG$6:$AG$105,0)),"")</f>
        <v/>
      </c>
      <c r="AI72">
        <f>COUNTIFS($Z$6:$Z72,$AJ$5,$AA$6:$AA72,"?*")</f>
        <v/>
      </c>
      <c r="AJ72">
        <f>IFERROR(INDEX($AA$6:$AA$105,MATCH(ROW()-5,$AI$6:$AI$105,0)),"")</f>
        <v/>
      </c>
      <c r="AK72">
        <f>COUNTIFS($Z$6:$Z72,$AL$5,$AA$6:$AA72,"?*")</f>
        <v/>
      </c>
      <c r="AL72">
        <f>IFERROR(INDEX($AA$6:$AA$105,MATCH(ROW()-5,$AK$6:$AK$105,0)),"")</f>
        <v/>
      </c>
      <c r="AM72">
        <f>COUNTIFS($Z$6:$Z72,$AN$5,$AA$6:$AA72,"?*")</f>
        <v/>
      </c>
      <c r="AN72">
        <f>IFERROR(INDEX($AA$6:$AA$105,MATCH(ROW()-5,$AM$6:$AM$105,0)),"")</f>
        <v/>
      </c>
      <c r="AO72">
        <f>COUNTIFS($Z$6:$Z72,$AP$5,$AA$6:$AA72,"?*")</f>
        <v/>
      </c>
      <c r="AP72">
        <f>IFERROR(INDEX($AA$6:$AA$105,MATCH(ROW()-5,$AO$6:$AO$105,0)),"")</f>
        <v/>
      </c>
      <c r="AQ72">
        <f>COUNTIFS($Z$6:$Z72,$AR$5,$AA$6:$AA72,"?*")</f>
        <v/>
      </c>
      <c r="AR72">
        <f>IFERROR(INDEX($AA$6:$AA$105,MATCH(ROW()-5,$AQ$6:$AQ$105,0)),"")</f>
        <v/>
      </c>
      <c r="AS72">
        <f>COUNTIFS($Z$6:$Z72,$AT$5,$AA$6:$AA72,"?*")</f>
        <v/>
      </c>
      <c r="AT72">
        <f>IFERROR(INDEX($AA$6:$AA$105,MATCH(ROW()-5,$AS$6:$AS$105,0)),"")</f>
        <v/>
      </c>
      <c r="AU72">
        <f>COUNTIFS($Z$6:$Z72,$AV$5,$AA$6:$AA72,"?*")</f>
        <v/>
      </c>
      <c r="AV72">
        <f>IFERROR(INDEX($AA$6:$AA$105,MATCH(ROW()-5,$AU$6:$AU$105,0)),"")</f>
        <v/>
      </c>
    </row>
    <row r="73">
      <c r="F73">
        <f>IF([1]Accounts!$D$74="","",[1]Accounts!$A$74)</f>
        <v/>
      </c>
      <c r="G73">
        <f>IF([1]Accounts!$D$74="","",[1]Accounts!$B$74)</f>
        <v/>
      </c>
      <c r="H73">
        <f>IF([1]Accounts!$D$74="","",[1]Accounts!$C$74)</f>
        <v/>
      </c>
      <c r="I73">
        <f>IF([1]Accounts!$D$74="","",[1]Accounts!$D$74)</f>
        <v/>
      </c>
      <c r="Y73">
        <f>IF([1]SubGroups!$C$74="","",[1]SubGroups!$A$74)</f>
        <v/>
      </c>
      <c r="Z73">
        <f>IF([1]SubGroups!$C$74="","",[1]SubGroups!$B$74)</f>
        <v/>
      </c>
      <c r="AA73">
        <f>IF([1]SubGroups!$C$74="","",[1]SubGroups!$C$74)</f>
        <v/>
      </c>
      <c r="AC73">
        <f>COUNTIFS($Z$6:$Z73,$AD$5,$AA$6:$AA73,"?*")</f>
        <v/>
      </c>
      <c r="AD73">
        <f>IFERROR(INDEX($AA$6:$AA$105,MATCH(ROW()-5,$AC$6:$AC$105,0)),"")</f>
        <v/>
      </c>
      <c r="AE73">
        <f>COUNTIFS($Z$6:$Z73,$AF$5,$AA$6:$AA73,"?*")</f>
        <v/>
      </c>
      <c r="AF73">
        <f>IFERROR(INDEX($AA$6:$AA$105,MATCH(ROW()-5,$AE$6:$AE$105,0)),"")</f>
        <v/>
      </c>
      <c r="AG73">
        <f>COUNTIFS($Z$6:$Z73,$AH$5,$AA$6:$AA73,"?*")</f>
        <v/>
      </c>
      <c r="AH73">
        <f>IFERROR(INDEX($AA$6:$AA$105,MATCH(ROW()-5,$AG$6:$AG$105,0)),"")</f>
        <v/>
      </c>
      <c r="AI73">
        <f>COUNTIFS($Z$6:$Z73,$AJ$5,$AA$6:$AA73,"?*")</f>
        <v/>
      </c>
      <c r="AJ73">
        <f>IFERROR(INDEX($AA$6:$AA$105,MATCH(ROW()-5,$AI$6:$AI$105,0)),"")</f>
        <v/>
      </c>
      <c r="AK73">
        <f>COUNTIFS($Z$6:$Z73,$AL$5,$AA$6:$AA73,"?*")</f>
        <v/>
      </c>
      <c r="AL73">
        <f>IFERROR(INDEX($AA$6:$AA$105,MATCH(ROW()-5,$AK$6:$AK$105,0)),"")</f>
        <v/>
      </c>
      <c r="AM73">
        <f>COUNTIFS($Z$6:$Z73,$AN$5,$AA$6:$AA73,"?*")</f>
        <v/>
      </c>
      <c r="AN73">
        <f>IFERROR(INDEX($AA$6:$AA$105,MATCH(ROW()-5,$AM$6:$AM$105,0)),"")</f>
        <v/>
      </c>
      <c r="AO73">
        <f>COUNTIFS($Z$6:$Z73,$AP$5,$AA$6:$AA73,"?*")</f>
        <v/>
      </c>
      <c r="AP73">
        <f>IFERROR(INDEX($AA$6:$AA$105,MATCH(ROW()-5,$AO$6:$AO$105,0)),"")</f>
        <v/>
      </c>
      <c r="AQ73">
        <f>COUNTIFS($Z$6:$Z73,$AR$5,$AA$6:$AA73,"?*")</f>
        <v/>
      </c>
      <c r="AR73">
        <f>IFERROR(INDEX($AA$6:$AA$105,MATCH(ROW()-5,$AQ$6:$AQ$105,0)),"")</f>
        <v/>
      </c>
      <c r="AS73">
        <f>COUNTIFS($Z$6:$Z73,$AT$5,$AA$6:$AA73,"?*")</f>
        <v/>
      </c>
      <c r="AT73">
        <f>IFERROR(INDEX($AA$6:$AA$105,MATCH(ROW()-5,$AS$6:$AS$105,0)),"")</f>
        <v/>
      </c>
      <c r="AU73">
        <f>COUNTIFS($Z$6:$Z73,$AV$5,$AA$6:$AA73,"?*")</f>
        <v/>
      </c>
      <c r="AV73">
        <f>IFERROR(INDEX($AA$6:$AA$105,MATCH(ROW()-5,$AU$6:$AU$105,0)),"")</f>
        <v/>
      </c>
    </row>
    <row r="74">
      <c r="F74">
        <f>IF([1]Accounts!$D$75="","",[1]Accounts!$A$75)</f>
        <v/>
      </c>
      <c r="G74">
        <f>IF([1]Accounts!$D$75="","",[1]Accounts!$B$75)</f>
        <v/>
      </c>
      <c r="H74">
        <f>IF([1]Accounts!$D$75="","",[1]Accounts!$C$75)</f>
        <v/>
      </c>
      <c r="I74">
        <f>IF([1]Accounts!$D$75="","",[1]Accounts!$D$75)</f>
        <v/>
      </c>
      <c r="Y74">
        <f>IF([1]SubGroups!$C$75="","",[1]SubGroups!$A$75)</f>
        <v/>
      </c>
      <c r="Z74">
        <f>IF([1]SubGroups!$C$75="","",[1]SubGroups!$B$75)</f>
        <v/>
      </c>
      <c r="AA74">
        <f>IF([1]SubGroups!$C$75="","",[1]SubGroups!$C$75)</f>
        <v/>
      </c>
      <c r="AC74">
        <f>COUNTIFS($Z$6:$Z74,$AD$5,$AA$6:$AA74,"?*")</f>
        <v/>
      </c>
      <c r="AD74">
        <f>IFERROR(INDEX($AA$6:$AA$105,MATCH(ROW()-5,$AC$6:$AC$105,0)),"")</f>
        <v/>
      </c>
      <c r="AE74">
        <f>COUNTIFS($Z$6:$Z74,$AF$5,$AA$6:$AA74,"?*")</f>
        <v/>
      </c>
      <c r="AF74">
        <f>IFERROR(INDEX($AA$6:$AA$105,MATCH(ROW()-5,$AE$6:$AE$105,0)),"")</f>
        <v/>
      </c>
      <c r="AG74">
        <f>COUNTIFS($Z$6:$Z74,$AH$5,$AA$6:$AA74,"?*")</f>
        <v/>
      </c>
      <c r="AH74">
        <f>IFERROR(INDEX($AA$6:$AA$105,MATCH(ROW()-5,$AG$6:$AG$105,0)),"")</f>
        <v/>
      </c>
      <c r="AI74">
        <f>COUNTIFS($Z$6:$Z74,$AJ$5,$AA$6:$AA74,"?*")</f>
        <v/>
      </c>
      <c r="AJ74">
        <f>IFERROR(INDEX($AA$6:$AA$105,MATCH(ROW()-5,$AI$6:$AI$105,0)),"")</f>
        <v/>
      </c>
      <c r="AK74">
        <f>COUNTIFS($Z$6:$Z74,$AL$5,$AA$6:$AA74,"?*")</f>
        <v/>
      </c>
      <c r="AL74">
        <f>IFERROR(INDEX($AA$6:$AA$105,MATCH(ROW()-5,$AK$6:$AK$105,0)),"")</f>
        <v/>
      </c>
      <c r="AM74">
        <f>COUNTIFS($Z$6:$Z74,$AN$5,$AA$6:$AA74,"?*")</f>
        <v/>
      </c>
      <c r="AN74">
        <f>IFERROR(INDEX($AA$6:$AA$105,MATCH(ROW()-5,$AM$6:$AM$105,0)),"")</f>
        <v/>
      </c>
      <c r="AO74">
        <f>COUNTIFS($Z$6:$Z74,$AP$5,$AA$6:$AA74,"?*")</f>
        <v/>
      </c>
      <c r="AP74">
        <f>IFERROR(INDEX($AA$6:$AA$105,MATCH(ROW()-5,$AO$6:$AO$105,0)),"")</f>
        <v/>
      </c>
      <c r="AQ74">
        <f>COUNTIFS($Z$6:$Z74,$AR$5,$AA$6:$AA74,"?*")</f>
        <v/>
      </c>
      <c r="AR74">
        <f>IFERROR(INDEX($AA$6:$AA$105,MATCH(ROW()-5,$AQ$6:$AQ$105,0)),"")</f>
        <v/>
      </c>
      <c r="AS74">
        <f>COUNTIFS($Z$6:$Z74,$AT$5,$AA$6:$AA74,"?*")</f>
        <v/>
      </c>
      <c r="AT74">
        <f>IFERROR(INDEX($AA$6:$AA$105,MATCH(ROW()-5,$AS$6:$AS$105,0)),"")</f>
        <v/>
      </c>
      <c r="AU74">
        <f>COUNTIFS($Z$6:$Z74,$AV$5,$AA$6:$AA74,"?*")</f>
        <v/>
      </c>
      <c r="AV74">
        <f>IFERROR(INDEX($AA$6:$AA$105,MATCH(ROW()-5,$AU$6:$AU$105,0)),"")</f>
        <v/>
      </c>
    </row>
    <row r="75">
      <c r="F75">
        <f>IF([1]Accounts!$D$76="","",[1]Accounts!$A$76)</f>
        <v/>
      </c>
      <c r="G75">
        <f>IF([1]Accounts!$D$76="","",[1]Accounts!$B$76)</f>
        <v/>
      </c>
      <c r="H75">
        <f>IF([1]Accounts!$D$76="","",[1]Accounts!$C$76)</f>
        <v/>
      </c>
      <c r="I75">
        <f>IF([1]Accounts!$D$76="","",[1]Accounts!$D$76)</f>
        <v/>
      </c>
      <c r="Y75">
        <f>IF([1]SubGroups!$C$76="","",[1]SubGroups!$A$76)</f>
        <v/>
      </c>
      <c r="Z75">
        <f>IF([1]SubGroups!$C$76="","",[1]SubGroups!$B$76)</f>
        <v/>
      </c>
      <c r="AA75">
        <f>IF([1]SubGroups!$C$76="","",[1]SubGroups!$C$76)</f>
        <v/>
      </c>
      <c r="AC75">
        <f>COUNTIFS($Z$6:$Z75,$AD$5,$AA$6:$AA75,"?*")</f>
        <v/>
      </c>
      <c r="AD75">
        <f>IFERROR(INDEX($AA$6:$AA$105,MATCH(ROW()-5,$AC$6:$AC$105,0)),"")</f>
        <v/>
      </c>
      <c r="AE75">
        <f>COUNTIFS($Z$6:$Z75,$AF$5,$AA$6:$AA75,"?*")</f>
        <v/>
      </c>
      <c r="AF75">
        <f>IFERROR(INDEX($AA$6:$AA$105,MATCH(ROW()-5,$AE$6:$AE$105,0)),"")</f>
        <v/>
      </c>
      <c r="AG75">
        <f>COUNTIFS($Z$6:$Z75,$AH$5,$AA$6:$AA75,"?*")</f>
        <v/>
      </c>
      <c r="AH75">
        <f>IFERROR(INDEX($AA$6:$AA$105,MATCH(ROW()-5,$AG$6:$AG$105,0)),"")</f>
        <v/>
      </c>
      <c r="AI75">
        <f>COUNTIFS($Z$6:$Z75,$AJ$5,$AA$6:$AA75,"?*")</f>
        <v/>
      </c>
      <c r="AJ75">
        <f>IFERROR(INDEX($AA$6:$AA$105,MATCH(ROW()-5,$AI$6:$AI$105,0)),"")</f>
        <v/>
      </c>
      <c r="AK75">
        <f>COUNTIFS($Z$6:$Z75,$AL$5,$AA$6:$AA75,"?*")</f>
        <v/>
      </c>
      <c r="AL75">
        <f>IFERROR(INDEX($AA$6:$AA$105,MATCH(ROW()-5,$AK$6:$AK$105,0)),"")</f>
        <v/>
      </c>
      <c r="AM75">
        <f>COUNTIFS($Z$6:$Z75,$AN$5,$AA$6:$AA75,"?*")</f>
        <v/>
      </c>
      <c r="AN75">
        <f>IFERROR(INDEX($AA$6:$AA$105,MATCH(ROW()-5,$AM$6:$AM$105,0)),"")</f>
        <v/>
      </c>
      <c r="AO75">
        <f>COUNTIFS($Z$6:$Z75,$AP$5,$AA$6:$AA75,"?*")</f>
        <v/>
      </c>
      <c r="AP75">
        <f>IFERROR(INDEX($AA$6:$AA$105,MATCH(ROW()-5,$AO$6:$AO$105,0)),"")</f>
        <v/>
      </c>
      <c r="AQ75">
        <f>COUNTIFS($Z$6:$Z75,$AR$5,$AA$6:$AA75,"?*")</f>
        <v/>
      </c>
      <c r="AR75">
        <f>IFERROR(INDEX($AA$6:$AA$105,MATCH(ROW()-5,$AQ$6:$AQ$105,0)),"")</f>
        <v/>
      </c>
      <c r="AS75">
        <f>COUNTIFS($Z$6:$Z75,$AT$5,$AA$6:$AA75,"?*")</f>
        <v/>
      </c>
      <c r="AT75">
        <f>IFERROR(INDEX($AA$6:$AA$105,MATCH(ROW()-5,$AS$6:$AS$105,0)),"")</f>
        <v/>
      </c>
      <c r="AU75">
        <f>COUNTIFS($Z$6:$Z75,$AV$5,$AA$6:$AA75,"?*")</f>
        <v/>
      </c>
      <c r="AV75">
        <f>IFERROR(INDEX($AA$6:$AA$105,MATCH(ROW()-5,$AU$6:$AU$105,0)),"")</f>
        <v/>
      </c>
    </row>
    <row r="76">
      <c r="F76">
        <f>IF([1]Accounts!$D$77="","",[1]Accounts!$A$77)</f>
        <v/>
      </c>
      <c r="G76">
        <f>IF([1]Accounts!$D$77="","",[1]Accounts!$B$77)</f>
        <v/>
      </c>
      <c r="H76">
        <f>IF([1]Accounts!$D$77="","",[1]Accounts!$C$77)</f>
        <v/>
      </c>
      <c r="I76">
        <f>IF([1]Accounts!$D$77="","",[1]Accounts!$D$77)</f>
        <v/>
      </c>
      <c r="Y76">
        <f>IF([1]SubGroups!$C$77="","",[1]SubGroups!$A$77)</f>
        <v/>
      </c>
      <c r="Z76">
        <f>IF([1]SubGroups!$C$77="","",[1]SubGroups!$B$77)</f>
        <v/>
      </c>
      <c r="AA76">
        <f>IF([1]SubGroups!$C$77="","",[1]SubGroups!$C$77)</f>
        <v/>
      </c>
      <c r="AC76">
        <f>COUNTIFS($Z$6:$Z76,$AD$5,$AA$6:$AA76,"?*")</f>
        <v/>
      </c>
      <c r="AD76">
        <f>IFERROR(INDEX($AA$6:$AA$105,MATCH(ROW()-5,$AC$6:$AC$105,0)),"")</f>
        <v/>
      </c>
      <c r="AE76">
        <f>COUNTIFS($Z$6:$Z76,$AF$5,$AA$6:$AA76,"?*")</f>
        <v/>
      </c>
      <c r="AF76">
        <f>IFERROR(INDEX($AA$6:$AA$105,MATCH(ROW()-5,$AE$6:$AE$105,0)),"")</f>
        <v/>
      </c>
      <c r="AG76">
        <f>COUNTIFS($Z$6:$Z76,$AH$5,$AA$6:$AA76,"?*")</f>
        <v/>
      </c>
      <c r="AH76">
        <f>IFERROR(INDEX($AA$6:$AA$105,MATCH(ROW()-5,$AG$6:$AG$105,0)),"")</f>
        <v/>
      </c>
      <c r="AI76">
        <f>COUNTIFS($Z$6:$Z76,$AJ$5,$AA$6:$AA76,"?*")</f>
        <v/>
      </c>
      <c r="AJ76">
        <f>IFERROR(INDEX($AA$6:$AA$105,MATCH(ROW()-5,$AI$6:$AI$105,0)),"")</f>
        <v/>
      </c>
      <c r="AK76">
        <f>COUNTIFS($Z$6:$Z76,$AL$5,$AA$6:$AA76,"?*")</f>
        <v/>
      </c>
      <c r="AL76">
        <f>IFERROR(INDEX($AA$6:$AA$105,MATCH(ROW()-5,$AK$6:$AK$105,0)),"")</f>
        <v/>
      </c>
      <c r="AM76">
        <f>COUNTIFS($Z$6:$Z76,$AN$5,$AA$6:$AA76,"?*")</f>
        <v/>
      </c>
      <c r="AN76">
        <f>IFERROR(INDEX($AA$6:$AA$105,MATCH(ROW()-5,$AM$6:$AM$105,0)),"")</f>
        <v/>
      </c>
      <c r="AO76">
        <f>COUNTIFS($Z$6:$Z76,$AP$5,$AA$6:$AA76,"?*")</f>
        <v/>
      </c>
      <c r="AP76">
        <f>IFERROR(INDEX($AA$6:$AA$105,MATCH(ROW()-5,$AO$6:$AO$105,0)),"")</f>
        <v/>
      </c>
      <c r="AQ76">
        <f>COUNTIFS($Z$6:$Z76,$AR$5,$AA$6:$AA76,"?*")</f>
        <v/>
      </c>
      <c r="AR76">
        <f>IFERROR(INDEX($AA$6:$AA$105,MATCH(ROW()-5,$AQ$6:$AQ$105,0)),"")</f>
        <v/>
      </c>
      <c r="AS76">
        <f>COUNTIFS($Z$6:$Z76,$AT$5,$AA$6:$AA76,"?*")</f>
        <v/>
      </c>
      <c r="AT76">
        <f>IFERROR(INDEX($AA$6:$AA$105,MATCH(ROW()-5,$AS$6:$AS$105,0)),"")</f>
        <v/>
      </c>
      <c r="AU76">
        <f>COUNTIFS($Z$6:$Z76,$AV$5,$AA$6:$AA76,"?*")</f>
        <v/>
      </c>
      <c r="AV76">
        <f>IFERROR(INDEX($AA$6:$AA$105,MATCH(ROW()-5,$AU$6:$AU$105,0)),"")</f>
        <v/>
      </c>
    </row>
    <row r="77">
      <c r="F77">
        <f>IF([1]Accounts!$D$78="","",[1]Accounts!$A$78)</f>
        <v/>
      </c>
      <c r="G77">
        <f>IF([1]Accounts!$D$78="","",[1]Accounts!$B$78)</f>
        <v/>
      </c>
      <c r="H77">
        <f>IF([1]Accounts!$D$78="","",[1]Accounts!$C$78)</f>
        <v/>
      </c>
      <c r="I77">
        <f>IF([1]Accounts!$D$78="","",[1]Accounts!$D$78)</f>
        <v/>
      </c>
      <c r="Y77">
        <f>IF([1]SubGroups!$C$78="","",[1]SubGroups!$A$78)</f>
        <v/>
      </c>
      <c r="Z77">
        <f>IF([1]SubGroups!$C$78="","",[1]SubGroups!$B$78)</f>
        <v/>
      </c>
      <c r="AA77">
        <f>IF([1]SubGroups!$C$78="","",[1]SubGroups!$C$78)</f>
        <v/>
      </c>
      <c r="AC77">
        <f>COUNTIFS($Z$6:$Z77,$AD$5,$AA$6:$AA77,"?*")</f>
        <v/>
      </c>
      <c r="AD77">
        <f>IFERROR(INDEX($AA$6:$AA$105,MATCH(ROW()-5,$AC$6:$AC$105,0)),"")</f>
        <v/>
      </c>
      <c r="AE77">
        <f>COUNTIFS($Z$6:$Z77,$AF$5,$AA$6:$AA77,"?*")</f>
        <v/>
      </c>
      <c r="AF77">
        <f>IFERROR(INDEX($AA$6:$AA$105,MATCH(ROW()-5,$AE$6:$AE$105,0)),"")</f>
        <v/>
      </c>
      <c r="AG77">
        <f>COUNTIFS($Z$6:$Z77,$AH$5,$AA$6:$AA77,"?*")</f>
        <v/>
      </c>
      <c r="AH77">
        <f>IFERROR(INDEX($AA$6:$AA$105,MATCH(ROW()-5,$AG$6:$AG$105,0)),"")</f>
        <v/>
      </c>
      <c r="AI77">
        <f>COUNTIFS($Z$6:$Z77,$AJ$5,$AA$6:$AA77,"?*")</f>
        <v/>
      </c>
      <c r="AJ77">
        <f>IFERROR(INDEX($AA$6:$AA$105,MATCH(ROW()-5,$AI$6:$AI$105,0)),"")</f>
        <v/>
      </c>
      <c r="AK77">
        <f>COUNTIFS($Z$6:$Z77,$AL$5,$AA$6:$AA77,"?*")</f>
        <v/>
      </c>
      <c r="AL77">
        <f>IFERROR(INDEX($AA$6:$AA$105,MATCH(ROW()-5,$AK$6:$AK$105,0)),"")</f>
        <v/>
      </c>
      <c r="AM77">
        <f>COUNTIFS($Z$6:$Z77,$AN$5,$AA$6:$AA77,"?*")</f>
        <v/>
      </c>
      <c r="AN77">
        <f>IFERROR(INDEX($AA$6:$AA$105,MATCH(ROW()-5,$AM$6:$AM$105,0)),"")</f>
        <v/>
      </c>
      <c r="AO77">
        <f>COUNTIFS($Z$6:$Z77,$AP$5,$AA$6:$AA77,"?*")</f>
        <v/>
      </c>
      <c r="AP77">
        <f>IFERROR(INDEX($AA$6:$AA$105,MATCH(ROW()-5,$AO$6:$AO$105,0)),"")</f>
        <v/>
      </c>
      <c r="AQ77">
        <f>COUNTIFS($Z$6:$Z77,$AR$5,$AA$6:$AA77,"?*")</f>
        <v/>
      </c>
      <c r="AR77">
        <f>IFERROR(INDEX($AA$6:$AA$105,MATCH(ROW()-5,$AQ$6:$AQ$105,0)),"")</f>
        <v/>
      </c>
      <c r="AS77">
        <f>COUNTIFS($Z$6:$Z77,$AT$5,$AA$6:$AA77,"?*")</f>
        <v/>
      </c>
      <c r="AT77">
        <f>IFERROR(INDEX($AA$6:$AA$105,MATCH(ROW()-5,$AS$6:$AS$105,0)),"")</f>
        <v/>
      </c>
      <c r="AU77">
        <f>COUNTIFS($Z$6:$Z77,$AV$5,$AA$6:$AA77,"?*")</f>
        <v/>
      </c>
      <c r="AV77">
        <f>IFERROR(INDEX($AA$6:$AA$105,MATCH(ROW()-5,$AU$6:$AU$105,0)),"")</f>
        <v/>
      </c>
    </row>
    <row r="78">
      <c r="F78">
        <f>IF([1]Accounts!$D$79="","",[1]Accounts!$A$79)</f>
        <v/>
      </c>
      <c r="G78">
        <f>IF([1]Accounts!$D$79="","",[1]Accounts!$B$79)</f>
        <v/>
      </c>
      <c r="H78">
        <f>IF([1]Accounts!$D$79="","",[1]Accounts!$C$79)</f>
        <v/>
      </c>
      <c r="I78">
        <f>IF([1]Accounts!$D$79="","",[1]Accounts!$D$79)</f>
        <v/>
      </c>
      <c r="Y78">
        <f>IF([1]SubGroups!$C$79="","",[1]SubGroups!$A$79)</f>
        <v/>
      </c>
      <c r="Z78">
        <f>IF([1]SubGroups!$C$79="","",[1]SubGroups!$B$79)</f>
        <v/>
      </c>
      <c r="AA78">
        <f>IF([1]SubGroups!$C$79="","",[1]SubGroups!$C$79)</f>
        <v/>
      </c>
      <c r="AC78">
        <f>COUNTIFS($Z$6:$Z78,$AD$5,$AA$6:$AA78,"?*")</f>
        <v/>
      </c>
      <c r="AD78">
        <f>IFERROR(INDEX($AA$6:$AA$105,MATCH(ROW()-5,$AC$6:$AC$105,0)),"")</f>
        <v/>
      </c>
      <c r="AE78">
        <f>COUNTIFS($Z$6:$Z78,$AF$5,$AA$6:$AA78,"?*")</f>
        <v/>
      </c>
      <c r="AF78">
        <f>IFERROR(INDEX($AA$6:$AA$105,MATCH(ROW()-5,$AE$6:$AE$105,0)),"")</f>
        <v/>
      </c>
      <c r="AG78">
        <f>COUNTIFS($Z$6:$Z78,$AH$5,$AA$6:$AA78,"?*")</f>
        <v/>
      </c>
      <c r="AH78">
        <f>IFERROR(INDEX($AA$6:$AA$105,MATCH(ROW()-5,$AG$6:$AG$105,0)),"")</f>
        <v/>
      </c>
      <c r="AI78">
        <f>COUNTIFS($Z$6:$Z78,$AJ$5,$AA$6:$AA78,"?*")</f>
        <v/>
      </c>
      <c r="AJ78">
        <f>IFERROR(INDEX($AA$6:$AA$105,MATCH(ROW()-5,$AI$6:$AI$105,0)),"")</f>
        <v/>
      </c>
      <c r="AK78">
        <f>COUNTIFS($Z$6:$Z78,$AL$5,$AA$6:$AA78,"?*")</f>
        <v/>
      </c>
      <c r="AL78">
        <f>IFERROR(INDEX($AA$6:$AA$105,MATCH(ROW()-5,$AK$6:$AK$105,0)),"")</f>
        <v/>
      </c>
      <c r="AM78">
        <f>COUNTIFS($Z$6:$Z78,$AN$5,$AA$6:$AA78,"?*")</f>
        <v/>
      </c>
      <c r="AN78">
        <f>IFERROR(INDEX($AA$6:$AA$105,MATCH(ROW()-5,$AM$6:$AM$105,0)),"")</f>
        <v/>
      </c>
      <c r="AO78">
        <f>COUNTIFS($Z$6:$Z78,$AP$5,$AA$6:$AA78,"?*")</f>
        <v/>
      </c>
      <c r="AP78">
        <f>IFERROR(INDEX($AA$6:$AA$105,MATCH(ROW()-5,$AO$6:$AO$105,0)),"")</f>
        <v/>
      </c>
      <c r="AQ78">
        <f>COUNTIFS($Z$6:$Z78,$AR$5,$AA$6:$AA78,"?*")</f>
        <v/>
      </c>
      <c r="AR78">
        <f>IFERROR(INDEX($AA$6:$AA$105,MATCH(ROW()-5,$AQ$6:$AQ$105,0)),"")</f>
        <v/>
      </c>
      <c r="AS78">
        <f>COUNTIFS($Z$6:$Z78,$AT$5,$AA$6:$AA78,"?*")</f>
        <v/>
      </c>
      <c r="AT78">
        <f>IFERROR(INDEX($AA$6:$AA$105,MATCH(ROW()-5,$AS$6:$AS$105,0)),"")</f>
        <v/>
      </c>
      <c r="AU78">
        <f>COUNTIFS($Z$6:$Z78,$AV$5,$AA$6:$AA78,"?*")</f>
        <v/>
      </c>
      <c r="AV78">
        <f>IFERROR(INDEX($AA$6:$AA$105,MATCH(ROW()-5,$AU$6:$AU$105,0)),"")</f>
        <v/>
      </c>
    </row>
    <row r="79">
      <c r="F79">
        <f>IF([1]Accounts!$D$80="","",[1]Accounts!$A$80)</f>
        <v/>
      </c>
      <c r="G79">
        <f>IF([1]Accounts!$D$80="","",[1]Accounts!$B$80)</f>
        <v/>
      </c>
      <c r="H79">
        <f>IF([1]Accounts!$D$80="","",[1]Accounts!$C$80)</f>
        <v/>
      </c>
      <c r="I79">
        <f>IF([1]Accounts!$D$80="","",[1]Accounts!$D$80)</f>
        <v/>
      </c>
      <c r="Y79">
        <f>IF([1]SubGroups!$C$80="","",[1]SubGroups!$A$80)</f>
        <v/>
      </c>
      <c r="Z79">
        <f>IF([1]SubGroups!$C$80="","",[1]SubGroups!$B$80)</f>
        <v/>
      </c>
      <c r="AA79">
        <f>IF([1]SubGroups!$C$80="","",[1]SubGroups!$C$80)</f>
        <v/>
      </c>
      <c r="AC79">
        <f>COUNTIFS($Z$6:$Z79,$AD$5,$AA$6:$AA79,"?*")</f>
        <v/>
      </c>
      <c r="AD79">
        <f>IFERROR(INDEX($AA$6:$AA$105,MATCH(ROW()-5,$AC$6:$AC$105,0)),"")</f>
        <v/>
      </c>
      <c r="AE79">
        <f>COUNTIFS($Z$6:$Z79,$AF$5,$AA$6:$AA79,"?*")</f>
        <v/>
      </c>
      <c r="AF79">
        <f>IFERROR(INDEX($AA$6:$AA$105,MATCH(ROW()-5,$AE$6:$AE$105,0)),"")</f>
        <v/>
      </c>
      <c r="AG79">
        <f>COUNTIFS($Z$6:$Z79,$AH$5,$AA$6:$AA79,"?*")</f>
        <v/>
      </c>
      <c r="AH79">
        <f>IFERROR(INDEX($AA$6:$AA$105,MATCH(ROW()-5,$AG$6:$AG$105,0)),"")</f>
        <v/>
      </c>
      <c r="AI79">
        <f>COUNTIFS($Z$6:$Z79,$AJ$5,$AA$6:$AA79,"?*")</f>
        <v/>
      </c>
      <c r="AJ79">
        <f>IFERROR(INDEX($AA$6:$AA$105,MATCH(ROW()-5,$AI$6:$AI$105,0)),"")</f>
        <v/>
      </c>
      <c r="AK79">
        <f>COUNTIFS($Z$6:$Z79,$AL$5,$AA$6:$AA79,"?*")</f>
        <v/>
      </c>
      <c r="AL79">
        <f>IFERROR(INDEX($AA$6:$AA$105,MATCH(ROW()-5,$AK$6:$AK$105,0)),"")</f>
        <v/>
      </c>
      <c r="AM79">
        <f>COUNTIFS($Z$6:$Z79,$AN$5,$AA$6:$AA79,"?*")</f>
        <v/>
      </c>
      <c r="AN79">
        <f>IFERROR(INDEX($AA$6:$AA$105,MATCH(ROW()-5,$AM$6:$AM$105,0)),"")</f>
        <v/>
      </c>
      <c r="AO79">
        <f>COUNTIFS($Z$6:$Z79,$AP$5,$AA$6:$AA79,"?*")</f>
        <v/>
      </c>
      <c r="AP79">
        <f>IFERROR(INDEX($AA$6:$AA$105,MATCH(ROW()-5,$AO$6:$AO$105,0)),"")</f>
        <v/>
      </c>
      <c r="AQ79">
        <f>COUNTIFS($Z$6:$Z79,$AR$5,$AA$6:$AA79,"?*")</f>
        <v/>
      </c>
      <c r="AR79">
        <f>IFERROR(INDEX($AA$6:$AA$105,MATCH(ROW()-5,$AQ$6:$AQ$105,0)),"")</f>
        <v/>
      </c>
      <c r="AS79">
        <f>COUNTIFS($Z$6:$Z79,$AT$5,$AA$6:$AA79,"?*")</f>
        <v/>
      </c>
      <c r="AT79">
        <f>IFERROR(INDEX($AA$6:$AA$105,MATCH(ROW()-5,$AS$6:$AS$105,0)),"")</f>
        <v/>
      </c>
      <c r="AU79">
        <f>COUNTIFS($Z$6:$Z79,$AV$5,$AA$6:$AA79,"?*")</f>
        <v/>
      </c>
      <c r="AV79">
        <f>IFERROR(INDEX($AA$6:$AA$105,MATCH(ROW()-5,$AU$6:$AU$105,0)),"")</f>
        <v/>
      </c>
    </row>
    <row r="80">
      <c r="F80">
        <f>IF([1]Accounts!$D$81="","",[1]Accounts!$A$81)</f>
        <v/>
      </c>
      <c r="G80">
        <f>IF([1]Accounts!$D$81="","",[1]Accounts!$B$81)</f>
        <v/>
      </c>
      <c r="H80">
        <f>IF([1]Accounts!$D$81="","",[1]Accounts!$C$81)</f>
        <v/>
      </c>
      <c r="I80">
        <f>IF([1]Accounts!$D$81="","",[1]Accounts!$D$81)</f>
        <v/>
      </c>
      <c r="Y80">
        <f>IF([1]SubGroups!$C$81="","",[1]SubGroups!$A$81)</f>
        <v/>
      </c>
      <c r="Z80">
        <f>IF([1]SubGroups!$C$81="","",[1]SubGroups!$B$81)</f>
        <v/>
      </c>
      <c r="AA80">
        <f>IF([1]SubGroups!$C$81="","",[1]SubGroups!$C$81)</f>
        <v/>
      </c>
      <c r="AC80">
        <f>COUNTIFS($Z$6:$Z80,$AD$5,$AA$6:$AA80,"?*")</f>
        <v/>
      </c>
      <c r="AD80">
        <f>IFERROR(INDEX($AA$6:$AA$105,MATCH(ROW()-5,$AC$6:$AC$105,0)),"")</f>
        <v/>
      </c>
      <c r="AE80">
        <f>COUNTIFS($Z$6:$Z80,$AF$5,$AA$6:$AA80,"?*")</f>
        <v/>
      </c>
      <c r="AF80">
        <f>IFERROR(INDEX($AA$6:$AA$105,MATCH(ROW()-5,$AE$6:$AE$105,0)),"")</f>
        <v/>
      </c>
      <c r="AG80">
        <f>COUNTIFS($Z$6:$Z80,$AH$5,$AA$6:$AA80,"?*")</f>
        <v/>
      </c>
      <c r="AH80">
        <f>IFERROR(INDEX($AA$6:$AA$105,MATCH(ROW()-5,$AG$6:$AG$105,0)),"")</f>
        <v/>
      </c>
      <c r="AI80">
        <f>COUNTIFS($Z$6:$Z80,$AJ$5,$AA$6:$AA80,"?*")</f>
        <v/>
      </c>
      <c r="AJ80">
        <f>IFERROR(INDEX($AA$6:$AA$105,MATCH(ROW()-5,$AI$6:$AI$105,0)),"")</f>
        <v/>
      </c>
      <c r="AK80">
        <f>COUNTIFS($Z$6:$Z80,$AL$5,$AA$6:$AA80,"?*")</f>
        <v/>
      </c>
      <c r="AL80">
        <f>IFERROR(INDEX($AA$6:$AA$105,MATCH(ROW()-5,$AK$6:$AK$105,0)),"")</f>
        <v/>
      </c>
      <c r="AM80">
        <f>COUNTIFS($Z$6:$Z80,$AN$5,$AA$6:$AA80,"?*")</f>
        <v/>
      </c>
      <c r="AN80">
        <f>IFERROR(INDEX($AA$6:$AA$105,MATCH(ROW()-5,$AM$6:$AM$105,0)),"")</f>
        <v/>
      </c>
      <c r="AO80">
        <f>COUNTIFS($Z$6:$Z80,$AP$5,$AA$6:$AA80,"?*")</f>
        <v/>
      </c>
      <c r="AP80">
        <f>IFERROR(INDEX($AA$6:$AA$105,MATCH(ROW()-5,$AO$6:$AO$105,0)),"")</f>
        <v/>
      </c>
      <c r="AQ80">
        <f>COUNTIFS($Z$6:$Z80,$AR$5,$AA$6:$AA80,"?*")</f>
        <v/>
      </c>
      <c r="AR80">
        <f>IFERROR(INDEX($AA$6:$AA$105,MATCH(ROW()-5,$AQ$6:$AQ$105,0)),"")</f>
        <v/>
      </c>
      <c r="AS80">
        <f>COUNTIFS($Z$6:$Z80,$AT$5,$AA$6:$AA80,"?*")</f>
        <v/>
      </c>
      <c r="AT80">
        <f>IFERROR(INDEX($AA$6:$AA$105,MATCH(ROW()-5,$AS$6:$AS$105,0)),"")</f>
        <v/>
      </c>
      <c r="AU80">
        <f>COUNTIFS($Z$6:$Z80,$AV$5,$AA$6:$AA80,"?*")</f>
        <v/>
      </c>
      <c r="AV80">
        <f>IFERROR(INDEX($AA$6:$AA$105,MATCH(ROW()-5,$AU$6:$AU$105,0)),"")</f>
        <v/>
      </c>
    </row>
    <row r="81">
      <c r="F81">
        <f>IF([1]Accounts!$D$82="","",[1]Accounts!$A$82)</f>
        <v/>
      </c>
      <c r="G81">
        <f>IF([1]Accounts!$D$82="","",[1]Accounts!$B$82)</f>
        <v/>
      </c>
      <c r="H81">
        <f>IF([1]Accounts!$D$82="","",[1]Accounts!$C$82)</f>
        <v/>
      </c>
      <c r="I81">
        <f>IF([1]Accounts!$D$82="","",[1]Accounts!$D$82)</f>
        <v/>
      </c>
      <c r="Y81">
        <f>IF([1]SubGroups!$C$82="","",[1]SubGroups!$A$82)</f>
        <v/>
      </c>
      <c r="Z81">
        <f>IF([1]SubGroups!$C$82="","",[1]SubGroups!$B$82)</f>
        <v/>
      </c>
      <c r="AA81">
        <f>IF([1]SubGroups!$C$82="","",[1]SubGroups!$C$82)</f>
        <v/>
      </c>
      <c r="AC81">
        <f>COUNTIFS($Z$6:$Z81,$AD$5,$AA$6:$AA81,"?*")</f>
        <v/>
      </c>
      <c r="AD81">
        <f>IFERROR(INDEX($AA$6:$AA$105,MATCH(ROW()-5,$AC$6:$AC$105,0)),"")</f>
        <v/>
      </c>
      <c r="AE81">
        <f>COUNTIFS($Z$6:$Z81,$AF$5,$AA$6:$AA81,"?*")</f>
        <v/>
      </c>
      <c r="AF81">
        <f>IFERROR(INDEX($AA$6:$AA$105,MATCH(ROW()-5,$AE$6:$AE$105,0)),"")</f>
        <v/>
      </c>
      <c r="AG81">
        <f>COUNTIFS($Z$6:$Z81,$AH$5,$AA$6:$AA81,"?*")</f>
        <v/>
      </c>
      <c r="AH81">
        <f>IFERROR(INDEX($AA$6:$AA$105,MATCH(ROW()-5,$AG$6:$AG$105,0)),"")</f>
        <v/>
      </c>
      <c r="AI81">
        <f>COUNTIFS($Z$6:$Z81,$AJ$5,$AA$6:$AA81,"?*")</f>
        <v/>
      </c>
      <c r="AJ81">
        <f>IFERROR(INDEX($AA$6:$AA$105,MATCH(ROW()-5,$AI$6:$AI$105,0)),"")</f>
        <v/>
      </c>
      <c r="AK81">
        <f>COUNTIFS($Z$6:$Z81,$AL$5,$AA$6:$AA81,"?*")</f>
        <v/>
      </c>
      <c r="AL81">
        <f>IFERROR(INDEX($AA$6:$AA$105,MATCH(ROW()-5,$AK$6:$AK$105,0)),"")</f>
        <v/>
      </c>
      <c r="AM81">
        <f>COUNTIFS($Z$6:$Z81,$AN$5,$AA$6:$AA81,"?*")</f>
        <v/>
      </c>
      <c r="AN81">
        <f>IFERROR(INDEX($AA$6:$AA$105,MATCH(ROW()-5,$AM$6:$AM$105,0)),"")</f>
        <v/>
      </c>
      <c r="AO81">
        <f>COUNTIFS($Z$6:$Z81,$AP$5,$AA$6:$AA81,"?*")</f>
        <v/>
      </c>
      <c r="AP81">
        <f>IFERROR(INDEX($AA$6:$AA$105,MATCH(ROW()-5,$AO$6:$AO$105,0)),"")</f>
        <v/>
      </c>
      <c r="AQ81">
        <f>COUNTIFS($Z$6:$Z81,$AR$5,$AA$6:$AA81,"?*")</f>
        <v/>
      </c>
      <c r="AR81">
        <f>IFERROR(INDEX($AA$6:$AA$105,MATCH(ROW()-5,$AQ$6:$AQ$105,0)),"")</f>
        <v/>
      </c>
      <c r="AS81">
        <f>COUNTIFS($Z$6:$Z81,$AT$5,$AA$6:$AA81,"?*")</f>
        <v/>
      </c>
      <c r="AT81">
        <f>IFERROR(INDEX($AA$6:$AA$105,MATCH(ROW()-5,$AS$6:$AS$105,0)),"")</f>
        <v/>
      </c>
      <c r="AU81">
        <f>COUNTIFS($Z$6:$Z81,$AV$5,$AA$6:$AA81,"?*")</f>
        <v/>
      </c>
      <c r="AV81">
        <f>IFERROR(INDEX($AA$6:$AA$105,MATCH(ROW()-5,$AU$6:$AU$105,0)),"")</f>
        <v/>
      </c>
    </row>
    <row r="82">
      <c r="F82">
        <f>IF([1]Accounts!$D$83="","",[1]Accounts!$A$83)</f>
        <v/>
      </c>
      <c r="G82">
        <f>IF([1]Accounts!$D$83="","",[1]Accounts!$B$83)</f>
        <v/>
      </c>
      <c r="H82">
        <f>IF([1]Accounts!$D$83="","",[1]Accounts!$C$83)</f>
        <v/>
      </c>
      <c r="I82">
        <f>IF([1]Accounts!$D$83="","",[1]Accounts!$D$83)</f>
        <v/>
      </c>
      <c r="Y82">
        <f>IF([1]SubGroups!$C$83="","",[1]SubGroups!$A$83)</f>
        <v/>
      </c>
      <c r="Z82">
        <f>IF([1]SubGroups!$C$83="","",[1]SubGroups!$B$83)</f>
        <v/>
      </c>
      <c r="AA82">
        <f>IF([1]SubGroups!$C$83="","",[1]SubGroups!$C$83)</f>
        <v/>
      </c>
      <c r="AC82">
        <f>COUNTIFS($Z$6:$Z82,$AD$5,$AA$6:$AA82,"?*")</f>
        <v/>
      </c>
      <c r="AD82">
        <f>IFERROR(INDEX($AA$6:$AA$105,MATCH(ROW()-5,$AC$6:$AC$105,0)),"")</f>
        <v/>
      </c>
      <c r="AE82">
        <f>COUNTIFS($Z$6:$Z82,$AF$5,$AA$6:$AA82,"?*")</f>
        <v/>
      </c>
      <c r="AF82">
        <f>IFERROR(INDEX($AA$6:$AA$105,MATCH(ROW()-5,$AE$6:$AE$105,0)),"")</f>
        <v/>
      </c>
      <c r="AG82">
        <f>COUNTIFS($Z$6:$Z82,$AH$5,$AA$6:$AA82,"?*")</f>
        <v/>
      </c>
      <c r="AH82">
        <f>IFERROR(INDEX($AA$6:$AA$105,MATCH(ROW()-5,$AG$6:$AG$105,0)),"")</f>
        <v/>
      </c>
      <c r="AI82">
        <f>COUNTIFS($Z$6:$Z82,$AJ$5,$AA$6:$AA82,"?*")</f>
        <v/>
      </c>
      <c r="AJ82">
        <f>IFERROR(INDEX($AA$6:$AA$105,MATCH(ROW()-5,$AI$6:$AI$105,0)),"")</f>
        <v/>
      </c>
      <c r="AK82">
        <f>COUNTIFS($Z$6:$Z82,$AL$5,$AA$6:$AA82,"?*")</f>
        <v/>
      </c>
      <c r="AL82">
        <f>IFERROR(INDEX($AA$6:$AA$105,MATCH(ROW()-5,$AK$6:$AK$105,0)),"")</f>
        <v/>
      </c>
      <c r="AM82">
        <f>COUNTIFS($Z$6:$Z82,$AN$5,$AA$6:$AA82,"?*")</f>
        <v/>
      </c>
      <c r="AN82">
        <f>IFERROR(INDEX($AA$6:$AA$105,MATCH(ROW()-5,$AM$6:$AM$105,0)),"")</f>
        <v/>
      </c>
      <c r="AO82">
        <f>COUNTIFS($Z$6:$Z82,$AP$5,$AA$6:$AA82,"?*")</f>
        <v/>
      </c>
      <c r="AP82">
        <f>IFERROR(INDEX($AA$6:$AA$105,MATCH(ROW()-5,$AO$6:$AO$105,0)),"")</f>
        <v/>
      </c>
      <c r="AQ82">
        <f>COUNTIFS($Z$6:$Z82,$AR$5,$AA$6:$AA82,"?*")</f>
        <v/>
      </c>
      <c r="AR82">
        <f>IFERROR(INDEX($AA$6:$AA$105,MATCH(ROW()-5,$AQ$6:$AQ$105,0)),"")</f>
        <v/>
      </c>
      <c r="AS82">
        <f>COUNTIFS($Z$6:$Z82,$AT$5,$AA$6:$AA82,"?*")</f>
        <v/>
      </c>
      <c r="AT82">
        <f>IFERROR(INDEX($AA$6:$AA$105,MATCH(ROW()-5,$AS$6:$AS$105,0)),"")</f>
        <v/>
      </c>
      <c r="AU82">
        <f>COUNTIFS($Z$6:$Z82,$AV$5,$AA$6:$AA82,"?*")</f>
        <v/>
      </c>
      <c r="AV82">
        <f>IFERROR(INDEX($AA$6:$AA$105,MATCH(ROW()-5,$AU$6:$AU$105,0)),"")</f>
        <v/>
      </c>
    </row>
    <row r="83">
      <c r="F83">
        <f>IF([1]Accounts!$D$84="","",[1]Accounts!$A$84)</f>
        <v/>
      </c>
      <c r="G83">
        <f>IF([1]Accounts!$D$84="","",[1]Accounts!$B$84)</f>
        <v/>
      </c>
      <c r="H83">
        <f>IF([1]Accounts!$D$84="","",[1]Accounts!$C$84)</f>
        <v/>
      </c>
      <c r="I83">
        <f>IF([1]Accounts!$D$84="","",[1]Accounts!$D$84)</f>
        <v/>
      </c>
      <c r="Y83">
        <f>IF([1]SubGroups!$C$84="","",[1]SubGroups!$A$84)</f>
        <v/>
      </c>
      <c r="Z83">
        <f>IF([1]SubGroups!$C$84="","",[1]SubGroups!$B$84)</f>
        <v/>
      </c>
      <c r="AA83">
        <f>IF([1]SubGroups!$C$84="","",[1]SubGroups!$C$84)</f>
        <v/>
      </c>
      <c r="AC83">
        <f>COUNTIFS($Z$6:$Z83,$AD$5,$AA$6:$AA83,"?*")</f>
        <v/>
      </c>
      <c r="AD83">
        <f>IFERROR(INDEX($AA$6:$AA$105,MATCH(ROW()-5,$AC$6:$AC$105,0)),"")</f>
        <v/>
      </c>
      <c r="AE83">
        <f>COUNTIFS($Z$6:$Z83,$AF$5,$AA$6:$AA83,"?*")</f>
        <v/>
      </c>
      <c r="AF83">
        <f>IFERROR(INDEX($AA$6:$AA$105,MATCH(ROW()-5,$AE$6:$AE$105,0)),"")</f>
        <v/>
      </c>
      <c r="AG83">
        <f>COUNTIFS($Z$6:$Z83,$AH$5,$AA$6:$AA83,"?*")</f>
        <v/>
      </c>
      <c r="AH83">
        <f>IFERROR(INDEX($AA$6:$AA$105,MATCH(ROW()-5,$AG$6:$AG$105,0)),"")</f>
        <v/>
      </c>
      <c r="AI83">
        <f>COUNTIFS($Z$6:$Z83,$AJ$5,$AA$6:$AA83,"?*")</f>
        <v/>
      </c>
      <c r="AJ83">
        <f>IFERROR(INDEX($AA$6:$AA$105,MATCH(ROW()-5,$AI$6:$AI$105,0)),"")</f>
        <v/>
      </c>
      <c r="AK83">
        <f>COUNTIFS($Z$6:$Z83,$AL$5,$AA$6:$AA83,"?*")</f>
        <v/>
      </c>
      <c r="AL83">
        <f>IFERROR(INDEX($AA$6:$AA$105,MATCH(ROW()-5,$AK$6:$AK$105,0)),"")</f>
        <v/>
      </c>
      <c r="AM83">
        <f>COUNTIFS($Z$6:$Z83,$AN$5,$AA$6:$AA83,"?*")</f>
        <v/>
      </c>
      <c r="AN83">
        <f>IFERROR(INDEX($AA$6:$AA$105,MATCH(ROW()-5,$AM$6:$AM$105,0)),"")</f>
        <v/>
      </c>
      <c r="AO83">
        <f>COUNTIFS($Z$6:$Z83,$AP$5,$AA$6:$AA83,"?*")</f>
        <v/>
      </c>
      <c r="AP83">
        <f>IFERROR(INDEX($AA$6:$AA$105,MATCH(ROW()-5,$AO$6:$AO$105,0)),"")</f>
        <v/>
      </c>
      <c r="AQ83">
        <f>COUNTIFS($Z$6:$Z83,$AR$5,$AA$6:$AA83,"?*")</f>
        <v/>
      </c>
      <c r="AR83">
        <f>IFERROR(INDEX($AA$6:$AA$105,MATCH(ROW()-5,$AQ$6:$AQ$105,0)),"")</f>
        <v/>
      </c>
      <c r="AS83">
        <f>COUNTIFS($Z$6:$Z83,$AT$5,$AA$6:$AA83,"?*")</f>
        <v/>
      </c>
      <c r="AT83">
        <f>IFERROR(INDEX($AA$6:$AA$105,MATCH(ROW()-5,$AS$6:$AS$105,0)),"")</f>
        <v/>
      </c>
      <c r="AU83">
        <f>COUNTIFS($Z$6:$Z83,$AV$5,$AA$6:$AA83,"?*")</f>
        <v/>
      </c>
      <c r="AV83">
        <f>IFERROR(INDEX($AA$6:$AA$105,MATCH(ROW()-5,$AU$6:$AU$105,0)),"")</f>
        <v/>
      </c>
    </row>
    <row r="84">
      <c r="F84">
        <f>IF([1]Accounts!$D$85="","",[1]Accounts!$A$85)</f>
        <v/>
      </c>
      <c r="G84">
        <f>IF([1]Accounts!$D$85="","",[1]Accounts!$B$85)</f>
        <v/>
      </c>
      <c r="H84">
        <f>IF([1]Accounts!$D$85="","",[1]Accounts!$C$85)</f>
        <v/>
      </c>
      <c r="I84">
        <f>IF([1]Accounts!$D$85="","",[1]Accounts!$D$85)</f>
        <v/>
      </c>
      <c r="Y84">
        <f>IF([1]SubGroups!$C$85="","",[1]SubGroups!$A$85)</f>
        <v/>
      </c>
      <c r="Z84">
        <f>IF([1]SubGroups!$C$85="","",[1]SubGroups!$B$85)</f>
        <v/>
      </c>
      <c r="AA84">
        <f>IF([1]SubGroups!$C$85="","",[1]SubGroups!$C$85)</f>
        <v/>
      </c>
      <c r="AC84">
        <f>COUNTIFS($Z$6:$Z84,$AD$5,$AA$6:$AA84,"?*")</f>
        <v/>
      </c>
      <c r="AD84">
        <f>IFERROR(INDEX($AA$6:$AA$105,MATCH(ROW()-5,$AC$6:$AC$105,0)),"")</f>
        <v/>
      </c>
      <c r="AE84">
        <f>COUNTIFS($Z$6:$Z84,$AF$5,$AA$6:$AA84,"?*")</f>
        <v/>
      </c>
      <c r="AF84">
        <f>IFERROR(INDEX($AA$6:$AA$105,MATCH(ROW()-5,$AE$6:$AE$105,0)),"")</f>
        <v/>
      </c>
      <c r="AG84">
        <f>COUNTIFS($Z$6:$Z84,$AH$5,$AA$6:$AA84,"?*")</f>
        <v/>
      </c>
      <c r="AH84">
        <f>IFERROR(INDEX($AA$6:$AA$105,MATCH(ROW()-5,$AG$6:$AG$105,0)),"")</f>
        <v/>
      </c>
      <c r="AI84">
        <f>COUNTIFS($Z$6:$Z84,$AJ$5,$AA$6:$AA84,"?*")</f>
        <v/>
      </c>
      <c r="AJ84">
        <f>IFERROR(INDEX($AA$6:$AA$105,MATCH(ROW()-5,$AI$6:$AI$105,0)),"")</f>
        <v/>
      </c>
      <c r="AK84">
        <f>COUNTIFS($Z$6:$Z84,$AL$5,$AA$6:$AA84,"?*")</f>
        <v/>
      </c>
      <c r="AL84">
        <f>IFERROR(INDEX($AA$6:$AA$105,MATCH(ROW()-5,$AK$6:$AK$105,0)),"")</f>
        <v/>
      </c>
      <c r="AM84">
        <f>COUNTIFS($Z$6:$Z84,$AN$5,$AA$6:$AA84,"?*")</f>
        <v/>
      </c>
      <c r="AN84">
        <f>IFERROR(INDEX($AA$6:$AA$105,MATCH(ROW()-5,$AM$6:$AM$105,0)),"")</f>
        <v/>
      </c>
      <c r="AO84">
        <f>COUNTIFS($Z$6:$Z84,$AP$5,$AA$6:$AA84,"?*")</f>
        <v/>
      </c>
      <c r="AP84">
        <f>IFERROR(INDEX($AA$6:$AA$105,MATCH(ROW()-5,$AO$6:$AO$105,0)),"")</f>
        <v/>
      </c>
      <c r="AQ84">
        <f>COUNTIFS($Z$6:$Z84,$AR$5,$AA$6:$AA84,"?*")</f>
        <v/>
      </c>
      <c r="AR84">
        <f>IFERROR(INDEX($AA$6:$AA$105,MATCH(ROW()-5,$AQ$6:$AQ$105,0)),"")</f>
        <v/>
      </c>
      <c r="AS84">
        <f>COUNTIFS($Z$6:$Z84,$AT$5,$AA$6:$AA84,"?*")</f>
        <v/>
      </c>
      <c r="AT84">
        <f>IFERROR(INDEX($AA$6:$AA$105,MATCH(ROW()-5,$AS$6:$AS$105,0)),"")</f>
        <v/>
      </c>
      <c r="AU84">
        <f>COUNTIFS($Z$6:$Z84,$AV$5,$AA$6:$AA84,"?*")</f>
        <v/>
      </c>
      <c r="AV84">
        <f>IFERROR(INDEX($AA$6:$AA$105,MATCH(ROW()-5,$AU$6:$AU$105,0)),"")</f>
        <v/>
      </c>
    </row>
    <row r="85">
      <c r="F85">
        <f>IF([1]Accounts!$D$86="","",[1]Accounts!$A$86)</f>
        <v/>
      </c>
      <c r="G85">
        <f>IF([1]Accounts!$D$86="","",[1]Accounts!$B$86)</f>
        <v/>
      </c>
      <c r="H85">
        <f>IF([1]Accounts!$D$86="","",[1]Accounts!$C$86)</f>
        <v/>
      </c>
      <c r="I85">
        <f>IF([1]Accounts!$D$86="","",[1]Accounts!$D$86)</f>
        <v/>
      </c>
      <c r="Y85">
        <f>IF([1]SubGroups!$C$86="","",[1]SubGroups!$A$86)</f>
        <v/>
      </c>
      <c r="Z85">
        <f>IF([1]SubGroups!$C$86="","",[1]SubGroups!$B$86)</f>
        <v/>
      </c>
      <c r="AA85">
        <f>IF([1]SubGroups!$C$86="","",[1]SubGroups!$C$86)</f>
        <v/>
      </c>
      <c r="AC85">
        <f>COUNTIFS($Z$6:$Z85,$AD$5,$AA$6:$AA85,"?*")</f>
        <v/>
      </c>
      <c r="AD85">
        <f>IFERROR(INDEX($AA$6:$AA$105,MATCH(ROW()-5,$AC$6:$AC$105,0)),"")</f>
        <v/>
      </c>
      <c r="AE85">
        <f>COUNTIFS($Z$6:$Z85,$AF$5,$AA$6:$AA85,"?*")</f>
        <v/>
      </c>
      <c r="AF85">
        <f>IFERROR(INDEX($AA$6:$AA$105,MATCH(ROW()-5,$AE$6:$AE$105,0)),"")</f>
        <v/>
      </c>
      <c r="AG85">
        <f>COUNTIFS($Z$6:$Z85,$AH$5,$AA$6:$AA85,"?*")</f>
        <v/>
      </c>
      <c r="AH85">
        <f>IFERROR(INDEX($AA$6:$AA$105,MATCH(ROW()-5,$AG$6:$AG$105,0)),"")</f>
        <v/>
      </c>
      <c r="AI85">
        <f>COUNTIFS($Z$6:$Z85,$AJ$5,$AA$6:$AA85,"?*")</f>
        <v/>
      </c>
      <c r="AJ85">
        <f>IFERROR(INDEX($AA$6:$AA$105,MATCH(ROW()-5,$AI$6:$AI$105,0)),"")</f>
        <v/>
      </c>
      <c r="AK85">
        <f>COUNTIFS($Z$6:$Z85,$AL$5,$AA$6:$AA85,"?*")</f>
        <v/>
      </c>
      <c r="AL85">
        <f>IFERROR(INDEX($AA$6:$AA$105,MATCH(ROW()-5,$AK$6:$AK$105,0)),"")</f>
        <v/>
      </c>
      <c r="AM85">
        <f>COUNTIFS($Z$6:$Z85,$AN$5,$AA$6:$AA85,"?*")</f>
        <v/>
      </c>
      <c r="AN85">
        <f>IFERROR(INDEX($AA$6:$AA$105,MATCH(ROW()-5,$AM$6:$AM$105,0)),"")</f>
        <v/>
      </c>
      <c r="AO85">
        <f>COUNTIFS($Z$6:$Z85,$AP$5,$AA$6:$AA85,"?*")</f>
        <v/>
      </c>
      <c r="AP85">
        <f>IFERROR(INDEX($AA$6:$AA$105,MATCH(ROW()-5,$AO$6:$AO$105,0)),"")</f>
        <v/>
      </c>
      <c r="AQ85">
        <f>COUNTIFS($Z$6:$Z85,$AR$5,$AA$6:$AA85,"?*")</f>
        <v/>
      </c>
      <c r="AR85">
        <f>IFERROR(INDEX($AA$6:$AA$105,MATCH(ROW()-5,$AQ$6:$AQ$105,0)),"")</f>
        <v/>
      </c>
      <c r="AS85">
        <f>COUNTIFS($Z$6:$Z85,$AT$5,$AA$6:$AA85,"?*")</f>
        <v/>
      </c>
      <c r="AT85">
        <f>IFERROR(INDEX($AA$6:$AA$105,MATCH(ROW()-5,$AS$6:$AS$105,0)),"")</f>
        <v/>
      </c>
      <c r="AU85">
        <f>COUNTIFS($Z$6:$Z85,$AV$5,$AA$6:$AA85,"?*")</f>
        <v/>
      </c>
      <c r="AV85">
        <f>IFERROR(INDEX($AA$6:$AA$105,MATCH(ROW()-5,$AU$6:$AU$105,0)),"")</f>
        <v/>
      </c>
    </row>
    <row r="86">
      <c r="F86">
        <f>IF([1]Accounts!$D$87="","",[1]Accounts!$A$87)</f>
        <v/>
      </c>
      <c r="G86">
        <f>IF([1]Accounts!$D$87="","",[1]Accounts!$B$87)</f>
        <v/>
      </c>
      <c r="H86">
        <f>IF([1]Accounts!$D$87="","",[1]Accounts!$C$87)</f>
        <v/>
      </c>
      <c r="I86">
        <f>IF([1]Accounts!$D$87="","",[1]Accounts!$D$87)</f>
        <v/>
      </c>
      <c r="Y86">
        <f>IF([1]SubGroups!$C$87="","",[1]SubGroups!$A$87)</f>
        <v/>
      </c>
      <c r="Z86">
        <f>IF([1]SubGroups!$C$87="","",[1]SubGroups!$B$87)</f>
        <v/>
      </c>
      <c r="AA86">
        <f>IF([1]SubGroups!$C$87="","",[1]SubGroups!$C$87)</f>
        <v/>
      </c>
      <c r="AC86">
        <f>COUNTIFS($Z$6:$Z86,$AD$5,$AA$6:$AA86,"?*")</f>
        <v/>
      </c>
      <c r="AD86">
        <f>IFERROR(INDEX($AA$6:$AA$105,MATCH(ROW()-5,$AC$6:$AC$105,0)),"")</f>
        <v/>
      </c>
      <c r="AE86">
        <f>COUNTIFS($Z$6:$Z86,$AF$5,$AA$6:$AA86,"?*")</f>
        <v/>
      </c>
      <c r="AF86">
        <f>IFERROR(INDEX($AA$6:$AA$105,MATCH(ROW()-5,$AE$6:$AE$105,0)),"")</f>
        <v/>
      </c>
      <c r="AG86">
        <f>COUNTIFS($Z$6:$Z86,$AH$5,$AA$6:$AA86,"?*")</f>
        <v/>
      </c>
      <c r="AH86">
        <f>IFERROR(INDEX($AA$6:$AA$105,MATCH(ROW()-5,$AG$6:$AG$105,0)),"")</f>
        <v/>
      </c>
      <c r="AI86">
        <f>COUNTIFS($Z$6:$Z86,$AJ$5,$AA$6:$AA86,"?*")</f>
        <v/>
      </c>
      <c r="AJ86">
        <f>IFERROR(INDEX($AA$6:$AA$105,MATCH(ROW()-5,$AI$6:$AI$105,0)),"")</f>
        <v/>
      </c>
      <c r="AK86">
        <f>COUNTIFS($Z$6:$Z86,$AL$5,$AA$6:$AA86,"?*")</f>
        <v/>
      </c>
      <c r="AL86">
        <f>IFERROR(INDEX($AA$6:$AA$105,MATCH(ROW()-5,$AK$6:$AK$105,0)),"")</f>
        <v/>
      </c>
      <c r="AM86">
        <f>COUNTIFS($Z$6:$Z86,$AN$5,$AA$6:$AA86,"?*")</f>
        <v/>
      </c>
      <c r="AN86">
        <f>IFERROR(INDEX($AA$6:$AA$105,MATCH(ROW()-5,$AM$6:$AM$105,0)),"")</f>
        <v/>
      </c>
      <c r="AO86">
        <f>COUNTIFS($Z$6:$Z86,$AP$5,$AA$6:$AA86,"?*")</f>
        <v/>
      </c>
      <c r="AP86">
        <f>IFERROR(INDEX($AA$6:$AA$105,MATCH(ROW()-5,$AO$6:$AO$105,0)),"")</f>
        <v/>
      </c>
      <c r="AQ86">
        <f>COUNTIFS($Z$6:$Z86,$AR$5,$AA$6:$AA86,"?*")</f>
        <v/>
      </c>
      <c r="AR86">
        <f>IFERROR(INDEX($AA$6:$AA$105,MATCH(ROW()-5,$AQ$6:$AQ$105,0)),"")</f>
        <v/>
      </c>
      <c r="AS86">
        <f>COUNTIFS($Z$6:$Z86,$AT$5,$AA$6:$AA86,"?*")</f>
        <v/>
      </c>
      <c r="AT86">
        <f>IFERROR(INDEX($AA$6:$AA$105,MATCH(ROW()-5,$AS$6:$AS$105,0)),"")</f>
        <v/>
      </c>
      <c r="AU86">
        <f>COUNTIFS($Z$6:$Z86,$AV$5,$AA$6:$AA86,"?*")</f>
        <v/>
      </c>
      <c r="AV86">
        <f>IFERROR(INDEX($AA$6:$AA$105,MATCH(ROW()-5,$AU$6:$AU$105,0)),"")</f>
        <v/>
      </c>
    </row>
    <row r="87">
      <c r="F87">
        <f>IF([1]Accounts!$D$88="","",[1]Accounts!$A$88)</f>
        <v/>
      </c>
      <c r="G87">
        <f>IF([1]Accounts!$D$88="","",[1]Accounts!$B$88)</f>
        <v/>
      </c>
      <c r="H87">
        <f>IF([1]Accounts!$D$88="","",[1]Accounts!$C$88)</f>
        <v/>
      </c>
      <c r="I87">
        <f>IF([1]Accounts!$D$88="","",[1]Accounts!$D$88)</f>
        <v/>
      </c>
      <c r="Y87">
        <f>IF([1]SubGroups!$C$88="","",[1]SubGroups!$A$88)</f>
        <v/>
      </c>
      <c r="Z87">
        <f>IF([1]SubGroups!$C$88="","",[1]SubGroups!$B$88)</f>
        <v/>
      </c>
      <c r="AA87">
        <f>IF([1]SubGroups!$C$88="","",[1]SubGroups!$C$88)</f>
        <v/>
      </c>
      <c r="AC87">
        <f>COUNTIFS($Z$6:$Z87,$AD$5,$AA$6:$AA87,"?*")</f>
        <v/>
      </c>
      <c r="AD87">
        <f>IFERROR(INDEX($AA$6:$AA$105,MATCH(ROW()-5,$AC$6:$AC$105,0)),"")</f>
        <v/>
      </c>
      <c r="AE87">
        <f>COUNTIFS($Z$6:$Z87,$AF$5,$AA$6:$AA87,"?*")</f>
        <v/>
      </c>
      <c r="AF87">
        <f>IFERROR(INDEX($AA$6:$AA$105,MATCH(ROW()-5,$AE$6:$AE$105,0)),"")</f>
        <v/>
      </c>
      <c r="AG87">
        <f>COUNTIFS($Z$6:$Z87,$AH$5,$AA$6:$AA87,"?*")</f>
        <v/>
      </c>
      <c r="AH87">
        <f>IFERROR(INDEX($AA$6:$AA$105,MATCH(ROW()-5,$AG$6:$AG$105,0)),"")</f>
        <v/>
      </c>
      <c r="AI87">
        <f>COUNTIFS($Z$6:$Z87,$AJ$5,$AA$6:$AA87,"?*")</f>
        <v/>
      </c>
      <c r="AJ87">
        <f>IFERROR(INDEX($AA$6:$AA$105,MATCH(ROW()-5,$AI$6:$AI$105,0)),"")</f>
        <v/>
      </c>
      <c r="AK87">
        <f>COUNTIFS($Z$6:$Z87,$AL$5,$AA$6:$AA87,"?*")</f>
        <v/>
      </c>
      <c r="AL87">
        <f>IFERROR(INDEX($AA$6:$AA$105,MATCH(ROW()-5,$AK$6:$AK$105,0)),"")</f>
        <v/>
      </c>
      <c r="AM87">
        <f>COUNTIFS($Z$6:$Z87,$AN$5,$AA$6:$AA87,"?*")</f>
        <v/>
      </c>
      <c r="AN87">
        <f>IFERROR(INDEX($AA$6:$AA$105,MATCH(ROW()-5,$AM$6:$AM$105,0)),"")</f>
        <v/>
      </c>
      <c r="AO87">
        <f>COUNTIFS($Z$6:$Z87,$AP$5,$AA$6:$AA87,"?*")</f>
        <v/>
      </c>
      <c r="AP87">
        <f>IFERROR(INDEX($AA$6:$AA$105,MATCH(ROW()-5,$AO$6:$AO$105,0)),"")</f>
        <v/>
      </c>
      <c r="AQ87">
        <f>COUNTIFS($Z$6:$Z87,$AR$5,$AA$6:$AA87,"?*")</f>
        <v/>
      </c>
      <c r="AR87">
        <f>IFERROR(INDEX($AA$6:$AA$105,MATCH(ROW()-5,$AQ$6:$AQ$105,0)),"")</f>
        <v/>
      </c>
      <c r="AS87">
        <f>COUNTIFS($Z$6:$Z87,$AT$5,$AA$6:$AA87,"?*")</f>
        <v/>
      </c>
      <c r="AT87">
        <f>IFERROR(INDEX($AA$6:$AA$105,MATCH(ROW()-5,$AS$6:$AS$105,0)),"")</f>
        <v/>
      </c>
      <c r="AU87">
        <f>COUNTIFS($Z$6:$Z87,$AV$5,$AA$6:$AA87,"?*")</f>
        <v/>
      </c>
      <c r="AV87">
        <f>IFERROR(INDEX($AA$6:$AA$105,MATCH(ROW()-5,$AU$6:$AU$105,0)),"")</f>
        <v/>
      </c>
    </row>
    <row r="88">
      <c r="F88">
        <f>IF([1]Accounts!$D$89="","",[1]Accounts!$A$89)</f>
        <v/>
      </c>
      <c r="G88">
        <f>IF([1]Accounts!$D$89="","",[1]Accounts!$B$89)</f>
        <v/>
      </c>
      <c r="H88">
        <f>IF([1]Accounts!$D$89="","",[1]Accounts!$C$89)</f>
        <v/>
      </c>
      <c r="I88">
        <f>IF([1]Accounts!$D$89="","",[1]Accounts!$D$89)</f>
        <v/>
      </c>
      <c r="Y88">
        <f>IF([1]SubGroups!$C$89="","",[1]SubGroups!$A$89)</f>
        <v/>
      </c>
      <c r="Z88">
        <f>IF([1]SubGroups!$C$89="","",[1]SubGroups!$B$89)</f>
        <v/>
      </c>
      <c r="AA88">
        <f>IF([1]SubGroups!$C$89="","",[1]SubGroups!$C$89)</f>
        <v/>
      </c>
      <c r="AC88">
        <f>COUNTIFS($Z$6:$Z88,$AD$5,$AA$6:$AA88,"?*")</f>
        <v/>
      </c>
      <c r="AD88">
        <f>IFERROR(INDEX($AA$6:$AA$105,MATCH(ROW()-5,$AC$6:$AC$105,0)),"")</f>
        <v/>
      </c>
      <c r="AE88">
        <f>COUNTIFS($Z$6:$Z88,$AF$5,$AA$6:$AA88,"?*")</f>
        <v/>
      </c>
      <c r="AF88">
        <f>IFERROR(INDEX($AA$6:$AA$105,MATCH(ROW()-5,$AE$6:$AE$105,0)),"")</f>
        <v/>
      </c>
      <c r="AG88">
        <f>COUNTIFS($Z$6:$Z88,$AH$5,$AA$6:$AA88,"?*")</f>
        <v/>
      </c>
      <c r="AH88">
        <f>IFERROR(INDEX($AA$6:$AA$105,MATCH(ROW()-5,$AG$6:$AG$105,0)),"")</f>
        <v/>
      </c>
      <c r="AI88">
        <f>COUNTIFS($Z$6:$Z88,$AJ$5,$AA$6:$AA88,"?*")</f>
        <v/>
      </c>
      <c r="AJ88">
        <f>IFERROR(INDEX($AA$6:$AA$105,MATCH(ROW()-5,$AI$6:$AI$105,0)),"")</f>
        <v/>
      </c>
      <c r="AK88">
        <f>COUNTIFS($Z$6:$Z88,$AL$5,$AA$6:$AA88,"?*")</f>
        <v/>
      </c>
      <c r="AL88">
        <f>IFERROR(INDEX($AA$6:$AA$105,MATCH(ROW()-5,$AK$6:$AK$105,0)),"")</f>
        <v/>
      </c>
      <c r="AM88">
        <f>COUNTIFS($Z$6:$Z88,$AN$5,$AA$6:$AA88,"?*")</f>
        <v/>
      </c>
      <c r="AN88">
        <f>IFERROR(INDEX($AA$6:$AA$105,MATCH(ROW()-5,$AM$6:$AM$105,0)),"")</f>
        <v/>
      </c>
      <c r="AO88">
        <f>COUNTIFS($Z$6:$Z88,$AP$5,$AA$6:$AA88,"?*")</f>
        <v/>
      </c>
      <c r="AP88">
        <f>IFERROR(INDEX($AA$6:$AA$105,MATCH(ROW()-5,$AO$6:$AO$105,0)),"")</f>
        <v/>
      </c>
      <c r="AQ88">
        <f>COUNTIFS($Z$6:$Z88,$AR$5,$AA$6:$AA88,"?*")</f>
        <v/>
      </c>
      <c r="AR88">
        <f>IFERROR(INDEX($AA$6:$AA$105,MATCH(ROW()-5,$AQ$6:$AQ$105,0)),"")</f>
        <v/>
      </c>
      <c r="AS88">
        <f>COUNTIFS($Z$6:$Z88,$AT$5,$AA$6:$AA88,"?*")</f>
        <v/>
      </c>
      <c r="AT88">
        <f>IFERROR(INDEX($AA$6:$AA$105,MATCH(ROW()-5,$AS$6:$AS$105,0)),"")</f>
        <v/>
      </c>
      <c r="AU88">
        <f>COUNTIFS($Z$6:$Z88,$AV$5,$AA$6:$AA88,"?*")</f>
        <v/>
      </c>
      <c r="AV88">
        <f>IFERROR(INDEX($AA$6:$AA$105,MATCH(ROW()-5,$AU$6:$AU$105,0)),"")</f>
        <v/>
      </c>
    </row>
    <row r="89">
      <c r="F89">
        <f>IF([1]Accounts!$D$90="","",[1]Accounts!$A$90)</f>
        <v/>
      </c>
      <c r="G89">
        <f>IF([1]Accounts!$D$90="","",[1]Accounts!$B$90)</f>
        <v/>
      </c>
      <c r="H89">
        <f>IF([1]Accounts!$D$90="","",[1]Accounts!$C$90)</f>
        <v/>
      </c>
      <c r="I89">
        <f>IF([1]Accounts!$D$90="","",[1]Accounts!$D$90)</f>
        <v/>
      </c>
      <c r="Y89">
        <f>IF([1]SubGroups!$C$90="","",[1]SubGroups!$A$90)</f>
        <v/>
      </c>
      <c r="Z89">
        <f>IF([1]SubGroups!$C$90="","",[1]SubGroups!$B$90)</f>
        <v/>
      </c>
      <c r="AA89">
        <f>IF([1]SubGroups!$C$90="","",[1]SubGroups!$C$90)</f>
        <v/>
      </c>
      <c r="AC89">
        <f>COUNTIFS($Z$6:$Z89,$AD$5,$AA$6:$AA89,"?*")</f>
        <v/>
      </c>
      <c r="AD89">
        <f>IFERROR(INDEX($AA$6:$AA$105,MATCH(ROW()-5,$AC$6:$AC$105,0)),"")</f>
        <v/>
      </c>
      <c r="AE89">
        <f>COUNTIFS($Z$6:$Z89,$AF$5,$AA$6:$AA89,"?*")</f>
        <v/>
      </c>
      <c r="AF89">
        <f>IFERROR(INDEX($AA$6:$AA$105,MATCH(ROW()-5,$AE$6:$AE$105,0)),"")</f>
        <v/>
      </c>
      <c r="AG89">
        <f>COUNTIFS($Z$6:$Z89,$AH$5,$AA$6:$AA89,"?*")</f>
        <v/>
      </c>
      <c r="AH89">
        <f>IFERROR(INDEX($AA$6:$AA$105,MATCH(ROW()-5,$AG$6:$AG$105,0)),"")</f>
        <v/>
      </c>
      <c r="AI89">
        <f>COUNTIFS($Z$6:$Z89,$AJ$5,$AA$6:$AA89,"?*")</f>
        <v/>
      </c>
      <c r="AJ89">
        <f>IFERROR(INDEX($AA$6:$AA$105,MATCH(ROW()-5,$AI$6:$AI$105,0)),"")</f>
        <v/>
      </c>
      <c r="AK89">
        <f>COUNTIFS($Z$6:$Z89,$AL$5,$AA$6:$AA89,"?*")</f>
        <v/>
      </c>
      <c r="AL89">
        <f>IFERROR(INDEX($AA$6:$AA$105,MATCH(ROW()-5,$AK$6:$AK$105,0)),"")</f>
        <v/>
      </c>
      <c r="AM89">
        <f>COUNTIFS($Z$6:$Z89,$AN$5,$AA$6:$AA89,"?*")</f>
        <v/>
      </c>
      <c r="AN89">
        <f>IFERROR(INDEX($AA$6:$AA$105,MATCH(ROW()-5,$AM$6:$AM$105,0)),"")</f>
        <v/>
      </c>
      <c r="AO89">
        <f>COUNTIFS($Z$6:$Z89,$AP$5,$AA$6:$AA89,"?*")</f>
        <v/>
      </c>
      <c r="AP89">
        <f>IFERROR(INDEX($AA$6:$AA$105,MATCH(ROW()-5,$AO$6:$AO$105,0)),"")</f>
        <v/>
      </c>
      <c r="AQ89">
        <f>COUNTIFS($Z$6:$Z89,$AR$5,$AA$6:$AA89,"?*")</f>
        <v/>
      </c>
      <c r="AR89">
        <f>IFERROR(INDEX($AA$6:$AA$105,MATCH(ROW()-5,$AQ$6:$AQ$105,0)),"")</f>
        <v/>
      </c>
      <c r="AS89">
        <f>COUNTIFS($Z$6:$Z89,$AT$5,$AA$6:$AA89,"?*")</f>
        <v/>
      </c>
      <c r="AT89">
        <f>IFERROR(INDEX($AA$6:$AA$105,MATCH(ROW()-5,$AS$6:$AS$105,0)),"")</f>
        <v/>
      </c>
      <c r="AU89">
        <f>COUNTIFS($Z$6:$Z89,$AV$5,$AA$6:$AA89,"?*")</f>
        <v/>
      </c>
      <c r="AV89">
        <f>IFERROR(INDEX($AA$6:$AA$105,MATCH(ROW()-5,$AU$6:$AU$105,0)),"")</f>
        <v/>
      </c>
    </row>
    <row r="90">
      <c r="F90">
        <f>IF([1]Accounts!$D$91="","",[1]Accounts!$A$91)</f>
        <v/>
      </c>
      <c r="G90">
        <f>IF([1]Accounts!$D$91="","",[1]Accounts!$B$91)</f>
        <v/>
      </c>
      <c r="H90">
        <f>IF([1]Accounts!$D$91="","",[1]Accounts!$C$91)</f>
        <v/>
      </c>
      <c r="I90">
        <f>IF([1]Accounts!$D$91="","",[1]Accounts!$D$91)</f>
        <v/>
      </c>
      <c r="Y90">
        <f>IF([1]SubGroups!$C$91="","",[1]SubGroups!$A$91)</f>
        <v/>
      </c>
      <c r="Z90">
        <f>IF([1]SubGroups!$C$91="","",[1]SubGroups!$B$91)</f>
        <v/>
      </c>
      <c r="AA90">
        <f>IF([1]SubGroups!$C$91="","",[1]SubGroups!$C$91)</f>
        <v/>
      </c>
      <c r="AC90">
        <f>COUNTIFS($Z$6:$Z90,$AD$5,$AA$6:$AA90,"?*")</f>
        <v/>
      </c>
      <c r="AD90">
        <f>IFERROR(INDEX($AA$6:$AA$105,MATCH(ROW()-5,$AC$6:$AC$105,0)),"")</f>
        <v/>
      </c>
      <c r="AE90">
        <f>COUNTIFS($Z$6:$Z90,$AF$5,$AA$6:$AA90,"?*")</f>
        <v/>
      </c>
      <c r="AF90">
        <f>IFERROR(INDEX($AA$6:$AA$105,MATCH(ROW()-5,$AE$6:$AE$105,0)),"")</f>
        <v/>
      </c>
      <c r="AG90">
        <f>COUNTIFS($Z$6:$Z90,$AH$5,$AA$6:$AA90,"?*")</f>
        <v/>
      </c>
      <c r="AH90">
        <f>IFERROR(INDEX($AA$6:$AA$105,MATCH(ROW()-5,$AG$6:$AG$105,0)),"")</f>
        <v/>
      </c>
      <c r="AI90">
        <f>COUNTIFS($Z$6:$Z90,$AJ$5,$AA$6:$AA90,"?*")</f>
        <v/>
      </c>
      <c r="AJ90">
        <f>IFERROR(INDEX($AA$6:$AA$105,MATCH(ROW()-5,$AI$6:$AI$105,0)),"")</f>
        <v/>
      </c>
      <c r="AK90">
        <f>COUNTIFS($Z$6:$Z90,$AL$5,$AA$6:$AA90,"?*")</f>
        <v/>
      </c>
      <c r="AL90">
        <f>IFERROR(INDEX($AA$6:$AA$105,MATCH(ROW()-5,$AK$6:$AK$105,0)),"")</f>
        <v/>
      </c>
      <c r="AM90">
        <f>COUNTIFS($Z$6:$Z90,$AN$5,$AA$6:$AA90,"?*")</f>
        <v/>
      </c>
      <c r="AN90">
        <f>IFERROR(INDEX($AA$6:$AA$105,MATCH(ROW()-5,$AM$6:$AM$105,0)),"")</f>
        <v/>
      </c>
      <c r="AO90">
        <f>COUNTIFS($Z$6:$Z90,$AP$5,$AA$6:$AA90,"?*")</f>
        <v/>
      </c>
      <c r="AP90">
        <f>IFERROR(INDEX($AA$6:$AA$105,MATCH(ROW()-5,$AO$6:$AO$105,0)),"")</f>
        <v/>
      </c>
      <c r="AQ90">
        <f>COUNTIFS($Z$6:$Z90,$AR$5,$AA$6:$AA90,"?*")</f>
        <v/>
      </c>
      <c r="AR90">
        <f>IFERROR(INDEX($AA$6:$AA$105,MATCH(ROW()-5,$AQ$6:$AQ$105,0)),"")</f>
        <v/>
      </c>
      <c r="AS90">
        <f>COUNTIFS($Z$6:$Z90,$AT$5,$AA$6:$AA90,"?*")</f>
        <v/>
      </c>
      <c r="AT90">
        <f>IFERROR(INDEX($AA$6:$AA$105,MATCH(ROW()-5,$AS$6:$AS$105,0)),"")</f>
        <v/>
      </c>
      <c r="AU90">
        <f>COUNTIFS($Z$6:$Z90,$AV$5,$AA$6:$AA90,"?*")</f>
        <v/>
      </c>
      <c r="AV90">
        <f>IFERROR(INDEX($AA$6:$AA$105,MATCH(ROW()-5,$AU$6:$AU$105,0)),"")</f>
        <v/>
      </c>
    </row>
    <row r="91">
      <c r="F91">
        <f>IF([1]Accounts!$D$92="","",[1]Accounts!$A$92)</f>
        <v/>
      </c>
      <c r="G91">
        <f>IF([1]Accounts!$D$92="","",[1]Accounts!$B$92)</f>
        <v/>
      </c>
      <c r="H91">
        <f>IF([1]Accounts!$D$92="","",[1]Accounts!$C$92)</f>
        <v/>
      </c>
      <c r="I91">
        <f>IF([1]Accounts!$D$92="","",[1]Accounts!$D$92)</f>
        <v/>
      </c>
      <c r="Y91">
        <f>IF([1]SubGroups!$C$92="","",[1]SubGroups!$A$92)</f>
        <v/>
      </c>
      <c r="Z91">
        <f>IF([1]SubGroups!$C$92="","",[1]SubGroups!$B$92)</f>
        <v/>
      </c>
      <c r="AA91">
        <f>IF([1]SubGroups!$C$92="","",[1]SubGroups!$C$92)</f>
        <v/>
      </c>
      <c r="AC91">
        <f>COUNTIFS($Z$6:$Z91,$AD$5,$AA$6:$AA91,"?*")</f>
        <v/>
      </c>
      <c r="AD91">
        <f>IFERROR(INDEX($AA$6:$AA$105,MATCH(ROW()-5,$AC$6:$AC$105,0)),"")</f>
        <v/>
      </c>
      <c r="AE91">
        <f>COUNTIFS($Z$6:$Z91,$AF$5,$AA$6:$AA91,"?*")</f>
        <v/>
      </c>
      <c r="AF91">
        <f>IFERROR(INDEX($AA$6:$AA$105,MATCH(ROW()-5,$AE$6:$AE$105,0)),"")</f>
        <v/>
      </c>
      <c r="AG91">
        <f>COUNTIFS($Z$6:$Z91,$AH$5,$AA$6:$AA91,"?*")</f>
        <v/>
      </c>
      <c r="AH91">
        <f>IFERROR(INDEX($AA$6:$AA$105,MATCH(ROW()-5,$AG$6:$AG$105,0)),"")</f>
        <v/>
      </c>
      <c r="AI91">
        <f>COUNTIFS($Z$6:$Z91,$AJ$5,$AA$6:$AA91,"?*")</f>
        <v/>
      </c>
      <c r="AJ91">
        <f>IFERROR(INDEX($AA$6:$AA$105,MATCH(ROW()-5,$AI$6:$AI$105,0)),"")</f>
        <v/>
      </c>
      <c r="AK91">
        <f>COUNTIFS($Z$6:$Z91,$AL$5,$AA$6:$AA91,"?*")</f>
        <v/>
      </c>
      <c r="AL91">
        <f>IFERROR(INDEX($AA$6:$AA$105,MATCH(ROW()-5,$AK$6:$AK$105,0)),"")</f>
        <v/>
      </c>
      <c r="AM91">
        <f>COUNTIFS($Z$6:$Z91,$AN$5,$AA$6:$AA91,"?*")</f>
        <v/>
      </c>
      <c r="AN91">
        <f>IFERROR(INDEX($AA$6:$AA$105,MATCH(ROW()-5,$AM$6:$AM$105,0)),"")</f>
        <v/>
      </c>
      <c r="AO91">
        <f>COUNTIFS($Z$6:$Z91,$AP$5,$AA$6:$AA91,"?*")</f>
        <v/>
      </c>
      <c r="AP91">
        <f>IFERROR(INDEX($AA$6:$AA$105,MATCH(ROW()-5,$AO$6:$AO$105,0)),"")</f>
        <v/>
      </c>
      <c r="AQ91">
        <f>COUNTIFS($Z$6:$Z91,$AR$5,$AA$6:$AA91,"?*")</f>
        <v/>
      </c>
      <c r="AR91">
        <f>IFERROR(INDEX($AA$6:$AA$105,MATCH(ROW()-5,$AQ$6:$AQ$105,0)),"")</f>
        <v/>
      </c>
      <c r="AS91">
        <f>COUNTIFS($Z$6:$Z91,$AT$5,$AA$6:$AA91,"?*")</f>
        <v/>
      </c>
      <c r="AT91">
        <f>IFERROR(INDEX($AA$6:$AA$105,MATCH(ROW()-5,$AS$6:$AS$105,0)),"")</f>
        <v/>
      </c>
      <c r="AU91">
        <f>COUNTIFS($Z$6:$Z91,$AV$5,$AA$6:$AA91,"?*")</f>
        <v/>
      </c>
      <c r="AV91">
        <f>IFERROR(INDEX($AA$6:$AA$105,MATCH(ROW()-5,$AU$6:$AU$105,0)),"")</f>
        <v/>
      </c>
    </row>
    <row r="92">
      <c r="F92">
        <f>IF([1]Accounts!$D$93="","",[1]Accounts!$A$93)</f>
        <v/>
      </c>
      <c r="G92">
        <f>IF([1]Accounts!$D$93="","",[1]Accounts!$B$93)</f>
        <v/>
      </c>
      <c r="H92">
        <f>IF([1]Accounts!$D$93="","",[1]Accounts!$C$93)</f>
        <v/>
      </c>
      <c r="I92">
        <f>IF([1]Accounts!$D$93="","",[1]Accounts!$D$93)</f>
        <v/>
      </c>
      <c r="Y92">
        <f>IF([1]SubGroups!$C$93="","",[1]SubGroups!$A$93)</f>
        <v/>
      </c>
      <c r="Z92">
        <f>IF([1]SubGroups!$C$93="","",[1]SubGroups!$B$93)</f>
        <v/>
      </c>
      <c r="AA92">
        <f>IF([1]SubGroups!$C$93="","",[1]SubGroups!$C$93)</f>
        <v/>
      </c>
      <c r="AC92">
        <f>COUNTIFS($Z$6:$Z92,$AD$5,$AA$6:$AA92,"?*")</f>
        <v/>
      </c>
      <c r="AD92">
        <f>IFERROR(INDEX($AA$6:$AA$105,MATCH(ROW()-5,$AC$6:$AC$105,0)),"")</f>
        <v/>
      </c>
      <c r="AE92">
        <f>COUNTIFS($Z$6:$Z92,$AF$5,$AA$6:$AA92,"?*")</f>
        <v/>
      </c>
      <c r="AF92">
        <f>IFERROR(INDEX($AA$6:$AA$105,MATCH(ROW()-5,$AE$6:$AE$105,0)),"")</f>
        <v/>
      </c>
      <c r="AG92">
        <f>COUNTIFS($Z$6:$Z92,$AH$5,$AA$6:$AA92,"?*")</f>
        <v/>
      </c>
      <c r="AH92">
        <f>IFERROR(INDEX($AA$6:$AA$105,MATCH(ROW()-5,$AG$6:$AG$105,0)),"")</f>
        <v/>
      </c>
      <c r="AI92">
        <f>COUNTIFS($Z$6:$Z92,$AJ$5,$AA$6:$AA92,"?*")</f>
        <v/>
      </c>
      <c r="AJ92">
        <f>IFERROR(INDEX($AA$6:$AA$105,MATCH(ROW()-5,$AI$6:$AI$105,0)),"")</f>
        <v/>
      </c>
      <c r="AK92">
        <f>COUNTIFS($Z$6:$Z92,$AL$5,$AA$6:$AA92,"?*")</f>
        <v/>
      </c>
      <c r="AL92">
        <f>IFERROR(INDEX($AA$6:$AA$105,MATCH(ROW()-5,$AK$6:$AK$105,0)),"")</f>
        <v/>
      </c>
      <c r="AM92">
        <f>COUNTIFS($Z$6:$Z92,$AN$5,$AA$6:$AA92,"?*")</f>
        <v/>
      </c>
      <c r="AN92">
        <f>IFERROR(INDEX($AA$6:$AA$105,MATCH(ROW()-5,$AM$6:$AM$105,0)),"")</f>
        <v/>
      </c>
      <c r="AO92">
        <f>COUNTIFS($Z$6:$Z92,$AP$5,$AA$6:$AA92,"?*")</f>
        <v/>
      </c>
      <c r="AP92">
        <f>IFERROR(INDEX($AA$6:$AA$105,MATCH(ROW()-5,$AO$6:$AO$105,0)),"")</f>
        <v/>
      </c>
      <c r="AQ92">
        <f>COUNTIFS($Z$6:$Z92,$AR$5,$AA$6:$AA92,"?*")</f>
        <v/>
      </c>
      <c r="AR92">
        <f>IFERROR(INDEX($AA$6:$AA$105,MATCH(ROW()-5,$AQ$6:$AQ$105,0)),"")</f>
        <v/>
      </c>
      <c r="AS92">
        <f>COUNTIFS($Z$6:$Z92,$AT$5,$AA$6:$AA92,"?*")</f>
        <v/>
      </c>
      <c r="AT92">
        <f>IFERROR(INDEX($AA$6:$AA$105,MATCH(ROW()-5,$AS$6:$AS$105,0)),"")</f>
        <v/>
      </c>
      <c r="AU92">
        <f>COUNTIFS($Z$6:$Z92,$AV$5,$AA$6:$AA92,"?*")</f>
        <v/>
      </c>
      <c r="AV92">
        <f>IFERROR(INDEX($AA$6:$AA$105,MATCH(ROW()-5,$AU$6:$AU$105,0)),"")</f>
        <v/>
      </c>
    </row>
    <row r="93">
      <c r="F93">
        <f>IF([1]Accounts!$D$94="","",[1]Accounts!$A$94)</f>
        <v/>
      </c>
      <c r="G93">
        <f>IF([1]Accounts!$D$94="","",[1]Accounts!$B$94)</f>
        <v/>
      </c>
      <c r="H93">
        <f>IF([1]Accounts!$D$94="","",[1]Accounts!$C$94)</f>
        <v/>
      </c>
      <c r="I93">
        <f>IF([1]Accounts!$D$94="","",[1]Accounts!$D$94)</f>
        <v/>
      </c>
      <c r="Y93">
        <f>IF([1]SubGroups!$C$94="","",[1]SubGroups!$A$94)</f>
        <v/>
      </c>
      <c r="Z93">
        <f>IF([1]SubGroups!$C$94="","",[1]SubGroups!$B$94)</f>
        <v/>
      </c>
      <c r="AA93">
        <f>IF([1]SubGroups!$C$94="","",[1]SubGroups!$C$94)</f>
        <v/>
      </c>
      <c r="AC93">
        <f>COUNTIFS($Z$6:$Z93,$AD$5,$AA$6:$AA93,"?*")</f>
        <v/>
      </c>
      <c r="AD93">
        <f>IFERROR(INDEX($AA$6:$AA$105,MATCH(ROW()-5,$AC$6:$AC$105,0)),"")</f>
        <v/>
      </c>
      <c r="AE93">
        <f>COUNTIFS($Z$6:$Z93,$AF$5,$AA$6:$AA93,"?*")</f>
        <v/>
      </c>
      <c r="AF93">
        <f>IFERROR(INDEX($AA$6:$AA$105,MATCH(ROW()-5,$AE$6:$AE$105,0)),"")</f>
        <v/>
      </c>
      <c r="AG93">
        <f>COUNTIFS($Z$6:$Z93,$AH$5,$AA$6:$AA93,"?*")</f>
        <v/>
      </c>
      <c r="AH93">
        <f>IFERROR(INDEX($AA$6:$AA$105,MATCH(ROW()-5,$AG$6:$AG$105,0)),"")</f>
        <v/>
      </c>
      <c r="AI93">
        <f>COUNTIFS($Z$6:$Z93,$AJ$5,$AA$6:$AA93,"?*")</f>
        <v/>
      </c>
      <c r="AJ93">
        <f>IFERROR(INDEX($AA$6:$AA$105,MATCH(ROW()-5,$AI$6:$AI$105,0)),"")</f>
        <v/>
      </c>
      <c r="AK93">
        <f>COUNTIFS($Z$6:$Z93,$AL$5,$AA$6:$AA93,"?*")</f>
        <v/>
      </c>
      <c r="AL93">
        <f>IFERROR(INDEX($AA$6:$AA$105,MATCH(ROW()-5,$AK$6:$AK$105,0)),"")</f>
        <v/>
      </c>
      <c r="AM93">
        <f>COUNTIFS($Z$6:$Z93,$AN$5,$AA$6:$AA93,"?*")</f>
        <v/>
      </c>
      <c r="AN93">
        <f>IFERROR(INDEX($AA$6:$AA$105,MATCH(ROW()-5,$AM$6:$AM$105,0)),"")</f>
        <v/>
      </c>
      <c r="AO93">
        <f>COUNTIFS($Z$6:$Z93,$AP$5,$AA$6:$AA93,"?*")</f>
        <v/>
      </c>
      <c r="AP93">
        <f>IFERROR(INDEX($AA$6:$AA$105,MATCH(ROW()-5,$AO$6:$AO$105,0)),"")</f>
        <v/>
      </c>
      <c r="AQ93">
        <f>COUNTIFS($Z$6:$Z93,$AR$5,$AA$6:$AA93,"?*")</f>
        <v/>
      </c>
      <c r="AR93">
        <f>IFERROR(INDEX($AA$6:$AA$105,MATCH(ROW()-5,$AQ$6:$AQ$105,0)),"")</f>
        <v/>
      </c>
      <c r="AS93">
        <f>COUNTIFS($Z$6:$Z93,$AT$5,$AA$6:$AA93,"?*")</f>
        <v/>
      </c>
      <c r="AT93">
        <f>IFERROR(INDEX($AA$6:$AA$105,MATCH(ROW()-5,$AS$6:$AS$105,0)),"")</f>
        <v/>
      </c>
      <c r="AU93">
        <f>COUNTIFS($Z$6:$Z93,$AV$5,$AA$6:$AA93,"?*")</f>
        <v/>
      </c>
      <c r="AV93">
        <f>IFERROR(INDEX($AA$6:$AA$105,MATCH(ROW()-5,$AU$6:$AU$105,0)),"")</f>
        <v/>
      </c>
    </row>
    <row r="94">
      <c r="F94">
        <f>IF([1]Accounts!$D$95="","",[1]Accounts!$A$95)</f>
        <v/>
      </c>
      <c r="G94">
        <f>IF([1]Accounts!$D$95="","",[1]Accounts!$B$95)</f>
        <v/>
      </c>
      <c r="H94">
        <f>IF([1]Accounts!$D$95="","",[1]Accounts!$C$95)</f>
        <v/>
      </c>
      <c r="I94">
        <f>IF([1]Accounts!$D$95="","",[1]Accounts!$D$95)</f>
        <v/>
      </c>
      <c r="Y94">
        <f>IF([1]SubGroups!$C$95="","",[1]SubGroups!$A$95)</f>
        <v/>
      </c>
      <c r="Z94">
        <f>IF([1]SubGroups!$C$95="","",[1]SubGroups!$B$95)</f>
        <v/>
      </c>
      <c r="AA94">
        <f>IF([1]SubGroups!$C$95="","",[1]SubGroups!$C$95)</f>
        <v/>
      </c>
      <c r="AC94">
        <f>COUNTIFS($Z$6:$Z94,$AD$5,$AA$6:$AA94,"?*")</f>
        <v/>
      </c>
      <c r="AD94">
        <f>IFERROR(INDEX($AA$6:$AA$105,MATCH(ROW()-5,$AC$6:$AC$105,0)),"")</f>
        <v/>
      </c>
      <c r="AE94">
        <f>COUNTIFS($Z$6:$Z94,$AF$5,$AA$6:$AA94,"?*")</f>
        <v/>
      </c>
      <c r="AF94">
        <f>IFERROR(INDEX($AA$6:$AA$105,MATCH(ROW()-5,$AE$6:$AE$105,0)),"")</f>
        <v/>
      </c>
      <c r="AG94">
        <f>COUNTIFS($Z$6:$Z94,$AH$5,$AA$6:$AA94,"?*")</f>
        <v/>
      </c>
      <c r="AH94">
        <f>IFERROR(INDEX($AA$6:$AA$105,MATCH(ROW()-5,$AG$6:$AG$105,0)),"")</f>
        <v/>
      </c>
      <c r="AI94">
        <f>COUNTIFS($Z$6:$Z94,$AJ$5,$AA$6:$AA94,"?*")</f>
        <v/>
      </c>
      <c r="AJ94">
        <f>IFERROR(INDEX($AA$6:$AA$105,MATCH(ROW()-5,$AI$6:$AI$105,0)),"")</f>
        <v/>
      </c>
      <c r="AK94">
        <f>COUNTIFS($Z$6:$Z94,$AL$5,$AA$6:$AA94,"?*")</f>
        <v/>
      </c>
      <c r="AL94">
        <f>IFERROR(INDEX($AA$6:$AA$105,MATCH(ROW()-5,$AK$6:$AK$105,0)),"")</f>
        <v/>
      </c>
      <c r="AM94">
        <f>COUNTIFS($Z$6:$Z94,$AN$5,$AA$6:$AA94,"?*")</f>
        <v/>
      </c>
      <c r="AN94">
        <f>IFERROR(INDEX($AA$6:$AA$105,MATCH(ROW()-5,$AM$6:$AM$105,0)),"")</f>
        <v/>
      </c>
      <c r="AO94">
        <f>COUNTIFS($Z$6:$Z94,$AP$5,$AA$6:$AA94,"?*")</f>
        <v/>
      </c>
      <c r="AP94">
        <f>IFERROR(INDEX($AA$6:$AA$105,MATCH(ROW()-5,$AO$6:$AO$105,0)),"")</f>
        <v/>
      </c>
      <c r="AQ94">
        <f>COUNTIFS($Z$6:$Z94,$AR$5,$AA$6:$AA94,"?*")</f>
        <v/>
      </c>
      <c r="AR94">
        <f>IFERROR(INDEX($AA$6:$AA$105,MATCH(ROW()-5,$AQ$6:$AQ$105,0)),"")</f>
        <v/>
      </c>
      <c r="AS94">
        <f>COUNTIFS($Z$6:$Z94,$AT$5,$AA$6:$AA94,"?*")</f>
        <v/>
      </c>
      <c r="AT94">
        <f>IFERROR(INDEX($AA$6:$AA$105,MATCH(ROW()-5,$AS$6:$AS$105,0)),"")</f>
        <v/>
      </c>
      <c r="AU94">
        <f>COUNTIFS($Z$6:$Z94,$AV$5,$AA$6:$AA94,"?*")</f>
        <v/>
      </c>
      <c r="AV94">
        <f>IFERROR(INDEX($AA$6:$AA$105,MATCH(ROW()-5,$AU$6:$AU$105,0)),"")</f>
        <v/>
      </c>
    </row>
    <row r="95">
      <c r="F95">
        <f>IF([1]Accounts!$D$96="","",[1]Accounts!$A$96)</f>
        <v/>
      </c>
      <c r="G95">
        <f>IF([1]Accounts!$D$96="","",[1]Accounts!$B$96)</f>
        <v/>
      </c>
      <c r="H95">
        <f>IF([1]Accounts!$D$96="","",[1]Accounts!$C$96)</f>
        <v/>
      </c>
      <c r="I95">
        <f>IF([1]Accounts!$D$96="","",[1]Accounts!$D$96)</f>
        <v/>
      </c>
      <c r="Y95">
        <f>IF([1]SubGroups!$C$96="","",[1]SubGroups!$A$96)</f>
        <v/>
      </c>
      <c r="Z95">
        <f>IF([1]SubGroups!$C$96="","",[1]SubGroups!$B$96)</f>
        <v/>
      </c>
      <c r="AA95">
        <f>IF([1]SubGroups!$C$96="","",[1]SubGroups!$C$96)</f>
        <v/>
      </c>
      <c r="AC95">
        <f>COUNTIFS($Z$6:$Z95,$AD$5,$AA$6:$AA95,"?*")</f>
        <v/>
      </c>
      <c r="AD95">
        <f>IFERROR(INDEX($AA$6:$AA$105,MATCH(ROW()-5,$AC$6:$AC$105,0)),"")</f>
        <v/>
      </c>
      <c r="AE95">
        <f>COUNTIFS($Z$6:$Z95,$AF$5,$AA$6:$AA95,"?*")</f>
        <v/>
      </c>
      <c r="AF95">
        <f>IFERROR(INDEX($AA$6:$AA$105,MATCH(ROW()-5,$AE$6:$AE$105,0)),"")</f>
        <v/>
      </c>
      <c r="AG95">
        <f>COUNTIFS($Z$6:$Z95,$AH$5,$AA$6:$AA95,"?*")</f>
        <v/>
      </c>
      <c r="AH95">
        <f>IFERROR(INDEX($AA$6:$AA$105,MATCH(ROW()-5,$AG$6:$AG$105,0)),"")</f>
        <v/>
      </c>
      <c r="AI95">
        <f>COUNTIFS($Z$6:$Z95,$AJ$5,$AA$6:$AA95,"?*")</f>
        <v/>
      </c>
      <c r="AJ95">
        <f>IFERROR(INDEX($AA$6:$AA$105,MATCH(ROW()-5,$AI$6:$AI$105,0)),"")</f>
        <v/>
      </c>
      <c r="AK95">
        <f>COUNTIFS($Z$6:$Z95,$AL$5,$AA$6:$AA95,"?*")</f>
        <v/>
      </c>
      <c r="AL95">
        <f>IFERROR(INDEX($AA$6:$AA$105,MATCH(ROW()-5,$AK$6:$AK$105,0)),"")</f>
        <v/>
      </c>
      <c r="AM95">
        <f>COUNTIFS($Z$6:$Z95,$AN$5,$AA$6:$AA95,"?*")</f>
        <v/>
      </c>
      <c r="AN95">
        <f>IFERROR(INDEX($AA$6:$AA$105,MATCH(ROW()-5,$AM$6:$AM$105,0)),"")</f>
        <v/>
      </c>
      <c r="AO95">
        <f>COUNTIFS($Z$6:$Z95,$AP$5,$AA$6:$AA95,"?*")</f>
        <v/>
      </c>
      <c r="AP95">
        <f>IFERROR(INDEX($AA$6:$AA$105,MATCH(ROW()-5,$AO$6:$AO$105,0)),"")</f>
        <v/>
      </c>
      <c r="AQ95">
        <f>COUNTIFS($Z$6:$Z95,$AR$5,$AA$6:$AA95,"?*")</f>
        <v/>
      </c>
      <c r="AR95">
        <f>IFERROR(INDEX($AA$6:$AA$105,MATCH(ROW()-5,$AQ$6:$AQ$105,0)),"")</f>
        <v/>
      </c>
      <c r="AS95">
        <f>COUNTIFS($Z$6:$Z95,$AT$5,$AA$6:$AA95,"?*")</f>
        <v/>
      </c>
      <c r="AT95">
        <f>IFERROR(INDEX($AA$6:$AA$105,MATCH(ROW()-5,$AS$6:$AS$105,0)),"")</f>
        <v/>
      </c>
      <c r="AU95">
        <f>COUNTIFS($Z$6:$Z95,$AV$5,$AA$6:$AA95,"?*")</f>
        <v/>
      </c>
      <c r="AV95">
        <f>IFERROR(INDEX($AA$6:$AA$105,MATCH(ROW()-5,$AU$6:$AU$105,0)),"")</f>
        <v/>
      </c>
    </row>
    <row r="96">
      <c r="F96">
        <f>IF([1]Accounts!$D$97="","",[1]Accounts!$A$97)</f>
        <v/>
      </c>
      <c r="G96">
        <f>IF([1]Accounts!$D$97="","",[1]Accounts!$B$97)</f>
        <v/>
      </c>
      <c r="H96">
        <f>IF([1]Accounts!$D$97="","",[1]Accounts!$C$97)</f>
        <v/>
      </c>
      <c r="I96">
        <f>IF([1]Accounts!$D$97="","",[1]Accounts!$D$97)</f>
        <v/>
      </c>
      <c r="Y96">
        <f>IF([1]SubGroups!$C$97="","",[1]SubGroups!$A$97)</f>
        <v/>
      </c>
      <c r="Z96">
        <f>IF([1]SubGroups!$C$97="","",[1]SubGroups!$B$97)</f>
        <v/>
      </c>
      <c r="AA96">
        <f>IF([1]SubGroups!$C$97="","",[1]SubGroups!$C$97)</f>
        <v/>
      </c>
      <c r="AC96">
        <f>COUNTIFS($Z$6:$Z96,$AD$5,$AA$6:$AA96,"?*")</f>
        <v/>
      </c>
      <c r="AD96">
        <f>IFERROR(INDEX($AA$6:$AA$105,MATCH(ROW()-5,$AC$6:$AC$105,0)),"")</f>
        <v/>
      </c>
      <c r="AE96">
        <f>COUNTIFS($Z$6:$Z96,$AF$5,$AA$6:$AA96,"?*")</f>
        <v/>
      </c>
      <c r="AF96">
        <f>IFERROR(INDEX($AA$6:$AA$105,MATCH(ROW()-5,$AE$6:$AE$105,0)),"")</f>
        <v/>
      </c>
      <c r="AG96">
        <f>COUNTIFS($Z$6:$Z96,$AH$5,$AA$6:$AA96,"?*")</f>
        <v/>
      </c>
      <c r="AH96">
        <f>IFERROR(INDEX($AA$6:$AA$105,MATCH(ROW()-5,$AG$6:$AG$105,0)),"")</f>
        <v/>
      </c>
      <c r="AI96">
        <f>COUNTIFS($Z$6:$Z96,$AJ$5,$AA$6:$AA96,"?*")</f>
        <v/>
      </c>
      <c r="AJ96">
        <f>IFERROR(INDEX($AA$6:$AA$105,MATCH(ROW()-5,$AI$6:$AI$105,0)),"")</f>
        <v/>
      </c>
      <c r="AK96">
        <f>COUNTIFS($Z$6:$Z96,$AL$5,$AA$6:$AA96,"?*")</f>
        <v/>
      </c>
      <c r="AL96">
        <f>IFERROR(INDEX($AA$6:$AA$105,MATCH(ROW()-5,$AK$6:$AK$105,0)),"")</f>
        <v/>
      </c>
      <c r="AM96">
        <f>COUNTIFS($Z$6:$Z96,$AN$5,$AA$6:$AA96,"?*")</f>
        <v/>
      </c>
      <c r="AN96">
        <f>IFERROR(INDEX($AA$6:$AA$105,MATCH(ROW()-5,$AM$6:$AM$105,0)),"")</f>
        <v/>
      </c>
      <c r="AO96">
        <f>COUNTIFS($Z$6:$Z96,$AP$5,$AA$6:$AA96,"?*")</f>
        <v/>
      </c>
      <c r="AP96">
        <f>IFERROR(INDEX($AA$6:$AA$105,MATCH(ROW()-5,$AO$6:$AO$105,0)),"")</f>
        <v/>
      </c>
      <c r="AQ96">
        <f>COUNTIFS($Z$6:$Z96,$AR$5,$AA$6:$AA96,"?*")</f>
        <v/>
      </c>
      <c r="AR96">
        <f>IFERROR(INDEX($AA$6:$AA$105,MATCH(ROW()-5,$AQ$6:$AQ$105,0)),"")</f>
        <v/>
      </c>
      <c r="AS96">
        <f>COUNTIFS($Z$6:$Z96,$AT$5,$AA$6:$AA96,"?*")</f>
        <v/>
      </c>
      <c r="AT96">
        <f>IFERROR(INDEX($AA$6:$AA$105,MATCH(ROW()-5,$AS$6:$AS$105,0)),"")</f>
        <v/>
      </c>
      <c r="AU96">
        <f>COUNTIFS($Z$6:$Z96,$AV$5,$AA$6:$AA96,"?*")</f>
        <v/>
      </c>
      <c r="AV96">
        <f>IFERROR(INDEX($AA$6:$AA$105,MATCH(ROW()-5,$AU$6:$AU$105,0)),"")</f>
        <v/>
      </c>
    </row>
    <row r="97">
      <c r="F97">
        <f>IF([1]Accounts!$D$98="","",[1]Accounts!$A$98)</f>
        <v/>
      </c>
      <c r="G97">
        <f>IF([1]Accounts!$D$98="","",[1]Accounts!$B$98)</f>
        <v/>
      </c>
      <c r="H97">
        <f>IF([1]Accounts!$D$98="","",[1]Accounts!$C$98)</f>
        <v/>
      </c>
      <c r="I97">
        <f>IF([1]Accounts!$D$98="","",[1]Accounts!$D$98)</f>
        <v/>
      </c>
      <c r="Y97">
        <f>IF([1]SubGroups!$C$98="","",[1]SubGroups!$A$98)</f>
        <v/>
      </c>
      <c r="Z97">
        <f>IF([1]SubGroups!$C$98="","",[1]SubGroups!$B$98)</f>
        <v/>
      </c>
      <c r="AA97">
        <f>IF([1]SubGroups!$C$98="","",[1]SubGroups!$C$98)</f>
        <v/>
      </c>
      <c r="AC97">
        <f>COUNTIFS($Z$6:$Z97,$AD$5,$AA$6:$AA97,"?*")</f>
        <v/>
      </c>
      <c r="AD97">
        <f>IFERROR(INDEX($AA$6:$AA$105,MATCH(ROW()-5,$AC$6:$AC$105,0)),"")</f>
        <v/>
      </c>
      <c r="AE97">
        <f>COUNTIFS($Z$6:$Z97,$AF$5,$AA$6:$AA97,"?*")</f>
        <v/>
      </c>
      <c r="AF97">
        <f>IFERROR(INDEX($AA$6:$AA$105,MATCH(ROW()-5,$AE$6:$AE$105,0)),"")</f>
        <v/>
      </c>
      <c r="AG97">
        <f>COUNTIFS($Z$6:$Z97,$AH$5,$AA$6:$AA97,"?*")</f>
        <v/>
      </c>
      <c r="AH97">
        <f>IFERROR(INDEX($AA$6:$AA$105,MATCH(ROW()-5,$AG$6:$AG$105,0)),"")</f>
        <v/>
      </c>
      <c r="AI97">
        <f>COUNTIFS($Z$6:$Z97,$AJ$5,$AA$6:$AA97,"?*")</f>
        <v/>
      </c>
      <c r="AJ97">
        <f>IFERROR(INDEX($AA$6:$AA$105,MATCH(ROW()-5,$AI$6:$AI$105,0)),"")</f>
        <v/>
      </c>
      <c r="AK97">
        <f>COUNTIFS($Z$6:$Z97,$AL$5,$AA$6:$AA97,"?*")</f>
        <v/>
      </c>
      <c r="AL97">
        <f>IFERROR(INDEX($AA$6:$AA$105,MATCH(ROW()-5,$AK$6:$AK$105,0)),"")</f>
        <v/>
      </c>
      <c r="AM97">
        <f>COUNTIFS($Z$6:$Z97,$AN$5,$AA$6:$AA97,"?*")</f>
        <v/>
      </c>
      <c r="AN97">
        <f>IFERROR(INDEX($AA$6:$AA$105,MATCH(ROW()-5,$AM$6:$AM$105,0)),"")</f>
        <v/>
      </c>
      <c r="AO97">
        <f>COUNTIFS($Z$6:$Z97,$AP$5,$AA$6:$AA97,"?*")</f>
        <v/>
      </c>
      <c r="AP97">
        <f>IFERROR(INDEX($AA$6:$AA$105,MATCH(ROW()-5,$AO$6:$AO$105,0)),"")</f>
        <v/>
      </c>
      <c r="AQ97">
        <f>COUNTIFS($Z$6:$Z97,$AR$5,$AA$6:$AA97,"?*")</f>
        <v/>
      </c>
      <c r="AR97">
        <f>IFERROR(INDEX($AA$6:$AA$105,MATCH(ROW()-5,$AQ$6:$AQ$105,0)),"")</f>
        <v/>
      </c>
      <c r="AS97">
        <f>COUNTIFS($Z$6:$Z97,$AT$5,$AA$6:$AA97,"?*")</f>
        <v/>
      </c>
      <c r="AT97">
        <f>IFERROR(INDEX($AA$6:$AA$105,MATCH(ROW()-5,$AS$6:$AS$105,0)),"")</f>
        <v/>
      </c>
      <c r="AU97">
        <f>COUNTIFS($Z$6:$Z97,$AV$5,$AA$6:$AA97,"?*")</f>
        <v/>
      </c>
      <c r="AV97">
        <f>IFERROR(INDEX($AA$6:$AA$105,MATCH(ROW()-5,$AU$6:$AU$105,0)),"")</f>
        <v/>
      </c>
    </row>
    <row r="98">
      <c r="F98">
        <f>IF([1]Accounts!$D$99="","",[1]Accounts!$A$99)</f>
        <v/>
      </c>
      <c r="G98">
        <f>IF([1]Accounts!$D$99="","",[1]Accounts!$B$99)</f>
        <v/>
      </c>
      <c r="H98">
        <f>IF([1]Accounts!$D$99="","",[1]Accounts!$C$99)</f>
        <v/>
      </c>
      <c r="I98">
        <f>IF([1]Accounts!$D$99="","",[1]Accounts!$D$99)</f>
        <v/>
      </c>
      <c r="Y98">
        <f>IF([1]SubGroups!$C$99="","",[1]SubGroups!$A$99)</f>
        <v/>
      </c>
      <c r="Z98">
        <f>IF([1]SubGroups!$C$99="","",[1]SubGroups!$B$99)</f>
        <v/>
      </c>
      <c r="AA98">
        <f>IF([1]SubGroups!$C$99="","",[1]SubGroups!$C$99)</f>
        <v/>
      </c>
      <c r="AC98">
        <f>COUNTIFS($Z$6:$Z98,$AD$5,$AA$6:$AA98,"?*")</f>
        <v/>
      </c>
      <c r="AD98">
        <f>IFERROR(INDEX($AA$6:$AA$105,MATCH(ROW()-5,$AC$6:$AC$105,0)),"")</f>
        <v/>
      </c>
      <c r="AE98">
        <f>COUNTIFS($Z$6:$Z98,$AF$5,$AA$6:$AA98,"?*")</f>
        <v/>
      </c>
      <c r="AF98">
        <f>IFERROR(INDEX($AA$6:$AA$105,MATCH(ROW()-5,$AE$6:$AE$105,0)),"")</f>
        <v/>
      </c>
      <c r="AG98">
        <f>COUNTIFS($Z$6:$Z98,$AH$5,$AA$6:$AA98,"?*")</f>
        <v/>
      </c>
      <c r="AH98">
        <f>IFERROR(INDEX($AA$6:$AA$105,MATCH(ROW()-5,$AG$6:$AG$105,0)),"")</f>
        <v/>
      </c>
      <c r="AI98">
        <f>COUNTIFS($Z$6:$Z98,$AJ$5,$AA$6:$AA98,"?*")</f>
        <v/>
      </c>
      <c r="AJ98">
        <f>IFERROR(INDEX($AA$6:$AA$105,MATCH(ROW()-5,$AI$6:$AI$105,0)),"")</f>
        <v/>
      </c>
      <c r="AK98">
        <f>COUNTIFS($Z$6:$Z98,$AL$5,$AA$6:$AA98,"?*")</f>
        <v/>
      </c>
      <c r="AL98">
        <f>IFERROR(INDEX($AA$6:$AA$105,MATCH(ROW()-5,$AK$6:$AK$105,0)),"")</f>
        <v/>
      </c>
      <c r="AM98">
        <f>COUNTIFS($Z$6:$Z98,$AN$5,$AA$6:$AA98,"?*")</f>
        <v/>
      </c>
      <c r="AN98">
        <f>IFERROR(INDEX($AA$6:$AA$105,MATCH(ROW()-5,$AM$6:$AM$105,0)),"")</f>
        <v/>
      </c>
      <c r="AO98">
        <f>COUNTIFS($Z$6:$Z98,$AP$5,$AA$6:$AA98,"?*")</f>
        <v/>
      </c>
      <c r="AP98">
        <f>IFERROR(INDEX($AA$6:$AA$105,MATCH(ROW()-5,$AO$6:$AO$105,0)),"")</f>
        <v/>
      </c>
      <c r="AQ98">
        <f>COUNTIFS($Z$6:$Z98,$AR$5,$AA$6:$AA98,"?*")</f>
        <v/>
      </c>
      <c r="AR98">
        <f>IFERROR(INDEX($AA$6:$AA$105,MATCH(ROW()-5,$AQ$6:$AQ$105,0)),"")</f>
        <v/>
      </c>
      <c r="AS98">
        <f>COUNTIFS($Z$6:$Z98,$AT$5,$AA$6:$AA98,"?*")</f>
        <v/>
      </c>
      <c r="AT98">
        <f>IFERROR(INDEX($AA$6:$AA$105,MATCH(ROW()-5,$AS$6:$AS$105,0)),"")</f>
        <v/>
      </c>
      <c r="AU98">
        <f>COUNTIFS($Z$6:$Z98,$AV$5,$AA$6:$AA98,"?*")</f>
        <v/>
      </c>
      <c r="AV98">
        <f>IFERROR(INDEX($AA$6:$AA$105,MATCH(ROW()-5,$AU$6:$AU$105,0)),"")</f>
        <v/>
      </c>
    </row>
    <row r="99">
      <c r="F99">
        <f>IF([1]Accounts!$D$100="","",[1]Accounts!$A$100)</f>
        <v/>
      </c>
      <c r="G99">
        <f>IF([1]Accounts!$D$100="","",[1]Accounts!$B$100)</f>
        <v/>
      </c>
      <c r="H99">
        <f>IF([1]Accounts!$D$100="","",[1]Accounts!$C$100)</f>
        <v/>
      </c>
      <c r="I99">
        <f>IF([1]Accounts!$D$100="","",[1]Accounts!$D$100)</f>
        <v/>
      </c>
      <c r="Y99">
        <f>IF([1]SubGroups!$C$100="","",[1]SubGroups!$A$100)</f>
        <v/>
      </c>
      <c r="Z99">
        <f>IF([1]SubGroups!$C$100="","",[1]SubGroups!$B$100)</f>
        <v/>
      </c>
      <c r="AA99">
        <f>IF([1]SubGroups!$C$100="","",[1]SubGroups!$C$100)</f>
        <v/>
      </c>
      <c r="AC99">
        <f>COUNTIFS($Z$6:$Z99,$AD$5,$AA$6:$AA99,"?*")</f>
        <v/>
      </c>
      <c r="AD99">
        <f>IFERROR(INDEX($AA$6:$AA$105,MATCH(ROW()-5,$AC$6:$AC$105,0)),"")</f>
        <v/>
      </c>
      <c r="AE99">
        <f>COUNTIFS($Z$6:$Z99,$AF$5,$AA$6:$AA99,"?*")</f>
        <v/>
      </c>
      <c r="AF99">
        <f>IFERROR(INDEX($AA$6:$AA$105,MATCH(ROW()-5,$AE$6:$AE$105,0)),"")</f>
        <v/>
      </c>
      <c r="AG99">
        <f>COUNTIFS($Z$6:$Z99,$AH$5,$AA$6:$AA99,"?*")</f>
        <v/>
      </c>
      <c r="AH99">
        <f>IFERROR(INDEX($AA$6:$AA$105,MATCH(ROW()-5,$AG$6:$AG$105,0)),"")</f>
        <v/>
      </c>
      <c r="AI99">
        <f>COUNTIFS($Z$6:$Z99,$AJ$5,$AA$6:$AA99,"?*")</f>
        <v/>
      </c>
      <c r="AJ99">
        <f>IFERROR(INDEX($AA$6:$AA$105,MATCH(ROW()-5,$AI$6:$AI$105,0)),"")</f>
        <v/>
      </c>
      <c r="AK99">
        <f>COUNTIFS($Z$6:$Z99,$AL$5,$AA$6:$AA99,"?*")</f>
        <v/>
      </c>
      <c r="AL99">
        <f>IFERROR(INDEX($AA$6:$AA$105,MATCH(ROW()-5,$AK$6:$AK$105,0)),"")</f>
        <v/>
      </c>
      <c r="AM99">
        <f>COUNTIFS($Z$6:$Z99,$AN$5,$AA$6:$AA99,"?*")</f>
        <v/>
      </c>
      <c r="AN99">
        <f>IFERROR(INDEX($AA$6:$AA$105,MATCH(ROW()-5,$AM$6:$AM$105,0)),"")</f>
        <v/>
      </c>
      <c r="AO99">
        <f>COUNTIFS($Z$6:$Z99,$AP$5,$AA$6:$AA99,"?*")</f>
        <v/>
      </c>
      <c r="AP99">
        <f>IFERROR(INDEX($AA$6:$AA$105,MATCH(ROW()-5,$AO$6:$AO$105,0)),"")</f>
        <v/>
      </c>
      <c r="AQ99">
        <f>COUNTIFS($Z$6:$Z99,$AR$5,$AA$6:$AA99,"?*")</f>
        <v/>
      </c>
      <c r="AR99">
        <f>IFERROR(INDEX($AA$6:$AA$105,MATCH(ROW()-5,$AQ$6:$AQ$105,0)),"")</f>
        <v/>
      </c>
      <c r="AS99">
        <f>COUNTIFS($Z$6:$Z99,$AT$5,$AA$6:$AA99,"?*")</f>
        <v/>
      </c>
      <c r="AT99">
        <f>IFERROR(INDEX($AA$6:$AA$105,MATCH(ROW()-5,$AS$6:$AS$105,0)),"")</f>
        <v/>
      </c>
      <c r="AU99">
        <f>COUNTIFS($Z$6:$Z99,$AV$5,$AA$6:$AA99,"?*")</f>
        <v/>
      </c>
      <c r="AV99">
        <f>IFERROR(INDEX($AA$6:$AA$105,MATCH(ROW()-5,$AU$6:$AU$105,0)),"")</f>
        <v/>
      </c>
    </row>
    <row r="100">
      <c r="F100">
        <f>IF([1]Accounts!$D$101="","",[1]Accounts!$A$101)</f>
        <v/>
      </c>
      <c r="G100">
        <f>IF([1]Accounts!$D$101="","",[1]Accounts!$B$101)</f>
        <v/>
      </c>
      <c r="H100">
        <f>IF([1]Accounts!$D$101="","",[1]Accounts!$C$101)</f>
        <v/>
      </c>
      <c r="I100">
        <f>IF([1]Accounts!$D$101="","",[1]Accounts!$D$101)</f>
        <v/>
      </c>
      <c r="Y100">
        <f>IF([1]SubGroups!$C$101="","",[1]SubGroups!$A$101)</f>
        <v/>
      </c>
      <c r="Z100">
        <f>IF([1]SubGroups!$C$101="","",[1]SubGroups!$B$101)</f>
        <v/>
      </c>
      <c r="AA100">
        <f>IF([1]SubGroups!$C$101="","",[1]SubGroups!$C$101)</f>
        <v/>
      </c>
      <c r="AC100">
        <f>COUNTIFS($Z$6:$Z100,$AD$5,$AA$6:$AA100,"?*")</f>
        <v/>
      </c>
      <c r="AD100">
        <f>IFERROR(INDEX($AA$6:$AA$105,MATCH(ROW()-5,$AC$6:$AC$105,0)),"")</f>
        <v/>
      </c>
      <c r="AE100">
        <f>COUNTIFS($Z$6:$Z100,$AF$5,$AA$6:$AA100,"?*")</f>
        <v/>
      </c>
      <c r="AF100">
        <f>IFERROR(INDEX($AA$6:$AA$105,MATCH(ROW()-5,$AE$6:$AE$105,0)),"")</f>
        <v/>
      </c>
      <c r="AG100">
        <f>COUNTIFS($Z$6:$Z100,$AH$5,$AA$6:$AA100,"?*")</f>
        <v/>
      </c>
      <c r="AH100">
        <f>IFERROR(INDEX($AA$6:$AA$105,MATCH(ROW()-5,$AG$6:$AG$105,0)),"")</f>
        <v/>
      </c>
      <c r="AI100">
        <f>COUNTIFS($Z$6:$Z100,$AJ$5,$AA$6:$AA100,"?*")</f>
        <v/>
      </c>
      <c r="AJ100">
        <f>IFERROR(INDEX($AA$6:$AA$105,MATCH(ROW()-5,$AI$6:$AI$105,0)),"")</f>
        <v/>
      </c>
      <c r="AK100">
        <f>COUNTIFS($Z$6:$Z100,$AL$5,$AA$6:$AA100,"?*")</f>
        <v/>
      </c>
      <c r="AL100">
        <f>IFERROR(INDEX($AA$6:$AA$105,MATCH(ROW()-5,$AK$6:$AK$105,0)),"")</f>
        <v/>
      </c>
      <c r="AM100">
        <f>COUNTIFS($Z$6:$Z100,$AN$5,$AA$6:$AA100,"?*")</f>
        <v/>
      </c>
      <c r="AN100">
        <f>IFERROR(INDEX($AA$6:$AA$105,MATCH(ROW()-5,$AM$6:$AM$105,0)),"")</f>
        <v/>
      </c>
      <c r="AO100">
        <f>COUNTIFS($Z$6:$Z100,$AP$5,$AA$6:$AA100,"?*")</f>
        <v/>
      </c>
      <c r="AP100">
        <f>IFERROR(INDEX($AA$6:$AA$105,MATCH(ROW()-5,$AO$6:$AO$105,0)),"")</f>
        <v/>
      </c>
      <c r="AQ100">
        <f>COUNTIFS($Z$6:$Z100,$AR$5,$AA$6:$AA100,"?*")</f>
        <v/>
      </c>
      <c r="AR100">
        <f>IFERROR(INDEX($AA$6:$AA$105,MATCH(ROW()-5,$AQ$6:$AQ$105,0)),"")</f>
        <v/>
      </c>
      <c r="AS100">
        <f>COUNTIFS($Z$6:$Z100,$AT$5,$AA$6:$AA100,"?*")</f>
        <v/>
      </c>
      <c r="AT100">
        <f>IFERROR(INDEX($AA$6:$AA$105,MATCH(ROW()-5,$AS$6:$AS$105,0)),"")</f>
        <v/>
      </c>
      <c r="AU100">
        <f>COUNTIFS($Z$6:$Z100,$AV$5,$AA$6:$AA100,"?*")</f>
        <v/>
      </c>
      <c r="AV100">
        <f>IFERROR(INDEX($AA$6:$AA$105,MATCH(ROW()-5,$AU$6:$AU$105,0)),"")</f>
        <v/>
      </c>
    </row>
    <row r="101">
      <c r="F101">
        <f>IF([1]Accounts!$D$102="","",[1]Accounts!$A$102)</f>
        <v/>
      </c>
      <c r="G101">
        <f>IF([1]Accounts!$D$102="","",[1]Accounts!$B$102)</f>
        <v/>
      </c>
      <c r="H101">
        <f>IF([1]Accounts!$D$102="","",[1]Accounts!$C$102)</f>
        <v/>
      </c>
      <c r="I101">
        <f>IF([1]Accounts!$D$102="","",[1]Accounts!$D$102)</f>
        <v/>
      </c>
      <c r="Y101">
        <f>IF([1]SubGroups!$C$102="","",[1]SubGroups!$A$102)</f>
        <v/>
      </c>
      <c r="Z101">
        <f>IF([1]SubGroups!$C$102="","",[1]SubGroups!$B$102)</f>
        <v/>
      </c>
      <c r="AA101">
        <f>IF([1]SubGroups!$C$102="","",[1]SubGroups!$C$102)</f>
        <v/>
      </c>
      <c r="AC101">
        <f>COUNTIFS($Z$6:$Z101,$AD$5,$AA$6:$AA101,"?*")</f>
        <v/>
      </c>
      <c r="AD101">
        <f>IFERROR(INDEX($AA$6:$AA$105,MATCH(ROW()-5,$AC$6:$AC$105,0)),"")</f>
        <v/>
      </c>
      <c r="AE101">
        <f>COUNTIFS($Z$6:$Z101,$AF$5,$AA$6:$AA101,"?*")</f>
        <v/>
      </c>
      <c r="AF101">
        <f>IFERROR(INDEX($AA$6:$AA$105,MATCH(ROW()-5,$AE$6:$AE$105,0)),"")</f>
        <v/>
      </c>
      <c r="AG101">
        <f>COUNTIFS($Z$6:$Z101,$AH$5,$AA$6:$AA101,"?*")</f>
        <v/>
      </c>
      <c r="AH101">
        <f>IFERROR(INDEX($AA$6:$AA$105,MATCH(ROW()-5,$AG$6:$AG$105,0)),"")</f>
        <v/>
      </c>
      <c r="AI101">
        <f>COUNTIFS($Z$6:$Z101,$AJ$5,$AA$6:$AA101,"?*")</f>
        <v/>
      </c>
      <c r="AJ101">
        <f>IFERROR(INDEX($AA$6:$AA$105,MATCH(ROW()-5,$AI$6:$AI$105,0)),"")</f>
        <v/>
      </c>
      <c r="AK101">
        <f>COUNTIFS($Z$6:$Z101,$AL$5,$AA$6:$AA101,"?*")</f>
        <v/>
      </c>
      <c r="AL101">
        <f>IFERROR(INDEX($AA$6:$AA$105,MATCH(ROW()-5,$AK$6:$AK$105,0)),"")</f>
        <v/>
      </c>
      <c r="AM101">
        <f>COUNTIFS($Z$6:$Z101,$AN$5,$AA$6:$AA101,"?*")</f>
        <v/>
      </c>
      <c r="AN101">
        <f>IFERROR(INDEX($AA$6:$AA$105,MATCH(ROW()-5,$AM$6:$AM$105,0)),"")</f>
        <v/>
      </c>
      <c r="AO101">
        <f>COUNTIFS($Z$6:$Z101,$AP$5,$AA$6:$AA101,"?*")</f>
        <v/>
      </c>
      <c r="AP101">
        <f>IFERROR(INDEX($AA$6:$AA$105,MATCH(ROW()-5,$AO$6:$AO$105,0)),"")</f>
        <v/>
      </c>
      <c r="AQ101">
        <f>COUNTIFS($Z$6:$Z101,$AR$5,$AA$6:$AA101,"?*")</f>
        <v/>
      </c>
      <c r="AR101">
        <f>IFERROR(INDEX($AA$6:$AA$105,MATCH(ROW()-5,$AQ$6:$AQ$105,0)),"")</f>
        <v/>
      </c>
      <c r="AS101">
        <f>COUNTIFS($Z$6:$Z101,$AT$5,$AA$6:$AA101,"?*")</f>
        <v/>
      </c>
      <c r="AT101">
        <f>IFERROR(INDEX($AA$6:$AA$105,MATCH(ROW()-5,$AS$6:$AS$105,0)),"")</f>
        <v/>
      </c>
      <c r="AU101">
        <f>COUNTIFS($Z$6:$Z101,$AV$5,$AA$6:$AA101,"?*")</f>
        <v/>
      </c>
      <c r="AV101">
        <f>IFERROR(INDEX($AA$6:$AA$105,MATCH(ROW()-5,$AU$6:$AU$105,0)),"")</f>
        <v/>
      </c>
    </row>
    <row r="102">
      <c r="F102">
        <f>IF([1]Accounts!$D$103="","",[1]Accounts!$A$103)</f>
        <v/>
      </c>
      <c r="G102">
        <f>IF([1]Accounts!$D$103="","",[1]Accounts!$B$103)</f>
        <v/>
      </c>
      <c r="H102">
        <f>IF([1]Accounts!$D$103="","",[1]Accounts!$C$103)</f>
        <v/>
      </c>
      <c r="I102">
        <f>IF([1]Accounts!$D$103="","",[1]Accounts!$D$103)</f>
        <v/>
      </c>
      <c r="Y102">
        <f>IF([1]SubGroups!$C$103="","",[1]SubGroups!$A$103)</f>
        <v/>
      </c>
      <c r="Z102">
        <f>IF([1]SubGroups!$C$103="","",[1]SubGroups!$B$103)</f>
        <v/>
      </c>
      <c r="AA102">
        <f>IF([1]SubGroups!$C$103="","",[1]SubGroups!$C$103)</f>
        <v/>
      </c>
      <c r="AC102">
        <f>COUNTIFS($Z$6:$Z102,$AD$5,$AA$6:$AA102,"?*")</f>
        <v/>
      </c>
      <c r="AD102">
        <f>IFERROR(INDEX($AA$6:$AA$105,MATCH(ROW()-5,$AC$6:$AC$105,0)),"")</f>
        <v/>
      </c>
      <c r="AE102">
        <f>COUNTIFS($Z$6:$Z102,$AF$5,$AA$6:$AA102,"?*")</f>
        <v/>
      </c>
      <c r="AF102">
        <f>IFERROR(INDEX($AA$6:$AA$105,MATCH(ROW()-5,$AE$6:$AE$105,0)),"")</f>
        <v/>
      </c>
      <c r="AG102">
        <f>COUNTIFS($Z$6:$Z102,$AH$5,$AA$6:$AA102,"?*")</f>
        <v/>
      </c>
      <c r="AH102">
        <f>IFERROR(INDEX($AA$6:$AA$105,MATCH(ROW()-5,$AG$6:$AG$105,0)),"")</f>
        <v/>
      </c>
      <c r="AI102">
        <f>COUNTIFS($Z$6:$Z102,$AJ$5,$AA$6:$AA102,"?*")</f>
        <v/>
      </c>
      <c r="AJ102">
        <f>IFERROR(INDEX($AA$6:$AA$105,MATCH(ROW()-5,$AI$6:$AI$105,0)),"")</f>
        <v/>
      </c>
      <c r="AK102">
        <f>COUNTIFS($Z$6:$Z102,$AL$5,$AA$6:$AA102,"?*")</f>
        <v/>
      </c>
      <c r="AL102">
        <f>IFERROR(INDEX($AA$6:$AA$105,MATCH(ROW()-5,$AK$6:$AK$105,0)),"")</f>
        <v/>
      </c>
      <c r="AM102">
        <f>COUNTIFS($Z$6:$Z102,$AN$5,$AA$6:$AA102,"?*")</f>
        <v/>
      </c>
      <c r="AN102">
        <f>IFERROR(INDEX($AA$6:$AA$105,MATCH(ROW()-5,$AM$6:$AM$105,0)),"")</f>
        <v/>
      </c>
      <c r="AO102">
        <f>COUNTIFS($Z$6:$Z102,$AP$5,$AA$6:$AA102,"?*")</f>
        <v/>
      </c>
      <c r="AP102">
        <f>IFERROR(INDEX($AA$6:$AA$105,MATCH(ROW()-5,$AO$6:$AO$105,0)),"")</f>
        <v/>
      </c>
      <c r="AQ102">
        <f>COUNTIFS($Z$6:$Z102,$AR$5,$AA$6:$AA102,"?*")</f>
        <v/>
      </c>
      <c r="AR102">
        <f>IFERROR(INDEX($AA$6:$AA$105,MATCH(ROW()-5,$AQ$6:$AQ$105,0)),"")</f>
        <v/>
      </c>
      <c r="AS102">
        <f>COUNTIFS($Z$6:$Z102,$AT$5,$AA$6:$AA102,"?*")</f>
        <v/>
      </c>
      <c r="AT102">
        <f>IFERROR(INDEX($AA$6:$AA$105,MATCH(ROW()-5,$AS$6:$AS$105,0)),"")</f>
        <v/>
      </c>
      <c r="AU102">
        <f>COUNTIFS($Z$6:$Z102,$AV$5,$AA$6:$AA102,"?*")</f>
        <v/>
      </c>
      <c r="AV102">
        <f>IFERROR(INDEX($AA$6:$AA$105,MATCH(ROW()-5,$AU$6:$AU$105,0)),"")</f>
        <v/>
      </c>
    </row>
    <row r="103">
      <c r="F103">
        <f>IF([1]Accounts!$D$104="","",[1]Accounts!$A$104)</f>
        <v/>
      </c>
      <c r="G103">
        <f>IF([1]Accounts!$D$104="","",[1]Accounts!$B$104)</f>
        <v/>
      </c>
      <c r="H103">
        <f>IF([1]Accounts!$D$104="","",[1]Accounts!$C$104)</f>
        <v/>
      </c>
      <c r="I103">
        <f>IF([1]Accounts!$D$104="","",[1]Accounts!$D$104)</f>
        <v/>
      </c>
      <c r="Y103">
        <f>IF([1]SubGroups!$C$104="","",[1]SubGroups!$A$104)</f>
        <v/>
      </c>
      <c r="Z103">
        <f>IF([1]SubGroups!$C$104="","",[1]SubGroups!$B$104)</f>
        <v/>
      </c>
      <c r="AA103">
        <f>IF([1]SubGroups!$C$104="","",[1]SubGroups!$C$104)</f>
        <v/>
      </c>
      <c r="AC103">
        <f>COUNTIFS($Z$6:$Z103,$AD$5,$AA$6:$AA103,"?*")</f>
        <v/>
      </c>
      <c r="AD103">
        <f>IFERROR(INDEX($AA$6:$AA$105,MATCH(ROW()-5,$AC$6:$AC$105,0)),"")</f>
        <v/>
      </c>
      <c r="AE103">
        <f>COUNTIFS($Z$6:$Z103,$AF$5,$AA$6:$AA103,"?*")</f>
        <v/>
      </c>
      <c r="AF103">
        <f>IFERROR(INDEX($AA$6:$AA$105,MATCH(ROW()-5,$AE$6:$AE$105,0)),"")</f>
        <v/>
      </c>
      <c r="AG103">
        <f>COUNTIFS($Z$6:$Z103,$AH$5,$AA$6:$AA103,"?*")</f>
        <v/>
      </c>
      <c r="AH103">
        <f>IFERROR(INDEX($AA$6:$AA$105,MATCH(ROW()-5,$AG$6:$AG$105,0)),"")</f>
        <v/>
      </c>
      <c r="AI103">
        <f>COUNTIFS($Z$6:$Z103,$AJ$5,$AA$6:$AA103,"?*")</f>
        <v/>
      </c>
      <c r="AJ103">
        <f>IFERROR(INDEX($AA$6:$AA$105,MATCH(ROW()-5,$AI$6:$AI$105,0)),"")</f>
        <v/>
      </c>
      <c r="AK103">
        <f>COUNTIFS($Z$6:$Z103,$AL$5,$AA$6:$AA103,"?*")</f>
        <v/>
      </c>
      <c r="AL103">
        <f>IFERROR(INDEX($AA$6:$AA$105,MATCH(ROW()-5,$AK$6:$AK$105,0)),"")</f>
        <v/>
      </c>
      <c r="AM103">
        <f>COUNTIFS($Z$6:$Z103,$AN$5,$AA$6:$AA103,"?*")</f>
        <v/>
      </c>
      <c r="AN103">
        <f>IFERROR(INDEX($AA$6:$AA$105,MATCH(ROW()-5,$AM$6:$AM$105,0)),"")</f>
        <v/>
      </c>
      <c r="AO103">
        <f>COUNTIFS($Z$6:$Z103,$AP$5,$AA$6:$AA103,"?*")</f>
        <v/>
      </c>
      <c r="AP103">
        <f>IFERROR(INDEX($AA$6:$AA$105,MATCH(ROW()-5,$AO$6:$AO$105,0)),"")</f>
        <v/>
      </c>
      <c r="AQ103">
        <f>COUNTIFS($Z$6:$Z103,$AR$5,$AA$6:$AA103,"?*")</f>
        <v/>
      </c>
      <c r="AR103">
        <f>IFERROR(INDEX($AA$6:$AA$105,MATCH(ROW()-5,$AQ$6:$AQ$105,0)),"")</f>
        <v/>
      </c>
      <c r="AS103">
        <f>COUNTIFS($Z$6:$Z103,$AT$5,$AA$6:$AA103,"?*")</f>
        <v/>
      </c>
      <c r="AT103">
        <f>IFERROR(INDEX($AA$6:$AA$105,MATCH(ROW()-5,$AS$6:$AS$105,0)),"")</f>
        <v/>
      </c>
      <c r="AU103">
        <f>COUNTIFS($Z$6:$Z103,$AV$5,$AA$6:$AA103,"?*")</f>
        <v/>
      </c>
      <c r="AV103">
        <f>IFERROR(INDEX($AA$6:$AA$105,MATCH(ROW()-5,$AU$6:$AU$105,0)),"")</f>
        <v/>
      </c>
    </row>
    <row r="104">
      <c r="F104">
        <f>IF([1]Accounts!$D$105="","",[1]Accounts!$A$105)</f>
        <v/>
      </c>
      <c r="G104">
        <f>IF([1]Accounts!$D$105="","",[1]Accounts!$B$105)</f>
        <v/>
      </c>
      <c r="H104">
        <f>IF([1]Accounts!$D$105="","",[1]Accounts!$C$105)</f>
        <v/>
      </c>
      <c r="I104">
        <f>IF([1]Accounts!$D$105="","",[1]Accounts!$D$105)</f>
        <v/>
      </c>
      <c r="Y104">
        <f>IF([1]SubGroups!$C$105="","",[1]SubGroups!$A$105)</f>
        <v/>
      </c>
      <c r="Z104">
        <f>IF([1]SubGroups!$C$105="","",[1]SubGroups!$B$105)</f>
        <v/>
      </c>
      <c r="AA104">
        <f>IF([1]SubGroups!$C$105="","",[1]SubGroups!$C$105)</f>
        <v/>
      </c>
      <c r="AC104">
        <f>COUNTIFS($Z$6:$Z104,$AD$5,$AA$6:$AA104,"?*")</f>
        <v/>
      </c>
      <c r="AD104">
        <f>IFERROR(INDEX($AA$6:$AA$105,MATCH(ROW()-5,$AC$6:$AC$105,0)),"")</f>
        <v/>
      </c>
      <c r="AE104">
        <f>COUNTIFS($Z$6:$Z104,$AF$5,$AA$6:$AA104,"?*")</f>
        <v/>
      </c>
      <c r="AF104">
        <f>IFERROR(INDEX($AA$6:$AA$105,MATCH(ROW()-5,$AE$6:$AE$105,0)),"")</f>
        <v/>
      </c>
      <c r="AG104">
        <f>COUNTIFS($Z$6:$Z104,$AH$5,$AA$6:$AA104,"?*")</f>
        <v/>
      </c>
      <c r="AH104">
        <f>IFERROR(INDEX($AA$6:$AA$105,MATCH(ROW()-5,$AG$6:$AG$105,0)),"")</f>
        <v/>
      </c>
      <c r="AI104">
        <f>COUNTIFS($Z$6:$Z104,$AJ$5,$AA$6:$AA104,"?*")</f>
        <v/>
      </c>
      <c r="AJ104">
        <f>IFERROR(INDEX($AA$6:$AA$105,MATCH(ROW()-5,$AI$6:$AI$105,0)),"")</f>
        <v/>
      </c>
      <c r="AK104">
        <f>COUNTIFS($Z$6:$Z104,$AL$5,$AA$6:$AA104,"?*")</f>
        <v/>
      </c>
      <c r="AL104">
        <f>IFERROR(INDEX($AA$6:$AA$105,MATCH(ROW()-5,$AK$6:$AK$105,0)),"")</f>
        <v/>
      </c>
      <c r="AM104">
        <f>COUNTIFS($Z$6:$Z104,$AN$5,$AA$6:$AA104,"?*")</f>
        <v/>
      </c>
      <c r="AN104">
        <f>IFERROR(INDEX($AA$6:$AA$105,MATCH(ROW()-5,$AM$6:$AM$105,0)),"")</f>
        <v/>
      </c>
      <c r="AO104">
        <f>COUNTIFS($Z$6:$Z104,$AP$5,$AA$6:$AA104,"?*")</f>
        <v/>
      </c>
      <c r="AP104">
        <f>IFERROR(INDEX($AA$6:$AA$105,MATCH(ROW()-5,$AO$6:$AO$105,0)),"")</f>
        <v/>
      </c>
      <c r="AQ104">
        <f>COUNTIFS($Z$6:$Z104,$AR$5,$AA$6:$AA104,"?*")</f>
        <v/>
      </c>
      <c r="AR104">
        <f>IFERROR(INDEX($AA$6:$AA$105,MATCH(ROW()-5,$AQ$6:$AQ$105,0)),"")</f>
        <v/>
      </c>
      <c r="AS104">
        <f>COUNTIFS($Z$6:$Z104,$AT$5,$AA$6:$AA104,"?*")</f>
        <v/>
      </c>
      <c r="AT104">
        <f>IFERROR(INDEX($AA$6:$AA$105,MATCH(ROW()-5,$AS$6:$AS$105,0)),"")</f>
        <v/>
      </c>
      <c r="AU104">
        <f>COUNTIFS($Z$6:$Z104,$AV$5,$AA$6:$AA104,"?*")</f>
        <v/>
      </c>
      <c r="AV104">
        <f>IFERROR(INDEX($AA$6:$AA$105,MATCH(ROW()-5,$AU$6:$AU$105,0)),"")</f>
        <v/>
      </c>
    </row>
    <row r="105">
      <c r="F105">
        <f>IF([1]Accounts!$D$106="","",[1]Accounts!$A$106)</f>
        <v/>
      </c>
      <c r="G105">
        <f>IF([1]Accounts!$D$106="","",[1]Accounts!$B$106)</f>
        <v/>
      </c>
      <c r="H105">
        <f>IF([1]Accounts!$D$106="","",[1]Accounts!$C$106)</f>
        <v/>
      </c>
      <c r="I105">
        <f>IF([1]Accounts!$D$106="","",[1]Accounts!$D$106)</f>
        <v/>
      </c>
      <c r="Y105">
        <f>IF([1]SubGroups!$C$106="","",[1]SubGroups!$A$106)</f>
        <v/>
      </c>
      <c r="Z105">
        <f>IF([1]SubGroups!$C$106="","",[1]SubGroups!$B$106)</f>
        <v/>
      </c>
      <c r="AA105">
        <f>IF([1]SubGroups!$C$106="","",[1]SubGroups!$C$106)</f>
        <v/>
      </c>
      <c r="AC105">
        <f>COUNTIFS($Z$6:$Z105,$AD$5,$AA$6:$AA105,"?*")</f>
        <v/>
      </c>
      <c r="AD105">
        <f>IFERROR(INDEX($AA$6:$AA$105,MATCH(ROW()-5,$AC$6:$AC$105,0)),"")</f>
        <v/>
      </c>
      <c r="AE105">
        <f>COUNTIFS($Z$6:$Z105,$AF$5,$AA$6:$AA105,"?*")</f>
        <v/>
      </c>
      <c r="AF105">
        <f>IFERROR(INDEX($AA$6:$AA$105,MATCH(ROW()-5,$AE$6:$AE$105,0)),"")</f>
        <v/>
      </c>
      <c r="AG105">
        <f>COUNTIFS($Z$6:$Z105,$AH$5,$AA$6:$AA105,"?*")</f>
        <v/>
      </c>
      <c r="AH105">
        <f>IFERROR(INDEX($AA$6:$AA$105,MATCH(ROW()-5,$AG$6:$AG$105,0)),"")</f>
        <v/>
      </c>
      <c r="AI105">
        <f>COUNTIFS($Z$6:$Z105,$AJ$5,$AA$6:$AA105,"?*")</f>
        <v/>
      </c>
      <c r="AJ105">
        <f>IFERROR(INDEX($AA$6:$AA$105,MATCH(ROW()-5,$AI$6:$AI$105,0)),"")</f>
        <v/>
      </c>
      <c r="AK105">
        <f>COUNTIFS($Z$6:$Z105,$AL$5,$AA$6:$AA105,"?*")</f>
        <v/>
      </c>
      <c r="AL105">
        <f>IFERROR(INDEX($AA$6:$AA$105,MATCH(ROW()-5,$AK$6:$AK$105,0)),"")</f>
        <v/>
      </c>
      <c r="AM105">
        <f>COUNTIFS($Z$6:$Z105,$AN$5,$AA$6:$AA105,"?*")</f>
        <v/>
      </c>
      <c r="AN105">
        <f>IFERROR(INDEX($AA$6:$AA$105,MATCH(ROW()-5,$AM$6:$AM$105,0)),"")</f>
        <v/>
      </c>
      <c r="AO105">
        <f>COUNTIFS($Z$6:$Z105,$AP$5,$AA$6:$AA105,"?*")</f>
        <v/>
      </c>
      <c r="AP105">
        <f>IFERROR(INDEX($AA$6:$AA$105,MATCH(ROW()-5,$AO$6:$AO$105,0)),"")</f>
        <v/>
      </c>
      <c r="AQ105">
        <f>COUNTIFS($Z$6:$Z105,$AR$5,$AA$6:$AA105,"?*")</f>
        <v/>
      </c>
      <c r="AR105">
        <f>IFERROR(INDEX($AA$6:$AA$105,MATCH(ROW()-5,$AQ$6:$AQ$105,0)),"")</f>
        <v/>
      </c>
      <c r="AS105">
        <f>COUNTIFS($Z$6:$Z105,$AT$5,$AA$6:$AA105,"?*")</f>
        <v/>
      </c>
      <c r="AT105">
        <f>IFERROR(INDEX($AA$6:$AA$105,MATCH(ROW()-5,$AS$6:$AS$105,0)),"")</f>
        <v/>
      </c>
      <c r="AU105">
        <f>COUNTIFS($Z$6:$Z105,$AV$5,$AA$6:$AA105,"?*")</f>
        <v/>
      </c>
      <c r="AV105">
        <f>IFERROR(INDEX($AA$6:$AA$105,MATCH(ROW()-5,$AU$6:$AU$105,0)),"")</f>
        <v/>
      </c>
    </row>
    <row r="106">
      <c r="F106">
        <f>IF([1]Accounts!$D$107="","",[1]Accounts!$A$107)</f>
        <v/>
      </c>
      <c r="G106">
        <f>IF([1]Accounts!$D$107="","",[1]Accounts!$B$107)</f>
        <v/>
      </c>
      <c r="H106">
        <f>IF([1]Accounts!$D$107="","",[1]Accounts!$C$107)</f>
        <v/>
      </c>
      <c r="I106">
        <f>IF([1]Accounts!$D$107="","",[1]Accounts!$D$107)</f>
        <v/>
      </c>
    </row>
    <row r="107">
      <c r="F107">
        <f>IF([1]Accounts!$D$108="","",[1]Accounts!$A$108)</f>
        <v/>
      </c>
      <c r="G107">
        <f>IF([1]Accounts!$D$108="","",[1]Accounts!$B$108)</f>
        <v/>
      </c>
      <c r="H107">
        <f>IF([1]Accounts!$D$108="","",[1]Accounts!$C$108)</f>
        <v/>
      </c>
      <c r="I107">
        <f>IF([1]Accounts!$D$108="","",[1]Accounts!$D$108)</f>
        <v/>
      </c>
    </row>
    <row r="108">
      <c r="F108">
        <f>IF([1]Accounts!$D$109="","",[1]Accounts!$A$109)</f>
        <v/>
      </c>
      <c r="G108">
        <f>IF([1]Accounts!$D$109="","",[1]Accounts!$B$109)</f>
        <v/>
      </c>
      <c r="H108">
        <f>IF([1]Accounts!$D$109="","",[1]Accounts!$C$109)</f>
        <v/>
      </c>
      <c r="I108">
        <f>IF([1]Accounts!$D$109="","",[1]Accounts!$D$109)</f>
        <v/>
      </c>
    </row>
    <row r="109">
      <c r="F109">
        <f>IF([1]Accounts!$D$110="","",[1]Accounts!$A$110)</f>
        <v/>
      </c>
      <c r="G109">
        <f>IF([1]Accounts!$D$110="","",[1]Accounts!$B$110)</f>
        <v/>
      </c>
      <c r="H109">
        <f>IF([1]Accounts!$D$110="","",[1]Accounts!$C$110)</f>
        <v/>
      </c>
      <c r="I109">
        <f>IF([1]Accounts!$D$110="","",[1]Accounts!$D$110)</f>
        <v/>
      </c>
    </row>
    <row r="110">
      <c r="F110">
        <f>IF([1]Accounts!$D$111="","",[1]Accounts!$A$111)</f>
        <v/>
      </c>
      <c r="G110">
        <f>IF([1]Accounts!$D$111="","",[1]Accounts!$B$111)</f>
        <v/>
      </c>
      <c r="H110">
        <f>IF([1]Accounts!$D$111="","",[1]Accounts!$C$111)</f>
        <v/>
      </c>
      <c r="I110">
        <f>IF([1]Accounts!$D$111="","",[1]Accounts!$D$111)</f>
        <v/>
      </c>
    </row>
    <row r="111">
      <c r="F111">
        <f>IF([1]Accounts!$D$112="","",[1]Accounts!$A$112)</f>
        <v/>
      </c>
      <c r="G111">
        <f>IF([1]Accounts!$D$112="","",[1]Accounts!$B$112)</f>
        <v/>
      </c>
      <c r="H111">
        <f>IF([1]Accounts!$D$112="","",[1]Accounts!$C$112)</f>
        <v/>
      </c>
      <c r="I111">
        <f>IF([1]Accounts!$D$112="","",[1]Accounts!$D$112)</f>
        <v/>
      </c>
    </row>
    <row r="112">
      <c r="F112">
        <f>IF([1]Accounts!$D$113="","",[1]Accounts!$A$113)</f>
        <v/>
      </c>
      <c r="G112">
        <f>IF([1]Accounts!$D$113="","",[1]Accounts!$B$113)</f>
        <v/>
      </c>
      <c r="H112">
        <f>IF([1]Accounts!$D$113="","",[1]Accounts!$C$113)</f>
        <v/>
      </c>
      <c r="I112">
        <f>IF([1]Accounts!$D$113="","",[1]Accounts!$D$113)</f>
        <v/>
      </c>
    </row>
    <row r="113">
      <c r="F113">
        <f>IF([1]Accounts!$D$114="","",[1]Accounts!$A$114)</f>
        <v/>
      </c>
      <c r="G113">
        <f>IF([1]Accounts!$D$114="","",[1]Accounts!$B$114)</f>
        <v/>
      </c>
      <c r="H113">
        <f>IF([1]Accounts!$D$114="","",[1]Accounts!$C$114)</f>
        <v/>
      </c>
      <c r="I113">
        <f>IF([1]Accounts!$D$114="","",[1]Accounts!$D$114)</f>
        <v/>
      </c>
    </row>
    <row r="114">
      <c r="F114">
        <f>IF([1]Accounts!$D$115="","",[1]Accounts!$A$115)</f>
        <v/>
      </c>
      <c r="G114">
        <f>IF([1]Accounts!$D$115="","",[1]Accounts!$B$115)</f>
        <v/>
      </c>
      <c r="H114">
        <f>IF([1]Accounts!$D$115="","",[1]Accounts!$C$115)</f>
        <v/>
      </c>
      <c r="I114">
        <f>IF([1]Accounts!$D$115="","",[1]Accounts!$D$115)</f>
        <v/>
      </c>
    </row>
    <row r="115">
      <c r="F115">
        <f>IF([1]Accounts!$D$116="","",[1]Accounts!$A$116)</f>
        <v/>
      </c>
      <c r="G115">
        <f>IF([1]Accounts!$D$116="","",[1]Accounts!$B$116)</f>
        <v/>
      </c>
      <c r="H115">
        <f>IF([1]Accounts!$D$116="","",[1]Accounts!$C$116)</f>
        <v/>
      </c>
      <c r="I115">
        <f>IF([1]Accounts!$D$116="","",[1]Accounts!$D$116)</f>
        <v/>
      </c>
    </row>
    <row r="116">
      <c r="F116">
        <f>IF([1]Accounts!$D$117="","",[1]Accounts!$A$117)</f>
        <v/>
      </c>
      <c r="G116">
        <f>IF([1]Accounts!$D$117="","",[1]Accounts!$B$117)</f>
        <v/>
      </c>
      <c r="H116">
        <f>IF([1]Accounts!$D$117="","",[1]Accounts!$C$117)</f>
        <v/>
      </c>
      <c r="I116">
        <f>IF([1]Accounts!$D$117="","",[1]Accounts!$D$117)</f>
        <v/>
      </c>
    </row>
    <row r="117">
      <c r="F117">
        <f>IF([1]Accounts!$D$118="","",[1]Accounts!$A$118)</f>
        <v/>
      </c>
      <c r="G117">
        <f>IF([1]Accounts!$D$118="","",[1]Accounts!$B$118)</f>
        <v/>
      </c>
      <c r="H117">
        <f>IF([1]Accounts!$D$118="","",[1]Accounts!$C$118)</f>
        <v/>
      </c>
      <c r="I117">
        <f>IF([1]Accounts!$D$118="","",[1]Accounts!$D$118)</f>
        <v/>
      </c>
    </row>
    <row r="118">
      <c r="F118">
        <f>IF([1]Accounts!$D$119="","",[1]Accounts!$A$119)</f>
        <v/>
      </c>
      <c r="G118">
        <f>IF([1]Accounts!$D$119="","",[1]Accounts!$B$119)</f>
        <v/>
      </c>
      <c r="H118">
        <f>IF([1]Accounts!$D$119="","",[1]Accounts!$C$119)</f>
        <v/>
      </c>
      <c r="I118">
        <f>IF([1]Accounts!$D$119="","",[1]Accounts!$D$119)</f>
        <v/>
      </c>
    </row>
    <row r="119">
      <c r="F119">
        <f>IF([1]Accounts!$D$120="","",[1]Accounts!$A$120)</f>
        <v/>
      </c>
      <c r="G119">
        <f>IF([1]Accounts!$D$120="","",[1]Accounts!$B$120)</f>
        <v/>
      </c>
      <c r="H119">
        <f>IF([1]Accounts!$D$120="","",[1]Accounts!$C$120)</f>
        <v/>
      </c>
      <c r="I119">
        <f>IF([1]Accounts!$D$120="","",[1]Accounts!$D$120)</f>
        <v/>
      </c>
    </row>
    <row r="120">
      <c r="F120">
        <f>IF([1]Accounts!$D$121="","",[1]Accounts!$A$121)</f>
        <v/>
      </c>
      <c r="G120">
        <f>IF([1]Accounts!$D$121="","",[1]Accounts!$B$121)</f>
        <v/>
      </c>
      <c r="H120">
        <f>IF([1]Accounts!$D$121="","",[1]Accounts!$C$121)</f>
        <v/>
      </c>
      <c r="I120">
        <f>IF([1]Accounts!$D$121="","",[1]Accounts!$D$121)</f>
        <v/>
      </c>
    </row>
    <row r="121">
      <c r="F121">
        <f>IF([1]Accounts!$D$122="","",[1]Accounts!$A$122)</f>
        <v/>
      </c>
      <c r="G121">
        <f>IF([1]Accounts!$D$122="","",[1]Accounts!$B$122)</f>
        <v/>
      </c>
      <c r="H121">
        <f>IF([1]Accounts!$D$122="","",[1]Accounts!$C$122)</f>
        <v/>
      </c>
      <c r="I121">
        <f>IF([1]Accounts!$D$122="","",[1]Accounts!$D$122)</f>
        <v/>
      </c>
    </row>
    <row r="122">
      <c r="F122">
        <f>IF([1]Accounts!$D$123="","",[1]Accounts!$A$123)</f>
        <v/>
      </c>
      <c r="G122">
        <f>IF([1]Accounts!$D$123="","",[1]Accounts!$B$123)</f>
        <v/>
      </c>
      <c r="H122">
        <f>IF([1]Accounts!$D$123="","",[1]Accounts!$C$123)</f>
        <v/>
      </c>
      <c r="I122">
        <f>IF([1]Accounts!$D$123="","",[1]Accounts!$D$123)</f>
        <v/>
      </c>
    </row>
    <row r="123">
      <c r="F123">
        <f>IF([1]Accounts!$D$124="","",[1]Accounts!$A$124)</f>
        <v/>
      </c>
      <c r="G123">
        <f>IF([1]Accounts!$D$124="","",[1]Accounts!$B$124)</f>
        <v/>
      </c>
      <c r="H123">
        <f>IF([1]Accounts!$D$124="","",[1]Accounts!$C$124)</f>
        <v/>
      </c>
      <c r="I123">
        <f>IF([1]Accounts!$D$124="","",[1]Accounts!$D$124)</f>
        <v/>
      </c>
    </row>
    <row r="124">
      <c r="F124">
        <f>IF([1]Accounts!$D$125="","",[1]Accounts!$A$125)</f>
        <v/>
      </c>
      <c r="G124">
        <f>IF([1]Accounts!$D$125="","",[1]Accounts!$B$125)</f>
        <v/>
      </c>
      <c r="H124">
        <f>IF([1]Accounts!$D$125="","",[1]Accounts!$C$125)</f>
        <v/>
      </c>
      <c r="I124">
        <f>IF([1]Accounts!$D$125="","",[1]Accounts!$D$125)</f>
        <v/>
      </c>
    </row>
    <row r="125">
      <c r="F125">
        <f>IF([1]Accounts!$D$126="","",[1]Accounts!$A$126)</f>
        <v/>
      </c>
      <c r="G125">
        <f>IF([1]Accounts!$D$126="","",[1]Accounts!$B$126)</f>
        <v/>
      </c>
      <c r="H125">
        <f>IF([1]Accounts!$D$126="","",[1]Accounts!$C$126)</f>
        <v/>
      </c>
      <c r="I125">
        <f>IF([1]Accounts!$D$126="","",[1]Accounts!$D$126)</f>
        <v/>
      </c>
    </row>
    <row r="126">
      <c r="F126">
        <f>IF([1]Accounts!$D$127="","",[1]Accounts!$A$127)</f>
        <v/>
      </c>
      <c r="G126">
        <f>IF([1]Accounts!$D$127="","",[1]Accounts!$B$127)</f>
        <v/>
      </c>
      <c r="H126">
        <f>IF([1]Accounts!$D$127="","",[1]Accounts!$C$127)</f>
        <v/>
      </c>
      <c r="I126">
        <f>IF([1]Accounts!$D$127="","",[1]Accounts!$D$127)</f>
        <v/>
      </c>
    </row>
    <row r="127">
      <c r="F127">
        <f>IF([1]Accounts!$D$128="","",[1]Accounts!$A$128)</f>
        <v/>
      </c>
      <c r="G127">
        <f>IF([1]Accounts!$D$128="","",[1]Accounts!$B$128)</f>
        <v/>
      </c>
      <c r="H127">
        <f>IF([1]Accounts!$D$128="","",[1]Accounts!$C$128)</f>
        <v/>
      </c>
      <c r="I127">
        <f>IF([1]Accounts!$D$128="","",[1]Accounts!$D$128)</f>
        <v/>
      </c>
    </row>
    <row r="128">
      <c r="F128">
        <f>IF([1]Accounts!$D$129="","",[1]Accounts!$A$129)</f>
        <v/>
      </c>
      <c r="G128">
        <f>IF([1]Accounts!$D$129="","",[1]Accounts!$B$129)</f>
        <v/>
      </c>
      <c r="H128">
        <f>IF([1]Accounts!$D$129="","",[1]Accounts!$C$129)</f>
        <v/>
      </c>
      <c r="I128">
        <f>IF([1]Accounts!$D$129="","",[1]Accounts!$D$129)</f>
        <v/>
      </c>
    </row>
    <row r="129">
      <c r="F129">
        <f>IF([1]Accounts!$D$130="","",[1]Accounts!$A$130)</f>
        <v/>
      </c>
      <c r="G129">
        <f>IF([1]Accounts!$D$130="","",[1]Accounts!$B$130)</f>
        <v/>
      </c>
      <c r="H129">
        <f>IF([1]Accounts!$D$130="","",[1]Accounts!$C$130)</f>
        <v/>
      </c>
      <c r="I129">
        <f>IF([1]Accounts!$D$130="","",[1]Accounts!$D$130)</f>
        <v/>
      </c>
    </row>
    <row r="130">
      <c r="F130">
        <f>IF([1]Accounts!$D$131="","",[1]Accounts!$A$131)</f>
        <v/>
      </c>
      <c r="G130">
        <f>IF([1]Accounts!$D$131="","",[1]Accounts!$B$131)</f>
        <v/>
      </c>
      <c r="H130">
        <f>IF([1]Accounts!$D$131="","",[1]Accounts!$C$131)</f>
        <v/>
      </c>
      <c r="I130">
        <f>IF([1]Accounts!$D$131="","",[1]Accounts!$D$131)</f>
        <v/>
      </c>
    </row>
    <row r="131">
      <c r="F131">
        <f>IF([1]Accounts!$D$132="","",[1]Accounts!$A$132)</f>
        <v/>
      </c>
      <c r="G131">
        <f>IF([1]Accounts!$D$132="","",[1]Accounts!$B$132)</f>
        <v/>
      </c>
      <c r="H131">
        <f>IF([1]Accounts!$D$132="","",[1]Accounts!$C$132)</f>
        <v/>
      </c>
      <c r="I131">
        <f>IF([1]Accounts!$D$132="","",[1]Accounts!$D$132)</f>
        <v/>
      </c>
    </row>
    <row r="132">
      <c r="F132">
        <f>IF([1]Accounts!$D$133="","",[1]Accounts!$A$133)</f>
        <v/>
      </c>
      <c r="G132">
        <f>IF([1]Accounts!$D$133="","",[1]Accounts!$B$133)</f>
        <v/>
      </c>
      <c r="H132">
        <f>IF([1]Accounts!$D$133="","",[1]Accounts!$C$133)</f>
        <v/>
      </c>
      <c r="I132">
        <f>IF([1]Accounts!$D$133="","",[1]Accounts!$D$133)</f>
        <v/>
      </c>
    </row>
    <row r="133">
      <c r="F133">
        <f>IF([1]Accounts!$D$134="","",[1]Accounts!$A$134)</f>
        <v/>
      </c>
      <c r="G133">
        <f>IF([1]Accounts!$D$134="","",[1]Accounts!$B$134)</f>
        <v/>
      </c>
      <c r="H133">
        <f>IF([1]Accounts!$D$134="","",[1]Accounts!$C$134)</f>
        <v/>
      </c>
      <c r="I133">
        <f>IF([1]Accounts!$D$134="","",[1]Accounts!$D$134)</f>
        <v/>
      </c>
    </row>
    <row r="134">
      <c r="F134">
        <f>IF([1]Accounts!$D$135="","",[1]Accounts!$A$135)</f>
        <v/>
      </c>
      <c r="G134">
        <f>IF([1]Accounts!$D$135="","",[1]Accounts!$B$135)</f>
        <v/>
      </c>
      <c r="H134">
        <f>IF([1]Accounts!$D$135="","",[1]Accounts!$C$135)</f>
        <v/>
      </c>
      <c r="I134">
        <f>IF([1]Accounts!$D$135="","",[1]Accounts!$D$135)</f>
        <v/>
      </c>
    </row>
    <row r="135">
      <c r="F135">
        <f>IF([1]Accounts!$D$136="","",[1]Accounts!$A$136)</f>
        <v/>
      </c>
      <c r="G135">
        <f>IF([1]Accounts!$D$136="","",[1]Accounts!$B$136)</f>
        <v/>
      </c>
      <c r="H135">
        <f>IF([1]Accounts!$D$136="","",[1]Accounts!$C$136)</f>
        <v/>
      </c>
      <c r="I135">
        <f>IF([1]Accounts!$D$136="","",[1]Accounts!$D$136)</f>
        <v/>
      </c>
    </row>
    <row r="136">
      <c r="F136">
        <f>IF([1]Accounts!$D$137="","",[1]Accounts!$A$137)</f>
        <v/>
      </c>
      <c r="G136">
        <f>IF([1]Accounts!$D$137="","",[1]Accounts!$B$137)</f>
        <v/>
      </c>
      <c r="H136">
        <f>IF([1]Accounts!$D$137="","",[1]Accounts!$C$137)</f>
        <v/>
      </c>
      <c r="I136">
        <f>IF([1]Accounts!$D$137="","",[1]Accounts!$D$137)</f>
        <v/>
      </c>
    </row>
    <row r="137">
      <c r="F137">
        <f>IF([1]Accounts!$D$138="","",[1]Accounts!$A$138)</f>
        <v/>
      </c>
      <c r="G137">
        <f>IF([1]Accounts!$D$138="","",[1]Accounts!$B$138)</f>
        <v/>
      </c>
      <c r="H137">
        <f>IF([1]Accounts!$D$138="","",[1]Accounts!$C$138)</f>
        <v/>
      </c>
      <c r="I137">
        <f>IF([1]Accounts!$D$138="","",[1]Accounts!$D$138)</f>
        <v/>
      </c>
    </row>
    <row r="138">
      <c r="F138">
        <f>IF([1]Accounts!$D$139="","",[1]Accounts!$A$139)</f>
        <v/>
      </c>
      <c r="G138">
        <f>IF([1]Accounts!$D$139="","",[1]Accounts!$B$139)</f>
        <v/>
      </c>
      <c r="H138">
        <f>IF([1]Accounts!$D$139="","",[1]Accounts!$C$139)</f>
        <v/>
      </c>
      <c r="I138">
        <f>IF([1]Accounts!$D$139="","",[1]Accounts!$D$139)</f>
        <v/>
      </c>
    </row>
    <row r="139">
      <c r="F139">
        <f>IF([1]Accounts!$D$140="","",[1]Accounts!$A$140)</f>
        <v/>
      </c>
      <c r="G139">
        <f>IF([1]Accounts!$D$140="","",[1]Accounts!$B$140)</f>
        <v/>
      </c>
      <c r="H139">
        <f>IF([1]Accounts!$D$140="","",[1]Accounts!$C$140)</f>
        <v/>
      </c>
      <c r="I139">
        <f>IF([1]Accounts!$D$140="","",[1]Accounts!$D$140)</f>
        <v/>
      </c>
    </row>
    <row r="140">
      <c r="F140">
        <f>IF([1]Accounts!$D$141="","",[1]Accounts!$A$141)</f>
        <v/>
      </c>
      <c r="G140">
        <f>IF([1]Accounts!$D$141="","",[1]Accounts!$B$141)</f>
        <v/>
      </c>
      <c r="H140">
        <f>IF([1]Accounts!$D$141="","",[1]Accounts!$C$141)</f>
        <v/>
      </c>
      <c r="I140">
        <f>IF([1]Accounts!$D$141="","",[1]Accounts!$D$141)</f>
        <v/>
      </c>
    </row>
    <row r="141">
      <c r="F141">
        <f>IF([1]Accounts!$D$142="","",[1]Accounts!$A$142)</f>
        <v/>
      </c>
      <c r="G141">
        <f>IF([1]Accounts!$D$142="","",[1]Accounts!$B$142)</f>
        <v/>
      </c>
      <c r="H141">
        <f>IF([1]Accounts!$D$142="","",[1]Accounts!$C$142)</f>
        <v/>
      </c>
      <c r="I141">
        <f>IF([1]Accounts!$D$142="","",[1]Accounts!$D$142)</f>
        <v/>
      </c>
    </row>
    <row r="142">
      <c r="F142">
        <f>IF([1]Accounts!$D$143="","",[1]Accounts!$A$143)</f>
        <v/>
      </c>
      <c r="G142">
        <f>IF([1]Accounts!$D$143="","",[1]Accounts!$B$143)</f>
        <v/>
      </c>
      <c r="H142">
        <f>IF([1]Accounts!$D$143="","",[1]Accounts!$C$143)</f>
        <v/>
      </c>
      <c r="I142">
        <f>IF([1]Accounts!$D$143="","",[1]Accounts!$D$143)</f>
        <v/>
      </c>
    </row>
    <row r="143">
      <c r="F143">
        <f>IF([1]Accounts!$D$144="","",[1]Accounts!$A$144)</f>
        <v/>
      </c>
      <c r="G143">
        <f>IF([1]Accounts!$D$144="","",[1]Accounts!$B$144)</f>
        <v/>
      </c>
      <c r="H143">
        <f>IF([1]Accounts!$D$144="","",[1]Accounts!$C$144)</f>
        <v/>
      </c>
      <c r="I143">
        <f>IF([1]Accounts!$D$144="","",[1]Accounts!$D$144)</f>
        <v/>
      </c>
    </row>
    <row r="144">
      <c r="F144">
        <f>IF([1]Accounts!$D$145="","",[1]Accounts!$A$145)</f>
        <v/>
      </c>
      <c r="G144">
        <f>IF([1]Accounts!$D$145="","",[1]Accounts!$B$145)</f>
        <v/>
      </c>
      <c r="H144">
        <f>IF([1]Accounts!$D$145="","",[1]Accounts!$C$145)</f>
        <v/>
      </c>
      <c r="I144">
        <f>IF([1]Accounts!$D$145="","",[1]Accounts!$D$145)</f>
        <v/>
      </c>
    </row>
    <row r="145">
      <c r="F145">
        <f>IF([1]Accounts!$D$146="","",[1]Accounts!$A$146)</f>
        <v/>
      </c>
      <c r="G145">
        <f>IF([1]Accounts!$D$146="","",[1]Accounts!$B$146)</f>
        <v/>
      </c>
      <c r="H145">
        <f>IF([1]Accounts!$D$146="","",[1]Accounts!$C$146)</f>
        <v/>
      </c>
      <c r="I145">
        <f>IF([1]Accounts!$D$146="","",[1]Accounts!$D$146)</f>
        <v/>
      </c>
    </row>
    <row r="146">
      <c r="F146">
        <f>IF([1]Accounts!$D$147="","",[1]Accounts!$A$147)</f>
        <v/>
      </c>
      <c r="G146">
        <f>IF([1]Accounts!$D$147="","",[1]Accounts!$B$147)</f>
        <v/>
      </c>
      <c r="H146">
        <f>IF([1]Accounts!$D$147="","",[1]Accounts!$C$147)</f>
        <v/>
      </c>
      <c r="I146">
        <f>IF([1]Accounts!$D$147="","",[1]Accounts!$D$147)</f>
        <v/>
      </c>
    </row>
    <row r="147">
      <c r="F147">
        <f>IF([1]Accounts!$D$148="","",[1]Accounts!$A$148)</f>
        <v/>
      </c>
      <c r="G147">
        <f>IF([1]Accounts!$D$148="","",[1]Accounts!$B$148)</f>
        <v/>
      </c>
      <c r="H147">
        <f>IF([1]Accounts!$D$148="","",[1]Accounts!$C$148)</f>
        <v/>
      </c>
      <c r="I147">
        <f>IF([1]Accounts!$D$148="","",[1]Accounts!$D$148)</f>
        <v/>
      </c>
    </row>
    <row r="148">
      <c r="F148">
        <f>IF([1]Accounts!$D$149="","",[1]Accounts!$A$149)</f>
        <v/>
      </c>
      <c r="G148">
        <f>IF([1]Accounts!$D$149="","",[1]Accounts!$B$149)</f>
        <v/>
      </c>
      <c r="H148">
        <f>IF([1]Accounts!$D$149="","",[1]Accounts!$C$149)</f>
        <v/>
      </c>
      <c r="I148">
        <f>IF([1]Accounts!$D$149="","",[1]Accounts!$D$149)</f>
        <v/>
      </c>
    </row>
    <row r="149">
      <c r="F149">
        <f>IF([1]Accounts!$D$150="","",[1]Accounts!$A$150)</f>
        <v/>
      </c>
      <c r="G149">
        <f>IF([1]Accounts!$D$150="","",[1]Accounts!$B$150)</f>
        <v/>
      </c>
      <c r="H149">
        <f>IF([1]Accounts!$D$150="","",[1]Accounts!$C$150)</f>
        <v/>
      </c>
      <c r="I149">
        <f>IF([1]Accounts!$D$150="","",[1]Accounts!$D$150)</f>
        <v/>
      </c>
    </row>
    <row r="150">
      <c r="F150">
        <f>IF([1]Accounts!$D$151="","",[1]Accounts!$A$151)</f>
        <v/>
      </c>
      <c r="G150">
        <f>IF([1]Accounts!$D$151="","",[1]Accounts!$B$151)</f>
        <v/>
      </c>
      <c r="H150">
        <f>IF([1]Accounts!$D$151="","",[1]Accounts!$C$151)</f>
        <v/>
      </c>
      <c r="I150">
        <f>IF([1]Accounts!$D$151="","",[1]Accounts!$D$151)</f>
        <v/>
      </c>
    </row>
    <row r="151">
      <c r="F151">
        <f>IF([1]Accounts!$D$152="","",[1]Accounts!$A$152)</f>
        <v/>
      </c>
      <c r="G151">
        <f>IF([1]Accounts!$D$152="","",[1]Accounts!$B$152)</f>
        <v/>
      </c>
      <c r="H151">
        <f>IF([1]Accounts!$D$152="","",[1]Accounts!$C$152)</f>
        <v/>
      </c>
      <c r="I151">
        <f>IF([1]Accounts!$D$152="","",[1]Accounts!$D$152)</f>
        <v/>
      </c>
    </row>
    <row r="152">
      <c r="F152">
        <f>IF([1]Accounts!$D$153="","",[1]Accounts!$A$153)</f>
        <v/>
      </c>
      <c r="G152">
        <f>IF([1]Accounts!$D$153="","",[1]Accounts!$B$153)</f>
        <v/>
      </c>
      <c r="H152">
        <f>IF([1]Accounts!$D$153="","",[1]Accounts!$C$153)</f>
        <v/>
      </c>
      <c r="I152">
        <f>IF([1]Accounts!$D$153="","",[1]Accounts!$D$153)</f>
        <v/>
      </c>
    </row>
    <row r="153">
      <c r="F153">
        <f>IF([1]Accounts!$D$154="","",[1]Accounts!$A$154)</f>
        <v/>
      </c>
      <c r="G153">
        <f>IF([1]Accounts!$D$154="","",[1]Accounts!$B$154)</f>
        <v/>
      </c>
      <c r="H153">
        <f>IF([1]Accounts!$D$154="","",[1]Accounts!$C$154)</f>
        <v/>
      </c>
      <c r="I153">
        <f>IF([1]Accounts!$D$154="","",[1]Accounts!$D$154)</f>
        <v/>
      </c>
    </row>
    <row r="154">
      <c r="F154">
        <f>IF([1]Accounts!$D$155="","",[1]Accounts!$A$155)</f>
        <v/>
      </c>
      <c r="G154">
        <f>IF([1]Accounts!$D$155="","",[1]Accounts!$B$155)</f>
        <v/>
      </c>
      <c r="H154">
        <f>IF([1]Accounts!$D$155="","",[1]Accounts!$C$155)</f>
        <v/>
      </c>
      <c r="I154">
        <f>IF([1]Accounts!$D$155="","",[1]Accounts!$D$155)</f>
        <v/>
      </c>
    </row>
    <row r="155">
      <c r="F155">
        <f>IF([1]Accounts!$D$156="","",[1]Accounts!$A$156)</f>
        <v/>
      </c>
      <c r="G155">
        <f>IF([1]Accounts!$D$156="","",[1]Accounts!$B$156)</f>
        <v/>
      </c>
      <c r="H155">
        <f>IF([1]Accounts!$D$156="","",[1]Accounts!$C$156)</f>
        <v/>
      </c>
      <c r="I155">
        <f>IF([1]Accounts!$D$156="","",[1]Accounts!$D$156)</f>
        <v/>
      </c>
    </row>
    <row r="156">
      <c r="F156">
        <f>IF([1]Accounts!$D$157="","",[1]Accounts!$A$157)</f>
        <v/>
      </c>
      <c r="G156">
        <f>IF([1]Accounts!$D$157="","",[1]Accounts!$B$157)</f>
        <v/>
      </c>
      <c r="H156">
        <f>IF([1]Accounts!$D$157="","",[1]Accounts!$C$157)</f>
        <v/>
      </c>
      <c r="I156">
        <f>IF([1]Accounts!$D$157="","",[1]Accounts!$D$157)</f>
        <v/>
      </c>
    </row>
    <row r="157">
      <c r="F157">
        <f>IF([1]Accounts!$D$158="","",[1]Accounts!$A$158)</f>
        <v/>
      </c>
      <c r="G157">
        <f>IF([1]Accounts!$D$158="","",[1]Accounts!$B$158)</f>
        <v/>
      </c>
      <c r="H157">
        <f>IF([1]Accounts!$D$158="","",[1]Accounts!$C$158)</f>
        <v/>
      </c>
      <c r="I157">
        <f>IF([1]Accounts!$D$158="","",[1]Accounts!$D$158)</f>
        <v/>
      </c>
    </row>
    <row r="158">
      <c r="F158">
        <f>IF([1]Accounts!$D$159="","",[1]Accounts!$A$159)</f>
        <v/>
      </c>
      <c r="G158">
        <f>IF([1]Accounts!$D$159="","",[1]Accounts!$B$159)</f>
        <v/>
      </c>
      <c r="H158">
        <f>IF([1]Accounts!$D$159="","",[1]Accounts!$C$159)</f>
        <v/>
      </c>
      <c r="I158">
        <f>IF([1]Accounts!$D$159="","",[1]Accounts!$D$159)</f>
        <v/>
      </c>
    </row>
    <row r="159">
      <c r="F159">
        <f>IF([1]Accounts!$D$160="","",[1]Accounts!$A$160)</f>
        <v/>
      </c>
      <c r="G159">
        <f>IF([1]Accounts!$D$160="","",[1]Accounts!$B$160)</f>
        <v/>
      </c>
      <c r="H159">
        <f>IF([1]Accounts!$D$160="","",[1]Accounts!$C$160)</f>
        <v/>
      </c>
      <c r="I159">
        <f>IF([1]Accounts!$D$160="","",[1]Accounts!$D$160)</f>
        <v/>
      </c>
    </row>
    <row r="160">
      <c r="F160">
        <f>IF([1]Accounts!$D$161="","",[1]Accounts!$A$161)</f>
        <v/>
      </c>
      <c r="G160">
        <f>IF([1]Accounts!$D$161="","",[1]Accounts!$B$161)</f>
        <v/>
      </c>
      <c r="H160">
        <f>IF([1]Accounts!$D$161="","",[1]Accounts!$C$161)</f>
        <v/>
      </c>
      <c r="I160">
        <f>IF([1]Accounts!$D$161="","",[1]Accounts!$D$161)</f>
        <v/>
      </c>
    </row>
    <row r="161">
      <c r="F161">
        <f>IF([1]Accounts!$D$162="","",[1]Accounts!$A$162)</f>
        <v/>
      </c>
      <c r="G161">
        <f>IF([1]Accounts!$D$162="","",[1]Accounts!$B$162)</f>
        <v/>
      </c>
      <c r="H161">
        <f>IF([1]Accounts!$D$162="","",[1]Accounts!$C$162)</f>
        <v/>
      </c>
      <c r="I161">
        <f>IF([1]Accounts!$D$162="","",[1]Accounts!$D$162)</f>
        <v/>
      </c>
    </row>
    <row r="162">
      <c r="F162">
        <f>IF([1]Accounts!$D$163="","",[1]Accounts!$A$163)</f>
        <v/>
      </c>
      <c r="G162">
        <f>IF([1]Accounts!$D$163="","",[1]Accounts!$B$163)</f>
        <v/>
      </c>
      <c r="H162">
        <f>IF([1]Accounts!$D$163="","",[1]Accounts!$C$163)</f>
        <v/>
      </c>
      <c r="I162">
        <f>IF([1]Accounts!$D$163="","",[1]Accounts!$D$163)</f>
        <v/>
      </c>
    </row>
    <row r="163">
      <c r="F163">
        <f>IF([1]Accounts!$D$164="","",[1]Accounts!$A$164)</f>
        <v/>
      </c>
      <c r="G163">
        <f>IF([1]Accounts!$D$164="","",[1]Accounts!$B$164)</f>
        <v/>
      </c>
      <c r="H163">
        <f>IF([1]Accounts!$D$164="","",[1]Accounts!$C$164)</f>
        <v/>
      </c>
      <c r="I163">
        <f>IF([1]Accounts!$D$164="","",[1]Accounts!$D$164)</f>
        <v/>
      </c>
    </row>
    <row r="164">
      <c r="F164">
        <f>IF([1]Accounts!$D$165="","",[1]Accounts!$A$165)</f>
        <v/>
      </c>
      <c r="G164">
        <f>IF([1]Accounts!$D$165="","",[1]Accounts!$B$165)</f>
        <v/>
      </c>
      <c r="H164">
        <f>IF([1]Accounts!$D$165="","",[1]Accounts!$C$165)</f>
        <v/>
      </c>
      <c r="I164">
        <f>IF([1]Accounts!$D$165="","",[1]Accounts!$D$165)</f>
        <v/>
      </c>
    </row>
    <row r="165">
      <c r="F165">
        <f>IF([1]Accounts!$D$166="","",[1]Accounts!$A$166)</f>
        <v/>
      </c>
      <c r="G165">
        <f>IF([1]Accounts!$D$166="","",[1]Accounts!$B$166)</f>
        <v/>
      </c>
      <c r="H165">
        <f>IF([1]Accounts!$D$166="","",[1]Accounts!$C$166)</f>
        <v/>
      </c>
      <c r="I165">
        <f>IF([1]Accounts!$D$166="","",[1]Accounts!$D$166)</f>
        <v/>
      </c>
    </row>
    <row r="166">
      <c r="F166">
        <f>IF([1]Accounts!$D$167="","",[1]Accounts!$A$167)</f>
        <v/>
      </c>
      <c r="G166">
        <f>IF([1]Accounts!$D$167="","",[1]Accounts!$B$167)</f>
        <v/>
      </c>
      <c r="H166">
        <f>IF([1]Accounts!$D$167="","",[1]Accounts!$C$167)</f>
        <v/>
      </c>
      <c r="I166">
        <f>IF([1]Accounts!$D$167="","",[1]Accounts!$D$167)</f>
        <v/>
      </c>
    </row>
    <row r="167">
      <c r="F167">
        <f>IF([1]Accounts!$D$168="","",[1]Accounts!$A$168)</f>
        <v/>
      </c>
      <c r="G167">
        <f>IF([1]Accounts!$D$168="","",[1]Accounts!$B$168)</f>
        <v/>
      </c>
      <c r="H167">
        <f>IF([1]Accounts!$D$168="","",[1]Accounts!$C$168)</f>
        <v/>
      </c>
      <c r="I167">
        <f>IF([1]Accounts!$D$168="","",[1]Accounts!$D$168)</f>
        <v/>
      </c>
    </row>
    <row r="168">
      <c r="F168">
        <f>IF([1]Accounts!$D$169="","",[1]Accounts!$A$169)</f>
        <v/>
      </c>
      <c r="G168">
        <f>IF([1]Accounts!$D$169="","",[1]Accounts!$B$169)</f>
        <v/>
      </c>
      <c r="H168">
        <f>IF([1]Accounts!$D$169="","",[1]Accounts!$C$169)</f>
        <v/>
      </c>
      <c r="I168">
        <f>IF([1]Accounts!$D$169="","",[1]Accounts!$D$169)</f>
        <v/>
      </c>
    </row>
    <row r="169">
      <c r="F169">
        <f>IF([1]Accounts!$D$170="","",[1]Accounts!$A$170)</f>
        <v/>
      </c>
      <c r="G169">
        <f>IF([1]Accounts!$D$170="","",[1]Accounts!$B$170)</f>
        <v/>
      </c>
      <c r="H169">
        <f>IF([1]Accounts!$D$170="","",[1]Accounts!$C$170)</f>
        <v/>
      </c>
      <c r="I169">
        <f>IF([1]Accounts!$D$170="","",[1]Accounts!$D$170)</f>
        <v/>
      </c>
    </row>
    <row r="170">
      <c r="F170">
        <f>IF([1]Accounts!$D$171="","",[1]Accounts!$A$171)</f>
        <v/>
      </c>
      <c r="G170">
        <f>IF([1]Accounts!$D$171="","",[1]Accounts!$B$171)</f>
        <v/>
      </c>
      <c r="H170">
        <f>IF([1]Accounts!$D$171="","",[1]Accounts!$C$171)</f>
        <v/>
      </c>
      <c r="I170">
        <f>IF([1]Accounts!$D$171="","",[1]Accounts!$D$171)</f>
        <v/>
      </c>
    </row>
    <row r="171">
      <c r="F171">
        <f>IF([1]Accounts!$D$172="","",[1]Accounts!$A$172)</f>
        <v/>
      </c>
      <c r="G171">
        <f>IF([1]Accounts!$D$172="","",[1]Accounts!$B$172)</f>
        <v/>
      </c>
      <c r="H171">
        <f>IF([1]Accounts!$D$172="","",[1]Accounts!$C$172)</f>
        <v/>
      </c>
      <c r="I171">
        <f>IF([1]Accounts!$D$172="","",[1]Accounts!$D$172)</f>
        <v/>
      </c>
    </row>
    <row r="172">
      <c r="F172">
        <f>IF([1]Accounts!$D$173="","",[1]Accounts!$A$173)</f>
        <v/>
      </c>
      <c r="G172">
        <f>IF([1]Accounts!$D$173="","",[1]Accounts!$B$173)</f>
        <v/>
      </c>
      <c r="H172">
        <f>IF([1]Accounts!$D$173="","",[1]Accounts!$C$173)</f>
        <v/>
      </c>
      <c r="I172">
        <f>IF([1]Accounts!$D$173="","",[1]Accounts!$D$173)</f>
        <v/>
      </c>
    </row>
    <row r="173">
      <c r="F173">
        <f>IF([1]Accounts!$D$174="","",[1]Accounts!$A$174)</f>
        <v/>
      </c>
      <c r="G173">
        <f>IF([1]Accounts!$D$174="","",[1]Accounts!$B$174)</f>
        <v/>
      </c>
      <c r="H173">
        <f>IF([1]Accounts!$D$174="","",[1]Accounts!$C$174)</f>
        <v/>
      </c>
      <c r="I173">
        <f>IF([1]Accounts!$D$174="","",[1]Accounts!$D$174)</f>
        <v/>
      </c>
    </row>
    <row r="174">
      <c r="F174">
        <f>IF([1]Accounts!$D$175="","",[1]Accounts!$A$175)</f>
        <v/>
      </c>
      <c r="G174">
        <f>IF([1]Accounts!$D$175="","",[1]Accounts!$B$175)</f>
        <v/>
      </c>
      <c r="H174">
        <f>IF([1]Accounts!$D$175="","",[1]Accounts!$C$175)</f>
        <v/>
      </c>
      <c r="I174">
        <f>IF([1]Accounts!$D$175="","",[1]Accounts!$D$175)</f>
        <v/>
      </c>
    </row>
    <row r="175">
      <c r="F175">
        <f>IF([1]Accounts!$D$176="","",[1]Accounts!$A$176)</f>
        <v/>
      </c>
      <c r="G175">
        <f>IF([1]Accounts!$D$176="","",[1]Accounts!$B$176)</f>
        <v/>
      </c>
      <c r="H175">
        <f>IF([1]Accounts!$D$176="","",[1]Accounts!$C$176)</f>
        <v/>
      </c>
      <c r="I175">
        <f>IF([1]Accounts!$D$176="","",[1]Accounts!$D$176)</f>
        <v/>
      </c>
    </row>
    <row r="176">
      <c r="F176">
        <f>IF([1]Accounts!$D$177="","",[1]Accounts!$A$177)</f>
        <v/>
      </c>
      <c r="G176">
        <f>IF([1]Accounts!$D$177="","",[1]Accounts!$B$177)</f>
        <v/>
      </c>
      <c r="H176">
        <f>IF([1]Accounts!$D$177="","",[1]Accounts!$C$177)</f>
        <v/>
      </c>
      <c r="I176">
        <f>IF([1]Accounts!$D$177="","",[1]Accounts!$D$177)</f>
        <v/>
      </c>
    </row>
    <row r="177">
      <c r="F177">
        <f>IF([1]Accounts!$D$178="","",[1]Accounts!$A$178)</f>
        <v/>
      </c>
      <c r="G177">
        <f>IF([1]Accounts!$D$178="","",[1]Accounts!$B$178)</f>
        <v/>
      </c>
      <c r="H177">
        <f>IF([1]Accounts!$D$178="","",[1]Accounts!$C$178)</f>
        <v/>
      </c>
      <c r="I177">
        <f>IF([1]Accounts!$D$178="","",[1]Accounts!$D$178)</f>
        <v/>
      </c>
    </row>
    <row r="178">
      <c r="F178">
        <f>IF([1]Accounts!$D$179="","",[1]Accounts!$A$179)</f>
        <v/>
      </c>
      <c r="G178">
        <f>IF([1]Accounts!$D$179="","",[1]Accounts!$B$179)</f>
        <v/>
      </c>
      <c r="H178">
        <f>IF([1]Accounts!$D$179="","",[1]Accounts!$C$179)</f>
        <v/>
      </c>
      <c r="I178">
        <f>IF([1]Accounts!$D$179="","",[1]Accounts!$D$179)</f>
        <v/>
      </c>
    </row>
    <row r="179">
      <c r="F179">
        <f>IF([1]Accounts!$D$180="","",[1]Accounts!$A$180)</f>
        <v/>
      </c>
      <c r="G179">
        <f>IF([1]Accounts!$D$180="","",[1]Accounts!$B$180)</f>
        <v/>
      </c>
      <c r="H179">
        <f>IF([1]Accounts!$D$180="","",[1]Accounts!$C$180)</f>
        <v/>
      </c>
      <c r="I179">
        <f>IF([1]Accounts!$D$180="","",[1]Accounts!$D$180)</f>
        <v/>
      </c>
    </row>
    <row r="180">
      <c r="F180">
        <f>IF([1]Accounts!$D$181="","",[1]Accounts!$A$181)</f>
        <v/>
      </c>
      <c r="G180">
        <f>IF([1]Accounts!$D$181="","",[1]Accounts!$B$181)</f>
        <v/>
      </c>
      <c r="H180">
        <f>IF([1]Accounts!$D$181="","",[1]Accounts!$C$181)</f>
        <v/>
      </c>
      <c r="I180">
        <f>IF([1]Accounts!$D$181="","",[1]Accounts!$D$181)</f>
        <v/>
      </c>
    </row>
    <row r="181">
      <c r="F181">
        <f>IF([1]Accounts!$D$182="","",[1]Accounts!$A$182)</f>
        <v/>
      </c>
      <c r="G181">
        <f>IF([1]Accounts!$D$182="","",[1]Accounts!$B$182)</f>
        <v/>
      </c>
      <c r="H181">
        <f>IF([1]Accounts!$D$182="","",[1]Accounts!$C$182)</f>
        <v/>
      </c>
      <c r="I181">
        <f>IF([1]Accounts!$D$182="","",[1]Accounts!$D$182)</f>
        <v/>
      </c>
    </row>
    <row r="182">
      <c r="F182">
        <f>IF([1]Accounts!$D$183="","",[1]Accounts!$A$183)</f>
        <v/>
      </c>
      <c r="G182">
        <f>IF([1]Accounts!$D$183="","",[1]Accounts!$B$183)</f>
        <v/>
      </c>
      <c r="H182">
        <f>IF([1]Accounts!$D$183="","",[1]Accounts!$C$183)</f>
        <v/>
      </c>
      <c r="I182">
        <f>IF([1]Accounts!$D$183="","",[1]Accounts!$D$183)</f>
        <v/>
      </c>
    </row>
    <row r="183">
      <c r="F183">
        <f>IF([1]Accounts!$D$184="","",[1]Accounts!$A$184)</f>
        <v/>
      </c>
      <c r="G183">
        <f>IF([1]Accounts!$D$184="","",[1]Accounts!$B$184)</f>
        <v/>
      </c>
      <c r="H183">
        <f>IF([1]Accounts!$D$184="","",[1]Accounts!$C$184)</f>
        <v/>
      </c>
      <c r="I183">
        <f>IF([1]Accounts!$D$184="","",[1]Accounts!$D$184)</f>
        <v/>
      </c>
    </row>
    <row r="184">
      <c r="F184">
        <f>IF([1]Accounts!$D$185="","",[1]Accounts!$A$185)</f>
        <v/>
      </c>
      <c r="G184">
        <f>IF([1]Accounts!$D$185="","",[1]Accounts!$B$185)</f>
        <v/>
      </c>
      <c r="H184">
        <f>IF([1]Accounts!$D$185="","",[1]Accounts!$C$185)</f>
        <v/>
      </c>
      <c r="I184">
        <f>IF([1]Accounts!$D$185="","",[1]Accounts!$D$185)</f>
        <v/>
      </c>
    </row>
    <row r="185">
      <c r="F185">
        <f>IF([1]Accounts!$D$186="","",[1]Accounts!$A$186)</f>
        <v/>
      </c>
      <c r="G185">
        <f>IF([1]Accounts!$D$186="","",[1]Accounts!$B$186)</f>
        <v/>
      </c>
      <c r="H185">
        <f>IF([1]Accounts!$D$186="","",[1]Accounts!$C$186)</f>
        <v/>
      </c>
      <c r="I185">
        <f>IF([1]Accounts!$D$186="","",[1]Accounts!$D$186)</f>
        <v/>
      </c>
    </row>
    <row r="186">
      <c r="F186">
        <f>IF([1]Accounts!$D$187="","",[1]Accounts!$A$187)</f>
        <v/>
      </c>
      <c r="G186">
        <f>IF([1]Accounts!$D$187="","",[1]Accounts!$B$187)</f>
        <v/>
      </c>
      <c r="H186">
        <f>IF([1]Accounts!$D$187="","",[1]Accounts!$C$187)</f>
        <v/>
      </c>
      <c r="I186">
        <f>IF([1]Accounts!$D$187="","",[1]Accounts!$D$187)</f>
        <v/>
      </c>
    </row>
    <row r="187">
      <c r="F187">
        <f>IF([1]Accounts!$D$188="","",[1]Accounts!$A$188)</f>
        <v/>
      </c>
      <c r="G187">
        <f>IF([1]Accounts!$D$188="","",[1]Accounts!$B$188)</f>
        <v/>
      </c>
      <c r="H187">
        <f>IF([1]Accounts!$D$188="","",[1]Accounts!$C$188)</f>
        <v/>
      </c>
      <c r="I187">
        <f>IF([1]Accounts!$D$188="","",[1]Accounts!$D$188)</f>
        <v/>
      </c>
    </row>
    <row r="188">
      <c r="F188">
        <f>IF([1]Accounts!$D$189="","",[1]Accounts!$A$189)</f>
        <v/>
      </c>
      <c r="G188">
        <f>IF([1]Accounts!$D$189="","",[1]Accounts!$B$189)</f>
        <v/>
      </c>
      <c r="H188">
        <f>IF([1]Accounts!$D$189="","",[1]Accounts!$C$189)</f>
        <v/>
      </c>
      <c r="I188">
        <f>IF([1]Accounts!$D$189="","",[1]Accounts!$D$189)</f>
        <v/>
      </c>
    </row>
    <row r="189">
      <c r="F189">
        <f>IF([1]Accounts!$D$190="","",[1]Accounts!$A$190)</f>
        <v/>
      </c>
      <c r="G189">
        <f>IF([1]Accounts!$D$190="","",[1]Accounts!$B$190)</f>
        <v/>
      </c>
      <c r="H189">
        <f>IF([1]Accounts!$D$190="","",[1]Accounts!$C$190)</f>
        <v/>
      </c>
      <c r="I189">
        <f>IF([1]Accounts!$D$190="","",[1]Accounts!$D$190)</f>
        <v/>
      </c>
    </row>
    <row r="190">
      <c r="F190">
        <f>IF([1]Accounts!$D$191="","",[1]Accounts!$A$191)</f>
        <v/>
      </c>
      <c r="G190">
        <f>IF([1]Accounts!$D$191="","",[1]Accounts!$B$191)</f>
        <v/>
      </c>
      <c r="H190">
        <f>IF([1]Accounts!$D$191="","",[1]Accounts!$C$191)</f>
        <v/>
      </c>
      <c r="I190">
        <f>IF([1]Accounts!$D$191="","",[1]Accounts!$D$191)</f>
        <v/>
      </c>
    </row>
    <row r="191">
      <c r="F191">
        <f>IF([1]Accounts!$D$192="","",[1]Accounts!$A$192)</f>
        <v/>
      </c>
      <c r="G191">
        <f>IF([1]Accounts!$D$192="","",[1]Accounts!$B$192)</f>
        <v/>
      </c>
      <c r="H191">
        <f>IF([1]Accounts!$D$192="","",[1]Accounts!$C$192)</f>
        <v/>
      </c>
      <c r="I191">
        <f>IF([1]Accounts!$D$192="","",[1]Accounts!$D$192)</f>
        <v/>
      </c>
    </row>
    <row r="192">
      <c r="F192">
        <f>IF([1]Accounts!$D$193="","",[1]Accounts!$A$193)</f>
        <v/>
      </c>
      <c r="G192">
        <f>IF([1]Accounts!$D$193="","",[1]Accounts!$B$193)</f>
        <v/>
      </c>
      <c r="H192">
        <f>IF([1]Accounts!$D$193="","",[1]Accounts!$C$193)</f>
        <v/>
      </c>
      <c r="I192">
        <f>IF([1]Accounts!$D$193="","",[1]Accounts!$D$193)</f>
        <v/>
      </c>
    </row>
    <row r="193">
      <c r="F193">
        <f>IF([1]Accounts!$D$194="","",[1]Accounts!$A$194)</f>
        <v/>
      </c>
      <c r="G193">
        <f>IF([1]Accounts!$D$194="","",[1]Accounts!$B$194)</f>
        <v/>
      </c>
      <c r="H193">
        <f>IF([1]Accounts!$D$194="","",[1]Accounts!$C$194)</f>
        <v/>
      </c>
      <c r="I193">
        <f>IF([1]Accounts!$D$194="","",[1]Accounts!$D$194)</f>
        <v/>
      </c>
    </row>
    <row r="194">
      <c r="F194">
        <f>IF([1]Accounts!$D$195="","",[1]Accounts!$A$195)</f>
        <v/>
      </c>
      <c r="G194">
        <f>IF([1]Accounts!$D$195="","",[1]Accounts!$B$195)</f>
        <v/>
      </c>
      <c r="H194">
        <f>IF([1]Accounts!$D$195="","",[1]Accounts!$C$195)</f>
        <v/>
      </c>
      <c r="I194">
        <f>IF([1]Accounts!$D$195="","",[1]Accounts!$D$195)</f>
        <v/>
      </c>
    </row>
    <row r="195">
      <c r="F195">
        <f>IF([1]Accounts!$D$196="","",[1]Accounts!$A$196)</f>
        <v/>
      </c>
      <c r="G195">
        <f>IF([1]Accounts!$D$196="","",[1]Accounts!$B$196)</f>
        <v/>
      </c>
      <c r="H195">
        <f>IF([1]Accounts!$D$196="","",[1]Accounts!$C$196)</f>
        <v/>
      </c>
      <c r="I195">
        <f>IF([1]Accounts!$D$196="","",[1]Accounts!$D$196)</f>
        <v/>
      </c>
    </row>
    <row r="196">
      <c r="F196">
        <f>IF([1]Accounts!$D$197="","",[1]Accounts!$A$197)</f>
        <v/>
      </c>
      <c r="G196">
        <f>IF([1]Accounts!$D$197="","",[1]Accounts!$B$197)</f>
        <v/>
      </c>
      <c r="H196">
        <f>IF([1]Accounts!$D$197="","",[1]Accounts!$C$197)</f>
        <v/>
      </c>
      <c r="I196">
        <f>IF([1]Accounts!$D$197="","",[1]Accounts!$D$197)</f>
        <v/>
      </c>
    </row>
    <row r="197">
      <c r="F197">
        <f>IF([1]Accounts!$D$198="","",[1]Accounts!$A$198)</f>
        <v/>
      </c>
      <c r="G197">
        <f>IF([1]Accounts!$D$198="","",[1]Accounts!$B$198)</f>
        <v/>
      </c>
      <c r="H197">
        <f>IF([1]Accounts!$D$198="","",[1]Accounts!$C$198)</f>
        <v/>
      </c>
      <c r="I197">
        <f>IF([1]Accounts!$D$198="","",[1]Accounts!$D$198)</f>
        <v/>
      </c>
    </row>
    <row r="198">
      <c r="F198">
        <f>IF([1]Accounts!$D$199="","",[1]Accounts!$A$199)</f>
        <v/>
      </c>
      <c r="G198">
        <f>IF([1]Accounts!$D$199="","",[1]Accounts!$B$199)</f>
        <v/>
      </c>
      <c r="H198">
        <f>IF([1]Accounts!$D$199="","",[1]Accounts!$C$199)</f>
        <v/>
      </c>
      <c r="I198">
        <f>IF([1]Accounts!$D$199="","",[1]Accounts!$D$199)</f>
        <v/>
      </c>
    </row>
    <row r="199">
      <c r="F199">
        <f>IF([1]Accounts!$D$200="","",[1]Accounts!$A$200)</f>
        <v/>
      </c>
      <c r="G199">
        <f>IF([1]Accounts!$D$200="","",[1]Accounts!$B$200)</f>
        <v/>
      </c>
      <c r="H199">
        <f>IF([1]Accounts!$D$200="","",[1]Accounts!$C$200)</f>
        <v/>
      </c>
      <c r="I199">
        <f>IF([1]Accounts!$D$200="","",[1]Accounts!$D$200)</f>
        <v/>
      </c>
    </row>
    <row r="200">
      <c r="F200">
        <f>IF([1]Accounts!$D$201="","",[1]Accounts!$A$201)</f>
        <v/>
      </c>
      <c r="G200">
        <f>IF([1]Accounts!$D$201="","",[1]Accounts!$B$201)</f>
        <v/>
      </c>
      <c r="H200">
        <f>IF([1]Accounts!$D$201="","",[1]Accounts!$C$201)</f>
        <v/>
      </c>
      <c r="I200">
        <f>IF([1]Accounts!$D$201="","",[1]Accounts!$D$201)</f>
        <v/>
      </c>
    </row>
    <row r="201">
      <c r="F201">
        <f>IF([1]Accounts!$D$202="","",[1]Accounts!$A$202)</f>
        <v/>
      </c>
      <c r="G201">
        <f>IF([1]Accounts!$D$202="","",[1]Accounts!$B$202)</f>
        <v/>
      </c>
      <c r="H201">
        <f>IF([1]Accounts!$D$202="","",[1]Accounts!$C$202)</f>
        <v/>
      </c>
      <c r="I201">
        <f>IF([1]Accounts!$D$202="","",[1]Accounts!$D$202)</f>
        <v/>
      </c>
    </row>
    <row r="202">
      <c r="F202">
        <f>IF([1]Accounts!$D$203="","",[1]Accounts!$A$203)</f>
        <v/>
      </c>
      <c r="G202">
        <f>IF([1]Accounts!$D$203="","",[1]Accounts!$B$203)</f>
        <v/>
      </c>
      <c r="H202">
        <f>IF([1]Accounts!$D$203="","",[1]Accounts!$C$203)</f>
        <v/>
      </c>
      <c r="I202">
        <f>IF([1]Accounts!$D$203="","",[1]Accounts!$D$203)</f>
        <v/>
      </c>
    </row>
    <row r="203">
      <c r="F203">
        <f>IF([1]Accounts!$D$204="","",[1]Accounts!$A$204)</f>
        <v/>
      </c>
      <c r="G203">
        <f>IF([1]Accounts!$D$204="","",[1]Accounts!$B$204)</f>
        <v/>
      </c>
      <c r="H203">
        <f>IF([1]Accounts!$D$204="","",[1]Accounts!$C$204)</f>
        <v/>
      </c>
      <c r="I203">
        <f>IF([1]Accounts!$D$204="","",[1]Accounts!$D$204)</f>
        <v/>
      </c>
    </row>
    <row r="204">
      <c r="F204">
        <f>IF([1]Accounts!$D$205="","",[1]Accounts!$A$205)</f>
        <v/>
      </c>
      <c r="G204">
        <f>IF([1]Accounts!$D$205="","",[1]Accounts!$B$205)</f>
        <v/>
      </c>
      <c r="H204">
        <f>IF([1]Accounts!$D$205="","",[1]Accounts!$C$205)</f>
        <v/>
      </c>
      <c r="I204">
        <f>IF([1]Accounts!$D$205="","",[1]Accounts!$D$205)</f>
        <v/>
      </c>
    </row>
    <row r="205">
      <c r="F205">
        <f>IF([1]Accounts!$D$206="","",[1]Accounts!$A$206)</f>
        <v/>
      </c>
      <c r="G205">
        <f>IF([1]Accounts!$D$206="","",[1]Accounts!$B$206)</f>
        <v/>
      </c>
      <c r="H205">
        <f>IF([1]Accounts!$D$206="","",[1]Accounts!$C$206)</f>
        <v/>
      </c>
      <c r="I205">
        <f>IF([1]Accounts!$D$206="","",[1]Accounts!$D$206)</f>
        <v/>
      </c>
    </row>
    <row r="206">
      <c r="F206">
        <f>IF([1]Accounts!$D$207="","",[1]Accounts!$A$207)</f>
        <v/>
      </c>
      <c r="G206">
        <f>IF([1]Accounts!$D$207="","",[1]Accounts!$B$207)</f>
        <v/>
      </c>
      <c r="H206">
        <f>IF([1]Accounts!$D$207="","",[1]Accounts!$C$207)</f>
        <v/>
      </c>
      <c r="I206">
        <f>IF([1]Accounts!$D$207="","",[1]Accounts!$D$207)</f>
        <v/>
      </c>
    </row>
    <row r="207">
      <c r="F207">
        <f>IF([1]Accounts!$D$208="","",[1]Accounts!$A$208)</f>
        <v/>
      </c>
      <c r="G207">
        <f>IF([1]Accounts!$D$208="","",[1]Accounts!$B$208)</f>
        <v/>
      </c>
      <c r="H207">
        <f>IF([1]Accounts!$D$208="","",[1]Accounts!$C$208)</f>
        <v/>
      </c>
      <c r="I207">
        <f>IF([1]Accounts!$D$208="","",[1]Accounts!$D$208)</f>
        <v/>
      </c>
    </row>
    <row r="208">
      <c r="F208">
        <f>IF([1]Accounts!$D$209="","",[1]Accounts!$A$209)</f>
        <v/>
      </c>
      <c r="G208">
        <f>IF([1]Accounts!$D$209="","",[1]Accounts!$B$209)</f>
        <v/>
      </c>
      <c r="H208">
        <f>IF([1]Accounts!$D$209="","",[1]Accounts!$C$209)</f>
        <v/>
      </c>
      <c r="I208">
        <f>IF([1]Accounts!$D$209="","",[1]Accounts!$D$209)</f>
        <v/>
      </c>
    </row>
    <row r="209">
      <c r="F209">
        <f>IF([1]Accounts!$D$210="","",[1]Accounts!$A$210)</f>
        <v/>
      </c>
      <c r="G209">
        <f>IF([1]Accounts!$D$210="","",[1]Accounts!$B$210)</f>
        <v/>
      </c>
      <c r="H209">
        <f>IF([1]Accounts!$D$210="","",[1]Accounts!$C$210)</f>
        <v/>
      </c>
      <c r="I209">
        <f>IF([1]Accounts!$D$210="","",[1]Accounts!$D$210)</f>
        <v/>
      </c>
    </row>
    <row r="210">
      <c r="F210">
        <f>IF([1]Accounts!$D$211="","",[1]Accounts!$A$211)</f>
        <v/>
      </c>
      <c r="G210">
        <f>IF([1]Accounts!$D$211="","",[1]Accounts!$B$211)</f>
        <v/>
      </c>
      <c r="H210">
        <f>IF([1]Accounts!$D$211="","",[1]Accounts!$C$211)</f>
        <v/>
      </c>
      <c r="I210">
        <f>IF([1]Accounts!$D$211="","",[1]Accounts!$D$211)</f>
        <v/>
      </c>
    </row>
    <row r="211">
      <c r="F211">
        <f>IF([1]Accounts!$D$212="","",[1]Accounts!$A$212)</f>
        <v/>
      </c>
      <c r="G211">
        <f>IF([1]Accounts!$D$212="","",[1]Accounts!$B$212)</f>
        <v/>
      </c>
      <c r="H211">
        <f>IF([1]Accounts!$D$212="","",[1]Accounts!$C$212)</f>
        <v/>
      </c>
      <c r="I211">
        <f>IF([1]Accounts!$D$212="","",[1]Accounts!$D$212)</f>
        <v/>
      </c>
    </row>
    <row r="212">
      <c r="F212">
        <f>IF([1]Accounts!$D$213="","",[1]Accounts!$A$213)</f>
        <v/>
      </c>
      <c r="G212">
        <f>IF([1]Accounts!$D$213="","",[1]Accounts!$B$213)</f>
        <v/>
      </c>
      <c r="H212">
        <f>IF([1]Accounts!$D$213="","",[1]Accounts!$C$213)</f>
        <v/>
      </c>
      <c r="I212">
        <f>IF([1]Accounts!$D$213="","",[1]Accounts!$D$213)</f>
        <v/>
      </c>
    </row>
    <row r="213">
      <c r="F213">
        <f>IF([1]Accounts!$D$214="","",[1]Accounts!$A$214)</f>
        <v/>
      </c>
      <c r="G213">
        <f>IF([1]Accounts!$D$214="","",[1]Accounts!$B$214)</f>
        <v/>
      </c>
      <c r="H213">
        <f>IF([1]Accounts!$D$214="","",[1]Accounts!$C$214)</f>
        <v/>
      </c>
      <c r="I213">
        <f>IF([1]Accounts!$D$214="","",[1]Accounts!$D$214)</f>
        <v/>
      </c>
    </row>
    <row r="214">
      <c r="F214">
        <f>IF([1]Accounts!$D$215="","",[1]Accounts!$A$215)</f>
        <v/>
      </c>
      <c r="G214">
        <f>IF([1]Accounts!$D$215="","",[1]Accounts!$B$215)</f>
        <v/>
      </c>
      <c r="H214">
        <f>IF([1]Accounts!$D$215="","",[1]Accounts!$C$215)</f>
        <v/>
      </c>
      <c r="I214">
        <f>IF([1]Accounts!$D$215="","",[1]Accounts!$D$215)</f>
        <v/>
      </c>
    </row>
    <row r="215">
      <c r="F215">
        <f>IF([1]Accounts!$D$216="","",[1]Accounts!$A$216)</f>
        <v/>
      </c>
      <c r="G215">
        <f>IF([1]Accounts!$D$216="","",[1]Accounts!$B$216)</f>
        <v/>
      </c>
      <c r="H215">
        <f>IF([1]Accounts!$D$216="","",[1]Accounts!$C$216)</f>
        <v/>
      </c>
      <c r="I215">
        <f>IF([1]Accounts!$D$216="","",[1]Accounts!$D$216)</f>
        <v/>
      </c>
    </row>
    <row r="216">
      <c r="F216">
        <f>IF([1]Accounts!$D$217="","",[1]Accounts!$A$217)</f>
        <v/>
      </c>
      <c r="G216">
        <f>IF([1]Accounts!$D$217="","",[1]Accounts!$B$217)</f>
        <v/>
      </c>
      <c r="H216">
        <f>IF([1]Accounts!$D$217="","",[1]Accounts!$C$217)</f>
        <v/>
      </c>
      <c r="I216">
        <f>IF([1]Accounts!$D$217="","",[1]Accounts!$D$217)</f>
        <v/>
      </c>
    </row>
    <row r="217">
      <c r="F217">
        <f>IF([1]Accounts!$D$218="","",[1]Accounts!$A$218)</f>
        <v/>
      </c>
      <c r="G217">
        <f>IF([1]Accounts!$D$218="","",[1]Accounts!$B$218)</f>
        <v/>
      </c>
      <c r="H217">
        <f>IF([1]Accounts!$D$218="","",[1]Accounts!$C$218)</f>
        <v/>
      </c>
      <c r="I217">
        <f>IF([1]Accounts!$D$218="","",[1]Accounts!$D$218)</f>
        <v/>
      </c>
    </row>
    <row r="218">
      <c r="F218">
        <f>IF([1]Accounts!$D$219="","",[1]Accounts!$A$219)</f>
        <v/>
      </c>
      <c r="G218">
        <f>IF([1]Accounts!$D$219="","",[1]Accounts!$B$219)</f>
        <v/>
      </c>
      <c r="H218">
        <f>IF([1]Accounts!$D$219="","",[1]Accounts!$C$219)</f>
        <v/>
      </c>
      <c r="I218">
        <f>IF([1]Accounts!$D$219="","",[1]Accounts!$D$219)</f>
        <v/>
      </c>
    </row>
    <row r="219">
      <c r="F219">
        <f>IF([1]Accounts!$D$220="","",[1]Accounts!$A$220)</f>
        <v/>
      </c>
      <c r="G219">
        <f>IF([1]Accounts!$D$220="","",[1]Accounts!$B$220)</f>
        <v/>
      </c>
      <c r="H219">
        <f>IF([1]Accounts!$D$220="","",[1]Accounts!$C$220)</f>
        <v/>
      </c>
      <c r="I219">
        <f>IF([1]Accounts!$D$220="","",[1]Accounts!$D$220)</f>
        <v/>
      </c>
    </row>
    <row r="220">
      <c r="F220">
        <f>IF([1]Accounts!$D$221="","",[1]Accounts!$A$221)</f>
        <v/>
      </c>
      <c r="G220">
        <f>IF([1]Accounts!$D$221="","",[1]Accounts!$B$221)</f>
        <v/>
      </c>
      <c r="H220">
        <f>IF([1]Accounts!$D$221="","",[1]Accounts!$C$221)</f>
        <v/>
      </c>
      <c r="I220">
        <f>IF([1]Accounts!$D$221="","",[1]Accounts!$D$221)</f>
        <v/>
      </c>
    </row>
    <row r="221">
      <c r="F221">
        <f>IF([1]Accounts!$D$222="","",[1]Accounts!$A$222)</f>
        <v/>
      </c>
      <c r="G221">
        <f>IF([1]Accounts!$D$222="","",[1]Accounts!$B$222)</f>
        <v/>
      </c>
      <c r="H221">
        <f>IF([1]Accounts!$D$222="","",[1]Accounts!$C$222)</f>
        <v/>
      </c>
      <c r="I221">
        <f>IF([1]Accounts!$D$222="","",[1]Accounts!$D$222)</f>
        <v/>
      </c>
    </row>
    <row r="222">
      <c r="F222">
        <f>IF([1]Accounts!$D$223="","",[1]Accounts!$A$223)</f>
        <v/>
      </c>
      <c r="G222">
        <f>IF([1]Accounts!$D$223="","",[1]Accounts!$B$223)</f>
        <v/>
      </c>
      <c r="H222">
        <f>IF([1]Accounts!$D$223="","",[1]Accounts!$C$223)</f>
        <v/>
      </c>
      <c r="I222">
        <f>IF([1]Accounts!$D$223="","",[1]Accounts!$D$223)</f>
        <v/>
      </c>
    </row>
    <row r="223">
      <c r="F223">
        <f>IF([1]Accounts!$D$224="","",[1]Accounts!$A$224)</f>
        <v/>
      </c>
      <c r="G223">
        <f>IF([1]Accounts!$D$224="","",[1]Accounts!$B$224)</f>
        <v/>
      </c>
      <c r="H223">
        <f>IF([1]Accounts!$D$224="","",[1]Accounts!$C$224)</f>
        <v/>
      </c>
      <c r="I223">
        <f>IF([1]Accounts!$D$224="","",[1]Accounts!$D$224)</f>
        <v/>
      </c>
    </row>
    <row r="224">
      <c r="F224">
        <f>IF([1]Accounts!$D$225="","",[1]Accounts!$A$225)</f>
        <v/>
      </c>
      <c r="G224">
        <f>IF([1]Accounts!$D$225="","",[1]Accounts!$B$225)</f>
        <v/>
      </c>
      <c r="H224">
        <f>IF([1]Accounts!$D$225="","",[1]Accounts!$C$225)</f>
        <v/>
      </c>
      <c r="I224">
        <f>IF([1]Accounts!$D$225="","",[1]Accounts!$D$225)</f>
        <v/>
      </c>
    </row>
    <row r="225">
      <c r="F225">
        <f>IF([1]Accounts!$D$226="","",[1]Accounts!$A$226)</f>
        <v/>
      </c>
      <c r="G225">
        <f>IF([1]Accounts!$D$226="","",[1]Accounts!$B$226)</f>
        <v/>
      </c>
      <c r="H225">
        <f>IF([1]Accounts!$D$226="","",[1]Accounts!$C$226)</f>
        <v/>
      </c>
      <c r="I225">
        <f>IF([1]Accounts!$D$226="","",[1]Accounts!$D$226)</f>
        <v/>
      </c>
    </row>
    <row r="226">
      <c r="F226">
        <f>IF([1]Accounts!$D$227="","",[1]Accounts!$A$227)</f>
        <v/>
      </c>
      <c r="G226">
        <f>IF([1]Accounts!$D$227="","",[1]Accounts!$B$227)</f>
        <v/>
      </c>
      <c r="H226">
        <f>IF([1]Accounts!$D$227="","",[1]Accounts!$C$227)</f>
        <v/>
      </c>
      <c r="I226">
        <f>IF([1]Accounts!$D$227="","",[1]Accounts!$D$227)</f>
        <v/>
      </c>
    </row>
    <row r="227">
      <c r="F227">
        <f>IF([1]Accounts!$D$228="","",[1]Accounts!$A$228)</f>
        <v/>
      </c>
      <c r="G227">
        <f>IF([1]Accounts!$D$228="","",[1]Accounts!$B$228)</f>
        <v/>
      </c>
      <c r="H227">
        <f>IF([1]Accounts!$D$228="","",[1]Accounts!$C$228)</f>
        <v/>
      </c>
      <c r="I227">
        <f>IF([1]Accounts!$D$228="","",[1]Accounts!$D$228)</f>
        <v/>
      </c>
    </row>
    <row r="228">
      <c r="F228">
        <f>IF([1]Accounts!$D$229="","",[1]Accounts!$A$229)</f>
        <v/>
      </c>
      <c r="G228">
        <f>IF([1]Accounts!$D$229="","",[1]Accounts!$B$229)</f>
        <v/>
      </c>
      <c r="H228">
        <f>IF([1]Accounts!$D$229="","",[1]Accounts!$C$229)</f>
        <v/>
      </c>
      <c r="I228">
        <f>IF([1]Accounts!$D$229="","",[1]Accounts!$D$229)</f>
        <v/>
      </c>
    </row>
    <row r="229">
      <c r="F229">
        <f>IF([1]Accounts!$D$230="","",[1]Accounts!$A$230)</f>
        <v/>
      </c>
      <c r="G229">
        <f>IF([1]Accounts!$D$230="","",[1]Accounts!$B$230)</f>
        <v/>
      </c>
      <c r="H229">
        <f>IF([1]Accounts!$D$230="","",[1]Accounts!$C$230)</f>
        <v/>
      </c>
      <c r="I229">
        <f>IF([1]Accounts!$D$230="","",[1]Accounts!$D$230)</f>
        <v/>
      </c>
    </row>
    <row r="230">
      <c r="F230">
        <f>IF([1]Accounts!$D$231="","",[1]Accounts!$A$231)</f>
        <v/>
      </c>
      <c r="G230">
        <f>IF([1]Accounts!$D$231="","",[1]Accounts!$B$231)</f>
        <v/>
      </c>
      <c r="H230">
        <f>IF([1]Accounts!$D$231="","",[1]Accounts!$C$231)</f>
        <v/>
      </c>
      <c r="I230">
        <f>IF([1]Accounts!$D$231="","",[1]Accounts!$D$231)</f>
        <v/>
      </c>
    </row>
    <row r="231">
      <c r="F231">
        <f>IF([1]Accounts!$D$232="","",[1]Accounts!$A$232)</f>
        <v/>
      </c>
      <c r="G231">
        <f>IF([1]Accounts!$D$232="","",[1]Accounts!$B$232)</f>
        <v/>
      </c>
      <c r="H231">
        <f>IF([1]Accounts!$D$232="","",[1]Accounts!$C$232)</f>
        <v/>
      </c>
      <c r="I231">
        <f>IF([1]Accounts!$D$232="","",[1]Accounts!$D$232)</f>
        <v/>
      </c>
    </row>
    <row r="232">
      <c r="F232">
        <f>IF([1]Accounts!$D$233="","",[1]Accounts!$A$233)</f>
        <v/>
      </c>
      <c r="G232">
        <f>IF([1]Accounts!$D$233="","",[1]Accounts!$B$233)</f>
        <v/>
      </c>
      <c r="H232">
        <f>IF([1]Accounts!$D$233="","",[1]Accounts!$C$233)</f>
        <v/>
      </c>
      <c r="I232">
        <f>IF([1]Accounts!$D$233="","",[1]Accounts!$D$233)</f>
        <v/>
      </c>
    </row>
    <row r="233">
      <c r="F233">
        <f>IF([1]Accounts!$D$234="","",[1]Accounts!$A$234)</f>
        <v/>
      </c>
      <c r="G233">
        <f>IF([1]Accounts!$D$234="","",[1]Accounts!$B$234)</f>
        <v/>
      </c>
      <c r="H233">
        <f>IF([1]Accounts!$D$234="","",[1]Accounts!$C$234)</f>
        <v/>
      </c>
      <c r="I233">
        <f>IF([1]Accounts!$D$234="","",[1]Accounts!$D$234)</f>
        <v/>
      </c>
    </row>
    <row r="234">
      <c r="F234">
        <f>IF([1]Accounts!$D$235="","",[1]Accounts!$A$235)</f>
        <v/>
      </c>
      <c r="G234">
        <f>IF([1]Accounts!$D$235="","",[1]Accounts!$B$235)</f>
        <v/>
      </c>
      <c r="H234">
        <f>IF([1]Accounts!$D$235="","",[1]Accounts!$C$235)</f>
        <v/>
      </c>
      <c r="I234">
        <f>IF([1]Accounts!$D$235="","",[1]Accounts!$D$235)</f>
        <v/>
      </c>
    </row>
    <row r="235">
      <c r="F235">
        <f>IF([1]Accounts!$D$236="","",[1]Accounts!$A$236)</f>
        <v/>
      </c>
      <c r="G235">
        <f>IF([1]Accounts!$D$236="","",[1]Accounts!$B$236)</f>
        <v/>
      </c>
      <c r="H235">
        <f>IF([1]Accounts!$D$236="","",[1]Accounts!$C$236)</f>
        <v/>
      </c>
      <c r="I235">
        <f>IF([1]Accounts!$D$236="","",[1]Accounts!$D$236)</f>
        <v/>
      </c>
    </row>
    <row r="236">
      <c r="F236">
        <f>IF([1]Accounts!$D$237="","",[1]Accounts!$A$237)</f>
        <v/>
      </c>
      <c r="G236">
        <f>IF([1]Accounts!$D$237="","",[1]Accounts!$B$237)</f>
        <v/>
      </c>
      <c r="H236">
        <f>IF([1]Accounts!$D$237="","",[1]Accounts!$C$237)</f>
        <v/>
      </c>
      <c r="I236">
        <f>IF([1]Accounts!$D$237="","",[1]Accounts!$D$237)</f>
        <v/>
      </c>
    </row>
    <row r="237">
      <c r="F237">
        <f>IF([1]Accounts!$D$238="","",[1]Accounts!$A$238)</f>
        <v/>
      </c>
      <c r="G237">
        <f>IF([1]Accounts!$D$238="","",[1]Accounts!$B$238)</f>
        <v/>
      </c>
      <c r="H237">
        <f>IF([1]Accounts!$D$238="","",[1]Accounts!$C$238)</f>
        <v/>
      </c>
      <c r="I237">
        <f>IF([1]Accounts!$D$238="","",[1]Accounts!$D$238)</f>
        <v/>
      </c>
    </row>
    <row r="238">
      <c r="F238">
        <f>IF([1]Accounts!$D$239="","",[1]Accounts!$A$239)</f>
        <v/>
      </c>
      <c r="G238">
        <f>IF([1]Accounts!$D$239="","",[1]Accounts!$B$239)</f>
        <v/>
      </c>
      <c r="H238">
        <f>IF([1]Accounts!$D$239="","",[1]Accounts!$C$239)</f>
        <v/>
      </c>
      <c r="I238">
        <f>IF([1]Accounts!$D$239="","",[1]Accounts!$D$239)</f>
        <v/>
      </c>
    </row>
    <row r="239">
      <c r="F239">
        <f>IF([1]Accounts!$D$240="","",[1]Accounts!$A$240)</f>
        <v/>
      </c>
      <c r="G239">
        <f>IF([1]Accounts!$D$240="","",[1]Accounts!$B$240)</f>
        <v/>
      </c>
      <c r="H239">
        <f>IF([1]Accounts!$D$240="","",[1]Accounts!$C$240)</f>
        <v/>
      </c>
      <c r="I239">
        <f>IF([1]Accounts!$D$240="","",[1]Accounts!$D$240)</f>
        <v/>
      </c>
    </row>
    <row r="240">
      <c r="F240">
        <f>IF([1]Accounts!$D$241="","",[1]Accounts!$A$241)</f>
        <v/>
      </c>
      <c r="G240">
        <f>IF([1]Accounts!$D$241="","",[1]Accounts!$B$241)</f>
        <v/>
      </c>
      <c r="H240">
        <f>IF([1]Accounts!$D$241="","",[1]Accounts!$C$241)</f>
        <v/>
      </c>
      <c r="I240">
        <f>IF([1]Accounts!$D$241="","",[1]Accounts!$D$241)</f>
        <v/>
      </c>
    </row>
    <row r="241">
      <c r="F241">
        <f>IF([1]Accounts!$D$242="","",[1]Accounts!$A$242)</f>
        <v/>
      </c>
      <c r="G241">
        <f>IF([1]Accounts!$D$242="","",[1]Accounts!$B$242)</f>
        <v/>
      </c>
      <c r="H241">
        <f>IF([1]Accounts!$D$242="","",[1]Accounts!$C$242)</f>
        <v/>
      </c>
      <c r="I241">
        <f>IF([1]Accounts!$D$242="","",[1]Accounts!$D$242)</f>
        <v/>
      </c>
    </row>
    <row r="242">
      <c r="F242">
        <f>IF([1]Accounts!$D$243="","",[1]Accounts!$A$243)</f>
        <v/>
      </c>
      <c r="G242">
        <f>IF([1]Accounts!$D$243="","",[1]Accounts!$B$243)</f>
        <v/>
      </c>
      <c r="H242">
        <f>IF([1]Accounts!$D$243="","",[1]Accounts!$C$243)</f>
        <v/>
      </c>
      <c r="I242">
        <f>IF([1]Accounts!$D$243="","",[1]Accounts!$D$243)</f>
        <v/>
      </c>
    </row>
    <row r="243">
      <c r="F243">
        <f>IF([1]Accounts!$D$244="","",[1]Accounts!$A$244)</f>
        <v/>
      </c>
      <c r="G243">
        <f>IF([1]Accounts!$D$244="","",[1]Accounts!$B$244)</f>
        <v/>
      </c>
      <c r="H243">
        <f>IF([1]Accounts!$D$244="","",[1]Accounts!$C$244)</f>
        <v/>
      </c>
      <c r="I243">
        <f>IF([1]Accounts!$D$244="","",[1]Accounts!$D$244)</f>
        <v/>
      </c>
    </row>
    <row r="244">
      <c r="F244">
        <f>IF([1]Accounts!$D$245="","",[1]Accounts!$A$245)</f>
        <v/>
      </c>
      <c r="G244">
        <f>IF([1]Accounts!$D$245="","",[1]Accounts!$B$245)</f>
        <v/>
      </c>
      <c r="H244">
        <f>IF([1]Accounts!$D$245="","",[1]Accounts!$C$245)</f>
        <v/>
      </c>
      <c r="I244">
        <f>IF([1]Accounts!$D$245="","",[1]Accounts!$D$245)</f>
        <v/>
      </c>
    </row>
    <row r="245">
      <c r="F245">
        <f>IF([1]Accounts!$D$246="","",[1]Accounts!$A$246)</f>
        <v/>
      </c>
      <c r="G245">
        <f>IF([1]Accounts!$D$246="","",[1]Accounts!$B$246)</f>
        <v/>
      </c>
      <c r="H245">
        <f>IF([1]Accounts!$D$246="","",[1]Accounts!$C$246)</f>
        <v/>
      </c>
      <c r="I245">
        <f>IF([1]Accounts!$D$246="","",[1]Accounts!$D$246)</f>
        <v/>
      </c>
    </row>
    <row r="246">
      <c r="F246">
        <f>IF([1]Accounts!$D$247="","",[1]Accounts!$A$247)</f>
        <v/>
      </c>
      <c r="G246">
        <f>IF([1]Accounts!$D$247="","",[1]Accounts!$B$247)</f>
        <v/>
      </c>
      <c r="H246">
        <f>IF([1]Accounts!$D$247="","",[1]Accounts!$C$247)</f>
        <v/>
      </c>
      <c r="I246">
        <f>IF([1]Accounts!$D$247="","",[1]Accounts!$D$247)</f>
        <v/>
      </c>
    </row>
    <row r="247">
      <c r="F247">
        <f>IF([1]Accounts!$D$248="","",[1]Accounts!$A$248)</f>
        <v/>
      </c>
      <c r="G247">
        <f>IF([1]Accounts!$D$248="","",[1]Accounts!$B$248)</f>
        <v/>
      </c>
      <c r="H247">
        <f>IF([1]Accounts!$D$248="","",[1]Accounts!$C$248)</f>
        <v/>
      </c>
      <c r="I247">
        <f>IF([1]Accounts!$D$248="","",[1]Accounts!$D$248)</f>
        <v/>
      </c>
    </row>
    <row r="248">
      <c r="F248">
        <f>IF([1]Accounts!$D$249="","",[1]Accounts!$A$249)</f>
        <v/>
      </c>
      <c r="G248">
        <f>IF([1]Accounts!$D$249="","",[1]Accounts!$B$249)</f>
        <v/>
      </c>
      <c r="H248">
        <f>IF([1]Accounts!$D$249="","",[1]Accounts!$C$249)</f>
        <v/>
      </c>
      <c r="I248">
        <f>IF([1]Accounts!$D$249="","",[1]Accounts!$D$249)</f>
        <v/>
      </c>
    </row>
    <row r="249">
      <c r="F249">
        <f>IF([1]Accounts!$D$250="","",[1]Accounts!$A$250)</f>
        <v/>
      </c>
      <c r="G249">
        <f>IF([1]Accounts!$D$250="","",[1]Accounts!$B$250)</f>
        <v/>
      </c>
      <c r="H249">
        <f>IF([1]Accounts!$D$250="","",[1]Accounts!$C$250)</f>
        <v/>
      </c>
      <c r="I249">
        <f>IF([1]Accounts!$D$250="","",[1]Accounts!$D$250)</f>
        <v/>
      </c>
    </row>
    <row r="250">
      <c r="F250">
        <f>IF([1]Accounts!$D$251="","",[1]Accounts!$A$251)</f>
        <v/>
      </c>
      <c r="G250">
        <f>IF([1]Accounts!$D$251="","",[1]Accounts!$B$251)</f>
        <v/>
      </c>
      <c r="H250">
        <f>IF([1]Accounts!$D$251="","",[1]Accounts!$C$251)</f>
        <v/>
      </c>
      <c r="I250">
        <f>IF([1]Accounts!$D$251="","",[1]Accounts!$D$251)</f>
        <v/>
      </c>
    </row>
    <row r="251">
      <c r="F251">
        <f>IF([1]Accounts!$D$252="","",[1]Accounts!$A$252)</f>
        <v/>
      </c>
      <c r="G251">
        <f>IF([1]Accounts!$D$252="","",[1]Accounts!$B$252)</f>
        <v/>
      </c>
      <c r="H251">
        <f>IF([1]Accounts!$D$252="","",[1]Accounts!$C$252)</f>
        <v/>
      </c>
      <c r="I251">
        <f>IF([1]Accounts!$D$252="","",[1]Accounts!$D$252)</f>
        <v/>
      </c>
    </row>
    <row r="252">
      <c r="F252">
        <f>IF([1]Accounts!$D$253="","",[1]Accounts!$A$253)</f>
        <v/>
      </c>
      <c r="G252">
        <f>IF([1]Accounts!$D$253="","",[1]Accounts!$B$253)</f>
        <v/>
      </c>
      <c r="H252">
        <f>IF([1]Accounts!$D$253="","",[1]Accounts!$C$253)</f>
        <v/>
      </c>
      <c r="I252">
        <f>IF([1]Accounts!$D$253="","",[1]Accounts!$D$253)</f>
        <v/>
      </c>
    </row>
    <row r="253">
      <c r="F253">
        <f>IF([1]Accounts!$D$254="","",[1]Accounts!$A$254)</f>
        <v/>
      </c>
      <c r="G253">
        <f>IF([1]Accounts!$D$254="","",[1]Accounts!$B$254)</f>
        <v/>
      </c>
      <c r="H253">
        <f>IF([1]Accounts!$D$254="","",[1]Accounts!$C$254)</f>
        <v/>
      </c>
      <c r="I253">
        <f>IF([1]Accounts!$D$254="","",[1]Accounts!$D$254)</f>
        <v/>
      </c>
    </row>
    <row r="254">
      <c r="F254">
        <f>IF([1]Accounts!$D$255="","",[1]Accounts!$A$255)</f>
        <v/>
      </c>
      <c r="G254">
        <f>IF([1]Accounts!$D$255="","",[1]Accounts!$B$255)</f>
        <v/>
      </c>
      <c r="H254">
        <f>IF([1]Accounts!$D$255="","",[1]Accounts!$C$255)</f>
        <v/>
      </c>
      <c r="I254">
        <f>IF([1]Accounts!$D$255="","",[1]Accounts!$D$255)</f>
        <v/>
      </c>
    </row>
    <row r="255">
      <c r="F255">
        <f>IF([1]Accounts!$D$256="","",[1]Accounts!$A$256)</f>
        <v/>
      </c>
      <c r="G255">
        <f>IF([1]Accounts!$D$256="","",[1]Accounts!$B$256)</f>
        <v/>
      </c>
      <c r="H255">
        <f>IF([1]Accounts!$D$256="","",[1]Accounts!$C$256)</f>
        <v/>
      </c>
      <c r="I255">
        <f>IF([1]Accounts!$D$256="","",[1]Accounts!$D$256)</f>
        <v/>
      </c>
    </row>
    <row r="256">
      <c r="F256">
        <f>IF([1]Accounts!$D$257="","",[1]Accounts!$A$257)</f>
        <v/>
      </c>
      <c r="G256">
        <f>IF([1]Accounts!$D$257="","",[1]Accounts!$B$257)</f>
        <v/>
      </c>
      <c r="H256">
        <f>IF([1]Accounts!$D$257="","",[1]Accounts!$C$257)</f>
        <v/>
      </c>
      <c r="I256">
        <f>IF([1]Accounts!$D$257="","",[1]Accounts!$D$257)</f>
        <v/>
      </c>
    </row>
    <row r="257">
      <c r="F257">
        <f>IF([1]Accounts!$D$258="","",[1]Accounts!$A$258)</f>
        <v/>
      </c>
      <c r="G257">
        <f>IF([1]Accounts!$D$258="","",[1]Accounts!$B$258)</f>
        <v/>
      </c>
      <c r="H257">
        <f>IF([1]Accounts!$D$258="","",[1]Accounts!$C$258)</f>
        <v/>
      </c>
      <c r="I257">
        <f>IF([1]Accounts!$D$258="","",[1]Accounts!$D$258)</f>
        <v/>
      </c>
    </row>
    <row r="258">
      <c r="F258">
        <f>IF([1]Accounts!$D$259="","",[1]Accounts!$A$259)</f>
        <v/>
      </c>
      <c r="G258">
        <f>IF([1]Accounts!$D$259="","",[1]Accounts!$B$259)</f>
        <v/>
      </c>
      <c r="H258">
        <f>IF([1]Accounts!$D$259="","",[1]Accounts!$C$259)</f>
        <v/>
      </c>
      <c r="I258">
        <f>IF([1]Accounts!$D$259="","",[1]Accounts!$D$259)</f>
        <v/>
      </c>
    </row>
    <row r="259">
      <c r="F259">
        <f>IF([1]Accounts!$D$260="","",[1]Accounts!$A$260)</f>
        <v/>
      </c>
      <c r="G259">
        <f>IF([1]Accounts!$D$260="","",[1]Accounts!$B$260)</f>
        <v/>
      </c>
      <c r="H259">
        <f>IF([1]Accounts!$D$260="","",[1]Accounts!$C$260)</f>
        <v/>
      </c>
      <c r="I259">
        <f>IF([1]Accounts!$D$260="","",[1]Accounts!$D$260)</f>
        <v/>
      </c>
    </row>
    <row r="260">
      <c r="F260">
        <f>IF([1]Accounts!$D$261="","",[1]Accounts!$A$261)</f>
        <v/>
      </c>
      <c r="G260">
        <f>IF([1]Accounts!$D$261="","",[1]Accounts!$B$261)</f>
        <v/>
      </c>
      <c r="H260">
        <f>IF([1]Accounts!$D$261="","",[1]Accounts!$C$261)</f>
        <v/>
      </c>
      <c r="I260">
        <f>IF([1]Accounts!$D$261="","",[1]Accounts!$D$261)</f>
        <v/>
      </c>
    </row>
    <row r="261">
      <c r="F261">
        <f>IF([1]Accounts!$D$262="","",[1]Accounts!$A$262)</f>
        <v/>
      </c>
      <c r="G261">
        <f>IF([1]Accounts!$D$262="","",[1]Accounts!$B$262)</f>
        <v/>
      </c>
      <c r="H261">
        <f>IF([1]Accounts!$D$262="","",[1]Accounts!$C$262)</f>
        <v/>
      </c>
      <c r="I261">
        <f>IF([1]Accounts!$D$262="","",[1]Accounts!$D$262)</f>
        <v/>
      </c>
    </row>
    <row r="262">
      <c r="F262">
        <f>IF([1]Accounts!$D$263="","",[1]Accounts!$A$263)</f>
        <v/>
      </c>
      <c r="G262">
        <f>IF([1]Accounts!$D$263="","",[1]Accounts!$B$263)</f>
        <v/>
      </c>
      <c r="H262">
        <f>IF([1]Accounts!$D$263="","",[1]Accounts!$C$263)</f>
        <v/>
      </c>
      <c r="I262">
        <f>IF([1]Accounts!$D$263="","",[1]Accounts!$D$263)</f>
        <v/>
      </c>
    </row>
    <row r="263">
      <c r="F263">
        <f>IF([1]Accounts!$D$264="","",[1]Accounts!$A$264)</f>
        <v/>
      </c>
      <c r="G263">
        <f>IF([1]Accounts!$D$264="","",[1]Accounts!$B$264)</f>
        <v/>
      </c>
      <c r="H263">
        <f>IF([1]Accounts!$D$264="","",[1]Accounts!$C$264)</f>
        <v/>
      </c>
      <c r="I263">
        <f>IF([1]Accounts!$D$264="","",[1]Accounts!$D$264)</f>
        <v/>
      </c>
    </row>
    <row r="264">
      <c r="F264">
        <f>IF([1]Accounts!$D$265="","",[1]Accounts!$A$265)</f>
        <v/>
      </c>
      <c r="G264">
        <f>IF([1]Accounts!$D$265="","",[1]Accounts!$B$265)</f>
        <v/>
      </c>
      <c r="H264">
        <f>IF([1]Accounts!$D$265="","",[1]Accounts!$C$265)</f>
        <v/>
      </c>
      <c r="I264">
        <f>IF([1]Accounts!$D$265="","",[1]Accounts!$D$265)</f>
        <v/>
      </c>
    </row>
    <row r="265">
      <c r="F265">
        <f>IF([1]Accounts!$D$266="","",[1]Accounts!$A$266)</f>
        <v/>
      </c>
      <c r="G265">
        <f>IF([1]Accounts!$D$266="","",[1]Accounts!$B$266)</f>
        <v/>
      </c>
      <c r="H265">
        <f>IF([1]Accounts!$D$266="","",[1]Accounts!$C$266)</f>
        <v/>
      </c>
      <c r="I265">
        <f>IF([1]Accounts!$D$266="","",[1]Accounts!$D$266)</f>
        <v/>
      </c>
    </row>
    <row r="266">
      <c r="F266">
        <f>IF([1]Accounts!$D$267="","",[1]Accounts!$A$267)</f>
        <v/>
      </c>
      <c r="G266">
        <f>IF([1]Accounts!$D$267="","",[1]Accounts!$B$267)</f>
        <v/>
      </c>
      <c r="H266">
        <f>IF([1]Accounts!$D$267="","",[1]Accounts!$C$267)</f>
        <v/>
      </c>
      <c r="I266">
        <f>IF([1]Accounts!$D$267="","",[1]Accounts!$D$267)</f>
        <v/>
      </c>
    </row>
    <row r="267">
      <c r="F267">
        <f>IF([1]Accounts!$D$268="","",[1]Accounts!$A$268)</f>
        <v/>
      </c>
      <c r="G267">
        <f>IF([1]Accounts!$D$268="","",[1]Accounts!$B$268)</f>
        <v/>
      </c>
      <c r="H267">
        <f>IF([1]Accounts!$D$268="","",[1]Accounts!$C$268)</f>
        <v/>
      </c>
      <c r="I267">
        <f>IF([1]Accounts!$D$268="","",[1]Accounts!$D$268)</f>
        <v/>
      </c>
    </row>
    <row r="268">
      <c r="F268">
        <f>IF([1]Accounts!$D$269="","",[1]Accounts!$A$269)</f>
        <v/>
      </c>
      <c r="G268">
        <f>IF([1]Accounts!$D$269="","",[1]Accounts!$B$269)</f>
        <v/>
      </c>
      <c r="H268">
        <f>IF([1]Accounts!$D$269="","",[1]Accounts!$C$269)</f>
        <v/>
      </c>
      <c r="I268">
        <f>IF([1]Accounts!$D$269="","",[1]Accounts!$D$269)</f>
        <v/>
      </c>
    </row>
    <row r="269">
      <c r="F269">
        <f>IF([1]Accounts!$D$270="","",[1]Accounts!$A$270)</f>
        <v/>
      </c>
      <c r="G269">
        <f>IF([1]Accounts!$D$270="","",[1]Accounts!$B$270)</f>
        <v/>
      </c>
      <c r="H269">
        <f>IF([1]Accounts!$D$270="","",[1]Accounts!$C$270)</f>
        <v/>
      </c>
      <c r="I269">
        <f>IF([1]Accounts!$D$270="","",[1]Accounts!$D$270)</f>
        <v/>
      </c>
    </row>
    <row r="270">
      <c r="F270">
        <f>IF([1]Accounts!$D$271="","",[1]Accounts!$A$271)</f>
        <v/>
      </c>
      <c r="G270">
        <f>IF([1]Accounts!$D$271="","",[1]Accounts!$B$271)</f>
        <v/>
      </c>
      <c r="H270">
        <f>IF([1]Accounts!$D$271="","",[1]Accounts!$C$271)</f>
        <v/>
      </c>
      <c r="I270">
        <f>IF([1]Accounts!$D$271="","",[1]Accounts!$D$271)</f>
        <v/>
      </c>
    </row>
    <row r="271">
      <c r="F271">
        <f>IF([1]Accounts!$D$272="","",[1]Accounts!$A$272)</f>
        <v/>
      </c>
      <c r="G271">
        <f>IF([1]Accounts!$D$272="","",[1]Accounts!$B$272)</f>
        <v/>
      </c>
      <c r="H271">
        <f>IF([1]Accounts!$D$272="","",[1]Accounts!$C$272)</f>
        <v/>
      </c>
      <c r="I271">
        <f>IF([1]Accounts!$D$272="","",[1]Accounts!$D$272)</f>
        <v/>
      </c>
    </row>
    <row r="272">
      <c r="F272">
        <f>IF([1]Accounts!$D$273="","",[1]Accounts!$A$273)</f>
        <v/>
      </c>
      <c r="G272">
        <f>IF([1]Accounts!$D$273="","",[1]Accounts!$B$273)</f>
        <v/>
      </c>
      <c r="H272">
        <f>IF([1]Accounts!$D$273="","",[1]Accounts!$C$273)</f>
        <v/>
      </c>
      <c r="I272">
        <f>IF([1]Accounts!$D$273="","",[1]Accounts!$D$273)</f>
        <v/>
      </c>
    </row>
    <row r="273">
      <c r="F273">
        <f>IF([1]Accounts!$D$274="","",[1]Accounts!$A$274)</f>
        <v/>
      </c>
      <c r="G273">
        <f>IF([1]Accounts!$D$274="","",[1]Accounts!$B$274)</f>
        <v/>
      </c>
      <c r="H273">
        <f>IF([1]Accounts!$D$274="","",[1]Accounts!$C$274)</f>
        <v/>
      </c>
      <c r="I273">
        <f>IF([1]Accounts!$D$274="","",[1]Accounts!$D$274)</f>
        <v/>
      </c>
    </row>
    <row r="274">
      <c r="F274">
        <f>IF([1]Accounts!$D$275="","",[1]Accounts!$A$275)</f>
        <v/>
      </c>
      <c r="G274">
        <f>IF([1]Accounts!$D$275="","",[1]Accounts!$B$275)</f>
        <v/>
      </c>
      <c r="H274">
        <f>IF([1]Accounts!$D$275="","",[1]Accounts!$C$275)</f>
        <v/>
      </c>
      <c r="I274">
        <f>IF([1]Accounts!$D$275="","",[1]Accounts!$D$275)</f>
        <v/>
      </c>
    </row>
    <row r="275">
      <c r="F275">
        <f>IF([1]Accounts!$D$276="","",[1]Accounts!$A$276)</f>
        <v/>
      </c>
      <c r="G275">
        <f>IF([1]Accounts!$D$276="","",[1]Accounts!$B$276)</f>
        <v/>
      </c>
      <c r="H275">
        <f>IF([1]Accounts!$D$276="","",[1]Accounts!$C$276)</f>
        <v/>
      </c>
      <c r="I275">
        <f>IF([1]Accounts!$D$276="","",[1]Accounts!$D$276)</f>
        <v/>
      </c>
    </row>
    <row r="276">
      <c r="F276">
        <f>IF([1]Accounts!$D$277="","",[1]Accounts!$A$277)</f>
        <v/>
      </c>
      <c r="G276">
        <f>IF([1]Accounts!$D$277="","",[1]Accounts!$B$277)</f>
        <v/>
      </c>
      <c r="H276">
        <f>IF([1]Accounts!$D$277="","",[1]Accounts!$C$277)</f>
        <v/>
      </c>
      <c r="I276">
        <f>IF([1]Accounts!$D$277="","",[1]Accounts!$D$277)</f>
        <v/>
      </c>
    </row>
    <row r="277">
      <c r="F277">
        <f>IF([1]Accounts!$D$278="","",[1]Accounts!$A$278)</f>
        <v/>
      </c>
      <c r="G277">
        <f>IF([1]Accounts!$D$278="","",[1]Accounts!$B$278)</f>
        <v/>
      </c>
      <c r="H277">
        <f>IF([1]Accounts!$D$278="","",[1]Accounts!$C$278)</f>
        <v/>
      </c>
      <c r="I277">
        <f>IF([1]Accounts!$D$278="","",[1]Accounts!$D$278)</f>
        <v/>
      </c>
    </row>
    <row r="278">
      <c r="F278">
        <f>IF([1]Accounts!$D$279="","",[1]Accounts!$A$279)</f>
        <v/>
      </c>
      <c r="G278">
        <f>IF([1]Accounts!$D$279="","",[1]Accounts!$B$279)</f>
        <v/>
      </c>
      <c r="H278">
        <f>IF([1]Accounts!$D$279="","",[1]Accounts!$C$279)</f>
        <v/>
      </c>
      <c r="I278">
        <f>IF([1]Accounts!$D$279="","",[1]Accounts!$D$279)</f>
        <v/>
      </c>
    </row>
    <row r="279">
      <c r="F279">
        <f>IF([1]Accounts!$D$280="","",[1]Accounts!$A$280)</f>
        <v/>
      </c>
      <c r="G279">
        <f>IF([1]Accounts!$D$280="","",[1]Accounts!$B$280)</f>
        <v/>
      </c>
      <c r="H279">
        <f>IF([1]Accounts!$D$280="","",[1]Accounts!$C$280)</f>
        <v/>
      </c>
      <c r="I279">
        <f>IF([1]Accounts!$D$280="","",[1]Accounts!$D$280)</f>
        <v/>
      </c>
    </row>
    <row r="280">
      <c r="F280">
        <f>IF([1]Accounts!$D$281="","",[1]Accounts!$A$281)</f>
        <v/>
      </c>
      <c r="G280">
        <f>IF([1]Accounts!$D$281="","",[1]Accounts!$B$281)</f>
        <v/>
      </c>
      <c r="H280">
        <f>IF([1]Accounts!$D$281="","",[1]Accounts!$C$281)</f>
        <v/>
      </c>
      <c r="I280">
        <f>IF([1]Accounts!$D$281="","",[1]Accounts!$D$281)</f>
        <v/>
      </c>
    </row>
    <row r="281">
      <c r="F281">
        <f>IF([1]Accounts!$D$282="","",[1]Accounts!$A$282)</f>
        <v/>
      </c>
      <c r="G281">
        <f>IF([1]Accounts!$D$282="","",[1]Accounts!$B$282)</f>
        <v/>
      </c>
      <c r="H281">
        <f>IF([1]Accounts!$D$282="","",[1]Accounts!$C$282)</f>
        <v/>
      </c>
      <c r="I281">
        <f>IF([1]Accounts!$D$282="","",[1]Accounts!$D$282)</f>
        <v/>
      </c>
    </row>
    <row r="282">
      <c r="F282">
        <f>IF([1]Accounts!$D$283="","",[1]Accounts!$A$283)</f>
        <v/>
      </c>
      <c r="G282">
        <f>IF([1]Accounts!$D$283="","",[1]Accounts!$B$283)</f>
        <v/>
      </c>
      <c r="H282">
        <f>IF([1]Accounts!$D$283="","",[1]Accounts!$C$283)</f>
        <v/>
      </c>
      <c r="I282">
        <f>IF([1]Accounts!$D$283="","",[1]Accounts!$D$283)</f>
        <v/>
      </c>
    </row>
    <row r="283">
      <c r="F283">
        <f>IF([1]Accounts!$D$284="","",[1]Accounts!$A$284)</f>
        <v/>
      </c>
      <c r="G283">
        <f>IF([1]Accounts!$D$284="","",[1]Accounts!$B$284)</f>
        <v/>
      </c>
      <c r="H283">
        <f>IF([1]Accounts!$D$284="","",[1]Accounts!$C$284)</f>
        <v/>
      </c>
      <c r="I283">
        <f>IF([1]Accounts!$D$284="","",[1]Accounts!$D$284)</f>
        <v/>
      </c>
    </row>
    <row r="284">
      <c r="F284">
        <f>IF([1]Accounts!$D$285="","",[1]Accounts!$A$285)</f>
        <v/>
      </c>
      <c r="G284">
        <f>IF([1]Accounts!$D$285="","",[1]Accounts!$B$285)</f>
        <v/>
      </c>
      <c r="H284">
        <f>IF([1]Accounts!$D$285="","",[1]Accounts!$C$285)</f>
        <v/>
      </c>
      <c r="I284">
        <f>IF([1]Accounts!$D$285="","",[1]Accounts!$D$285)</f>
        <v/>
      </c>
    </row>
    <row r="285">
      <c r="F285">
        <f>IF([1]Accounts!$D$286="","",[1]Accounts!$A$286)</f>
        <v/>
      </c>
      <c r="G285">
        <f>IF([1]Accounts!$D$286="","",[1]Accounts!$B$286)</f>
        <v/>
      </c>
      <c r="H285">
        <f>IF([1]Accounts!$D$286="","",[1]Accounts!$C$286)</f>
        <v/>
      </c>
      <c r="I285">
        <f>IF([1]Accounts!$D$286="","",[1]Accounts!$D$286)</f>
        <v/>
      </c>
    </row>
    <row r="286">
      <c r="F286">
        <f>IF([1]Accounts!$D$287="","",[1]Accounts!$A$287)</f>
        <v/>
      </c>
      <c r="G286">
        <f>IF([1]Accounts!$D$287="","",[1]Accounts!$B$287)</f>
        <v/>
      </c>
      <c r="H286">
        <f>IF([1]Accounts!$D$287="","",[1]Accounts!$C$287)</f>
        <v/>
      </c>
      <c r="I286">
        <f>IF([1]Accounts!$D$287="","",[1]Accounts!$D$287)</f>
        <v/>
      </c>
    </row>
    <row r="287">
      <c r="F287">
        <f>IF([1]Accounts!$D$288="","",[1]Accounts!$A$288)</f>
        <v/>
      </c>
      <c r="G287">
        <f>IF([1]Accounts!$D$288="","",[1]Accounts!$B$288)</f>
        <v/>
      </c>
      <c r="H287">
        <f>IF([1]Accounts!$D$288="","",[1]Accounts!$C$288)</f>
        <v/>
      </c>
      <c r="I287">
        <f>IF([1]Accounts!$D$288="","",[1]Accounts!$D$288)</f>
        <v/>
      </c>
    </row>
    <row r="288">
      <c r="F288">
        <f>IF([1]Accounts!$D$289="","",[1]Accounts!$A$289)</f>
        <v/>
      </c>
      <c r="G288">
        <f>IF([1]Accounts!$D$289="","",[1]Accounts!$B$289)</f>
        <v/>
      </c>
      <c r="H288">
        <f>IF([1]Accounts!$D$289="","",[1]Accounts!$C$289)</f>
        <v/>
      </c>
      <c r="I288">
        <f>IF([1]Accounts!$D$289="","",[1]Accounts!$D$289)</f>
        <v/>
      </c>
    </row>
    <row r="289">
      <c r="F289">
        <f>IF([1]Accounts!$D$290="","",[1]Accounts!$A$290)</f>
        <v/>
      </c>
      <c r="G289">
        <f>IF([1]Accounts!$D$290="","",[1]Accounts!$B$290)</f>
        <v/>
      </c>
      <c r="H289">
        <f>IF([1]Accounts!$D$290="","",[1]Accounts!$C$290)</f>
        <v/>
      </c>
      <c r="I289">
        <f>IF([1]Accounts!$D$290="","",[1]Accounts!$D$290)</f>
        <v/>
      </c>
    </row>
    <row r="290">
      <c r="F290">
        <f>IF([1]Accounts!$D$291="","",[1]Accounts!$A$291)</f>
        <v/>
      </c>
      <c r="G290">
        <f>IF([1]Accounts!$D$291="","",[1]Accounts!$B$291)</f>
        <v/>
      </c>
      <c r="H290">
        <f>IF([1]Accounts!$D$291="","",[1]Accounts!$C$291)</f>
        <v/>
      </c>
      <c r="I290">
        <f>IF([1]Accounts!$D$291="","",[1]Accounts!$D$291)</f>
        <v/>
      </c>
    </row>
    <row r="291">
      <c r="F291">
        <f>IF([1]Accounts!$D$292="","",[1]Accounts!$A$292)</f>
        <v/>
      </c>
      <c r="G291">
        <f>IF([1]Accounts!$D$292="","",[1]Accounts!$B$292)</f>
        <v/>
      </c>
      <c r="H291">
        <f>IF([1]Accounts!$D$292="","",[1]Accounts!$C$292)</f>
        <v/>
      </c>
      <c r="I291">
        <f>IF([1]Accounts!$D$292="","",[1]Accounts!$D$292)</f>
        <v/>
      </c>
    </row>
    <row r="292">
      <c r="F292">
        <f>IF([1]Accounts!$D$293="","",[1]Accounts!$A$293)</f>
        <v/>
      </c>
      <c r="G292">
        <f>IF([1]Accounts!$D$293="","",[1]Accounts!$B$293)</f>
        <v/>
      </c>
      <c r="H292">
        <f>IF([1]Accounts!$D$293="","",[1]Accounts!$C$293)</f>
        <v/>
      </c>
      <c r="I292">
        <f>IF([1]Accounts!$D$293="","",[1]Accounts!$D$293)</f>
        <v/>
      </c>
    </row>
    <row r="293">
      <c r="F293">
        <f>IF([1]Accounts!$D$294="","",[1]Accounts!$A$294)</f>
        <v/>
      </c>
      <c r="G293">
        <f>IF([1]Accounts!$D$294="","",[1]Accounts!$B$294)</f>
        <v/>
      </c>
      <c r="H293">
        <f>IF([1]Accounts!$D$294="","",[1]Accounts!$C$294)</f>
        <v/>
      </c>
      <c r="I293">
        <f>IF([1]Accounts!$D$294="","",[1]Accounts!$D$294)</f>
        <v/>
      </c>
    </row>
    <row r="294">
      <c r="F294">
        <f>IF([1]Accounts!$D$295="","",[1]Accounts!$A$295)</f>
        <v/>
      </c>
      <c r="G294">
        <f>IF([1]Accounts!$D$295="","",[1]Accounts!$B$295)</f>
        <v/>
      </c>
      <c r="H294">
        <f>IF([1]Accounts!$D$295="","",[1]Accounts!$C$295)</f>
        <v/>
      </c>
      <c r="I294">
        <f>IF([1]Accounts!$D$295="","",[1]Accounts!$D$295)</f>
        <v/>
      </c>
    </row>
    <row r="295">
      <c r="F295">
        <f>IF([1]Accounts!$D$296="","",[1]Accounts!$A$296)</f>
        <v/>
      </c>
      <c r="G295">
        <f>IF([1]Accounts!$D$296="","",[1]Accounts!$B$296)</f>
        <v/>
      </c>
      <c r="H295">
        <f>IF([1]Accounts!$D$296="","",[1]Accounts!$C$296)</f>
        <v/>
      </c>
      <c r="I295">
        <f>IF([1]Accounts!$D$296="","",[1]Accounts!$D$296)</f>
        <v/>
      </c>
    </row>
    <row r="296">
      <c r="F296">
        <f>IF([1]Accounts!$D$297="","",[1]Accounts!$A$297)</f>
        <v/>
      </c>
      <c r="G296">
        <f>IF([1]Accounts!$D$297="","",[1]Accounts!$B$297)</f>
        <v/>
      </c>
      <c r="H296">
        <f>IF([1]Accounts!$D$297="","",[1]Accounts!$C$297)</f>
        <v/>
      </c>
      <c r="I296">
        <f>IF([1]Accounts!$D$297="","",[1]Accounts!$D$297)</f>
        <v/>
      </c>
    </row>
    <row r="297">
      <c r="F297">
        <f>IF([1]Accounts!$D$298="","",[1]Accounts!$A$298)</f>
        <v/>
      </c>
      <c r="G297">
        <f>IF([1]Accounts!$D$298="","",[1]Accounts!$B$298)</f>
        <v/>
      </c>
      <c r="H297">
        <f>IF([1]Accounts!$D$298="","",[1]Accounts!$C$298)</f>
        <v/>
      </c>
      <c r="I297">
        <f>IF([1]Accounts!$D$298="","",[1]Accounts!$D$298)</f>
        <v/>
      </c>
    </row>
    <row r="298">
      <c r="F298">
        <f>IF([1]Accounts!$D$299="","",[1]Accounts!$A$299)</f>
        <v/>
      </c>
      <c r="G298">
        <f>IF([1]Accounts!$D$299="","",[1]Accounts!$B$299)</f>
        <v/>
      </c>
      <c r="H298">
        <f>IF([1]Accounts!$D$299="","",[1]Accounts!$C$299)</f>
        <v/>
      </c>
      <c r="I298">
        <f>IF([1]Accounts!$D$299="","",[1]Accounts!$D$299)</f>
        <v/>
      </c>
    </row>
    <row r="299">
      <c r="F299">
        <f>IF([1]Accounts!$D$300="","",[1]Accounts!$A$300)</f>
        <v/>
      </c>
      <c r="G299">
        <f>IF([1]Accounts!$D$300="","",[1]Accounts!$B$300)</f>
        <v/>
      </c>
      <c r="H299">
        <f>IF([1]Accounts!$D$300="","",[1]Accounts!$C$300)</f>
        <v/>
      </c>
      <c r="I299">
        <f>IF([1]Accounts!$D$300="","",[1]Accounts!$D$300)</f>
        <v/>
      </c>
    </row>
    <row r="300">
      <c r="F300">
        <f>IF([1]Accounts!$D$301="","",[1]Accounts!$A$301)</f>
        <v/>
      </c>
      <c r="G300">
        <f>IF([1]Accounts!$D$301="","",[1]Accounts!$B$301)</f>
        <v/>
      </c>
      <c r="H300">
        <f>IF([1]Accounts!$D$301="","",[1]Accounts!$C$301)</f>
        <v/>
      </c>
      <c r="I300">
        <f>IF([1]Accounts!$D$301="","",[1]Accounts!$D$301)</f>
        <v/>
      </c>
    </row>
    <row r="301">
      <c r="F301">
        <f>IF([1]Accounts!$D$302="","",[1]Accounts!$A$302)</f>
        <v/>
      </c>
      <c r="G301">
        <f>IF([1]Accounts!$D$302="","",[1]Accounts!$B$302)</f>
        <v/>
      </c>
      <c r="H301">
        <f>IF([1]Accounts!$D$302="","",[1]Accounts!$C$302)</f>
        <v/>
      </c>
      <c r="I301">
        <f>IF([1]Accounts!$D$302="","",[1]Accounts!$D$302)</f>
        <v/>
      </c>
    </row>
    <row r="302">
      <c r="F302">
        <f>IF([1]Accounts!$D$303="","",[1]Accounts!$A$303)</f>
        <v/>
      </c>
      <c r="G302">
        <f>IF([1]Accounts!$D$303="","",[1]Accounts!$B$303)</f>
        <v/>
      </c>
      <c r="H302">
        <f>IF([1]Accounts!$D$303="","",[1]Accounts!$C$303)</f>
        <v/>
      </c>
      <c r="I302">
        <f>IF([1]Accounts!$D$303="","",[1]Accounts!$D$303)</f>
        <v/>
      </c>
    </row>
    <row r="303">
      <c r="F303">
        <f>IF([1]Accounts!$D$304="","",[1]Accounts!$A$304)</f>
        <v/>
      </c>
      <c r="G303">
        <f>IF([1]Accounts!$D$304="","",[1]Accounts!$B$304)</f>
        <v/>
      </c>
      <c r="H303">
        <f>IF([1]Accounts!$D$304="","",[1]Accounts!$C$304)</f>
        <v/>
      </c>
      <c r="I303">
        <f>IF([1]Accounts!$D$304="","",[1]Accounts!$D$304)</f>
        <v/>
      </c>
    </row>
    <row r="304">
      <c r="F304">
        <f>IF([1]Accounts!$D$305="","",[1]Accounts!$A$305)</f>
        <v/>
      </c>
      <c r="G304">
        <f>IF([1]Accounts!$D$305="","",[1]Accounts!$B$305)</f>
        <v/>
      </c>
      <c r="H304">
        <f>IF([1]Accounts!$D$305="","",[1]Accounts!$C$305)</f>
        <v/>
      </c>
      <c r="I304">
        <f>IF([1]Accounts!$D$305="","",[1]Accounts!$D$305)</f>
        <v/>
      </c>
    </row>
    <row r="305">
      <c r="F305">
        <f>IF([1]Accounts!$D$306="","",[1]Accounts!$A$306)</f>
        <v/>
      </c>
      <c r="G305">
        <f>IF([1]Accounts!$D$306="","",[1]Accounts!$B$306)</f>
        <v/>
      </c>
      <c r="H305">
        <f>IF([1]Accounts!$D$306="","",[1]Accounts!$C$306)</f>
        <v/>
      </c>
      <c r="I305">
        <f>IF([1]Accounts!$D$306="","",[1]Accounts!$D$306)</f>
        <v/>
      </c>
    </row>
    <row r="306">
      <c r="F306">
        <f>IF([1]Accounts!$D$307="","",[1]Accounts!$A$307)</f>
        <v/>
      </c>
      <c r="G306">
        <f>IF([1]Accounts!$D$307="","",[1]Accounts!$B$307)</f>
        <v/>
      </c>
      <c r="H306">
        <f>IF([1]Accounts!$D$307="","",[1]Accounts!$C$307)</f>
        <v/>
      </c>
      <c r="I306">
        <f>IF([1]Accounts!$D$307="","",[1]Accounts!$D$307)</f>
        <v/>
      </c>
    </row>
    <row r="307">
      <c r="F307">
        <f>IF([1]Accounts!$D$308="","",[1]Accounts!$A$308)</f>
        <v/>
      </c>
      <c r="G307">
        <f>IF([1]Accounts!$D$308="","",[1]Accounts!$B$308)</f>
        <v/>
      </c>
      <c r="H307">
        <f>IF([1]Accounts!$D$308="","",[1]Accounts!$C$308)</f>
        <v/>
      </c>
      <c r="I307">
        <f>IF([1]Accounts!$D$308="","",[1]Accounts!$D$308)</f>
        <v/>
      </c>
    </row>
    <row r="308">
      <c r="F308">
        <f>IF([1]Accounts!$D$309="","",[1]Accounts!$A$309)</f>
        <v/>
      </c>
      <c r="G308">
        <f>IF([1]Accounts!$D$309="","",[1]Accounts!$B$309)</f>
        <v/>
      </c>
      <c r="H308">
        <f>IF([1]Accounts!$D$309="","",[1]Accounts!$C$309)</f>
        <v/>
      </c>
      <c r="I308">
        <f>IF([1]Accounts!$D$309="","",[1]Accounts!$D$309)</f>
        <v/>
      </c>
    </row>
    <row r="309">
      <c r="F309">
        <f>IF([1]Accounts!$D$310="","",[1]Accounts!$A$310)</f>
        <v/>
      </c>
      <c r="G309">
        <f>IF([1]Accounts!$D$310="","",[1]Accounts!$B$310)</f>
        <v/>
      </c>
      <c r="H309">
        <f>IF([1]Accounts!$D$310="","",[1]Accounts!$C$310)</f>
        <v/>
      </c>
      <c r="I309">
        <f>IF([1]Accounts!$D$310="","",[1]Accounts!$D$310)</f>
        <v/>
      </c>
    </row>
    <row r="310">
      <c r="F310">
        <f>IF([1]Accounts!$D$311="","",[1]Accounts!$A$311)</f>
        <v/>
      </c>
      <c r="G310">
        <f>IF([1]Accounts!$D$311="","",[1]Accounts!$B$311)</f>
        <v/>
      </c>
      <c r="H310">
        <f>IF([1]Accounts!$D$311="","",[1]Accounts!$C$311)</f>
        <v/>
      </c>
      <c r="I310">
        <f>IF([1]Accounts!$D$311="","",[1]Accounts!$D$311)</f>
        <v/>
      </c>
    </row>
    <row r="311">
      <c r="F311">
        <f>IF([1]Accounts!$D$312="","",[1]Accounts!$A$312)</f>
        <v/>
      </c>
      <c r="G311">
        <f>IF([1]Accounts!$D$312="","",[1]Accounts!$B$312)</f>
        <v/>
      </c>
      <c r="H311">
        <f>IF([1]Accounts!$D$312="","",[1]Accounts!$C$312)</f>
        <v/>
      </c>
      <c r="I311">
        <f>IF([1]Accounts!$D$312="","",[1]Accounts!$D$312)</f>
        <v/>
      </c>
    </row>
    <row r="312">
      <c r="F312">
        <f>IF([1]Accounts!$D$313="","",[1]Accounts!$A$313)</f>
        <v/>
      </c>
      <c r="G312">
        <f>IF([1]Accounts!$D$313="","",[1]Accounts!$B$313)</f>
        <v/>
      </c>
      <c r="H312">
        <f>IF([1]Accounts!$D$313="","",[1]Accounts!$C$313)</f>
        <v/>
      </c>
      <c r="I312">
        <f>IF([1]Accounts!$D$313="","",[1]Accounts!$D$313)</f>
        <v/>
      </c>
    </row>
    <row r="313">
      <c r="F313">
        <f>IF([1]Accounts!$D$314="","",[1]Accounts!$A$314)</f>
        <v/>
      </c>
      <c r="G313">
        <f>IF([1]Accounts!$D$314="","",[1]Accounts!$B$314)</f>
        <v/>
      </c>
      <c r="H313">
        <f>IF([1]Accounts!$D$314="","",[1]Accounts!$C$314)</f>
        <v/>
      </c>
      <c r="I313">
        <f>IF([1]Accounts!$D$314="","",[1]Accounts!$D$314)</f>
        <v/>
      </c>
    </row>
    <row r="314">
      <c r="F314">
        <f>IF([1]Accounts!$D$315="","",[1]Accounts!$A$315)</f>
        <v/>
      </c>
      <c r="G314">
        <f>IF([1]Accounts!$D$315="","",[1]Accounts!$B$315)</f>
        <v/>
      </c>
      <c r="H314">
        <f>IF([1]Accounts!$D$315="","",[1]Accounts!$C$315)</f>
        <v/>
      </c>
      <c r="I314">
        <f>IF([1]Accounts!$D$315="","",[1]Accounts!$D$315)</f>
        <v/>
      </c>
    </row>
    <row r="315">
      <c r="F315">
        <f>IF([1]Accounts!$D$316="","",[1]Accounts!$A$316)</f>
        <v/>
      </c>
      <c r="G315">
        <f>IF([1]Accounts!$D$316="","",[1]Accounts!$B$316)</f>
        <v/>
      </c>
      <c r="H315">
        <f>IF([1]Accounts!$D$316="","",[1]Accounts!$C$316)</f>
        <v/>
      </c>
      <c r="I315">
        <f>IF([1]Accounts!$D$316="","",[1]Accounts!$D$316)</f>
        <v/>
      </c>
    </row>
    <row r="316">
      <c r="F316">
        <f>IF([1]Accounts!$D$317="","",[1]Accounts!$A$317)</f>
        <v/>
      </c>
      <c r="G316">
        <f>IF([1]Accounts!$D$317="","",[1]Accounts!$B$317)</f>
        <v/>
      </c>
      <c r="H316">
        <f>IF([1]Accounts!$D$317="","",[1]Accounts!$C$317)</f>
        <v/>
      </c>
      <c r="I316">
        <f>IF([1]Accounts!$D$317="","",[1]Accounts!$D$317)</f>
        <v/>
      </c>
    </row>
    <row r="317">
      <c r="F317">
        <f>IF([1]Accounts!$D$318="","",[1]Accounts!$A$318)</f>
        <v/>
      </c>
      <c r="G317">
        <f>IF([1]Accounts!$D$318="","",[1]Accounts!$B$318)</f>
        <v/>
      </c>
      <c r="H317">
        <f>IF([1]Accounts!$D$318="","",[1]Accounts!$C$318)</f>
        <v/>
      </c>
      <c r="I317">
        <f>IF([1]Accounts!$D$318="","",[1]Accounts!$D$318)</f>
        <v/>
      </c>
    </row>
    <row r="318">
      <c r="F318">
        <f>IF([1]Accounts!$D$319="","",[1]Accounts!$A$319)</f>
        <v/>
      </c>
      <c r="G318">
        <f>IF([1]Accounts!$D$319="","",[1]Accounts!$B$319)</f>
        <v/>
      </c>
      <c r="H318">
        <f>IF([1]Accounts!$D$319="","",[1]Accounts!$C$319)</f>
        <v/>
      </c>
      <c r="I318">
        <f>IF([1]Accounts!$D$319="","",[1]Accounts!$D$319)</f>
        <v/>
      </c>
    </row>
    <row r="319">
      <c r="F319">
        <f>IF([1]Accounts!$D$320="","",[1]Accounts!$A$320)</f>
        <v/>
      </c>
      <c r="G319">
        <f>IF([1]Accounts!$D$320="","",[1]Accounts!$B$320)</f>
        <v/>
      </c>
      <c r="H319">
        <f>IF([1]Accounts!$D$320="","",[1]Accounts!$C$320)</f>
        <v/>
      </c>
      <c r="I319">
        <f>IF([1]Accounts!$D$320="","",[1]Accounts!$D$320)</f>
        <v/>
      </c>
    </row>
    <row r="320">
      <c r="F320">
        <f>IF([1]Accounts!$D$321="","",[1]Accounts!$A$321)</f>
        <v/>
      </c>
      <c r="G320">
        <f>IF([1]Accounts!$D$321="","",[1]Accounts!$B$321)</f>
        <v/>
      </c>
      <c r="H320">
        <f>IF([1]Accounts!$D$321="","",[1]Accounts!$C$321)</f>
        <v/>
      </c>
      <c r="I320">
        <f>IF([1]Accounts!$D$321="","",[1]Accounts!$D$321)</f>
        <v/>
      </c>
    </row>
    <row r="321">
      <c r="F321">
        <f>IF([1]Accounts!$D$322="","",[1]Accounts!$A$322)</f>
        <v/>
      </c>
      <c r="G321">
        <f>IF([1]Accounts!$D$322="","",[1]Accounts!$B$322)</f>
        <v/>
      </c>
      <c r="H321">
        <f>IF([1]Accounts!$D$322="","",[1]Accounts!$C$322)</f>
        <v/>
      </c>
      <c r="I321">
        <f>IF([1]Accounts!$D$322="","",[1]Accounts!$D$322)</f>
        <v/>
      </c>
    </row>
    <row r="322">
      <c r="F322">
        <f>IF([1]Accounts!$D$323="","",[1]Accounts!$A$323)</f>
        <v/>
      </c>
      <c r="G322">
        <f>IF([1]Accounts!$D$323="","",[1]Accounts!$B$323)</f>
        <v/>
      </c>
      <c r="H322">
        <f>IF([1]Accounts!$D$323="","",[1]Accounts!$C$323)</f>
        <v/>
      </c>
      <c r="I322">
        <f>IF([1]Accounts!$D$323="","",[1]Accounts!$D$323)</f>
        <v/>
      </c>
    </row>
    <row r="323">
      <c r="F323">
        <f>IF([1]Accounts!$D$324="","",[1]Accounts!$A$324)</f>
        <v/>
      </c>
      <c r="G323">
        <f>IF([1]Accounts!$D$324="","",[1]Accounts!$B$324)</f>
        <v/>
      </c>
      <c r="H323">
        <f>IF([1]Accounts!$D$324="","",[1]Accounts!$C$324)</f>
        <v/>
      </c>
      <c r="I323">
        <f>IF([1]Accounts!$D$324="","",[1]Accounts!$D$324)</f>
        <v/>
      </c>
    </row>
    <row r="324">
      <c r="F324">
        <f>IF([1]Accounts!$D$325="","",[1]Accounts!$A$325)</f>
        <v/>
      </c>
      <c r="G324">
        <f>IF([1]Accounts!$D$325="","",[1]Accounts!$B$325)</f>
        <v/>
      </c>
      <c r="H324">
        <f>IF([1]Accounts!$D$325="","",[1]Accounts!$C$325)</f>
        <v/>
      </c>
      <c r="I324">
        <f>IF([1]Accounts!$D$325="","",[1]Accounts!$D$325)</f>
        <v/>
      </c>
    </row>
    <row r="325">
      <c r="F325">
        <f>IF([1]Accounts!$D$326="","",[1]Accounts!$A$326)</f>
        <v/>
      </c>
      <c r="G325">
        <f>IF([1]Accounts!$D$326="","",[1]Accounts!$B$326)</f>
        <v/>
      </c>
      <c r="H325">
        <f>IF([1]Accounts!$D$326="","",[1]Accounts!$C$326)</f>
        <v/>
      </c>
      <c r="I325">
        <f>IF([1]Accounts!$D$326="","",[1]Accounts!$D$326)</f>
        <v/>
      </c>
    </row>
    <row r="326">
      <c r="F326">
        <f>IF([1]Accounts!$D$327="","",[1]Accounts!$A$327)</f>
        <v/>
      </c>
      <c r="G326">
        <f>IF([1]Accounts!$D$327="","",[1]Accounts!$B$327)</f>
        <v/>
      </c>
      <c r="H326">
        <f>IF([1]Accounts!$D$327="","",[1]Accounts!$C$327)</f>
        <v/>
      </c>
      <c r="I326">
        <f>IF([1]Accounts!$D$327="","",[1]Accounts!$D$327)</f>
        <v/>
      </c>
    </row>
    <row r="327">
      <c r="F327">
        <f>IF([1]Accounts!$D$328="","",[1]Accounts!$A$328)</f>
        <v/>
      </c>
      <c r="G327">
        <f>IF([1]Accounts!$D$328="","",[1]Accounts!$B$328)</f>
        <v/>
      </c>
      <c r="H327">
        <f>IF([1]Accounts!$D$328="","",[1]Accounts!$C$328)</f>
        <v/>
      </c>
      <c r="I327">
        <f>IF([1]Accounts!$D$328="","",[1]Accounts!$D$328)</f>
        <v/>
      </c>
    </row>
    <row r="328">
      <c r="F328">
        <f>IF([1]Accounts!$D$329="","",[1]Accounts!$A$329)</f>
        <v/>
      </c>
      <c r="G328">
        <f>IF([1]Accounts!$D$329="","",[1]Accounts!$B$329)</f>
        <v/>
      </c>
      <c r="H328">
        <f>IF([1]Accounts!$D$329="","",[1]Accounts!$C$329)</f>
        <v/>
      </c>
      <c r="I328">
        <f>IF([1]Accounts!$D$329="","",[1]Accounts!$D$329)</f>
        <v/>
      </c>
    </row>
    <row r="329">
      <c r="F329">
        <f>IF([1]Accounts!$D$330="","",[1]Accounts!$A$330)</f>
        <v/>
      </c>
      <c r="G329">
        <f>IF([1]Accounts!$D$330="","",[1]Accounts!$B$330)</f>
        <v/>
      </c>
      <c r="H329">
        <f>IF([1]Accounts!$D$330="","",[1]Accounts!$C$330)</f>
        <v/>
      </c>
      <c r="I329">
        <f>IF([1]Accounts!$D$330="","",[1]Accounts!$D$330)</f>
        <v/>
      </c>
    </row>
    <row r="330">
      <c r="F330">
        <f>IF([1]Accounts!$D$331="","",[1]Accounts!$A$331)</f>
        <v/>
      </c>
      <c r="G330">
        <f>IF([1]Accounts!$D$331="","",[1]Accounts!$B$331)</f>
        <v/>
      </c>
      <c r="H330">
        <f>IF([1]Accounts!$D$331="","",[1]Accounts!$C$331)</f>
        <v/>
      </c>
      <c r="I330">
        <f>IF([1]Accounts!$D$331="","",[1]Accounts!$D$331)</f>
        <v/>
      </c>
    </row>
    <row r="331">
      <c r="F331">
        <f>IF([1]Accounts!$D$332="","",[1]Accounts!$A$332)</f>
        <v/>
      </c>
      <c r="G331">
        <f>IF([1]Accounts!$D$332="","",[1]Accounts!$B$332)</f>
        <v/>
      </c>
      <c r="H331">
        <f>IF([1]Accounts!$D$332="","",[1]Accounts!$C$332)</f>
        <v/>
      </c>
      <c r="I331">
        <f>IF([1]Accounts!$D$332="","",[1]Accounts!$D$332)</f>
        <v/>
      </c>
    </row>
    <row r="332">
      <c r="F332">
        <f>IF([1]Accounts!$D$333="","",[1]Accounts!$A$333)</f>
        <v/>
      </c>
      <c r="G332">
        <f>IF([1]Accounts!$D$333="","",[1]Accounts!$B$333)</f>
        <v/>
      </c>
      <c r="H332">
        <f>IF([1]Accounts!$D$333="","",[1]Accounts!$C$333)</f>
        <v/>
      </c>
      <c r="I332">
        <f>IF([1]Accounts!$D$333="","",[1]Accounts!$D$333)</f>
        <v/>
      </c>
    </row>
    <row r="333">
      <c r="F333">
        <f>IF([1]Accounts!$D$334="","",[1]Accounts!$A$334)</f>
        <v/>
      </c>
      <c r="G333">
        <f>IF([1]Accounts!$D$334="","",[1]Accounts!$B$334)</f>
        <v/>
      </c>
      <c r="H333">
        <f>IF([1]Accounts!$D$334="","",[1]Accounts!$C$334)</f>
        <v/>
      </c>
      <c r="I333">
        <f>IF([1]Accounts!$D$334="","",[1]Accounts!$D$334)</f>
        <v/>
      </c>
    </row>
    <row r="334">
      <c r="F334">
        <f>IF([1]Accounts!$D$335="","",[1]Accounts!$A$335)</f>
        <v/>
      </c>
      <c r="G334">
        <f>IF([1]Accounts!$D$335="","",[1]Accounts!$B$335)</f>
        <v/>
      </c>
      <c r="H334">
        <f>IF([1]Accounts!$D$335="","",[1]Accounts!$C$335)</f>
        <v/>
      </c>
      <c r="I334">
        <f>IF([1]Accounts!$D$335="","",[1]Accounts!$D$335)</f>
        <v/>
      </c>
    </row>
    <row r="335">
      <c r="F335">
        <f>IF([1]Accounts!$D$336="","",[1]Accounts!$A$336)</f>
        <v/>
      </c>
      <c r="G335">
        <f>IF([1]Accounts!$D$336="","",[1]Accounts!$B$336)</f>
        <v/>
      </c>
      <c r="H335">
        <f>IF([1]Accounts!$D$336="","",[1]Accounts!$C$336)</f>
        <v/>
      </c>
      <c r="I335">
        <f>IF([1]Accounts!$D$336="","",[1]Accounts!$D$336)</f>
        <v/>
      </c>
    </row>
    <row r="336">
      <c r="F336">
        <f>IF([1]Accounts!$D$337="","",[1]Accounts!$A$337)</f>
        <v/>
      </c>
      <c r="G336">
        <f>IF([1]Accounts!$D$337="","",[1]Accounts!$B$337)</f>
        <v/>
      </c>
      <c r="H336">
        <f>IF([1]Accounts!$D$337="","",[1]Accounts!$C$337)</f>
        <v/>
      </c>
      <c r="I336">
        <f>IF([1]Accounts!$D$337="","",[1]Accounts!$D$337)</f>
        <v/>
      </c>
    </row>
    <row r="337">
      <c r="F337">
        <f>IF([1]Accounts!$D$338="","",[1]Accounts!$A$338)</f>
        <v/>
      </c>
      <c r="G337">
        <f>IF([1]Accounts!$D$338="","",[1]Accounts!$B$338)</f>
        <v/>
      </c>
      <c r="H337">
        <f>IF([1]Accounts!$D$338="","",[1]Accounts!$C$338)</f>
        <v/>
      </c>
      <c r="I337">
        <f>IF([1]Accounts!$D$338="","",[1]Accounts!$D$338)</f>
        <v/>
      </c>
    </row>
    <row r="338">
      <c r="F338">
        <f>IF([1]Accounts!$D$339="","",[1]Accounts!$A$339)</f>
        <v/>
      </c>
      <c r="G338">
        <f>IF([1]Accounts!$D$339="","",[1]Accounts!$B$339)</f>
        <v/>
      </c>
      <c r="H338">
        <f>IF([1]Accounts!$D$339="","",[1]Accounts!$C$339)</f>
        <v/>
      </c>
      <c r="I338">
        <f>IF([1]Accounts!$D$339="","",[1]Accounts!$D$339)</f>
        <v/>
      </c>
    </row>
    <row r="339">
      <c r="F339">
        <f>IF([1]Accounts!$D$340="","",[1]Accounts!$A$340)</f>
        <v/>
      </c>
      <c r="G339">
        <f>IF([1]Accounts!$D$340="","",[1]Accounts!$B$340)</f>
        <v/>
      </c>
      <c r="H339">
        <f>IF([1]Accounts!$D$340="","",[1]Accounts!$C$340)</f>
        <v/>
      </c>
      <c r="I339">
        <f>IF([1]Accounts!$D$340="","",[1]Accounts!$D$340)</f>
        <v/>
      </c>
    </row>
    <row r="340">
      <c r="F340">
        <f>IF([1]Accounts!$D$341="","",[1]Accounts!$A$341)</f>
        <v/>
      </c>
      <c r="G340">
        <f>IF([1]Accounts!$D$341="","",[1]Accounts!$B$341)</f>
        <v/>
      </c>
      <c r="H340">
        <f>IF([1]Accounts!$D$341="","",[1]Accounts!$C$341)</f>
        <v/>
      </c>
      <c r="I340">
        <f>IF([1]Accounts!$D$341="","",[1]Accounts!$D$341)</f>
        <v/>
      </c>
    </row>
    <row r="341">
      <c r="F341">
        <f>IF([1]Accounts!$D$342="","",[1]Accounts!$A$342)</f>
        <v/>
      </c>
      <c r="G341">
        <f>IF([1]Accounts!$D$342="","",[1]Accounts!$B$342)</f>
        <v/>
      </c>
      <c r="H341">
        <f>IF([1]Accounts!$D$342="","",[1]Accounts!$C$342)</f>
        <v/>
      </c>
      <c r="I341">
        <f>IF([1]Accounts!$D$342="","",[1]Accounts!$D$342)</f>
        <v/>
      </c>
    </row>
    <row r="342">
      <c r="F342">
        <f>IF([1]Accounts!$D$343="","",[1]Accounts!$A$343)</f>
        <v/>
      </c>
      <c r="G342">
        <f>IF([1]Accounts!$D$343="","",[1]Accounts!$B$343)</f>
        <v/>
      </c>
      <c r="H342">
        <f>IF([1]Accounts!$D$343="","",[1]Accounts!$C$343)</f>
        <v/>
      </c>
      <c r="I342">
        <f>IF([1]Accounts!$D$343="","",[1]Accounts!$D$343)</f>
        <v/>
      </c>
    </row>
    <row r="343">
      <c r="F343">
        <f>IF([1]Accounts!$D$344="","",[1]Accounts!$A$344)</f>
        <v/>
      </c>
      <c r="G343">
        <f>IF([1]Accounts!$D$344="","",[1]Accounts!$B$344)</f>
        <v/>
      </c>
      <c r="H343">
        <f>IF([1]Accounts!$D$344="","",[1]Accounts!$C$344)</f>
        <v/>
      </c>
      <c r="I343">
        <f>IF([1]Accounts!$D$344="","",[1]Accounts!$D$344)</f>
        <v/>
      </c>
    </row>
    <row r="344">
      <c r="F344">
        <f>IF([1]Accounts!$D$345="","",[1]Accounts!$A$345)</f>
        <v/>
      </c>
      <c r="G344">
        <f>IF([1]Accounts!$D$345="","",[1]Accounts!$B$345)</f>
        <v/>
      </c>
      <c r="H344">
        <f>IF([1]Accounts!$D$345="","",[1]Accounts!$C$345)</f>
        <v/>
      </c>
      <c r="I344">
        <f>IF([1]Accounts!$D$345="","",[1]Accounts!$D$345)</f>
        <v/>
      </c>
    </row>
    <row r="345">
      <c r="F345">
        <f>IF([1]Accounts!$D$346="","",[1]Accounts!$A$346)</f>
        <v/>
      </c>
      <c r="G345">
        <f>IF([1]Accounts!$D$346="","",[1]Accounts!$B$346)</f>
        <v/>
      </c>
      <c r="H345">
        <f>IF([1]Accounts!$D$346="","",[1]Accounts!$C$346)</f>
        <v/>
      </c>
      <c r="I345">
        <f>IF([1]Accounts!$D$346="","",[1]Accounts!$D$346)</f>
        <v/>
      </c>
    </row>
    <row r="346">
      <c r="F346">
        <f>IF([1]Accounts!$D$347="","",[1]Accounts!$A$347)</f>
        <v/>
      </c>
      <c r="G346">
        <f>IF([1]Accounts!$D$347="","",[1]Accounts!$B$347)</f>
        <v/>
      </c>
      <c r="H346">
        <f>IF([1]Accounts!$D$347="","",[1]Accounts!$C$347)</f>
        <v/>
      </c>
      <c r="I346">
        <f>IF([1]Accounts!$D$347="","",[1]Accounts!$D$347)</f>
        <v/>
      </c>
    </row>
    <row r="347">
      <c r="F347">
        <f>IF([1]Accounts!$D$348="","",[1]Accounts!$A$348)</f>
        <v/>
      </c>
      <c r="G347">
        <f>IF([1]Accounts!$D$348="","",[1]Accounts!$B$348)</f>
        <v/>
      </c>
      <c r="H347">
        <f>IF([1]Accounts!$D$348="","",[1]Accounts!$C$348)</f>
        <v/>
      </c>
      <c r="I347">
        <f>IF([1]Accounts!$D$348="","",[1]Accounts!$D$348)</f>
        <v/>
      </c>
    </row>
    <row r="348">
      <c r="F348">
        <f>IF([1]Accounts!$D$349="","",[1]Accounts!$A$349)</f>
        <v/>
      </c>
      <c r="G348">
        <f>IF([1]Accounts!$D$349="","",[1]Accounts!$B$349)</f>
        <v/>
      </c>
      <c r="H348">
        <f>IF([1]Accounts!$D$349="","",[1]Accounts!$C$349)</f>
        <v/>
      </c>
      <c r="I348">
        <f>IF([1]Accounts!$D$349="","",[1]Accounts!$D$349)</f>
        <v/>
      </c>
    </row>
    <row r="349">
      <c r="F349">
        <f>IF([1]Accounts!$D$350="","",[1]Accounts!$A$350)</f>
        <v/>
      </c>
      <c r="G349">
        <f>IF([1]Accounts!$D$350="","",[1]Accounts!$B$350)</f>
        <v/>
      </c>
      <c r="H349">
        <f>IF([1]Accounts!$D$350="","",[1]Accounts!$C$350)</f>
        <v/>
      </c>
      <c r="I349">
        <f>IF([1]Accounts!$D$350="","",[1]Accounts!$D$350)</f>
        <v/>
      </c>
    </row>
    <row r="350">
      <c r="F350">
        <f>IF([1]Accounts!$D$351="","",[1]Accounts!$A$351)</f>
        <v/>
      </c>
      <c r="G350">
        <f>IF([1]Accounts!$D$351="","",[1]Accounts!$B$351)</f>
        <v/>
      </c>
      <c r="H350">
        <f>IF([1]Accounts!$D$351="","",[1]Accounts!$C$351)</f>
        <v/>
      </c>
      <c r="I350">
        <f>IF([1]Accounts!$D$351="","",[1]Accounts!$D$351)</f>
        <v/>
      </c>
    </row>
    <row r="351">
      <c r="F351">
        <f>IF([1]Accounts!$D$352="","",[1]Accounts!$A$352)</f>
        <v/>
      </c>
      <c r="G351">
        <f>IF([1]Accounts!$D$352="","",[1]Accounts!$B$352)</f>
        <v/>
      </c>
      <c r="H351">
        <f>IF([1]Accounts!$D$352="","",[1]Accounts!$C$352)</f>
        <v/>
      </c>
      <c r="I351">
        <f>IF([1]Accounts!$D$352="","",[1]Accounts!$D$352)</f>
        <v/>
      </c>
    </row>
    <row r="352">
      <c r="F352">
        <f>IF([1]Accounts!$D$353="","",[1]Accounts!$A$353)</f>
        <v/>
      </c>
      <c r="G352">
        <f>IF([1]Accounts!$D$353="","",[1]Accounts!$B$353)</f>
        <v/>
      </c>
      <c r="H352">
        <f>IF([1]Accounts!$D$353="","",[1]Accounts!$C$353)</f>
        <v/>
      </c>
      <c r="I352">
        <f>IF([1]Accounts!$D$353="","",[1]Accounts!$D$353)</f>
        <v/>
      </c>
    </row>
    <row r="353">
      <c r="F353">
        <f>IF([1]Accounts!$D$354="","",[1]Accounts!$A$354)</f>
        <v/>
      </c>
      <c r="G353">
        <f>IF([1]Accounts!$D$354="","",[1]Accounts!$B$354)</f>
        <v/>
      </c>
      <c r="H353">
        <f>IF([1]Accounts!$D$354="","",[1]Accounts!$C$354)</f>
        <v/>
      </c>
      <c r="I353">
        <f>IF([1]Accounts!$D$354="","",[1]Accounts!$D$354)</f>
        <v/>
      </c>
    </row>
    <row r="354">
      <c r="F354">
        <f>IF([1]Accounts!$D$355="","",[1]Accounts!$A$355)</f>
        <v/>
      </c>
      <c r="G354">
        <f>IF([1]Accounts!$D$355="","",[1]Accounts!$B$355)</f>
        <v/>
      </c>
      <c r="H354">
        <f>IF([1]Accounts!$D$355="","",[1]Accounts!$C$355)</f>
        <v/>
      </c>
      <c r="I354">
        <f>IF([1]Accounts!$D$355="","",[1]Accounts!$D$355)</f>
        <v/>
      </c>
    </row>
    <row r="355">
      <c r="F355">
        <f>IF([1]Accounts!$D$356="","",[1]Accounts!$A$356)</f>
        <v/>
      </c>
      <c r="G355">
        <f>IF([1]Accounts!$D$356="","",[1]Accounts!$B$356)</f>
        <v/>
      </c>
      <c r="H355">
        <f>IF([1]Accounts!$D$356="","",[1]Accounts!$C$356)</f>
        <v/>
      </c>
      <c r="I355">
        <f>IF([1]Accounts!$D$356="","",[1]Accounts!$D$356)</f>
        <v/>
      </c>
    </row>
    <row r="356">
      <c r="F356">
        <f>IF([1]Accounts!$D$357="","",[1]Accounts!$A$357)</f>
        <v/>
      </c>
      <c r="G356">
        <f>IF([1]Accounts!$D$357="","",[1]Accounts!$B$357)</f>
        <v/>
      </c>
      <c r="H356">
        <f>IF([1]Accounts!$D$357="","",[1]Accounts!$C$357)</f>
        <v/>
      </c>
      <c r="I356">
        <f>IF([1]Accounts!$D$357="","",[1]Accounts!$D$357)</f>
        <v/>
      </c>
    </row>
    <row r="357">
      <c r="F357">
        <f>IF([1]Accounts!$D$358="","",[1]Accounts!$A$358)</f>
        <v/>
      </c>
      <c r="G357">
        <f>IF([1]Accounts!$D$358="","",[1]Accounts!$B$358)</f>
        <v/>
      </c>
      <c r="H357">
        <f>IF([1]Accounts!$D$358="","",[1]Accounts!$C$358)</f>
        <v/>
      </c>
      <c r="I357">
        <f>IF([1]Accounts!$D$358="","",[1]Accounts!$D$358)</f>
        <v/>
      </c>
    </row>
    <row r="358">
      <c r="F358">
        <f>IF([1]Accounts!$D$359="","",[1]Accounts!$A$359)</f>
        <v/>
      </c>
      <c r="G358">
        <f>IF([1]Accounts!$D$359="","",[1]Accounts!$B$359)</f>
        <v/>
      </c>
      <c r="H358">
        <f>IF([1]Accounts!$D$359="","",[1]Accounts!$C$359)</f>
        <v/>
      </c>
      <c r="I358">
        <f>IF([1]Accounts!$D$359="","",[1]Accounts!$D$359)</f>
        <v/>
      </c>
    </row>
    <row r="359">
      <c r="F359">
        <f>IF([1]Accounts!$D$360="","",[1]Accounts!$A$360)</f>
        <v/>
      </c>
      <c r="G359">
        <f>IF([1]Accounts!$D$360="","",[1]Accounts!$B$360)</f>
        <v/>
      </c>
      <c r="H359">
        <f>IF([1]Accounts!$D$360="","",[1]Accounts!$C$360)</f>
        <v/>
      </c>
      <c r="I359">
        <f>IF([1]Accounts!$D$360="","",[1]Accounts!$D$360)</f>
        <v/>
      </c>
    </row>
    <row r="360">
      <c r="F360">
        <f>IF([1]Accounts!$D$361="","",[1]Accounts!$A$361)</f>
        <v/>
      </c>
      <c r="G360">
        <f>IF([1]Accounts!$D$361="","",[1]Accounts!$B$361)</f>
        <v/>
      </c>
      <c r="H360">
        <f>IF([1]Accounts!$D$361="","",[1]Accounts!$C$361)</f>
        <v/>
      </c>
      <c r="I360">
        <f>IF([1]Accounts!$D$361="","",[1]Accounts!$D$361)</f>
        <v/>
      </c>
    </row>
    <row r="361">
      <c r="F361">
        <f>IF([1]Accounts!$D$362="","",[1]Accounts!$A$362)</f>
        <v/>
      </c>
      <c r="G361">
        <f>IF([1]Accounts!$D$362="","",[1]Accounts!$B$362)</f>
        <v/>
      </c>
      <c r="H361">
        <f>IF([1]Accounts!$D$362="","",[1]Accounts!$C$362)</f>
        <v/>
      </c>
      <c r="I361">
        <f>IF([1]Accounts!$D$362="","",[1]Accounts!$D$362)</f>
        <v/>
      </c>
    </row>
    <row r="362">
      <c r="F362">
        <f>IF([1]Accounts!$D$363="","",[1]Accounts!$A$363)</f>
        <v/>
      </c>
      <c r="G362">
        <f>IF([1]Accounts!$D$363="","",[1]Accounts!$B$363)</f>
        <v/>
      </c>
      <c r="H362">
        <f>IF([1]Accounts!$D$363="","",[1]Accounts!$C$363)</f>
        <v/>
      </c>
      <c r="I362">
        <f>IF([1]Accounts!$D$363="","",[1]Accounts!$D$363)</f>
        <v/>
      </c>
    </row>
    <row r="363">
      <c r="F363">
        <f>IF([1]Accounts!$D$364="","",[1]Accounts!$A$364)</f>
        <v/>
      </c>
      <c r="G363">
        <f>IF([1]Accounts!$D$364="","",[1]Accounts!$B$364)</f>
        <v/>
      </c>
      <c r="H363">
        <f>IF([1]Accounts!$D$364="","",[1]Accounts!$C$364)</f>
        <v/>
      </c>
      <c r="I363">
        <f>IF([1]Accounts!$D$364="","",[1]Accounts!$D$364)</f>
        <v/>
      </c>
    </row>
    <row r="364">
      <c r="F364">
        <f>IF([1]Accounts!$D$365="","",[1]Accounts!$A$365)</f>
        <v/>
      </c>
      <c r="G364">
        <f>IF([1]Accounts!$D$365="","",[1]Accounts!$B$365)</f>
        <v/>
      </c>
      <c r="H364">
        <f>IF([1]Accounts!$D$365="","",[1]Accounts!$C$365)</f>
        <v/>
      </c>
      <c r="I364">
        <f>IF([1]Accounts!$D$365="","",[1]Accounts!$D$365)</f>
        <v/>
      </c>
    </row>
    <row r="365">
      <c r="F365">
        <f>IF([1]Accounts!$D$366="","",[1]Accounts!$A$366)</f>
        <v/>
      </c>
      <c r="G365">
        <f>IF([1]Accounts!$D$366="","",[1]Accounts!$B$366)</f>
        <v/>
      </c>
      <c r="H365">
        <f>IF([1]Accounts!$D$366="","",[1]Accounts!$C$366)</f>
        <v/>
      </c>
      <c r="I365">
        <f>IF([1]Accounts!$D$366="","",[1]Accounts!$D$366)</f>
        <v/>
      </c>
    </row>
    <row r="366">
      <c r="F366">
        <f>IF([1]Accounts!$D$367="","",[1]Accounts!$A$367)</f>
        <v/>
      </c>
      <c r="G366">
        <f>IF([1]Accounts!$D$367="","",[1]Accounts!$B$367)</f>
        <v/>
      </c>
      <c r="H366">
        <f>IF([1]Accounts!$D$367="","",[1]Accounts!$C$367)</f>
        <v/>
      </c>
      <c r="I366">
        <f>IF([1]Accounts!$D$367="","",[1]Accounts!$D$367)</f>
        <v/>
      </c>
    </row>
    <row r="367">
      <c r="F367">
        <f>IF([1]Accounts!$D$368="","",[1]Accounts!$A$368)</f>
        <v/>
      </c>
      <c r="G367">
        <f>IF([1]Accounts!$D$368="","",[1]Accounts!$B$368)</f>
        <v/>
      </c>
      <c r="H367">
        <f>IF([1]Accounts!$D$368="","",[1]Accounts!$C$368)</f>
        <v/>
      </c>
      <c r="I367">
        <f>IF([1]Accounts!$D$368="","",[1]Accounts!$D$368)</f>
        <v/>
      </c>
    </row>
    <row r="368">
      <c r="F368">
        <f>IF([1]Accounts!$D$369="","",[1]Accounts!$A$369)</f>
        <v/>
      </c>
      <c r="G368">
        <f>IF([1]Accounts!$D$369="","",[1]Accounts!$B$369)</f>
        <v/>
      </c>
      <c r="H368">
        <f>IF([1]Accounts!$D$369="","",[1]Accounts!$C$369)</f>
        <v/>
      </c>
      <c r="I368">
        <f>IF([1]Accounts!$D$369="","",[1]Accounts!$D$369)</f>
        <v/>
      </c>
    </row>
    <row r="369">
      <c r="F369">
        <f>IF([1]Accounts!$D$370="","",[1]Accounts!$A$370)</f>
        <v/>
      </c>
      <c r="G369">
        <f>IF([1]Accounts!$D$370="","",[1]Accounts!$B$370)</f>
        <v/>
      </c>
      <c r="H369">
        <f>IF([1]Accounts!$D$370="","",[1]Accounts!$C$370)</f>
        <v/>
      </c>
      <c r="I369">
        <f>IF([1]Accounts!$D$370="","",[1]Accounts!$D$370)</f>
        <v/>
      </c>
    </row>
    <row r="370">
      <c r="F370">
        <f>IF([1]Accounts!$D$371="","",[1]Accounts!$A$371)</f>
        <v/>
      </c>
      <c r="G370">
        <f>IF([1]Accounts!$D$371="","",[1]Accounts!$B$371)</f>
        <v/>
      </c>
      <c r="H370">
        <f>IF([1]Accounts!$D$371="","",[1]Accounts!$C$371)</f>
        <v/>
      </c>
      <c r="I370">
        <f>IF([1]Accounts!$D$371="","",[1]Accounts!$D$371)</f>
        <v/>
      </c>
    </row>
    <row r="371">
      <c r="F371">
        <f>IF([1]Accounts!$D$372="","",[1]Accounts!$A$372)</f>
        <v/>
      </c>
      <c r="G371">
        <f>IF([1]Accounts!$D$372="","",[1]Accounts!$B$372)</f>
        <v/>
      </c>
      <c r="H371">
        <f>IF([1]Accounts!$D$372="","",[1]Accounts!$C$372)</f>
        <v/>
      </c>
      <c r="I371">
        <f>IF([1]Accounts!$D$372="","",[1]Accounts!$D$372)</f>
        <v/>
      </c>
    </row>
    <row r="372">
      <c r="F372">
        <f>IF([1]Accounts!$D$373="","",[1]Accounts!$A$373)</f>
        <v/>
      </c>
      <c r="G372">
        <f>IF([1]Accounts!$D$373="","",[1]Accounts!$B$373)</f>
        <v/>
      </c>
      <c r="H372">
        <f>IF([1]Accounts!$D$373="","",[1]Accounts!$C$373)</f>
        <v/>
      </c>
      <c r="I372">
        <f>IF([1]Accounts!$D$373="","",[1]Accounts!$D$373)</f>
        <v/>
      </c>
    </row>
    <row r="373">
      <c r="F373">
        <f>IF([1]Accounts!$D$374="","",[1]Accounts!$A$374)</f>
        <v/>
      </c>
      <c r="G373">
        <f>IF([1]Accounts!$D$374="","",[1]Accounts!$B$374)</f>
        <v/>
      </c>
      <c r="H373">
        <f>IF([1]Accounts!$D$374="","",[1]Accounts!$C$374)</f>
        <v/>
      </c>
      <c r="I373">
        <f>IF([1]Accounts!$D$374="","",[1]Accounts!$D$374)</f>
        <v/>
      </c>
    </row>
    <row r="374">
      <c r="F374">
        <f>IF([1]Accounts!$D$375="","",[1]Accounts!$A$375)</f>
        <v/>
      </c>
      <c r="G374">
        <f>IF([1]Accounts!$D$375="","",[1]Accounts!$B$375)</f>
        <v/>
      </c>
      <c r="H374">
        <f>IF([1]Accounts!$D$375="","",[1]Accounts!$C$375)</f>
        <v/>
      </c>
      <c r="I374">
        <f>IF([1]Accounts!$D$375="","",[1]Accounts!$D$375)</f>
        <v/>
      </c>
    </row>
    <row r="375">
      <c r="F375">
        <f>IF([1]Accounts!$D$376="","",[1]Accounts!$A$376)</f>
        <v/>
      </c>
      <c r="G375">
        <f>IF([1]Accounts!$D$376="","",[1]Accounts!$B$376)</f>
        <v/>
      </c>
      <c r="H375">
        <f>IF([1]Accounts!$D$376="","",[1]Accounts!$C$376)</f>
        <v/>
      </c>
      <c r="I375">
        <f>IF([1]Accounts!$D$376="","",[1]Accounts!$D$376)</f>
        <v/>
      </c>
    </row>
    <row r="376">
      <c r="F376">
        <f>IF([1]Accounts!$D$377="","",[1]Accounts!$A$377)</f>
        <v/>
      </c>
      <c r="G376">
        <f>IF([1]Accounts!$D$377="","",[1]Accounts!$B$377)</f>
        <v/>
      </c>
      <c r="H376">
        <f>IF([1]Accounts!$D$377="","",[1]Accounts!$C$377)</f>
        <v/>
      </c>
      <c r="I376">
        <f>IF([1]Accounts!$D$377="","",[1]Accounts!$D$377)</f>
        <v/>
      </c>
    </row>
    <row r="377">
      <c r="F377">
        <f>IF([1]Accounts!$D$378="","",[1]Accounts!$A$378)</f>
        <v/>
      </c>
      <c r="G377">
        <f>IF([1]Accounts!$D$378="","",[1]Accounts!$B$378)</f>
        <v/>
      </c>
      <c r="H377">
        <f>IF([1]Accounts!$D$378="","",[1]Accounts!$C$378)</f>
        <v/>
      </c>
      <c r="I377">
        <f>IF([1]Accounts!$D$378="","",[1]Accounts!$D$378)</f>
        <v/>
      </c>
    </row>
    <row r="378">
      <c r="F378">
        <f>IF([1]Accounts!$D$379="","",[1]Accounts!$A$379)</f>
        <v/>
      </c>
      <c r="G378">
        <f>IF([1]Accounts!$D$379="","",[1]Accounts!$B$379)</f>
        <v/>
      </c>
      <c r="H378">
        <f>IF([1]Accounts!$D$379="","",[1]Accounts!$C$379)</f>
        <v/>
      </c>
      <c r="I378">
        <f>IF([1]Accounts!$D$379="","",[1]Accounts!$D$379)</f>
        <v/>
      </c>
    </row>
    <row r="379">
      <c r="F379">
        <f>IF([1]Accounts!$D$380="","",[1]Accounts!$A$380)</f>
        <v/>
      </c>
      <c r="G379">
        <f>IF([1]Accounts!$D$380="","",[1]Accounts!$B$380)</f>
        <v/>
      </c>
      <c r="H379">
        <f>IF([1]Accounts!$D$380="","",[1]Accounts!$C$380)</f>
        <v/>
      </c>
      <c r="I379">
        <f>IF([1]Accounts!$D$380="","",[1]Accounts!$D$380)</f>
        <v/>
      </c>
    </row>
    <row r="380">
      <c r="F380">
        <f>IF([1]Accounts!$D$381="","",[1]Accounts!$A$381)</f>
        <v/>
      </c>
      <c r="G380">
        <f>IF([1]Accounts!$D$381="","",[1]Accounts!$B$381)</f>
        <v/>
      </c>
      <c r="H380">
        <f>IF([1]Accounts!$D$381="","",[1]Accounts!$C$381)</f>
        <v/>
      </c>
      <c r="I380">
        <f>IF([1]Accounts!$D$381="","",[1]Accounts!$D$381)</f>
        <v/>
      </c>
    </row>
    <row r="381">
      <c r="F381">
        <f>IF([1]Accounts!$D$382="","",[1]Accounts!$A$382)</f>
        <v/>
      </c>
      <c r="G381">
        <f>IF([1]Accounts!$D$382="","",[1]Accounts!$B$382)</f>
        <v/>
      </c>
      <c r="H381">
        <f>IF([1]Accounts!$D$382="","",[1]Accounts!$C$382)</f>
        <v/>
      </c>
      <c r="I381">
        <f>IF([1]Accounts!$D$382="","",[1]Accounts!$D$382)</f>
        <v/>
      </c>
    </row>
    <row r="382">
      <c r="F382">
        <f>IF([1]Accounts!$D$383="","",[1]Accounts!$A$383)</f>
        <v/>
      </c>
      <c r="G382">
        <f>IF([1]Accounts!$D$383="","",[1]Accounts!$B$383)</f>
        <v/>
      </c>
      <c r="H382">
        <f>IF([1]Accounts!$D$383="","",[1]Accounts!$C$383)</f>
        <v/>
      </c>
      <c r="I382">
        <f>IF([1]Accounts!$D$383="","",[1]Accounts!$D$383)</f>
        <v/>
      </c>
    </row>
    <row r="383">
      <c r="F383">
        <f>IF([1]Accounts!$D$384="","",[1]Accounts!$A$384)</f>
        <v/>
      </c>
      <c r="G383">
        <f>IF([1]Accounts!$D$384="","",[1]Accounts!$B$384)</f>
        <v/>
      </c>
      <c r="H383">
        <f>IF([1]Accounts!$D$384="","",[1]Accounts!$C$384)</f>
        <v/>
      </c>
      <c r="I383">
        <f>IF([1]Accounts!$D$384="","",[1]Accounts!$D$384)</f>
        <v/>
      </c>
    </row>
    <row r="384">
      <c r="F384">
        <f>IF([1]Accounts!$D$385="","",[1]Accounts!$A$385)</f>
        <v/>
      </c>
      <c r="G384">
        <f>IF([1]Accounts!$D$385="","",[1]Accounts!$B$385)</f>
        <v/>
      </c>
      <c r="H384">
        <f>IF([1]Accounts!$D$385="","",[1]Accounts!$C$385)</f>
        <v/>
      </c>
      <c r="I384">
        <f>IF([1]Accounts!$D$385="","",[1]Accounts!$D$385)</f>
        <v/>
      </c>
    </row>
    <row r="385">
      <c r="F385">
        <f>IF([1]Accounts!$D$386="","",[1]Accounts!$A$386)</f>
        <v/>
      </c>
      <c r="G385">
        <f>IF([1]Accounts!$D$386="","",[1]Accounts!$B$386)</f>
        <v/>
      </c>
      <c r="H385">
        <f>IF([1]Accounts!$D$386="","",[1]Accounts!$C$386)</f>
        <v/>
      </c>
      <c r="I385">
        <f>IF([1]Accounts!$D$386="","",[1]Accounts!$D$386)</f>
        <v/>
      </c>
    </row>
    <row r="386">
      <c r="F386">
        <f>IF([1]Accounts!$D$387="","",[1]Accounts!$A$387)</f>
        <v/>
      </c>
      <c r="G386">
        <f>IF([1]Accounts!$D$387="","",[1]Accounts!$B$387)</f>
        <v/>
      </c>
      <c r="H386">
        <f>IF([1]Accounts!$D$387="","",[1]Accounts!$C$387)</f>
        <v/>
      </c>
      <c r="I386">
        <f>IF([1]Accounts!$D$387="","",[1]Accounts!$D$387)</f>
        <v/>
      </c>
    </row>
    <row r="387">
      <c r="F387">
        <f>IF([1]Accounts!$D$388="","",[1]Accounts!$A$388)</f>
        <v/>
      </c>
      <c r="G387">
        <f>IF([1]Accounts!$D$388="","",[1]Accounts!$B$388)</f>
        <v/>
      </c>
      <c r="H387">
        <f>IF([1]Accounts!$D$388="","",[1]Accounts!$C$388)</f>
        <v/>
      </c>
      <c r="I387">
        <f>IF([1]Accounts!$D$388="","",[1]Accounts!$D$388)</f>
        <v/>
      </c>
    </row>
    <row r="388">
      <c r="F388">
        <f>IF([1]Accounts!$D$389="","",[1]Accounts!$A$389)</f>
        <v/>
      </c>
      <c r="G388">
        <f>IF([1]Accounts!$D$389="","",[1]Accounts!$B$389)</f>
        <v/>
      </c>
      <c r="H388">
        <f>IF([1]Accounts!$D$389="","",[1]Accounts!$C$389)</f>
        <v/>
      </c>
      <c r="I388">
        <f>IF([1]Accounts!$D$389="","",[1]Accounts!$D$389)</f>
        <v/>
      </c>
    </row>
    <row r="389">
      <c r="F389">
        <f>IF([1]Accounts!$D$390="","",[1]Accounts!$A$390)</f>
        <v/>
      </c>
      <c r="G389">
        <f>IF([1]Accounts!$D$390="","",[1]Accounts!$B$390)</f>
        <v/>
      </c>
      <c r="H389">
        <f>IF([1]Accounts!$D$390="","",[1]Accounts!$C$390)</f>
        <v/>
      </c>
      <c r="I389">
        <f>IF([1]Accounts!$D$390="","",[1]Accounts!$D$390)</f>
        <v/>
      </c>
    </row>
    <row r="390">
      <c r="F390">
        <f>IF([1]Accounts!$D$391="","",[1]Accounts!$A$391)</f>
        <v/>
      </c>
      <c r="G390">
        <f>IF([1]Accounts!$D$391="","",[1]Accounts!$B$391)</f>
        <v/>
      </c>
      <c r="H390">
        <f>IF([1]Accounts!$D$391="","",[1]Accounts!$C$391)</f>
        <v/>
      </c>
      <c r="I390">
        <f>IF([1]Accounts!$D$391="","",[1]Accounts!$D$391)</f>
        <v/>
      </c>
    </row>
    <row r="391">
      <c r="F391">
        <f>IF([1]Accounts!$D$392="","",[1]Accounts!$A$392)</f>
        <v/>
      </c>
      <c r="G391">
        <f>IF([1]Accounts!$D$392="","",[1]Accounts!$B$392)</f>
        <v/>
      </c>
      <c r="H391">
        <f>IF([1]Accounts!$D$392="","",[1]Accounts!$C$392)</f>
        <v/>
      </c>
      <c r="I391">
        <f>IF([1]Accounts!$D$392="","",[1]Accounts!$D$392)</f>
        <v/>
      </c>
    </row>
    <row r="392">
      <c r="F392">
        <f>IF([1]Accounts!$D$393="","",[1]Accounts!$A$393)</f>
        <v/>
      </c>
      <c r="G392">
        <f>IF([1]Accounts!$D$393="","",[1]Accounts!$B$393)</f>
        <v/>
      </c>
      <c r="H392">
        <f>IF([1]Accounts!$D$393="","",[1]Accounts!$C$393)</f>
        <v/>
      </c>
      <c r="I392">
        <f>IF([1]Accounts!$D$393="","",[1]Accounts!$D$393)</f>
        <v/>
      </c>
    </row>
    <row r="393">
      <c r="F393">
        <f>IF([1]Accounts!$D$394="","",[1]Accounts!$A$394)</f>
        <v/>
      </c>
      <c r="G393">
        <f>IF([1]Accounts!$D$394="","",[1]Accounts!$B$394)</f>
        <v/>
      </c>
      <c r="H393">
        <f>IF([1]Accounts!$D$394="","",[1]Accounts!$C$394)</f>
        <v/>
      </c>
      <c r="I393">
        <f>IF([1]Accounts!$D$394="","",[1]Accounts!$D$394)</f>
        <v/>
      </c>
    </row>
    <row r="394">
      <c r="F394">
        <f>IF([1]Accounts!$D$395="","",[1]Accounts!$A$395)</f>
        <v/>
      </c>
      <c r="G394">
        <f>IF([1]Accounts!$D$395="","",[1]Accounts!$B$395)</f>
        <v/>
      </c>
      <c r="H394">
        <f>IF([1]Accounts!$D$395="","",[1]Accounts!$C$395)</f>
        <v/>
      </c>
      <c r="I394">
        <f>IF([1]Accounts!$D$395="","",[1]Accounts!$D$395)</f>
        <v/>
      </c>
    </row>
    <row r="395">
      <c r="F395">
        <f>IF([1]Accounts!$D$396="","",[1]Accounts!$A$396)</f>
        <v/>
      </c>
      <c r="G395">
        <f>IF([1]Accounts!$D$396="","",[1]Accounts!$B$396)</f>
        <v/>
      </c>
      <c r="H395">
        <f>IF([1]Accounts!$D$396="","",[1]Accounts!$C$396)</f>
        <v/>
      </c>
      <c r="I395">
        <f>IF([1]Accounts!$D$396="","",[1]Accounts!$D$396)</f>
        <v/>
      </c>
    </row>
    <row r="396">
      <c r="F396">
        <f>IF([1]Accounts!$D$397="","",[1]Accounts!$A$397)</f>
        <v/>
      </c>
      <c r="G396">
        <f>IF([1]Accounts!$D$397="","",[1]Accounts!$B$397)</f>
        <v/>
      </c>
      <c r="H396">
        <f>IF([1]Accounts!$D$397="","",[1]Accounts!$C$397)</f>
        <v/>
      </c>
      <c r="I396">
        <f>IF([1]Accounts!$D$397="","",[1]Accounts!$D$397)</f>
        <v/>
      </c>
    </row>
    <row r="397">
      <c r="F397">
        <f>IF([1]Accounts!$D$398="","",[1]Accounts!$A$398)</f>
        <v/>
      </c>
      <c r="G397">
        <f>IF([1]Accounts!$D$398="","",[1]Accounts!$B$398)</f>
        <v/>
      </c>
      <c r="H397">
        <f>IF([1]Accounts!$D$398="","",[1]Accounts!$C$398)</f>
        <v/>
      </c>
      <c r="I397">
        <f>IF([1]Accounts!$D$398="","",[1]Accounts!$D$398)</f>
        <v/>
      </c>
    </row>
    <row r="398">
      <c r="F398">
        <f>IF([1]Accounts!$D$399="","",[1]Accounts!$A$399)</f>
        <v/>
      </c>
      <c r="G398">
        <f>IF([1]Accounts!$D$399="","",[1]Accounts!$B$399)</f>
        <v/>
      </c>
      <c r="H398">
        <f>IF([1]Accounts!$D$399="","",[1]Accounts!$C$399)</f>
        <v/>
      </c>
      <c r="I398">
        <f>IF([1]Accounts!$D$399="","",[1]Accounts!$D$399)</f>
        <v/>
      </c>
    </row>
    <row r="399">
      <c r="F399">
        <f>IF([1]Accounts!$D$400="","",[1]Accounts!$A$400)</f>
        <v/>
      </c>
      <c r="G399">
        <f>IF([1]Accounts!$D$400="","",[1]Accounts!$B$400)</f>
        <v/>
      </c>
      <c r="H399">
        <f>IF([1]Accounts!$D$400="","",[1]Accounts!$C$400)</f>
        <v/>
      </c>
      <c r="I399">
        <f>IF([1]Accounts!$D$400="","",[1]Accounts!$D$400)</f>
        <v/>
      </c>
    </row>
    <row r="400">
      <c r="F400">
        <f>IF([1]Accounts!$D$401="","",[1]Accounts!$A$401)</f>
        <v/>
      </c>
      <c r="G400">
        <f>IF([1]Accounts!$D$401="","",[1]Accounts!$B$401)</f>
        <v/>
      </c>
      <c r="H400">
        <f>IF([1]Accounts!$D$401="","",[1]Accounts!$C$401)</f>
        <v/>
      </c>
      <c r="I400">
        <f>IF([1]Accounts!$D$401="","",[1]Accounts!$D$401)</f>
        <v/>
      </c>
    </row>
    <row r="401">
      <c r="F401">
        <f>IF([1]Accounts!$D$402="","",[1]Accounts!$A$402)</f>
        <v/>
      </c>
      <c r="G401">
        <f>IF([1]Accounts!$D$402="","",[1]Accounts!$B$402)</f>
        <v/>
      </c>
      <c r="H401">
        <f>IF([1]Accounts!$D$402="","",[1]Accounts!$C$402)</f>
        <v/>
      </c>
      <c r="I401">
        <f>IF([1]Accounts!$D$402="","",[1]Accounts!$D$402)</f>
        <v/>
      </c>
    </row>
    <row r="402">
      <c r="F402">
        <f>IF([1]Accounts!$D$403="","",[1]Accounts!$A$403)</f>
        <v/>
      </c>
      <c r="G402">
        <f>IF([1]Accounts!$D$403="","",[1]Accounts!$B$403)</f>
        <v/>
      </c>
      <c r="H402">
        <f>IF([1]Accounts!$D$403="","",[1]Accounts!$C$403)</f>
        <v/>
      </c>
      <c r="I402">
        <f>IF([1]Accounts!$D$403="","",[1]Accounts!$D$403)</f>
        <v/>
      </c>
    </row>
    <row r="403">
      <c r="F403">
        <f>IF([1]Accounts!$D$404="","",[1]Accounts!$A$404)</f>
        <v/>
      </c>
      <c r="G403">
        <f>IF([1]Accounts!$D$404="","",[1]Accounts!$B$404)</f>
        <v/>
      </c>
      <c r="H403">
        <f>IF([1]Accounts!$D$404="","",[1]Accounts!$C$404)</f>
        <v/>
      </c>
      <c r="I403">
        <f>IF([1]Accounts!$D$404="","",[1]Accounts!$D$404)</f>
        <v/>
      </c>
    </row>
    <row r="404">
      <c r="F404">
        <f>IF([1]Accounts!$D$405="","",[1]Accounts!$A$405)</f>
        <v/>
      </c>
      <c r="G404">
        <f>IF([1]Accounts!$D$405="","",[1]Accounts!$B$405)</f>
        <v/>
      </c>
      <c r="H404">
        <f>IF([1]Accounts!$D$405="","",[1]Accounts!$C$405)</f>
        <v/>
      </c>
      <c r="I404">
        <f>IF([1]Accounts!$D$405="","",[1]Accounts!$D$405)</f>
        <v/>
      </c>
    </row>
    <row r="405">
      <c r="F405">
        <f>IF([1]Accounts!$D$406="","",[1]Accounts!$A$406)</f>
        <v/>
      </c>
      <c r="G405">
        <f>IF([1]Accounts!$D$406="","",[1]Accounts!$B$406)</f>
        <v/>
      </c>
      <c r="H405">
        <f>IF([1]Accounts!$D$406="","",[1]Accounts!$C$406)</f>
        <v/>
      </c>
      <c r="I405">
        <f>IF([1]Accounts!$D$406="","",[1]Accounts!$D$406)</f>
        <v/>
      </c>
    </row>
    <row r="406">
      <c r="F406">
        <f>IF([1]Accounts!$D$407="","",[1]Accounts!$A$407)</f>
        <v/>
      </c>
      <c r="G406">
        <f>IF([1]Accounts!$D$407="","",[1]Accounts!$B$407)</f>
        <v/>
      </c>
      <c r="H406">
        <f>IF([1]Accounts!$D$407="","",[1]Accounts!$C$407)</f>
        <v/>
      </c>
      <c r="I406">
        <f>IF([1]Accounts!$D$407="","",[1]Accounts!$D$407)</f>
        <v/>
      </c>
    </row>
    <row r="407">
      <c r="F407">
        <f>IF([1]Accounts!$D$408="","",[1]Accounts!$A$408)</f>
        <v/>
      </c>
      <c r="G407">
        <f>IF([1]Accounts!$D$408="","",[1]Accounts!$B$408)</f>
        <v/>
      </c>
      <c r="H407">
        <f>IF([1]Accounts!$D$408="","",[1]Accounts!$C$408)</f>
        <v/>
      </c>
      <c r="I407">
        <f>IF([1]Accounts!$D$408="","",[1]Accounts!$D$408)</f>
        <v/>
      </c>
    </row>
    <row r="408">
      <c r="F408">
        <f>IF([1]Accounts!$D$409="","",[1]Accounts!$A$409)</f>
        <v/>
      </c>
      <c r="G408">
        <f>IF([1]Accounts!$D$409="","",[1]Accounts!$B$409)</f>
        <v/>
      </c>
      <c r="H408">
        <f>IF([1]Accounts!$D$409="","",[1]Accounts!$C$409)</f>
        <v/>
      </c>
      <c r="I408">
        <f>IF([1]Accounts!$D$409="","",[1]Accounts!$D$409)</f>
        <v/>
      </c>
    </row>
    <row r="409">
      <c r="F409">
        <f>IF([1]Accounts!$D$410="","",[1]Accounts!$A$410)</f>
        <v/>
      </c>
      <c r="G409">
        <f>IF([1]Accounts!$D$410="","",[1]Accounts!$B$410)</f>
        <v/>
      </c>
      <c r="H409">
        <f>IF([1]Accounts!$D$410="","",[1]Accounts!$C$410)</f>
        <v/>
      </c>
      <c r="I409">
        <f>IF([1]Accounts!$D$410="","",[1]Accounts!$D$410)</f>
        <v/>
      </c>
    </row>
    <row r="410">
      <c r="F410">
        <f>IF([1]Accounts!$D$411="","",[1]Accounts!$A$411)</f>
        <v/>
      </c>
      <c r="G410">
        <f>IF([1]Accounts!$D$411="","",[1]Accounts!$B$411)</f>
        <v/>
      </c>
      <c r="H410">
        <f>IF([1]Accounts!$D$411="","",[1]Accounts!$C$411)</f>
        <v/>
      </c>
      <c r="I410">
        <f>IF([1]Accounts!$D$411="","",[1]Accounts!$D$411)</f>
        <v/>
      </c>
    </row>
    <row r="411">
      <c r="F411">
        <f>IF([1]Accounts!$D$412="","",[1]Accounts!$A$412)</f>
        <v/>
      </c>
      <c r="G411">
        <f>IF([1]Accounts!$D$412="","",[1]Accounts!$B$412)</f>
        <v/>
      </c>
      <c r="H411">
        <f>IF([1]Accounts!$D$412="","",[1]Accounts!$C$412)</f>
        <v/>
      </c>
      <c r="I411">
        <f>IF([1]Accounts!$D$412="","",[1]Accounts!$D$412)</f>
        <v/>
      </c>
    </row>
    <row r="412">
      <c r="F412">
        <f>IF([1]Accounts!$D$413="","",[1]Accounts!$A$413)</f>
        <v/>
      </c>
      <c r="G412">
        <f>IF([1]Accounts!$D$413="","",[1]Accounts!$B$413)</f>
        <v/>
      </c>
      <c r="H412">
        <f>IF([1]Accounts!$D$413="","",[1]Accounts!$C$413)</f>
        <v/>
      </c>
      <c r="I412">
        <f>IF([1]Accounts!$D$413="","",[1]Accounts!$D$413)</f>
        <v/>
      </c>
    </row>
    <row r="413">
      <c r="F413">
        <f>IF([1]Accounts!$D$414="","",[1]Accounts!$A$414)</f>
        <v/>
      </c>
      <c r="G413">
        <f>IF([1]Accounts!$D$414="","",[1]Accounts!$B$414)</f>
        <v/>
      </c>
      <c r="H413">
        <f>IF([1]Accounts!$D$414="","",[1]Accounts!$C$414)</f>
        <v/>
      </c>
      <c r="I413">
        <f>IF([1]Accounts!$D$414="","",[1]Accounts!$D$414)</f>
        <v/>
      </c>
    </row>
    <row r="414">
      <c r="F414">
        <f>IF([1]Accounts!$D$415="","",[1]Accounts!$A$415)</f>
        <v/>
      </c>
      <c r="G414">
        <f>IF([1]Accounts!$D$415="","",[1]Accounts!$B$415)</f>
        <v/>
      </c>
      <c r="H414">
        <f>IF([1]Accounts!$D$415="","",[1]Accounts!$C$415)</f>
        <v/>
      </c>
      <c r="I414">
        <f>IF([1]Accounts!$D$415="","",[1]Accounts!$D$415)</f>
        <v/>
      </c>
    </row>
    <row r="415">
      <c r="F415">
        <f>IF([1]Accounts!$D$416="","",[1]Accounts!$A$416)</f>
        <v/>
      </c>
      <c r="G415">
        <f>IF([1]Accounts!$D$416="","",[1]Accounts!$B$416)</f>
        <v/>
      </c>
      <c r="H415">
        <f>IF([1]Accounts!$D$416="","",[1]Accounts!$C$416)</f>
        <v/>
      </c>
      <c r="I415">
        <f>IF([1]Accounts!$D$416="","",[1]Accounts!$D$416)</f>
        <v/>
      </c>
    </row>
    <row r="416">
      <c r="F416">
        <f>IF([1]Accounts!$D$417="","",[1]Accounts!$A$417)</f>
        <v/>
      </c>
      <c r="G416">
        <f>IF([1]Accounts!$D$417="","",[1]Accounts!$B$417)</f>
        <v/>
      </c>
      <c r="H416">
        <f>IF([1]Accounts!$D$417="","",[1]Accounts!$C$417)</f>
        <v/>
      </c>
      <c r="I416">
        <f>IF([1]Accounts!$D$417="","",[1]Accounts!$D$417)</f>
        <v/>
      </c>
    </row>
    <row r="417">
      <c r="F417">
        <f>IF([1]Accounts!$D$418="","",[1]Accounts!$A$418)</f>
        <v/>
      </c>
      <c r="G417">
        <f>IF([1]Accounts!$D$418="","",[1]Accounts!$B$418)</f>
        <v/>
      </c>
      <c r="H417">
        <f>IF([1]Accounts!$D$418="","",[1]Accounts!$C$418)</f>
        <v/>
      </c>
      <c r="I417">
        <f>IF([1]Accounts!$D$418="","",[1]Accounts!$D$418)</f>
        <v/>
      </c>
    </row>
    <row r="418">
      <c r="F418">
        <f>IF([1]Accounts!$D$419="","",[1]Accounts!$A$419)</f>
        <v/>
      </c>
      <c r="G418">
        <f>IF([1]Accounts!$D$419="","",[1]Accounts!$B$419)</f>
        <v/>
      </c>
      <c r="H418">
        <f>IF([1]Accounts!$D$419="","",[1]Accounts!$C$419)</f>
        <v/>
      </c>
      <c r="I418">
        <f>IF([1]Accounts!$D$419="","",[1]Accounts!$D$419)</f>
        <v/>
      </c>
    </row>
    <row r="419">
      <c r="F419">
        <f>IF([1]Accounts!$D$420="","",[1]Accounts!$A$420)</f>
        <v/>
      </c>
      <c r="G419">
        <f>IF([1]Accounts!$D$420="","",[1]Accounts!$B$420)</f>
        <v/>
      </c>
      <c r="H419">
        <f>IF([1]Accounts!$D$420="","",[1]Accounts!$C$420)</f>
        <v/>
      </c>
      <c r="I419">
        <f>IF([1]Accounts!$D$420="","",[1]Accounts!$D$420)</f>
        <v/>
      </c>
    </row>
    <row r="420">
      <c r="F420">
        <f>IF([1]Accounts!$D$421="","",[1]Accounts!$A$421)</f>
        <v/>
      </c>
      <c r="G420">
        <f>IF([1]Accounts!$D$421="","",[1]Accounts!$B$421)</f>
        <v/>
      </c>
      <c r="H420">
        <f>IF([1]Accounts!$D$421="","",[1]Accounts!$C$421)</f>
        <v/>
      </c>
      <c r="I420">
        <f>IF([1]Accounts!$D$421="","",[1]Accounts!$D$421)</f>
        <v/>
      </c>
    </row>
    <row r="421">
      <c r="F421">
        <f>IF([1]Accounts!$D$422="","",[1]Accounts!$A$422)</f>
        <v/>
      </c>
      <c r="G421">
        <f>IF([1]Accounts!$D$422="","",[1]Accounts!$B$422)</f>
        <v/>
      </c>
      <c r="H421">
        <f>IF([1]Accounts!$D$422="","",[1]Accounts!$C$422)</f>
        <v/>
      </c>
      <c r="I421">
        <f>IF([1]Accounts!$D$422="","",[1]Accounts!$D$422)</f>
        <v/>
      </c>
    </row>
    <row r="422">
      <c r="F422">
        <f>IF([1]Accounts!$D$423="","",[1]Accounts!$A$423)</f>
        <v/>
      </c>
      <c r="G422">
        <f>IF([1]Accounts!$D$423="","",[1]Accounts!$B$423)</f>
        <v/>
      </c>
      <c r="H422">
        <f>IF([1]Accounts!$D$423="","",[1]Accounts!$C$423)</f>
        <v/>
      </c>
      <c r="I422">
        <f>IF([1]Accounts!$D$423="","",[1]Accounts!$D$423)</f>
        <v/>
      </c>
    </row>
    <row r="423">
      <c r="F423">
        <f>IF([1]Accounts!$D$424="","",[1]Accounts!$A$424)</f>
        <v/>
      </c>
      <c r="G423">
        <f>IF([1]Accounts!$D$424="","",[1]Accounts!$B$424)</f>
        <v/>
      </c>
      <c r="H423">
        <f>IF([1]Accounts!$D$424="","",[1]Accounts!$C$424)</f>
        <v/>
      </c>
      <c r="I423">
        <f>IF([1]Accounts!$D$424="","",[1]Accounts!$D$424)</f>
        <v/>
      </c>
    </row>
    <row r="424">
      <c r="F424">
        <f>IF([1]Accounts!$D$425="","",[1]Accounts!$A$425)</f>
        <v/>
      </c>
      <c r="G424">
        <f>IF([1]Accounts!$D$425="","",[1]Accounts!$B$425)</f>
        <v/>
      </c>
      <c r="H424">
        <f>IF([1]Accounts!$D$425="","",[1]Accounts!$C$425)</f>
        <v/>
      </c>
      <c r="I424">
        <f>IF([1]Accounts!$D$425="","",[1]Accounts!$D$425)</f>
        <v/>
      </c>
    </row>
    <row r="425">
      <c r="F425">
        <f>IF([1]Accounts!$D$426="","",[1]Accounts!$A$426)</f>
        <v/>
      </c>
      <c r="G425">
        <f>IF([1]Accounts!$D$426="","",[1]Accounts!$B$426)</f>
        <v/>
      </c>
      <c r="H425">
        <f>IF([1]Accounts!$D$426="","",[1]Accounts!$C$426)</f>
        <v/>
      </c>
      <c r="I425">
        <f>IF([1]Accounts!$D$426="","",[1]Accounts!$D$426)</f>
        <v/>
      </c>
    </row>
    <row r="426">
      <c r="F426">
        <f>IF([1]Accounts!$D$427="","",[1]Accounts!$A$427)</f>
        <v/>
      </c>
      <c r="G426">
        <f>IF([1]Accounts!$D$427="","",[1]Accounts!$B$427)</f>
        <v/>
      </c>
      <c r="H426">
        <f>IF([1]Accounts!$D$427="","",[1]Accounts!$C$427)</f>
        <v/>
      </c>
      <c r="I426">
        <f>IF([1]Accounts!$D$427="","",[1]Accounts!$D$427)</f>
        <v/>
      </c>
    </row>
    <row r="427">
      <c r="F427">
        <f>IF([1]Accounts!$D$428="","",[1]Accounts!$A$428)</f>
        <v/>
      </c>
      <c r="G427">
        <f>IF([1]Accounts!$D$428="","",[1]Accounts!$B$428)</f>
        <v/>
      </c>
      <c r="H427">
        <f>IF([1]Accounts!$D$428="","",[1]Accounts!$C$428)</f>
        <v/>
      </c>
      <c r="I427">
        <f>IF([1]Accounts!$D$428="","",[1]Accounts!$D$428)</f>
        <v/>
      </c>
    </row>
    <row r="428">
      <c r="F428">
        <f>IF([1]Accounts!$D$429="","",[1]Accounts!$A$429)</f>
        <v/>
      </c>
      <c r="G428">
        <f>IF([1]Accounts!$D$429="","",[1]Accounts!$B$429)</f>
        <v/>
      </c>
      <c r="H428">
        <f>IF([1]Accounts!$D$429="","",[1]Accounts!$C$429)</f>
        <v/>
      </c>
      <c r="I428">
        <f>IF([1]Accounts!$D$429="","",[1]Accounts!$D$429)</f>
        <v/>
      </c>
    </row>
    <row r="429">
      <c r="F429">
        <f>IF([1]Accounts!$D$430="","",[1]Accounts!$A$430)</f>
        <v/>
      </c>
      <c r="G429">
        <f>IF([1]Accounts!$D$430="","",[1]Accounts!$B$430)</f>
        <v/>
      </c>
      <c r="H429">
        <f>IF([1]Accounts!$D$430="","",[1]Accounts!$C$430)</f>
        <v/>
      </c>
      <c r="I429">
        <f>IF([1]Accounts!$D$430="","",[1]Accounts!$D$430)</f>
        <v/>
      </c>
    </row>
    <row r="430">
      <c r="F430">
        <f>IF([1]Accounts!$D$431="","",[1]Accounts!$A$431)</f>
        <v/>
      </c>
      <c r="G430">
        <f>IF([1]Accounts!$D$431="","",[1]Accounts!$B$431)</f>
        <v/>
      </c>
      <c r="H430">
        <f>IF([1]Accounts!$D$431="","",[1]Accounts!$C$431)</f>
        <v/>
      </c>
      <c r="I430">
        <f>IF([1]Accounts!$D$431="","",[1]Accounts!$D$431)</f>
        <v/>
      </c>
    </row>
    <row r="431">
      <c r="F431">
        <f>IF([1]Accounts!$D$432="","",[1]Accounts!$A$432)</f>
        <v/>
      </c>
      <c r="G431">
        <f>IF([1]Accounts!$D$432="","",[1]Accounts!$B$432)</f>
        <v/>
      </c>
      <c r="H431">
        <f>IF([1]Accounts!$D$432="","",[1]Accounts!$C$432)</f>
        <v/>
      </c>
      <c r="I431">
        <f>IF([1]Accounts!$D$432="","",[1]Accounts!$D$432)</f>
        <v/>
      </c>
    </row>
    <row r="432">
      <c r="F432">
        <f>IF([1]Accounts!$D$433="","",[1]Accounts!$A$433)</f>
        <v/>
      </c>
      <c r="G432">
        <f>IF([1]Accounts!$D$433="","",[1]Accounts!$B$433)</f>
        <v/>
      </c>
      <c r="H432">
        <f>IF([1]Accounts!$D$433="","",[1]Accounts!$C$433)</f>
        <v/>
      </c>
      <c r="I432">
        <f>IF([1]Accounts!$D$433="","",[1]Accounts!$D$433)</f>
        <v/>
      </c>
    </row>
    <row r="433">
      <c r="F433">
        <f>IF([1]Accounts!$D$434="","",[1]Accounts!$A$434)</f>
        <v/>
      </c>
      <c r="G433">
        <f>IF([1]Accounts!$D$434="","",[1]Accounts!$B$434)</f>
        <v/>
      </c>
      <c r="H433">
        <f>IF([1]Accounts!$D$434="","",[1]Accounts!$C$434)</f>
        <v/>
      </c>
      <c r="I433">
        <f>IF([1]Accounts!$D$434="","",[1]Accounts!$D$434)</f>
        <v/>
      </c>
    </row>
    <row r="434">
      <c r="F434">
        <f>IF([1]Accounts!$D$435="","",[1]Accounts!$A$435)</f>
        <v/>
      </c>
      <c r="G434">
        <f>IF([1]Accounts!$D$435="","",[1]Accounts!$B$435)</f>
        <v/>
      </c>
      <c r="H434">
        <f>IF([1]Accounts!$D$435="","",[1]Accounts!$C$435)</f>
        <v/>
      </c>
      <c r="I434">
        <f>IF([1]Accounts!$D$435="","",[1]Accounts!$D$435)</f>
        <v/>
      </c>
    </row>
    <row r="435">
      <c r="F435">
        <f>IF([1]Accounts!$D$436="","",[1]Accounts!$A$436)</f>
        <v/>
      </c>
      <c r="G435">
        <f>IF([1]Accounts!$D$436="","",[1]Accounts!$B$436)</f>
        <v/>
      </c>
      <c r="H435">
        <f>IF([1]Accounts!$D$436="","",[1]Accounts!$C$436)</f>
        <v/>
      </c>
      <c r="I435">
        <f>IF([1]Accounts!$D$436="","",[1]Accounts!$D$436)</f>
        <v/>
      </c>
    </row>
    <row r="436">
      <c r="F436">
        <f>IF([1]Accounts!$D$437="","",[1]Accounts!$A$437)</f>
        <v/>
      </c>
      <c r="G436">
        <f>IF([1]Accounts!$D$437="","",[1]Accounts!$B$437)</f>
        <v/>
      </c>
      <c r="H436">
        <f>IF([1]Accounts!$D$437="","",[1]Accounts!$C$437)</f>
        <v/>
      </c>
      <c r="I436">
        <f>IF([1]Accounts!$D$437="","",[1]Accounts!$D$437)</f>
        <v/>
      </c>
    </row>
    <row r="437">
      <c r="F437">
        <f>IF([1]Accounts!$D$438="","",[1]Accounts!$A$438)</f>
        <v/>
      </c>
      <c r="G437">
        <f>IF([1]Accounts!$D$438="","",[1]Accounts!$B$438)</f>
        <v/>
      </c>
      <c r="H437">
        <f>IF([1]Accounts!$D$438="","",[1]Accounts!$C$438)</f>
        <v/>
      </c>
      <c r="I437">
        <f>IF([1]Accounts!$D$438="","",[1]Accounts!$D$438)</f>
        <v/>
      </c>
    </row>
    <row r="438">
      <c r="F438">
        <f>IF([1]Accounts!$D$439="","",[1]Accounts!$A$439)</f>
        <v/>
      </c>
      <c r="G438">
        <f>IF([1]Accounts!$D$439="","",[1]Accounts!$B$439)</f>
        <v/>
      </c>
      <c r="H438">
        <f>IF([1]Accounts!$D$439="","",[1]Accounts!$C$439)</f>
        <v/>
      </c>
      <c r="I438">
        <f>IF([1]Accounts!$D$439="","",[1]Accounts!$D$439)</f>
        <v/>
      </c>
    </row>
    <row r="439">
      <c r="F439">
        <f>IF([1]Accounts!$D$440="","",[1]Accounts!$A$440)</f>
        <v/>
      </c>
      <c r="G439">
        <f>IF([1]Accounts!$D$440="","",[1]Accounts!$B$440)</f>
        <v/>
      </c>
      <c r="H439">
        <f>IF([1]Accounts!$D$440="","",[1]Accounts!$C$440)</f>
        <v/>
      </c>
      <c r="I439">
        <f>IF([1]Accounts!$D$440="","",[1]Accounts!$D$440)</f>
        <v/>
      </c>
    </row>
    <row r="440">
      <c r="F440">
        <f>IF([1]Accounts!$D$441="","",[1]Accounts!$A$441)</f>
        <v/>
      </c>
      <c r="G440">
        <f>IF([1]Accounts!$D$441="","",[1]Accounts!$B$441)</f>
        <v/>
      </c>
      <c r="H440">
        <f>IF([1]Accounts!$D$441="","",[1]Accounts!$C$441)</f>
        <v/>
      </c>
      <c r="I440">
        <f>IF([1]Accounts!$D$441="","",[1]Accounts!$D$441)</f>
        <v/>
      </c>
    </row>
    <row r="441">
      <c r="F441">
        <f>IF([1]Accounts!$D$442="","",[1]Accounts!$A$442)</f>
        <v/>
      </c>
      <c r="G441">
        <f>IF([1]Accounts!$D$442="","",[1]Accounts!$B$442)</f>
        <v/>
      </c>
      <c r="H441">
        <f>IF([1]Accounts!$D$442="","",[1]Accounts!$C$442)</f>
        <v/>
      </c>
      <c r="I441">
        <f>IF([1]Accounts!$D$442="","",[1]Accounts!$D$442)</f>
        <v/>
      </c>
    </row>
    <row r="442">
      <c r="F442">
        <f>IF([1]Accounts!$D$443="","",[1]Accounts!$A$443)</f>
        <v/>
      </c>
      <c r="G442">
        <f>IF([1]Accounts!$D$443="","",[1]Accounts!$B$443)</f>
        <v/>
      </c>
      <c r="H442">
        <f>IF([1]Accounts!$D$443="","",[1]Accounts!$C$443)</f>
        <v/>
      </c>
      <c r="I442">
        <f>IF([1]Accounts!$D$443="","",[1]Accounts!$D$443)</f>
        <v/>
      </c>
    </row>
    <row r="443">
      <c r="F443">
        <f>IF([1]Accounts!$D$444="","",[1]Accounts!$A$444)</f>
        <v/>
      </c>
      <c r="G443">
        <f>IF([1]Accounts!$D$444="","",[1]Accounts!$B$444)</f>
        <v/>
      </c>
      <c r="H443">
        <f>IF([1]Accounts!$D$444="","",[1]Accounts!$C$444)</f>
        <v/>
      </c>
      <c r="I443">
        <f>IF([1]Accounts!$D$444="","",[1]Accounts!$D$444)</f>
        <v/>
      </c>
    </row>
    <row r="444">
      <c r="F444">
        <f>IF([1]Accounts!$D$445="","",[1]Accounts!$A$445)</f>
        <v/>
      </c>
      <c r="G444">
        <f>IF([1]Accounts!$D$445="","",[1]Accounts!$B$445)</f>
        <v/>
      </c>
      <c r="H444">
        <f>IF([1]Accounts!$D$445="","",[1]Accounts!$C$445)</f>
        <v/>
      </c>
      <c r="I444">
        <f>IF([1]Accounts!$D$445="","",[1]Accounts!$D$445)</f>
        <v/>
      </c>
    </row>
    <row r="445">
      <c r="F445">
        <f>IF([1]Accounts!$D$446="","",[1]Accounts!$A$446)</f>
        <v/>
      </c>
      <c r="G445">
        <f>IF([1]Accounts!$D$446="","",[1]Accounts!$B$446)</f>
        <v/>
      </c>
      <c r="H445">
        <f>IF([1]Accounts!$D$446="","",[1]Accounts!$C$446)</f>
        <v/>
      </c>
      <c r="I445">
        <f>IF([1]Accounts!$D$446="","",[1]Accounts!$D$446)</f>
        <v/>
      </c>
    </row>
    <row r="446">
      <c r="F446">
        <f>IF([1]Accounts!$D$447="","",[1]Accounts!$A$447)</f>
        <v/>
      </c>
      <c r="G446">
        <f>IF([1]Accounts!$D$447="","",[1]Accounts!$B$447)</f>
        <v/>
      </c>
      <c r="H446">
        <f>IF([1]Accounts!$D$447="","",[1]Accounts!$C$447)</f>
        <v/>
      </c>
      <c r="I446">
        <f>IF([1]Accounts!$D$447="","",[1]Accounts!$D$447)</f>
        <v/>
      </c>
    </row>
    <row r="447">
      <c r="F447">
        <f>IF([1]Accounts!$D$448="","",[1]Accounts!$A$448)</f>
        <v/>
      </c>
      <c r="G447">
        <f>IF([1]Accounts!$D$448="","",[1]Accounts!$B$448)</f>
        <v/>
      </c>
      <c r="H447">
        <f>IF([1]Accounts!$D$448="","",[1]Accounts!$C$448)</f>
        <v/>
      </c>
      <c r="I447">
        <f>IF([1]Accounts!$D$448="","",[1]Accounts!$D$448)</f>
        <v/>
      </c>
    </row>
    <row r="448">
      <c r="F448">
        <f>IF([1]Accounts!$D$449="","",[1]Accounts!$A$449)</f>
        <v/>
      </c>
      <c r="G448">
        <f>IF([1]Accounts!$D$449="","",[1]Accounts!$B$449)</f>
        <v/>
      </c>
      <c r="H448">
        <f>IF([1]Accounts!$D$449="","",[1]Accounts!$C$449)</f>
        <v/>
      </c>
      <c r="I448">
        <f>IF([1]Accounts!$D$449="","",[1]Accounts!$D$449)</f>
        <v/>
      </c>
    </row>
    <row r="449">
      <c r="F449">
        <f>IF([1]Accounts!$D$450="","",[1]Accounts!$A$450)</f>
        <v/>
      </c>
      <c r="G449">
        <f>IF([1]Accounts!$D$450="","",[1]Accounts!$B$450)</f>
        <v/>
      </c>
      <c r="H449">
        <f>IF([1]Accounts!$D$450="","",[1]Accounts!$C$450)</f>
        <v/>
      </c>
      <c r="I449">
        <f>IF([1]Accounts!$D$450="","",[1]Accounts!$D$450)</f>
        <v/>
      </c>
    </row>
    <row r="450">
      <c r="F450">
        <f>IF([1]Accounts!$D$451="","",[1]Accounts!$A$451)</f>
        <v/>
      </c>
      <c r="G450">
        <f>IF([1]Accounts!$D$451="","",[1]Accounts!$B$451)</f>
        <v/>
      </c>
      <c r="H450">
        <f>IF([1]Accounts!$D$451="","",[1]Accounts!$C$451)</f>
        <v/>
      </c>
      <c r="I450">
        <f>IF([1]Accounts!$D$451="","",[1]Accounts!$D$451)</f>
        <v/>
      </c>
    </row>
    <row r="451">
      <c r="F451">
        <f>IF([1]Accounts!$D$452="","",[1]Accounts!$A$452)</f>
        <v/>
      </c>
      <c r="G451">
        <f>IF([1]Accounts!$D$452="","",[1]Accounts!$B$452)</f>
        <v/>
      </c>
      <c r="H451">
        <f>IF([1]Accounts!$D$452="","",[1]Accounts!$C$452)</f>
        <v/>
      </c>
      <c r="I451">
        <f>IF([1]Accounts!$D$452="","",[1]Accounts!$D$452)</f>
        <v/>
      </c>
    </row>
    <row r="452">
      <c r="F452">
        <f>IF([1]Accounts!$D$453="","",[1]Accounts!$A$453)</f>
        <v/>
      </c>
      <c r="G452">
        <f>IF([1]Accounts!$D$453="","",[1]Accounts!$B$453)</f>
        <v/>
      </c>
      <c r="H452">
        <f>IF([1]Accounts!$D$453="","",[1]Accounts!$C$453)</f>
        <v/>
      </c>
      <c r="I452">
        <f>IF([1]Accounts!$D$453="","",[1]Accounts!$D$453)</f>
        <v/>
      </c>
    </row>
    <row r="453">
      <c r="F453">
        <f>IF([1]Accounts!$D$454="","",[1]Accounts!$A$454)</f>
        <v/>
      </c>
      <c r="G453">
        <f>IF([1]Accounts!$D$454="","",[1]Accounts!$B$454)</f>
        <v/>
      </c>
      <c r="H453">
        <f>IF([1]Accounts!$D$454="","",[1]Accounts!$C$454)</f>
        <v/>
      </c>
      <c r="I453">
        <f>IF([1]Accounts!$D$454="","",[1]Accounts!$D$454)</f>
        <v/>
      </c>
    </row>
    <row r="454">
      <c r="F454">
        <f>IF([1]Accounts!$D$455="","",[1]Accounts!$A$455)</f>
        <v/>
      </c>
      <c r="G454">
        <f>IF([1]Accounts!$D$455="","",[1]Accounts!$B$455)</f>
        <v/>
      </c>
      <c r="H454">
        <f>IF([1]Accounts!$D$455="","",[1]Accounts!$C$455)</f>
        <v/>
      </c>
      <c r="I454">
        <f>IF([1]Accounts!$D$455="","",[1]Accounts!$D$455)</f>
        <v/>
      </c>
    </row>
    <row r="455">
      <c r="F455">
        <f>IF([1]Accounts!$D$456="","",[1]Accounts!$A$456)</f>
        <v/>
      </c>
      <c r="G455">
        <f>IF([1]Accounts!$D$456="","",[1]Accounts!$B$456)</f>
        <v/>
      </c>
      <c r="H455">
        <f>IF([1]Accounts!$D$456="","",[1]Accounts!$C$456)</f>
        <v/>
      </c>
      <c r="I455">
        <f>IF([1]Accounts!$D$456="","",[1]Accounts!$D$456)</f>
        <v/>
      </c>
    </row>
    <row r="456">
      <c r="F456">
        <f>IF([1]Accounts!$D$457="","",[1]Accounts!$A$457)</f>
        <v/>
      </c>
      <c r="G456">
        <f>IF([1]Accounts!$D$457="","",[1]Accounts!$B$457)</f>
        <v/>
      </c>
      <c r="H456">
        <f>IF([1]Accounts!$D$457="","",[1]Accounts!$C$457)</f>
        <v/>
      </c>
      <c r="I456">
        <f>IF([1]Accounts!$D$457="","",[1]Accounts!$D$457)</f>
        <v/>
      </c>
    </row>
    <row r="457">
      <c r="F457">
        <f>IF([1]Accounts!$D$458="","",[1]Accounts!$A$458)</f>
        <v/>
      </c>
      <c r="G457">
        <f>IF([1]Accounts!$D$458="","",[1]Accounts!$B$458)</f>
        <v/>
      </c>
      <c r="H457">
        <f>IF([1]Accounts!$D$458="","",[1]Accounts!$C$458)</f>
        <v/>
      </c>
      <c r="I457">
        <f>IF([1]Accounts!$D$458="","",[1]Accounts!$D$458)</f>
        <v/>
      </c>
    </row>
    <row r="458">
      <c r="F458">
        <f>IF([1]Accounts!$D$459="","",[1]Accounts!$A$459)</f>
        <v/>
      </c>
      <c r="G458">
        <f>IF([1]Accounts!$D$459="","",[1]Accounts!$B$459)</f>
        <v/>
      </c>
      <c r="H458">
        <f>IF([1]Accounts!$D$459="","",[1]Accounts!$C$459)</f>
        <v/>
      </c>
      <c r="I458">
        <f>IF([1]Accounts!$D$459="","",[1]Accounts!$D$459)</f>
        <v/>
      </c>
    </row>
    <row r="459">
      <c r="F459">
        <f>IF([1]Accounts!$D$460="","",[1]Accounts!$A$460)</f>
        <v/>
      </c>
      <c r="G459">
        <f>IF([1]Accounts!$D$460="","",[1]Accounts!$B$460)</f>
        <v/>
      </c>
      <c r="H459">
        <f>IF([1]Accounts!$D$460="","",[1]Accounts!$C$460)</f>
        <v/>
      </c>
      <c r="I459">
        <f>IF([1]Accounts!$D$460="","",[1]Accounts!$D$460)</f>
        <v/>
      </c>
    </row>
    <row r="460">
      <c r="F460">
        <f>IF([1]Accounts!$D$461="","",[1]Accounts!$A$461)</f>
        <v/>
      </c>
      <c r="G460">
        <f>IF([1]Accounts!$D$461="","",[1]Accounts!$B$461)</f>
        <v/>
      </c>
      <c r="H460">
        <f>IF([1]Accounts!$D$461="","",[1]Accounts!$C$461)</f>
        <v/>
      </c>
      <c r="I460">
        <f>IF([1]Accounts!$D$461="","",[1]Accounts!$D$461)</f>
        <v/>
      </c>
    </row>
    <row r="461">
      <c r="F461">
        <f>IF([1]Accounts!$D$462="","",[1]Accounts!$A$462)</f>
        <v/>
      </c>
      <c r="G461">
        <f>IF([1]Accounts!$D$462="","",[1]Accounts!$B$462)</f>
        <v/>
      </c>
      <c r="H461">
        <f>IF([1]Accounts!$D$462="","",[1]Accounts!$C$462)</f>
        <v/>
      </c>
      <c r="I461">
        <f>IF([1]Accounts!$D$462="","",[1]Accounts!$D$462)</f>
        <v/>
      </c>
    </row>
    <row r="462">
      <c r="F462">
        <f>IF([1]Accounts!$D$463="","",[1]Accounts!$A$463)</f>
        <v/>
      </c>
      <c r="G462">
        <f>IF([1]Accounts!$D$463="","",[1]Accounts!$B$463)</f>
        <v/>
      </c>
      <c r="H462">
        <f>IF([1]Accounts!$D$463="","",[1]Accounts!$C$463)</f>
        <v/>
      </c>
      <c r="I462">
        <f>IF([1]Accounts!$D$463="","",[1]Accounts!$D$463)</f>
        <v/>
      </c>
    </row>
    <row r="463">
      <c r="F463">
        <f>IF([1]Accounts!$D$464="","",[1]Accounts!$A$464)</f>
        <v/>
      </c>
      <c r="G463">
        <f>IF([1]Accounts!$D$464="","",[1]Accounts!$B$464)</f>
        <v/>
      </c>
      <c r="H463">
        <f>IF([1]Accounts!$D$464="","",[1]Accounts!$C$464)</f>
        <v/>
      </c>
      <c r="I463">
        <f>IF([1]Accounts!$D$464="","",[1]Accounts!$D$464)</f>
        <v/>
      </c>
    </row>
    <row r="464">
      <c r="F464">
        <f>IF([1]Accounts!$D$465="","",[1]Accounts!$A$465)</f>
        <v/>
      </c>
      <c r="G464">
        <f>IF([1]Accounts!$D$465="","",[1]Accounts!$B$465)</f>
        <v/>
      </c>
      <c r="H464">
        <f>IF([1]Accounts!$D$465="","",[1]Accounts!$C$465)</f>
        <v/>
      </c>
      <c r="I464">
        <f>IF([1]Accounts!$D$465="","",[1]Accounts!$D$465)</f>
        <v/>
      </c>
    </row>
    <row r="465">
      <c r="F465">
        <f>IF([1]Accounts!$D$466="","",[1]Accounts!$A$466)</f>
        <v/>
      </c>
      <c r="G465">
        <f>IF([1]Accounts!$D$466="","",[1]Accounts!$B$466)</f>
        <v/>
      </c>
      <c r="H465">
        <f>IF([1]Accounts!$D$466="","",[1]Accounts!$C$466)</f>
        <v/>
      </c>
      <c r="I465">
        <f>IF([1]Accounts!$D$466="","",[1]Accounts!$D$466)</f>
        <v/>
      </c>
    </row>
    <row r="466">
      <c r="F466">
        <f>IF([1]Accounts!$D$467="","",[1]Accounts!$A$467)</f>
        <v/>
      </c>
      <c r="G466">
        <f>IF([1]Accounts!$D$467="","",[1]Accounts!$B$467)</f>
        <v/>
      </c>
      <c r="H466">
        <f>IF([1]Accounts!$D$467="","",[1]Accounts!$C$467)</f>
        <v/>
      </c>
      <c r="I466">
        <f>IF([1]Accounts!$D$467="","",[1]Accounts!$D$467)</f>
        <v/>
      </c>
    </row>
    <row r="467">
      <c r="F467">
        <f>IF([1]Accounts!$D$468="","",[1]Accounts!$A$468)</f>
        <v/>
      </c>
      <c r="G467">
        <f>IF([1]Accounts!$D$468="","",[1]Accounts!$B$468)</f>
        <v/>
      </c>
      <c r="H467">
        <f>IF([1]Accounts!$D$468="","",[1]Accounts!$C$468)</f>
        <v/>
      </c>
      <c r="I467">
        <f>IF([1]Accounts!$D$468="","",[1]Accounts!$D$468)</f>
        <v/>
      </c>
    </row>
    <row r="468">
      <c r="F468">
        <f>IF([1]Accounts!$D$469="","",[1]Accounts!$A$469)</f>
        <v/>
      </c>
      <c r="G468">
        <f>IF([1]Accounts!$D$469="","",[1]Accounts!$B$469)</f>
        <v/>
      </c>
      <c r="H468">
        <f>IF([1]Accounts!$D$469="","",[1]Accounts!$C$469)</f>
        <v/>
      </c>
      <c r="I468">
        <f>IF([1]Accounts!$D$469="","",[1]Accounts!$D$469)</f>
        <v/>
      </c>
    </row>
    <row r="469">
      <c r="F469">
        <f>IF([1]Accounts!$D$470="","",[1]Accounts!$A$470)</f>
        <v/>
      </c>
      <c r="G469">
        <f>IF([1]Accounts!$D$470="","",[1]Accounts!$B$470)</f>
        <v/>
      </c>
      <c r="H469">
        <f>IF([1]Accounts!$D$470="","",[1]Accounts!$C$470)</f>
        <v/>
      </c>
      <c r="I469">
        <f>IF([1]Accounts!$D$470="","",[1]Accounts!$D$470)</f>
        <v/>
      </c>
    </row>
    <row r="470">
      <c r="F470">
        <f>IF([1]Accounts!$D$471="","",[1]Accounts!$A$471)</f>
        <v/>
      </c>
      <c r="G470">
        <f>IF([1]Accounts!$D$471="","",[1]Accounts!$B$471)</f>
        <v/>
      </c>
      <c r="H470">
        <f>IF([1]Accounts!$D$471="","",[1]Accounts!$C$471)</f>
        <v/>
      </c>
      <c r="I470">
        <f>IF([1]Accounts!$D$471="","",[1]Accounts!$D$471)</f>
        <v/>
      </c>
    </row>
    <row r="471">
      <c r="F471">
        <f>IF([1]Accounts!$D$472="","",[1]Accounts!$A$472)</f>
        <v/>
      </c>
      <c r="G471">
        <f>IF([1]Accounts!$D$472="","",[1]Accounts!$B$472)</f>
        <v/>
      </c>
      <c r="H471">
        <f>IF([1]Accounts!$D$472="","",[1]Accounts!$C$472)</f>
        <v/>
      </c>
      <c r="I471">
        <f>IF([1]Accounts!$D$472="","",[1]Accounts!$D$472)</f>
        <v/>
      </c>
    </row>
    <row r="472">
      <c r="F472">
        <f>IF([1]Accounts!$D$473="","",[1]Accounts!$A$473)</f>
        <v/>
      </c>
      <c r="G472">
        <f>IF([1]Accounts!$D$473="","",[1]Accounts!$B$473)</f>
        <v/>
      </c>
      <c r="H472">
        <f>IF([1]Accounts!$D$473="","",[1]Accounts!$C$473)</f>
        <v/>
      </c>
      <c r="I472">
        <f>IF([1]Accounts!$D$473="","",[1]Accounts!$D$473)</f>
        <v/>
      </c>
    </row>
    <row r="473">
      <c r="F473">
        <f>IF([1]Accounts!$D$474="","",[1]Accounts!$A$474)</f>
        <v/>
      </c>
      <c r="G473">
        <f>IF([1]Accounts!$D$474="","",[1]Accounts!$B$474)</f>
        <v/>
      </c>
      <c r="H473">
        <f>IF([1]Accounts!$D$474="","",[1]Accounts!$C$474)</f>
        <v/>
      </c>
      <c r="I473">
        <f>IF([1]Accounts!$D$474="","",[1]Accounts!$D$474)</f>
        <v/>
      </c>
    </row>
    <row r="474">
      <c r="F474">
        <f>IF([1]Accounts!$D$475="","",[1]Accounts!$A$475)</f>
        <v/>
      </c>
      <c r="G474">
        <f>IF([1]Accounts!$D$475="","",[1]Accounts!$B$475)</f>
        <v/>
      </c>
      <c r="H474">
        <f>IF([1]Accounts!$D$475="","",[1]Accounts!$C$475)</f>
        <v/>
      </c>
      <c r="I474">
        <f>IF([1]Accounts!$D$475="","",[1]Accounts!$D$475)</f>
        <v/>
      </c>
    </row>
    <row r="475">
      <c r="F475">
        <f>IF([1]Accounts!$D$476="","",[1]Accounts!$A$476)</f>
        <v/>
      </c>
      <c r="G475">
        <f>IF([1]Accounts!$D$476="","",[1]Accounts!$B$476)</f>
        <v/>
      </c>
      <c r="H475">
        <f>IF([1]Accounts!$D$476="","",[1]Accounts!$C$476)</f>
        <v/>
      </c>
      <c r="I475">
        <f>IF([1]Accounts!$D$476="","",[1]Accounts!$D$476)</f>
        <v/>
      </c>
    </row>
    <row r="476">
      <c r="F476">
        <f>IF([1]Accounts!$D$477="","",[1]Accounts!$A$477)</f>
        <v/>
      </c>
      <c r="G476">
        <f>IF([1]Accounts!$D$477="","",[1]Accounts!$B$477)</f>
        <v/>
      </c>
      <c r="H476">
        <f>IF([1]Accounts!$D$477="","",[1]Accounts!$C$477)</f>
        <v/>
      </c>
      <c r="I476">
        <f>IF([1]Accounts!$D$477="","",[1]Accounts!$D$477)</f>
        <v/>
      </c>
    </row>
    <row r="477">
      <c r="F477">
        <f>IF([1]Accounts!$D$478="","",[1]Accounts!$A$478)</f>
        <v/>
      </c>
      <c r="G477">
        <f>IF([1]Accounts!$D$478="","",[1]Accounts!$B$478)</f>
        <v/>
      </c>
      <c r="H477">
        <f>IF([1]Accounts!$D$478="","",[1]Accounts!$C$478)</f>
        <v/>
      </c>
      <c r="I477">
        <f>IF([1]Accounts!$D$478="","",[1]Accounts!$D$478)</f>
        <v/>
      </c>
    </row>
    <row r="478">
      <c r="F478">
        <f>IF([1]Accounts!$D$479="","",[1]Accounts!$A$479)</f>
        <v/>
      </c>
      <c r="G478">
        <f>IF([1]Accounts!$D$479="","",[1]Accounts!$B$479)</f>
        <v/>
      </c>
      <c r="H478">
        <f>IF([1]Accounts!$D$479="","",[1]Accounts!$C$479)</f>
        <v/>
      </c>
      <c r="I478">
        <f>IF([1]Accounts!$D$479="","",[1]Accounts!$D$479)</f>
        <v/>
      </c>
    </row>
    <row r="479">
      <c r="F479">
        <f>IF([1]Accounts!$D$480="","",[1]Accounts!$A$480)</f>
        <v/>
      </c>
      <c r="G479">
        <f>IF([1]Accounts!$D$480="","",[1]Accounts!$B$480)</f>
        <v/>
      </c>
      <c r="H479">
        <f>IF([1]Accounts!$D$480="","",[1]Accounts!$C$480)</f>
        <v/>
      </c>
      <c r="I479">
        <f>IF([1]Accounts!$D$480="","",[1]Accounts!$D$480)</f>
        <v/>
      </c>
    </row>
    <row r="480">
      <c r="F480">
        <f>IF([1]Accounts!$D$481="","",[1]Accounts!$A$481)</f>
        <v/>
      </c>
      <c r="G480">
        <f>IF([1]Accounts!$D$481="","",[1]Accounts!$B$481)</f>
        <v/>
      </c>
      <c r="H480">
        <f>IF([1]Accounts!$D$481="","",[1]Accounts!$C$481)</f>
        <v/>
      </c>
      <c r="I480">
        <f>IF([1]Accounts!$D$481="","",[1]Accounts!$D$481)</f>
        <v/>
      </c>
    </row>
    <row r="481">
      <c r="F481">
        <f>IF([1]Accounts!$D$482="","",[1]Accounts!$A$482)</f>
        <v/>
      </c>
      <c r="G481">
        <f>IF([1]Accounts!$D$482="","",[1]Accounts!$B$482)</f>
        <v/>
      </c>
      <c r="H481">
        <f>IF([1]Accounts!$D$482="","",[1]Accounts!$C$482)</f>
        <v/>
      </c>
      <c r="I481">
        <f>IF([1]Accounts!$D$482="","",[1]Accounts!$D$482)</f>
        <v/>
      </c>
    </row>
    <row r="482">
      <c r="F482">
        <f>IF([1]Accounts!$D$483="","",[1]Accounts!$A$483)</f>
        <v/>
      </c>
      <c r="G482">
        <f>IF([1]Accounts!$D$483="","",[1]Accounts!$B$483)</f>
        <v/>
      </c>
      <c r="H482">
        <f>IF([1]Accounts!$D$483="","",[1]Accounts!$C$483)</f>
        <v/>
      </c>
      <c r="I482">
        <f>IF([1]Accounts!$D$483="","",[1]Accounts!$D$483)</f>
        <v/>
      </c>
    </row>
    <row r="483">
      <c r="F483">
        <f>IF([1]Accounts!$D$484="","",[1]Accounts!$A$484)</f>
        <v/>
      </c>
      <c r="G483">
        <f>IF([1]Accounts!$D$484="","",[1]Accounts!$B$484)</f>
        <v/>
      </c>
      <c r="H483">
        <f>IF([1]Accounts!$D$484="","",[1]Accounts!$C$484)</f>
        <v/>
      </c>
      <c r="I483">
        <f>IF([1]Accounts!$D$484="","",[1]Accounts!$D$484)</f>
        <v/>
      </c>
    </row>
    <row r="484">
      <c r="F484">
        <f>IF([1]Accounts!$D$485="","",[1]Accounts!$A$485)</f>
        <v/>
      </c>
      <c r="G484">
        <f>IF([1]Accounts!$D$485="","",[1]Accounts!$B$485)</f>
        <v/>
      </c>
      <c r="H484">
        <f>IF([1]Accounts!$D$485="","",[1]Accounts!$C$485)</f>
        <v/>
      </c>
      <c r="I484">
        <f>IF([1]Accounts!$D$485="","",[1]Accounts!$D$485)</f>
        <v/>
      </c>
    </row>
    <row r="485">
      <c r="F485">
        <f>IF([1]Accounts!$D$486="","",[1]Accounts!$A$486)</f>
        <v/>
      </c>
      <c r="G485">
        <f>IF([1]Accounts!$D$486="","",[1]Accounts!$B$486)</f>
        <v/>
      </c>
      <c r="H485">
        <f>IF([1]Accounts!$D$486="","",[1]Accounts!$C$486)</f>
        <v/>
      </c>
      <c r="I485">
        <f>IF([1]Accounts!$D$486="","",[1]Accounts!$D$486)</f>
        <v/>
      </c>
    </row>
    <row r="486">
      <c r="F486">
        <f>IF([1]Accounts!$D$487="","",[1]Accounts!$A$487)</f>
        <v/>
      </c>
      <c r="G486">
        <f>IF([1]Accounts!$D$487="","",[1]Accounts!$B$487)</f>
        <v/>
      </c>
      <c r="H486">
        <f>IF([1]Accounts!$D$487="","",[1]Accounts!$C$487)</f>
        <v/>
      </c>
      <c r="I486">
        <f>IF([1]Accounts!$D$487="","",[1]Accounts!$D$487)</f>
        <v/>
      </c>
    </row>
    <row r="487">
      <c r="F487">
        <f>IF([1]Accounts!$D$488="","",[1]Accounts!$A$488)</f>
        <v/>
      </c>
      <c r="G487">
        <f>IF([1]Accounts!$D$488="","",[1]Accounts!$B$488)</f>
        <v/>
      </c>
      <c r="H487">
        <f>IF([1]Accounts!$D$488="","",[1]Accounts!$C$488)</f>
        <v/>
      </c>
      <c r="I487">
        <f>IF([1]Accounts!$D$488="","",[1]Accounts!$D$488)</f>
        <v/>
      </c>
    </row>
    <row r="488">
      <c r="F488">
        <f>IF([1]Accounts!$D$489="","",[1]Accounts!$A$489)</f>
        <v/>
      </c>
      <c r="G488">
        <f>IF([1]Accounts!$D$489="","",[1]Accounts!$B$489)</f>
        <v/>
      </c>
      <c r="H488">
        <f>IF([1]Accounts!$D$489="","",[1]Accounts!$C$489)</f>
        <v/>
      </c>
      <c r="I488">
        <f>IF([1]Accounts!$D$489="","",[1]Accounts!$D$489)</f>
        <v/>
      </c>
    </row>
    <row r="489">
      <c r="F489">
        <f>IF([1]Accounts!$D$490="","",[1]Accounts!$A$490)</f>
        <v/>
      </c>
      <c r="G489">
        <f>IF([1]Accounts!$D$490="","",[1]Accounts!$B$490)</f>
        <v/>
      </c>
      <c r="H489">
        <f>IF([1]Accounts!$D$490="","",[1]Accounts!$C$490)</f>
        <v/>
      </c>
      <c r="I489">
        <f>IF([1]Accounts!$D$490="","",[1]Accounts!$D$490)</f>
        <v/>
      </c>
    </row>
    <row r="490">
      <c r="F490">
        <f>IF([1]Accounts!$D$491="","",[1]Accounts!$A$491)</f>
        <v/>
      </c>
      <c r="G490">
        <f>IF([1]Accounts!$D$491="","",[1]Accounts!$B$491)</f>
        <v/>
      </c>
      <c r="H490">
        <f>IF([1]Accounts!$D$491="","",[1]Accounts!$C$491)</f>
        <v/>
      </c>
      <c r="I490">
        <f>IF([1]Accounts!$D$491="","",[1]Accounts!$D$491)</f>
        <v/>
      </c>
    </row>
    <row r="491">
      <c r="F491">
        <f>IF([1]Accounts!$D$492="","",[1]Accounts!$A$492)</f>
        <v/>
      </c>
      <c r="G491">
        <f>IF([1]Accounts!$D$492="","",[1]Accounts!$B$492)</f>
        <v/>
      </c>
      <c r="H491">
        <f>IF([1]Accounts!$D$492="","",[1]Accounts!$C$492)</f>
        <v/>
      </c>
      <c r="I491">
        <f>IF([1]Accounts!$D$492="","",[1]Accounts!$D$492)</f>
        <v/>
      </c>
    </row>
    <row r="492">
      <c r="F492">
        <f>IF([1]Accounts!$D$493="","",[1]Accounts!$A$493)</f>
        <v/>
      </c>
      <c r="G492">
        <f>IF([1]Accounts!$D$493="","",[1]Accounts!$B$493)</f>
        <v/>
      </c>
      <c r="H492">
        <f>IF([1]Accounts!$D$493="","",[1]Accounts!$C$493)</f>
        <v/>
      </c>
      <c r="I492">
        <f>IF([1]Accounts!$D$493="","",[1]Accounts!$D$493)</f>
        <v/>
      </c>
    </row>
    <row r="493">
      <c r="F493">
        <f>IF([1]Accounts!$D$494="","",[1]Accounts!$A$494)</f>
        <v/>
      </c>
      <c r="G493">
        <f>IF([1]Accounts!$D$494="","",[1]Accounts!$B$494)</f>
        <v/>
      </c>
      <c r="H493">
        <f>IF([1]Accounts!$D$494="","",[1]Accounts!$C$494)</f>
        <v/>
      </c>
      <c r="I493">
        <f>IF([1]Accounts!$D$494="","",[1]Accounts!$D$494)</f>
        <v/>
      </c>
    </row>
    <row r="494">
      <c r="F494">
        <f>IF([1]Accounts!$D$495="","",[1]Accounts!$A$495)</f>
        <v/>
      </c>
      <c r="G494">
        <f>IF([1]Accounts!$D$495="","",[1]Accounts!$B$495)</f>
        <v/>
      </c>
      <c r="H494">
        <f>IF([1]Accounts!$D$495="","",[1]Accounts!$C$495)</f>
        <v/>
      </c>
      <c r="I494">
        <f>IF([1]Accounts!$D$495="","",[1]Accounts!$D$495)</f>
        <v/>
      </c>
    </row>
    <row r="495">
      <c r="F495">
        <f>IF([1]Accounts!$D$496="","",[1]Accounts!$A$496)</f>
        <v/>
      </c>
      <c r="G495">
        <f>IF([1]Accounts!$D$496="","",[1]Accounts!$B$496)</f>
        <v/>
      </c>
      <c r="H495">
        <f>IF([1]Accounts!$D$496="","",[1]Accounts!$C$496)</f>
        <v/>
      </c>
      <c r="I495">
        <f>IF([1]Accounts!$D$496="","",[1]Accounts!$D$496)</f>
        <v/>
      </c>
    </row>
    <row r="496">
      <c r="F496">
        <f>IF([1]Accounts!$D$497="","",[1]Accounts!$A$497)</f>
        <v/>
      </c>
      <c r="G496">
        <f>IF([1]Accounts!$D$497="","",[1]Accounts!$B$497)</f>
        <v/>
      </c>
      <c r="H496">
        <f>IF([1]Accounts!$D$497="","",[1]Accounts!$C$497)</f>
        <v/>
      </c>
      <c r="I496">
        <f>IF([1]Accounts!$D$497="","",[1]Accounts!$D$497)</f>
        <v/>
      </c>
    </row>
    <row r="497">
      <c r="F497">
        <f>IF([1]Accounts!$D$498="","",[1]Accounts!$A$498)</f>
        <v/>
      </c>
      <c r="G497">
        <f>IF([1]Accounts!$D$498="","",[1]Accounts!$B$498)</f>
        <v/>
      </c>
      <c r="H497">
        <f>IF([1]Accounts!$D$498="","",[1]Accounts!$C$498)</f>
        <v/>
      </c>
      <c r="I497">
        <f>IF([1]Accounts!$D$498="","",[1]Accounts!$D$498)</f>
        <v/>
      </c>
    </row>
    <row r="498">
      <c r="F498">
        <f>IF([1]Accounts!$D$499="","",[1]Accounts!$A$499)</f>
        <v/>
      </c>
      <c r="G498">
        <f>IF([1]Accounts!$D$499="","",[1]Accounts!$B$499)</f>
        <v/>
      </c>
      <c r="H498">
        <f>IF([1]Accounts!$D$499="","",[1]Accounts!$C$499)</f>
        <v/>
      </c>
      <c r="I498">
        <f>IF([1]Accounts!$D$499="","",[1]Accounts!$D$499)</f>
        <v/>
      </c>
    </row>
    <row r="499">
      <c r="F499">
        <f>IF([1]Accounts!$D$500="","",[1]Accounts!$A$500)</f>
        <v/>
      </c>
      <c r="G499">
        <f>IF([1]Accounts!$D$500="","",[1]Accounts!$B$500)</f>
        <v/>
      </c>
      <c r="H499">
        <f>IF([1]Accounts!$D$500="","",[1]Accounts!$C$500)</f>
        <v/>
      </c>
      <c r="I499">
        <f>IF([1]Accounts!$D$500="","",[1]Accounts!$D$500)</f>
        <v/>
      </c>
    </row>
    <row r="500">
      <c r="F500">
        <f>IF([1]Accounts!$D$501="","",[1]Accounts!$A$501)</f>
        <v/>
      </c>
      <c r="G500">
        <f>IF([1]Accounts!$D$501="","",[1]Accounts!$B$501)</f>
        <v/>
      </c>
      <c r="H500">
        <f>IF([1]Accounts!$D$501="","",[1]Accounts!$C$501)</f>
        <v/>
      </c>
      <c r="I500">
        <f>IF([1]Accounts!$D$501="","",[1]Accounts!$D$501)</f>
        <v/>
      </c>
    </row>
    <row r="501">
      <c r="F501">
        <f>IF([1]Accounts!$D$502="","",[1]Accounts!$A$502)</f>
        <v/>
      </c>
      <c r="G501">
        <f>IF([1]Accounts!$D$502="","",[1]Accounts!$B$502)</f>
        <v/>
      </c>
      <c r="H501">
        <f>IF([1]Accounts!$D$502="","",[1]Accounts!$C$502)</f>
        <v/>
      </c>
      <c r="I501">
        <f>IF([1]Accounts!$D$502="","",[1]Accounts!$D$502)</f>
        <v/>
      </c>
    </row>
    <row r="502">
      <c r="F502">
        <f>IF([1]Accounts!$D$503="","",[1]Accounts!$A$503)</f>
        <v/>
      </c>
      <c r="G502">
        <f>IF([1]Accounts!$D$503="","",[1]Accounts!$B$503)</f>
        <v/>
      </c>
      <c r="H502">
        <f>IF([1]Accounts!$D$503="","",[1]Accounts!$C$503)</f>
        <v/>
      </c>
      <c r="I502">
        <f>IF([1]Accounts!$D$503="","",[1]Accounts!$D$503)</f>
        <v/>
      </c>
    </row>
    <row r="503">
      <c r="F503">
        <f>IF([1]Accounts!$D$504="","",[1]Accounts!$A$504)</f>
        <v/>
      </c>
      <c r="G503">
        <f>IF([1]Accounts!$D$504="","",[1]Accounts!$B$504)</f>
        <v/>
      </c>
      <c r="H503">
        <f>IF([1]Accounts!$D$504="","",[1]Accounts!$C$504)</f>
        <v/>
      </c>
      <c r="I503">
        <f>IF([1]Accounts!$D$504="","",[1]Accounts!$D$504)</f>
        <v/>
      </c>
    </row>
    <row r="504">
      <c r="F504">
        <f>IF([1]Accounts!$D$505="","",[1]Accounts!$A$505)</f>
        <v/>
      </c>
      <c r="G504">
        <f>IF([1]Accounts!$D$505="","",[1]Accounts!$B$505)</f>
        <v/>
      </c>
      <c r="H504">
        <f>IF([1]Accounts!$D$505="","",[1]Accounts!$C$505)</f>
        <v/>
      </c>
      <c r="I504">
        <f>IF([1]Accounts!$D$505="","",[1]Accounts!$D$505)</f>
        <v/>
      </c>
    </row>
    <row r="505">
      <c r="F505">
        <f>IF([1]Accounts!$D$506="","",[1]Accounts!$A$506)</f>
        <v/>
      </c>
      <c r="G505">
        <f>IF([1]Accounts!$D$506="","",[1]Accounts!$B$506)</f>
        <v/>
      </c>
      <c r="H505">
        <f>IF([1]Accounts!$D$506="","",[1]Accounts!$C$506)</f>
        <v/>
      </c>
      <c r="I505">
        <f>IF([1]Accounts!$D$506="","",[1]Accounts!$D$506)</f>
        <v/>
      </c>
    </row>
    <row r="506">
      <c r="F506">
        <f>IF([1]Accounts!$D$507="","",[1]Accounts!$A$507)</f>
        <v/>
      </c>
      <c r="G506">
        <f>IF([1]Accounts!$D$507="","",[1]Accounts!$B$507)</f>
        <v/>
      </c>
      <c r="H506">
        <f>IF([1]Accounts!$D$507="","",[1]Accounts!$C$507)</f>
        <v/>
      </c>
      <c r="I506">
        <f>IF([1]Accounts!$D$507="","",[1]Accounts!$D$507)</f>
        <v/>
      </c>
    </row>
    <row r="507">
      <c r="F507">
        <f>IF([1]Accounts!$D$508="","",[1]Accounts!$A$508)</f>
        <v/>
      </c>
      <c r="G507">
        <f>IF([1]Accounts!$D$508="","",[1]Accounts!$B$508)</f>
        <v/>
      </c>
      <c r="H507">
        <f>IF([1]Accounts!$D$508="","",[1]Accounts!$C$508)</f>
        <v/>
      </c>
      <c r="I507">
        <f>IF([1]Accounts!$D$508="","",[1]Accounts!$D$508)</f>
        <v/>
      </c>
    </row>
    <row r="508">
      <c r="F508">
        <f>IF([1]Accounts!$D$509="","",[1]Accounts!$A$509)</f>
        <v/>
      </c>
      <c r="G508">
        <f>IF([1]Accounts!$D$509="","",[1]Accounts!$B$509)</f>
        <v/>
      </c>
      <c r="H508">
        <f>IF([1]Accounts!$D$509="","",[1]Accounts!$C$509)</f>
        <v/>
      </c>
      <c r="I508">
        <f>IF([1]Accounts!$D$509="","",[1]Accounts!$D$509)</f>
        <v/>
      </c>
    </row>
    <row r="509">
      <c r="F509">
        <f>IF([1]Accounts!$D$510="","",[1]Accounts!$A$510)</f>
        <v/>
      </c>
      <c r="G509">
        <f>IF([1]Accounts!$D$510="","",[1]Accounts!$B$510)</f>
        <v/>
      </c>
      <c r="H509">
        <f>IF([1]Accounts!$D$510="","",[1]Accounts!$C$510)</f>
        <v/>
      </c>
      <c r="I509">
        <f>IF([1]Accounts!$D$510="","",[1]Accounts!$D$510)</f>
        <v/>
      </c>
    </row>
    <row r="510">
      <c r="F510">
        <f>IF([1]Accounts!$D$511="","",[1]Accounts!$A$511)</f>
        <v/>
      </c>
      <c r="G510">
        <f>IF([1]Accounts!$D$511="","",[1]Accounts!$B$511)</f>
        <v/>
      </c>
      <c r="H510">
        <f>IF([1]Accounts!$D$511="","",[1]Accounts!$C$511)</f>
        <v/>
      </c>
      <c r="I510">
        <f>IF([1]Accounts!$D$511="","",[1]Accounts!$D$511)</f>
        <v/>
      </c>
    </row>
    <row r="511">
      <c r="F511">
        <f>IF([1]Accounts!$D$512="","",[1]Accounts!$A$512)</f>
        <v/>
      </c>
      <c r="G511">
        <f>IF([1]Accounts!$D$512="","",[1]Accounts!$B$512)</f>
        <v/>
      </c>
      <c r="H511">
        <f>IF([1]Accounts!$D$512="","",[1]Accounts!$C$512)</f>
        <v/>
      </c>
      <c r="I511">
        <f>IF([1]Accounts!$D$512="","",[1]Accounts!$D$512)</f>
        <v/>
      </c>
    </row>
    <row r="512">
      <c r="F512">
        <f>IF([1]Accounts!$D$513="","",[1]Accounts!$A$513)</f>
        <v/>
      </c>
      <c r="G512">
        <f>IF([1]Accounts!$D$513="","",[1]Accounts!$B$513)</f>
        <v/>
      </c>
      <c r="H512">
        <f>IF([1]Accounts!$D$513="","",[1]Accounts!$C$513)</f>
        <v/>
      </c>
      <c r="I512">
        <f>IF([1]Accounts!$D$513="","",[1]Accounts!$D$513)</f>
        <v/>
      </c>
    </row>
    <row r="513">
      <c r="F513">
        <f>IF([1]Accounts!$D$514="","",[1]Accounts!$A$514)</f>
        <v/>
      </c>
      <c r="G513">
        <f>IF([1]Accounts!$D$514="","",[1]Accounts!$B$514)</f>
        <v/>
      </c>
      <c r="H513">
        <f>IF([1]Accounts!$D$514="","",[1]Accounts!$C$514)</f>
        <v/>
      </c>
      <c r="I513">
        <f>IF([1]Accounts!$D$514="","",[1]Accounts!$D$514)</f>
        <v/>
      </c>
    </row>
    <row r="514">
      <c r="F514">
        <f>IF([1]Accounts!$D$515="","",[1]Accounts!$A$515)</f>
        <v/>
      </c>
      <c r="G514">
        <f>IF([1]Accounts!$D$515="","",[1]Accounts!$B$515)</f>
        <v/>
      </c>
      <c r="H514">
        <f>IF([1]Accounts!$D$515="","",[1]Accounts!$C$515)</f>
        <v/>
      </c>
      <c r="I514">
        <f>IF([1]Accounts!$D$515="","",[1]Accounts!$D$515)</f>
        <v/>
      </c>
    </row>
    <row r="515">
      <c r="F515">
        <f>IF([1]Accounts!$D$516="","",[1]Accounts!$A$516)</f>
        <v/>
      </c>
      <c r="G515">
        <f>IF([1]Accounts!$D$516="","",[1]Accounts!$B$516)</f>
        <v/>
      </c>
      <c r="H515">
        <f>IF([1]Accounts!$D$516="","",[1]Accounts!$C$516)</f>
        <v/>
      </c>
      <c r="I515">
        <f>IF([1]Accounts!$D$516="","",[1]Accounts!$D$516)</f>
        <v/>
      </c>
    </row>
    <row r="516">
      <c r="F516">
        <f>IF([1]Accounts!$D$517="","",[1]Accounts!$A$517)</f>
        <v/>
      </c>
      <c r="G516">
        <f>IF([1]Accounts!$D$517="","",[1]Accounts!$B$517)</f>
        <v/>
      </c>
      <c r="H516">
        <f>IF([1]Accounts!$D$517="","",[1]Accounts!$C$517)</f>
        <v/>
      </c>
      <c r="I516">
        <f>IF([1]Accounts!$D$517="","",[1]Accounts!$D$517)</f>
        <v/>
      </c>
    </row>
    <row r="517">
      <c r="F517">
        <f>IF([1]Accounts!$D$518="","",[1]Accounts!$A$518)</f>
        <v/>
      </c>
      <c r="G517">
        <f>IF([1]Accounts!$D$518="","",[1]Accounts!$B$518)</f>
        <v/>
      </c>
      <c r="H517">
        <f>IF([1]Accounts!$D$518="","",[1]Accounts!$C$518)</f>
        <v/>
      </c>
      <c r="I517">
        <f>IF([1]Accounts!$D$518="","",[1]Accounts!$D$518)</f>
        <v/>
      </c>
    </row>
    <row r="518">
      <c r="F518">
        <f>IF([1]Accounts!$D$519="","",[1]Accounts!$A$519)</f>
        <v/>
      </c>
      <c r="G518">
        <f>IF([1]Accounts!$D$519="","",[1]Accounts!$B$519)</f>
        <v/>
      </c>
      <c r="H518">
        <f>IF([1]Accounts!$D$519="","",[1]Accounts!$C$519)</f>
        <v/>
      </c>
      <c r="I518">
        <f>IF([1]Accounts!$D$519="","",[1]Accounts!$D$519)</f>
        <v/>
      </c>
    </row>
    <row r="519">
      <c r="F519">
        <f>IF([1]Accounts!$D$520="","",[1]Accounts!$A$520)</f>
        <v/>
      </c>
      <c r="G519">
        <f>IF([1]Accounts!$D$520="","",[1]Accounts!$B$520)</f>
        <v/>
      </c>
      <c r="H519">
        <f>IF([1]Accounts!$D$520="","",[1]Accounts!$C$520)</f>
        <v/>
      </c>
      <c r="I519">
        <f>IF([1]Accounts!$D$520="","",[1]Accounts!$D$520)</f>
        <v/>
      </c>
    </row>
    <row r="520">
      <c r="F520">
        <f>IF([1]Accounts!$D$521="","",[1]Accounts!$A$521)</f>
        <v/>
      </c>
      <c r="G520">
        <f>IF([1]Accounts!$D$521="","",[1]Accounts!$B$521)</f>
        <v/>
      </c>
      <c r="H520">
        <f>IF([1]Accounts!$D$521="","",[1]Accounts!$C$521)</f>
        <v/>
      </c>
      <c r="I520">
        <f>IF([1]Accounts!$D$521="","",[1]Accounts!$D$521)</f>
        <v/>
      </c>
    </row>
    <row r="521">
      <c r="F521">
        <f>IF([1]Accounts!$D$522="","",[1]Accounts!$A$522)</f>
        <v/>
      </c>
      <c r="G521">
        <f>IF([1]Accounts!$D$522="","",[1]Accounts!$B$522)</f>
        <v/>
      </c>
      <c r="H521">
        <f>IF([1]Accounts!$D$522="","",[1]Accounts!$C$522)</f>
        <v/>
      </c>
      <c r="I521">
        <f>IF([1]Accounts!$D$522="","",[1]Accounts!$D$522)</f>
        <v/>
      </c>
    </row>
    <row r="522">
      <c r="F522">
        <f>IF([1]Accounts!$D$523="","",[1]Accounts!$A$523)</f>
        <v/>
      </c>
      <c r="G522">
        <f>IF([1]Accounts!$D$523="","",[1]Accounts!$B$523)</f>
        <v/>
      </c>
      <c r="H522">
        <f>IF([1]Accounts!$D$523="","",[1]Accounts!$C$523)</f>
        <v/>
      </c>
      <c r="I522">
        <f>IF([1]Accounts!$D$523="","",[1]Accounts!$D$523)</f>
        <v/>
      </c>
    </row>
    <row r="523">
      <c r="F523">
        <f>IF([1]Accounts!$D$524="","",[1]Accounts!$A$524)</f>
        <v/>
      </c>
      <c r="G523">
        <f>IF([1]Accounts!$D$524="","",[1]Accounts!$B$524)</f>
        <v/>
      </c>
      <c r="H523">
        <f>IF([1]Accounts!$D$524="","",[1]Accounts!$C$524)</f>
        <v/>
      </c>
      <c r="I523">
        <f>IF([1]Accounts!$D$524="","",[1]Accounts!$D$524)</f>
        <v/>
      </c>
    </row>
    <row r="524">
      <c r="F524">
        <f>IF([1]Accounts!$D$525="","",[1]Accounts!$A$525)</f>
        <v/>
      </c>
      <c r="G524">
        <f>IF([1]Accounts!$D$525="","",[1]Accounts!$B$525)</f>
        <v/>
      </c>
      <c r="H524">
        <f>IF([1]Accounts!$D$525="","",[1]Accounts!$C$525)</f>
        <v/>
      </c>
      <c r="I524">
        <f>IF([1]Accounts!$D$525="","",[1]Accounts!$D$525)</f>
        <v/>
      </c>
    </row>
    <row r="525">
      <c r="F525">
        <f>IF([1]Accounts!$D$526="","",[1]Accounts!$A$526)</f>
        <v/>
      </c>
      <c r="G525">
        <f>IF([1]Accounts!$D$526="","",[1]Accounts!$B$526)</f>
        <v/>
      </c>
      <c r="H525">
        <f>IF([1]Accounts!$D$526="","",[1]Accounts!$C$526)</f>
        <v/>
      </c>
      <c r="I525">
        <f>IF([1]Accounts!$D$526="","",[1]Accounts!$D$526)</f>
        <v/>
      </c>
    </row>
    <row r="526">
      <c r="F526">
        <f>IF([1]Accounts!$D$527="","",[1]Accounts!$A$527)</f>
        <v/>
      </c>
      <c r="G526">
        <f>IF([1]Accounts!$D$527="","",[1]Accounts!$B$527)</f>
        <v/>
      </c>
      <c r="H526">
        <f>IF([1]Accounts!$D$527="","",[1]Accounts!$C$527)</f>
        <v/>
      </c>
      <c r="I526">
        <f>IF([1]Accounts!$D$527="","",[1]Accounts!$D$527)</f>
        <v/>
      </c>
    </row>
    <row r="527">
      <c r="F527">
        <f>IF([1]Accounts!$D$528="","",[1]Accounts!$A$528)</f>
        <v/>
      </c>
      <c r="G527">
        <f>IF([1]Accounts!$D$528="","",[1]Accounts!$B$528)</f>
        <v/>
      </c>
      <c r="H527">
        <f>IF([1]Accounts!$D$528="","",[1]Accounts!$C$528)</f>
        <v/>
      </c>
      <c r="I527">
        <f>IF([1]Accounts!$D$528="","",[1]Accounts!$D$528)</f>
        <v/>
      </c>
    </row>
    <row r="528">
      <c r="F528">
        <f>IF([1]Accounts!$D$529="","",[1]Accounts!$A$529)</f>
        <v/>
      </c>
      <c r="G528">
        <f>IF([1]Accounts!$D$529="","",[1]Accounts!$B$529)</f>
        <v/>
      </c>
      <c r="H528">
        <f>IF([1]Accounts!$D$529="","",[1]Accounts!$C$529)</f>
        <v/>
      </c>
      <c r="I528">
        <f>IF([1]Accounts!$D$529="","",[1]Accounts!$D$529)</f>
        <v/>
      </c>
    </row>
    <row r="529">
      <c r="F529">
        <f>IF([1]Accounts!$D$530="","",[1]Accounts!$A$530)</f>
        <v/>
      </c>
      <c r="G529">
        <f>IF([1]Accounts!$D$530="","",[1]Accounts!$B$530)</f>
        <v/>
      </c>
      <c r="H529">
        <f>IF([1]Accounts!$D$530="","",[1]Accounts!$C$530)</f>
        <v/>
      </c>
      <c r="I529">
        <f>IF([1]Accounts!$D$530="","",[1]Accounts!$D$530)</f>
        <v/>
      </c>
    </row>
    <row r="530">
      <c r="F530">
        <f>IF([1]Accounts!$D$531="","",[1]Accounts!$A$531)</f>
        <v/>
      </c>
      <c r="G530">
        <f>IF([1]Accounts!$D$531="","",[1]Accounts!$B$531)</f>
        <v/>
      </c>
      <c r="H530">
        <f>IF([1]Accounts!$D$531="","",[1]Accounts!$C$531)</f>
        <v/>
      </c>
      <c r="I530">
        <f>IF([1]Accounts!$D$531="","",[1]Accounts!$D$531)</f>
        <v/>
      </c>
    </row>
    <row r="531">
      <c r="F531">
        <f>IF([1]Accounts!$D$532="","",[1]Accounts!$A$532)</f>
        <v/>
      </c>
      <c r="G531">
        <f>IF([1]Accounts!$D$532="","",[1]Accounts!$B$532)</f>
        <v/>
      </c>
      <c r="H531">
        <f>IF([1]Accounts!$D$532="","",[1]Accounts!$C$532)</f>
        <v/>
      </c>
      <c r="I531">
        <f>IF([1]Accounts!$D$532="","",[1]Accounts!$D$532)</f>
        <v/>
      </c>
    </row>
    <row r="532">
      <c r="F532">
        <f>IF([1]Accounts!$D$533="","",[1]Accounts!$A$533)</f>
        <v/>
      </c>
      <c r="G532">
        <f>IF([1]Accounts!$D$533="","",[1]Accounts!$B$533)</f>
        <v/>
      </c>
      <c r="H532">
        <f>IF([1]Accounts!$D$533="","",[1]Accounts!$C$533)</f>
        <v/>
      </c>
      <c r="I532">
        <f>IF([1]Accounts!$D$533="","",[1]Accounts!$D$533)</f>
        <v/>
      </c>
    </row>
    <row r="533">
      <c r="F533">
        <f>IF([1]Accounts!$D$534="","",[1]Accounts!$A$534)</f>
        <v/>
      </c>
      <c r="G533">
        <f>IF([1]Accounts!$D$534="","",[1]Accounts!$B$534)</f>
        <v/>
      </c>
      <c r="H533">
        <f>IF([1]Accounts!$D$534="","",[1]Accounts!$C$534)</f>
        <v/>
      </c>
      <c r="I533">
        <f>IF([1]Accounts!$D$534="","",[1]Accounts!$D$534)</f>
        <v/>
      </c>
    </row>
    <row r="534">
      <c r="F534">
        <f>IF([1]Accounts!$D$535="","",[1]Accounts!$A$535)</f>
        <v/>
      </c>
      <c r="G534">
        <f>IF([1]Accounts!$D$535="","",[1]Accounts!$B$535)</f>
        <v/>
      </c>
      <c r="H534">
        <f>IF([1]Accounts!$D$535="","",[1]Accounts!$C$535)</f>
        <v/>
      </c>
      <c r="I534">
        <f>IF([1]Accounts!$D$535="","",[1]Accounts!$D$535)</f>
        <v/>
      </c>
    </row>
    <row r="535">
      <c r="F535">
        <f>IF([1]Accounts!$D$536="","",[1]Accounts!$A$536)</f>
        <v/>
      </c>
      <c r="G535">
        <f>IF([1]Accounts!$D$536="","",[1]Accounts!$B$536)</f>
        <v/>
      </c>
      <c r="H535">
        <f>IF([1]Accounts!$D$536="","",[1]Accounts!$C$536)</f>
        <v/>
      </c>
      <c r="I535">
        <f>IF([1]Accounts!$D$536="","",[1]Accounts!$D$536)</f>
        <v/>
      </c>
    </row>
    <row r="536">
      <c r="F536">
        <f>IF([1]Accounts!$D$537="","",[1]Accounts!$A$537)</f>
        <v/>
      </c>
      <c r="G536">
        <f>IF([1]Accounts!$D$537="","",[1]Accounts!$B$537)</f>
        <v/>
      </c>
      <c r="H536">
        <f>IF([1]Accounts!$D$537="","",[1]Accounts!$C$537)</f>
        <v/>
      </c>
      <c r="I536">
        <f>IF([1]Accounts!$D$537="","",[1]Accounts!$D$537)</f>
        <v/>
      </c>
    </row>
    <row r="537">
      <c r="F537">
        <f>IF([1]Accounts!$D$538="","",[1]Accounts!$A$538)</f>
        <v/>
      </c>
      <c r="G537">
        <f>IF([1]Accounts!$D$538="","",[1]Accounts!$B$538)</f>
        <v/>
      </c>
      <c r="H537">
        <f>IF([1]Accounts!$D$538="","",[1]Accounts!$C$538)</f>
        <v/>
      </c>
      <c r="I537">
        <f>IF([1]Accounts!$D$538="","",[1]Accounts!$D$538)</f>
        <v/>
      </c>
    </row>
    <row r="538">
      <c r="F538">
        <f>IF([1]Accounts!$D$539="","",[1]Accounts!$A$539)</f>
        <v/>
      </c>
      <c r="G538">
        <f>IF([1]Accounts!$D$539="","",[1]Accounts!$B$539)</f>
        <v/>
      </c>
      <c r="H538">
        <f>IF([1]Accounts!$D$539="","",[1]Accounts!$C$539)</f>
        <v/>
      </c>
      <c r="I538">
        <f>IF([1]Accounts!$D$539="","",[1]Accounts!$D$539)</f>
        <v/>
      </c>
    </row>
    <row r="539">
      <c r="F539">
        <f>IF([1]Accounts!$D$540="","",[1]Accounts!$A$540)</f>
        <v/>
      </c>
      <c r="G539">
        <f>IF([1]Accounts!$D$540="","",[1]Accounts!$B$540)</f>
        <v/>
      </c>
      <c r="H539">
        <f>IF([1]Accounts!$D$540="","",[1]Accounts!$C$540)</f>
        <v/>
      </c>
      <c r="I539">
        <f>IF([1]Accounts!$D$540="","",[1]Accounts!$D$540)</f>
        <v/>
      </c>
    </row>
    <row r="540">
      <c r="F540">
        <f>IF([1]Accounts!$D$541="","",[1]Accounts!$A$541)</f>
        <v/>
      </c>
      <c r="G540">
        <f>IF([1]Accounts!$D$541="","",[1]Accounts!$B$541)</f>
        <v/>
      </c>
      <c r="H540">
        <f>IF([1]Accounts!$D$541="","",[1]Accounts!$C$541)</f>
        <v/>
      </c>
      <c r="I540">
        <f>IF([1]Accounts!$D$541="","",[1]Accounts!$D$541)</f>
        <v/>
      </c>
    </row>
    <row r="541">
      <c r="F541">
        <f>IF([1]Accounts!$D$542="","",[1]Accounts!$A$542)</f>
        <v/>
      </c>
      <c r="G541">
        <f>IF([1]Accounts!$D$542="","",[1]Accounts!$B$542)</f>
        <v/>
      </c>
      <c r="H541">
        <f>IF([1]Accounts!$D$542="","",[1]Accounts!$C$542)</f>
        <v/>
      </c>
      <c r="I541">
        <f>IF([1]Accounts!$D$542="","",[1]Accounts!$D$542)</f>
        <v/>
      </c>
    </row>
    <row r="542">
      <c r="F542">
        <f>IF([1]Accounts!$D$543="","",[1]Accounts!$A$543)</f>
        <v/>
      </c>
      <c r="G542">
        <f>IF([1]Accounts!$D$543="","",[1]Accounts!$B$543)</f>
        <v/>
      </c>
      <c r="H542">
        <f>IF([1]Accounts!$D$543="","",[1]Accounts!$C$543)</f>
        <v/>
      </c>
      <c r="I542">
        <f>IF([1]Accounts!$D$543="","",[1]Accounts!$D$543)</f>
        <v/>
      </c>
    </row>
    <row r="543">
      <c r="F543">
        <f>IF([1]Accounts!$D$544="","",[1]Accounts!$A$544)</f>
        <v/>
      </c>
      <c r="G543">
        <f>IF([1]Accounts!$D$544="","",[1]Accounts!$B$544)</f>
        <v/>
      </c>
      <c r="H543">
        <f>IF([1]Accounts!$D$544="","",[1]Accounts!$C$544)</f>
        <v/>
      </c>
      <c r="I543">
        <f>IF([1]Accounts!$D$544="","",[1]Accounts!$D$544)</f>
        <v/>
      </c>
    </row>
    <row r="544">
      <c r="F544">
        <f>IF([1]Accounts!$D$545="","",[1]Accounts!$A$545)</f>
        <v/>
      </c>
      <c r="G544">
        <f>IF([1]Accounts!$D$545="","",[1]Accounts!$B$545)</f>
        <v/>
      </c>
      <c r="H544">
        <f>IF([1]Accounts!$D$545="","",[1]Accounts!$C$545)</f>
        <v/>
      </c>
      <c r="I544">
        <f>IF([1]Accounts!$D$545="","",[1]Accounts!$D$545)</f>
        <v/>
      </c>
    </row>
    <row r="545">
      <c r="F545">
        <f>IF([1]Accounts!$D$546="","",[1]Accounts!$A$546)</f>
        <v/>
      </c>
      <c r="G545">
        <f>IF([1]Accounts!$D$546="","",[1]Accounts!$B$546)</f>
        <v/>
      </c>
      <c r="H545">
        <f>IF([1]Accounts!$D$546="","",[1]Accounts!$C$546)</f>
        <v/>
      </c>
      <c r="I545">
        <f>IF([1]Accounts!$D$546="","",[1]Accounts!$D$546)</f>
        <v/>
      </c>
    </row>
    <row r="546">
      <c r="F546">
        <f>IF([1]Accounts!$D$547="","",[1]Accounts!$A$547)</f>
        <v/>
      </c>
      <c r="G546">
        <f>IF([1]Accounts!$D$547="","",[1]Accounts!$B$547)</f>
        <v/>
      </c>
      <c r="H546">
        <f>IF([1]Accounts!$D$547="","",[1]Accounts!$C$547)</f>
        <v/>
      </c>
      <c r="I546">
        <f>IF([1]Accounts!$D$547="","",[1]Accounts!$D$547)</f>
        <v/>
      </c>
    </row>
    <row r="547">
      <c r="F547">
        <f>IF([1]Accounts!$D$548="","",[1]Accounts!$A$548)</f>
        <v/>
      </c>
      <c r="G547">
        <f>IF([1]Accounts!$D$548="","",[1]Accounts!$B$548)</f>
        <v/>
      </c>
      <c r="H547">
        <f>IF([1]Accounts!$D$548="","",[1]Accounts!$C$548)</f>
        <v/>
      </c>
      <c r="I547">
        <f>IF([1]Accounts!$D$548="","",[1]Accounts!$D$548)</f>
        <v/>
      </c>
    </row>
    <row r="548">
      <c r="F548">
        <f>IF([1]Accounts!$D$549="","",[1]Accounts!$A$549)</f>
        <v/>
      </c>
      <c r="G548">
        <f>IF([1]Accounts!$D$549="","",[1]Accounts!$B$549)</f>
        <v/>
      </c>
      <c r="H548">
        <f>IF([1]Accounts!$D$549="","",[1]Accounts!$C$549)</f>
        <v/>
      </c>
      <c r="I548">
        <f>IF([1]Accounts!$D$549="","",[1]Accounts!$D$549)</f>
        <v/>
      </c>
    </row>
    <row r="549">
      <c r="F549">
        <f>IF([1]Accounts!$D$550="","",[1]Accounts!$A$550)</f>
        <v/>
      </c>
      <c r="G549">
        <f>IF([1]Accounts!$D$550="","",[1]Accounts!$B$550)</f>
        <v/>
      </c>
      <c r="H549">
        <f>IF([1]Accounts!$D$550="","",[1]Accounts!$C$550)</f>
        <v/>
      </c>
      <c r="I549">
        <f>IF([1]Accounts!$D$550="","",[1]Accounts!$D$550)</f>
        <v/>
      </c>
    </row>
    <row r="550">
      <c r="F550">
        <f>IF([1]Accounts!$D$551="","",[1]Accounts!$A$551)</f>
        <v/>
      </c>
      <c r="G550">
        <f>IF([1]Accounts!$D$551="","",[1]Accounts!$B$551)</f>
        <v/>
      </c>
      <c r="H550">
        <f>IF([1]Accounts!$D$551="","",[1]Accounts!$C$551)</f>
        <v/>
      </c>
      <c r="I550">
        <f>IF([1]Accounts!$D$551="","",[1]Accounts!$D$551)</f>
        <v/>
      </c>
    </row>
    <row r="551">
      <c r="F551">
        <f>IF([1]Accounts!$D$552="","",[1]Accounts!$A$552)</f>
        <v/>
      </c>
      <c r="G551">
        <f>IF([1]Accounts!$D$552="","",[1]Accounts!$B$552)</f>
        <v/>
      </c>
      <c r="H551">
        <f>IF([1]Accounts!$D$552="","",[1]Accounts!$C$552)</f>
        <v/>
      </c>
      <c r="I551">
        <f>IF([1]Accounts!$D$552="","",[1]Accounts!$D$552)</f>
        <v/>
      </c>
    </row>
    <row r="552">
      <c r="F552">
        <f>IF([1]Accounts!$D$553="","",[1]Accounts!$A$553)</f>
        <v/>
      </c>
      <c r="G552">
        <f>IF([1]Accounts!$D$553="","",[1]Accounts!$B$553)</f>
        <v/>
      </c>
      <c r="H552">
        <f>IF([1]Accounts!$D$553="","",[1]Accounts!$C$553)</f>
        <v/>
      </c>
      <c r="I552">
        <f>IF([1]Accounts!$D$553="","",[1]Accounts!$D$553)</f>
        <v/>
      </c>
    </row>
    <row r="553">
      <c r="F553">
        <f>IF([1]Accounts!$D$554="","",[1]Accounts!$A$554)</f>
        <v/>
      </c>
      <c r="G553">
        <f>IF([1]Accounts!$D$554="","",[1]Accounts!$B$554)</f>
        <v/>
      </c>
      <c r="H553">
        <f>IF([1]Accounts!$D$554="","",[1]Accounts!$C$554)</f>
        <v/>
      </c>
      <c r="I553">
        <f>IF([1]Accounts!$D$554="","",[1]Accounts!$D$554)</f>
        <v/>
      </c>
    </row>
    <row r="554">
      <c r="F554">
        <f>IF([1]Accounts!$D$555="","",[1]Accounts!$A$555)</f>
        <v/>
      </c>
      <c r="G554">
        <f>IF([1]Accounts!$D$555="","",[1]Accounts!$B$555)</f>
        <v/>
      </c>
      <c r="H554">
        <f>IF([1]Accounts!$D$555="","",[1]Accounts!$C$555)</f>
        <v/>
      </c>
      <c r="I554">
        <f>IF([1]Accounts!$D$555="","",[1]Accounts!$D$555)</f>
        <v/>
      </c>
    </row>
    <row r="555">
      <c r="F555">
        <f>IF([1]Accounts!$D$556="","",[1]Accounts!$A$556)</f>
        <v/>
      </c>
      <c r="G555">
        <f>IF([1]Accounts!$D$556="","",[1]Accounts!$B$556)</f>
        <v/>
      </c>
      <c r="H555">
        <f>IF([1]Accounts!$D$556="","",[1]Accounts!$C$556)</f>
        <v/>
      </c>
      <c r="I555">
        <f>IF([1]Accounts!$D$556="","",[1]Accounts!$D$556)</f>
        <v/>
      </c>
    </row>
    <row r="556">
      <c r="F556">
        <f>IF([1]Accounts!$D$557="","",[1]Accounts!$A$557)</f>
        <v/>
      </c>
      <c r="G556">
        <f>IF([1]Accounts!$D$557="","",[1]Accounts!$B$557)</f>
        <v/>
      </c>
      <c r="H556">
        <f>IF([1]Accounts!$D$557="","",[1]Accounts!$C$557)</f>
        <v/>
      </c>
      <c r="I556">
        <f>IF([1]Accounts!$D$557="","",[1]Accounts!$D$557)</f>
        <v/>
      </c>
    </row>
    <row r="557">
      <c r="F557">
        <f>IF([1]Accounts!$D$558="","",[1]Accounts!$A$558)</f>
        <v/>
      </c>
      <c r="G557">
        <f>IF([1]Accounts!$D$558="","",[1]Accounts!$B$558)</f>
        <v/>
      </c>
      <c r="H557">
        <f>IF([1]Accounts!$D$558="","",[1]Accounts!$C$558)</f>
        <v/>
      </c>
      <c r="I557">
        <f>IF([1]Accounts!$D$558="","",[1]Accounts!$D$558)</f>
        <v/>
      </c>
    </row>
    <row r="558">
      <c r="F558">
        <f>IF([1]Accounts!$D$559="","",[1]Accounts!$A$559)</f>
        <v/>
      </c>
      <c r="G558">
        <f>IF([1]Accounts!$D$559="","",[1]Accounts!$B$559)</f>
        <v/>
      </c>
      <c r="H558">
        <f>IF([1]Accounts!$D$559="","",[1]Accounts!$C$559)</f>
        <v/>
      </c>
      <c r="I558">
        <f>IF([1]Accounts!$D$559="","",[1]Accounts!$D$559)</f>
        <v/>
      </c>
    </row>
    <row r="559">
      <c r="F559">
        <f>IF([1]Accounts!$D$560="","",[1]Accounts!$A$560)</f>
        <v/>
      </c>
      <c r="G559">
        <f>IF([1]Accounts!$D$560="","",[1]Accounts!$B$560)</f>
        <v/>
      </c>
      <c r="H559">
        <f>IF([1]Accounts!$D$560="","",[1]Accounts!$C$560)</f>
        <v/>
      </c>
      <c r="I559">
        <f>IF([1]Accounts!$D$560="","",[1]Accounts!$D$560)</f>
        <v/>
      </c>
    </row>
    <row r="560">
      <c r="F560">
        <f>IF([1]Accounts!$D$561="","",[1]Accounts!$A$561)</f>
        <v/>
      </c>
      <c r="G560">
        <f>IF([1]Accounts!$D$561="","",[1]Accounts!$B$561)</f>
        <v/>
      </c>
      <c r="H560">
        <f>IF([1]Accounts!$D$561="","",[1]Accounts!$C$561)</f>
        <v/>
      </c>
      <c r="I560">
        <f>IF([1]Accounts!$D$561="","",[1]Accounts!$D$561)</f>
        <v/>
      </c>
    </row>
    <row r="561">
      <c r="F561">
        <f>IF([1]Accounts!$D$562="","",[1]Accounts!$A$562)</f>
        <v/>
      </c>
      <c r="G561">
        <f>IF([1]Accounts!$D$562="","",[1]Accounts!$B$562)</f>
        <v/>
      </c>
      <c r="H561">
        <f>IF([1]Accounts!$D$562="","",[1]Accounts!$C$562)</f>
        <v/>
      </c>
      <c r="I561">
        <f>IF([1]Accounts!$D$562="","",[1]Accounts!$D$562)</f>
        <v/>
      </c>
    </row>
    <row r="562">
      <c r="F562">
        <f>IF([1]Accounts!$D$563="","",[1]Accounts!$A$563)</f>
        <v/>
      </c>
      <c r="G562">
        <f>IF([1]Accounts!$D$563="","",[1]Accounts!$B$563)</f>
        <v/>
      </c>
      <c r="H562">
        <f>IF([1]Accounts!$D$563="","",[1]Accounts!$C$563)</f>
        <v/>
      </c>
      <c r="I562">
        <f>IF([1]Accounts!$D$563="","",[1]Accounts!$D$563)</f>
        <v/>
      </c>
    </row>
    <row r="563">
      <c r="F563">
        <f>IF([1]Accounts!$D$564="","",[1]Accounts!$A$564)</f>
        <v/>
      </c>
      <c r="G563">
        <f>IF([1]Accounts!$D$564="","",[1]Accounts!$B$564)</f>
        <v/>
      </c>
      <c r="H563">
        <f>IF([1]Accounts!$D$564="","",[1]Accounts!$C$564)</f>
        <v/>
      </c>
      <c r="I563">
        <f>IF([1]Accounts!$D$564="","",[1]Accounts!$D$564)</f>
        <v/>
      </c>
    </row>
    <row r="564">
      <c r="F564">
        <f>IF([1]Accounts!$D$565="","",[1]Accounts!$A$565)</f>
        <v/>
      </c>
      <c r="G564">
        <f>IF([1]Accounts!$D$565="","",[1]Accounts!$B$565)</f>
        <v/>
      </c>
      <c r="H564">
        <f>IF([1]Accounts!$D$565="","",[1]Accounts!$C$565)</f>
        <v/>
      </c>
      <c r="I564">
        <f>IF([1]Accounts!$D$565="","",[1]Accounts!$D$565)</f>
        <v/>
      </c>
    </row>
    <row r="565">
      <c r="F565">
        <f>IF([1]Accounts!$D$566="","",[1]Accounts!$A$566)</f>
        <v/>
      </c>
      <c r="G565">
        <f>IF([1]Accounts!$D$566="","",[1]Accounts!$B$566)</f>
        <v/>
      </c>
      <c r="H565">
        <f>IF([1]Accounts!$D$566="","",[1]Accounts!$C$566)</f>
        <v/>
      </c>
      <c r="I565">
        <f>IF([1]Accounts!$D$566="","",[1]Accounts!$D$566)</f>
        <v/>
      </c>
    </row>
  </sheetData>
  <mergeCells count="3">
    <mergeCell ref="A2:AT2"/>
    <mergeCell ref="A3:AV3"/>
    <mergeCell ref="A1:A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29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18" t="inlineStr">
        <is>
          <t>راهنمای دفتر باسکول (Baskol.xlsx)</t>
        </is>
      </c>
      <c r="B3" s="18" t="n"/>
      <c r="C3" s="18" t="n"/>
      <c r="D3" s="18" t="n"/>
      <c r="E3" s="18" t="n"/>
      <c r="F3" s="18" t="n"/>
      <c r="G3" s="18" t="n"/>
      <c r="H3" s="18" t="n"/>
    </row>
    <row r="5" ht="19" customHeight="1">
      <c r="A5" s="19" t="inlineStr">
        <is>
          <t>۱) این فایل چیست؟</t>
        </is>
      </c>
      <c r="B5" s="19" t="n"/>
      <c r="C5" s="19" t="n"/>
      <c r="D5" s="19" t="n"/>
      <c r="E5" s="19" t="n"/>
      <c r="F5" s="19" t="n"/>
      <c r="G5" s="19" t="n"/>
      <c r="H5" s="19" t="n"/>
    </row>
    <row r="6" ht="17" customHeight="1">
      <c r="A6" s="20" t="inlineStr">
        <is>
          <t>• تنها محل ثبت ورود و خروج کالا در کل سامانه — دفتر باسکول سالن سورتینگ.</t>
        </is>
      </c>
      <c r="B6" s="20" t="n"/>
      <c r="C6" s="20" t="n"/>
      <c r="D6" s="20" t="n"/>
      <c r="E6" s="20" t="n"/>
      <c r="F6" s="20" t="n"/>
      <c r="G6" s="20" t="n"/>
      <c r="H6" s="20" t="n"/>
    </row>
    <row r="7" ht="17" customHeight="1">
      <c r="A7" s="21" t="inlineStr">
        <is>
          <t>• هر ردیف = یک توزین: هر بار کالا وارد یا خارج شد، اینجا یک ردیف ثبت می‌شود.</t>
        </is>
      </c>
      <c r="B7" s="21" t="n"/>
      <c r="C7" s="21" t="n"/>
      <c r="D7" s="21" t="n"/>
      <c r="E7" s="21" t="n"/>
      <c r="F7" s="21" t="n"/>
      <c r="G7" s="21" t="n"/>
      <c r="H7" s="21" t="n"/>
    </row>
    <row r="8" ht="17" customHeight="1">
      <c r="A8" s="20" t="inlineStr">
        <is>
          <t>• فایل‌های فروش (Sales) و خرید (Purchases) هیچ ورودی ندارند و همه‌چیزشان را از همین فایل می‌خوانند.</t>
        </is>
      </c>
      <c r="B8" s="20" t="n"/>
      <c r="C8" s="20" t="n"/>
      <c r="D8" s="20" t="n"/>
      <c r="E8" s="20" t="n"/>
      <c r="F8" s="20" t="n"/>
      <c r="G8" s="20" t="n"/>
      <c r="H8" s="20" t="n"/>
    </row>
    <row r="10" ht="19" customHeight="1">
      <c r="A10" s="19" t="inlineStr">
        <is>
          <t>۲) ستون‌ها</t>
        </is>
      </c>
      <c r="B10" s="19" t="n"/>
      <c r="C10" s="19" t="n"/>
      <c r="D10" s="19" t="n"/>
      <c r="E10" s="19" t="n"/>
      <c r="F10" s="19" t="n"/>
      <c r="G10" s="19" t="n"/>
      <c r="H10" s="19" t="n"/>
    </row>
    <row r="11" ht="17" customHeight="1">
      <c r="A11" s="20" t="inlineStr">
        <is>
          <t>• ورود دستی (زرد): تاریخ | ساعت | شماره سند (فاکتور/رسید) | کد طرف حساب | نوع عملیات (کشویی) | نوع مرکبات (کشویی) | وزن باسکول | تعداد سبد | مبلغ (اختیاری) | توضیحات.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 ht="17" customHeight="1">
      <c r="A12" s="21" t="inlineStr">
        <is>
          <t>• خودکار (خاکستری): ردیف | نام طرف حساب | جهت (ورود/خروج) | طبقه عملیات | وزن خالص.</t>
        </is>
      </c>
      <c r="B12" s="21" t="n"/>
      <c r="C12" s="21" t="n"/>
      <c r="D12" s="21" t="n"/>
      <c r="E12" s="21" t="n"/>
      <c r="F12" s="21" t="n"/>
      <c r="G12" s="21" t="n"/>
      <c r="H12" s="21" t="n"/>
    </row>
    <row r="13" ht="17" customHeight="1">
      <c r="A13" s="20" t="inlineStr">
        <is>
          <t>• نام از INFO ← Accounts؛ جهت و طبقه از INFO ← Ops (بر اساس عملیات انتخابی).</t>
        </is>
      </c>
      <c r="B13" s="20" t="n"/>
      <c r="C13" s="20" t="n"/>
      <c r="D13" s="20" t="n"/>
      <c r="E13" s="20" t="n"/>
      <c r="F13" s="20" t="n"/>
      <c r="G13" s="20" t="n"/>
      <c r="H13" s="20" t="n"/>
    </row>
    <row r="15" ht="19" customHeight="1">
      <c r="A15" s="19" t="inlineStr">
        <is>
          <t>۳) فرمول وزن خالص (پارامتری)</t>
        </is>
      </c>
      <c r="B15" s="19" t="n"/>
      <c r="C15" s="19" t="n"/>
      <c r="D15" s="19" t="n"/>
      <c r="E15" s="19" t="n"/>
      <c r="F15" s="19" t="n"/>
      <c r="G15" s="19" t="n"/>
      <c r="H15" s="19" t="n"/>
    </row>
    <row r="16" ht="17" customHeight="1">
      <c r="A16" s="20" t="inlineStr">
        <is>
          <t>• وزن خالص = (وزن باسکول − تعداد سبد × P01) × (۱ − P02 ÷ 100 فقط برای طبقه «خرید»)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 ht="17" customHeight="1">
      <c r="A17" s="21" t="inlineStr">
        <is>
          <t>• پیش‌فرض: P01 = وزن هر سبد = 1.5 کیلوگرم، P02 = درصد افت = 1٪ — تعریف و تغییر در INFO ← شیت Params؛ تغییرشان همه فرمول‌ها را خودکار به‌روز می‌کند.</t>
        </is>
      </c>
      <c r="B17" s="21" t="n"/>
      <c r="C17" s="21" t="n"/>
      <c r="D17" s="21" t="n"/>
      <c r="E17" s="21" t="n"/>
      <c r="F17" s="21" t="n"/>
      <c r="G17" s="21" t="n"/>
      <c r="H17" s="21" t="n"/>
    </row>
    <row r="18" ht="17" customHeight="1">
      <c r="A18" s="20" t="inlineStr">
        <is>
          <t>• افت فقط روی خرید اعمال می‌شود (فروش و مرجوعی فقط تار سبدها را کم می‌کنند).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17" customHeight="1">
      <c r="A19" s="21" t="inlineStr">
        <is>
          <t>• وزن خالص منفی (سبد×وزن سبد بیشتر از باسکول) = هشدار قرمز؛ ردیف را کنترل کنید.</t>
        </is>
      </c>
      <c r="B19" s="21" t="n"/>
      <c r="C19" s="21" t="n"/>
      <c r="D19" s="21" t="n"/>
      <c r="E19" s="21" t="n"/>
      <c r="F19" s="21" t="n"/>
      <c r="G19" s="21" t="n"/>
      <c r="H19" s="21" t="n"/>
    </row>
    <row r="21" ht="19" customHeight="1">
      <c r="A21" s="19" t="inlineStr">
        <is>
          <t>۴) اتصال به فایل مادر</t>
        </is>
      </c>
      <c r="B21" s="19" t="n"/>
      <c r="C21" s="19" t="n"/>
      <c r="D21" s="19" t="n"/>
      <c r="E21" s="19" t="n"/>
      <c r="F21" s="19" t="n"/>
      <c r="G21" s="19" t="n"/>
      <c r="H21" s="19" t="n"/>
    </row>
    <row r="22" ht="17" customHeight="1">
      <c r="A22" s="20" t="inlineStr">
        <is>
          <t>• این فایل و INFO.xlsx همیشه در یک پوشه باشند.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 ht="17" customHeight="1">
      <c r="A23" s="21" t="inlineStr">
        <is>
          <t>• پس از تغییر INFO (حساب جدید، عملیات جدید، پارامتر): Data ← Edit Links ← Update Values.</t>
        </is>
      </c>
      <c r="B23" s="21" t="n"/>
      <c r="C23" s="21" t="n"/>
      <c r="D23" s="21" t="n"/>
      <c r="E23" s="21" t="n"/>
      <c r="F23" s="21" t="n"/>
      <c r="G23" s="21" t="n"/>
      <c r="H23" s="21" t="n"/>
    </row>
    <row r="24" ht="17" customHeight="1">
      <c r="A24" s="20" t="inlineStr">
        <is>
          <t>• کد طرف حساب غلط = خطا (Stop). انواع عملیات از INFO ← شیت Ops می‌آیند و قابل گسترش‌اند.</t>
        </is>
      </c>
      <c r="B24" s="20" t="n"/>
      <c r="C24" s="20" t="n"/>
      <c r="D24" s="20" t="n"/>
      <c r="E24" s="20" t="n"/>
      <c r="F24" s="20" t="n"/>
      <c r="G24" s="20" t="n"/>
      <c r="H24" s="20" t="n"/>
    </row>
    <row r="26" ht="19" customHeight="1">
      <c r="A26" s="19" t="inlineStr">
        <is>
          <t>۵) نکات ثبت</t>
        </is>
      </c>
      <c r="B26" s="19" t="n"/>
      <c r="C26" s="19" t="n"/>
      <c r="D26" s="19" t="n"/>
      <c r="E26" s="19" t="n"/>
      <c r="F26" s="19" t="n"/>
      <c r="G26" s="19" t="n"/>
      <c r="H26" s="19" t="n"/>
    </row>
    <row r="27" ht="17" customHeight="1">
      <c r="A27" s="20" t="inlineStr">
        <is>
          <t>• تاریخ: 1405/07/10 یا 14050710 — ساعت: 09:30 — شماره سند آزاد (مثل شماره فاکتور فروش).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 ht="17" customHeight="1">
      <c r="A28" s="21" t="inlineStr">
        <is>
          <t>• ظرفیت: 2000 ردیف؛ برای بیشتر، فرمول‌های ردیف آخر را به پایین کپی کنید.</t>
        </is>
      </c>
      <c r="B28" s="21" t="n"/>
      <c r="C28" s="21" t="n"/>
      <c r="D28" s="21" t="n"/>
      <c r="E28" s="21" t="n"/>
      <c r="F28" s="21" t="n"/>
      <c r="G28" s="21" t="n"/>
      <c r="H28" s="21" t="n"/>
    </row>
    <row r="29" ht="17" customHeight="1">
      <c r="A29" s="20" t="inlineStr">
        <is>
          <t>• پرداخت‌های پولی اینجا ثبت نمی‌شوند — آن‌ها کار فایل Transactions.xlsx است.</t>
        </is>
      </c>
      <c r="B29" s="20" t="n"/>
      <c r="C29" s="20" t="n"/>
      <c r="D29" s="20" t="n"/>
      <c r="E29" s="20" t="n"/>
      <c r="F29" s="20" t="n"/>
      <c r="G29" s="20" t="n"/>
      <c r="H29" s="20" t="n"/>
    </row>
  </sheetData>
  <mergeCells count="24">
    <mergeCell ref="A15:H15"/>
    <mergeCell ref="A24:H24"/>
    <mergeCell ref="A11:H11"/>
    <mergeCell ref="A1:H1"/>
    <mergeCell ref="A6:H6"/>
    <mergeCell ref="A7:H7"/>
    <mergeCell ref="A16:H16"/>
    <mergeCell ref="A27:H27"/>
    <mergeCell ref="A12:H12"/>
    <mergeCell ref="A18:H18"/>
    <mergeCell ref="A3:H3"/>
    <mergeCell ref="A21:H21"/>
    <mergeCell ref="A26:H26"/>
    <mergeCell ref="A2:H2"/>
    <mergeCell ref="A5:H5"/>
    <mergeCell ref="A23:H23"/>
    <mergeCell ref="A8:H8"/>
    <mergeCell ref="A22:H22"/>
    <mergeCell ref="A17:H17"/>
    <mergeCell ref="A29:H29"/>
    <mergeCell ref="A10:H10"/>
    <mergeCell ref="A28:H28"/>
    <mergeCell ref="A13:H13"/>
    <mergeCell ref="A19:H19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دفتر باسکول&amp;R&amp;"Tahoma"&amp;8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Baskol — دفتر باسکول</dc:title>
  <dcterms:created xsi:type="dcterms:W3CDTF">2026-10-05T19:48:51Z</dcterms:created>
  <dcterms:modified xsi:type="dcterms:W3CDTF">2026-10-05T19:48:55Z</dcterms:modified>
</cp:coreProperties>
</file>