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Month" sheetId="2" state="visible" r:id="rId2"/>
    <sheet name="Unpaid" sheetId="3" state="visible" r:id="rId3"/>
    <sheet name="Sync" sheetId="4" state="visible" r:id="rId4"/>
    <sheet name="Calc" sheetId="5" state="visible" r:id="rId5"/>
    <sheet name="Help" sheetId="6" state="visible" r:id="rId6"/>
  </sheets>
  <externalReferences>
    <externalReference r:id="rId9"/>
    <externalReference r:id="rId10"/>
  </externalReferences>
  <definedNames>
    <definedName name="ChqRankL">Month!$L$17:$L$516</definedName>
    <definedName name="ChqRankU">Unpaid!$L$17:$L$516</definedName>
    <definedName name="ChqNosF">OFFSET(Sync!$A$6,0,0,MAX(COUNTIF(Sync!$A$6:$A$505,"?*"),1),1)</definedName>
    <definedName name="AcctCodesF">Sync!$E$6:$E$565</definedName>
    <definedName name="AcctTblF">Sync!$E$6:$H$565</definedName>
    <definedName name="ETxnType">Sync!$M$6:$M$2005</definedName>
    <definedName name="ETxnChk">Sync!$P$6:$P$2005</definedName>
    <definedName name="ChqNo">Calc!$A$6:$A$505</definedName>
    <definedName name="ChqNorm">Calc!$E$6:$E$505</definedName>
    <definedName name="ChqAmt">Calc!$F$6:$F$505</definedName>
    <definedName name="ChqStatus">Calc!$H$6:$H$505</definedName>
    <definedName name="ChqClr">Calc!$I$6:$I$505</definedName>
    <definedName name="ChqKey">Calc!$K$6:$K$505</definedName>
    <definedName name="NChq">COUNTIF(Calc!$A$6:$A$505,"?*")</definedName>
    <definedName name="BClrChk">Calc!$M$6:$M$2005</definedName>
    <definedName name="BClrDate">Calc!$N$6:$N$2005</definedName>
    <definedName name="_xlnm.Print_Titles" localSheetId="0">'Issues'!$7:$8</definedName>
    <definedName name="_xlnm.Print_Area" localSheetId="0">'Issues'!$A$1:$G$508</definedName>
    <definedName name="_xlnm.Print_Titles" localSheetId="1">'Month'!$13:$14</definedName>
    <definedName name="_xlnm.Print_Area" localSheetId="1">'Month'!$A$1:$F$516</definedName>
    <definedName name="_xlnm.Print_Titles" localSheetId="2">'Unpaid'!$13:$14</definedName>
    <definedName name="_xlnm.Print_Area" localSheetId="2">'Unpaid'!$A$1:$F$516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b val="1"/>
      <color rgb="00E65100"/>
      <sz val="13"/>
    </font>
    <font>
      <name val="Tahoma"/>
      <i val="1"/>
      <color rgb="00607D8B"/>
      <sz val="8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607D8B"/>
      <sz val="9"/>
    </font>
    <font>
      <name val="Tahoma"/>
      <color rgb="00263238"/>
      <sz val="9"/>
    </font>
    <font>
      <name val="Tahoma"/>
      <b val="1"/>
      <color rgb="001B5E20"/>
      <sz val="9"/>
    </font>
    <font>
      <name val="Tahoma"/>
      <b val="1"/>
      <color rgb="00263238"/>
      <sz val="9"/>
    </font>
    <font>
      <name val="Tahoma"/>
      <b val="1"/>
      <color rgb="00607D8B"/>
      <sz val="9"/>
    </font>
    <font>
      <name val="Tahoma"/>
      <b val="1"/>
      <color rgb="00E65100"/>
      <sz val="11"/>
    </font>
    <font>
      <name val="Tahoma"/>
      <i val="1"/>
      <color rgb="00607D8B"/>
      <sz val="7.5"/>
    </font>
    <font>
      <name val="Tahoma"/>
      <color rgb="00607D8B"/>
      <sz val="7"/>
    </font>
    <font>
      <name val="Tahoma"/>
      <b val="1"/>
      <color rgb="00E65100"/>
      <sz val="12"/>
    </font>
    <font>
      <name val="Tahoma"/>
      <b val="1"/>
      <color rgb="00FFFFFF"/>
      <sz val="10.5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E0B2"/>
      </patternFill>
    </fill>
    <fill>
      <patternFill patternType="solid">
        <fgColor rgb="00F1F8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3F8F3"/>
      </patternFill>
    </fill>
    <fill>
      <patternFill patternType="solid">
        <fgColor rgb="00607D8B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  <border>
      <left style="medium">
        <color rgb="0078909C"/>
      </left>
      <right style="medium">
        <color rgb="0078909C"/>
      </right>
      <top style="medium">
        <color rgb="0078909C"/>
      </top>
      <bottom style="medium">
        <color rgb="0078909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0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49" fontId="12" fillId="8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8" fillId="0" borderId="0" pivotButton="0" quotePrefix="0" xfId="0"/>
    <xf numFmtId="0" fontId="15" fillId="7" borderId="1" applyAlignment="1" pivotButton="0" quotePrefix="0" xfId="0">
      <alignment horizontal="right" vertical="center"/>
    </xf>
    <xf numFmtId="49" fontId="16" fillId="8" borderId="4" applyAlignment="1" pivotButton="0" quotePrefix="0" xfId="0">
      <alignment horizontal="center" vertical="center"/>
    </xf>
    <xf numFmtId="0" fontId="17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3" fontId="12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right" vertical="center"/>
    </xf>
    <xf numFmtId="0" fontId="12" fillId="6" borderId="1" applyAlignment="1" pivotButton="0" quotePrefix="0" xfId="0">
      <alignment horizontal="right" vertical="center" wrapText="1"/>
    </xf>
    <xf numFmtId="0" fontId="12" fillId="9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ont>
        <name val="Tahoma"/>
        <b val="1"/>
        <color rgb="002E7D32"/>
        <sz val="9"/>
      </font>
      <fill>
        <patternFill patternType="solid">
          <fgColor rgb="00C8E6C9"/>
        </patternFill>
      </fill>
    </dxf>
    <dxf>
      <font>
        <name val="Tahoma"/>
        <b val="1"/>
        <color rgb="00E65100"/>
        <sz val="9"/>
      </font>
      <fill>
        <patternFill patternType="solid">
          <fgColor rgb="00FFE0B2"/>
        </patternFill>
      </fill>
    </dxf>
    <dxf>
      <font>
        <name val="Tahoma"/>
        <b val="1"/>
        <color rgb="00C62828"/>
        <sz val="9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9" Type="http://schemas.openxmlformats.org/officeDocument/2006/relationships/externalLink" Target="externalLinks/externalLink1.xml"/><Relationship Id="rId10" Type="http://schemas.openxmlformats.org/officeDocument/2006/relationships/externalLink" Target="externalLinks/externalLink2.xml"/></Relationships>
</file>

<file path=xl/comments/comment1.xml><?xml version="1.0" encoding="utf-8"?>
<comments xmlns="http://schemas.openxmlformats.org/spreadsheetml/2006/main">
  <authors>
    <author>راهنمای مازندشت</author>
  </authors>
  <commentList>
    <comment ref="B7" authorId="0" shapeId="0">
      <text>
        <t>شماره چک باید اول در INFO ← Cheques تعریف شده باشد.</t>
      </text>
    </comment>
    <comment ref="C7" authorId="0" shapeId="0">
      <text>
        <t>تاریخ سررسید چک — گزارش چک‌های پاس‌نشده بر اساس همین تاریخ مرتب می‌شود.</t>
      </text>
    </comment>
    <comment ref="D7" authorId="0" shapeId="0">
      <text>
        <t>مبلغ چک به ریال.</t>
      </text>
    </comment>
    <comment ref="E7" authorId="0" shapeId="0">
      <text>
        <t>کد ذی‌نفع از INFO ← Accounts — این حساب در ترازنامه بدهکار می‌شود.</t>
      </text>
    </comment>
  </commentList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  <cell r="D7" t="str">
            <v>کیلوگرم</v>
          </cell>
          <cell r="E7" t="str">
            <v>در محاسبه وزن خالص خرید مرکبات کسر می‌شود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  <cell r="D8" t="str">
            <v>درصد</v>
          </cell>
          <cell r="E8" t="str">
            <v>از وزن خالص خرید کسر می‌شود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>
        <row r="7">
          <cell r="A7" t="str">
            <v>عمده</v>
          </cell>
          <cell r="B7" t="str">
            <v>حجره‌دار میدان بار</v>
          </cell>
          <cell r="C7" t="str">
            <v>باغ‌دار</v>
          </cell>
          <cell r="D7" t="str">
            <v>مدیرعامل</v>
          </cell>
          <cell r="E7" t="str">
            <v>حساب اداری/داخلی</v>
          </cell>
          <cell r="F7" t="str">
            <v>زمین و ساختمان</v>
          </cell>
          <cell r="G7" t="str">
            <v>وام بانکی</v>
          </cell>
          <cell r="H7" t="str">
            <v>سرمایه اولیه و آورده نقدی</v>
          </cell>
          <cell r="I7" t="str">
            <v>کلیدی</v>
          </cell>
          <cell r="J7" t="str">
            <v>پایش کامل</v>
          </cell>
        </row>
        <row r="8">
          <cell r="A8" t="str">
            <v>صادراتی</v>
          </cell>
          <cell r="B8" t="str">
            <v>صادراتی</v>
          </cell>
          <cell r="C8" t="str">
            <v>حجره‌دار میدان بار</v>
          </cell>
          <cell r="D8" t="str">
            <v>حسابدار</v>
          </cell>
          <cell r="E8" t="str">
            <v>کارمزد بانکی</v>
          </cell>
          <cell r="F8" t="str">
            <v>خودرو و حمل‌ونقل</v>
          </cell>
          <cell r="G8" t="str">
            <v>تسهیلات و اعتبارات</v>
          </cell>
          <cell r="H8" t="str">
            <v>برداشت سرمایه</v>
          </cell>
          <cell r="I8" t="str">
            <v>عادی</v>
          </cell>
          <cell r="J8" t="str">
            <v>نمونه‌ای</v>
          </cell>
        </row>
        <row r="9">
          <cell r="A9" t="str">
            <v>خرده‌فروش</v>
          </cell>
          <cell r="B9" t="str">
            <v>واسطه</v>
          </cell>
          <cell r="C9" t="str">
            <v>عامل خرید</v>
          </cell>
          <cell r="D9" t="str">
            <v>فروشنده</v>
          </cell>
          <cell r="E9" t="str">
            <v>مالیات</v>
          </cell>
          <cell r="F9" t="str">
            <v>ماشین‌آلات و تجهیزات</v>
          </cell>
          <cell r="G9" t="str">
            <v>قرض از اشخاص</v>
          </cell>
          <cell r="I9" t="str">
            <v>موقت</v>
          </cell>
          <cell r="J9" t="str">
            <v>معاف</v>
          </cell>
        </row>
        <row r="10">
          <cell r="A10" t="str">
            <v>نقدی</v>
          </cell>
          <cell r="B10" t="str">
            <v>نقدی</v>
          </cell>
          <cell r="C10" t="str">
            <v>فروشنده سبد</v>
          </cell>
          <cell r="D10" t="str">
            <v>انباردار</v>
          </cell>
          <cell r="E10" t="str">
            <v>صندوق</v>
          </cell>
        </row>
        <row r="11">
          <cell r="C11" t="str">
            <v>متفرقه</v>
          </cell>
          <cell r="D11" t="str">
            <v>سرپرست خط</v>
          </cell>
          <cell r="E11" t="str">
            <v>متفرقه</v>
          </cell>
        </row>
        <row r="12">
          <cell r="D12" t="str">
            <v>کارگر</v>
          </cell>
        </row>
      </sheetData>
      <sheetData sheetId="4">
        <row r="7">
          <cell r="A7" t="str">
            <v>G01</v>
          </cell>
          <cell r="B7" t="str">
            <v>خرید</v>
          </cell>
          <cell r="C7" t="str">
            <v>خرید کالا و مرکبات</v>
          </cell>
        </row>
        <row r="8">
          <cell r="A8" t="str">
            <v>G02</v>
          </cell>
          <cell r="B8" t="str">
            <v>فروش</v>
          </cell>
          <cell r="C8" t="str">
            <v>فروش کالا و مرکبات</v>
          </cell>
        </row>
        <row r="9">
          <cell r="A9" t="str">
            <v>G03</v>
          </cell>
          <cell r="B9" t="str">
            <v>هزینه</v>
          </cell>
          <cell r="C9" t="str">
            <v>هزینه‌های عملیاتی شرکت</v>
          </cell>
        </row>
        <row r="10">
          <cell r="A10" t="str">
            <v>G04</v>
          </cell>
          <cell r="B10" t="str">
            <v>شخصی قاسم</v>
          </cell>
          <cell r="C10" t="str">
            <v>تراکنش‌های شخصی مدیریت — خارج از محاسبات درآمدی و ترازنامه‌ای شرکت</v>
          </cell>
        </row>
        <row r="11">
          <cell r="A11" t="str">
            <v>G05</v>
          </cell>
          <cell r="B11" t="str">
            <v>وام و تسهیلات</v>
          </cell>
          <cell r="C11" t="str">
            <v>دریافت وام / پرداخت اقساط — طرف حساب = حساب وام L… (بهره: گروه هزینه)</v>
          </cell>
        </row>
        <row r="12">
          <cell r="A12" t="str">
            <v>G06</v>
          </cell>
          <cell r="B12" t="str">
            <v>سرمایه و آورده</v>
          </cell>
          <cell r="C12" t="str">
            <v>آورده / برداشت صاحب سرمایه — طرف حساب = CAP… (در حقوق ترازنامه)</v>
          </cell>
        </row>
        <row r="13">
          <cell r="A13" t="str">
            <v>G07</v>
          </cell>
          <cell r="B13" t="str">
            <v>دارایی ثابت</v>
          </cell>
          <cell r="C13" t="str">
            <v>خرید / فروش زمین، خودرو، تجهیزات — طرف حساب = F… (در دارایی ترازنامه)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  <cell r="D7" t="str">
            <v>خوراک سالن و پرسنل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  <cell r="D9" t="str">
            <v>اقساط بهره و کارمزد وام‌ها — اصل وام حساب L… دارد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  <cell r="D10" t="str">
            <v>مواد مصرفی بسته‌بندی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</row>
        <row r="13">
          <cell r="A13" t="str">
            <v>SG007</v>
          </cell>
        </row>
        <row r="14">
          <cell r="A14" t="str">
            <v>SG008</v>
          </cell>
        </row>
        <row r="15">
          <cell r="A15" t="str">
            <v>SG009</v>
          </cell>
        </row>
        <row r="16">
          <cell r="A16" t="str">
            <v>SG010</v>
          </cell>
        </row>
        <row r="17">
          <cell r="A17" t="str">
            <v>SG011</v>
          </cell>
        </row>
        <row r="18">
          <cell r="A18" t="str">
            <v>SG012</v>
          </cell>
        </row>
        <row r="19">
          <cell r="A19" t="str">
            <v>SG013</v>
          </cell>
        </row>
        <row r="20">
          <cell r="A20" t="str">
            <v>SG014</v>
          </cell>
        </row>
        <row r="21">
          <cell r="A21" t="str">
            <v>SG015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>
        <row r="7">
          <cell r="A7" t="str">
            <v>WG01</v>
          </cell>
          <cell r="B7" t="str">
            <v>گروه سالن ۱</v>
          </cell>
          <cell r="C7" t="str">
            <v>خط سورتینگ — شیفت صبح</v>
          </cell>
        </row>
        <row r="8">
          <cell r="A8" t="str">
            <v>WG02</v>
          </cell>
          <cell r="B8" t="str">
            <v>گروه بسته‌بندی</v>
          </cell>
        </row>
        <row r="9">
          <cell r="A9" t="str">
            <v>WG03</v>
          </cell>
          <cell r="B9" t="str">
            <v>گروه باربری</v>
          </cell>
        </row>
        <row r="10">
          <cell r="A10" t="str">
            <v>WG04</v>
          </cell>
        </row>
        <row r="11">
          <cell r="A11" t="str">
            <v>WG05</v>
          </cell>
        </row>
        <row r="12">
          <cell r="A12" t="str">
            <v>WG06</v>
          </cell>
        </row>
        <row r="13">
          <cell r="A13" t="str">
            <v>WG07</v>
          </cell>
        </row>
        <row r="14">
          <cell r="A14" t="str">
            <v>WG08</v>
          </cell>
        </row>
        <row r="15">
          <cell r="A15" t="str">
            <v>WG09</v>
          </cell>
        </row>
        <row r="16">
          <cell r="A16" t="str">
            <v>WG10</v>
          </cell>
        </row>
        <row r="17">
          <cell r="A17" t="str">
            <v>WG11</v>
          </cell>
        </row>
        <row r="18">
          <cell r="A18" t="str">
            <v>WG12</v>
          </cell>
        </row>
        <row r="19">
          <cell r="A19" t="str">
            <v>WG13</v>
          </cell>
        </row>
        <row r="20">
          <cell r="A20" t="str">
            <v>WG14</v>
          </cell>
        </row>
        <row r="21">
          <cell r="A21" t="str">
            <v>WG15</v>
          </cell>
        </row>
        <row r="22">
          <cell r="A22" t="str">
            <v>WG16</v>
          </cell>
        </row>
        <row r="23">
          <cell r="A23" t="str">
            <v>WG17</v>
          </cell>
        </row>
        <row r="24">
          <cell r="A24" t="str">
            <v>WG18</v>
          </cell>
        </row>
        <row r="25">
          <cell r="A25" t="str">
            <v>WG19</v>
          </cell>
        </row>
        <row r="26">
          <cell r="A26" t="str">
            <v>WG20</v>
          </cell>
        </row>
        <row r="27">
          <cell r="A27" t="str">
            <v>WG21</v>
          </cell>
        </row>
        <row r="28">
          <cell r="A28" t="str">
            <v>WG22</v>
          </cell>
        </row>
        <row r="29">
          <cell r="A29" t="str">
            <v>WG23</v>
          </cell>
        </row>
        <row r="30">
          <cell r="A30" t="str">
            <v>WG24</v>
          </cell>
        </row>
        <row r="31">
          <cell r="A31" t="str">
            <v>WG25</v>
          </cell>
        </row>
        <row r="32">
          <cell r="A32" t="str">
            <v>WG26</v>
          </cell>
        </row>
        <row r="33">
          <cell r="A33" t="str">
            <v>WG27</v>
          </cell>
        </row>
        <row r="34">
          <cell r="A34" t="str">
            <v>WG28</v>
          </cell>
        </row>
        <row r="35">
          <cell r="A35" t="str">
            <v>WG29</v>
          </cell>
        </row>
        <row r="36">
          <cell r="A36" t="str">
            <v>WG30</v>
          </cell>
        </row>
      </sheetData>
      <sheetData sheetId="7">
        <row r="7">
          <cell r="A7" t="str">
            <v>E001</v>
          </cell>
          <cell r="D7" t="str">
            <v>مدیرعامل</v>
          </cell>
        </row>
        <row r="8">
          <cell r="A8" t="str">
            <v>E002</v>
          </cell>
          <cell r="D8" t="str">
            <v>حسابدار</v>
          </cell>
        </row>
        <row r="9">
          <cell r="A9" t="str">
            <v>E003</v>
          </cell>
          <cell r="D9" t="str">
            <v>فروشنده / بازاریاب</v>
          </cell>
        </row>
        <row r="10">
          <cell r="A10" t="str">
            <v>E004</v>
          </cell>
          <cell r="D10" t="str">
            <v>انباردار</v>
          </cell>
        </row>
        <row r="11">
          <cell r="A11" t="str">
            <v>E005</v>
          </cell>
          <cell r="C11" t="str">
            <v>WG01</v>
          </cell>
          <cell r="D11" t="str">
            <v>سرپرست خط</v>
          </cell>
          <cell r="E11" t="str">
            <v>6037-****-****-01 (نمونه)</v>
          </cell>
        </row>
        <row r="12">
          <cell r="A12" t="str">
            <v>E006</v>
          </cell>
          <cell r="C12" t="str">
            <v>WG01</v>
          </cell>
          <cell r="D12" t="str">
            <v>کارگر</v>
          </cell>
          <cell r="E12" t="str">
            <v>6037-****-****-02 (نمونه)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C001</v>
          </cell>
          <cell r="B7" t="str">
            <v>مشتری</v>
          </cell>
          <cell r="C7" t="str">
            <v>عمده</v>
          </cell>
          <cell r="D7" t="str">
            <v>علی محمدی (نمونه)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  <cell r="H7" t="str">
            <v>نمونه — ویرایش کنید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مشتری</v>
          </cell>
          <cell r="C8" t="str">
            <v>صادراتی</v>
          </cell>
          <cell r="D8" t="str">
            <v>شرکت پارس میوه (نمونه)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  <cell r="H8" t="str">
            <v>نمونه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مشتری</v>
          </cell>
          <cell r="C9" t="str">
            <v>خرده‌فروش</v>
          </cell>
          <cell r="D9" t="str">
            <v>فروشگاه بهار (نمونه)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  <cell r="H9" t="str">
            <v>نمونه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C207" t="str">
            <v>حجره‌دار میدان بار</v>
          </cell>
          <cell r="D207" t="str">
            <v>حاج رضا محمدی (نمونه)</v>
          </cell>
          <cell r="E207" t="str">
            <v>021-55550001</v>
          </cell>
          <cell r="F207" t="str">
            <v>09120000001</v>
          </cell>
          <cell r="G207" t="str">
            <v>تهران — میدان بار میوه و تره‌بار</v>
          </cell>
          <cell r="H207" t="str">
            <v>نمونه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 t="str">
            <v>صادراتی</v>
          </cell>
          <cell r="D208" t="str">
            <v>شرکت گلسرای شمال (نمونه)</v>
          </cell>
          <cell r="E208" t="str">
            <v>011-55550002</v>
          </cell>
          <cell r="F208" t="str">
            <v>09120000002</v>
          </cell>
          <cell r="G208" t="str">
            <v>ساری — شهرک صنعتی</v>
          </cell>
          <cell r="H208" t="str">
            <v>نمونه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 t="str">
            <v>واسطه</v>
          </cell>
          <cell r="D209" t="str">
            <v>عباس نیک‌پی (نمونه)</v>
          </cell>
          <cell r="E209" t="str">
            <v>011-55550003</v>
          </cell>
          <cell r="F209" t="str">
            <v>09120000003</v>
          </cell>
          <cell r="G209" t="str">
            <v>قائم‌شهر</v>
          </cell>
          <cell r="H209" t="str">
            <v>نمونه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 t="str">
            <v>نقدی</v>
          </cell>
          <cell r="D210" t="str">
            <v>مشتری نقدی — پاساژ مرکزی (نمونه)</v>
          </cell>
          <cell r="E210" t="str">
            <v>011-55550004</v>
          </cell>
          <cell r="F210" t="str">
            <v>09120000004</v>
          </cell>
          <cell r="G210" t="str">
            <v>قائم‌شهر — پاساژ مرکزی</v>
          </cell>
          <cell r="H210" t="str">
            <v>نمونه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باغ‌دار</v>
          </cell>
          <cell r="D307" t="str">
            <v>حسن رستمی (نمونه)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  <cell r="H307" t="str">
            <v>خرید از باغ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حجره‌دار میدان بار</v>
          </cell>
          <cell r="D308" t="str">
            <v>کریم نوری (نمونه)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  <cell r="H308" t="str">
            <v>خرید از میدان بار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عامل خرید</v>
          </cell>
          <cell r="D309" t="str">
            <v>محسن کاظمی (نمونه)</v>
          </cell>
          <cell r="E309" t="str">
            <v>011-44440003</v>
          </cell>
          <cell r="F309" t="str">
            <v>09110000006</v>
          </cell>
          <cell r="G309" t="str">
            <v>جویبار</v>
          </cell>
          <cell r="H309" t="str">
            <v>نمونه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 t="str">
            <v>کریمی — کارگاه سبدسازی (نمونه)</v>
          </cell>
          <cell r="F310" t="str">
            <v>011-44440004</v>
          </cell>
          <cell r="G310" t="str">
            <v>قائم‌شهر — جاده جویبار</v>
          </cell>
          <cell r="H310" t="str">
            <v>فروشنده سبد و ظروف — خرید در فایل Baskets.xlsx (نمونه)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F407" t="str">
            <v>09110000010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F408" t="str">
            <v>09110000011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F409" t="str">
            <v>09110000012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F410" t="str">
            <v>09110000013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F411" t="str">
            <v>09110000014</v>
          </cell>
          <cell r="G411" t="str">
            <v>قائم‌شهر</v>
          </cell>
          <cell r="H411" t="str">
            <v>نمونه — گروه سالن ۱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F412" t="str">
            <v>09110000015</v>
          </cell>
          <cell r="G412" t="str">
            <v>قائم‌شهر</v>
          </cell>
          <cell r="H412" t="str">
            <v>نمونه — گروه سالن ۱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B457" t="str">
            <v>سایر حساب</v>
          </cell>
          <cell r="C457" t="str">
            <v>حساب اداری/داخلی</v>
          </cell>
          <cell r="D457" t="str">
            <v>کارمزد و هزینه بانکی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 t="str">
            <v>سایر حساب</v>
          </cell>
          <cell r="C458" t="str">
            <v>مالیات</v>
          </cell>
          <cell r="D458" t="str">
            <v>مالیات و عوارض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 t="str">
            <v>سایر حساب</v>
          </cell>
          <cell r="C459" t="str">
            <v>صندوق</v>
          </cell>
          <cell r="D459" t="str">
            <v>صندوق / نقدی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G507" t="str">
            <v>باغدشت</v>
          </cell>
          <cell r="H507" t="str">
            <v>دارایی ثابت شرکت — خرید/فروش با طرفِ این حساب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H508" t="str">
            <v>دارایی ثابت شرکت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H509" t="str">
            <v>دارایی ثابت شرکت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H537" t="str">
            <v>دریافت وام = واریز با این طرف؛ قسط = برداشت با این طرف؛ بهره = گروه هزینه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H557" t="str">
            <v>آورده صاحب (مثل فروش دارایی شخصی) = واریز با این طرف؛ برداشت سرمایه = برداشت با این طرف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10"/>
      <sheetData sheetId="11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پاس چک</v>
          </cell>
        </row>
        <row r="12">
          <cell r="A12" t="str">
            <v>T06</v>
          </cell>
          <cell r="B12" t="str">
            <v>سایر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4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5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6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  <sheetData sheetId="17">
        <row r="7">
          <cell r="A7" t="str">
            <v>کیلوگرم</v>
          </cell>
          <cell r="B7" t="str">
            <v>مدیرعامل</v>
          </cell>
          <cell r="C7" t="str">
            <v>پرتقال</v>
          </cell>
          <cell r="D7" t="str">
            <v>بله</v>
          </cell>
          <cell r="E7" t="str">
            <v>ورود</v>
          </cell>
        </row>
        <row r="8">
          <cell r="A8" t="str">
            <v>جعبه</v>
          </cell>
          <cell r="B8" t="str">
            <v>حسابدار</v>
          </cell>
          <cell r="C8" t="str">
            <v>نارنگی</v>
          </cell>
          <cell r="D8" t="str">
            <v>خیر</v>
          </cell>
          <cell r="E8" t="str">
            <v>خروج</v>
          </cell>
        </row>
        <row r="9">
          <cell r="A9" t="str">
            <v>سبد</v>
          </cell>
          <cell r="B9" t="str">
            <v>فروشنده</v>
          </cell>
          <cell r="C9" t="str">
            <v>لیمو</v>
          </cell>
        </row>
        <row r="10">
          <cell r="A10" t="str">
            <v>تن</v>
          </cell>
          <cell r="B10" t="str">
            <v>انباردار</v>
          </cell>
          <cell r="C10" t="str">
            <v>گریپ‌فرویت</v>
          </cell>
        </row>
        <row r="11">
          <cell r="A11" t="str">
            <v>عدد</v>
          </cell>
          <cell r="B11" t="str">
            <v>سرپرست خط</v>
          </cell>
          <cell r="C11" t="str">
            <v>گیلاس</v>
          </cell>
        </row>
        <row r="12">
          <cell r="B12" t="str">
            <v>کارگر</v>
          </cell>
          <cell r="C12" t="str">
            <v>سایر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J9" t="str">
            <v>واریز</v>
          </cell>
          <cell r="K9" t="str">
            <v>فروش</v>
          </cell>
          <cell r="M9">
            <v>250000000</v>
          </cell>
          <cell r="O9">
            <v>750000000</v>
          </cell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J10" t="str">
            <v>برداشت</v>
          </cell>
          <cell r="K10" t="str">
            <v>هزینه</v>
          </cell>
          <cell r="L10" t="str">
            <v>کارمزد بانکی</v>
          </cell>
          <cell r="N10">
            <v>1200000</v>
          </cell>
          <cell r="O10">
            <v>748800000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J11" t="str">
            <v>برداشت</v>
          </cell>
          <cell r="K11" t="str">
            <v>خرید</v>
          </cell>
          <cell r="N11">
            <v>80000000</v>
          </cell>
          <cell r="O11">
            <v>668800000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J12" t="str">
            <v>واریز</v>
          </cell>
          <cell r="K12" t="str">
            <v>فروش</v>
          </cell>
          <cell r="M12">
            <v>90000000</v>
          </cell>
          <cell r="O12">
            <v>215000000</v>
          </cell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J13" t="str">
            <v>برداشت</v>
          </cell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J14" t="str">
            <v>واریز</v>
          </cell>
          <cell r="K14" t="str">
            <v>فروش</v>
          </cell>
          <cell r="M14">
            <v>250000000</v>
          </cell>
          <cell r="O14">
            <v>750000000</v>
          </cell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J15" t="str">
            <v>واریز</v>
          </cell>
          <cell r="K15" t="str">
            <v>فروش</v>
          </cell>
          <cell r="M15">
            <v>300000000</v>
          </cell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J16" t="str">
            <v>واریز</v>
          </cell>
          <cell r="K16" t="str">
            <v>فروش</v>
          </cell>
          <cell r="M16">
            <v>1600000000</v>
          </cell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J17" t="str">
            <v>برداشت</v>
          </cell>
          <cell r="K17" t="str">
            <v>هزینه</v>
          </cell>
          <cell r="L17" t="str">
            <v>دستمزد کارکنان</v>
          </cell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J18" t="str">
            <v>برداشت</v>
          </cell>
          <cell r="K18" t="str">
            <v>هزینه</v>
          </cell>
          <cell r="L18" t="str">
            <v>رنگ و واکس</v>
          </cell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J19" t="str">
            <v>برداشت</v>
          </cell>
          <cell r="K19" t="str">
            <v>هزینه</v>
          </cell>
          <cell r="L19" t="str">
            <v>مواد غذایی</v>
          </cell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J20" t="str">
            <v>برداشت</v>
          </cell>
          <cell r="K20" t="str">
            <v>شخصی قاسم</v>
          </cell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J21" t="str">
            <v>برداشت</v>
          </cell>
          <cell r="K21" t="str">
            <v>خرید</v>
          </cell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J22" t="str">
            <v>پاس چک</v>
          </cell>
          <cell r="N22">
            <v>80000000</v>
          </cell>
          <cell r="R22" t="str">
            <v>پاس شدن چک ۲۴۰۱۲۳۴۵ — تسویه خرید باغ (نمونه)</v>
          </cell>
          <cell r="S22" t="str">
            <v>24012345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J23" t="str">
            <v>واریز</v>
          </cell>
          <cell r="K23" t="str">
            <v>سرمایه و آورده</v>
          </cell>
          <cell r="L23" t="str">
            <v>سرمایه اولیه و آورده نقدی</v>
          </cell>
          <cell r="M23">
            <v>400000000</v>
          </cell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J24" t="str">
            <v>واریز</v>
          </cell>
          <cell r="K24" t="str">
            <v>وام و تسهیلات</v>
          </cell>
          <cell r="M24">
            <v>200000000</v>
          </cell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J25" t="str">
            <v>برداشت</v>
          </cell>
          <cell r="K25" t="str">
            <v>وام و تسهیلات</v>
          </cell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J26" t="str">
            <v>برداشت</v>
          </cell>
          <cell r="K26" t="str">
            <v>هزینه</v>
          </cell>
          <cell r="L26" t="str">
            <v>بهره و کارمزد وام</v>
          </cell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J27" t="str">
            <v>برداشت</v>
          </cell>
          <cell r="K27" t="str">
            <v>دارایی ثابت</v>
          </cell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J28" t="str">
            <v>برداشت</v>
          </cell>
          <cell r="K28" t="str">
            <v>خرید</v>
          </cell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J29" t="str">
            <v>واریز</v>
          </cell>
          <cell r="K29" t="str">
            <v>فروش</v>
          </cell>
          <cell r="M29">
            <v>5000000</v>
          </cell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J30" t="str">
            <v>برداشت</v>
          </cell>
          <cell r="K30" t="str">
            <v>هزینه</v>
          </cell>
          <cell r="N30">
            <v>3000000</v>
          </cell>
          <cell r="R30" t="str">
            <v>هزینه بدون زیرگروه — برای نمایش در شیت کنترل (نمونه)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G508"/>
  <sheetViews>
    <sheetView showGridLines="0" rightToLeft="1" zoomScale="95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.5" customWidth="1" min="1" max="1"/>
    <col width="13" customWidth="1" min="2" max="2"/>
    <col width="12" customWidth="1" min="3" max="3"/>
    <col width="15" customWidth="1" min="4" max="4"/>
    <col width="11" customWidth="1" min="5" max="5"/>
    <col width="12" customWidth="1" min="6" max="6"/>
    <col width="34" customWidth="1" min="7" max="7"/>
  </cols>
  <sheetData>
    <row r="1" ht="26" customHeight="1">
      <c r="A1" s="1">
        <f>IF(Sync!$J$6="","مازندشت",Sync!$J$6)&amp;" — "&amp;IF(Sync!$J$9="","سورتینگ و بسته‌بندی مرکبات",Sync!$J$9)</f>
        <v/>
      </c>
      <c r="B1" s="1" t="n"/>
      <c r="C1" s="1" t="n"/>
      <c r="D1" s="1" t="n"/>
      <c r="E1" s="1" t="n"/>
      <c r="F1" s="1" t="n"/>
      <c r="G1" s="1" t="n"/>
    </row>
    <row r="2" ht="14" customHeight="1">
      <c r="A2" s="2">
        <f>IF(Sync!$J$7="","باغدشت، بخش مرکزی، شهرستان قائم‌شهر، استان مازندران، ایران",Sync!$J$7)&amp;"     |     MAZANDASHT · CITRUS SORTING &amp; PACKING"</f>
        <v/>
      </c>
      <c r="B2" s="2" t="n"/>
      <c r="C2" s="2" t="n"/>
      <c r="D2" s="2" t="n"/>
      <c r="E2" s="2" t="n"/>
      <c r="F2" s="2" t="n"/>
      <c r="G2" s="2" t="n"/>
    </row>
    <row r="3" ht="24" customHeight="1">
      <c r="A3" s="3" t="inlineStr">
        <is>
          <t>صدور چک پرداختی — ثبت تاریخ، مبلغ و ذی‌نفع هر چک</t>
        </is>
      </c>
      <c r="B3" s="3" t="n"/>
      <c r="C3" s="3" t="n"/>
      <c r="D3" s="3" t="n"/>
      <c r="E3" s="3" t="n"/>
      <c r="F3" s="3" t="n"/>
      <c r="G3" s="3" t="n"/>
    </row>
    <row r="4" ht="30" customHeight="1">
      <c r="A4" s="4" t="inlineStr">
        <is>
          <t>شماره چک باید قبلاً در INFO ← شیت Cheques تعریف شده باشد (کشویی از همان‌جا). در تاریخ «پاس شدن» چیزی ننویسید — وقتی چک پاس شود، در Transactions یک ردیف با نوع «پاس چک» و همین شماره چک ثبت کنید؛ وضعیت خودکار عوض می‌شود. در گزارش‌ها فقط شماره چک، تاریخ و مبلغ استفاده می‌شود.</t>
        </is>
      </c>
      <c r="B4" s="4" t="n"/>
      <c r="C4" s="4" t="n"/>
      <c r="D4" s="4" t="n"/>
      <c r="E4" s="4" t="n"/>
      <c r="F4" s="4" t="n"/>
      <c r="G4" s="4" t="n"/>
    </row>
    <row r="5" ht="13" customHeight="1">
      <c r="A5" s="5" t="inlineStr">
        <is>
          <t>تعداد چک صادرشده</t>
        </is>
      </c>
      <c r="B5" s="5" t="n"/>
      <c r="C5" s="5" t="inlineStr">
        <is>
          <t>جمع مبلغ چک‌ها (ریال)</t>
        </is>
      </c>
      <c r="D5" s="5" t="n"/>
      <c r="E5" s="5" t="inlineStr">
        <is>
          <t>جمع پاس‌شده (ریال)</t>
        </is>
      </c>
      <c r="F5" s="5" t="n"/>
      <c r="G5" s="5" t="inlineStr">
        <is>
          <t>ظرفیت باقی‌مانده</t>
        </is>
      </c>
    </row>
    <row r="6" ht="20" customHeight="1">
      <c r="A6" s="6">
        <f>COUNTA($B$9:$B$508)</f>
        <v/>
      </c>
      <c r="B6" s="6" t="n"/>
      <c r="C6" s="7">
        <f>SUM($D$9:$D$508)</f>
        <v/>
      </c>
      <c r="D6" s="7" t="n"/>
      <c r="E6" s="7">
        <f>SUMIF($F$9:$F$508,"پاس شده",$D$9:$D$508)</f>
        <v/>
      </c>
      <c r="F6" s="7" t="n"/>
      <c r="G6" s="6">
        <f>500-COUNTA($B$9:$B$508)</f>
        <v/>
      </c>
    </row>
    <row r="7" ht="30" customHeight="1">
      <c r="A7" s="8" t="inlineStr">
        <is>
          <t>ردیف</t>
        </is>
      </c>
      <c r="B7" s="8" t="inlineStr">
        <is>
          <t>شماره چک</t>
        </is>
      </c>
      <c r="C7" s="8" t="inlineStr">
        <is>
          <t>تاریخ چک</t>
        </is>
      </c>
      <c r="D7" s="8" t="inlineStr">
        <is>
          <t>مبلغ (ریال)</t>
        </is>
      </c>
      <c r="E7" s="8" t="inlineStr">
        <is>
          <t>ذی‌نفع</t>
        </is>
      </c>
      <c r="F7" s="8" t="inlineStr">
        <is>
          <t>وضعیت (خودکار)</t>
        </is>
      </c>
      <c r="G7" s="8" t="inlineStr">
        <is>
          <t>توضیحات</t>
        </is>
      </c>
    </row>
    <row r="8" ht="13" customHeight="1">
      <c r="A8" s="9" t="inlineStr">
        <is>
          <t>No.</t>
        </is>
      </c>
      <c r="B8" s="9" t="inlineStr">
        <is>
          <t>Cheque No.</t>
        </is>
      </c>
      <c r="C8" s="9" t="inlineStr">
        <is>
          <t>Cheque Date</t>
        </is>
      </c>
      <c r="D8" s="9" t="inlineStr">
        <is>
          <t>Amount</t>
        </is>
      </c>
      <c r="E8" s="9" t="inlineStr">
        <is>
          <t>Beneficiary</t>
        </is>
      </c>
      <c r="F8" s="9" t="inlineStr">
        <is>
          <t>Status (auto)</t>
        </is>
      </c>
      <c r="G8" s="9" t="inlineStr">
        <is>
          <t>Notes</t>
        </is>
      </c>
    </row>
    <row r="9">
      <c r="A9" s="10">
        <f>IF($B9="","",COUNTA($B$9:$B9))</f>
        <v/>
      </c>
      <c r="B9" s="11" t="inlineStr">
        <is>
          <t>24012345</t>
        </is>
      </c>
      <c r="C9" s="11" t="inlineStr">
        <is>
          <t>1405/07/10</t>
        </is>
      </c>
      <c r="D9" s="12" t="n">
        <v>80000000</v>
      </c>
      <c r="E9" s="13" t="inlineStr">
        <is>
          <t>S001</t>
        </is>
      </c>
      <c r="F9" s="14">
        <f>IF($B9="","",IF(COUNTIFS(ETxnType,"پاس چک",ETxnChk,$B9)&gt;0,"پاس شده","پاس نشده"))</f>
        <v/>
      </c>
      <c r="G9" s="15" t="inlineStr">
        <is>
          <t>بابت خرید باغ — چک سررسید ۱۰ مهر (نمونه)</t>
        </is>
      </c>
    </row>
    <row r="10">
      <c r="A10" s="16">
        <f>IF($B10="","",COUNTA($B$9:$B10))</f>
        <v/>
      </c>
      <c r="B10" s="11" t="inlineStr">
        <is>
          <t>24012346</t>
        </is>
      </c>
      <c r="C10" s="11" t="inlineStr">
        <is>
          <t>1405/07/20</t>
        </is>
      </c>
      <c r="D10" s="12" t="n">
        <v>45000000</v>
      </c>
      <c r="E10" s="13" t="inlineStr">
        <is>
          <t>X002</t>
        </is>
      </c>
      <c r="F10" s="17">
        <f>IF($B10="","",IF(COUNTIFS(ETxnType,"پاس چک",ETxnChk,$B10)&gt;0,"پاس شده","پاس نشده"))</f>
        <v/>
      </c>
      <c r="G10" s="15" t="inlineStr">
        <is>
          <t>مالیات — چک سررسید ۲۰ مهر (نمونه)</t>
        </is>
      </c>
    </row>
    <row r="11">
      <c r="A11" s="10">
        <f>IF($B11="","",COUNTA($B$9:$B11))</f>
        <v/>
      </c>
      <c r="B11" s="11" t="inlineStr">
        <is>
          <t>24012347</t>
        </is>
      </c>
      <c r="C11" s="11" t="inlineStr">
        <is>
          <t>1405/08/02</t>
        </is>
      </c>
      <c r="D11" s="12" t="n">
        <v>150000000</v>
      </c>
      <c r="E11" s="13" t="inlineStr">
        <is>
          <t>S002</t>
        </is>
      </c>
      <c r="F11" s="14">
        <f>IF($B11="","",IF(COUNTIFS(ETxnType,"پاس چک",ETxnChk,$B11)&gt;0,"پاس شده","پاس نشده"))</f>
        <v/>
      </c>
      <c r="G11" s="15" t="inlineStr">
        <is>
          <t>خرید میدان بار — چک سررسید ۲ آبان (نمونه)</t>
        </is>
      </c>
    </row>
    <row r="12">
      <c r="A12" s="16">
        <f>IF($B12="","",COUNTA($B$9:$B12))</f>
        <v/>
      </c>
      <c r="B12" s="11" t="inlineStr">
        <is>
          <t>24012348</t>
        </is>
      </c>
      <c r="C12" s="11" t="inlineStr">
        <is>
          <t>1405/08/05</t>
        </is>
      </c>
      <c r="D12" s="12" t="n">
        <v>60000000</v>
      </c>
      <c r="E12" s="13" t="inlineStr">
        <is>
          <t>F001</t>
        </is>
      </c>
      <c r="F12" s="17">
        <f>IF($B12="","",IF(COUNTIFS(ETxnType,"پاس چک",ETxnChk,$B12)&gt;0,"پاس شده","پاس نشده"))</f>
        <v/>
      </c>
      <c r="G12" s="15" t="inlineStr">
        <is>
          <t>خرید زمین باغدشت با چک — دارایی ثابت (نمونه)</t>
        </is>
      </c>
    </row>
    <row r="13">
      <c r="A13" s="10">
        <f>IF($B13="","",COUNTA($B$9:$B13))</f>
        <v/>
      </c>
      <c r="B13" s="11" t="n"/>
      <c r="C13" s="11" t="n"/>
      <c r="D13" s="12" t="n"/>
      <c r="E13" s="13" t="n"/>
      <c r="F13" s="14">
        <f>IF($B13="","",IF(COUNTIFS(ETxnType,"پاس چک",ETxnChk,$B13)&gt;0,"پاس شده","پاس نشده"))</f>
        <v/>
      </c>
      <c r="G13" s="15" t="n"/>
    </row>
    <row r="14">
      <c r="A14" s="16">
        <f>IF($B14="","",COUNTA($B$9:$B14))</f>
        <v/>
      </c>
      <c r="B14" s="11" t="n"/>
      <c r="C14" s="11" t="n"/>
      <c r="D14" s="12" t="n"/>
      <c r="E14" s="13" t="n"/>
      <c r="F14" s="17">
        <f>IF($B14="","",IF(COUNTIFS(ETxnType,"پاس چک",ETxnChk,$B14)&gt;0,"پاس شده","پاس نشده"))</f>
        <v/>
      </c>
      <c r="G14" s="15" t="n"/>
    </row>
    <row r="15">
      <c r="A15" s="10">
        <f>IF($B15="","",COUNTA($B$9:$B15))</f>
        <v/>
      </c>
      <c r="B15" s="11" t="n"/>
      <c r="C15" s="11" t="n"/>
      <c r="D15" s="12" t="n"/>
      <c r="E15" s="13" t="n"/>
      <c r="F15" s="14">
        <f>IF($B15="","",IF(COUNTIFS(ETxnType,"پاس چک",ETxnChk,$B15)&gt;0,"پاس شده","پاس نشده"))</f>
        <v/>
      </c>
      <c r="G15" s="15" t="n"/>
    </row>
    <row r="16">
      <c r="A16" s="16">
        <f>IF($B16="","",COUNTA($B$9:$B16))</f>
        <v/>
      </c>
      <c r="B16" s="11" t="n"/>
      <c r="C16" s="11" t="n"/>
      <c r="D16" s="12" t="n"/>
      <c r="E16" s="13" t="n"/>
      <c r="F16" s="17">
        <f>IF($B16="","",IF(COUNTIFS(ETxnType,"پاس چک",ETxnChk,$B16)&gt;0,"پاس شده","پاس نشده"))</f>
        <v/>
      </c>
      <c r="G16" s="15" t="n"/>
    </row>
    <row r="17">
      <c r="A17" s="10">
        <f>IF($B17="","",COUNTA($B$9:$B17))</f>
        <v/>
      </c>
      <c r="B17" s="11" t="n"/>
      <c r="C17" s="11" t="n"/>
      <c r="D17" s="12" t="n"/>
      <c r="E17" s="13" t="n"/>
      <c r="F17" s="14">
        <f>IF($B17="","",IF(COUNTIFS(ETxnType,"پاس چک",ETxnChk,$B17)&gt;0,"پاس شده","پاس نشده"))</f>
        <v/>
      </c>
      <c r="G17" s="15" t="n"/>
    </row>
    <row r="18">
      <c r="A18" s="16">
        <f>IF($B18="","",COUNTA($B$9:$B18))</f>
        <v/>
      </c>
      <c r="B18" s="11" t="n"/>
      <c r="C18" s="11" t="n"/>
      <c r="D18" s="12" t="n"/>
      <c r="E18" s="13" t="n"/>
      <c r="F18" s="17">
        <f>IF($B18="","",IF(COUNTIFS(ETxnType,"پاس چک",ETxnChk,$B18)&gt;0,"پاس شده","پاس نشده"))</f>
        <v/>
      </c>
      <c r="G18" s="15" t="n"/>
    </row>
    <row r="19">
      <c r="A19" s="10">
        <f>IF($B19="","",COUNTA($B$9:$B19))</f>
        <v/>
      </c>
      <c r="B19" s="11" t="n"/>
      <c r="C19" s="11" t="n"/>
      <c r="D19" s="12" t="n"/>
      <c r="E19" s="13" t="n"/>
      <c r="F19" s="14">
        <f>IF($B19="","",IF(COUNTIFS(ETxnType,"پاس چک",ETxnChk,$B19)&gt;0,"پاس شده","پاس نشده"))</f>
        <v/>
      </c>
      <c r="G19" s="15" t="n"/>
    </row>
    <row r="20">
      <c r="A20" s="16">
        <f>IF($B20="","",COUNTA($B$9:$B20))</f>
        <v/>
      </c>
      <c r="B20" s="11" t="n"/>
      <c r="C20" s="11" t="n"/>
      <c r="D20" s="12" t="n"/>
      <c r="E20" s="13" t="n"/>
      <c r="F20" s="17">
        <f>IF($B20="","",IF(COUNTIFS(ETxnType,"پاس چک",ETxnChk,$B20)&gt;0,"پاس شده","پاس نشده"))</f>
        <v/>
      </c>
      <c r="G20" s="15" t="n"/>
    </row>
    <row r="21">
      <c r="A21" s="10">
        <f>IF($B21="","",COUNTA($B$9:$B21))</f>
        <v/>
      </c>
      <c r="B21" s="11" t="n"/>
      <c r="C21" s="11" t="n"/>
      <c r="D21" s="12" t="n"/>
      <c r="E21" s="13" t="n"/>
      <c r="F21" s="14">
        <f>IF($B21="","",IF(COUNTIFS(ETxnType,"پاس چک",ETxnChk,$B21)&gt;0,"پاس شده","پاس نشده"))</f>
        <v/>
      </c>
      <c r="G21" s="15" t="n"/>
    </row>
    <row r="22">
      <c r="A22" s="16">
        <f>IF($B22="","",COUNTA($B$9:$B22))</f>
        <v/>
      </c>
      <c r="B22" s="11" t="n"/>
      <c r="C22" s="11" t="n"/>
      <c r="D22" s="12" t="n"/>
      <c r="E22" s="13" t="n"/>
      <c r="F22" s="17">
        <f>IF($B22="","",IF(COUNTIFS(ETxnType,"پاس چک",ETxnChk,$B22)&gt;0,"پاس شده","پاس نشده"))</f>
        <v/>
      </c>
      <c r="G22" s="15" t="n"/>
    </row>
    <row r="23">
      <c r="A23" s="10">
        <f>IF($B23="","",COUNTA($B$9:$B23))</f>
        <v/>
      </c>
      <c r="B23" s="11" t="n"/>
      <c r="C23" s="11" t="n"/>
      <c r="D23" s="12" t="n"/>
      <c r="E23" s="13" t="n"/>
      <c r="F23" s="14">
        <f>IF($B23="","",IF(COUNTIFS(ETxnType,"پاس چک",ETxnChk,$B23)&gt;0,"پاس شده","پاس نشده"))</f>
        <v/>
      </c>
      <c r="G23" s="15" t="n"/>
    </row>
    <row r="24">
      <c r="A24" s="16">
        <f>IF($B24="","",COUNTA($B$9:$B24))</f>
        <v/>
      </c>
      <c r="B24" s="11" t="n"/>
      <c r="C24" s="11" t="n"/>
      <c r="D24" s="12" t="n"/>
      <c r="E24" s="13" t="n"/>
      <c r="F24" s="17">
        <f>IF($B24="","",IF(COUNTIFS(ETxnType,"پاس چک",ETxnChk,$B24)&gt;0,"پاس شده","پاس نشده"))</f>
        <v/>
      </c>
      <c r="G24" s="15" t="n"/>
    </row>
    <row r="25">
      <c r="A25" s="10">
        <f>IF($B25="","",COUNTA($B$9:$B25))</f>
        <v/>
      </c>
      <c r="B25" s="11" t="n"/>
      <c r="C25" s="11" t="n"/>
      <c r="D25" s="12" t="n"/>
      <c r="E25" s="13" t="n"/>
      <c r="F25" s="14">
        <f>IF($B25="","",IF(COUNTIFS(ETxnType,"پاس چک",ETxnChk,$B25)&gt;0,"پاس شده","پاس نشده"))</f>
        <v/>
      </c>
      <c r="G25" s="15" t="n"/>
    </row>
    <row r="26">
      <c r="A26" s="16">
        <f>IF($B26="","",COUNTA($B$9:$B26))</f>
        <v/>
      </c>
      <c r="B26" s="11" t="n"/>
      <c r="C26" s="11" t="n"/>
      <c r="D26" s="12" t="n"/>
      <c r="E26" s="13" t="n"/>
      <c r="F26" s="17">
        <f>IF($B26="","",IF(COUNTIFS(ETxnType,"پاس چک",ETxnChk,$B26)&gt;0,"پاس شده","پاس نشده"))</f>
        <v/>
      </c>
      <c r="G26" s="15" t="n"/>
    </row>
    <row r="27">
      <c r="A27" s="10">
        <f>IF($B27="","",COUNTA($B$9:$B27))</f>
        <v/>
      </c>
      <c r="B27" s="11" t="n"/>
      <c r="C27" s="11" t="n"/>
      <c r="D27" s="12" t="n"/>
      <c r="E27" s="13" t="n"/>
      <c r="F27" s="14">
        <f>IF($B27="","",IF(COUNTIFS(ETxnType,"پاس چک",ETxnChk,$B27)&gt;0,"پاس شده","پاس نشده"))</f>
        <v/>
      </c>
      <c r="G27" s="15" t="n"/>
    </row>
    <row r="28">
      <c r="A28" s="16">
        <f>IF($B28="","",COUNTA($B$9:$B28))</f>
        <v/>
      </c>
      <c r="B28" s="11" t="n"/>
      <c r="C28" s="11" t="n"/>
      <c r="D28" s="12" t="n"/>
      <c r="E28" s="13" t="n"/>
      <c r="F28" s="17">
        <f>IF($B28="","",IF(COUNTIFS(ETxnType,"پاس چک",ETxnChk,$B28)&gt;0,"پاس شده","پاس نشده"))</f>
        <v/>
      </c>
      <c r="G28" s="15" t="n"/>
    </row>
    <row r="29">
      <c r="A29" s="10">
        <f>IF($B29="","",COUNTA($B$9:$B29))</f>
        <v/>
      </c>
      <c r="B29" s="11" t="n"/>
      <c r="C29" s="11" t="n"/>
      <c r="D29" s="12" t="n"/>
      <c r="E29" s="13" t="n"/>
      <c r="F29" s="14">
        <f>IF($B29="","",IF(COUNTIFS(ETxnType,"پاس چک",ETxnChk,$B29)&gt;0,"پاس شده","پاس نشده"))</f>
        <v/>
      </c>
      <c r="G29" s="15" t="n"/>
    </row>
    <row r="30">
      <c r="A30" s="16">
        <f>IF($B30="","",COUNTA($B$9:$B30))</f>
        <v/>
      </c>
      <c r="B30" s="11" t="n"/>
      <c r="C30" s="11" t="n"/>
      <c r="D30" s="12" t="n"/>
      <c r="E30" s="13" t="n"/>
      <c r="F30" s="17">
        <f>IF($B30="","",IF(COUNTIFS(ETxnType,"پاس چک",ETxnChk,$B30)&gt;0,"پاس شده","پاس نشده"))</f>
        <v/>
      </c>
      <c r="G30" s="15" t="n"/>
    </row>
    <row r="31">
      <c r="A31" s="10">
        <f>IF($B31="","",COUNTA($B$9:$B31))</f>
        <v/>
      </c>
      <c r="B31" s="11" t="n"/>
      <c r="C31" s="11" t="n"/>
      <c r="D31" s="12" t="n"/>
      <c r="E31" s="13" t="n"/>
      <c r="F31" s="14">
        <f>IF($B31="","",IF(COUNTIFS(ETxnType,"پاس چک",ETxnChk,$B31)&gt;0,"پاس شده","پاس نشده"))</f>
        <v/>
      </c>
      <c r="G31" s="15" t="n"/>
    </row>
    <row r="32">
      <c r="A32" s="16">
        <f>IF($B32="","",COUNTA($B$9:$B32))</f>
        <v/>
      </c>
      <c r="B32" s="11" t="n"/>
      <c r="C32" s="11" t="n"/>
      <c r="D32" s="12" t="n"/>
      <c r="E32" s="13" t="n"/>
      <c r="F32" s="17">
        <f>IF($B32="","",IF(COUNTIFS(ETxnType,"پاس چک",ETxnChk,$B32)&gt;0,"پاس شده","پاس نشده"))</f>
        <v/>
      </c>
      <c r="G32" s="15" t="n"/>
    </row>
    <row r="33">
      <c r="A33" s="10">
        <f>IF($B33="","",COUNTA($B$9:$B33))</f>
        <v/>
      </c>
      <c r="B33" s="11" t="n"/>
      <c r="C33" s="11" t="n"/>
      <c r="D33" s="12" t="n"/>
      <c r="E33" s="13" t="n"/>
      <c r="F33" s="14">
        <f>IF($B33="","",IF(COUNTIFS(ETxnType,"پاس چک",ETxnChk,$B33)&gt;0,"پاس شده","پاس نشده"))</f>
        <v/>
      </c>
      <c r="G33" s="15" t="n"/>
    </row>
    <row r="34">
      <c r="A34" s="16">
        <f>IF($B34="","",COUNTA($B$9:$B34))</f>
        <v/>
      </c>
      <c r="B34" s="11" t="n"/>
      <c r="C34" s="11" t="n"/>
      <c r="D34" s="12" t="n"/>
      <c r="E34" s="13" t="n"/>
      <c r="F34" s="17">
        <f>IF($B34="","",IF(COUNTIFS(ETxnType,"پاس چک",ETxnChk,$B34)&gt;0,"پاس شده","پاس نشده"))</f>
        <v/>
      </c>
      <c r="G34" s="15" t="n"/>
    </row>
    <row r="35">
      <c r="A35" s="10">
        <f>IF($B35="","",COUNTA($B$9:$B35))</f>
        <v/>
      </c>
      <c r="B35" s="11" t="n"/>
      <c r="C35" s="11" t="n"/>
      <c r="D35" s="12" t="n"/>
      <c r="E35" s="13" t="n"/>
      <c r="F35" s="14">
        <f>IF($B35="","",IF(COUNTIFS(ETxnType,"پاس چک",ETxnChk,$B35)&gt;0,"پاس شده","پاس نشده"))</f>
        <v/>
      </c>
      <c r="G35" s="15" t="n"/>
    </row>
    <row r="36">
      <c r="A36" s="16">
        <f>IF($B36="","",COUNTA($B$9:$B36))</f>
        <v/>
      </c>
      <c r="B36" s="11" t="n"/>
      <c r="C36" s="11" t="n"/>
      <c r="D36" s="12" t="n"/>
      <c r="E36" s="13" t="n"/>
      <c r="F36" s="17">
        <f>IF($B36="","",IF(COUNTIFS(ETxnType,"پاس چک",ETxnChk,$B36)&gt;0,"پاس شده","پاس نشده"))</f>
        <v/>
      </c>
      <c r="G36" s="15" t="n"/>
    </row>
    <row r="37">
      <c r="A37" s="10">
        <f>IF($B37="","",COUNTA($B$9:$B37))</f>
        <v/>
      </c>
      <c r="B37" s="11" t="n"/>
      <c r="C37" s="11" t="n"/>
      <c r="D37" s="12" t="n"/>
      <c r="E37" s="13" t="n"/>
      <c r="F37" s="14">
        <f>IF($B37="","",IF(COUNTIFS(ETxnType,"پاس چک",ETxnChk,$B37)&gt;0,"پاس شده","پاس نشده"))</f>
        <v/>
      </c>
      <c r="G37" s="15" t="n"/>
    </row>
    <row r="38">
      <c r="A38" s="16">
        <f>IF($B38="","",COUNTA($B$9:$B38))</f>
        <v/>
      </c>
      <c r="B38" s="11" t="n"/>
      <c r="C38" s="11" t="n"/>
      <c r="D38" s="12" t="n"/>
      <c r="E38" s="13" t="n"/>
      <c r="F38" s="17">
        <f>IF($B38="","",IF(COUNTIFS(ETxnType,"پاس چک",ETxnChk,$B38)&gt;0,"پاس شده","پاس نشده"))</f>
        <v/>
      </c>
      <c r="G38" s="15" t="n"/>
    </row>
    <row r="39">
      <c r="A39" s="10">
        <f>IF($B39="","",COUNTA($B$9:$B39))</f>
        <v/>
      </c>
      <c r="B39" s="11" t="n"/>
      <c r="C39" s="11" t="n"/>
      <c r="D39" s="12" t="n"/>
      <c r="E39" s="13" t="n"/>
      <c r="F39" s="14">
        <f>IF($B39="","",IF(COUNTIFS(ETxnType,"پاس چک",ETxnChk,$B39)&gt;0,"پاس شده","پاس نشده"))</f>
        <v/>
      </c>
      <c r="G39" s="15" t="n"/>
    </row>
    <row r="40">
      <c r="A40" s="16">
        <f>IF($B40="","",COUNTA($B$9:$B40))</f>
        <v/>
      </c>
      <c r="B40" s="11" t="n"/>
      <c r="C40" s="11" t="n"/>
      <c r="D40" s="12" t="n"/>
      <c r="E40" s="13" t="n"/>
      <c r="F40" s="17">
        <f>IF($B40="","",IF(COUNTIFS(ETxnType,"پاس چک",ETxnChk,$B40)&gt;0,"پاس شده","پاس نشده"))</f>
        <v/>
      </c>
      <c r="G40" s="15" t="n"/>
    </row>
    <row r="41">
      <c r="A41" s="10">
        <f>IF($B41="","",COUNTA($B$9:$B41))</f>
        <v/>
      </c>
      <c r="B41" s="11" t="n"/>
      <c r="C41" s="11" t="n"/>
      <c r="D41" s="12" t="n"/>
      <c r="E41" s="13" t="n"/>
      <c r="F41" s="14">
        <f>IF($B41="","",IF(COUNTIFS(ETxnType,"پاس چک",ETxnChk,$B41)&gt;0,"پاس شده","پاس نشده"))</f>
        <v/>
      </c>
      <c r="G41" s="15" t="n"/>
    </row>
    <row r="42">
      <c r="A42" s="16">
        <f>IF($B42="","",COUNTA($B$9:$B42))</f>
        <v/>
      </c>
      <c r="B42" s="11" t="n"/>
      <c r="C42" s="11" t="n"/>
      <c r="D42" s="12" t="n"/>
      <c r="E42" s="13" t="n"/>
      <c r="F42" s="17">
        <f>IF($B42="","",IF(COUNTIFS(ETxnType,"پاس چک",ETxnChk,$B42)&gt;0,"پاس شده","پاس نشده"))</f>
        <v/>
      </c>
      <c r="G42" s="15" t="n"/>
    </row>
    <row r="43">
      <c r="A43" s="10">
        <f>IF($B43="","",COUNTA($B$9:$B43))</f>
        <v/>
      </c>
      <c r="B43" s="11" t="n"/>
      <c r="C43" s="11" t="n"/>
      <c r="D43" s="12" t="n"/>
      <c r="E43" s="13" t="n"/>
      <c r="F43" s="14">
        <f>IF($B43="","",IF(COUNTIFS(ETxnType,"پاس چک",ETxnChk,$B43)&gt;0,"پاس شده","پاس نشده"))</f>
        <v/>
      </c>
      <c r="G43" s="15" t="n"/>
    </row>
    <row r="44">
      <c r="A44" s="16">
        <f>IF($B44="","",COUNTA($B$9:$B44))</f>
        <v/>
      </c>
      <c r="B44" s="11" t="n"/>
      <c r="C44" s="11" t="n"/>
      <c r="D44" s="12" t="n"/>
      <c r="E44" s="13" t="n"/>
      <c r="F44" s="17">
        <f>IF($B44="","",IF(COUNTIFS(ETxnType,"پاس چک",ETxnChk,$B44)&gt;0,"پاس شده","پاس نشده"))</f>
        <v/>
      </c>
      <c r="G44" s="15" t="n"/>
    </row>
    <row r="45">
      <c r="A45" s="10">
        <f>IF($B45="","",COUNTA($B$9:$B45))</f>
        <v/>
      </c>
      <c r="B45" s="11" t="n"/>
      <c r="C45" s="11" t="n"/>
      <c r="D45" s="12" t="n"/>
      <c r="E45" s="13" t="n"/>
      <c r="F45" s="14">
        <f>IF($B45="","",IF(COUNTIFS(ETxnType,"پاس چک",ETxnChk,$B45)&gt;0,"پاس شده","پاس نشده"))</f>
        <v/>
      </c>
      <c r="G45" s="15" t="n"/>
    </row>
    <row r="46">
      <c r="A46" s="16">
        <f>IF($B46="","",COUNTA($B$9:$B46))</f>
        <v/>
      </c>
      <c r="B46" s="11" t="n"/>
      <c r="C46" s="11" t="n"/>
      <c r="D46" s="12" t="n"/>
      <c r="E46" s="13" t="n"/>
      <c r="F46" s="17">
        <f>IF($B46="","",IF(COUNTIFS(ETxnType,"پاس چک",ETxnChk,$B46)&gt;0,"پاس شده","پاس نشده"))</f>
        <v/>
      </c>
      <c r="G46" s="15" t="n"/>
    </row>
    <row r="47">
      <c r="A47" s="10">
        <f>IF($B47="","",COUNTA($B$9:$B47))</f>
        <v/>
      </c>
      <c r="B47" s="11" t="n"/>
      <c r="C47" s="11" t="n"/>
      <c r="D47" s="12" t="n"/>
      <c r="E47" s="13" t="n"/>
      <c r="F47" s="14">
        <f>IF($B47="","",IF(COUNTIFS(ETxnType,"پاس چک",ETxnChk,$B47)&gt;0,"پاس شده","پاس نشده"))</f>
        <v/>
      </c>
      <c r="G47" s="15" t="n"/>
    </row>
    <row r="48">
      <c r="A48" s="16">
        <f>IF($B48="","",COUNTA($B$9:$B48))</f>
        <v/>
      </c>
      <c r="B48" s="11" t="n"/>
      <c r="C48" s="11" t="n"/>
      <c r="D48" s="12" t="n"/>
      <c r="E48" s="13" t="n"/>
      <c r="F48" s="17">
        <f>IF($B48="","",IF(COUNTIFS(ETxnType,"پاس چک",ETxnChk,$B48)&gt;0,"پاس شده","پاس نشده"))</f>
        <v/>
      </c>
      <c r="G48" s="15" t="n"/>
    </row>
    <row r="49">
      <c r="A49" s="10">
        <f>IF($B49="","",COUNTA($B$9:$B49))</f>
        <v/>
      </c>
      <c r="B49" s="11" t="n"/>
      <c r="C49" s="11" t="n"/>
      <c r="D49" s="12" t="n"/>
      <c r="E49" s="13" t="n"/>
      <c r="F49" s="14">
        <f>IF($B49="","",IF(COUNTIFS(ETxnType,"پاس چک",ETxnChk,$B49)&gt;0,"پاس شده","پاس نشده"))</f>
        <v/>
      </c>
      <c r="G49" s="15" t="n"/>
    </row>
    <row r="50">
      <c r="A50" s="16">
        <f>IF($B50="","",COUNTA($B$9:$B50))</f>
        <v/>
      </c>
      <c r="B50" s="11" t="n"/>
      <c r="C50" s="11" t="n"/>
      <c r="D50" s="12" t="n"/>
      <c r="E50" s="13" t="n"/>
      <c r="F50" s="17">
        <f>IF($B50="","",IF(COUNTIFS(ETxnType,"پاس چک",ETxnChk,$B50)&gt;0,"پاس شده","پاس نشده"))</f>
        <v/>
      </c>
      <c r="G50" s="15" t="n"/>
    </row>
    <row r="51">
      <c r="A51" s="10">
        <f>IF($B51="","",COUNTA($B$9:$B51))</f>
        <v/>
      </c>
      <c r="B51" s="11" t="n"/>
      <c r="C51" s="11" t="n"/>
      <c r="D51" s="12" t="n"/>
      <c r="E51" s="13" t="n"/>
      <c r="F51" s="14">
        <f>IF($B51="","",IF(COUNTIFS(ETxnType,"پاس چک",ETxnChk,$B51)&gt;0,"پاس شده","پاس نشده"))</f>
        <v/>
      </c>
      <c r="G51" s="15" t="n"/>
    </row>
    <row r="52">
      <c r="A52" s="16">
        <f>IF($B52="","",COUNTA($B$9:$B52))</f>
        <v/>
      </c>
      <c r="B52" s="11" t="n"/>
      <c r="C52" s="11" t="n"/>
      <c r="D52" s="12" t="n"/>
      <c r="E52" s="13" t="n"/>
      <c r="F52" s="17">
        <f>IF($B52="","",IF(COUNTIFS(ETxnType,"پاس چک",ETxnChk,$B52)&gt;0,"پاس شده","پاس نشده"))</f>
        <v/>
      </c>
      <c r="G52" s="15" t="n"/>
    </row>
    <row r="53">
      <c r="A53" s="10">
        <f>IF($B53="","",COUNTA($B$9:$B53))</f>
        <v/>
      </c>
      <c r="B53" s="11" t="n"/>
      <c r="C53" s="11" t="n"/>
      <c r="D53" s="12" t="n"/>
      <c r="E53" s="13" t="n"/>
      <c r="F53" s="14">
        <f>IF($B53="","",IF(COUNTIFS(ETxnType,"پاس چک",ETxnChk,$B53)&gt;0,"پاس شده","پاس نشده"))</f>
        <v/>
      </c>
      <c r="G53" s="15" t="n"/>
    </row>
    <row r="54">
      <c r="A54" s="16">
        <f>IF($B54="","",COUNTA($B$9:$B54))</f>
        <v/>
      </c>
      <c r="B54" s="11" t="n"/>
      <c r="C54" s="11" t="n"/>
      <c r="D54" s="12" t="n"/>
      <c r="E54" s="13" t="n"/>
      <c r="F54" s="17">
        <f>IF($B54="","",IF(COUNTIFS(ETxnType,"پاس چک",ETxnChk,$B54)&gt;0,"پاس شده","پاس نشده"))</f>
        <v/>
      </c>
      <c r="G54" s="15" t="n"/>
    </row>
    <row r="55">
      <c r="A55" s="10">
        <f>IF($B55="","",COUNTA($B$9:$B55))</f>
        <v/>
      </c>
      <c r="B55" s="11" t="n"/>
      <c r="C55" s="11" t="n"/>
      <c r="D55" s="12" t="n"/>
      <c r="E55" s="13" t="n"/>
      <c r="F55" s="14">
        <f>IF($B55="","",IF(COUNTIFS(ETxnType,"پاس چک",ETxnChk,$B55)&gt;0,"پاس شده","پاس نشده"))</f>
        <v/>
      </c>
      <c r="G55" s="15" t="n"/>
    </row>
    <row r="56">
      <c r="A56" s="16">
        <f>IF($B56="","",COUNTA($B$9:$B56))</f>
        <v/>
      </c>
      <c r="B56" s="11" t="n"/>
      <c r="C56" s="11" t="n"/>
      <c r="D56" s="12" t="n"/>
      <c r="E56" s="13" t="n"/>
      <c r="F56" s="17">
        <f>IF($B56="","",IF(COUNTIFS(ETxnType,"پاس چک",ETxnChk,$B56)&gt;0,"پاس شده","پاس نشده"))</f>
        <v/>
      </c>
      <c r="G56" s="15" t="n"/>
    </row>
    <row r="57">
      <c r="A57" s="10">
        <f>IF($B57="","",COUNTA($B$9:$B57))</f>
        <v/>
      </c>
      <c r="B57" s="11" t="n"/>
      <c r="C57" s="11" t="n"/>
      <c r="D57" s="12" t="n"/>
      <c r="E57" s="13" t="n"/>
      <c r="F57" s="14">
        <f>IF($B57="","",IF(COUNTIFS(ETxnType,"پاس چک",ETxnChk,$B57)&gt;0,"پاس شده","پاس نشده"))</f>
        <v/>
      </c>
      <c r="G57" s="15" t="n"/>
    </row>
    <row r="58">
      <c r="A58" s="16">
        <f>IF($B58="","",COUNTA($B$9:$B58))</f>
        <v/>
      </c>
      <c r="B58" s="11" t="n"/>
      <c r="C58" s="11" t="n"/>
      <c r="D58" s="12" t="n"/>
      <c r="E58" s="13" t="n"/>
      <c r="F58" s="17">
        <f>IF($B58="","",IF(COUNTIFS(ETxnType,"پاس چک",ETxnChk,$B58)&gt;0,"پاس شده","پاس نشده"))</f>
        <v/>
      </c>
      <c r="G58" s="15" t="n"/>
    </row>
    <row r="59">
      <c r="A59" s="10">
        <f>IF($B59="","",COUNTA($B$9:$B59))</f>
        <v/>
      </c>
      <c r="B59" s="11" t="n"/>
      <c r="C59" s="11" t="n"/>
      <c r="D59" s="12" t="n"/>
      <c r="E59" s="13" t="n"/>
      <c r="F59" s="14">
        <f>IF($B59="","",IF(COUNTIFS(ETxnType,"پاس چک",ETxnChk,$B59)&gt;0,"پاس شده","پاس نشده"))</f>
        <v/>
      </c>
      <c r="G59" s="15" t="n"/>
    </row>
    <row r="60">
      <c r="A60" s="16">
        <f>IF($B60="","",COUNTA($B$9:$B60))</f>
        <v/>
      </c>
      <c r="B60" s="11" t="n"/>
      <c r="C60" s="11" t="n"/>
      <c r="D60" s="12" t="n"/>
      <c r="E60" s="13" t="n"/>
      <c r="F60" s="17">
        <f>IF($B60="","",IF(COUNTIFS(ETxnType,"پاس چک",ETxnChk,$B60)&gt;0,"پاس شده","پاس نشده"))</f>
        <v/>
      </c>
      <c r="G60" s="15" t="n"/>
    </row>
    <row r="61">
      <c r="A61" s="10">
        <f>IF($B61="","",COUNTA($B$9:$B61))</f>
        <v/>
      </c>
      <c r="B61" s="11" t="n"/>
      <c r="C61" s="11" t="n"/>
      <c r="D61" s="12" t="n"/>
      <c r="E61" s="13" t="n"/>
      <c r="F61" s="14">
        <f>IF($B61="","",IF(COUNTIFS(ETxnType,"پاس چک",ETxnChk,$B61)&gt;0,"پاس شده","پاس نشده"))</f>
        <v/>
      </c>
      <c r="G61" s="15" t="n"/>
    </row>
    <row r="62">
      <c r="A62" s="16">
        <f>IF($B62="","",COUNTA($B$9:$B62))</f>
        <v/>
      </c>
      <c r="B62" s="11" t="n"/>
      <c r="C62" s="11" t="n"/>
      <c r="D62" s="12" t="n"/>
      <c r="E62" s="13" t="n"/>
      <c r="F62" s="17">
        <f>IF($B62="","",IF(COUNTIFS(ETxnType,"پاس چک",ETxnChk,$B62)&gt;0,"پاس شده","پاس نشده"))</f>
        <v/>
      </c>
      <c r="G62" s="15" t="n"/>
    </row>
    <row r="63">
      <c r="A63" s="10">
        <f>IF($B63="","",COUNTA($B$9:$B63))</f>
        <v/>
      </c>
      <c r="B63" s="11" t="n"/>
      <c r="C63" s="11" t="n"/>
      <c r="D63" s="12" t="n"/>
      <c r="E63" s="13" t="n"/>
      <c r="F63" s="14">
        <f>IF($B63="","",IF(COUNTIFS(ETxnType,"پاس چک",ETxnChk,$B63)&gt;0,"پاس شده","پاس نشده"))</f>
        <v/>
      </c>
      <c r="G63" s="15" t="n"/>
    </row>
    <row r="64">
      <c r="A64" s="16">
        <f>IF($B64="","",COUNTA($B$9:$B64))</f>
        <v/>
      </c>
      <c r="B64" s="11" t="n"/>
      <c r="C64" s="11" t="n"/>
      <c r="D64" s="12" t="n"/>
      <c r="E64" s="13" t="n"/>
      <c r="F64" s="17">
        <f>IF($B64="","",IF(COUNTIFS(ETxnType,"پاس چک",ETxnChk,$B64)&gt;0,"پاس شده","پاس نشده"))</f>
        <v/>
      </c>
      <c r="G64" s="15" t="n"/>
    </row>
    <row r="65">
      <c r="A65" s="10">
        <f>IF($B65="","",COUNTA($B$9:$B65))</f>
        <v/>
      </c>
      <c r="B65" s="11" t="n"/>
      <c r="C65" s="11" t="n"/>
      <c r="D65" s="12" t="n"/>
      <c r="E65" s="13" t="n"/>
      <c r="F65" s="14">
        <f>IF($B65="","",IF(COUNTIFS(ETxnType,"پاس چک",ETxnChk,$B65)&gt;0,"پاس شده","پاس نشده"))</f>
        <v/>
      </c>
      <c r="G65" s="15" t="n"/>
    </row>
    <row r="66">
      <c r="A66" s="16">
        <f>IF($B66="","",COUNTA($B$9:$B66))</f>
        <v/>
      </c>
      <c r="B66" s="11" t="n"/>
      <c r="C66" s="11" t="n"/>
      <c r="D66" s="12" t="n"/>
      <c r="E66" s="13" t="n"/>
      <c r="F66" s="17">
        <f>IF($B66="","",IF(COUNTIFS(ETxnType,"پاس چک",ETxnChk,$B66)&gt;0,"پاس شده","پاس نشده"))</f>
        <v/>
      </c>
      <c r="G66" s="15" t="n"/>
    </row>
    <row r="67">
      <c r="A67" s="10">
        <f>IF($B67="","",COUNTA($B$9:$B67))</f>
        <v/>
      </c>
      <c r="B67" s="11" t="n"/>
      <c r="C67" s="11" t="n"/>
      <c r="D67" s="12" t="n"/>
      <c r="E67" s="13" t="n"/>
      <c r="F67" s="14">
        <f>IF($B67="","",IF(COUNTIFS(ETxnType,"پاس چک",ETxnChk,$B67)&gt;0,"پاس شده","پاس نشده"))</f>
        <v/>
      </c>
      <c r="G67" s="15" t="n"/>
    </row>
    <row r="68">
      <c r="A68" s="16">
        <f>IF($B68="","",COUNTA($B$9:$B68))</f>
        <v/>
      </c>
      <c r="B68" s="11" t="n"/>
      <c r="C68" s="11" t="n"/>
      <c r="D68" s="12" t="n"/>
      <c r="E68" s="13" t="n"/>
      <c r="F68" s="17">
        <f>IF($B68="","",IF(COUNTIFS(ETxnType,"پاس چک",ETxnChk,$B68)&gt;0,"پاس شده","پاس نشده"))</f>
        <v/>
      </c>
      <c r="G68" s="15" t="n"/>
    </row>
    <row r="69">
      <c r="A69" s="10">
        <f>IF($B69="","",COUNTA($B$9:$B69))</f>
        <v/>
      </c>
      <c r="B69" s="11" t="n"/>
      <c r="C69" s="11" t="n"/>
      <c r="D69" s="12" t="n"/>
      <c r="E69" s="13" t="n"/>
      <c r="F69" s="14">
        <f>IF($B69="","",IF(COUNTIFS(ETxnType,"پاس چک",ETxnChk,$B69)&gt;0,"پاس شده","پاس نشده"))</f>
        <v/>
      </c>
      <c r="G69" s="15" t="n"/>
    </row>
    <row r="70">
      <c r="A70" s="16">
        <f>IF($B70="","",COUNTA($B$9:$B70))</f>
        <v/>
      </c>
      <c r="B70" s="11" t="n"/>
      <c r="C70" s="11" t="n"/>
      <c r="D70" s="12" t="n"/>
      <c r="E70" s="13" t="n"/>
      <c r="F70" s="17">
        <f>IF($B70="","",IF(COUNTIFS(ETxnType,"پاس چک",ETxnChk,$B70)&gt;0,"پاس شده","پاس نشده"))</f>
        <v/>
      </c>
      <c r="G70" s="15" t="n"/>
    </row>
    <row r="71">
      <c r="A71" s="10">
        <f>IF($B71="","",COUNTA($B$9:$B71))</f>
        <v/>
      </c>
      <c r="B71" s="11" t="n"/>
      <c r="C71" s="11" t="n"/>
      <c r="D71" s="12" t="n"/>
      <c r="E71" s="13" t="n"/>
      <c r="F71" s="14">
        <f>IF($B71="","",IF(COUNTIFS(ETxnType,"پاس چک",ETxnChk,$B71)&gt;0,"پاس شده","پاس نشده"))</f>
        <v/>
      </c>
      <c r="G71" s="15" t="n"/>
    </row>
    <row r="72">
      <c r="A72" s="16">
        <f>IF($B72="","",COUNTA($B$9:$B72))</f>
        <v/>
      </c>
      <c r="B72" s="11" t="n"/>
      <c r="C72" s="11" t="n"/>
      <c r="D72" s="12" t="n"/>
      <c r="E72" s="13" t="n"/>
      <c r="F72" s="17">
        <f>IF($B72="","",IF(COUNTIFS(ETxnType,"پاس چک",ETxnChk,$B72)&gt;0,"پاس شده","پاس نشده"))</f>
        <v/>
      </c>
      <c r="G72" s="15" t="n"/>
    </row>
    <row r="73">
      <c r="A73" s="10">
        <f>IF($B73="","",COUNTA($B$9:$B73))</f>
        <v/>
      </c>
      <c r="B73" s="11" t="n"/>
      <c r="C73" s="11" t="n"/>
      <c r="D73" s="12" t="n"/>
      <c r="E73" s="13" t="n"/>
      <c r="F73" s="14">
        <f>IF($B73="","",IF(COUNTIFS(ETxnType,"پاس چک",ETxnChk,$B73)&gt;0,"پاس شده","پاس نشده"))</f>
        <v/>
      </c>
      <c r="G73" s="15" t="n"/>
    </row>
    <row r="74">
      <c r="A74" s="16">
        <f>IF($B74="","",COUNTA($B$9:$B74))</f>
        <v/>
      </c>
      <c r="B74" s="11" t="n"/>
      <c r="C74" s="11" t="n"/>
      <c r="D74" s="12" t="n"/>
      <c r="E74" s="13" t="n"/>
      <c r="F74" s="17">
        <f>IF($B74="","",IF(COUNTIFS(ETxnType,"پاس چک",ETxnChk,$B74)&gt;0,"پاس شده","پاس نشده"))</f>
        <v/>
      </c>
      <c r="G74" s="15" t="n"/>
    </row>
    <row r="75">
      <c r="A75" s="10">
        <f>IF($B75="","",COUNTA($B$9:$B75))</f>
        <v/>
      </c>
      <c r="B75" s="11" t="n"/>
      <c r="C75" s="11" t="n"/>
      <c r="D75" s="12" t="n"/>
      <c r="E75" s="13" t="n"/>
      <c r="F75" s="14">
        <f>IF($B75="","",IF(COUNTIFS(ETxnType,"پاس چک",ETxnChk,$B75)&gt;0,"پاس شده","پاس نشده"))</f>
        <v/>
      </c>
      <c r="G75" s="15" t="n"/>
    </row>
    <row r="76">
      <c r="A76" s="16">
        <f>IF($B76="","",COUNTA($B$9:$B76))</f>
        <v/>
      </c>
      <c r="B76" s="11" t="n"/>
      <c r="C76" s="11" t="n"/>
      <c r="D76" s="12" t="n"/>
      <c r="E76" s="13" t="n"/>
      <c r="F76" s="17">
        <f>IF($B76="","",IF(COUNTIFS(ETxnType,"پاس چک",ETxnChk,$B76)&gt;0,"پاس شده","پاس نشده"))</f>
        <v/>
      </c>
      <c r="G76" s="15" t="n"/>
    </row>
    <row r="77">
      <c r="A77" s="10">
        <f>IF($B77="","",COUNTA($B$9:$B77))</f>
        <v/>
      </c>
      <c r="B77" s="11" t="n"/>
      <c r="C77" s="11" t="n"/>
      <c r="D77" s="12" t="n"/>
      <c r="E77" s="13" t="n"/>
      <c r="F77" s="14">
        <f>IF($B77="","",IF(COUNTIFS(ETxnType,"پاس چک",ETxnChk,$B77)&gt;0,"پاس شده","پاس نشده"))</f>
        <v/>
      </c>
      <c r="G77" s="15" t="n"/>
    </row>
    <row r="78">
      <c r="A78" s="16">
        <f>IF($B78="","",COUNTA($B$9:$B78))</f>
        <v/>
      </c>
      <c r="B78" s="11" t="n"/>
      <c r="C78" s="11" t="n"/>
      <c r="D78" s="12" t="n"/>
      <c r="E78" s="13" t="n"/>
      <c r="F78" s="17">
        <f>IF($B78="","",IF(COUNTIFS(ETxnType,"پاس چک",ETxnChk,$B78)&gt;0,"پاس شده","پاس نشده"))</f>
        <v/>
      </c>
      <c r="G78" s="15" t="n"/>
    </row>
    <row r="79">
      <c r="A79" s="10">
        <f>IF($B79="","",COUNTA($B$9:$B79))</f>
        <v/>
      </c>
      <c r="B79" s="11" t="n"/>
      <c r="C79" s="11" t="n"/>
      <c r="D79" s="12" t="n"/>
      <c r="E79" s="13" t="n"/>
      <c r="F79" s="14">
        <f>IF($B79="","",IF(COUNTIFS(ETxnType,"پاس چک",ETxnChk,$B79)&gt;0,"پاس شده","پاس نشده"))</f>
        <v/>
      </c>
      <c r="G79" s="15" t="n"/>
    </row>
    <row r="80">
      <c r="A80" s="16">
        <f>IF($B80="","",COUNTA($B$9:$B80))</f>
        <v/>
      </c>
      <c r="B80" s="11" t="n"/>
      <c r="C80" s="11" t="n"/>
      <c r="D80" s="12" t="n"/>
      <c r="E80" s="13" t="n"/>
      <c r="F80" s="17">
        <f>IF($B80="","",IF(COUNTIFS(ETxnType,"پاس چک",ETxnChk,$B80)&gt;0,"پاس شده","پاس نشده"))</f>
        <v/>
      </c>
      <c r="G80" s="15" t="n"/>
    </row>
    <row r="81">
      <c r="A81" s="10">
        <f>IF($B81="","",COUNTA($B$9:$B81))</f>
        <v/>
      </c>
      <c r="B81" s="11" t="n"/>
      <c r="C81" s="11" t="n"/>
      <c r="D81" s="12" t="n"/>
      <c r="E81" s="13" t="n"/>
      <c r="F81" s="14">
        <f>IF($B81="","",IF(COUNTIFS(ETxnType,"پاس چک",ETxnChk,$B81)&gt;0,"پاس شده","پاس نشده"))</f>
        <v/>
      </c>
      <c r="G81" s="15" t="n"/>
    </row>
    <row r="82">
      <c r="A82" s="16">
        <f>IF($B82="","",COUNTA($B$9:$B82))</f>
        <v/>
      </c>
      <c r="B82" s="11" t="n"/>
      <c r="C82" s="11" t="n"/>
      <c r="D82" s="12" t="n"/>
      <c r="E82" s="13" t="n"/>
      <c r="F82" s="17">
        <f>IF($B82="","",IF(COUNTIFS(ETxnType,"پاس چک",ETxnChk,$B82)&gt;0,"پاس شده","پاس نشده"))</f>
        <v/>
      </c>
      <c r="G82" s="15" t="n"/>
    </row>
    <row r="83">
      <c r="A83" s="10">
        <f>IF($B83="","",COUNTA($B$9:$B83))</f>
        <v/>
      </c>
      <c r="B83" s="11" t="n"/>
      <c r="C83" s="11" t="n"/>
      <c r="D83" s="12" t="n"/>
      <c r="E83" s="13" t="n"/>
      <c r="F83" s="14">
        <f>IF($B83="","",IF(COUNTIFS(ETxnType,"پاس چک",ETxnChk,$B83)&gt;0,"پاس شده","پاس نشده"))</f>
        <v/>
      </c>
      <c r="G83" s="15" t="n"/>
    </row>
    <row r="84">
      <c r="A84" s="16">
        <f>IF($B84="","",COUNTA($B$9:$B84))</f>
        <v/>
      </c>
      <c r="B84" s="11" t="n"/>
      <c r="C84" s="11" t="n"/>
      <c r="D84" s="12" t="n"/>
      <c r="E84" s="13" t="n"/>
      <c r="F84" s="17">
        <f>IF($B84="","",IF(COUNTIFS(ETxnType,"پاس چک",ETxnChk,$B84)&gt;0,"پاس شده","پاس نشده"))</f>
        <v/>
      </c>
      <c r="G84" s="15" t="n"/>
    </row>
    <row r="85">
      <c r="A85" s="10">
        <f>IF($B85="","",COUNTA($B$9:$B85))</f>
        <v/>
      </c>
      <c r="B85" s="11" t="n"/>
      <c r="C85" s="11" t="n"/>
      <c r="D85" s="12" t="n"/>
      <c r="E85" s="13" t="n"/>
      <c r="F85" s="14">
        <f>IF($B85="","",IF(COUNTIFS(ETxnType,"پاس چک",ETxnChk,$B85)&gt;0,"پاس شده","پاس نشده"))</f>
        <v/>
      </c>
      <c r="G85" s="15" t="n"/>
    </row>
    <row r="86">
      <c r="A86" s="16">
        <f>IF($B86="","",COUNTA($B$9:$B86))</f>
        <v/>
      </c>
      <c r="B86" s="11" t="n"/>
      <c r="C86" s="11" t="n"/>
      <c r="D86" s="12" t="n"/>
      <c r="E86" s="13" t="n"/>
      <c r="F86" s="17">
        <f>IF($B86="","",IF(COUNTIFS(ETxnType,"پاس چک",ETxnChk,$B86)&gt;0,"پاس شده","پاس نشده"))</f>
        <v/>
      </c>
      <c r="G86" s="15" t="n"/>
    </row>
    <row r="87">
      <c r="A87" s="10">
        <f>IF($B87="","",COUNTA($B$9:$B87))</f>
        <v/>
      </c>
      <c r="B87" s="11" t="n"/>
      <c r="C87" s="11" t="n"/>
      <c r="D87" s="12" t="n"/>
      <c r="E87" s="13" t="n"/>
      <c r="F87" s="14">
        <f>IF($B87="","",IF(COUNTIFS(ETxnType,"پاس چک",ETxnChk,$B87)&gt;0,"پاس شده","پاس نشده"))</f>
        <v/>
      </c>
      <c r="G87" s="15" t="n"/>
    </row>
    <row r="88">
      <c r="A88" s="16">
        <f>IF($B88="","",COUNTA($B$9:$B88))</f>
        <v/>
      </c>
      <c r="B88" s="11" t="n"/>
      <c r="C88" s="11" t="n"/>
      <c r="D88" s="12" t="n"/>
      <c r="E88" s="13" t="n"/>
      <c r="F88" s="17">
        <f>IF($B88="","",IF(COUNTIFS(ETxnType,"پاس چک",ETxnChk,$B88)&gt;0,"پاس شده","پاس نشده"))</f>
        <v/>
      </c>
      <c r="G88" s="15" t="n"/>
    </row>
    <row r="89">
      <c r="A89" s="10">
        <f>IF($B89="","",COUNTA($B$9:$B89))</f>
        <v/>
      </c>
      <c r="B89" s="11" t="n"/>
      <c r="C89" s="11" t="n"/>
      <c r="D89" s="12" t="n"/>
      <c r="E89" s="13" t="n"/>
      <c r="F89" s="14">
        <f>IF($B89="","",IF(COUNTIFS(ETxnType,"پاس چک",ETxnChk,$B89)&gt;0,"پاس شده","پاس نشده"))</f>
        <v/>
      </c>
      <c r="G89" s="15" t="n"/>
    </row>
    <row r="90">
      <c r="A90" s="16">
        <f>IF($B90="","",COUNTA($B$9:$B90))</f>
        <v/>
      </c>
      <c r="B90" s="11" t="n"/>
      <c r="C90" s="11" t="n"/>
      <c r="D90" s="12" t="n"/>
      <c r="E90" s="13" t="n"/>
      <c r="F90" s="17">
        <f>IF($B90="","",IF(COUNTIFS(ETxnType,"پاس چک",ETxnChk,$B90)&gt;0,"پاس شده","پاس نشده"))</f>
        <v/>
      </c>
      <c r="G90" s="15" t="n"/>
    </row>
    <row r="91">
      <c r="A91" s="10">
        <f>IF($B91="","",COUNTA($B$9:$B91))</f>
        <v/>
      </c>
      <c r="B91" s="11" t="n"/>
      <c r="C91" s="11" t="n"/>
      <c r="D91" s="12" t="n"/>
      <c r="E91" s="13" t="n"/>
      <c r="F91" s="14">
        <f>IF($B91="","",IF(COUNTIFS(ETxnType,"پاس چک",ETxnChk,$B91)&gt;0,"پاس شده","پاس نشده"))</f>
        <v/>
      </c>
      <c r="G91" s="15" t="n"/>
    </row>
    <row r="92">
      <c r="A92" s="16">
        <f>IF($B92="","",COUNTA($B$9:$B92))</f>
        <v/>
      </c>
      <c r="B92" s="11" t="n"/>
      <c r="C92" s="11" t="n"/>
      <c r="D92" s="12" t="n"/>
      <c r="E92" s="13" t="n"/>
      <c r="F92" s="17">
        <f>IF($B92="","",IF(COUNTIFS(ETxnType,"پاس چک",ETxnChk,$B92)&gt;0,"پاس شده","پاس نشده"))</f>
        <v/>
      </c>
      <c r="G92" s="15" t="n"/>
    </row>
    <row r="93">
      <c r="A93" s="10">
        <f>IF($B93="","",COUNTA($B$9:$B93))</f>
        <v/>
      </c>
      <c r="B93" s="11" t="n"/>
      <c r="C93" s="11" t="n"/>
      <c r="D93" s="12" t="n"/>
      <c r="E93" s="13" t="n"/>
      <c r="F93" s="14">
        <f>IF($B93="","",IF(COUNTIFS(ETxnType,"پاس چک",ETxnChk,$B93)&gt;0,"پاس شده","پاس نشده"))</f>
        <v/>
      </c>
      <c r="G93" s="15" t="n"/>
    </row>
    <row r="94">
      <c r="A94" s="16">
        <f>IF($B94="","",COUNTA($B$9:$B94))</f>
        <v/>
      </c>
      <c r="B94" s="11" t="n"/>
      <c r="C94" s="11" t="n"/>
      <c r="D94" s="12" t="n"/>
      <c r="E94" s="13" t="n"/>
      <c r="F94" s="17">
        <f>IF($B94="","",IF(COUNTIFS(ETxnType,"پاس چک",ETxnChk,$B94)&gt;0,"پاس شده","پاس نشده"))</f>
        <v/>
      </c>
      <c r="G94" s="15" t="n"/>
    </row>
    <row r="95">
      <c r="A95" s="10">
        <f>IF($B95="","",COUNTA($B$9:$B95))</f>
        <v/>
      </c>
      <c r="B95" s="11" t="n"/>
      <c r="C95" s="11" t="n"/>
      <c r="D95" s="12" t="n"/>
      <c r="E95" s="13" t="n"/>
      <c r="F95" s="14">
        <f>IF($B95="","",IF(COUNTIFS(ETxnType,"پاس چک",ETxnChk,$B95)&gt;0,"پاس شده","پاس نشده"))</f>
        <v/>
      </c>
      <c r="G95" s="15" t="n"/>
    </row>
    <row r="96">
      <c r="A96" s="16">
        <f>IF($B96="","",COUNTA($B$9:$B96))</f>
        <v/>
      </c>
      <c r="B96" s="11" t="n"/>
      <c r="C96" s="11" t="n"/>
      <c r="D96" s="12" t="n"/>
      <c r="E96" s="13" t="n"/>
      <c r="F96" s="17">
        <f>IF($B96="","",IF(COUNTIFS(ETxnType,"پاس چک",ETxnChk,$B96)&gt;0,"پاس شده","پاس نشده"))</f>
        <v/>
      </c>
      <c r="G96" s="15" t="n"/>
    </row>
    <row r="97">
      <c r="A97" s="10">
        <f>IF($B97="","",COUNTA($B$9:$B97))</f>
        <v/>
      </c>
      <c r="B97" s="11" t="n"/>
      <c r="C97" s="11" t="n"/>
      <c r="D97" s="12" t="n"/>
      <c r="E97" s="13" t="n"/>
      <c r="F97" s="14">
        <f>IF($B97="","",IF(COUNTIFS(ETxnType,"پاس چک",ETxnChk,$B97)&gt;0,"پاس شده","پاس نشده"))</f>
        <v/>
      </c>
      <c r="G97" s="15" t="n"/>
    </row>
    <row r="98">
      <c r="A98" s="16">
        <f>IF($B98="","",COUNTA($B$9:$B98))</f>
        <v/>
      </c>
      <c r="B98" s="11" t="n"/>
      <c r="C98" s="11" t="n"/>
      <c r="D98" s="12" t="n"/>
      <c r="E98" s="13" t="n"/>
      <c r="F98" s="17">
        <f>IF($B98="","",IF(COUNTIFS(ETxnType,"پاس چک",ETxnChk,$B98)&gt;0,"پاس شده","پاس نشده"))</f>
        <v/>
      </c>
      <c r="G98" s="15" t="n"/>
    </row>
    <row r="99">
      <c r="A99" s="10">
        <f>IF($B99="","",COUNTA($B$9:$B99))</f>
        <v/>
      </c>
      <c r="B99" s="11" t="n"/>
      <c r="C99" s="11" t="n"/>
      <c r="D99" s="12" t="n"/>
      <c r="E99" s="13" t="n"/>
      <c r="F99" s="14">
        <f>IF($B99="","",IF(COUNTIFS(ETxnType,"پاس چک",ETxnChk,$B99)&gt;0,"پاس شده","پاس نشده"))</f>
        <v/>
      </c>
      <c r="G99" s="15" t="n"/>
    </row>
    <row r="100">
      <c r="A100" s="16">
        <f>IF($B100="","",COUNTA($B$9:$B100))</f>
        <v/>
      </c>
      <c r="B100" s="11" t="n"/>
      <c r="C100" s="11" t="n"/>
      <c r="D100" s="12" t="n"/>
      <c r="E100" s="13" t="n"/>
      <c r="F100" s="17">
        <f>IF($B100="","",IF(COUNTIFS(ETxnType,"پاس چک",ETxnChk,$B100)&gt;0,"پاس شده","پاس نشده"))</f>
        <v/>
      </c>
      <c r="G100" s="15" t="n"/>
    </row>
    <row r="101">
      <c r="A101" s="10">
        <f>IF($B101="","",COUNTA($B$9:$B101))</f>
        <v/>
      </c>
      <c r="B101" s="11" t="n"/>
      <c r="C101" s="11" t="n"/>
      <c r="D101" s="12" t="n"/>
      <c r="E101" s="13" t="n"/>
      <c r="F101" s="14">
        <f>IF($B101="","",IF(COUNTIFS(ETxnType,"پاس چک",ETxnChk,$B101)&gt;0,"پاس شده","پاس نشده"))</f>
        <v/>
      </c>
      <c r="G101" s="15" t="n"/>
    </row>
    <row r="102">
      <c r="A102" s="16">
        <f>IF($B102="","",COUNTA($B$9:$B102))</f>
        <v/>
      </c>
      <c r="B102" s="11" t="n"/>
      <c r="C102" s="11" t="n"/>
      <c r="D102" s="12" t="n"/>
      <c r="E102" s="13" t="n"/>
      <c r="F102" s="17">
        <f>IF($B102="","",IF(COUNTIFS(ETxnType,"پاس چک",ETxnChk,$B102)&gt;0,"پاس شده","پاس نشده"))</f>
        <v/>
      </c>
      <c r="G102" s="15" t="n"/>
    </row>
    <row r="103">
      <c r="A103" s="10">
        <f>IF($B103="","",COUNTA($B$9:$B103))</f>
        <v/>
      </c>
      <c r="B103" s="11" t="n"/>
      <c r="C103" s="11" t="n"/>
      <c r="D103" s="12" t="n"/>
      <c r="E103" s="13" t="n"/>
      <c r="F103" s="14">
        <f>IF($B103="","",IF(COUNTIFS(ETxnType,"پاس چک",ETxnChk,$B103)&gt;0,"پاس شده","پاس نشده"))</f>
        <v/>
      </c>
      <c r="G103" s="15" t="n"/>
    </row>
    <row r="104">
      <c r="A104" s="16">
        <f>IF($B104="","",COUNTA($B$9:$B104))</f>
        <v/>
      </c>
      <c r="B104" s="11" t="n"/>
      <c r="C104" s="11" t="n"/>
      <c r="D104" s="12" t="n"/>
      <c r="E104" s="13" t="n"/>
      <c r="F104" s="17">
        <f>IF($B104="","",IF(COUNTIFS(ETxnType,"پاس چک",ETxnChk,$B104)&gt;0,"پاس شده","پاس نشده"))</f>
        <v/>
      </c>
      <c r="G104" s="15" t="n"/>
    </row>
    <row r="105">
      <c r="A105" s="10">
        <f>IF($B105="","",COUNTA($B$9:$B105))</f>
        <v/>
      </c>
      <c r="B105" s="11" t="n"/>
      <c r="C105" s="11" t="n"/>
      <c r="D105" s="12" t="n"/>
      <c r="E105" s="13" t="n"/>
      <c r="F105" s="14">
        <f>IF($B105="","",IF(COUNTIFS(ETxnType,"پاس چک",ETxnChk,$B105)&gt;0,"پاس شده","پاس نشده"))</f>
        <v/>
      </c>
      <c r="G105" s="15" t="n"/>
    </row>
    <row r="106">
      <c r="A106" s="16">
        <f>IF($B106="","",COUNTA($B$9:$B106))</f>
        <v/>
      </c>
      <c r="B106" s="11" t="n"/>
      <c r="C106" s="11" t="n"/>
      <c r="D106" s="12" t="n"/>
      <c r="E106" s="13" t="n"/>
      <c r="F106" s="17">
        <f>IF($B106="","",IF(COUNTIFS(ETxnType,"پاس چک",ETxnChk,$B106)&gt;0,"پاس شده","پاس نشده"))</f>
        <v/>
      </c>
      <c r="G106" s="15" t="n"/>
    </row>
    <row r="107">
      <c r="A107" s="10">
        <f>IF($B107="","",COUNTA($B$9:$B107))</f>
        <v/>
      </c>
      <c r="B107" s="11" t="n"/>
      <c r="C107" s="11" t="n"/>
      <c r="D107" s="12" t="n"/>
      <c r="E107" s="13" t="n"/>
      <c r="F107" s="14">
        <f>IF($B107="","",IF(COUNTIFS(ETxnType,"پاس چک",ETxnChk,$B107)&gt;0,"پاس شده","پاس نشده"))</f>
        <v/>
      </c>
      <c r="G107" s="15" t="n"/>
    </row>
    <row r="108">
      <c r="A108" s="16">
        <f>IF($B108="","",COUNTA($B$9:$B108))</f>
        <v/>
      </c>
      <c r="B108" s="11" t="n"/>
      <c r="C108" s="11" t="n"/>
      <c r="D108" s="12" t="n"/>
      <c r="E108" s="13" t="n"/>
      <c r="F108" s="17">
        <f>IF($B108="","",IF(COUNTIFS(ETxnType,"پاس چک",ETxnChk,$B108)&gt;0,"پاس شده","پاس نشده"))</f>
        <v/>
      </c>
      <c r="G108" s="15" t="n"/>
    </row>
    <row r="109">
      <c r="A109" s="10">
        <f>IF($B109="","",COUNTA($B$9:$B109))</f>
        <v/>
      </c>
      <c r="B109" s="11" t="n"/>
      <c r="C109" s="11" t="n"/>
      <c r="D109" s="12" t="n"/>
      <c r="E109" s="13" t="n"/>
      <c r="F109" s="14">
        <f>IF($B109="","",IF(COUNTIFS(ETxnType,"پاس چک",ETxnChk,$B109)&gt;0,"پاس شده","پاس نشده"))</f>
        <v/>
      </c>
      <c r="G109" s="15" t="n"/>
    </row>
    <row r="110">
      <c r="A110" s="16">
        <f>IF($B110="","",COUNTA($B$9:$B110))</f>
        <v/>
      </c>
      <c r="B110" s="11" t="n"/>
      <c r="C110" s="11" t="n"/>
      <c r="D110" s="12" t="n"/>
      <c r="E110" s="13" t="n"/>
      <c r="F110" s="17">
        <f>IF($B110="","",IF(COUNTIFS(ETxnType,"پاس چک",ETxnChk,$B110)&gt;0,"پاس شده","پاس نشده"))</f>
        <v/>
      </c>
      <c r="G110" s="15" t="n"/>
    </row>
    <row r="111">
      <c r="A111" s="10">
        <f>IF($B111="","",COUNTA($B$9:$B111))</f>
        <v/>
      </c>
      <c r="B111" s="11" t="n"/>
      <c r="C111" s="11" t="n"/>
      <c r="D111" s="12" t="n"/>
      <c r="E111" s="13" t="n"/>
      <c r="F111" s="14">
        <f>IF($B111="","",IF(COUNTIFS(ETxnType,"پاس چک",ETxnChk,$B111)&gt;0,"پاس شده","پاس نشده"))</f>
        <v/>
      </c>
      <c r="G111" s="15" t="n"/>
    </row>
    <row r="112">
      <c r="A112" s="16">
        <f>IF($B112="","",COUNTA($B$9:$B112))</f>
        <v/>
      </c>
      <c r="B112" s="11" t="n"/>
      <c r="C112" s="11" t="n"/>
      <c r="D112" s="12" t="n"/>
      <c r="E112" s="13" t="n"/>
      <c r="F112" s="17">
        <f>IF($B112="","",IF(COUNTIFS(ETxnType,"پاس چک",ETxnChk,$B112)&gt;0,"پاس شده","پاس نشده"))</f>
        <v/>
      </c>
      <c r="G112" s="15" t="n"/>
    </row>
    <row r="113">
      <c r="A113" s="10">
        <f>IF($B113="","",COUNTA($B$9:$B113))</f>
        <v/>
      </c>
      <c r="B113" s="11" t="n"/>
      <c r="C113" s="11" t="n"/>
      <c r="D113" s="12" t="n"/>
      <c r="E113" s="13" t="n"/>
      <c r="F113" s="14">
        <f>IF($B113="","",IF(COUNTIFS(ETxnType,"پاس چک",ETxnChk,$B113)&gt;0,"پاس شده","پاس نشده"))</f>
        <v/>
      </c>
      <c r="G113" s="15" t="n"/>
    </row>
    <row r="114">
      <c r="A114" s="16">
        <f>IF($B114="","",COUNTA($B$9:$B114))</f>
        <v/>
      </c>
      <c r="B114" s="11" t="n"/>
      <c r="C114" s="11" t="n"/>
      <c r="D114" s="12" t="n"/>
      <c r="E114" s="13" t="n"/>
      <c r="F114" s="17">
        <f>IF($B114="","",IF(COUNTIFS(ETxnType,"پاس چک",ETxnChk,$B114)&gt;0,"پاس شده","پاس نشده"))</f>
        <v/>
      </c>
      <c r="G114" s="15" t="n"/>
    </row>
    <row r="115">
      <c r="A115" s="10">
        <f>IF($B115="","",COUNTA($B$9:$B115))</f>
        <v/>
      </c>
      <c r="B115" s="11" t="n"/>
      <c r="C115" s="11" t="n"/>
      <c r="D115" s="12" t="n"/>
      <c r="E115" s="13" t="n"/>
      <c r="F115" s="14">
        <f>IF($B115="","",IF(COUNTIFS(ETxnType,"پاس چک",ETxnChk,$B115)&gt;0,"پاس شده","پاس نشده"))</f>
        <v/>
      </c>
      <c r="G115" s="15" t="n"/>
    </row>
    <row r="116">
      <c r="A116" s="16">
        <f>IF($B116="","",COUNTA($B$9:$B116))</f>
        <v/>
      </c>
      <c r="B116" s="11" t="n"/>
      <c r="C116" s="11" t="n"/>
      <c r="D116" s="12" t="n"/>
      <c r="E116" s="13" t="n"/>
      <c r="F116" s="17">
        <f>IF($B116="","",IF(COUNTIFS(ETxnType,"پاس چک",ETxnChk,$B116)&gt;0,"پاس شده","پاس نشده"))</f>
        <v/>
      </c>
      <c r="G116" s="15" t="n"/>
    </row>
    <row r="117">
      <c r="A117" s="10">
        <f>IF($B117="","",COUNTA($B$9:$B117))</f>
        <v/>
      </c>
      <c r="B117" s="11" t="n"/>
      <c r="C117" s="11" t="n"/>
      <c r="D117" s="12" t="n"/>
      <c r="E117" s="13" t="n"/>
      <c r="F117" s="14">
        <f>IF($B117="","",IF(COUNTIFS(ETxnType,"پاس چک",ETxnChk,$B117)&gt;0,"پاس شده","پاس نشده"))</f>
        <v/>
      </c>
      <c r="G117" s="15" t="n"/>
    </row>
    <row r="118">
      <c r="A118" s="16">
        <f>IF($B118="","",COUNTA($B$9:$B118))</f>
        <v/>
      </c>
      <c r="B118" s="11" t="n"/>
      <c r="C118" s="11" t="n"/>
      <c r="D118" s="12" t="n"/>
      <c r="E118" s="13" t="n"/>
      <c r="F118" s="17">
        <f>IF($B118="","",IF(COUNTIFS(ETxnType,"پاس چک",ETxnChk,$B118)&gt;0,"پاس شده","پاس نشده"))</f>
        <v/>
      </c>
      <c r="G118" s="15" t="n"/>
    </row>
    <row r="119">
      <c r="A119" s="10">
        <f>IF($B119="","",COUNTA($B$9:$B119))</f>
        <v/>
      </c>
      <c r="B119" s="11" t="n"/>
      <c r="C119" s="11" t="n"/>
      <c r="D119" s="12" t="n"/>
      <c r="E119" s="13" t="n"/>
      <c r="F119" s="14">
        <f>IF($B119="","",IF(COUNTIFS(ETxnType,"پاس چک",ETxnChk,$B119)&gt;0,"پاس شده","پاس نشده"))</f>
        <v/>
      </c>
      <c r="G119" s="15" t="n"/>
    </row>
    <row r="120">
      <c r="A120" s="16">
        <f>IF($B120="","",COUNTA($B$9:$B120))</f>
        <v/>
      </c>
      <c r="B120" s="11" t="n"/>
      <c r="C120" s="11" t="n"/>
      <c r="D120" s="12" t="n"/>
      <c r="E120" s="13" t="n"/>
      <c r="F120" s="17">
        <f>IF($B120="","",IF(COUNTIFS(ETxnType,"پاس چک",ETxnChk,$B120)&gt;0,"پاس شده","پاس نشده"))</f>
        <v/>
      </c>
      <c r="G120" s="15" t="n"/>
    </row>
    <row r="121">
      <c r="A121" s="10">
        <f>IF($B121="","",COUNTA($B$9:$B121))</f>
        <v/>
      </c>
      <c r="B121" s="11" t="n"/>
      <c r="C121" s="11" t="n"/>
      <c r="D121" s="12" t="n"/>
      <c r="E121" s="13" t="n"/>
      <c r="F121" s="14">
        <f>IF($B121="","",IF(COUNTIFS(ETxnType,"پاس چک",ETxnChk,$B121)&gt;0,"پاس شده","پاس نشده"))</f>
        <v/>
      </c>
      <c r="G121" s="15" t="n"/>
    </row>
    <row r="122">
      <c r="A122" s="16">
        <f>IF($B122="","",COUNTA($B$9:$B122))</f>
        <v/>
      </c>
      <c r="B122" s="11" t="n"/>
      <c r="C122" s="11" t="n"/>
      <c r="D122" s="12" t="n"/>
      <c r="E122" s="13" t="n"/>
      <c r="F122" s="17">
        <f>IF($B122="","",IF(COUNTIFS(ETxnType,"پاس چک",ETxnChk,$B122)&gt;0,"پاس شده","پاس نشده"))</f>
        <v/>
      </c>
      <c r="G122" s="15" t="n"/>
    </row>
    <row r="123">
      <c r="A123" s="10">
        <f>IF($B123="","",COUNTA($B$9:$B123))</f>
        <v/>
      </c>
      <c r="B123" s="11" t="n"/>
      <c r="C123" s="11" t="n"/>
      <c r="D123" s="12" t="n"/>
      <c r="E123" s="13" t="n"/>
      <c r="F123" s="14">
        <f>IF($B123="","",IF(COUNTIFS(ETxnType,"پاس چک",ETxnChk,$B123)&gt;0,"پاس شده","پاس نشده"))</f>
        <v/>
      </c>
      <c r="G123" s="15" t="n"/>
    </row>
    <row r="124">
      <c r="A124" s="16">
        <f>IF($B124="","",COUNTA($B$9:$B124))</f>
        <v/>
      </c>
      <c r="B124" s="11" t="n"/>
      <c r="C124" s="11" t="n"/>
      <c r="D124" s="12" t="n"/>
      <c r="E124" s="13" t="n"/>
      <c r="F124" s="17">
        <f>IF($B124="","",IF(COUNTIFS(ETxnType,"پاس چک",ETxnChk,$B124)&gt;0,"پاس شده","پاس نشده"))</f>
        <v/>
      </c>
      <c r="G124" s="15" t="n"/>
    </row>
    <row r="125">
      <c r="A125" s="10">
        <f>IF($B125="","",COUNTA($B$9:$B125))</f>
        <v/>
      </c>
      <c r="B125" s="11" t="n"/>
      <c r="C125" s="11" t="n"/>
      <c r="D125" s="12" t="n"/>
      <c r="E125" s="13" t="n"/>
      <c r="F125" s="14">
        <f>IF($B125="","",IF(COUNTIFS(ETxnType,"پاس چک",ETxnChk,$B125)&gt;0,"پاس شده","پاس نشده"))</f>
        <v/>
      </c>
      <c r="G125" s="15" t="n"/>
    </row>
    <row r="126">
      <c r="A126" s="16">
        <f>IF($B126="","",COUNTA($B$9:$B126))</f>
        <v/>
      </c>
      <c r="B126" s="11" t="n"/>
      <c r="C126" s="11" t="n"/>
      <c r="D126" s="12" t="n"/>
      <c r="E126" s="13" t="n"/>
      <c r="F126" s="17">
        <f>IF($B126="","",IF(COUNTIFS(ETxnType,"پاس چک",ETxnChk,$B126)&gt;0,"پاس شده","پاس نشده"))</f>
        <v/>
      </c>
      <c r="G126" s="15" t="n"/>
    </row>
    <row r="127">
      <c r="A127" s="10">
        <f>IF($B127="","",COUNTA($B$9:$B127))</f>
        <v/>
      </c>
      <c r="B127" s="11" t="n"/>
      <c r="C127" s="11" t="n"/>
      <c r="D127" s="12" t="n"/>
      <c r="E127" s="13" t="n"/>
      <c r="F127" s="14">
        <f>IF($B127="","",IF(COUNTIFS(ETxnType,"پاس چک",ETxnChk,$B127)&gt;0,"پاس شده","پاس نشده"))</f>
        <v/>
      </c>
      <c r="G127" s="15" t="n"/>
    </row>
    <row r="128">
      <c r="A128" s="16">
        <f>IF($B128="","",COUNTA($B$9:$B128))</f>
        <v/>
      </c>
      <c r="B128" s="11" t="n"/>
      <c r="C128" s="11" t="n"/>
      <c r="D128" s="12" t="n"/>
      <c r="E128" s="13" t="n"/>
      <c r="F128" s="17">
        <f>IF($B128="","",IF(COUNTIFS(ETxnType,"پاس چک",ETxnChk,$B128)&gt;0,"پاس شده","پاس نشده"))</f>
        <v/>
      </c>
      <c r="G128" s="15" t="n"/>
    </row>
    <row r="129">
      <c r="A129" s="10">
        <f>IF($B129="","",COUNTA($B$9:$B129))</f>
        <v/>
      </c>
      <c r="B129" s="11" t="n"/>
      <c r="C129" s="11" t="n"/>
      <c r="D129" s="12" t="n"/>
      <c r="E129" s="13" t="n"/>
      <c r="F129" s="14">
        <f>IF($B129="","",IF(COUNTIFS(ETxnType,"پاس چک",ETxnChk,$B129)&gt;0,"پاس شده","پاس نشده"))</f>
        <v/>
      </c>
      <c r="G129" s="15" t="n"/>
    </row>
    <row r="130">
      <c r="A130" s="16">
        <f>IF($B130="","",COUNTA($B$9:$B130))</f>
        <v/>
      </c>
      <c r="B130" s="11" t="n"/>
      <c r="C130" s="11" t="n"/>
      <c r="D130" s="12" t="n"/>
      <c r="E130" s="13" t="n"/>
      <c r="F130" s="17">
        <f>IF($B130="","",IF(COUNTIFS(ETxnType,"پاس چک",ETxnChk,$B130)&gt;0,"پاس شده","پاس نشده"))</f>
        <v/>
      </c>
      <c r="G130" s="15" t="n"/>
    </row>
    <row r="131">
      <c r="A131" s="10">
        <f>IF($B131="","",COUNTA($B$9:$B131))</f>
        <v/>
      </c>
      <c r="B131" s="11" t="n"/>
      <c r="C131" s="11" t="n"/>
      <c r="D131" s="12" t="n"/>
      <c r="E131" s="13" t="n"/>
      <c r="F131" s="14">
        <f>IF($B131="","",IF(COUNTIFS(ETxnType,"پاس چک",ETxnChk,$B131)&gt;0,"پاس شده","پاس نشده"))</f>
        <v/>
      </c>
      <c r="G131" s="15" t="n"/>
    </row>
    <row r="132">
      <c r="A132" s="16">
        <f>IF($B132="","",COUNTA($B$9:$B132))</f>
        <v/>
      </c>
      <c r="B132" s="11" t="n"/>
      <c r="C132" s="11" t="n"/>
      <c r="D132" s="12" t="n"/>
      <c r="E132" s="13" t="n"/>
      <c r="F132" s="17">
        <f>IF($B132="","",IF(COUNTIFS(ETxnType,"پاس چک",ETxnChk,$B132)&gt;0,"پاس شده","پاس نشده"))</f>
        <v/>
      </c>
      <c r="G132" s="15" t="n"/>
    </row>
    <row r="133">
      <c r="A133" s="10">
        <f>IF($B133="","",COUNTA($B$9:$B133))</f>
        <v/>
      </c>
      <c r="B133" s="11" t="n"/>
      <c r="C133" s="11" t="n"/>
      <c r="D133" s="12" t="n"/>
      <c r="E133" s="13" t="n"/>
      <c r="F133" s="14">
        <f>IF($B133="","",IF(COUNTIFS(ETxnType,"پاس چک",ETxnChk,$B133)&gt;0,"پاس شده","پاس نشده"))</f>
        <v/>
      </c>
      <c r="G133" s="15" t="n"/>
    </row>
    <row r="134">
      <c r="A134" s="16">
        <f>IF($B134="","",COUNTA($B$9:$B134))</f>
        <v/>
      </c>
      <c r="B134" s="11" t="n"/>
      <c r="C134" s="11" t="n"/>
      <c r="D134" s="12" t="n"/>
      <c r="E134" s="13" t="n"/>
      <c r="F134" s="17">
        <f>IF($B134="","",IF(COUNTIFS(ETxnType,"پاس چک",ETxnChk,$B134)&gt;0,"پاس شده","پاس نشده"))</f>
        <v/>
      </c>
      <c r="G134" s="15" t="n"/>
    </row>
    <row r="135">
      <c r="A135" s="10">
        <f>IF($B135="","",COUNTA($B$9:$B135))</f>
        <v/>
      </c>
      <c r="B135" s="11" t="n"/>
      <c r="C135" s="11" t="n"/>
      <c r="D135" s="12" t="n"/>
      <c r="E135" s="13" t="n"/>
      <c r="F135" s="14">
        <f>IF($B135="","",IF(COUNTIFS(ETxnType,"پاس چک",ETxnChk,$B135)&gt;0,"پاس شده","پاس نشده"))</f>
        <v/>
      </c>
      <c r="G135" s="15" t="n"/>
    </row>
    <row r="136">
      <c r="A136" s="16">
        <f>IF($B136="","",COUNTA($B$9:$B136))</f>
        <v/>
      </c>
      <c r="B136" s="11" t="n"/>
      <c r="C136" s="11" t="n"/>
      <c r="D136" s="12" t="n"/>
      <c r="E136" s="13" t="n"/>
      <c r="F136" s="17">
        <f>IF($B136="","",IF(COUNTIFS(ETxnType,"پاس چک",ETxnChk,$B136)&gt;0,"پاس شده","پاس نشده"))</f>
        <v/>
      </c>
      <c r="G136" s="15" t="n"/>
    </row>
    <row r="137">
      <c r="A137" s="10">
        <f>IF($B137="","",COUNTA($B$9:$B137))</f>
        <v/>
      </c>
      <c r="B137" s="11" t="n"/>
      <c r="C137" s="11" t="n"/>
      <c r="D137" s="12" t="n"/>
      <c r="E137" s="13" t="n"/>
      <c r="F137" s="14">
        <f>IF($B137="","",IF(COUNTIFS(ETxnType,"پاس چک",ETxnChk,$B137)&gt;0,"پاس شده","پاس نشده"))</f>
        <v/>
      </c>
      <c r="G137" s="15" t="n"/>
    </row>
    <row r="138">
      <c r="A138" s="16">
        <f>IF($B138="","",COUNTA($B$9:$B138))</f>
        <v/>
      </c>
      <c r="B138" s="11" t="n"/>
      <c r="C138" s="11" t="n"/>
      <c r="D138" s="12" t="n"/>
      <c r="E138" s="13" t="n"/>
      <c r="F138" s="17">
        <f>IF($B138="","",IF(COUNTIFS(ETxnType,"پاس چک",ETxnChk,$B138)&gt;0,"پاس شده","پاس نشده"))</f>
        <v/>
      </c>
      <c r="G138" s="15" t="n"/>
    </row>
    <row r="139">
      <c r="A139" s="10">
        <f>IF($B139="","",COUNTA($B$9:$B139))</f>
        <v/>
      </c>
      <c r="B139" s="11" t="n"/>
      <c r="C139" s="11" t="n"/>
      <c r="D139" s="12" t="n"/>
      <c r="E139" s="13" t="n"/>
      <c r="F139" s="14">
        <f>IF($B139="","",IF(COUNTIFS(ETxnType,"پاس چک",ETxnChk,$B139)&gt;0,"پاس شده","پاس نشده"))</f>
        <v/>
      </c>
      <c r="G139" s="15" t="n"/>
    </row>
    <row r="140">
      <c r="A140" s="16">
        <f>IF($B140="","",COUNTA($B$9:$B140))</f>
        <v/>
      </c>
      <c r="B140" s="11" t="n"/>
      <c r="C140" s="11" t="n"/>
      <c r="D140" s="12" t="n"/>
      <c r="E140" s="13" t="n"/>
      <c r="F140" s="17">
        <f>IF($B140="","",IF(COUNTIFS(ETxnType,"پاس چک",ETxnChk,$B140)&gt;0,"پاس شده","پاس نشده"))</f>
        <v/>
      </c>
      <c r="G140" s="15" t="n"/>
    </row>
    <row r="141">
      <c r="A141" s="10">
        <f>IF($B141="","",COUNTA($B$9:$B141))</f>
        <v/>
      </c>
      <c r="B141" s="11" t="n"/>
      <c r="C141" s="11" t="n"/>
      <c r="D141" s="12" t="n"/>
      <c r="E141" s="13" t="n"/>
      <c r="F141" s="14">
        <f>IF($B141="","",IF(COUNTIFS(ETxnType,"پاس چک",ETxnChk,$B141)&gt;0,"پاس شده","پاس نشده"))</f>
        <v/>
      </c>
      <c r="G141" s="15" t="n"/>
    </row>
    <row r="142">
      <c r="A142" s="16">
        <f>IF($B142="","",COUNTA($B$9:$B142))</f>
        <v/>
      </c>
      <c r="B142" s="11" t="n"/>
      <c r="C142" s="11" t="n"/>
      <c r="D142" s="12" t="n"/>
      <c r="E142" s="13" t="n"/>
      <c r="F142" s="17">
        <f>IF($B142="","",IF(COUNTIFS(ETxnType,"پاس چک",ETxnChk,$B142)&gt;0,"پاس شده","پاس نشده"))</f>
        <v/>
      </c>
      <c r="G142" s="15" t="n"/>
    </row>
    <row r="143">
      <c r="A143" s="10">
        <f>IF($B143="","",COUNTA($B$9:$B143))</f>
        <v/>
      </c>
      <c r="B143" s="11" t="n"/>
      <c r="C143" s="11" t="n"/>
      <c r="D143" s="12" t="n"/>
      <c r="E143" s="13" t="n"/>
      <c r="F143" s="14">
        <f>IF($B143="","",IF(COUNTIFS(ETxnType,"پاس چک",ETxnChk,$B143)&gt;0,"پاس شده","پاس نشده"))</f>
        <v/>
      </c>
      <c r="G143" s="15" t="n"/>
    </row>
    <row r="144">
      <c r="A144" s="16">
        <f>IF($B144="","",COUNTA($B$9:$B144))</f>
        <v/>
      </c>
      <c r="B144" s="11" t="n"/>
      <c r="C144" s="11" t="n"/>
      <c r="D144" s="12" t="n"/>
      <c r="E144" s="13" t="n"/>
      <c r="F144" s="17">
        <f>IF($B144="","",IF(COUNTIFS(ETxnType,"پاس چک",ETxnChk,$B144)&gt;0,"پاس شده","پاس نشده"))</f>
        <v/>
      </c>
      <c r="G144" s="15" t="n"/>
    </row>
    <row r="145">
      <c r="A145" s="10">
        <f>IF($B145="","",COUNTA($B$9:$B145))</f>
        <v/>
      </c>
      <c r="B145" s="11" t="n"/>
      <c r="C145" s="11" t="n"/>
      <c r="D145" s="12" t="n"/>
      <c r="E145" s="13" t="n"/>
      <c r="F145" s="14">
        <f>IF($B145="","",IF(COUNTIFS(ETxnType,"پاس چک",ETxnChk,$B145)&gt;0,"پاس شده","پاس نشده"))</f>
        <v/>
      </c>
      <c r="G145" s="15" t="n"/>
    </row>
    <row r="146">
      <c r="A146" s="16">
        <f>IF($B146="","",COUNTA($B$9:$B146))</f>
        <v/>
      </c>
      <c r="B146" s="11" t="n"/>
      <c r="C146" s="11" t="n"/>
      <c r="D146" s="12" t="n"/>
      <c r="E146" s="13" t="n"/>
      <c r="F146" s="17">
        <f>IF($B146="","",IF(COUNTIFS(ETxnType,"پاس چک",ETxnChk,$B146)&gt;0,"پاس شده","پاس نشده"))</f>
        <v/>
      </c>
      <c r="G146" s="15" t="n"/>
    </row>
    <row r="147">
      <c r="A147" s="10">
        <f>IF($B147="","",COUNTA($B$9:$B147))</f>
        <v/>
      </c>
      <c r="B147" s="11" t="n"/>
      <c r="C147" s="11" t="n"/>
      <c r="D147" s="12" t="n"/>
      <c r="E147" s="13" t="n"/>
      <c r="F147" s="14">
        <f>IF($B147="","",IF(COUNTIFS(ETxnType,"پاس چک",ETxnChk,$B147)&gt;0,"پاس شده","پاس نشده"))</f>
        <v/>
      </c>
      <c r="G147" s="15" t="n"/>
    </row>
    <row r="148">
      <c r="A148" s="16">
        <f>IF($B148="","",COUNTA($B$9:$B148))</f>
        <v/>
      </c>
      <c r="B148" s="11" t="n"/>
      <c r="C148" s="11" t="n"/>
      <c r="D148" s="12" t="n"/>
      <c r="E148" s="13" t="n"/>
      <c r="F148" s="17">
        <f>IF($B148="","",IF(COUNTIFS(ETxnType,"پاس چک",ETxnChk,$B148)&gt;0,"پاس شده","پاس نشده"))</f>
        <v/>
      </c>
      <c r="G148" s="15" t="n"/>
    </row>
    <row r="149">
      <c r="A149" s="10">
        <f>IF($B149="","",COUNTA($B$9:$B149))</f>
        <v/>
      </c>
      <c r="B149" s="11" t="n"/>
      <c r="C149" s="11" t="n"/>
      <c r="D149" s="12" t="n"/>
      <c r="E149" s="13" t="n"/>
      <c r="F149" s="14">
        <f>IF($B149="","",IF(COUNTIFS(ETxnType,"پاس چک",ETxnChk,$B149)&gt;0,"پاس شده","پاس نشده"))</f>
        <v/>
      </c>
      <c r="G149" s="15" t="n"/>
    </row>
    <row r="150">
      <c r="A150" s="16">
        <f>IF($B150="","",COUNTA($B$9:$B150))</f>
        <v/>
      </c>
      <c r="B150" s="11" t="n"/>
      <c r="C150" s="11" t="n"/>
      <c r="D150" s="12" t="n"/>
      <c r="E150" s="13" t="n"/>
      <c r="F150" s="17">
        <f>IF($B150="","",IF(COUNTIFS(ETxnType,"پاس چک",ETxnChk,$B150)&gt;0,"پاس شده","پاس نشده"))</f>
        <v/>
      </c>
      <c r="G150" s="15" t="n"/>
    </row>
    <row r="151">
      <c r="A151" s="10">
        <f>IF($B151="","",COUNTA($B$9:$B151))</f>
        <v/>
      </c>
      <c r="B151" s="11" t="n"/>
      <c r="C151" s="11" t="n"/>
      <c r="D151" s="12" t="n"/>
      <c r="E151" s="13" t="n"/>
      <c r="F151" s="14">
        <f>IF($B151="","",IF(COUNTIFS(ETxnType,"پاس چک",ETxnChk,$B151)&gt;0,"پاس شده","پاس نشده"))</f>
        <v/>
      </c>
      <c r="G151" s="15" t="n"/>
    </row>
    <row r="152">
      <c r="A152" s="16">
        <f>IF($B152="","",COUNTA($B$9:$B152))</f>
        <v/>
      </c>
      <c r="B152" s="11" t="n"/>
      <c r="C152" s="11" t="n"/>
      <c r="D152" s="12" t="n"/>
      <c r="E152" s="13" t="n"/>
      <c r="F152" s="17">
        <f>IF($B152="","",IF(COUNTIFS(ETxnType,"پاس چک",ETxnChk,$B152)&gt;0,"پاس شده","پاس نشده"))</f>
        <v/>
      </c>
      <c r="G152" s="15" t="n"/>
    </row>
    <row r="153">
      <c r="A153" s="10">
        <f>IF($B153="","",COUNTA($B$9:$B153))</f>
        <v/>
      </c>
      <c r="B153" s="11" t="n"/>
      <c r="C153" s="11" t="n"/>
      <c r="D153" s="12" t="n"/>
      <c r="E153" s="13" t="n"/>
      <c r="F153" s="14">
        <f>IF($B153="","",IF(COUNTIFS(ETxnType,"پاس چک",ETxnChk,$B153)&gt;0,"پاس شده","پاس نشده"))</f>
        <v/>
      </c>
      <c r="G153" s="15" t="n"/>
    </row>
    <row r="154">
      <c r="A154" s="16">
        <f>IF($B154="","",COUNTA($B$9:$B154))</f>
        <v/>
      </c>
      <c r="B154" s="11" t="n"/>
      <c r="C154" s="11" t="n"/>
      <c r="D154" s="12" t="n"/>
      <c r="E154" s="13" t="n"/>
      <c r="F154" s="17">
        <f>IF($B154="","",IF(COUNTIFS(ETxnType,"پاس چک",ETxnChk,$B154)&gt;0,"پاس شده","پاس نشده"))</f>
        <v/>
      </c>
      <c r="G154" s="15" t="n"/>
    </row>
    <row r="155">
      <c r="A155" s="10">
        <f>IF($B155="","",COUNTA($B$9:$B155))</f>
        <v/>
      </c>
      <c r="B155" s="11" t="n"/>
      <c r="C155" s="11" t="n"/>
      <c r="D155" s="12" t="n"/>
      <c r="E155" s="13" t="n"/>
      <c r="F155" s="14">
        <f>IF($B155="","",IF(COUNTIFS(ETxnType,"پاس چک",ETxnChk,$B155)&gt;0,"پاس شده","پاس نشده"))</f>
        <v/>
      </c>
      <c r="G155" s="15" t="n"/>
    </row>
    <row r="156">
      <c r="A156" s="16">
        <f>IF($B156="","",COUNTA($B$9:$B156))</f>
        <v/>
      </c>
      <c r="B156" s="11" t="n"/>
      <c r="C156" s="11" t="n"/>
      <c r="D156" s="12" t="n"/>
      <c r="E156" s="13" t="n"/>
      <c r="F156" s="17">
        <f>IF($B156="","",IF(COUNTIFS(ETxnType,"پاس چک",ETxnChk,$B156)&gt;0,"پاس شده","پاس نشده"))</f>
        <v/>
      </c>
      <c r="G156" s="15" t="n"/>
    </row>
    <row r="157">
      <c r="A157" s="10">
        <f>IF($B157="","",COUNTA($B$9:$B157))</f>
        <v/>
      </c>
      <c r="B157" s="11" t="n"/>
      <c r="C157" s="11" t="n"/>
      <c r="D157" s="12" t="n"/>
      <c r="E157" s="13" t="n"/>
      <c r="F157" s="14">
        <f>IF($B157="","",IF(COUNTIFS(ETxnType,"پاس چک",ETxnChk,$B157)&gt;0,"پاس شده","پاس نشده"))</f>
        <v/>
      </c>
      <c r="G157" s="15" t="n"/>
    </row>
    <row r="158">
      <c r="A158" s="16">
        <f>IF($B158="","",COUNTA($B$9:$B158))</f>
        <v/>
      </c>
      <c r="B158" s="11" t="n"/>
      <c r="C158" s="11" t="n"/>
      <c r="D158" s="12" t="n"/>
      <c r="E158" s="13" t="n"/>
      <c r="F158" s="17">
        <f>IF($B158="","",IF(COUNTIFS(ETxnType,"پاس چک",ETxnChk,$B158)&gt;0,"پاس شده","پاس نشده"))</f>
        <v/>
      </c>
      <c r="G158" s="15" t="n"/>
    </row>
    <row r="159">
      <c r="A159" s="10">
        <f>IF($B159="","",COUNTA($B$9:$B159))</f>
        <v/>
      </c>
      <c r="B159" s="11" t="n"/>
      <c r="C159" s="11" t="n"/>
      <c r="D159" s="12" t="n"/>
      <c r="E159" s="13" t="n"/>
      <c r="F159" s="14">
        <f>IF($B159="","",IF(COUNTIFS(ETxnType,"پاس چک",ETxnChk,$B159)&gt;0,"پاس شده","پاس نشده"))</f>
        <v/>
      </c>
      <c r="G159" s="15" t="n"/>
    </row>
    <row r="160">
      <c r="A160" s="16">
        <f>IF($B160="","",COUNTA($B$9:$B160))</f>
        <v/>
      </c>
      <c r="B160" s="11" t="n"/>
      <c r="C160" s="11" t="n"/>
      <c r="D160" s="12" t="n"/>
      <c r="E160" s="13" t="n"/>
      <c r="F160" s="17">
        <f>IF($B160="","",IF(COUNTIFS(ETxnType,"پاس چک",ETxnChk,$B160)&gt;0,"پاس شده","پاس نشده"))</f>
        <v/>
      </c>
      <c r="G160" s="15" t="n"/>
    </row>
    <row r="161">
      <c r="A161" s="10">
        <f>IF($B161="","",COUNTA($B$9:$B161))</f>
        <v/>
      </c>
      <c r="B161" s="11" t="n"/>
      <c r="C161" s="11" t="n"/>
      <c r="D161" s="12" t="n"/>
      <c r="E161" s="13" t="n"/>
      <c r="F161" s="14">
        <f>IF($B161="","",IF(COUNTIFS(ETxnType,"پاس چک",ETxnChk,$B161)&gt;0,"پاس شده","پاس نشده"))</f>
        <v/>
      </c>
      <c r="G161" s="15" t="n"/>
    </row>
    <row r="162">
      <c r="A162" s="16">
        <f>IF($B162="","",COUNTA($B$9:$B162))</f>
        <v/>
      </c>
      <c r="B162" s="11" t="n"/>
      <c r="C162" s="11" t="n"/>
      <c r="D162" s="12" t="n"/>
      <c r="E162" s="13" t="n"/>
      <c r="F162" s="17">
        <f>IF($B162="","",IF(COUNTIFS(ETxnType,"پاس چک",ETxnChk,$B162)&gt;0,"پاس شده","پاس نشده"))</f>
        <v/>
      </c>
      <c r="G162" s="15" t="n"/>
    </row>
    <row r="163">
      <c r="A163" s="10">
        <f>IF($B163="","",COUNTA($B$9:$B163))</f>
        <v/>
      </c>
      <c r="B163" s="11" t="n"/>
      <c r="C163" s="11" t="n"/>
      <c r="D163" s="12" t="n"/>
      <c r="E163" s="13" t="n"/>
      <c r="F163" s="14">
        <f>IF($B163="","",IF(COUNTIFS(ETxnType,"پاس چک",ETxnChk,$B163)&gt;0,"پاس شده","پاس نشده"))</f>
        <v/>
      </c>
      <c r="G163" s="15" t="n"/>
    </row>
    <row r="164">
      <c r="A164" s="16">
        <f>IF($B164="","",COUNTA($B$9:$B164))</f>
        <v/>
      </c>
      <c r="B164" s="11" t="n"/>
      <c r="C164" s="11" t="n"/>
      <c r="D164" s="12" t="n"/>
      <c r="E164" s="13" t="n"/>
      <c r="F164" s="17">
        <f>IF($B164="","",IF(COUNTIFS(ETxnType,"پاس چک",ETxnChk,$B164)&gt;0,"پاس شده","پاس نشده"))</f>
        <v/>
      </c>
      <c r="G164" s="15" t="n"/>
    </row>
    <row r="165">
      <c r="A165" s="10">
        <f>IF($B165="","",COUNTA($B$9:$B165))</f>
        <v/>
      </c>
      <c r="B165" s="11" t="n"/>
      <c r="C165" s="11" t="n"/>
      <c r="D165" s="12" t="n"/>
      <c r="E165" s="13" t="n"/>
      <c r="F165" s="14">
        <f>IF($B165="","",IF(COUNTIFS(ETxnType,"پاس چک",ETxnChk,$B165)&gt;0,"پاس شده","پاس نشده"))</f>
        <v/>
      </c>
      <c r="G165" s="15" t="n"/>
    </row>
    <row r="166">
      <c r="A166" s="16">
        <f>IF($B166="","",COUNTA($B$9:$B166))</f>
        <v/>
      </c>
      <c r="B166" s="11" t="n"/>
      <c r="C166" s="11" t="n"/>
      <c r="D166" s="12" t="n"/>
      <c r="E166" s="13" t="n"/>
      <c r="F166" s="17">
        <f>IF($B166="","",IF(COUNTIFS(ETxnType,"پاس چک",ETxnChk,$B166)&gt;0,"پاس شده","پاس نشده"))</f>
        <v/>
      </c>
      <c r="G166" s="15" t="n"/>
    </row>
    <row r="167">
      <c r="A167" s="10">
        <f>IF($B167="","",COUNTA($B$9:$B167))</f>
        <v/>
      </c>
      <c r="B167" s="11" t="n"/>
      <c r="C167" s="11" t="n"/>
      <c r="D167" s="12" t="n"/>
      <c r="E167" s="13" t="n"/>
      <c r="F167" s="14">
        <f>IF($B167="","",IF(COUNTIFS(ETxnType,"پاس چک",ETxnChk,$B167)&gt;0,"پاس شده","پاس نشده"))</f>
        <v/>
      </c>
      <c r="G167" s="15" t="n"/>
    </row>
    <row r="168">
      <c r="A168" s="16">
        <f>IF($B168="","",COUNTA($B$9:$B168))</f>
        <v/>
      </c>
      <c r="B168" s="11" t="n"/>
      <c r="C168" s="11" t="n"/>
      <c r="D168" s="12" t="n"/>
      <c r="E168" s="13" t="n"/>
      <c r="F168" s="17">
        <f>IF($B168="","",IF(COUNTIFS(ETxnType,"پاس چک",ETxnChk,$B168)&gt;0,"پاس شده","پاس نشده"))</f>
        <v/>
      </c>
      <c r="G168" s="15" t="n"/>
    </row>
    <row r="169">
      <c r="A169" s="10">
        <f>IF($B169="","",COUNTA($B$9:$B169))</f>
        <v/>
      </c>
      <c r="B169" s="11" t="n"/>
      <c r="C169" s="11" t="n"/>
      <c r="D169" s="12" t="n"/>
      <c r="E169" s="13" t="n"/>
      <c r="F169" s="14">
        <f>IF($B169="","",IF(COUNTIFS(ETxnType,"پاس چک",ETxnChk,$B169)&gt;0,"پاس شده","پاس نشده"))</f>
        <v/>
      </c>
      <c r="G169" s="15" t="n"/>
    </row>
    <row r="170">
      <c r="A170" s="16">
        <f>IF($B170="","",COUNTA($B$9:$B170))</f>
        <v/>
      </c>
      <c r="B170" s="11" t="n"/>
      <c r="C170" s="11" t="n"/>
      <c r="D170" s="12" t="n"/>
      <c r="E170" s="13" t="n"/>
      <c r="F170" s="17">
        <f>IF($B170="","",IF(COUNTIFS(ETxnType,"پاس چک",ETxnChk,$B170)&gt;0,"پاس شده","پاس نشده"))</f>
        <v/>
      </c>
      <c r="G170" s="15" t="n"/>
    </row>
    <row r="171">
      <c r="A171" s="10">
        <f>IF($B171="","",COUNTA($B$9:$B171))</f>
        <v/>
      </c>
      <c r="B171" s="11" t="n"/>
      <c r="C171" s="11" t="n"/>
      <c r="D171" s="12" t="n"/>
      <c r="E171" s="13" t="n"/>
      <c r="F171" s="14">
        <f>IF($B171="","",IF(COUNTIFS(ETxnType,"پاس چک",ETxnChk,$B171)&gt;0,"پاس شده","پاس نشده"))</f>
        <v/>
      </c>
      <c r="G171" s="15" t="n"/>
    </row>
    <row r="172">
      <c r="A172" s="16">
        <f>IF($B172="","",COUNTA($B$9:$B172))</f>
        <v/>
      </c>
      <c r="B172" s="11" t="n"/>
      <c r="C172" s="11" t="n"/>
      <c r="D172" s="12" t="n"/>
      <c r="E172" s="13" t="n"/>
      <c r="F172" s="17">
        <f>IF($B172="","",IF(COUNTIFS(ETxnType,"پاس چک",ETxnChk,$B172)&gt;0,"پاس شده","پاس نشده"))</f>
        <v/>
      </c>
      <c r="G172" s="15" t="n"/>
    </row>
    <row r="173">
      <c r="A173" s="10">
        <f>IF($B173="","",COUNTA($B$9:$B173))</f>
        <v/>
      </c>
      <c r="B173" s="11" t="n"/>
      <c r="C173" s="11" t="n"/>
      <c r="D173" s="12" t="n"/>
      <c r="E173" s="13" t="n"/>
      <c r="F173" s="14">
        <f>IF($B173="","",IF(COUNTIFS(ETxnType,"پاس چک",ETxnChk,$B173)&gt;0,"پاس شده","پاس نشده"))</f>
        <v/>
      </c>
      <c r="G173" s="15" t="n"/>
    </row>
    <row r="174">
      <c r="A174" s="16">
        <f>IF($B174="","",COUNTA($B$9:$B174))</f>
        <v/>
      </c>
      <c r="B174" s="11" t="n"/>
      <c r="C174" s="11" t="n"/>
      <c r="D174" s="12" t="n"/>
      <c r="E174" s="13" t="n"/>
      <c r="F174" s="17">
        <f>IF($B174="","",IF(COUNTIFS(ETxnType,"پاس چک",ETxnChk,$B174)&gt;0,"پاس شده","پاس نشده"))</f>
        <v/>
      </c>
      <c r="G174" s="15" t="n"/>
    </row>
    <row r="175">
      <c r="A175" s="10">
        <f>IF($B175="","",COUNTA($B$9:$B175))</f>
        <v/>
      </c>
      <c r="B175" s="11" t="n"/>
      <c r="C175" s="11" t="n"/>
      <c r="D175" s="12" t="n"/>
      <c r="E175" s="13" t="n"/>
      <c r="F175" s="14">
        <f>IF($B175="","",IF(COUNTIFS(ETxnType,"پاس چک",ETxnChk,$B175)&gt;0,"پاس شده","پاس نشده"))</f>
        <v/>
      </c>
      <c r="G175" s="15" t="n"/>
    </row>
    <row r="176">
      <c r="A176" s="16">
        <f>IF($B176="","",COUNTA($B$9:$B176))</f>
        <v/>
      </c>
      <c r="B176" s="11" t="n"/>
      <c r="C176" s="11" t="n"/>
      <c r="D176" s="12" t="n"/>
      <c r="E176" s="13" t="n"/>
      <c r="F176" s="17">
        <f>IF($B176="","",IF(COUNTIFS(ETxnType,"پاس چک",ETxnChk,$B176)&gt;0,"پاس شده","پاس نشده"))</f>
        <v/>
      </c>
      <c r="G176" s="15" t="n"/>
    </row>
    <row r="177">
      <c r="A177" s="10">
        <f>IF($B177="","",COUNTA($B$9:$B177))</f>
        <v/>
      </c>
      <c r="B177" s="11" t="n"/>
      <c r="C177" s="11" t="n"/>
      <c r="D177" s="12" t="n"/>
      <c r="E177" s="13" t="n"/>
      <c r="F177" s="14">
        <f>IF($B177="","",IF(COUNTIFS(ETxnType,"پاس چک",ETxnChk,$B177)&gt;0,"پاس شده","پاس نشده"))</f>
        <v/>
      </c>
      <c r="G177" s="15" t="n"/>
    </row>
    <row r="178">
      <c r="A178" s="16">
        <f>IF($B178="","",COUNTA($B$9:$B178))</f>
        <v/>
      </c>
      <c r="B178" s="11" t="n"/>
      <c r="C178" s="11" t="n"/>
      <c r="D178" s="12" t="n"/>
      <c r="E178" s="13" t="n"/>
      <c r="F178" s="17">
        <f>IF($B178="","",IF(COUNTIFS(ETxnType,"پاس چک",ETxnChk,$B178)&gt;0,"پاس شده","پاس نشده"))</f>
        <v/>
      </c>
      <c r="G178" s="15" t="n"/>
    </row>
    <row r="179">
      <c r="A179" s="10">
        <f>IF($B179="","",COUNTA($B$9:$B179))</f>
        <v/>
      </c>
      <c r="B179" s="11" t="n"/>
      <c r="C179" s="11" t="n"/>
      <c r="D179" s="12" t="n"/>
      <c r="E179" s="13" t="n"/>
      <c r="F179" s="14">
        <f>IF($B179="","",IF(COUNTIFS(ETxnType,"پاس چک",ETxnChk,$B179)&gt;0,"پاس شده","پاس نشده"))</f>
        <v/>
      </c>
      <c r="G179" s="15" t="n"/>
    </row>
    <row r="180">
      <c r="A180" s="16">
        <f>IF($B180="","",COUNTA($B$9:$B180))</f>
        <v/>
      </c>
      <c r="B180" s="11" t="n"/>
      <c r="C180" s="11" t="n"/>
      <c r="D180" s="12" t="n"/>
      <c r="E180" s="13" t="n"/>
      <c r="F180" s="17">
        <f>IF($B180="","",IF(COUNTIFS(ETxnType,"پاس چک",ETxnChk,$B180)&gt;0,"پاس شده","پاس نشده"))</f>
        <v/>
      </c>
      <c r="G180" s="15" t="n"/>
    </row>
    <row r="181">
      <c r="A181" s="10">
        <f>IF($B181="","",COUNTA($B$9:$B181))</f>
        <v/>
      </c>
      <c r="B181" s="11" t="n"/>
      <c r="C181" s="11" t="n"/>
      <c r="D181" s="12" t="n"/>
      <c r="E181" s="13" t="n"/>
      <c r="F181" s="14">
        <f>IF($B181="","",IF(COUNTIFS(ETxnType,"پاس چک",ETxnChk,$B181)&gt;0,"پاس شده","پاس نشده"))</f>
        <v/>
      </c>
      <c r="G181" s="15" t="n"/>
    </row>
    <row r="182">
      <c r="A182" s="16">
        <f>IF($B182="","",COUNTA($B$9:$B182))</f>
        <v/>
      </c>
      <c r="B182" s="11" t="n"/>
      <c r="C182" s="11" t="n"/>
      <c r="D182" s="12" t="n"/>
      <c r="E182" s="13" t="n"/>
      <c r="F182" s="17">
        <f>IF($B182="","",IF(COUNTIFS(ETxnType,"پاس چک",ETxnChk,$B182)&gt;0,"پاس شده","پاس نشده"))</f>
        <v/>
      </c>
      <c r="G182" s="15" t="n"/>
    </row>
    <row r="183">
      <c r="A183" s="10">
        <f>IF($B183="","",COUNTA($B$9:$B183))</f>
        <v/>
      </c>
      <c r="B183" s="11" t="n"/>
      <c r="C183" s="11" t="n"/>
      <c r="D183" s="12" t="n"/>
      <c r="E183" s="13" t="n"/>
      <c r="F183" s="14">
        <f>IF($B183="","",IF(COUNTIFS(ETxnType,"پاس چک",ETxnChk,$B183)&gt;0,"پاس شده","پاس نشده"))</f>
        <v/>
      </c>
      <c r="G183" s="15" t="n"/>
    </row>
    <row r="184">
      <c r="A184" s="16">
        <f>IF($B184="","",COUNTA($B$9:$B184))</f>
        <v/>
      </c>
      <c r="B184" s="11" t="n"/>
      <c r="C184" s="11" t="n"/>
      <c r="D184" s="12" t="n"/>
      <c r="E184" s="13" t="n"/>
      <c r="F184" s="17">
        <f>IF($B184="","",IF(COUNTIFS(ETxnType,"پاس چک",ETxnChk,$B184)&gt;0,"پاس شده","پاس نشده"))</f>
        <v/>
      </c>
      <c r="G184" s="15" t="n"/>
    </row>
    <row r="185">
      <c r="A185" s="10">
        <f>IF($B185="","",COUNTA($B$9:$B185))</f>
        <v/>
      </c>
      <c r="B185" s="11" t="n"/>
      <c r="C185" s="11" t="n"/>
      <c r="D185" s="12" t="n"/>
      <c r="E185" s="13" t="n"/>
      <c r="F185" s="14">
        <f>IF($B185="","",IF(COUNTIFS(ETxnType,"پاس چک",ETxnChk,$B185)&gt;0,"پاس شده","پاس نشده"))</f>
        <v/>
      </c>
      <c r="G185" s="15" t="n"/>
    </row>
    <row r="186">
      <c r="A186" s="16">
        <f>IF($B186="","",COUNTA($B$9:$B186))</f>
        <v/>
      </c>
      <c r="B186" s="11" t="n"/>
      <c r="C186" s="11" t="n"/>
      <c r="D186" s="12" t="n"/>
      <c r="E186" s="13" t="n"/>
      <c r="F186" s="17">
        <f>IF($B186="","",IF(COUNTIFS(ETxnType,"پاس چک",ETxnChk,$B186)&gt;0,"پاس شده","پاس نشده"))</f>
        <v/>
      </c>
      <c r="G186" s="15" t="n"/>
    </row>
    <row r="187">
      <c r="A187" s="10">
        <f>IF($B187="","",COUNTA($B$9:$B187))</f>
        <v/>
      </c>
      <c r="B187" s="11" t="n"/>
      <c r="C187" s="11" t="n"/>
      <c r="D187" s="12" t="n"/>
      <c r="E187" s="13" t="n"/>
      <c r="F187" s="14">
        <f>IF($B187="","",IF(COUNTIFS(ETxnType,"پاس چک",ETxnChk,$B187)&gt;0,"پاس شده","پاس نشده"))</f>
        <v/>
      </c>
      <c r="G187" s="15" t="n"/>
    </row>
    <row r="188">
      <c r="A188" s="16">
        <f>IF($B188="","",COUNTA($B$9:$B188))</f>
        <v/>
      </c>
      <c r="B188" s="11" t="n"/>
      <c r="C188" s="11" t="n"/>
      <c r="D188" s="12" t="n"/>
      <c r="E188" s="13" t="n"/>
      <c r="F188" s="17">
        <f>IF($B188="","",IF(COUNTIFS(ETxnType,"پاس چک",ETxnChk,$B188)&gt;0,"پاس شده","پاس نشده"))</f>
        <v/>
      </c>
      <c r="G188" s="15" t="n"/>
    </row>
    <row r="189">
      <c r="A189" s="10">
        <f>IF($B189="","",COUNTA($B$9:$B189))</f>
        <v/>
      </c>
      <c r="B189" s="11" t="n"/>
      <c r="C189" s="11" t="n"/>
      <c r="D189" s="12" t="n"/>
      <c r="E189" s="13" t="n"/>
      <c r="F189" s="14">
        <f>IF($B189="","",IF(COUNTIFS(ETxnType,"پاس چک",ETxnChk,$B189)&gt;0,"پاس شده","پاس نشده"))</f>
        <v/>
      </c>
      <c r="G189" s="15" t="n"/>
    </row>
    <row r="190">
      <c r="A190" s="16">
        <f>IF($B190="","",COUNTA($B$9:$B190))</f>
        <v/>
      </c>
      <c r="B190" s="11" t="n"/>
      <c r="C190" s="11" t="n"/>
      <c r="D190" s="12" t="n"/>
      <c r="E190" s="13" t="n"/>
      <c r="F190" s="17">
        <f>IF($B190="","",IF(COUNTIFS(ETxnType,"پاس چک",ETxnChk,$B190)&gt;0,"پاس شده","پاس نشده"))</f>
        <v/>
      </c>
      <c r="G190" s="15" t="n"/>
    </row>
    <row r="191">
      <c r="A191" s="10">
        <f>IF($B191="","",COUNTA($B$9:$B191))</f>
        <v/>
      </c>
      <c r="B191" s="11" t="n"/>
      <c r="C191" s="11" t="n"/>
      <c r="D191" s="12" t="n"/>
      <c r="E191" s="13" t="n"/>
      <c r="F191" s="14">
        <f>IF($B191="","",IF(COUNTIFS(ETxnType,"پاس چک",ETxnChk,$B191)&gt;0,"پاس شده","پاس نشده"))</f>
        <v/>
      </c>
      <c r="G191" s="15" t="n"/>
    </row>
    <row r="192">
      <c r="A192" s="16">
        <f>IF($B192="","",COUNTA($B$9:$B192))</f>
        <v/>
      </c>
      <c r="B192" s="11" t="n"/>
      <c r="C192" s="11" t="n"/>
      <c r="D192" s="12" t="n"/>
      <c r="E192" s="13" t="n"/>
      <c r="F192" s="17">
        <f>IF($B192="","",IF(COUNTIFS(ETxnType,"پاس چک",ETxnChk,$B192)&gt;0,"پاس شده","پاس نشده"))</f>
        <v/>
      </c>
      <c r="G192" s="15" t="n"/>
    </row>
    <row r="193">
      <c r="A193" s="10">
        <f>IF($B193="","",COUNTA($B$9:$B193))</f>
        <v/>
      </c>
      <c r="B193" s="11" t="n"/>
      <c r="C193" s="11" t="n"/>
      <c r="D193" s="12" t="n"/>
      <c r="E193" s="13" t="n"/>
      <c r="F193" s="14">
        <f>IF($B193="","",IF(COUNTIFS(ETxnType,"پاس چک",ETxnChk,$B193)&gt;0,"پاس شده","پاس نشده"))</f>
        <v/>
      </c>
      <c r="G193" s="15" t="n"/>
    </row>
    <row r="194">
      <c r="A194" s="16">
        <f>IF($B194="","",COUNTA($B$9:$B194))</f>
        <v/>
      </c>
      <c r="B194" s="11" t="n"/>
      <c r="C194" s="11" t="n"/>
      <c r="D194" s="12" t="n"/>
      <c r="E194" s="13" t="n"/>
      <c r="F194" s="17">
        <f>IF($B194="","",IF(COUNTIFS(ETxnType,"پاس چک",ETxnChk,$B194)&gt;0,"پاس شده","پاس نشده"))</f>
        <v/>
      </c>
      <c r="G194" s="15" t="n"/>
    </row>
    <row r="195">
      <c r="A195" s="10">
        <f>IF($B195="","",COUNTA($B$9:$B195))</f>
        <v/>
      </c>
      <c r="B195" s="11" t="n"/>
      <c r="C195" s="11" t="n"/>
      <c r="D195" s="12" t="n"/>
      <c r="E195" s="13" t="n"/>
      <c r="F195" s="14">
        <f>IF($B195="","",IF(COUNTIFS(ETxnType,"پاس چک",ETxnChk,$B195)&gt;0,"پاس شده","پاس نشده"))</f>
        <v/>
      </c>
      <c r="G195" s="15" t="n"/>
    </row>
    <row r="196">
      <c r="A196" s="16">
        <f>IF($B196="","",COUNTA($B$9:$B196))</f>
        <v/>
      </c>
      <c r="B196" s="11" t="n"/>
      <c r="C196" s="11" t="n"/>
      <c r="D196" s="12" t="n"/>
      <c r="E196" s="13" t="n"/>
      <c r="F196" s="17">
        <f>IF($B196="","",IF(COUNTIFS(ETxnType,"پاس چک",ETxnChk,$B196)&gt;0,"پاس شده","پاس نشده"))</f>
        <v/>
      </c>
      <c r="G196" s="15" t="n"/>
    </row>
    <row r="197">
      <c r="A197" s="10">
        <f>IF($B197="","",COUNTA($B$9:$B197))</f>
        <v/>
      </c>
      <c r="B197" s="11" t="n"/>
      <c r="C197" s="11" t="n"/>
      <c r="D197" s="12" t="n"/>
      <c r="E197" s="13" t="n"/>
      <c r="F197" s="14">
        <f>IF($B197="","",IF(COUNTIFS(ETxnType,"پاس چک",ETxnChk,$B197)&gt;0,"پاس شده","پاس نشده"))</f>
        <v/>
      </c>
      <c r="G197" s="15" t="n"/>
    </row>
    <row r="198">
      <c r="A198" s="16">
        <f>IF($B198="","",COUNTA($B$9:$B198))</f>
        <v/>
      </c>
      <c r="B198" s="11" t="n"/>
      <c r="C198" s="11" t="n"/>
      <c r="D198" s="12" t="n"/>
      <c r="E198" s="13" t="n"/>
      <c r="F198" s="17">
        <f>IF($B198="","",IF(COUNTIFS(ETxnType,"پاس چک",ETxnChk,$B198)&gt;0,"پاس شده","پاس نشده"))</f>
        <v/>
      </c>
      <c r="G198" s="15" t="n"/>
    </row>
    <row r="199">
      <c r="A199" s="10">
        <f>IF($B199="","",COUNTA($B$9:$B199))</f>
        <v/>
      </c>
      <c r="B199" s="11" t="n"/>
      <c r="C199" s="11" t="n"/>
      <c r="D199" s="12" t="n"/>
      <c r="E199" s="13" t="n"/>
      <c r="F199" s="14">
        <f>IF($B199="","",IF(COUNTIFS(ETxnType,"پاس چک",ETxnChk,$B199)&gt;0,"پاس شده","پاس نشده"))</f>
        <v/>
      </c>
      <c r="G199" s="15" t="n"/>
    </row>
    <row r="200">
      <c r="A200" s="16">
        <f>IF($B200="","",COUNTA($B$9:$B200))</f>
        <v/>
      </c>
      <c r="B200" s="11" t="n"/>
      <c r="C200" s="11" t="n"/>
      <c r="D200" s="12" t="n"/>
      <c r="E200" s="13" t="n"/>
      <c r="F200" s="17">
        <f>IF($B200="","",IF(COUNTIFS(ETxnType,"پاس چک",ETxnChk,$B200)&gt;0,"پاس شده","پاس نشده"))</f>
        <v/>
      </c>
      <c r="G200" s="15" t="n"/>
    </row>
    <row r="201">
      <c r="A201" s="10">
        <f>IF($B201="","",COUNTA($B$9:$B201))</f>
        <v/>
      </c>
      <c r="B201" s="11" t="n"/>
      <c r="C201" s="11" t="n"/>
      <c r="D201" s="12" t="n"/>
      <c r="E201" s="13" t="n"/>
      <c r="F201" s="14">
        <f>IF($B201="","",IF(COUNTIFS(ETxnType,"پاس چک",ETxnChk,$B201)&gt;0,"پاس شده","پاس نشده"))</f>
        <v/>
      </c>
      <c r="G201" s="15" t="n"/>
    </row>
    <row r="202">
      <c r="A202" s="16">
        <f>IF($B202="","",COUNTA($B$9:$B202))</f>
        <v/>
      </c>
      <c r="B202" s="11" t="n"/>
      <c r="C202" s="11" t="n"/>
      <c r="D202" s="12" t="n"/>
      <c r="E202" s="13" t="n"/>
      <c r="F202" s="17">
        <f>IF($B202="","",IF(COUNTIFS(ETxnType,"پاس چک",ETxnChk,$B202)&gt;0,"پاس شده","پاس نشده"))</f>
        <v/>
      </c>
      <c r="G202" s="15" t="n"/>
    </row>
    <row r="203">
      <c r="A203" s="10">
        <f>IF($B203="","",COUNTA($B$9:$B203))</f>
        <v/>
      </c>
      <c r="B203" s="11" t="n"/>
      <c r="C203" s="11" t="n"/>
      <c r="D203" s="12" t="n"/>
      <c r="E203" s="13" t="n"/>
      <c r="F203" s="14">
        <f>IF($B203="","",IF(COUNTIFS(ETxnType,"پاس چک",ETxnChk,$B203)&gt;0,"پاس شده","پاس نشده"))</f>
        <v/>
      </c>
      <c r="G203" s="15" t="n"/>
    </row>
    <row r="204">
      <c r="A204" s="16">
        <f>IF($B204="","",COUNTA($B$9:$B204))</f>
        <v/>
      </c>
      <c r="B204" s="11" t="n"/>
      <c r="C204" s="11" t="n"/>
      <c r="D204" s="12" t="n"/>
      <c r="E204" s="13" t="n"/>
      <c r="F204" s="17">
        <f>IF($B204="","",IF(COUNTIFS(ETxnType,"پاس چک",ETxnChk,$B204)&gt;0,"پاس شده","پاس نشده"))</f>
        <v/>
      </c>
      <c r="G204" s="15" t="n"/>
    </row>
    <row r="205">
      <c r="A205" s="10">
        <f>IF($B205="","",COUNTA($B$9:$B205))</f>
        <v/>
      </c>
      <c r="B205" s="11" t="n"/>
      <c r="C205" s="11" t="n"/>
      <c r="D205" s="12" t="n"/>
      <c r="E205" s="13" t="n"/>
      <c r="F205" s="14">
        <f>IF($B205="","",IF(COUNTIFS(ETxnType,"پاس چک",ETxnChk,$B205)&gt;0,"پاس شده","پاس نشده"))</f>
        <v/>
      </c>
      <c r="G205" s="15" t="n"/>
    </row>
    <row r="206">
      <c r="A206" s="16">
        <f>IF($B206="","",COUNTA($B$9:$B206))</f>
        <v/>
      </c>
      <c r="B206" s="11" t="n"/>
      <c r="C206" s="11" t="n"/>
      <c r="D206" s="12" t="n"/>
      <c r="E206" s="13" t="n"/>
      <c r="F206" s="17">
        <f>IF($B206="","",IF(COUNTIFS(ETxnType,"پاس چک",ETxnChk,$B206)&gt;0,"پاس شده","پاس نشده"))</f>
        <v/>
      </c>
      <c r="G206" s="15" t="n"/>
    </row>
    <row r="207">
      <c r="A207" s="10">
        <f>IF($B207="","",COUNTA($B$9:$B207))</f>
        <v/>
      </c>
      <c r="B207" s="11" t="n"/>
      <c r="C207" s="11" t="n"/>
      <c r="D207" s="12" t="n"/>
      <c r="E207" s="13" t="n"/>
      <c r="F207" s="14">
        <f>IF($B207="","",IF(COUNTIFS(ETxnType,"پاس چک",ETxnChk,$B207)&gt;0,"پاس شده","پاس نشده"))</f>
        <v/>
      </c>
      <c r="G207" s="15" t="n"/>
    </row>
    <row r="208">
      <c r="A208" s="16">
        <f>IF($B208="","",COUNTA($B$9:$B208))</f>
        <v/>
      </c>
      <c r="B208" s="11" t="n"/>
      <c r="C208" s="11" t="n"/>
      <c r="D208" s="12" t="n"/>
      <c r="E208" s="13" t="n"/>
      <c r="F208" s="17">
        <f>IF($B208="","",IF(COUNTIFS(ETxnType,"پاس چک",ETxnChk,$B208)&gt;0,"پاس شده","پاس نشده"))</f>
        <v/>
      </c>
      <c r="G208" s="15" t="n"/>
    </row>
    <row r="209">
      <c r="A209" s="10">
        <f>IF($B209="","",COUNTA($B$9:$B209))</f>
        <v/>
      </c>
      <c r="B209" s="11" t="n"/>
      <c r="C209" s="11" t="n"/>
      <c r="D209" s="12" t="n"/>
      <c r="E209" s="13" t="n"/>
      <c r="F209" s="14">
        <f>IF($B209="","",IF(COUNTIFS(ETxnType,"پاس چک",ETxnChk,$B209)&gt;0,"پاس شده","پاس نشده"))</f>
        <v/>
      </c>
      <c r="G209" s="15" t="n"/>
    </row>
    <row r="210">
      <c r="A210" s="16">
        <f>IF($B210="","",COUNTA($B$9:$B210))</f>
        <v/>
      </c>
      <c r="B210" s="11" t="n"/>
      <c r="C210" s="11" t="n"/>
      <c r="D210" s="12" t="n"/>
      <c r="E210" s="13" t="n"/>
      <c r="F210" s="17">
        <f>IF($B210="","",IF(COUNTIFS(ETxnType,"پاس چک",ETxnChk,$B210)&gt;0,"پاس شده","پاس نشده"))</f>
        <v/>
      </c>
      <c r="G210" s="15" t="n"/>
    </row>
    <row r="211">
      <c r="A211" s="10">
        <f>IF($B211="","",COUNTA($B$9:$B211))</f>
        <v/>
      </c>
      <c r="B211" s="11" t="n"/>
      <c r="C211" s="11" t="n"/>
      <c r="D211" s="12" t="n"/>
      <c r="E211" s="13" t="n"/>
      <c r="F211" s="14">
        <f>IF($B211="","",IF(COUNTIFS(ETxnType,"پاس چک",ETxnChk,$B211)&gt;0,"پاس شده","پاس نشده"))</f>
        <v/>
      </c>
      <c r="G211" s="15" t="n"/>
    </row>
    <row r="212">
      <c r="A212" s="16">
        <f>IF($B212="","",COUNTA($B$9:$B212))</f>
        <v/>
      </c>
      <c r="B212" s="11" t="n"/>
      <c r="C212" s="11" t="n"/>
      <c r="D212" s="12" t="n"/>
      <c r="E212" s="13" t="n"/>
      <c r="F212" s="17">
        <f>IF($B212="","",IF(COUNTIFS(ETxnType,"پاس چک",ETxnChk,$B212)&gt;0,"پاس شده","پاس نشده"))</f>
        <v/>
      </c>
      <c r="G212" s="15" t="n"/>
    </row>
    <row r="213">
      <c r="A213" s="10">
        <f>IF($B213="","",COUNTA($B$9:$B213))</f>
        <v/>
      </c>
      <c r="B213" s="11" t="n"/>
      <c r="C213" s="11" t="n"/>
      <c r="D213" s="12" t="n"/>
      <c r="E213" s="13" t="n"/>
      <c r="F213" s="14">
        <f>IF($B213="","",IF(COUNTIFS(ETxnType,"پاس چک",ETxnChk,$B213)&gt;0,"پاس شده","پاس نشده"))</f>
        <v/>
      </c>
      <c r="G213" s="15" t="n"/>
    </row>
    <row r="214">
      <c r="A214" s="16">
        <f>IF($B214="","",COUNTA($B$9:$B214))</f>
        <v/>
      </c>
      <c r="B214" s="11" t="n"/>
      <c r="C214" s="11" t="n"/>
      <c r="D214" s="12" t="n"/>
      <c r="E214" s="13" t="n"/>
      <c r="F214" s="17">
        <f>IF($B214="","",IF(COUNTIFS(ETxnType,"پاس چک",ETxnChk,$B214)&gt;0,"پاس شده","پاس نشده"))</f>
        <v/>
      </c>
      <c r="G214" s="15" t="n"/>
    </row>
    <row r="215">
      <c r="A215" s="10">
        <f>IF($B215="","",COUNTA($B$9:$B215))</f>
        <v/>
      </c>
      <c r="B215" s="11" t="n"/>
      <c r="C215" s="11" t="n"/>
      <c r="D215" s="12" t="n"/>
      <c r="E215" s="13" t="n"/>
      <c r="F215" s="14">
        <f>IF($B215="","",IF(COUNTIFS(ETxnType,"پاس چک",ETxnChk,$B215)&gt;0,"پاس شده","پاس نشده"))</f>
        <v/>
      </c>
      <c r="G215" s="15" t="n"/>
    </row>
    <row r="216">
      <c r="A216" s="16">
        <f>IF($B216="","",COUNTA($B$9:$B216))</f>
        <v/>
      </c>
      <c r="B216" s="11" t="n"/>
      <c r="C216" s="11" t="n"/>
      <c r="D216" s="12" t="n"/>
      <c r="E216" s="13" t="n"/>
      <c r="F216" s="17">
        <f>IF($B216="","",IF(COUNTIFS(ETxnType,"پاس چک",ETxnChk,$B216)&gt;0,"پاس شده","پاس نشده"))</f>
        <v/>
      </c>
      <c r="G216" s="15" t="n"/>
    </row>
    <row r="217">
      <c r="A217" s="10">
        <f>IF($B217="","",COUNTA($B$9:$B217))</f>
        <v/>
      </c>
      <c r="B217" s="11" t="n"/>
      <c r="C217" s="11" t="n"/>
      <c r="D217" s="12" t="n"/>
      <c r="E217" s="13" t="n"/>
      <c r="F217" s="14">
        <f>IF($B217="","",IF(COUNTIFS(ETxnType,"پاس چک",ETxnChk,$B217)&gt;0,"پاس شده","پاس نشده"))</f>
        <v/>
      </c>
      <c r="G217" s="15" t="n"/>
    </row>
    <row r="218">
      <c r="A218" s="16">
        <f>IF($B218="","",COUNTA($B$9:$B218))</f>
        <v/>
      </c>
      <c r="B218" s="11" t="n"/>
      <c r="C218" s="11" t="n"/>
      <c r="D218" s="12" t="n"/>
      <c r="E218" s="13" t="n"/>
      <c r="F218" s="17">
        <f>IF($B218="","",IF(COUNTIFS(ETxnType,"پاس چک",ETxnChk,$B218)&gt;0,"پاس شده","پاس نشده"))</f>
        <v/>
      </c>
      <c r="G218" s="15" t="n"/>
    </row>
    <row r="219">
      <c r="A219" s="10">
        <f>IF($B219="","",COUNTA($B$9:$B219))</f>
        <v/>
      </c>
      <c r="B219" s="11" t="n"/>
      <c r="C219" s="11" t="n"/>
      <c r="D219" s="12" t="n"/>
      <c r="E219" s="13" t="n"/>
      <c r="F219" s="14">
        <f>IF($B219="","",IF(COUNTIFS(ETxnType,"پاس چک",ETxnChk,$B219)&gt;0,"پاس شده","پاس نشده"))</f>
        <v/>
      </c>
      <c r="G219" s="15" t="n"/>
    </row>
    <row r="220">
      <c r="A220" s="16">
        <f>IF($B220="","",COUNTA($B$9:$B220))</f>
        <v/>
      </c>
      <c r="B220" s="11" t="n"/>
      <c r="C220" s="11" t="n"/>
      <c r="D220" s="12" t="n"/>
      <c r="E220" s="13" t="n"/>
      <c r="F220" s="17">
        <f>IF($B220="","",IF(COUNTIFS(ETxnType,"پاس چک",ETxnChk,$B220)&gt;0,"پاس شده","پاس نشده"))</f>
        <v/>
      </c>
      <c r="G220" s="15" t="n"/>
    </row>
    <row r="221">
      <c r="A221" s="10">
        <f>IF($B221="","",COUNTA($B$9:$B221))</f>
        <v/>
      </c>
      <c r="B221" s="11" t="n"/>
      <c r="C221" s="11" t="n"/>
      <c r="D221" s="12" t="n"/>
      <c r="E221" s="13" t="n"/>
      <c r="F221" s="14">
        <f>IF($B221="","",IF(COUNTIFS(ETxnType,"پاس چک",ETxnChk,$B221)&gt;0,"پاس شده","پاس نشده"))</f>
        <v/>
      </c>
      <c r="G221" s="15" t="n"/>
    </row>
    <row r="222">
      <c r="A222" s="16">
        <f>IF($B222="","",COUNTA($B$9:$B222))</f>
        <v/>
      </c>
      <c r="B222" s="11" t="n"/>
      <c r="C222" s="11" t="n"/>
      <c r="D222" s="12" t="n"/>
      <c r="E222" s="13" t="n"/>
      <c r="F222" s="17">
        <f>IF($B222="","",IF(COUNTIFS(ETxnType,"پاس چک",ETxnChk,$B222)&gt;0,"پاس شده","پاس نشده"))</f>
        <v/>
      </c>
      <c r="G222" s="15" t="n"/>
    </row>
    <row r="223">
      <c r="A223" s="10">
        <f>IF($B223="","",COUNTA($B$9:$B223))</f>
        <v/>
      </c>
      <c r="B223" s="11" t="n"/>
      <c r="C223" s="11" t="n"/>
      <c r="D223" s="12" t="n"/>
      <c r="E223" s="13" t="n"/>
      <c r="F223" s="14">
        <f>IF($B223="","",IF(COUNTIFS(ETxnType,"پاس چک",ETxnChk,$B223)&gt;0,"پاس شده","پاس نشده"))</f>
        <v/>
      </c>
      <c r="G223" s="15" t="n"/>
    </row>
    <row r="224">
      <c r="A224" s="16">
        <f>IF($B224="","",COUNTA($B$9:$B224))</f>
        <v/>
      </c>
      <c r="B224" s="11" t="n"/>
      <c r="C224" s="11" t="n"/>
      <c r="D224" s="12" t="n"/>
      <c r="E224" s="13" t="n"/>
      <c r="F224" s="17">
        <f>IF($B224="","",IF(COUNTIFS(ETxnType,"پاس چک",ETxnChk,$B224)&gt;0,"پاس شده","پاس نشده"))</f>
        <v/>
      </c>
      <c r="G224" s="15" t="n"/>
    </row>
    <row r="225">
      <c r="A225" s="10">
        <f>IF($B225="","",COUNTA($B$9:$B225))</f>
        <v/>
      </c>
      <c r="B225" s="11" t="n"/>
      <c r="C225" s="11" t="n"/>
      <c r="D225" s="12" t="n"/>
      <c r="E225" s="13" t="n"/>
      <c r="F225" s="14">
        <f>IF($B225="","",IF(COUNTIFS(ETxnType,"پاس چک",ETxnChk,$B225)&gt;0,"پاس شده","پاس نشده"))</f>
        <v/>
      </c>
      <c r="G225" s="15" t="n"/>
    </row>
    <row r="226">
      <c r="A226" s="16">
        <f>IF($B226="","",COUNTA($B$9:$B226))</f>
        <v/>
      </c>
      <c r="B226" s="11" t="n"/>
      <c r="C226" s="11" t="n"/>
      <c r="D226" s="12" t="n"/>
      <c r="E226" s="13" t="n"/>
      <c r="F226" s="17">
        <f>IF($B226="","",IF(COUNTIFS(ETxnType,"پاس چک",ETxnChk,$B226)&gt;0,"پاس شده","پاس نشده"))</f>
        <v/>
      </c>
      <c r="G226" s="15" t="n"/>
    </row>
    <row r="227">
      <c r="A227" s="10">
        <f>IF($B227="","",COUNTA($B$9:$B227))</f>
        <v/>
      </c>
      <c r="B227" s="11" t="n"/>
      <c r="C227" s="11" t="n"/>
      <c r="D227" s="12" t="n"/>
      <c r="E227" s="13" t="n"/>
      <c r="F227" s="14">
        <f>IF($B227="","",IF(COUNTIFS(ETxnType,"پاس چک",ETxnChk,$B227)&gt;0,"پاس شده","پاس نشده"))</f>
        <v/>
      </c>
      <c r="G227" s="15" t="n"/>
    </row>
    <row r="228">
      <c r="A228" s="16">
        <f>IF($B228="","",COUNTA($B$9:$B228))</f>
        <v/>
      </c>
      <c r="B228" s="11" t="n"/>
      <c r="C228" s="11" t="n"/>
      <c r="D228" s="12" t="n"/>
      <c r="E228" s="13" t="n"/>
      <c r="F228" s="17">
        <f>IF($B228="","",IF(COUNTIFS(ETxnType,"پاس چک",ETxnChk,$B228)&gt;0,"پاس شده","پاس نشده"))</f>
        <v/>
      </c>
      <c r="G228" s="15" t="n"/>
    </row>
    <row r="229">
      <c r="A229" s="10">
        <f>IF($B229="","",COUNTA($B$9:$B229))</f>
        <v/>
      </c>
      <c r="B229" s="11" t="n"/>
      <c r="C229" s="11" t="n"/>
      <c r="D229" s="12" t="n"/>
      <c r="E229" s="13" t="n"/>
      <c r="F229" s="14">
        <f>IF($B229="","",IF(COUNTIFS(ETxnType,"پاس چک",ETxnChk,$B229)&gt;0,"پاس شده","پاس نشده"))</f>
        <v/>
      </c>
      <c r="G229" s="15" t="n"/>
    </row>
    <row r="230">
      <c r="A230" s="16">
        <f>IF($B230="","",COUNTA($B$9:$B230))</f>
        <v/>
      </c>
      <c r="B230" s="11" t="n"/>
      <c r="C230" s="11" t="n"/>
      <c r="D230" s="12" t="n"/>
      <c r="E230" s="13" t="n"/>
      <c r="F230" s="17">
        <f>IF($B230="","",IF(COUNTIFS(ETxnType,"پاس چک",ETxnChk,$B230)&gt;0,"پاس شده","پاس نشده"))</f>
        <v/>
      </c>
      <c r="G230" s="15" t="n"/>
    </row>
    <row r="231">
      <c r="A231" s="10">
        <f>IF($B231="","",COUNTA($B$9:$B231))</f>
        <v/>
      </c>
      <c r="B231" s="11" t="n"/>
      <c r="C231" s="11" t="n"/>
      <c r="D231" s="12" t="n"/>
      <c r="E231" s="13" t="n"/>
      <c r="F231" s="14">
        <f>IF($B231="","",IF(COUNTIFS(ETxnType,"پاس چک",ETxnChk,$B231)&gt;0,"پاس شده","پاس نشده"))</f>
        <v/>
      </c>
      <c r="G231" s="15" t="n"/>
    </row>
    <row r="232">
      <c r="A232" s="16">
        <f>IF($B232="","",COUNTA($B$9:$B232))</f>
        <v/>
      </c>
      <c r="B232" s="11" t="n"/>
      <c r="C232" s="11" t="n"/>
      <c r="D232" s="12" t="n"/>
      <c r="E232" s="13" t="n"/>
      <c r="F232" s="17">
        <f>IF($B232="","",IF(COUNTIFS(ETxnType,"پاس چک",ETxnChk,$B232)&gt;0,"پاس شده","پاس نشده"))</f>
        <v/>
      </c>
      <c r="G232" s="15" t="n"/>
    </row>
    <row r="233">
      <c r="A233" s="10">
        <f>IF($B233="","",COUNTA($B$9:$B233))</f>
        <v/>
      </c>
      <c r="B233" s="11" t="n"/>
      <c r="C233" s="11" t="n"/>
      <c r="D233" s="12" t="n"/>
      <c r="E233" s="13" t="n"/>
      <c r="F233" s="14">
        <f>IF($B233="","",IF(COUNTIFS(ETxnType,"پاس چک",ETxnChk,$B233)&gt;0,"پاس شده","پاس نشده"))</f>
        <v/>
      </c>
      <c r="G233" s="15" t="n"/>
    </row>
    <row r="234">
      <c r="A234" s="16">
        <f>IF($B234="","",COUNTA($B$9:$B234))</f>
        <v/>
      </c>
      <c r="B234" s="11" t="n"/>
      <c r="C234" s="11" t="n"/>
      <c r="D234" s="12" t="n"/>
      <c r="E234" s="13" t="n"/>
      <c r="F234" s="17">
        <f>IF($B234="","",IF(COUNTIFS(ETxnType,"پاس چک",ETxnChk,$B234)&gt;0,"پاس شده","پاس نشده"))</f>
        <v/>
      </c>
      <c r="G234" s="15" t="n"/>
    </row>
    <row r="235">
      <c r="A235" s="10">
        <f>IF($B235="","",COUNTA($B$9:$B235))</f>
        <v/>
      </c>
      <c r="B235" s="11" t="n"/>
      <c r="C235" s="11" t="n"/>
      <c r="D235" s="12" t="n"/>
      <c r="E235" s="13" t="n"/>
      <c r="F235" s="14">
        <f>IF($B235="","",IF(COUNTIFS(ETxnType,"پاس چک",ETxnChk,$B235)&gt;0,"پاس شده","پاس نشده"))</f>
        <v/>
      </c>
      <c r="G235" s="15" t="n"/>
    </row>
    <row r="236">
      <c r="A236" s="16">
        <f>IF($B236="","",COUNTA($B$9:$B236))</f>
        <v/>
      </c>
      <c r="B236" s="11" t="n"/>
      <c r="C236" s="11" t="n"/>
      <c r="D236" s="12" t="n"/>
      <c r="E236" s="13" t="n"/>
      <c r="F236" s="17">
        <f>IF($B236="","",IF(COUNTIFS(ETxnType,"پاس چک",ETxnChk,$B236)&gt;0,"پاس شده","پاس نشده"))</f>
        <v/>
      </c>
      <c r="G236" s="15" t="n"/>
    </row>
    <row r="237">
      <c r="A237" s="10">
        <f>IF($B237="","",COUNTA($B$9:$B237))</f>
        <v/>
      </c>
      <c r="B237" s="11" t="n"/>
      <c r="C237" s="11" t="n"/>
      <c r="D237" s="12" t="n"/>
      <c r="E237" s="13" t="n"/>
      <c r="F237" s="14">
        <f>IF($B237="","",IF(COUNTIFS(ETxnType,"پاس چک",ETxnChk,$B237)&gt;0,"پاس شده","پاس نشده"))</f>
        <v/>
      </c>
      <c r="G237" s="15" t="n"/>
    </row>
    <row r="238">
      <c r="A238" s="16">
        <f>IF($B238="","",COUNTA($B$9:$B238))</f>
        <v/>
      </c>
      <c r="B238" s="11" t="n"/>
      <c r="C238" s="11" t="n"/>
      <c r="D238" s="12" t="n"/>
      <c r="E238" s="13" t="n"/>
      <c r="F238" s="17">
        <f>IF($B238="","",IF(COUNTIFS(ETxnType,"پاس چک",ETxnChk,$B238)&gt;0,"پاس شده","پاس نشده"))</f>
        <v/>
      </c>
      <c r="G238" s="15" t="n"/>
    </row>
    <row r="239">
      <c r="A239" s="10">
        <f>IF($B239="","",COUNTA($B$9:$B239))</f>
        <v/>
      </c>
      <c r="B239" s="11" t="n"/>
      <c r="C239" s="11" t="n"/>
      <c r="D239" s="12" t="n"/>
      <c r="E239" s="13" t="n"/>
      <c r="F239" s="14">
        <f>IF($B239="","",IF(COUNTIFS(ETxnType,"پاس چک",ETxnChk,$B239)&gt;0,"پاس شده","پاس نشده"))</f>
        <v/>
      </c>
      <c r="G239" s="15" t="n"/>
    </row>
    <row r="240">
      <c r="A240" s="16">
        <f>IF($B240="","",COUNTA($B$9:$B240))</f>
        <v/>
      </c>
      <c r="B240" s="11" t="n"/>
      <c r="C240" s="11" t="n"/>
      <c r="D240" s="12" t="n"/>
      <c r="E240" s="13" t="n"/>
      <c r="F240" s="17">
        <f>IF($B240="","",IF(COUNTIFS(ETxnType,"پاس چک",ETxnChk,$B240)&gt;0,"پاس شده","پاس نشده"))</f>
        <v/>
      </c>
      <c r="G240" s="15" t="n"/>
    </row>
    <row r="241">
      <c r="A241" s="10">
        <f>IF($B241="","",COUNTA($B$9:$B241))</f>
        <v/>
      </c>
      <c r="B241" s="11" t="n"/>
      <c r="C241" s="11" t="n"/>
      <c r="D241" s="12" t="n"/>
      <c r="E241" s="13" t="n"/>
      <c r="F241" s="14">
        <f>IF($B241="","",IF(COUNTIFS(ETxnType,"پاس چک",ETxnChk,$B241)&gt;0,"پاس شده","پاس نشده"))</f>
        <v/>
      </c>
      <c r="G241" s="15" t="n"/>
    </row>
    <row r="242">
      <c r="A242" s="16">
        <f>IF($B242="","",COUNTA($B$9:$B242))</f>
        <v/>
      </c>
      <c r="B242" s="11" t="n"/>
      <c r="C242" s="11" t="n"/>
      <c r="D242" s="12" t="n"/>
      <c r="E242" s="13" t="n"/>
      <c r="F242" s="17">
        <f>IF($B242="","",IF(COUNTIFS(ETxnType,"پاس چک",ETxnChk,$B242)&gt;0,"پاس شده","پاس نشده"))</f>
        <v/>
      </c>
      <c r="G242" s="15" t="n"/>
    </row>
    <row r="243">
      <c r="A243" s="10">
        <f>IF($B243="","",COUNTA($B$9:$B243))</f>
        <v/>
      </c>
      <c r="B243" s="11" t="n"/>
      <c r="C243" s="11" t="n"/>
      <c r="D243" s="12" t="n"/>
      <c r="E243" s="13" t="n"/>
      <c r="F243" s="14">
        <f>IF($B243="","",IF(COUNTIFS(ETxnType,"پاس چک",ETxnChk,$B243)&gt;0,"پاس شده","پاس نشده"))</f>
        <v/>
      </c>
      <c r="G243" s="15" t="n"/>
    </row>
    <row r="244">
      <c r="A244" s="16">
        <f>IF($B244="","",COUNTA($B$9:$B244))</f>
        <v/>
      </c>
      <c r="B244" s="11" t="n"/>
      <c r="C244" s="11" t="n"/>
      <c r="D244" s="12" t="n"/>
      <c r="E244" s="13" t="n"/>
      <c r="F244" s="17">
        <f>IF($B244="","",IF(COUNTIFS(ETxnType,"پاس چک",ETxnChk,$B244)&gt;0,"پاس شده","پاس نشده"))</f>
        <v/>
      </c>
      <c r="G244" s="15" t="n"/>
    </row>
    <row r="245">
      <c r="A245" s="10">
        <f>IF($B245="","",COUNTA($B$9:$B245))</f>
        <v/>
      </c>
      <c r="B245" s="11" t="n"/>
      <c r="C245" s="11" t="n"/>
      <c r="D245" s="12" t="n"/>
      <c r="E245" s="13" t="n"/>
      <c r="F245" s="14">
        <f>IF($B245="","",IF(COUNTIFS(ETxnType,"پاس چک",ETxnChk,$B245)&gt;0,"پاس شده","پاس نشده"))</f>
        <v/>
      </c>
      <c r="G245" s="15" t="n"/>
    </row>
    <row r="246">
      <c r="A246" s="16">
        <f>IF($B246="","",COUNTA($B$9:$B246))</f>
        <v/>
      </c>
      <c r="B246" s="11" t="n"/>
      <c r="C246" s="11" t="n"/>
      <c r="D246" s="12" t="n"/>
      <c r="E246" s="13" t="n"/>
      <c r="F246" s="17">
        <f>IF($B246="","",IF(COUNTIFS(ETxnType,"پاس چک",ETxnChk,$B246)&gt;0,"پاس شده","پاس نشده"))</f>
        <v/>
      </c>
      <c r="G246" s="15" t="n"/>
    </row>
    <row r="247">
      <c r="A247" s="10">
        <f>IF($B247="","",COUNTA($B$9:$B247))</f>
        <v/>
      </c>
      <c r="B247" s="11" t="n"/>
      <c r="C247" s="11" t="n"/>
      <c r="D247" s="12" t="n"/>
      <c r="E247" s="13" t="n"/>
      <c r="F247" s="14">
        <f>IF($B247="","",IF(COUNTIFS(ETxnType,"پاس چک",ETxnChk,$B247)&gt;0,"پاس شده","پاس نشده"))</f>
        <v/>
      </c>
      <c r="G247" s="15" t="n"/>
    </row>
    <row r="248">
      <c r="A248" s="16">
        <f>IF($B248="","",COUNTA($B$9:$B248))</f>
        <v/>
      </c>
      <c r="B248" s="11" t="n"/>
      <c r="C248" s="11" t="n"/>
      <c r="D248" s="12" t="n"/>
      <c r="E248" s="13" t="n"/>
      <c r="F248" s="17">
        <f>IF($B248="","",IF(COUNTIFS(ETxnType,"پاس چک",ETxnChk,$B248)&gt;0,"پاس شده","پاس نشده"))</f>
        <v/>
      </c>
      <c r="G248" s="15" t="n"/>
    </row>
    <row r="249">
      <c r="A249" s="10">
        <f>IF($B249="","",COUNTA($B$9:$B249))</f>
        <v/>
      </c>
      <c r="B249" s="11" t="n"/>
      <c r="C249" s="11" t="n"/>
      <c r="D249" s="12" t="n"/>
      <c r="E249" s="13" t="n"/>
      <c r="F249" s="14">
        <f>IF($B249="","",IF(COUNTIFS(ETxnType,"پاس چک",ETxnChk,$B249)&gt;0,"پاس شده","پاس نشده"))</f>
        <v/>
      </c>
      <c r="G249" s="15" t="n"/>
    </row>
    <row r="250">
      <c r="A250" s="16">
        <f>IF($B250="","",COUNTA($B$9:$B250))</f>
        <v/>
      </c>
      <c r="B250" s="11" t="n"/>
      <c r="C250" s="11" t="n"/>
      <c r="D250" s="12" t="n"/>
      <c r="E250" s="13" t="n"/>
      <c r="F250" s="17">
        <f>IF($B250="","",IF(COUNTIFS(ETxnType,"پاس چک",ETxnChk,$B250)&gt;0,"پاس شده","پاس نشده"))</f>
        <v/>
      </c>
      <c r="G250" s="15" t="n"/>
    </row>
    <row r="251">
      <c r="A251" s="10">
        <f>IF($B251="","",COUNTA($B$9:$B251))</f>
        <v/>
      </c>
      <c r="B251" s="11" t="n"/>
      <c r="C251" s="11" t="n"/>
      <c r="D251" s="12" t="n"/>
      <c r="E251" s="13" t="n"/>
      <c r="F251" s="14">
        <f>IF($B251="","",IF(COUNTIFS(ETxnType,"پاس چک",ETxnChk,$B251)&gt;0,"پاس شده","پاس نشده"))</f>
        <v/>
      </c>
      <c r="G251" s="15" t="n"/>
    </row>
    <row r="252">
      <c r="A252" s="16">
        <f>IF($B252="","",COUNTA($B$9:$B252))</f>
        <v/>
      </c>
      <c r="B252" s="11" t="n"/>
      <c r="C252" s="11" t="n"/>
      <c r="D252" s="12" t="n"/>
      <c r="E252" s="13" t="n"/>
      <c r="F252" s="17">
        <f>IF($B252="","",IF(COUNTIFS(ETxnType,"پاس چک",ETxnChk,$B252)&gt;0,"پاس شده","پاس نشده"))</f>
        <v/>
      </c>
      <c r="G252" s="15" t="n"/>
    </row>
    <row r="253">
      <c r="A253" s="10">
        <f>IF($B253="","",COUNTA($B$9:$B253))</f>
        <v/>
      </c>
      <c r="B253" s="11" t="n"/>
      <c r="C253" s="11" t="n"/>
      <c r="D253" s="12" t="n"/>
      <c r="E253" s="13" t="n"/>
      <c r="F253" s="14">
        <f>IF($B253="","",IF(COUNTIFS(ETxnType,"پاس چک",ETxnChk,$B253)&gt;0,"پاس شده","پاس نشده"))</f>
        <v/>
      </c>
      <c r="G253" s="15" t="n"/>
    </row>
    <row r="254">
      <c r="A254" s="16">
        <f>IF($B254="","",COUNTA($B$9:$B254))</f>
        <v/>
      </c>
      <c r="B254" s="11" t="n"/>
      <c r="C254" s="11" t="n"/>
      <c r="D254" s="12" t="n"/>
      <c r="E254" s="13" t="n"/>
      <c r="F254" s="17">
        <f>IF($B254="","",IF(COUNTIFS(ETxnType,"پاس چک",ETxnChk,$B254)&gt;0,"پاس شده","پاس نشده"))</f>
        <v/>
      </c>
      <c r="G254" s="15" t="n"/>
    </row>
    <row r="255">
      <c r="A255" s="10">
        <f>IF($B255="","",COUNTA($B$9:$B255))</f>
        <v/>
      </c>
      <c r="B255" s="11" t="n"/>
      <c r="C255" s="11" t="n"/>
      <c r="D255" s="12" t="n"/>
      <c r="E255" s="13" t="n"/>
      <c r="F255" s="14">
        <f>IF($B255="","",IF(COUNTIFS(ETxnType,"پاس چک",ETxnChk,$B255)&gt;0,"پاس شده","پاس نشده"))</f>
        <v/>
      </c>
      <c r="G255" s="15" t="n"/>
    </row>
    <row r="256">
      <c r="A256" s="16">
        <f>IF($B256="","",COUNTA($B$9:$B256))</f>
        <v/>
      </c>
      <c r="B256" s="11" t="n"/>
      <c r="C256" s="11" t="n"/>
      <c r="D256" s="12" t="n"/>
      <c r="E256" s="13" t="n"/>
      <c r="F256" s="17">
        <f>IF($B256="","",IF(COUNTIFS(ETxnType,"پاس چک",ETxnChk,$B256)&gt;0,"پاس شده","پاس نشده"))</f>
        <v/>
      </c>
      <c r="G256" s="15" t="n"/>
    </row>
    <row r="257">
      <c r="A257" s="10">
        <f>IF($B257="","",COUNTA($B$9:$B257))</f>
        <v/>
      </c>
      <c r="B257" s="11" t="n"/>
      <c r="C257" s="11" t="n"/>
      <c r="D257" s="12" t="n"/>
      <c r="E257" s="13" t="n"/>
      <c r="F257" s="14">
        <f>IF($B257="","",IF(COUNTIFS(ETxnType,"پاس چک",ETxnChk,$B257)&gt;0,"پاس شده","پاس نشده"))</f>
        <v/>
      </c>
      <c r="G257" s="15" t="n"/>
    </row>
    <row r="258">
      <c r="A258" s="16">
        <f>IF($B258="","",COUNTA($B$9:$B258))</f>
        <v/>
      </c>
      <c r="B258" s="11" t="n"/>
      <c r="C258" s="11" t="n"/>
      <c r="D258" s="12" t="n"/>
      <c r="E258" s="13" t="n"/>
      <c r="F258" s="17">
        <f>IF($B258="","",IF(COUNTIFS(ETxnType,"پاس چک",ETxnChk,$B258)&gt;0,"پاس شده","پاس نشده"))</f>
        <v/>
      </c>
      <c r="G258" s="15" t="n"/>
    </row>
    <row r="259">
      <c r="A259" s="10">
        <f>IF($B259="","",COUNTA($B$9:$B259))</f>
        <v/>
      </c>
      <c r="B259" s="11" t="n"/>
      <c r="C259" s="11" t="n"/>
      <c r="D259" s="12" t="n"/>
      <c r="E259" s="13" t="n"/>
      <c r="F259" s="14">
        <f>IF($B259="","",IF(COUNTIFS(ETxnType,"پاس چک",ETxnChk,$B259)&gt;0,"پاس شده","پاس نشده"))</f>
        <v/>
      </c>
      <c r="G259" s="15" t="n"/>
    </row>
    <row r="260">
      <c r="A260" s="16">
        <f>IF($B260="","",COUNTA($B$9:$B260))</f>
        <v/>
      </c>
      <c r="B260" s="11" t="n"/>
      <c r="C260" s="11" t="n"/>
      <c r="D260" s="12" t="n"/>
      <c r="E260" s="13" t="n"/>
      <c r="F260" s="17">
        <f>IF($B260="","",IF(COUNTIFS(ETxnType,"پاس چک",ETxnChk,$B260)&gt;0,"پاس شده","پاس نشده"))</f>
        <v/>
      </c>
      <c r="G260" s="15" t="n"/>
    </row>
    <row r="261">
      <c r="A261" s="10">
        <f>IF($B261="","",COUNTA($B$9:$B261))</f>
        <v/>
      </c>
      <c r="B261" s="11" t="n"/>
      <c r="C261" s="11" t="n"/>
      <c r="D261" s="12" t="n"/>
      <c r="E261" s="13" t="n"/>
      <c r="F261" s="14">
        <f>IF($B261="","",IF(COUNTIFS(ETxnType,"پاس چک",ETxnChk,$B261)&gt;0,"پاس شده","پاس نشده"))</f>
        <v/>
      </c>
      <c r="G261" s="15" t="n"/>
    </row>
    <row r="262">
      <c r="A262" s="16">
        <f>IF($B262="","",COUNTA($B$9:$B262))</f>
        <v/>
      </c>
      <c r="B262" s="11" t="n"/>
      <c r="C262" s="11" t="n"/>
      <c r="D262" s="12" t="n"/>
      <c r="E262" s="13" t="n"/>
      <c r="F262" s="17">
        <f>IF($B262="","",IF(COUNTIFS(ETxnType,"پاس چک",ETxnChk,$B262)&gt;0,"پاس شده","پاس نشده"))</f>
        <v/>
      </c>
      <c r="G262" s="15" t="n"/>
    </row>
    <row r="263">
      <c r="A263" s="10">
        <f>IF($B263="","",COUNTA($B$9:$B263))</f>
        <v/>
      </c>
      <c r="B263" s="11" t="n"/>
      <c r="C263" s="11" t="n"/>
      <c r="D263" s="12" t="n"/>
      <c r="E263" s="13" t="n"/>
      <c r="F263" s="14">
        <f>IF($B263="","",IF(COUNTIFS(ETxnType,"پاس چک",ETxnChk,$B263)&gt;0,"پاس شده","پاس نشده"))</f>
        <v/>
      </c>
      <c r="G263" s="15" t="n"/>
    </row>
    <row r="264">
      <c r="A264" s="16">
        <f>IF($B264="","",COUNTA($B$9:$B264))</f>
        <v/>
      </c>
      <c r="B264" s="11" t="n"/>
      <c r="C264" s="11" t="n"/>
      <c r="D264" s="12" t="n"/>
      <c r="E264" s="13" t="n"/>
      <c r="F264" s="17">
        <f>IF($B264="","",IF(COUNTIFS(ETxnType,"پاس چک",ETxnChk,$B264)&gt;0,"پاس شده","پاس نشده"))</f>
        <v/>
      </c>
      <c r="G264" s="15" t="n"/>
    </row>
    <row r="265">
      <c r="A265" s="10">
        <f>IF($B265="","",COUNTA($B$9:$B265))</f>
        <v/>
      </c>
      <c r="B265" s="11" t="n"/>
      <c r="C265" s="11" t="n"/>
      <c r="D265" s="12" t="n"/>
      <c r="E265" s="13" t="n"/>
      <c r="F265" s="14">
        <f>IF($B265="","",IF(COUNTIFS(ETxnType,"پاس چک",ETxnChk,$B265)&gt;0,"پاس شده","پاس نشده"))</f>
        <v/>
      </c>
      <c r="G265" s="15" t="n"/>
    </row>
    <row r="266">
      <c r="A266" s="16">
        <f>IF($B266="","",COUNTA($B$9:$B266))</f>
        <v/>
      </c>
      <c r="B266" s="11" t="n"/>
      <c r="C266" s="11" t="n"/>
      <c r="D266" s="12" t="n"/>
      <c r="E266" s="13" t="n"/>
      <c r="F266" s="17">
        <f>IF($B266="","",IF(COUNTIFS(ETxnType,"پاس چک",ETxnChk,$B266)&gt;0,"پاس شده","پاس نشده"))</f>
        <v/>
      </c>
      <c r="G266" s="15" t="n"/>
    </row>
    <row r="267">
      <c r="A267" s="10">
        <f>IF($B267="","",COUNTA($B$9:$B267))</f>
        <v/>
      </c>
      <c r="B267" s="11" t="n"/>
      <c r="C267" s="11" t="n"/>
      <c r="D267" s="12" t="n"/>
      <c r="E267" s="13" t="n"/>
      <c r="F267" s="14">
        <f>IF($B267="","",IF(COUNTIFS(ETxnType,"پاس چک",ETxnChk,$B267)&gt;0,"پاس شده","پاس نشده"))</f>
        <v/>
      </c>
      <c r="G267" s="15" t="n"/>
    </row>
    <row r="268">
      <c r="A268" s="16">
        <f>IF($B268="","",COUNTA($B$9:$B268))</f>
        <v/>
      </c>
      <c r="B268" s="11" t="n"/>
      <c r="C268" s="11" t="n"/>
      <c r="D268" s="12" t="n"/>
      <c r="E268" s="13" t="n"/>
      <c r="F268" s="17">
        <f>IF($B268="","",IF(COUNTIFS(ETxnType,"پاس چک",ETxnChk,$B268)&gt;0,"پاس شده","پاس نشده"))</f>
        <v/>
      </c>
      <c r="G268" s="15" t="n"/>
    </row>
    <row r="269">
      <c r="A269" s="10">
        <f>IF($B269="","",COUNTA($B$9:$B269))</f>
        <v/>
      </c>
      <c r="B269" s="11" t="n"/>
      <c r="C269" s="11" t="n"/>
      <c r="D269" s="12" t="n"/>
      <c r="E269" s="13" t="n"/>
      <c r="F269" s="14">
        <f>IF($B269="","",IF(COUNTIFS(ETxnType,"پاس چک",ETxnChk,$B269)&gt;0,"پاس شده","پاس نشده"))</f>
        <v/>
      </c>
      <c r="G269" s="15" t="n"/>
    </row>
    <row r="270">
      <c r="A270" s="16">
        <f>IF($B270="","",COUNTA($B$9:$B270))</f>
        <v/>
      </c>
      <c r="B270" s="11" t="n"/>
      <c r="C270" s="11" t="n"/>
      <c r="D270" s="12" t="n"/>
      <c r="E270" s="13" t="n"/>
      <c r="F270" s="17">
        <f>IF($B270="","",IF(COUNTIFS(ETxnType,"پاس چک",ETxnChk,$B270)&gt;0,"پاس شده","پاس نشده"))</f>
        <v/>
      </c>
      <c r="G270" s="15" t="n"/>
    </row>
    <row r="271">
      <c r="A271" s="10">
        <f>IF($B271="","",COUNTA($B$9:$B271))</f>
        <v/>
      </c>
      <c r="B271" s="11" t="n"/>
      <c r="C271" s="11" t="n"/>
      <c r="D271" s="12" t="n"/>
      <c r="E271" s="13" t="n"/>
      <c r="F271" s="14">
        <f>IF($B271="","",IF(COUNTIFS(ETxnType,"پاس چک",ETxnChk,$B271)&gt;0,"پاس شده","پاس نشده"))</f>
        <v/>
      </c>
      <c r="G271" s="15" t="n"/>
    </row>
    <row r="272">
      <c r="A272" s="16">
        <f>IF($B272="","",COUNTA($B$9:$B272))</f>
        <v/>
      </c>
      <c r="B272" s="11" t="n"/>
      <c r="C272" s="11" t="n"/>
      <c r="D272" s="12" t="n"/>
      <c r="E272" s="13" t="n"/>
      <c r="F272" s="17">
        <f>IF($B272="","",IF(COUNTIFS(ETxnType,"پاس چک",ETxnChk,$B272)&gt;0,"پاس شده","پاس نشده"))</f>
        <v/>
      </c>
      <c r="G272" s="15" t="n"/>
    </row>
    <row r="273">
      <c r="A273" s="10">
        <f>IF($B273="","",COUNTA($B$9:$B273))</f>
        <v/>
      </c>
      <c r="B273" s="11" t="n"/>
      <c r="C273" s="11" t="n"/>
      <c r="D273" s="12" t="n"/>
      <c r="E273" s="13" t="n"/>
      <c r="F273" s="14">
        <f>IF($B273="","",IF(COUNTIFS(ETxnType,"پاس چک",ETxnChk,$B273)&gt;0,"پاس شده","پاس نشده"))</f>
        <v/>
      </c>
      <c r="G273" s="15" t="n"/>
    </row>
    <row r="274">
      <c r="A274" s="16">
        <f>IF($B274="","",COUNTA($B$9:$B274))</f>
        <v/>
      </c>
      <c r="B274" s="11" t="n"/>
      <c r="C274" s="11" t="n"/>
      <c r="D274" s="12" t="n"/>
      <c r="E274" s="13" t="n"/>
      <c r="F274" s="17">
        <f>IF($B274="","",IF(COUNTIFS(ETxnType,"پاس چک",ETxnChk,$B274)&gt;0,"پاس شده","پاس نشده"))</f>
        <v/>
      </c>
      <c r="G274" s="15" t="n"/>
    </row>
    <row r="275">
      <c r="A275" s="10">
        <f>IF($B275="","",COUNTA($B$9:$B275))</f>
        <v/>
      </c>
      <c r="B275" s="11" t="n"/>
      <c r="C275" s="11" t="n"/>
      <c r="D275" s="12" t="n"/>
      <c r="E275" s="13" t="n"/>
      <c r="F275" s="14">
        <f>IF($B275="","",IF(COUNTIFS(ETxnType,"پاس چک",ETxnChk,$B275)&gt;0,"پاس شده","پاس نشده"))</f>
        <v/>
      </c>
      <c r="G275" s="15" t="n"/>
    </row>
    <row r="276">
      <c r="A276" s="16">
        <f>IF($B276="","",COUNTA($B$9:$B276))</f>
        <v/>
      </c>
      <c r="B276" s="11" t="n"/>
      <c r="C276" s="11" t="n"/>
      <c r="D276" s="12" t="n"/>
      <c r="E276" s="13" t="n"/>
      <c r="F276" s="17">
        <f>IF($B276="","",IF(COUNTIFS(ETxnType,"پاس چک",ETxnChk,$B276)&gt;0,"پاس شده","پاس نشده"))</f>
        <v/>
      </c>
      <c r="G276" s="15" t="n"/>
    </row>
    <row r="277">
      <c r="A277" s="10">
        <f>IF($B277="","",COUNTA($B$9:$B277))</f>
        <v/>
      </c>
      <c r="B277" s="11" t="n"/>
      <c r="C277" s="11" t="n"/>
      <c r="D277" s="12" t="n"/>
      <c r="E277" s="13" t="n"/>
      <c r="F277" s="14">
        <f>IF($B277="","",IF(COUNTIFS(ETxnType,"پاس چک",ETxnChk,$B277)&gt;0,"پاس شده","پاس نشده"))</f>
        <v/>
      </c>
      <c r="G277" s="15" t="n"/>
    </row>
    <row r="278">
      <c r="A278" s="16">
        <f>IF($B278="","",COUNTA($B$9:$B278))</f>
        <v/>
      </c>
      <c r="B278" s="11" t="n"/>
      <c r="C278" s="11" t="n"/>
      <c r="D278" s="12" t="n"/>
      <c r="E278" s="13" t="n"/>
      <c r="F278" s="17">
        <f>IF($B278="","",IF(COUNTIFS(ETxnType,"پاس چک",ETxnChk,$B278)&gt;0,"پاس شده","پاس نشده"))</f>
        <v/>
      </c>
      <c r="G278" s="15" t="n"/>
    </row>
    <row r="279">
      <c r="A279" s="10">
        <f>IF($B279="","",COUNTA($B$9:$B279))</f>
        <v/>
      </c>
      <c r="B279" s="11" t="n"/>
      <c r="C279" s="11" t="n"/>
      <c r="D279" s="12" t="n"/>
      <c r="E279" s="13" t="n"/>
      <c r="F279" s="14">
        <f>IF($B279="","",IF(COUNTIFS(ETxnType,"پاس چک",ETxnChk,$B279)&gt;0,"پاس شده","پاس نشده"))</f>
        <v/>
      </c>
      <c r="G279" s="15" t="n"/>
    </row>
    <row r="280">
      <c r="A280" s="16">
        <f>IF($B280="","",COUNTA($B$9:$B280))</f>
        <v/>
      </c>
      <c r="B280" s="11" t="n"/>
      <c r="C280" s="11" t="n"/>
      <c r="D280" s="12" t="n"/>
      <c r="E280" s="13" t="n"/>
      <c r="F280" s="17">
        <f>IF($B280="","",IF(COUNTIFS(ETxnType,"پاس چک",ETxnChk,$B280)&gt;0,"پاس شده","پاس نشده"))</f>
        <v/>
      </c>
      <c r="G280" s="15" t="n"/>
    </row>
    <row r="281">
      <c r="A281" s="10">
        <f>IF($B281="","",COUNTA($B$9:$B281))</f>
        <v/>
      </c>
      <c r="B281" s="11" t="n"/>
      <c r="C281" s="11" t="n"/>
      <c r="D281" s="12" t="n"/>
      <c r="E281" s="13" t="n"/>
      <c r="F281" s="14">
        <f>IF($B281="","",IF(COUNTIFS(ETxnType,"پاس چک",ETxnChk,$B281)&gt;0,"پاس شده","پاس نشده"))</f>
        <v/>
      </c>
      <c r="G281" s="15" t="n"/>
    </row>
    <row r="282">
      <c r="A282" s="16">
        <f>IF($B282="","",COUNTA($B$9:$B282))</f>
        <v/>
      </c>
      <c r="B282" s="11" t="n"/>
      <c r="C282" s="11" t="n"/>
      <c r="D282" s="12" t="n"/>
      <c r="E282" s="13" t="n"/>
      <c r="F282" s="17">
        <f>IF($B282="","",IF(COUNTIFS(ETxnType,"پاس چک",ETxnChk,$B282)&gt;0,"پاس شده","پاس نشده"))</f>
        <v/>
      </c>
      <c r="G282" s="15" t="n"/>
    </row>
    <row r="283">
      <c r="A283" s="10">
        <f>IF($B283="","",COUNTA($B$9:$B283))</f>
        <v/>
      </c>
      <c r="B283" s="11" t="n"/>
      <c r="C283" s="11" t="n"/>
      <c r="D283" s="12" t="n"/>
      <c r="E283" s="13" t="n"/>
      <c r="F283" s="14">
        <f>IF($B283="","",IF(COUNTIFS(ETxnType,"پاس چک",ETxnChk,$B283)&gt;0,"پاس شده","پاس نشده"))</f>
        <v/>
      </c>
      <c r="G283" s="15" t="n"/>
    </row>
    <row r="284">
      <c r="A284" s="16">
        <f>IF($B284="","",COUNTA($B$9:$B284))</f>
        <v/>
      </c>
      <c r="B284" s="11" t="n"/>
      <c r="C284" s="11" t="n"/>
      <c r="D284" s="12" t="n"/>
      <c r="E284" s="13" t="n"/>
      <c r="F284" s="17">
        <f>IF($B284="","",IF(COUNTIFS(ETxnType,"پاس چک",ETxnChk,$B284)&gt;0,"پاس شده","پاس نشده"))</f>
        <v/>
      </c>
      <c r="G284" s="15" t="n"/>
    </row>
    <row r="285">
      <c r="A285" s="10">
        <f>IF($B285="","",COUNTA($B$9:$B285))</f>
        <v/>
      </c>
      <c r="B285" s="11" t="n"/>
      <c r="C285" s="11" t="n"/>
      <c r="D285" s="12" t="n"/>
      <c r="E285" s="13" t="n"/>
      <c r="F285" s="14">
        <f>IF($B285="","",IF(COUNTIFS(ETxnType,"پاس چک",ETxnChk,$B285)&gt;0,"پاس شده","پاس نشده"))</f>
        <v/>
      </c>
      <c r="G285" s="15" t="n"/>
    </row>
    <row r="286">
      <c r="A286" s="16">
        <f>IF($B286="","",COUNTA($B$9:$B286))</f>
        <v/>
      </c>
      <c r="B286" s="11" t="n"/>
      <c r="C286" s="11" t="n"/>
      <c r="D286" s="12" t="n"/>
      <c r="E286" s="13" t="n"/>
      <c r="F286" s="17">
        <f>IF($B286="","",IF(COUNTIFS(ETxnType,"پاس چک",ETxnChk,$B286)&gt;0,"پاس شده","پاس نشده"))</f>
        <v/>
      </c>
      <c r="G286" s="15" t="n"/>
    </row>
    <row r="287">
      <c r="A287" s="10">
        <f>IF($B287="","",COUNTA($B$9:$B287))</f>
        <v/>
      </c>
      <c r="B287" s="11" t="n"/>
      <c r="C287" s="11" t="n"/>
      <c r="D287" s="12" t="n"/>
      <c r="E287" s="13" t="n"/>
      <c r="F287" s="14">
        <f>IF($B287="","",IF(COUNTIFS(ETxnType,"پاس چک",ETxnChk,$B287)&gt;0,"پاس شده","پاس نشده"))</f>
        <v/>
      </c>
      <c r="G287" s="15" t="n"/>
    </row>
    <row r="288">
      <c r="A288" s="16">
        <f>IF($B288="","",COUNTA($B$9:$B288))</f>
        <v/>
      </c>
      <c r="B288" s="11" t="n"/>
      <c r="C288" s="11" t="n"/>
      <c r="D288" s="12" t="n"/>
      <c r="E288" s="13" t="n"/>
      <c r="F288" s="17">
        <f>IF($B288="","",IF(COUNTIFS(ETxnType,"پاس چک",ETxnChk,$B288)&gt;0,"پاس شده","پاس نشده"))</f>
        <v/>
      </c>
      <c r="G288" s="15" t="n"/>
    </row>
    <row r="289">
      <c r="A289" s="10">
        <f>IF($B289="","",COUNTA($B$9:$B289))</f>
        <v/>
      </c>
      <c r="B289" s="11" t="n"/>
      <c r="C289" s="11" t="n"/>
      <c r="D289" s="12" t="n"/>
      <c r="E289" s="13" t="n"/>
      <c r="F289" s="14">
        <f>IF($B289="","",IF(COUNTIFS(ETxnType,"پاس چک",ETxnChk,$B289)&gt;0,"پاس شده","پاس نشده"))</f>
        <v/>
      </c>
      <c r="G289" s="15" t="n"/>
    </row>
    <row r="290">
      <c r="A290" s="16">
        <f>IF($B290="","",COUNTA($B$9:$B290))</f>
        <v/>
      </c>
      <c r="B290" s="11" t="n"/>
      <c r="C290" s="11" t="n"/>
      <c r="D290" s="12" t="n"/>
      <c r="E290" s="13" t="n"/>
      <c r="F290" s="17">
        <f>IF($B290="","",IF(COUNTIFS(ETxnType,"پاس چک",ETxnChk,$B290)&gt;0,"پاس شده","پاس نشده"))</f>
        <v/>
      </c>
      <c r="G290" s="15" t="n"/>
    </row>
    <row r="291">
      <c r="A291" s="10">
        <f>IF($B291="","",COUNTA($B$9:$B291))</f>
        <v/>
      </c>
      <c r="B291" s="11" t="n"/>
      <c r="C291" s="11" t="n"/>
      <c r="D291" s="12" t="n"/>
      <c r="E291" s="13" t="n"/>
      <c r="F291" s="14">
        <f>IF($B291="","",IF(COUNTIFS(ETxnType,"پاس چک",ETxnChk,$B291)&gt;0,"پاس شده","پاس نشده"))</f>
        <v/>
      </c>
      <c r="G291" s="15" t="n"/>
    </row>
    <row r="292">
      <c r="A292" s="16">
        <f>IF($B292="","",COUNTA($B$9:$B292))</f>
        <v/>
      </c>
      <c r="B292" s="11" t="n"/>
      <c r="C292" s="11" t="n"/>
      <c r="D292" s="12" t="n"/>
      <c r="E292" s="13" t="n"/>
      <c r="F292" s="17">
        <f>IF($B292="","",IF(COUNTIFS(ETxnType,"پاس چک",ETxnChk,$B292)&gt;0,"پاس شده","پاس نشده"))</f>
        <v/>
      </c>
      <c r="G292" s="15" t="n"/>
    </row>
    <row r="293">
      <c r="A293" s="10">
        <f>IF($B293="","",COUNTA($B$9:$B293))</f>
        <v/>
      </c>
      <c r="B293" s="11" t="n"/>
      <c r="C293" s="11" t="n"/>
      <c r="D293" s="12" t="n"/>
      <c r="E293" s="13" t="n"/>
      <c r="F293" s="14">
        <f>IF($B293="","",IF(COUNTIFS(ETxnType,"پاس چک",ETxnChk,$B293)&gt;0,"پاس شده","پاس نشده"))</f>
        <v/>
      </c>
      <c r="G293" s="15" t="n"/>
    </row>
    <row r="294">
      <c r="A294" s="16">
        <f>IF($B294="","",COUNTA($B$9:$B294))</f>
        <v/>
      </c>
      <c r="B294" s="11" t="n"/>
      <c r="C294" s="11" t="n"/>
      <c r="D294" s="12" t="n"/>
      <c r="E294" s="13" t="n"/>
      <c r="F294" s="17">
        <f>IF($B294="","",IF(COUNTIFS(ETxnType,"پاس چک",ETxnChk,$B294)&gt;0,"پاس شده","پاس نشده"))</f>
        <v/>
      </c>
      <c r="G294" s="15" t="n"/>
    </row>
    <row r="295">
      <c r="A295" s="10">
        <f>IF($B295="","",COUNTA($B$9:$B295))</f>
        <v/>
      </c>
      <c r="B295" s="11" t="n"/>
      <c r="C295" s="11" t="n"/>
      <c r="D295" s="12" t="n"/>
      <c r="E295" s="13" t="n"/>
      <c r="F295" s="14">
        <f>IF($B295="","",IF(COUNTIFS(ETxnType,"پاس چک",ETxnChk,$B295)&gt;0,"پاس شده","پاس نشده"))</f>
        <v/>
      </c>
      <c r="G295" s="15" t="n"/>
    </row>
    <row r="296">
      <c r="A296" s="16">
        <f>IF($B296="","",COUNTA($B$9:$B296))</f>
        <v/>
      </c>
      <c r="B296" s="11" t="n"/>
      <c r="C296" s="11" t="n"/>
      <c r="D296" s="12" t="n"/>
      <c r="E296" s="13" t="n"/>
      <c r="F296" s="17">
        <f>IF($B296="","",IF(COUNTIFS(ETxnType,"پاس چک",ETxnChk,$B296)&gt;0,"پاس شده","پاس نشده"))</f>
        <v/>
      </c>
      <c r="G296" s="15" t="n"/>
    </row>
    <row r="297">
      <c r="A297" s="10">
        <f>IF($B297="","",COUNTA($B$9:$B297))</f>
        <v/>
      </c>
      <c r="B297" s="11" t="n"/>
      <c r="C297" s="11" t="n"/>
      <c r="D297" s="12" t="n"/>
      <c r="E297" s="13" t="n"/>
      <c r="F297" s="14">
        <f>IF($B297="","",IF(COUNTIFS(ETxnType,"پاس چک",ETxnChk,$B297)&gt;0,"پاس شده","پاس نشده"))</f>
        <v/>
      </c>
      <c r="G297" s="15" t="n"/>
    </row>
    <row r="298">
      <c r="A298" s="16">
        <f>IF($B298="","",COUNTA($B$9:$B298))</f>
        <v/>
      </c>
      <c r="B298" s="11" t="n"/>
      <c r="C298" s="11" t="n"/>
      <c r="D298" s="12" t="n"/>
      <c r="E298" s="13" t="n"/>
      <c r="F298" s="17">
        <f>IF($B298="","",IF(COUNTIFS(ETxnType,"پاس چک",ETxnChk,$B298)&gt;0,"پاس شده","پاس نشده"))</f>
        <v/>
      </c>
      <c r="G298" s="15" t="n"/>
    </row>
    <row r="299">
      <c r="A299" s="10">
        <f>IF($B299="","",COUNTA($B$9:$B299))</f>
        <v/>
      </c>
      <c r="B299" s="11" t="n"/>
      <c r="C299" s="11" t="n"/>
      <c r="D299" s="12" t="n"/>
      <c r="E299" s="13" t="n"/>
      <c r="F299" s="14">
        <f>IF($B299="","",IF(COUNTIFS(ETxnType,"پاس چک",ETxnChk,$B299)&gt;0,"پاس شده","پاس نشده"))</f>
        <v/>
      </c>
      <c r="G299" s="15" t="n"/>
    </row>
    <row r="300">
      <c r="A300" s="16">
        <f>IF($B300="","",COUNTA($B$9:$B300))</f>
        <v/>
      </c>
      <c r="B300" s="11" t="n"/>
      <c r="C300" s="11" t="n"/>
      <c r="D300" s="12" t="n"/>
      <c r="E300" s="13" t="n"/>
      <c r="F300" s="17">
        <f>IF($B300="","",IF(COUNTIFS(ETxnType,"پاس چک",ETxnChk,$B300)&gt;0,"پاس شده","پاس نشده"))</f>
        <v/>
      </c>
      <c r="G300" s="15" t="n"/>
    </row>
    <row r="301">
      <c r="A301" s="10">
        <f>IF($B301="","",COUNTA($B$9:$B301))</f>
        <v/>
      </c>
      <c r="B301" s="11" t="n"/>
      <c r="C301" s="11" t="n"/>
      <c r="D301" s="12" t="n"/>
      <c r="E301" s="13" t="n"/>
      <c r="F301" s="14">
        <f>IF($B301="","",IF(COUNTIFS(ETxnType,"پاس چک",ETxnChk,$B301)&gt;0,"پاس شده","پاس نشده"))</f>
        <v/>
      </c>
      <c r="G301" s="15" t="n"/>
    </row>
    <row r="302">
      <c r="A302" s="16">
        <f>IF($B302="","",COUNTA($B$9:$B302))</f>
        <v/>
      </c>
      <c r="B302" s="11" t="n"/>
      <c r="C302" s="11" t="n"/>
      <c r="D302" s="12" t="n"/>
      <c r="E302" s="13" t="n"/>
      <c r="F302" s="17">
        <f>IF($B302="","",IF(COUNTIFS(ETxnType,"پاس چک",ETxnChk,$B302)&gt;0,"پاس شده","پاس نشده"))</f>
        <v/>
      </c>
      <c r="G302" s="15" t="n"/>
    </row>
    <row r="303">
      <c r="A303" s="10">
        <f>IF($B303="","",COUNTA($B$9:$B303))</f>
        <v/>
      </c>
      <c r="B303" s="11" t="n"/>
      <c r="C303" s="11" t="n"/>
      <c r="D303" s="12" t="n"/>
      <c r="E303" s="13" t="n"/>
      <c r="F303" s="14">
        <f>IF($B303="","",IF(COUNTIFS(ETxnType,"پاس چک",ETxnChk,$B303)&gt;0,"پاس شده","پاس نشده"))</f>
        <v/>
      </c>
      <c r="G303" s="15" t="n"/>
    </row>
    <row r="304">
      <c r="A304" s="16">
        <f>IF($B304="","",COUNTA($B$9:$B304))</f>
        <v/>
      </c>
      <c r="B304" s="11" t="n"/>
      <c r="C304" s="11" t="n"/>
      <c r="D304" s="12" t="n"/>
      <c r="E304" s="13" t="n"/>
      <c r="F304" s="17">
        <f>IF($B304="","",IF(COUNTIFS(ETxnType,"پاس چک",ETxnChk,$B304)&gt;0,"پاس شده","پاس نشده"))</f>
        <v/>
      </c>
      <c r="G304" s="15" t="n"/>
    </row>
    <row r="305">
      <c r="A305" s="10">
        <f>IF($B305="","",COUNTA($B$9:$B305))</f>
        <v/>
      </c>
      <c r="B305" s="11" t="n"/>
      <c r="C305" s="11" t="n"/>
      <c r="D305" s="12" t="n"/>
      <c r="E305" s="13" t="n"/>
      <c r="F305" s="14">
        <f>IF($B305="","",IF(COUNTIFS(ETxnType,"پاس چک",ETxnChk,$B305)&gt;0,"پاس شده","پاس نشده"))</f>
        <v/>
      </c>
      <c r="G305" s="15" t="n"/>
    </row>
    <row r="306">
      <c r="A306" s="16">
        <f>IF($B306="","",COUNTA($B$9:$B306))</f>
        <v/>
      </c>
      <c r="B306" s="11" t="n"/>
      <c r="C306" s="11" t="n"/>
      <c r="D306" s="12" t="n"/>
      <c r="E306" s="13" t="n"/>
      <c r="F306" s="17">
        <f>IF($B306="","",IF(COUNTIFS(ETxnType,"پاس چک",ETxnChk,$B306)&gt;0,"پاس شده","پاس نشده"))</f>
        <v/>
      </c>
      <c r="G306" s="15" t="n"/>
    </row>
    <row r="307">
      <c r="A307" s="10">
        <f>IF($B307="","",COUNTA($B$9:$B307))</f>
        <v/>
      </c>
      <c r="B307" s="11" t="n"/>
      <c r="C307" s="11" t="n"/>
      <c r="D307" s="12" t="n"/>
      <c r="E307" s="13" t="n"/>
      <c r="F307" s="14">
        <f>IF($B307="","",IF(COUNTIFS(ETxnType,"پاس چک",ETxnChk,$B307)&gt;0,"پاس شده","پاس نشده"))</f>
        <v/>
      </c>
      <c r="G307" s="15" t="n"/>
    </row>
    <row r="308">
      <c r="A308" s="16">
        <f>IF($B308="","",COUNTA($B$9:$B308))</f>
        <v/>
      </c>
      <c r="B308" s="11" t="n"/>
      <c r="C308" s="11" t="n"/>
      <c r="D308" s="12" t="n"/>
      <c r="E308" s="13" t="n"/>
      <c r="F308" s="17">
        <f>IF($B308="","",IF(COUNTIFS(ETxnType,"پاس چک",ETxnChk,$B308)&gt;0,"پاس شده","پاس نشده"))</f>
        <v/>
      </c>
      <c r="G308" s="15" t="n"/>
    </row>
    <row r="309">
      <c r="A309" s="10">
        <f>IF($B309="","",COUNTA($B$9:$B309))</f>
        <v/>
      </c>
      <c r="B309" s="11" t="n"/>
      <c r="C309" s="11" t="n"/>
      <c r="D309" s="12" t="n"/>
      <c r="E309" s="13" t="n"/>
      <c r="F309" s="14">
        <f>IF($B309="","",IF(COUNTIFS(ETxnType,"پاس چک",ETxnChk,$B309)&gt;0,"پاس شده","پاس نشده"))</f>
        <v/>
      </c>
      <c r="G309" s="15" t="n"/>
    </row>
    <row r="310">
      <c r="A310" s="16">
        <f>IF($B310="","",COUNTA($B$9:$B310))</f>
        <v/>
      </c>
      <c r="B310" s="11" t="n"/>
      <c r="C310" s="11" t="n"/>
      <c r="D310" s="12" t="n"/>
      <c r="E310" s="13" t="n"/>
      <c r="F310" s="17">
        <f>IF($B310="","",IF(COUNTIFS(ETxnType,"پاس چک",ETxnChk,$B310)&gt;0,"پاس شده","پاس نشده"))</f>
        <v/>
      </c>
      <c r="G310" s="15" t="n"/>
    </row>
    <row r="311">
      <c r="A311" s="10">
        <f>IF($B311="","",COUNTA($B$9:$B311))</f>
        <v/>
      </c>
      <c r="B311" s="11" t="n"/>
      <c r="C311" s="11" t="n"/>
      <c r="D311" s="12" t="n"/>
      <c r="E311" s="13" t="n"/>
      <c r="F311" s="14">
        <f>IF($B311="","",IF(COUNTIFS(ETxnType,"پاس چک",ETxnChk,$B311)&gt;0,"پاس شده","پاس نشده"))</f>
        <v/>
      </c>
      <c r="G311" s="15" t="n"/>
    </row>
    <row r="312">
      <c r="A312" s="16">
        <f>IF($B312="","",COUNTA($B$9:$B312))</f>
        <v/>
      </c>
      <c r="B312" s="11" t="n"/>
      <c r="C312" s="11" t="n"/>
      <c r="D312" s="12" t="n"/>
      <c r="E312" s="13" t="n"/>
      <c r="F312" s="17">
        <f>IF($B312="","",IF(COUNTIFS(ETxnType,"پاس چک",ETxnChk,$B312)&gt;0,"پاس شده","پاس نشده"))</f>
        <v/>
      </c>
      <c r="G312" s="15" t="n"/>
    </row>
    <row r="313">
      <c r="A313" s="10">
        <f>IF($B313="","",COUNTA($B$9:$B313))</f>
        <v/>
      </c>
      <c r="B313" s="11" t="n"/>
      <c r="C313" s="11" t="n"/>
      <c r="D313" s="12" t="n"/>
      <c r="E313" s="13" t="n"/>
      <c r="F313" s="14">
        <f>IF($B313="","",IF(COUNTIFS(ETxnType,"پاس چک",ETxnChk,$B313)&gt;0,"پاس شده","پاس نشده"))</f>
        <v/>
      </c>
      <c r="G313" s="15" t="n"/>
    </row>
    <row r="314">
      <c r="A314" s="16">
        <f>IF($B314="","",COUNTA($B$9:$B314))</f>
        <v/>
      </c>
      <c r="B314" s="11" t="n"/>
      <c r="C314" s="11" t="n"/>
      <c r="D314" s="12" t="n"/>
      <c r="E314" s="13" t="n"/>
      <c r="F314" s="17">
        <f>IF($B314="","",IF(COUNTIFS(ETxnType,"پاس چک",ETxnChk,$B314)&gt;0,"پاس شده","پاس نشده"))</f>
        <v/>
      </c>
      <c r="G314" s="15" t="n"/>
    </row>
    <row r="315">
      <c r="A315" s="10">
        <f>IF($B315="","",COUNTA($B$9:$B315))</f>
        <v/>
      </c>
      <c r="B315" s="11" t="n"/>
      <c r="C315" s="11" t="n"/>
      <c r="D315" s="12" t="n"/>
      <c r="E315" s="13" t="n"/>
      <c r="F315" s="14">
        <f>IF($B315="","",IF(COUNTIFS(ETxnType,"پاس چک",ETxnChk,$B315)&gt;0,"پاس شده","پاس نشده"))</f>
        <v/>
      </c>
      <c r="G315" s="15" t="n"/>
    </row>
    <row r="316">
      <c r="A316" s="16">
        <f>IF($B316="","",COUNTA($B$9:$B316))</f>
        <v/>
      </c>
      <c r="B316" s="11" t="n"/>
      <c r="C316" s="11" t="n"/>
      <c r="D316" s="12" t="n"/>
      <c r="E316" s="13" t="n"/>
      <c r="F316" s="17">
        <f>IF($B316="","",IF(COUNTIFS(ETxnType,"پاس چک",ETxnChk,$B316)&gt;0,"پاس شده","پاس نشده"))</f>
        <v/>
      </c>
      <c r="G316" s="15" t="n"/>
    </row>
    <row r="317">
      <c r="A317" s="10">
        <f>IF($B317="","",COUNTA($B$9:$B317))</f>
        <v/>
      </c>
      <c r="B317" s="11" t="n"/>
      <c r="C317" s="11" t="n"/>
      <c r="D317" s="12" t="n"/>
      <c r="E317" s="13" t="n"/>
      <c r="F317" s="14">
        <f>IF($B317="","",IF(COUNTIFS(ETxnType,"پاس چک",ETxnChk,$B317)&gt;0,"پاس شده","پاس نشده"))</f>
        <v/>
      </c>
      <c r="G317" s="15" t="n"/>
    </row>
    <row r="318">
      <c r="A318" s="16">
        <f>IF($B318="","",COUNTA($B$9:$B318))</f>
        <v/>
      </c>
      <c r="B318" s="11" t="n"/>
      <c r="C318" s="11" t="n"/>
      <c r="D318" s="12" t="n"/>
      <c r="E318" s="13" t="n"/>
      <c r="F318" s="17">
        <f>IF($B318="","",IF(COUNTIFS(ETxnType,"پاس چک",ETxnChk,$B318)&gt;0,"پاس شده","پاس نشده"))</f>
        <v/>
      </c>
      <c r="G318" s="15" t="n"/>
    </row>
    <row r="319">
      <c r="A319" s="10">
        <f>IF($B319="","",COUNTA($B$9:$B319))</f>
        <v/>
      </c>
      <c r="B319" s="11" t="n"/>
      <c r="C319" s="11" t="n"/>
      <c r="D319" s="12" t="n"/>
      <c r="E319" s="13" t="n"/>
      <c r="F319" s="14">
        <f>IF($B319="","",IF(COUNTIFS(ETxnType,"پاس چک",ETxnChk,$B319)&gt;0,"پاس شده","پاس نشده"))</f>
        <v/>
      </c>
      <c r="G319" s="15" t="n"/>
    </row>
    <row r="320">
      <c r="A320" s="16">
        <f>IF($B320="","",COUNTA($B$9:$B320))</f>
        <v/>
      </c>
      <c r="B320" s="11" t="n"/>
      <c r="C320" s="11" t="n"/>
      <c r="D320" s="12" t="n"/>
      <c r="E320" s="13" t="n"/>
      <c r="F320" s="17">
        <f>IF($B320="","",IF(COUNTIFS(ETxnType,"پاس چک",ETxnChk,$B320)&gt;0,"پاس شده","پاس نشده"))</f>
        <v/>
      </c>
      <c r="G320" s="15" t="n"/>
    </row>
    <row r="321">
      <c r="A321" s="10">
        <f>IF($B321="","",COUNTA($B$9:$B321))</f>
        <v/>
      </c>
      <c r="B321" s="11" t="n"/>
      <c r="C321" s="11" t="n"/>
      <c r="D321" s="12" t="n"/>
      <c r="E321" s="13" t="n"/>
      <c r="F321" s="14">
        <f>IF($B321="","",IF(COUNTIFS(ETxnType,"پاس چک",ETxnChk,$B321)&gt;0,"پاس شده","پاس نشده"))</f>
        <v/>
      </c>
      <c r="G321" s="15" t="n"/>
    </row>
    <row r="322">
      <c r="A322" s="16">
        <f>IF($B322="","",COUNTA($B$9:$B322))</f>
        <v/>
      </c>
      <c r="B322" s="11" t="n"/>
      <c r="C322" s="11" t="n"/>
      <c r="D322" s="12" t="n"/>
      <c r="E322" s="13" t="n"/>
      <c r="F322" s="17">
        <f>IF($B322="","",IF(COUNTIFS(ETxnType,"پاس چک",ETxnChk,$B322)&gt;0,"پاس شده","پاس نشده"))</f>
        <v/>
      </c>
      <c r="G322" s="15" t="n"/>
    </row>
    <row r="323">
      <c r="A323" s="10">
        <f>IF($B323="","",COUNTA($B$9:$B323))</f>
        <v/>
      </c>
      <c r="B323" s="11" t="n"/>
      <c r="C323" s="11" t="n"/>
      <c r="D323" s="12" t="n"/>
      <c r="E323" s="13" t="n"/>
      <c r="F323" s="14">
        <f>IF($B323="","",IF(COUNTIFS(ETxnType,"پاس چک",ETxnChk,$B323)&gt;0,"پاس شده","پاس نشده"))</f>
        <v/>
      </c>
      <c r="G323" s="15" t="n"/>
    </row>
    <row r="324">
      <c r="A324" s="16">
        <f>IF($B324="","",COUNTA($B$9:$B324))</f>
        <v/>
      </c>
      <c r="B324" s="11" t="n"/>
      <c r="C324" s="11" t="n"/>
      <c r="D324" s="12" t="n"/>
      <c r="E324" s="13" t="n"/>
      <c r="F324" s="17">
        <f>IF($B324="","",IF(COUNTIFS(ETxnType,"پاس چک",ETxnChk,$B324)&gt;0,"پاس شده","پاس نشده"))</f>
        <v/>
      </c>
      <c r="G324" s="15" t="n"/>
    </row>
    <row r="325">
      <c r="A325" s="10">
        <f>IF($B325="","",COUNTA($B$9:$B325))</f>
        <v/>
      </c>
      <c r="B325" s="11" t="n"/>
      <c r="C325" s="11" t="n"/>
      <c r="D325" s="12" t="n"/>
      <c r="E325" s="13" t="n"/>
      <c r="F325" s="14">
        <f>IF($B325="","",IF(COUNTIFS(ETxnType,"پاس چک",ETxnChk,$B325)&gt;0,"پاس شده","پاس نشده"))</f>
        <v/>
      </c>
      <c r="G325" s="15" t="n"/>
    </row>
    <row r="326">
      <c r="A326" s="16">
        <f>IF($B326="","",COUNTA($B$9:$B326))</f>
        <v/>
      </c>
      <c r="B326" s="11" t="n"/>
      <c r="C326" s="11" t="n"/>
      <c r="D326" s="12" t="n"/>
      <c r="E326" s="13" t="n"/>
      <c r="F326" s="17">
        <f>IF($B326="","",IF(COUNTIFS(ETxnType,"پاس چک",ETxnChk,$B326)&gt;0,"پاس شده","پاس نشده"))</f>
        <v/>
      </c>
      <c r="G326" s="15" t="n"/>
    </row>
    <row r="327">
      <c r="A327" s="10">
        <f>IF($B327="","",COUNTA($B$9:$B327))</f>
        <v/>
      </c>
      <c r="B327" s="11" t="n"/>
      <c r="C327" s="11" t="n"/>
      <c r="D327" s="12" t="n"/>
      <c r="E327" s="13" t="n"/>
      <c r="F327" s="14">
        <f>IF($B327="","",IF(COUNTIFS(ETxnType,"پاس چک",ETxnChk,$B327)&gt;0,"پاس شده","پاس نشده"))</f>
        <v/>
      </c>
      <c r="G327" s="15" t="n"/>
    </row>
    <row r="328">
      <c r="A328" s="16">
        <f>IF($B328="","",COUNTA($B$9:$B328))</f>
        <v/>
      </c>
      <c r="B328" s="11" t="n"/>
      <c r="C328" s="11" t="n"/>
      <c r="D328" s="12" t="n"/>
      <c r="E328" s="13" t="n"/>
      <c r="F328" s="17">
        <f>IF($B328="","",IF(COUNTIFS(ETxnType,"پاس چک",ETxnChk,$B328)&gt;0,"پاس شده","پاس نشده"))</f>
        <v/>
      </c>
      <c r="G328" s="15" t="n"/>
    </row>
    <row r="329">
      <c r="A329" s="10">
        <f>IF($B329="","",COUNTA($B$9:$B329))</f>
        <v/>
      </c>
      <c r="B329" s="11" t="n"/>
      <c r="C329" s="11" t="n"/>
      <c r="D329" s="12" t="n"/>
      <c r="E329" s="13" t="n"/>
      <c r="F329" s="14">
        <f>IF($B329="","",IF(COUNTIFS(ETxnType,"پاس چک",ETxnChk,$B329)&gt;0,"پاس شده","پاس نشده"))</f>
        <v/>
      </c>
      <c r="G329" s="15" t="n"/>
    </row>
    <row r="330">
      <c r="A330" s="16">
        <f>IF($B330="","",COUNTA($B$9:$B330))</f>
        <v/>
      </c>
      <c r="B330" s="11" t="n"/>
      <c r="C330" s="11" t="n"/>
      <c r="D330" s="12" t="n"/>
      <c r="E330" s="13" t="n"/>
      <c r="F330" s="17">
        <f>IF($B330="","",IF(COUNTIFS(ETxnType,"پاس چک",ETxnChk,$B330)&gt;0,"پاس شده","پاس نشده"))</f>
        <v/>
      </c>
      <c r="G330" s="15" t="n"/>
    </row>
    <row r="331">
      <c r="A331" s="10">
        <f>IF($B331="","",COUNTA($B$9:$B331))</f>
        <v/>
      </c>
      <c r="B331" s="11" t="n"/>
      <c r="C331" s="11" t="n"/>
      <c r="D331" s="12" t="n"/>
      <c r="E331" s="13" t="n"/>
      <c r="F331" s="14">
        <f>IF($B331="","",IF(COUNTIFS(ETxnType,"پاس چک",ETxnChk,$B331)&gt;0,"پاس شده","پاس نشده"))</f>
        <v/>
      </c>
      <c r="G331" s="15" t="n"/>
    </row>
    <row r="332">
      <c r="A332" s="16">
        <f>IF($B332="","",COUNTA($B$9:$B332))</f>
        <v/>
      </c>
      <c r="B332" s="11" t="n"/>
      <c r="C332" s="11" t="n"/>
      <c r="D332" s="12" t="n"/>
      <c r="E332" s="13" t="n"/>
      <c r="F332" s="17">
        <f>IF($B332="","",IF(COUNTIFS(ETxnType,"پاس چک",ETxnChk,$B332)&gt;0,"پاس شده","پاس نشده"))</f>
        <v/>
      </c>
      <c r="G332" s="15" t="n"/>
    </row>
    <row r="333">
      <c r="A333" s="10">
        <f>IF($B333="","",COUNTA($B$9:$B333))</f>
        <v/>
      </c>
      <c r="B333" s="11" t="n"/>
      <c r="C333" s="11" t="n"/>
      <c r="D333" s="12" t="n"/>
      <c r="E333" s="13" t="n"/>
      <c r="F333" s="14">
        <f>IF($B333="","",IF(COUNTIFS(ETxnType,"پاس چک",ETxnChk,$B333)&gt;0,"پاس شده","پاس نشده"))</f>
        <v/>
      </c>
      <c r="G333" s="15" t="n"/>
    </row>
    <row r="334">
      <c r="A334" s="16">
        <f>IF($B334="","",COUNTA($B$9:$B334))</f>
        <v/>
      </c>
      <c r="B334" s="11" t="n"/>
      <c r="C334" s="11" t="n"/>
      <c r="D334" s="12" t="n"/>
      <c r="E334" s="13" t="n"/>
      <c r="F334" s="17">
        <f>IF($B334="","",IF(COUNTIFS(ETxnType,"پاس چک",ETxnChk,$B334)&gt;0,"پاس شده","پاس نشده"))</f>
        <v/>
      </c>
      <c r="G334" s="15" t="n"/>
    </row>
    <row r="335">
      <c r="A335" s="10">
        <f>IF($B335="","",COUNTA($B$9:$B335))</f>
        <v/>
      </c>
      <c r="B335" s="11" t="n"/>
      <c r="C335" s="11" t="n"/>
      <c r="D335" s="12" t="n"/>
      <c r="E335" s="13" t="n"/>
      <c r="F335" s="14">
        <f>IF($B335="","",IF(COUNTIFS(ETxnType,"پاس چک",ETxnChk,$B335)&gt;0,"پاس شده","پاس نشده"))</f>
        <v/>
      </c>
      <c r="G335" s="15" t="n"/>
    </row>
    <row r="336">
      <c r="A336" s="16">
        <f>IF($B336="","",COUNTA($B$9:$B336))</f>
        <v/>
      </c>
      <c r="B336" s="11" t="n"/>
      <c r="C336" s="11" t="n"/>
      <c r="D336" s="12" t="n"/>
      <c r="E336" s="13" t="n"/>
      <c r="F336" s="17">
        <f>IF($B336="","",IF(COUNTIFS(ETxnType,"پاس چک",ETxnChk,$B336)&gt;0,"پاس شده","پاس نشده"))</f>
        <v/>
      </c>
      <c r="G336" s="15" t="n"/>
    </row>
    <row r="337">
      <c r="A337" s="10">
        <f>IF($B337="","",COUNTA($B$9:$B337))</f>
        <v/>
      </c>
      <c r="B337" s="11" t="n"/>
      <c r="C337" s="11" t="n"/>
      <c r="D337" s="12" t="n"/>
      <c r="E337" s="13" t="n"/>
      <c r="F337" s="14">
        <f>IF($B337="","",IF(COUNTIFS(ETxnType,"پاس چک",ETxnChk,$B337)&gt;0,"پاس شده","پاس نشده"))</f>
        <v/>
      </c>
      <c r="G337" s="15" t="n"/>
    </row>
    <row r="338">
      <c r="A338" s="16">
        <f>IF($B338="","",COUNTA($B$9:$B338))</f>
        <v/>
      </c>
      <c r="B338" s="11" t="n"/>
      <c r="C338" s="11" t="n"/>
      <c r="D338" s="12" t="n"/>
      <c r="E338" s="13" t="n"/>
      <c r="F338" s="17">
        <f>IF($B338="","",IF(COUNTIFS(ETxnType,"پاس چک",ETxnChk,$B338)&gt;0,"پاس شده","پاس نشده"))</f>
        <v/>
      </c>
      <c r="G338" s="15" t="n"/>
    </row>
    <row r="339">
      <c r="A339" s="10">
        <f>IF($B339="","",COUNTA($B$9:$B339))</f>
        <v/>
      </c>
      <c r="B339" s="11" t="n"/>
      <c r="C339" s="11" t="n"/>
      <c r="D339" s="12" t="n"/>
      <c r="E339" s="13" t="n"/>
      <c r="F339" s="14">
        <f>IF($B339="","",IF(COUNTIFS(ETxnType,"پاس چک",ETxnChk,$B339)&gt;0,"پاس شده","پاس نشده"))</f>
        <v/>
      </c>
      <c r="G339" s="15" t="n"/>
    </row>
    <row r="340">
      <c r="A340" s="16">
        <f>IF($B340="","",COUNTA($B$9:$B340))</f>
        <v/>
      </c>
      <c r="B340" s="11" t="n"/>
      <c r="C340" s="11" t="n"/>
      <c r="D340" s="12" t="n"/>
      <c r="E340" s="13" t="n"/>
      <c r="F340" s="17">
        <f>IF($B340="","",IF(COUNTIFS(ETxnType,"پاس چک",ETxnChk,$B340)&gt;0,"پاس شده","پاس نشده"))</f>
        <v/>
      </c>
      <c r="G340" s="15" t="n"/>
    </row>
    <row r="341">
      <c r="A341" s="10">
        <f>IF($B341="","",COUNTA($B$9:$B341))</f>
        <v/>
      </c>
      <c r="B341" s="11" t="n"/>
      <c r="C341" s="11" t="n"/>
      <c r="D341" s="12" t="n"/>
      <c r="E341" s="13" t="n"/>
      <c r="F341" s="14">
        <f>IF($B341="","",IF(COUNTIFS(ETxnType,"پاس چک",ETxnChk,$B341)&gt;0,"پاس شده","پاس نشده"))</f>
        <v/>
      </c>
      <c r="G341" s="15" t="n"/>
    </row>
    <row r="342">
      <c r="A342" s="16">
        <f>IF($B342="","",COUNTA($B$9:$B342))</f>
        <v/>
      </c>
      <c r="B342" s="11" t="n"/>
      <c r="C342" s="11" t="n"/>
      <c r="D342" s="12" t="n"/>
      <c r="E342" s="13" t="n"/>
      <c r="F342" s="17">
        <f>IF($B342="","",IF(COUNTIFS(ETxnType,"پاس چک",ETxnChk,$B342)&gt;0,"پاس شده","پاس نشده"))</f>
        <v/>
      </c>
      <c r="G342" s="15" t="n"/>
    </row>
    <row r="343">
      <c r="A343" s="10">
        <f>IF($B343="","",COUNTA($B$9:$B343))</f>
        <v/>
      </c>
      <c r="B343" s="11" t="n"/>
      <c r="C343" s="11" t="n"/>
      <c r="D343" s="12" t="n"/>
      <c r="E343" s="13" t="n"/>
      <c r="F343" s="14">
        <f>IF($B343="","",IF(COUNTIFS(ETxnType,"پاس چک",ETxnChk,$B343)&gt;0,"پاس شده","پاس نشده"))</f>
        <v/>
      </c>
      <c r="G343" s="15" t="n"/>
    </row>
    <row r="344">
      <c r="A344" s="16">
        <f>IF($B344="","",COUNTA($B$9:$B344))</f>
        <v/>
      </c>
      <c r="B344" s="11" t="n"/>
      <c r="C344" s="11" t="n"/>
      <c r="D344" s="12" t="n"/>
      <c r="E344" s="13" t="n"/>
      <c r="F344" s="17">
        <f>IF($B344="","",IF(COUNTIFS(ETxnType,"پاس چک",ETxnChk,$B344)&gt;0,"پاس شده","پاس نشده"))</f>
        <v/>
      </c>
      <c r="G344" s="15" t="n"/>
    </row>
    <row r="345">
      <c r="A345" s="10">
        <f>IF($B345="","",COUNTA($B$9:$B345))</f>
        <v/>
      </c>
      <c r="B345" s="11" t="n"/>
      <c r="C345" s="11" t="n"/>
      <c r="D345" s="12" t="n"/>
      <c r="E345" s="13" t="n"/>
      <c r="F345" s="14">
        <f>IF($B345="","",IF(COUNTIFS(ETxnType,"پاس چک",ETxnChk,$B345)&gt;0,"پاس شده","پاس نشده"))</f>
        <v/>
      </c>
      <c r="G345" s="15" t="n"/>
    </row>
    <row r="346">
      <c r="A346" s="16">
        <f>IF($B346="","",COUNTA($B$9:$B346))</f>
        <v/>
      </c>
      <c r="B346" s="11" t="n"/>
      <c r="C346" s="11" t="n"/>
      <c r="D346" s="12" t="n"/>
      <c r="E346" s="13" t="n"/>
      <c r="F346" s="17">
        <f>IF($B346="","",IF(COUNTIFS(ETxnType,"پاس چک",ETxnChk,$B346)&gt;0,"پاس شده","پاس نشده"))</f>
        <v/>
      </c>
      <c r="G346" s="15" t="n"/>
    </row>
    <row r="347">
      <c r="A347" s="10">
        <f>IF($B347="","",COUNTA($B$9:$B347))</f>
        <v/>
      </c>
      <c r="B347" s="11" t="n"/>
      <c r="C347" s="11" t="n"/>
      <c r="D347" s="12" t="n"/>
      <c r="E347" s="13" t="n"/>
      <c r="F347" s="14">
        <f>IF($B347="","",IF(COUNTIFS(ETxnType,"پاس چک",ETxnChk,$B347)&gt;0,"پاس شده","پاس نشده"))</f>
        <v/>
      </c>
      <c r="G347" s="15" t="n"/>
    </row>
    <row r="348">
      <c r="A348" s="16">
        <f>IF($B348="","",COUNTA($B$9:$B348))</f>
        <v/>
      </c>
      <c r="B348" s="11" t="n"/>
      <c r="C348" s="11" t="n"/>
      <c r="D348" s="12" t="n"/>
      <c r="E348" s="13" t="n"/>
      <c r="F348" s="17">
        <f>IF($B348="","",IF(COUNTIFS(ETxnType,"پاس چک",ETxnChk,$B348)&gt;0,"پاس شده","پاس نشده"))</f>
        <v/>
      </c>
      <c r="G348" s="15" t="n"/>
    </row>
    <row r="349">
      <c r="A349" s="10">
        <f>IF($B349="","",COUNTA($B$9:$B349))</f>
        <v/>
      </c>
      <c r="B349" s="11" t="n"/>
      <c r="C349" s="11" t="n"/>
      <c r="D349" s="12" t="n"/>
      <c r="E349" s="13" t="n"/>
      <c r="F349" s="14">
        <f>IF($B349="","",IF(COUNTIFS(ETxnType,"پاس چک",ETxnChk,$B349)&gt;0,"پاس شده","پاس نشده"))</f>
        <v/>
      </c>
      <c r="G349" s="15" t="n"/>
    </row>
    <row r="350">
      <c r="A350" s="16">
        <f>IF($B350="","",COUNTA($B$9:$B350))</f>
        <v/>
      </c>
      <c r="B350" s="11" t="n"/>
      <c r="C350" s="11" t="n"/>
      <c r="D350" s="12" t="n"/>
      <c r="E350" s="13" t="n"/>
      <c r="F350" s="17">
        <f>IF($B350="","",IF(COUNTIFS(ETxnType,"پاس چک",ETxnChk,$B350)&gt;0,"پاس شده","پاس نشده"))</f>
        <v/>
      </c>
      <c r="G350" s="15" t="n"/>
    </row>
    <row r="351">
      <c r="A351" s="10">
        <f>IF($B351="","",COUNTA($B$9:$B351))</f>
        <v/>
      </c>
      <c r="B351" s="11" t="n"/>
      <c r="C351" s="11" t="n"/>
      <c r="D351" s="12" t="n"/>
      <c r="E351" s="13" t="n"/>
      <c r="F351" s="14">
        <f>IF($B351="","",IF(COUNTIFS(ETxnType,"پاس چک",ETxnChk,$B351)&gt;0,"پاس شده","پاس نشده"))</f>
        <v/>
      </c>
      <c r="G351" s="15" t="n"/>
    </row>
    <row r="352">
      <c r="A352" s="16">
        <f>IF($B352="","",COUNTA($B$9:$B352))</f>
        <v/>
      </c>
      <c r="B352" s="11" t="n"/>
      <c r="C352" s="11" t="n"/>
      <c r="D352" s="12" t="n"/>
      <c r="E352" s="13" t="n"/>
      <c r="F352" s="17">
        <f>IF($B352="","",IF(COUNTIFS(ETxnType,"پاس چک",ETxnChk,$B352)&gt;0,"پاس شده","پاس نشده"))</f>
        <v/>
      </c>
      <c r="G352" s="15" t="n"/>
    </row>
    <row r="353">
      <c r="A353" s="10">
        <f>IF($B353="","",COUNTA($B$9:$B353))</f>
        <v/>
      </c>
      <c r="B353" s="11" t="n"/>
      <c r="C353" s="11" t="n"/>
      <c r="D353" s="12" t="n"/>
      <c r="E353" s="13" t="n"/>
      <c r="F353" s="14">
        <f>IF($B353="","",IF(COUNTIFS(ETxnType,"پاس چک",ETxnChk,$B353)&gt;0,"پاس شده","پاس نشده"))</f>
        <v/>
      </c>
      <c r="G353" s="15" t="n"/>
    </row>
    <row r="354">
      <c r="A354" s="16">
        <f>IF($B354="","",COUNTA($B$9:$B354))</f>
        <v/>
      </c>
      <c r="B354" s="11" t="n"/>
      <c r="C354" s="11" t="n"/>
      <c r="D354" s="12" t="n"/>
      <c r="E354" s="13" t="n"/>
      <c r="F354" s="17">
        <f>IF($B354="","",IF(COUNTIFS(ETxnType,"پاس چک",ETxnChk,$B354)&gt;0,"پاس شده","پاس نشده"))</f>
        <v/>
      </c>
      <c r="G354" s="15" t="n"/>
    </row>
    <row r="355">
      <c r="A355" s="10">
        <f>IF($B355="","",COUNTA($B$9:$B355))</f>
        <v/>
      </c>
      <c r="B355" s="11" t="n"/>
      <c r="C355" s="11" t="n"/>
      <c r="D355" s="12" t="n"/>
      <c r="E355" s="13" t="n"/>
      <c r="F355" s="14">
        <f>IF($B355="","",IF(COUNTIFS(ETxnType,"پاس چک",ETxnChk,$B355)&gt;0,"پاس شده","پاس نشده"))</f>
        <v/>
      </c>
      <c r="G355" s="15" t="n"/>
    </row>
    <row r="356">
      <c r="A356" s="16">
        <f>IF($B356="","",COUNTA($B$9:$B356))</f>
        <v/>
      </c>
      <c r="B356" s="11" t="n"/>
      <c r="C356" s="11" t="n"/>
      <c r="D356" s="12" t="n"/>
      <c r="E356" s="13" t="n"/>
      <c r="F356" s="17">
        <f>IF($B356="","",IF(COUNTIFS(ETxnType,"پاس چک",ETxnChk,$B356)&gt;0,"پاس شده","پاس نشده"))</f>
        <v/>
      </c>
      <c r="G356" s="15" t="n"/>
    </row>
    <row r="357">
      <c r="A357" s="10">
        <f>IF($B357="","",COUNTA($B$9:$B357))</f>
        <v/>
      </c>
      <c r="B357" s="11" t="n"/>
      <c r="C357" s="11" t="n"/>
      <c r="D357" s="12" t="n"/>
      <c r="E357" s="13" t="n"/>
      <c r="F357" s="14">
        <f>IF($B357="","",IF(COUNTIFS(ETxnType,"پاس چک",ETxnChk,$B357)&gt;0,"پاس شده","پاس نشده"))</f>
        <v/>
      </c>
      <c r="G357" s="15" t="n"/>
    </row>
    <row r="358">
      <c r="A358" s="16">
        <f>IF($B358="","",COUNTA($B$9:$B358))</f>
        <v/>
      </c>
      <c r="B358" s="11" t="n"/>
      <c r="C358" s="11" t="n"/>
      <c r="D358" s="12" t="n"/>
      <c r="E358" s="13" t="n"/>
      <c r="F358" s="17">
        <f>IF($B358="","",IF(COUNTIFS(ETxnType,"پاس چک",ETxnChk,$B358)&gt;0,"پاس شده","پاس نشده"))</f>
        <v/>
      </c>
      <c r="G358" s="15" t="n"/>
    </row>
    <row r="359">
      <c r="A359" s="10">
        <f>IF($B359="","",COUNTA($B$9:$B359))</f>
        <v/>
      </c>
      <c r="B359" s="11" t="n"/>
      <c r="C359" s="11" t="n"/>
      <c r="D359" s="12" t="n"/>
      <c r="E359" s="13" t="n"/>
      <c r="F359" s="14">
        <f>IF($B359="","",IF(COUNTIFS(ETxnType,"پاس چک",ETxnChk,$B359)&gt;0,"پاس شده","پاس نشده"))</f>
        <v/>
      </c>
      <c r="G359" s="15" t="n"/>
    </row>
    <row r="360">
      <c r="A360" s="16">
        <f>IF($B360="","",COUNTA($B$9:$B360))</f>
        <v/>
      </c>
      <c r="B360" s="11" t="n"/>
      <c r="C360" s="11" t="n"/>
      <c r="D360" s="12" t="n"/>
      <c r="E360" s="13" t="n"/>
      <c r="F360" s="17">
        <f>IF($B360="","",IF(COUNTIFS(ETxnType,"پاس چک",ETxnChk,$B360)&gt;0,"پاس شده","پاس نشده"))</f>
        <v/>
      </c>
      <c r="G360" s="15" t="n"/>
    </row>
    <row r="361">
      <c r="A361" s="10">
        <f>IF($B361="","",COUNTA($B$9:$B361))</f>
        <v/>
      </c>
      <c r="B361" s="11" t="n"/>
      <c r="C361" s="11" t="n"/>
      <c r="D361" s="12" t="n"/>
      <c r="E361" s="13" t="n"/>
      <c r="F361" s="14">
        <f>IF($B361="","",IF(COUNTIFS(ETxnType,"پاس چک",ETxnChk,$B361)&gt;0,"پاس شده","پاس نشده"))</f>
        <v/>
      </c>
      <c r="G361" s="15" t="n"/>
    </row>
    <row r="362">
      <c r="A362" s="16">
        <f>IF($B362="","",COUNTA($B$9:$B362))</f>
        <v/>
      </c>
      <c r="B362" s="11" t="n"/>
      <c r="C362" s="11" t="n"/>
      <c r="D362" s="12" t="n"/>
      <c r="E362" s="13" t="n"/>
      <c r="F362" s="17">
        <f>IF($B362="","",IF(COUNTIFS(ETxnType,"پاس چک",ETxnChk,$B362)&gt;0,"پاس شده","پاس نشده"))</f>
        <v/>
      </c>
      <c r="G362" s="15" t="n"/>
    </row>
    <row r="363">
      <c r="A363" s="10">
        <f>IF($B363="","",COUNTA($B$9:$B363))</f>
        <v/>
      </c>
      <c r="B363" s="11" t="n"/>
      <c r="C363" s="11" t="n"/>
      <c r="D363" s="12" t="n"/>
      <c r="E363" s="13" t="n"/>
      <c r="F363" s="14">
        <f>IF($B363="","",IF(COUNTIFS(ETxnType,"پاس چک",ETxnChk,$B363)&gt;0,"پاس شده","پاس نشده"))</f>
        <v/>
      </c>
      <c r="G363" s="15" t="n"/>
    </row>
    <row r="364">
      <c r="A364" s="16">
        <f>IF($B364="","",COUNTA($B$9:$B364))</f>
        <v/>
      </c>
      <c r="B364" s="11" t="n"/>
      <c r="C364" s="11" t="n"/>
      <c r="D364" s="12" t="n"/>
      <c r="E364" s="13" t="n"/>
      <c r="F364" s="17">
        <f>IF($B364="","",IF(COUNTIFS(ETxnType,"پاس چک",ETxnChk,$B364)&gt;0,"پاس شده","پاس نشده"))</f>
        <v/>
      </c>
      <c r="G364" s="15" t="n"/>
    </row>
    <row r="365">
      <c r="A365" s="10">
        <f>IF($B365="","",COUNTA($B$9:$B365))</f>
        <v/>
      </c>
      <c r="B365" s="11" t="n"/>
      <c r="C365" s="11" t="n"/>
      <c r="D365" s="12" t="n"/>
      <c r="E365" s="13" t="n"/>
      <c r="F365" s="14">
        <f>IF($B365="","",IF(COUNTIFS(ETxnType,"پاس چک",ETxnChk,$B365)&gt;0,"پاس شده","پاس نشده"))</f>
        <v/>
      </c>
      <c r="G365" s="15" t="n"/>
    </row>
    <row r="366">
      <c r="A366" s="16">
        <f>IF($B366="","",COUNTA($B$9:$B366))</f>
        <v/>
      </c>
      <c r="B366" s="11" t="n"/>
      <c r="C366" s="11" t="n"/>
      <c r="D366" s="12" t="n"/>
      <c r="E366" s="13" t="n"/>
      <c r="F366" s="17">
        <f>IF($B366="","",IF(COUNTIFS(ETxnType,"پاس چک",ETxnChk,$B366)&gt;0,"پاس شده","پاس نشده"))</f>
        <v/>
      </c>
      <c r="G366" s="15" t="n"/>
    </row>
    <row r="367">
      <c r="A367" s="10">
        <f>IF($B367="","",COUNTA($B$9:$B367))</f>
        <v/>
      </c>
      <c r="B367" s="11" t="n"/>
      <c r="C367" s="11" t="n"/>
      <c r="D367" s="12" t="n"/>
      <c r="E367" s="13" t="n"/>
      <c r="F367" s="14">
        <f>IF($B367="","",IF(COUNTIFS(ETxnType,"پاس چک",ETxnChk,$B367)&gt;0,"پاس شده","پاس نشده"))</f>
        <v/>
      </c>
      <c r="G367" s="15" t="n"/>
    </row>
    <row r="368">
      <c r="A368" s="16">
        <f>IF($B368="","",COUNTA($B$9:$B368))</f>
        <v/>
      </c>
      <c r="B368" s="11" t="n"/>
      <c r="C368" s="11" t="n"/>
      <c r="D368" s="12" t="n"/>
      <c r="E368" s="13" t="n"/>
      <c r="F368" s="17">
        <f>IF($B368="","",IF(COUNTIFS(ETxnType,"پاس چک",ETxnChk,$B368)&gt;0,"پاس شده","پاس نشده"))</f>
        <v/>
      </c>
      <c r="G368" s="15" t="n"/>
    </row>
    <row r="369">
      <c r="A369" s="10">
        <f>IF($B369="","",COUNTA($B$9:$B369))</f>
        <v/>
      </c>
      <c r="B369" s="11" t="n"/>
      <c r="C369" s="11" t="n"/>
      <c r="D369" s="12" t="n"/>
      <c r="E369" s="13" t="n"/>
      <c r="F369" s="14">
        <f>IF($B369="","",IF(COUNTIFS(ETxnType,"پاس چک",ETxnChk,$B369)&gt;0,"پاس شده","پاس نشده"))</f>
        <v/>
      </c>
      <c r="G369" s="15" t="n"/>
    </row>
    <row r="370">
      <c r="A370" s="16">
        <f>IF($B370="","",COUNTA($B$9:$B370))</f>
        <v/>
      </c>
      <c r="B370" s="11" t="n"/>
      <c r="C370" s="11" t="n"/>
      <c r="D370" s="12" t="n"/>
      <c r="E370" s="13" t="n"/>
      <c r="F370" s="17">
        <f>IF($B370="","",IF(COUNTIFS(ETxnType,"پاس چک",ETxnChk,$B370)&gt;0,"پاس شده","پاس نشده"))</f>
        <v/>
      </c>
      <c r="G370" s="15" t="n"/>
    </row>
    <row r="371">
      <c r="A371" s="10">
        <f>IF($B371="","",COUNTA($B$9:$B371))</f>
        <v/>
      </c>
      <c r="B371" s="11" t="n"/>
      <c r="C371" s="11" t="n"/>
      <c r="D371" s="12" t="n"/>
      <c r="E371" s="13" t="n"/>
      <c r="F371" s="14">
        <f>IF($B371="","",IF(COUNTIFS(ETxnType,"پاس چک",ETxnChk,$B371)&gt;0,"پاس شده","پاس نشده"))</f>
        <v/>
      </c>
      <c r="G371" s="15" t="n"/>
    </row>
    <row r="372">
      <c r="A372" s="16">
        <f>IF($B372="","",COUNTA($B$9:$B372))</f>
        <v/>
      </c>
      <c r="B372" s="11" t="n"/>
      <c r="C372" s="11" t="n"/>
      <c r="D372" s="12" t="n"/>
      <c r="E372" s="13" t="n"/>
      <c r="F372" s="17">
        <f>IF($B372="","",IF(COUNTIFS(ETxnType,"پاس چک",ETxnChk,$B372)&gt;0,"پاس شده","پاس نشده"))</f>
        <v/>
      </c>
      <c r="G372" s="15" t="n"/>
    </row>
    <row r="373">
      <c r="A373" s="10">
        <f>IF($B373="","",COUNTA($B$9:$B373))</f>
        <v/>
      </c>
      <c r="B373" s="11" t="n"/>
      <c r="C373" s="11" t="n"/>
      <c r="D373" s="12" t="n"/>
      <c r="E373" s="13" t="n"/>
      <c r="F373" s="14">
        <f>IF($B373="","",IF(COUNTIFS(ETxnType,"پاس چک",ETxnChk,$B373)&gt;0,"پاس شده","پاس نشده"))</f>
        <v/>
      </c>
      <c r="G373" s="15" t="n"/>
    </row>
    <row r="374">
      <c r="A374" s="16">
        <f>IF($B374="","",COUNTA($B$9:$B374))</f>
        <v/>
      </c>
      <c r="B374" s="11" t="n"/>
      <c r="C374" s="11" t="n"/>
      <c r="D374" s="12" t="n"/>
      <c r="E374" s="13" t="n"/>
      <c r="F374" s="17">
        <f>IF($B374="","",IF(COUNTIFS(ETxnType,"پاس چک",ETxnChk,$B374)&gt;0,"پاس شده","پاس نشده"))</f>
        <v/>
      </c>
      <c r="G374" s="15" t="n"/>
    </row>
    <row r="375">
      <c r="A375" s="10">
        <f>IF($B375="","",COUNTA($B$9:$B375))</f>
        <v/>
      </c>
      <c r="B375" s="11" t="n"/>
      <c r="C375" s="11" t="n"/>
      <c r="D375" s="12" t="n"/>
      <c r="E375" s="13" t="n"/>
      <c r="F375" s="14">
        <f>IF($B375="","",IF(COUNTIFS(ETxnType,"پاس چک",ETxnChk,$B375)&gt;0,"پاس شده","پاس نشده"))</f>
        <v/>
      </c>
      <c r="G375" s="15" t="n"/>
    </row>
    <row r="376">
      <c r="A376" s="16">
        <f>IF($B376="","",COUNTA($B$9:$B376))</f>
        <v/>
      </c>
      <c r="B376" s="11" t="n"/>
      <c r="C376" s="11" t="n"/>
      <c r="D376" s="12" t="n"/>
      <c r="E376" s="13" t="n"/>
      <c r="F376" s="17">
        <f>IF($B376="","",IF(COUNTIFS(ETxnType,"پاس چک",ETxnChk,$B376)&gt;0,"پاس شده","پاس نشده"))</f>
        <v/>
      </c>
      <c r="G376" s="15" t="n"/>
    </row>
    <row r="377">
      <c r="A377" s="10">
        <f>IF($B377="","",COUNTA($B$9:$B377))</f>
        <v/>
      </c>
      <c r="B377" s="11" t="n"/>
      <c r="C377" s="11" t="n"/>
      <c r="D377" s="12" t="n"/>
      <c r="E377" s="13" t="n"/>
      <c r="F377" s="14">
        <f>IF($B377="","",IF(COUNTIFS(ETxnType,"پاس چک",ETxnChk,$B377)&gt;0,"پاس شده","پاس نشده"))</f>
        <v/>
      </c>
      <c r="G377" s="15" t="n"/>
    </row>
    <row r="378">
      <c r="A378" s="16">
        <f>IF($B378="","",COUNTA($B$9:$B378))</f>
        <v/>
      </c>
      <c r="B378" s="11" t="n"/>
      <c r="C378" s="11" t="n"/>
      <c r="D378" s="12" t="n"/>
      <c r="E378" s="13" t="n"/>
      <c r="F378" s="17">
        <f>IF($B378="","",IF(COUNTIFS(ETxnType,"پاس چک",ETxnChk,$B378)&gt;0,"پاس شده","پاس نشده"))</f>
        <v/>
      </c>
      <c r="G378" s="15" t="n"/>
    </row>
    <row r="379">
      <c r="A379" s="10">
        <f>IF($B379="","",COUNTA($B$9:$B379))</f>
        <v/>
      </c>
      <c r="B379" s="11" t="n"/>
      <c r="C379" s="11" t="n"/>
      <c r="D379" s="12" t="n"/>
      <c r="E379" s="13" t="n"/>
      <c r="F379" s="14">
        <f>IF($B379="","",IF(COUNTIFS(ETxnType,"پاس چک",ETxnChk,$B379)&gt;0,"پاس شده","پاس نشده"))</f>
        <v/>
      </c>
      <c r="G379" s="15" t="n"/>
    </row>
    <row r="380">
      <c r="A380" s="16">
        <f>IF($B380="","",COUNTA($B$9:$B380))</f>
        <v/>
      </c>
      <c r="B380" s="11" t="n"/>
      <c r="C380" s="11" t="n"/>
      <c r="D380" s="12" t="n"/>
      <c r="E380" s="13" t="n"/>
      <c r="F380" s="17">
        <f>IF($B380="","",IF(COUNTIFS(ETxnType,"پاس چک",ETxnChk,$B380)&gt;0,"پاس شده","پاس نشده"))</f>
        <v/>
      </c>
      <c r="G380" s="15" t="n"/>
    </row>
    <row r="381">
      <c r="A381" s="10">
        <f>IF($B381="","",COUNTA($B$9:$B381))</f>
        <v/>
      </c>
      <c r="B381" s="11" t="n"/>
      <c r="C381" s="11" t="n"/>
      <c r="D381" s="12" t="n"/>
      <c r="E381" s="13" t="n"/>
      <c r="F381" s="14">
        <f>IF($B381="","",IF(COUNTIFS(ETxnType,"پاس چک",ETxnChk,$B381)&gt;0,"پاس شده","پاس نشده"))</f>
        <v/>
      </c>
      <c r="G381" s="15" t="n"/>
    </row>
    <row r="382">
      <c r="A382" s="16">
        <f>IF($B382="","",COUNTA($B$9:$B382))</f>
        <v/>
      </c>
      <c r="B382" s="11" t="n"/>
      <c r="C382" s="11" t="n"/>
      <c r="D382" s="12" t="n"/>
      <c r="E382" s="13" t="n"/>
      <c r="F382" s="17">
        <f>IF($B382="","",IF(COUNTIFS(ETxnType,"پاس چک",ETxnChk,$B382)&gt;0,"پاس شده","پاس نشده"))</f>
        <v/>
      </c>
      <c r="G382" s="15" t="n"/>
    </row>
    <row r="383">
      <c r="A383" s="10">
        <f>IF($B383="","",COUNTA($B$9:$B383))</f>
        <v/>
      </c>
      <c r="B383" s="11" t="n"/>
      <c r="C383" s="11" t="n"/>
      <c r="D383" s="12" t="n"/>
      <c r="E383" s="13" t="n"/>
      <c r="F383" s="14">
        <f>IF($B383="","",IF(COUNTIFS(ETxnType,"پاس چک",ETxnChk,$B383)&gt;0,"پاس شده","پاس نشده"))</f>
        <v/>
      </c>
      <c r="G383" s="15" t="n"/>
    </row>
    <row r="384">
      <c r="A384" s="16">
        <f>IF($B384="","",COUNTA($B$9:$B384))</f>
        <v/>
      </c>
      <c r="B384" s="11" t="n"/>
      <c r="C384" s="11" t="n"/>
      <c r="D384" s="12" t="n"/>
      <c r="E384" s="13" t="n"/>
      <c r="F384" s="17">
        <f>IF($B384="","",IF(COUNTIFS(ETxnType,"پاس چک",ETxnChk,$B384)&gt;0,"پاس شده","پاس نشده"))</f>
        <v/>
      </c>
      <c r="G384" s="15" t="n"/>
    </row>
    <row r="385">
      <c r="A385" s="10">
        <f>IF($B385="","",COUNTA($B$9:$B385))</f>
        <v/>
      </c>
      <c r="B385" s="11" t="n"/>
      <c r="C385" s="11" t="n"/>
      <c r="D385" s="12" t="n"/>
      <c r="E385" s="13" t="n"/>
      <c r="F385" s="14">
        <f>IF($B385="","",IF(COUNTIFS(ETxnType,"پاس چک",ETxnChk,$B385)&gt;0,"پاس شده","پاس نشده"))</f>
        <v/>
      </c>
      <c r="G385" s="15" t="n"/>
    </row>
    <row r="386">
      <c r="A386" s="16">
        <f>IF($B386="","",COUNTA($B$9:$B386))</f>
        <v/>
      </c>
      <c r="B386" s="11" t="n"/>
      <c r="C386" s="11" t="n"/>
      <c r="D386" s="12" t="n"/>
      <c r="E386" s="13" t="n"/>
      <c r="F386" s="17">
        <f>IF($B386="","",IF(COUNTIFS(ETxnType,"پاس چک",ETxnChk,$B386)&gt;0,"پاس شده","پاس نشده"))</f>
        <v/>
      </c>
      <c r="G386" s="15" t="n"/>
    </row>
    <row r="387">
      <c r="A387" s="10">
        <f>IF($B387="","",COUNTA($B$9:$B387))</f>
        <v/>
      </c>
      <c r="B387" s="11" t="n"/>
      <c r="C387" s="11" t="n"/>
      <c r="D387" s="12" t="n"/>
      <c r="E387" s="13" t="n"/>
      <c r="F387" s="14">
        <f>IF($B387="","",IF(COUNTIFS(ETxnType,"پاس چک",ETxnChk,$B387)&gt;0,"پاس شده","پاس نشده"))</f>
        <v/>
      </c>
      <c r="G387" s="15" t="n"/>
    </row>
    <row r="388">
      <c r="A388" s="16">
        <f>IF($B388="","",COUNTA($B$9:$B388))</f>
        <v/>
      </c>
      <c r="B388" s="11" t="n"/>
      <c r="C388" s="11" t="n"/>
      <c r="D388" s="12" t="n"/>
      <c r="E388" s="13" t="n"/>
      <c r="F388" s="17">
        <f>IF($B388="","",IF(COUNTIFS(ETxnType,"پاس چک",ETxnChk,$B388)&gt;0,"پاس شده","پاس نشده"))</f>
        <v/>
      </c>
      <c r="G388" s="15" t="n"/>
    </row>
    <row r="389">
      <c r="A389" s="10">
        <f>IF($B389="","",COUNTA($B$9:$B389))</f>
        <v/>
      </c>
      <c r="B389" s="11" t="n"/>
      <c r="C389" s="11" t="n"/>
      <c r="D389" s="12" t="n"/>
      <c r="E389" s="13" t="n"/>
      <c r="F389" s="14">
        <f>IF($B389="","",IF(COUNTIFS(ETxnType,"پاس چک",ETxnChk,$B389)&gt;0,"پاس شده","پاس نشده"))</f>
        <v/>
      </c>
      <c r="G389" s="15" t="n"/>
    </row>
    <row r="390">
      <c r="A390" s="16">
        <f>IF($B390="","",COUNTA($B$9:$B390))</f>
        <v/>
      </c>
      <c r="B390" s="11" t="n"/>
      <c r="C390" s="11" t="n"/>
      <c r="D390" s="12" t="n"/>
      <c r="E390" s="13" t="n"/>
      <c r="F390" s="17">
        <f>IF($B390="","",IF(COUNTIFS(ETxnType,"پاس چک",ETxnChk,$B390)&gt;0,"پاس شده","پاس نشده"))</f>
        <v/>
      </c>
      <c r="G390" s="15" t="n"/>
    </row>
    <row r="391">
      <c r="A391" s="10">
        <f>IF($B391="","",COUNTA($B$9:$B391))</f>
        <v/>
      </c>
      <c r="B391" s="11" t="n"/>
      <c r="C391" s="11" t="n"/>
      <c r="D391" s="12" t="n"/>
      <c r="E391" s="13" t="n"/>
      <c r="F391" s="14">
        <f>IF($B391="","",IF(COUNTIFS(ETxnType,"پاس چک",ETxnChk,$B391)&gt;0,"پاس شده","پاس نشده"))</f>
        <v/>
      </c>
      <c r="G391" s="15" t="n"/>
    </row>
    <row r="392">
      <c r="A392" s="16">
        <f>IF($B392="","",COUNTA($B$9:$B392))</f>
        <v/>
      </c>
      <c r="B392" s="11" t="n"/>
      <c r="C392" s="11" t="n"/>
      <c r="D392" s="12" t="n"/>
      <c r="E392" s="13" t="n"/>
      <c r="F392" s="17">
        <f>IF($B392="","",IF(COUNTIFS(ETxnType,"پاس چک",ETxnChk,$B392)&gt;0,"پاس شده","پاس نشده"))</f>
        <v/>
      </c>
      <c r="G392" s="15" t="n"/>
    </row>
    <row r="393">
      <c r="A393" s="10">
        <f>IF($B393="","",COUNTA($B$9:$B393))</f>
        <v/>
      </c>
      <c r="B393" s="11" t="n"/>
      <c r="C393" s="11" t="n"/>
      <c r="D393" s="12" t="n"/>
      <c r="E393" s="13" t="n"/>
      <c r="F393" s="14">
        <f>IF($B393="","",IF(COUNTIFS(ETxnType,"پاس چک",ETxnChk,$B393)&gt;0,"پاس شده","پاس نشده"))</f>
        <v/>
      </c>
      <c r="G393" s="15" t="n"/>
    </row>
    <row r="394">
      <c r="A394" s="16">
        <f>IF($B394="","",COUNTA($B$9:$B394))</f>
        <v/>
      </c>
      <c r="B394" s="11" t="n"/>
      <c r="C394" s="11" t="n"/>
      <c r="D394" s="12" t="n"/>
      <c r="E394" s="13" t="n"/>
      <c r="F394" s="17">
        <f>IF($B394="","",IF(COUNTIFS(ETxnType,"پاس چک",ETxnChk,$B394)&gt;0,"پاس شده","پاس نشده"))</f>
        <v/>
      </c>
      <c r="G394" s="15" t="n"/>
    </row>
    <row r="395">
      <c r="A395" s="10">
        <f>IF($B395="","",COUNTA($B$9:$B395))</f>
        <v/>
      </c>
      <c r="B395" s="11" t="n"/>
      <c r="C395" s="11" t="n"/>
      <c r="D395" s="12" t="n"/>
      <c r="E395" s="13" t="n"/>
      <c r="F395" s="14">
        <f>IF($B395="","",IF(COUNTIFS(ETxnType,"پاس چک",ETxnChk,$B395)&gt;0,"پاس شده","پاس نشده"))</f>
        <v/>
      </c>
      <c r="G395" s="15" t="n"/>
    </row>
    <row r="396">
      <c r="A396" s="16">
        <f>IF($B396="","",COUNTA($B$9:$B396))</f>
        <v/>
      </c>
      <c r="B396" s="11" t="n"/>
      <c r="C396" s="11" t="n"/>
      <c r="D396" s="12" t="n"/>
      <c r="E396" s="13" t="n"/>
      <c r="F396" s="17">
        <f>IF($B396="","",IF(COUNTIFS(ETxnType,"پاس چک",ETxnChk,$B396)&gt;0,"پاس شده","پاس نشده"))</f>
        <v/>
      </c>
      <c r="G396" s="15" t="n"/>
    </row>
    <row r="397">
      <c r="A397" s="10">
        <f>IF($B397="","",COUNTA($B$9:$B397))</f>
        <v/>
      </c>
      <c r="B397" s="11" t="n"/>
      <c r="C397" s="11" t="n"/>
      <c r="D397" s="12" t="n"/>
      <c r="E397" s="13" t="n"/>
      <c r="F397" s="14">
        <f>IF($B397="","",IF(COUNTIFS(ETxnType,"پاس چک",ETxnChk,$B397)&gt;0,"پاس شده","پاس نشده"))</f>
        <v/>
      </c>
      <c r="G397" s="15" t="n"/>
    </row>
    <row r="398">
      <c r="A398" s="16">
        <f>IF($B398="","",COUNTA($B$9:$B398))</f>
        <v/>
      </c>
      <c r="B398" s="11" t="n"/>
      <c r="C398" s="11" t="n"/>
      <c r="D398" s="12" t="n"/>
      <c r="E398" s="13" t="n"/>
      <c r="F398" s="17">
        <f>IF($B398="","",IF(COUNTIFS(ETxnType,"پاس چک",ETxnChk,$B398)&gt;0,"پاس شده","پاس نشده"))</f>
        <v/>
      </c>
      <c r="G398" s="15" t="n"/>
    </row>
    <row r="399">
      <c r="A399" s="10">
        <f>IF($B399="","",COUNTA($B$9:$B399))</f>
        <v/>
      </c>
      <c r="B399" s="11" t="n"/>
      <c r="C399" s="11" t="n"/>
      <c r="D399" s="12" t="n"/>
      <c r="E399" s="13" t="n"/>
      <c r="F399" s="14">
        <f>IF($B399="","",IF(COUNTIFS(ETxnType,"پاس چک",ETxnChk,$B399)&gt;0,"پاس شده","پاس نشده"))</f>
        <v/>
      </c>
      <c r="G399" s="15" t="n"/>
    </row>
    <row r="400">
      <c r="A400" s="16">
        <f>IF($B400="","",COUNTA($B$9:$B400))</f>
        <v/>
      </c>
      <c r="B400" s="11" t="n"/>
      <c r="C400" s="11" t="n"/>
      <c r="D400" s="12" t="n"/>
      <c r="E400" s="13" t="n"/>
      <c r="F400" s="17">
        <f>IF($B400="","",IF(COUNTIFS(ETxnType,"پاس چک",ETxnChk,$B400)&gt;0,"پاس شده","پاس نشده"))</f>
        <v/>
      </c>
      <c r="G400" s="15" t="n"/>
    </row>
    <row r="401">
      <c r="A401" s="10">
        <f>IF($B401="","",COUNTA($B$9:$B401))</f>
        <v/>
      </c>
      <c r="B401" s="11" t="n"/>
      <c r="C401" s="11" t="n"/>
      <c r="D401" s="12" t="n"/>
      <c r="E401" s="13" t="n"/>
      <c r="F401" s="14">
        <f>IF($B401="","",IF(COUNTIFS(ETxnType,"پاس چک",ETxnChk,$B401)&gt;0,"پاس شده","پاس نشده"))</f>
        <v/>
      </c>
      <c r="G401" s="15" t="n"/>
    </row>
    <row r="402">
      <c r="A402" s="16">
        <f>IF($B402="","",COUNTA($B$9:$B402))</f>
        <v/>
      </c>
      <c r="B402" s="11" t="n"/>
      <c r="C402" s="11" t="n"/>
      <c r="D402" s="12" t="n"/>
      <c r="E402" s="13" t="n"/>
      <c r="F402" s="17">
        <f>IF($B402="","",IF(COUNTIFS(ETxnType,"پاس چک",ETxnChk,$B402)&gt;0,"پاس شده","پاس نشده"))</f>
        <v/>
      </c>
      <c r="G402" s="15" t="n"/>
    </row>
    <row r="403">
      <c r="A403" s="10">
        <f>IF($B403="","",COUNTA($B$9:$B403))</f>
        <v/>
      </c>
      <c r="B403" s="11" t="n"/>
      <c r="C403" s="11" t="n"/>
      <c r="D403" s="12" t="n"/>
      <c r="E403" s="13" t="n"/>
      <c r="F403" s="14">
        <f>IF($B403="","",IF(COUNTIFS(ETxnType,"پاس چک",ETxnChk,$B403)&gt;0,"پاس شده","پاس نشده"))</f>
        <v/>
      </c>
      <c r="G403" s="15" t="n"/>
    </row>
    <row r="404">
      <c r="A404" s="16">
        <f>IF($B404="","",COUNTA($B$9:$B404))</f>
        <v/>
      </c>
      <c r="B404" s="11" t="n"/>
      <c r="C404" s="11" t="n"/>
      <c r="D404" s="12" t="n"/>
      <c r="E404" s="13" t="n"/>
      <c r="F404" s="17">
        <f>IF($B404="","",IF(COUNTIFS(ETxnType,"پاس چک",ETxnChk,$B404)&gt;0,"پاس شده","پاس نشده"))</f>
        <v/>
      </c>
      <c r="G404" s="15" t="n"/>
    </row>
    <row r="405">
      <c r="A405" s="10">
        <f>IF($B405="","",COUNTA($B$9:$B405))</f>
        <v/>
      </c>
      <c r="B405" s="11" t="n"/>
      <c r="C405" s="11" t="n"/>
      <c r="D405" s="12" t="n"/>
      <c r="E405" s="13" t="n"/>
      <c r="F405" s="14">
        <f>IF($B405="","",IF(COUNTIFS(ETxnType,"پاس چک",ETxnChk,$B405)&gt;0,"پاس شده","پاس نشده"))</f>
        <v/>
      </c>
      <c r="G405" s="15" t="n"/>
    </row>
    <row r="406">
      <c r="A406" s="16">
        <f>IF($B406="","",COUNTA($B$9:$B406))</f>
        <v/>
      </c>
      <c r="B406" s="11" t="n"/>
      <c r="C406" s="11" t="n"/>
      <c r="D406" s="12" t="n"/>
      <c r="E406" s="13" t="n"/>
      <c r="F406" s="17">
        <f>IF($B406="","",IF(COUNTIFS(ETxnType,"پاس چک",ETxnChk,$B406)&gt;0,"پاس شده","پاس نشده"))</f>
        <v/>
      </c>
      <c r="G406" s="15" t="n"/>
    </row>
    <row r="407">
      <c r="A407" s="10">
        <f>IF($B407="","",COUNTA($B$9:$B407))</f>
        <v/>
      </c>
      <c r="B407" s="11" t="n"/>
      <c r="C407" s="11" t="n"/>
      <c r="D407" s="12" t="n"/>
      <c r="E407" s="13" t="n"/>
      <c r="F407" s="14">
        <f>IF($B407="","",IF(COUNTIFS(ETxnType,"پاس چک",ETxnChk,$B407)&gt;0,"پاس شده","پاس نشده"))</f>
        <v/>
      </c>
      <c r="G407" s="15" t="n"/>
    </row>
    <row r="408">
      <c r="A408" s="16">
        <f>IF($B408="","",COUNTA($B$9:$B408))</f>
        <v/>
      </c>
      <c r="B408" s="11" t="n"/>
      <c r="C408" s="11" t="n"/>
      <c r="D408" s="12" t="n"/>
      <c r="E408" s="13" t="n"/>
      <c r="F408" s="17">
        <f>IF($B408="","",IF(COUNTIFS(ETxnType,"پاس چک",ETxnChk,$B408)&gt;0,"پاس شده","پاس نشده"))</f>
        <v/>
      </c>
      <c r="G408" s="15" t="n"/>
    </row>
    <row r="409">
      <c r="A409" s="10">
        <f>IF($B409="","",COUNTA($B$9:$B409))</f>
        <v/>
      </c>
      <c r="B409" s="11" t="n"/>
      <c r="C409" s="11" t="n"/>
      <c r="D409" s="12" t="n"/>
      <c r="E409" s="13" t="n"/>
      <c r="F409" s="14">
        <f>IF($B409="","",IF(COUNTIFS(ETxnType,"پاس چک",ETxnChk,$B409)&gt;0,"پاس شده","پاس نشده"))</f>
        <v/>
      </c>
      <c r="G409" s="15" t="n"/>
    </row>
    <row r="410">
      <c r="A410" s="16">
        <f>IF($B410="","",COUNTA($B$9:$B410))</f>
        <v/>
      </c>
      <c r="B410" s="11" t="n"/>
      <c r="C410" s="11" t="n"/>
      <c r="D410" s="12" t="n"/>
      <c r="E410" s="13" t="n"/>
      <c r="F410" s="17">
        <f>IF($B410="","",IF(COUNTIFS(ETxnType,"پاس چک",ETxnChk,$B410)&gt;0,"پاس شده","پاس نشده"))</f>
        <v/>
      </c>
      <c r="G410" s="15" t="n"/>
    </row>
    <row r="411">
      <c r="A411" s="10">
        <f>IF($B411="","",COUNTA($B$9:$B411))</f>
        <v/>
      </c>
      <c r="B411" s="11" t="n"/>
      <c r="C411" s="11" t="n"/>
      <c r="D411" s="12" t="n"/>
      <c r="E411" s="13" t="n"/>
      <c r="F411" s="14">
        <f>IF($B411="","",IF(COUNTIFS(ETxnType,"پاس چک",ETxnChk,$B411)&gt;0,"پاس شده","پاس نشده"))</f>
        <v/>
      </c>
      <c r="G411" s="15" t="n"/>
    </row>
    <row r="412">
      <c r="A412" s="16">
        <f>IF($B412="","",COUNTA($B$9:$B412))</f>
        <v/>
      </c>
      <c r="B412" s="11" t="n"/>
      <c r="C412" s="11" t="n"/>
      <c r="D412" s="12" t="n"/>
      <c r="E412" s="13" t="n"/>
      <c r="F412" s="17">
        <f>IF($B412="","",IF(COUNTIFS(ETxnType,"پاس چک",ETxnChk,$B412)&gt;0,"پاس شده","پاس نشده"))</f>
        <v/>
      </c>
      <c r="G412" s="15" t="n"/>
    </row>
    <row r="413">
      <c r="A413" s="10">
        <f>IF($B413="","",COUNTA($B$9:$B413))</f>
        <v/>
      </c>
      <c r="B413" s="11" t="n"/>
      <c r="C413" s="11" t="n"/>
      <c r="D413" s="12" t="n"/>
      <c r="E413" s="13" t="n"/>
      <c r="F413" s="14">
        <f>IF($B413="","",IF(COUNTIFS(ETxnType,"پاس چک",ETxnChk,$B413)&gt;0,"پاس شده","پاس نشده"))</f>
        <v/>
      </c>
      <c r="G413" s="15" t="n"/>
    </row>
    <row r="414">
      <c r="A414" s="16">
        <f>IF($B414="","",COUNTA($B$9:$B414))</f>
        <v/>
      </c>
      <c r="B414" s="11" t="n"/>
      <c r="C414" s="11" t="n"/>
      <c r="D414" s="12" t="n"/>
      <c r="E414" s="13" t="n"/>
      <c r="F414" s="17">
        <f>IF($B414="","",IF(COUNTIFS(ETxnType,"پاس چک",ETxnChk,$B414)&gt;0,"پاس شده","پاس نشده"))</f>
        <v/>
      </c>
      <c r="G414" s="15" t="n"/>
    </row>
    <row r="415">
      <c r="A415" s="10">
        <f>IF($B415="","",COUNTA($B$9:$B415))</f>
        <v/>
      </c>
      <c r="B415" s="11" t="n"/>
      <c r="C415" s="11" t="n"/>
      <c r="D415" s="12" t="n"/>
      <c r="E415" s="13" t="n"/>
      <c r="F415" s="14">
        <f>IF($B415="","",IF(COUNTIFS(ETxnType,"پاس چک",ETxnChk,$B415)&gt;0,"پاس شده","پاس نشده"))</f>
        <v/>
      </c>
      <c r="G415" s="15" t="n"/>
    </row>
    <row r="416">
      <c r="A416" s="16">
        <f>IF($B416="","",COUNTA($B$9:$B416))</f>
        <v/>
      </c>
      <c r="B416" s="11" t="n"/>
      <c r="C416" s="11" t="n"/>
      <c r="D416" s="12" t="n"/>
      <c r="E416" s="13" t="n"/>
      <c r="F416" s="17">
        <f>IF($B416="","",IF(COUNTIFS(ETxnType,"پاس چک",ETxnChk,$B416)&gt;0,"پاس شده","پاس نشده"))</f>
        <v/>
      </c>
      <c r="G416" s="15" t="n"/>
    </row>
    <row r="417">
      <c r="A417" s="10">
        <f>IF($B417="","",COUNTA($B$9:$B417))</f>
        <v/>
      </c>
      <c r="B417" s="11" t="n"/>
      <c r="C417" s="11" t="n"/>
      <c r="D417" s="12" t="n"/>
      <c r="E417" s="13" t="n"/>
      <c r="F417" s="14">
        <f>IF($B417="","",IF(COUNTIFS(ETxnType,"پاس چک",ETxnChk,$B417)&gt;0,"پاس شده","پاس نشده"))</f>
        <v/>
      </c>
      <c r="G417" s="15" t="n"/>
    </row>
    <row r="418">
      <c r="A418" s="16">
        <f>IF($B418="","",COUNTA($B$9:$B418))</f>
        <v/>
      </c>
      <c r="B418" s="11" t="n"/>
      <c r="C418" s="11" t="n"/>
      <c r="D418" s="12" t="n"/>
      <c r="E418" s="13" t="n"/>
      <c r="F418" s="17">
        <f>IF($B418="","",IF(COUNTIFS(ETxnType,"پاس چک",ETxnChk,$B418)&gt;0,"پاس شده","پاس نشده"))</f>
        <v/>
      </c>
      <c r="G418" s="15" t="n"/>
    </row>
    <row r="419">
      <c r="A419" s="10">
        <f>IF($B419="","",COUNTA($B$9:$B419))</f>
        <v/>
      </c>
      <c r="B419" s="11" t="n"/>
      <c r="C419" s="11" t="n"/>
      <c r="D419" s="12" t="n"/>
      <c r="E419" s="13" t="n"/>
      <c r="F419" s="14">
        <f>IF($B419="","",IF(COUNTIFS(ETxnType,"پاس چک",ETxnChk,$B419)&gt;0,"پاس شده","پاس نشده"))</f>
        <v/>
      </c>
      <c r="G419" s="15" t="n"/>
    </row>
    <row r="420">
      <c r="A420" s="16">
        <f>IF($B420="","",COUNTA($B$9:$B420))</f>
        <v/>
      </c>
      <c r="B420" s="11" t="n"/>
      <c r="C420" s="11" t="n"/>
      <c r="D420" s="12" t="n"/>
      <c r="E420" s="13" t="n"/>
      <c r="F420" s="17">
        <f>IF($B420="","",IF(COUNTIFS(ETxnType,"پاس چک",ETxnChk,$B420)&gt;0,"پاس شده","پاس نشده"))</f>
        <v/>
      </c>
      <c r="G420" s="15" t="n"/>
    </row>
    <row r="421">
      <c r="A421" s="10">
        <f>IF($B421="","",COUNTA($B$9:$B421))</f>
        <v/>
      </c>
      <c r="B421" s="11" t="n"/>
      <c r="C421" s="11" t="n"/>
      <c r="D421" s="12" t="n"/>
      <c r="E421" s="13" t="n"/>
      <c r="F421" s="14">
        <f>IF($B421="","",IF(COUNTIFS(ETxnType,"پاس چک",ETxnChk,$B421)&gt;0,"پاس شده","پاس نشده"))</f>
        <v/>
      </c>
      <c r="G421" s="15" t="n"/>
    </row>
    <row r="422">
      <c r="A422" s="16">
        <f>IF($B422="","",COUNTA($B$9:$B422))</f>
        <v/>
      </c>
      <c r="B422" s="11" t="n"/>
      <c r="C422" s="11" t="n"/>
      <c r="D422" s="12" t="n"/>
      <c r="E422" s="13" t="n"/>
      <c r="F422" s="17">
        <f>IF($B422="","",IF(COUNTIFS(ETxnType,"پاس چک",ETxnChk,$B422)&gt;0,"پاس شده","پاس نشده"))</f>
        <v/>
      </c>
      <c r="G422" s="15" t="n"/>
    </row>
    <row r="423">
      <c r="A423" s="10">
        <f>IF($B423="","",COUNTA($B$9:$B423))</f>
        <v/>
      </c>
      <c r="B423" s="11" t="n"/>
      <c r="C423" s="11" t="n"/>
      <c r="D423" s="12" t="n"/>
      <c r="E423" s="13" t="n"/>
      <c r="F423" s="14">
        <f>IF($B423="","",IF(COUNTIFS(ETxnType,"پاس چک",ETxnChk,$B423)&gt;0,"پاس شده","پاس نشده"))</f>
        <v/>
      </c>
      <c r="G423" s="15" t="n"/>
    </row>
    <row r="424">
      <c r="A424" s="16">
        <f>IF($B424="","",COUNTA($B$9:$B424))</f>
        <v/>
      </c>
      <c r="B424" s="11" t="n"/>
      <c r="C424" s="11" t="n"/>
      <c r="D424" s="12" t="n"/>
      <c r="E424" s="13" t="n"/>
      <c r="F424" s="17">
        <f>IF($B424="","",IF(COUNTIFS(ETxnType,"پاس چک",ETxnChk,$B424)&gt;0,"پاس شده","پاس نشده"))</f>
        <v/>
      </c>
      <c r="G424" s="15" t="n"/>
    </row>
    <row r="425">
      <c r="A425" s="10">
        <f>IF($B425="","",COUNTA($B$9:$B425))</f>
        <v/>
      </c>
      <c r="B425" s="11" t="n"/>
      <c r="C425" s="11" t="n"/>
      <c r="D425" s="12" t="n"/>
      <c r="E425" s="13" t="n"/>
      <c r="F425" s="14">
        <f>IF($B425="","",IF(COUNTIFS(ETxnType,"پاس چک",ETxnChk,$B425)&gt;0,"پاس شده","پاس نشده"))</f>
        <v/>
      </c>
      <c r="G425" s="15" t="n"/>
    </row>
    <row r="426">
      <c r="A426" s="16">
        <f>IF($B426="","",COUNTA($B$9:$B426))</f>
        <v/>
      </c>
      <c r="B426" s="11" t="n"/>
      <c r="C426" s="11" t="n"/>
      <c r="D426" s="12" t="n"/>
      <c r="E426" s="13" t="n"/>
      <c r="F426" s="17">
        <f>IF($B426="","",IF(COUNTIFS(ETxnType,"پاس چک",ETxnChk,$B426)&gt;0,"پاس شده","پاس نشده"))</f>
        <v/>
      </c>
      <c r="G426" s="15" t="n"/>
    </row>
    <row r="427">
      <c r="A427" s="10">
        <f>IF($B427="","",COUNTA($B$9:$B427))</f>
        <v/>
      </c>
      <c r="B427" s="11" t="n"/>
      <c r="C427" s="11" t="n"/>
      <c r="D427" s="12" t="n"/>
      <c r="E427" s="13" t="n"/>
      <c r="F427" s="14">
        <f>IF($B427="","",IF(COUNTIFS(ETxnType,"پاس چک",ETxnChk,$B427)&gt;0,"پاس شده","پاس نشده"))</f>
        <v/>
      </c>
      <c r="G427" s="15" t="n"/>
    </row>
    <row r="428">
      <c r="A428" s="16">
        <f>IF($B428="","",COUNTA($B$9:$B428))</f>
        <v/>
      </c>
      <c r="B428" s="11" t="n"/>
      <c r="C428" s="11" t="n"/>
      <c r="D428" s="12" t="n"/>
      <c r="E428" s="13" t="n"/>
      <c r="F428" s="17">
        <f>IF($B428="","",IF(COUNTIFS(ETxnType,"پاس چک",ETxnChk,$B428)&gt;0,"پاس شده","پاس نشده"))</f>
        <v/>
      </c>
      <c r="G428" s="15" t="n"/>
    </row>
    <row r="429">
      <c r="A429" s="10">
        <f>IF($B429="","",COUNTA($B$9:$B429))</f>
        <v/>
      </c>
      <c r="B429" s="11" t="n"/>
      <c r="C429" s="11" t="n"/>
      <c r="D429" s="12" t="n"/>
      <c r="E429" s="13" t="n"/>
      <c r="F429" s="14">
        <f>IF($B429="","",IF(COUNTIFS(ETxnType,"پاس چک",ETxnChk,$B429)&gt;0,"پاس شده","پاس نشده"))</f>
        <v/>
      </c>
      <c r="G429" s="15" t="n"/>
    </row>
    <row r="430">
      <c r="A430" s="16">
        <f>IF($B430="","",COUNTA($B$9:$B430))</f>
        <v/>
      </c>
      <c r="B430" s="11" t="n"/>
      <c r="C430" s="11" t="n"/>
      <c r="D430" s="12" t="n"/>
      <c r="E430" s="13" t="n"/>
      <c r="F430" s="17">
        <f>IF($B430="","",IF(COUNTIFS(ETxnType,"پاس چک",ETxnChk,$B430)&gt;0,"پاس شده","پاس نشده"))</f>
        <v/>
      </c>
      <c r="G430" s="15" t="n"/>
    </row>
    <row r="431">
      <c r="A431" s="10">
        <f>IF($B431="","",COUNTA($B$9:$B431))</f>
        <v/>
      </c>
      <c r="B431" s="11" t="n"/>
      <c r="C431" s="11" t="n"/>
      <c r="D431" s="12" t="n"/>
      <c r="E431" s="13" t="n"/>
      <c r="F431" s="14">
        <f>IF($B431="","",IF(COUNTIFS(ETxnType,"پاس چک",ETxnChk,$B431)&gt;0,"پاس شده","پاس نشده"))</f>
        <v/>
      </c>
      <c r="G431" s="15" t="n"/>
    </row>
    <row r="432">
      <c r="A432" s="16">
        <f>IF($B432="","",COUNTA($B$9:$B432))</f>
        <v/>
      </c>
      <c r="B432" s="11" t="n"/>
      <c r="C432" s="11" t="n"/>
      <c r="D432" s="12" t="n"/>
      <c r="E432" s="13" t="n"/>
      <c r="F432" s="17">
        <f>IF($B432="","",IF(COUNTIFS(ETxnType,"پاس چک",ETxnChk,$B432)&gt;0,"پاس شده","پاس نشده"))</f>
        <v/>
      </c>
      <c r="G432" s="15" t="n"/>
    </row>
    <row r="433">
      <c r="A433" s="10">
        <f>IF($B433="","",COUNTA($B$9:$B433))</f>
        <v/>
      </c>
      <c r="B433" s="11" t="n"/>
      <c r="C433" s="11" t="n"/>
      <c r="D433" s="12" t="n"/>
      <c r="E433" s="13" t="n"/>
      <c r="F433" s="14">
        <f>IF($B433="","",IF(COUNTIFS(ETxnType,"پاس چک",ETxnChk,$B433)&gt;0,"پاس شده","پاس نشده"))</f>
        <v/>
      </c>
      <c r="G433" s="15" t="n"/>
    </row>
    <row r="434">
      <c r="A434" s="16">
        <f>IF($B434="","",COUNTA($B$9:$B434))</f>
        <v/>
      </c>
      <c r="B434" s="11" t="n"/>
      <c r="C434" s="11" t="n"/>
      <c r="D434" s="12" t="n"/>
      <c r="E434" s="13" t="n"/>
      <c r="F434" s="17">
        <f>IF($B434="","",IF(COUNTIFS(ETxnType,"پاس چک",ETxnChk,$B434)&gt;0,"پاس شده","پاس نشده"))</f>
        <v/>
      </c>
      <c r="G434" s="15" t="n"/>
    </row>
    <row r="435">
      <c r="A435" s="10">
        <f>IF($B435="","",COUNTA($B$9:$B435))</f>
        <v/>
      </c>
      <c r="B435" s="11" t="n"/>
      <c r="C435" s="11" t="n"/>
      <c r="D435" s="12" t="n"/>
      <c r="E435" s="13" t="n"/>
      <c r="F435" s="14">
        <f>IF($B435="","",IF(COUNTIFS(ETxnType,"پاس چک",ETxnChk,$B435)&gt;0,"پاس شده","پاس نشده"))</f>
        <v/>
      </c>
      <c r="G435" s="15" t="n"/>
    </row>
    <row r="436">
      <c r="A436" s="16">
        <f>IF($B436="","",COUNTA($B$9:$B436))</f>
        <v/>
      </c>
      <c r="B436" s="11" t="n"/>
      <c r="C436" s="11" t="n"/>
      <c r="D436" s="12" t="n"/>
      <c r="E436" s="13" t="n"/>
      <c r="F436" s="17">
        <f>IF($B436="","",IF(COUNTIFS(ETxnType,"پاس چک",ETxnChk,$B436)&gt;0,"پاس شده","پاس نشده"))</f>
        <v/>
      </c>
      <c r="G436" s="15" t="n"/>
    </row>
    <row r="437">
      <c r="A437" s="10">
        <f>IF($B437="","",COUNTA($B$9:$B437))</f>
        <v/>
      </c>
      <c r="B437" s="11" t="n"/>
      <c r="C437" s="11" t="n"/>
      <c r="D437" s="12" t="n"/>
      <c r="E437" s="13" t="n"/>
      <c r="F437" s="14">
        <f>IF($B437="","",IF(COUNTIFS(ETxnType,"پاس چک",ETxnChk,$B437)&gt;0,"پاس شده","پاس نشده"))</f>
        <v/>
      </c>
      <c r="G437" s="15" t="n"/>
    </row>
    <row r="438">
      <c r="A438" s="16">
        <f>IF($B438="","",COUNTA($B$9:$B438))</f>
        <v/>
      </c>
      <c r="B438" s="11" t="n"/>
      <c r="C438" s="11" t="n"/>
      <c r="D438" s="12" t="n"/>
      <c r="E438" s="13" t="n"/>
      <c r="F438" s="17">
        <f>IF($B438="","",IF(COUNTIFS(ETxnType,"پاس چک",ETxnChk,$B438)&gt;0,"پاس شده","پاس نشده"))</f>
        <v/>
      </c>
      <c r="G438" s="15" t="n"/>
    </row>
    <row r="439">
      <c r="A439" s="10">
        <f>IF($B439="","",COUNTA($B$9:$B439))</f>
        <v/>
      </c>
      <c r="B439" s="11" t="n"/>
      <c r="C439" s="11" t="n"/>
      <c r="D439" s="12" t="n"/>
      <c r="E439" s="13" t="n"/>
      <c r="F439" s="14">
        <f>IF($B439="","",IF(COUNTIFS(ETxnType,"پاس چک",ETxnChk,$B439)&gt;0,"پاس شده","پاس نشده"))</f>
        <v/>
      </c>
      <c r="G439" s="15" t="n"/>
    </row>
    <row r="440">
      <c r="A440" s="16">
        <f>IF($B440="","",COUNTA($B$9:$B440))</f>
        <v/>
      </c>
      <c r="B440" s="11" t="n"/>
      <c r="C440" s="11" t="n"/>
      <c r="D440" s="12" t="n"/>
      <c r="E440" s="13" t="n"/>
      <c r="F440" s="17">
        <f>IF($B440="","",IF(COUNTIFS(ETxnType,"پاس چک",ETxnChk,$B440)&gt;0,"پاس شده","پاس نشده"))</f>
        <v/>
      </c>
      <c r="G440" s="15" t="n"/>
    </row>
    <row r="441">
      <c r="A441" s="10">
        <f>IF($B441="","",COUNTA($B$9:$B441))</f>
        <v/>
      </c>
      <c r="B441" s="11" t="n"/>
      <c r="C441" s="11" t="n"/>
      <c r="D441" s="12" t="n"/>
      <c r="E441" s="13" t="n"/>
      <c r="F441" s="14">
        <f>IF($B441="","",IF(COUNTIFS(ETxnType,"پاس چک",ETxnChk,$B441)&gt;0,"پاس شده","پاس نشده"))</f>
        <v/>
      </c>
      <c r="G441" s="15" t="n"/>
    </row>
    <row r="442">
      <c r="A442" s="16">
        <f>IF($B442="","",COUNTA($B$9:$B442))</f>
        <v/>
      </c>
      <c r="B442" s="11" t="n"/>
      <c r="C442" s="11" t="n"/>
      <c r="D442" s="12" t="n"/>
      <c r="E442" s="13" t="n"/>
      <c r="F442" s="17">
        <f>IF($B442="","",IF(COUNTIFS(ETxnType,"پاس چک",ETxnChk,$B442)&gt;0,"پاس شده","پاس نشده"))</f>
        <v/>
      </c>
      <c r="G442" s="15" t="n"/>
    </row>
    <row r="443">
      <c r="A443" s="10">
        <f>IF($B443="","",COUNTA($B$9:$B443))</f>
        <v/>
      </c>
      <c r="B443" s="11" t="n"/>
      <c r="C443" s="11" t="n"/>
      <c r="D443" s="12" t="n"/>
      <c r="E443" s="13" t="n"/>
      <c r="F443" s="14">
        <f>IF($B443="","",IF(COUNTIFS(ETxnType,"پاس چک",ETxnChk,$B443)&gt;0,"پاس شده","پاس نشده"))</f>
        <v/>
      </c>
      <c r="G443" s="15" t="n"/>
    </row>
    <row r="444">
      <c r="A444" s="16">
        <f>IF($B444="","",COUNTA($B$9:$B444))</f>
        <v/>
      </c>
      <c r="B444" s="11" t="n"/>
      <c r="C444" s="11" t="n"/>
      <c r="D444" s="12" t="n"/>
      <c r="E444" s="13" t="n"/>
      <c r="F444" s="17">
        <f>IF($B444="","",IF(COUNTIFS(ETxnType,"پاس چک",ETxnChk,$B444)&gt;0,"پاس شده","پاس نشده"))</f>
        <v/>
      </c>
      <c r="G444" s="15" t="n"/>
    </row>
    <row r="445">
      <c r="A445" s="10">
        <f>IF($B445="","",COUNTA($B$9:$B445))</f>
        <v/>
      </c>
      <c r="B445" s="11" t="n"/>
      <c r="C445" s="11" t="n"/>
      <c r="D445" s="12" t="n"/>
      <c r="E445" s="13" t="n"/>
      <c r="F445" s="14">
        <f>IF($B445="","",IF(COUNTIFS(ETxnType,"پاس چک",ETxnChk,$B445)&gt;0,"پاس شده","پاس نشده"))</f>
        <v/>
      </c>
      <c r="G445" s="15" t="n"/>
    </row>
    <row r="446">
      <c r="A446" s="16">
        <f>IF($B446="","",COUNTA($B$9:$B446))</f>
        <v/>
      </c>
      <c r="B446" s="11" t="n"/>
      <c r="C446" s="11" t="n"/>
      <c r="D446" s="12" t="n"/>
      <c r="E446" s="13" t="n"/>
      <c r="F446" s="17">
        <f>IF($B446="","",IF(COUNTIFS(ETxnType,"پاس چک",ETxnChk,$B446)&gt;0,"پاس شده","پاس نشده"))</f>
        <v/>
      </c>
      <c r="G446" s="15" t="n"/>
    </row>
    <row r="447">
      <c r="A447" s="10">
        <f>IF($B447="","",COUNTA($B$9:$B447))</f>
        <v/>
      </c>
      <c r="B447" s="11" t="n"/>
      <c r="C447" s="11" t="n"/>
      <c r="D447" s="12" t="n"/>
      <c r="E447" s="13" t="n"/>
      <c r="F447" s="14">
        <f>IF($B447="","",IF(COUNTIFS(ETxnType,"پاس چک",ETxnChk,$B447)&gt;0,"پاس شده","پاس نشده"))</f>
        <v/>
      </c>
      <c r="G447" s="15" t="n"/>
    </row>
    <row r="448">
      <c r="A448" s="16">
        <f>IF($B448="","",COUNTA($B$9:$B448))</f>
        <v/>
      </c>
      <c r="B448" s="11" t="n"/>
      <c r="C448" s="11" t="n"/>
      <c r="D448" s="12" t="n"/>
      <c r="E448" s="13" t="n"/>
      <c r="F448" s="17">
        <f>IF($B448="","",IF(COUNTIFS(ETxnType,"پاس چک",ETxnChk,$B448)&gt;0,"پاس شده","پاس نشده"))</f>
        <v/>
      </c>
      <c r="G448" s="15" t="n"/>
    </row>
    <row r="449">
      <c r="A449" s="10">
        <f>IF($B449="","",COUNTA($B$9:$B449))</f>
        <v/>
      </c>
      <c r="B449" s="11" t="n"/>
      <c r="C449" s="11" t="n"/>
      <c r="D449" s="12" t="n"/>
      <c r="E449" s="13" t="n"/>
      <c r="F449" s="14">
        <f>IF($B449="","",IF(COUNTIFS(ETxnType,"پاس چک",ETxnChk,$B449)&gt;0,"پاس شده","پاس نشده"))</f>
        <v/>
      </c>
      <c r="G449" s="15" t="n"/>
    </row>
    <row r="450">
      <c r="A450" s="16">
        <f>IF($B450="","",COUNTA($B$9:$B450))</f>
        <v/>
      </c>
      <c r="B450" s="11" t="n"/>
      <c r="C450" s="11" t="n"/>
      <c r="D450" s="12" t="n"/>
      <c r="E450" s="13" t="n"/>
      <c r="F450" s="17">
        <f>IF($B450="","",IF(COUNTIFS(ETxnType,"پاس چک",ETxnChk,$B450)&gt;0,"پاس شده","پاس نشده"))</f>
        <v/>
      </c>
      <c r="G450" s="15" t="n"/>
    </row>
    <row r="451">
      <c r="A451" s="10">
        <f>IF($B451="","",COUNTA($B$9:$B451))</f>
        <v/>
      </c>
      <c r="B451" s="11" t="n"/>
      <c r="C451" s="11" t="n"/>
      <c r="D451" s="12" t="n"/>
      <c r="E451" s="13" t="n"/>
      <c r="F451" s="14">
        <f>IF($B451="","",IF(COUNTIFS(ETxnType,"پاس چک",ETxnChk,$B451)&gt;0,"پاس شده","پاس نشده"))</f>
        <v/>
      </c>
      <c r="G451" s="15" t="n"/>
    </row>
    <row r="452">
      <c r="A452" s="16">
        <f>IF($B452="","",COUNTA($B$9:$B452))</f>
        <v/>
      </c>
      <c r="B452" s="11" t="n"/>
      <c r="C452" s="11" t="n"/>
      <c r="D452" s="12" t="n"/>
      <c r="E452" s="13" t="n"/>
      <c r="F452" s="17">
        <f>IF($B452="","",IF(COUNTIFS(ETxnType,"پاس چک",ETxnChk,$B452)&gt;0,"پاس شده","پاس نشده"))</f>
        <v/>
      </c>
      <c r="G452" s="15" t="n"/>
    </row>
    <row r="453">
      <c r="A453" s="10">
        <f>IF($B453="","",COUNTA($B$9:$B453))</f>
        <v/>
      </c>
      <c r="B453" s="11" t="n"/>
      <c r="C453" s="11" t="n"/>
      <c r="D453" s="12" t="n"/>
      <c r="E453" s="13" t="n"/>
      <c r="F453" s="14">
        <f>IF($B453="","",IF(COUNTIFS(ETxnType,"پاس چک",ETxnChk,$B453)&gt;0,"پاس شده","پاس نشده"))</f>
        <v/>
      </c>
      <c r="G453" s="15" t="n"/>
    </row>
    <row r="454">
      <c r="A454" s="16">
        <f>IF($B454="","",COUNTA($B$9:$B454))</f>
        <v/>
      </c>
      <c r="B454" s="11" t="n"/>
      <c r="C454" s="11" t="n"/>
      <c r="D454" s="12" t="n"/>
      <c r="E454" s="13" t="n"/>
      <c r="F454" s="17">
        <f>IF($B454="","",IF(COUNTIFS(ETxnType,"پاس چک",ETxnChk,$B454)&gt;0,"پاس شده","پاس نشده"))</f>
        <v/>
      </c>
      <c r="G454" s="15" t="n"/>
    </row>
    <row r="455">
      <c r="A455" s="10">
        <f>IF($B455="","",COUNTA($B$9:$B455))</f>
        <v/>
      </c>
      <c r="B455" s="11" t="n"/>
      <c r="C455" s="11" t="n"/>
      <c r="D455" s="12" t="n"/>
      <c r="E455" s="13" t="n"/>
      <c r="F455" s="14">
        <f>IF($B455="","",IF(COUNTIFS(ETxnType,"پاس چک",ETxnChk,$B455)&gt;0,"پاس شده","پاس نشده"))</f>
        <v/>
      </c>
      <c r="G455" s="15" t="n"/>
    </row>
    <row r="456">
      <c r="A456" s="16">
        <f>IF($B456="","",COUNTA($B$9:$B456))</f>
        <v/>
      </c>
      <c r="B456" s="11" t="n"/>
      <c r="C456" s="11" t="n"/>
      <c r="D456" s="12" t="n"/>
      <c r="E456" s="13" t="n"/>
      <c r="F456" s="17">
        <f>IF($B456="","",IF(COUNTIFS(ETxnType,"پاس چک",ETxnChk,$B456)&gt;0,"پاس شده","پاس نشده"))</f>
        <v/>
      </c>
      <c r="G456" s="15" t="n"/>
    </row>
    <row r="457">
      <c r="A457" s="10">
        <f>IF($B457="","",COUNTA($B$9:$B457))</f>
        <v/>
      </c>
      <c r="B457" s="11" t="n"/>
      <c r="C457" s="11" t="n"/>
      <c r="D457" s="12" t="n"/>
      <c r="E457" s="13" t="n"/>
      <c r="F457" s="14">
        <f>IF($B457="","",IF(COUNTIFS(ETxnType,"پاس چک",ETxnChk,$B457)&gt;0,"پاس شده","پاس نشده"))</f>
        <v/>
      </c>
      <c r="G457" s="15" t="n"/>
    </row>
    <row r="458">
      <c r="A458" s="16">
        <f>IF($B458="","",COUNTA($B$9:$B458))</f>
        <v/>
      </c>
      <c r="B458" s="11" t="n"/>
      <c r="C458" s="11" t="n"/>
      <c r="D458" s="12" t="n"/>
      <c r="E458" s="13" t="n"/>
      <c r="F458" s="17">
        <f>IF($B458="","",IF(COUNTIFS(ETxnType,"پاس چک",ETxnChk,$B458)&gt;0,"پاس شده","پاس نشده"))</f>
        <v/>
      </c>
      <c r="G458" s="15" t="n"/>
    </row>
    <row r="459">
      <c r="A459" s="10">
        <f>IF($B459="","",COUNTA($B$9:$B459))</f>
        <v/>
      </c>
      <c r="B459" s="11" t="n"/>
      <c r="C459" s="11" t="n"/>
      <c r="D459" s="12" t="n"/>
      <c r="E459" s="13" t="n"/>
      <c r="F459" s="14">
        <f>IF($B459="","",IF(COUNTIFS(ETxnType,"پاس چک",ETxnChk,$B459)&gt;0,"پاس شده","پاس نشده"))</f>
        <v/>
      </c>
      <c r="G459" s="15" t="n"/>
    </row>
    <row r="460">
      <c r="A460" s="16">
        <f>IF($B460="","",COUNTA($B$9:$B460))</f>
        <v/>
      </c>
      <c r="B460" s="11" t="n"/>
      <c r="C460" s="11" t="n"/>
      <c r="D460" s="12" t="n"/>
      <c r="E460" s="13" t="n"/>
      <c r="F460" s="17">
        <f>IF($B460="","",IF(COUNTIFS(ETxnType,"پاس چک",ETxnChk,$B460)&gt;0,"پاس شده","پاس نشده"))</f>
        <v/>
      </c>
      <c r="G460" s="15" t="n"/>
    </row>
    <row r="461">
      <c r="A461" s="10">
        <f>IF($B461="","",COUNTA($B$9:$B461))</f>
        <v/>
      </c>
      <c r="B461" s="11" t="n"/>
      <c r="C461" s="11" t="n"/>
      <c r="D461" s="12" t="n"/>
      <c r="E461" s="13" t="n"/>
      <c r="F461" s="14">
        <f>IF($B461="","",IF(COUNTIFS(ETxnType,"پاس چک",ETxnChk,$B461)&gt;0,"پاس شده","پاس نشده"))</f>
        <v/>
      </c>
      <c r="G461" s="15" t="n"/>
    </row>
    <row r="462">
      <c r="A462" s="16">
        <f>IF($B462="","",COUNTA($B$9:$B462))</f>
        <v/>
      </c>
      <c r="B462" s="11" t="n"/>
      <c r="C462" s="11" t="n"/>
      <c r="D462" s="12" t="n"/>
      <c r="E462" s="13" t="n"/>
      <c r="F462" s="17">
        <f>IF($B462="","",IF(COUNTIFS(ETxnType,"پاس چک",ETxnChk,$B462)&gt;0,"پاس شده","پاس نشده"))</f>
        <v/>
      </c>
      <c r="G462" s="15" t="n"/>
    </row>
    <row r="463">
      <c r="A463" s="10">
        <f>IF($B463="","",COUNTA($B$9:$B463))</f>
        <v/>
      </c>
      <c r="B463" s="11" t="n"/>
      <c r="C463" s="11" t="n"/>
      <c r="D463" s="12" t="n"/>
      <c r="E463" s="13" t="n"/>
      <c r="F463" s="14">
        <f>IF($B463="","",IF(COUNTIFS(ETxnType,"پاس چک",ETxnChk,$B463)&gt;0,"پاس شده","پاس نشده"))</f>
        <v/>
      </c>
      <c r="G463" s="15" t="n"/>
    </row>
    <row r="464">
      <c r="A464" s="16">
        <f>IF($B464="","",COUNTA($B$9:$B464))</f>
        <v/>
      </c>
      <c r="B464" s="11" t="n"/>
      <c r="C464" s="11" t="n"/>
      <c r="D464" s="12" t="n"/>
      <c r="E464" s="13" t="n"/>
      <c r="F464" s="17">
        <f>IF($B464="","",IF(COUNTIFS(ETxnType,"پاس چک",ETxnChk,$B464)&gt;0,"پاس شده","پاس نشده"))</f>
        <v/>
      </c>
      <c r="G464" s="15" t="n"/>
    </row>
    <row r="465">
      <c r="A465" s="10">
        <f>IF($B465="","",COUNTA($B$9:$B465))</f>
        <v/>
      </c>
      <c r="B465" s="11" t="n"/>
      <c r="C465" s="11" t="n"/>
      <c r="D465" s="12" t="n"/>
      <c r="E465" s="13" t="n"/>
      <c r="F465" s="14">
        <f>IF($B465="","",IF(COUNTIFS(ETxnType,"پاس چک",ETxnChk,$B465)&gt;0,"پاس شده","پاس نشده"))</f>
        <v/>
      </c>
      <c r="G465" s="15" t="n"/>
    </row>
    <row r="466">
      <c r="A466" s="16">
        <f>IF($B466="","",COUNTA($B$9:$B466))</f>
        <v/>
      </c>
      <c r="B466" s="11" t="n"/>
      <c r="C466" s="11" t="n"/>
      <c r="D466" s="12" t="n"/>
      <c r="E466" s="13" t="n"/>
      <c r="F466" s="17">
        <f>IF($B466="","",IF(COUNTIFS(ETxnType,"پاس چک",ETxnChk,$B466)&gt;0,"پاس شده","پاس نشده"))</f>
        <v/>
      </c>
      <c r="G466" s="15" t="n"/>
    </row>
    <row r="467">
      <c r="A467" s="10">
        <f>IF($B467="","",COUNTA($B$9:$B467))</f>
        <v/>
      </c>
      <c r="B467" s="11" t="n"/>
      <c r="C467" s="11" t="n"/>
      <c r="D467" s="12" t="n"/>
      <c r="E467" s="13" t="n"/>
      <c r="F467" s="14">
        <f>IF($B467="","",IF(COUNTIFS(ETxnType,"پاس چک",ETxnChk,$B467)&gt;0,"پاس شده","پاس نشده"))</f>
        <v/>
      </c>
      <c r="G467" s="15" t="n"/>
    </row>
    <row r="468">
      <c r="A468" s="16">
        <f>IF($B468="","",COUNTA($B$9:$B468))</f>
        <v/>
      </c>
      <c r="B468" s="11" t="n"/>
      <c r="C468" s="11" t="n"/>
      <c r="D468" s="12" t="n"/>
      <c r="E468" s="13" t="n"/>
      <c r="F468" s="17">
        <f>IF($B468="","",IF(COUNTIFS(ETxnType,"پاس چک",ETxnChk,$B468)&gt;0,"پاس شده","پاس نشده"))</f>
        <v/>
      </c>
      <c r="G468" s="15" t="n"/>
    </row>
    <row r="469">
      <c r="A469" s="10">
        <f>IF($B469="","",COUNTA($B$9:$B469))</f>
        <v/>
      </c>
      <c r="B469" s="11" t="n"/>
      <c r="C469" s="11" t="n"/>
      <c r="D469" s="12" t="n"/>
      <c r="E469" s="13" t="n"/>
      <c r="F469" s="14">
        <f>IF($B469="","",IF(COUNTIFS(ETxnType,"پاس چک",ETxnChk,$B469)&gt;0,"پاس شده","پاس نشده"))</f>
        <v/>
      </c>
      <c r="G469" s="15" t="n"/>
    </row>
    <row r="470">
      <c r="A470" s="16">
        <f>IF($B470="","",COUNTA($B$9:$B470))</f>
        <v/>
      </c>
      <c r="B470" s="11" t="n"/>
      <c r="C470" s="11" t="n"/>
      <c r="D470" s="12" t="n"/>
      <c r="E470" s="13" t="n"/>
      <c r="F470" s="17">
        <f>IF($B470="","",IF(COUNTIFS(ETxnType,"پاس چک",ETxnChk,$B470)&gt;0,"پاس شده","پاس نشده"))</f>
        <v/>
      </c>
      <c r="G470" s="15" t="n"/>
    </row>
    <row r="471">
      <c r="A471" s="10">
        <f>IF($B471="","",COUNTA($B$9:$B471))</f>
        <v/>
      </c>
      <c r="B471" s="11" t="n"/>
      <c r="C471" s="11" t="n"/>
      <c r="D471" s="12" t="n"/>
      <c r="E471" s="13" t="n"/>
      <c r="F471" s="14">
        <f>IF($B471="","",IF(COUNTIFS(ETxnType,"پاس چک",ETxnChk,$B471)&gt;0,"پاس شده","پاس نشده"))</f>
        <v/>
      </c>
      <c r="G471" s="15" t="n"/>
    </row>
    <row r="472">
      <c r="A472" s="16">
        <f>IF($B472="","",COUNTA($B$9:$B472))</f>
        <v/>
      </c>
      <c r="B472" s="11" t="n"/>
      <c r="C472" s="11" t="n"/>
      <c r="D472" s="12" t="n"/>
      <c r="E472" s="13" t="n"/>
      <c r="F472" s="17">
        <f>IF($B472="","",IF(COUNTIFS(ETxnType,"پاس چک",ETxnChk,$B472)&gt;0,"پاس شده","پاس نشده"))</f>
        <v/>
      </c>
      <c r="G472" s="15" t="n"/>
    </row>
    <row r="473">
      <c r="A473" s="10">
        <f>IF($B473="","",COUNTA($B$9:$B473))</f>
        <v/>
      </c>
      <c r="B473" s="11" t="n"/>
      <c r="C473" s="11" t="n"/>
      <c r="D473" s="12" t="n"/>
      <c r="E473" s="13" t="n"/>
      <c r="F473" s="14">
        <f>IF($B473="","",IF(COUNTIFS(ETxnType,"پاس چک",ETxnChk,$B473)&gt;0,"پاس شده","پاس نشده"))</f>
        <v/>
      </c>
      <c r="G473" s="15" t="n"/>
    </row>
    <row r="474">
      <c r="A474" s="16">
        <f>IF($B474="","",COUNTA($B$9:$B474))</f>
        <v/>
      </c>
      <c r="B474" s="11" t="n"/>
      <c r="C474" s="11" t="n"/>
      <c r="D474" s="12" t="n"/>
      <c r="E474" s="13" t="n"/>
      <c r="F474" s="17">
        <f>IF($B474="","",IF(COUNTIFS(ETxnType,"پاس چک",ETxnChk,$B474)&gt;0,"پاس شده","پاس نشده"))</f>
        <v/>
      </c>
      <c r="G474" s="15" t="n"/>
    </row>
    <row r="475">
      <c r="A475" s="10">
        <f>IF($B475="","",COUNTA($B$9:$B475))</f>
        <v/>
      </c>
      <c r="B475" s="11" t="n"/>
      <c r="C475" s="11" t="n"/>
      <c r="D475" s="12" t="n"/>
      <c r="E475" s="13" t="n"/>
      <c r="F475" s="14">
        <f>IF($B475="","",IF(COUNTIFS(ETxnType,"پاس چک",ETxnChk,$B475)&gt;0,"پاس شده","پاس نشده"))</f>
        <v/>
      </c>
      <c r="G475" s="15" t="n"/>
    </row>
    <row r="476">
      <c r="A476" s="16">
        <f>IF($B476="","",COUNTA($B$9:$B476))</f>
        <v/>
      </c>
      <c r="B476" s="11" t="n"/>
      <c r="C476" s="11" t="n"/>
      <c r="D476" s="12" t="n"/>
      <c r="E476" s="13" t="n"/>
      <c r="F476" s="17">
        <f>IF($B476="","",IF(COUNTIFS(ETxnType,"پاس چک",ETxnChk,$B476)&gt;0,"پاس شده","پاس نشده"))</f>
        <v/>
      </c>
      <c r="G476" s="15" t="n"/>
    </row>
    <row r="477">
      <c r="A477" s="10">
        <f>IF($B477="","",COUNTA($B$9:$B477))</f>
        <v/>
      </c>
      <c r="B477" s="11" t="n"/>
      <c r="C477" s="11" t="n"/>
      <c r="D477" s="12" t="n"/>
      <c r="E477" s="13" t="n"/>
      <c r="F477" s="14">
        <f>IF($B477="","",IF(COUNTIFS(ETxnType,"پاس چک",ETxnChk,$B477)&gt;0,"پاس شده","پاس نشده"))</f>
        <v/>
      </c>
      <c r="G477" s="15" t="n"/>
    </row>
    <row r="478">
      <c r="A478" s="16">
        <f>IF($B478="","",COUNTA($B$9:$B478))</f>
        <v/>
      </c>
      <c r="B478" s="11" t="n"/>
      <c r="C478" s="11" t="n"/>
      <c r="D478" s="12" t="n"/>
      <c r="E478" s="13" t="n"/>
      <c r="F478" s="17">
        <f>IF($B478="","",IF(COUNTIFS(ETxnType,"پاس چک",ETxnChk,$B478)&gt;0,"پاس شده","پاس نشده"))</f>
        <v/>
      </c>
      <c r="G478" s="15" t="n"/>
    </row>
    <row r="479">
      <c r="A479" s="10">
        <f>IF($B479="","",COUNTA($B$9:$B479))</f>
        <v/>
      </c>
      <c r="B479" s="11" t="n"/>
      <c r="C479" s="11" t="n"/>
      <c r="D479" s="12" t="n"/>
      <c r="E479" s="13" t="n"/>
      <c r="F479" s="14">
        <f>IF($B479="","",IF(COUNTIFS(ETxnType,"پاس چک",ETxnChk,$B479)&gt;0,"پاس شده","پاس نشده"))</f>
        <v/>
      </c>
      <c r="G479" s="15" t="n"/>
    </row>
    <row r="480">
      <c r="A480" s="16">
        <f>IF($B480="","",COUNTA($B$9:$B480))</f>
        <v/>
      </c>
      <c r="B480" s="11" t="n"/>
      <c r="C480" s="11" t="n"/>
      <c r="D480" s="12" t="n"/>
      <c r="E480" s="13" t="n"/>
      <c r="F480" s="17">
        <f>IF($B480="","",IF(COUNTIFS(ETxnType,"پاس چک",ETxnChk,$B480)&gt;0,"پاس شده","پاس نشده"))</f>
        <v/>
      </c>
      <c r="G480" s="15" t="n"/>
    </row>
    <row r="481">
      <c r="A481" s="10">
        <f>IF($B481="","",COUNTA($B$9:$B481))</f>
        <v/>
      </c>
      <c r="B481" s="11" t="n"/>
      <c r="C481" s="11" t="n"/>
      <c r="D481" s="12" t="n"/>
      <c r="E481" s="13" t="n"/>
      <c r="F481" s="14">
        <f>IF($B481="","",IF(COUNTIFS(ETxnType,"پاس چک",ETxnChk,$B481)&gt;0,"پاس شده","پاس نشده"))</f>
        <v/>
      </c>
      <c r="G481" s="15" t="n"/>
    </row>
    <row r="482">
      <c r="A482" s="16">
        <f>IF($B482="","",COUNTA($B$9:$B482))</f>
        <v/>
      </c>
      <c r="B482" s="11" t="n"/>
      <c r="C482" s="11" t="n"/>
      <c r="D482" s="12" t="n"/>
      <c r="E482" s="13" t="n"/>
      <c r="F482" s="17">
        <f>IF($B482="","",IF(COUNTIFS(ETxnType,"پاس چک",ETxnChk,$B482)&gt;0,"پاس شده","پاس نشده"))</f>
        <v/>
      </c>
      <c r="G482" s="15" t="n"/>
    </row>
    <row r="483">
      <c r="A483" s="10">
        <f>IF($B483="","",COUNTA($B$9:$B483))</f>
        <v/>
      </c>
      <c r="B483" s="11" t="n"/>
      <c r="C483" s="11" t="n"/>
      <c r="D483" s="12" t="n"/>
      <c r="E483" s="13" t="n"/>
      <c r="F483" s="14">
        <f>IF($B483="","",IF(COUNTIFS(ETxnType,"پاس چک",ETxnChk,$B483)&gt;0,"پاس شده","پاس نشده"))</f>
        <v/>
      </c>
      <c r="G483" s="15" t="n"/>
    </row>
    <row r="484">
      <c r="A484" s="16">
        <f>IF($B484="","",COUNTA($B$9:$B484))</f>
        <v/>
      </c>
      <c r="B484" s="11" t="n"/>
      <c r="C484" s="11" t="n"/>
      <c r="D484" s="12" t="n"/>
      <c r="E484" s="13" t="n"/>
      <c r="F484" s="17">
        <f>IF($B484="","",IF(COUNTIFS(ETxnType,"پاس چک",ETxnChk,$B484)&gt;0,"پاس شده","پاس نشده"))</f>
        <v/>
      </c>
      <c r="G484" s="15" t="n"/>
    </row>
    <row r="485">
      <c r="A485" s="10">
        <f>IF($B485="","",COUNTA($B$9:$B485))</f>
        <v/>
      </c>
      <c r="B485" s="11" t="n"/>
      <c r="C485" s="11" t="n"/>
      <c r="D485" s="12" t="n"/>
      <c r="E485" s="13" t="n"/>
      <c r="F485" s="14">
        <f>IF($B485="","",IF(COUNTIFS(ETxnType,"پاس چک",ETxnChk,$B485)&gt;0,"پاس شده","پاس نشده"))</f>
        <v/>
      </c>
      <c r="G485" s="15" t="n"/>
    </row>
    <row r="486">
      <c r="A486" s="16">
        <f>IF($B486="","",COUNTA($B$9:$B486))</f>
        <v/>
      </c>
      <c r="B486" s="11" t="n"/>
      <c r="C486" s="11" t="n"/>
      <c r="D486" s="12" t="n"/>
      <c r="E486" s="13" t="n"/>
      <c r="F486" s="17">
        <f>IF($B486="","",IF(COUNTIFS(ETxnType,"پاس چک",ETxnChk,$B486)&gt;0,"پاس شده","پاس نشده"))</f>
        <v/>
      </c>
      <c r="G486" s="15" t="n"/>
    </row>
    <row r="487">
      <c r="A487" s="10">
        <f>IF($B487="","",COUNTA($B$9:$B487))</f>
        <v/>
      </c>
      <c r="B487" s="11" t="n"/>
      <c r="C487" s="11" t="n"/>
      <c r="D487" s="12" t="n"/>
      <c r="E487" s="13" t="n"/>
      <c r="F487" s="14">
        <f>IF($B487="","",IF(COUNTIFS(ETxnType,"پاس چک",ETxnChk,$B487)&gt;0,"پاس شده","پاس نشده"))</f>
        <v/>
      </c>
      <c r="G487" s="15" t="n"/>
    </row>
    <row r="488">
      <c r="A488" s="16">
        <f>IF($B488="","",COUNTA($B$9:$B488))</f>
        <v/>
      </c>
      <c r="B488" s="11" t="n"/>
      <c r="C488" s="11" t="n"/>
      <c r="D488" s="12" t="n"/>
      <c r="E488" s="13" t="n"/>
      <c r="F488" s="17">
        <f>IF($B488="","",IF(COUNTIFS(ETxnType,"پاس چک",ETxnChk,$B488)&gt;0,"پاس شده","پاس نشده"))</f>
        <v/>
      </c>
      <c r="G488" s="15" t="n"/>
    </row>
    <row r="489">
      <c r="A489" s="10">
        <f>IF($B489="","",COUNTA($B$9:$B489))</f>
        <v/>
      </c>
      <c r="B489" s="11" t="n"/>
      <c r="C489" s="11" t="n"/>
      <c r="D489" s="12" t="n"/>
      <c r="E489" s="13" t="n"/>
      <c r="F489" s="14">
        <f>IF($B489="","",IF(COUNTIFS(ETxnType,"پاس چک",ETxnChk,$B489)&gt;0,"پاس شده","پاس نشده"))</f>
        <v/>
      </c>
      <c r="G489" s="15" t="n"/>
    </row>
    <row r="490">
      <c r="A490" s="16">
        <f>IF($B490="","",COUNTA($B$9:$B490))</f>
        <v/>
      </c>
      <c r="B490" s="11" t="n"/>
      <c r="C490" s="11" t="n"/>
      <c r="D490" s="12" t="n"/>
      <c r="E490" s="13" t="n"/>
      <c r="F490" s="17">
        <f>IF($B490="","",IF(COUNTIFS(ETxnType,"پاس چک",ETxnChk,$B490)&gt;0,"پاس شده","پاس نشده"))</f>
        <v/>
      </c>
      <c r="G490" s="15" t="n"/>
    </row>
    <row r="491">
      <c r="A491" s="10">
        <f>IF($B491="","",COUNTA($B$9:$B491))</f>
        <v/>
      </c>
      <c r="B491" s="11" t="n"/>
      <c r="C491" s="11" t="n"/>
      <c r="D491" s="12" t="n"/>
      <c r="E491" s="13" t="n"/>
      <c r="F491" s="14">
        <f>IF($B491="","",IF(COUNTIFS(ETxnType,"پاس چک",ETxnChk,$B491)&gt;0,"پاس شده","پاس نشده"))</f>
        <v/>
      </c>
      <c r="G491" s="15" t="n"/>
    </row>
    <row r="492">
      <c r="A492" s="16">
        <f>IF($B492="","",COUNTA($B$9:$B492))</f>
        <v/>
      </c>
      <c r="B492" s="11" t="n"/>
      <c r="C492" s="11" t="n"/>
      <c r="D492" s="12" t="n"/>
      <c r="E492" s="13" t="n"/>
      <c r="F492" s="17">
        <f>IF($B492="","",IF(COUNTIFS(ETxnType,"پاس چک",ETxnChk,$B492)&gt;0,"پاس شده","پاس نشده"))</f>
        <v/>
      </c>
      <c r="G492" s="15" t="n"/>
    </row>
    <row r="493">
      <c r="A493" s="10">
        <f>IF($B493="","",COUNTA($B$9:$B493))</f>
        <v/>
      </c>
      <c r="B493" s="11" t="n"/>
      <c r="C493" s="11" t="n"/>
      <c r="D493" s="12" t="n"/>
      <c r="E493" s="13" t="n"/>
      <c r="F493" s="14">
        <f>IF($B493="","",IF(COUNTIFS(ETxnType,"پاس چک",ETxnChk,$B493)&gt;0,"پاس شده","پاس نشده"))</f>
        <v/>
      </c>
      <c r="G493" s="15" t="n"/>
    </row>
    <row r="494">
      <c r="A494" s="16">
        <f>IF($B494="","",COUNTA($B$9:$B494))</f>
        <v/>
      </c>
      <c r="B494" s="11" t="n"/>
      <c r="C494" s="11" t="n"/>
      <c r="D494" s="12" t="n"/>
      <c r="E494" s="13" t="n"/>
      <c r="F494" s="17">
        <f>IF($B494="","",IF(COUNTIFS(ETxnType,"پاس چک",ETxnChk,$B494)&gt;0,"پاس شده","پاس نشده"))</f>
        <v/>
      </c>
      <c r="G494" s="15" t="n"/>
    </row>
    <row r="495">
      <c r="A495" s="10">
        <f>IF($B495="","",COUNTA($B$9:$B495))</f>
        <v/>
      </c>
      <c r="B495" s="11" t="n"/>
      <c r="C495" s="11" t="n"/>
      <c r="D495" s="12" t="n"/>
      <c r="E495" s="13" t="n"/>
      <c r="F495" s="14">
        <f>IF($B495="","",IF(COUNTIFS(ETxnType,"پاس چک",ETxnChk,$B495)&gt;0,"پاس شده","پاس نشده"))</f>
        <v/>
      </c>
      <c r="G495" s="15" t="n"/>
    </row>
    <row r="496">
      <c r="A496" s="16">
        <f>IF($B496="","",COUNTA($B$9:$B496))</f>
        <v/>
      </c>
      <c r="B496" s="11" t="n"/>
      <c r="C496" s="11" t="n"/>
      <c r="D496" s="12" t="n"/>
      <c r="E496" s="13" t="n"/>
      <c r="F496" s="17">
        <f>IF($B496="","",IF(COUNTIFS(ETxnType,"پاس چک",ETxnChk,$B496)&gt;0,"پاس شده","پاس نشده"))</f>
        <v/>
      </c>
      <c r="G496" s="15" t="n"/>
    </row>
    <row r="497">
      <c r="A497" s="10">
        <f>IF($B497="","",COUNTA($B$9:$B497))</f>
        <v/>
      </c>
      <c r="B497" s="11" t="n"/>
      <c r="C497" s="11" t="n"/>
      <c r="D497" s="12" t="n"/>
      <c r="E497" s="13" t="n"/>
      <c r="F497" s="14">
        <f>IF($B497="","",IF(COUNTIFS(ETxnType,"پاس چک",ETxnChk,$B497)&gt;0,"پاس شده","پاس نشده"))</f>
        <v/>
      </c>
      <c r="G497" s="15" t="n"/>
    </row>
    <row r="498">
      <c r="A498" s="16">
        <f>IF($B498="","",COUNTA($B$9:$B498))</f>
        <v/>
      </c>
      <c r="B498" s="11" t="n"/>
      <c r="C498" s="11" t="n"/>
      <c r="D498" s="12" t="n"/>
      <c r="E498" s="13" t="n"/>
      <c r="F498" s="17">
        <f>IF($B498="","",IF(COUNTIFS(ETxnType,"پاس چک",ETxnChk,$B498)&gt;0,"پاس شده","پاس نشده"))</f>
        <v/>
      </c>
      <c r="G498" s="15" t="n"/>
    </row>
    <row r="499">
      <c r="A499" s="10">
        <f>IF($B499="","",COUNTA($B$9:$B499))</f>
        <v/>
      </c>
      <c r="B499" s="11" t="n"/>
      <c r="C499" s="11" t="n"/>
      <c r="D499" s="12" t="n"/>
      <c r="E499" s="13" t="n"/>
      <c r="F499" s="14">
        <f>IF($B499="","",IF(COUNTIFS(ETxnType,"پاس چک",ETxnChk,$B499)&gt;0,"پاس شده","پاس نشده"))</f>
        <v/>
      </c>
      <c r="G499" s="15" t="n"/>
    </row>
    <row r="500">
      <c r="A500" s="16">
        <f>IF($B500="","",COUNTA($B$9:$B500))</f>
        <v/>
      </c>
      <c r="B500" s="11" t="n"/>
      <c r="C500" s="11" t="n"/>
      <c r="D500" s="12" t="n"/>
      <c r="E500" s="13" t="n"/>
      <c r="F500" s="17">
        <f>IF($B500="","",IF(COUNTIFS(ETxnType,"پاس چک",ETxnChk,$B500)&gt;0,"پاس شده","پاس نشده"))</f>
        <v/>
      </c>
      <c r="G500" s="15" t="n"/>
    </row>
    <row r="501">
      <c r="A501" s="10">
        <f>IF($B501="","",COUNTA($B$9:$B501))</f>
        <v/>
      </c>
      <c r="B501" s="11" t="n"/>
      <c r="C501" s="11" t="n"/>
      <c r="D501" s="12" t="n"/>
      <c r="E501" s="13" t="n"/>
      <c r="F501" s="14">
        <f>IF($B501="","",IF(COUNTIFS(ETxnType,"پاس چک",ETxnChk,$B501)&gt;0,"پاس شده","پاس نشده"))</f>
        <v/>
      </c>
      <c r="G501" s="15" t="n"/>
    </row>
    <row r="502">
      <c r="A502" s="16">
        <f>IF($B502="","",COUNTA($B$9:$B502))</f>
        <v/>
      </c>
      <c r="B502" s="11" t="n"/>
      <c r="C502" s="11" t="n"/>
      <c r="D502" s="12" t="n"/>
      <c r="E502" s="13" t="n"/>
      <c r="F502" s="17">
        <f>IF($B502="","",IF(COUNTIFS(ETxnType,"پاس چک",ETxnChk,$B502)&gt;0,"پاس شده","پاس نشده"))</f>
        <v/>
      </c>
      <c r="G502" s="15" t="n"/>
    </row>
    <row r="503">
      <c r="A503" s="10">
        <f>IF($B503="","",COUNTA($B$9:$B503))</f>
        <v/>
      </c>
      <c r="B503" s="11" t="n"/>
      <c r="C503" s="11" t="n"/>
      <c r="D503" s="12" t="n"/>
      <c r="E503" s="13" t="n"/>
      <c r="F503" s="14">
        <f>IF($B503="","",IF(COUNTIFS(ETxnType,"پاس چک",ETxnChk,$B503)&gt;0,"پاس شده","پاس نشده"))</f>
        <v/>
      </c>
      <c r="G503" s="15" t="n"/>
    </row>
    <row r="504">
      <c r="A504" s="16">
        <f>IF($B504="","",COUNTA($B$9:$B504))</f>
        <v/>
      </c>
      <c r="B504" s="11" t="n"/>
      <c r="C504" s="11" t="n"/>
      <c r="D504" s="12" t="n"/>
      <c r="E504" s="13" t="n"/>
      <c r="F504" s="17">
        <f>IF($B504="","",IF(COUNTIFS(ETxnType,"پاس چک",ETxnChk,$B504)&gt;0,"پاس شده","پاس نشده"))</f>
        <v/>
      </c>
      <c r="G504" s="15" t="n"/>
    </row>
    <row r="505">
      <c r="A505" s="10">
        <f>IF($B505="","",COUNTA($B$9:$B505))</f>
        <v/>
      </c>
      <c r="B505" s="11" t="n"/>
      <c r="C505" s="11" t="n"/>
      <c r="D505" s="12" t="n"/>
      <c r="E505" s="13" t="n"/>
      <c r="F505" s="14">
        <f>IF($B505="","",IF(COUNTIFS(ETxnType,"پاس چک",ETxnChk,$B505)&gt;0,"پاس شده","پاس نشده"))</f>
        <v/>
      </c>
      <c r="G505" s="15" t="n"/>
    </row>
    <row r="506">
      <c r="A506" s="16">
        <f>IF($B506="","",COUNTA($B$9:$B506))</f>
        <v/>
      </c>
      <c r="B506" s="11" t="n"/>
      <c r="C506" s="11" t="n"/>
      <c r="D506" s="12" t="n"/>
      <c r="E506" s="13" t="n"/>
      <c r="F506" s="17">
        <f>IF($B506="","",IF(COUNTIFS(ETxnType,"پاس چک",ETxnChk,$B506)&gt;0,"پاس شده","پاس نشده"))</f>
        <v/>
      </c>
      <c r="G506" s="15" t="n"/>
    </row>
    <row r="507">
      <c r="A507" s="10">
        <f>IF($B507="","",COUNTA($B$9:$B507))</f>
        <v/>
      </c>
      <c r="B507" s="11" t="n"/>
      <c r="C507" s="11" t="n"/>
      <c r="D507" s="12" t="n"/>
      <c r="E507" s="13" t="n"/>
      <c r="F507" s="14">
        <f>IF($B507="","",IF(COUNTIFS(ETxnType,"پاس چک",ETxnChk,$B507)&gt;0,"پاس شده","پاس نشده"))</f>
        <v/>
      </c>
      <c r="G507" s="15" t="n"/>
    </row>
    <row r="508">
      <c r="A508" s="16">
        <f>IF($B508="","",COUNTA($B$9:$B508))</f>
        <v/>
      </c>
      <c r="B508" s="11" t="n"/>
      <c r="C508" s="11" t="n"/>
      <c r="D508" s="12" t="n"/>
      <c r="E508" s="13" t="n"/>
      <c r="F508" s="17">
        <f>IF($B508="","",IF(COUNTIFS(ETxnType,"پاس چک",ETxnChk,$B508)&gt;0,"پاس شده","پاس نشده"))</f>
        <v/>
      </c>
      <c r="G508" s="15" t="n"/>
    </row>
  </sheetData>
  <mergeCells count="12">
    <mergeCell ref="E6:F6"/>
    <mergeCell ref="A1:G1"/>
    <mergeCell ref="C6:D6"/>
    <mergeCell ref="A3:G3"/>
    <mergeCell ref="C5:D5"/>
    <mergeCell ref="A5:B5"/>
    <mergeCell ref="A4:G4"/>
    <mergeCell ref="E5:F5"/>
    <mergeCell ref="A2:G2"/>
    <mergeCell ref="A6:B6"/>
    <mergeCell ref="G6"/>
    <mergeCell ref="G5"/>
  </mergeCells>
  <conditionalFormatting sqref="F9:F508">
    <cfRule type="cellIs" priority="1" operator="equal" dxfId="0">
      <formula>"پاس شده"</formula>
    </cfRule>
    <cfRule type="cellIs" priority="2" operator="equal" dxfId="1">
      <formula>"پاس نشده"</formula>
    </cfRule>
  </conditionalFormatting>
  <dataValidations count="4">
    <dataValidation sqref="B9:B508" showDropDown="0" showInputMessage="1" showErrorMessage="0" allowBlank="1" errorTitle="شماره چک تعریف‌نشده" error="شماره چک در INFO ← شیت Cheques تعریف نشده است." promptTitle="شماره چک" prompt="از کشویی انتخاب کنید (منبع: INFO ← Cheques)." type="list" errorStyle="stop">
      <formula1>ChqNosF</formula1>
    </dataValidation>
    <dataValidation sqref="C9:C508" showDropDown="0" showInputMessage="0" showErrorMessage="0" allowBlank="1" errorTitle="قالب تاریخ" error="تاریخ چک با قالب 1405/07/10 وارد کنید (ارقام لاتین)." type="custom" errorStyle="warning">
      <formula1>OR($C9="",AND(LEN($C9)=10,MID($C9,5,1)="/",MID($C9,8,1)="/",ISNUMBER(VALUE(LEFT($C9,4))),ISNUMBER(VALUE(MID($C9,6,2))),ISNUMBER(VALUE(MID($C9,9,2)))))</formula1>
    </dataValidation>
    <dataValidation sqref="E9:E508" showDropDown="0" showInputMessage="0" showErrorMessage="0" allowBlank="1" errorTitle="کد ناشناخته" error="کد از INFO (شیت Accounts) — C…، SL…، S…، E…، X…" type="custom" errorStyle="warning">
      <formula1>OR($E9="",COUNTIF(AcctCodesF,$E9)&gt;0)</formula1>
    </dataValidation>
    <dataValidation sqref="D9:D508" showDropDown="0" showInputMessage="0" showErrorMessage="0" allowBlank="1" errorTitle="مبلغ" error="مبلغ چک باید عدد مثبت باشد" type="decimal" errorStyle="warning" operator="greaterThan">
      <formula1>0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صدور چک‌های پرداختی — ثبت&amp;R&amp;"Tahoma"&amp;8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L516"/>
  <sheetViews>
    <sheetView showGridLines="0" rightToLeft="1" zoomScale="9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.5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6" customWidth="1" min="8" max="8"/>
    <col width="6" customWidth="1" min="9" max="9"/>
    <col width="5" customWidth="1" min="10" max="10"/>
    <col width="6" customWidth="1" min="11" max="11"/>
    <col width="6" customWidth="1" min="12" max="12"/>
  </cols>
  <sheetData>
    <row r="1" ht="26" customHeight="1">
      <c r="A1" s="1">
        <f>IF(Sync!$J$6="","مازندشت",Sync!$J$6)&amp;" — "&amp;IF(Sync!$J$9="","سورتینگ و بسته‌بندی مرکبات",Sync!$J$9)</f>
        <v/>
      </c>
      <c r="B1" s="1" t="n"/>
      <c r="C1" s="1" t="n"/>
      <c r="D1" s="1" t="n"/>
      <c r="E1" s="1" t="n"/>
      <c r="F1" s="1" t="n"/>
    </row>
    <row r="2" ht="14" customHeight="1">
      <c r="A2" s="2">
        <f>IF(Sync!$J$7="","باغدشت، بخش مرکزی، شهرستان قائم‌شهر، استان مازندران، ایران",Sync!$J$7)&amp;"     |     MAZANDASHT · CITRUS SORTING &amp; PACKING"</f>
        <v/>
      </c>
      <c r="B2" s="2" t="n"/>
      <c r="C2" s="2" t="n"/>
      <c r="D2" s="2" t="n"/>
      <c r="E2" s="2" t="n"/>
      <c r="F2" s="2" t="n"/>
    </row>
    <row r="3" ht="24" customHeight="1">
      <c r="A3" s="3" t="inlineStr">
        <is>
          <t>گردش چک‌های پرداختی در بازه — همه چک‌ها (سبز = پاس شده، قرمز = پاس نشده)</t>
        </is>
      </c>
      <c r="B3" s="3" t="n"/>
      <c r="C3" s="3" t="n"/>
      <c r="D3" s="3" t="n"/>
      <c r="E3" s="3" t="n"/>
      <c r="F3" s="3" t="n"/>
      <c r="H3" s="18">
        <f>IF(OR($B$5="",LEN($B$5)&lt;&gt;10),"",$B$5)</f>
        <v/>
      </c>
    </row>
    <row r="4">
      <c r="H4" s="18">
        <f>IF(OR($D$5="",LEN($D$5)&lt;&gt;10),"",$D$5)</f>
        <v/>
      </c>
    </row>
    <row r="5" ht="20" customHeight="1">
      <c r="A5" s="19" t="inlineStr">
        <is>
          <t>از تاریخ:</t>
        </is>
      </c>
      <c r="B5" s="20" t="inlineStr">
        <is>
          <t>1405/07/01</t>
        </is>
      </c>
      <c r="C5" s="19" t="inlineStr">
        <is>
          <t>تا تاریخ:</t>
        </is>
      </c>
      <c r="D5" s="20" t="inlineStr">
        <is>
          <t>1405/07/31</t>
        </is>
      </c>
      <c r="E5" s="21" t="inlineStr">
        <is>
          <t>بازه را با قالب 1405/07/01 وارد کنید — برای هر ماه، همین شیت را کپی کنید و بازه را عوض کنید.</t>
        </is>
      </c>
      <c r="F5" s="21" t="n"/>
    </row>
    <row r="11" ht="13" customHeight="1">
      <c r="A11" s="5" t="inlineStr">
        <is>
          <t>جمع کل چک‌های بازه (ریال)</t>
        </is>
      </c>
      <c r="B11" s="5" t="n"/>
      <c r="C11" s="5" t="inlineStr">
        <is>
          <t>جمع پاس‌شده (ریال)</t>
        </is>
      </c>
      <c r="D11" s="5" t="n"/>
      <c r="E11" s="5" t="inlineStr">
        <is>
          <t>جمع پاس‌نشده (ریال)</t>
        </is>
      </c>
      <c r="F11" s="5" t="n"/>
    </row>
    <row r="12" ht="22" customHeight="1">
      <c r="A12" s="7">
        <f>SUM($D$17:$D$516)</f>
        <v/>
      </c>
      <c r="B12" s="7" t="n"/>
      <c r="C12" s="7">
        <f>SUMIF($E$17:$E$516,"پاس شده",$D$17:$D$516)</f>
        <v/>
      </c>
      <c r="D12" s="7" t="n"/>
      <c r="E12" s="7">
        <f>SUMIF($E$17:$E$516,"پاس نشده",$D$17:$D$516)</f>
        <v/>
      </c>
      <c r="F12" s="7" t="n"/>
    </row>
    <row r="13" ht="30" customHeight="1">
      <c r="A13" s="8" t="inlineStr">
        <is>
          <t>ردیف</t>
        </is>
      </c>
      <c r="B13" s="8" t="inlineStr">
        <is>
          <t>تاریخ چک</t>
        </is>
      </c>
      <c r="C13" s="8" t="inlineStr">
        <is>
          <t>شماره چک</t>
        </is>
      </c>
      <c r="D13" s="8" t="inlineStr">
        <is>
          <t>مبلغ (ریال)</t>
        </is>
      </c>
      <c r="E13" s="8" t="inlineStr">
        <is>
          <t>وضعیت</t>
        </is>
      </c>
      <c r="F13" s="8" t="inlineStr">
        <is>
          <t>تاریخ پاس</t>
        </is>
      </c>
    </row>
    <row r="14" ht="13" customHeight="1">
      <c r="A14" s="9" t="inlineStr">
        <is>
          <t>No.</t>
        </is>
      </c>
      <c r="B14" s="9" t="inlineStr">
        <is>
          <t>Cheque Date</t>
        </is>
      </c>
      <c r="C14" s="9" t="inlineStr">
        <is>
          <t>Cheque No.</t>
        </is>
      </c>
      <c r="D14" s="9" t="inlineStr">
        <is>
          <t>Amount</t>
        </is>
      </c>
      <c r="E14" s="9" t="inlineStr">
        <is>
          <t>Status</t>
        </is>
      </c>
      <c r="F14" s="9" t="inlineStr">
        <is>
          <t>Cleared On</t>
        </is>
      </c>
    </row>
    <row r="17">
      <c r="A17" s="10">
        <f>IF(IFERROR(MATCH(1,ChqRankL,0),0)=0,"",1)</f>
        <v/>
      </c>
      <c r="B17" s="22">
        <f>IF(IFERROR(MATCH(1,ChqRankL,0),0)=0,"",INDEX(ChqNorm,IFERROR(MATCH(1,ChqRankL,0),0)))</f>
        <v/>
      </c>
      <c r="C17" s="22">
        <f>IF(IFERROR(MATCH(1,ChqRankL,0),0)=0,"",INDEX(ChqNo,IFERROR(MATCH(1,ChqRankL,0),0)))</f>
        <v/>
      </c>
      <c r="D17" s="23">
        <f>IF(IFERROR(MATCH(1,ChqRankL,0),0)=0,"",IF(INDEX(ChqAmt,IFERROR(MATCH(1,ChqRankL,0),0))=0,"",INDEX(ChqAmt,IFERROR(MATCH(1,ChqRankL,0),0))))</f>
        <v/>
      </c>
      <c r="E17" s="14">
        <f>IF(IFERROR(MATCH(1,ChqRankL,0),0)=0,"",INDEX(ChqStatus,IFERROR(MATCH(1,ChqRankL,0),0)))</f>
        <v/>
      </c>
      <c r="F17" s="22">
        <f>IF(IFERROR(MATCH(1,ChqRankL,0),0)=0,"",IF(INDEX(ChqStatus,IFERROR(MATCH(1,ChqRankL,0),0))="پاس نشده","—",IF(INDEX(ChqClr,IFERROR(MATCH(1,ChqRankL,0),0))="","—",INDEX(ChqClr,IFERROR(MATCH(1,ChqRankL,0),0)))))</f>
        <v/>
      </c>
      <c r="I17">
        <f>IF(1&gt;NChq,"",INDEX(ChqNorm,1))</f>
        <v/>
      </c>
      <c r="J17">
        <f>IF($I17="","",IF(AND($I17&gt;=$H$3,$I17&lt;=$H$4),1,0))</f>
        <v/>
      </c>
      <c r="K17">
        <f>IF($J17=0,"",INDEX(ChqKey,1))</f>
        <v/>
      </c>
      <c r="L17">
        <f>IF($K17="","",COUNTIFS($J$17:$J$516,1,$K$17:$K$516,"&lt;"&amp;$K17)+1)</f>
        <v/>
      </c>
    </row>
    <row r="18">
      <c r="A18" s="16">
        <f>IF(IFERROR(MATCH(2,ChqRankL,0),0)=0,"",2)</f>
        <v/>
      </c>
      <c r="B18" s="24">
        <f>IF(IFERROR(MATCH(2,ChqRankL,0),0)=0,"",INDEX(ChqNorm,IFERROR(MATCH(2,ChqRankL,0),0)))</f>
        <v/>
      </c>
      <c r="C18" s="24">
        <f>IF(IFERROR(MATCH(2,ChqRankL,0),0)=0,"",INDEX(ChqNo,IFERROR(MATCH(2,ChqRankL,0),0)))</f>
        <v/>
      </c>
      <c r="D18" s="25">
        <f>IF(IFERROR(MATCH(2,ChqRankL,0),0)=0,"",IF(INDEX(ChqAmt,IFERROR(MATCH(2,ChqRankL,0),0))=0,"",INDEX(ChqAmt,IFERROR(MATCH(2,ChqRankL,0),0))))</f>
        <v/>
      </c>
      <c r="E18" s="17">
        <f>IF(IFERROR(MATCH(2,ChqRankL,0),0)=0,"",INDEX(ChqStatus,IFERROR(MATCH(2,ChqRankL,0),0)))</f>
        <v/>
      </c>
      <c r="F18" s="24">
        <f>IF(IFERROR(MATCH(2,ChqRankL,0),0)=0,"",IF(INDEX(ChqStatus,IFERROR(MATCH(2,ChqRankL,0),0))="پاس نشده","—",IF(INDEX(ChqClr,IFERROR(MATCH(2,ChqRankL,0),0))="","—",INDEX(ChqClr,IFERROR(MATCH(2,ChqRankL,0),0)))))</f>
        <v/>
      </c>
      <c r="I18">
        <f>IF(2&gt;NChq,"",INDEX(ChqNorm,2))</f>
        <v/>
      </c>
      <c r="J18">
        <f>IF($I18="","",IF(AND($I18&gt;=$H$3,$I18&lt;=$H$4),1,0))</f>
        <v/>
      </c>
      <c r="K18">
        <f>IF($J18=0,"",INDEX(ChqKey,2))</f>
        <v/>
      </c>
      <c r="L18">
        <f>IF($K18="","",COUNTIFS($J$17:$J$516,1,$K$17:$K$516,"&lt;"&amp;$K18)+1)</f>
        <v/>
      </c>
    </row>
    <row r="19">
      <c r="A19" s="10">
        <f>IF(IFERROR(MATCH(3,ChqRankL,0),0)=0,"",3)</f>
        <v/>
      </c>
      <c r="B19" s="22">
        <f>IF(IFERROR(MATCH(3,ChqRankL,0),0)=0,"",INDEX(ChqNorm,IFERROR(MATCH(3,ChqRankL,0),0)))</f>
        <v/>
      </c>
      <c r="C19" s="22">
        <f>IF(IFERROR(MATCH(3,ChqRankL,0),0)=0,"",INDEX(ChqNo,IFERROR(MATCH(3,ChqRankL,0),0)))</f>
        <v/>
      </c>
      <c r="D19" s="23">
        <f>IF(IFERROR(MATCH(3,ChqRankL,0),0)=0,"",IF(INDEX(ChqAmt,IFERROR(MATCH(3,ChqRankL,0),0))=0,"",INDEX(ChqAmt,IFERROR(MATCH(3,ChqRankL,0),0))))</f>
        <v/>
      </c>
      <c r="E19" s="14">
        <f>IF(IFERROR(MATCH(3,ChqRankL,0),0)=0,"",INDEX(ChqStatus,IFERROR(MATCH(3,ChqRankL,0),0)))</f>
        <v/>
      </c>
      <c r="F19" s="22">
        <f>IF(IFERROR(MATCH(3,ChqRankL,0),0)=0,"",IF(INDEX(ChqStatus,IFERROR(MATCH(3,ChqRankL,0),0))="پاس نشده","—",IF(INDEX(ChqClr,IFERROR(MATCH(3,ChqRankL,0),0))="","—",INDEX(ChqClr,IFERROR(MATCH(3,ChqRankL,0),0)))))</f>
        <v/>
      </c>
      <c r="I19">
        <f>IF(3&gt;NChq,"",INDEX(ChqNorm,3))</f>
        <v/>
      </c>
      <c r="J19">
        <f>IF($I19="","",IF(AND($I19&gt;=$H$3,$I19&lt;=$H$4),1,0))</f>
        <v/>
      </c>
      <c r="K19">
        <f>IF($J19=0,"",INDEX(ChqKey,3))</f>
        <v/>
      </c>
      <c r="L19">
        <f>IF($K19="","",COUNTIFS($J$17:$J$516,1,$K$17:$K$516,"&lt;"&amp;$K19)+1)</f>
        <v/>
      </c>
    </row>
    <row r="20">
      <c r="A20" s="16">
        <f>IF(IFERROR(MATCH(4,ChqRankL,0),0)=0,"",4)</f>
        <v/>
      </c>
      <c r="B20" s="24">
        <f>IF(IFERROR(MATCH(4,ChqRankL,0),0)=0,"",INDEX(ChqNorm,IFERROR(MATCH(4,ChqRankL,0),0)))</f>
        <v/>
      </c>
      <c r="C20" s="24">
        <f>IF(IFERROR(MATCH(4,ChqRankL,0),0)=0,"",INDEX(ChqNo,IFERROR(MATCH(4,ChqRankL,0),0)))</f>
        <v/>
      </c>
      <c r="D20" s="25">
        <f>IF(IFERROR(MATCH(4,ChqRankL,0),0)=0,"",IF(INDEX(ChqAmt,IFERROR(MATCH(4,ChqRankL,0),0))=0,"",INDEX(ChqAmt,IFERROR(MATCH(4,ChqRankL,0),0))))</f>
        <v/>
      </c>
      <c r="E20" s="17">
        <f>IF(IFERROR(MATCH(4,ChqRankL,0),0)=0,"",INDEX(ChqStatus,IFERROR(MATCH(4,ChqRankL,0),0)))</f>
        <v/>
      </c>
      <c r="F20" s="24">
        <f>IF(IFERROR(MATCH(4,ChqRankL,0),0)=0,"",IF(INDEX(ChqStatus,IFERROR(MATCH(4,ChqRankL,0),0))="پاس نشده","—",IF(INDEX(ChqClr,IFERROR(MATCH(4,ChqRankL,0),0))="","—",INDEX(ChqClr,IFERROR(MATCH(4,ChqRankL,0),0)))))</f>
        <v/>
      </c>
      <c r="I20">
        <f>IF(4&gt;NChq,"",INDEX(ChqNorm,4))</f>
        <v/>
      </c>
      <c r="J20">
        <f>IF($I20="","",IF(AND($I20&gt;=$H$3,$I20&lt;=$H$4),1,0))</f>
        <v/>
      </c>
      <c r="K20">
        <f>IF($J20=0,"",INDEX(ChqKey,4))</f>
        <v/>
      </c>
      <c r="L20">
        <f>IF($K20="","",COUNTIFS($J$17:$J$516,1,$K$17:$K$516,"&lt;"&amp;$K20)+1)</f>
        <v/>
      </c>
    </row>
    <row r="21">
      <c r="A21" s="10">
        <f>IF(IFERROR(MATCH(5,ChqRankL,0),0)=0,"",5)</f>
        <v/>
      </c>
      <c r="B21" s="22">
        <f>IF(IFERROR(MATCH(5,ChqRankL,0),0)=0,"",INDEX(ChqNorm,IFERROR(MATCH(5,ChqRankL,0),0)))</f>
        <v/>
      </c>
      <c r="C21" s="22">
        <f>IF(IFERROR(MATCH(5,ChqRankL,0),0)=0,"",INDEX(ChqNo,IFERROR(MATCH(5,ChqRankL,0),0)))</f>
        <v/>
      </c>
      <c r="D21" s="23">
        <f>IF(IFERROR(MATCH(5,ChqRankL,0),0)=0,"",IF(INDEX(ChqAmt,IFERROR(MATCH(5,ChqRankL,0),0))=0,"",INDEX(ChqAmt,IFERROR(MATCH(5,ChqRankL,0),0))))</f>
        <v/>
      </c>
      <c r="E21" s="14">
        <f>IF(IFERROR(MATCH(5,ChqRankL,0),0)=0,"",INDEX(ChqStatus,IFERROR(MATCH(5,ChqRankL,0),0)))</f>
        <v/>
      </c>
      <c r="F21" s="22">
        <f>IF(IFERROR(MATCH(5,ChqRankL,0),0)=0,"",IF(INDEX(ChqStatus,IFERROR(MATCH(5,ChqRankL,0),0))="پاس نشده","—",IF(INDEX(ChqClr,IFERROR(MATCH(5,ChqRankL,0),0))="","—",INDEX(ChqClr,IFERROR(MATCH(5,ChqRankL,0),0)))))</f>
        <v/>
      </c>
      <c r="I21">
        <f>IF(5&gt;NChq,"",INDEX(ChqNorm,5))</f>
        <v/>
      </c>
      <c r="J21">
        <f>IF($I21="","",IF(AND($I21&gt;=$H$3,$I21&lt;=$H$4),1,0))</f>
        <v/>
      </c>
      <c r="K21">
        <f>IF($J21=0,"",INDEX(ChqKey,5))</f>
        <v/>
      </c>
      <c r="L21">
        <f>IF($K21="","",COUNTIFS($J$17:$J$516,1,$K$17:$K$516,"&lt;"&amp;$K21)+1)</f>
        <v/>
      </c>
    </row>
    <row r="22">
      <c r="A22" s="16">
        <f>IF(IFERROR(MATCH(6,ChqRankL,0),0)=0,"",6)</f>
        <v/>
      </c>
      <c r="B22" s="24">
        <f>IF(IFERROR(MATCH(6,ChqRankL,0),0)=0,"",INDEX(ChqNorm,IFERROR(MATCH(6,ChqRankL,0),0)))</f>
        <v/>
      </c>
      <c r="C22" s="24">
        <f>IF(IFERROR(MATCH(6,ChqRankL,0),0)=0,"",INDEX(ChqNo,IFERROR(MATCH(6,ChqRankL,0),0)))</f>
        <v/>
      </c>
      <c r="D22" s="25">
        <f>IF(IFERROR(MATCH(6,ChqRankL,0),0)=0,"",IF(INDEX(ChqAmt,IFERROR(MATCH(6,ChqRankL,0),0))=0,"",INDEX(ChqAmt,IFERROR(MATCH(6,ChqRankL,0),0))))</f>
        <v/>
      </c>
      <c r="E22" s="17">
        <f>IF(IFERROR(MATCH(6,ChqRankL,0),0)=0,"",INDEX(ChqStatus,IFERROR(MATCH(6,ChqRankL,0),0)))</f>
        <v/>
      </c>
      <c r="F22" s="24">
        <f>IF(IFERROR(MATCH(6,ChqRankL,0),0)=0,"",IF(INDEX(ChqStatus,IFERROR(MATCH(6,ChqRankL,0),0))="پاس نشده","—",IF(INDEX(ChqClr,IFERROR(MATCH(6,ChqRankL,0),0))="","—",INDEX(ChqClr,IFERROR(MATCH(6,ChqRankL,0),0)))))</f>
        <v/>
      </c>
      <c r="I22">
        <f>IF(6&gt;NChq,"",INDEX(ChqNorm,6))</f>
        <v/>
      </c>
      <c r="J22">
        <f>IF($I22="","",IF(AND($I22&gt;=$H$3,$I22&lt;=$H$4),1,0))</f>
        <v/>
      </c>
      <c r="K22">
        <f>IF($J22=0,"",INDEX(ChqKey,6))</f>
        <v/>
      </c>
      <c r="L22">
        <f>IF($K22="","",COUNTIFS($J$17:$J$516,1,$K$17:$K$516,"&lt;"&amp;$K22)+1)</f>
        <v/>
      </c>
    </row>
    <row r="23">
      <c r="A23" s="10">
        <f>IF(IFERROR(MATCH(7,ChqRankL,0),0)=0,"",7)</f>
        <v/>
      </c>
      <c r="B23" s="22">
        <f>IF(IFERROR(MATCH(7,ChqRankL,0),0)=0,"",INDEX(ChqNorm,IFERROR(MATCH(7,ChqRankL,0),0)))</f>
        <v/>
      </c>
      <c r="C23" s="22">
        <f>IF(IFERROR(MATCH(7,ChqRankL,0),0)=0,"",INDEX(ChqNo,IFERROR(MATCH(7,ChqRankL,0),0)))</f>
        <v/>
      </c>
      <c r="D23" s="23">
        <f>IF(IFERROR(MATCH(7,ChqRankL,0),0)=0,"",IF(INDEX(ChqAmt,IFERROR(MATCH(7,ChqRankL,0),0))=0,"",INDEX(ChqAmt,IFERROR(MATCH(7,ChqRankL,0),0))))</f>
        <v/>
      </c>
      <c r="E23" s="14">
        <f>IF(IFERROR(MATCH(7,ChqRankL,0),0)=0,"",INDEX(ChqStatus,IFERROR(MATCH(7,ChqRankL,0),0)))</f>
        <v/>
      </c>
      <c r="F23" s="22">
        <f>IF(IFERROR(MATCH(7,ChqRankL,0),0)=0,"",IF(INDEX(ChqStatus,IFERROR(MATCH(7,ChqRankL,0),0))="پاس نشده","—",IF(INDEX(ChqClr,IFERROR(MATCH(7,ChqRankL,0),0))="","—",INDEX(ChqClr,IFERROR(MATCH(7,ChqRankL,0),0)))))</f>
        <v/>
      </c>
      <c r="I23">
        <f>IF(7&gt;NChq,"",INDEX(ChqNorm,7))</f>
        <v/>
      </c>
      <c r="J23">
        <f>IF($I23="","",IF(AND($I23&gt;=$H$3,$I23&lt;=$H$4),1,0))</f>
        <v/>
      </c>
      <c r="K23">
        <f>IF($J23=0,"",INDEX(ChqKey,7))</f>
        <v/>
      </c>
      <c r="L23">
        <f>IF($K23="","",COUNTIFS($J$17:$J$516,1,$K$17:$K$516,"&lt;"&amp;$K23)+1)</f>
        <v/>
      </c>
    </row>
    <row r="24">
      <c r="A24" s="16">
        <f>IF(IFERROR(MATCH(8,ChqRankL,0),0)=0,"",8)</f>
        <v/>
      </c>
      <c r="B24" s="24">
        <f>IF(IFERROR(MATCH(8,ChqRankL,0),0)=0,"",INDEX(ChqNorm,IFERROR(MATCH(8,ChqRankL,0),0)))</f>
        <v/>
      </c>
      <c r="C24" s="24">
        <f>IF(IFERROR(MATCH(8,ChqRankL,0),0)=0,"",INDEX(ChqNo,IFERROR(MATCH(8,ChqRankL,0),0)))</f>
        <v/>
      </c>
      <c r="D24" s="25">
        <f>IF(IFERROR(MATCH(8,ChqRankL,0),0)=0,"",IF(INDEX(ChqAmt,IFERROR(MATCH(8,ChqRankL,0),0))=0,"",INDEX(ChqAmt,IFERROR(MATCH(8,ChqRankL,0),0))))</f>
        <v/>
      </c>
      <c r="E24" s="17">
        <f>IF(IFERROR(MATCH(8,ChqRankL,0),0)=0,"",INDEX(ChqStatus,IFERROR(MATCH(8,ChqRankL,0),0)))</f>
        <v/>
      </c>
      <c r="F24" s="24">
        <f>IF(IFERROR(MATCH(8,ChqRankL,0),0)=0,"",IF(INDEX(ChqStatus,IFERROR(MATCH(8,ChqRankL,0),0))="پاس نشده","—",IF(INDEX(ChqClr,IFERROR(MATCH(8,ChqRankL,0),0))="","—",INDEX(ChqClr,IFERROR(MATCH(8,ChqRankL,0),0)))))</f>
        <v/>
      </c>
      <c r="I24">
        <f>IF(8&gt;NChq,"",INDEX(ChqNorm,8))</f>
        <v/>
      </c>
      <c r="J24">
        <f>IF($I24="","",IF(AND($I24&gt;=$H$3,$I24&lt;=$H$4),1,0))</f>
        <v/>
      </c>
      <c r="K24">
        <f>IF($J24=0,"",INDEX(ChqKey,8))</f>
        <v/>
      </c>
      <c r="L24">
        <f>IF($K24="","",COUNTIFS($J$17:$J$516,1,$K$17:$K$516,"&lt;"&amp;$K24)+1)</f>
        <v/>
      </c>
    </row>
    <row r="25">
      <c r="A25" s="10">
        <f>IF(IFERROR(MATCH(9,ChqRankL,0),0)=0,"",9)</f>
        <v/>
      </c>
      <c r="B25" s="22">
        <f>IF(IFERROR(MATCH(9,ChqRankL,0),0)=0,"",INDEX(ChqNorm,IFERROR(MATCH(9,ChqRankL,0),0)))</f>
        <v/>
      </c>
      <c r="C25" s="22">
        <f>IF(IFERROR(MATCH(9,ChqRankL,0),0)=0,"",INDEX(ChqNo,IFERROR(MATCH(9,ChqRankL,0),0)))</f>
        <v/>
      </c>
      <c r="D25" s="23">
        <f>IF(IFERROR(MATCH(9,ChqRankL,0),0)=0,"",IF(INDEX(ChqAmt,IFERROR(MATCH(9,ChqRankL,0),0))=0,"",INDEX(ChqAmt,IFERROR(MATCH(9,ChqRankL,0),0))))</f>
        <v/>
      </c>
      <c r="E25" s="14">
        <f>IF(IFERROR(MATCH(9,ChqRankL,0),0)=0,"",INDEX(ChqStatus,IFERROR(MATCH(9,ChqRankL,0),0)))</f>
        <v/>
      </c>
      <c r="F25" s="22">
        <f>IF(IFERROR(MATCH(9,ChqRankL,0),0)=0,"",IF(INDEX(ChqStatus,IFERROR(MATCH(9,ChqRankL,0),0))="پاس نشده","—",IF(INDEX(ChqClr,IFERROR(MATCH(9,ChqRankL,0),0))="","—",INDEX(ChqClr,IFERROR(MATCH(9,ChqRankL,0),0)))))</f>
        <v/>
      </c>
      <c r="I25">
        <f>IF(9&gt;NChq,"",INDEX(ChqNorm,9))</f>
        <v/>
      </c>
      <c r="J25">
        <f>IF($I25="","",IF(AND($I25&gt;=$H$3,$I25&lt;=$H$4),1,0))</f>
        <v/>
      </c>
      <c r="K25">
        <f>IF($J25=0,"",INDEX(ChqKey,9))</f>
        <v/>
      </c>
      <c r="L25">
        <f>IF($K25="","",COUNTIFS($J$17:$J$516,1,$K$17:$K$516,"&lt;"&amp;$K25)+1)</f>
        <v/>
      </c>
    </row>
    <row r="26">
      <c r="A26" s="16">
        <f>IF(IFERROR(MATCH(10,ChqRankL,0),0)=0,"",10)</f>
        <v/>
      </c>
      <c r="B26" s="24">
        <f>IF(IFERROR(MATCH(10,ChqRankL,0),0)=0,"",INDEX(ChqNorm,IFERROR(MATCH(10,ChqRankL,0),0)))</f>
        <v/>
      </c>
      <c r="C26" s="24">
        <f>IF(IFERROR(MATCH(10,ChqRankL,0),0)=0,"",INDEX(ChqNo,IFERROR(MATCH(10,ChqRankL,0),0)))</f>
        <v/>
      </c>
      <c r="D26" s="25">
        <f>IF(IFERROR(MATCH(10,ChqRankL,0),0)=0,"",IF(INDEX(ChqAmt,IFERROR(MATCH(10,ChqRankL,0),0))=0,"",INDEX(ChqAmt,IFERROR(MATCH(10,ChqRankL,0),0))))</f>
        <v/>
      </c>
      <c r="E26" s="17">
        <f>IF(IFERROR(MATCH(10,ChqRankL,0),0)=0,"",INDEX(ChqStatus,IFERROR(MATCH(10,ChqRankL,0),0)))</f>
        <v/>
      </c>
      <c r="F26" s="24">
        <f>IF(IFERROR(MATCH(10,ChqRankL,0),0)=0,"",IF(INDEX(ChqStatus,IFERROR(MATCH(10,ChqRankL,0),0))="پاس نشده","—",IF(INDEX(ChqClr,IFERROR(MATCH(10,ChqRankL,0),0))="","—",INDEX(ChqClr,IFERROR(MATCH(10,ChqRankL,0),0)))))</f>
        <v/>
      </c>
      <c r="I26">
        <f>IF(10&gt;NChq,"",INDEX(ChqNorm,10))</f>
        <v/>
      </c>
      <c r="J26">
        <f>IF($I26="","",IF(AND($I26&gt;=$H$3,$I26&lt;=$H$4),1,0))</f>
        <v/>
      </c>
      <c r="K26">
        <f>IF($J26=0,"",INDEX(ChqKey,10))</f>
        <v/>
      </c>
      <c r="L26">
        <f>IF($K26="","",COUNTIFS($J$17:$J$516,1,$K$17:$K$516,"&lt;"&amp;$K26)+1)</f>
        <v/>
      </c>
    </row>
    <row r="27">
      <c r="A27" s="10">
        <f>IF(IFERROR(MATCH(11,ChqRankL,0),0)=0,"",11)</f>
        <v/>
      </c>
      <c r="B27" s="22">
        <f>IF(IFERROR(MATCH(11,ChqRankL,0),0)=0,"",INDEX(ChqNorm,IFERROR(MATCH(11,ChqRankL,0),0)))</f>
        <v/>
      </c>
      <c r="C27" s="22">
        <f>IF(IFERROR(MATCH(11,ChqRankL,0),0)=0,"",INDEX(ChqNo,IFERROR(MATCH(11,ChqRankL,0),0)))</f>
        <v/>
      </c>
      <c r="D27" s="23">
        <f>IF(IFERROR(MATCH(11,ChqRankL,0),0)=0,"",IF(INDEX(ChqAmt,IFERROR(MATCH(11,ChqRankL,0),0))=0,"",INDEX(ChqAmt,IFERROR(MATCH(11,ChqRankL,0),0))))</f>
        <v/>
      </c>
      <c r="E27" s="14">
        <f>IF(IFERROR(MATCH(11,ChqRankL,0),0)=0,"",INDEX(ChqStatus,IFERROR(MATCH(11,ChqRankL,0),0)))</f>
        <v/>
      </c>
      <c r="F27" s="22">
        <f>IF(IFERROR(MATCH(11,ChqRankL,0),0)=0,"",IF(INDEX(ChqStatus,IFERROR(MATCH(11,ChqRankL,0),0))="پاس نشده","—",IF(INDEX(ChqClr,IFERROR(MATCH(11,ChqRankL,0),0))="","—",INDEX(ChqClr,IFERROR(MATCH(11,ChqRankL,0),0)))))</f>
        <v/>
      </c>
      <c r="I27">
        <f>IF(11&gt;NChq,"",INDEX(ChqNorm,11))</f>
        <v/>
      </c>
      <c r="J27">
        <f>IF($I27="","",IF(AND($I27&gt;=$H$3,$I27&lt;=$H$4),1,0))</f>
        <v/>
      </c>
      <c r="K27">
        <f>IF($J27=0,"",INDEX(ChqKey,11))</f>
        <v/>
      </c>
      <c r="L27">
        <f>IF($K27="","",COUNTIFS($J$17:$J$516,1,$K$17:$K$516,"&lt;"&amp;$K27)+1)</f>
        <v/>
      </c>
    </row>
    <row r="28">
      <c r="A28" s="16">
        <f>IF(IFERROR(MATCH(12,ChqRankL,0),0)=0,"",12)</f>
        <v/>
      </c>
      <c r="B28" s="24">
        <f>IF(IFERROR(MATCH(12,ChqRankL,0),0)=0,"",INDEX(ChqNorm,IFERROR(MATCH(12,ChqRankL,0),0)))</f>
        <v/>
      </c>
      <c r="C28" s="24">
        <f>IF(IFERROR(MATCH(12,ChqRankL,0),0)=0,"",INDEX(ChqNo,IFERROR(MATCH(12,ChqRankL,0),0)))</f>
        <v/>
      </c>
      <c r="D28" s="25">
        <f>IF(IFERROR(MATCH(12,ChqRankL,0),0)=0,"",IF(INDEX(ChqAmt,IFERROR(MATCH(12,ChqRankL,0),0))=0,"",INDEX(ChqAmt,IFERROR(MATCH(12,ChqRankL,0),0))))</f>
        <v/>
      </c>
      <c r="E28" s="17">
        <f>IF(IFERROR(MATCH(12,ChqRankL,0),0)=0,"",INDEX(ChqStatus,IFERROR(MATCH(12,ChqRankL,0),0)))</f>
        <v/>
      </c>
      <c r="F28" s="24">
        <f>IF(IFERROR(MATCH(12,ChqRankL,0),0)=0,"",IF(INDEX(ChqStatus,IFERROR(MATCH(12,ChqRankL,0),0))="پاس نشده","—",IF(INDEX(ChqClr,IFERROR(MATCH(12,ChqRankL,0),0))="","—",INDEX(ChqClr,IFERROR(MATCH(12,ChqRankL,0),0)))))</f>
        <v/>
      </c>
      <c r="I28">
        <f>IF(12&gt;NChq,"",INDEX(ChqNorm,12))</f>
        <v/>
      </c>
      <c r="J28">
        <f>IF($I28="","",IF(AND($I28&gt;=$H$3,$I28&lt;=$H$4),1,0))</f>
        <v/>
      </c>
      <c r="K28">
        <f>IF($J28=0,"",INDEX(ChqKey,12))</f>
        <v/>
      </c>
      <c r="L28">
        <f>IF($K28="","",COUNTIFS($J$17:$J$516,1,$K$17:$K$516,"&lt;"&amp;$K28)+1)</f>
        <v/>
      </c>
    </row>
    <row r="29">
      <c r="A29" s="10">
        <f>IF(IFERROR(MATCH(13,ChqRankL,0),0)=0,"",13)</f>
        <v/>
      </c>
      <c r="B29" s="22">
        <f>IF(IFERROR(MATCH(13,ChqRankL,0),0)=0,"",INDEX(ChqNorm,IFERROR(MATCH(13,ChqRankL,0),0)))</f>
        <v/>
      </c>
      <c r="C29" s="22">
        <f>IF(IFERROR(MATCH(13,ChqRankL,0),0)=0,"",INDEX(ChqNo,IFERROR(MATCH(13,ChqRankL,0),0)))</f>
        <v/>
      </c>
      <c r="D29" s="23">
        <f>IF(IFERROR(MATCH(13,ChqRankL,0),0)=0,"",IF(INDEX(ChqAmt,IFERROR(MATCH(13,ChqRankL,0),0))=0,"",INDEX(ChqAmt,IFERROR(MATCH(13,ChqRankL,0),0))))</f>
        <v/>
      </c>
      <c r="E29" s="14">
        <f>IF(IFERROR(MATCH(13,ChqRankL,0),0)=0,"",INDEX(ChqStatus,IFERROR(MATCH(13,ChqRankL,0),0)))</f>
        <v/>
      </c>
      <c r="F29" s="22">
        <f>IF(IFERROR(MATCH(13,ChqRankL,0),0)=0,"",IF(INDEX(ChqStatus,IFERROR(MATCH(13,ChqRankL,0),0))="پاس نشده","—",IF(INDEX(ChqClr,IFERROR(MATCH(13,ChqRankL,0),0))="","—",INDEX(ChqClr,IFERROR(MATCH(13,ChqRankL,0),0)))))</f>
        <v/>
      </c>
      <c r="I29">
        <f>IF(13&gt;NChq,"",INDEX(ChqNorm,13))</f>
        <v/>
      </c>
      <c r="J29">
        <f>IF($I29="","",IF(AND($I29&gt;=$H$3,$I29&lt;=$H$4),1,0))</f>
        <v/>
      </c>
      <c r="K29">
        <f>IF($J29=0,"",INDEX(ChqKey,13))</f>
        <v/>
      </c>
      <c r="L29">
        <f>IF($K29="","",COUNTIFS($J$17:$J$516,1,$K$17:$K$516,"&lt;"&amp;$K29)+1)</f>
        <v/>
      </c>
    </row>
    <row r="30">
      <c r="A30" s="16">
        <f>IF(IFERROR(MATCH(14,ChqRankL,0),0)=0,"",14)</f>
        <v/>
      </c>
      <c r="B30" s="24">
        <f>IF(IFERROR(MATCH(14,ChqRankL,0),0)=0,"",INDEX(ChqNorm,IFERROR(MATCH(14,ChqRankL,0),0)))</f>
        <v/>
      </c>
      <c r="C30" s="24">
        <f>IF(IFERROR(MATCH(14,ChqRankL,0),0)=0,"",INDEX(ChqNo,IFERROR(MATCH(14,ChqRankL,0),0)))</f>
        <v/>
      </c>
      <c r="D30" s="25">
        <f>IF(IFERROR(MATCH(14,ChqRankL,0),0)=0,"",IF(INDEX(ChqAmt,IFERROR(MATCH(14,ChqRankL,0),0))=0,"",INDEX(ChqAmt,IFERROR(MATCH(14,ChqRankL,0),0))))</f>
        <v/>
      </c>
      <c r="E30" s="17">
        <f>IF(IFERROR(MATCH(14,ChqRankL,0),0)=0,"",INDEX(ChqStatus,IFERROR(MATCH(14,ChqRankL,0),0)))</f>
        <v/>
      </c>
      <c r="F30" s="24">
        <f>IF(IFERROR(MATCH(14,ChqRankL,0),0)=0,"",IF(INDEX(ChqStatus,IFERROR(MATCH(14,ChqRankL,0),0))="پاس نشده","—",IF(INDEX(ChqClr,IFERROR(MATCH(14,ChqRankL,0),0))="","—",INDEX(ChqClr,IFERROR(MATCH(14,ChqRankL,0),0)))))</f>
        <v/>
      </c>
      <c r="I30">
        <f>IF(14&gt;NChq,"",INDEX(ChqNorm,14))</f>
        <v/>
      </c>
      <c r="J30">
        <f>IF($I30="","",IF(AND($I30&gt;=$H$3,$I30&lt;=$H$4),1,0))</f>
        <v/>
      </c>
      <c r="K30">
        <f>IF($J30=0,"",INDEX(ChqKey,14))</f>
        <v/>
      </c>
      <c r="L30">
        <f>IF($K30="","",COUNTIFS($J$17:$J$516,1,$K$17:$K$516,"&lt;"&amp;$K30)+1)</f>
        <v/>
      </c>
    </row>
    <row r="31">
      <c r="A31" s="10">
        <f>IF(IFERROR(MATCH(15,ChqRankL,0),0)=0,"",15)</f>
        <v/>
      </c>
      <c r="B31" s="22">
        <f>IF(IFERROR(MATCH(15,ChqRankL,0),0)=0,"",INDEX(ChqNorm,IFERROR(MATCH(15,ChqRankL,0),0)))</f>
        <v/>
      </c>
      <c r="C31" s="22">
        <f>IF(IFERROR(MATCH(15,ChqRankL,0),0)=0,"",INDEX(ChqNo,IFERROR(MATCH(15,ChqRankL,0),0)))</f>
        <v/>
      </c>
      <c r="D31" s="23">
        <f>IF(IFERROR(MATCH(15,ChqRankL,0),0)=0,"",IF(INDEX(ChqAmt,IFERROR(MATCH(15,ChqRankL,0),0))=0,"",INDEX(ChqAmt,IFERROR(MATCH(15,ChqRankL,0),0))))</f>
        <v/>
      </c>
      <c r="E31" s="14">
        <f>IF(IFERROR(MATCH(15,ChqRankL,0),0)=0,"",INDEX(ChqStatus,IFERROR(MATCH(15,ChqRankL,0),0)))</f>
        <v/>
      </c>
      <c r="F31" s="22">
        <f>IF(IFERROR(MATCH(15,ChqRankL,0),0)=0,"",IF(INDEX(ChqStatus,IFERROR(MATCH(15,ChqRankL,0),0))="پاس نشده","—",IF(INDEX(ChqClr,IFERROR(MATCH(15,ChqRankL,0),0))="","—",INDEX(ChqClr,IFERROR(MATCH(15,ChqRankL,0),0)))))</f>
        <v/>
      </c>
      <c r="I31">
        <f>IF(15&gt;NChq,"",INDEX(ChqNorm,15))</f>
        <v/>
      </c>
      <c r="J31">
        <f>IF($I31="","",IF(AND($I31&gt;=$H$3,$I31&lt;=$H$4),1,0))</f>
        <v/>
      </c>
      <c r="K31">
        <f>IF($J31=0,"",INDEX(ChqKey,15))</f>
        <v/>
      </c>
      <c r="L31">
        <f>IF($K31="","",COUNTIFS($J$17:$J$516,1,$K$17:$K$516,"&lt;"&amp;$K31)+1)</f>
        <v/>
      </c>
    </row>
    <row r="32">
      <c r="A32" s="16">
        <f>IF(IFERROR(MATCH(16,ChqRankL,0),0)=0,"",16)</f>
        <v/>
      </c>
      <c r="B32" s="24">
        <f>IF(IFERROR(MATCH(16,ChqRankL,0),0)=0,"",INDEX(ChqNorm,IFERROR(MATCH(16,ChqRankL,0),0)))</f>
        <v/>
      </c>
      <c r="C32" s="24">
        <f>IF(IFERROR(MATCH(16,ChqRankL,0),0)=0,"",INDEX(ChqNo,IFERROR(MATCH(16,ChqRankL,0),0)))</f>
        <v/>
      </c>
      <c r="D32" s="25">
        <f>IF(IFERROR(MATCH(16,ChqRankL,0),0)=0,"",IF(INDEX(ChqAmt,IFERROR(MATCH(16,ChqRankL,0),0))=0,"",INDEX(ChqAmt,IFERROR(MATCH(16,ChqRankL,0),0))))</f>
        <v/>
      </c>
      <c r="E32" s="17">
        <f>IF(IFERROR(MATCH(16,ChqRankL,0),0)=0,"",INDEX(ChqStatus,IFERROR(MATCH(16,ChqRankL,0),0)))</f>
        <v/>
      </c>
      <c r="F32" s="24">
        <f>IF(IFERROR(MATCH(16,ChqRankL,0),0)=0,"",IF(INDEX(ChqStatus,IFERROR(MATCH(16,ChqRankL,0),0))="پاس نشده","—",IF(INDEX(ChqClr,IFERROR(MATCH(16,ChqRankL,0),0))="","—",INDEX(ChqClr,IFERROR(MATCH(16,ChqRankL,0),0)))))</f>
        <v/>
      </c>
      <c r="I32">
        <f>IF(16&gt;NChq,"",INDEX(ChqNorm,16))</f>
        <v/>
      </c>
      <c r="J32">
        <f>IF($I32="","",IF(AND($I32&gt;=$H$3,$I32&lt;=$H$4),1,0))</f>
        <v/>
      </c>
      <c r="K32">
        <f>IF($J32=0,"",INDEX(ChqKey,16))</f>
        <v/>
      </c>
      <c r="L32">
        <f>IF($K32="","",COUNTIFS($J$17:$J$516,1,$K$17:$K$516,"&lt;"&amp;$K32)+1)</f>
        <v/>
      </c>
    </row>
    <row r="33">
      <c r="A33" s="10">
        <f>IF(IFERROR(MATCH(17,ChqRankL,0),0)=0,"",17)</f>
        <v/>
      </c>
      <c r="B33" s="22">
        <f>IF(IFERROR(MATCH(17,ChqRankL,0),0)=0,"",INDEX(ChqNorm,IFERROR(MATCH(17,ChqRankL,0),0)))</f>
        <v/>
      </c>
      <c r="C33" s="22">
        <f>IF(IFERROR(MATCH(17,ChqRankL,0),0)=0,"",INDEX(ChqNo,IFERROR(MATCH(17,ChqRankL,0),0)))</f>
        <v/>
      </c>
      <c r="D33" s="23">
        <f>IF(IFERROR(MATCH(17,ChqRankL,0),0)=0,"",IF(INDEX(ChqAmt,IFERROR(MATCH(17,ChqRankL,0),0))=0,"",INDEX(ChqAmt,IFERROR(MATCH(17,ChqRankL,0),0))))</f>
        <v/>
      </c>
      <c r="E33" s="14">
        <f>IF(IFERROR(MATCH(17,ChqRankL,0),0)=0,"",INDEX(ChqStatus,IFERROR(MATCH(17,ChqRankL,0),0)))</f>
        <v/>
      </c>
      <c r="F33" s="22">
        <f>IF(IFERROR(MATCH(17,ChqRankL,0),0)=0,"",IF(INDEX(ChqStatus,IFERROR(MATCH(17,ChqRankL,0),0))="پاس نشده","—",IF(INDEX(ChqClr,IFERROR(MATCH(17,ChqRankL,0),0))="","—",INDEX(ChqClr,IFERROR(MATCH(17,ChqRankL,0),0)))))</f>
        <v/>
      </c>
      <c r="I33">
        <f>IF(17&gt;NChq,"",INDEX(ChqNorm,17))</f>
        <v/>
      </c>
      <c r="J33">
        <f>IF($I33="","",IF(AND($I33&gt;=$H$3,$I33&lt;=$H$4),1,0))</f>
        <v/>
      </c>
      <c r="K33">
        <f>IF($J33=0,"",INDEX(ChqKey,17))</f>
        <v/>
      </c>
      <c r="L33">
        <f>IF($K33="","",COUNTIFS($J$17:$J$516,1,$K$17:$K$516,"&lt;"&amp;$K33)+1)</f>
        <v/>
      </c>
    </row>
    <row r="34">
      <c r="A34" s="16">
        <f>IF(IFERROR(MATCH(18,ChqRankL,0),0)=0,"",18)</f>
        <v/>
      </c>
      <c r="B34" s="24">
        <f>IF(IFERROR(MATCH(18,ChqRankL,0),0)=0,"",INDEX(ChqNorm,IFERROR(MATCH(18,ChqRankL,0),0)))</f>
        <v/>
      </c>
      <c r="C34" s="24">
        <f>IF(IFERROR(MATCH(18,ChqRankL,0),0)=0,"",INDEX(ChqNo,IFERROR(MATCH(18,ChqRankL,0),0)))</f>
        <v/>
      </c>
      <c r="D34" s="25">
        <f>IF(IFERROR(MATCH(18,ChqRankL,0),0)=0,"",IF(INDEX(ChqAmt,IFERROR(MATCH(18,ChqRankL,0),0))=0,"",INDEX(ChqAmt,IFERROR(MATCH(18,ChqRankL,0),0))))</f>
        <v/>
      </c>
      <c r="E34" s="17">
        <f>IF(IFERROR(MATCH(18,ChqRankL,0),0)=0,"",INDEX(ChqStatus,IFERROR(MATCH(18,ChqRankL,0),0)))</f>
        <v/>
      </c>
      <c r="F34" s="24">
        <f>IF(IFERROR(MATCH(18,ChqRankL,0),0)=0,"",IF(INDEX(ChqStatus,IFERROR(MATCH(18,ChqRankL,0),0))="پاس نشده","—",IF(INDEX(ChqClr,IFERROR(MATCH(18,ChqRankL,0),0))="","—",INDEX(ChqClr,IFERROR(MATCH(18,ChqRankL,0),0)))))</f>
        <v/>
      </c>
      <c r="I34">
        <f>IF(18&gt;NChq,"",INDEX(ChqNorm,18))</f>
        <v/>
      </c>
      <c r="J34">
        <f>IF($I34="","",IF(AND($I34&gt;=$H$3,$I34&lt;=$H$4),1,0))</f>
        <v/>
      </c>
      <c r="K34">
        <f>IF($J34=0,"",INDEX(ChqKey,18))</f>
        <v/>
      </c>
      <c r="L34">
        <f>IF($K34="","",COUNTIFS($J$17:$J$516,1,$K$17:$K$516,"&lt;"&amp;$K34)+1)</f>
        <v/>
      </c>
    </row>
    <row r="35">
      <c r="A35" s="10">
        <f>IF(IFERROR(MATCH(19,ChqRankL,0),0)=0,"",19)</f>
        <v/>
      </c>
      <c r="B35" s="22">
        <f>IF(IFERROR(MATCH(19,ChqRankL,0),0)=0,"",INDEX(ChqNorm,IFERROR(MATCH(19,ChqRankL,0),0)))</f>
        <v/>
      </c>
      <c r="C35" s="22">
        <f>IF(IFERROR(MATCH(19,ChqRankL,0),0)=0,"",INDEX(ChqNo,IFERROR(MATCH(19,ChqRankL,0),0)))</f>
        <v/>
      </c>
      <c r="D35" s="23">
        <f>IF(IFERROR(MATCH(19,ChqRankL,0),0)=0,"",IF(INDEX(ChqAmt,IFERROR(MATCH(19,ChqRankL,0),0))=0,"",INDEX(ChqAmt,IFERROR(MATCH(19,ChqRankL,0),0))))</f>
        <v/>
      </c>
      <c r="E35" s="14">
        <f>IF(IFERROR(MATCH(19,ChqRankL,0),0)=0,"",INDEX(ChqStatus,IFERROR(MATCH(19,ChqRankL,0),0)))</f>
        <v/>
      </c>
      <c r="F35" s="22">
        <f>IF(IFERROR(MATCH(19,ChqRankL,0),0)=0,"",IF(INDEX(ChqStatus,IFERROR(MATCH(19,ChqRankL,0),0))="پاس نشده","—",IF(INDEX(ChqClr,IFERROR(MATCH(19,ChqRankL,0),0))="","—",INDEX(ChqClr,IFERROR(MATCH(19,ChqRankL,0),0)))))</f>
        <v/>
      </c>
      <c r="I35">
        <f>IF(19&gt;NChq,"",INDEX(ChqNorm,19))</f>
        <v/>
      </c>
      <c r="J35">
        <f>IF($I35="","",IF(AND($I35&gt;=$H$3,$I35&lt;=$H$4),1,0))</f>
        <v/>
      </c>
      <c r="K35">
        <f>IF($J35=0,"",INDEX(ChqKey,19))</f>
        <v/>
      </c>
      <c r="L35">
        <f>IF($K35="","",COUNTIFS($J$17:$J$516,1,$K$17:$K$516,"&lt;"&amp;$K35)+1)</f>
        <v/>
      </c>
    </row>
    <row r="36">
      <c r="A36" s="16">
        <f>IF(IFERROR(MATCH(20,ChqRankL,0),0)=0,"",20)</f>
        <v/>
      </c>
      <c r="B36" s="24">
        <f>IF(IFERROR(MATCH(20,ChqRankL,0),0)=0,"",INDEX(ChqNorm,IFERROR(MATCH(20,ChqRankL,0),0)))</f>
        <v/>
      </c>
      <c r="C36" s="24">
        <f>IF(IFERROR(MATCH(20,ChqRankL,0),0)=0,"",INDEX(ChqNo,IFERROR(MATCH(20,ChqRankL,0),0)))</f>
        <v/>
      </c>
      <c r="D36" s="25">
        <f>IF(IFERROR(MATCH(20,ChqRankL,0),0)=0,"",IF(INDEX(ChqAmt,IFERROR(MATCH(20,ChqRankL,0),0))=0,"",INDEX(ChqAmt,IFERROR(MATCH(20,ChqRankL,0),0))))</f>
        <v/>
      </c>
      <c r="E36" s="17">
        <f>IF(IFERROR(MATCH(20,ChqRankL,0),0)=0,"",INDEX(ChqStatus,IFERROR(MATCH(20,ChqRankL,0),0)))</f>
        <v/>
      </c>
      <c r="F36" s="24">
        <f>IF(IFERROR(MATCH(20,ChqRankL,0),0)=0,"",IF(INDEX(ChqStatus,IFERROR(MATCH(20,ChqRankL,0),0))="پاس نشده","—",IF(INDEX(ChqClr,IFERROR(MATCH(20,ChqRankL,0),0))="","—",INDEX(ChqClr,IFERROR(MATCH(20,ChqRankL,0),0)))))</f>
        <v/>
      </c>
      <c r="I36">
        <f>IF(20&gt;NChq,"",INDEX(ChqNorm,20))</f>
        <v/>
      </c>
      <c r="J36">
        <f>IF($I36="","",IF(AND($I36&gt;=$H$3,$I36&lt;=$H$4),1,0))</f>
        <v/>
      </c>
      <c r="K36">
        <f>IF($J36=0,"",INDEX(ChqKey,20))</f>
        <v/>
      </c>
      <c r="L36">
        <f>IF($K36="","",COUNTIFS($J$17:$J$516,1,$K$17:$K$516,"&lt;"&amp;$K36)+1)</f>
        <v/>
      </c>
    </row>
    <row r="37">
      <c r="A37" s="10">
        <f>IF(IFERROR(MATCH(21,ChqRankL,0),0)=0,"",21)</f>
        <v/>
      </c>
      <c r="B37" s="22">
        <f>IF(IFERROR(MATCH(21,ChqRankL,0),0)=0,"",INDEX(ChqNorm,IFERROR(MATCH(21,ChqRankL,0),0)))</f>
        <v/>
      </c>
      <c r="C37" s="22">
        <f>IF(IFERROR(MATCH(21,ChqRankL,0),0)=0,"",INDEX(ChqNo,IFERROR(MATCH(21,ChqRankL,0),0)))</f>
        <v/>
      </c>
      <c r="D37" s="23">
        <f>IF(IFERROR(MATCH(21,ChqRankL,0),0)=0,"",IF(INDEX(ChqAmt,IFERROR(MATCH(21,ChqRankL,0),0))=0,"",INDEX(ChqAmt,IFERROR(MATCH(21,ChqRankL,0),0))))</f>
        <v/>
      </c>
      <c r="E37" s="14">
        <f>IF(IFERROR(MATCH(21,ChqRankL,0),0)=0,"",INDEX(ChqStatus,IFERROR(MATCH(21,ChqRankL,0),0)))</f>
        <v/>
      </c>
      <c r="F37" s="22">
        <f>IF(IFERROR(MATCH(21,ChqRankL,0),0)=0,"",IF(INDEX(ChqStatus,IFERROR(MATCH(21,ChqRankL,0),0))="پاس نشده","—",IF(INDEX(ChqClr,IFERROR(MATCH(21,ChqRankL,0),0))="","—",INDEX(ChqClr,IFERROR(MATCH(21,ChqRankL,0),0)))))</f>
        <v/>
      </c>
      <c r="I37">
        <f>IF(21&gt;NChq,"",INDEX(ChqNorm,21))</f>
        <v/>
      </c>
      <c r="J37">
        <f>IF($I37="","",IF(AND($I37&gt;=$H$3,$I37&lt;=$H$4),1,0))</f>
        <v/>
      </c>
      <c r="K37">
        <f>IF($J37=0,"",INDEX(ChqKey,21))</f>
        <v/>
      </c>
      <c r="L37">
        <f>IF($K37="","",COUNTIFS($J$17:$J$516,1,$K$17:$K$516,"&lt;"&amp;$K37)+1)</f>
        <v/>
      </c>
    </row>
    <row r="38">
      <c r="A38" s="16">
        <f>IF(IFERROR(MATCH(22,ChqRankL,0),0)=0,"",22)</f>
        <v/>
      </c>
      <c r="B38" s="24">
        <f>IF(IFERROR(MATCH(22,ChqRankL,0),0)=0,"",INDEX(ChqNorm,IFERROR(MATCH(22,ChqRankL,0),0)))</f>
        <v/>
      </c>
      <c r="C38" s="24">
        <f>IF(IFERROR(MATCH(22,ChqRankL,0),0)=0,"",INDEX(ChqNo,IFERROR(MATCH(22,ChqRankL,0),0)))</f>
        <v/>
      </c>
      <c r="D38" s="25">
        <f>IF(IFERROR(MATCH(22,ChqRankL,0),0)=0,"",IF(INDEX(ChqAmt,IFERROR(MATCH(22,ChqRankL,0),0))=0,"",INDEX(ChqAmt,IFERROR(MATCH(22,ChqRankL,0),0))))</f>
        <v/>
      </c>
      <c r="E38" s="17">
        <f>IF(IFERROR(MATCH(22,ChqRankL,0),0)=0,"",INDEX(ChqStatus,IFERROR(MATCH(22,ChqRankL,0),0)))</f>
        <v/>
      </c>
      <c r="F38" s="24">
        <f>IF(IFERROR(MATCH(22,ChqRankL,0),0)=0,"",IF(INDEX(ChqStatus,IFERROR(MATCH(22,ChqRankL,0),0))="پاس نشده","—",IF(INDEX(ChqClr,IFERROR(MATCH(22,ChqRankL,0),0))="","—",INDEX(ChqClr,IFERROR(MATCH(22,ChqRankL,0),0)))))</f>
        <v/>
      </c>
      <c r="I38">
        <f>IF(22&gt;NChq,"",INDEX(ChqNorm,22))</f>
        <v/>
      </c>
      <c r="J38">
        <f>IF($I38="","",IF(AND($I38&gt;=$H$3,$I38&lt;=$H$4),1,0))</f>
        <v/>
      </c>
      <c r="K38">
        <f>IF($J38=0,"",INDEX(ChqKey,22))</f>
        <v/>
      </c>
      <c r="L38">
        <f>IF($K38="","",COUNTIFS($J$17:$J$516,1,$K$17:$K$516,"&lt;"&amp;$K38)+1)</f>
        <v/>
      </c>
    </row>
    <row r="39">
      <c r="A39" s="10">
        <f>IF(IFERROR(MATCH(23,ChqRankL,0),0)=0,"",23)</f>
        <v/>
      </c>
      <c r="B39" s="22">
        <f>IF(IFERROR(MATCH(23,ChqRankL,0),0)=0,"",INDEX(ChqNorm,IFERROR(MATCH(23,ChqRankL,0),0)))</f>
        <v/>
      </c>
      <c r="C39" s="22">
        <f>IF(IFERROR(MATCH(23,ChqRankL,0),0)=0,"",INDEX(ChqNo,IFERROR(MATCH(23,ChqRankL,0),0)))</f>
        <v/>
      </c>
      <c r="D39" s="23">
        <f>IF(IFERROR(MATCH(23,ChqRankL,0),0)=0,"",IF(INDEX(ChqAmt,IFERROR(MATCH(23,ChqRankL,0),0))=0,"",INDEX(ChqAmt,IFERROR(MATCH(23,ChqRankL,0),0))))</f>
        <v/>
      </c>
      <c r="E39" s="14">
        <f>IF(IFERROR(MATCH(23,ChqRankL,0),0)=0,"",INDEX(ChqStatus,IFERROR(MATCH(23,ChqRankL,0),0)))</f>
        <v/>
      </c>
      <c r="F39" s="22">
        <f>IF(IFERROR(MATCH(23,ChqRankL,0),0)=0,"",IF(INDEX(ChqStatus,IFERROR(MATCH(23,ChqRankL,0),0))="پاس نشده","—",IF(INDEX(ChqClr,IFERROR(MATCH(23,ChqRankL,0),0))="","—",INDEX(ChqClr,IFERROR(MATCH(23,ChqRankL,0),0)))))</f>
        <v/>
      </c>
      <c r="I39">
        <f>IF(23&gt;NChq,"",INDEX(ChqNorm,23))</f>
        <v/>
      </c>
      <c r="J39">
        <f>IF($I39="","",IF(AND($I39&gt;=$H$3,$I39&lt;=$H$4),1,0))</f>
        <v/>
      </c>
      <c r="K39">
        <f>IF($J39=0,"",INDEX(ChqKey,23))</f>
        <v/>
      </c>
      <c r="L39">
        <f>IF($K39="","",COUNTIFS($J$17:$J$516,1,$K$17:$K$516,"&lt;"&amp;$K39)+1)</f>
        <v/>
      </c>
    </row>
    <row r="40">
      <c r="A40" s="16">
        <f>IF(IFERROR(MATCH(24,ChqRankL,0),0)=0,"",24)</f>
        <v/>
      </c>
      <c r="B40" s="24">
        <f>IF(IFERROR(MATCH(24,ChqRankL,0),0)=0,"",INDEX(ChqNorm,IFERROR(MATCH(24,ChqRankL,0),0)))</f>
        <v/>
      </c>
      <c r="C40" s="24">
        <f>IF(IFERROR(MATCH(24,ChqRankL,0),0)=0,"",INDEX(ChqNo,IFERROR(MATCH(24,ChqRankL,0),0)))</f>
        <v/>
      </c>
      <c r="D40" s="25">
        <f>IF(IFERROR(MATCH(24,ChqRankL,0),0)=0,"",IF(INDEX(ChqAmt,IFERROR(MATCH(24,ChqRankL,0),0))=0,"",INDEX(ChqAmt,IFERROR(MATCH(24,ChqRankL,0),0))))</f>
        <v/>
      </c>
      <c r="E40" s="17">
        <f>IF(IFERROR(MATCH(24,ChqRankL,0),0)=0,"",INDEX(ChqStatus,IFERROR(MATCH(24,ChqRankL,0),0)))</f>
        <v/>
      </c>
      <c r="F40" s="24">
        <f>IF(IFERROR(MATCH(24,ChqRankL,0),0)=0,"",IF(INDEX(ChqStatus,IFERROR(MATCH(24,ChqRankL,0),0))="پاس نشده","—",IF(INDEX(ChqClr,IFERROR(MATCH(24,ChqRankL,0),0))="","—",INDEX(ChqClr,IFERROR(MATCH(24,ChqRankL,0),0)))))</f>
        <v/>
      </c>
      <c r="I40">
        <f>IF(24&gt;NChq,"",INDEX(ChqNorm,24))</f>
        <v/>
      </c>
      <c r="J40">
        <f>IF($I40="","",IF(AND($I40&gt;=$H$3,$I40&lt;=$H$4),1,0))</f>
        <v/>
      </c>
      <c r="K40">
        <f>IF($J40=0,"",INDEX(ChqKey,24))</f>
        <v/>
      </c>
      <c r="L40">
        <f>IF($K40="","",COUNTIFS($J$17:$J$516,1,$K$17:$K$516,"&lt;"&amp;$K40)+1)</f>
        <v/>
      </c>
    </row>
    <row r="41">
      <c r="A41" s="10">
        <f>IF(IFERROR(MATCH(25,ChqRankL,0),0)=0,"",25)</f>
        <v/>
      </c>
      <c r="B41" s="22">
        <f>IF(IFERROR(MATCH(25,ChqRankL,0),0)=0,"",INDEX(ChqNorm,IFERROR(MATCH(25,ChqRankL,0),0)))</f>
        <v/>
      </c>
      <c r="C41" s="22">
        <f>IF(IFERROR(MATCH(25,ChqRankL,0),0)=0,"",INDEX(ChqNo,IFERROR(MATCH(25,ChqRankL,0),0)))</f>
        <v/>
      </c>
      <c r="D41" s="23">
        <f>IF(IFERROR(MATCH(25,ChqRankL,0),0)=0,"",IF(INDEX(ChqAmt,IFERROR(MATCH(25,ChqRankL,0),0))=0,"",INDEX(ChqAmt,IFERROR(MATCH(25,ChqRankL,0),0))))</f>
        <v/>
      </c>
      <c r="E41" s="14">
        <f>IF(IFERROR(MATCH(25,ChqRankL,0),0)=0,"",INDEX(ChqStatus,IFERROR(MATCH(25,ChqRankL,0),0)))</f>
        <v/>
      </c>
      <c r="F41" s="22">
        <f>IF(IFERROR(MATCH(25,ChqRankL,0),0)=0,"",IF(INDEX(ChqStatus,IFERROR(MATCH(25,ChqRankL,0),0))="پاس نشده","—",IF(INDEX(ChqClr,IFERROR(MATCH(25,ChqRankL,0),0))="","—",INDEX(ChqClr,IFERROR(MATCH(25,ChqRankL,0),0)))))</f>
        <v/>
      </c>
      <c r="I41">
        <f>IF(25&gt;NChq,"",INDEX(ChqNorm,25))</f>
        <v/>
      </c>
      <c r="J41">
        <f>IF($I41="","",IF(AND($I41&gt;=$H$3,$I41&lt;=$H$4),1,0))</f>
        <v/>
      </c>
      <c r="K41">
        <f>IF($J41=0,"",INDEX(ChqKey,25))</f>
        <v/>
      </c>
      <c r="L41">
        <f>IF($K41="","",COUNTIFS($J$17:$J$516,1,$K$17:$K$516,"&lt;"&amp;$K41)+1)</f>
        <v/>
      </c>
    </row>
    <row r="42">
      <c r="A42" s="16">
        <f>IF(IFERROR(MATCH(26,ChqRankL,0),0)=0,"",26)</f>
        <v/>
      </c>
      <c r="B42" s="24">
        <f>IF(IFERROR(MATCH(26,ChqRankL,0),0)=0,"",INDEX(ChqNorm,IFERROR(MATCH(26,ChqRankL,0),0)))</f>
        <v/>
      </c>
      <c r="C42" s="24">
        <f>IF(IFERROR(MATCH(26,ChqRankL,0),0)=0,"",INDEX(ChqNo,IFERROR(MATCH(26,ChqRankL,0),0)))</f>
        <v/>
      </c>
      <c r="D42" s="25">
        <f>IF(IFERROR(MATCH(26,ChqRankL,0),0)=0,"",IF(INDEX(ChqAmt,IFERROR(MATCH(26,ChqRankL,0),0))=0,"",INDEX(ChqAmt,IFERROR(MATCH(26,ChqRankL,0),0))))</f>
        <v/>
      </c>
      <c r="E42" s="17">
        <f>IF(IFERROR(MATCH(26,ChqRankL,0),0)=0,"",INDEX(ChqStatus,IFERROR(MATCH(26,ChqRankL,0),0)))</f>
        <v/>
      </c>
      <c r="F42" s="24">
        <f>IF(IFERROR(MATCH(26,ChqRankL,0),0)=0,"",IF(INDEX(ChqStatus,IFERROR(MATCH(26,ChqRankL,0),0))="پاس نشده","—",IF(INDEX(ChqClr,IFERROR(MATCH(26,ChqRankL,0),0))="","—",INDEX(ChqClr,IFERROR(MATCH(26,ChqRankL,0),0)))))</f>
        <v/>
      </c>
      <c r="I42">
        <f>IF(26&gt;NChq,"",INDEX(ChqNorm,26))</f>
        <v/>
      </c>
      <c r="J42">
        <f>IF($I42="","",IF(AND($I42&gt;=$H$3,$I42&lt;=$H$4),1,0))</f>
        <v/>
      </c>
      <c r="K42">
        <f>IF($J42=0,"",INDEX(ChqKey,26))</f>
        <v/>
      </c>
      <c r="L42">
        <f>IF($K42="","",COUNTIFS($J$17:$J$516,1,$K$17:$K$516,"&lt;"&amp;$K42)+1)</f>
        <v/>
      </c>
    </row>
    <row r="43">
      <c r="A43" s="10">
        <f>IF(IFERROR(MATCH(27,ChqRankL,0),0)=0,"",27)</f>
        <v/>
      </c>
      <c r="B43" s="22">
        <f>IF(IFERROR(MATCH(27,ChqRankL,0),0)=0,"",INDEX(ChqNorm,IFERROR(MATCH(27,ChqRankL,0),0)))</f>
        <v/>
      </c>
      <c r="C43" s="22">
        <f>IF(IFERROR(MATCH(27,ChqRankL,0),0)=0,"",INDEX(ChqNo,IFERROR(MATCH(27,ChqRankL,0),0)))</f>
        <v/>
      </c>
      <c r="D43" s="23">
        <f>IF(IFERROR(MATCH(27,ChqRankL,0),0)=0,"",IF(INDEX(ChqAmt,IFERROR(MATCH(27,ChqRankL,0),0))=0,"",INDEX(ChqAmt,IFERROR(MATCH(27,ChqRankL,0),0))))</f>
        <v/>
      </c>
      <c r="E43" s="14">
        <f>IF(IFERROR(MATCH(27,ChqRankL,0),0)=0,"",INDEX(ChqStatus,IFERROR(MATCH(27,ChqRankL,0),0)))</f>
        <v/>
      </c>
      <c r="F43" s="22">
        <f>IF(IFERROR(MATCH(27,ChqRankL,0),0)=0,"",IF(INDEX(ChqStatus,IFERROR(MATCH(27,ChqRankL,0),0))="پاس نشده","—",IF(INDEX(ChqClr,IFERROR(MATCH(27,ChqRankL,0),0))="","—",INDEX(ChqClr,IFERROR(MATCH(27,ChqRankL,0),0)))))</f>
        <v/>
      </c>
      <c r="I43">
        <f>IF(27&gt;NChq,"",INDEX(ChqNorm,27))</f>
        <v/>
      </c>
      <c r="J43">
        <f>IF($I43="","",IF(AND($I43&gt;=$H$3,$I43&lt;=$H$4),1,0))</f>
        <v/>
      </c>
      <c r="K43">
        <f>IF($J43=0,"",INDEX(ChqKey,27))</f>
        <v/>
      </c>
      <c r="L43">
        <f>IF($K43="","",COUNTIFS($J$17:$J$516,1,$K$17:$K$516,"&lt;"&amp;$K43)+1)</f>
        <v/>
      </c>
    </row>
    <row r="44">
      <c r="A44" s="16">
        <f>IF(IFERROR(MATCH(28,ChqRankL,0),0)=0,"",28)</f>
        <v/>
      </c>
      <c r="B44" s="24">
        <f>IF(IFERROR(MATCH(28,ChqRankL,0),0)=0,"",INDEX(ChqNorm,IFERROR(MATCH(28,ChqRankL,0),0)))</f>
        <v/>
      </c>
      <c r="C44" s="24">
        <f>IF(IFERROR(MATCH(28,ChqRankL,0),0)=0,"",INDEX(ChqNo,IFERROR(MATCH(28,ChqRankL,0),0)))</f>
        <v/>
      </c>
      <c r="D44" s="25">
        <f>IF(IFERROR(MATCH(28,ChqRankL,0),0)=0,"",IF(INDEX(ChqAmt,IFERROR(MATCH(28,ChqRankL,0),0))=0,"",INDEX(ChqAmt,IFERROR(MATCH(28,ChqRankL,0),0))))</f>
        <v/>
      </c>
      <c r="E44" s="17">
        <f>IF(IFERROR(MATCH(28,ChqRankL,0),0)=0,"",INDEX(ChqStatus,IFERROR(MATCH(28,ChqRankL,0),0)))</f>
        <v/>
      </c>
      <c r="F44" s="24">
        <f>IF(IFERROR(MATCH(28,ChqRankL,0),0)=0,"",IF(INDEX(ChqStatus,IFERROR(MATCH(28,ChqRankL,0),0))="پاس نشده","—",IF(INDEX(ChqClr,IFERROR(MATCH(28,ChqRankL,0),0))="","—",INDEX(ChqClr,IFERROR(MATCH(28,ChqRankL,0),0)))))</f>
        <v/>
      </c>
      <c r="I44">
        <f>IF(28&gt;NChq,"",INDEX(ChqNorm,28))</f>
        <v/>
      </c>
      <c r="J44">
        <f>IF($I44="","",IF(AND($I44&gt;=$H$3,$I44&lt;=$H$4),1,0))</f>
        <v/>
      </c>
      <c r="K44">
        <f>IF($J44=0,"",INDEX(ChqKey,28))</f>
        <v/>
      </c>
      <c r="L44">
        <f>IF($K44="","",COUNTIFS($J$17:$J$516,1,$K$17:$K$516,"&lt;"&amp;$K44)+1)</f>
        <v/>
      </c>
    </row>
    <row r="45">
      <c r="A45" s="10">
        <f>IF(IFERROR(MATCH(29,ChqRankL,0),0)=0,"",29)</f>
        <v/>
      </c>
      <c r="B45" s="22">
        <f>IF(IFERROR(MATCH(29,ChqRankL,0),0)=0,"",INDEX(ChqNorm,IFERROR(MATCH(29,ChqRankL,0),0)))</f>
        <v/>
      </c>
      <c r="C45" s="22">
        <f>IF(IFERROR(MATCH(29,ChqRankL,0),0)=0,"",INDEX(ChqNo,IFERROR(MATCH(29,ChqRankL,0),0)))</f>
        <v/>
      </c>
      <c r="D45" s="23">
        <f>IF(IFERROR(MATCH(29,ChqRankL,0),0)=0,"",IF(INDEX(ChqAmt,IFERROR(MATCH(29,ChqRankL,0),0))=0,"",INDEX(ChqAmt,IFERROR(MATCH(29,ChqRankL,0),0))))</f>
        <v/>
      </c>
      <c r="E45" s="14">
        <f>IF(IFERROR(MATCH(29,ChqRankL,0),0)=0,"",INDEX(ChqStatus,IFERROR(MATCH(29,ChqRankL,0),0)))</f>
        <v/>
      </c>
      <c r="F45" s="22">
        <f>IF(IFERROR(MATCH(29,ChqRankL,0),0)=0,"",IF(INDEX(ChqStatus,IFERROR(MATCH(29,ChqRankL,0),0))="پاس نشده","—",IF(INDEX(ChqClr,IFERROR(MATCH(29,ChqRankL,0),0))="","—",INDEX(ChqClr,IFERROR(MATCH(29,ChqRankL,0),0)))))</f>
        <v/>
      </c>
      <c r="I45">
        <f>IF(29&gt;NChq,"",INDEX(ChqNorm,29))</f>
        <v/>
      </c>
      <c r="J45">
        <f>IF($I45="","",IF(AND($I45&gt;=$H$3,$I45&lt;=$H$4),1,0))</f>
        <v/>
      </c>
      <c r="K45">
        <f>IF($J45=0,"",INDEX(ChqKey,29))</f>
        <v/>
      </c>
      <c r="L45">
        <f>IF($K45="","",COUNTIFS($J$17:$J$516,1,$K$17:$K$516,"&lt;"&amp;$K45)+1)</f>
        <v/>
      </c>
    </row>
    <row r="46">
      <c r="A46" s="16">
        <f>IF(IFERROR(MATCH(30,ChqRankL,0),0)=0,"",30)</f>
        <v/>
      </c>
      <c r="B46" s="24">
        <f>IF(IFERROR(MATCH(30,ChqRankL,0),0)=0,"",INDEX(ChqNorm,IFERROR(MATCH(30,ChqRankL,0),0)))</f>
        <v/>
      </c>
      <c r="C46" s="24">
        <f>IF(IFERROR(MATCH(30,ChqRankL,0),0)=0,"",INDEX(ChqNo,IFERROR(MATCH(30,ChqRankL,0),0)))</f>
        <v/>
      </c>
      <c r="D46" s="25">
        <f>IF(IFERROR(MATCH(30,ChqRankL,0),0)=0,"",IF(INDEX(ChqAmt,IFERROR(MATCH(30,ChqRankL,0),0))=0,"",INDEX(ChqAmt,IFERROR(MATCH(30,ChqRankL,0),0))))</f>
        <v/>
      </c>
      <c r="E46" s="17">
        <f>IF(IFERROR(MATCH(30,ChqRankL,0),0)=0,"",INDEX(ChqStatus,IFERROR(MATCH(30,ChqRankL,0),0)))</f>
        <v/>
      </c>
      <c r="F46" s="24">
        <f>IF(IFERROR(MATCH(30,ChqRankL,0),0)=0,"",IF(INDEX(ChqStatus,IFERROR(MATCH(30,ChqRankL,0),0))="پاس نشده","—",IF(INDEX(ChqClr,IFERROR(MATCH(30,ChqRankL,0),0))="","—",INDEX(ChqClr,IFERROR(MATCH(30,ChqRankL,0),0)))))</f>
        <v/>
      </c>
      <c r="I46">
        <f>IF(30&gt;NChq,"",INDEX(ChqNorm,30))</f>
        <v/>
      </c>
      <c r="J46">
        <f>IF($I46="","",IF(AND($I46&gt;=$H$3,$I46&lt;=$H$4),1,0))</f>
        <v/>
      </c>
      <c r="K46">
        <f>IF($J46=0,"",INDEX(ChqKey,30))</f>
        <v/>
      </c>
      <c r="L46">
        <f>IF($K46="","",COUNTIFS($J$17:$J$516,1,$K$17:$K$516,"&lt;"&amp;$K46)+1)</f>
        <v/>
      </c>
    </row>
    <row r="47">
      <c r="A47" s="10">
        <f>IF(IFERROR(MATCH(31,ChqRankL,0),0)=0,"",31)</f>
        <v/>
      </c>
      <c r="B47" s="22">
        <f>IF(IFERROR(MATCH(31,ChqRankL,0),0)=0,"",INDEX(ChqNorm,IFERROR(MATCH(31,ChqRankL,0),0)))</f>
        <v/>
      </c>
      <c r="C47" s="22">
        <f>IF(IFERROR(MATCH(31,ChqRankL,0),0)=0,"",INDEX(ChqNo,IFERROR(MATCH(31,ChqRankL,0),0)))</f>
        <v/>
      </c>
      <c r="D47" s="23">
        <f>IF(IFERROR(MATCH(31,ChqRankL,0),0)=0,"",IF(INDEX(ChqAmt,IFERROR(MATCH(31,ChqRankL,0),0))=0,"",INDEX(ChqAmt,IFERROR(MATCH(31,ChqRankL,0),0))))</f>
        <v/>
      </c>
      <c r="E47" s="14">
        <f>IF(IFERROR(MATCH(31,ChqRankL,0),0)=0,"",INDEX(ChqStatus,IFERROR(MATCH(31,ChqRankL,0),0)))</f>
        <v/>
      </c>
      <c r="F47" s="22">
        <f>IF(IFERROR(MATCH(31,ChqRankL,0),0)=0,"",IF(INDEX(ChqStatus,IFERROR(MATCH(31,ChqRankL,0),0))="پاس نشده","—",IF(INDEX(ChqClr,IFERROR(MATCH(31,ChqRankL,0),0))="","—",INDEX(ChqClr,IFERROR(MATCH(31,ChqRankL,0),0)))))</f>
        <v/>
      </c>
      <c r="I47">
        <f>IF(31&gt;NChq,"",INDEX(ChqNorm,31))</f>
        <v/>
      </c>
      <c r="J47">
        <f>IF($I47="","",IF(AND($I47&gt;=$H$3,$I47&lt;=$H$4),1,0))</f>
        <v/>
      </c>
      <c r="K47">
        <f>IF($J47=0,"",INDEX(ChqKey,31))</f>
        <v/>
      </c>
      <c r="L47">
        <f>IF($K47="","",COUNTIFS($J$17:$J$516,1,$K$17:$K$516,"&lt;"&amp;$K47)+1)</f>
        <v/>
      </c>
    </row>
    <row r="48">
      <c r="A48" s="16">
        <f>IF(IFERROR(MATCH(32,ChqRankL,0),0)=0,"",32)</f>
        <v/>
      </c>
      <c r="B48" s="24">
        <f>IF(IFERROR(MATCH(32,ChqRankL,0),0)=0,"",INDEX(ChqNorm,IFERROR(MATCH(32,ChqRankL,0),0)))</f>
        <v/>
      </c>
      <c r="C48" s="24">
        <f>IF(IFERROR(MATCH(32,ChqRankL,0),0)=0,"",INDEX(ChqNo,IFERROR(MATCH(32,ChqRankL,0),0)))</f>
        <v/>
      </c>
      <c r="D48" s="25">
        <f>IF(IFERROR(MATCH(32,ChqRankL,0),0)=0,"",IF(INDEX(ChqAmt,IFERROR(MATCH(32,ChqRankL,0),0))=0,"",INDEX(ChqAmt,IFERROR(MATCH(32,ChqRankL,0),0))))</f>
        <v/>
      </c>
      <c r="E48" s="17">
        <f>IF(IFERROR(MATCH(32,ChqRankL,0),0)=0,"",INDEX(ChqStatus,IFERROR(MATCH(32,ChqRankL,0),0)))</f>
        <v/>
      </c>
      <c r="F48" s="24">
        <f>IF(IFERROR(MATCH(32,ChqRankL,0),0)=0,"",IF(INDEX(ChqStatus,IFERROR(MATCH(32,ChqRankL,0),0))="پاس نشده","—",IF(INDEX(ChqClr,IFERROR(MATCH(32,ChqRankL,0),0))="","—",INDEX(ChqClr,IFERROR(MATCH(32,ChqRankL,0),0)))))</f>
        <v/>
      </c>
      <c r="I48">
        <f>IF(32&gt;NChq,"",INDEX(ChqNorm,32))</f>
        <v/>
      </c>
      <c r="J48">
        <f>IF($I48="","",IF(AND($I48&gt;=$H$3,$I48&lt;=$H$4),1,0))</f>
        <v/>
      </c>
      <c r="K48">
        <f>IF($J48=0,"",INDEX(ChqKey,32))</f>
        <v/>
      </c>
      <c r="L48">
        <f>IF($K48="","",COUNTIFS($J$17:$J$516,1,$K$17:$K$516,"&lt;"&amp;$K48)+1)</f>
        <v/>
      </c>
    </row>
    <row r="49">
      <c r="A49" s="10">
        <f>IF(IFERROR(MATCH(33,ChqRankL,0),0)=0,"",33)</f>
        <v/>
      </c>
      <c r="B49" s="22">
        <f>IF(IFERROR(MATCH(33,ChqRankL,0),0)=0,"",INDEX(ChqNorm,IFERROR(MATCH(33,ChqRankL,0),0)))</f>
        <v/>
      </c>
      <c r="C49" s="22">
        <f>IF(IFERROR(MATCH(33,ChqRankL,0),0)=0,"",INDEX(ChqNo,IFERROR(MATCH(33,ChqRankL,0),0)))</f>
        <v/>
      </c>
      <c r="D49" s="23">
        <f>IF(IFERROR(MATCH(33,ChqRankL,0),0)=0,"",IF(INDEX(ChqAmt,IFERROR(MATCH(33,ChqRankL,0),0))=0,"",INDEX(ChqAmt,IFERROR(MATCH(33,ChqRankL,0),0))))</f>
        <v/>
      </c>
      <c r="E49" s="14">
        <f>IF(IFERROR(MATCH(33,ChqRankL,0),0)=0,"",INDEX(ChqStatus,IFERROR(MATCH(33,ChqRankL,0),0)))</f>
        <v/>
      </c>
      <c r="F49" s="22">
        <f>IF(IFERROR(MATCH(33,ChqRankL,0),0)=0,"",IF(INDEX(ChqStatus,IFERROR(MATCH(33,ChqRankL,0),0))="پاس نشده","—",IF(INDEX(ChqClr,IFERROR(MATCH(33,ChqRankL,0),0))="","—",INDEX(ChqClr,IFERROR(MATCH(33,ChqRankL,0),0)))))</f>
        <v/>
      </c>
      <c r="I49">
        <f>IF(33&gt;NChq,"",INDEX(ChqNorm,33))</f>
        <v/>
      </c>
      <c r="J49">
        <f>IF($I49="","",IF(AND($I49&gt;=$H$3,$I49&lt;=$H$4),1,0))</f>
        <v/>
      </c>
      <c r="K49">
        <f>IF($J49=0,"",INDEX(ChqKey,33))</f>
        <v/>
      </c>
      <c r="L49">
        <f>IF($K49="","",COUNTIFS($J$17:$J$516,1,$K$17:$K$516,"&lt;"&amp;$K49)+1)</f>
        <v/>
      </c>
    </row>
    <row r="50">
      <c r="A50" s="16">
        <f>IF(IFERROR(MATCH(34,ChqRankL,0),0)=0,"",34)</f>
        <v/>
      </c>
      <c r="B50" s="24">
        <f>IF(IFERROR(MATCH(34,ChqRankL,0),0)=0,"",INDEX(ChqNorm,IFERROR(MATCH(34,ChqRankL,0),0)))</f>
        <v/>
      </c>
      <c r="C50" s="24">
        <f>IF(IFERROR(MATCH(34,ChqRankL,0),0)=0,"",INDEX(ChqNo,IFERROR(MATCH(34,ChqRankL,0),0)))</f>
        <v/>
      </c>
      <c r="D50" s="25">
        <f>IF(IFERROR(MATCH(34,ChqRankL,0),0)=0,"",IF(INDEX(ChqAmt,IFERROR(MATCH(34,ChqRankL,0),0))=0,"",INDEX(ChqAmt,IFERROR(MATCH(34,ChqRankL,0),0))))</f>
        <v/>
      </c>
      <c r="E50" s="17">
        <f>IF(IFERROR(MATCH(34,ChqRankL,0),0)=0,"",INDEX(ChqStatus,IFERROR(MATCH(34,ChqRankL,0),0)))</f>
        <v/>
      </c>
      <c r="F50" s="24">
        <f>IF(IFERROR(MATCH(34,ChqRankL,0),0)=0,"",IF(INDEX(ChqStatus,IFERROR(MATCH(34,ChqRankL,0),0))="پاس نشده","—",IF(INDEX(ChqClr,IFERROR(MATCH(34,ChqRankL,0),0))="","—",INDEX(ChqClr,IFERROR(MATCH(34,ChqRankL,0),0)))))</f>
        <v/>
      </c>
      <c r="I50">
        <f>IF(34&gt;NChq,"",INDEX(ChqNorm,34))</f>
        <v/>
      </c>
      <c r="J50">
        <f>IF($I50="","",IF(AND($I50&gt;=$H$3,$I50&lt;=$H$4),1,0))</f>
        <v/>
      </c>
      <c r="K50">
        <f>IF($J50=0,"",INDEX(ChqKey,34))</f>
        <v/>
      </c>
      <c r="L50">
        <f>IF($K50="","",COUNTIFS($J$17:$J$516,1,$K$17:$K$516,"&lt;"&amp;$K50)+1)</f>
        <v/>
      </c>
    </row>
    <row r="51">
      <c r="A51" s="10">
        <f>IF(IFERROR(MATCH(35,ChqRankL,0),0)=0,"",35)</f>
        <v/>
      </c>
      <c r="B51" s="22">
        <f>IF(IFERROR(MATCH(35,ChqRankL,0),0)=0,"",INDEX(ChqNorm,IFERROR(MATCH(35,ChqRankL,0),0)))</f>
        <v/>
      </c>
      <c r="C51" s="22">
        <f>IF(IFERROR(MATCH(35,ChqRankL,0),0)=0,"",INDEX(ChqNo,IFERROR(MATCH(35,ChqRankL,0),0)))</f>
        <v/>
      </c>
      <c r="D51" s="23">
        <f>IF(IFERROR(MATCH(35,ChqRankL,0),0)=0,"",IF(INDEX(ChqAmt,IFERROR(MATCH(35,ChqRankL,0),0))=0,"",INDEX(ChqAmt,IFERROR(MATCH(35,ChqRankL,0),0))))</f>
        <v/>
      </c>
      <c r="E51" s="14">
        <f>IF(IFERROR(MATCH(35,ChqRankL,0),0)=0,"",INDEX(ChqStatus,IFERROR(MATCH(35,ChqRankL,0),0)))</f>
        <v/>
      </c>
      <c r="F51" s="22">
        <f>IF(IFERROR(MATCH(35,ChqRankL,0),0)=0,"",IF(INDEX(ChqStatus,IFERROR(MATCH(35,ChqRankL,0),0))="پاس نشده","—",IF(INDEX(ChqClr,IFERROR(MATCH(35,ChqRankL,0),0))="","—",INDEX(ChqClr,IFERROR(MATCH(35,ChqRankL,0),0)))))</f>
        <v/>
      </c>
      <c r="I51">
        <f>IF(35&gt;NChq,"",INDEX(ChqNorm,35))</f>
        <v/>
      </c>
      <c r="J51">
        <f>IF($I51="","",IF(AND($I51&gt;=$H$3,$I51&lt;=$H$4),1,0))</f>
        <v/>
      </c>
      <c r="K51">
        <f>IF($J51=0,"",INDEX(ChqKey,35))</f>
        <v/>
      </c>
      <c r="L51">
        <f>IF($K51="","",COUNTIFS($J$17:$J$516,1,$K$17:$K$516,"&lt;"&amp;$K51)+1)</f>
        <v/>
      </c>
    </row>
    <row r="52">
      <c r="A52" s="16">
        <f>IF(IFERROR(MATCH(36,ChqRankL,0),0)=0,"",36)</f>
        <v/>
      </c>
      <c r="B52" s="24">
        <f>IF(IFERROR(MATCH(36,ChqRankL,0),0)=0,"",INDEX(ChqNorm,IFERROR(MATCH(36,ChqRankL,0),0)))</f>
        <v/>
      </c>
      <c r="C52" s="24">
        <f>IF(IFERROR(MATCH(36,ChqRankL,0),0)=0,"",INDEX(ChqNo,IFERROR(MATCH(36,ChqRankL,0),0)))</f>
        <v/>
      </c>
      <c r="D52" s="25">
        <f>IF(IFERROR(MATCH(36,ChqRankL,0),0)=0,"",IF(INDEX(ChqAmt,IFERROR(MATCH(36,ChqRankL,0),0))=0,"",INDEX(ChqAmt,IFERROR(MATCH(36,ChqRankL,0),0))))</f>
        <v/>
      </c>
      <c r="E52" s="17">
        <f>IF(IFERROR(MATCH(36,ChqRankL,0),0)=0,"",INDEX(ChqStatus,IFERROR(MATCH(36,ChqRankL,0),0)))</f>
        <v/>
      </c>
      <c r="F52" s="24">
        <f>IF(IFERROR(MATCH(36,ChqRankL,0),0)=0,"",IF(INDEX(ChqStatus,IFERROR(MATCH(36,ChqRankL,0),0))="پاس نشده","—",IF(INDEX(ChqClr,IFERROR(MATCH(36,ChqRankL,0),0))="","—",INDEX(ChqClr,IFERROR(MATCH(36,ChqRankL,0),0)))))</f>
        <v/>
      </c>
      <c r="I52">
        <f>IF(36&gt;NChq,"",INDEX(ChqNorm,36))</f>
        <v/>
      </c>
      <c r="J52">
        <f>IF($I52="","",IF(AND($I52&gt;=$H$3,$I52&lt;=$H$4),1,0))</f>
        <v/>
      </c>
      <c r="K52">
        <f>IF($J52=0,"",INDEX(ChqKey,36))</f>
        <v/>
      </c>
      <c r="L52">
        <f>IF($K52="","",COUNTIFS($J$17:$J$516,1,$K$17:$K$516,"&lt;"&amp;$K52)+1)</f>
        <v/>
      </c>
    </row>
    <row r="53">
      <c r="A53" s="10">
        <f>IF(IFERROR(MATCH(37,ChqRankL,0),0)=0,"",37)</f>
        <v/>
      </c>
      <c r="B53" s="22">
        <f>IF(IFERROR(MATCH(37,ChqRankL,0),0)=0,"",INDEX(ChqNorm,IFERROR(MATCH(37,ChqRankL,0),0)))</f>
        <v/>
      </c>
      <c r="C53" s="22">
        <f>IF(IFERROR(MATCH(37,ChqRankL,0),0)=0,"",INDEX(ChqNo,IFERROR(MATCH(37,ChqRankL,0),0)))</f>
        <v/>
      </c>
      <c r="D53" s="23">
        <f>IF(IFERROR(MATCH(37,ChqRankL,0),0)=0,"",IF(INDEX(ChqAmt,IFERROR(MATCH(37,ChqRankL,0),0))=0,"",INDEX(ChqAmt,IFERROR(MATCH(37,ChqRankL,0),0))))</f>
        <v/>
      </c>
      <c r="E53" s="14">
        <f>IF(IFERROR(MATCH(37,ChqRankL,0),0)=0,"",INDEX(ChqStatus,IFERROR(MATCH(37,ChqRankL,0),0)))</f>
        <v/>
      </c>
      <c r="F53" s="22">
        <f>IF(IFERROR(MATCH(37,ChqRankL,0),0)=0,"",IF(INDEX(ChqStatus,IFERROR(MATCH(37,ChqRankL,0),0))="پاس نشده","—",IF(INDEX(ChqClr,IFERROR(MATCH(37,ChqRankL,0),0))="","—",INDEX(ChqClr,IFERROR(MATCH(37,ChqRankL,0),0)))))</f>
        <v/>
      </c>
      <c r="I53">
        <f>IF(37&gt;NChq,"",INDEX(ChqNorm,37))</f>
        <v/>
      </c>
      <c r="J53">
        <f>IF($I53="","",IF(AND($I53&gt;=$H$3,$I53&lt;=$H$4),1,0))</f>
        <v/>
      </c>
      <c r="K53">
        <f>IF($J53=0,"",INDEX(ChqKey,37))</f>
        <v/>
      </c>
      <c r="L53">
        <f>IF($K53="","",COUNTIFS($J$17:$J$516,1,$K$17:$K$516,"&lt;"&amp;$K53)+1)</f>
        <v/>
      </c>
    </row>
    <row r="54">
      <c r="A54" s="16">
        <f>IF(IFERROR(MATCH(38,ChqRankL,0),0)=0,"",38)</f>
        <v/>
      </c>
      <c r="B54" s="24">
        <f>IF(IFERROR(MATCH(38,ChqRankL,0),0)=0,"",INDEX(ChqNorm,IFERROR(MATCH(38,ChqRankL,0),0)))</f>
        <v/>
      </c>
      <c r="C54" s="24">
        <f>IF(IFERROR(MATCH(38,ChqRankL,0),0)=0,"",INDEX(ChqNo,IFERROR(MATCH(38,ChqRankL,0),0)))</f>
        <v/>
      </c>
      <c r="D54" s="25">
        <f>IF(IFERROR(MATCH(38,ChqRankL,0),0)=0,"",IF(INDEX(ChqAmt,IFERROR(MATCH(38,ChqRankL,0),0))=0,"",INDEX(ChqAmt,IFERROR(MATCH(38,ChqRankL,0),0))))</f>
        <v/>
      </c>
      <c r="E54" s="17">
        <f>IF(IFERROR(MATCH(38,ChqRankL,0),0)=0,"",INDEX(ChqStatus,IFERROR(MATCH(38,ChqRankL,0),0)))</f>
        <v/>
      </c>
      <c r="F54" s="24">
        <f>IF(IFERROR(MATCH(38,ChqRankL,0),0)=0,"",IF(INDEX(ChqStatus,IFERROR(MATCH(38,ChqRankL,0),0))="پاس نشده","—",IF(INDEX(ChqClr,IFERROR(MATCH(38,ChqRankL,0),0))="","—",INDEX(ChqClr,IFERROR(MATCH(38,ChqRankL,0),0)))))</f>
        <v/>
      </c>
      <c r="I54">
        <f>IF(38&gt;NChq,"",INDEX(ChqNorm,38))</f>
        <v/>
      </c>
      <c r="J54">
        <f>IF($I54="","",IF(AND($I54&gt;=$H$3,$I54&lt;=$H$4),1,0))</f>
        <v/>
      </c>
      <c r="K54">
        <f>IF($J54=0,"",INDEX(ChqKey,38))</f>
        <v/>
      </c>
      <c r="L54">
        <f>IF($K54="","",COUNTIFS($J$17:$J$516,1,$K$17:$K$516,"&lt;"&amp;$K54)+1)</f>
        <v/>
      </c>
    </row>
    <row r="55">
      <c r="A55" s="10">
        <f>IF(IFERROR(MATCH(39,ChqRankL,0),0)=0,"",39)</f>
        <v/>
      </c>
      <c r="B55" s="22">
        <f>IF(IFERROR(MATCH(39,ChqRankL,0),0)=0,"",INDEX(ChqNorm,IFERROR(MATCH(39,ChqRankL,0),0)))</f>
        <v/>
      </c>
      <c r="C55" s="22">
        <f>IF(IFERROR(MATCH(39,ChqRankL,0),0)=0,"",INDEX(ChqNo,IFERROR(MATCH(39,ChqRankL,0),0)))</f>
        <v/>
      </c>
      <c r="D55" s="23">
        <f>IF(IFERROR(MATCH(39,ChqRankL,0),0)=0,"",IF(INDEX(ChqAmt,IFERROR(MATCH(39,ChqRankL,0),0))=0,"",INDEX(ChqAmt,IFERROR(MATCH(39,ChqRankL,0),0))))</f>
        <v/>
      </c>
      <c r="E55" s="14">
        <f>IF(IFERROR(MATCH(39,ChqRankL,0),0)=0,"",INDEX(ChqStatus,IFERROR(MATCH(39,ChqRankL,0),0)))</f>
        <v/>
      </c>
      <c r="F55" s="22">
        <f>IF(IFERROR(MATCH(39,ChqRankL,0),0)=0,"",IF(INDEX(ChqStatus,IFERROR(MATCH(39,ChqRankL,0),0))="پاس نشده","—",IF(INDEX(ChqClr,IFERROR(MATCH(39,ChqRankL,0),0))="","—",INDEX(ChqClr,IFERROR(MATCH(39,ChqRankL,0),0)))))</f>
        <v/>
      </c>
      <c r="I55">
        <f>IF(39&gt;NChq,"",INDEX(ChqNorm,39))</f>
        <v/>
      </c>
      <c r="J55">
        <f>IF($I55="","",IF(AND($I55&gt;=$H$3,$I55&lt;=$H$4),1,0))</f>
        <v/>
      </c>
      <c r="K55">
        <f>IF($J55=0,"",INDEX(ChqKey,39))</f>
        <v/>
      </c>
      <c r="L55">
        <f>IF($K55="","",COUNTIFS($J$17:$J$516,1,$K$17:$K$516,"&lt;"&amp;$K55)+1)</f>
        <v/>
      </c>
    </row>
    <row r="56">
      <c r="A56" s="16">
        <f>IF(IFERROR(MATCH(40,ChqRankL,0),0)=0,"",40)</f>
        <v/>
      </c>
      <c r="B56" s="24">
        <f>IF(IFERROR(MATCH(40,ChqRankL,0),0)=0,"",INDEX(ChqNorm,IFERROR(MATCH(40,ChqRankL,0),0)))</f>
        <v/>
      </c>
      <c r="C56" s="24">
        <f>IF(IFERROR(MATCH(40,ChqRankL,0),0)=0,"",INDEX(ChqNo,IFERROR(MATCH(40,ChqRankL,0),0)))</f>
        <v/>
      </c>
      <c r="D56" s="25">
        <f>IF(IFERROR(MATCH(40,ChqRankL,0),0)=0,"",IF(INDEX(ChqAmt,IFERROR(MATCH(40,ChqRankL,0),0))=0,"",INDEX(ChqAmt,IFERROR(MATCH(40,ChqRankL,0),0))))</f>
        <v/>
      </c>
      <c r="E56" s="17">
        <f>IF(IFERROR(MATCH(40,ChqRankL,0),0)=0,"",INDEX(ChqStatus,IFERROR(MATCH(40,ChqRankL,0),0)))</f>
        <v/>
      </c>
      <c r="F56" s="24">
        <f>IF(IFERROR(MATCH(40,ChqRankL,0),0)=0,"",IF(INDEX(ChqStatus,IFERROR(MATCH(40,ChqRankL,0),0))="پاس نشده","—",IF(INDEX(ChqClr,IFERROR(MATCH(40,ChqRankL,0),0))="","—",INDEX(ChqClr,IFERROR(MATCH(40,ChqRankL,0),0)))))</f>
        <v/>
      </c>
      <c r="I56">
        <f>IF(40&gt;NChq,"",INDEX(ChqNorm,40))</f>
        <v/>
      </c>
      <c r="J56">
        <f>IF($I56="","",IF(AND($I56&gt;=$H$3,$I56&lt;=$H$4),1,0))</f>
        <v/>
      </c>
      <c r="K56">
        <f>IF($J56=0,"",INDEX(ChqKey,40))</f>
        <v/>
      </c>
      <c r="L56">
        <f>IF($K56="","",COUNTIFS($J$17:$J$516,1,$K$17:$K$516,"&lt;"&amp;$K56)+1)</f>
        <v/>
      </c>
    </row>
    <row r="57">
      <c r="A57" s="10">
        <f>IF(IFERROR(MATCH(41,ChqRankL,0),0)=0,"",41)</f>
        <v/>
      </c>
      <c r="B57" s="22">
        <f>IF(IFERROR(MATCH(41,ChqRankL,0),0)=0,"",INDEX(ChqNorm,IFERROR(MATCH(41,ChqRankL,0),0)))</f>
        <v/>
      </c>
      <c r="C57" s="22">
        <f>IF(IFERROR(MATCH(41,ChqRankL,0),0)=0,"",INDEX(ChqNo,IFERROR(MATCH(41,ChqRankL,0),0)))</f>
        <v/>
      </c>
      <c r="D57" s="23">
        <f>IF(IFERROR(MATCH(41,ChqRankL,0),0)=0,"",IF(INDEX(ChqAmt,IFERROR(MATCH(41,ChqRankL,0),0))=0,"",INDEX(ChqAmt,IFERROR(MATCH(41,ChqRankL,0),0))))</f>
        <v/>
      </c>
      <c r="E57" s="14">
        <f>IF(IFERROR(MATCH(41,ChqRankL,0),0)=0,"",INDEX(ChqStatus,IFERROR(MATCH(41,ChqRankL,0),0)))</f>
        <v/>
      </c>
      <c r="F57" s="22">
        <f>IF(IFERROR(MATCH(41,ChqRankL,0),0)=0,"",IF(INDEX(ChqStatus,IFERROR(MATCH(41,ChqRankL,0),0))="پاس نشده","—",IF(INDEX(ChqClr,IFERROR(MATCH(41,ChqRankL,0),0))="","—",INDEX(ChqClr,IFERROR(MATCH(41,ChqRankL,0),0)))))</f>
        <v/>
      </c>
      <c r="I57">
        <f>IF(41&gt;NChq,"",INDEX(ChqNorm,41))</f>
        <v/>
      </c>
      <c r="J57">
        <f>IF($I57="","",IF(AND($I57&gt;=$H$3,$I57&lt;=$H$4),1,0))</f>
        <v/>
      </c>
      <c r="K57">
        <f>IF($J57=0,"",INDEX(ChqKey,41))</f>
        <v/>
      </c>
      <c r="L57">
        <f>IF($K57="","",COUNTIFS($J$17:$J$516,1,$K$17:$K$516,"&lt;"&amp;$K57)+1)</f>
        <v/>
      </c>
    </row>
    <row r="58">
      <c r="A58" s="16">
        <f>IF(IFERROR(MATCH(42,ChqRankL,0),0)=0,"",42)</f>
        <v/>
      </c>
      <c r="B58" s="24">
        <f>IF(IFERROR(MATCH(42,ChqRankL,0),0)=0,"",INDEX(ChqNorm,IFERROR(MATCH(42,ChqRankL,0),0)))</f>
        <v/>
      </c>
      <c r="C58" s="24">
        <f>IF(IFERROR(MATCH(42,ChqRankL,0),0)=0,"",INDEX(ChqNo,IFERROR(MATCH(42,ChqRankL,0),0)))</f>
        <v/>
      </c>
      <c r="D58" s="25">
        <f>IF(IFERROR(MATCH(42,ChqRankL,0),0)=0,"",IF(INDEX(ChqAmt,IFERROR(MATCH(42,ChqRankL,0),0))=0,"",INDEX(ChqAmt,IFERROR(MATCH(42,ChqRankL,0),0))))</f>
        <v/>
      </c>
      <c r="E58" s="17">
        <f>IF(IFERROR(MATCH(42,ChqRankL,0),0)=0,"",INDEX(ChqStatus,IFERROR(MATCH(42,ChqRankL,0),0)))</f>
        <v/>
      </c>
      <c r="F58" s="24">
        <f>IF(IFERROR(MATCH(42,ChqRankL,0),0)=0,"",IF(INDEX(ChqStatus,IFERROR(MATCH(42,ChqRankL,0),0))="پاس نشده","—",IF(INDEX(ChqClr,IFERROR(MATCH(42,ChqRankL,0),0))="","—",INDEX(ChqClr,IFERROR(MATCH(42,ChqRankL,0),0)))))</f>
        <v/>
      </c>
      <c r="I58">
        <f>IF(42&gt;NChq,"",INDEX(ChqNorm,42))</f>
        <v/>
      </c>
      <c r="J58">
        <f>IF($I58="","",IF(AND($I58&gt;=$H$3,$I58&lt;=$H$4),1,0))</f>
        <v/>
      </c>
      <c r="K58">
        <f>IF($J58=0,"",INDEX(ChqKey,42))</f>
        <v/>
      </c>
      <c r="L58">
        <f>IF($K58="","",COUNTIFS($J$17:$J$516,1,$K$17:$K$516,"&lt;"&amp;$K58)+1)</f>
        <v/>
      </c>
    </row>
    <row r="59">
      <c r="A59" s="10">
        <f>IF(IFERROR(MATCH(43,ChqRankL,0),0)=0,"",43)</f>
        <v/>
      </c>
      <c r="B59" s="22">
        <f>IF(IFERROR(MATCH(43,ChqRankL,0),0)=0,"",INDEX(ChqNorm,IFERROR(MATCH(43,ChqRankL,0),0)))</f>
        <v/>
      </c>
      <c r="C59" s="22">
        <f>IF(IFERROR(MATCH(43,ChqRankL,0),0)=0,"",INDEX(ChqNo,IFERROR(MATCH(43,ChqRankL,0),0)))</f>
        <v/>
      </c>
      <c r="D59" s="23">
        <f>IF(IFERROR(MATCH(43,ChqRankL,0),0)=0,"",IF(INDEX(ChqAmt,IFERROR(MATCH(43,ChqRankL,0),0))=0,"",INDEX(ChqAmt,IFERROR(MATCH(43,ChqRankL,0),0))))</f>
        <v/>
      </c>
      <c r="E59" s="14">
        <f>IF(IFERROR(MATCH(43,ChqRankL,0),0)=0,"",INDEX(ChqStatus,IFERROR(MATCH(43,ChqRankL,0),0)))</f>
        <v/>
      </c>
      <c r="F59" s="22">
        <f>IF(IFERROR(MATCH(43,ChqRankL,0),0)=0,"",IF(INDEX(ChqStatus,IFERROR(MATCH(43,ChqRankL,0),0))="پاس نشده","—",IF(INDEX(ChqClr,IFERROR(MATCH(43,ChqRankL,0),0))="","—",INDEX(ChqClr,IFERROR(MATCH(43,ChqRankL,0),0)))))</f>
        <v/>
      </c>
      <c r="I59">
        <f>IF(43&gt;NChq,"",INDEX(ChqNorm,43))</f>
        <v/>
      </c>
      <c r="J59">
        <f>IF($I59="","",IF(AND($I59&gt;=$H$3,$I59&lt;=$H$4),1,0))</f>
        <v/>
      </c>
      <c r="K59">
        <f>IF($J59=0,"",INDEX(ChqKey,43))</f>
        <v/>
      </c>
      <c r="L59">
        <f>IF($K59="","",COUNTIFS($J$17:$J$516,1,$K$17:$K$516,"&lt;"&amp;$K59)+1)</f>
        <v/>
      </c>
    </row>
    <row r="60">
      <c r="A60" s="16">
        <f>IF(IFERROR(MATCH(44,ChqRankL,0),0)=0,"",44)</f>
        <v/>
      </c>
      <c r="B60" s="24">
        <f>IF(IFERROR(MATCH(44,ChqRankL,0),0)=0,"",INDEX(ChqNorm,IFERROR(MATCH(44,ChqRankL,0),0)))</f>
        <v/>
      </c>
      <c r="C60" s="24">
        <f>IF(IFERROR(MATCH(44,ChqRankL,0),0)=0,"",INDEX(ChqNo,IFERROR(MATCH(44,ChqRankL,0),0)))</f>
        <v/>
      </c>
      <c r="D60" s="25">
        <f>IF(IFERROR(MATCH(44,ChqRankL,0),0)=0,"",IF(INDEX(ChqAmt,IFERROR(MATCH(44,ChqRankL,0),0))=0,"",INDEX(ChqAmt,IFERROR(MATCH(44,ChqRankL,0),0))))</f>
        <v/>
      </c>
      <c r="E60" s="17">
        <f>IF(IFERROR(MATCH(44,ChqRankL,0),0)=0,"",INDEX(ChqStatus,IFERROR(MATCH(44,ChqRankL,0),0)))</f>
        <v/>
      </c>
      <c r="F60" s="24">
        <f>IF(IFERROR(MATCH(44,ChqRankL,0),0)=0,"",IF(INDEX(ChqStatus,IFERROR(MATCH(44,ChqRankL,0),0))="پاس نشده","—",IF(INDEX(ChqClr,IFERROR(MATCH(44,ChqRankL,0),0))="","—",INDEX(ChqClr,IFERROR(MATCH(44,ChqRankL,0),0)))))</f>
        <v/>
      </c>
      <c r="I60">
        <f>IF(44&gt;NChq,"",INDEX(ChqNorm,44))</f>
        <v/>
      </c>
      <c r="J60">
        <f>IF($I60="","",IF(AND($I60&gt;=$H$3,$I60&lt;=$H$4),1,0))</f>
        <v/>
      </c>
      <c r="K60">
        <f>IF($J60=0,"",INDEX(ChqKey,44))</f>
        <v/>
      </c>
      <c r="L60">
        <f>IF($K60="","",COUNTIFS($J$17:$J$516,1,$K$17:$K$516,"&lt;"&amp;$K60)+1)</f>
        <v/>
      </c>
    </row>
    <row r="61">
      <c r="A61" s="10">
        <f>IF(IFERROR(MATCH(45,ChqRankL,0),0)=0,"",45)</f>
        <v/>
      </c>
      <c r="B61" s="22">
        <f>IF(IFERROR(MATCH(45,ChqRankL,0),0)=0,"",INDEX(ChqNorm,IFERROR(MATCH(45,ChqRankL,0),0)))</f>
        <v/>
      </c>
      <c r="C61" s="22">
        <f>IF(IFERROR(MATCH(45,ChqRankL,0),0)=0,"",INDEX(ChqNo,IFERROR(MATCH(45,ChqRankL,0),0)))</f>
        <v/>
      </c>
      <c r="D61" s="23">
        <f>IF(IFERROR(MATCH(45,ChqRankL,0),0)=0,"",IF(INDEX(ChqAmt,IFERROR(MATCH(45,ChqRankL,0),0))=0,"",INDEX(ChqAmt,IFERROR(MATCH(45,ChqRankL,0),0))))</f>
        <v/>
      </c>
      <c r="E61" s="14">
        <f>IF(IFERROR(MATCH(45,ChqRankL,0),0)=0,"",INDEX(ChqStatus,IFERROR(MATCH(45,ChqRankL,0),0)))</f>
        <v/>
      </c>
      <c r="F61" s="22">
        <f>IF(IFERROR(MATCH(45,ChqRankL,0),0)=0,"",IF(INDEX(ChqStatus,IFERROR(MATCH(45,ChqRankL,0),0))="پاس نشده","—",IF(INDEX(ChqClr,IFERROR(MATCH(45,ChqRankL,0),0))="","—",INDEX(ChqClr,IFERROR(MATCH(45,ChqRankL,0),0)))))</f>
        <v/>
      </c>
      <c r="I61">
        <f>IF(45&gt;NChq,"",INDEX(ChqNorm,45))</f>
        <v/>
      </c>
      <c r="J61">
        <f>IF($I61="","",IF(AND($I61&gt;=$H$3,$I61&lt;=$H$4),1,0))</f>
        <v/>
      </c>
      <c r="K61">
        <f>IF($J61=0,"",INDEX(ChqKey,45))</f>
        <v/>
      </c>
      <c r="L61">
        <f>IF($K61="","",COUNTIFS($J$17:$J$516,1,$K$17:$K$516,"&lt;"&amp;$K61)+1)</f>
        <v/>
      </c>
    </row>
    <row r="62">
      <c r="A62" s="16">
        <f>IF(IFERROR(MATCH(46,ChqRankL,0),0)=0,"",46)</f>
        <v/>
      </c>
      <c r="B62" s="24">
        <f>IF(IFERROR(MATCH(46,ChqRankL,0),0)=0,"",INDEX(ChqNorm,IFERROR(MATCH(46,ChqRankL,0),0)))</f>
        <v/>
      </c>
      <c r="C62" s="24">
        <f>IF(IFERROR(MATCH(46,ChqRankL,0),0)=0,"",INDEX(ChqNo,IFERROR(MATCH(46,ChqRankL,0),0)))</f>
        <v/>
      </c>
      <c r="D62" s="25">
        <f>IF(IFERROR(MATCH(46,ChqRankL,0),0)=0,"",IF(INDEX(ChqAmt,IFERROR(MATCH(46,ChqRankL,0),0))=0,"",INDEX(ChqAmt,IFERROR(MATCH(46,ChqRankL,0),0))))</f>
        <v/>
      </c>
      <c r="E62" s="17">
        <f>IF(IFERROR(MATCH(46,ChqRankL,0),0)=0,"",INDEX(ChqStatus,IFERROR(MATCH(46,ChqRankL,0),0)))</f>
        <v/>
      </c>
      <c r="F62" s="24">
        <f>IF(IFERROR(MATCH(46,ChqRankL,0),0)=0,"",IF(INDEX(ChqStatus,IFERROR(MATCH(46,ChqRankL,0),0))="پاس نشده","—",IF(INDEX(ChqClr,IFERROR(MATCH(46,ChqRankL,0),0))="","—",INDEX(ChqClr,IFERROR(MATCH(46,ChqRankL,0),0)))))</f>
        <v/>
      </c>
      <c r="I62">
        <f>IF(46&gt;NChq,"",INDEX(ChqNorm,46))</f>
        <v/>
      </c>
      <c r="J62">
        <f>IF($I62="","",IF(AND($I62&gt;=$H$3,$I62&lt;=$H$4),1,0))</f>
        <v/>
      </c>
      <c r="K62">
        <f>IF($J62=0,"",INDEX(ChqKey,46))</f>
        <v/>
      </c>
      <c r="L62">
        <f>IF($K62="","",COUNTIFS($J$17:$J$516,1,$K$17:$K$516,"&lt;"&amp;$K62)+1)</f>
        <v/>
      </c>
    </row>
    <row r="63">
      <c r="A63" s="10">
        <f>IF(IFERROR(MATCH(47,ChqRankL,0),0)=0,"",47)</f>
        <v/>
      </c>
      <c r="B63" s="22">
        <f>IF(IFERROR(MATCH(47,ChqRankL,0),0)=0,"",INDEX(ChqNorm,IFERROR(MATCH(47,ChqRankL,0),0)))</f>
        <v/>
      </c>
      <c r="C63" s="22">
        <f>IF(IFERROR(MATCH(47,ChqRankL,0),0)=0,"",INDEX(ChqNo,IFERROR(MATCH(47,ChqRankL,0),0)))</f>
        <v/>
      </c>
      <c r="D63" s="23">
        <f>IF(IFERROR(MATCH(47,ChqRankL,0),0)=0,"",IF(INDEX(ChqAmt,IFERROR(MATCH(47,ChqRankL,0),0))=0,"",INDEX(ChqAmt,IFERROR(MATCH(47,ChqRankL,0),0))))</f>
        <v/>
      </c>
      <c r="E63" s="14">
        <f>IF(IFERROR(MATCH(47,ChqRankL,0),0)=0,"",INDEX(ChqStatus,IFERROR(MATCH(47,ChqRankL,0),0)))</f>
        <v/>
      </c>
      <c r="F63" s="22">
        <f>IF(IFERROR(MATCH(47,ChqRankL,0),0)=0,"",IF(INDEX(ChqStatus,IFERROR(MATCH(47,ChqRankL,0),0))="پاس نشده","—",IF(INDEX(ChqClr,IFERROR(MATCH(47,ChqRankL,0),0))="","—",INDEX(ChqClr,IFERROR(MATCH(47,ChqRankL,0),0)))))</f>
        <v/>
      </c>
      <c r="I63">
        <f>IF(47&gt;NChq,"",INDEX(ChqNorm,47))</f>
        <v/>
      </c>
      <c r="J63">
        <f>IF($I63="","",IF(AND($I63&gt;=$H$3,$I63&lt;=$H$4),1,0))</f>
        <v/>
      </c>
      <c r="K63">
        <f>IF($J63=0,"",INDEX(ChqKey,47))</f>
        <v/>
      </c>
      <c r="L63">
        <f>IF($K63="","",COUNTIFS($J$17:$J$516,1,$K$17:$K$516,"&lt;"&amp;$K63)+1)</f>
        <v/>
      </c>
    </row>
    <row r="64">
      <c r="A64" s="16">
        <f>IF(IFERROR(MATCH(48,ChqRankL,0),0)=0,"",48)</f>
        <v/>
      </c>
      <c r="B64" s="24">
        <f>IF(IFERROR(MATCH(48,ChqRankL,0),0)=0,"",INDEX(ChqNorm,IFERROR(MATCH(48,ChqRankL,0),0)))</f>
        <v/>
      </c>
      <c r="C64" s="24">
        <f>IF(IFERROR(MATCH(48,ChqRankL,0),0)=0,"",INDEX(ChqNo,IFERROR(MATCH(48,ChqRankL,0),0)))</f>
        <v/>
      </c>
      <c r="D64" s="25">
        <f>IF(IFERROR(MATCH(48,ChqRankL,0),0)=0,"",IF(INDEX(ChqAmt,IFERROR(MATCH(48,ChqRankL,0),0))=0,"",INDEX(ChqAmt,IFERROR(MATCH(48,ChqRankL,0),0))))</f>
        <v/>
      </c>
      <c r="E64" s="17">
        <f>IF(IFERROR(MATCH(48,ChqRankL,0),0)=0,"",INDEX(ChqStatus,IFERROR(MATCH(48,ChqRankL,0),0)))</f>
        <v/>
      </c>
      <c r="F64" s="24">
        <f>IF(IFERROR(MATCH(48,ChqRankL,0),0)=0,"",IF(INDEX(ChqStatus,IFERROR(MATCH(48,ChqRankL,0),0))="پاس نشده","—",IF(INDEX(ChqClr,IFERROR(MATCH(48,ChqRankL,0),0))="","—",INDEX(ChqClr,IFERROR(MATCH(48,ChqRankL,0),0)))))</f>
        <v/>
      </c>
      <c r="I64">
        <f>IF(48&gt;NChq,"",INDEX(ChqNorm,48))</f>
        <v/>
      </c>
      <c r="J64">
        <f>IF($I64="","",IF(AND($I64&gt;=$H$3,$I64&lt;=$H$4),1,0))</f>
        <v/>
      </c>
      <c r="K64">
        <f>IF($J64=0,"",INDEX(ChqKey,48))</f>
        <v/>
      </c>
      <c r="L64">
        <f>IF($K64="","",COUNTIFS($J$17:$J$516,1,$K$17:$K$516,"&lt;"&amp;$K64)+1)</f>
        <v/>
      </c>
    </row>
    <row r="65">
      <c r="A65" s="10">
        <f>IF(IFERROR(MATCH(49,ChqRankL,0),0)=0,"",49)</f>
        <v/>
      </c>
      <c r="B65" s="22">
        <f>IF(IFERROR(MATCH(49,ChqRankL,0),0)=0,"",INDEX(ChqNorm,IFERROR(MATCH(49,ChqRankL,0),0)))</f>
        <v/>
      </c>
      <c r="C65" s="22">
        <f>IF(IFERROR(MATCH(49,ChqRankL,0),0)=0,"",INDEX(ChqNo,IFERROR(MATCH(49,ChqRankL,0),0)))</f>
        <v/>
      </c>
      <c r="D65" s="23">
        <f>IF(IFERROR(MATCH(49,ChqRankL,0),0)=0,"",IF(INDEX(ChqAmt,IFERROR(MATCH(49,ChqRankL,0),0))=0,"",INDEX(ChqAmt,IFERROR(MATCH(49,ChqRankL,0),0))))</f>
        <v/>
      </c>
      <c r="E65" s="14">
        <f>IF(IFERROR(MATCH(49,ChqRankL,0),0)=0,"",INDEX(ChqStatus,IFERROR(MATCH(49,ChqRankL,0),0)))</f>
        <v/>
      </c>
      <c r="F65" s="22">
        <f>IF(IFERROR(MATCH(49,ChqRankL,0),0)=0,"",IF(INDEX(ChqStatus,IFERROR(MATCH(49,ChqRankL,0),0))="پاس نشده","—",IF(INDEX(ChqClr,IFERROR(MATCH(49,ChqRankL,0),0))="","—",INDEX(ChqClr,IFERROR(MATCH(49,ChqRankL,0),0)))))</f>
        <v/>
      </c>
      <c r="I65">
        <f>IF(49&gt;NChq,"",INDEX(ChqNorm,49))</f>
        <v/>
      </c>
      <c r="J65">
        <f>IF($I65="","",IF(AND($I65&gt;=$H$3,$I65&lt;=$H$4),1,0))</f>
        <v/>
      </c>
      <c r="K65">
        <f>IF($J65=0,"",INDEX(ChqKey,49))</f>
        <v/>
      </c>
      <c r="L65">
        <f>IF($K65="","",COUNTIFS($J$17:$J$516,1,$K$17:$K$516,"&lt;"&amp;$K65)+1)</f>
        <v/>
      </c>
    </row>
    <row r="66">
      <c r="A66" s="16">
        <f>IF(IFERROR(MATCH(50,ChqRankL,0),0)=0,"",50)</f>
        <v/>
      </c>
      <c r="B66" s="24">
        <f>IF(IFERROR(MATCH(50,ChqRankL,0),0)=0,"",INDEX(ChqNorm,IFERROR(MATCH(50,ChqRankL,0),0)))</f>
        <v/>
      </c>
      <c r="C66" s="24">
        <f>IF(IFERROR(MATCH(50,ChqRankL,0),0)=0,"",INDEX(ChqNo,IFERROR(MATCH(50,ChqRankL,0),0)))</f>
        <v/>
      </c>
      <c r="D66" s="25">
        <f>IF(IFERROR(MATCH(50,ChqRankL,0),0)=0,"",IF(INDEX(ChqAmt,IFERROR(MATCH(50,ChqRankL,0),0))=0,"",INDEX(ChqAmt,IFERROR(MATCH(50,ChqRankL,0),0))))</f>
        <v/>
      </c>
      <c r="E66" s="17">
        <f>IF(IFERROR(MATCH(50,ChqRankL,0),0)=0,"",INDEX(ChqStatus,IFERROR(MATCH(50,ChqRankL,0),0)))</f>
        <v/>
      </c>
      <c r="F66" s="24">
        <f>IF(IFERROR(MATCH(50,ChqRankL,0),0)=0,"",IF(INDEX(ChqStatus,IFERROR(MATCH(50,ChqRankL,0),0))="پاس نشده","—",IF(INDEX(ChqClr,IFERROR(MATCH(50,ChqRankL,0),0))="","—",INDEX(ChqClr,IFERROR(MATCH(50,ChqRankL,0),0)))))</f>
        <v/>
      </c>
      <c r="I66">
        <f>IF(50&gt;NChq,"",INDEX(ChqNorm,50))</f>
        <v/>
      </c>
      <c r="J66">
        <f>IF($I66="","",IF(AND($I66&gt;=$H$3,$I66&lt;=$H$4),1,0))</f>
        <v/>
      </c>
      <c r="K66">
        <f>IF($J66=0,"",INDEX(ChqKey,50))</f>
        <v/>
      </c>
      <c r="L66">
        <f>IF($K66="","",COUNTIFS($J$17:$J$516,1,$K$17:$K$516,"&lt;"&amp;$K66)+1)</f>
        <v/>
      </c>
    </row>
    <row r="67">
      <c r="A67" s="10">
        <f>IF(IFERROR(MATCH(51,ChqRankL,0),0)=0,"",51)</f>
        <v/>
      </c>
      <c r="B67" s="22">
        <f>IF(IFERROR(MATCH(51,ChqRankL,0),0)=0,"",INDEX(ChqNorm,IFERROR(MATCH(51,ChqRankL,0),0)))</f>
        <v/>
      </c>
      <c r="C67" s="22">
        <f>IF(IFERROR(MATCH(51,ChqRankL,0),0)=0,"",INDEX(ChqNo,IFERROR(MATCH(51,ChqRankL,0),0)))</f>
        <v/>
      </c>
      <c r="D67" s="23">
        <f>IF(IFERROR(MATCH(51,ChqRankL,0),0)=0,"",IF(INDEX(ChqAmt,IFERROR(MATCH(51,ChqRankL,0),0))=0,"",INDEX(ChqAmt,IFERROR(MATCH(51,ChqRankL,0),0))))</f>
        <v/>
      </c>
      <c r="E67" s="14">
        <f>IF(IFERROR(MATCH(51,ChqRankL,0),0)=0,"",INDEX(ChqStatus,IFERROR(MATCH(51,ChqRankL,0),0)))</f>
        <v/>
      </c>
      <c r="F67" s="22">
        <f>IF(IFERROR(MATCH(51,ChqRankL,0),0)=0,"",IF(INDEX(ChqStatus,IFERROR(MATCH(51,ChqRankL,0),0))="پاس نشده","—",IF(INDEX(ChqClr,IFERROR(MATCH(51,ChqRankL,0),0))="","—",INDEX(ChqClr,IFERROR(MATCH(51,ChqRankL,0),0)))))</f>
        <v/>
      </c>
      <c r="I67">
        <f>IF(51&gt;NChq,"",INDEX(ChqNorm,51))</f>
        <v/>
      </c>
      <c r="J67">
        <f>IF($I67="","",IF(AND($I67&gt;=$H$3,$I67&lt;=$H$4),1,0))</f>
        <v/>
      </c>
      <c r="K67">
        <f>IF($J67=0,"",INDEX(ChqKey,51))</f>
        <v/>
      </c>
      <c r="L67">
        <f>IF($K67="","",COUNTIFS($J$17:$J$516,1,$K$17:$K$516,"&lt;"&amp;$K67)+1)</f>
        <v/>
      </c>
    </row>
    <row r="68">
      <c r="A68" s="16">
        <f>IF(IFERROR(MATCH(52,ChqRankL,0),0)=0,"",52)</f>
        <v/>
      </c>
      <c r="B68" s="24">
        <f>IF(IFERROR(MATCH(52,ChqRankL,0),0)=0,"",INDEX(ChqNorm,IFERROR(MATCH(52,ChqRankL,0),0)))</f>
        <v/>
      </c>
      <c r="C68" s="24">
        <f>IF(IFERROR(MATCH(52,ChqRankL,0),0)=0,"",INDEX(ChqNo,IFERROR(MATCH(52,ChqRankL,0),0)))</f>
        <v/>
      </c>
      <c r="D68" s="25">
        <f>IF(IFERROR(MATCH(52,ChqRankL,0),0)=0,"",IF(INDEX(ChqAmt,IFERROR(MATCH(52,ChqRankL,0),0))=0,"",INDEX(ChqAmt,IFERROR(MATCH(52,ChqRankL,0),0))))</f>
        <v/>
      </c>
      <c r="E68" s="17">
        <f>IF(IFERROR(MATCH(52,ChqRankL,0),0)=0,"",INDEX(ChqStatus,IFERROR(MATCH(52,ChqRankL,0),0)))</f>
        <v/>
      </c>
      <c r="F68" s="24">
        <f>IF(IFERROR(MATCH(52,ChqRankL,0),0)=0,"",IF(INDEX(ChqStatus,IFERROR(MATCH(52,ChqRankL,0),0))="پاس نشده","—",IF(INDEX(ChqClr,IFERROR(MATCH(52,ChqRankL,0),0))="","—",INDEX(ChqClr,IFERROR(MATCH(52,ChqRankL,0),0)))))</f>
        <v/>
      </c>
      <c r="I68">
        <f>IF(52&gt;NChq,"",INDEX(ChqNorm,52))</f>
        <v/>
      </c>
      <c r="J68">
        <f>IF($I68="","",IF(AND($I68&gt;=$H$3,$I68&lt;=$H$4),1,0))</f>
        <v/>
      </c>
      <c r="K68">
        <f>IF($J68=0,"",INDEX(ChqKey,52))</f>
        <v/>
      </c>
      <c r="L68">
        <f>IF($K68="","",COUNTIFS($J$17:$J$516,1,$K$17:$K$516,"&lt;"&amp;$K68)+1)</f>
        <v/>
      </c>
    </row>
    <row r="69">
      <c r="A69" s="10">
        <f>IF(IFERROR(MATCH(53,ChqRankL,0),0)=0,"",53)</f>
        <v/>
      </c>
      <c r="B69" s="22">
        <f>IF(IFERROR(MATCH(53,ChqRankL,0),0)=0,"",INDEX(ChqNorm,IFERROR(MATCH(53,ChqRankL,0),0)))</f>
        <v/>
      </c>
      <c r="C69" s="22">
        <f>IF(IFERROR(MATCH(53,ChqRankL,0),0)=0,"",INDEX(ChqNo,IFERROR(MATCH(53,ChqRankL,0),0)))</f>
        <v/>
      </c>
      <c r="D69" s="23">
        <f>IF(IFERROR(MATCH(53,ChqRankL,0),0)=0,"",IF(INDEX(ChqAmt,IFERROR(MATCH(53,ChqRankL,0),0))=0,"",INDEX(ChqAmt,IFERROR(MATCH(53,ChqRankL,0),0))))</f>
        <v/>
      </c>
      <c r="E69" s="14">
        <f>IF(IFERROR(MATCH(53,ChqRankL,0),0)=0,"",INDEX(ChqStatus,IFERROR(MATCH(53,ChqRankL,0),0)))</f>
        <v/>
      </c>
      <c r="F69" s="22">
        <f>IF(IFERROR(MATCH(53,ChqRankL,0),0)=0,"",IF(INDEX(ChqStatus,IFERROR(MATCH(53,ChqRankL,0),0))="پاس نشده","—",IF(INDEX(ChqClr,IFERROR(MATCH(53,ChqRankL,0),0))="","—",INDEX(ChqClr,IFERROR(MATCH(53,ChqRankL,0),0)))))</f>
        <v/>
      </c>
      <c r="I69">
        <f>IF(53&gt;NChq,"",INDEX(ChqNorm,53))</f>
        <v/>
      </c>
      <c r="J69">
        <f>IF($I69="","",IF(AND($I69&gt;=$H$3,$I69&lt;=$H$4),1,0))</f>
        <v/>
      </c>
      <c r="K69">
        <f>IF($J69=0,"",INDEX(ChqKey,53))</f>
        <v/>
      </c>
      <c r="L69">
        <f>IF($K69="","",COUNTIFS($J$17:$J$516,1,$K$17:$K$516,"&lt;"&amp;$K69)+1)</f>
        <v/>
      </c>
    </row>
    <row r="70">
      <c r="A70" s="16">
        <f>IF(IFERROR(MATCH(54,ChqRankL,0),0)=0,"",54)</f>
        <v/>
      </c>
      <c r="B70" s="24">
        <f>IF(IFERROR(MATCH(54,ChqRankL,0),0)=0,"",INDEX(ChqNorm,IFERROR(MATCH(54,ChqRankL,0),0)))</f>
        <v/>
      </c>
      <c r="C70" s="24">
        <f>IF(IFERROR(MATCH(54,ChqRankL,0),0)=0,"",INDEX(ChqNo,IFERROR(MATCH(54,ChqRankL,0),0)))</f>
        <v/>
      </c>
      <c r="D70" s="25">
        <f>IF(IFERROR(MATCH(54,ChqRankL,0),0)=0,"",IF(INDEX(ChqAmt,IFERROR(MATCH(54,ChqRankL,0),0))=0,"",INDEX(ChqAmt,IFERROR(MATCH(54,ChqRankL,0),0))))</f>
        <v/>
      </c>
      <c r="E70" s="17">
        <f>IF(IFERROR(MATCH(54,ChqRankL,0),0)=0,"",INDEX(ChqStatus,IFERROR(MATCH(54,ChqRankL,0),0)))</f>
        <v/>
      </c>
      <c r="F70" s="24">
        <f>IF(IFERROR(MATCH(54,ChqRankL,0),0)=0,"",IF(INDEX(ChqStatus,IFERROR(MATCH(54,ChqRankL,0),0))="پاس نشده","—",IF(INDEX(ChqClr,IFERROR(MATCH(54,ChqRankL,0),0))="","—",INDEX(ChqClr,IFERROR(MATCH(54,ChqRankL,0),0)))))</f>
        <v/>
      </c>
      <c r="I70">
        <f>IF(54&gt;NChq,"",INDEX(ChqNorm,54))</f>
        <v/>
      </c>
      <c r="J70">
        <f>IF($I70="","",IF(AND($I70&gt;=$H$3,$I70&lt;=$H$4),1,0))</f>
        <v/>
      </c>
      <c r="K70">
        <f>IF($J70=0,"",INDEX(ChqKey,54))</f>
        <v/>
      </c>
      <c r="L70">
        <f>IF($K70="","",COUNTIFS($J$17:$J$516,1,$K$17:$K$516,"&lt;"&amp;$K70)+1)</f>
        <v/>
      </c>
    </row>
    <row r="71">
      <c r="A71" s="10">
        <f>IF(IFERROR(MATCH(55,ChqRankL,0),0)=0,"",55)</f>
        <v/>
      </c>
      <c r="B71" s="22">
        <f>IF(IFERROR(MATCH(55,ChqRankL,0),0)=0,"",INDEX(ChqNorm,IFERROR(MATCH(55,ChqRankL,0),0)))</f>
        <v/>
      </c>
      <c r="C71" s="22">
        <f>IF(IFERROR(MATCH(55,ChqRankL,0),0)=0,"",INDEX(ChqNo,IFERROR(MATCH(55,ChqRankL,0),0)))</f>
        <v/>
      </c>
      <c r="D71" s="23">
        <f>IF(IFERROR(MATCH(55,ChqRankL,0),0)=0,"",IF(INDEX(ChqAmt,IFERROR(MATCH(55,ChqRankL,0),0))=0,"",INDEX(ChqAmt,IFERROR(MATCH(55,ChqRankL,0),0))))</f>
        <v/>
      </c>
      <c r="E71" s="14">
        <f>IF(IFERROR(MATCH(55,ChqRankL,0),0)=0,"",INDEX(ChqStatus,IFERROR(MATCH(55,ChqRankL,0),0)))</f>
        <v/>
      </c>
      <c r="F71" s="22">
        <f>IF(IFERROR(MATCH(55,ChqRankL,0),0)=0,"",IF(INDEX(ChqStatus,IFERROR(MATCH(55,ChqRankL,0),0))="پاس نشده","—",IF(INDEX(ChqClr,IFERROR(MATCH(55,ChqRankL,0),0))="","—",INDEX(ChqClr,IFERROR(MATCH(55,ChqRankL,0),0)))))</f>
        <v/>
      </c>
      <c r="I71">
        <f>IF(55&gt;NChq,"",INDEX(ChqNorm,55))</f>
        <v/>
      </c>
      <c r="J71">
        <f>IF($I71="","",IF(AND($I71&gt;=$H$3,$I71&lt;=$H$4),1,0))</f>
        <v/>
      </c>
      <c r="K71">
        <f>IF($J71=0,"",INDEX(ChqKey,55))</f>
        <v/>
      </c>
      <c r="L71">
        <f>IF($K71="","",COUNTIFS($J$17:$J$516,1,$K$17:$K$516,"&lt;"&amp;$K71)+1)</f>
        <v/>
      </c>
    </row>
    <row r="72">
      <c r="A72" s="16">
        <f>IF(IFERROR(MATCH(56,ChqRankL,0),0)=0,"",56)</f>
        <v/>
      </c>
      <c r="B72" s="24">
        <f>IF(IFERROR(MATCH(56,ChqRankL,0),0)=0,"",INDEX(ChqNorm,IFERROR(MATCH(56,ChqRankL,0),0)))</f>
        <v/>
      </c>
      <c r="C72" s="24">
        <f>IF(IFERROR(MATCH(56,ChqRankL,0),0)=0,"",INDEX(ChqNo,IFERROR(MATCH(56,ChqRankL,0),0)))</f>
        <v/>
      </c>
      <c r="D72" s="25">
        <f>IF(IFERROR(MATCH(56,ChqRankL,0),0)=0,"",IF(INDEX(ChqAmt,IFERROR(MATCH(56,ChqRankL,0),0))=0,"",INDEX(ChqAmt,IFERROR(MATCH(56,ChqRankL,0),0))))</f>
        <v/>
      </c>
      <c r="E72" s="17">
        <f>IF(IFERROR(MATCH(56,ChqRankL,0),0)=0,"",INDEX(ChqStatus,IFERROR(MATCH(56,ChqRankL,0),0)))</f>
        <v/>
      </c>
      <c r="F72" s="24">
        <f>IF(IFERROR(MATCH(56,ChqRankL,0),0)=0,"",IF(INDEX(ChqStatus,IFERROR(MATCH(56,ChqRankL,0),0))="پاس نشده","—",IF(INDEX(ChqClr,IFERROR(MATCH(56,ChqRankL,0),0))="","—",INDEX(ChqClr,IFERROR(MATCH(56,ChqRankL,0),0)))))</f>
        <v/>
      </c>
      <c r="I72">
        <f>IF(56&gt;NChq,"",INDEX(ChqNorm,56))</f>
        <v/>
      </c>
      <c r="J72">
        <f>IF($I72="","",IF(AND($I72&gt;=$H$3,$I72&lt;=$H$4),1,0))</f>
        <v/>
      </c>
      <c r="K72">
        <f>IF($J72=0,"",INDEX(ChqKey,56))</f>
        <v/>
      </c>
      <c r="L72">
        <f>IF($K72="","",COUNTIFS($J$17:$J$516,1,$K$17:$K$516,"&lt;"&amp;$K72)+1)</f>
        <v/>
      </c>
    </row>
    <row r="73">
      <c r="A73" s="10">
        <f>IF(IFERROR(MATCH(57,ChqRankL,0),0)=0,"",57)</f>
        <v/>
      </c>
      <c r="B73" s="22">
        <f>IF(IFERROR(MATCH(57,ChqRankL,0),0)=0,"",INDEX(ChqNorm,IFERROR(MATCH(57,ChqRankL,0),0)))</f>
        <v/>
      </c>
      <c r="C73" s="22">
        <f>IF(IFERROR(MATCH(57,ChqRankL,0),0)=0,"",INDEX(ChqNo,IFERROR(MATCH(57,ChqRankL,0),0)))</f>
        <v/>
      </c>
      <c r="D73" s="23">
        <f>IF(IFERROR(MATCH(57,ChqRankL,0),0)=0,"",IF(INDEX(ChqAmt,IFERROR(MATCH(57,ChqRankL,0),0))=0,"",INDEX(ChqAmt,IFERROR(MATCH(57,ChqRankL,0),0))))</f>
        <v/>
      </c>
      <c r="E73" s="14">
        <f>IF(IFERROR(MATCH(57,ChqRankL,0),0)=0,"",INDEX(ChqStatus,IFERROR(MATCH(57,ChqRankL,0),0)))</f>
        <v/>
      </c>
      <c r="F73" s="22">
        <f>IF(IFERROR(MATCH(57,ChqRankL,0),0)=0,"",IF(INDEX(ChqStatus,IFERROR(MATCH(57,ChqRankL,0),0))="پاس نشده","—",IF(INDEX(ChqClr,IFERROR(MATCH(57,ChqRankL,0),0))="","—",INDEX(ChqClr,IFERROR(MATCH(57,ChqRankL,0),0)))))</f>
        <v/>
      </c>
      <c r="I73">
        <f>IF(57&gt;NChq,"",INDEX(ChqNorm,57))</f>
        <v/>
      </c>
      <c r="J73">
        <f>IF($I73="","",IF(AND($I73&gt;=$H$3,$I73&lt;=$H$4),1,0))</f>
        <v/>
      </c>
      <c r="K73">
        <f>IF($J73=0,"",INDEX(ChqKey,57))</f>
        <v/>
      </c>
      <c r="L73">
        <f>IF($K73="","",COUNTIFS($J$17:$J$516,1,$K$17:$K$516,"&lt;"&amp;$K73)+1)</f>
        <v/>
      </c>
    </row>
    <row r="74">
      <c r="A74" s="16">
        <f>IF(IFERROR(MATCH(58,ChqRankL,0),0)=0,"",58)</f>
        <v/>
      </c>
      <c r="B74" s="24">
        <f>IF(IFERROR(MATCH(58,ChqRankL,0),0)=0,"",INDEX(ChqNorm,IFERROR(MATCH(58,ChqRankL,0),0)))</f>
        <v/>
      </c>
      <c r="C74" s="24">
        <f>IF(IFERROR(MATCH(58,ChqRankL,0),0)=0,"",INDEX(ChqNo,IFERROR(MATCH(58,ChqRankL,0),0)))</f>
        <v/>
      </c>
      <c r="D74" s="25">
        <f>IF(IFERROR(MATCH(58,ChqRankL,0),0)=0,"",IF(INDEX(ChqAmt,IFERROR(MATCH(58,ChqRankL,0),0))=0,"",INDEX(ChqAmt,IFERROR(MATCH(58,ChqRankL,0),0))))</f>
        <v/>
      </c>
      <c r="E74" s="17">
        <f>IF(IFERROR(MATCH(58,ChqRankL,0),0)=0,"",INDEX(ChqStatus,IFERROR(MATCH(58,ChqRankL,0),0)))</f>
        <v/>
      </c>
      <c r="F74" s="24">
        <f>IF(IFERROR(MATCH(58,ChqRankL,0),0)=0,"",IF(INDEX(ChqStatus,IFERROR(MATCH(58,ChqRankL,0),0))="پاس نشده","—",IF(INDEX(ChqClr,IFERROR(MATCH(58,ChqRankL,0),0))="","—",INDEX(ChqClr,IFERROR(MATCH(58,ChqRankL,0),0)))))</f>
        <v/>
      </c>
      <c r="I74">
        <f>IF(58&gt;NChq,"",INDEX(ChqNorm,58))</f>
        <v/>
      </c>
      <c r="J74">
        <f>IF($I74="","",IF(AND($I74&gt;=$H$3,$I74&lt;=$H$4),1,0))</f>
        <v/>
      </c>
      <c r="K74">
        <f>IF($J74=0,"",INDEX(ChqKey,58))</f>
        <v/>
      </c>
      <c r="L74">
        <f>IF($K74="","",COUNTIFS($J$17:$J$516,1,$K$17:$K$516,"&lt;"&amp;$K74)+1)</f>
        <v/>
      </c>
    </row>
    <row r="75">
      <c r="A75" s="10">
        <f>IF(IFERROR(MATCH(59,ChqRankL,0),0)=0,"",59)</f>
        <v/>
      </c>
      <c r="B75" s="22">
        <f>IF(IFERROR(MATCH(59,ChqRankL,0),0)=0,"",INDEX(ChqNorm,IFERROR(MATCH(59,ChqRankL,0),0)))</f>
        <v/>
      </c>
      <c r="C75" s="22">
        <f>IF(IFERROR(MATCH(59,ChqRankL,0),0)=0,"",INDEX(ChqNo,IFERROR(MATCH(59,ChqRankL,0),0)))</f>
        <v/>
      </c>
      <c r="D75" s="23">
        <f>IF(IFERROR(MATCH(59,ChqRankL,0),0)=0,"",IF(INDEX(ChqAmt,IFERROR(MATCH(59,ChqRankL,0),0))=0,"",INDEX(ChqAmt,IFERROR(MATCH(59,ChqRankL,0),0))))</f>
        <v/>
      </c>
      <c r="E75" s="14">
        <f>IF(IFERROR(MATCH(59,ChqRankL,0),0)=0,"",INDEX(ChqStatus,IFERROR(MATCH(59,ChqRankL,0),0)))</f>
        <v/>
      </c>
      <c r="F75" s="22">
        <f>IF(IFERROR(MATCH(59,ChqRankL,0),0)=0,"",IF(INDEX(ChqStatus,IFERROR(MATCH(59,ChqRankL,0),0))="پاس نشده","—",IF(INDEX(ChqClr,IFERROR(MATCH(59,ChqRankL,0),0))="","—",INDEX(ChqClr,IFERROR(MATCH(59,ChqRankL,0),0)))))</f>
        <v/>
      </c>
      <c r="I75">
        <f>IF(59&gt;NChq,"",INDEX(ChqNorm,59))</f>
        <v/>
      </c>
      <c r="J75">
        <f>IF($I75="","",IF(AND($I75&gt;=$H$3,$I75&lt;=$H$4),1,0))</f>
        <v/>
      </c>
      <c r="K75">
        <f>IF($J75=0,"",INDEX(ChqKey,59))</f>
        <v/>
      </c>
      <c r="L75">
        <f>IF($K75="","",COUNTIFS($J$17:$J$516,1,$K$17:$K$516,"&lt;"&amp;$K75)+1)</f>
        <v/>
      </c>
    </row>
    <row r="76">
      <c r="A76" s="16">
        <f>IF(IFERROR(MATCH(60,ChqRankL,0),0)=0,"",60)</f>
        <v/>
      </c>
      <c r="B76" s="24">
        <f>IF(IFERROR(MATCH(60,ChqRankL,0),0)=0,"",INDEX(ChqNorm,IFERROR(MATCH(60,ChqRankL,0),0)))</f>
        <v/>
      </c>
      <c r="C76" s="24">
        <f>IF(IFERROR(MATCH(60,ChqRankL,0),0)=0,"",INDEX(ChqNo,IFERROR(MATCH(60,ChqRankL,0),0)))</f>
        <v/>
      </c>
      <c r="D76" s="25">
        <f>IF(IFERROR(MATCH(60,ChqRankL,0),0)=0,"",IF(INDEX(ChqAmt,IFERROR(MATCH(60,ChqRankL,0),0))=0,"",INDEX(ChqAmt,IFERROR(MATCH(60,ChqRankL,0),0))))</f>
        <v/>
      </c>
      <c r="E76" s="17">
        <f>IF(IFERROR(MATCH(60,ChqRankL,0),0)=0,"",INDEX(ChqStatus,IFERROR(MATCH(60,ChqRankL,0),0)))</f>
        <v/>
      </c>
      <c r="F76" s="24">
        <f>IF(IFERROR(MATCH(60,ChqRankL,0),0)=0,"",IF(INDEX(ChqStatus,IFERROR(MATCH(60,ChqRankL,0),0))="پاس نشده","—",IF(INDEX(ChqClr,IFERROR(MATCH(60,ChqRankL,0),0))="","—",INDEX(ChqClr,IFERROR(MATCH(60,ChqRankL,0),0)))))</f>
        <v/>
      </c>
      <c r="I76">
        <f>IF(60&gt;NChq,"",INDEX(ChqNorm,60))</f>
        <v/>
      </c>
      <c r="J76">
        <f>IF($I76="","",IF(AND($I76&gt;=$H$3,$I76&lt;=$H$4),1,0))</f>
        <v/>
      </c>
      <c r="K76">
        <f>IF($J76=0,"",INDEX(ChqKey,60))</f>
        <v/>
      </c>
      <c r="L76">
        <f>IF($K76="","",COUNTIFS($J$17:$J$516,1,$K$17:$K$516,"&lt;"&amp;$K76)+1)</f>
        <v/>
      </c>
    </row>
    <row r="77">
      <c r="A77" s="10">
        <f>IF(IFERROR(MATCH(61,ChqRankL,0),0)=0,"",61)</f>
        <v/>
      </c>
      <c r="B77" s="22">
        <f>IF(IFERROR(MATCH(61,ChqRankL,0),0)=0,"",INDEX(ChqNorm,IFERROR(MATCH(61,ChqRankL,0),0)))</f>
        <v/>
      </c>
      <c r="C77" s="22">
        <f>IF(IFERROR(MATCH(61,ChqRankL,0),0)=0,"",INDEX(ChqNo,IFERROR(MATCH(61,ChqRankL,0),0)))</f>
        <v/>
      </c>
      <c r="D77" s="23">
        <f>IF(IFERROR(MATCH(61,ChqRankL,0),0)=0,"",IF(INDEX(ChqAmt,IFERROR(MATCH(61,ChqRankL,0),0))=0,"",INDEX(ChqAmt,IFERROR(MATCH(61,ChqRankL,0),0))))</f>
        <v/>
      </c>
      <c r="E77" s="14">
        <f>IF(IFERROR(MATCH(61,ChqRankL,0),0)=0,"",INDEX(ChqStatus,IFERROR(MATCH(61,ChqRankL,0),0)))</f>
        <v/>
      </c>
      <c r="F77" s="22">
        <f>IF(IFERROR(MATCH(61,ChqRankL,0),0)=0,"",IF(INDEX(ChqStatus,IFERROR(MATCH(61,ChqRankL,0),0))="پاس نشده","—",IF(INDEX(ChqClr,IFERROR(MATCH(61,ChqRankL,0),0))="","—",INDEX(ChqClr,IFERROR(MATCH(61,ChqRankL,0),0)))))</f>
        <v/>
      </c>
      <c r="I77">
        <f>IF(61&gt;NChq,"",INDEX(ChqNorm,61))</f>
        <v/>
      </c>
      <c r="J77">
        <f>IF($I77="","",IF(AND($I77&gt;=$H$3,$I77&lt;=$H$4),1,0))</f>
        <v/>
      </c>
      <c r="K77">
        <f>IF($J77=0,"",INDEX(ChqKey,61))</f>
        <v/>
      </c>
      <c r="L77">
        <f>IF($K77="","",COUNTIFS($J$17:$J$516,1,$K$17:$K$516,"&lt;"&amp;$K77)+1)</f>
        <v/>
      </c>
    </row>
    <row r="78">
      <c r="A78" s="16">
        <f>IF(IFERROR(MATCH(62,ChqRankL,0),0)=0,"",62)</f>
        <v/>
      </c>
      <c r="B78" s="24">
        <f>IF(IFERROR(MATCH(62,ChqRankL,0),0)=0,"",INDEX(ChqNorm,IFERROR(MATCH(62,ChqRankL,0),0)))</f>
        <v/>
      </c>
      <c r="C78" s="24">
        <f>IF(IFERROR(MATCH(62,ChqRankL,0),0)=0,"",INDEX(ChqNo,IFERROR(MATCH(62,ChqRankL,0),0)))</f>
        <v/>
      </c>
      <c r="D78" s="25">
        <f>IF(IFERROR(MATCH(62,ChqRankL,0),0)=0,"",IF(INDEX(ChqAmt,IFERROR(MATCH(62,ChqRankL,0),0))=0,"",INDEX(ChqAmt,IFERROR(MATCH(62,ChqRankL,0),0))))</f>
        <v/>
      </c>
      <c r="E78" s="17">
        <f>IF(IFERROR(MATCH(62,ChqRankL,0),0)=0,"",INDEX(ChqStatus,IFERROR(MATCH(62,ChqRankL,0),0)))</f>
        <v/>
      </c>
      <c r="F78" s="24">
        <f>IF(IFERROR(MATCH(62,ChqRankL,0),0)=0,"",IF(INDEX(ChqStatus,IFERROR(MATCH(62,ChqRankL,0),0))="پاس نشده","—",IF(INDEX(ChqClr,IFERROR(MATCH(62,ChqRankL,0),0))="","—",INDEX(ChqClr,IFERROR(MATCH(62,ChqRankL,0),0)))))</f>
        <v/>
      </c>
      <c r="I78">
        <f>IF(62&gt;NChq,"",INDEX(ChqNorm,62))</f>
        <v/>
      </c>
      <c r="J78">
        <f>IF($I78="","",IF(AND($I78&gt;=$H$3,$I78&lt;=$H$4),1,0))</f>
        <v/>
      </c>
      <c r="K78">
        <f>IF($J78=0,"",INDEX(ChqKey,62))</f>
        <v/>
      </c>
      <c r="L78">
        <f>IF($K78="","",COUNTIFS($J$17:$J$516,1,$K$17:$K$516,"&lt;"&amp;$K78)+1)</f>
        <v/>
      </c>
    </row>
    <row r="79">
      <c r="A79" s="10">
        <f>IF(IFERROR(MATCH(63,ChqRankL,0),0)=0,"",63)</f>
        <v/>
      </c>
      <c r="B79" s="22">
        <f>IF(IFERROR(MATCH(63,ChqRankL,0),0)=0,"",INDEX(ChqNorm,IFERROR(MATCH(63,ChqRankL,0),0)))</f>
        <v/>
      </c>
      <c r="C79" s="22">
        <f>IF(IFERROR(MATCH(63,ChqRankL,0),0)=0,"",INDEX(ChqNo,IFERROR(MATCH(63,ChqRankL,0),0)))</f>
        <v/>
      </c>
      <c r="D79" s="23">
        <f>IF(IFERROR(MATCH(63,ChqRankL,0),0)=0,"",IF(INDEX(ChqAmt,IFERROR(MATCH(63,ChqRankL,0),0))=0,"",INDEX(ChqAmt,IFERROR(MATCH(63,ChqRankL,0),0))))</f>
        <v/>
      </c>
      <c r="E79" s="14">
        <f>IF(IFERROR(MATCH(63,ChqRankL,0),0)=0,"",INDEX(ChqStatus,IFERROR(MATCH(63,ChqRankL,0),0)))</f>
        <v/>
      </c>
      <c r="F79" s="22">
        <f>IF(IFERROR(MATCH(63,ChqRankL,0),0)=0,"",IF(INDEX(ChqStatus,IFERROR(MATCH(63,ChqRankL,0),0))="پاس نشده","—",IF(INDEX(ChqClr,IFERROR(MATCH(63,ChqRankL,0),0))="","—",INDEX(ChqClr,IFERROR(MATCH(63,ChqRankL,0),0)))))</f>
        <v/>
      </c>
      <c r="I79">
        <f>IF(63&gt;NChq,"",INDEX(ChqNorm,63))</f>
        <v/>
      </c>
      <c r="J79">
        <f>IF($I79="","",IF(AND($I79&gt;=$H$3,$I79&lt;=$H$4),1,0))</f>
        <v/>
      </c>
      <c r="K79">
        <f>IF($J79=0,"",INDEX(ChqKey,63))</f>
        <v/>
      </c>
      <c r="L79">
        <f>IF($K79="","",COUNTIFS($J$17:$J$516,1,$K$17:$K$516,"&lt;"&amp;$K79)+1)</f>
        <v/>
      </c>
    </row>
    <row r="80">
      <c r="A80" s="16">
        <f>IF(IFERROR(MATCH(64,ChqRankL,0),0)=0,"",64)</f>
        <v/>
      </c>
      <c r="B80" s="24">
        <f>IF(IFERROR(MATCH(64,ChqRankL,0),0)=0,"",INDEX(ChqNorm,IFERROR(MATCH(64,ChqRankL,0),0)))</f>
        <v/>
      </c>
      <c r="C80" s="24">
        <f>IF(IFERROR(MATCH(64,ChqRankL,0),0)=0,"",INDEX(ChqNo,IFERROR(MATCH(64,ChqRankL,0),0)))</f>
        <v/>
      </c>
      <c r="D80" s="25">
        <f>IF(IFERROR(MATCH(64,ChqRankL,0),0)=0,"",IF(INDEX(ChqAmt,IFERROR(MATCH(64,ChqRankL,0),0))=0,"",INDEX(ChqAmt,IFERROR(MATCH(64,ChqRankL,0),0))))</f>
        <v/>
      </c>
      <c r="E80" s="17">
        <f>IF(IFERROR(MATCH(64,ChqRankL,0),0)=0,"",INDEX(ChqStatus,IFERROR(MATCH(64,ChqRankL,0),0)))</f>
        <v/>
      </c>
      <c r="F80" s="24">
        <f>IF(IFERROR(MATCH(64,ChqRankL,0),0)=0,"",IF(INDEX(ChqStatus,IFERROR(MATCH(64,ChqRankL,0),0))="پاس نشده","—",IF(INDEX(ChqClr,IFERROR(MATCH(64,ChqRankL,0),0))="","—",INDEX(ChqClr,IFERROR(MATCH(64,ChqRankL,0),0)))))</f>
        <v/>
      </c>
      <c r="I80">
        <f>IF(64&gt;NChq,"",INDEX(ChqNorm,64))</f>
        <v/>
      </c>
      <c r="J80">
        <f>IF($I80="","",IF(AND($I80&gt;=$H$3,$I80&lt;=$H$4),1,0))</f>
        <v/>
      </c>
      <c r="K80">
        <f>IF($J80=0,"",INDEX(ChqKey,64))</f>
        <v/>
      </c>
      <c r="L80">
        <f>IF($K80="","",COUNTIFS($J$17:$J$516,1,$K$17:$K$516,"&lt;"&amp;$K80)+1)</f>
        <v/>
      </c>
    </row>
    <row r="81">
      <c r="A81" s="10">
        <f>IF(IFERROR(MATCH(65,ChqRankL,0),0)=0,"",65)</f>
        <v/>
      </c>
      <c r="B81" s="22">
        <f>IF(IFERROR(MATCH(65,ChqRankL,0),0)=0,"",INDEX(ChqNorm,IFERROR(MATCH(65,ChqRankL,0),0)))</f>
        <v/>
      </c>
      <c r="C81" s="22">
        <f>IF(IFERROR(MATCH(65,ChqRankL,0),0)=0,"",INDEX(ChqNo,IFERROR(MATCH(65,ChqRankL,0),0)))</f>
        <v/>
      </c>
      <c r="D81" s="23">
        <f>IF(IFERROR(MATCH(65,ChqRankL,0),0)=0,"",IF(INDEX(ChqAmt,IFERROR(MATCH(65,ChqRankL,0),0))=0,"",INDEX(ChqAmt,IFERROR(MATCH(65,ChqRankL,0),0))))</f>
        <v/>
      </c>
      <c r="E81" s="14">
        <f>IF(IFERROR(MATCH(65,ChqRankL,0),0)=0,"",INDEX(ChqStatus,IFERROR(MATCH(65,ChqRankL,0),0)))</f>
        <v/>
      </c>
      <c r="F81" s="22">
        <f>IF(IFERROR(MATCH(65,ChqRankL,0),0)=0,"",IF(INDEX(ChqStatus,IFERROR(MATCH(65,ChqRankL,0),0))="پاس نشده","—",IF(INDEX(ChqClr,IFERROR(MATCH(65,ChqRankL,0),0))="","—",INDEX(ChqClr,IFERROR(MATCH(65,ChqRankL,0),0)))))</f>
        <v/>
      </c>
      <c r="I81">
        <f>IF(65&gt;NChq,"",INDEX(ChqNorm,65))</f>
        <v/>
      </c>
      <c r="J81">
        <f>IF($I81="","",IF(AND($I81&gt;=$H$3,$I81&lt;=$H$4),1,0))</f>
        <v/>
      </c>
      <c r="K81">
        <f>IF($J81=0,"",INDEX(ChqKey,65))</f>
        <v/>
      </c>
      <c r="L81">
        <f>IF($K81="","",COUNTIFS($J$17:$J$516,1,$K$17:$K$516,"&lt;"&amp;$K81)+1)</f>
        <v/>
      </c>
    </row>
    <row r="82">
      <c r="A82" s="16">
        <f>IF(IFERROR(MATCH(66,ChqRankL,0),0)=0,"",66)</f>
        <v/>
      </c>
      <c r="B82" s="24">
        <f>IF(IFERROR(MATCH(66,ChqRankL,0),0)=0,"",INDEX(ChqNorm,IFERROR(MATCH(66,ChqRankL,0),0)))</f>
        <v/>
      </c>
      <c r="C82" s="24">
        <f>IF(IFERROR(MATCH(66,ChqRankL,0),0)=0,"",INDEX(ChqNo,IFERROR(MATCH(66,ChqRankL,0),0)))</f>
        <v/>
      </c>
      <c r="D82" s="25">
        <f>IF(IFERROR(MATCH(66,ChqRankL,0),0)=0,"",IF(INDEX(ChqAmt,IFERROR(MATCH(66,ChqRankL,0),0))=0,"",INDEX(ChqAmt,IFERROR(MATCH(66,ChqRankL,0),0))))</f>
        <v/>
      </c>
      <c r="E82" s="17">
        <f>IF(IFERROR(MATCH(66,ChqRankL,0),0)=0,"",INDEX(ChqStatus,IFERROR(MATCH(66,ChqRankL,0),0)))</f>
        <v/>
      </c>
      <c r="F82" s="24">
        <f>IF(IFERROR(MATCH(66,ChqRankL,0),0)=0,"",IF(INDEX(ChqStatus,IFERROR(MATCH(66,ChqRankL,0),0))="پاس نشده","—",IF(INDEX(ChqClr,IFERROR(MATCH(66,ChqRankL,0),0))="","—",INDEX(ChqClr,IFERROR(MATCH(66,ChqRankL,0),0)))))</f>
        <v/>
      </c>
      <c r="I82">
        <f>IF(66&gt;NChq,"",INDEX(ChqNorm,66))</f>
        <v/>
      </c>
      <c r="J82">
        <f>IF($I82="","",IF(AND($I82&gt;=$H$3,$I82&lt;=$H$4),1,0))</f>
        <v/>
      </c>
      <c r="K82">
        <f>IF($J82=0,"",INDEX(ChqKey,66))</f>
        <v/>
      </c>
      <c r="L82">
        <f>IF($K82="","",COUNTIFS($J$17:$J$516,1,$K$17:$K$516,"&lt;"&amp;$K82)+1)</f>
        <v/>
      </c>
    </row>
    <row r="83">
      <c r="A83" s="10">
        <f>IF(IFERROR(MATCH(67,ChqRankL,0),0)=0,"",67)</f>
        <v/>
      </c>
      <c r="B83" s="22">
        <f>IF(IFERROR(MATCH(67,ChqRankL,0),0)=0,"",INDEX(ChqNorm,IFERROR(MATCH(67,ChqRankL,0),0)))</f>
        <v/>
      </c>
      <c r="C83" s="22">
        <f>IF(IFERROR(MATCH(67,ChqRankL,0),0)=0,"",INDEX(ChqNo,IFERROR(MATCH(67,ChqRankL,0),0)))</f>
        <v/>
      </c>
      <c r="D83" s="23">
        <f>IF(IFERROR(MATCH(67,ChqRankL,0),0)=0,"",IF(INDEX(ChqAmt,IFERROR(MATCH(67,ChqRankL,0),0))=0,"",INDEX(ChqAmt,IFERROR(MATCH(67,ChqRankL,0),0))))</f>
        <v/>
      </c>
      <c r="E83" s="14">
        <f>IF(IFERROR(MATCH(67,ChqRankL,0),0)=0,"",INDEX(ChqStatus,IFERROR(MATCH(67,ChqRankL,0),0)))</f>
        <v/>
      </c>
      <c r="F83" s="22">
        <f>IF(IFERROR(MATCH(67,ChqRankL,0),0)=0,"",IF(INDEX(ChqStatus,IFERROR(MATCH(67,ChqRankL,0),0))="پاس نشده","—",IF(INDEX(ChqClr,IFERROR(MATCH(67,ChqRankL,0),0))="","—",INDEX(ChqClr,IFERROR(MATCH(67,ChqRankL,0),0)))))</f>
        <v/>
      </c>
      <c r="I83">
        <f>IF(67&gt;NChq,"",INDEX(ChqNorm,67))</f>
        <v/>
      </c>
      <c r="J83">
        <f>IF($I83="","",IF(AND($I83&gt;=$H$3,$I83&lt;=$H$4),1,0))</f>
        <v/>
      </c>
      <c r="K83">
        <f>IF($J83=0,"",INDEX(ChqKey,67))</f>
        <v/>
      </c>
      <c r="L83">
        <f>IF($K83="","",COUNTIFS($J$17:$J$516,1,$K$17:$K$516,"&lt;"&amp;$K83)+1)</f>
        <v/>
      </c>
    </row>
    <row r="84">
      <c r="A84" s="16">
        <f>IF(IFERROR(MATCH(68,ChqRankL,0),0)=0,"",68)</f>
        <v/>
      </c>
      <c r="B84" s="24">
        <f>IF(IFERROR(MATCH(68,ChqRankL,0),0)=0,"",INDEX(ChqNorm,IFERROR(MATCH(68,ChqRankL,0),0)))</f>
        <v/>
      </c>
      <c r="C84" s="24">
        <f>IF(IFERROR(MATCH(68,ChqRankL,0),0)=0,"",INDEX(ChqNo,IFERROR(MATCH(68,ChqRankL,0),0)))</f>
        <v/>
      </c>
      <c r="D84" s="25">
        <f>IF(IFERROR(MATCH(68,ChqRankL,0),0)=0,"",IF(INDEX(ChqAmt,IFERROR(MATCH(68,ChqRankL,0),0))=0,"",INDEX(ChqAmt,IFERROR(MATCH(68,ChqRankL,0),0))))</f>
        <v/>
      </c>
      <c r="E84" s="17">
        <f>IF(IFERROR(MATCH(68,ChqRankL,0),0)=0,"",INDEX(ChqStatus,IFERROR(MATCH(68,ChqRankL,0),0)))</f>
        <v/>
      </c>
      <c r="F84" s="24">
        <f>IF(IFERROR(MATCH(68,ChqRankL,0),0)=0,"",IF(INDEX(ChqStatus,IFERROR(MATCH(68,ChqRankL,0),0))="پاس نشده","—",IF(INDEX(ChqClr,IFERROR(MATCH(68,ChqRankL,0),0))="","—",INDEX(ChqClr,IFERROR(MATCH(68,ChqRankL,0),0)))))</f>
        <v/>
      </c>
      <c r="I84">
        <f>IF(68&gt;NChq,"",INDEX(ChqNorm,68))</f>
        <v/>
      </c>
      <c r="J84">
        <f>IF($I84="","",IF(AND($I84&gt;=$H$3,$I84&lt;=$H$4),1,0))</f>
        <v/>
      </c>
      <c r="K84">
        <f>IF($J84=0,"",INDEX(ChqKey,68))</f>
        <v/>
      </c>
      <c r="L84">
        <f>IF($K84="","",COUNTIFS($J$17:$J$516,1,$K$17:$K$516,"&lt;"&amp;$K84)+1)</f>
        <v/>
      </c>
    </row>
    <row r="85">
      <c r="A85" s="10">
        <f>IF(IFERROR(MATCH(69,ChqRankL,0),0)=0,"",69)</f>
        <v/>
      </c>
      <c r="B85" s="22">
        <f>IF(IFERROR(MATCH(69,ChqRankL,0),0)=0,"",INDEX(ChqNorm,IFERROR(MATCH(69,ChqRankL,0),0)))</f>
        <v/>
      </c>
      <c r="C85" s="22">
        <f>IF(IFERROR(MATCH(69,ChqRankL,0),0)=0,"",INDEX(ChqNo,IFERROR(MATCH(69,ChqRankL,0),0)))</f>
        <v/>
      </c>
      <c r="D85" s="23">
        <f>IF(IFERROR(MATCH(69,ChqRankL,0),0)=0,"",IF(INDEX(ChqAmt,IFERROR(MATCH(69,ChqRankL,0),0))=0,"",INDEX(ChqAmt,IFERROR(MATCH(69,ChqRankL,0),0))))</f>
        <v/>
      </c>
      <c r="E85" s="14">
        <f>IF(IFERROR(MATCH(69,ChqRankL,0),0)=0,"",INDEX(ChqStatus,IFERROR(MATCH(69,ChqRankL,0),0)))</f>
        <v/>
      </c>
      <c r="F85" s="22">
        <f>IF(IFERROR(MATCH(69,ChqRankL,0),0)=0,"",IF(INDEX(ChqStatus,IFERROR(MATCH(69,ChqRankL,0),0))="پاس نشده","—",IF(INDEX(ChqClr,IFERROR(MATCH(69,ChqRankL,0),0))="","—",INDEX(ChqClr,IFERROR(MATCH(69,ChqRankL,0),0)))))</f>
        <v/>
      </c>
      <c r="I85">
        <f>IF(69&gt;NChq,"",INDEX(ChqNorm,69))</f>
        <v/>
      </c>
      <c r="J85">
        <f>IF($I85="","",IF(AND($I85&gt;=$H$3,$I85&lt;=$H$4),1,0))</f>
        <v/>
      </c>
      <c r="K85">
        <f>IF($J85=0,"",INDEX(ChqKey,69))</f>
        <v/>
      </c>
      <c r="L85">
        <f>IF($K85="","",COUNTIFS($J$17:$J$516,1,$K$17:$K$516,"&lt;"&amp;$K85)+1)</f>
        <v/>
      </c>
    </row>
    <row r="86">
      <c r="A86" s="16">
        <f>IF(IFERROR(MATCH(70,ChqRankL,0),0)=0,"",70)</f>
        <v/>
      </c>
      <c r="B86" s="24">
        <f>IF(IFERROR(MATCH(70,ChqRankL,0),0)=0,"",INDEX(ChqNorm,IFERROR(MATCH(70,ChqRankL,0),0)))</f>
        <v/>
      </c>
      <c r="C86" s="24">
        <f>IF(IFERROR(MATCH(70,ChqRankL,0),0)=0,"",INDEX(ChqNo,IFERROR(MATCH(70,ChqRankL,0),0)))</f>
        <v/>
      </c>
      <c r="D86" s="25">
        <f>IF(IFERROR(MATCH(70,ChqRankL,0),0)=0,"",IF(INDEX(ChqAmt,IFERROR(MATCH(70,ChqRankL,0),0))=0,"",INDEX(ChqAmt,IFERROR(MATCH(70,ChqRankL,0),0))))</f>
        <v/>
      </c>
      <c r="E86" s="17">
        <f>IF(IFERROR(MATCH(70,ChqRankL,0),0)=0,"",INDEX(ChqStatus,IFERROR(MATCH(70,ChqRankL,0),0)))</f>
        <v/>
      </c>
      <c r="F86" s="24">
        <f>IF(IFERROR(MATCH(70,ChqRankL,0),0)=0,"",IF(INDEX(ChqStatus,IFERROR(MATCH(70,ChqRankL,0),0))="پاس نشده","—",IF(INDEX(ChqClr,IFERROR(MATCH(70,ChqRankL,0),0))="","—",INDEX(ChqClr,IFERROR(MATCH(70,ChqRankL,0),0)))))</f>
        <v/>
      </c>
      <c r="I86">
        <f>IF(70&gt;NChq,"",INDEX(ChqNorm,70))</f>
        <v/>
      </c>
      <c r="J86">
        <f>IF($I86="","",IF(AND($I86&gt;=$H$3,$I86&lt;=$H$4),1,0))</f>
        <v/>
      </c>
      <c r="K86">
        <f>IF($J86=0,"",INDEX(ChqKey,70))</f>
        <v/>
      </c>
      <c r="L86">
        <f>IF($K86="","",COUNTIFS($J$17:$J$516,1,$K$17:$K$516,"&lt;"&amp;$K86)+1)</f>
        <v/>
      </c>
    </row>
    <row r="87">
      <c r="A87" s="10">
        <f>IF(IFERROR(MATCH(71,ChqRankL,0),0)=0,"",71)</f>
        <v/>
      </c>
      <c r="B87" s="22">
        <f>IF(IFERROR(MATCH(71,ChqRankL,0),0)=0,"",INDEX(ChqNorm,IFERROR(MATCH(71,ChqRankL,0),0)))</f>
        <v/>
      </c>
      <c r="C87" s="22">
        <f>IF(IFERROR(MATCH(71,ChqRankL,0),0)=0,"",INDEX(ChqNo,IFERROR(MATCH(71,ChqRankL,0),0)))</f>
        <v/>
      </c>
      <c r="D87" s="23">
        <f>IF(IFERROR(MATCH(71,ChqRankL,0),0)=0,"",IF(INDEX(ChqAmt,IFERROR(MATCH(71,ChqRankL,0),0))=0,"",INDEX(ChqAmt,IFERROR(MATCH(71,ChqRankL,0),0))))</f>
        <v/>
      </c>
      <c r="E87" s="14">
        <f>IF(IFERROR(MATCH(71,ChqRankL,0),0)=0,"",INDEX(ChqStatus,IFERROR(MATCH(71,ChqRankL,0),0)))</f>
        <v/>
      </c>
      <c r="F87" s="22">
        <f>IF(IFERROR(MATCH(71,ChqRankL,0),0)=0,"",IF(INDEX(ChqStatus,IFERROR(MATCH(71,ChqRankL,0),0))="پاس نشده","—",IF(INDEX(ChqClr,IFERROR(MATCH(71,ChqRankL,0),0))="","—",INDEX(ChqClr,IFERROR(MATCH(71,ChqRankL,0),0)))))</f>
        <v/>
      </c>
      <c r="I87">
        <f>IF(71&gt;NChq,"",INDEX(ChqNorm,71))</f>
        <v/>
      </c>
      <c r="J87">
        <f>IF($I87="","",IF(AND($I87&gt;=$H$3,$I87&lt;=$H$4),1,0))</f>
        <v/>
      </c>
      <c r="K87">
        <f>IF($J87=0,"",INDEX(ChqKey,71))</f>
        <v/>
      </c>
      <c r="L87">
        <f>IF($K87="","",COUNTIFS($J$17:$J$516,1,$K$17:$K$516,"&lt;"&amp;$K87)+1)</f>
        <v/>
      </c>
    </row>
    <row r="88">
      <c r="A88" s="16">
        <f>IF(IFERROR(MATCH(72,ChqRankL,0),0)=0,"",72)</f>
        <v/>
      </c>
      <c r="B88" s="24">
        <f>IF(IFERROR(MATCH(72,ChqRankL,0),0)=0,"",INDEX(ChqNorm,IFERROR(MATCH(72,ChqRankL,0),0)))</f>
        <v/>
      </c>
      <c r="C88" s="24">
        <f>IF(IFERROR(MATCH(72,ChqRankL,0),0)=0,"",INDEX(ChqNo,IFERROR(MATCH(72,ChqRankL,0),0)))</f>
        <v/>
      </c>
      <c r="D88" s="25">
        <f>IF(IFERROR(MATCH(72,ChqRankL,0),0)=0,"",IF(INDEX(ChqAmt,IFERROR(MATCH(72,ChqRankL,0),0))=0,"",INDEX(ChqAmt,IFERROR(MATCH(72,ChqRankL,0),0))))</f>
        <v/>
      </c>
      <c r="E88" s="17">
        <f>IF(IFERROR(MATCH(72,ChqRankL,0),0)=0,"",INDEX(ChqStatus,IFERROR(MATCH(72,ChqRankL,0),0)))</f>
        <v/>
      </c>
      <c r="F88" s="24">
        <f>IF(IFERROR(MATCH(72,ChqRankL,0),0)=0,"",IF(INDEX(ChqStatus,IFERROR(MATCH(72,ChqRankL,0),0))="پاس نشده","—",IF(INDEX(ChqClr,IFERROR(MATCH(72,ChqRankL,0),0))="","—",INDEX(ChqClr,IFERROR(MATCH(72,ChqRankL,0),0)))))</f>
        <v/>
      </c>
      <c r="I88">
        <f>IF(72&gt;NChq,"",INDEX(ChqNorm,72))</f>
        <v/>
      </c>
      <c r="J88">
        <f>IF($I88="","",IF(AND($I88&gt;=$H$3,$I88&lt;=$H$4),1,0))</f>
        <v/>
      </c>
      <c r="K88">
        <f>IF($J88=0,"",INDEX(ChqKey,72))</f>
        <v/>
      </c>
      <c r="L88">
        <f>IF($K88="","",COUNTIFS($J$17:$J$516,1,$K$17:$K$516,"&lt;"&amp;$K88)+1)</f>
        <v/>
      </c>
    </row>
    <row r="89">
      <c r="A89" s="10">
        <f>IF(IFERROR(MATCH(73,ChqRankL,0),0)=0,"",73)</f>
        <v/>
      </c>
      <c r="B89" s="22">
        <f>IF(IFERROR(MATCH(73,ChqRankL,0),0)=0,"",INDEX(ChqNorm,IFERROR(MATCH(73,ChqRankL,0),0)))</f>
        <v/>
      </c>
      <c r="C89" s="22">
        <f>IF(IFERROR(MATCH(73,ChqRankL,0),0)=0,"",INDEX(ChqNo,IFERROR(MATCH(73,ChqRankL,0),0)))</f>
        <v/>
      </c>
      <c r="D89" s="23">
        <f>IF(IFERROR(MATCH(73,ChqRankL,0),0)=0,"",IF(INDEX(ChqAmt,IFERROR(MATCH(73,ChqRankL,0),0))=0,"",INDEX(ChqAmt,IFERROR(MATCH(73,ChqRankL,0),0))))</f>
        <v/>
      </c>
      <c r="E89" s="14">
        <f>IF(IFERROR(MATCH(73,ChqRankL,0),0)=0,"",INDEX(ChqStatus,IFERROR(MATCH(73,ChqRankL,0),0)))</f>
        <v/>
      </c>
      <c r="F89" s="22">
        <f>IF(IFERROR(MATCH(73,ChqRankL,0),0)=0,"",IF(INDEX(ChqStatus,IFERROR(MATCH(73,ChqRankL,0),0))="پاس نشده","—",IF(INDEX(ChqClr,IFERROR(MATCH(73,ChqRankL,0),0))="","—",INDEX(ChqClr,IFERROR(MATCH(73,ChqRankL,0),0)))))</f>
        <v/>
      </c>
      <c r="I89">
        <f>IF(73&gt;NChq,"",INDEX(ChqNorm,73))</f>
        <v/>
      </c>
      <c r="J89">
        <f>IF($I89="","",IF(AND($I89&gt;=$H$3,$I89&lt;=$H$4),1,0))</f>
        <v/>
      </c>
      <c r="K89">
        <f>IF($J89=0,"",INDEX(ChqKey,73))</f>
        <v/>
      </c>
      <c r="L89">
        <f>IF($K89="","",COUNTIFS($J$17:$J$516,1,$K$17:$K$516,"&lt;"&amp;$K89)+1)</f>
        <v/>
      </c>
    </row>
    <row r="90">
      <c r="A90" s="16">
        <f>IF(IFERROR(MATCH(74,ChqRankL,0),0)=0,"",74)</f>
        <v/>
      </c>
      <c r="B90" s="24">
        <f>IF(IFERROR(MATCH(74,ChqRankL,0),0)=0,"",INDEX(ChqNorm,IFERROR(MATCH(74,ChqRankL,0),0)))</f>
        <v/>
      </c>
      <c r="C90" s="24">
        <f>IF(IFERROR(MATCH(74,ChqRankL,0),0)=0,"",INDEX(ChqNo,IFERROR(MATCH(74,ChqRankL,0),0)))</f>
        <v/>
      </c>
      <c r="D90" s="25">
        <f>IF(IFERROR(MATCH(74,ChqRankL,0),0)=0,"",IF(INDEX(ChqAmt,IFERROR(MATCH(74,ChqRankL,0),0))=0,"",INDEX(ChqAmt,IFERROR(MATCH(74,ChqRankL,0),0))))</f>
        <v/>
      </c>
      <c r="E90" s="17">
        <f>IF(IFERROR(MATCH(74,ChqRankL,0),0)=0,"",INDEX(ChqStatus,IFERROR(MATCH(74,ChqRankL,0),0)))</f>
        <v/>
      </c>
      <c r="F90" s="24">
        <f>IF(IFERROR(MATCH(74,ChqRankL,0),0)=0,"",IF(INDEX(ChqStatus,IFERROR(MATCH(74,ChqRankL,0),0))="پاس نشده","—",IF(INDEX(ChqClr,IFERROR(MATCH(74,ChqRankL,0),0))="","—",INDEX(ChqClr,IFERROR(MATCH(74,ChqRankL,0),0)))))</f>
        <v/>
      </c>
      <c r="I90">
        <f>IF(74&gt;NChq,"",INDEX(ChqNorm,74))</f>
        <v/>
      </c>
      <c r="J90">
        <f>IF($I90="","",IF(AND($I90&gt;=$H$3,$I90&lt;=$H$4),1,0))</f>
        <v/>
      </c>
      <c r="K90">
        <f>IF($J90=0,"",INDEX(ChqKey,74))</f>
        <v/>
      </c>
      <c r="L90">
        <f>IF($K90="","",COUNTIFS($J$17:$J$516,1,$K$17:$K$516,"&lt;"&amp;$K90)+1)</f>
        <v/>
      </c>
    </row>
    <row r="91">
      <c r="A91" s="10">
        <f>IF(IFERROR(MATCH(75,ChqRankL,0),0)=0,"",75)</f>
        <v/>
      </c>
      <c r="B91" s="22">
        <f>IF(IFERROR(MATCH(75,ChqRankL,0),0)=0,"",INDEX(ChqNorm,IFERROR(MATCH(75,ChqRankL,0),0)))</f>
        <v/>
      </c>
      <c r="C91" s="22">
        <f>IF(IFERROR(MATCH(75,ChqRankL,0),0)=0,"",INDEX(ChqNo,IFERROR(MATCH(75,ChqRankL,0),0)))</f>
        <v/>
      </c>
      <c r="D91" s="23">
        <f>IF(IFERROR(MATCH(75,ChqRankL,0),0)=0,"",IF(INDEX(ChqAmt,IFERROR(MATCH(75,ChqRankL,0),0))=0,"",INDEX(ChqAmt,IFERROR(MATCH(75,ChqRankL,0),0))))</f>
        <v/>
      </c>
      <c r="E91" s="14">
        <f>IF(IFERROR(MATCH(75,ChqRankL,0),0)=0,"",INDEX(ChqStatus,IFERROR(MATCH(75,ChqRankL,0),0)))</f>
        <v/>
      </c>
      <c r="F91" s="22">
        <f>IF(IFERROR(MATCH(75,ChqRankL,0),0)=0,"",IF(INDEX(ChqStatus,IFERROR(MATCH(75,ChqRankL,0),0))="پاس نشده","—",IF(INDEX(ChqClr,IFERROR(MATCH(75,ChqRankL,0),0))="","—",INDEX(ChqClr,IFERROR(MATCH(75,ChqRankL,0),0)))))</f>
        <v/>
      </c>
      <c r="I91">
        <f>IF(75&gt;NChq,"",INDEX(ChqNorm,75))</f>
        <v/>
      </c>
      <c r="J91">
        <f>IF($I91="","",IF(AND($I91&gt;=$H$3,$I91&lt;=$H$4),1,0))</f>
        <v/>
      </c>
      <c r="K91">
        <f>IF($J91=0,"",INDEX(ChqKey,75))</f>
        <v/>
      </c>
      <c r="L91">
        <f>IF($K91="","",COUNTIFS($J$17:$J$516,1,$K$17:$K$516,"&lt;"&amp;$K91)+1)</f>
        <v/>
      </c>
    </row>
    <row r="92">
      <c r="A92" s="16">
        <f>IF(IFERROR(MATCH(76,ChqRankL,0),0)=0,"",76)</f>
        <v/>
      </c>
      <c r="B92" s="24">
        <f>IF(IFERROR(MATCH(76,ChqRankL,0),0)=0,"",INDEX(ChqNorm,IFERROR(MATCH(76,ChqRankL,0),0)))</f>
        <v/>
      </c>
      <c r="C92" s="24">
        <f>IF(IFERROR(MATCH(76,ChqRankL,0),0)=0,"",INDEX(ChqNo,IFERROR(MATCH(76,ChqRankL,0),0)))</f>
        <v/>
      </c>
      <c r="D92" s="25">
        <f>IF(IFERROR(MATCH(76,ChqRankL,0),0)=0,"",IF(INDEX(ChqAmt,IFERROR(MATCH(76,ChqRankL,0),0))=0,"",INDEX(ChqAmt,IFERROR(MATCH(76,ChqRankL,0),0))))</f>
        <v/>
      </c>
      <c r="E92" s="17">
        <f>IF(IFERROR(MATCH(76,ChqRankL,0),0)=0,"",INDEX(ChqStatus,IFERROR(MATCH(76,ChqRankL,0),0)))</f>
        <v/>
      </c>
      <c r="F92" s="24">
        <f>IF(IFERROR(MATCH(76,ChqRankL,0),0)=0,"",IF(INDEX(ChqStatus,IFERROR(MATCH(76,ChqRankL,0),0))="پاس نشده","—",IF(INDEX(ChqClr,IFERROR(MATCH(76,ChqRankL,0),0))="","—",INDEX(ChqClr,IFERROR(MATCH(76,ChqRankL,0),0)))))</f>
        <v/>
      </c>
      <c r="I92">
        <f>IF(76&gt;NChq,"",INDEX(ChqNorm,76))</f>
        <v/>
      </c>
      <c r="J92">
        <f>IF($I92="","",IF(AND($I92&gt;=$H$3,$I92&lt;=$H$4),1,0))</f>
        <v/>
      </c>
      <c r="K92">
        <f>IF($J92=0,"",INDEX(ChqKey,76))</f>
        <v/>
      </c>
      <c r="L92">
        <f>IF($K92="","",COUNTIFS($J$17:$J$516,1,$K$17:$K$516,"&lt;"&amp;$K92)+1)</f>
        <v/>
      </c>
    </row>
    <row r="93">
      <c r="A93" s="10">
        <f>IF(IFERROR(MATCH(77,ChqRankL,0),0)=0,"",77)</f>
        <v/>
      </c>
      <c r="B93" s="22">
        <f>IF(IFERROR(MATCH(77,ChqRankL,0),0)=0,"",INDEX(ChqNorm,IFERROR(MATCH(77,ChqRankL,0),0)))</f>
        <v/>
      </c>
      <c r="C93" s="22">
        <f>IF(IFERROR(MATCH(77,ChqRankL,0),0)=0,"",INDEX(ChqNo,IFERROR(MATCH(77,ChqRankL,0),0)))</f>
        <v/>
      </c>
      <c r="D93" s="23">
        <f>IF(IFERROR(MATCH(77,ChqRankL,0),0)=0,"",IF(INDEX(ChqAmt,IFERROR(MATCH(77,ChqRankL,0),0))=0,"",INDEX(ChqAmt,IFERROR(MATCH(77,ChqRankL,0),0))))</f>
        <v/>
      </c>
      <c r="E93" s="14">
        <f>IF(IFERROR(MATCH(77,ChqRankL,0),0)=0,"",INDEX(ChqStatus,IFERROR(MATCH(77,ChqRankL,0),0)))</f>
        <v/>
      </c>
      <c r="F93" s="22">
        <f>IF(IFERROR(MATCH(77,ChqRankL,0),0)=0,"",IF(INDEX(ChqStatus,IFERROR(MATCH(77,ChqRankL,0),0))="پاس نشده","—",IF(INDEX(ChqClr,IFERROR(MATCH(77,ChqRankL,0),0))="","—",INDEX(ChqClr,IFERROR(MATCH(77,ChqRankL,0),0)))))</f>
        <v/>
      </c>
      <c r="I93">
        <f>IF(77&gt;NChq,"",INDEX(ChqNorm,77))</f>
        <v/>
      </c>
      <c r="J93">
        <f>IF($I93="","",IF(AND($I93&gt;=$H$3,$I93&lt;=$H$4),1,0))</f>
        <v/>
      </c>
      <c r="K93">
        <f>IF($J93=0,"",INDEX(ChqKey,77))</f>
        <v/>
      </c>
      <c r="L93">
        <f>IF($K93="","",COUNTIFS($J$17:$J$516,1,$K$17:$K$516,"&lt;"&amp;$K93)+1)</f>
        <v/>
      </c>
    </row>
    <row r="94">
      <c r="A94" s="16">
        <f>IF(IFERROR(MATCH(78,ChqRankL,0),0)=0,"",78)</f>
        <v/>
      </c>
      <c r="B94" s="24">
        <f>IF(IFERROR(MATCH(78,ChqRankL,0),0)=0,"",INDEX(ChqNorm,IFERROR(MATCH(78,ChqRankL,0),0)))</f>
        <v/>
      </c>
      <c r="C94" s="24">
        <f>IF(IFERROR(MATCH(78,ChqRankL,0),0)=0,"",INDEX(ChqNo,IFERROR(MATCH(78,ChqRankL,0),0)))</f>
        <v/>
      </c>
      <c r="D94" s="25">
        <f>IF(IFERROR(MATCH(78,ChqRankL,0),0)=0,"",IF(INDEX(ChqAmt,IFERROR(MATCH(78,ChqRankL,0),0))=0,"",INDEX(ChqAmt,IFERROR(MATCH(78,ChqRankL,0),0))))</f>
        <v/>
      </c>
      <c r="E94" s="17">
        <f>IF(IFERROR(MATCH(78,ChqRankL,0),0)=0,"",INDEX(ChqStatus,IFERROR(MATCH(78,ChqRankL,0),0)))</f>
        <v/>
      </c>
      <c r="F94" s="24">
        <f>IF(IFERROR(MATCH(78,ChqRankL,0),0)=0,"",IF(INDEX(ChqStatus,IFERROR(MATCH(78,ChqRankL,0),0))="پاس نشده","—",IF(INDEX(ChqClr,IFERROR(MATCH(78,ChqRankL,0),0))="","—",INDEX(ChqClr,IFERROR(MATCH(78,ChqRankL,0),0)))))</f>
        <v/>
      </c>
      <c r="I94">
        <f>IF(78&gt;NChq,"",INDEX(ChqNorm,78))</f>
        <v/>
      </c>
      <c r="J94">
        <f>IF($I94="","",IF(AND($I94&gt;=$H$3,$I94&lt;=$H$4),1,0))</f>
        <v/>
      </c>
      <c r="K94">
        <f>IF($J94=0,"",INDEX(ChqKey,78))</f>
        <v/>
      </c>
      <c r="L94">
        <f>IF($K94="","",COUNTIFS($J$17:$J$516,1,$K$17:$K$516,"&lt;"&amp;$K94)+1)</f>
        <v/>
      </c>
    </row>
    <row r="95">
      <c r="A95" s="10">
        <f>IF(IFERROR(MATCH(79,ChqRankL,0),0)=0,"",79)</f>
        <v/>
      </c>
      <c r="B95" s="22">
        <f>IF(IFERROR(MATCH(79,ChqRankL,0),0)=0,"",INDEX(ChqNorm,IFERROR(MATCH(79,ChqRankL,0),0)))</f>
        <v/>
      </c>
      <c r="C95" s="22">
        <f>IF(IFERROR(MATCH(79,ChqRankL,0),0)=0,"",INDEX(ChqNo,IFERROR(MATCH(79,ChqRankL,0),0)))</f>
        <v/>
      </c>
      <c r="D95" s="23">
        <f>IF(IFERROR(MATCH(79,ChqRankL,0),0)=0,"",IF(INDEX(ChqAmt,IFERROR(MATCH(79,ChqRankL,0),0))=0,"",INDEX(ChqAmt,IFERROR(MATCH(79,ChqRankL,0),0))))</f>
        <v/>
      </c>
      <c r="E95" s="14">
        <f>IF(IFERROR(MATCH(79,ChqRankL,0),0)=0,"",INDEX(ChqStatus,IFERROR(MATCH(79,ChqRankL,0),0)))</f>
        <v/>
      </c>
      <c r="F95" s="22">
        <f>IF(IFERROR(MATCH(79,ChqRankL,0),0)=0,"",IF(INDEX(ChqStatus,IFERROR(MATCH(79,ChqRankL,0),0))="پاس نشده","—",IF(INDEX(ChqClr,IFERROR(MATCH(79,ChqRankL,0),0))="","—",INDEX(ChqClr,IFERROR(MATCH(79,ChqRankL,0),0)))))</f>
        <v/>
      </c>
      <c r="I95">
        <f>IF(79&gt;NChq,"",INDEX(ChqNorm,79))</f>
        <v/>
      </c>
      <c r="J95">
        <f>IF($I95="","",IF(AND($I95&gt;=$H$3,$I95&lt;=$H$4),1,0))</f>
        <v/>
      </c>
      <c r="K95">
        <f>IF($J95=0,"",INDEX(ChqKey,79))</f>
        <v/>
      </c>
      <c r="L95">
        <f>IF($K95="","",COUNTIFS($J$17:$J$516,1,$K$17:$K$516,"&lt;"&amp;$K95)+1)</f>
        <v/>
      </c>
    </row>
    <row r="96">
      <c r="A96" s="16">
        <f>IF(IFERROR(MATCH(80,ChqRankL,0),0)=0,"",80)</f>
        <v/>
      </c>
      <c r="B96" s="24">
        <f>IF(IFERROR(MATCH(80,ChqRankL,0),0)=0,"",INDEX(ChqNorm,IFERROR(MATCH(80,ChqRankL,0),0)))</f>
        <v/>
      </c>
      <c r="C96" s="24">
        <f>IF(IFERROR(MATCH(80,ChqRankL,0),0)=0,"",INDEX(ChqNo,IFERROR(MATCH(80,ChqRankL,0),0)))</f>
        <v/>
      </c>
      <c r="D96" s="25">
        <f>IF(IFERROR(MATCH(80,ChqRankL,0),0)=0,"",IF(INDEX(ChqAmt,IFERROR(MATCH(80,ChqRankL,0),0))=0,"",INDEX(ChqAmt,IFERROR(MATCH(80,ChqRankL,0),0))))</f>
        <v/>
      </c>
      <c r="E96" s="17">
        <f>IF(IFERROR(MATCH(80,ChqRankL,0),0)=0,"",INDEX(ChqStatus,IFERROR(MATCH(80,ChqRankL,0),0)))</f>
        <v/>
      </c>
      <c r="F96" s="24">
        <f>IF(IFERROR(MATCH(80,ChqRankL,0),0)=0,"",IF(INDEX(ChqStatus,IFERROR(MATCH(80,ChqRankL,0),0))="پاس نشده","—",IF(INDEX(ChqClr,IFERROR(MATCH(80,ChqRankL,0),0))="","—",INDEX(ChqClr,IFERROR(MATCH(80,ChqRankL,0),0)))))</f>
        <v/>
      </c>
      <c r="I96">
        <f>IF(80&gt;NChq,"",INDEX(ChqNorm,80))</f>
        <v/>
      </c>
      <c r="J96">
        <f>IF($I96="","",IF(AND($I96&gt;=$H$3,$I96&lt;=$H$4),1,0))</f>
        <v/>
      </c>
      <c r="K96">
        <f>IF($J96=0,"",INDEX(ChqKey,80))</f>
        <v/>
      </c>
      <c r="L96">
        <f>IF($K96="","",COUNTIFS($J$17:$J$516,1,$K$17:$K$516,"&lt;"&amp;$K96)+1)</f>
        <v/>
      </c>
    </row>
    <row r="97">
      <c r="A97" s="10">
        <f>IF(IFERROR(MATCH(81,ChqRankL,0),0)=0,"",81)</f>
        <v/>
      </c>
      <c r="B97" s="22">
        <f>IF(IFERROR(MATCH(81,ChqRankL,0),0)=0,"",INDEX(ChqNorm,IFERROR(MATCH(81,ChqRankL,0),0)))</f>
        <v/>
      </c>
      <c r="C97" s="22">
        <f>IF(IFERROR(MATCH(81,ChqRankL,0),0)=0,"",INDEX(ChqNo,IFERROR(MATCH(81,ChqRankL,0),0)))</f>
        <v/>
      </c>
      <c r="D97" s="23">
        <f>IF(IFERROR(MATCH(81,ChqRankL,0),0)=0,"",IF(INDEX(ChqAmt,IFERROR(MATCH(81,ChqRankL,0),0))=0,"",INDEX(ChqAmt,IFERROR(MATCH(81,ChqRankL,0),0))))</f>
        <v/>
      </c>
      <c r="E97" s="14">
        <f>IF(IFERROR(MATCH(81,ChqRankL,0),0)=0,"",INDEX(ChqStatus,IFERROR(MATCH(81,ChqRankL,0),0)))</f>
        <v/>
      </c>
      <c r="F97" s="22">
        <f>IF(IFERROR(MATCH(81,ChqRankL,0),0)=0,"",IF(INDEX(ChqStatus,IFERROR(MATCH(81,ChqRankL,0),0))="پاس نشده","—",IF(INDEX(ChqClr,IFERROR(MATCH(81,ChqRankL,0),0))="","—",INDEX(ChqClr,IFERROR(MATCH(81,ChqRankL,0),0)))))</f>
        <v/>
      </c>
      <c r="I97">
        <f>IF(81&gt;NChq,"",INDEX(ChqNorm,81))</f>
        <v/>
      </c>
      <c r="J97">
        <f>IF($I97="","",IF(AND($I97&gt;=$H$3,$I97&lt;=$H$4),1,0))</f>
        <v/>
      </c>
      <c r="K97">
        <f>IF($J97=0,"",INDEX(ChqKey,81))</f>
        <v/>
      </c>
      <c r="L97">
        <f>IF($K97="","",COUNTIFS($J$17:$J$516,1,$K$17:$K$516,"&lt;"&amp;$K97)+1)</f>
        <v/>
      </c>
    </row>
    <row r="98">
      <c r="A98" s="16">
        <f>IF(IFERROR(MATCH(82,ChqRankL,0),0)=0,"",82)</f>
        <v/>
      </c>
      <c r="B98" s="24">
        <f>IF(IFERROR(MATCH(82,ChqRankL,0),0)=0,"",INDEX(ChqNorm,IFERROR(MATCH(82,ChqRankL,0),0)))</f>
        <v/>
      </c>
      <c r="C98" s="24">
        <f>IF(IFERROR(MATCH(82,ChqRankL,0),0)=0,"",INDEX(ChqNo,IFERROR(MATCH(82,ChqRankL,0),0)))</f>
        <v/>
      </c>
      <c r="D98" s="25">
        <f>IF(IFERROR(MATCH(82,ChqRankL,0),0)=0,"",IF(INDEX(ChqAmt,IFERROR(MATCH(82,ChqRankL,0),0))=0,"",INDEX(ChqAmt,IFERROR(MATCH(82,ChqRankL,0),0))))</f>
        <v/>
      </c>
      <c r="E98" s="17">
        <f>IF(IFERROR(MATCH(82,ChqRankL,0),0)=0,"",INDEX(ChqStatus,IFERROR(MATCH(82,ChqRankL,0),0)))</f>
        <v/>
      </c>
      <c r="F98" s="24">
        <f>IF(IFERROR(MATCH(82,ChqRankL,0),0)=0,"",IF(INDEX(ChqStatus,IFERROR(MATCH(82,ChqRankL,0),0))="پاس نشده","—",IF(INDEX(ChqClr,IFERROR(MATCH(82,ChqRankL,0),0))="","—",INDEX(ChqClr,IFERROR(MATCH(82,ChqRankL,0),0)))))</f>
        <v/>
      </c>
      <c r="I98">
        <f>IF(82&gt;NChq,"",INDEX(ChqNorm,82))</f>
        <v/>
      </c>
      <c r="J98">
        <f>IF($I98="","",IF(AND($I98&gt;=$H$3,$I98&lt;=$H$4),1,0))</f>
        <v/>
      </c>
      <c r="K98">
        <f>IF($J98=0,"",INDEX(ChqKey,82))</f>
        <v/>
      </c>
      <c r="L98">
        <f>IF($K98="","",COUNTIFS($J$17:$J$516,1,$K$17:$K$516,"&lt;"&amp;$K98)+1)</f>
        <v/>
      </c>
    </row>
    <row r="99">
      <c r="A99" s="10">
        <f>IF(IFERROR(MATCH(83,ChqRankL,0),0)=0,"",83)</f>
        <v/>
      </c>
      <c r="B99" s="22">
        <f>IF(IFERROR(MATCH(83,ChqRankL,0),0)=0,"",INDEX(ChqNorm,IFERROR(MATCH(83,ChqRankL,0),0)))</f>
        <v/>
      </c>
      <c r="C99" s="22">
        <f>IF(IFERROR(MATCH(83,ChqRankL,0),0)=0,"",INDEX(ChqNo,IFERROR(MATCH(83,ChqRankL,0),0)))</f>
        <v/>
      </c>
      <c r="D99" s="23">
        <f>IF(IFERROR(MATCH(83,ChqRankL,0),0)=0,"",IF(INDEX(ChqAmt,IFERROR(MATCH(83,ChqRankL,0),0))=0,"",INDEX(ChqAmt,IFERROR(MATCH(83,ChqRankL,0),0))))</f>
        <v/>
      </c>
      <c r="E99" s="14">
        <f>IF(IFERROR(MATCH(83,ChqRankL,0),0)=0,"",INDEX(ChqStatus,IFERROR(MATCH(83,ChqRankL,0),0)))</f>
        <v/>
      </c>
      <c r="F99" s="22">
        <f>IF(IFERROR(MATCH(83,ChqRankL,0),0)=0,"",IF(INDEX(ChqStatus,IFERROR(MATCH(83,ChqRankL,0),0))="پاس نشده","—",IF(INDEX(ChqClr,IFERROR(MATCH(83,ChqRankL,0),0))="","—",INDEX(ChqClr,IFERROR(MATCH(83,ChqRankL,0),0)))))</f>
        <v/>
      </c>
      <c r="I99">
        <f>IF(83&gt;NChq,"",INDEX(ChqNorm,83))</f>
        <v/>
      </c>
      <c r="J99">
        <f>IF($I99="","",IF(AND($I99&gt;=$H$3,$I99&lt;=$H$4),1,0))</f>
        <v/>
      </c>
      <c r="K99">
        <f>IF($J99=0,"",INDEX(ChqKey,83))</f>
        <v/>
      </c>
      <c r="L99">
        <f>IF($K99="","",COUNTIFS($J$17:$J$516,1,$K$17:$K$516,"&lt;"&amp;$K99)+1)</f>
        <v/>
      </c>
    </row>
    <row r="100">
      <c r="A100" s="16">
        <f>IF(IFERROR(MATCH(84,ChqRankL,0),0)=0,"",84)</f>
        <v/>
      </c>
      <c r="B100" s="24">
        <f>IF(IFERROR(MATCH(84,ChqRankL,0),0)=0,"",INDEX(ChqNorm,IFERROR(MATCH(84,ChqRankL,0),0)))</f>
        <v/>
      </c>
      <c r="C100" s="24">
        <f>IF(IFERROR(MATCH(84,ChqRankL,0),0)=0,"",INDEX(ChqNo,IFERROR(MATCH(84,ChqRankL,0),0)))</f>
        <v/>
      </c>
      <c r="D100" s="25">
        <f>IF(IFERROR(MATCH(84,ChqRankL,0),0)=0,"",IF(INDEX(ChqAmt,IFERROR(MATCH(84,ChqRankL,0),0))=0,"",INDEX(ChqAmt,IFERROR(MATCH(84,ChqRankL,0),0))))</f>
        <v/>
      </c>
      <c r="E100" s="17">
        <f>IF(IFERROR(MATCH(84,ChqRankL,0),0)=0,"",INDEX(ChqStatus,IFERROR(MATCH(84,ChqRankL,0),0)))</f>
        <v/>
      </c>
      <c r="F100" s="24">
        <f>IF(IFERROR(MATCH(84,ChqRankL,0),0)=0,"",IF(INDEX(ChqStatus,IFERROR(MATCH(84,ChqRankL,0),0))="پاس نشده","—",IF(INDEX(ChqClr,IFERROR(MATCH(84,ChqRankL,0),0))="","—",INDEX(ChqClr,IFERROR(MATCH(84,ChqRankL,0),0)))))</f>
        <v/>
      </c>
      <c r="I100">
        <f>IF(84&gt;NChq,"",INDEX(ChqNorm,84))</f>
        <v/>
      </c>
      <c r="J100">
        <f>IF($I100="","",IF(AND($I100&gt;=$H$3,$I100&lt;=$H$4),1,0))</f>
        <v/>
      </c>
      <c r="K100">
        <f>IF($J100=0,"",INDEX(ChqKey,84))</f>
        <v/>
      </c>
      <c r="L100">
        <f>IF($K100="","",COUNTIFS($J$17:$J$516,1,$K$17:$K$516,"&lt;"&amp;$K100)+1)</f>
        <v/>
      </c>
    </row>
    <row r="101">
      <c r="A101" s="10">
        <f>IF(IFERROR(MATCH(85,ChqRankL,0),0)=0,"",85)</f>
        <v/>
      </c>
      <c r="B101" s="22">
        <f>IF(IFERROR(MATCH(85,ChqRankL,0),0)=0,"",INDEX(ChqNorm,IFERROR(MATCH(85,ChqRankL,0),0)))</f>
        <v/>
      </c>
      <c r="C101" s="22">
        <f>IF(IFERROR(MATCH(85,ChqRankL,0),0)=0,"",INDEX(ChqNo,IFERROR(MATCH(85,ChqRankL,0),0)))</f>
        <v/>
      </c>
      <c r="D101" s="23">
        <f>IF(IFERROR(MATCH(85,ChqRankL,0),0)=0,"",IF(INDEX(ChqAmt,IFERROR(MATCH(85,ChqRankL,0),0))=0,"",INDEX(ChqAmt,IFERROR(MATCH(85,ChqRankL,0),0))))</f>
        <v/>
      </c>
      <c r="E101" s="14">
        <f>IF(IFERROR(MATCH(85,ChqRankL,0),0)=0,"",INDEX(ChqStatus,IFERROR(MATCH(85,ChqRankL,0),0)))</f>
        <v/>
      </c>
      <c r="F101" s="22">
        <f>IF(IFERROR(MATCH(85,ChqRankL,0),0)=0,"",IF(INDEX(ChqStatus,IFERROR(MATCH(85,ChqRankL,0),0))="پاس نشده","—",IF(INDEX(ChqClr,IFERROR(MATCH(85,ChqRankL,0),0))="","—",INDEX(ChqClr,IFERROR(MATCH(85,ChqRankL,0),0)))))</f>
        <v/>
      </c>
      <c r="I101">
        <f>IF(85&gt;NChq,"",INDEX(ChqNorm,85))</f>
        <v/>
      </c>
      <c r="J101">
        <f>IF($I101="","",IF(AND($I101&gt;=$H$3,$I101&lt;=$H$4),1,0))</f>
        <v/>
      </c>
      <c r="K101">
        <f>IF($J101=0,"",INDEX(ChqKey,85))</f>
        <v/>
      </c>
      <c r="L101">
        <f>IF($K101="","",COUNTIFS($J$17:$J$516,1,$K$17:$K$516,"&lt;"&amp;$K101)+1)</f>
        <v/>
      </c>
    </row>
    <row r="102">
      <c r="A102" s="16">
        <f>IF(IFERROR(MATCH(86,ChqRankL,0),0)=0,"",86)</f>
        <v/>
      </c>
      <c r="B102" s="24">
        <f>IF(IFERROR(MATCH(86,ChqRankL,0),0)=0,"",INDEX(ChqNorm,IFERROR(MATCH(86,ChqRankL,0),0)))</f>
        <v/>
      </c>
      <c r="C102" s="24">
        <f>IF(IFERROR(MATCH(86,ChqRankL,0),0)=0,"",INDEX(ChqNo,IFERROR(MATCH(86,ChqRankL,0),0)))</f>
        <v/>
      </c>
      <c r="D102" s="25">
        <f>IF(IFERROR(MATCH(86,ChqRankL,0),0)=0,"",IF(INDEX(ChqAmt,IFERROR(MATCH(86,ChqRankL,0),0))=0,"",INDEX(ChqAmt,IFERROR(MATCH(86,ChqRankL,0),0))))</f>
        <v/>
      </c>
      <c r="E102" s="17">
        <f>IF(IFERROR(MATCH(86,ChqRankL,0),0)=0,"",INDEX(ChqStatus,IFERROR(MATCH(86,ChqRankL,0),0)))</f>
        <v/>
      </c>
      <c r="F102" s="24">
        <f>IF(IFERROR(MATCH(86,ChqRankL,0),0)=0,"",IF(INDEX(ChqStatus,IFERROR(MATCH(86,ChqRankL,0),0))="پاس نشده","—",IF(INDEX(ChqClr,IFERROR(MATCH(86,ChqRankL,0),0))="","—",INDEX(ChqClr,IFERROR(MATCH(86,ChqRankL,0),0)))))</f>
        <v/>
      </c>
      <c r="I102">
        <f>IF(86&gt;NChq,"",INDEX(ChqNorm,86))</f>
        <v/>
      </c>
      <c r="J102">
        <f>IF($I102="","",IF(AND($I102&gt;=$H$3,$I102&lt;=$H$4),1,0))</f>
        <v/>
      </c>
      <c r="K102">
        <f>IF($J102=0,"",INDEX(ChqKey,86))</f>
        <v/>
      </c>
      <c r="L102">
        <f>IF($K102="","",COUNTIFS($J$17:$J$516,1,$K$17:$K$516,"&lt;"&amp;$K102)+1)</f>
        <v/>
      </c>
    </row>
    <row r="103">
      <c r="A103" s="10">
        <f>IF(IFERROR(MATCH(87,ChqRankL,0),0)=0,"",87)</f>
        <v/>
      </c>
      <c r="B103" s="22">
        <f>IF(IFERROR(MATCH(87,ChqRankL,0),0)=0,"",INDEX(ChqNorm,IFERROR(MATCH(87,ChqRankL,0),0)))</f>
        <v/>
      </c>
      <c r="C103" s="22">
        <f>IF(IFERROR(MATCH(87,ChqRankL,0),0)=0,"",INDEX(ChqNo,IFERROR(MATCH(87,ChqRankL,0),0)))</f>
        <v/>
      </c>
      <c r="D103" s="23">
        <f>IF(IFERROR(MATCH(87,ChqRankL,0),0)=0,"",IF(INDEX(ChqAmt,IFERROR(MATCH(87,ChqRankL,0),0))=0,"",INDEX(ChqAmt,IFERROR(MATCH(87,ChqRankL,0),0))))</f>
        <v/>
      </c>
      <c r="E103" s="14">
        <f>IF(IFERROR(MATCH(87,ChqRankL,0),0)=0,"",INDEX(ChqStatus,IFERROR(MATCH(87,ChqRankL,0),0)))</f>
        <v/>
      </c>
      <c r="F103" s="22">
        <f>IF(IFERROR(MATCH(87,ChqRankL,0),0)=0,"",IF(INDEX(ChqStatus,IFERROR(MATCH(87,ChqRankL,0),0))="پاس نشده","—",IF(INDEX(ChqClr,IFERROR(MATCH(87,ChqRankL,0),0))="","—",INDEX(ChqClr,IFERROR(MATCH(87,ChqRankL,0),0)))))</f>
        <v/>
      </c>
      <c r="I103">
        <f>IF(87&gt;NChq,"",INDEX(ChqNorm,87))</f>
        <v/>
      </c>
      <c r="J103">
        <f>IF($I103="","",IF(AND($I103&gt;=$H$3,$I103&lt;=$H$4),1,0))</f>
        <v/>
      </c>
      <c r="K103">
        <f>IF($J103=0,"",INDEX(ChqKey,87))</f>
        <v/>
      </c>
      <c r="L103">
        <f>IF($K103="","",COUNTIFS($J$17:$J$516,1,$K$17:$K$516,"&lt;"&amp;$K103)+1)</f>
        <v/>
      </c>
    </row>
    <row r="104">
      <c r="A104" s="16">
        <f>IF(IFERROR(MATCH(88,ChqRankL,0),0)=0,"",88)</f>
        <v/>
      </c>
      <c r="B104" s="24">
        <f>IF(IFERROR(MATCH(88,ChqRankL,0),0)=0,"",INDEX(ChqNorm,IFERROR(MATCH(88,ChqRankL,0),0)))</f>
        <v/>
      </c>
      <c r="C104" s="24">
        <f>IF(IFERROR(MATCH(88,ChqRankL,0),0)=0,"",INDEX(ChqNo,IFERROR(MATCH(88,ChqRankL,0),0)))</f>
        <v/>
      </c>
      <c r="D104" s="25">
        <f>IF(IFERROR(MATCH(88,ChqRankL,0),0)=0,"",IF(INDEX(ChqAmt,IFERROR(MATCH(88,ChqRankL,0),0))=0,"",INDEX(ChqAmt,IFERROR(MATCH(88,ChqRankL,0),0))))</f>
        <v/>
      </c>
      <c r="E104" s="17">
        <f>IF(IFERROR(MATCH(88,ChqRankL,0),0)=0,"",INDEX(ChqStatus,IFERROR(MATCH(88,ChqRankL,0),0)))</f>
        <v/>
      </c>
      <c r="F104" s="24">
        <f>IF(IFERROR(MATCH(88,ChqRankL,0),0)=0,"",IF(INDEX(ChqStatus,IFERROR(MATCH(88,ChqRankL,0),0))="پاس نشده","—",IF(INDEX(ChqClr,IFERROR(MATCH(88,ChqRankL,0),0))="","—",INDEX(ChqClr,IFERROR(MATCH(88,ChqRankL,0),0)))))</f>
        <v/>
      </c>
      <c r="I104">
        <f>IF(88&gt;NChq,"",INDEX(ChqNorm,88))</f>
        <v/>
      </c>
      <c r="J104">
        <f>IF($I104="","",IF(AND($I104&gt;=$H$3,$I104&lt;=$H$4),1,0))</f>
        <v/>
      </c>
      <c r="K104">
        <f>IF($J104=0,"",INDEX(ChqKey,88))</f>
        <v/>
      </c>
      <c r="L104">
        <f>IF($K104="","",COUNTIFS($J$17:$J$516,1,$K$17:$K$516,"&lt;"&amp;$K104)+1)</f>
        <v/>
      </c>
    </row>
    <row r="105">
      <c r="A105" s="10">
        <f>IF(IFERROR(MATCH(89,ChqRankL,0),0)=0,"",89)</f>
        <v/>
      </c>
      <c r="B105" s="22">
        <f>IF(IFERROR(MATCH(89,ChqRankL,0),0)=0,"",INDEX(ChqNorm,IFERROR(MATCH(89,ChqRankL,0),0)))</f>
        <v/>
      </c>
      <c r="C105" s="22">
        <f>IF(IFERROR(MATCH(89,ChqRankL,0),0)=0,"",INDEX(ChqNo,IFERROR(MATCH(89,ChqRankL,0),0)))</f>
        <v/>
      </c>
      <c r="D105" s="23">
        <f>IF(IFERROR(MATCH(89,ChqRankL,0),0)=0,"",IF(INDEX(ChqAmt,IFERROR(MATCH(89,ChqRankL,0),0))=0,"",INDEX(ChqAmt,IFERROR(MATCH(89,ChqRankL,0),0))))</f>
        <v/>
      </c>
      <c r="E105" s="14">
        <f>IF(IFERROR(MATCH(89,ChqRankL,0),0)=0,"",INDEX(ChqStatus,IFERROR(MATCH(89,ChqRankL,0),0)))</f>
        <v/>
      </c>
      <c r="F105" s="22">
        <f>IF(IFERROR(MATCH(89,ChqRankL,0),0)=0,"",IF(INDEX(ChqStatus,IFERROR(MATCH(89,ChqRankL,0),0))="پاس نشده","—",IF(INDEX(ChqClr,IFERROR(MATCH(89,ChqRankL,0),0))="","—",INDEX(ChqClr,IFERROR(MATCH(89,ChqRankL,0),0)))))</f>
        <v/>
      </c>
      <c r="I105">
        <f>IF(89&gt;NChq,"",INDEX(ChqNorm,89))</f>
        <v/>
      </c>
      <c r="J105">
        <f>IF($I105="","",IF(AND($I105&gt;=$H$3,$I105&lt;=$H$4),1,0))</f>
        <v/>
      </c>
      <c r="K105">
        <f>IF($J105=0,"",INDEX(ChqKey,89))</f>
        <v/>
      </c>
      <c r="L105">
        <f>IF($K105="","",COUNTIFS($J$17:$J$516,1,$K$17:$K$516,"&lt;"&amp;$K105)+1)</f>
        <v/>
      </c>
    </row>
    <row r="106">
      <c r="A106" s="16">
        <f>IF(IFERROR(MATCH(90,ChqRankL,0),0)=0,"",90)</f>
        <v/>
      </c>
      <c r="B106" s="24">
        <f>IF(IFERROR(MATCH(90,ChqRankL,0),0)=0,"",INDEX(ChqNorm,IFERROR(MATCH(90,ChqRankL,0),0)))</f>
        <v/>
      </c>
      <c r="C106" s="24">
        <f>IF(IFERROR(MATCH(90,ChqRankL,0),0)=0,"",INDEX(ChqNo,IFERROR(MATCH(90,ChqRankL,0),0)))</f>
        <v/>
      </c>
      <c r="D106" s="25">
        <f>IF(IFERROR(MATCH(90,ChqRankL,0),0)=0,"",IF(INDEX(ChqAmt,IFERROR(MATCH(90,ChqRankL,0),0))=0,"",INDEX(ChqAmt,IFERROR(MATCH(90,ChqRankL,0),0))))</f>
        <v/>
      </c>
      <c r="E106" s="17">
        <f>IF(IFERROR(MATCH(90,ChqRankL,0),0)=0,"",INDEX(ChqStatus,IFERROR(MATCH(90,ChqRankL,0),0)))</f>
        <v/>
      </c>
      <c r="F106" s="24">
        <f>IF(IFERROR(MATCH(90,ChqRankL,0),0)=0,"",IF(INDEX(ChqStatus,IFERROR(MATCH(90,ChqRankL,0),0))="پاس نشده","—",IF(INDEX(ChqClr,IFERROR(MATCH(90,ChqRankL,0),0))="","—",INDEX(ChqClr,IFERROR(MATCH(90,ChqRankL,0),0)))))</f>
        <v/>
      </c>
      <c r="I106">
        <f>IF(90&gt;NChq,"",INDEX(ChqNorm,90))</f>
        <v/>
      </c>
      <c r="J106">
        <f>IF($I106="","",IF(AND($I106&gt;=$H$3,$I106&lt;=$H$4),1,0))</f>
        <v/>
      </c>
      <c r="K106">
        <f>IF($J106=0,"",INDEX(ChqKey,90))</f>
        <v/>
      </c>
      <c r="L106">
        <f>IF($K106="","",COUNTIFS($J$17:$J$516,1,$K$17:$K$516,"&lt;"&amp;$K106)+1)</f>
        <v/>
      </c>
    </row>
    <row r="107">
      <c r="A107" s="10">
        <f>IF(IFERROR(MATCH(91,ChqRankL,0),0)=0,"",91)</f>
        <v/>
      </c>
      <c r="B107" s="22">
        <f>IF(IFERROR(MATCH(91,ChqRankL,0),0)=0,"",INDEX(ChqNorm,IFERROR(MATCH(91,ChqRankL,0),0)))</f>
        <v/>
      </c>
      <c r="C107" s="22">
        <f>IF(IFERROR(MATCH(91,ChqRankL,0),0)=0,"",INDEX(ChqNo,IFERROR(MATCH(91,ChqRankL,0),0)))</f>
        <v/>
      </c>
      <c r="D107" s="23">
        <f>IF(IFERROR(MATCH(91,ChqRankL,0),0)=0,"",IF(INDEX(ChqAmt,IFERROR(MATCH(91,ChqRankL,0),0))=0,"",INDEX(ChqAmt,IFERROR(MATCH(91,ChqRankL,0),0))))</f>
        <v/>
      </c>
      <c r="E107" s="14">
        <f>IF(IFERROR(MATCH(91,ChqRankL,0),0)=0,"",INDEX(ChqStatus,IFERROR(MATCH(91,ChqRankL,0),0)))</f>
        <v/>
      </c>
      <c r="F107" s="22">
        <f>IF(IFERROR(MATCH(91,ChqRankL,0),0)=0,"",IF(INDEX(ChqStatus,IFERROR(MATCH(91,ChqRankL,0),0))="پاس نشده","—",IF(INDEX(ChqClr,IFERROR(MATCH(91,ChqRankL,0),0))="","—",INDEX(ChqClr,IFERROR(MATCH(91,ChqRankL,0),0)))))</f>
        <v/>
      </c>
      <c r="I107">
        <f>IF(91&gt;NChq,"",INDEX(ChqNorm,91))</f>
        <v/>
      </c>
      <c r="J107">
        <f>IF($I107="","",IF(AND($I107&gt;=$H$3,$I107&lt;=$H$4),1,0))</f>
        <v/>
      </c>
      <c r="K107">
        <f>IF($J107=0,"",INDEX(ChqKey,91))</f>
        <v/>
      </c>
      <c r="L107">
        <f>IF($K107="","",COUNTIFS($J$17:$J$516,1,$K$17:$K$516,"&lt;"&amp;$K107)+1)</f>
        <v/>
      </c>
    </row>
    <row r="108">
      <c r="A108" s="16">
        <f>IF(IFERROR(MATCH(92,ChqRankL,0),0)=0,"",92)</f>
        <v/>
      </c>
      <c r="B108" s="24">
        <f>IF(IFERROR(MATCH(92,ChqRankL,0),0)=0,"",INDEX(ChqNorm,IFERROR(MATCH(92,ChqRankL,0),0)))</f>
        <v/>
      </c>
      <c r="C108" s="24">
        <f>IF(IFERROR(MATCH(92,ChqRankL,0),0)=0,"",INDEX(ChqNo,IFERROR(MATCH(92,ChqRankL,0),0)))</f>
        <v/>
      </c>
      <c r="D108" s="25">
        <f>IF(IFERROR(MATCH(92,ChqRankL,0),0)=0,"",IF(INDEX(ChqAmt,IFERROR(MATCH(92,ChqRankL,0),0))=0,"",INDEX(ChqAmt,IFERROR(MATCH(92,ChqRankL,0),0))))</f>
        <v/>
      </c>
      <c r="E108" s="17">
        <f>IF(IFERROR(MATCH(92,ChqRankL,0),0)=0,"",INDEX(ChqStatus,IFERROR(MATCH(92,ChqRankL,0),0)))</f>
        <v/>
      </c>
      <c r="F108" s="24">
        <f>IF(IFERROR(MATCH(92,ChqRankL,0),0)=0,"",IF(INDEX(ChqStatus,IFERROR(MATCH(92,ChqRankL,0),0))="پاس نشده","—",IF(INDEX(ChqClr,IFERROR(MATCH(92,ChqRankL,0),0))="","—",INDEX(ChqClr,IFERROR(MATCH(92,ChqRankL,0),0)))))</f>
        <v/>
      </c>
      <c r="I108">
        <f>IF(92&gt;NChq,"",INDEX(ChqNorm,92))</f>
        <v/>
      </c>
      <c r="J108">
        <f>IF($I108="","",IF(AND($I108&gt;=$H$3,$I108&lt;=$H$4),1,0))</f>
        <v/>
      </c>
      <c r="K108">
        <f>IF($J108=0,"",INDEX(ChqKey,92))</f>
        <v/>
      </c>
      <c r="L108">
        <f>IF($K108="","",COUNTIFS($J$17:$J$516,1,$K$17:$K$516,"&lt;"&amp;$K108)+1)</f>
        <v/>
      </c>
    </row>
    <row r="109">
      <c r="A109" s="10">
        <f>IF(IFERROR(MATCH(93,ChqRankL,0),0)=0,"",93)</f>
        <v/>
      </c>
      <c r="B109" s="22">
        <f>IF(IFERROR(MATCH(93,ChqRankL,0),0)=0,"",INDEX(ChqNorm,IFERROR(MATCH(93,ChqRankL,0),0)))</f>
        <v/>
      </c>
      <c r="C109" s="22">
        <f>IF(IFERROR(MATCH(93,ChqRankL,0),0)=0,"",INDEX(ChqNo,IFERROR(MATCH(93,ChqRankL,0),0)))</f>
        <v/>
      </c>
      <c r="D109" s="23">
        <f>IF(IFERROR(MATCH(93,ChqRankL,0),0)=0,"",IF(INDEX(ChqAmt,IFERROR(MATCH(93,ChqRankL,0),0))=0,"",INDEX(ChqAmt,IFERROR(MATCH(93,ChqRankL,0),0))))</f>
        <v/>
      </c>
      <c r="E109" s="14">
        <f>IF(IFERROR(MATCH(93,ChqRankL,0),0)=0,"",INDEX(ChqStatus,IFERROR(MATCH(93,ChqRankL,0),0)))</f>
        <v/>
      </c>
      <c r="F109" s="22">
        <f>IF(IFERROR(MATCH(93,ChqRankL,0),0)=0,"",IF(INDEX(ChqStatus,IFERROR(MATCH(93,ChqRankL,0),0))="پاس نشده","—",IF(INDEX(ChqClr,IFERROR(MATCH(93,ChqRankL,0),0))="","—",INDEX(ChqClr,IFERROR(MATCH(93,ChqRankL,0),0)))))</f>
        <v/>
      </c>
      <c r="I109">
        <f>IF(93&gt;NChq,"",INDEX(ChqNorm,93))</f>
        <v/>
      </c>
      <c r="J109">
        <f>IF($I109="","",IF(AND($I109&gt;=$H$3,$I109&lt;=$H$4),1,0))</f>
        <v/>
      </c>
      <c r="K109">
        <f>IF($J109=0,"",INDEX(ChqKey,93))</f>
        <v/>
      </c>
      <c r="L109">
        <f>IF($K109="","",COUNTIFS($J$17:$J$516,1,$K$17:$K$516,"&lt;"&amp;$K109)+1)</f>
        <v/>
      </c>
    </row>
    <row r="110">
      <c r="A110" s="16">
        <f>IF(IFERROR(MATCH(94,ChqRankL,0),0)=0,"",94)</f>
        <v/>
      </c>
      <c r="B110" s="24">
        <f>IF(IFERROR(MATCH(94,ChqRankL,0),0)=0,"",INDEX(ChqNorm,IFERROR(MATCH(94,ChqRankL,0),0)))</f>
        <v/>
      </c>
      <c r="C110" s="24">
        <f>IF(IFERROR(MATCH(94,ChqRankL,0),0)=0,"",INDEX(ChqNo,IFERROR(MATCH(94,ChqRankL,0),0)))</f>
        <v/>
      </c>
      <c r="D110" s="25">
        <f>IF(IFERROR(MATCH(94,ChqRankL,0),0)=0,"",IF(INDEX(ChqAmt,IFERROR(MATCH(94,ChqRankL,0),0))=0,"",INDEX(ChqAmt,IFERROR(MATCH(94,ChqRankL,0),0))))</f>
        <v/>
      </c>
      <c r="E110" s="17">
        <f>IF(IFERROR(MATCH(94,ChqRankL,0),0)=0,"",INDEX(ChqStatus,IFERROR(MATCH(94,ChqRankL,0),0)))</f>
        <v/>
      </c>
      <c r="F110" s="24">
        <f>IF(IFERROR(MATCH(94,ChqRankL,0),0)=0,"",IF(INDEX(ChqStatus,IFERROR(MATCH(94,ChqRankL,0),0))="پاس نشده","—",IF(INDEX(ChqClr,IFERROR(MATCH(94,ChqRankL,0),0))="","—",INDEX(ChqClr,IFERROR(MATCH(94,ChqRankL,0),0)))))</f>
        <v/>
      </c>
      <c r="I110">
        <f>IF(94&gt;NChq,"",INDEX(ChqNorm,94))</f>
        <v/>
      </c>
      <c r="J110">
        <f>IF($I110="","",IF(AND($I110&gt;=$H$3,$I110&lt;=$H$4),1,0))</f>
        <v/>
      </c>
      <c r="K110">
        <f>IF($J110=0,"",INDEX(ChqKey,94))</f>
        <v/>
      </c>
      <c r="L110">
        <f>IF($K110="","",COUNTIFS($J$17:$J$516,1,$K$17:$K$516,"&lt;"&amp;$K110)+1)</f>
        <v/>
      </c>
    </row>
    <row r="111">
      <c r="A111" s="10">
        <f>IF(IFERROR(MATCH(95,ChqRankL,0),0)=0,"",95)</f>
        <v/>
      </c>
      <c r="B111" s="22">
        <f>IF(IFERROR(MATCH(95,ChqRankL,0),0)=0,"",INDEX(ChqNorm,IFERROR(MATCH(95,ChqRankL,0),0)))</f>
        <v/>
      </c>
      <c r="C111" s="22">
        <f>IF(IFERROR(MATCH(95,ChqRankL,0),0)=0,"",INDEX(ChqNo,IFERROR(MATCH(95,ChqRankL,0),0)))</f>
        <v/>
      </c>
      <c r="D111" s="23">
        <f>IF(IFERROR(MATCH(95,ChqRankL,0),0)=0,"",IF(INDEX(ChqAmt,IFERROR(MATCH(95,ChqRankL,0),0))=0,"",INDEX(ChqAmt,IFERROR(MATCH(95,ChqRankL,0),0))))</f>
        <v/>
      </c>
      <c r="E111" s="14">
        <f>IF(IFERROR(MATCH(95,ChqRankL,0),0)=0,"",INDEX(ChqStatus,IFERROR(MATCH(95,ChqRankL,0),0)))</f>
        <v/>
      </c>
      <c r="F111" s="22">
        <f>IF(IFERROR(MATCH(95,ChqRankL,0),0)=0,"",IF(INDEX(ChqStatus,IFERROR(MATCH(95,ChqRankL,0),0))="پاس نشده","—",IF(INDEX(ChqClr,IFERROR(MATCH(95,ChqRankL,0),0))="","—",INDEX(ChqClr,IFERROR(MATCH(95,ChqRankL,0),0)))))</f>
        <v/>
      </c>
      <c r="I111">
        <f>IF(95&gt;NChq,"",INDEX(ChqNorm,95))</f>
        <v/>
      </c>
      <c r="J111">
        <f>IF($I111="","",IF(AND($I111&gt;=$H$3,$I111&lt;=$H$4),1,0))</f>
        <v/>
      </c>
      <c r="K111">
        <f>IF($J111=0,"",INDEX(ChqKey,95))</f>
        <v/>
      </c>
      <c r="L111">
        <f>IF($K111="","",COUNTIFS($J$17:$J$516,1,$K$17:$K$516,"&lt;"&amp;$K111)+1)</f>
        <v/>
      </c>
    </row>
    <row r="112">
      <c r="A112" s="16">
        <f>IF(IFERROR(MATCH(96,ChqRankL,0),0)=0,"",96)</f>
        <v/>
      </c>
      <c r="B112" s="24">
        <f>IF(IFERROR(MATCH(96,ChqRankL,0),0)=0,"",INDEX(ChqNorm,IFERROR(MATCH(96,ChqRankL,0),0)))</f>
        <v/>
      </c>
      <c r="C112" s="24">
        <f>IF(IFERROR(MATCH(96,ChqRankL,0),0)=0,"",INDEX(ChqNo,IFERROR(MATCH(96,ChqRankL,0),0)))</f>
        <v/>
      </c>
      <c r="D112" s="25">
        <f>IF(IFERROR(MATCH(96,ChqRankL,0),0)=0,"",IF(INDEX(ChqAmt,IFERROR(MATCH(96,ChqRankL,0),0))=0,"",INDEX(ChqAmt,IFERROR(MATCH(96,ChqRankL,0),0))))</f>
        <v/>
      </c>
      <c r="E112" s="17">
        <f>IF(IFERROR(MATCH(96,ChqRankL,0),0)=0,"",INDEX(ChqStatus,IFERROR(MATCH(96,ChqRankL,0),0)))</f>
        <v/>
      </c>
      <c r="F112" s="24">
        <f>IF(IFERROR(MATCH(96,ChqRankL,0),0)=0,"",IF(INDEX(ChqStatus,IFERROR(MATCH(96,ChqRankL,0),0))="پاس نشده","—",IF(INDEX(ChqClr,IFERROR(MATCH(96,ChqRankL,0),0))="","—",INDEX(ChqClr,IFERROR(MATCH(96,ChqRankL,0),0)))))</f>
        <v/>
      </c>
      <c r="I112">
        <f>IF(96&gt;NChq,"",INDEX(ChqNorm,96))</f>
        <v/>
      </c>
      <c r="J112">
        <f>IF($I112="","",IF(AND($I112&gt;=$H$3,$I112&lt;=$H$4),1,0))</f>
        <v/>
      </c>
      <c r="K112">
        <f>IF($J112=0,"",INDEX(ChqKey,96))</f>
        <v/>
      </c>
      <c r="L112">
        <f>IF($K112="","",COUNTIFS($J$17:$J$516,1,$K$17:$K$516,"&lt;"&amp;$K112)+1)</f>
        <v/>
      </c>
    </row>
    <row r="113">
      <c r="A113" s="10">
        <f>IF(IFERROR(MATCH(97,ChqRankL,0),0)=0,"",97)</f>
        <v/>
      </c>
      <c r="B113" s="22">
        <f>IF(IFERROR(MATCH(97,ChqRankL,0),0)=0,"",INDEX(ChqNorm,IFERROR(MATCH(97,ChqRankL,0),0)))</f>
        <v/>
      </c>
      <c r="C113" s="22">
        <f>IF(IFERROR(MATCH(97,ChqRankL,0),0)=0,"",INDEX(ChqNo,IFERROR(MATCH(97,ChqRankL,0),0)))</f>
        <v/>
      </c>
      <c r="D113" s="23">
        <f>IF(IFERROR(MATCH(97,ChqRankL,0),0)=0,"",IF(INDEX(ChqAmt,IFERROR(MATCH(97,ChqRankL,0),0))=0,"",INDEX(ChqAmt,IFERROR(MATCH(97,ChqRankL,0),0))))</f>
        <v/>
      </c>
      <c r="E113" s="14">
        <f>IF(IFERROR(MATCH(97,ChqRankL,0),0)=0,"",INDEX(ChqStatus,IFERROR(MATCH(97,ChqRankL,0),0)))</f>
        <v/>
      </c>
      <c r="F113" s="22">
        <f>IF(IFERROR(MATCH(97,ChqRankL,0),0)=0,"",IF(INDEX(ChqStatus,IFERROR(MATCH(97,ChqRankL,0),0))="پاس نشده","—",IF(INDEX(ChqClr,IFERROR(MATCH(97,ChqRankL,0),0))="","—",INDEX(ChqClr,IFERROR(MATCH(97,ChqRankL,0),0)))))</f>
        <v/>
      </c>
      <c r="I113">
        <f>IF(97&gt;NChq,"",INDEX(ChqNorm,97))</f>
        <v/>
      </c>
      <c r="J113">
        <f>IF($I113="","",IF(AND($I113&gt;=$H$3,$I113&lt;=$H$4),1,0))</f>
        <v/>
      </c>
      <c r="K113">
        <f>IF($J113=0,"",INDEX(ChqKey,97))</f>
        <v/>
      </c>
      <c r="L113">
        <f>IF($K113="","",COUNTIFS($J$17:$J$516,1,$K$17:$K$516,"&lt;"&amp;$K113)+1)</f>
        <v/>
      </c>
    </row>
    <row r="114">
      <c r="A114" s="16">
        <f>IF(IFERROR(MATCH(98,ChqRankL,0),0)=0,"",98)</f>
        <v/>
      </c>
      <c r="B114" s="24">
        <f>IF(IFERROR(MATCH(98,ChqRankL,0),0)=0,"",INDEX(ChqNorm,IFERROR(MATCH(98,ChqRankL,0),0)))</f>
        <v/>
      </c>
      <c r="C114" s="24">
        <f>IF(IFERROR(MATCH(98,ChqRankL,0),0)=0,"",INDEX(ChqNo,IFERROR(MATCH(98,ChqRankL,0),0)))</f>
        <v/>
      </c>
      <c r="D114" s="25">
        <f>IF(IFERROR(MATCH(98,ChqRankL,0),0)=0,"",IF(INDEX(ChqAmt,IFERROR(MATCH(98,ChqRankL,0),0))=0,"",INDEX(ChqAmt,IFERROR(MATCH(98,ChqRankL,0),0))))</f>
        <v/>
      </c>
      <c r="E114" s="17">
        <f>IF(IFERROR(MATCH(98,ChqRankL,0),0)=0,"",INDEX(ChqStatus,IFERROR(MATCH(98,ChqRankL,0),0)))</f>
        <v/>
      </c>
      <c r="F114" s="24">
        <f>IF(IFERROR(MATCH(98,ChqRankL,0),0)=0,"",IF(INDEX(ChqStatus,IFERROR(MATCH(98,ChqRankL,0),0))="پاس نشده","—",IF(INDEX(ChqClr,IFERROR(MATCH(98,ChqRankL,0),0))="","—",INDEX(ChqClr,IFERROR(MATCH(98,ChqRankL,0),0)))))</f>
        <v/>
      </c>
      <c r="I114">
        <f>IF(98&gt;NChq,"",INDEX(ChqNorm,98))</f>
        <v/>
      </c>
      <c r="J114">
        <f>IF($I114="","",IF(AND($I114&gt;=$H$3,$I114&lt;=$H$4),1,0))</f>
        <v/>
      </c>
      <c r="K114">
        <f>IF($J114=0,"",INDEX(ChqKey,98))</f>
        <v/>
      </c>
      <c r="L114">
        <f>IF($K114="","",COUNTIFS($J$17:$J$516,1,$K$17:$K$516,"&lt;"&amp;$K114)+1)</f>
        <v/>
      </c>
    </row>
    <row r="115">
      <c r="A115" s="10">
        <f>IF(IFERROR(MATCH(99,ChqRankL,0),0)=0,"",99)</f>
        <v/>
      </c>
      <c r="B115" s="22">
        <f>IF(IFERROR(MATCH(99,ChqRankL,0),0)=0,"",INDEX(ChqNorm,IFERROR(MATCH(99,ChqRankL,0),0)))</f>
        <v/>
      </c>
      <c r="C115" s="22">
        <f>IF(IFERROR(MATCH(99,ChqRankL,0),0)=0,"",INDEX(ChqNo,IFERROR(MATCH(99,ChqRankL,0),0)))</f>
        <v/>
      </c>
      <c r="D115" s="23">
        <f>IF(IFERROR(MATCH(99,ChqRankL,0),0)=0,"",IF(INDEX(ChqAmt,IFERROR(MATCH(99,ChqRankL,0),0))=0,"",INDEX(ChqAmt,IFERROR(MATCH(99,ChqRankL,0),0))))</f>
        <v/>
      </c>
      <c r="E115" s="14">
        <f>IF(IFERROR(MATCH(99,ChqRankL,0),0)=0,"",INDEX(ChqStatus,IFERROR(MATCH(99,ChqRankL,0),0)))</f>
        <v/>
      </c>
      <c r="F115" s="22">
        <f>IF(IFERROR(MATCH(99,ChqRankL,0),0)=0,"",IF(INDEX(ChqStatus,IFERROR(MATCH(99,ChqRankL,0),0))="پاس نشده","—",IF(INDEX(ChqClr,IFERROR(MATCH(99,ChqRankL,0),0))="","—",INDEX(ChqClr,IFERROR(MATCH(99,ChqRankL,0),0)))))</f>
        <v/>
      </c>
      <c r="I115">
        <f>IF(99&gt;NChq,"",INDEX(ChqNorm,99))</f>
        <v/>
      </c>
      <c r="J115">
        <f>IF($I115="","",IF(AND($I115&gt;=$H$3,$I115&lt;=$H$4),1,0))</f>
        <v/>
      </c>
      <c r="K115">
        <f>IF($J115=0,"",INDEX(ChqKey,99))</f>
        <v/>
      </c>
      <c r="L115">
        <f>IF($K115="","",COUNTIFS($J$17:$J$516,1,$K$17:$K$516,"&lt;"&amp;$K115)+1)</f>
        <v/>
      </c>
    </row>
    <row r="116">
      <c r="A116" s="16">
        <f>IF(IFERROR(MATCH(100,ChqRankL,0),0)=0,"",100)</f>
        <v/>
      </c>
      <c r="B116" s="24">
        <f>IF(IFERROR(MATCH(100,ChqRankL,0),0)=0,"",INDEX(ChqNorm,IFERROR(MATCH(100,ChqRankL,0),0)))</f>
        <v/>
      </c>
      <c r="C116" s="24">
        <f>IF(IFERROR(MATCH(100,ChqRankL,0),0)=0,"",INDEX(ChqNo,IFERROR(MATCH(100,ChqRankL,0),0)))</f>
        <v/>
      </c>
      <c r="D116" s="25">
        <f>IF(IFERROR(MATCH(100,ChqRankL,0),0)=0,"",IF(INDEX(ChqAmt,IFERROR(MATCH(100,ChqRankL,0),0))=0,"",INDEX(ChqAmt,IFERROR(MATCH(100,ChqRankL,0),0))))</f>
        <v/>
      </c>
      <c r="E116" s="17">
        <f>IF(IFERROR(MATCH(100,ChqRankL,0),0)=0,"",INDEX(ChqStatus,IFERROR(MATCH(100,ChqRankL,0),0)))</f>
        <v/>
      </c>
      <c r="F116" s="24">
        <f>IF(IFERROR(MATCH(100,ChqRankL,0),0)=0,"",IF(INDEX(ChqStatus,IFERROR(MATCH(100,ChqRankL,0),0))="پاس نشده","—",IF(INDEX(ChqClr,IFERROR(MATCH(100,ChqRankL,0),0))="","—",INDEX(ChqClr,IFERROR(MATCH(100,ChqRankL,0),0)))))</f>
        <v/>
      </c>
      <c r="I116">
        <f>IF(100&gt;NChq,"",INDEX(ChqNorm,100))</f>
        <v/>
      </c>
      <c r="J116">
        <f>IF($I116="","",IF(AND($I116&gt;=$H$3,$I116&lt;=$H$4),1,0))</f>
        <v/>
      </c>
      <c r="K116">
        <f>IF($J116=0,"",INDEX(ChqKey,100))</f>
        <v/>
      </c>
      <c r="L116">
        <f>IF($K116="","",COUNTIFS($J$17:$J$516,1,$K$17:$K$516,"&lt;"&amp;$K116)+1)</f>
        <v/>
      </c>
    </row>
    <row r="117">
      <c r="A117" s="10">
        <f>IF(IFERROR(MATCH(101,ChqRankL,0),0)=0,"",101)</f>
        <v/>
      </c>
      <c r="B117" s="22">
        <f>IF(IFERROR(MATCH(101,ChqRankL,0),0)=0,"",INDEX(ChqNorm,IFERROR(MATCH(101,ChqRankL,0),0)))</f>
        <v/>
      </c>
      <c r="C117" s="22">
        <f>IF(IFERROR(MATCH(101,ChqRankL,0),0)=0,"",INDEX(ChqNo,IFERROR(MATCH(101,ChqRankL,0),0)))</f>
        <v/>
      </c>
      <c r="D117" s="23">
        <f>IF(IFERROR(MATCH(101,ChqRankL,0),0)=0,"",IF(INDEX(ChqAmt,IFERROR(MATCH(101,ChqRankL,0),0))=0,"",INDEX(ChqAmt,IFERROR(MATCH(101,ChqRankL,0),0))))</f>
        <v/>
      </c>
      <c r="E117" s="14">
        <f>IF(IFERROR(MATCH(101,ChqRankL,0),0)=0,"",INDEX(ChqStatus,IFERROR(MATCH(101,ChqRankL,0),0)))</f>
        <v/>
      </c>
      <c r="F117" s="22">
        <f>IF(IFERROR(MATCH(101,ChqRankL,0),0)=0,"",IF(INDEX(ChqStatus,IFERROR(MATCH(101,ChqRankL,0),0))="پاس نشده","—",IF(INDEX(ChqClr,IFERROR(MATCH(101,ChqRankL,0),0))="","—",INDEX(ChqClr,IFERROR(MATCH(101,ChqRankL,0),0)))))</f>
        <v/>
      </c>
      <c r="I117">
        <f>IF(101&gt;NChq,"",INDEX(ChqNorm,101))</f>
        <v/>
      </c>
      <c r="J117">
        <f>IF($I117="","",IF(AND($I117&gt;=$H$3,$I117&lt;=$H$4),1,0))</f>
        <v/>
      </c>
      <c r="K117">
        <f>IF($J117=0,"",INDEX(ChqKey,101))</f>
        <v/>
      </c>
      <c r="L117">
        <f>IF($K117="","",COUNTIFS($J$17:$J$516,1,$K$17:$K$516,"&lt;"&amp;$K117)+1)</f>
        <v/>
      </c>
    </row>
    <row r="118">
      <c r="A118" s="16">
        <f>IF(IFERROR(MATCH(102,ChqRankL,0),0)=0,"",102)</f>
        <v/>
      </c>
      <c r="B118" s="24">
        <f>IF(IFERROR(MATCH(102,ChqRankL,0),0)=0,"",INDEX(ChqNorm,IFERROR(MATCH(102,ChqRankL,0),0)))</f>
        <v/>
      </c>
      <c r="C118" s="24">
        <f>IF(IFERROR(MATCH(102,ChqRankL,0),0)=0,"",INDEX(ChqNo,IFERROR(MATCH(102,ChqRankL,0),0)))</f>
        <v/>
      </c>
      <c r="D118" s="25">
        <f>IF(IFERROR(MATCH(102,ChqRankL,0),0)=0,"",IF(INDEX(ChqAmt,IFERROR(MATCH(102,ChqRankL,0),0))=0,"",INDEX(ChqAmt,IFERROR(MATCH(102,ChqRankL,0),0))))</f>
        <v/>
      </c>
      <c r="E118" s="17">
        <f>IF(IFERROR(MATCH(102,ChqRankL,0),0)=0,"",INDEX(ChqStatus,IFERROR(MATCH(102,ChqRankL,0),0)))</f>
        <v/>
      </c>
      <c r="F118" s="24">
        <f>IF(IFERROR(MATCH(102,ChqRankL,0),0)=0,"",IF(INDEX(ChqStatus,IFERROR(MATCH(102,ChqRankL,0),0))="پاس نشده","—",IF(INDEX(ChqClr,IFERROR(MATCH(102,ChqRankL,0),0))="","—",INDEX(ChqClr,IFERROR(MATCH(102,ChqRankL,0),0)))))</f>
        <v/>
      </c>
      <c r="I118">
        <f>IF(102&gt;NChq,"",INDEX(ChqNorm,102))</f>
        <v/>
      </c>
      <c r="J118">
        <f>IF($I118="","",IF(AND($I118&gt;=$H$3,$I118&lt;=$H$4),1,0))</f>
        <v/>
      </c>
      <c r="K118">
        <f>IF($J118=0,"",INDEX(ChqKey,102))</f>
        <v/>
      </c>
      <c r="L118">
        <f>IF($K118="","",COUNTIFS($J$17:$J$516,1,$K$17:$K$516,"&lt;"&amp;$K118)+1)</f>
        <v/>
      </c>
    </row>
    <row r="119">
      <c r="A119" s="10">
        <f>IF(IFERROR(MATCH(103,ChqRankL,0),0)=0,"",103)</f>
        <v/>
      </c>
      <c r="B119" s="22">
        <f>IF(IFERROR(MATCH(103,ChqRankL,0),0)=0,"",INDEX(ChqNorm,IFERROR(MATCH(103,ChqRankL,0),0)))</f>
        <v/>
      </c>
      <c r="C119" s="22">
        <f>IF(IFERROR(MATCH(103,ChqRankL,0),0)=0,"",INDEX(ChqNo,IFERROR(MATCH(103,ChqRankL,0),0)))</f>
        <v/>
      </c>
      <c r="D119" s="23">
        <f>IF(IFERROR(MATCH(103,ChqRankL,0),0)=0,"",IF(INDEX(ChqAmt,IFERROR(MATCH(103,ChqRankL,0),0))=0,"",INDEX(ChqAmt,IFERROR(MATCH(103,ChqRankL,0),0))))</f>
        <v/>
      </c>
      <c r="E119" s="14">
        <f>IF(IFERROR(MATCH(103,ChqRankL,0),0)=0,"",INDEX(ChqStatus,IFERROR(MATCH(103,ChqRankL,0),0)))</f>
        <v/>
      </c>
      <c r="F119" s="22">
        <f>IF(IFERROR(MATCH(103,ChqRankL,0),0)=0,"",IF(INDEX(ChqStatus,IFERROR(MATCH(103,ChqRankL,0),0))="پاس نشده","—",IF(INDEX(ChqClr,IFERROR(MATCH(103,ChqRankL,0),0))="","—",INDEX(ChqClr,IFERROR(MATCH(103,ChqRankL,0),0)))))</f>
        <v/>
      </c>
      <c r="I119">
        <f>IF(103&gt;NChq,"",INDEX(ChqNorm,103))</f>
        <v/>
      </c>
      <c r="J119">
        <f>IF($I119="","",IF(AND($I119&gt;=$H$3,$I119&lt;=$H$4),1,0))</f>
        <v/>
      </c>
      <c r="K119">
        <f>IF($J119=0,"",INDEX(ChqKey,103))</f>
        <v/>
      </c>
      <c r="L119">
        <f>IF($K119="","",COUNTIFS($J$17:$J$516,1,$K$17:$K$516,"&lt;"&amp;$K119)+1)</f>
        <v/>
      </c>
    </row>
    <row r="120">
      <c r="A120" s="16">
        <f>IF(IFERROR(MATCH(104,ChqRankL,0),0)=0,"",104)</f>
        <v/>
      </c>
      <c r="B120" s="24">
        <f>IF(IFERROR(MATCH(104,ChqRankL,0),0)=0,"",INDEX(ChqNorm,IFERROR(MATCH(104,ChqRankL,0),0)))</f>
        <v/>
      </c>
      <c r="C120" s="24">
        <f>IF(IFERROR(MATCH(104,ChqRankL,0),0)=0,"",INDEX(ChqNo,IFERROR(MATCH(104,ChqRankL,0),0)))</f>
        <v/>
      </c>
      <c r="D120" s="25">
        <f>IF(IFERROR(MATCH(104,ChqRankL,0),0)=0,"",IF(INDEX(ChqAmt,IFERROR(MATCH(104,ChqRankL,0),0))=0,"",INDEX(ChqAmt,IFERROR(MATCH(104,ChqRankL,0),0))))</f>
        <v/>
      </c>
      <c r="E120" s="17">
        <f>IF(IFERROR(MATCH(104,ChqRankL,0),0)=0,"",INDEX(ChqStatus,IFERROR(MATCH(104,ChqRankL,0),0)))</f>
        <v/>
      </c>
      <c r="F120" s="24">
        <f>IF(IFERROR(MATCH(104,ChqRankL,0),0)=0,"",IF(INDEX(ChqStatus,IFERROR(MATCH(104,ChqRankL,0),0))="پاس نشده","—",IF(INDEX(ChqClr,IFERROR(MATCH(104,ChqRankL,0),0))="","—",INDEX(ChqClr,IFERROR(MATCH(104,ChqRankL,0),0)))))</f>
        <v/>
      </c>
      <c r="I120">
        <f>IF(104&gt;NChq,"",INDEX(ChqNorm,104))</f>
        <v/>
      </c>
      <c r="J120">
        <f>IF($I120="","",IF(AND($I120&gt;=$H$3,$I120&lt;=$H$4),1,0))</f>
        <v/>
      </c>
      <c r="K120">
        <f>IF($J120=0,"",INDEX(ChqKey,104))</f>
        <v/>
      </c>
      <c r="L120">
        <f>IF($K120="","",COUNTIFS($J$17:$J$516,1,$K$17:$K$516,"&lt;"&amp;$K120)+1)</f>
        <v/>
      </c>
    </row>
    <row r="121">
      <c r="A121" s="10">
        <f>IF(IFERROR(MATCH(105,ChqRankL,0),0)=0,"",105)</f>
        <v/>
      </c>
      <c r="B121" s="22">
        <f>IF(IFERROR(MATCH(105,ChqRankL,0),0)=0,"",INDEX(ChqNorm,IFERROR(MATCH(105,ChqRankL,0),0)))</f>
        <v/>
      </c>
      <c r="C121" s="22">
        <f>IF(IFERROR(MATCH(105,ChqRankL,0),0)=0,"",INDEX(ChqNo,IFERROR(MATCH(105,ChqRankL,0),0)))</f>
        <v/>
      </c>
      <c r="D121" s="23">
        <f>IF(IFERROR(MATCH(105,ChqRankL,0),0)=0,"",IF(INDEX(ChqAmt,IFERROR(MATCH(105,ChqRankL,0),0))=0,"",INDEX(ChqAmt,IFERROR(MATCH(105,ChqRankL,0),0))))</f>
        <v/>
      </c>
      <c r="E121" s="14">
        <f>IF(IFERROR(MATCH(105,ChqRankL,0),0)=0,"",INDEX(ChqStatus,IFERROR(MATCH(105,ChqRankL,0),0)))</f>
        <v/>
      </c>
      <c r="F121" s="22">
        <f>IF(IFERROR(MATCH(105,ChqRankL,0),0)=0,"",IF(INDEX(ChqStatus,IFERROR(MATCH(105,ChqRankL,0),0))="پاس نشده","—",IF(INDEX(ChqClr,IFERROR(MATCH(105,ChqRankL,0),0))="","—",INDEX(ChqClr,IFERROR(MATCH(105,ChqRankL,0),0)))))</f>
        <v/>
      </c>
      <c r="I121">
        <f>IF(105&gt;NChq,"",INDEX(ChqNorm,105))</f>
        <v/>
      </c>
      <c r="J121">
        <f>IF($I121="","",IF(AND($I121&gt;=$H$3,$I121&lt;=$H$4),1,0))</f>
        <v/>
      </c>
      <c r="K121">
        <f>IF($J121=0,"",INDEX(ChqKey,105))</f>
        <v/>
      </c>
      <c r="L121">
        <f>IF($K121="","",COUNTIFS($J$17:$J$516,1,$K$17:$K$516,"&lt;"&amp;$K121)+1)</f>
        <v/>
      </c>
    </row>
    <row r="122">
      <c r="A122" s="16">
        <f>IF(IFERROR(MATCH(106,ChqRankL,0),0)=0,"",106)</f>
        <v/>
      </c>
      <c r="B122" s="24">
        <f>IF(IFERROR(MATCH(106,ChqRankL,0),0)=0,"",INDEX(ChqNorm,IFERROR(MATCH(106,ChqRankL,0),0)))</f>
        <v/>
      </c>
      <c r="C122" s="24">
        <f>IF(IFERROR(MATCH(106,ChqRankL,0),0)=0,"",INDEX(ChqNo,IFERROR(MATCH(106,ChqRankL,0),0)))</f>
        <v/>
      </c>
      <c r="D122" s="25">
        <f>IF(IFERROR(MATCH(106,ChqRankL,0),0)=0,"",IF(INDEX(ChqAmt,IFERROR(MATCH(106,ChqRankL,0),0))=0,"",INDEX(ChqAmt,IFERROR(MATCH(106,ChqRankL,0),0))))</f>
        <v/>
      </c>
      <c r="E122" s="17">
        <f>IF(IFERROR(MATCH(106,ChqRankL,0),0)=0,"",INDEX(ChqStatus,IFERROR(MATCH(106,ChqRankL,0),0)))</f>
        <v/>
      </c>
      <c r="F122" s="24">
        <f>IF(IFERROR(MATCH(106,ChqRankL,0),0)=0,"",IF(INDEX(ChqStatus,IFERROR(MATCH(106,ChqRankL,0),0))="پاس نشده","—",IF(INDEX(ChqClr,IFERROR(MATCH(106,ChqRankL,0),0))="","—",INDEX(ChqClr,IFERROR(MATCH(106,ChqRankL,0),0)))))</f>
        <v/>
      </c>
      <c r="I122">
        <f>IF(106&gt;NChq,"",INDEX(ChqNorm,106))</f>
        <v/>
      </c>
      <c r="J122">
        <f>IF($I122="","",IF(AND($I122&gt;=$H$3,$I122&lt;=$H$4),1,0))</f>
        <v/>
      </c>
      <c r="K122">
        <f>IF($J122=0,"",INDEX(ChqKey,106))</f>
        <v/>
      </c>
      <c r="L122">
        <f>IF($K122="","",COUNTIFS($J$17:$J$516,1,$K$17:$K$516,"&lt;"&amp;$K122)+1)</f>
        <v/>
      </c>
    </row>
    <row r="123">
      <c r="A123" s="10">
        <f>IF(IFERROR(MATCH(107,ChqRankL,0),0)=0,"",107)</f>
        <v/>
      </c>
      <c r="B123" s="22">
        <f>IF(IFERROR(MATCH(107,ChqRankL,0),0)=0,"",INDEX(ChqNorm,IFERROR(MATCH(107,ChqRankL,0),0)))</f>
        <v/>
      </c>
      <c r="C123" s="22">
        <f>IF(IFERROR(MATCH(107,ChqRankL,0),0)=0,"",INDEX(ChqNo,IFERROR(MATCH(107,ChqRankL,0),0)))</f>
        <v/>
      </c>
      <c r="D123" s="23">
        <f>IF(IFERROR(MATCH(107,ChqRankL,0),0)=0,"",IF(INDEX(ChqAmt,IFERROR(MATCH(107,ChqRankL,0),0))=0,"",INDEX(ChqAmt,IFERROR(MATCH(107,ChqRankL,0),0))))</f>
        <v/>
      </c>
      <c r="E123" s="14">
        <f>IF(IFERROR(MATCH(107,ChqRankL,0),0)=0,"",INDEX(ChqStatus,IFERROR(MATCH(107,ChqRankL,0),0)))</f>
        <v/>
      </c>
      <c r="F123" s="22">
        <f>IF(IFERROR(MATCH(107,ChqRankL,0),0)=0,"",IF(INDEX(ChqStatus,IFERROR(MATCH(107,ChqRankL,0),0))="پاس نشده","—",IF(INDEX(ChqClr,IFERROR(MATCH(107,ChqRankL,0),0))="","—",INDEX(ChqClr,IFERROR(MATCH(107,ChqRankL,0),0)))))</f>
        <v/>
      </c>
      <c r="I123">
        <f>IF(107&gt;NChq,"",INDEX(ChqNorm,107))</f>
        <v/>
      </c>
      <c r="J123">
        <f>IF($I123="","",IF(AND($I123&gt;=$H$3,$I123&lt;=$H$4),1,0))</f>
        <v/>
      </c>
      <c r="K123">
        <f>IF($J123=0,"",INDEX(ChqKey,107))</f>
        <v/>
      </c>
      <c r="L123">
        <f>IF($K123="","",COUNTIFS($J$17:$J$516,1,$K$17:$K$516,"&lt;"&amp;$K123)+1)</f>
        <v/>
      </c>
    </row>
    <row r="124">
      <c r="A124" s="16">
        <f>IF(IFERROR(MATCH(108,ChqRankL,0),0)=0,"",108)</f>
        <v/>
      </c>
      <c r="B124" s="24">
        <f>IF(IFERROR(MATCH(108,ChqRankL,0),0)=0,"",INDEX(ChqNorm,IFERROR(MATCH(108,ChqRankL,0),0)))</f>
        <v/>
      </c>
      <c r="C124" s="24">
        <f>IF(IFERROR(MATCH(108,ChqRankL,0),0)=0,"",INDEX(ChqNo,IFERROR(MATCH(108,ChqRankL,0),0)))</f>
        <v/>
      </c>
      <c r="D124" s="25">
        <f>IF(IFERROR(MATCH(108,ChqRankL,0),0)=0,"",IF(INDEX(ChqAmt,IFERROR(MATCH(108,ChqRankL,0),0))=0,"",INDEX(ChqAmt,IFERROR(MATCH(108,ChqRankL,0),0))))</f>
        <v/>
      </c>
      <c r="E124" s="17">
        <f>IF(IFERROR(MATCH(108,ChqRankL,0),0)=0,"",INDEX(ChqStatus,IFERROR(MATCH(108,ChqRankL,0),0)))</f>
        <v/>
      </c>
      <c r="F124" s="24">
        <f>IF(IFERROR(MATCH(108,ChqRankL,0),0)=0,"",IF(INDEX(ChqStatus,IFERROR(MATCH(108,ChqRankL,0),0))="پاس نشده","—",IF(INDEX(ChqClr,IFERROR(MATCH(108,ChqRankL,0),0))="","—",INDEX(ChqClr,IFERROR(MATCH(108,ChqRankL,0),0)))))</f>
        <v/>
      </c>
      <c r="I124">
        <f>IF(108&gt;NChq,"",INDEX(ChqNorm,108))</f>
        <v/>
      </c>
      <c r="J124">
        <f>IF($I124="","",IF(AND($I124&gt;=$H$3,$I124&lt;=$H$4),1,0))</f>
        <v/>
      </c>
      <c r="K124">
        <f>IF($J124=0,"",INDEX(ChqKey,108))</f>
        <v/>
      </c>
      <c r="L124">
        <f>IF($K124="","",COUNTIFS($J$17:$J$516,1,$K$17:$K$516,"&lt;"&amp;$K124)+1)</f>
        <v/>
      </c>
    </row>
    <row r="125">
      <c r="A125" s="10">
        <f>IF(IFERROR(MATCH(109,ChqRankL,0),0)=0,"",109)</f>
        <v/>
      </c>
      <c r="B125" s="22">
        <f>IF(IFERROR(MATCH(109,ChqRankL,0),0)=0,"",INDEX(ChqNorm,IFERROR(MATCH(109,ChqRankL,0),0)))</f>
        <v/>
      </c>
      <c r="C125" s="22">
        <f>IF(IFERROR(MATCH(109,ChqRankL,0),0)=0,"",INDEX(ChqNo,IFERROR(MATCH(109,ChqRankL,0),0)))</f>
        <v/>
      </c>
      <c r="D125" s="23">
        <f>IF(IFERROR(MATCH(109,ChqRankL,0),0)=0,"",IF(INDEX(ChqAmt,IFERROR(MATCH(109,ChqRankL,0),0))=0,"",INDEX(ChqAmt,IFERROR(MATCH(109,ChqRankL,0),0))))</f>
        <v/>
      </c>
      <c r="E125" s="14">
        <f>IF(IFERROR(MATCH(109,ChqRankL,0),0)=0,"",INDEX(ChqStatus,IFERROR(MATCH(109,ChqRankL,0),0)))</f>
        <v/>
      </c>
      <c r="F125" s="22">
        <f>IF(IFERROR(MATCH(109,ChqRankL,0),0)=0,"",IF(INDEX(ChqStatus,IFERROR(MATCH(109,ChqRankL,0),0))="پاس نشده","—",IF(INDEX(ChqClr,IFERROR(MATCH(109,ChqRankL,0),0))="","—",INDEX(ChqClr,IFERROR(MATCH(109,ChqRankL,0),0)))))</f>
        <v/>
      </c>
      <c r="I125">
        <f>IF(109&gt;NChq,"",INDEX(ChqNorm,109))</f>
        <v/>
      </c>
      <c r="J125">
        <f>IF($I125="","",IF(AND($I125&gt;=$H$3,$I125&lt;=$H$4),1,0))</f>
        <v/>
      </c>
      <c r="K125">
        <f>IF($J125=0,"",INDEX(ChqKey,109))</f>
        <v/>
      </c>
      <c r="L125">
        <f>IF($K125="","",COUNTIFS($J$17:$J$516,1,$K$17:$K$516,"&lt;"&amp;$K125)+1)</f>
        <v/>
      </c>
    </row>
    <row r="126">
      <c r="A126" s="16">
        <f>IF(IFERROR(MATCH(110,ChqRankL,0),0)=0,"",110)</f>
        <v/>
      </c>
      <c r="B126" s="24">
        <f>IF(IFERROR(MATCH(110,ChqRankL,0),0)=0,"",INDEX(ChqNorm,IFERROR(MATCH(110,ChqRankL,0),0)))</f>
        <v/>
      </c>
      <c r="C126" s="24">
        <f>IF(IFERROR(MATCH(110,ChqRankL,0),0)=0,"",INDEX(ChqNo,IFERROR(MATCH(110,ChqRankL,0),0)))</f>
        <v/>
      </c>
      <c r="D126" s="25">
        <f>IF(IFERROR(MATCH(110,ChqRankL,0),0)=0,"",IF(INDEX(ChqAmt,IFERROR(MATCH(110,ChqRankL,0),0))=0,"",INDEX(ChqAmt,IFERROR(MATCH(110,ChqRankL,0),0))))</f>
        <v/>
      </c>
      <c r="E126" s="17">
        <f>IF(IFERROR(MATCH(110,ChqRankL,0),0)=0,"",INDEX(ChqStatus,IFERROR(MATCH(110,ChqRankL,0),0)))</f>
        <v/>
      </c>
      <c r="F126" s="24">
        <f>IF(IFERROR(MATCH(110,ChqRankL,0),0)=0,"",IF(INDEX(ChqStatus,IFERROR(MATCH(110,ChqRankL,0),0))="پاس نشده","—",IF(INDEX(ChqClr,IFERROR(MATCH(110,ChqRankL,0),0))="","—",INDEX(ChqClr,IFERROR(MATCH(110,ChqRankL,0),0)))))</f>
        <v/>
      </c>
      <c r="I126">
        <f>IF(110&gt;NChq,"",INDEX(ChqNorm,110))</f>
        <v/>
      </c>
      <c r="J126">
        <f>IF($I126="","",IF(AND($I126&gt;=$H$3,$I126&lt;=$H$4),1,0))</f>
        <v/>
      </c>
      <c r="K126">
        <f>IF($J126=0,"",INDEX(ChqKey,110))</f>
        <v/>
      </c>
      <c r="L126">
        <f>IF($K126="","",COUNTIFS($J$17:$J$516,1,$K$17:$K$516,"&lt;"&amp;$K126)+1)</f>
        <v/>
      </c>
    </row>
    <row r="127">
      <c r="A127" s="10">
        <f>IF(IFERROR(MATCH(111,ChqRankL,0),0)=0,"",111)</f>
        <v/>
      </c>
      <c r="B127" s="22">
        <f>IF(IFERROR(MATCH(111,ChqRankL,0),0)=0,"",INDEX(ChqNorm,IFERROR(MATCH(111,ChqRankL,0),0)))</f>
        <v/>
      </c>
      <c r="C127" s="22">
        <f>IF(IFERROR(MATCH(111,ChqRankL,0),0)=0,"",INDEX(ChqNo,IFERROR(MATCH(111,ChqRankL,0),0)))</f>
        <v/>
      </c>
      <c r="D127" s="23">
        <f>IF(IFERROR(MATCH(111,ChqRankL,0),0)=0,"",IF(INDEX(ChqAmt,IFERROR(MATCH(111,ChqRankL,0),0))=0,"",INDEX(ChqAmt,IFERROR(MATCH(111,ChqRankL,0),0))))</f>
        <v/>
      </c>
      <c r="E127" s="14">
        <f>IF(IFERROR(MATCH(111,ChqRankL,0),0)=0,"",INDEX(ChqStatus,IFERROR(MATCH(111,ChqRankL,0),0)))</f>
        <v/>
      </c>
      <c r="F127" s="22">
        <f>IF(IFERROR(MATCH(111,ChqRankL,0),0)=0,"",IF(INDEX(ChqStatus,IFERROR(MATCH(111,ChqRankL,0),0))="پاس نشده","—",IF(INDEX(ChqClr,IFERROR(MATCH(111,ChqRankL,0),0))="","—",INDEX(ChqClr,IFERROR(MATCH(111,ChqRankL,0),0)))))</f>
        <v/>
      </c>
      <c r="I127">
        <f>IF(111&gt;NChq,"",INDEX(ChqNorm,111))</f>
        <v/>
      </c>
      <c r="J127">
        <f>IF($I127="","",IF(AND($I127&gt;=$H$3,$I127&lt;=$H$4),1,0))</f>
        <v/>
      </c>
      <c r="K127">
        <f>IF($J127=0,"",INDEX(ChqKey,111))</f>
        <v/>
      </c>
      <c r="L127">
        <f>IF($K127="","",COUNTIFS($J$17:$J$516,1,$K$17:$K$516,"&lt;"&amp;$K127)+1)</f>
        <v/>
      </c>
    </row>
    <row r="128">
      <c r="A128" s="16">
        <f>IF(IFERROR(MATCH(112,ChqRankL,0),0)=0,"",112)</f>
        <v/>
      </c>
      <c r="B128" s="24">
        <f>IF(IFERROR(MATCH(112,ChqRankL,0),0)=0,"",INDEX(ChqNorm,IFERROR(MATCH(112,ChqRankL,0),0)))</f>
        <v/>
      </c>
      <c r="C128" s="24">
        <f>IF(IFERROR(MATCH(112,ChqRankL,0),0)=0,"",INDEX(ChqNo,IFERROR(MATCH(112,ChqRankL,0),0)))</f>
        <v/>
      </c>
      <c r="D128" s="25">
        <f>IF(IFERROR(MATCH(112,ChqRankL,0),0)=0,"",IF(INDEX(ChqAmt,IFERROR(MATCH(112,ChqRankL,0),0))=0,"",INDEX(ChqAmt,IFERROR(MATCH(112,ChqRankL,0),0))))</f>
        <v/>
      </c>
      <c r="E128" s="17">
        <f>IF(IFERROR(MATCH(112,ChqRankL,0),0)=0,"",INDEX(ChqStatus,IFERROR(MATCH(112,ChqRankL,0),0)))</f>
        <v/>
      </c>
      <c r="F128" s="24">
        <f>IF(IFERROR(MATCH(112,ChqRankL,0),0)=0,"",IF(INDEX(ChqStatus,IFERROR(MATCH(112,ChqRankL,0),0))="پاس نشده","—",IF(INDEX(ChqClr,IFERROR(MATCH(112,ChqRankL,0),0))="","—",INDEX(ChqClr,IFERROR(MATCH(112,ChqRankL,0),0)))))</f>
        <v/>
      </c>
      <c r="I128">
        <f>IF(112&gt;NChq,"",INDEX(ChqNorm,112))</f>
        <v/>
      </c>
      <c r="J128">
        <f>IF($I128="","",IF(AND($I128&gt;=$H$3,$I128&lt;=$H$4),1,0))</f>
        <v/>
      </c>
      <c r="K128">
        <f>IF($J128=0,"",INDEX(ChqKey,112))</f>
        <v/>
      </c>
      <c r="L128">
        <f>IF($K128="","",COUNTIFS($J$17:$J$516,1,$K$17:$K$516,"&lt;"&amp;$K128)+1)</f>
        <v/>
      </c>
    </row>
    <row r="129">
      <c r="A129" s="10">
        <f>IF(IFERROR(MATCH(113,ChqRankL,0),0)=0,"",113)</f>
        <v/>
      </c>
      <c r="B129" s="22">
        <f>IF(IFERROR(MATCH(113,ChqRankL,0),0)=0,"",INDEX(ChqNorm,IFERROR(MATCH(113,ChqRankL,0),0)))</f>
        <v/>
      </c>
      <c r="C129" s="22">
        <f>IF(IFERROR(MATCH(113,ChqRankL,0),0)=0,"",INDEX(ChqNo,IFERROR(MATCH(113,ChqRankL,0),0)))</f>
        <v/>
      </c>
      <c r="D129" s="23">
        <f>IF(IFERROR(MATCH(113,ChqRankL,0),0)=0,"",IF(INDEX(ChqAmt,IFERROR(MATCH(113,ChqRankL,0),0))=0,"",INDEX(ChqAmt,IFERROR(MATCH(113,ChqRankL,0),0))))</f>
        <v/>
      </c>
      <c r="E129" s="14">
        <f>IF(IFERROR(MATCH(113,ChqRankL,0),0)=0,"",INDEX(ChqStatus,IFERROR(MATCH(113,ChqRankL,0),0)))</f>
        <v/>
      </c>
      <c r="F129" s="22">
        <f>IF(IFERROR(MATCH(113,ChqRankL,0),0)=0,"",IF(INDEX(ChqStatus,IFERROR(MATCH(113,ChqRankL,0),0))="پاس نشده","—",IF(INDEX(ChqClr,IFERROR(MATCH(113,ChqRankL,0),0))="","—",INDEX(ChqClr,IFERROR(MATCH(113,ChqRankL,0),0)))))</f>
        <v/>
      </c>
      <c r="I129">
        <f>IF(113&gt;NChq,"",INDEX(ChqNorm,113))</f>
        <v/>
      </c>
      <c r="J129">
        <f>IF($I129="","",IF(AND($I129&gt;=$H$3,$I129&lt;=$H$4),1,0))</f>
        <v/>
      </c>
      <c r="K129">
        <f>IF($J129=0,"",INDEX(ChqKey,113))</f>
        <v/>
      </c>
      <c r="L129">
        <f>IF($K129="","",COUNTIFS($J$17:$J$516,1,$K$17:$K$516,"&lt;"&amp;$K129)+1)</f>
        <v/>
      </c>
    </row>
    <row r="130">
      <c r="A130" s="16">
        <f>IF(IFERROR(MATCH(114,ChqRankL,0),0)=0,"",114)</f>
        <v/>
      </c>
      <c r="B130" s="24">
        <f>IF(IFERROR(MATCH(114,ChqRankL,0),0)=0,"",INDEX(ChqNorm,IFERROR(MATCH(114,ChqRankL,0),0)))</f>
        <v/>
      </c>
      <c r="C130" s="24">
        <f>IF(IFERROR(MATCH(114,ChqRankL,0),0)=0,"",INDEX(ChqNo,IFERROR(MATCH(114,ChqRankL,0),0)))</f>
        <v/>
      </c>
      <c r="D130" s="25">
        <f>IF(IFERROR(MATCH(114,ChqRankL,0),0)=0,"",IF(INDEX(ChqAmt,IFERROR(MATCH(114,ChqRankL,0),0))=0,"",INDEX(ChqAmt,IFERROR(MATCH(114,ChqRankL,0),0))))</f>
        <v/>
      </c>
      <c r="E130" s="17">
        <f>IF(IFERROR(MATCH(114,ChqRankL,0),0)=0,"",INDEX(ChqStatus,IFERROR(MATCH(114,ChqRankL,0),0)))</f>
        <v/>
      </c>
      <c r="F130" s="24">
        <f>IF(IFERROR(MATCH(114,ChqRankL,0),0)=0,"",IF(INDEX(ChqStatus,IFERROR(MATCH(114,ChqRankL,0),0))="پاس نشده","—",IF(INDEX(ChqClr,IFERROR(MATCH(114,ChqRankL,0),0))="","—",INDEX(ChqClr,IFERROR(MATCH(114,ChqRankL,0),0)))))</f>
        <v/>
      </c>
      <c r="I130">
        <f>IF(114&gt;NChq,"",INDEX(ChqNorm,114))</f>
        <v/>
      </c>
      <c r="J130">
        <f>IF($I130="","",IF(AND($I130&gt;=$H$3,$I130&lt;=$H$4),1,0))</f>
        <v/>
      </c>
      <c r="K130">
        <f>IF($J130=0,"",INDEX(ChqKey,114))</f>
        <v/>
      </c>
      <c r="L130">
        <f>IF($K130="","",COUNTIFS($J$17:$J$516,1,$K$17:$K$516,"&lt;"&amp;$K130)+1)</f>
        <v/>
      </c>
    </row>
    <row r="131">
      <c r="A131" s="10">
        <f>IF(IFERROR(MATCH(115,ChqRankL,0),0)=0,"",115)</f>
        <v/>
      </c>
      <c r="B131" s="22">
        <f>IF(IFERROR(MATCH(115,ChqRankL,0),0)=0,"",INDEX(ChqNorm,IFERROR(MATCH(115,ChqRankL,0),0)))</f>
        <v/>
      </c>
      <c r="C131" s="22">
        <f>IF(IFERROR(MATCH(115,ChqRankL,0),0)=0,"",INDEX(ChqNo,IFERROR(MATCH(115,ChqRankL,0),0)))</f>
        <v/>
      </c>
      <c r="D131" s="23">
        <f>IF(IFERROR(MATCH(115,ChqRankL,0),0)=0,"",IF(INDEX(ChqAmt,IFERROR(MATCH(115,ChqRankL,0),0))=0,"",INDEX(ChqAmt,IFERROR(MATCH(115,ChqRankL,0),0))))</f>
        <v/>
      </c>
      <c r="E131" s="14">
        <f>IF(IFERROR(MATCH(115,ChqRankL,0),0)=0,"",INDEX(ChqStatus,IFERROR(MATCH(115,ChqRankL,0),0)))</f>
        <v/>
      </c>
      <c r="F131" s="22">
        <f>IF(IFERROR(MATCH(115,ChqRankL,0),0)=0,"",IF(INDEX(ChqStatus,IFERROR(MATCH(115,ChqRankL,0),0))="پاس نشده","—",IF(INDEX(ChqClr,IFERROR(MATCH(115,ChqRankL,0),0))="","—",INDEX(ChqClr,IFERROR(MATCH(115,ChqRankL,0),0)))))</f>
        <v/>
      </c>
      <c r="I131">
        <f>IF(115&gt;NChq,"",INDEX(ChqNorm,115))</f>
        <v/>
      </c>
      <c r="J131">
        <f>IF($I131="","",IF(AND($I131&gt;=$H$3,$I131&lt;=$H$4),1,0))</f>
        <v/>
      </c>
      <c r="K131">
        <f>IF($J131=0,"",INDEX(ChqKey,115))</f>
        <v/>
      </c>
      <c r="L131">
        <f>IF($K131="","",COUNTIFS($J$17:$J$516,1,$K$17:$K$516,"&lt;"&amp;$K131)+1)</f>
        <v/>
      </c>
    </row>
    <row r="132">
      <c r="A132" s="16">
        <f>IF(IFERROR(MATCH(116,ChqRankL,0),0)=0,"",116)</f>
        <v/>
      </c>
      <c r="B132" s="24">
        <f>IF(IFERROR(MATCH(116,ChqRankL,0),0)=0,"",INDEX(ChqNorm,IFERROR(MATCH(116,ChqRankL,0),0)))</f>
        <v/>
      </c>
      <c r="C132" s="24">
        <f>IF(IFERROR(MATCH(116,ChqRankL,0),0)=0,"",INDEX(ChqNo,IFERROR(MATCH(116,ChqRankL,0),0)))</f>
        <v/>
      </c>
      <c r="D132" s="25">
        <f>IF(IFERROR(MATCH(116,ChqRankL,0),0)=0,"",IF(INDEX(ChqAmt,IFERROR(MATCH(116,ChqRankL,0),0))=0,"",INDEX(ChqAmt,IFERROR(MATCH(116,ChqRankL,0),0))))</f>
        <v/>
      </c>
      <c r="E132" s="17">
        <f>IF(IFERROR(MATCH(116,ChqRankL,0),0)=0,"",INDEX(ChqStatus,IFERROR(MATCH(116,ChqRankL,0),0)))</f>
        <v/>
      </c>
      <c r="F132" s="24">
        <f>IF(IFERROR(MATCH(116,ChqRankL,0),0)=0,"",IF(INDEX(ChqStatus,IFERROR(MATCH(116,ChqRankL,0),0))="پاس نشده","—",IF(INDEX(ChqClr,IFERROR(MATCH(116,ChqRankL,0),0))="","—",INDEX(ChqClr,IFERROR(MATCH(116,ChqRankL,0),0)))))</f>
        <v/>
      </c>
      <c r="I132">
        <f>IF(116&gt;NChq,"",INDEX(ChqNorm,116))</f>
        <v/>
      </c>
      <c r="J132">
        <f>IF($I132="","",IF(AND($I132&gt;=$H$3,$I132&lt;=$H$4),1,0))</f>
        <v/>
      </c>
      <c r="K132">
        <f>IF($J132=0,"",INDEX(ChqKey,116))</f>
        <v/>
      </c>
      <c r="L132">
        <f>IF($K132="","",COUNTIFS($J$17:$J$516,1,$K$17:$K$516,"&lt;"&amp;$K132)+1)</f>
        <v/>
      </c>
    </row>
    <row r="133">
      <c r="A133" s="10">
        <f>IF(IFERROR(MATCH(117,ChqRankL,0),0)=0,"",117)</f>
        <v/>
      </c>
      <c r="B133" s="22">
        <f>IF(IFERROR(MATCH(117,ChqRankL,0),0)=0,"",INDEX(ChqNorm,IFERROR(MATCH(117,ChqRankL,0),0)))</f>
        <v/>
      </c>
      <c r="C133" s="22">
        <f>IF(IFERROR(MATCH(117,ChqRankL,0),0)=0,"",INDEX(ChqNo,IFERROR(MATCH(117,ChqRankL,0),0)))</f>
        <v/>
      </c>
      <c r="D133" s="23">
        <f>IF(IFERROR(MATCH(117,ChqRankL,0),0)=0,"",IF(INDEX(ChqAmt,IFERROR(MATCH(117,ChqRankL,0),0))=0,"",INDEX(ChqAmt,IFERROR(MATCH(117,ChqRankL,0),0))))</f>
        <v/>
      </c>
      <c r="E133" s="14">
        <f>IF(IFERROR(MATCH(117,ChqRankL,0),0)=0,"",INDEX(ChqStatus,IFERROR(MATCH(117,ChqRankL,0),0)))</f>
        <v/>
      </c>
      <c r="F133" s="22">
        <f>IF(IFERROR(MATCH(117,ChqRankL,0),0)=0,"",IF(INDEX(ChqStatus,IFERROR(MATCH(117,ChqRankL,0),0))="پاس نشده","—",IF(INDEX(ChqClr,IFERROR(MATCH(117,ChqRankL,0),0))="","—",INDEX(ChqClr,IFERROR(MATCH(117,ChqRankL,0),0)))))</f>
        <v/>
      </c>
      <c r="I133">
        <f>IF(117&gt;NChq,"",INDEX(ChqNorm,117))</f>
        <v/>
      </c>
      <c r="J133">
        <f>IF($I133="","",IF(AND($I133&gt;=$H$3,$I133&lt;=$H$4),1,0))</f>
        <v/>
      </c>
      <c r="K133">
        <f>IF($J133=0,"",INDEX(ChqKey,117))</f>
        <v/>
      </c>
      <c r="L133">
        <f>IF($K133="","",COUNTIFS($J$17:$J$516,1,$K$17:$K$516,"&lt;"&amp;$K133)+1)</f>
        <v/>
      </c>
    </row>
    <row r="134">
      <c r="A134" s="16">
        <f>IF(IFERROR(MATCH(118,ChqRankL,0),0)=0,"",118)</f>
        <v/>
      </c>
      <c r="B134" s="24">
        <f>IF(IFERROR(MATCH(118,ChqRankL,0),0)=0,"",INDEX(ChqNorm,IFERROR(MATCH(118,ChqRankL,0),0)))</f>
        <v/>
      </c>
      <c r="C134" s="24">
        <f>IF(IFERROR(MATCH(118,ChqRankL,0),0)=0,"",INDEX(ChqNo,IFERROR(MATCH(118,ChqRankL,0),0)))</f>
        <v/>
      </c>
      <c r="D134" s="25">
        <f>IF(IFERROR(MATCH(118,ChqRankL,0),0)=0,"",IF(INDEX(ChqAmt,IFERROR(MATCH(118,ChqRankL,0),0))=0,"",INDEX(ChqAmt,IFERROR(MATCH(118,ChqRankL,0),0))))</f>
        <v/>
      </c>
      <c r="E134" s="17">
        <f>IF(IFERROR(MATCH(118,ChqRankL,0),0)=0,"",INDEX(ChqStatus,IFERROR(MATCH(118,ChqRankL,0),0)))</f>
        <v/>
      </c>
      <c r="F134" s="24">
        <f>IF(IFERROR(MATCH(118,ChqRankL,0),0)=0,"",IF(INDEX(ChqStatus,IFERROR(MATCH(118,ChqRankL,0),0))="پاس نشده","—",IF(INDEX(ChqClr,IFERROR(MATCH(118,ChqRankL,0),0))="","—",INDEX(ChqClr,IFERROR(MATCH(118,ChqRankL,0),0)))))</f>
        <v/>
      </c>
      <c r="I134">
        <f>IF(118&gt;NChq,"",INDEX(ChqNorm,118))</f>
        <v/>
      </c>
      <c r="J134">
        <f>IF($I134="","",IF(AND($I134&gt;=$H$3,$I134&lt;=$H$4),1,0))</f>
        <v/>
      </c>
      <c r="K134">
        <f>IF($J134=0,"",INDEX(ChqKey,118))</f>
        <v/>
      </c>
      <c r="L134">
        <f>IF($K134="","",COUNTIFS($J$17:$J$516,1,$K$17:$K$516,"&lt;"&amp;$K134)+1)</f>
        <v/>
      </c>
    </row>
    <row r="135">
      <c r="A135" s="10">
        <f>IF(IFERROR(MATCH(119,ChqRankL,0),0)=0,"",119)</f>
        <v/>
      </c>
      <c r="B135" s="22">
        <f>IF(IFERROR(MATCH(119,ChqRankL,0),0)=0,"",INDEX(ChqNorm,IFERROR(MATCH(119,ChqRankL,0),0)))</f>
        <v/>
      </c>
      <c r="C135" s="22">
        <f>IF(IFERROR(MATCH(119,ChqRankL,0),0)=0,"",INDEX(ChqNo,IFERROR(MATCH(119,ChqRankL,0),0)))</f>
        <v/>
      </c>
      <c r="D135" s="23">
        <f>IF(IFERROR(MATCH(119,ChqRankL,0),0)=0,"",IF(INDEX(ChqAmt,IFERROR(MATCH(119,ChqRankL,0),0))=0,"",INDEX(ChqAmt,IFERROR(MATCH(119,ChqRankL,0),0))))</f>
        <v/>
      </c>
      <c r="E135" s="14">
        <f>IF(IFERROR(MATCH(119,ChqRankL,0),0)=0,"",INDEX(ChqStatus,IFERROR(MATCH(119,ChqRankL,0),0)))</f>
        <v/>
      </c>
      <c r="F135" s="22">
        <f>IF(IFERROR(MATCH(119,ChqRankL,0),0)=0,"",IF(INDEX(ChqStatus,IFERROR(MATCH(119,ChqRankL,0),0))="پاس نشده","—",IF(INDEX(ChqClr,IFERROR(MATCH(119,ChqRankL,0),0))="","—",INDEX(ChqClr,IFERROR(MATCH(119,ChqRankL,0),0)))))</f>
        <v/>
      </c>
      <c r="I135">
        <f>IF(119&gt;NChq,"",INDEX(ChqNorm,119))</f>
        <v/>
      </c>
      <c r="J135">
        <f>IF($I135="","",IF(AND($I135&gt;=$H$3,$I135&lt;=$H$4),1,0))</f>
        <v/>
      </c>
      <c r="K135">
        <f>IF($J135=0,"",INDEX(ChqKey,119))</f>
        <v/>
      </c>
      <c r="L135">
        <f>IF($K135="","",COUNTIFS($J$17:$J$516,1,$K$17:$K$516,"&lt;"&amp;$K135)+1)</f>
        <v/>
      </c>
    </row>
    <row r="136">
      <c r="A136" s="16">
        <f>IF(IFERROR(MATCH(120,ChqRankL,0),0)=0,"",120)</f>
        <v/>
      </c>
      <c r="B136" s="24">
        <f>IF(IFERROR(MATCH(120,ChqRankL,0),0)=0,"",INDEX(ChqNorm,IFERROR(MATCH(120,ChqRankL,0),0)))</f>
        <v/>
      </c>
      <c r="C136" s="24">
        <f>IF(IFERROR(MATCH(120,ChqRankL,0),0)=0,"",INDEX(ChqNo,IFERROR(MATCH(120,ChqRankL,0),0)))</f>
        <v/>
      </c>
      <c r="D136" s="25">
        <f>IF(IFERROR(MATCH(120,ChqRankL,0),0)=0,"",IF(INDEX(ChqAmt,IFERROR(MATCH(120,ChqRankL,0),0))=0,"",INDEX(ChqAmt,IFERROR(MATCH(120,ChqRankL,0),0))))</f>
        <v/>
      </c>
      <c r="E136" s="17">
        <f>IF(IFERROR(MATCH(120,ChqRankL,0),0)=0,"",INDEX(ChqStatus,IFERROR(MATCH(120,ChqRankL,0),0)))</f>
        <v/>
      </c>
      <c r="F136" s="24">
        <f>IF(IFERROR(MATCH(120,ChqRankL,0),0)=0,"",IF(INDEX(ChqStatus,IFERROR(MATCH(120,ChqRankL,0),0))="پاس نشده","—",IF(INDEX(ChqClr,IFERROR(MATCH(120,ChqRankL,0),0))="","—",INDEX(ChqClr,IFERROR(MATCH(120,ChqRankL,0),0)))))</f>
        <v/>
      </c>
      <c r="I136">
        <f>IF(120&gt;NChq,"",INDEX(ChqNorm,120))</f>
        <v/>
      </c>
      <c r="J136">
        <f>IF($I136="","",IF(AND($I136&gt;=$H$3,$I136&lt;=$H$4),1,0))</f>
        <v/>
      </c>
      <c r="K136">
        <f>IF($J136=0,"",INDEX(ChqKey,120))</f>
        <v/>
      </c>
      <c r="L136">
        <f>IF($K136="","",COUNTIFS($J$17:$J$516,1,$K$17:$K$516,"&lt;"&amp;$K136)+1)</f>
        <v/>
      </c>
    </row>
    <row r="137">
      <c r="A137" s="10">
        <f>IF(IFERROR(MATCH(121,ChqRankL,0),0)=0,"",121)</f>
        <v/>
      </c>
      <c r="B137" s="22">
        <f>IF(IFERROR(MATCH(121,ChqRankL,0),0)=0,"",INDEX(ChqNorm,IFERROR(MATCH(121,ChqRankL,0),0)))</f>
        <v/>
      </c>
      <c r="C137" s="22">
        <f>IF(IFERROR(MATCH(121,ChqRankL,0),0)=0,"",INDEX(ChqNo,IFERROR(MATCH(121,ChqRankL,0),0)))</f>
        <v/>
      </c>
      <c r="D137" s="23">
        <f>IF(IFERROR(MATCH(121,ChqRankL,0),0)=0,"",IF(INDEX(ChqAmt,IFERROR(MATCH(121,ChqRankL,0),0))=0,"",INDEX(ChqAmt,IFERROR(MATCH(121,ChqRankL,0),0))))</f>
        <v/>
      </c>
      <c r="E137" s="14">
        <f>IF(IFERROR(MATCH(121,ChqRankL,0),0)=0,"",INDEX(ChqStatus,IFERROR(MATCH(121,ChqRankL,0),0)))</f>
        <v/>
      </c>
      <c r="F137" s="22">
        <f>IF(IFERROR(MATCH(121,ChqRankL,0),0)=0,"",IF(INDEX(ChqStatus,IFERROR(MATCH(121,ChqRankL,0),0))="پاس نشده","—",IF(INDEX(ChqClr,IFERROR(MATCH(121,ChqRankL,0),0))="","—",INDEX(ChqClr,IFERROR(MATCH(121,ChqRankL,0),0)))))</f>
        <v/>
      </c>
      <c r="I137">
        <f>IF(121&gt;NChq,"",INDEX(ChqNorm,121))</f>
        <v/>
      </c>
      <c r="J137">
        <f>IF($I137="","",IF(AND($I137&gt;=$H$3,$I137&lt;=$H$4),1,0))</f>
        <v/>
      </c>
      <c r="K137">
        <f>IF($J137=0,"",INDEX(ChqKey,121))</f>
        <v/>
      </c>
      <c r="L137">
        <f>IF($K137="","",COUNTIFS($J$17:$J$516,1,$K$17:$K$516,"&lt;"&amp;$K137)+1)</f>
        <v/>
      </c>
    </row>
    <row r="138">
      <c r="A138" s="16">
        <f>IF(IFERROR(MATCH(122,ChqRankL,0),0)=0,"",122)</f>
        <v/>
      </c>
      <c r="B138" s="24">
        <f>IF(IFERROR(MATCH(122,ChqRankL,0),0)=0,"",INDEX(ChqNorm,IFERROR(MATCH(122,ChqRankL,0),0)))</f>
        <v/>
      </c>
      <c r="C138" s="24">
        <f>IF(IFERROR(MATCH(122,ChqRankL,0),0)=0,"",INDEX(ChqNo,IFERROR(MATCH(122,ChqRankL,0),0)))</f>
        <v/>
      </c>
      <c r="D138" s="25">
        <f>IF(IFERROR(MATCH(122,ChqRankL,0),0)=0,"",IF(INDEX(ChqAmt,IFERROR(MATCH(122,ChqRankL,0),0))=0,"",INDEX(ChqAmt,IFERROR(MATCH(122,ChqRankL,0),0))))</f>
        <v/>
      </c>
      <c r="E138" s="17">
        <f>IF(IFERROR(MATCH(122,ChqRankL,0),0)=0,"",INDEX(ChqStatus,IFERROR(MATCH(122,ChqRankL,0),0)))</f>
        <v/>
      </c>
      <c r="F138" s="24">
        <f>IF(IFERROR(MATCH(122,ChqRankL,0),0)=0,"",IF(INDEX(ChqStatus,IFERROR(MATCH(122,ChqRankL,0),0))="پاس نشده","—",IF(INDEX(ChqClr,IFERROR(MATCH(122,ChqRankL,0),0))="","—",INDEX(ChqClr,IFERROR(MATCH(122,ChqRankL,0),0)))))</f>
        <v/>
      </c>
      <c r="I138">
        <f>IF(122&gt;NChq,"",INDEX(ChqNorm,122))</f>
        <v/>
      </c>
      <c r="J138">
        <f>IF($I138="","",IF(AND($I138&gt;=$H$3,$I138&lt;=$H$4),1,0))</f>
        <v/>
      </c>
      <c r="K138">
        <f>IF($J138=0,"",INDEX(ChqKey,122))</f>
        <v/>
      </c>
      <c r="L138">
        <f>IF($K138="","",COUNTIFS($J$17:$J$516,1,$K$17:$K$516,"&lt;"&amp;$K138)+1)</f>
        <v/>
      </c>
    </row>
    <row r="139">
      <c r="A139" s="10">
        <f>IF(IFERROR(MATCH(123,ChqRankL,0),0)=0,"",123)</f>
        <v/>
      </c>
      <c r="B139" s="22">
        <f>IF(IFERROR(MATCH(123,ChqRankL,0),0)=0,"",INDEX(ChqNorm,IFERROR(MATCH(123,ChqRankL,0),0)))</f>
        <v/>
      </c>
      <c r="C139" s="22">
        <f>IF(IFERROR(MATCH(123,ChqRankL,0),0)=0,"",INDEX(ChqNo,IFERROR(MATCH(123,ChqRankL,0),0)))</f>
        <v/>
      </c>
      <c r="D139" s="23">
        <f>IF(IFERROR(MATCH(123,ChqRankL,0),0)=0,"",IF(INDEX(ChqAmt,IFERROR(MATCH(123,ChqRankL,0),0))=0,"",INDEX(ChqAmt,IFERROR(MATCH(123,ChqRankL,0),0))))</f>
        <v/>
      </c>
      <c r="E139" s="14">
        <f>IF(IFERROR(MATCH(123,ChqRankL,0),0)=0,"",INDEX(ChqStatus,IFERROR(MATCH(123,ChqRankL,0),0)))</f>
        <v/>
      </c>
      <c r="F139" s="22">
        <f>IF(IFERROR(MATCH(123,ChqRankL,0),0)=0,"",IF(INDEX(ChqStatus,IFERROR(MATCH(123,ChqRankL,0),0))="پاس نشده","—",IF(INDEX(ChqClr,IFERROR(MATCH(123,ChqRankL,0),0))="","—",INDEX(ChqClr,IFERROR(MATCH(123,ChqRankL,0),0)))))</f>
        <v/>
      </c>
      <c r="I139">
        <f>IF(123&gt;NChq,"",INDEX(ChqNorm,123))</f>
        <v/>
      </c>
      <c r="J139">
        <f>IF($I139="","",IF(AND($I139&gt;=$H$3,$I139&lt;=$H$4),1,0))</f>
        <v/>
      </c>
      <c r="K139">
        <f>IF($J139=0,"",INDEX(ChqKey,123))</f>
        <v/>
      </c>
      <c r="L139">
        <f>IF($K139="","",COUNTIFS($J$17:$J$516,1,$K$17:$K$516,"&lt;"&amp;$K139)+1)</f>
        <v/>
      </c>
    </row>
    <row r="140">
      <c r="A140" s="16">
        <f>IF(IFERROR(MATCH(124,ChqRankL,0),0)=0,"",124)</f>
        <v/>
      </c>
      <c r="B140" s="24">
        <f>IF(IFERROR(MATCH(124,ChqRankL,0),0)=0,"",INDEX(ChqNorm,IFERROR(MATCH(124,ChqRankL,0),0)))</f>
        <v/>
      </c>
      <c r="C140" s="24">
        <f>IF(IFERROR(MATCH(124,ChqRankL,0),0)=0,"",INDEX(ChqNo,IFERROR(MATCH(124,ChqRankL,0),0)))</f>
        <v/>
      </c>
      <c r="D140" s="25">
        <f>IF(IFERROR(MATCH(124,ChqRankL,0),0)=0,"",IF(INDEX(ChqAmt,IFERROR(MATCH(124,ChqRankL,0),0))=0,"",INDEX(ChqAmt,IFERROR(MATCH(124,ChqRankL,0),0))))</f>
        <v/>
      </c>
      <c r="E140" s="17">
        <f>IF(IFERROR(MATCH(124,ChqRankL,0),0)=0,"",INDEX(ChqStatus,IFERROR(MATCH(124,ChqRankL,0),0)))</f>
        <v/>
      </c>
      <c r="F140" s="24">
        <f>IF(IFERROR(MATCH(124,ChqRankL,0),0)=0,"",IF(INDEX(ChqStatus,IFERROR(MATCH(124,ChqRankL,0),0))="پاس نشده","—",IF(INDEX(ChqClr,IFERROR(MATCH(124,ChqRankL,0),0))="","—",INDEX(ChqClr,IFERROR(MATCH(124,ChqRankL,0),0)))))</f>
        <v/>
      </c>
      <c r="I140">
        <f>IF(124&gt;NChq,"",INDEX(ChqNorm,124))</f>
        <v/>
      </c>
      <c r="J140">
        <f>IF($I140="","",IF(AND($I140&gt;=$H$3,$I140&lt;=$H$4),1,0))</f>
        <v/>
      </c>
      <c r="K140">
        <f>IF($J140=0,"",INDEX(ChqKey,124))</f>
        <v/>
      </c>
      <c r="L140">
        <f>IF($K140="","",COUNTIFS($J$17:$J$516,1,$K$17:$K$516,"&lt;"&amp;$K140)+1)</f>
        <v/>
      </c>
    </row>
    <row r="141">
      <c r="A141" s="10">
        <f>IF(IFERROR(MATCH(125,ChqRankL,0),0)=0,"",125)</f>
        <v/>
      </c>
      <c r="B141" s="22">
        <f>IF(IFERROR(MATCH(125,ChqRankL,0),0)=0,"",INDEX(ChqNorm,IFERROR(MATCH(125,ChqRankL,0),0)))</f>
        <v/>
      </c>
      <c r="C141" s="22">
        <f>IF(IFERROR(MATCH(125,ChqRankL,0),0)=0,"",INDEX(ChqNo,IFERROR(MATCH(125,ChqRankL,0),0)))</f>
        <v/>
      </c>
      <c r="D141" s="23">
        <f>IF(IFERROR(MATCH(125,ChqRankL,0),0)=0,"",IF(INDEX(ChqAmt,IFERROR(MATCH(125,ChqRankL,0),0))=0,"",INDEX(ChqAmt,IFERROR(MATCH(125,ChqRankL,0),0))))</f>
        <v/>
      </c>
      <c r="E141" s="14">
        <f>IF(IFERROR(MATCH(125,ChqRankL,0),0)=0,"",INDEX(ChqStatus,IFERROR(MATCH(125,ChqRankL,0),0)))</f>
        <v/>
      </c>
      <c r="F141" s="22">
        <f>IF(IFERROR(MATCH(125,ChqRankL,0),0)=0,"",IF(INDEX(ChqStatus,IFERROR(MATCH(125,ChqRankL,0),0))="پاس نشده","—",IF(INDEX(ChqClr,IFERROR(MATCH(125,ChqRankL,0),0))="","—",INDEX(ChqClr,IFERROR(MATCH(125,ChqRankL,0),0)))))</f>
        <v/>
      </c>
      <c r="I141">
        <f>IF(125&gt;NChq,"",INDEX(ChqNorm,125))</f>
        <v/>
      </c>
      <c r="J141">
        <f>IF($I141="","",IF(AND($I141&gt;=$H$3,$I141&lt;=$H$4),1,0))</f>
        <v/>
      </c>
      <c r="K141">
        <f>IF($J141=0,"",INDEX(ChqKey,125))</f>
        <v/>
      </c>
      <c r="L141">
        <f>IF($K141="","",COUNTIFS($J$17:$J$516,1,$K$17:$K$516,"&lt;"&amp;$K141)+1)</f>
        <v/>
      </c>
    </row>
    <row r="142">
      <c r="A142" s="16">
        <f>IF(IFERROR(MATCH(126,ChqRankL,0),0)=0,"",126)</f>
        <v/>
      </c>
      <c r="B142" s="24">
        <f>IF(IFERROR(MATCH(126,ChqRankL,0),0)=0,"",INDEX(ChqNorm,IFERROR(MATCH(126,ChqRankL,0),0)))</f>
        <v/>
      </c>
      <c r="C142" s="24">
        <f>IF(IFERROR(MATCH(126,ChqRankL,0),0)=0,"",INDEX(ChqNo,IFERROR(MATCH(126,ChqRankL,0),0)))</f>
        <v/>
      </c>
      <c r="D142" s="25">
        <f>IF(IFERROR(MATCH(126,ChqRankL,0),0)=0,"",IF(INDEX(ChqAmt,IFERROR(MATCH(126,ChqRankL,0),0))=0,"",INDEX(ChqAmt,IFERROR(MATCH(126,ChqRankL,0),0))))</f>
        <v/>
      </c>
      <c r="E142" s="17">
        <f>IF(IFERROR(MATCH(126,ChqRankL,0),0)=0,"",INDEX(ChqStatus,IFERROR(MATCH(126,ChqRankL,0),0)))</f>
        <v/>
      </c>
      <c r="F142" s="24">
        <f>IF(IFERROR(MATCH(126,ChqRankL,0),0)=0,"",IF(INDEX(ChqStatus,IFERROR(MATCH(126,ChqRankL,0),0))="پاس نشده","—",IF(INDEX(ChqClr,IFERROR(MATCH(126,ChqRankL,0),0))="","—",INDEX(ChqClr,IFERROR(MATCH(126,ChqRankL,0),0)))))</f>
        <v/>
      </c>
      <c r="I142">
        <f>IF(126&gt;NChq,"",INDEX(ChqNorm,126))</f>
        <v/>
      </c>
      <c r="J142">
        <f>IF($I142="","",IF(AND($I142&gt;=$H$3,$I142&lt;=$H$4),1,0))</f>
        <v/>
      </c>
      <c r="K142">
        <f>IF($J142=0,"",INDEX(ChqKey,126))</f>
        <v/>
      </c>
      <c r="L142">
        <f>IF($K142="","",COUNTIFS($J$17:$J$516,1,$K$17:$K$516,"&lt;"&amp;$K142)+1)</f>
        <v/>
      </c>
    </row>
    <row r="143">
      <c r="A143" s="10">
        <f>IF(IFERROR(MATCH(127,ChqRankL,0),0)=0,"",127)</f>
        <v/>
      </c>
      <c r="B143" s="22">
        <f>IF(IFERROR(MATCH(127,ChqRankL,0),0)=0,"",INDEX(ChqNorm,IFERROR(MATCH(127,ChqRankL,0),0)))</f>
        <v/>
      </c>
      <c r="C143" s="22">
        <f>IF(IFERROR(MATCH(127,ChqRankL,0),0)=0,"",INDEX(ChqNo,IFERROR(MATCH(127,ChqRankL,0),0)))</f>
        <v/>
      </c>
      <c r="D143" s="23">
        <f>IF(IFERROR(MATCH(127,ChqRankL,0),0)=0,"",IF(INDEX(ChqAmt,IFERROR(MATCH(127,ChqRankL,0),0))=0,"",INDEX(ChqAmt,IFERROR(MATCH(127,ChqRankL,0),0))))</f>
        <v/>
      </c>
      <c r="E143" s="14">
        <f>IF(IFERROR(MATCH(127,ChqRankL,0),0)=0,"",INDEX(ChqStatus,IFERROR(MATCH(127,ChqRankL,0),0)))</f>
        <v/>
      </c>
      <c r="F143" s="22">
        <f>IF(IFERROR(MATCH(127,ChqRankL,0),0)=0,"",IF(INDEX(ChqStatus,IFERROR(MATCH(127,ChqRankL,0),0))="پاس نشده","—",IF(INDEX(ChqClr,IFERROR(MATCH(127,ChqRankL,0),0))="","—",INDEX(ChqClr,IFERROR(MATCH(127,ChqRankL,0),0)))))</f>
        <v/>
      </c>
      <c r="I143">
        <f>IF(127&gt;NChq,"",INDEX(ChqNorm,127))</f>
        <v/>
      </c>
      <c r="J143">
        <f>IF($I143="","",IF(AND($I143&gt;=$H$3,$I143&lt;=$H$4),1,0))</f>
        <v/>
      </c>
      <c r="K143">
        <f>IF($J143=0,"",INDEX(ChqKey,127))</f>
        <v/>
      </c>
      <c r="L143">
        <f>IF($K143="","",COUNTIFS($J$17:$J$516,1,$K$17:$K$516,"&lt;"&amp;$K143)+1)</f>
        <v/>
      </c>
    </row>
    <row r="144">
      <c r="A144" s="16">
        <f>IF(IFERROR(MATCH(128,ChqRankL,0),0)=0,"",128)</f>
        <v/>
      </c>
      <c r="B144" s="24">
        <f>IF(IFERROR(MATCH(128,ChqRankL,0),0)=0,"",INDEX(ChqNorm,IFERROR(MATCH(128,ChqRankL,0),0)))</f>
        <v/>
      </c>
      <c r="C144" s="24">
        <f>IF(IFERROR(MATCH(128,ChqRankL,0),0)=0,"",INDEX(ChqNo,IFERROR(MATCH(128,ChqRankL,0),0)))</f>
        <v/>
      </c>
      <c r="D144" s="25">
        <f>IF(IFERROR(MATCH(128,ChqRankL,0),0)=0,"",IF(INDEX(ChqAmt,IFERROR(MATCH(128,ChqRankL,0),0))=0,"",INDEX(ChqAmt,IFERROR(MATCH(128,ChqRankL,0),0))))</f>
        <v/>
      </c>
      <c r="E144" s="17">
        <f>IF(IFERROR(MATCH(128,ChqRankL,0),0)=0,"",INDEX(ChqStatus,IFERROR(MATCH(128,ChqRankL,0),0)))</f>
        <v/>
      </c>
      <c r="F144" s="24">
        <f>IF(IFERROR(MATCH(128,ChqRankL,0),0)=0,"",IF(INDEX(ChqStatus,IFERROR(MATCH(128,ChqRankL,0),0))="پاس نشده","—",IF(INDEX(ChqClr,IFERROR(MATCH(128,ChqRankL,0),0))="","—",INDEX(ChqClr,IFERROR(MATCH(128,ChqRankL,0),0)))))</f>
        <v/>
      </c>
      <c r="I144">
        <f>IF(128&gt;NChq,"",INDEX(ChqNorm,128))</f>
        <v/>
      </c>
      <c r="J144">
        <f>IF($I144="","",IF(AND($I144&gt;=$H$3,$I144&lt;=$H$4),1,0))</f>
        <v/>
      </c>
      <c r="K144">
        <f>IF($J144=0,"",INDEX(ChqKey,128))</f>
        <v/>
      </c>
      <c r="L144">
        <f>IF($K144="","",COUNTIFS($J$17:$J$516,1,$K$17:$K$516,"&lt;"&amp;$K144)+1)</f>
        <v/>
      </c>
    </row>
    <row r="145">
      <c r="A145" s="10">
        <f>IF(IFERROR(MATCH(129,ChqRankL,0),0)=0,"",129)</f>
        <v/>
      </c>
      <c r="B145" s="22">
        <f>IF(IFERROR(MATCH(129,ChqRankL,0),0)=0,"",INDEX(ChqNorm,IFERROR(MATCH(129,ChqRankL,0),0)))</f>
        <v/>
      </c>
      <c r="C145" s="22">
        <f>IF(IFERROR(MATCH(129,ChqRankL,0),0)=0,"",INDEX(ChqNo,IFERROR(MATCH(129,ChqRankL,0),0)))</f>
        <v/>
      </c>
      <c r="D145" s="23">
        <f>IF(IFERROR(MATCH(129,ChqRankL,0),0)=0,"",IF(INDEX(ChqAmt,IFERROR(MATCH(129,ChqRankL,0),0))=0,"",INDEX(ChqAmt,IFERROR(MATCH(129,ChqRankL,0),0))))</f>
        <v/>
      </c>
      <c r="E145" s="14">
        <f>IF(IFERROR(MATCH(129,ChqRankL,0),0)=0,"",INDEX(ChqStatus,IFERROR(MATCH(129,ChqRankL,0),0)))</f>
        <v/>
      </c>
      <c r="F145" s="22">
        <f>IF(IFERROR(MATCH(129,ChqRankL,0),0)=0,"",IF(INDEX(ChqStatus,IFERROR(MATCH(129,ChqRankL,0),0))="پاس نشده","—",IF(INDEX(ChqClr,IFERROR(MATCH(129,ChqRankL,0),0))="","—",INDEX(ChqClr,IFERROR(MATCH(129,ChqRankL,0),0)))))</f>
        <v/>
      </c>
      <c r="I145">
        <f>IF(129&gt;NChq,"",INDEX(ChqNorm,129))</f>
        <v/>
      </c>
      <c r="J145">
        <f>IF($I145="","",IF(AND($I145&gt;=$H$3,$I145&lt;=$H$4),1,0))</f>
        <v/>
      </c>
      <c r="K145">
        <f>IF($J145=0,"",INDEX(ChqKey,129))</f>
        <v/>
      </c>
      <c r="L145">
        <f>IF($K145="","",COUNTIFS($J$17:$J$516,1,$K$17:$K$516,"&lt;"&amp;$K145)+1)</f>
        <v/>
      </c>
    </row>
    <row r="146">
      <c r="A146" s="16">
        <f>IF(IFERROR(MATCH(130,ChqRankL,0),0)=0,"",130)</f>
        <v/>
      </c>
      <c r="B146" s="24">
        <f>IF(IFERROR(MATCH(130,ChqRankL,0),0)=0,"",INDEX(ChqNorm,IFERROR(MATCH(130,ChqRankL,0),0)))</f>
        <v/>
      </c>
      <c r="C146" s="24">
        <f>IF(IFERROR(MATCH(130,ChqRankL,0),0)=0,"",INDEX(ChqNo,IFERROR(MATCH(130,ChqRankL,0),0)))</f>
        <v/>
      </c>
      <c r="D146" s="25">
        <f>IF(IFERROR(MATCH(130,ChqRankL,0),0)=0,"",IF(INDEX(ChqAmt,IFERROR(MATCH(130,ChqRankL,0),0))=0,"",INDEX(ChqAmt,IFERROR(MATCH(130,ChqRankL,0),0))))</f>
        <v/>
      </c>
      <c r="E146" s="17">
        <f>IF(IFERROR(MATCH(130,ChqRankL,0),0)=0,"",INDEX(ChqStatus,IFERROR(MATCH(130,ChqRankL,0),0)))</f>
        <v/>
      </c>
      <c r="F146" s="24">
        <f>IF(IFERROR(MATCH(130,ChqRankL,0),0)=0,"",IF(INDEX(ChqStatus,IFERROR(MATCH(130,ChqRankL,0),0))="پاس نشده","—",IF(INDEX(ChqClr,IFERROR(MATCH(130,ChqRankL,0),0))="","—",INDEX(ChqClr,IFERROR(MATCH(130,ChqRankL,0),0)))))</f>
        <v/>
      </c>
      <c r="I146">
        <f>IF(130&gt;NChq,"",INDEX(ChqNorm,130))</f>
        <v/>
      </c>
      <c r="J146">
        <f>IF($I146="","",IF(AND($I146&gt;=$H$3,$I146&lt;=$H$4),1,0))</f>
        <v/>
      </c>
      <c r="K146">
        <f>IF($J146=0,"",INDEX(ChqKey,130))</f>
        <v/>
      </c>
      <c r="L146">
        <f>IF($K146="","",COUNTIFS($J$17:$J$516,1,$K$17:$K$516,"&lt;"&amp;$K146)+1)</f>
        <v/>
      </c>
    </row>
    <row r="147">
      <c r="A147" s="10">
        <f>IF(IFERROR(MATCH(131,ChqRankL,0),0)=0,"",131)</f>
        <v/>
      </c>
      <c r="B147" s="22">
        <f>IF(IFERROR(MATCH(131,ChqRankL,0),0)=0,"",INDEX(ChqNorm,IFERROR(MATCH(131,ChqRankL,0),0)))</f>
        <v/>
      </c>
      <c r="C147" s="22">
        <f>IF(IFERROR(MATCH(131,ChqRankL,0),0)=0,"",INDEX(ChqNo,IFERROR(MATCH(131,ChqRankL,0),0)))</f>
        <v/>
      </c>
      <c r="D147" s="23">
        <f>IF(IFERROR(MATCH(131,ChqRankL,0),0)=0,"",IF(INDEX(ChqAmt,IFERROR(MATCH(131,ChqRankL,0),0))=0,"",INDEX(ChqAmt,IFERROR(MATCH(131,ChqRankL,0),0))))</f>
        <v/>
      </c>
      <c r="E147" s="14">
        <f>IF(IFERROR(MATCH(131,ChqRankL,0),0)=0,"",INDEX(ChqStatus,IFERROR(MATCH(131,ChqRankL,0),0)))</f>
        <v/>
      </c>
      <c r="F147" s="22">
        <f>IF(IFERROR(MATCH(131,ChqRankL,0),0)=0,"",IF(INDEX(ChqStatus,IFERROR(MATCH(131,ChqRankL,0),0))="پاس نشده","—",IF(INDEX(ChqClr,IFERROR(MATCH(131,ChqRankL,0),0))="","—",INDEX(ChqClr,IFERROR(MATCH(131,ChqRankL,0),0)))))</f>
        <v/>
      </c>
      <c r="I147">
        <f>IF(131&gt;NChq,"",INDEX(ChqNorm,131))</f>
        <v/>
      </c>
      <c r="J147">
        <f>IF($I147="","",IF(AND($I147&gt;=$H$3,$I147&lt;=$H$4),1,0))</f>
        <v/>
      </c>
      <c r="K147">
        <f>IF($J147=0,"",INDEX(ChqKey,131))</f>
        <v/>
      </c>
      <c r="L147">
        <f>IF($K147="","",COUNTIFS($J$17:$J$516,1,$K$17:$K$516,"&lt;"&amp;$K147)+1)</f>
        <v/>
      </c>
    </row>
    <row r="148">
      <c r="A148" s="16">
        <f>IF(IFERROR(MATCH(132,ChqRankL,0),0)=0,"",132)</f>
        <v/>
      </c>
      <c r="B148" s="24">
        <f>IF(IFERROR(MATCH(132,ChqRankL,0),0)=0,"",INDEX(ChqNorm,IFERROR(MATCH(132,ChqRankL,0),0)))</f>
        <v/>
      </c>
      <c r="C148" s="24">
        <f>IF(IFERROR(MATCH(132,ChqRankL,0),0)=0,"",INDEX(ChqNo,IFERROR(MATCH(132,ChqRankL,0),0)))</f>
        <v/>
      </c>
      <c r="D148" s="25">
        <f>IF(IFERROR(MATCH(132,ChqRankL,0),0)=0,"",IF(INDEX(ChqAmt,IFERROR(MATCH(132,ChqRankL,0),0))=0,"",INDEX(ChqAmt,IFERROR(MATCH(132,ChqRankL,0),0))))</f>
        <v/>
      </c>
      <c r="E148" s="17">
        <f>IF(IFERROR(MATCH(132,ChqRankL,0),0)=0,"",INDEX(ChqStatus,IFERROR(MATCH(132,ChqRankL,0),0)))</f>
        <v/>
      </c>
      <c r="F148" s="24">
        <f>IF(IFERROR(MATCH(132,ChqRankL,0),0)=0,"",IF(INDEX(ChqStatus,IFERROR(MATCH(132,ChqRankL,0),0))="پاس نشده","—",IF(INDEX(ChqClr,IFERROR(MATCH(132,ChqRankL,0),0))="","—",INDEX(ChqClr,IFERROR(MATCH(132,ChqRankL,0),0)))))</f>
        <v/>
      </c>
      <c r="I148">
        <f>IF(132&gt;NChq,"",INDEX(ChqNorm,132))</f>
        <v/>
      </c>
      <c r="J148">
        <f>IF($I148="","",IF(AND($I148&gt;=$H$3,$I148&lt;=$H$4),1,0))</f>
        <v/>
      </c>
      <c r="K148">
        <f>IF($J148=0,"",INDEX(ChqKey,132))</f>
        <v/>
      </c>
      <c r="L148">
        <f>IF($K148="","",COUNTIFS($J$17:$J$516,1,$K$17:$K$516,"&lt;"&amp;$K148)+1)</f>
        <v/>
      </c>
    </row>
    <row r="149">
      <c r="A149" s="10">
        <f>IF(IFERROR(MATCH(133,ChqRankL,0),0)=0,"",133)</f>
        <v/>
      </c>
      <c r="B149" s="22">
        <f>IF(IFERROR(MATCH(133,ChqRankL,0),0)=0,"",INDEX(ChqNorm,IFERROR(MATCH(133,ChqRankL,0),0)))</f>
        <v/>
      </c>
      <c r="C149" s="22">
        <f>IF(IFERROR(MATCH(133,ChqRankL,0),0)=0,"",INDEX(ChqNo,IFERROR(MATCH(133,ChqRankL,0),0)))</f>
        <v/>
      </c>
      <c r="D149" s="23">
        <f>IF(IFERROR(MATCH(133,ChqRankL,0),0)=0,"",IF(INDEX(ChqAmt,IFERROR(MATCH(133,ChqRankL,0),0))=0,"",INDEX(ChqAmt,IFERROR(MATCH(133,ChqRankL,0),0))))</f>
        <v/>
      </c>
      <c r="E149" s="14">
        <f>IF(IFERROR(MATCH(133,ChqRankL,0),0)=0,"",INDEX(ChqStatus,IFERROR(MATCH(133,ChqRankL,0),0)))</f>
        <v/>
      </c>
      <c r="F149" s="22">
        <f>IF(IFERROR(MATCH(133,ChqRankL,0),0)=0,"",IF(INDEX(ChqStatus,IFERROR(MATCH(133,ChqRankL,0),0))="پاس نشده","—",IF(INDEX(ChqClr,IFERROR(MATCH(133,ChqRankL,0),0))="","—",INDEX(ChqClr,IFERROR(MATCH(133,ChqRankL,0),0)))))</f>
        <v/>
      </c>
      <c r="I149">
        <f>IF(133&gt;NChq,"",INDEX(ChqNorm,133))</f>
        <v/>
      </c>
      <c r="J149">
        <f>IF($I149="","",IF(AND($I149&gt;=$H$3,$I149&lt;=$H$4),1,0))</f>
        <v/>
      </c>
      <c r="K149">
        <f>IF($J149=0,"",INDEX(ChqKey,133))</f>
        <v/>
      </c>
      <c r="L149">
        <f>IF($K149="","",COUNTIFS($J$17:$J$516,1,$K$17:$K$516,"&lt;"&amp;$K149)+1)</f>
        <v/>
      </c>
    </row>
    <row r="150">
      <c r="A150" s="16">
        <f>IF(IFERROR(MATCH(134,ChqRankL,0),0)=0,"",134)</f>
        <v/>
      </c>
      <c r="B150" s="24">
        <f>IF(IFERROR(MATCH(134,ChqRankL,0),0)=0,"",INDEX(ChqNorm,IFERROR(MATCH(134,ChqRankL,0),0)))</f>
        <v/>
      </c>
      <c r="C150" s="24">
        <f>IF(IFERROR(MATCH(134,ChqRankL,0),0)=0,"",INDEX(ChqNo,IFERROR(MATCH(134,ChqRankL,0),0)))</f>
        <v/>
      </c>
      <c r="D150" s="25">
        <f>IF(IFERROR(MATCH(134,ChqRankL,0),0)=0,"",IF(INDEX(ChqAmt,IFERROR(MATCH(134,ChqRankL,0),0))=0,"",INDEX(ChqAmt,IFERROR(MATCH(134,ChqRankL,0),0))))</f>
        <v/>
      </c>
      <c r="E150" s="17">
        <f>IF(IFERROR(MATCH(134,ChqRankL,0),0)=0,"",INDEX(ChqStatus,IFERROR(MATCH(134,ChqRankL,0),0)))</f>
        <v/>
      </c>
      <c r="F150" s="24">
        <f>IF(IFERROR(MATCH(134,ChqRankL,0),0)=0,"",IF(INDEX(ChqStatus,IFERROR(MATCH(134,ChqRankL,0),0))="پاس نشده","—",IF(INDEX(ChqClr,IFERROR(MATCH(134,ChqRankL,0),0))="","—",INDEX(ChqClr,IFERROR(MATCH(134,ChqRankL,0),0)))))</f>
        <v/>
      </c>
      <c r="I150">
        <f>IF(134&gt;NChq,"",INDEX(ChqNorm,134))</f>
        <v/>
      </c>
      <c r="J150">
        <f>IF($I150="","",IF(AND($I150&gt;=$H$3,$I150&lt;=$H$4),1,0))</f>
        <v/>
      </c>
      <c r="K150">
        <f>IF($J150=0,"",INDEX(ChqKey,134))</f>
        <v/>
      </c>
      <c r="L150">
        <f>IF($K150="","",COUNTIFS($J$17:$J$516,1,$K$17:$K$516,"&lt;"&amp;$K150)+1)</f>
        <v/>
      </c>
    </row>
    <row r="151">
      <c r="A151" s="10">
        <f>IF(IFERROR(MATCH(135,ChqRankL,0),0)=0,"",135)</f>
        <v/>
      </c>
      <c r="B151" s="22">
        <f>IF(IFERROR(MATCH(135,ChqRankL,0),0)=0,"",INDEX(ChqNorm,IFERROR(MATCH(135,ChqRankL,0),0)))</f>
        <v/>
      </c>
      <c r="C151" s="22">
        <f>IF(IFERROR(MATCH(135,ChqRankL,0),0)=0,"",INDEX(ChqNo,IFERROR(MATCH(135,ChqRankL,0),0)))</f>
        <v/>
      </c>
      <c r="D151" s="23">
        <f>IF(IFERROR(MATCH(135,ChqRankL,0),0)=0,"",IF(INDEX(ChqAmt,IFERROR(MATCH(135,ChqRankL,0),0))=0,"",INDEX(ChqAmt,IFERROR(MATCH(135,ChqRankL,0),0))))</f>
        <v/>
      </c>
      <c r="E151" s="14">
        <f>IF(IFERROR(MATCH(135,ChqRankL,0),0)=0,"",INDEX(ChqStatus,IFERROR(MATCH(135,ChqRankL,0),0)))</f>
        <v/>
      </c>
      <c r="F151" s="22">
        <f>IF(IFERROR(MATCH(135,ChqRankL,0),0)=0,"",IF(INDEX(ChqStatus,IFERROR(MATCH(135,ChqRankL,0),0))="پاس نشده","—",IF(INDEX(ChqClr,IFERROR(MATCH(135,ChqRankL,0),0))="","—",INDEX(ChqClr,IFERROR(MATCH(135,ChqRankL,0),0)))))</f>
        <v/>
      </c>
      <c r="I151">
        <f>IF(135&gt;NChq,"",INDEX(ChqNorm,135))</f>
        <v/>
      </c>
      <c r="J151">
        <f>IF($I151="","",IF(AND($I151&gt;=$H$3,$I151&lt;=$H$4),1,0))</f>
        <v/>
      </c>
      <c r="K151">
        <f>IF($J151=0,"",INDEX(ChqKey,135))</f>
        <v/>
      </c>
      <c r="L151">
        <f>IF($K151="","",COUNTIFS($J$17:$J$516,1,$K$17:$K$516,"&lt;"&amp;$K151)+1)</f>
        <v/>
      </c>
    </row>
    <row r="152">
      <c r="A152" s="16">
        <f>IF(IFERROR(MATCH(136,ChqRankL,0),0)=0,"",136)</f>
        <v/>
      </c>
      <c r="B152" s="24">
        <f>IF(IFERROR(MATCH(136,ChqRankL,0),0)=0,"",INDEX(ChqNorm,IFERROR(MATCH(136,ChqRankL,0),0)))</f>
        <v/>
      </c>
      <c r="C152" s="24">
        <f>IF(IFERROR(MATCH(136,ChqRankL,0),0)=0,"",INDEX(ChqNo,IFERROR(MATCH(136,ChqRankL,0),0)))</f>
        <v/>
      </c>
      <c r="D152" s="25">
        <f>IF(IFERROR(MATCH(136,ChqRankL,0),0)=0,"",IF(INDEX(ChqAmt,IFERROR(MATCH(136,ChqRankL,0),0))=0,"",INDEX(ChqAmt,IFERROR(MATCH(136,ChqRankL,0),0))))</f>
        <v/>
      </c>
      <c r="E152" s="17">
        <f>IF(IFERROR(MATCH(136,ChqRankL,0),0)=0,"",INDEX(ChqStatus,IFERROR(MATCH(136,ChqRankL,0),0)))</f>
        <v/>
      </c>
      <c r="F152" s="24">
        <f>IF(IFERROR(MATCH(136,ChqRankL,0),0)=0,"",IF(INDEX(ChqStatus,IFERROR(MATCH(136,ChqRankL,0),0))="پاس نشده","—",IF(INDEX(ChqClr,IFERROR(MATCH(136,ChqRankL,0),0))="","—",INDEX(ChqClr,IFERROR(MATCH(136,ChqRankL,0),0)))))</f>
        <v/>
      </c>
      <c r="I152">
        <f>IF(136&gt;NChq,"",INDEX(ChqNorm,136))</f>
        <v/>
      </c>
      <c r="J152">
        <f>IF($I152="","",IF(AND($I152&gt;=$H$3,$I152&lt;=$H$4),1,0))</f>
        <v/>
      </c>
      <c r="K152">
        <f>IF($J152=0,"",INDEX(ChqKey,136))</f>
        <v/>
      </c>
      <c r="L152">
        <f>IF($K152="","",COUNTIFS($J$17:$J$516,1,$K$17:$K$516,"&lt;"&amp;$K152)+1)</f>
        <v/>
      </c>
    </row>
    <row r="153">
      <c r="A153" s="10">
        <f>IF(IFERROR(MATCH(137,ChqRankL,0),0)=0,"",137)</f>
        <v/>
      </c>
      <c r="B153" s="22">
        <f>IF(IFERROR(MATCH(137,ChqRankL,0),0)=0,"",INDEX(ChqNorm,IFERROR(MATCH(137,ChqRankL,0),0)))</f>
        <v/>
      </c>
      <c r="C153" s="22">
        <f>IF(IFERROR(MATCH(137,ChqRankL,0),0)=0,"",INDEX(ChqNo,IFERROR(MATCH(137,ChqRankL,0),0)))</f>
        <v/>
      </c>
      <c r="D153" s="23">
        <f>IF(IFERROR(MATCH(137,ChqRankL,0),0)=0,"",IF(INDEX(ChqAmt,IFERROR(MATCH(137,ChqRankL,0),0))=0,"",INDEX(ChqAmt,IFERROR(MATCH(137,ChqRankL,0),0))))</f>
        <v/>
      </c>
      <c r="E153" s="14">
        <f>IF(IFERROR(MATCH(137,ChqRankL,0),0)=0,"",INDEX(ChqStatus,IFERROR(MATCH(137,ChqRankL,0),0)))</f>
        <v/>
      </c>
      <c r="F153" s="22">
        <f>IF(IFERROR(MATCH(137,ChqRankL,0),0)=0,"",IF(INDEX(ChqStatus,IFERROR(MATCH(137,ChqRankL,0),0))="پاس نشده","—",IF(INDEX(ChqClr,IFERROR(MATCH(137,ChqRankL,0),0))="","—",INDEX(ChqClr,IFERROR(MATCH(137,ChqRankL,0),0)))))</f>
        <v/>
      </c>
      <c r="I153">
        <f>IF(137&gt;NChq,"",INDEX(ChqNorm,137))</f>
        <v/>
      </c>
      <c r="J153">
        <f>IF($I153="","",IF(AND($I153&gt;=$H$3,$I153&lt;=$H$4),1,0))</f>
        <v/>
      </c>
      <c r="K153">
        <f>IF($J153=0,"",INDEX(ChqKey,137))</f>
        <v/>
      </c>
      <c r="L153">
        <f>IF($K153="","",COUNTIFS($J$17:$J$516,1,$K$17:$K$516,"&lt;"&amp;$K153)+1)</f>
        <v/>
      </c>
    </row>
    <row r="154">
      <c r="A154" s="16">
        <f>IF(IFERROR(MATCH(138,ChqRankL,0),0)=0,"",138)</f>
        <v/>
      </c>
      <c r="B154" s="24">
        <f>IF(IFERROR(MATCH(138,ChqRankL,0),0)=0,"",INDEX(ChqNorm,IFERROR(MATCH(138,ChqRankL,0),0)))</f>
        <v/>
      </c>
      <c r="C154" s="24">
        <f>IF(IFERROR(MATCH(138,ChqRankL,0),0)=0,"",INDEX(ChqNo,IFERROR(MATCH(138,ChqRankL,0),0)))</f>
        <v/>
      </c>
      <c r="D154" s="25">
        <f>IF(IFERROR(MATCH(138,ChqRankL,0),0)=0,"",IF(INDEX(ChqAmt,IFERROR(MATCH(138,ChqRankL,0),0))=0,"",INDEX(ChqAmt,IFERROR(MATCH(138,ChqRankL,0),0))))</f>
        <v/>
      </c>
      <c r="E154" s="17">
        <f>IF(IFERROR(MATCH(138,ChqRankL,0),0)=0,"",INDEX(ChqStatus,IFERROR(MATCH(138,ChqRankL,0),0)))</f>
        <v/>
      </c>
      <c r="F154" s="24">
        <f>IF(IFERROR(MATCH(138,ChqRankL,0),0)=0,"",IF(INDEX(ChqStatus,IFERROR(MATCH(138,ChqRankL,0),0))="پاس نشده","—",IF(INDEX(ChqClr,IFERROR(MATCH(138,ChqRankL,0),0))="","—",INDEX(ChqClr,IFERROR(MATCH(138,ChqRankL,0),0)))))</f>
        <v/>
      </c>
      <c r="I154">
        <f>IF(138&gt;NChq,"",INDEX(ChqNorm,138))</f>
        <v/>
      </c>
      <c r="J154">
        <f>IF($I154="","",IF(AND($I154&gt;=$H$3,$I154&lt;=$H$4),1,0))</f>
        <v/>
      </c>
      <c r="K154">
        <f>IF($J154=0,"",INDEX(ChqKey,138))</f>
        <v/>
      </c>
      <c r="L154">
        <f>IF($K154="","",COUNTIFS($J$17:$J$516,1,$K$17:$K$516,"&lt;"&amp;$K154)+1)</f>
        <v/>
      </c>
    </row>
    <row r="155">
      <c r="A155" s="10">
        <f>IF(IFERROR(MATCH(139,ChqRankL,0),0)=0,"",139)</f>
        <v/>
      </c>
      <c r="B155" s="22">
        <f>IF(IFERROR(MATCH(139,ChqRankL,0),0)=0,"",INDEX(ChqNorm,IFERROR(MATCH(139,ChqRankL,0),0)))</f>
        <v/>
      </c>
      <c r="C155" s="22">
        <f>IF(IFERROR(MATCH(139,ChqRankL,0),0)=0,"",INDEX(ChqNo,IFERROR(MATCH(139,ChqRankL,0),0)))</f>
        <v/>
      </c>
      <c r="D155" s="23">
        <f>IF(IFERROR(MATCH(139,ChqRankL,0),0)=0,"",IF(INDEX(ChqAmt,IFERROR(MATCH(139,ChqRankL,0),0))=0,"",INDEX(ChqAmt,IFERROR(MATCH(139,ChqRankL,0),0))))</f>
        <v/>
      </c>
      <c r="E155" s="14">
        <f>IF(IFERROR(MATCH(139,ChqRankL,0),0)=0,"",INDEX(ChqStatus,IFERROR(MATCH(139,ChqRankL,0),0)))</f>
        <v/>
      </c>
      <c r="F155" s="22">
        <f>IF(IFERROR(MATCH(139,ChqRankL,0),0)=0,"",IF(INDEX(ChqStatus,IFERROR(MATCH(139,ChqRankL,0),0))="پاس نشده","—",IF(INDEX(ChqClr,IFERROR(MATCH(139,ChqRankL,0),0))="","—",INDEX(ChqClr,IFERROR(MATCH(139,ChqRankL,0),0)))))</f>
        <v/>
      </c>
      <c r="I155">
        <f>IF(139&gt;NChq,"",INDEX(ChqNorm,139))</f>
        <v/>
      </c>
      <c r="J155">
        <f>IF($I155="","",IF(AND($I155&gt;=$H$3,$I155&lt;=$H$4),1,0))</f>
        <v/>
      </c>
      <c r="K155">
        <f>IF($J155=0,"",INDEX(ChqKey,139))</f>
        <v/>
      </c>
      <c r="L155">
        <f>IF($K155="","",COUNTIFS($J$17:$J$516,1,$K$17:$K$516,"&lt;"&amp;$K155)+1)</f>
        <v/>
      </c>
    </row>
    <row r="156">
      <c r="A156" s="16">
        <f>IF(IFERROR(MATCH(140,ChqRankL,0),0)=0,"",140)</f>
        <v/>
      </c>
      <c r="B156" s="24">
        <f>IF(IFERROR(MATCH(140,ChqRankL,0),0)=0,"",INDEX(ChqNorm,IFERROR(MATCH(140,ChqRankL,0),0)))</f>
        <v/>
      </c>
      <c r="C156" s="24">
        <f>IF(IFERROR(MATCH(140,ChqRankL,0),0)=0,"",INDEX(ChqNo,IFERROR(MATCH(140,ChqRankL,0),0)))</f>
        <v/>
      </c>
      <c r="D156" s="25">
        <f>IF(IFERROR(MATCH(140,ChqRankL,0),0)=0,"",IF(INDEX(ChqAmt,IFERROR(MATCH(140,ChqRankL,0),0))=0,"",INDEX(ChqAmt,IFERROR(MATCH(140,ChqRankL,0),0))))</f>
        <v/>
      </c>
      <c r="E156" s="17">
        <f>IF(IFERROR(MATCH(140,ChqRankL,0),0)=0,"",INDEX(ChqStatus,IFERROR(MATCH(140,ChqRankL,0),0)))</f>
        <v/>
      </c>
      <c r="F156" s="24">
        <f>IF(IFERROR(MATCH(140,ChqRankL,0),0)=0,"",IF(INDEX(ChqStatus,IFERROR(MATCH(140,ChqRankL,0),0))="پاس نشده","—",IF(INDEX(ChqClr,IFERROR(MATCH(140,ChqRankL,0),0))="","—",INDEX(ChqClr,IFERROR(MATCH(140,ChqRankL,0),0)))))</f>
        <v/>
      </c>
      <c r="I156">
        <f>IF(140&gt;NChq,"",INDEX(ChqNorm,140))</f>
        <v/>
      </c>
      <c r="J156">
        <f>IF($I156="","",IF(AND($I156&gt;=$H$3,$I156&lt;=$H$4),1,0))</f>
        <v/>
      </c>
      <c r="K156">
        <f>IF($J156=0,"",INDEX(ChqKey,140))</f>
        <v/>
      </c>
      <c r="L156">
        <f>IF($K156="","",COUNTIFS($J$17:$J$516,1,$K$17:$K$516,"&lt;"&amp;$K156)+1)</f>
        <v/>
      </c>
    </row>
    <row r="157">
      <c r="A157" s="10">
        <f>IF(IFERROR(MATCH(141,ChqRankL,0),0)=0,"",141)</f>
        <v/>
      </c>
      <c r="B157" s="22">
        <f>IF(IFERROR(MATCH(141,ChqRankL,0),0)=0,"",INDEX(ChqNorm,IFERROR(MATCH(141,ChqRankL,0),0)))</f>
        <v/>
      </c>
      <c r="C157" s="22">
        <f>IF(IFERROR(MATCH(141,ChqRankL,0),0)=0,"",INDEX(ChqNo,IFERROR(MATCH(141,ChqRankL,0),0)))</f>
        <v/>
      </c>
      <c r="D157" s="23">
        <f>IF(IFERROR(MATCH(141,ChqRankL,0),0)=0,"",IF(INDEX(ChqAmt,IFERROR(MATCH(141,ChqRankL,0),0))=0,"",INDEX(ChqAmt,IFERROR(MATCH(141,ChqRankL,0),0))))</f>
        <v/>
      </c>
      <c r="E157" s="14">
        <f>IF(IFERROR(MATCH(141,ChqRankL,0),0)=0,"",INDEX(ChqStatus,IFERROR(MATCH(141,ChqRankL,0),0)))</f>
        <v/>
      </c>
      <c r="F157" s="22">
        <f>IF(IFERROR(MATCH(141,ChqRankL,0),0)=0,"",IF(INDEX(ChqStatus,IFERROR(MATCH(141,ChqRankL,0),0))="پاس نشده","—",IF(INDEX(ChqClr,IFERROR(MATCH(141,ChqRankL,0),0))="","—",INDEX(ChqClr,IFERROR(MATCH(141,ChqRankL,0),0)))))</f>
        <v/>
      </c>
      <c r="I157">
        <f>IF(141&gt;NChq,"",INDEX(ChqNorm,141))</f>
        <v/>
      </c>
      <c r="J157">
        <f>IF($I157="","",IF(AND($I157&gt;=$H$3,$I157&lt;=$H$4),1,0))</f>
        <v/>
      </c>
      <c r="K157">
        <f>IF($J157=0,"",INDEX(ChqKey,141))</f>
        <v/>
      </c>
      <c r="L157">
        <f>IF($K157="","",COUNTIFS($J$17:$J$516,1,$K$17:$K$516,"&lt;"&amp;$K157)+1)</f>
        <v/>
      </c>
    </row>
    <row r="158">
      <c r="A158" s="16">
        <f>IF(IFERROR(MATCH(142,ChqRankL,0),0)=0,"",142)</f>
        <v/>
      </c>
      <c r="B158" s="24">
        <f>IF(IFERROR(MATCH(142,ChqRankL,0),0)=0,"",INDEX(ChqNorm,IFERROR(MATCH(142,ChqRankL,0),0)))</f>
        <v/>
      </c>
      <c r="C158" s="24">
        <f>IF(IFERROR(MATCH(142,ChqRankL,0),0)=0,"",INDEX(ChqNo,IFERROR(MATCH(142,ChqRankL,0),0)))</f>
        <v/>
      </c>
      <c r="D158" s="25">
        <f>IF(IFERROR(MATCH(142,ChqRankL,0),0)=0,"",IF(INDEX(ChqAmt,IFERROR(MATCH(142,ChqRankL,0),0))=0,"",INDEX(ChqAmt,IFERROR(MATCH(142,ChqRankL,0),0))))</f>
        <v/>
      </c>
      <c r="E158" s="17">
        <f>IF(IFERROR(MATCH(142,ChqRankL,0),0)=0,"",INDEX(ChqStatus,IFERROR(MATCH(142,ChqRankL,0),0)))</f>
        <v/>
      </c>
      <c r="F158" s="24">
        <f>IF(IFERROR(MATCH(142,ChqRankL,0),0)=0,"",IF(INDEX(ChqStatus,IFERROR(MATCH(142,ChqRankL,0),0))="پاس نشده","—",IF(INDEX(ChqClr,IFERROR(MATCH(142,ChqRankL,0),0))="","—",INDEX(ChqClr,IFERROR(MATCH(142,ChqRankL,0),0)))))</f>
        <v/>
      </c>
      <c r="I158">
        <f>IF(142&gt;NChq,"",INDEX(ChqNorm,142))</f>
        <v/>
      </c>
      <c r="J158">
        <f>IF($I158="","",IF(AND($I158&gt;=$H$3,$I158&lt;=$H$4),1,0))</f>
        <v/>
      </c>
      <c r="K158">
        <f>IF($J158=0,"",INDEX(ChqKey,142))</f>
        <v/>
      </c>
      <c r="L158">
        <f>IF($K158="","",COUNTIFS($J$17:$J$516,1,$K$17:$K$516,"&lt;"&amp;$K158)+1)</f>
        <v/>
      </c>
    </row>
    <row r="159">
      <c r="A159" s="10">
        <f>IF(IFERROR(MATCH(143,ChqRankL,0),0)=0,"",143)</f>
        <v/>
      </c>
      <c r="B159" s="22">
        <f>IF(IFERROR(MATCH(143,ChqRankL,0),0)=0,"",INDEX(ChqNorm,IFERROR(MATCH(143,ChqRankL,0),0)))</f>
        <v/>
      </c>
      <c r="C159" s="22">
        <f>IF(IFERROR(MATCH(143,ChqRankL,0),0)=0,"",INDEX(ChqNo,IFERROR(MATCH(143,ChqRankL,0),0)))</f>
        <v/>
      </c>
      <c r="D159" s="23">
        <f>IF(IFERROR(MATCH(143,ChqRankL,0),0)=0,"",IF(INDEX(ChqAmt,IFERROR(MATCH(143,ChqRankL,0),0))=0,"",INDEX(ChqAmt,IFERROR(MATCH(143,ChqRankL,0),0))))</f>
        <v/>
      </c>
      <c r="E159" s="14">
        <f>IF(IFERROR(MATCH(143,ChqRankL,0),0)=0,"",INDEX(ChqStatus,IFERROR(MATCH(143,ChqRankL,0),0)))</f>
        <v/>
      </c>
      <c r="F159" s="22">
        <f>IF(IFERROR(MATCH(143,ChqRankL,0),0)=0,"",IF(INDEX(ChqStatus,IFERROR(MATCH(143,ChqRankL,0),0))="پاس نشده","—",IF(INDEX(ChqClr,IFERROR(MATCH(143,ChqRankL,0),0))="","—",INDEX(ChqClr,IFERROR(MATCH(143,ChqRankL,0),0)))))</f>
        <v/>
      </c>
      <c r="I159">
        <f>IF(143&gt;NChq,"",INDEX(ChqNorm,143))</f>
        <v/>
      </c>
      <c r="J159">
        <f>IF($I159="","",IF(AND($I159&gt;=$H$3,$I159&lt;=$H$4),1,0))</f>
        <v/>
      </c>
      <c r="K159">
        <f>IF($J159=0,"",INDEX(ChqKey,143))</f>
        <v/>
      </c>
      <c r="L159">
        <f>IF($K159="","",COUNTIFS($J$17:$J$516,1,$K$17:$K$516,"&lt;"&amp;$K159)+1)</f>
        <v/>
      </c>
    </row>
    <row r="160">
      <c r="A160" s="16">
        <f>IF(IFERROR(MATCH(144,ChqRankL,0),0)=0,"",144)</f>
        <v/>
      </c>
      <c r="B160" s="24">
        <f>IF(IFERROR(MATCH(144,ChqRankL,0),0)=0,"",INDEX(ChqNorm,IFERROR(MATCH(144,ChqRankL,0),0)))</f>
        <v/>
      </c>
      <c r="C160" s="24">
        <f>IF(IFERROR(MATCH(144,ChqRankL,0),0)=0,"",INDEX(ChqNo,IFERROR(MATCH(144,ChqRankL,0),0)))</f>
        <v/>
      </c>
      <c r="D160" s="25">
        <f>IF(IFERROR(MATCH(144,ChqRankL,0),0)=0,"",IF(INDEX(ChqAmt,IFERROR(MATCH(144,ChqRankL,0),0))=0,"",INDEX(ChqAmt,IFERROR(MATCH(144,ChqRankL,0),0))))</f>
        <v/>
      </c>
      <c r="E160" s="17">
        <f>IF(IFERROR(MATCH(144,ChqRankL,0),0)=0,"",INDEX(ChqStatus,IFERROR(MATCH(144,ChqRankL,0),0)))</f>
        <v/>
      </c>
      <c r="F160" s="24">
        <f>IF(IFERROR(MATCH(144,ChqRankL,0),0)=0,"",IF(INDEX(ChqStatus,IFERROR(MATCH(144,ChqRankL,0),0))="پاس نشده","—",IF(INDEX(ChqClr,IFERROR(MATCH(144,ChqRankL,0),0))="","—",INDEX(ChqClr,IFERROR(MATCH(144,ChqRankL,0),0)))))</f>
        <v/>
      </c>
      <c r="I160">
        <f>IF(144&gt;NChq,"",INDEX(ChqNorm,144))</f>
        <v/>
      </c>
      <c r="J160">
        <f>IF($I160="","",IF(AND($I160&gt;=$H$3,$I160&lt;=$H$4),1,0))</f>
        <v/>
      </c>
      <c r="K160">
        <f>IF($J160=0,"",INDEX(ChqKey,144))</f>
        <v/>
      </c>
      <c r="L160">
        <f>IF($K160="","",COUNTIFS($J$17:$J$516,1,$K$17:$K$516,"&lt;"&amp;$K160)+1)</f>
        <v/>
      </c>
    </row>
    <row r="161">
      <c r="A161" s="10">
        <f>IF(IFERROR(MATCH(145,ChqRankL,0),0)=0,"",145)</f>
        <v/>
      </c>
      <c r="B161" s="22">
        <f>IF(IFERROR(MATCH(145,ChqRankL,0),0)=0,"",INDEX(ChqNorm,IFERROR(MATCH(145,ChqRankL,0),0)))</f>
        <v/>
      </c>
      <c r="C161" s="22">
        <f>IF(IFERROR(MATCH(145,ChqRankL,0),0)=0,"",INDEX(ChqNo,IFERROR(MATCH(145,ChqRankL,0),0)))</f>
        <v/>
      </c>
      <c r="D161" s="23">
        <f>IF(IFERROR(MATCH(145,ChqRankL,0),0)=0,"",IF(INDEX(ChqAmt,IFERROR(MATCH(145,ChqRankL,0),0))=0,"",INDEX(ChqAmt,IFERROR(MATCH(145,ChqRankL,0),0))))</f>
        <v/>
      </c>
      <c r="E161" s="14">
        <f>IF(IFERROR(MATCH(145,ChqRankL,0),0)=0,"",INDEX(ChqStatus,IFERROR(MATCH(145,ChqRankL,0),0)))</f>
        <v/>
      </c>
      <c r="F161" s="22">
        <f>IF(IFERROR(MATCH(145,ChqRankL,0),0)=0,"",IF(INDEX(ChqStatus,IFERROR(MATCH(145,ChqRankL,0),0))="پاس نشده","—",IF(INDEX(ChqClr,IFERROR(MATCH(145,ChqRankL,0),0))="","—",INDEX(ChqClr,IFERROR(MATCH(145,ChqRankL,0),0)))))</f>
        <v/>
      </c>
      <c r="I161">
        <f>IF(145&gt;NChq,"",INDEX(ChqNorm,145))</f>
        <v/>
      </c>
      <c r="J161">
        <f>IF($I161="","",IF(AND($I161&gt;=$H$3,$I161&lt;=$H$4),1,0))</f>
        <v/>
      </c>
      <c r="K161">
        <f>IF($J161=0,"",INDEX(ChqKey,145))</f>
        <v/>
      </c>
      <c r="L161">
        <f>IF($K161="","",COUNTIFS($J$17:$J$516,1,$K$17:$K$516,"&lt;"&amp;$K161)+1)</f>
        <v/>
      </c>
    </row>
    <row r="162">
      <c r="A162" s="16">
        <f>IF(IFERROR(MATCH(146,ChqRankL,0),0)=0,"",146)</f>
        <v/>
      </c>
      <c r="B162" s="24">
        <f>IF(IFERROR(MATCH(146,ChqRankL,0),0)=0,"",INDEX(ChqNorm,IFERROR(MATCH(146,ChqRankL,0),0)))</f>
        <v/>
      </c>
      <c r="C162" s="24">
        <f>IF(IFERROR(MATCH(146,ChqRankL,0),0)=0,"",INDEX(ChqNo,IFERROR(MATCH(146,ChqRankL,0),0)))</f>
        <v/>
      </c>
      <c r="D162" s="25">
        <f>IF(IFERROR(MATCH(146,ChqRankL,0),0)=0,"",IF(INDEX(ChqAmt,IFERROR(MATCH(146,ChqRankL,0),0))=0,"",INDEX(ChqAmt,IFERROR(MATCH(146,ChqRankL,0),0))))</f>
        <v/>
      </c>
      <c r="E162" s="17">
        <f>IF(IFERROR(MATCH(146,ChqRankL,0),0)=0,"",INDEX(ChqStatus,IFERROR(MATCH(146,ChqRankL,0),0)))</f>
        <v/>
      </c>
      <c r="F162" s="24">
        <f>IF(IFERROR(MATCH(146,ChqRankL,0),0)=0,"",IF(INDEX(ChqStatus,IFERROR(MATCH(146,ChqRankL,0),0))="پاس نشده","—",IF(INDEX(ChqClr,IFERROR(MATCH(146,ChqRankL,0),0))="","—",INDEX(ChqClr,IFERROR(MATCH(146,ChqRankL,0),0)))))</f>
        <v/>
      </c>
      <c r="I162">
        <f>IF(146&gt;NChq,"",INDEX(ChqNorm,146))</f>
        <v/>
      </c>
      <c r="J162">
        <f>IF($I162="","",IF(AND($I162&gt;=$H$3,$I162&lt;=$H$4),1,0))</f>
        <v/>
      </c>
      <c r="K162">
        <f>IF($J162=0,"",INDEX(ChqKey,146))</f>
        <v/>
      </c>
      <c r="L162">
        <f>IF($K162="","",COUNTIFS($J$17:$J$516,1,$K$17:$K$516,"&lt;"&amp;$K162)+1)</f>
        <v/>
      </c>
    </row>
    <row r="163">
      <c r="A163" s="10">
        <f>IF(IFERROR(MATCH(147,ChqRankL,0),0)=0,"",147)</f>
        <v/>
      </c>
      <c r="B163" s="22">
        <f>IF(IFERROR(MATCH(147,ChqRankL,0),0)=0,"",INDEX(ChqNorm,IFERROR(MATCH(147,ChqRankL,0),0)))</f>
        <v/>
      </c>
      <c r="C163" s="22">
        <f>IF(IFERROR(MATCH(147,ChqRankL,0),0)=0,"",INDEX(ChqNo,IFERROR(MATCH(147,ChqRankL,0),0)))</f>
        <v/>
      </c>
      <c r="D163" s="23">
        <f>IF(IFERROR(MATCH(147,ChqRankL,0),0)=0,"",IF(INDEX(ChqAmt,IFERROR(MATCH(147,ChqRankL,0),0))=0,"",INDEX(ChqAmt,IFERROR(MATCH(147,ChqRankL,0),0))))</f>
        <v/>
      </c>
      <c r="E163" s="14">
        <f>IF(IFERROR(MATCH(147,ChqRankL,0),0)=0,"",INDEX(ChqStatus,IFERROR(MATCH(147,ChqRankL,0),0)))</f>
        <v/>
      </c>
      <c r="F163" s="22">
        <f>IF(IFERROR(MATCH(147,ChqRankL,0),0)=0,"",IF(INDEX(ChqStatus,IFERROR(MATCH(147,ChqRankL,0),0))="پاس نشده","—",IF(INDEX(ChqClr,IFERROR(MATCH(147,ChqRankL,0),0))="","—",INDEX(ChqClr,IFERROR(MATCH(147,ChqRankL,0),0)))))</f>
        <v/>
      </c>
      <c r="I163">
        <f>IF(147&gt;NChq,"",INDEX(ChqNorm,147))</f>
        <v/>
      </c>
      <c r="J163">
        <f>IF($I163="","",IF(AND($I163&gt;=$H$3,$I163&lt;=$H$4),1,0))</f>
        <v/>
      </c>
      <c r="K163">
        <f>IF($J163=0,"",INDEX(ChqKey,147))</f>
        <v/>
      </c>
      <c r="L163">
        <f>IF($K163="","",COUNTIFS($J$17:$J$516,1,$K$17:$K$516,"&lt;"&amp;$K163)+1)</f>
        <v/>
      </c>
    </row>
    <row r="164">
      <c r="A164" s="16">
        <f>IF(IFERROR(MATCH(148,ChqRankL,0),0)=0,"",148)</f>
        <v/>
      </c>
      <c r="B164" s="24">
        <f>IF(IFERROR(MATCH(148,ChqRankL,0),0)=0,"",INDEX(ChqNorm,IFERROR(MATCH(148,ChqRankL,0),0)))</f>
        <v/>
      </c>
      <c r="C164" s="24">
        <f>IF(IFERROR(MATCH(148,ChqRankL,0),0)=0,"",INDEX(ChqNo,IFERROR(MATCH(148,ChqRankL,0),0)))</f>
        <v/>
      </c>
      <c r="D164" s="25">
        <f>IF(IFERROR(MATCH(148,ChqRankL,0),0)=0,"",IF(INDEX(ChqAmt,IFERROR(MATCH(148,ChqRankL,0),0))=0,"",INDEX(ChqAmt,IFERROR(MATCH(148,ChqRankL,0),0))))</f>
        <v/>
      </c>
      <c r="E164" s="17">
        <f>IF(IFERROR(MATCH(148,ChqRankL,0),0)=0,"",INDEX(ChqStatus,IFERROR(MATCH(148,ChqRankL,0),0)))</f>
        <v/>
      </c>
      <c r="F164" s="24">
        <f>IF(IFERROR(MATCH(148,ChqRankL,0),0)=0,"",IF(INDEX(ChqStatus,IFERROR(MATCH(148,ChqRankL,0),0))="پاس نشده","—",IF(INDEX(ChqClr,IFERROR(MATCH(148,ChqRankL,0),0))="","—",INDEX(ChqClr,IFERROR(MATCH(148,ChqRankL,0),0)))))</f>
        <v/>
      </c>
      <c r="I164">
        <f>IF(148&gt;NChq,"",INDEX(ChqNorm,148))</f>
        <v/>
      </c>
      <c r="J164">
        <f>IF($I164="","",IF(AND($I164&gt;=$H$3,$I164&lt;=$H$4),1,0))</f>
        <v/>
      </c>
      <c r="K164">
        <f>IF($J164=0,"",INDEX(ChqKey,148))</f>
        <v/>
      </c>
      <c r="L164">
        <f>IF($K164="","",COUNTIFS($J$17:$J$516,1,$K$17:$K$516,"&lt;"&amp;$K164)+1)</f>
        <v/>
      </c>
    </row>
    <row r="165">
      <c r="A165" s="10">
        <f>IF(IFERROR(MATCH(149,ChqRankL,0),0)=0,"",149)</f>
        <v/>
      </c>
      <c r="B165" s="22">
        <f>IF(IFERROR(MATCH(149,ChqRankL,0),0)=0,"",INDEX(ChqNorm,IFERROR(MATCH(149,ChqRankL,0),0)))</f>
        <v/>
      </c>
      <c r="C165" s="22">
        <f>IF(IFERROR(MATCH(149,ChqRankL,0),0)=0,"",INDEX(ChqNo,IFERROR(MATCH(149,ChqRankL,0),0)))</f>
        <v/>
      </c>
      <c r="D165" s="23">
        <f>IF(IFERROR(MATCH(149,ChqRankL,0),0)=0,"",IF(INDEX(ChqAmt,IFERROR(MATCH(149,ChqRankL,0),0))=0,"",INDEX(ChqAmt,IFERROR(MATCH(149,ChqRankL,0),0))))</f>
        <v/>
      </c>
      <c r="E165" s="14">
        <f>IF(IFERROR(MATCH(149,ChqRankL,0),0)=0,"",INDEX(ChqStatus,IFERROR(MATCH(149,ChqRankL,0),0)))</f>
        <v/>
      </c>
      <c r="F165" s="22">
        <f>IF(IFERROR(MATCH(149,ChqRankL,0),0)=0,"",IF(INDEX(ChqStatus,IFERROR(MATCH(149,ChqRankL,0),0))="پاس نشده","—",IF(INDEX(ChqClr,IFERROR(MATCH(149,ChqRankL,0),0))="","—",INDEX(ChqClr,IFERROR(MATCH(149,ChqRankL,0),0)))))</f>
        <v/>
      </c>
      <c r="I165">
        <f>IF(149&gt;NChq,"",INDEX(ChqNorm,149))</f>
        <v/>
      </c>
      <c r="J165">
        <f>IF($I165="","",IF(AND($I165&gt;=$H$3,$I165&lt;=$H$4),1,0))</f>
        <v/>
      </c>
      <c r="K165">
        <f>IF($J165=0,"",INDEX(ChqKey,149))</f>
        <v/>
      </c>
      <c r="L165">
        <f>IF($K165="","",COUNTIFS($J$17:$J$516,1,$K$17:$K$516,"&lt;"&amp;$K165)+1)</f>
        <v/>
      </c>
    </row>
    <row r="166">
      <c r="A166" s="16">
        <f>IF(IFERROR(MATCH(150,ChqRankL,0),0)=0,"",150)</f>
        <v/>
      </c>
      <c r="B166" s="24">
        <f>IF(IFERROR(MATCH(150,ChqRankL,0),0)=0,"",INDEX(ChqNorm,IFERROR(MATCH(150,ChqRankL,0),0)))</f>
        <v/>
      </c>
      <c r="C166" s="24">
        <f>IF(IFERROR(MATCH(150,ChqRankL,0),0)=0,"",INDEX(ChqNo,IFERROR(MATCH(150,ChqRankL,0),0)))</f>
        <v/>
      </c>
      <c r="D166" s="25">
        <f>IF(IFERROR(MATCH(150,ChqRankL,0),0)=0,"",IF(INDEX(ChqAmt,IFERROR(MATCH(150,ChqRankL,0),0))=0,"",INDEX(ChqAmt,IFERROR(MATCH(150,ChqRankL,0),0))))</f>
        <v/>
      </c>
      <c r="E166" s="17">
        <f>IF(IFERROR(MATCH(150,ChqRankL,0),0)=0,"",INDEX(ChqStatus,IFERROR(MATCH(150,ChqRankL,0),0)))</f>
        <v/>
      </c>
      <c r="F166" s="24">
        <f>IF(IFERROR(MATCH(150,ChqRankL,0),0)=0,"",IF(INDEX(ChqStatus,IFERROR(MATCH(150,ChqRankL,0),0))="پاس نشده","—",IF(INDEX(ChqClr,IFERROR(MATCH(150,ChqRankL,0),0))="","—",INDEX(ChqClr,IFERROR(MATCH(150,ChqRankL,0),0)))))</f>
        <v/>
      </c>
      <c r="I166">
        <f>IF(150&gt;NChq,"",INDEX(ChqNorm,150))</f>
        <v/>
      </c>
      <c r="J166">
        <f>IF($I166="","",IF(AND($I166&gt;=$H$3,$I166&lt;=$H$4),1,0))</f>
        <v/>
      </c>
      <c r="K166">
        <f>IF($J166=0,"",INDEX(ChqKey,150))</f>
        <v/>
      </c>
      <c r="L166">
        <f>IF($K166="","",COUNTIFS($J$17:$J$516,1,$K$17:$K$516,"&lt;"&amp;$K166)+1)</f>
        <v/>
      </c>
    </row>
    <row r="167">
      <c r="A167" s="10">
        <f>IF(IFERROR(MATCH(151,ChqRankL,0),0)=0,"",151)</f>
        <v/>
      </c>
      <c r="B167" s="22">
        <f>IF(IFERROR(MATCH(151,ChqRankL,0),0)=0,"",INDEX(ChqNorm,IFERROR(MATCH(151,ChqRankL,0),0)))</f>
        <v/>
      </c>
      <c r="C167" s="22">
        <f>IF(IFERROR(MATCH(151,ChqRankL,0),0)=0,"",INDEX(ChqNo,IFERROR(MATCH(151,ChqRankL,0),0)))</f>
        <v/>
      </c>
      <c r="D167" s="23">
        <f>IF(IFERROR(MATCH(151,ChqRankL,0),0)=0,"",IF(INDEX(ChqAmt,IFERROR(MATCH(151,ChqRankL,0),0))=0,"",INDEX(ChqAmt,IFERROR(MATCH(151,ChqRankL,0),0))))</f>
        <v/>
      </c>
      <c r="E167" s="14">
        <f>IF(IFERROR(MATCH(151,ChqRankL,0),0)=0,"",INDEX(ChqStatus,IFERROR(MATCH(151,ChqRankL,0),0)))</f>
        <v/>
      </c>
      <c r="F167" s="22">
        <f>IF(IFERROR(MATCH(151,ChqRankL,0),0)=0,"",IF(INDEX(ChqStatus,IFERROR(MATCH(151,ChqRankL,0),0))="پاس نشده","—",IF(INDEX(ChqClr,IFERROR(MATCH(151,ChqRankL,0),0))="","—",INDEX(ChqClr,IFERROR(MATCH(151,ChqRankL,0),0)))))</f>
        <v/>
      </c>
      <c r="I167">
        <f>IF(151&gt;NChq,"",INDEX(ChqNorm,151))</f>
        <v/>
      </c>
      <c r="J167">
        <f>IF($I167="","",IF(AND($I167&gt;=$H$3,$I167&lt;=$H$4),1,0))</f>
        <v/>
      </c>
      <c r="K167">
        <f>IF($J167=0,"",INDEX(ChqKey,151))</f>
        <v/>
      </c>
      <c r="L167">
        <f>IF($K167="","",COUNTIFS($J$17:$J$516,1,$K$17:$K$516,"&lt;"&amp;$K167)+1)</f>
        <v/>
      </c>
    </row>
    <row r="168">
      <c r="A168" s="16">
        <f>IF(IFERROR(MATCH(152,ChqRankL,0),0)=0,"",152)</f>
        <v/>
      </c>
      <c r="B168" s="24">
        <f>IF(IFERROR(MATCH(152,ChqRankL,0),0)=0,"",INDEX(ChqNorm,IFERROR(MATCH(152,ChqRankL,0),0)))</f>
        <v/>
      </c>
      <c r="C168" s="24">
        <f>IF(IFERROR(MATCH(152,ChqRankL,0),0)=0,"",INDEX(ChqNo,IFERROR(MATCH(152,ChqRankL,0),0)))</f>
        <v/>
      </c>
      <c r="D168" s="25">
        <f>IF(IFERROR(MATCH(152,ChqRankL,0),0)=0,"",IF(INDEX(ChqAmt,IFERROR(MATCH(152,ChqRankL,0),0))=0,"",INDEX(ChqAmt,IFERROR(MATCH(152,ChqRankL,0),0))))</f>
        <v/>
      </c>
      <c r="E168" s="17">
        <f>IF(IFERROR(MATCH(152,ChqRankL,0),0)=0,"",INDEX(ChqStatus,IFERROR(MATCH(152,ChqRankL,0),0)))</f>
        <v/>
      </c>
      <c r="F168" s="24">
        <f>IF(IFERROR(MATCH(152,ChqRankL,0),0)=0,"",IF(INDEX(ChqStatus,IFERROR(MATCH(152,ChqRankL,0),0))="پاس نشده","—",IF(INDEX(ChqClr,IFERROR(MATCH(152,ChqRankL,0),0))="","—",INDEX(ChqClr,IFERROR(MATCH(152,ChqRankL,0),0)))))</f>
        <v/>
      </c>
      <c r="I168">
        <f>IF(152&gt;NChq,"",INDEX(ChqNorm,152))</f>
        <v/>
      </c>
      <c r="J168">
        <f>IF($I168="","",IF(AND($I168&gt;=$H$3,$I168&lt;=$H$4),1,0))</f>
        <v/>
      </c>
      <c r="K168">
        <f>IF($J168=0,"",INDEX(ChqKey,152))</f>
        <v/>
      </c>
      <c r="L168">
        <f>IF($K168="","",COUNTIFS($J$17:$J$516,1,$K$17:$K$516,"&lt;"&amp;$K168)+1)</f>
        <v/>
      </c>
    </row>
    <row r="169">
      <c r="A169" s="10">
        <f>IF(IFERROR(MATCH(153,ChqRankL,0),0)=0,"",153)</f>
        <v/>
      </c>
      <c r="B169" s="22">
        <f>IF(IFERROR(MATCH(153,ChqRankL,0),0)=0,"",INDEX(ChqNorm,IFERROR(MATCH(153,ChqRankL,0),0)))</f>
        <v/>
      </c>
      <c r="C169" s="22">
        <f>IF(IFERROR(MATCH(153,ChqRankL,0),0)=0,"",INDEX(ChqNo,IFERROR(MATCH(153,ChqRankL,0),0)))</f>
        <v/>
      </c>
      <c r="D169" s="23">
        <f>IF(IFERROR(MATCH(153,ChqRankL,0),0)=0,"",IF(INDEX(ChqAmt,IFERROR(MATCH(153,ChqRankL,0),0))=0,"",INDEX(ChqAmt,IFERROR(MATCH(153,ChqRankL,0),0))))</f>
        <v/>
      </c>
      <c r="E169" s="14">
        <f>IF(IFERROR(MATCH(153,ChqRankL,0),0)=0,"",INDEX(ChqStatus,IFERROR(MATCH(153,ChqRankL,0),0)))</f>
        <v/>
      </c>
      <c r="F169" s="22">
        <f>IF(IFERROR(MATCH(153,ChqRankL,0),0)=0,"",IF(INDEX(ChqStatus,IFERROR(MATCH(153,ChqRankL,0),0))="پاس نشده","—",IF(INDEX(ChqClr,IFERROR(MATCH(153,ChqRankL,0),0))="","—",INDEX(ChqClr,IFERROR(MATCH(153,ChqRankL,0),0)))))</f>
        <v/>
      </c>
      <c r="I169">
        <f>IF(153&gt;NChq,"",INDEX(ChqNorm,153))</f>
        <v/>
      </c>
      <c r="J169">
        <f>IF($I169="","",IF(AND($I169&gt;=$H$3,$I169&lt;=$H$4),1,0))</f>
        <v/>
      </c>
      <c r="K169">
        <f>IF($J169=0,"",INDEX(ChqKey,153))</f>
        <v/>
      </c>
      <c r="L169">
        <f>IF($K169="","",COUNTIFS($J$17:$J$516,1,$K$17:$K$516,"&lt;"&amp;$K169)+1)</f>
        <v/>
      </c>
    </row>
    <row r="170">
      <c r="A170" s="16">
        <f>IF(IFERROR(MATCH(154,ChqRankL,0),0)=0,"",154)</f>
        <v/>
      </c>
      <c r="B170" s="24">
        <f>IF(IFERROR(MATCH(154,ChqRankL,0),0)=0,"",INDEX(ChqNorm,IFERROR(MATCH(154,ChqRankL,0),0)))</f>
        <v/>
      </c>
      <c r="C170" s="24">
        <f>IF(IFERROR(MATCH(154,ChqRankL,0),0)=0,"",INDEX(ChqNo,IFERROR(MATCH(154,ChqRankL,0),0)))</f>
        <v/>
      </c>
      <c r="D170" s="25">
        <f>IF(IFERROR(MATCH(154,ChqRankL,0),0)=0,"",IF(INDEX(ChqAmt,IFERROR(MATCH(154,ChqRankL,0),0))=0,"",INDEX(ChqAmt,IFERROR(MATCH(154,ChqRankL,0),0))))</f>
        <v/>
      </c>
      <c r="E170" s="17">
        <f>IF(IFERROR(MATCH(154,ChqRankL,0),0)=0,"",INDEX(ChqStatus,IFERROR(MATCH(154,ChqRankL,0),0)))</f>
        <v/>
      </c>
      <c r="F170" s="24">
        <f>IF(IFERROR(MATCH(154,ChqRankL,0),0)=0,"",IF(INDEX(ChqStatus,IFERROR(MATCH(154,ChqRankL,0),0))="پاس نشده","—",IF(INDEX(ChqClr,IFERROR(MATCH(154,ChqRankL,0),0))="","—",INDEX(ChqClr,IFERROR(MATCH(154,ChqRankL,0),0)))))</f>
        <v/>
      </c>
      <c r="I170">
        <f>IF(154&gt;NChq,"",INDEX(ChqNorm,154))</f>
        <v/>
      </c>
      <c r="J170">
        <f>IF($I170="","",IF(AND($I170&gt;=$H$3,$I170&lt;=$H$4),1,0))</f>
        <v/>
      </c>
      <c r="K170">
        <f>IF($J170=0,"",INDEX(ChqKey,154))</f>
        <v/>
      </c>
      <c r="L170">
        <f>IF($K170="","",COUNTIFS($J$17:$J$516,1,$K$17:$K$516,"&lt;"&amp;$K170)+1)</f>
        <v/>
      </c>
    </row>
    <row r="171">
      <c r="A171" s="10">
        <f>IF(IFERROR(MATCH(155,ChqRankL,0),0)=0,"",155)</f>
        <v/>
      </c>
      <c r="B171" s="22">
        <f>IF(IFERROR(MATCH(155,ChqRankL,0),0)=0,"",INDEX(ChqNorm,IFERROR(MATCH(155,ChqRankL,0),0)))</f>
        <v/>
      </c>
      <c r="C171" s="22">
        <f>IF(IFERROR(MATCH(155,ChqRankL,0),0)=0,"",INDEX(ChqNo,IFERROR(MATCH(155,ChqRankL,0),0)))</f>
        <v/>
      </c>
      <c r="D171" s="23">
        <f>IF(IFERROR(MATCH(155,ChqRankL,0),0)=0,"",IF(INDEX(ChqAmt,IFERROR(MATCH(155,ChqRankL,0),0))=0,"",INDEX(ChqAmt,IFERROR(MATCH(155,ChqRankL,0),0))))</f>
        <v/>
      </c>
      <c r="E171" s="14">
        <f>IF(IFERROR(MATCH(155,ChqRankL,0),0)=0,"",INDEX(ChqStatus,IFERROR(MATCH(155,ChqRankL,0),0)))</f>
        <v/>
      </c>
      <c r="F171" s="22">
        <f>IF(IFERROR(MATCH(155,ChqRankL,0),0)=0,"",IF(INDEX(ChqStatus,IFERROR(MATCH(155,ChqRankL,0),0))="پاس نشده","—",IF(INDEX(ChqClr,IFERROR(MATCH(155,ChqRankL,0),0))="","—",INDEX(ChqClr,IFERROR(MATCH(155,ChqRankL,0),0)))))</f>
        <v/>
      </c>
      <c r="I171">
        <f>IF(155&gt;NChq,"",INDEX(ChqNorm,155))</f>
        <v/>
      </c>
      <c r="J171">
        <f>IF($I171="","",IF(AND($I171&gt;=$H$3,$I171&lt;=$H$4),1,0))</f>
        <v/>
      </c>
      <c r="K171">
        <f>IF($J171=0,"",INDEX(ChqKey,155))</f>
        <v/>
      </c>
      <c r="L171">
        <f>IF($K171="","",COUNTIFS($J$17:$J$516,1,$K$17:$K$516,"&lt;"&amp;$K171)+1)</f>
        <v/>
      </c>
    </row>
    <row r="172">
      <c r="A172" s="16">
        <f>IF(IFERROR(MATCH(156,ChqRankL,0),0)=0,"",156)</f>
        <v/>
      </c>
      <c r="B172" s="24">
        <f>IF(IFERROR(MATCH(156,ChqRankL,0),0)=0,"",INDEX(ChqNorm,IFERROR(MATCH(156,ChqRankL,0),0)))</f>
        <v/>
      </c>
      <c r="C172" s="24">
        <f>IF(IFERROR(MATCH(156,ChqRankL,0),0)=0,"",INDEX(ChqNo,IFERROR(MATCH(156,ChqRankL,0),0)))</f>
        <v/>
      </c>
      <c r="D172" s="25">
        <f>IF(IFERROR(MATCH(156,ChqRankL,0),0)=0,"",IF(INDEX(ChqAmt,IFERROR(MATCH(156,ChqRankL,0),0))=0,"",INDEX(ChqAmt,IFERROR(MATCH(156,ChqRankL,0),0))))</f>
        <v/>
      </c>
      <c r="E172" s="17">
        <f>IF(IFERROR(MATCH(156,ChqRankL,0),0)=0,"",INDEX(ChqStatus,IFERROR(MATCH(156,ChqRankL,0),0)))</f>
        <v/>
      </c>
      <c r="F172" s="24">
        <f>IF(IFERROR(MATCH(156,ChqRankL,0),0)=0,"",IF(INDEX(ChqStatus,IFERROR(MATCH(156,ChqRankL,0),0))="پاس نشده","—",IF(INDEX(ChqClr,IFERROR(MATCH(156,ChqRankL,0),0))="","—",INDEX(ChqClr,IFERROR(MATCH(156,ChqRankL,0),0)))))</f>
        <v/>
      </c>
      <c r="I172">
        <f>IF(156&gt;NChq,"",INDEX(ChqNorm,156))</f>
        <v/>
      </c>
      <c r="J172">
        <f>IF($I172="","",IF(AND($I172&gt;=$H$3,$I172&lt;=$H$4),1,0))</f>
        <v/>
      </c>
      <c r="K172">
        <f>IF($J172=0,"",INDEX(ChqKey,156))</f>
        <v/>
      </c>
      <c r="L172">
        <f>IF($K172="","",COUNTIFS($J$17:$J$516,1,$K$17:$K$516,"&lt;"&amp;$K172)+1)</f>
        <v/>
      </c>
    </row>
    <row r="173">
      <c r="A173" s="10">
        <f>IF(IFERROR(MATCH(157,ChqRankL,0),0)=0,"",157)</f>
        <v/>
      </c>
      <c r="B173" s="22">
        <f>IF(IFERROR(MATCH(157,ChqRankL,0),0)=0,"",INDEX(ChqNorm,IFERROR(MATCH(157,ChqRankL,0),0)))</f>
        <v/>
      </c>
      <c r="C173" s="22">
        <f>IF(IFERROR(MATCH(157,ChqRankL,0),0)=0,"",INDEX(ChqNo,IFERROR(MATCH(157,ChqRankL,0),0)))</f>
        <v/>
      </c>
      <c r="D173" s="23">
        <f>IF(IFERROR(MATCH(157,ChqRankL,0),0)=0,"",IF(INDEX(ChqAmt,IFERROR(MATCH(157,ChqRankL,0),0))=0,"",INDEX(ChqAmt,IFERROR(MATCH(157,ChqRankL,0),0))))</f>
        <v/>
      </c>
      <c r="E173" s="14">
        <f>IF(IFERROR(MATCH(157,ChqRankL,0),0)=0,"",INDEX(ChqStatus,IFERROR(MATCH(157,ChqRankL,0),0)))</f>
        <v/>
      </c>
      <c r="F173" s="22">
        <f>IF(IFERROR(MATCH(157,ChqRankL,0),0)=0,"",IF(INDEX(ChqStatus,IFERROR(MATCH(157,ChqRankL,0),0))="پاس نشده","—",IF(INDEX(ChqClr,IFERROR(MATCH(157,ChqRankL,0),0))="","—",INDEX(ChqClr,IFERROR(MATCH(157,ChqRankL,0),0)))))</f>
        <v/>
      </c>
      <c r="I173">
        <f>IF(157&gt;NChq,"",INDEX(ChqNorm,157))</f>
        <v/>
      </c>
      <c r="J173">
        <f>IF($I173="","",IF(AND($I173&gt;=$H$3,$I173&lt;=$H$4),1,0))</f>
        <v/>
      </c>
      <c r="K173">
        <f>IF($J173=0,"",INDEX(ChqKey,157))</f>
        <v/>
      </c>
      <c r="L173">
        <f>IF($K173="","",COUNTIFS($J$17:$J$516,1,$K$17:$K$516,"&lt;"&amp;$K173)+1)</f>
        <v/>
      </c>
    </row>
    <row r="174">
      <c r="A174" s="16">
        <f>IF(IFERROR(MATCH(158,ChqRankL,0),0)=0,"",158)</f>
        <v/>
      </c>
      <c r="B174" s="24">
        <f>IF(IFERROR(MATCH(158,ChqRankL,0),0)=0,"",INDEX(ChqNorm,IFERROR(MATCH(158,ChqRankL,0),0)))</f>
        <v/>
      </c>
      <c r="C174" s="24">
        <f>IF(IFERROR(MATCH(158,ChqRankL,0),0)=0,"",INDEX(ChqNo,IFERROR(MATCH(158,ChqRankL,0),0)))</f>
        <v/>
      </c>
      <c r="D174" s="25">
        <f>IF(IFERROR(MATCH(158,ChqRankL,0),0)=0,"",IF(INDEX(ChqAmt,IFERROR(MATCH(158,ChqRankL,0),0))=0,"",INDEX(ChqAmt,IFERROR(MATCH(158,ChqRankL,0),0))))</f>
        <v/>
      </c>
      <c r="E174" s="17">
        <f>IF(IFERROR(MATCH(158,ChqRankL,0),0)=0,"",INDEX(ChqStatus,IFERROR(MATCH(158,ChqRankL,0),0)))</f>
        <v/>
      </c>
      <c r="F174" s="24">
        <f>IF(IFERROR(MATCH(158,ChqRankL,0),0)=0,"",IF(INDEX(ChqStatus,IFERROR(MATCH(158,ChqRankL,0),0))="پاس نشده","—",IF(INDEX(ChqClr,IFERROR(MATCH(158,ChqRankL,0),0))="","—",INDEX(ChqClr,IFERROR(MATCH(158,ChqRankL,0),0)))))</f>
        <v/>
      </c>
      <c r="I174">
        <f>IF(158&gt;NChq,"",INDEX(ChqNorm,158))</f>
        <v/>
      </c>
      <c r="J174">
        <f>IF($I174="","",IF(AND($I174&gt;=$H$3,$I174&lt;=$H$4),1,0))</f>
        <v/>
      </c>
      <c r="K174">
        <f>IF($J174=0,"",INDEX(ChqKey,158))</f>
        <v/>
      </c>
      <c r="L174">
        <f>IF($K174="","",COUNTIFS($J$17:$J$516,1,$K$17:$K$516,"&lt;"&amp;$K174)+1)</f>
        <v/>
      </c>
    </row>
    <row r="175">
      <c r="A175" s="10">
        <f>IF(IFERROR(MATCH(159,ChqRankL,0),0)=0,"",159)</f>
        <v/>
      </c>
      <c r="B175" s="22">
        <f>IF(IFERROR(MATCH(159,ChqRankL,0),0)=0,"",INDEX(ChqNorm,IFERROR(MATCH(159,ChqRankL,0),0)))</f>
        <v/>
      </c>
      <c r="C175" s="22">
        <f>IF(IFERROR(MATCH(159,ChqRankL,0),0)=0,"",INDEX(ChqNo,IFERROR(MATCH(159,ChqRankL,0),0)))</f>
        <v/>
      </c>
      <c r="D175" s="23">
        <f>IF(IFERROR(MATCH(159,ChqRankL,0),0)=0,"",IF(INDEX(ChqAmt,IFERROR(MATCH(159,ChqRankL,0),0))=0,"",INDEX(ChqAmt,IFERROR(MATCH(159,ChqRankL,0),0))))</f>
        <v/>
      </c>
      <c r="E175" s="14">
        <f>IF(IFERROR(MATCH(159,ChqRankL,0),0)=0,"",INDEX(ChqStatus,IFERROR(MATCH(159,ChqRankL,0),0)))</f>
        <v/>
      </c>
      <c r="F175" s="22">
        <f>IF(IFERROR(MATCH(159,ChqRankL,0),0)=0,"",IF(INDEX(ChqStatus,IFERROR(MATCH(159,ChqRankL,0),0))="پاس نشده","—",IF(INDEX(ChqClr,IFERROR(MATCH(159,ChqRankL,0),0))="","—",INDEX(ChqClr,IFERROR(MATCH(159,ChqRankL,0),0)))))</f>
        <v/>
      </c>
      <c r="I175">
        <f>IF(159&gt;NChq,"",INDEX(ChqNorm,159))</f>
        <v/>
      </c>
      <c r="J175">
        <f>IF($I175="","",IF(AND($I175&gt;=$H$3,$I175&lt;=$H$4),1,0))</f>
        <v/>
      </c>
      <c r="K175">
        <f>IF($J175=0,"",INDEX(ChqKey,159))</f>
        <v/>
      </c>
      <c r="L175">
        <f>IF($K175="","",COUNTIFS($J$17:$J$516,1,$K$17:$K$516,"&lt;"&amp;$K175)+1)</f>
        <v/>
      </c>
    </row>
    <row r="176">
      <c r="A176" s="16">
        <f>IF(IFERROR(MATCH(160,ChqRankL,0),0)=0,"",160)</f>
        <v/>
      </c>
      <c r="B176" s="24">
        <f>IF(IFERROR(MATCH(160,ChqRankL,0),0)=0,"",INDEX(ChqNorm,IFERROR(MATCH(160,ChqRankL,0),0)))</f>
        <v/>
      </c>
      <c r="C176" s="24">
        <f>IF(IFERROR(MATCH(160,ChqRankL,0),0)=0,"",INDEX(ChqNo,IFERROR(MATCH(160,ChqRankL,0),0)))</f>
        <v/>
      </c>
      <c r="D176" s="25">
        <f>IF(IFERROR(MATCH(160,ChqRankL,0),0)=0,"",IF(INDEX(ChqAmt,IFERROR(MATCH(160,ChqRankL,0),0))=0,"",INDEX(ChqAmt,IFERROR(MATCH(160,ChqRankL,0),0))))</f>
        <v/>
      </c>
      <c r="E176" s="17">
        <f>IF(IFERROR(MATCH(160,ChqRankL,0),0)=0,"",INDEX(ChqStatus,IFERROR(MATCH(160,ChqRankL,0),0)))</f>
        <v/>
      </c>
      <c r="F176" s="24">
        <f>IF(IFERROR(MATCH(160,ChqRankL,0),0)=0,"",IF(INDEX(ChqStatus,IFERROR(MATCH(160,ChqRankL,0),0))="پاس نشده","—",IF(INDEX(ChqClr,IFERROR(MATCH(160,ChqRankL,0),0))="","—",INDEX(ChqClr,IFERROR(MATCH(160,ChqRankL,0),0)))))</f>
        <v/>
      </c>
      <c r="I176">
        <f>IF(160&gt;NChq,"",INDEX(ChqNorm,160))</f>
        <v/>
      </c>
      <c r="J176">
        <f>IF($I176="","",IF(AND($I176&gt;=$H$3,$I176&lt;=$H$4),1,0))</f>
        <v/>
      </c>
      <c r="K176">
        <f>IF($J176=0,"",INDEX(ChqKey,160))</f>
        <v/>
      </c>
      <c r="L176">
        <f>IF($K176="","",COUNTIFS($J$17:$J$516,1,$K$17:$K$516,"&lt;"&amp;$K176)+1)</f>
        <v/>
      </c>
    </row>
    <row r="177">
      <c r="A177" s="10">
        <f>IF(IFERROR(MATCH(161,ChqRankL,0),0)=0,"",161)</f>
        <v/>
      </c>
      <c r="B177" s="22">
        <f>IF(IFERROR(MATCH(161,ChqRankL,0),0)=0,"",INDEX(ChqNorm,IFERROR(MATCH(161,ChqRankL,0),0)))</f>
        <v/>
      </c>
      <c r="C177" s="22">
        <f>IF(IFERROR(MATCH(161,ChqRankL,0),0)=0,"",INDEX(ChqNo,IFERROR(MATCH(161,ChqRankL,0),0)))</f>
        <v/>
      </c>
      <c r="D177" s="23">
        <f>IF(IFERROR(MATCH(161,ChqRankL,0),0)=0,"",IF(INDEX(ChqAmt,IFERROR(MATCH(161,ChqRankL,0),0))=0,"",INDEX(ChqAmt,IFERROR(MATCH(161,ChqRankL,0),0))))</f>
        <v/>
      </c>
      <c r="E177" s="14">
        <f>IF(IFERROR(MATCH(161,ChqRankL,0),0)=0,"",INDEX(ChqStatus,IFERROR(MATCH(161,ChqRankL,0),0)))</f>
        <v/>
      </c>
      <c r="F177" s="22">
        <f>IF(IFERROR(MATCH(161,ChqRankL,0),0)=0,"",IF(INDEX(ChqStatus,IFERROR(MATCH(161,ChqRankL,0),0))="پاس نشده","—",IF(INDEX(ChqClr,IFERROR(MATCH(161,ChqRankL,0),0))="","—",INDEX(ChqClr,IFERROR(MATCH(161,ChqRankL,0),0)))))</f>
        <v/>
      </c>
      <c r="I177">
        <f>IF(161&gt;NChq,"",INDEX(ChqNorm,161))</f>
        <v/>
      </c>
      <c r="J177">
        <f>IF($I177="","",IF(AND($I177&gt;=$H$3,$I177&lt;=$H$4),1,0))</f>
        <v/>
      </c>
      <c r="K177">
        <f>IF($J177=0,"",INDEX(ChqKey,161))</f>
        <v/>
      </c>
      <c r="L177">
        <f>IF($K177="","",COUNTIFS($J$17:$J$516,1,$K$17:$K$516,"&lt;"&amp;$K177)+1)</f>
        <v/>
      </c>
    </row>
    <row r="178">
      <c r="A178" s="16">
        <f>IF(IFERROR(MATCH(162,ChqRankL,0),0)=0,"",162)</f>
        <v/>
      </c>
      <c r="B178" s="24">
        <f>IF(IFERROR(MATCH(162,ChqRankL,0),0)=0,"",INDEX(ChqNorm,IFERROR(MATCH(162,ChqRankL,0),0)))</f>
        <v/>
      </c>
      <c r="C178" s="24">
        <f>IF(IFERROR(MATCH(162,ChqRankL,0),0)=0,"",INDEX(ChqNo,IFERROR(MATCH(162,ChqRankL,0),0)))</f>
        <v/>
      </c>
      <c r="D178" s="25">
        <f>IF(IFERROR(MATCH(162,ChqRankL,0),0)=0,"",IF(INDEX(ChqAmt,IFERROR(MATCH(162,ChqRankL,0),0))=0,"",INDEX(ChqAmt,IFERROR(MATCH(162,ChqRankL,0),0))))</f>
        <v/>
      </c>
      <c r="E178" s="17">
        <f>IF(IFERROR(MATCH(162,ChqRankL,0),0)=0,"",INDEX(ChqStatus,IFERROR(MATCH(162,ChqRankL,0),0)))</f>
        <v/>
      </c>
      <c r="F178" s="24">
        <f>IF(IFERROR(MATCH(162,ChqRankL,0),0)=0,"",IF(INDEX(ChqStatus,IFERROR(MATCH(162,ChqRankL,0),0))="پاس نشده","—",IF(INDEX(ChqClr,IFERROR(MATCH(162,ChqRankL,0),0))="","—",INDEX(ChqClr,IFERROR(MATCH(162,ChqRankL,0),0)))))</f>
        <v/>
      </c>
      <c r="I178">
        <f>IF(162&gt;NChq,"",INDEX(ChqNorm,162))</f>
        <v/>
      </c>
      <c r="J178">
        <f>IF($I178="","",IF(AND($I178&gt;=$H$3,$I178&lt;=$H$4),1,0))</f>
        <v/>
      </c>
      <c r="K178">
        <f>IF($J178=0,"",INDEX(ChqKey,162))</f>
        <v/>
      </c>
      <c r="L178">
        <f>IF($K178="","",COUNTIFS($J$17:$J$516,1,$K$17:$K$516,"&lt;"&amp;$K178)+1)</f>
        <v/>
      </c>
    </row>
    <row r="179">
      <c r="A179" s="10">
        <f>IF(IFERROR(MATCH(163,ChqRankL,0),0)=0,"",163)</f>
        <v/>
      </c>
      <c r="B179" s="22">
        <f>IF(IFERROR(MATCH(163,ChqRankL,0),0)=0,"",INDEX(ChqNorm,IFERROR(MATCH(163,ChqRankL,0),0)))</f>
        <v/>
      </c>
      <c r="C179" s="22">
        <f>IF(IFERROR(MATCH(163,ChqRankL,0),0)=0,"",INDEX(ChqNo,IFERROR(MATCH(163,ChqRankL,0),0)))</f>
        <v/>
      </c>
      <c r="D179" s="23">
        <f>IF(IFERROR(MATCH(163,ChqRankL,0),0)=0,"",IF(INDEX(ChqAmt,IFERROR(MATCH(163,ChqRankL,0),0))=0,"",INDEX(ChqAmt,IFERROR(MATCH(163,ChqRankL,0),0))))</f>
        <v/>
      </c>
      <c r="E179" s="14">
        <f>IF(IFERROR(MATCH(163,ChqRankL,0),0)=0,"",INDEX(ChqStatus,IFERROR(MATCH(163,ChqRankL,0),0)))</f>
        <v/>
      </c>
      <c r="F179" s="22">
        <f>IF(IFERROR(MATCH(163,ChqRankL,0),0)=0,"",IF(INDEX(ChqStatus,IFERROR(MATCH(163,ChqRankL,0),0))="پاس نشده","—",IF(INDEX(ChqClr,IFERROR(MATCH(163,ChqRankL,0),0))="","—",INDEX(ChqClr,IFERROR(MATCH(163,ChqRankL,0),0)))))</f>
        <v/>
      </c>
      <c r="I179">
        <f>IF(163&gt;NChq,"",INDEX(ChqNorm,163))</f>
        <v/>
      </c>
      <c r="J179">
        <f>IF($I179="","",IF(AND($I179&gt;=$H$3,$I179&lt;=$H$4),1,0))</f>
        <v/>
      </c>
      <c r="K179">
        <f>IF($J179=0,"",INDEX(ChqKey,163))</f>
        <v/>
      </c>
      <c r="L179">
        <f>IF($K179="","",COUNTIFS($J$17:$J$516,1,$K$17:$K$516,"&lt;"&amp;$K179)+1)</f>
        <v/>
      </c>
    </row>
    <row r="180">
      <c r="A180" s="16">
        <f>IF(IFERROR(MATCH(164,ChqRankL,0),0)=0,"",164)</f>
        <v/>
      </c>
      <c r="B180" s="24">
        <f>IF(IFERROR(MATCH(164,ChqRankL,0),0)=0,"",INDEX(ChqNorm,IFERROR(MATCH(164,ChqRankL,0),0)))</f>
        <v/>
      </c>
      <c r="C180" s="24">
        <f>IF(IFERROR(MATCH(164,ChqRankL,0),0)=0,"",INDEX(ChqNo,IFERROR(MATCH(164,ChqRankL,0),0)))</f>
        <v/>
      </c>
      <c r="D180" s="25">
        <f>IF(IFERROR(MATCH(164,ChqRankL,0),0)=0,"",IF(INDEX(ChqAmt,IFERROR(MATCH(164,ChqRankL,0),0))=0,"",INDEX(ChqAmt,IFERROR(MATCH(164,ChqRankL,0),0))))</f>
        <v/>
      </c>
      <c r="E180" s="17">
        <f>IF(IFERROR(MATCH(164,ChqRankL,0),0)=0,"",INDEX(ChqStatus,IFERROR(MATCH(164,ChqRankL,0),0)))</f>
        <v/>
      </c>
      <c r="F180" s="24">
        <f>IF(IFERROR(MATCH(164,ChqRankL,0),0)=0,"",IF(INDEX(ChqStatus,IFERROR(MATCH(164,ChqRankL,0),0))="پاس نشده","—",IF(INDEX(ChqClr,IFERROR(MATCH(164,ChqRankL,0),0))="","—",INDEX(ChqClr,IFERROR(MATCH(164,ChqRankL,0),0)))))</f>
        <v/>
      </c>
      <c r="I180">
        <f>IF(164&gt;NChq,"",INDEX(ChqNorm,164))</f>
        <v/>
      </c>
      <c r="J180">
        <f>IF($I180="","",IF(AND($I180&gt;=$H$3,$I180&lt;=$H$4),1,0))</f>
        <v/>
      </c>
      <c r="K180">
        <f>IF($J180=0,"",INDEX(ChqKey,164))</f>
        <v/>
      </c>
      <c r="L180">
        <f>IF($K180="","",COUNTIFS($J$17:$J$516,1,$K$17:$K$516,"&lt;"&amp;$K180)+1)</f>
        <v/>
      </c>
    </row>
    <row r="181">
      <c r="A181" s="10">
        <f>IF(IFERROR(MATCH(165,ChqRankL,0),0)=0,"",165)</f>
        <v/>
      </c>
      <c r="B181" s="22">
        <f>IF(IFERROR(MATCH(165,ChqRankL,0),0)=0,"",INDEX(ChqNorm,IFERROR(MATCH(165,ChqRankL,0),0)))</f>
        <v/>
      </c>
      <c r="C181" s="22">
        <f>IF(IFERROR(MATCH(165,ChqRankL,0),0)=0,"",INDEX(ChqNo,IFERROR(MATCH(165,ChqRankL,0),0)))</f>
        <v/>
      </c>
      <c r="D181" s="23">
        <f>IF(IFERROR(MATCH(165,ChqRankL,0),0)=0,"",IF(INDEX(ChqAmt,IFERROR(MATCH(165,ChqRankL,0),0))=0,"",INDEX(ChqAmt,IFERROR(MATCH(165,ChqRankL,0),0))))</f>
        <v/>
      </c>
      <c r="E181" s="14">
        <f>IF(IFERROR(MATCH(165,ChqRankL,0),0)=0,"",INDEX(ChqStatus,IFERROR(MATCH(165,ChqRankL,0),0)))</f>
        <v/>
      </c>
      <c r="F181" s="22">
        <f>IF(IFERROR(MATCH(165,ChqRankL,0),0)=0,"",IF(INDEX(ChqStatus,IFERROR(MATCH(165,ChqRankL,0),0))="پاس نشده","—",IF(INDEX(ChqClr,IFERROR(MATCH(165,ChqRankL,0),0))="","—",INDEX(ChqClr,IFERROR(MATCH(165,ChqRankL,0),0)))))</f>
        <v/>
      </c>
      <c r="I181">
        <f>IF(165&gt;NChq,"",INDEX(ChqNorm,165))</f>
        <v/>
      </c>
      <c r="J181">
        <f>IF($I181="","",IF(AND($I181&gt;=$H$3,$I181&lt;=$H$4),1,0))</f>
        <v/>
      </c>
      <c r="K181">
        <f>IF($J181=0,"",INDEX(ChqKey,165))</f>
        <v/>
      </c>
      <c r="L181">
        <f>IF($K181="","",COUNTIFS($J$17:$J$516,1,$K$17:$K$516,"&lt;"&amp;$K181)+1)</f>
        <v/>
      </c>
    </row>
    <row r="182">
      <c r="A182" s="16">
        <f>IF(IFERROR(MATCH(166,ChqRankL,0),0)=0,"",166)</f>
        <v/>
      </c>
      <c r="B182" s="24">
        <f>IF(IFERROR(MATCH(166,ChqRankL,0),0)=0,"",INDEX(ChqNorm,IFERROR(MATCH(166,ChqRankL,0),0)))</f>
        <v/>
      </c>
      <c r="C182" s="24">
        <f>IF(IFERROR(MATCH(166,ChqRankL,0),0)=0,"",INDEX(ChqNo,IFERROR(MATCH(166,ChqRankL,0),0)))</f>
        <v/>
      </c>
      <c r="D182" s="25">
        <f>IF(IFERROR(MATCH(166,ChqRankL,0),0)=0,"",IF(INDEX(ChqAmt,IFERROR(MATCH(166,ChqRankL,0),0))=0,"",INDEX(ChqAmt,IFERROR(MATCH(166,ChqRankL,0),0))))</f>
        <v/>
      </c>
      <c r="E182" s="17">
        <f>IF(IFERROR(MATCH(166,ChqRankL,0),0)=0,"",INDEX(ChqStatus,IFERROR(MATCH(166,ChqRankL,0),0)))</f>
        <v/>
      </c>
      <c r="F182" s="24">
        <f>IF(IFERROR(MATCH(166,ChqRankL,0),0)=0,"",IF(INDEX(ChqStatus,IFERROR(MATCH(166,ChqRankL,0),0))="پاس نشده","—",IF(INDEX(ChqClr,IFERROR(MATCH(166,ChqRankL,0),0))="","—",INDEX(ChqClr,IFERROR(MATCH(166,ChqRankL,0),0)))))</f>
        <v/>
      </c>
      <c r="I182">
        <f>IF(166&gt;NChq,"",INDEX(ChqNorm,166))</f>
        <v/>
      </c>
      <c r="J182">
        <f>IF($I182="","",IF(AND($I182&gt;=$H$3,$I182&lt;=$H$4),1,0))</f>
        <v/>
      </c>
      <c r="K182">
        <f>IF($J182=0,"",INDEX(ChqKey,166))</f>
        <v/>
      </c>
      <c r="L182">
        <f>IF($K182="","",COUNTIFS($J$17:$J$516,1,$K$17:$K$516,"&lt;"&amp;$K182)+1)</f>
        <v/>
      </c>
    </row>
    <row r="183">
      <c r="A183" s="10">
        <f>IF(IFERROR(MATCH(167,ChqRankL,0),0)=0,"",167)</f>
        <v/>
      </c>
      <c r="B183" s="22">
        <f>IF(IFERROR(MATCH(167,ChqRankL,0),0)=0,"",INDEX(ChqNorm,IFERROR(MATCH(167,ChqRankL,0),0)))</f>
        <v/>
      </c>
      <c r="C183" s="22">
        <f>IF(IFERROR(MATCH(167,ChqRankL,0),0)=0,"",INDEX(ChqNo,IFERROR(MATCH(167,ChqRankL,0),0)))</f>
        <v/>
      </c>
      <c r="D183" s="23">
        <f>IF(IFERROR(MATCH(167,ChqRankL,0),0)=0,"",IF(INDEX(ChqAmt,IFERROR(MATCH(167,ChqRankL,0),0))=0,"",INDEX(ChqAmt,IFERROR(MATCH(167,ChqRankL,0),0))))</f>
        <v/>
      </c>
      <c r="E183" s="14">
        <f>IF(IFERROR(MATCH(167,ChqRankL,0),0)=0,"",INDEX(ChqStatus,IFERROR(MATCH(167,ChqRankL,0),0)))</f>
        <v/>
      </c>
      <c r="F183" s="22">
        <f>IF(IFERROR(MATCH(167,ChqRankL,0),0)=0,"",IF(INDEX(ChqStatus,IFERROR(MATCH(167,ChqRankL,0),0))="پاس نشده","—",IF(INDEX(ChqClr,IFERROR(MATCH(167,ChqRankL,0),0))="","—",INDEX(ChqClr,IFERROR(MATCH(167,ChqRankL,0),0)))))</f>
        <v/>
      </c>
      <c r="I183">
        <f>IF(167&gt;NChq,"",INDEX(ChqNorm,167))</f>
        <v/>
      </c>
      <c r="J183">
        <f>IF($I183="","",IF(AND($I183&gt;=$H$3,$I183&lt;=$H$4),1,0))</f>
        <v/>
      </c>
      <c r="K183">
        <f>IF($J183=0,"",INDEX(ChqKey,167))</f>
        <v/>
      </c>
      <c r="L183">
        <f>IF($K183="","",COUNTIFS($J$17:$J$516,1,$K$17:$K$516,"&lt;"&amp;$K183)+1)</f>
        <v/>
      </c>
    </row>
    <row r="184">
      <c r="A184" s="16">
        <f>IF(IFERROR(MATCH(168,ChqRankL,0),0)=0,"",168)</f>
        <v/>
      </c>
      <c r="B184" s="24">
        <f>IF(IFERROR(MATCH(168,ChqRankL,0),0)=0,"",INDEX(ChqNorm,IFERROR(MATCH(168,ChqRankL,0),0)))</f>
        <v/>
      </c>
      <c r="C184" s="24">
        <f>IF(IFERROR(MATCH(168,ChqRankL,0),0)=0,"",INDEX(ChqNo,IFERROR(MATCH(168,ChqRankL,0),0)))</f>
        <v/>
      </c>
      <c r="D184" s="25">
        <f>IF(IFERROR(MATCH(168,ChqRankL,0),0)=0,"",IF(INDEX(ChqAmt,IFERROR(MATCH(168,ChqRankL,0),0))=0,"",INDEX(ChqAmt,IFERROR(MATCH(168,ChqRankL,0),0))))</f>
        <v/>
      </c>
      <c r="E184" s="17">
        <f>IF(IFERROR(MATCH(168,ChqRankL,0),0)=0,"",INDEX(ChqStatus,IFERROR(MATCH(168,ChqRankL,0),0)))</f>
        <v/>
      </c>
      <c r="F184" s="24">
        <f>IF(IFERROR(MATCH(168,ChqRankL,0),0)=0,"",IF(INDEX(ChqStatus,IFERROR(MATCH(168,ChqRankL,0),0))="پاس نشده","—",IF(INDEX(ChqClr,IFERROR(MATCH(168,ChqRankL,0),0))="","—",INDEX(ChqClr,IFERROR(MATCH(168,ChqRankL,0),0)))))</f>
        <v/>
      </c>
      <c r="I184">
        <f>IF(168&gt;NChq,"",INDEX(ChqNorm,168))</f>
        <v/>
      </c>
      <c r="J184">
        <f>IF($I184="","",IF(AND($I184&gt;=$H$3,$I184&lt;=$H$4),1,0))</f>
        <v/>
      </c>
      <c r="K184">
        <f>IF($J184=0,"",INDEX(ChqKey,168))</f>
        <v/>
      </c>
      <c r="L184">
        <f>IF($K184="","",COUNTIFS($J$17:$J$516,1,$K$17:$K$516,"&lt;"&amp;$K184)+1)</f>
        <v/>
      </c>
    </row>
    <row r="185">
      <c r="A185" s="10">
        <f>IF(IFERROR(MATCH(169,ChqRankL,0),0)=0,"",169)</f>
        <v/>
      </c>
      <c r="B185" s="22">
        <f>IF(IFERROR(MATCH(169,ChqRankL,0),0)=0,"",INDEX(ChqNorm,IFERROR(MATCH(169,ChqRankL,0),0)))</f>
        <v/>
      </c>
      <c r="C185" s="22">
        <f>IF(IFERROR(MATCH(169,ChqRankL,0),0)=0,"",INDEX(ChqNo,IFERROR(MATCH(169,ChqRankL,0),0)))</f>
        <v/>
      </c>
      <c r="D185" s="23">
        <f>IF(IFERROR(MATCH(169,ChqRankL,0),0)=0,"",IF(INDEX(ChqAmt,IFERROR(MATCH(169,ChqRankL,0),0))=0,"",INDEX(ChqAmt,IFERROR(MATCH(169,ChqRankL,0),0))))</f>
        <v/>
      </c>
      <c r="E185" s="14">
        <f>IF(IFERROR(MATCH(169,ChqRankL,0),0)=0,"",INDEX(ChqStatus,IFERROR(MATCH(169,ChqRankL,0),0)))</f>
        <v/>
      </c>
      <c r="F185" s="22">
        <f>IF(IFERROR(MATCH(169,ChqRankL,0),0)=0,"",IF(INDEX(ChqStatus,IFERROR(MATCH(169,ChqRankL,0),0))="پاس نشده","—",IF(INDEX(ChqClr,IFERROR(MATCH(169,ChqRankL,0),0))="","—",INDEX(ChqClr,IFERROR(MATCH(169,ChqRankL,0),0)))))</f>
        <v/>
      </c>
      <c r="I185">
        <f>IF(169&gt;NChq,"",INDEX(ChqNorm,169))</f>
        <v/>
      </c>
      <c r="J185">
        <f>IF($I185="","",IF(AND($I185&gt;=$H$3,$I185&lt;=$H$4),1,0))</f>
        <v/>
      </c>
      <c r="K185">
        <f>IF($J185=0,"",INDEX(ChqKey,169))</f>
        <v/>
      </c>
      <c r="L185">
        <f>IF($K185="","",COUNTIFS($J$17:$J$516,1,$K$17:$K$516,"&lt;"&amp;$K185)+1)</f>
        <v/>
      </c>
    </row>
    <row r="186">
      <c r="A186" s="16">
        <f>IF(IFERROR(MATCH(170,ChqRankL,0),0)=0,"",170)</f>
        <v/>
      </c>
      <c r="B186" s="24">
        <f>IF(IFERROR(MATCH(170,ChqRankL,0),0)=0,"",INDEX(ChqNorm,IFERROR(MATCH(170,ChqRankL,0),0)))</f>
        <v/>
      </c>
      <c r="C186" s="24">
        <f>IF(IFERROR(MATCH(170,ChqRankL,0),0)=0,"",INDEX(ChqNo,IFERROR(MATCH(170,ChqRankL,0),0)))</f>
        <v/>
      </c>
      <c r="D186" s="25">
        <f>IF(IFERROR(MATCH(170,ChqRankL,0),0)=0,"",IF(INDEX(ChqAmt,IFERROR(MATCH(170,ChqRankL,0),0))=0,"",INDEX(ChqAmt,IFERROR(MATCH(170,ChqRankL,0),0))))</f>
        <v/>
      </c>
      <c r="E186" s="17">
        <f>IF(IFERROR(MATCH(170,ChqRankL,0),0)=0,"",INDEX(ChqStatus,IFERROR(MATCH(170,ChqRankL,0),0)))</f>
        <v/>
      </c>
      <c r="F186" s="24">
        <f>IF(IFERROR(MATCH(170,ChqRankL,0),0)=0,"",IF(INDEX(ChqStatus,IFERROR(MATCH(170,ChqRankL,0),0))="پاس نشده","—",IF(INDEX(ChqClr,IFERROR(MATCH(170,ChqRankL,0),0))="","—",INDEX(ChqClr,IFERROR(MATCH(170,ChqRankL,0),0)))))</f>
        <v/>
      </c>
      <c r="I186">
        <f>IF(170&gt;NChq,"",INDEX(ChqNorm,170))</f>
        <v/>
      </c>
      <c r="J186">
        <f>IF($I186="","",IF(AND($I186&gt;=$H$3,$I186&lt;=$H$4),1,0))</f>
        <v/>
      </c>
      <c r="K186">
        <f>IF($J186=0,"",INDEX(ChqKey,170))</f>
        <v/>
      </c>
      <c r="L186">
        <f>IF($K186="","",COUNTIFS($J$17:$J$516,1,$K$17:$K$516,"&lt;"&amp;$K186)+1)</f>
        <v/>
      </c>
    </row>
    <row r="187">
      <c r="A187" s="10">
        <f>IF(IFERROR(MATCH(171,ChqRankL,0),0)=0,"",171)</f>
        <v/>
      </c>
      <c r="B187" s="22">
        <f>IF(IFERROR(MATCH(171,ChqRankL,0),0)=0,"",INDEX(ChqNorm,IFERROR(MATCH(171,ChqRankL,0),0)))</f>
        <v/>
      </c>
      <c r="C187" s="22">
        <f>IF(IFERROR(MATCH(171,ChqRankL,0),0)=0,"",INDEX(ChqNo,IFERROR(MATCH(171,ChqRankL,0),0)))</f>
        <v/>
      </c>
      <c r="D187" s="23">
        <f>IF(IFERROR(MATCH(171,ChqRankL,0),0)=0,"",IF(INDEX(ChqAmt,IFERROR(MATCH(171,ChqRankL,0),0))=0,"",INDEX(ChqAmt,IFERROR(MATCH(171,ChqRankL,0),0))))</f>
        <v/>
      </c>
      <c r="E187" s="14">
        <f>IF(IFERROR(MATCH(171,ChqRankL,0),0)=0,"",INDEX(ChqStatus,IFERROR(MATCH(171,ChqRankL,0),0)))</f>
        <v/>
      </c>
      <c r="F187" s="22">
        <f>IF(IFERROR(MATCH(171,ChqRankL,0),0)=0,"",IF(INDEX(ChqStatus,IFERROR(MATCH(171,ChqRankL,0),0))="پاس نشده","—",IF(INDEX(ChqClr,IFERROR(MATCH(171,ChqRankL,0),0))="","—",INDEX(ChqClr,IFERROR(MATCH(171,ChqRankL,0),0)))))</f>
        <v/>
      </c>
      <c r="I187">
        <f>IF(171&gt;NChq,"",INDEX(ChqNorm,171))</f>
        <v/>
      </c>
      <c r="J187">
        <f>IF($I187="","",IF(AND($I187&gt;=$H$3,$I187&lt;=$H$4),1,0))</f>
        <v/>
      </c>
      <c r="K187">
        <f>IF($J187=0,"",INDEX(ChqKey,171))</f>
        <v/>
      </c>
      <c r="L187">
        <f>IF($K187="","",COUNTIFS($J$17:$J$516,1,$K$17:$K$516,"&lt;"&amp;$K187)+1)</f>
        <v/>
      </c>
    </row>
    <row r="188">
      <c r="A188" s="16">
        <f>IF(IFERROR(MATCH(172,ChqRankL,0),0)=0,"",172)</f>
        <v/>
      </c>
      <c r="B188" s="24">
        <f>IF(IFERROR(MATCH(172,ChqRankL,0),0)=0,"",INDEX(ChqNorm,IFERROR(MATCH(172,ChqRankL,0),0)))</f>
        <v/>
      </c>
      <c r="C188" s="24">
        <f>IF(IFERROR(MATCH(172,ChqRankL,0),0)=0,"",INDEX(ChqNo,IFERROR(MATCH(172,ChqRankL,0),0)))</f>
        <v/>
      </c>
      <c r="D188" s="25">
        <f>IF(IFERROR(MATCH(172,ChqRankL,0),0)=0,"",IF(INDEX(ChqAmt,IFERROR(MATCH(172,ChqRankL,0),0))=0,"",INDEX(ChqAmt,IFERROR(MATCH(172,ChqRankL,0),0))))</f>
        <v/>
      </c>
      <c r="E188" s="17">
        <f>IF(IFERROR(MATCH(172,ChqRankL,0),0)=0,"",INDEX(ChqStatus,IFERROR(MATCH(172,ChqRankL,0),0)))</f>
        <v/>
      </c>
      <c r="F188" s="24">
        <f>IF(IFERROR(MATCH(172,ChqRankL,0),0)=0,"",IF(INDEX(ChqStatus,IFERROR(MATCH(172,ChqRankL,0),0))="پاس نشده","—",IF(INDEX(ChqClr,IFERROR(MATCH(172,ChqRankL,0),0))="","—",INDEX(ChqClr,IFERROR(MATCH(172,ChqRankL,0),0)))))</f>
        <v/>
      </c>
      <c r="I188">
        <f>IF(172&gt;NChq,"",INDEX(ChqNorm,172))</f>
        <v/>
      </c>
      <c r="J188">
        <f>IF($I188="","",IF(AND($I188&gt;=$H$3,$I188&lt;=$H$4),1,0))</f>
        <v/>
      </c>
      <c r="K188">
        <f>IF($J188=0,"",INDEX(ChqKey,172))</f>
        <v/>
      </c>
      <c r="L188">
        <f>IF($K188="","",COUNTIFS($J$17:$J$516,1,$K$17:$K$516,"&lt;"&amp;$K188)+1)</f>
        <v/>
      </c>
    </row>
    <row r="189">
      <c r="A189" s="10">
        <f>IF(IFERROR(MATCH(173,ChqRankL,0),0)=0,"",173)</f>
        <v/>
      </c>
      <c r="B189" s="22">
        <f>IF(IFERROR(MATCH(173,ChqRankL,0),0)=0,"",INDEX(ChqNorm,IFERROR(MATCH(173,ChqRankL,0),0)))</f>
        <v/>
      </c>
      <c r="C189" s="22">
        <f>IF(IFERROR(MATCH(173,ChqRankL,0),0)=0,"",INDEX(ChqNo,IFERROR(MATCH(173,ChqRankL,0),0)))</f>
        <v/>
      </c>
      <c r="D189" s="23">
        <f>IF(IFERROR(MATCH(173,ChqRankL,0),0)=0,"",IF(INDEX(ChqAmt,IFERROR(MATCH(173,ChqRankL,0),0))=0,"",INDEX(ChqAmt,IFERROR(MATCH(173,ChqRankL,0),0))))</f>
        <v/>
      </c>
      <c r="E189" s="14">
        <f>IF(IFERROR(MATCH(173,ChqRankL,0),0)=0,"",INDEX(ChqStatus,IFERROR(MATCH(173,ChqRankL,0),0)))</f>
        <v/>
      </c>
      <c r="F189" s="22">
        <f>IF(IFERROR(MATCH(173,ChqRankL,0),0)=0,"",IF(INDEX(ChqStatus,IFERROR(MATCH(173,ChqRankL,0),0))="پاس نشده","—",IF(INDEX(ChqClr,IFERROR(MATCH(173,ChqRankL,0),0))="","—",INDEX(ChqClr,IFERROR(MATCH(173,ChqRankL,0),0)))))</f>
        <v/>
      </c>
      <c r="I189">
        <f>IF(173&gt;NChq,"",INDEX(ChqNorm,173))</f>
        <v/>
      </c>
      <c r="J189">
        <f>IF($I189="","",IF(AND($I189&gt;=$H$3,$I189&lt;=$H$4),1,0))</f>
        <v/>
      </c>
      <c r="K189">
        <f>IF($J189=0,"",INDEX(ChqKey,173))</f>
        <v/>
      </c>
      <c r="L189">
        <f>IF($K189="","",COUNTIFS($J$17:$J$516,1,$K$17:$K$516,"&lt;"&amp;$K189)+1)</f>
        <v/>
      </c>
    </row>
    <row r="190">
      <c r="A190" s="16">
        <f>IF(IFERROR(MATCH(174,ChqRankL,0),0)=0,"",174)</f>
        <v/>
      </c>
      <c r="B190" s="24">
        <f>IF(IFERROR(MATCH(174,ChqRankL,0),0)=0,"",INDEX(ChqNorm,IFERROR(MATCH(174,ChqRankL,0),0)))</f>
        <v/>
      </c>
      <c r="C190" s="24">
        <f>IF(IFERROR(MATCH(174,ChqRankL,0),0)=0,"",INDEX(ChqNo,IFERROR(MATCH(174,ChqRankL,0),0)))</f>
        <v/>
      </c>
      <c r="D190" s="25">
        <f>IF(IFERROR(MATCH(174,ChqRankL,0),0)=0,"",IF(INDEX(ChqAmt,IFERROR(MATCH(174,ChqRankL,0),0))=0,"",INDEX(ChqAmt,IFERROR(MATCH(174,ChqRankL,0),0))))</f>
        <v/>
      </c>
      <c r="E190" s="17">
        <f>IF(IFERROR(MATCH(174,ChqRankL,0),0)=0,"",INDEX(ChqStatus,IFERROR(MATCH(174,ChqRankL,0),0)))</f>
        <v/>
      </c>
      <c r="F190" s="24">
        <f>IF(IFERROR(MATCH(174,ChqRankL,0),0)=0,"",IF(INDEX(ChqStatus,IFERROR(MATCH(174,ChqRankL,0),0))="پاس نشده","—",IF(INDEX(ChqClr,IFERROR(MATCH(174,ChqRankL,0),0))="","—",INDEX(ChqClr,IFERROR(MATCH(174,ChqRankL,0),0)))))</f>
        <v/>
      </c>
      <c r="I190">
        <f>IF(174&gt;NChq,"",INDEX(ChqNorm,174))</f>
        <v/>
      </c>
      <c r="J190">
        <f>IF($I190="","",IF(AND($I190&gt;=$H$3,$I190&lt;=$H$4),1,0))</f>
        <v/>
      </c>
      <c r="K190">
        <f>IF($J190=0,"",INDEX(ChqKey,174))</f>
        <v/>
      </c>
      <c r="L190">
        <f>IF($K190="","",COUNTIFS($J$17:$J$516,1,$K$17:$K$516,"&lt;"&amp;$K190)+1)</f>
        <v/>
      </c>
    </row>
    <row r="191">
      <c r="A191" s="10">
        <f>IF(IFERROR(MATCH(175,ChqRankL,0),0)=0,"",175)</f>
        <v/>
      </c>
      <c r="B191" s="22">
        <f>IF(IFERROR(MATCH(175,ChqRankL,0),0)=0,"",INDEX(ChqNorm,IFERROR(MATCH(175,ChqRankL,0),0)))</f>
        <v/>
      </c>
      <c r="C191" s="22">
        <f>IF(IFERROR(MATCH(175,ChqRankL,0),0)=0,"",INDEX(ChqNo,IFERROR(MATCH(175,ChqRankL,0),0)))</f>
        <v/>
      </c>
      <c r="D191" s="23">
        <f>IF(IFERROR(MATCH(175,ChqRankL,0),0)=0,"",IF(INDEX(ChqAmt,IFERROR(MATCH(175,ChqRankL,0),0))=0,"",INDEX(ChqAmt,IFERROR(MATCH(175,ChqRankL,0),0))))</f>
        <v/>
      </c>
      <c r="E191" s="14">
        <f>IF(IFERROR(MATCH(175,ChqRankL,0),0)=0,"",INDEX(ChqStatus,IFERROR(MATCH(175,ChqRankL,0),0)))</f>
        <v/>
      </c>
      <c r="F191" s="22">
        <f>IF(IFERROR(MATCH(175,ChqRankL,0),0)=0,"",IF(INDEX(ChqStatus,IFERROR(MATCH(175,ChqRankL,0),0))="پاس نشده","—",IF(INDEX(ChqClr,IFERROR(MATCH(175,ChqRankL,0),0))="","—",INDEX(ChqClr,IFERROR(MATCH(175,ChqRankL,0),0)))))</f>
        <v/>
      </c>
      <c r="I191">
        <f>IF(175&gt;NChq,"",INDEX(ChqNorm,175))</f>
        <v/>
      </c>
      <c r="J191">
        <f>IF($I191="","",IF(AND($I191&gt;=$H$3,$I191&lt;=$H$4),1,0))</f>
        <v/>
      </c>
      <c r="K191">
        <f>IF($J191=0,"",INDEX(ChqKey,175))</f>
        <v/>
      </c>
      <c r="L191">
        <f>IF($K191="","",COUNTIFS($J$17:$J$516,1,$K$17:$K$516,"&lt;"&amp;$K191)+1)</f>
        <v/>
      </c>
    </row>
    <row r="192">
      <c r="A192" s="16">
        <f>IF(IFERROR(MATCH(176,ChqRankL,0),0)=0,"",176)</f>
        <v/>
      </c>
      <c r="B192" s="24">
        <f>IF(IFERROR(MATCH(176,ChqRankL,0),0)=0,"",INDEX(ChqNorm,IFERROR(MATCH(176,ChqRankL,0),0)))</f>
        <v/>
      </c>
      <c r="C192" s="24">
        <f>IF(IFERROR(MATCH(176,ChqRankL,0),0)=0,"",INDEX(ChqNo,IFERROR(MATCH(176,ChqRankL,0),0)))</f>
        <v/>
      </c>
      <c r="D192" s="25">
        <f>IF(IFERROR(MATCH(176,ChqRankL,0),0)=0,"",IF(INDEX(ChqAmt,IFERROR(MATCH(176,ChqRankL,0),0))=0,"",INDEX(ChqAmt,IFERROR(MATCH(176,ChqRankL,0),0))))</f>
        <v/>
      </c>
      <c r="E192" s="17">
        <f>IF(IFERROR(MATCH(176,ChqRankL,0),0)=0,"",INDEX(ChqStatus,IFERROR(MATCH(176,ChqRankL,0),0)))</f>
        <v/>
      </c>
      <c r="F192" s="24">
        <f>IF(IFERROR(MATCH(176,ChqRankL,0),0)=0,"",IF(INDEX(ChqStatus,IFERROR(MATCH(176,ChqRankL,0),0))="پاس نشده","—",IF(INDEX(ChqClr,IFERROR(MATCH(176,ChqRankL,0),0))="","—",INDEX(ChqClr,IFERROR(MATCH(176,ChqRankL,0),0)))))</f>
        <v/>
      </c>
      <c r="I192">
        <f>IF(176&gt;NChq,"",INDEX(ChqNorm,176))</f>
        <v/>
      </c>
      <c r="J192">
        <f>IF($I192="","",IF(AND($I192&gt;=$H$3,$I192&lt;=$H$4),1,0))</f>
        <v/>
      </c>
      <c r="K192">
        <f>IF($J192=0,"",INDEX(ChqKey,176))</f>
        <v/>
      </c>
      <c r="L192">
        <f>IF($K192="","",COUNTIFS($J$17:$J$516,1,$K$17:$K$516,"&lt;"&amp;$K192)+1)</f>
        <v/>
      </c>
    </row>
    <row r="193">
      <c r="A193" s="10">
        <f>IF(IFERROR(MATCH(177,ChqRankL,0),0)=0,"",177)</f>
        <v/>
      </c>
      <c r="B193" s="22">
        <f>IF(IFERROR(MATCH(177,ChqRankL,0),0)=0,"",INDEX(ChqNorm,IFERROR(MATCH(177,ChqRankL,0),0)))</f>
        <v/>
      </c>
      <c r="C193" s="22">
        <f>IF(IFERROR(MATCH(177,ChqRankL,0),0)=0,"",INDEX(ChqNo,IFERROR(MATCH(177,ChqRankL,0),0)))</f>
        <v/>
      </c>
      <c r="D193" s="23">
        <f>IF(IFERROR(MATCH(177,ChqRankL,0),0)=0,"",IF(INDEX(ChqAmt,IFERROR(MATCH(177,ChqRankL,0),0))=0,"",INDEX(ChqAmt,IFERROR(MATCH(177,ChqRankL,0),0))))</f>
        <v/>
      </c>
      <c r="E193" s="14">
        <f>IF(IFERROR(MATCH(177,ChqRankL,0),0)=0,"",INDEX(ChqStatus,IFERROR(MATCH(177,ChqRankL,0),0)))</f>
        <v/>
      </c>
      <c r="F193" s="22">
        <f>IF(IFERROR(MATCH(177,ChqRankL,0),0)=0,"",IF(INDEX(ChqStatus,IFERROR(MATCH(177,ChqRankL,0),0))="پاس نشده","—",IF(INDEX(ChqClr,IFERROR(MATCH(177,ChqRankL,0),0))="","—",INDEX(ChqClr,IFERROR(MATCH(177,ChqRankL,0),0)))))</f>
        <v/>
      </c>
      <c r="I193">
        <f>IF(177&gt;NChq,"",INDEX(ChqNorm,177))</f>
        <v/>
      </c>
      <c r="J193">
        <f>IF($I193="","",IF(AND($I193&gt;=$H$3,$I193&lt;=$H$4),1,0))</f>
        <v/>
      </c>
      <c r="K193">
        <f>IF($J193=0,"",INDEX(ChqKey,177))</f>
        <v/>
      </c>
      <c r="L193">
        <f>IF($K193="","",COUNTIFS($J$17:$J$516,1,$K$17:$K$516,"&lt;"&amp;$K193)+1)</f>
        <v/>
      </c>
    </row>
    <row r="194">
      <c r="A194" s="16">
        <f>IF(IFERROR(MATCH(178,ChqRankL,0),0)=0,"",178)</f>
        <v/>
      </c>
      <c r="B194" s="24">
        <f>IF(IFERROR(MATCH(178,ChqRankL,0),0)=0,"",INDEX(ChqNorm,IFERROR(MATCH(178,ChqRankL,0),0)))</f>
        <v/>
      </c>
      <c r="C194" s="24">
        <f>IF(IFERROR(MATCH(178,ChqRankL,0),0)=0,"",INDEX(ChqNo,IFERROR(MATCH(178,ChqRankL,0),0)))</f>
        <v/>
      </c>
      <c r="D194" s="25">
        <f>IF(IFERROR(MATCH(178,ChqRankL,0),0)=0,"",IF(INDEX(ChqAmt,IFERROR(MATCH(178,ChqRankL,0),0))=0,"",INDEX(ChqAmt,IFERROR(MATCH(178,ChqRankL,0),0))))</f>
        <v/>
      </c>
      <c r="E194" s="17">
        <f>IF(IFERROR(MATCH(178,ChqRankL,0),0)=0,"",INDEX(ChqStatus,IFERROR(MATCH(178,ChqRankL,0),0)))</f>
        <v/>
      </c>
      <c r="F194" s="24">
        <f>IF(IFERROR(MATCH(178,ChqRankL,0),0)=0,"",IF(INDEX(ChqStatus,IFERROR(MATCH(178,ChqRankL,0),0))="پاس نشده","—",IF(INDEX(ChqClr,IFERROR(MATCH(178,ChqRankL,0),0))="","—",INDEX(ChqClr,IFERROR(MATCH(178,ChqRankL,0),0)))))</f>
        <v/>
      </c>
      <c r="I194">
        <f>IF(178&gt;NChq,"",INDEX(ChqNorm,178))</f>
        <v/>
      </c>
      <c r="J194">
        <f>IF($I194="","",IF(AND($I194&gt;=$H$3,$I194&lt;=$H$4),1,0))</f>
        <v/>
      </c>
      <c r="K194">
        <f>IF($J194=0,"",INDEX(ChqKey,178))</f>
        <v/>
      </c>
      <c r="L194">
        <f>IF($K194="","",COUNTIFS($J$17:$J$516,1,$K$17:$K$516,"&lt;"&amp;$K194)+1)</f>
        <v/>
      </c>
    </row>
    <row r="195">
      <c r="A195" s="10">
        <f>IF(IFERROR(MATCH(179,ChqRankL,0),0)=0,"",179)</f>
        <v/>
      </c>
      <c r="B195" s="22">
        <f>IF(IFERROR(MATCH(179,ChqRankL,0),0)=0,"",INDEX(ChqNorm,IFERROR(MATCH(179,ChqRankL,0),0)))</f>
        <v/>
      </c>
      <c r="C195" s="22">
        <f>IF(IFERROR(MATCH(179,ChqRankL,0),0)=0,"",INDEX(ChqNo,IFERROR(MATCH(179,ChqRankL,0),0)))</f>
        <v/>
      </c>
      <c r="D195" s="23">
        <f>IF(IFERROR(MATCH(179,ChqRankL,0),0)=0,"",IF(INDEX(ChqAmt,IFERROR(MATCH(179,ChqRankL,0),0))=0,"",INDEX(ChqAmt,IFERROR(MATCH(179,ChqRankL,0),0))))</f>
        <v/>
      </c>
      <c r="E195" s="14">
        <f>IF(IFERROR(MATCH(179,ChqRankL,0),0)=0,"",INDEX(ChqStatus,IFERROR(MATCH(179,ChqRankL,0),0)))</f>
        <v/>
      </c>
      <c r="F195" s="22">
        <f>IF(IFERROR(MATCH(179,ChqRankL,0),0)=0,"",IF(INDEX(ChqStatus,IFERROR(MATCH(179,ChqRankL,0),0))="پاس نشده","—",IF(INDEX(ChqClr,IFERROR(MATCH(179,ChqRankL,0),0))="","—",INDEX(ChqClr,IFERROR(MATCH(179,ChqRankL,0),0)))))</f>
        <v/>
      </c>
      <c r="I195">
        <f>IF(179&gt;NChq,"",INDEX(ChqNorm,179))</f>
        <v/>
      </c>
      <c r="J195">
        <f>IF($I195="","",IF(AND($I195&gt;=$H$3,$I195&lt;=$H$4),1,0))</f>
        <v/>
      </c>
      <c r="K195">
        <f>IF($J195=0,"",INDEX(ChqKey,179))</f>
        <v/>
      </c>
      <c r="L195">
        <f>IF($K195="","",COUNTIFS($J$17:$J$516,1,$K$17:$K$516,"&lt;"&amp;$K195)+1)</f>
        <v/>
      </c>
    </row>
    <row r="196">
      <c r="A196" s="16">
        <f>IF(IFERROR(MATCH(180,ChqRankL,0),0)=0,"",180)</f>
        <v/>
      </c>
      <c r="B196" s="24">
        <f>IF(IFERROR(MATCH(180,ChqRankL,0),0)=0,"",INDEX(ChqNorm,IFERROR(MATCH(180,ChqRankL,0),0)))</f>
        <v/>
      </c>
      <c r="C196" s="24">
        <f>IF(IFERROR(MATCH(180,ChqRankL,0),0)=0,"",INDEX(ChqNo,IFERROR(MATCH(180,ChqRankL,0),0)))</f>
        <v/>
      </c>
      <c r="D196" s="25">
        <f>IF(IFERROR(MATCH(180,ChqRankL,0),0)=0,"",IF(INDEX(ChqAmt,IFERROR(MATCH(180,ChqRankL,0),0))=0,"",INDEX(ChqAmt,IFERROR(MATCH(180,ChqRankL,0),0))))</f>
        <v/>
      </c>
      <c r="E196" s="17">
        <f>IF(IFERROR(MATCH(180,ChqRankL,0),0)=0,"",INDEX(ChqStatus,IFERROR(MATCH(180,ChqRankL,0),0)))</f>
        <v/>
      </c>
      <c r="F196" s="24">
        <f>IF(IFERROR(MATCH(180,ChqRankL,0),0)=0,"",IF(INDEX(ChqStatus,IFERROR(MATCH(180,ChqRankL,0),0))="پاس نشده","—",IF(INDEX(ChqClr,IFERROR(MATCH(180,ChqRankL,0),0))="","—",INDEX(ChqClr,IFERROR(MATCH(180,ChqRankL,0),0)))))</f>
        <v/>
      </c>
      <c r="I196">
        <f>IF(180&gt;NChq,"",INDEX(ChqNorm,180))</f>
        <v/>
      </c>
      <c r="J196">
        <f>IF($I196="","",IF(AND($I196&gt;=$H$3,$I196&lt;=$H$4),1,0))</f>
        <v/>
      </c>
      <c r="K196">
        <f>IF($J196=0,"",INDEX(ChqKey,180))</f>
        <v/>
      </c>
      <c r="L196">
        <f>IF($K196="","",COUNTIFS($J$17:$J$516,1,$K$17:$K$516,"&lt;"&amp;$K196)+1)</f>
        <v/>
      </c>
    </row>
    <row r="197">
      <c r="A197" s="10">
        <f>IF(IFERROR(MATCH(181,ChqRankL,0),0)=0,"",181)</f>
        <v/>
      </c>
      <c r="B197" s="22">
        <f>IF(IFERROR(MATCH(181,ChqRankL,0),0)=0,"",INDEX(ChqNorm,IFERROR(MATCH(181,ChqRankL,0),0)))</f>
        <v/>
      </c>
      <c r="C197" s="22">
        <f>IF(IFERROR(MATCH(181,ChqRankL,0),0)=0,"",INDEX(ChqNo,IFERROR(MATCH(181,ChqRankL,0),0)))</f>
        <v/>
      </c>
      <c r="D197" s="23">
        <f>IF(IFERROR(MATCH(181,ChqRankL,0),0)=0,"",IF(INDEX(ChqAmt,IFERROR(MATCH(181,ChqRankL,0),0))=0,"",INDEX(ChqAmt,IFERROR(MATCH(181,ChqRankL,0),0))))</f>
        <v/>
      </c>
      <c r="E197" s="14">
        <f>IF(IFERROR(MATCH(181,ChqRankL,0),0)=0,"",INDEX(ChqStatus,IFERROR(MATCH(181,ChqRankL,0),0)))</f>
        <v/>
      </c>
      <c r="F197" s="22">
        <f>IF(IFERROR(MATCH(181,ChqRankL,0),0)=0,"",IF(INDEX(ChqStatus,IFERROR(MATCH(181,ChqRankL,0),0))="پاس نشده","—",IF(INDEX(ChqClr,IFERROR(MATCH(181,ChqRankL,0),0))="","—",INDEX(ChqClr,IFERROR(MATCH(181,ChqRankL,0),0)))))</f>
        <v/>
      </c>
      <c r="I197">
        <f>IF(181&gt;NChq,"",INDEX(ChqNorm,181))</f>
        <v/>
      </c>
      <c r="J197">
        <f>IF($I197="","",IF(AND($I197&gt;=$H$3,$I197&lt;=$H$4),1,0))</f>
        <v/>
      </c>
      <c r="K197">
        <f>IF($J197=0,"",INDEX(ChqKey,181))</f>
        <v/>
      </c>
      <c r="L197">
        <f>IF($K197="","",COUNTIFS($J$17:$J$516,1,$K$17:$K$516,"&lt;"&amp;$K197)+1)</f>
        <v/>
      </c>
    </row>
    <row r="198">
      <c r="A198" s="16">
        <f>IF(IFERROR(MATCH(182,ChqRankL,0),0)=0,"",182)</f>
        <v/>
      </c>
      <c r="B198" s="24">
        <f>IF(IFERROR(MATCH(182,ChqRankL,0),0)=0,"",INDEX(ChqNorm,IFERROR(MATCH(182,ChqRankL,0),0)))</f>
        <v/>
      </c>
      <c r="C198" s="24">
        <f>IF(IFERROR(MATCH(182,ChqRankL,0),0)=0,"",INDEX(ChqNo,IFERROR(MATCH(182,ChqRankL,0),0)))</f>
        <v/>
      </c>
      <c r="D198" s="25">
        <f>IF(IFERROR(MATCH(182,ChqRankL,0),0)=0,"",IF(INDEX(ChqAmt,IFERROR(MATCH(182,ChqRankL,0),0))=0,"",INDEX(ChqAmt,IFERROR(MATCH(182,ChqRankL,0),0))))</f>
        <v/>
      </c>
      <c r="E198" s="17">
        <f>IF(IFERROR(MATCH(182,ChqRankL,0),0)=0,"",INDEX(ChqStatus,IFERROR(MATCH(182,ChqRankL,0),0)))</f>
        <v/>
      </c>
      <c r="F198" s="24">
        <f>IF(IFERROR(MATCH(182,ChqRankL,0),0)=0,"",IF(INDEX(ChqStatus,IFERROR(MATCH(182,ChqRankL,0),0))="پاس نشده","—",IF(INDEX(ChqClr,IFERROR(MATCH(182,ChqRankL,0),0))="","—",INDEX(ChqClr,IFERROR(MATCH(182,ChqRankL,0),0)))))</f>
        <v/>
      </c>
      <c r="I198">
        <f>IF(182&gt;NChq,"",INDEX(ChqNorm,182))</f>
        <v/>
      </c>
      <c r="J198">
        <f>IF($I198="","",IF(AND($I198&gt;=$H$3,$I198&lt;=$H$4),1,0))</f>
        <v/>
      </c>
      <c r="K198">
        <f>IF($J198=0,"",INDEX(ChqKey,182))</f>
        <v/>
      </c>
      <c r="L198">
        <f>IF($K198="","",COUNTIFS($J$17:$J$516,1,$K$17:$K$516,"&lt;"&amp;$K198)+1)</f>
        <v/>
      </c>
    </row>
    <row r="199">
      <c r="A199" s="10">
        <f>IF(IFERROR(MATCH(183,ChqRankL,0),0)=0,"",183)</f>
        <v/>
      </c>
      <c r="B199" s="22">
        <f>IF(IFERROR(MATCH(183,ChqRankL,0),0)=0,"",INDEX(ChqNorm,IFERROR(MATCH(183,ChqRankL,0),0)))</f>
        <v/>
      </c>
      <c r="C199" s="22">
        <f>IF(IFERROR(MATCH(183,ChqRankL,0),0)=0,"",INDEX(ChqNo,IFERROR(MATCH(183,ChqRankL,0),0)))</f>
        <v/>
      </c>
      <c r="D199" s="23">
        <f>IF(IFERROR(MATCH(183,ChqRankL,0),0)=0,"",IF(INDEX(ChqAmt,IFERROR(MATCH(183,ChqRankL,0),0))=0,"",INDEX(ChqAmt,IFERROR(MATCH(183,ChqRankL,0),0))))</f>
        <v/>
      </c>
      <c r="E199" s="14">
        <f>IF(IFERROR(MATCH(183,ChqRankL,0),0)=0,"",INDEX(ChqStatus,IFERROR(MATCH(183,ChqRankL,0),0)))</f>
        <v/>
      </c>
      <c r="F199" s="22">
        <f>IF(IFERROR(MATCH(183,ChqRankL,0),0)=0,"",IF(INDEX(ChqStatus,IFERROR(MATCH(183,ChqRankL,0),0))="پاس نشده","—",IF(INDEX(ChqClr,IFERROR(MATCH(183,ChqRankL,0),0))="","—",INDEX(ChqClr,IFERROR(MATCH(183,ChqRankL,0),0)))))</f>
        <v/>
      </c>
      <c r="I199">
        <f>IF(183&gt;NChq,"",INDEX(ChqNorm,183))</f>
        <v/>
      </c>
      <c r="J199">
        <f>IF($I199="","",IF(AND($I199&gt;=$H$3,$I199&lt;=$H$4),1,0))</f>
        <v/>
      </c>
      <c r="K199">
        <f>IF($J199=0,"",INDEX(ChqKey,183))</f>
        <v/>
      </c>
      <c r="L199">
        <f>IF($K199="","",COUNTIFS($J$17:$J$516,1,$K$17:$K$516,"&lt;"&amp;$K199)+1)</f>
        <v/>
      </c>
    </row>
    <row r="200">
      <c r="A200" s="16">
        <f>IF(IFERROR(MATCH(184,ChqRankL,0),0)=0,"",184)</f>
        <v/>
      </c>
      <c r="B200" s="24">
        <f>IF(IFERROR(MATCH(184,ChqRankL,0),0)=0,"",INDEX(ChqNorm,IFERROR(MATCH(184,ChqRankL,0),0)))</f>
        <v/>
      </c>
      <c r="C200" s="24">
        <f>IF(IFERROR(MATCH(184,ChqRankL,0),0)=0,"",INDEX(ChqNo,IFERROR(MATCH(184,ChqRankL,0),0)))</f>
        <v/>
      </c>
      <c r="D200" s="25">
        <f>IF(IFERROR(MATCH(184,ChqRankL,0),0)=0,"",IF(INDEX(ChqAmt,IFERROR(MATCH(184,ChqRankL,0),0))=0,"",INDEX(ChqAmt,IFERROR(MATCH(184,ChqRankL,0),0))))</f>
        <v/>
      </c>
      <c r="E200" s="17">
        <f>IF(IFERROR(MATCH(184,ChqRankL,0),0)=0,"",INDEX(ChqStatus,IFERROR(MATCH(184,ChqRankL,0),0)))</f>
        <v/>
      </c>
      <c r="F200" s="24">
        <f>IF(IFERROR(MATCH(184,ChqRankL,0),0)=0,"",IF(INDEX(ChqStatus,IFERROR(MATCH(184,ChqRankL,0),0))="پاس نشده","—",IF(INDEX(ChqClr,IFERROR(MATCH(184,ChqRankL,0),0))="","—",INDEX(ChqClr,IFERROR(MATCH(184,ChqRankL,0),0)))))</f>
        <v/>
      </c>
      <c r="I200">
        <f>IF(184&gt;NChq,"",INDEX(ChqNorm,184))</f>
        <v/>
      </c>
      <c r="J200">
        <f>IF($I200="","",IF(AND($I200&gt;=$H$3,$I200&lt;=$H$4),1,0))</f>
        <v/>
      </c>
      <c r="K200">
        <f>IF($J200=0,"",INDEX(ChqKey,184))</f>
        <v/>
      </c>
      <c r="L200">
        <f>IF($K200="","",COUNTIFS($J$17:$J$516,1,$K$17:$K$516,"&lt;"&amp;$K200)+1)</f>
        <v/>
      </c>
    </row>
    <row r="201">
      <c r="A201" s="10">
        <f>IF(IFERROR(MATCH(185,ChqRankL,0),0)=0,"",185)</f>
        <v/>
      </c>
      <c r="B201" s="22">
        <f>IF(IFERROR(MATCH(185,ChqRankL,0),0)=0,"",INDEX(ChqNorm,IFERROR(MATCH(185,ChqRankL,0),0)))</f>
        <v/>
      </c>
      <c r="C201" s="22">
        <f>IF(IFERROR(MATCH(185,ChqRankL,0),0)=0,"",INDEX(ChqNo,IFERROR(MATCH(185,ChqRankL,0),0)))</f>
        <v/>
      </c>
      <c r="D201" s="23">
        <f>IF(IFERROR(MATCH(185,ChqRankL,0),0)=0,"",IF(INDEX(ChqAmt,IFERROR(MATCH(185,ChqRankL,0),0))=0,"",INDEX(ChqAmt,IFERROR(MATCH(185,ChqRankL,0),0))))</f>
        <v/>
      </c>
      <c r="E201" s="14">
        <f>IF(IFERROR(MATCH(185,ChqRankL,0),0)=0,"",INDEX(ChqStatus,IFERROR(MATCH(185,ChqRankL,0),0)))</f>
        <v/>
      </c>
      <c r="F201" s="22">
        <f>IF(IFERROR(MATCH(185,ChqRankL,0),0)=0,"",IF(INDEX(ChqStatus,IFERROR(MATCH(185,ChqRankL,0),0))="پاس نشده","—",IF(INDEX(ChqClr,IFERROR(MATCH(185,ChqRankL,0),0))="","—",INDEX(ChqClr,IFERROR(MATCH(185,ChqRankL,0),0)))))</f>
        <v/>
      </c>
      <c r="I201">
        <f>IF(185&gt;NChq,"",INDEX(ChqNorm,185))</f>
        <v/>
      </c>
      <c r="J201">
        <f>IF($I201="","",IF(AND($I201&gt;=$H$3,$I201&lt;=$H$4),1,0))</f>
        <v/>
      </c>
      <c r="K201">
        <f>IF($J201=0,"",INDEX(ChqKey,185))</f>
        <v/>
      </c>
      <c r="L201">
        <f>IF($K201="","",COUNTIFS($J$17:$J$516,1,$K$17:$K$516,"&lt;"&amp;$K201)+1)</f>
        <v/>
      </c>
    </row>
    <row r="202">
      <c r="A202" s="16">
        <f>IF(IFERROR(MATCH(186,ChqRankL,0),0)=0,"",186)</f>
        <v/>
      </c>
      <c r="B202" s="24">
        <f>IF(IFERROR(MATCH(186,ChqRankL,0),0)=0,"",INDEX(ChqNorm,IFERROR(MATCH(186,ChqRankL,0),0)))</f>
        <v/>
      </c>
      <c r="C202" s="24">
        <f>IF(IFERROR(MATCH(186,ChqRankL,0),0)=0,"",INDEX(ChqNo,IFERROR(MATCH(186,ChqRankL,0),0)))</f>
        <v/>
      </c>
      <c r="D202" s="25">
        <f>IF(IFERROR(MATCH(186,ChqRankL,0),0)=0,"",IF(INDEX(ChqAmt,IFERROR(MATCH(186,ChqRankL,0),0))=0,"",INDEX(ChqAmt,IFERROR(MATCH(186,ChqRankL,0),0))))</f>
        <v/>
      </c>
      <c r="E202" s="17">
        <f>IF(IFERROR(MATCH(186,ChqRankL,0),0)=0,"",INDEX(ChqStatus,IFERROR(MATCH(186,ChqRankL,0),0)))</f>
        <v/>
      </c>
      <c r="F202" s="24">
        <f>IF(IFERROR(MATCH(186,ChqRankL,0),0)=0,"",IF(INDEX(ChqStatus,IFERROR(MATCH(186,ChqRankL,0),0))="پاس نشده","—",IF(INDEX(ChqClr,IFERROR(MATCH(186,ChqRankL,0),0))="","—",INDEX(ChqClr,IFERROR(MATCH(186,ChqRankL,0),0)))))</f>
        <v/>
      </c>
      <c r="I202">
        <f>IF(186&gt;NChq,"",INDEX(ChqNorm,186))</f>
        <v/>
      </c>
      <c r="J202">
        <f>IF($I202="","",IF(AND($I202&gt;=$H$3,$I202&lt;=$H$4),1,0))</f>
        <v/>
      </c>
      <c r="K202">
        <f>IF($J202=0,"",INDEX(ChqKey,186))</f>
        <v/>
      </c>
      <c r="L202">
        <f>IF($K202="","",COUNTIFS($J$17:$J$516,1,$K$17:$K$516,"&lt;"&amp;$K202)+1)</f>
        <v/>
      </c>
    </row>
    <row r="203">
      <c r="A203" s="10">
        <f>IF(IFERROR(MATCH(187,ChqRankL,0),0)=0,"",187)</f>
        <v/>
      </c>
      <c r="B203" s="22">
        <f>IF(IFERROR(MATCH(187,ChqRankL,0),0)=0,"",INDEX(ChqNorm,IFERROR(MATCH(187,ChqRankL,0),0)))</f>
        <v/>
      </c>
      <c r="C203" s="22">
        <f>IF(IFERROR(MATCH(187,ChqRankL,0),0)=0,"",INDEX(ChqNo,IFERROR(MATCH(187,ChqRankL,0),0)))</f>
        <v/>
      </c>
      <c r="D203" s="23">
        <f>IF(IFERROR(MATCH(187,ChqRankL,0),0)=0,"",IF(INDEX(ChqAmt,IFERROR(MATCH(187,ChqRankL,0),0))=0,"",INDEX(ChqAmt,IFERROR(MATCH(187,ChqRankL,0),0))))</f>
        <v/>
      </c>
      <c r="E203" s="14">
        <f>IF(IFERROR(MATCH(187,ChqRankL,0),0)=0,"",INDEX(ChqStatus,IFERROR(MATCH(187,ChqRankL,0),0)))</f>
        <v/>
      </c>
      <c r="F203" s="22">
        <f>IF(IFERROR(MATCH(187,ChqRankL,0),0)=0,"",IF(INDEX(ChqStatus,IFERROR(MATCH(187,ChqRankL,0),0))="پاس نشده","—",IF(INDEX(ChqClr,IFERROR(MATCH(187,ChqRankL,0),0))="","—",INDEX(ChqClr,IFERROR(MATCH(187,ChqRankL,0),0)))))</f>
        <v/>
      </c>
      <c r="I203">
        <f>IF(187&gt;NChq,"",INDEX(ChqNorm,187))</f>
        <v/>
      </c>
      <c r="J203">
        <f>IF($I203="","",IF(AND($I203&gt;=$H$3,$I203&lt;=$H$4),1,0))</f>
        <v/>
      </c>
      <c r="K203">
        <f>IF($J203=0,"",INDEX(ChqKey,187))</f>
        <v/>
      </c>
      <c r="L203">
        <f>IF($K203="","",COUNTIFS($J$17:$J$516,1,$K$17:$K$516,"&lt;"&amp;$K203)+1)</f>
        <v/>
      </c>
    </row>
    <row r="204">
      <c r="A204" s="16">
        <f>IF(IFERROR(MATCH(188,ChqRankL,0),0)=0,"",188)</f>
        <v/>
      </c>
      <c r="B204" s="24">
        <f>IF(IFERROR(MATCH(188,ChqRankL,0),0)=0,"",INDEX(ChqNorm,IFERROR(MATCH(188,ChqRankL,0),0)))</f>
        <v/>
      </c>
      <c r="C204" s="24">
        <f>IF(IFERROR(MATCH(188,ChqRankL,0),0)=0,"",INDEX(ChqNo,IFERROR(MATCH(188,ChqRankL,0),0)))</f>
        <v/>
      </c>
      <c r="D204" s="25">
        <f>IF(IFERROR(MATCH(188,ChqRankL,0),0)=0,"",IF(INDEX(ChqAmt,IFERROR(MATCH(188,ChqRankL,0),0))=0,"",INDEX(ChqAmt,IFERROR(MATCH(188,ChqRankL,0),0))))</f>
        <v/>
      </c>
      <c r="E204" s="17">
        <f>IF(IFERROR(MATCH(188,ChqRankL,0),0)=0,"",INDEX(ChqStatus,IFERROR(MATCH(188,ChqRankL,0),0)))</f>
        <v/>
      </c>
      <c r="F204" s="24">
        <f>IF(IFERROR(MATCH(188,ChqRankL,0),0)=0,"",IF(INDEX(ChqStatus,IFERROR(MATCH(188,ChqRankL,0),0))="پاس نشده","—",IF(INDEX(ChqClr,IFERROR(MATCH(188,ChqRankL,0),0))="","—",INDEX(ChqClr,IFERROR(MATCH(188,ChqRankL,0),0)))))</f>
        <v/>
      </c>
      <c r="I204">
        <f>IF(188&gt;NChq,"",INDEX(ChqNorm,188))</f>
        <v/>
      </c>
      <c r="J204">
        <f>IF($I204="","",IF(AND($I204&gt;=$H$3,$I204&lt;=$H$4),1,0))</f>
        <v/>
      </c>
      <c r="K204">
        <f>IF($J204=0,"",INDEX(ChqKey,188))</f>
        <v/>
      </c>
      <c r="L204">
        <f>IF($K204="","",COUNTIFS($J$17:$J$516,1,$K$17:$K$516,"&lt;"&amp;$K204)+1)</f>
        <v/>
      </c>
    </row>
    <row r="205">
      <c r="A205" s="10">
        <f>IF(IFERROR(MATCH(189,ChqRankL,0),0)=0,"",189)</f>
        <v/>
      </c>
      <c r="B205" s="22">
        <f>IF(IFERROR(MATCH(189,ChqRankL,0),0)=0,"",INDEX(ChqNorm,IFERROR(MATCH(189,ChqRankL,0),0)))</f>
        <v/>
      </c>
      <c r="C205" s="22">
        <f>IF(IFERROR(MATCH(189,ChqRankL,0),0)=0,"",INDEX(ChqNo,IFERROR(MATCH(189,ChqRankL,0),0)))</f>
        <v/>
      </c>
      <c r="D205" s="23">
        <f>IF(IFERROR(MATCH(189,ChqRankL,0),0)=0,"",IF(INDEX(ChqAmt,IFERROR(MATCH(189,ChqRankL,0),0))=0,"",INDEX(ChqAmt,IFERROR(MATCH(189,ChqRankL,0),0))))</f>
        <v/>
      </c>
      <c r="E205" s="14">
        <f>IF(IFERROR(MATCH(189,ChqRankL,0),0)=0,"",INDEX(ChqStatus,IFERROR(MATCH(189,ChqRankL,0),0)))</f>
        <v/>
      </c>
      <c r="F205" s="22">
        <f>IF(IFERROR(MATCH(189,ChqRankL,0),0)=0,"",IF(INDEX(ChqStatus,IFERROR(MATCH(189,ChqRankL,0),0))="پاس نشده","—",IF(INDEX(ChqClr,IFERROR(MATCH(189,ChqRankL,0),0))="","—",INDEX(ChqClr,IFERROR(MATCH(189,ChqRankL,0),0)))))</f>
        <v/>
      </c>
      <c r="I205">
        <f>IF(189&gt;NChq,"",INDEX(ChqNorm,189))</f>
        <v/>
      </c>
      <c r="J205">
        <f>IF($I205="","",IF(AND($I205&gt;=$H$3,$I205&lt;=$H$4),1,0))</f>
        <v/>
      </c>
      <c r="K205">
        <f>IF($J205=0,"",INDEX(ChqKey,189))</f>
        <v/>
      </c>
      <c r="L205">
        <f>IF($K205="","",COUNTIFS($J$17:$J$516,1,$K$17:$K$516,"&lt;"&amp;$K205)+1)</f>
        <v/>
      </c>
    </row>
    <row r="206">
      <c r="A206" s="16">
        <f>IF(IFERROR(MATCH(190,ChqRankL,0),0)=0,"",190)</f>
        <v/>
      </c>
      <c r="B206" s="24">
        <f>IF(IFERROR(MATCH(190,ChqRankL,0),0)=0,"",INDEX(ChqNorm,IFERROR(MATCH(190,ChqRankL,0),0)))</f>
        <v/>
      </c>
      <c r="C206" s="24">
        <f>IF(IFERROR(MATCH(190,ChqRankL,0),0)=0,"",INDEX(ChqNo,IFERROR(MATCH(190,ChqRankL,0),0)))</f>
        <v/>
      </c>
      <c r="D206" s="25">
        <f>IF(IFERROR(MATCH(190,ChqRankL,0),0)=0,"",IF(INDEX(ChqAmt,IFERROR(MATCH(190,ChqRankL,0),0))=0,"",INDEX(ChqAmt,IFERROR(MATCH(190,ChqRankL,0),0))))</f>
        <v/>
      </c>
      <c r="E206" s="17">
        <f>IF(IFERROR(MATCH(190,ChqRankL,0),0)=0,"",INDEX(ChqStatus,IFERROR(MATCH(190,ChqRankL,0),0)))</f>
        <v/>
      </c>
      <c r="F206" s="24">
        <f>IF(IFERROR(MATCH(190,ChqRankL,0),0)=0,"",IF(INDEX(ChqStatus,IFERROR(MATCH(190,ChqRankL,0),0))="پاس نشده","—",IF(INDEX(ChqClr,IFERROR(MATCH(190,ChqRankL,0),0))="","—",INDEX(ChqClr,IFERROR(MATCH(190,ChqRankL,0),0)))))</f>
        <v/>
      </c>
      <c r="I206">
        <f>IF(190&gt;NChq,"",INDEX(ChqNorm,190))</f>
        <v/>
      </c>
      <c r="J206">
        <f>IF($I206="","",IF(AND($I206&gt;=$H$3,$I206&lt;=$H$4),1,0))</f>
        <v/>
      </c>
      <c r="K206">
        <f>IF($J206=0,"",INDEX(ChqKey,190))</f>
        <v/>
      </c>
      <c r="L206">
        <f>IF($K206="","",COUNTIFS($J$17:$J$516,1,$K$17:$K$516,"&lt;"&amp;$K206)+1)</f>
        <v/>
      </c>
    </row>
    <row r="207">
      <c r="A207" s="10">
        <f>IF(IFERROR(MATCH(191,ChqRankL,0),0)=0,"",191)</f>
        <v/>
      </c>
      <c r="B207" s="22">
        <f>IF(IFERROR(MATCH(191,ChqRankL,0),0)=0,"",INDEX(ChqNorm,IFERROR(MATCH(191,ChqRankL,0),0)))</f>
        <v/>
      </c>
      <c r="C207" s="22">
        <f>IF(IFERROR(MATCH(191,ChqRankL,0),0)=0,"",INDEX(ChqNo,IFERROR(MATCH(191,ChqRankL,0),0)))</f>
        <v/>
      </c>
      <c r="D207" s="23">
        <f>IF(IFERROR(MATCH(191,ChqRankL,0),0)=0,"",IF(INDEX(ChqAmt,IFERROR(MATCH(191,ChqRankL,0),0))=0,"",INDEX(ChqAmt,IFERROR(MATCH(191,ChqRankL,0),0))))</f>
        <v/>
      </c>
      <c r="E207" s="14">
        <f>IF(IFERROR(MATCH(191,ChqRankL,0),0)=0,"",INDEX(ChqStatus,IFERROR(MATCH(191,ChqRankL,0),0)))</f>
        <v/>
      </c>
      <c r="F207" s="22">
        <f>IF(IFERROR(MATCH(191,ChqRankL,0),0)=0,"",IF(INDEX(ChqStatus,IFERROR(MATCH(191,ChqRankL,0),0))="پاس نشده","—",IF(INDEX(ChqClr,IFERROR(MATCH(191,ChqRankL,0),0))="","—",INDEX(ChqClr,IFERROR(MATCH(191,ChqRankL,0),0)))))</f>
        <v/>
      </c>
      <c r="I207">
        <f>IF(191&gt;NChq,"",INDEX(ChqNorm,191))</f>
        <v/>
      </c>
      <c r="J207">
        <f>IF($I207="","",IF(AND($I207&gt;=$H$3,$I207&lt;=$H$4),1,0))</f>
        <v/>
      </c>
      <c r="K207">
        <f>IF($J207=0,"",INDEX(ChqKey,191))</f>
        <v/>
      </c>
      <c r="L207">
        <f>IF($K207="","",COUNTIFS($J$17:$J$516,1,$K$17:$K$516,"&lt;"&amp;$K207)+1)</f>
        <v/>
      </c>
    </row>
    <row r="208">
      <c r="A208" s="16">
        <f>IF(IFERROR(MATCH(192,ChqRankL,0),0)=0,"",192)</f>
        <v/>
      </c>
      <c r="B208" s="24">
        <f>IF(IFERROR(MATCH(192,ChqRankL,0),0)=0,"",INDEX(ChqNorm,IFERROR(MATCH(192,ChqRankL,0),0)))</f>
        <v/>
      </c>
      <c r="C208" s="24">
        <f>IF(IFERROR(MATCH(192,ChqRankL,0),0)=0,"",INDEX(ChqNo,IFERROR(MATCH(192,ChqRankL,0),0)))</f>
        <v/>
      </c>
      <c r="D208" s="25">
        <f>IF(IFERROR(MATCH(192,ChqRankL,0),0)=0,"",IF(INDEX(ChqAmt,IFERROR(MATCH(192,ChqRankL,0),0))=0,"",INDEX(ChqAmt,IFERROR(MATCH(192,ChqRankL,0),0))))</f>
        <v/>
      </c>
      <c r="E208" s="17">
        <f>IF(IFERROR(MATCH(192,ChqRankL,0),0)=0,"",INDEX(ChqStatus,IFERROR(MATCH(192,ChqRankL,0),0)))</f>
        <v/>
      </c>
      <c r="F208" s="24">
        <f>IF(IFERROR(MATCH(192,ChqRankL,0),0)=0,"",IF(INDEX(ChqStatus,IFERROR(MATCH(192,ChqRankL,0),0))="پاس نشده","—",IF(INDEX(ChqClr,IFERROR(MATCH(192,ChqRankL,0),0))="","—",INDEX(ChqClr,IFERROR(MATCH(192,ChqRankL,0),0)))))</f>
        <v/>
      </c>
      <c r="I208">
        <f>IF(192&gt;NChq,"",INDEX(ChqNorm,192))</f>
        <v/>
      </c>
      <c r="J208">
        <f>IF($I208="","",IF(AND($I208&gt;=$H$3,$I208&lt;=$H$4),1,0))</f>
        <v/>
      </c>
      <c r="K208">
        <f>IF($J208=0,"",INDEX(ChqKey,192))</f>
        <v/>
      </c>
      <c r="L208">
        <f>IF($K208="","",COUNTIFS($J$17:$J$516,1,$K$17:$K$516,"&lt;"&amp;$K208)+1)</f>
        <v/>
      </c>
    </row>
    <row r="209">
      <c r="A209" s="10">
        <f>IF(IFERROR(MATCH(193,ChqRankL,0),0)=0,"",193)</f>
        <v/>
      </c>
      <c r="B209" s="22">
        <f>IF(IFERROR(MATCH(193,ChqRankL,0),0)=0,"",INDEX(ChqNorm,IFERROR(MATCH(193,ChqRankL,0),0)))</f>
        <v/>
      </c>
      <c r="C209" s="22">
        <f>IF(IFERROR(MATCH(193,ChqRankL,0),0)=0,"",INDEX(ChqNo,IFERROR(MATCH(193,ChqRankL,0),0)))</f>
        <v/>
      </c>
      <c r="D209" s="23">
        <f>IF(IFERROR(MATCH(193,ChqRankL,0),0)=0,"",IF(INDEX(ChqAmt,IFERROR(MATCH(193,ChqRankL,0),0))=0,"",INDEX(ChqAmt,IFERROR(MATCH(193,ChqRankL,0),0))))</f>
        <v/>
      </c>
      <c r="E209" s="14">
        <f>IF(IFERROR(MATCH(193,ChqRankL,0),0)=0,"",INDEX(ChqStatus,IFERROR(MATCH(193,ChqRankL,0),0)))</f>
        <v/>
      </c>
      <c r="F209" s="22">
        <f>IF(IFERROR(MATCH(193,ChqRankL,0),0)=0,"",IF(INDEX(ChqStatus,IFERROR(MATCH(193,ChqRankL,0),0))="پاس نشده","—",IF(INDEX(ChqClr,IFERROR(MATCH(193,ChqRankL,0),0))="","—",INDEX(ChqClr,IFERROR(MATCH(193,ChqRankL,0),0)))))</f>
        <v/>
      </c>
      <c r="I209">
        <f>IF(193&gt;NChq,"",INDEX(ChqNorm,193))</f>
        <v/>
      </c>
      <c r="J209">
        <f>IF($I209="","",IF(AND($I209&gt;=$H$3,$I209&lt;=$H$4),1,0))</f>
        <v/>
      </c>
      <c r="K209">
        <f>IF($J209=0,"",INDEX(ChqKey,193))</f>
        <v/>
      </c>
      <c r="L209">
        <f>IF($K209="","",COUNTIFS($J$17:$J$516,1,$K$17:$K$516,"&lt;"&amp;$K209)+1)</f>
        <v/>
      </c>
    </row>
    <row r="210">
      <c r="A210" s="16">
        <f>IF(IFERROR(MATCH(194,ChqRankL,0),0)=0,"",194)</f>
        <v/>
      </c>
      <c r="B210" s="24">
        <f>IF(IFERROR(MATCH(194,ChqRankL,0),0)=0,"",INDEX(ChqNorm,IFERROR(MATCH(194,ChqRankL,0),0)))</f>
        <v/>
      </c>
      <c r="C210" s="24">
        <f>IF(IFERROR(MATCH(194,ChqRankL,0),0)=0,"",INDEX(ChqNo,IFERROR(MATCH(194,ChqRankL,0),0)))</f>
        <v/>
      </c>
      <c r="D210" s="25">
        <f>IF(IFERROR(MATCH(194,ChqRankL,0),0)=0,"",IF(INDEX(ChqAmt,IFERROR(MATCH(194,ChqRankL,0),0))=0,"",INDEX(ChqAmt,IFERROR(MATCH(194,ChqRankL,0),0))))</f>
        <v/>
      </c>
      <c r="E210" s="17">
        <f>IF(IFERROR(MATCH(194,ChqRankL,0),0)=0,"",INDEX(ChqStatus,IFERROR(MATCH(194,ChqRankL,0),0)))</f>
        <v/>
      </c>
      <c r="F210" s="24">
        <f>IF(IFERROR(MATCH(194,ChqRankL,0),0)=0,"",IF(INDEX(ChqStatus,IFERROR(MATCH(194,ChqRankL,0),0))="پاس نشده","—",IF(INDEX(ChqClr,IFERROR(MATCH(194,ChqRankL,0),0))="","—",INDEX(ChqClr,IFERROR(MATCH(194,ChqRankL,0),0)))))</f>
        <v/>
      </c>
      <c r="I210">
        <f>IF(194&gt;NChq,"",INDEX(ChqNorm,194))</f>
        <v/>
      </c>
      <c r="J210">
        <f>IF($I210="","",IF(AND($I210&gt;=$H$3,$I210&lt;=$H$4),1,0))</f>
        <v/>
      </c>
      <c r="K210">
        <f>IF($J210=0,"",INDEX(ChqKey,194))</f>
        <v/>
      </c>
      <c r="L210">
        <f>IF($K210="","",COUNTIFS($J$17:$J$516,1,$K$17:$K$516,"&lt;"&amp;$K210)+1)</f>
        <v/>
      </c>
    </row>
    <row r="211">
      <c r="A211" s="10">
        <f>IF(IFERROR(MATCH(195,ChqRankL,0),0)=0,"",195)</f>
        <v/>
      </c>
      <c r="B211" s="22">
        <f>IF(IFERROR(MATCH(195,ChqRankL,0),0)=0,"",INDEX(ChqNorm,IFERROR(MATCH(195,ChqRankL,0),0)))</f>
        <v/>
      </c>
      <c r="C211" s="22">
        <f>IF(IFERROR(MATCH(195,ChqRankL,0),0)=0,"",INDEX(ChqNo,IFERROR(MATCH(195,ChqRankL,0),0)))</f>
        <v/>
      </c>
      <c r="D211" s="23">
        <f>IF(IFERROR(MATCH(195,ChqRankL,0),0)=0,"",IF(INDEX(ChqAmt,IFERROR(MATCH(195,ChqRankL,0),0))=0,"",INDEX(ChqAmt,IFERROR(MATCH(195,ChqRankL,0),0))))</f>
        <v/>
      </c>
      <c r="E211" s="14">
        <f>IF(IFERROR(MATCH(195,ChqRankL,0),0)=0,"",INDEX(ChqStatus,IFERROR(MATCH(195,ChqRankL,0),0)))</f>
        <v/>
      </c>
      <c r="F211" s="22">
        <f>IF(IFERROR(MATCH(195,ChqRankL,0),0)=0,"",IF(INDEX(ChqStatus,IFERROR(MATCH(195,ChqRankL,0),0))="پاس نشده","—",IF(INDEX(ChqClr,IFERROR(MATCH(195,ChqRankL,0),0))="","—",INDEX(ChqClr,IFERROR(MATCH(195,ChqRankL,0),0)))))</f>
        <v/>
      </c>
      <c r="I211">
        <f>IF(195&gt;NChq,"",INDEX(ChqNorm,195))</f>
        <v/>
      </c>
      <c r="J211">
        <f>IF($I211="","",IF(AND($I211&gt;=$H$3,$I211&lt;=$H$4),1,0))</f>
        <v/>
      </c>
      <c r="K211">
        <f>IF($J211=0,"",INDEX(ChqKey,195))</f>
        <v/>
      </c>
      <c r="L211">
        <f>IF($K211="","",COUNTIFS($J$17:$J$516,1,$K$17:$K$516,"&lt;"&amp;$K211)+1)</f>
        <v/>
      </c>
    </row>
    <row r="212">
      <c r="A212" s="16">
        <f>IF(IFERROR(MATCH(196,ChqRankL,0),0)=0,"",196)</f>
        <v/>
      </c>
      <c r="B212" s="24">
        <f>IF(IFERROR(MATCH(196,ChqRankL,0),0)=0,"",INDEX(ChqNorm,IFERROR(MATCH(196,ChqRankL,0),0)))</f>
        <v/>
      </c>
      <c r="C212" s="24">
        <f>IF(IFERROR(MATCH(196,ChqRankL,0),0)=0,"",INDEX(ChqNo,IFERROR(MATCH(196,ChqRankL,0),0)))</f>
        <v/>
      </c>
      <c r="D212" s="25">
        <f>IF(IFERROR(MATCH(196,ChqRankL,0),0)=0,"",IF(INDEX(ChqAmt,IFERROR(MATCH(196,ChqRankL,0),0))=0,"",INDEX(ChqAmt,IFERROR(MATCH(196,ChqRankL,0),0))))</f>
        <v/>
      </c>
      <c r="E212" s="17">
        <f>IF(IFERROR(MATCH(196,ChqRankL,0),0)=0,"",INDEX(ChqStatus,IFERROR(MATCH(196,ChqRankL,0),0)))</f>
        <v/>
      </c>
      <c r="F212" s="24">
        <f>IF(IFERROR(MATCH(196,ChqRankL,0),0)=0,"",IF(INDEX(ChqStatus,IFERROR(MATCH(196,ChqRankL,0),0))="پاس نشده","—",IF(INDEX(ChqClr,IFERROR(MATCH(196,ChqRankL,0),0))="","—",INDEX(ChqClr,IFERROR(MATCH(196,ChqRankL,0),0)))))</f>
        <v/>
      </c>
      <c r="I212">
        <f>IF(196&gt;NChq,"",INDEX(ChqNorm,196))</f>
        <v/>
      </c>
      <c r="J212">
        <f>IF($I212="","",IF(AND($I212&gt;=$H$3,$I212&lt;=$H$4),1,0))</f>
        <v/>
      </c>
      <c r="K212">
        <f>IF($J212=0,"",INDEX(ChqKey,196))</f>
        <v/>
      </c>
      <c r="L212">
        <f>IF($K212="","",COUNTIFS($J$17:$J$516,1,$K$17:$K$516,"&lt;"&amp;$K212)+1)</f>
        <v/>
      </c>
    </row>
    <row r="213">
      <c r="A213" s="10">
        <f>IF(IFERROR(MATCH(197,ChqRankL,0),0)=0,"",197)</f>
        <v/>
      </c>
      <c r="B213" s="22">
        <f>IF(IFERROR(MATCH(197,ChqRankL,0),0)=0,"",INDEX(ChqNorm,IFERROR(MATCH(197,ChqRankL,0),0)))</f>
        <v/>
      </c>
      <c r="C213" s="22">
        <f>IF(IFERROR(MATCH(197,ChqRankL,0),0)=0,"",INDEX(ChqNo,IFERROR(MATCH(197,ChqRankL,0),0)))</f>
        <v/>
      </c>
      <c r="D213" s="23">
        <f>IF(IFERROR(MATCH(197,ChqRankL,0),0)=0,"",IF(INDEX(ChqAmt,IFERROR(MATCH(197,ChqRankL,0),0))=0,"",INDEX(ChqAmt,IFERROR(MATCH(197,ChqRankL,0),0))))</f>
        <v/>
      </c>
      <c r="E213" s="14">
        <f>IF(IFERROR(MATCH(197,ChqRankL,0),0)=0,"",INDEX(ChqStatus,IFERROR(MATCH(197,ChqRankL,0),0)))</f>
        <v/>
      </c>
      <c r="F213" s="22">
        <f>IF(IFERROR(MATCH(197,ChqRankL,0),0)=0,"",IF(INDEX(ChqStatus,IFERROR(MATCH(197,ChqRankL,0),0))="پاس نشده","—",IF(INDEX(ChqClr,IFERROR(MATCH(197,ChqRankL,0),0))="","—",INDEX(ChqClr,IFERROR(MATCH(197,ChqRankL,0),0)))))</f>
        <v/>
      </c>
      <c r="I213">
        <f>IF(197&gt;NChq,"",INDEX(ChqNorm,197))</f>
        <v/>
      </c>
      <c r="J213">
        <f>IF($I213="","",IF(AND($I213&gt;=$H$3,$I213&lt;=$H$4),1,0))</f>
        <v/>
      </c>
      <c r="K213">
        <f>IF($J213=0,"",INDEX(ChqKey,197))</f>
        <v/>
      </c>
      <c r="L213">
        <f>IF($K213="","",COUNTIFS($J$17:$J$516,1,$K$17:$K$516,"&lt;"&amp;$K213)+1)</f>
        <v/>
      </c>
    </row>
    <row r="214">
      <c r="A214" s="16">
        <f>IF(IFERROR(MATCH(198,ChqRankL,0),0)=0,"",198)</f>
        <v/>
      </c>
      <c r="B214" s="24">
        <f>IF(IFERROR(MATCH(198,ChqRankL,0),0)=0,"",INDEX(ChqNorm,IFERROR(MATCH(198,ChqRankL,0),0)))</f>
        <v/>
      </c>
      <c r="C214" s="24">
        <f>IF(IFERROR(MATCH(198,ChqRankL,0),0)=0,"",INDEX(ChqNo,IFERROR(MATCH(198,ChqRankL,0),0)))</f>
        <v/>
      </c>
      <c r="D214" s="25">
        <f>IF(IFERROR(MATCH(198,ChqRankL,0),0)=0,"",IF(INDEX(ChqAmt,IFERROR(MATCH(198,ChqRankL,0),0))=0,"",INDEX(ChqAmt,IFERROR(MATCH(198,ChqRankL,0),0))))</f>
        <v/>
      </c>
      <c r="E214" s="17">
        <f>IF(IFERROR(MATCH(198,ChqRankL,0),0)=0,"",INDEX(ChqStatus,IFERROR(MATCH(198,ChqRankL,0),0)))</f>
        <v/>
      </c>
      <c r="F214" s="24">
        <f>IF(IFERROR(MATCH(198,ChqRankL,0),0)=0,"",IF(INDEX(ChqStatus,IFERROR(MATCH(198,ChqRankL,0),0))="پاس نشده","—",IF(INDEX(ChqClr,IFERROR(MATCH(198,ChqRankL,0),0))="","—",INDEX(ChqClr,IFERROR(MATCH(198,ChqRankL,0),0)))))</f>
        <v/>
      </c>
      <c r="I214">
        <f>IF(198&gt;NChq,"",INDEX(ChqNorm,198))</f>
        <v/>
      </c>
      <c r="J214">
        <f>IF($I214="","",IF(AND($I214&gt;=$H$3,$I214&lt;=$H$4),1,0))</f>
        <v/>
      </c>
      <c r="K214">
        <f>IF($J214=0,"",INDEX(ChqKey,198))</f>
        <v/>
      </c>
      <c r="L214">
        <f>IF($K214="","",COUNTIFS($J$17:$J$516,1,$K$17:$K$516,"&lt;"&amp;$K214)+1)</f>
        <v/>
      </c>
    </row>
    <row r="215">
      <c r="A215" s="10">
        <f>IF(IFERROR(MATCH(199,ChqRankL,0),0)=0,"",199)</f>
        <v/>
      </c>
      <c r="B215" s="22">
        <f>IF(IFERROR(MATCH(199,ChqRankL,0),0)=0,"",INDEX(ChqNorm,IFERROR(MATCH(199,ChqRankL,0),0)))</f>
        <v/>
      </c>
      <c r="C215" s="22">
        <f>IF(IFERROR(MATCH(199,ChqRankL,0),0)=0,"",INDEX(ChqNo,IFERROR(MATCH(199,ChqRankL,0),0)))</f>
        <v/>
      </c>
      <c r="D215" s="23">
        <f>IF(IFERROR(MATCH(199,ChqRankL,0),0)=0,"",IF(INDEX(ChqAmt,IFERROR(MATCH(199,ChqRankL,0),0))=0,"",INDEX(ChqAmt,IFERROR(MATCH(199,ChqRankL,0),0))))</f>
        <v/>
      </c>
      <c r="E215" s="14">
        <f>IF(IFERROR(MATCH(199,ChqRankL,0),0)=0,"",INDEX(ChqStatus,IFERROR(MATCH(199,ChqRankL,0),0)))</f>
        <v/>
      </c>
      <c r="F215" s="22">
        <f>IF(IFERROR(MATCH(199,ChqRankL,0),0)=0,"",IF(INDEX(ChqStatus,IFERROR(MATCH(199,ChqRankL,0),0))="پاس نشده","—",IF(INDEX(ChqClr,IFERROR(MATCH(199,ChqRankL,0),0))="","—",INDEX(ChqClr,IFERROR(MATCH(199,ChqRankL,0),0)))))</f>
        <v/>
      </c>
      <c r="I215">
        <f>IF(199&gt;NChq,"",INDEX(ChqNorm,199))</f>
        <v/>
      </c>
      <c r="J215">
        <f>IF($I215="","",IF(AND($I215&gt;=$H$3,$I215&lt;=$H$4),1,0))</f>
        <v/>
      </c>
      <c r="K215">
        <f>IF($J215=0,"",INDEX(ChqKey,199))</f>
        <v/>
      </c>
      <c r="L215">
        <f>IF($K215="","",COUNTIFS($J$17:$J$516,1,$K$17:$K$516,"&lt;"&amp;$K215)+1)</f>
        <v/>
      </c>
    </row>
    <row r="216">
      <c r="A216" s="16">
        <f>IF(IFERROR(MATCH(200,ChqRankL,0),0)=0,"",200)</f>
        <v/>
      </c>
      <c r="B216" s="24">
        <f>IF(IFERROR(MATCH(200,ChqRankL,0),0)=0,"",INDEX(ChqNorm,IFERROR(MATCH(200,ChqRankL,0),0)))</f>
        <v/>
      </c>
      <c r="C216" s="24">
        <f>IF(IFERROR(MATCH(200,ChqRankL,0),0)=0,"",INDEX(ChqNo,IFERROR(MATCH(200,ChqRankL,0),0)))</f>
        <v/>
      </c>
      <c r="D216" s="25">
        <f>IF(IFERROR(MATCH(200,ChqRankL,0),0)=0,"",IF(INDEX(ChqAmt,IFERROR(MATCH(200,ChqRankL,0),0))=0,"",INDEX(ChqAmt,IFERROR(MATCH(200,ChqRankL,0),0))))</f>
        <v/>
      </c>
      <c r="E216" s="17">
        <f>IF(IFERROR(MATCH(200,ChqRankL,0),0)=0,"",INDEX(ChqStatus,IFERROR(MATCH(200,ChqRankL,0),0)))</f>
        <v/>
      </c>
      <c r="F216" s="24">
        <f>IF(IFERROR(MATCH(200,ChqRankL,0),0)=0,"",IF(INDEX(ChqStatus,IFERROR(MATCH(200,ChqRankL,0),0))="پاس نشده","—",IF(INDEX(ChqClr,IFERROR(MATCH(200,ChqRankL,0),0))="","—",INDEX(ChqClr,IFERROR(MATCH(200,ChqRankL,0),0)))))</f>
        <v/>
      </c>
      <c r="I216">
        <f>IF(200&gt;NChq,"",INDEX(ChqNorm,200))</f>
        <v/>
      </c>
      <c r="J216">
        <f>IF($I216="","",IF(AND($I216&gt;=$H$3,$I216&lt;=$H$4),1,0))</f>
        <v/>
      </c>
      <c r="K216">
        <f>IF($J216=0,"",INDEX(ChqKey,200))</f>
        <v/>
      </c>
      <c r="L216">
        <f>IF($K216="","",COUNTIFS($J$17:$J$516,1,$K$17:$K$516,"&lt;"&amp;$K216)+1)</f>
        <v/>
      </c>
    </row>
    <row r="217">
      <c r="A217" s="10">
        <f>IF(IFERROR(MATCH(201,ChqRankL,0),0)=0,"",201)</f>
        <v/>
      </c>
      <c r="B217" s="22">
        <f>IF(IFERROR(MATCH(201,ChqRankL,0),0)=0,"",INDEX(ChqNorm,IFERROR(MATCH(201,ChqRankL,0),0)))</f>
        <v/>
      </c>
      <c r="C217" s="22">
        <f>IF(IFERROR(MATCH(201,ChqRankL,0),0)=0,"",INDEX(ChqNo,IFERROR(MATCH(201,ChqRankL,0),0)))</f>
        <v/>
      </c>
      <c r="D217" s="23">
        <f>IF(IFERROR(MATCH(201,ChqRankL,0),0)=0,"",IF(INDEX(ChqAmt,IFERROR(MATCH(201,ChqRankL,0),0))=0,"",INDEX(ChqAmt,IFERROR(MATCH(201,ChqRankL,0),0))))</f>
        <v/>
      </c>
      <c r="E217" s="14">
        <f>IF(IFERROR(MATCH(201,ChqRankL,0),0)=0,"",INDEX(ChqStatus,IFERROR(MATCH(201,ChqRankL,0),0)))</f>
        <v/>
      </c>
      <c r="F217" s="22">
        <f>IF(IFERROR(MATCH(201,ChqRankL,0),0)=0,"",IF(INDEX(ChqStatus,IFERROR(MATCH(201,ChqRankL,0),0))="پاس نشده","—",IF(INDEX(ChqClr,IFERROR(MATCH(201,ChqRankL,0),0))="","—",INDEX(ChqClr,IFERROR(MATCH(201,ChqRankL,0),0)))))</f>
        <v/>
      </c>
      <c r="I217">
        <f>IF(201&gt;NChq,"",INDEX(ChqNorm,201))</f>
        <v/>
      </c>
      <c r="J217">
        <f>IF($I217="","",IF(AND($I217&gt;=$H$3,$I217&lt;=$H$4),1,0))</f>
        <v/>
      </c>
      <c r="K217">
        <f>IF($J217=0,"",INDEX(ChqKey,201))</f>
        <v/>
      </c>
      <c r="L217">
        <f>IF($K217="","",COUNTIFS($J$17:$J$516,1,$K$17:$K$516,"&lt;"&amp;$K217)+1)</f>
        <v/>
      </c>
    </row>
    <row r="218">
      <c r="A218" s="16">
        <f>IF(IFERROR(MATCH(202,ChqRankL,0),0)=0,"",202)</f>
        <v/>
      </c>
      <c r="B218" s="24">
        <f>IF(IFERROR(MATCH(202,ChqRankL,0),0)=0,"",INDEX(ChqNorm,IFERROR(MATCH(202,ChqRankL,0),0)))</f>
        <v/>
      </c>
      <c r="C218" s="24">
        <f>IF(IFERROR(MATCH(202,ChqRankL,0),0)=0,"",INDEX(ChqNo,IFERROR(MATCH(202,ChqRankL,0),0)))</f>
        <v/>
      </c>
      <c r="D218" s="25">
        <f>IF(IFERROR(MATCH(202,ChqRankL,0),0)=0,"",IF(INDEX(ChqAmt,IFERROR(MATCH(202,ChqRankL,0),0))=0,"",INDEX(ChqAmt,IFERROR(MATCH(202,ChqRankL,0),0))))</f>
        <v/>
      </c>
      <c r="E218" s="17">
        <f>IF(IFERROR(MATCH(202,ChqRankL,0),0)=0,"",INDEX(ChqStatus,IFERROR(MATCH(202,ChqRankL,0),0)))</f>
        <v/>
      </c>
      <c r="F218" s="24">
        <f>IF(IFERROR(MATCH(202,ChqRankL,0),0)=0,"",IF(INDEX(ChqStatus,IFERROR(MATCH(202,ChqRankL,0),0))="پاس نشده","—",IF(INDEX(ChqClr,IFERROR(MATCH(202,ChqRankL,0),0))="","—",INDEX(ChqClr,IFERROR(MATCH(202,ChqRankL,0),0)))))</f>
        <v/>
      </c>
      <c r="I218">
        <f>IF(202&gt;NChq,"",INDEX(ChqNorm,202))</f>
        <v/>
      </c>
      <c r="J218">
        <f>IF($I218="","",IF(AND($I218&gt;=$H$3,$I218&lt;=$H$4),1,0))</f>
        <v/>
      </c>
      <c r="K218">
        <f>IF($J218=0,"",INDEX(ChqKey,202))</f>
        <v/>
      </c>
      <c r="L218">
        <f>IF($K218="","",COUNTIFS($J$17:$J$516,1,$K$17:$K$516,"&lt;"&amp;$K218)+1)</f>
        <v/>
      </c>
    </row>
    <row r="219">
      <c r="A219" s="10">
        <f>IF(IFERROR(MATCH(203,ChqRankL,0),0)=0,"",203)</f>
        <v/>
      </c>
      <c r="B219" s="22">
        <f>IF(IFERROR(MATCH(203,ChqRankL,0),0)=0,"",INDEX(ChqNorm,IFERROR(MATCH(203,ChqRankL,0),0)))</f>
        <v/>
      </c>
      <c r="C219" s="22">
        <f>IF(IFERROR(MATCH(203,ChqRankL,0),0)=0,"",INDEX(ChqNo,IFERROR(MATCH(203,ChqRankL,0),0)))</f>
        <v/>
      </c>
      <c r="D219" s="23">
        <f>IF(IFERROR(MATCH(203,ChqRankL,0),0)=0,"",IF(INDEX(ChqAmt,IFERROR(MATCH(203,ChqRankL,0),0))=0,"",INDEX(ChqAmt,IFERROR(MATCH(203,ChqRankL,0),0))))</f>
        <v/>
      </c>
      <c r="E219" s="14">
        <f>IF(IFERROR(MATCH(203,ChqRankL,0),0)=0,"",INDEX(ChqStatus,IFERROR(MATCH(203,ChqRankL,0),0)))</f>
        <v/>
      </c>
      <c r="F219" s="22">
        <f>IF(IFERROR(MATCH(203,ChqRankL,0),0)=0,"",IF(INDEX(ChqStatus,IFERROR(MATCH(203,ChqRankL,0),0))="پاس نشده","—",IF(INDEX(ChqClr,IFERROR(MATCH(203,ChqRankL,0),0))="","—",INDEX(ChqClr,IFERROR(MATCH(203,ChqRankL,0),0)))))</f>
        <v/>
      </c>
      <c r="I219">
        <f>IF(203&gt;NChq,"",INDEX(ChqNorm,203))</f>
        <v/>
      </c>
      <c r="J219">
        <f>IF($I219="","",IF(AND($I219&gt;=$H$3,$I219&lt;=$H$4),1,0))</f>
        <v/>
      </c>
      <c r="K219">
        <f>IF($J219=0,"",INDEX(ChqKey,203))</f>
        <v/>
      </c>
      <c r="L219">
        <f>IF($K219="","",COUNTIFS($J$17:$J$516,1,$K$17:$K$516,"&lt;"&amp;$K219)+1)</f>
        <v/>
      </c>
    </row>
    <row r="220">
      <c r="A220" s="16">
        <f>IF(IFERROR(MATCH(204,ChqRankL,0),0)=0,"",204)</f>
        <v/>
      </c>
      <c r="B220" s="24">
        <f>IF(IFERROR(MATCH(204,ChqRankL,0),0)=0,"",INDEX(ChqNorm,IFERROR(MATCH(204,ChqRankL,0),0)))</f>
        <v/>
      </c>
      <c r="C220" s="24">
        <f>IF(IFERROR(MATCH(204,ChqRankL,0),0)=0,"",INDEX(ChqNo,IFERROR(MATCH(204,ChqRankL,0),0)))</f>
        <v/>
      </c>
      <c r="D220" s="25">
        <f>IF(IFERROR(MATCH(204,ChqRankL,0),0)=0,"",IF(INDEX(ChqAmt,IFERROR(MATCH(204,ChqRankL,0),0))=0,"",INDEX(ChqAmt,IFERROR(MATCH(204,ChqRankL,0),0))))</f>
        <v/>
      </c>
      <c r="E220" s="17">
        <f>IF(IFERROR(MATCH(204,ChqRankL,0),0)=0,"",INDEX(ChqStatus,IFERROR(MATCH(204,ChqRankL,0),0)))</f>
        <v/>
      </c>
      <c r="F220" s="24">
        <f>IF(IFERROR(MATCH(204,ChqRankL,0),0)=0,"",IF(INDEX(ChqStatus,IFERROR(MATCH(204,ChqRankL,0),0))="پاس نشده","—",IF(INDEX(ChqClr,IFERROR(MATCH(204,ChqRankL,0),0))="","—",INDEX(ChqClr,IFERROR(MATCH(204,ChqRankL,0),0)))))</f>
        <v/>
      </c>
      <c r="I220">
        <f>IF(204&gt;NChq,"",INDEX(ChqNorm,204))</f>
        <v/>
      </c>
      <c r="J220">
        <f>IF($I220="","",IF(AND($I220&gt;=$H$3,$I220&lt;=$H$4),1,0))</f>
        <v/>
      </c>
      <c r="K220">
        <f>IF($J220=0,"",INDEX(ChqKey,204))</f>
        <v/>
      </c>
      <c r="L220">
        <f>IF($K220="","",COUNTIFS($J$17:$J$516,1,$K$17:$K$516,"&lt;"&amp;$K220)+1)</f>
        <v/>
      </c>
    </row>
    <row r="221">
      <c r="A221" s="10">
        <f>IF(IFERROR(MATCH(205,ChqRankL,0),0)=0,"",205)</f>
        <v/>
      </c>
      <c r="B221" s="22">
        <f>IF(IFERROR(MATCH(205,ChqRankL,0),0)=0,"",INDEX(ChqNorm,IFERROR(MATCH(205,ChqRankL,0),0)))</f>
        <v/>
      </c>
      <c r="C221" s="22">
        <f>IF(IFERROR(MATCH(205,ChqRankL,0),0)=0,"",INDEX(ChqNo,IFERROR(MATCH(205,ChqRankL,0),0)))</f>
        <v/>
      </c>
      <c r="D221" s="23">
        <f>IF(IFERROR(MATCH(205,ChqRankL,0),0)=0,"",IF(INDEX(ChqAmt,IFERROR(MATCH(205,ChqRankL,0),0))=0,"",INDEX(ChqAmt,IFERROR(MATCH(205,ChqRankL,0),0))))</f>
        <v/>
      </c>
      <c r="E221" s="14">
        <f>IF(IFERROR(MATCH(205,ChqRankL,0),0)=0,"",INDEX(ChqStatus,IFERROR(MATCH(205,ChqRankL,0),0)))</f>
        <v/>
      </c>
      <c r="F221" s="22">
        <f>IF(IFERROR(MATCH(205,ChqRankL,0),0)=0,"",IF(INDEX(ChqStatus,IFERROR(MATCH(205,ChqRankL,0),0))="پاس نشده","—",IF(INDEX(ChqClr,IFERROR(MATCH(205,ChqRankL,0),0))="","—",INDEX(ChqClr,IFERROR(MATCH(205,ChqRankL,0),0)))))</f>
        <v/>
      </c>
      <c r="I221">
        <f>IF(205&gt;NChq,"",INDEX(ChqNorm,205))</f>
        <v/>
      </c>
      <c r="J221">
        <f>IF($I221="","",IF(AND($I221&gt;=$H$3,$I221&lt;=$H$4),1,0))</f>
        <v/>
      </c>
      <c r="K221">
        <f>IF($J221=0,"",INDEX(ChqKey,205))</f>
        <v/>
      </c>
      <c r="L221">
        <f>IF($K221="","",COUNTIFS($J$17:$J$516,1,$K$17:$K$516,"&lt;"&amp;$K221)+1)</f>
        <v/>
      </c>
    </row>
    <row r="222">
      <c r="A222" s="16">
        <f>IF(IFERROR(MATCH(206,ChqRankL,0),0)=0,"",206)</f>
        <v/>
      </c>
      <c r="B222" s="24">
        <f>IF(IFERROR(MATCH(206,ChqRankL,0),0)=0,"",INDEX(ChqNorm,IFERROR(MATCH(206,ChqRankL,0),0)))</f>
        <v/>
      </c>
      <c r="C222" s="24">
        <f>IF(IFERROR(MATCH(206,ChqRankL,0),0)=0,"",INDEX(ChqNo,IFERROR(MATCH(206,ChqRankL,0),0)))</f>
        <v/>
      </c>
      <c r="D222" s="25">
        <f>IF(IFERROR(MATCH(206,ChqRankL,0),0)=0,"",IF(INDEX(ChqAmt,IFERROR(MATCH(206,ChqRankL,0),0))=0,"",INDEX(ChqAmt,IFERROR(MATCH(206,ChqRankL,0),0))))</f>
        <v/>
      </c>
      <c r="E222" s="17">
        <f>IF(IFERROR(MATCH(206,ChqRankL,0),0)=0,"",INDEX(ChqStatus,IFERROR(MATCH(206,ChqRankL,0),0)))</f>
        <v/>
      </c>
      <c r="F222" s="24">
        <f>IF(IFERROR(MATCH(206,ChqRankL,0),0)=0,"",IF(INDEX(ChqStatus,IFERROR(MATCH(206,ChqRankL,0),0))="پاس نشده","—",IF(INDEX(ChqClr,IFERROR(MATCH(206,ChqRankL,0),0))="","—",INDEX(ChqClr,IFERROR(MATCH(206,ChqRankL,0),0)))))</f>
        <v/>
      </c>
      <c r="I222">
        <f>IF(206&gt;NChq,"",INDEX(ChqNorm,206))</f>
        <v/>
      </c>
      <c r="J222">
        <f>IF($I222="","",IF(AND($I222&gt;=$H$3,$I222&lt;=$H$4),1,0))</f>
        <v/>
      </c>
      <c r="K222">
        <f>IF($J222=0,"",INDEX(ChqKey,206))</f>
        <v/>
      </c>
      <c r="L222">
        <f>IF($K222="","",COUNTIFS($J$17:$J$516,1,$K$17:$K$516,"&lt;"&amp;$K222)+1)</f>
        <v/>
      </c>
    </row>
    <row r="223">
      <c r="A223" s="10">
        <f>IF(IFERROR(MATCH(207,ChqRankL,0),0)=0,"",207)</f>
        <v/>
      </c>
      <c r="B223" s="22">
        <f>IF(IFERROR(MATCH(207,ChqRankL,0),0)=0,"",INDEX(ChqNorm,IFERROR(MATCH(207,ChqRankL,0),0)))</f>
        <v/>
      </c>
      <c r="C223" s="22">
        <f>IF(IFERROR(MATCH(207,ChqRankL,0),0)=0,"",INDEX(ChqNo,IFERROR(MATCH(207,ChqRankL,0),0)))</f>
        <v/>
      </c>
      <c r="D223" s="23">
        <f>IF(IFERROR(MATCH(207,ChqRankL,0),0)=0,"",IF(INDEX(ChqAmt,IFERROR(MATCH(207,ChqRankL,0),0))=0,"",INDEX(ChqAmt,IFERROR(MATCH(207,ChqRankL,0),0))))</f>
        <v/>
      </c>
      <c r="E223" s="14">
        <f>IF(IFERROR(MATCH(207,ChqRankL,0),0)=0,"",INDEX(ChqStatus,IFERROR(MATCH(207,ChqRankL,0),0)))</f>
        <v/>
      </c>
      <c r="F223" s="22">
        <f>IF(IFERROR(MATCH(207,ChqRankL,0),0)=0,"",IF(INDEX(ChqStatus,IFERROR(MATCH(207,ChqRankL,0),0))="پاس نشده","—",IF(INDEX(ChqClr,IFERROR(MATCH(207,ChqRankL,0),0))="","—",INDEX(ChqClr,IFERROR(MATCH(207,ChqRankL,0),0)))))</f>
        <v/>
      </c>
      <c r="I223">
        <f>IF(207&gt;NChq,"",INDEX(ChqNorm,207))</f>
        <v/>
      </c>
      <c r="J223">
        <f>IF($I223="","",IF(AND($I223&gt;=$H$3,$I223&lt;=$H$4),1,0))</f>
        <v/>
      </c>
      <c r="K223">
        <f>IF($J223=0,"",INDEX(ChqKey,207))</f>
        <v/>
      </c>
      <c r="L223">
        <f>IF($K223="","",COUNTIFS($J$17:$J$516,1,$K$17:$K$516,"&lt;"&amp;$K223)+1)</f>
        <v/>
      </c>
    </row>
    <row r="224">
      <c r="A224" s="16">
        <f>IF(IFERROR(MATCH(208,ChqRankL,0),0)=0,"",208)</f>
        <v/>
      </c>
      <c r="B224" s="24">
        <f>IF(IFERROR(MATCH(208,ChqRankL,0),0)=0,"",INDEX(ChqNorm,IFERROR(MATCH(208,ChqRankL,0),0)))</f>
        <v/>
      </c>
      <c r="C224" s="24">
        <f>IF(IFERROR(MATCH(208,ChqRankL,0),0)=0,"",INDEX(ChqNo,IFERROR(MATCH(208,ChqRankL,0),0)))</f>
        <v/>
      </c>
      <c r="D224" s="25">
        <f>IF(IFERROR(MATCH(208,ChqRankL,0),0)=0,"",IF(INDEX(ChqAmt,IFERROR(MATCH(208,ChqRankL,0),0))=0,"",INDEX(ChqAmt,IFERROR(MATCH(208,ChqRankL,0),0))))</f>
        <v/>
      </c>
      <c r="E224" s="17">
        <f>IF(IFERROR(MATCH(208,ChqRankL,0),0)=0,"",INDEX(ChqStatus,IFERROR(MATCH(208,ChqRankL,0),0)))</f>
        <v/>
      </c>
      <c r="F224" s="24">
        <f>IF(IFERROR(MATCH(208,ChqRankL,0),0)=0,"",IF(INDEX(ChqStatus,IFERROR(MATCH(208,ChqRankL,0),0))="پاس نشده","—",IF(INDEX(ChqClr,IFERROR(MATCH(208,ChqRankL,0),0))="","—",INDEX(ChqClr,IFERROR(MATCH(208,ChqRankL,0),0)))))</f>
        <v/>
      </c>
      <c r="I224">
        <f>IF(208&gt;NChq,"",INDEX(ChqNorm,208))</f>
        <v/>
      </c>
      <c r="J224">
        <f>IF($I224="","",IF(AND($I224&gt;=$H$3,$I224&lt;=$H$4),1,0))</f>
        <v/>
      </c>
      <c r="K224">
        <f>IF($J224=0,"",INDEX(ChqKey,208))</f>
        <v/>
      </c>
      <c r="L224">
        <f>IF($K224="","",COUNTIFS($J$17:$J$516,1,$K$17:$K$516,"&lt;"&amp;$K224)+1)</f>
        <v/>
      </c>
    </row>
    <row r="225">
      <c r="A225" s="10">
        <f>IF(IFERROR(MATCH(209,ChqRankL,0),0)=0,"",209)</f>
        <v/>
      </c>
      <c r="B225" s="22">
        <f>IF(IFERROR(MATCH(209,ChqRankL,0),0)=0,"",INDEX(ChqNorm,IFERROR(MATCH(209,ChqRankL,0),0)))</f>
        <v/>
      </c>
      <c r="C225" s="22">
        <f>IF(IFERROR(MATCH(209,ChqRankL,0),0)=0,"",INDEX(ChqNo,IFERROR(MATCH(209,ChqRankL,0),0)))</f>
        <v/>
      </c>
      <c r="D225" s="23">
        <f>IF(IFERROR(MATCH(209,ChqRankL,0),0)=0,"",IF(INDEX(ChqAmt,IFERROR(MATCH(209,ChqRankL,0),0))=0,"",INDEX(ChqAmt,IFERROR(MATCH(209,ChqRankL,0),0))))</f>
        <v/>
      </c>
      <c r="E225" s="14">
        <f>IF(IFERROR(MATCH(209,ChqRankL,0),0)=0,"",INDEX(ChqStatus,IFERROR(MATCH(209,ChqRankL,0),0)))</f>
        <v/>
      </c>
      <c r="F225" s="22">
        <f>IF(IFERROR(MATCH(209,ChqRankL,0),0)=0,"",IF(INDEX(ChqStatus,IFERROR(MATCH(209,ChqRankL,0),0))="پاس نشده","—",IF(INDEX(ChqClr,IFERROR(MATCH(209,ChqRankL,0),0))="","—",INDEX(ChqClr,IFERROR(MATCH(209,ChqRankL,0),0)))))</f>
        <v/>
      </c>
      <c r="I225">
        <f>IF(209&gt;NChq,"",INDEX(ChqNorm,209))</f>
        <v/>
      </c>
      <c r="J225">
        <f>IF($I225="","",IF(AND($I225&gt;=$H$3,$I225&lt;=$H$4),1,0))</f>
        <v/>
      </c>
      <c r="K225">
        <f>IF($J225=0,"",INDEX(ChqKey,209))</f>
        <v/>
      </c>
      <c r="L225">
        <f>IF($K225="","",COUNTIFS($J$17:$J$516,1,$K$17:$K$516,"&lt;"&amp;$K225)+1)</f>
        <v/>
      </c>
    </row>
    <row r="226">
      <c r="A226" s="16">
        <f>IF(IFERROR(MATCH(210,ChqRankL,0),0)=0,"",210)</f>
        <v/>
      </c>
      <c r="B226" s="24">
        <f>IF(IFERROR(MATCH(210,ChqRankL,0),0)=0,"",INDEX(ChqNorm,IFERROR(MATCH(210,ChqRankL,0),0)))</f>
        <v/>
      </c>
      <c r="C226" s="24">
        <f>IF(IFERROR(MATCH(210,ChqRankL,0),0)=0,"",INDEX(ChqNo,IFERROR(MATCH(210,ChqRankL,0),0)))</f>
        <v/>
      </c>
      <c r="D226" s="25">
        <f>IF(IFERROR(MATCH(210,ChqRankL,0),0)=0,"",IF(INDEX(ChqAmt,IFERROR(MATCH(210,ChqRankL,0),0))=0,"",INDEX(ChqAmt,IFERROR(MATCH(210,ChqRankL,0),0))))</f>
        <v/>
      </c>
      <c r="E226" s="17">
        <f>IF(IFERROR(MATCH(210,ChqRankL,0),0)=0,"",INDEX(ChqStatus,IFERROR(MATCH(210,ChqRankL,0),0)))</f>
        <v/>
      </c>
      <c r="F226" s="24">
        <f>IF(IFERROR(MATCH(210,ChqRankL,0),0)=0,"",IF(INDEX(ChqStatus,IFERROR(MATCH(210,ChqRankL,0),0))="پاس نشده","—",IF(INDEX(ChqClr,IFERROR(MATCH(210,ChqRankL,0),0))="","—",INDEX(ChqClr,IFERROR(MATCH(210,ChqRankL,0),0)))))</f>
        <v/>
      </c>
      <c r="I226">
        <f>IF(210&gt;NChq,"",INDEX(ChqNorm,210))</f>
        <v/>
      </c>
      <c r="J226">
        <f>IF($I226="","",IF(AND($I226&gt;=$H$3,$I226&lt;=$H$4),1,0))</f>
        <v/>
      </c>
      <c r="K226">
        <f>IF($J226=0,"",INDEX(ChqKey,210))</f>
        <v/>
      </c>
      <c r="L226">
        <f>IF($K226="","",COUNTIFS($J$17:$J$516,1,$K$17:$K$516,"&lt;"&amp;$K226)+1)</f>
        <v/>
      </c>
    </row>
    <row r="227">
      <c r="A227" s="10">
        <f>IF(IFERROR(MATCH(211,ChqRankL,0),0)=0,"",211)</f>
        <v/>
      </c>
      <c r="B227" s="22">
        <f>IF(IFERROR(MATCH(211,ChqRankL,0),0)=0,"",INDEX(ChqNorm,IFERROR(MATCH(211,ChqRankL,0),0)))</f>
        <v/>
      </c>
      <c r="C227" s="22">
        <f>IF(IFERROR(MATCH(211,ChqRankL,0),0)=0,"",INDEX(ChqNo,IFERROR(MATCH(211,ChqRankL,0),0)))</f>
        <v/>
      </c>
      <c r="D227" s="23">
        <f>IF(IFERROR(MATCH(211,ChqRankL,0),0)=0,"",IF(INDEX(ChqAmt,IFERROR(MATCH(211,ChqRankL,0),0))=0,"",INDEX(ChqAmt,IFERROR(MATCH(211,ChqRankL,0),0))))</f>
        <v/>
      </c>
      <c r="E227" s="14">
        <f>IF(IFERROR(MATCH(211,ChqRankL,0),0)=0,"",INDEX(ChqStatus,IFERROR(MATCH(211,ChqRankL,0),0)))</f>
        <v/>
      </c>
      <c r="F227" s="22">
        <f>IF(IFERROR(MATCH(211,ChqRankL,0),0)=0,"",IF(INDEX(ChqStatus,IFERROR(MATCH(211,ChqRankL,0),0))="پاس نشده","—",IF(INDEX(ChqClr,IFERROR(MATCH(211,ChqRankL,0),0))="","—",INDEX(ChqClr,IFERROR(MATCH(211,ChqRankL,0),0)))))</f>
        <v/>
      </c>
      <c r="I227">
        <f>IF(211&gt;NChq,"",INDEX(ChqNorm,211))</f>
        <v/>
      </c>
      <c r="J227">
        <f>IF($I227="","",IF(AND($I227&gt;=$H$3,$I227&lt;=$H$4),1,0))</f>
        <v/>
      </c>
      <c r="K227">
        <f>IF($J227=0,"",INDEX(ChqKey,211))</f>
        <v/>
      </c>
      <c r="L227">
        <f>IF($K227="","",COUNTIFS($J$17:$J$516,1,$K$17:$K$516,"&lt;"&amp;$K227)+1)</f>
        <v/>
      </c>
    </row>
    <row r="228">
      <c r="A228" s="16">
        <f>IF(IFERROR(MATCH(212,ChqRankL,0),0)=0,"",212)</f>
        <v/>
      </c>
      <c r="B228" s="24">
        <f>IF(IFERROR(MATCH(212,ChqRankL,0),0)=0,"",INDEX(ChqNorm,IFERROR(MATCH(212,ChqRankL,0),0)))</f>
        <v/>
      </c>
      <c r="C228" s="24">
        <f>IF(IFERROR(MATCH(212,ChqRankL,0),0)=0,"",INDEX(ChqNo,IFERROR(MATCH(212,ChqRankL,0),0)))</f>
        <v/>
      </c>
      <c r="D228" s="25">
        <f>IF(IFERROR(MATCH(212,ChqRankL,0),0)=0,"",IF(INDEX(ChqAmt,IFERROR(MATCH(212,ChqRankL,0),0))=0,"",INDEX(ChqAmt,IFERROR(MATCH(212,ChqRankL,0),0))))</f>
        <v/>
      </c>
      <c r="E228" s="17">
        <f>IF(IFERROR(MATCH(212,ChqRankL,0),0)=0,"",INDEX(ChqStatus,IFERROR(MATCH(212,ChqRankL,0),0)))</f>
        <v/>
      </c>
      <c r="F228" s="24">
        <f>IF(IFERROR(MATCH(212,ChqRankL,0),0)=0,"",IF(INDEX(ChqStatus,IFERROR(MATCH(212,ChqRankL,0),0))="پاس نشده","—",IF(INDEX(ChqClr,IFERROR(MATCH(212,ChqRankL,0),0))="","—",INDEX(ChqClr,IFERROR(MATCH(212,ChqRankL,0),0)))))</f>
        <v/>
      </c>
      <c r="I228">
        <f>IF(212&gt;NChq,"",INDEX(ChqNorm,212))</f>
        <v/>
      </c>
      <c r="J228">
        <f>IF($I228="","",IF(AND($I228&gt;=$H$3,$I228&lt;=$H$4),1,0))</f>
        <v/>
      </c>
      <c r="K228">
        <f>IF($J228=0,"",INDEX(ChqKey,212))</f>
        <v/>
      </c>
      <c r="L228">
        <f>IF($K228="","",COUNTIFS($J$17:$J$516,1,$K$17:$K$516,"&lt;"&amp;$K228)+1)</f>
        <v/>
      </c>
    </row>
    <row r="229">
      <c r="A229" s="10">
        <f>IF(IFERROR(MATCH(213,ChqRankL,0),0)=0,"",213)</f>
        <v/>
      </c>
      <c r="B229" s="22">
        <f>IF(IFERROR(MATCH(213,ChqRankL,0),0)=0,"",INDEX(ChqNorm,IFERROR(MATCH(213,ChqRankL,0),0)))</f>
        <v/>
      </c>
      <c r="C229" s="22">
        <f>IF(IFERROR(MATCH(213,ChqRankL,0),0)=0,"",INDEX(ChqNo,IFERROR(MATCH(213,ChqRankL,0),0)))</f>
        <v/>
      </c>
      <c r="D229" s="23">
        <f>IF(IFERROR(MATCH(213,ChqRankL,0),0)=0,"",IF(INDEX(ChqAmt,IFERROR(MATCH(213,ChqRankL,0),0))=0,"",INDEX(ChqAmt,IFERROR(MATCH(213,ChqRankL,0),0))))</f>
        <v/>
      </c>
      <c r="E229" s="14">
        <f>IF(IFERROR(MATCH(213,ChqRankL,0),0)=0,"",INDEX(ChqStatus,IFERROR(MATCH(213,ChqRankL,0),0)))</f>
        <v/>
      </c>
      <c r="F229" s="22">
        <f>IF(IFERROR(MATCH(213,ChqRankL,0),0)=0,"",IF(INDEX(ChqStatus,IFERROR(MATCH(213,ChqRankL,0),0))="پاس نشده","—",IF(INDEX(ChqClr,IFERROR(MATCH(213,ChqRankL,0),0))="","—",INDEX(ChqClr,IFERROR(MATCH(213,ChqRankL,0),0)))))</f>
        <v/>
      </c>
      <c r="I229">
        <f>IF(213&gt;NChq,"",INDEX(ChqNorm,213))</f>
        <v/>
      </c>
      <c r="J229">
        <f>IF($I229="","",IF(AND($I229&gt;=$H$3,$I229&lt;=$H$4),1,0))</f>
        <v/>
      </c>
      <c r="K229">
        <f>IF($J229=0,"",INDEX(ChqKey,213))</f>
        <v/>
      </c>
      <c r="L229">
        <f>IF($K229="","",COUNTIFS($J$17:$J$516,1,$K$17:$K$516,"&lt;"&amp;$K229)+1)</f>
        <v/>
      </c>
    </row>
    <row r="230">
      <c r="A230" s="16">
        <f>IF(IFERROR(MATCH(214,ChqRankL,0),0)=0,"",214)</f>
        <v/>
      </c>
      <c r="B230" s="24">
        <f>IF(IFERROR(MATCH(214,ChqRankL,0),0)=0,"",INDEX(ChqNorm,IFERROR(MATCH(214,ChqRankL,0),0)))</f>
        <v/>
      </c>
      <c r="C230" s="24">
        <f>IF(IFERROR(MATCH(214,ChqRankL,0),0)=0,"",INDEX(ChqNo,IFERROR(MATCH(214,ChqRankL,0),0)))</f>
        <v/>
      </c>
      <c r="D230" s="25">
        <f>IF(IFERROR(MATCH(214,ChqRankL,0),0)=0,"",IF(INDEX(ChqAmt,IFERROR(MATCH(214,ChqRankL,0),0))=0,"",INDEX(ChqAmt,IFERROR(MATCH(214,ChqRankL,0),0))))</f>
        <v/>
      </c>
      <c r="E230" s="17">
        <f>IF(IFERROR(MATCH(214,ChqRankL,0),0)=0,"",INDEX(ChqStatus,IFERROR(MATCH(214,ChqRankL,0),0)))</f>
        <v/>
      </c>
      <c r="F230" s="24">
        <f>IF(IFERROR(MATCH(214,ChqRankL,0),0)=0,"",IF(INDEX(ChqStatus,IFERROR(MATCH(214,ChqRankL,0),0))="پاس نشده","—",IF(INDEX(ChqClr,IFERROR(MATCH(214,ChqRankL,0),0))="","—",INDEX(ChqClr,IFERROR(MATCH(214,ChqRankL,0),0)))))</f>
        <v/>
      </c>
      <c r="I230">
        <f>IF(214&gt;NChq,"",INDEX(ChqNorm,214))</f>
        <v/>
      </c>
      <c r="J230">
        <f>IF($I230="","",IF(AND($I230&gt;=$H$3,$I230&lt;=$H$4),1,0))</f>
        <v/>
      </c>
      <c r="K230">
        <f>IF($J230=0,"",INDEX(ChqKey,214))</f>
        <v/>
      </c>
      <c r="L230">
        <f>IF($K230="","",COUNTIFS($J$17:$J$516,1,$K$17:$K$516,"&lt;"&amp;$K230)+1)</f>
        <v/>
      </c>
    </row>
    <row r="231">
      <c r="A231" s="10">
        <f>IF(IFERROR(MATCH(215,ChqRankL,0),0)=0,"",215)</f>
        <v/>
      </c>
      <c r="B231" s="22">
        <f>IF(IFERROR(MATCH(215,ChqRankL,0),0)=0,"",INDEX(ChqNorm,IFERROR(MATCH(215,ChqRankL,0),0)))</f>
        <v/>
      </c>
      <c r="C231" s="22">
        <f>IF(IFERROR(MATCH(215,ChqRankL,0),0)=0,"",INDEX(ChqNo,IFERROR(MATCH(215,ChqRankL,0),0)))</f>
        <v/>
      </c>
      <c r="D231" s="23">
        <f>IF(IFERROR(MATCH(215,ChqRankL,0),0)=0,"",IF(INDEX(ChqAmt,IFERROR(MATCH(215,ChqRankL,0),0))=0,"",INDEX(ChqAmt,IFERROR(MATCH(215,ChqRankL,0),0))))</f>
        <v/>
      </c>
      <c r="E231" s="14">
        <f>IF(IFERROR(MATCH(215,ChqRankL,0),0)=0,"",INDEX(ChqStatus,IFERROR(MATCH(215,ChqRankL,0),0)))</f>
        <v/>
      </c>
      <c r="F231" s="22">
        <f>IF(IFERROR(MATCH(215,ChqRankL,0),0)=0,"",IF(INDEX(ChqStatus,IFERROR(MATCH(215,ChqRankL,0),0))="پاس نشده","—",IF(INDEX(ChqClr,IFERROR(MATCH(215,ChqRankL,0),0))="","—",INDEX(ChqClr,IFERROR(MATCH(215,ChqRankL,0),0)))))</f>
        <v/>
      </c>
      <c r="I231">
        <f>IF(215&gt;NChq,"",INDEX(ChqNorm,215))</f>
        <v/>
      </c>
      <c r="J231">
        <f>IF($I231="","",IF(AND($I231&gt;=$H$3,$I231&lt;=$H$4),1,0))</f>
        <v/>
      </c>
      <c r="K231">
        <f>IF($J231=0,"",INDEX(ChqKey,215))</f>
        <v/>
      </c>
      <c r="L231">
        <f>IF($K231="","",COUNTIFS($J$17:$J$516,1,$K$17:$K$516,"&lt;"&amp;$K231)+1)</f>
        <v/>
      </c>
    </row>
    <row r="232">
      <c r="A232" s="16">
        <f>IF(IFERROR(MATCH(216,ChqRankL,0),0)=0,"",216)</f>
        <v/>
      </c>
      <c r="B232" s="24">
        <f>IF(IFERROR(MATCH(216,ChqRankL,0),0)=0,"",INDEX(ChqNorm,IFERROR(MATCH(216,ChqRankL,0),0)))</f>
        <v/>
      </c>
      <c r="C232" s="24">
        <f>IF(IFERROR(MATCH(216,ChqRankL,0),0)=0,"",INDEX(ChqNo,IFERROR(MATCH(216,ChqRankL,0),0)))</f>
        <v/>
      </c>
      <c r="D232" s="25">
        <f>IF(IFERROR(MATCH(216,ChqRankL,0),0)=0,"",IF(INDEX(ChqAmt,IFERROR(MATCH(216,ChqRankL,0),0))=0,"",INDEX(ChqAmt,IFERROR(MATCH(216,ChqRankL,0),0))))</f>
        <v/>
      </c>
      <c r="E232" s="17">
        <f>IF(IFERROR(MATCH(216,ChqRankL,0),0)=0,"",INDEX(ChqStatus,IFERROR(MATCH(216,ChqRankL,0),0)))</f>
        <v/>
      </c>
      <c r="F232" s="24">
        <f>IF(IFERROR(MATCH(216,ChqRankL,0),0)=0,"",IF(INDEX(ChqStatus,IFERROR(MATCH(216,ChqRankL,0),0))="پاس نشده","—",IF(INDEX(ChqClr,IFERROR(MATCH(216,ChqRankL,0),0))="","—",INDEX(ChqClr,IFERROR(MATCH(216,ChqRankL,0),0)))))</f>
        <v/>
      </c>
      <c r="I232">
        <f>IF(216&gt;NChq,"",INDEX(ChqNorm,216))</f>
        <v/>
      </c>
      <c r="J232">
        <f>IF($I232="","",IF(AND($I232&gt;=$H$3,$I232&lt;=$H$4),1,0))</f>
        <v/>
      </c>
      <c r="K232">
        <f>IF($J232=0,"",INDEX(ChqKey,216))</f>
        <v/>
      </c>
      <c r="L232">
        <f>IF($K232="","",COUNTIFS($J$17:$J$516,1,$K$17:$K$516,"&lt;"&amp;$K232)+1)</f>
        <v/>
      </c>
    </row>
    <row r="233">
      <c r="A233" s="10">
        <f>IF(IFERROR(MATCH(217,ChqRankL,0),0)=0,"",217)</f>
        <v/>
      </c>
      <c r="B233" s="22">
        <f>IF(IFERROR(MATCH(217,ChqRankL,0),0)=0,"",INDEX(ChqNorm,IFERROR(MATCH(217,ChqRankL,0),0)))</f>
        <v/>
      </c>
      <c r="C233" s="22">
        <f>IF(IFERROR(MATCH(217,ChqRankL,0),0)=0,"",INDEX(ChqNo,IFERROR(MATCH(217,ChqRankL,0),0)))</f>
        <v/>
      </c>
      <c r="D233" s="23">
        <f>IF(IFERROR(MATCH(217,ChqRankL,0),0)=0,"",IF(INDEX(ChqAmt,IFERROR(MATCH(217,ChqRankL,0),0))=0,"",INDEX(ChqAmt,IFERROR(MATCH(217,ChqRankL,0),0))))</f>
        <v/>
      </c>
      <c r="E233" s="14">
        <f>IF(IFERROR(MATCH(217,ChqRankL,0),0)=0,"",INDEX(ChqStatus,IFERROR(MATCH(217,ChqRankL,0),0)))</f>
        <v/>
      </c>
      <c r="F233" s="22">
        <f>IF(IFERROR(MATCH(217,ChqRankL,0),0)=0,"",IF(INDEX(ChqStatus,IFERROR(MATCH(217,ChqRankL,0),0))="پاس نشده","—",IF(INDEX(ChqClr,IFERROR(MATCH(217,ChqRankL,0),0))="","—",INDEX(ChqClr,IFERROR(MATCH(217,ChqRankL,0),0)))))</f>
        <v/>
      </c>
      <c r="I233">
        <f>IF(217&gt;NChq,"",INDEX(ChqNorm,217))</f>
        <v/>
      </c>
      <c r="J233">
        <f>IF($I233="","",IF(AND($I233&gt;=$H$3,$I233&lt;=$H$4),1,0))</f>
        <v/>
      </c>
      <c r="K233">
        <f>IF($J233=0,"",INDEX(ChqKey,217))</f>
        <v/>
      </c>
      <c r="L233">
        <f>IF($K233="","",COUNTIFS($J$17:$J$516,1,$K$17:$K$516,"&lt;"&amp;$K233)+1)</f>
        <v/>
      </c>
    </row>
    <row r="234">
      <c r="A234" s="16">
        <f>IF(IFERROR(MATCH(218,ChqRankL,0),0)=0,"",218)</f>
        <v/>
      </c>
      <c r="B234" s="24">
        <f>IF(IFERROR(MATCH(218,ChqRankL,0),0)=0,"",INDEX(ChqNorm,IFERROR(MATCH(218,ChqRankL,0),0)))</f>
        <v/>
      </c>
      <c r="C234" s="24">
        <f>IF(IFERROR(MATCH(218,ChqRankL,0),0)=0,"",INDEX(ChqNo,IFERROR(MATCH(218,ChqRankL,0),0)))</f>
        <v/>
      </c>
      <c r="D234" s="25">
        <f>IF(IFERROR(MATCH(218,ChqRankL,0),0)=0,"",IF(INDEX(ChqAmt,IFERROR(MATCH(218,ChqRankL,0),0))=0,"",INDEX(ChqAmt,IFERROR(MATCH(218,ChqRankL,0),0))))</f>
        <v/>
      </c>
      <c r="E234" s="17">
        <f>IF(IFERROR(MATCH(218,ChqRankL,0),0)=0,"",INDEX(ChqStatus,IFERROR(MATCH(218,ChqRankL,0),0)))</f>
        <v/>
      </c>
      <c r="F234" s="24">
        <f>IF(IFERROR(MATCH(218,ChqRankL,0),0)=0,"",IF(INDEX(ChqStatus,IFERROR(MATCH(218,ChqRankL,0),0))="پاس نشده","—",IF(INDEX(ChqClr,IFERROR(MATCH(218,ChqRankL,0),0))="","—",INDEX(ChqClr,IFERROR(MATCH(218,ChqRankL,0),0)))))</f>
        <v/>
      </c>
      <c r="I234">
        <f>IF(218&gt;NChq,"",INDEX(ChqNorm,218))</f>
        <v/>
      </c>
      <c r="J234">
        <f>IF($I234="","",IF(AND($I234&gt;=$H$3,$I234&lt;=$H$4),1,0))</f>
        <v/>
      </c>
      <c r="K234">
        <f>IF($J234=0,"",INDEX(ChqKey,218))</f>
        <v/>
      </c>
      <c r="L234">
        <f>IF($K234="","",COUNTIFS($J$17:$J$516,1,$K$17:$K$516,"&lt;"&amp;$K234)+1)</f>
        <v/>
      </c>
    </row>
    <row r="235">
      <c r="A235" s="10">
        <f>IF(IFERROR(MATCH(219,ChqRankL,0),0)=0,"",219)</f>
        <v/>
      </c>
      <c r="B235" s="22">
        <f>IF(IFERROR(MATCH(219,ChqRankL,0),0)=0,"",INDEX(ChqNorm,IFERROR(MATCH(219,ChqRankL,0),0)))</f>
        <v/>
      </c>
      <c r="C235" s="22">
        <f>IF(IFERROR(MATCH(219,ChqRankL,0),0)=0,"",INDEX(ChqNo,IFERROR(MATCH(219,ChqRankL,0),0)))</f>
        <v/>
      </c>
      <c r="D235" s="23">
        <f>IF(IFERROR(MATCH(219,ChqRankL,0),0)=0,"",IF(INDEX(ChqAmt,IFERROR(MATCH(219,ChqRankL,0),0))=0,"",INDEX(ChqAmt,IFERROR(MATCH(219,ChqRankL,0),0))))</f>
        <v/>
      </c>
      <c r="E235" s="14">
        <f>IF(IFERROR(MATCH(219,ChqRankL,0),0)=0,"",INDEX(ChqStatus,IFERROR(MATCH(219,ChqRankL,0),0)))</f>
        <v/>
      </c>
      <c r="F235" s="22">
        <f>IF(IFERROR(MATCH(219,ChqRankL,0),0)=0,"",IF(INDEX(ChqStatus,IFERROR(MATCH(219,ChqRankL,0),0))="پاس نشده","—",IF(INDEX(ChqClr,IFERROR(MATCH(219,ChqRankL,0),0))="","—",INDEX(ChqClr,IFERROR(MATCH(219,ChqRankL,0),0)))))</f>
        <v/>
      </c>
      <c r="I235">
        <f>IF(219&gt;NChq,"",INDEX(ChqNorm,219))</f>
        <v/>
      </c>
      <c r="J235">
        <f>IF($I235="","",IF(AND($I235&gt;=$H$3,$I235&lt;=$H$4),1,0))</f>
        <v/>
      </c>
      <c r="K235">
        <f>IF($J235=0,"",INDEX(ChqKey,219))</f>
        <v/>
      </c>
      <c r="L235">
        <f>IF($K235="","",COUNTIFS($J$17:$J$516,1,$K$17:$K$516,"&lt;"&amp;$K235)+1)</f>
        <v/>
      </c>
    </row>
    <row r="236">
      <c r="A236" s="16">
        <f>IF(IFERROR(MATCH(220,ChqRankL,0),0)=0,"",220)</f>
        <v/>
      </c>
      <c r="B236" s="24">
        <f>IF(IFERROR(MATCH(220,ChqRankL,0),0)=0,"",INDEX(ChqNorm,IFERROR(MATCH(220,ChqRankL,0),0)))</f>
        <v/>
      </c>
      <c r="C236" s="24">
        <f>IF(IFERROR(MATCH(220,ChqRankL,0),0)=0,"",INDEX(ChqNo,IFERROR(MATCH(220,ChqRankL,0),0)))</f>
        <v/>
      </c>
      <c r="D236" s="25">
        <f>IF(IFERROR(MATCH(220,ChqRankL,0),0)=0,"",IF(INDEX(ChqAmt,IFERROR(MATCH(220,ChqRankL,0),0))=0,"",INDEX(ChqAmt,IFERROR(MATCH(220,ChqRankL,0),0))))</f>
        <v/>
      </c>
      <c r="E236" s="17">
        <f>IF(IFERROR(MATCH(220,ChqRankL,0),0)=0,"",INDEX(ChqStatus,IFERROR(MATCH(220,ChqRankL,0),0)))</f>
        <v/>
      </c>
      <c r="F236" s="24">
        <f>IF(IFERROR(MATCH(220,ChqRankL,0),0)=0,"",IF(INDEX(ChqStatus,IFERROR(MATCH(220,ChqRankL,0),0))="پاس نشده","—",IF(INDEX(ChqClr,IFERROR(MATCH(220,ChqRankL,0),0))="","—",INDEX(ChqClr,IFERROR(MATCH(220,ChqRankL,0),0)))))</f>
        <v/>
      </c>
      <c r="I236">
        <f>IF(220&gt;NChq,"",INDEX(ChqNorm,220))</f>
        <v/>
      </c>
      <c r="J236">
        <f>IF($I236="","",IF(AND($I236&gt;=$H$3,$I236&lt;=$H$4),1,0))</f>
        <v/>
      </c>
      <c r="K236">
        <f>IF($J236=0,"",INDEX(ChqKey,220))</f>
        <v/>
      </c>
      <c r="L236">
        <f>IF($K236="","",COUNTIFS($J$17:$J$516,1,$K$17:$K$516,"&lt;"&amp;$K236)+1)</f>
        <v/>
      </c>
    </row>
    <row r="237">
      <c r="A237" s="10">
        <f>IF(IFERROR(MATCH(221,ChqRankL,0),0)=0,"",221)</f>
        <v/>
      </c>
      <c r="B237" s="22">
        <f>IF(IFERROR(MATCH(221,ChqRankL,0),0)=0,"",INDEX(ChqNorm,IFERROR(MATCH(221,ChqRankL,0),0)))</f>
        <v/>
      </c>
      <c r="C237" s="22">
        <f>IF(IFERROR(MATCH(221,ChqRankL,0),0)=0,"",INDEX(ChqNo,IFERROR(MATCH(221,ChqRankL,0),0)))</f>
        <v/>
      </c>
      <c r="D237" s="23">
        <f>IF(IFERROR(MATCH(221,ChqRankL,0),0)=0,"",IF(INDEX(ChqAmt,IFERROR(MATCH(221,ChqRankL,0),0))=0,"",INDEX(ChqAmt,IFERROR(MATCH(221,ChqRankL,0),0))))</f>
        <v/>
      </c>
      <c r="E237" s="14">
        <f>IF(IFERROR(MATCH(221,ChqRankL,0),0)=0,"",INDEX(ChqStatus,IFERROR(MATCH(221,ChqRankL,0),0)))</f>
        <v/>
      </c>
      <c r="F237" s="22">
        <f>IF(IFERROR(MATCH(221,ChqRankL,0),0)=0,"",IF(INDEX(ChqStatus,IFERROR(MATCH(221,ChqRankL,0),0))="پاس نشده","—",IF(INDEX(ChqClr,IFERROR(MATCH(221,ChqRankL,0),0))="","—",INDEX(ChqClr,IFERROR(MATCH(221,ChqRankL,0),0)))))</f>
        <v/>
      </c>
      <c r="I237">
        <f>IF(221&gt;NChq,"",INDEX(ChqNorm,221))</f>
        <v/>
      </c>
      <c r="J237">
        <f>IF($I237="","",IF(AND($I237&gt;=$H$3,$I237&lt;=$H$4),1,0))</f>
        <v/>
      </c>
      <c r="K237">
        <f>IF($J237=0,"",INDEX(ChqKey,221))</f>
        <v/>
      </c>
      <c r="L237">
        <f>IF($K237="","",COUNTIFS($J$17:$J$516,1,$K$17:$K$516,"&lt;"&amp;$K237)+1)</f>
        <v/>
      </c>
    </row>
    <row r="238">
      <c r="A238" s="16">
        <f>IF(IFERROR(MATCH(222,ChqRankL,0),0)=0,"",222)</f>
        <v/>
      </c>
      <c r="B238" s="24">
        <f>IF(IFERROR(MATCH(222,ChqRankL,0),0)=0,"",INDEX(ChqNorm,IFERROR(MATCH(222,ChqRankL,0),0)))</f>
        <v/>
      </c>
      <c r="C238" s="24">
        <f>IF(IFERROR(MATCH(222,ChqRankL,0),0)=0,"",INDEX(ChqNo,IFERROR(MATCH(222,ChqRankL,0),0)))</f>
        <v/>
      </c>
      <c r="D238" s="25">
        <f>IF(IFERROR(MATCH(222,ChqRankL,0),0)=0,"",IF(INDEX(ChqAmt,IFERROR(MATCH(222,ChqRankL,0),0))=0,"",INDEX(ChqAmt,IFERROR(MATCH(222,ChqRankL,0),0))))</f>
        <v/>
      </c>
      <c r="E238" s="17">
        <f>IF(IFERROR(MATCH(222,ChqRankL,0),0)=0,"",INDEX(ChqStatus,IFERROR(MATCH(222,ChqRankL,0),0)))</f>
        <v/>
      </c>
      <c r="F238" s="24">
        <f>IF(IFERROR(MATCH(222,ChqRankL,0),0)=0,"",IF(INDEX(ChqStatus,IFERROR(MATCH(222,ChqRankL,0),0))="پاس نشده","—",IF(INDEX(ChqClr,IFERROR(MATCH(222,ChqRankL,0),0))="","—",INDEX(ChqClr,IFERROR(MATCH(222,ChqRankL,0),0)))))</f>
        <v/>
      </c>
      <c r="I238">
        <f>IF(222&gt;NChq,"",INDEX(ChqNorm,222))</f>
        <v/>
      </c>
      <c r="J238">
        <f>IF($I238="","",IF(AND($I238&gt;=$H$3,$I238&lt;=$H$4),1,0))</f>
        <v/>
      </c>
      <c r="K238">
        <f>IF($J238=0,"",INDEX(ChqKey,222))</f>
        <v/>
      </c>
      <c r="L238">
        <f>IF($K238="","",COUNTIFS($J$17:$J$516,1,$K$17:$K$516,"&lt;"&amp;$K238)+1)</f>
        <v/>
      </c>
    </row>
    <row r="239">
      <c r="A239" s="10">
        <f>IF(IFERROR(MATCH(223,ChqRankL,0),0)=0,"",223)</f>
        <v/>
      </c>
      <c r="B239" s="22">
        <f>IF(IFERROR(MATCH(223,ChqRankL,0),0)=0,"",INDEX(ChqNorm,IFERROR(MATCH(223,ChqRankL,0),0)))</f>
        <v/>
      </c>
      <c r="C239" s="22">
        <f>IF(IFERROR(MATCH(223,ChqRankL,0),0)=0,"",INDEX(ChqNo,IFERROR(MATCH(223,ChqRankL,0),0)))</f>
        <v/>
      </c>
      <c r="D239" s="23">
        <f>IF(IFERROR(MATCH(223,ChqRankL,0),0)=0,"",IF(INDEX(ChqAmt,IFERROR(MATCH(223,ChqRankL,0),0))=0,"",INDEX(ChqAmt,IFERROR(MATCH(223,ChqRankL,0),0))))</f>
        <v/>
      </c>
      <c r="E239" s="14">
        <f>IF(IFERROR(MATCH(223,ChqRankL,0),0)=0,"",INDEX(ChqStatus,IFERROR(MATCH(223,ChqRankL,0),0)))</f>
        <v/>
      </c>
      <c r="F239" s="22">
        <f>IF(IFERROR(MATCH(223,ChqRankL,0),0)=0,"",IF(INDEX(ChqStatus,IFERROR(MATCH(223,ChqRankL,0),0))="پاس نشده","—",IF(INDEX(ChqClr,IFERROR(MATCH(223,ChqRankL,0),0))="","—",INDEX(ChqClr,IFERROR(MATCH(223,ChqRankL,0),0)))))</f>
        <v/>
      </c>
      <c r="I239">
        <f>IF(223&gt;NChq,"",INDEX(ChqNorm,223))</f>
        <v/>
      </c>
      <c r="J239">
        <f>IF($I239="","",IF(AND($I239&gt;=$H$3,$I239&lt;=$H$4),1,0))</f>
        <v/>
      </c>
      <c r="K239">
        <f>IF($J239=0,"",INDEX(ChqKey,223))</f>
        <v/>
      </c>
      <c r="L239">
        <f>IF($K239="","",COUNTIFS($J$17:$J$516,1,$K$17:$K$516,"&lt;"&amp;$K239)+1)</f>
        <v/>
      </c>
    </row>
    <row r="240">
      <c r="A240" s="16">
        <f>IF(IFERROR(MATCH(224,ChqRankL,0),0)=0,"",224)</f>
        <v/>
      </c>
      <c r="B240" s="24">
        <f>IF(IFERROR(MATCH(224,ChqRankL,0),0)=0,"",INDEX(ChqNorm,IFERROR(MATCH(224,ChqRankL,0),0)))</f>
        <v/>
      </c>
      <c r="C240" s="24">
        <f>IF(IFERROR(MATCH(224,ChqRankL,0),0)=0,"",INDEX(ChqNo,IFERROR(MATCH(224,ChqRankL,0),0)))</f>
        <v/>
      </c>
      <c r="D240" s="25">
        <f>IF(IFERROR(MATCH(224,ChqRankL,0),0)=0,"",IF(INDEX(ChqAmt,IFERROR(MATCH(224,ChqRankL,0),0))=0,"",INDEX(ChqAmt,IFERROR(MATCH(224,ChqRankL,0),0))))</f>
        <v/>
      </c>
      <c r="E240" s="17">
        <f>IF(IFERROR(MATCH(224,ChqRankL,0),0)=0,"",INDEX(ChqStatus,IFERROR(MATCH(224,ChqRankL,0),0)))</f>
        <v/>
      </c>
      <c r="F240" s="24">
        <f>IF(IFERROR(MATCH(224,ChqRankL,0),0)=0,"",IF(INDEX(ChqStatus,IFERROR(MATCH(224,ChqRankL,0),0))="پاس نشده","—",IF(INDEX(ChqClr,IFERROR(MATCH(224,ChqRankL,0),0))="","—",INDEX(ChqClr,IFERROR(MATCH(224,ChqRankL,0),0)))))</f>
        <v/>
      </c>
      <c r="I240">
        <f>IF(224&gt;NChq,"",INDEX(ChqNorm,224))</f>
        <v/>
      </c>
      <c r="J240">
        <f>IF($I240="","",IF(AND($I240&gt;=$H$3,$I240&lt;=$H$4),1,0))</f>
        <v/>
      </c>
      <c r="K240">
        <f>IF($J240=0,"",INDEX(ChqKey,224))</f>
        <v/>
      </c>
      <c r="L240">
        <f>IF($K240="","",COUNTIFS($J$17:$J$516,1,$K$17:$K$516,"&lt;"&amp;$K240)+1)</f>
        <v/>
      </c>
    </row>
    <row r="241">
      <c r="A241" s="10">
        <f>IF(IFERROR(MATCH(225,ChqRankL,0),0)=0,"",225)</f>
        <v/>
      </c>
      <c r="B241" s="22">
        <f>IF(IFERROR(MATCH(225,ChqRankL,0),0)=0,"",INDEX(ChqNorm,IFERROR(MATCH(225,ChqRankL,0),0)))</f>
        <v/>
      </c>
      <c r="C241" s="22">
        <f>IF(IFERROR(MATCH(225,ChqRankL,0),0)=0,"",INDEX(ChqNo,IFERROR(MATCH(225,ChqRankL,0),0)))</f>
        <v/>
      </c>
      <c r="D241" s="23">
        <f>IF(IFERROR(MATCH(225,ChqRankL,0),0)=0,"",IF(INDEX(ChqAmt,IFERROR(MATCH(225,ChqRankL,0),0))=0,"",INDEX(ChqAmt,IFERROR(MATCH(225,ChqRankL,0),0))))</f>
        <v/>
      </c>
      <c r="E241" s="14">
        <f>IF(IFERROR(MATCH(225,ChqRankL,0),0)=0,"",INDEX(ChqStatus,IFERROR(MATCH(225,ChqRankL,0),0)))</f>
        <v/>
      </c>
      <c r="F241" s="22">
        <f>IF(IFERROR(MATCH(225,ChqRankL,0),0)=0,"",IF(INDEX(ChqStatus,IFERROR(MATCH(225,ChqRankL,0),0))="پاس نشده","—",IF(INDEX(ChqClr,IFERROR(MATCH(225,ChqRankL,0),0))="","—",INDEX(ChqClr,IFERROR(MATCH(225,ChqRankL,0),0)))))</f>
        <v/>
      </c>
      <c r="I241">
        <f>IF(225&gt;NChq,"",INDEX(ChqNorm,225))</f>
        <v/>
      </c>
      <c r="J241">
        <f>IF($I241="","",IF(AND($I241&gt;=$H$3,$I241&lt;=$H$4),1,0))</f>
        <v/>
      </c>
      <c r="K241">
        <f>IF($J241=0,"",INDEX(ChqKey,225))</f>
        <v/>
      </c>
      <c r="L241">
        <f>IF($K241="","",COUNTIFS($J$17:$J$516,1,$K$17:$K$516,"&lt;"&amp;$K241)+1)</f>
        <v/>
      </c>
    </row>
    <row r="242">
      <c r="A242" s="16">
        <f>IF(IFERROR(MATCH(226,ChqRankL,0),0)=0,"",226)</f>
        <v/>
      </c>
      <c r="B242" s="24">
        <f>IF(IFERROR(MATCH(226,ChqRankL,0),0)=0,"",INDEX(ChqNorm,IFERROR(MATCH(226,ChqRankL,0),0)))</f>
        <v/>
      </c>
      <c r="C242" s="24">
        <f>IF(IFERROR(MATCH(226,ChqRankL,0),0)=0,"",INDEX(ChqNo,IFERROR(MATCH(226,ChqRankL,0),0)))</f>
        <v/>
      </c>
      <c r="D242" s="25">
        <f>IF(IFERROR(MATCH(226,ChqRankL,0),0)=0,"",IF(INDEX(ChqAmt,IFERROR(MATCH(226,ChqRankL,0),0))=0,"",INDEX(ChqAmt,IFERROR(MATCH(226,ChqRankL,0),0))))</f>
        <v/>
      </c>
      <c r="E242" s="17">
        <f>IF(IFERROR(MATCH(226,ChqRankL,0),0)=0,"",INDEX(ChqStatus,IFERROR(MATCH(226,ChqRankL,0),0)))</f>
        <v/>
      </c>
      <c r="F242" s="24">
        <f>IF(IFERROR(MATCH(226,ChqRankL,0),0)=0,"",IF(INDEX(ChqStatus,IFERROR(MATCH(226,ChqRankL,0),0))="پاس نشده","—",IF(INDEX(ChqClr,IFERROR(MATCH(226,ChqRankL,0),0))="","—",INDEX(ChqClr,IFERROR(MATCH(226,ChqRankL,0),0)))))</f>
        <v/>
      </c>
      <c r="I242">
        <f>IF(226&gt;NChq,"",INDEX(ChqNorm,226))</f>
        <v/>
      </c>
      <c r="J242">
        <f>IF($I242="","",IF(AND($I242&gt;=$H$3,$I242&lt;=$H$4),1,0))</f>
        <v/>
      </c>
      <c r="K242">
        <f>IF($J242=0,"",INDEX(ChqKey,226))</f>
        <v/>
      </c>
      <c r="L242">
        <f>IF($K242="","",COUNTIFS($J$17:$J$516,1,$K$17:$K$516,"&lt;"&amp;$K242)+1)</f>
        <v/>
      </c>
    </row>
    <row r="243">
      <c r="A243" s="10">
        <f>IF(IFERROR(MATCH(227,ChqRankL,0),0)=0,"",227)</f>
        <v/>
      </c>
      <c r="B243" s="22">
        <f>IF(IFERROR(MATCH(227,ChqRankL,0),0)=0,"",INDEX(ChqNorm,IFERROR(MATCH(227,ChqRankL,0),0)))</f>
        <v/>
      </c>
      <c r="C243" s="22">
        <f>IF(IFERROR(MATCH(227,ChqRankL,0),0)=0,"",INDEX(ChqNo,IFERROR(MATCH(227,ChqRankL,0),0)))</f>
        <v/>
      </c>
      <c r="D243" s="23">
        <f>IF(IFERROR(MATCH(227,ChqRankL,0),0)=0,"",IF(INDEX(ChqAmt,IFERROR(MATCH(227,ChqRankL,0),0))=0,"",INDEX(ChqAmt,IFERROR(MATCH(227,ChqRankL,0),0))))</f>
        <v/>
      </c>
      <c r="E243" s="14">
        <f>IF(IFERROR(MATCH(227,ChqRankL,0),0)=0,"",INDEX(ChqStatus,IFERROR(MATCH(227,ChqRankL,0),0)))</f>
        <v/>
      </c>
      <c r="F243" s="22">
        <f>IF(IFERROR(MATCH(227,ChqRankL,0),0)=0,"",IF(INDEX(ChqStatus,IFERROR(MATCH(227,ChqRankL,0),0))="پاس نشده","—",IF(INDEX(ChqClr,IFERROR(MATCH(227,ChqRankL,0),0))="","—",INDEX(ChqClr,IFERROR(MATCH(227,ChqRankL,0),0)))))</f>
        <v/>
      </c>
      <c r="I243">
        <f>IF(227&gt;NChq,"",INDEX(ChqNorm,227))</f>
        <v/>
      </c>
      <c r="J243">
        <f>IF($I243="","",IF(AND($I243&gt;=$H$3,$I243&lt;=$H$4),1,0))</f>
        <v/>
      </c>
      <c r="K243">
        <f>IF($J243=0,"",INDEX(ChqKey,227))</f>
        <v/>
      </c>
      <c r="L243">
        <f>IF($K243="","",COUNTIFS($J$17:$J$516,1,$K$17:$K$516,"&lt;"&amp;$K243)+1)</f>
        <v/>
      </c>
    </row>
    <row r="244">
      <c r="A244" s="16">
        <f>IF(IFERROR(MATCH(228,ChqRankL,0),0)=0,"",228)</f>
        <v/>
      </c>
      <c r="B244" s="24">
        <f>IF(IFERROR(MATCH(228,ChqRankL,0),0)=0,"",INDEX(ChqNorm,IFERROR(MATCH(228,ChqRankL,0),0)))</f>
        <v/>
      </c>
      <c r="C244" s="24">
        <f>IF(IFERROR(MATCH(228,ChqRankL,0),0)=0,"",INDEX(ChqNo,IFERROR(MATCH(228,ChqRankL,0),0)))</f>
        <v/>
      </c>
      <c r="D244" s="25">
        <f>IF(IFERROR(MATCH(228,ChqRankL,0),0)=0,"",IF(INDEX(ChqAmt,IFERROR(MATCH(228,ChqRankL,0),0))=0,"",INDEX(ChqAmt,IFERROR(MATCH(228,ChqRankL,0),0))))</f>
        <v/>
      </c>
      <c r="E244" s="17">
        <f>IF(IFERROR(MATCH(228,ChqRankL,0),0)=0,"",INDEX(ChqStatus,IFERROR(MATCH(228,ChqRankL,0),0)))</f>
        <v/>
      </c>
      <c r="F244" s="24">
        <f>IF(IFERROR(MATCH(228,ChqRankL,0),0)=0,"",IF(INDEX(ChqStatus,IFERROR(MATCH(228,ChqRankL,0),0))="پاس نشده","—",IF(INDEX(ChqClr,IFERROR(MATCH(228,ChqRankL,0),0))="","—",INDEX(ChqClr,IFERROR(MATCH(228,ChqRankL,0),0)))))</f>
        <v/>
      </c>
      <c r="I244">
        <f>IF(228&gt;NChq,"",INDEX(ChqNorm,228))</f>
        <v/>
      </c>
      <c r="J244">
        <f>IF($I244="","",IF(AND($I244&gt;=$H$3,$I244&lt;=$H$4),1,0))</f>
        <v/>
      </c>
      <c r="K244">
        <f>IF($J244=0,"",INDEX(ChqKey,228))</f>
        <v/>
      </c>
      <c r="L244">
        <f>IF($K244="","",COUNTIFS($J$17:$J$516,1,$K$17:$K$516,"&lt;"&amp;$K244)+1)</f>
        <v/>
      </c>
    </row>
    <row r="245">
      <c r="A245" s="10">
        <f>IF(IFERROR(MATCH(229,ChqRankL,0),0)=0,"",229)</f>
        <v/>
      </c>
      <c r="B245" s="22">
        <f>IF(IFERROR(MATCH(229,ChqRankL,0),0)=0,"",INDEX(ChqNorm,IFERROR(MATCH(229,ChqRankL,0),0)))</f>
        <v/>
      </c>
      <c r="C245" s="22">
        <f>IF(IFERROR(MATCH(229,ChqRankL,0),0)=0,"",INDEX(ChqNo,IFERROR(MATCH(229,ChqRankL,0),0)))</f>
        <v/>
      </c>
      <c r="D245" s="23">
        <f>IF(IFERROR(MATCH(229,ChqRankL,0),0)=0,"",IF(INDEX(ChqAmt,IFERROR(MATCH(229,ChqRankL,0),0))=0,"",INDEX(ChqAmt,IFERROR(MATCH(229,ChqRankL,0),0))))</f>
        <v/>
      </c>
      <c r="E245" s="14">
        <f>IF(IFERROR(MATCH(229,ChqRankL,0),0)=0,"",INDEX(ChqStatus,IFERROR(MATCH(229,ChqRankL,0),0)))</f>
        <v/>
      </c>
      <c r="F245" s="22">
        <f>IF(IFERROR(MATCH(229,ChqRankL,0),0)=0,"",IF(INDEX(ChqStatus,IFERROR(MATCH(229,ChqRankL,0),0))="پاس نشده","—",IF(INDEX(ChqClr,IFERROR(MATCH(229,ChqRankL,0),0))="","—",INDEX(ChqClr,IFERROR(MATCH(229,ChqRankL,0),0)))))</f>
        <v/>
      </c>
      <c r="I245">
        <f>IF(229&gt;NChq,"",INDEX(ChqNorm,229))</f>
        <v/>
      </c>
      <c r="J245">
        <f>IF($I245="","",IF(AND($I245&gt;=$H$3,$I245&lt;=$H$4),1,0))</f>
        <v/>
      </c>
      <c r="K245">
        <f>IF($J245=0,"",INDEX(ChqKey,229))</f>
        <v/>
      </c>
      <c r="L245">
        <f>IF($K245="","",COUNTIFS($J$17:$J$516,1,$K$17:$K$516,"&lt;"&amp;$K245)+1)</f>
        <v/>
      </c>
    </row>
    <row r="246">
      <c r="A246" s="16">
        <f>IF(IFERROR(MATCH(230,ChqRankL,0),0)=0,"",230)</f>
        <v/>
      </c>
      <c r="B246" s="24">
        <f>IF(IFERROR(MATCH(230,ChqRankL,0),0)=0,"",INDEX(ChqNorm,IFERROR(MATCH(230,ChqRankL,0),0)))</f>
        <v/>
      </c>
      <c r="C246" s="24">
        <f>IF(IFERROR(MATCH(230,ChqRankL,0),0)=0,"",INDEX(ChqNo,IFERROR(MATCH(230,ChqRankL,0),0)))</f>
        <v/>
      </c>
      <c r="D246" s="25">
        <f>IF(IFERROR(MATCH(230,ChqRankL,0),0)=0,"",IF(INDEX(ChqAmt,IFERROR(MATCH(230,ChqRankL,0),0))=0,"",INDEX(ChqAmt,IFERROR(MATCH(230,ChqRankL,0),0))))</f>
        <v/>
      </c>
      <c r="E246" s="17">
        <f>IF(IFERROR(MATCH(230,ChqRankL,0),0)=0,"",INDEX(ChqStatus,IFERROR(MATCH(230,ChqRankL,0),0)))</f>
        <v/>
      </c>
      <c r="F246" s="24">
        <f>IF(IFERROR(MATCH(230,ChqRankL,0),0)=0,"",IF(INDEX(ChqStatus,IFERROR(MATCH(230,ChqRankL,0),0))="پاس نشده","—",IF(INDEX(ChqClr,IFERROR(MATCH(230,ChqRankL,0),0))="","—",INDEX(ChqClr,IFERROR(MATCH(230,ChqRankL,0),0)))))</f>
        <v/>
      </c>
      <c r="I246">
        <f>IF(230&gt;NChq,"",INDEX(ChqNorm,230))</f>
        <v/>
      </c>
      <c r="J246">
        <f>IF($I246="","",IF(AND($I246&gt;=$H$3,$I246&lt;=$H$4),1,0))</f>
        <v/>
      </c>
      <c r="K246">
        <f>IF($J246=0,"",INDEX(ChqKey,230))</f>
        <v/>
      </c>
      <c r="L246">
        <f>IF($K246="","",COUNTIFS($J$17:$J$516,1,$K$17:$K$516,"&lt;"&amp;$K246)+1)</f>
        <v/>
      </c>
    </row>
    <row r="247">
      <c r="A247" s="10">
        <f>IF(IFERROR(MATCH(231,ChqRankL,0),0)=0,"",231)</f>
        <v/>
      </c>
      <c r="B247" s="22">
        <f>IF(IFERROR(MATCH(231,ChqRankL,0),0)=0,"",INDEX(ChqNorm,IFERROR(MATCH(231,ChqRankL,0),0)))</f>
        <v/>
      </c>
      <c r="C247" s="22">
        <f>IF(IFERROR(MATCH(231,ChqRankL,0),0)=0,"",INDEX(ChqNo,IFERROR(MATCH(231,ChqRankL,0),0)))</f>
        <v/>
      </c>
      <c r="D247" s="23">
        <f>IF(IFERROR(MATCH(231,ChqRankL,0),0)=0,"",IF(INDEX(ChqAmt,IFERROR(MATCH(231,ChqRankL,0),0))=0,"",INDEX(ChqAmt,IFERROR(MATCH(231,ChqRankL,0),0))))</f>
        <v/>
      </c>
      <c r="E247" s="14">
        <f>IF(IFERROR(MATCH(231,ChqRankL,0),0)=0,"",INDEX(ChqStatus,IFERROR(MATCH(231,ChqRankL,0),0)))</f>
        <v/>
      </c>
      <c r="F247" s="22">
        <f>IF(IFERROR(MATCH(231,ChqRankL,0),0)=0,"",IF(INDEX(ChqStatus,IFERROR(MATCH(231,ChqRankL,0),0))="پاس نشده","—",IF(INDEX(ChqClr,IFERROR(MATCH(231,ChqRankL,0),0))="","—",INDEX(ChqClr,IFERROR(MATCH(231,ChqRankL,0),0)))))</f>
        <v/>
      </c>
      <c r="I247">
        <f>IF(231&gt;NChq,"",INDEX(ChqNorm,231))</f>
        <v/>
      </c>
      <c r="J247">
        <f>IF($I247="","",IF(AND($I247&gt;=$H$3,$I247&lt;=$H$4),1,0))</f>
        <v/>
      </c>
      <c r="K247">
        <f>IF($J247=0,"",INDEX(ChqKey,231))</f>
        <v/>
      </c>
      <c r="L247">
        <f>IF($K247="","",COUNTIFS($J$17:$J$516,1,$K$17:$K$516,"&lt;"&amp;$K247)+1)</f>
        <v/>
      </c>
    </row>
    <row r="248">
      <c r="A248" s="16">
        <f>IF(IFERROR(MATCH(232,ChqRankL,0),0)=0,"",232)</f>
        <v/>
      </c>
      <c r="B248" s="24">
        <f>IF(IFERROR(MATCH(232,ChqRankL,0),0)=0,"",INDEX(ChqNorm,IFERROR(MATCH(232,ChqRankL,0),0)))</f>
        <v/>
      </c>
      <c r="C248" s="24">
        <f>IF(IFERROR(MATCH(232,ChqRankL,0),0)=0,"",INDEX(ChqNo,IFERROR(MATCH(232,ChqRankL,0),0)))</f>
        <v/>
      </c>
      <c r="D248" s="25">
        <f>IF(IFERROR(MATCH(232,ChqRankL,0),0)=0,"",IF(INDEX(ChqAmt,IFERROR(MATCH(232,ChqRankL,0),0))=0,"",INDEX(ChqAmt,IFERROR(MATCH(232,ChqRankL,0),0))))</f>
        <v/>
      </c>
      <c r="E248" s="17">
        <f>IF(IFERROR(MATCH(232,ChqRankL,0),0)=0,"",INDEX(ChqStatus,IFERROR(MATCH(232,ChqRankL,0),0)))</f>
        <v/>
      </c>
      <c r="F248" s="24">
        <f>IF(IFERROR(MATCH(232,ChqRankL,0),0)=0,"",IF(INDEX(ChqStatus,IFERROR(MATCH(232,ChqRankL,0),0))="پاس نشده","—",IF(INDEX(ChqClr,IFERROR(MATCH(232,ChqRankL,0),0))="","—",INDEX(ChqClr,IFERROR(MATCH(232,ChqRankL,0),0)))))</f>
        <v/>
      </c>
      <c r="I248">
        <f>IF(232&gt;NChq,"",INDEX(ChqNorm,232))</f>
        <v/>
      </c>
      <c r="J248">
        <f>IF($I248="","",IF(AND($I248&gt;=$H$3,$I248&lt;=$H$4),1,0))</f>
        <v/>
      </c>
      <c r="K248">
        <f>IF($J248=0,"",INDEX(ChqKey,232))</f>
        <v/>
      </c>
      <c r="L248">
        <f>IF($K248="","",COUNTIFS($J$17:$J$516,1,$K$17:$K$516,"&lt;"&amp;$K248)+1)</f>
        <v/>
      </c>
    </row>
    <row r="249">
      <c r="A249" s="10">
        <f>IF(IFERROR(MATCH(233,ChqRankL,0),0)=0,"",233)</f>
        <v/>
      </c>
      <c r="B249" s="22">
        <f>IF(IFERROR(MATCH(233,ChqRankL,0),0)=0,"",INDEX(ChqNorm,IFERROR(MATCH(233,ChqRankL,0),0)))</f>
        <v/>
      </c>
      <c r="C249" s="22">
        <f>IF(IFERROR(MATCH(233,ChqRankL,0),0)=0,"",INDEX(ChqNo,IFERROR(MATCH(233,ChqRankL,0),0)))</f>
        <v/>
      </c>
      <c r="D249" s="23">
        <f>IF(IFERROR(MATCH(233,ChqRankL,0),0)=0,"",IF(INDEX(ChqAmt,IFERROR(MATCH(233,ChqRankL,0),0))=0,"",INDEX(ChqAmt,IFERROR(MATCH(233,ChqRankL,0),0))))</f>
        <v/>
      </c>
      <c r="E249" s="14">
        <f>IF(IFERROR(MATCH(233,ChqRankL,0),0)=0,"",INDEX(ChqStatus,IFERROR(MATCH(233,ChqRankL,0),0)))</f>
        <v/>
      </c>
      <c r="F249" s="22">
        <f>IF(IFERROR(MATCH(233,ChqRankL,0),0)=0,"",IF(INDEX(ChqStatus,IFERROR(MATCH(233,ChqRankL,0),0))="پاس نشده","—",IF(INDEX(ChqClr,IFERROR(MATCH(233,ChqRankL,0),0))="","—",INDEX(ChqClr,IFERROR(MATCH(233,ChqRankL,0),0)))))</f>
        <v/>
      </c>
      <c r="I249">
        <f>IF(233&gt;NChq,"",INDEX(ChqNorm,233))</f>
        <v/>
      </c>
      <c r="J249">
        <f>IF($I249="","",IF(AND($I249&gt;=$H$3,$I249&lt;=$H$4),1,0))</f>
        <v/>
      </c>
      <c r="K249">
        <f>IF($J249=0,"",INDEX(ChqKey,233))</f>
        <v/>
      </c>
      <c r="L249">
        <f>IF($K249="","",COUNTIFS($J$17:$J$516,1,$K$17:$K$516,"&lt;"&amp;$K249)+1)</f>
        <v/>
      </c>
    </row>
    <row r="250">
      <c r="A250" s="16">
        <f>IF(IFERROR(MATCH(234,ChqRankL,0),0)=0,"",234)</f>
        <v/>
      </c>
      <c r="B250" s="24">
        <f>IF(IFERROR(MATCH(234,ChqRankL,0),0)=0,"",INDEX(ChqNorm,IFERROR(MATCH(234,ChqRankL,0),0)))</f>
        <v/>
      </c>
      <c r="C250" s="24">
        <f>IF(IFERROR(MATCH(234,ChqRankL,0),0)=0,"",INDEX(ChqNo,IFERROR(MATCH(234,ChqRankL,0),0)))</f>
        <v/>
      </c>
      <c r="D250" s="25">
        <f>IF(IFERROR(MATCH(234,ChqRankL,0),0)=0,"",IF(INDEX(ChqAmt,IFERROR(MATCH(234,ChqRankL,0),0))=0,"",INDEX(ChqAmt,IFERROR(MATCH(234,ChqRankL,0),0))))</f>
        <v/>
      </c>
      <c r="E250" s="17">
        <f>IF(IFERROR(MATCH(234,ChqRankL,0),0)=0,"",INDEX(ChqStatus,IFERROR(MATCH(234,ChqRankL,0),0)))</f>
        <v/>
      </c>
      <c r="F250" s="24">
        <f>IF(IFERROR(MATCH(234,ChqRankL,0),0)=0,"",IF(INDEX(ChqStatus,IFERROR(MATCH(234,ChqRankL,0),0))="پاس نشده","—",IF(INDEX(ChqClr,IFERROR(MATCH(234,ChqRankL,0),0))="","—",INDEX(ChqClr,IFERROR(MATCH(234,ChqRankL,0),0)))))</f>
        <v/>
      </c>
      <c r="I250">
        <f>IF(234&gt;NChq,"",INDEX(ChqNorm,234))</f>
        <v/>
      </c>
      <c r="J250">
        <f>IF($I250="","",IF(AND($I250&gt;=$H$3,$I250&lt;=$H$4),1,0))</f>
        <v/>
      </c>
      <c r="K250">
        <f>IF($J250=0,"",INDEX(ChqKey,234))</f>
        <v/>
      </c>
      <c r="L250">
        <f>IF($K250="","",COUNTIFS($J$17:$J$516,1,$K$17:$K$516,"&lt;"&amp;$K250)+1)</f>
        <v/>
      </c>
    </row>
    <row r="251">
      <c r="A251" s="10">
        <f>IF(IFERROR(MATCH(235,ChqRankL,0),0)=0,"",235)</f>
        <v/>
      </c>
      <c r="B251" s="22">
        <f>IF(IFERROR(MATCH(235,ChqRankL,0),0)=0,"",INDEX(ChqNorm,IFERROR(MATCH(235,ChqRankL,0),0)))</f>
        <v/>
      </c>
      <c r="C251" s="22">
        <f>IF(IFERROR(MATCH(235,ChqRankL,0),0)=0,"",INDEX(ChqNo,IFERROR(MATCH(235,ChqRankL,0),0)))</f>
        <v/>
      </c>
      <c r="D251" s="23">
        <f>IF(IFERROR(MATCH(235,ChqRankL,0),0)=0,"",IF(INDEX(ChqAmt,IFERROR(MATCH(235,ChqRankL,0),0))=0,"",INDEX(ChqAmt,IFERROR(MATCH(235,ChqRankL,0),0))))</f>
        <v/>
      </c>
      <c r="E251" s="14">
        <f>IF(IFERROR(MATCH(235,ChqRankL,0),0)=0,"",INDEX(ChqStatus,IFERROR(MATCH(235,ChqRankL,0),0)))</f>
        <v/>
      </c>
      <c r="F251" s="22">
        <f>IF(IFERROR(MATCH(235,ChqRankL,0),0)=0,"",IF(INDEX(ChqStatus,IFERROR(MATCH(235,ChqRankL,0),0))="پاس نشده","—",IF(INDEX(ChqClr,IFERROR(MATCH(235,ChqRankL,0),0))="","—",INDEX(ChqClr,IFERROR(MATCH(235,ChqRankL,0),0)))))</f>
        <v/>
      </c>
      <c r="I251">
        <f>IF(235&gt;NChq,"",INDEX(ChqNorm,235))</f>
        <v/>
      </c>
      <c r="J251">
        <f>IF($I251="","",IF(AND($I251&gt;=$H$3,$I251&lt;=$H$4),1,0))</f>
        <v/>
      </c>
      <c r="K251">
        <f>IF($J251=0,"",INDEX(ChqKey,235))</f>
        <v/>
      </c>
      <c r="L251">
        <f>IF($K251="","",COUNTIFS($J$17:$J$516,1,$K$17:$K$516,"&lt;"&amp;$K251)+1)</f>
        <v/>
      </c>
    </row>
    <row r="252">
      <c r="A252" s="16">
        <f>IF(IFERROR(MATCH(236,ChqRankL,0),0)=0,"",236)</f>
        <v/>
      </c>
      <c r="B252" s="24">
        <f>IF(IFERROR(MATCH(236,ChqRankL,0),0)=0,"",INDEX(ChqNorm,IFERROR(MATCH(236,ChqRankL,0),0)))</f>
        <v/>
      </c>
      <c r="C252" s="24">
        <f>IF(IFERROR(MATCH(236,ChqRankL,0),0)=0,"",INDEX(ChqNo,IFERROR(MATCH(236,ChqRankL,0),0)))</f>
        <v/>
      </c>
      <c r="D252" s="25">
        <f>IF(IFERROR(MATCH(236,ChqRankL,0),0)=0,"",IF(INDEX(ChqAmt,IFERROR(MATCH(236,ChqRankL,0),0))=0,"",INDEX(ChqAmt,IFERROR(MATCH(236,ChqRankL,0),0))))</f>
        <v/>
      </c>
      <c r="E252" s="17">
        <f>IF(IFERROR(MATCH(236,ChqRankL,0),0)=0,"",INDEX(ChqStatus,IFERROR(MATCH(236,ChqRankL,0),0)))</f>
        <v/>
      </c>
      <c r="F252" s="24">
        <f>IF(IFERROR(MATCH(236,ChqRankL,0),0)=0,"",IF(INDEX(ChqStatus,IFERROR(MATCH(236,ChqRankL,0),0))="پاس نشده","—",IF(INDEX(ChqClr,IFERROR(MATCH(236,ChqRankL,0),0))="","—",INDEX(ChqClr,IFERROR(MATCH(236,ChqRankL,0),0)))))</f>
        <v/>
      </c>
      <c r="I252">
        <f>IF(236&gt;NChq,"",INDEX(ChqNorm,236))</f>
        <v/>
      </c>
      <c r="J252">
        <f>IF($I252="","",IF(AND($I252&gt;=$H$3,$I252&lt;=$H$4),1,0))</f>
        <v/>
      </c>
      <c r="K252">
        <f>IF($J252=0,"",INDEX(ChqKey,236))</f>
        <v/>
      </c>
      <c r="L252">
        <f>IF($K252="","",COUNTIFS($J$17:$J$516,1,$K$17:$K$516,"&lt;"&amp;$K252)+1)</f>
        <v/>
      </c>
    </row>
    <row r="253">
      <c r="A253" s="10">
        <f>IF(IFERROR(MATCH(237,ChqRankL,0),0)=0,"",237)</f>
        <v/>
      </c>
      <c r="B253" s="22">
        <f>IF(IFERROR(MATCH(237,ChqRankL,0),0)=0,"",INDEX(ChqNorm,IFERROR(MATCH(237,ChqRankL,0),0)))</f>
        <v/>
      </c>
      <c r="C253" s="22">
        <f>IF(IFERROR(MATCH(237,ChqRankL,0),0)=0,"",INDEX(ChqNo,IFERROR(MATCH(237,ChqRankL,0),0)))</f>
        <v/>
      </c>
      <c r="D253" s="23">
        <f>IF(IFERROR(MATCH(237,ChqRankL,0),0)=0,"",IF(INDEX(ChqAmt,IFERROR(MATCH(237,ChqRankL,0),0))=0,"",INDEX(ChqAmt,IFERROR(MATCH(237,ChqRankL,0),0))))</f>
        <v/>
      </c>
      <c r="E253" s="14">
        <f>IF(IFERROR(MATCH(237,ChqRankL,0),0)=0,"",INDEX(ChqStatus,IFERROR(MATCH(237,ChqRankL,0),0)))</f>
        <v/>
      </c>
      <c r="F253" s="22">
        <f>IF(IFERROR(MATCH(237,ChqRankL,0),0)=0,"",IF(INDEX(ChqStatus,IFERROR(MATCH(237,ChqRankL,0),0))="پاس نشده","—",IF(INDEX(ChqClr,IFERROR(MATCH(237,ChqRankL,0),0))="","—",INDEX(ChqClr,IFERROR(MATCH(237,ChqRankL,0),0)))))</f>
        <v/>
      </c>
      <c r="I253">
        <f>IF(237&gt;NChq,"",INDEX(ChqNorm,237))</f>
        <v/>
      </c>
      <c r="J253">
        <f>IF($I253="","",IF(AND($I253&gt;=$H$3,$I253&lt;=$H$4),1,0))</f>
        <v/>
      </c>
      <c r="K253">
        <f>IF($J253=0,"",INDEX(ChqKey,237))</f>
        <v/>
      </c>
      <c r="L253">
        <f>IF($K253="","",COUNTIFS($J$17:$J$516,1,$K$17:$K$516,"&lt;"&amp;$K253)+1)</f>
        <v/>
      </c>
    </row>
    <row r="254">
      <c r="A254" s="16">
        <f>IF(IFERROR(MATCH(238,ChqRankL,0),0)=0,"",238)</f>
        <v/>
      </c>
      <c r="B254" s="24">
        <f>IF(IFERROR(MATCH(238,ChqRankL,0),0)=0,"",INDEX(ChqNorm,IFERROR(MATCH(238,ChqRankL,0),0)))</f>
        <v/>
      </c>
      <c r="C254" s="24">
        <f>IF(IFERROR(MATCH(238,ChqRankL,0),0)=0,"",INDEX(ChqNo,IFERROR(MATCH(238,ChqRankL,0),0)))</f>
        <v/>
      </c>
      <c r="D254" s="25">
        <f>IF(IFERROR(MATCH(238,ChqRankL,0),0)=0,"",IF(INDEX(ChqAmt,IFERROR(MATCH(238,ChqRankL,0),0))=0,"",INDEX(ChqAmt,IFERROR(MATCH(238,ChqRankL,0),0))))</f>
        <v/>
      </c>
      <c r="E254" s="17">
        <f>IF(IFERROR(MATCH(238,ChqRankL,0),0)=0,"",INDEX(ChqStatus,IFERROR(MATCH(238,ChqRankL,0),0)))</f>
        <v/>
      </c>
      <c r="F254" s="24">
        <f>IF(IFERROR(MATCH(238,ChqRankL,0),0)=0,"",IF(INDEX(ChqStatus,IFERROR(MATCH(238,ChqRankL,0),0))="پاس نشده","—",IF(INDEX(ChqClr,IFERROR(MATCH(238,ChqRankL,0),0))="","—",INDEX(ChqClr,IFERROR(MATCH(238,ChqRankL,0),0)))))</f>
        <v/>
      </c>
      <c r="I254">
        <f>IF(238&gt;NChq,"",INDEX(ChqNorm,238))</f>
        <v/>
      </c>
      <c r="J254">
        <f>IF($I254="","",IF(AND($I254&gt;=$H$3,$I254&lt;=$H$4),1,0))</f>
        <v/>
      </c>
      <c r="K254">
        <f>IF($J254=0,"",INDEX(ChqKey,238))</f>
        <v/>
      </c>
      <c r="L254">
        <f>IF($K254="","",COUNTIFS($J$17:$J$516,1,$K$17:$K$516,"&lt;"&amp;$K254)+1)</f>
        <v/>
      </c>
    </row>
    <row r="255">
      <c r="A255" s="10">
        <f>IF(IFERROR(MATCH(239,ChqRankL,0),0)=0,"",239)</f>
        <v/>
      </c>
      <c r="B255" s="22">
        <f>IF(IFERROR(MATCH(239,ChqRankL,0),0)=0,"",INDEX(ChqNorm,IFERROR(MATCH(239,ChqRankL,0),0)))</f>
        <v/>
      </c>
      <c r="C255" s="22">
        <f>IF(IFERROR(MATCH(239,ChqRankL,0),0)=0,"",INDEX(ChqNo,IFERROR(MATCH(239,ChqRankL,0),0)))</f>
        <v/>
      </c>
      <c r="D255" s="23">
        <f>IF(IFERROR(MATCH(239,ChqRankL,0),0)=0,"",IF(INDEX(ChqAmt,IFERROR(MATCH(239,ChqRankL,0),0))=0,"",INDEX(ChqAmt,IFERROR(MATCH(239,ChqRankL,0),0))))</f>
        <v/>
      </c>
      <c r="E255" s="14">
        <f>IF(IFERROR(MATCH(239,ChqRankL,0),0)=0,"",INDEX(ChqStatus,IFERROR(MATCH(239,ChqRankL,0),0)))</f>
        <v/>
      </c>
      <c r="F255" s="22">
        <f>IF(IFERROR(MATCH(239,ChqRankL,0),0)=0,"",IF(INDEX(ChqStatus,IFERROR(MATCH(239,ChqRankL,0),0))="پاس نشده","—",IF(INDEX(ChqClr,IFERROR(MATCH(239,ChqRankL,0),0))="","—",INDEX(ChqClr,IFERROR(MATCH(239,ChqRankL,0),0)))))</f>
        <v/>
      </c>
      <c r="I255">
        <f>IF(239&gt;NChq,"",INDEX(ChqNorm,239))</f>
        <v/>
      </c>
      <c r="J255">
        <f>IF($I255="","",IF(AND($I255&gt;=$H$3,$I255&lt;=$H$4),1,0))</f>
        <v/>
      </c>
      <c r="K255">
        <f>IF($J255=0,"",INDEX(ChqKey,239))</f>
        <v/>
      </c>
      <c r="L255">
        <f>IF($K255="","",COUNTIFS($J$17:$J$516,1,$K$17:$K$516,"&lt;"&amp;$K255)+1)</f>
        <v/>
      </c>
    </row>
    <row r="256">
      <c r="A256" s="16">
        <f>IF(IFERROR(MATCH(240,ChqRankL,0),0)=0,"",240)</f>
        <v/>
      </c>
      <c r="B256" s="24">
        <f>IF(IFERROR(MATCH(240,ChqRankL,0),0)=0,"",INDEX(ChqNorm,IFERROR(MATCH(240,ChqRankL,0),0)))</f>
        <v/>
      </c>
      <c r="C256" s="24">
        <f>IF(IFERROR(MATCH(240,ChqRankL,0),0)=0,"",INDEX(ChqNo,IFERROR(MATCH(240,ChqRankL,0),0)))</f>
        <v/>
      </c>
      <c r="D256" s="25">
        <f>IF(IFERROR(MATCH(240,ChqRankL,0),0)=0,"",IF(INDEX(ChqAmt,IFERROR(MATCH(240,ChqRankL,0),0))=0,"",INDEX(ChqAmt,IFERROR(MATCH(240,ChqRankL,0),0))))</f>
        <v/>
      </c>
      <c r="E256" s="17">
        <f>IF(IFERROR(MATCH(240,ChqRankL,0),0)=0,"",INDEX(ChqStatus,IFERROR(MATCH(240,ChqRankL,0),0)))</f>
        <v/>
      </c>
      <c r="F256" s="24">
        <f>IF(IFERROR(MATCH(240,ChqRankL,0),0)=0,"",IF(INDEX(ChqStatus,IFERROR(MATCH(240,ChqRankL,0),0))="پاس نشده","—",IF(INDEX(ChqClr,IFERROR(MATCH(240,ChqRankL,0),0))="","—",INDEX(ChqClr,IFERROR(MATCH(240,ChqRankL,0),0)))))</f>
        <v/>
      </c>
      <c r="I256">
        <f>IF(240&gt;NChq,"",INDEX(ChqNorm,240))</f>
        <v/>
      </c>
      <c r="J256">
        <f>IF($I256="","",IF(AND($I256&gt;=$H$3,$I256&lt;=$H$4),1,0))</f>
        <v/>
      </c>
      <c r="K256">
        <f>IF($J256=0,"",INDEX(ChqKey,240))</f>
        <v/>
      </c>
      <c r="L256">
        <f>IF($K256="","",COUNTIFS($J$17:$J$516,1,$K$17:$K$516,"&lt;"&amp;$K256)+1)</f>
        <v/>
      </c>
    </row>
    <row r="257">
      <c r="A257" s="10">
        <f>IF(IFERROR(MATCH(241,ChqRankL,0),0)=0,"",241)</f>
        <v/>
      </c>
      <c r="B257" s="22">
        <f>IF(IFERROR(MATCH(241,ChqRankL,0),0)=0,"",INDEX(ChqNorm,IFERROR(MATCH(241,ChqRankL,0),0)))</f>
        <v/>
      </c>
      <c r="C257" s="22">
        <f>IF(IFERROR(MATCH(241,ChqRankL,0),0)=0,"",INDEX(ChqNo,IFERROR(MATCH(241,ChqRankL,0),0)))</f>
        <v/>
      </c>
      <c r="D257" s="23">
        <f>IF(IFERROR(MATCH(241,ChqRankL,0),0)=0,"",IF(INDEX(ChqAmt,IFERROR(MATCH(241,ChqRankL,0),0))=0,"",INDEX(ChqAmt,IFERROR(MATCH(241,ChqRankL,0),0))))</f>
        <v/>
      </c>
      <c r="E257" s="14">
        <f>IF(IFERROR(MATCH(241,ChqRankL,0),0)=0,"",INDEX(ChqStatus,IFERROR(MATCH(241,ChqRankL,0),0)))</f>
        <v/>
      </c>
      <c r="F257" s="22">
        <f>IF(IFERROR(MATCH(241,ChqRankL,0),0)=0,"",IF(INDEX(ChqStatus,IFERROR(MATCH(241,ChqRankL,0),0))="پاس نشده","—",IF(INDEX(ChqClr,IFERROR(MATCH(241,ChqRankL,0),0))="","—",INDEX(ChqClr,IFERROR(MATCH(241,ChqRankL,0),0)))))</f>
        <v/>
      </c>
      <c r="I257">
        <f>IF(241&gt;NChq,"",INDEX(ChqNorm,241))</f>
        <v/>
      </c>
      <c r="J257">
        <f>IF($I257="","",IF(AND($I257&gt;=$H$3,$I257&lt;=$H$4),1,0))</f>
        <v/>
      </c>
      <c r="K257">
        <f>IF($J257=0,"",INDEX(ChqKey,241))</f>
        <v/>
      </c>
      <c r="L257">
        <f>IF($K257="","",COUNTIFS($J$17:$J$516,1,$K$17:$K$516,"&lt;"&amp;$K257)+1)</f>
        <v/>
      </c>
    </row>
    <row r="258">
      <c r="A258" s="16">
        <f>IF(IFERROR(MATCH(242,ChqRankL,0),0)=0,"",242)</f>
        <v/>
      </c>
      <c r="B258" s="24">
        <f>IF(IFERROR(MATCH(242,ChqRankL,0),0)=0,"",INDEX(ChqNorm,IFERROR(MATCH(242,ChqRankL,0),0)))</f>
        <v/>
      </c>
      <c r="C258" s="24">
        <f>IF(IFERROR(MATCH(242,ChqRankL,0),0)=0,"",INDEX(ChqNo,IFERROR(MATCH(242,ChqRankL,0),0)))</f>
        <v/>
      </c>
      <c r="D258" s="25">
        <f>IF(IFERROR(MATCH(242,ChqRankL,0),0)=0,"",IF(INDEX(ChqAmt,IFERROR(MATCH(242,ChqRankL,0),0))=0,"",INDEX(ChqAmt,IFERROR(MATCH(242,ChqRankL,0),0))))</f>
        <v/>
      </c>
      <c r="E258" s="17">
        <f>IF(IFERROR(MATCH(242,ChqRankL,0),0)=0,"",INDEX(ChqStatus,IFERROR(MATCH(242,ChqRankL,0),0)))</f>
        <v/>
      </c>
      <c r="F258" s="24">
        <f>IF(IFERROR(MATCH(242,ChqRankL,0),0)=0,"",IF(INDEX(ChqStatus,IFERROR(MATCH(242,ChqRankL,0),0))="پاس نشده","—",IF(INDEX(ChqClr,IFERROR(MATCH(242,ChqRankL,0),0))="","—",INDEX(ChqClr,IFERROR(MATCH(242,ChqRankL,0),0)))))</f>
        <v/>
      </c>
      <c r="I258">
        <f>IF(242&gt;NChq,"",INDEX(ChqNorm,242))</f>
        <v/>
      </c>
      <c r="J258">
        <f>IF($I258="","",IF(AND($I258&gt;=$H$3,$I258&lt;=$H$4),1,0))</f>
        <v/>
      </c>
      <c r="K258">
        <f>IF($J258=0,"",INDEX(ChqKey,242))</f>
        <v/>
      </c>
      <c r="L258">
        <f>IF($K258="","",COUNTIFS($J$17:$J$516,1,$K$17:$K$516,"&lt;"&amp;$K258)+1)</f>
        <v/>
      </c>
    </row>
    <row r="259">
      <c r="A259" s="10">
        <f>IF(IFERROR(MATCH(243,ChqRankL,0),0)=0,"",243)</f>
        <v/>
      </c>
      <c r="B259" s="22">
        <f>IF(IFERROR(MATCH(243,ChqRankL,0),0)=0,"",INDEX(ChqNorm,IFERROR(MATCH(243,ChqRankL,0),0)))</f>
        <v/>
      </c>
      <c r="C259" s="22">
        <f>IF(IFERROR(MATCH(243,ChqRankL,0),0)=0,"",INDEX(ChqNo,IFERROR(MATCH(243,ChqRankL,0),0)))</f>
        <v/>
      </c>
      <c r="D259" s="23">
        <f>IF(IFERROR(MATCH(243,ChqRankL,0),0)=0,"",IF(INDEX(ChqAmt,IFERROR(MATCH(243,ChqRankL,0),0))=0,"",INDEX(ChqAmt,IFERROR(MATCH(243,ChqRankL,0),0))))</f>
        <v/>
      </c>
      <c r="E259" s="14">
        <f>IF(IFERROR(MATCH(243,ChqRankL,0),0)=0,"",INDEX(ChqStatus,IFERROR(MATCH(243,ChqRankL,0),0)))</f>
        <v/>
      </c>
      <c r="F259" s="22">
        <f>IF(IFERROR(MATCH(243,ChqRankL,0),0)=0,"",IF(INDEX(ChqStatus,IFERROR(MATCH(243,ChqRankL,0),0))="پاس نشده","—",IF(INDEX(ChqClr,IFERROR(MATCH(243,ChqRankL,0),0))="","—",INDEX(ChqClr,IFERROR(MATCH(243,ChqRankL,0),0)))))</f>
        <v/>
      </c>
      <c r="I259">
        <f>IF(243&gt;NChq,"",INDEX(ChqNorm,243))</f>
        <v/>
      </c>
      <c r="J259">
        <f>IF($I259="","",IF(AND($I259&gt;=$H$3,$I259&lt;=$H$4),1,0))</f>
        <v/>
      </c>
      <c r="K259">
        <f>IF($J259=0,"",INDEX(ChqKey,243))</f>
        <v/>
      </c>
      <c r="L259">
        <f>IF($K259="","",COUNTIFS($J$17:$J$516,1,$K$17:$K$516,"&lt;"&amp;$K259)+1)</f>
        <v/>
      </c>
    </row>
    <row r="260">
      <c r="A260" s="16">
        <f>IF(IFERROR(MATCH(244,ChqRankL,0),0)=0,"",244)</f>
        <v/>
      </c>
      <c r="B260" s="24">
        <f>IF(IFERROR(MATCH(244,ChqRankL,0),0)=0,"",INDEX(ChqNorm,IFERROR(MATCH(244,ChqRankL,0),0)))</f>
        <v/>
      </c>
      <c r="C260" s="24">
        <f>IF(IFERROR(MATCH(244,ChqRankL,0),0)=0,"",INDEX(ChqNo,IFERROR(MATCH(244,ChqRankL,0),0)))</f>
        <v/>
      </c>
      <c r="D260" s="25">
        <f>IF(IFERROR(MATCH(244,ChqRankL,0),0)=0,"",IF(INDEX(ChqAmt,IFERROR(MATCH(244,ChqRankL,0),0))=0,"",INDEX(ChqAmt,IFERROR(MATCH(244,ChqRankL,0),0))))</f>
        <v/>
      </c>
      <c r="E260" s="17">
        <f>IF(IFERROR(MATCH(244,ChqRankL,0),0)=0,"",INDEX(ChqStatus,IFERROR(MATCH(244,ChqRankL,0),0)))</f>
        <v/>
      </c>
      <c r="F260" s="24">
        <f>IF(IFERROR(MATCH(244,ChqRankL,0),0)=0,"",IF(INDEX(ChqStatus,IFERROR(MATCH(244,ChqRankL,0),0))="پاس نشده","—",IF(INDEX(ChqClr,IFERROR(MATCH(244,ChqRankL,0),0))="","—",INDEX(ChqClr,IFERROR(MATCH(244,ChqRankL,0),0)))))</f>
        <v/>
      </c>
      <c r="I260">
        <f>IF(244&gt;NChq,"",INDEX(ChqNorm,244))</f>
        <v/>
      </c>
      <c r="J260">
        <f>IF($I260="","",IF(AND($I260&gt;=$H$3,$I260&lt;=$H$4),1,0))</f>
        <v/>
      </c>
      <c r="K260">
        <f>IF($J260=0,"",INDEX(ChqKey,244))</f>
        <v/>
      </c>
      <c r="L260">
        <f>IF($K260="","",COUNTIFS($J$17:$J$516,1,$K$17:$K$516,"&lt;"&amp;$K260)+1)</f>
        <v/>
      </c>
    </row>
    <row r="261">
      <c r="A261" s="10">
        <f>IF(IFERROR(MATCH(245,ChqRankL,0),0)=0,"",245)</f>
        <v/>
      </c>
      <c r="B261" s="22">
        <f>IF(IFERROR(MATCH(245,ChqRankL,0),0)=0,"",INDEX(ChqNorm,IFERROR(MATCH(245,ChqRankL,0),0)))</f>
        <v/>
      </c>
      <c r="C261" s="22">
        <f>IF(IFERROR(MATCH(245,ChqRankL,0),0)=0,"",INDEX(ChqNo,IFERROR(MATCH(245,ChqRankL,0),0)))</f>
        <v/>
      </c>
      <c r="D261" s="23">
        <f>IF(IFERROR(MATCH(245,ChqRankL,0),0)=0,"",IF(INDEX(ChqAmt,IFERROR(MATCH(245,ChqRankL,0),0))=0,"",INDEX(ChqAmt,IFERROR(MATCH(245,ChqRankL,0),0))))</f>
        <v/>
      </c>
      <c r="E261" s="14">
        <f>IF(IFERROR(MATCH(245,ChqRankL,0),0)=0,"",INDEX(ChqStatus,IFERROR(MATCH(245,ChqRankL,0),0)))</f>
        <v/>
      </c>
      <c r="F261" s="22">
        <f>IF(IFERROR(MATCH(245,ChqRankL,0),0)=0,"",IF(INDEX(ChqStatus,IFERROR(MATCH(245,ChqRankL,0),0))="پاس نشده","—",IF(INDEX(ChqClr,IFERROR(MATCH(245,ChqRankL,0),0))="","—",INDEX(ChqClr,IFERROR(MATCH(245,ChqRankL,0),0)))))</f>
        <v/>
      </c>
      <c r="I261">
        <f>IF(245&gt;NChq,"",INDEX(ChqNorm,245))</f>
        <v/>
      </c>
      <c r="J261">
        <f>IF($I261="","",IF(AND($I261&gt;=$H$3,$I261&lt;=$H$4),1,0))</f>
        <v/>
      </c>
      <c r="K261">
        <f>IF($J261=0,"",INDEX(ChqKey,245))</f>
        <v/>
      </c>
      <c r="L261">
        <f>IF($K261="","",COUNTIFS($J$17:$J$516,1,$K$17:$K$516,"&lt;"&amp;$K261)+1)</f>
        <v/>
      </c>
    </row>
    <row r="262">
      <c r="A262" s="16">
        <f>IF(IFERROR(MATCH(246,ChqRankL,0),0)=0,"",246)</f>
        <v/>
      </c>
      <c r="B262" s="24">
        <f>IF(IFERROR(MATCH(246,ChqRankL,0),0)=0,"",INDEX(ChqNorm,IFERROR(MATCH(246,ChqRankL,0),0)))</f>
        <v/>
      </c>
      <c r="C262" s="24">
        <f>IF(IFERROR(MATCH(246,ChqRankL,0),0)=0,"",INDEX(ChqNo,IFERROR(MATCH(246,ChqRankL,0),0)))</f>
        <v/>
      </c>
      <c r="D262" s="25">
        <f>IF(IFERROR(MATCH(246,ChqRankL,0),0)=0,"",IF(INDEX(ChqAmt,IFERROR(MATCH(246,ChqRankL,0),0))=0,"",INDEX(ChqAmt,IFERROR(MATCH(246,ChqRankL,0),0))))</f>
        <v/>
      </c>
      <c r="E262" s="17">
        <f>IF(IFERROR(MATCH(246,ChqRankL,0),0)=0,"",INDEX(ChqStatus,IFERROR(MATCH(246,ChqRankL,0),0)))</f>
        <v/>
      </c>
      <c r="F262" s="24">
        <f>IF(IFERROR(MATCH(246,ChqRankL,0),0)=0,"",IF(INDEX(ChqStatus,IFERROR(MATCH(246,ChqRankL,0),0))="پاس نشده","—",IF(INDEX(ChqClr,IFERROR(MATCH(246,ChqRankL,0),0))="","—",INDEX(ChqClr,IFERROR(MATCH(246,ChqRankL,0),0)))))</f>
        <v/>
      </c>
      <c r="I262">
        <f>IF(246&gt;NChq,"",INDEX(ChqNorm,246))</f>
        <v/>
      </c>
      <c r="J262">
        <f>IF($I262="","",IF(AND($I262&gt;=$H$3,$I262&lt;=$H$4),1,0))</f>
        <v/>
      </c>
      <c r="K262">
        <f>IF($J262=0,"",INDEX(ChqKey,246))</f>
        <v/>
      </c>
      <c r="L262">
        <f>IF($K262="","",COUNTIFS($J$17:$J$516,1,$K$17:$K$516,"&lt;"&amp;$K262)+1)</f>
        <v/>
      </c>
    </row>
    <row r="263">
      <c r="A263" s="10">
        <f>IF(IFERROR(MATCH(247,ChqRankL,0),0)=0,"",247)</f>
        <v/>
      </c>
      <c r="B263" s="22">
        <f>IF(IFERROR(MATCH(247,ChqRankL,0),0)=0,"",INDEX(ChqNorm,IFERROR(MATCH(247,ChqRankL,0),0)))</f>
        <v/>
      </c>
      <c r="C263" s="22">
        <f>IF(IFERROR(MATCH(247,ChqRankL,0),0)=0,"",INDEX(ChqNo,IFERROR(MATCH(247,ChqRankL,0),0)))</f>
        <v/>
      </c>
      <c r="D263" s="23">
        <f>IF(IFERROR(MATCH(247,ChqRankL,0),0)=0,"",IF(INDEX(ChqAmt,IFERROR(MATCH(247,ChqRankL,0),0))=0,"",INDEX(ChqAmt,IFERROR(MATCH(247,ChqRankL,0),0))))</f>
        <v/>
      </c>
      <c r="E263" s="14">
        <f>IF(IFERROR(MATCH(247,ChqRankL,0),0)=0,"",INDEX(ChqStatus,IFERROR(MATCH(247,ChqRankL,0),0)))</f>
        <v/>
      </c>
      <c r="F263" s="22">
        <f>IF(IFERROR(MATCH(247,ChqRankL,0),0)=0,"",IF(INDEX(ChqStatus,IFERROR(MATCH(247,ChqRankL,0),0))="پاس نشده","—",IF(INDEX(ChqClr,IFERROR(MATCH(247,ChqRankL,0),0))="","—",INDEX(ChqClr,IFERROR(MATCH(247,ChqRankL,0),0)))))</f>
        <v/>
      </c>
      <c r="I263">
        <f>IF(247&gt;NChq,"",INDEX(ChqNorm,247))</f>
        <v/>
      </c>
      <c r="J263">
        <f>IF($I263="","",IF(AND($I263&gt;=$H$3,$I263&lt;=$H$4),1,0))</f>
        <v/>
      </c>
      <c r="K263">
        <f>IF($J263=0,"",INDEX(ChqKey,247))</f>
        <v/>
      </c>
      <c r="L263">
        <f>IF($K263="","",COUNTIFS($J$17:$J$516,1,$K$17:$K$516,"&lt;"&amp;$K263)+1)</f>
        <v/>
      </c>
    </row>
    <row r="264">
      <c r="A264" s="16">
        <f>IF(IFERROR(MATCH(248,ChqRankL,0),0)=0,"",248)</f>
        <v/>
      </c>
      <c r="B264" s="24">
        <f>IF(IFERROR(MATCH(248,ChqRankL,0),0)=0,"",INDEX(ChqNorm,IFERROR(MATCH(248,ChqRankL,0),0)))</f>
        <v/>
      </c>
      <c r="C264" s="24">
        <f>IF(IFERROR(MATCH(248,ChqRankL,0),0)=0,"",INDEX(ChqNo,IFERROR(MATCH(248,ChqRankL,0),0)))</f>
        <v/>
      </c>
      <c r="D264" s="25">
        <f>IF(IFERROR(MATCH(248,ChqRankL,0),0)=0,"",IF(INDEX(ChqAmt,IFERROR(MATCH(248,ChqRankL,0),0))=0,"",INDEX(ChqAmt,IFERROR(MATCH(248,ChqRankL,0),0))))</f>
        <v/>
      </c>
      <c r="E264" s="17">
        <f>IF(IFERROR(MATCH(248,ChqRankL,0),0)=0,"",INDEX(ChqStatus,IFERROR(MATCH(248,ChqRankL,0),0)))</f>
        <v/>
      </c>
      <c r="F264" s="24">
        <f>IF(IFERROR(MATCH(248,ChqRankL,0),0)=0,"",IF(INDEX(ChqStatus,IFERROR(MATCH(248,ChqRankL,0),0))="پاس نشده","—",IF(INDEX(ChqClr,IFERROR(MATCH(248,ChqRankL,0),0))="","—",INDEX(ChqClr,IFERROR(MATCH(248,ChqRankL,0),0)))))</f>
        <v/>
      </c>
      <c r="I264">
        <f>IF(248&gt;NChq,"",INDEX(ChqNorm,248))</f>
        <v/>
      </c>
      <c r="J264">
        <f>IF($I264="","",IF(AND($I264&gt;=$H$3,$I264&lt;=$H$4),1,0))</f>
        <v/>
      </c>
      <c r="K264">
        <f>IF($J264=0,"",INDEX(ChqKey,248))</f>
        <v/>
      </c>
      <c r="L264">
        <f>IF($K264="","",COUNTIFS($J$17:$J$516,1,$K$17:$K$516,"&lt;"&amp;$K264)+1)</f>
        <v/>
      </c>
    </row>
    <row r="265">
      <c r="A265" s="10">
        <f>IF(IFERROR(MATCH(249,ChqRankL,0),0)=0,"",249)</f>
        <v/>
      </c>
      <c r="B265" s="22">
        <f>IF(IFERROR(MATCH(249,ChqRankL,0),0)=0,"",INDEX(ChqNorm,IFERROR(MATCH(249,ChqRankL,0),0)))</f>
        <v/>
      </c>
      <c r="C265" s="22">
        <f>IF(IFERROR(MATCH(249,ChqRankL,0),0)=0,"",INDEX(ChqNo,IFERROR(MATCH(249,ChqRankL,0),0)))</f>
        <v/>
      </c>
      <c r="D265" s="23">
        <f>IF(IFERROR(MATCH(249,ChqRankL,0),0)=0,"",IF(INDEX(ChqAmt,IFERROR(MATCH(249,ChqRankL,0),0))=0,"",INDEX(ChqAmt,IFERROR(MATCH(249,ChqRankL,0),0))))</f>
        <v/>
      </c>
      <c r="E265" s="14">
        <f>IF(IFERROR(MATCH(249,ChqRankL,0),0)=0,"",INDEX(ChqStatus,IFERROR(MATCH(249,ChqRankL,0),0)))</f>
        <v/>
      </c>
      <c r="F265" s="22">
        <f>IF(IFERROR(MATCH(249,ChqRankL,0),0)=0,"",IF(INDEX(ChqStatus,IFERROR(MATCH(249,ChqRankL,0),0))="پاس نشده","—",IF(INDEX(ChqClr,IFERROR(MATCH(249,ChqRankL,0),0))="","—",INDEX(ChqClr,IFERROR(MATCH(249,ChqRankL,0),0)))))</f>
        <v/>
      </c>
      <c r="I265">
        <f>IF(249&gt;NChq,"",INDEX(ChqNorm,249))</f>
        <v/>
      </c>
      <c r="J265">
        <f>IF($I265="","",IF(AND($I265&gt;=$H$3,$I265&lt;=$H$4),1,0))</f>
        <v/>
      </c>
      <c r="K265">
        <f>IF($J265=0,"",INDEX(ChqKey,249))</f>
        <v/>
      </c>
      <c r="L265">
        <f>IF($K265="","",COUNTIFS($J$17:$J$516,1,$K$17:$K$516,"&lt;"&amp;$K265)+1)</f>
        <v/>
      </c>
    </row>
    <row r="266">
      <c r="A266" s="16">
        <f>IF(IFERROR(MATCH(250,ChqRankL,0),0)=0,"",250)</f>
        <v/>
      </c>
      <c r="B266" s="24">
        <f>IF(IFERROR(MATCH(250,ChqRankL,0),0)=0,"",INDEX(ChqNorm,IFERROR(MATCH(250,ChqRankL,0),0)))</f>
        <v/>
      </c>
      <c r="C266" s="24">
        <f>IF(IFERROR(MATCH(250,ChqRankL,0),0)=0,"",INDEX(ChqNo,IFERROR(MATCH(250,ChqRankL,0),0)))</f>
        <v/>
      </c>
      <c r="D266" s="25">
        <f>IF(IFERROR(MATCH(250,ChqRankL,0),0)=0,"",IF(INDEX(ChqAmt,IFERROR(MATCH(250,ChqRankL,0),0))=0,"",INDEX(ChqAmt,IFERROR(MATCH(250,ChqRankL,0),0))))</f>
        <v/>
      </c>
      <c r="E266" s="17">
        <f>IF(IFERROR(MATCH(250,ChqRankL,0),0)=0,"",INDEX(ChqStatus,IFERROR(MATCH(250,ChqRankL,0),0)))</f>
        <v/>
      </c>
      <c r="F266" s="24">
        <f>IF(IFERROR(MATCH(250,ChqRankL,0),0)=0,"",IF(INDEX(ChqStatus,IFERROR(MATCH(250,ChqRankL,0),0))="پاس نشده","—",IF(INDEX(ChqClr,IFERROR(MATCH(250,ChqRankL,0),0))="","—",INDEX(ChqClr,IFERROR(MATCH(250,ChqRankL,0),0)))))</f>
        <v/>
      </c>
      <c r="I266">
        <f>IF(250&gt;NChq,"",INDEX(ChqNorm,250))</f>
        <v/>
      </c>
      <c r="J266">
        <f>IF($I266="","",IF(AND($I266&gt;=$H$3,$I266&lt;=$H$4),1,0))</f>
        <v/>
      </c>
      <c r="K266">
        <f>IF($J266=0,"",INDEX(ChqKey,250))</f>
        <v/>
      </c>
      <c r="L266">
        <f>IF($K266="","",COUNTIFS($J$17:$J$516,1,$K$17:$K$516,"&lt;"&amp;$K266)+1)</f>
        <v/>
      </c>
    </row>
    <row r="267">
      <c r="A267" s="10">
        <f>IF(IFERROR(MATCH(251,ChqRankL,0),0)=0,"",251)</f>
        <v/>
      </c>
      <c r="B267" s="22">
        <f>IF(IFERROR(MATCH(251,ChqRankL,0),0)=0,"",INDEX(ChqNorm,IFERROR(MATCH(251,ChqRankL,0),0)))</f>
        <v/>
      </c>
      <c r="C267" s="22">
        <f>IF(IFERROR(MATCH(251,ChqRankL,0),0)=0,"",INDEX(ChqNo,IFERROR(MATCH(251,ChqRankL,0),0)))</f>
        <v/>
      </c>
      <c r="D267" s="23">
        <f>IF(IFERROR(MATCH(251,ChqRankL,0),0)=0,"",IF(INDEX(ChqAmt,IFERROR(MATCH(251,ChqRankL,0),0))=0,"",INDEX(ChqAmt,IFERROR(MATCH(251,ChqRankL,0),0))))</f>
        <v/>
      </c>
      <c r="E267" s="14">
        <f>IF(IFERROR(MATCH(251,ChqRankL,0),0)=0,"",INDEX(ChqStatus,IFERROR(MATCH(251,ChqRankL,0),0)))</f>
        <v/>
      </c>
      <c r="F267" s="22">
        <f>IF(IFERROR(MATCH(251,ChqRankL,0),0)=0,"",IF(INDEX(ChqStatus,IFERROR(MATCH(251,ChqRankL,0),0))="پاس نشده","—",IF(INDEX(ChqClr,IFERROR(MATCH(251,ChqRankL,0),0))="","—",INDEX(ChqClr,IFERROR(MATCH(251,ChqRankL,0),0)))))</f>
        <v/>
      </c>
      <c r="I267">
        <f>IF(251&gt;NChq,"",INDEX(ChqNorm,251))</f>
        <v/>
      </c>
      <c r="J267">
        <f>IF($I267="","",IF(AND($I267&gt;=$H$3,$I267&lt;=$H$4),1,0))</f>
        <v/>
      </c>
      <c r="K267">
        <f>IF($J267=0,"",INDEX(ChqKey,251))</f>
        <v/>
      </c>
      <c r="L267">
        <f>IF($K267="","",COUNTIFS($J$17:$J$516,1,$K$17:$K$516,"&lt;"&amp;$K267)+1)</f>
        <v/>
      </c>
    </row>
    <row r="268">
      <c r="A268" s="16">
        <f>IF(IFERROR(MATCH(252,ChqRankL,0),0)=0,"",252)</f>
        <v/>
      </c>
      <c r="B268" s="24">
        <f>IF(IFERROR(MATCH(252,ChqRankL,0),0)=0,"",INDEX(ChqNorm,IFERROR(MATCH(252,ChqRankL,0),0)))</f>
        <v/>
      </c>
      <c r="C268" s="24">
        <f>IF(IFERROR(MATCH(252,ChqRankL,0),0)=0,"",INDEX(ChqNo,IFERROR(MATCH(252,ChqRankL,0),0)))</f>
        <v/>
      </c>
      <c r="D268" s="25">
        <f>IF(IFERROR(MATCH(252,ChqRankL,0),0)=0,"",IF(INDEX(ChqAmt,IFERROR(MATCH(252,ChqRankL,0),0))=0,"",INDEX(ChqAmt,IFERROR(MATCH(252,ChqRankL,0),0))))</f>
        <v/>
      </c>
      <c r="E268" s="17">
        <f>IF(IFERROR(MATCH(252,ChqRankL,0),0)=0,"",INDEX(ChqStatus,IFERROR(MATCH(252,ChqRankL,0),0)))</f>
        <v/>
      </c>
      <c r="F268" s="24">
        <f>IF(IFERROR(MATCH(252,ChqRankL,0),0)=0,"",IF(INDEX(ChqStatus,IFERROR(MATCH(252,ChqRankL,0),0))="پاس نشده","—",IF(INDEX(ChqClr,IFERROR(MATCH(252,ChqRankL,0),0))="","—",INDEX(ChqClr,IFERROR(MATCH(252,ChqRankL,0),0)))))</f>
        <v/>
      </c>
      <c r="I268">
        <f>IF(252&gt;NChq,"",INDEX(ChqNorm,252))</f>
        <v/>
      </c>
      <c r="J268">
        <f>IF($I268="","",IF(AND($I268&gt;=$H$3,$I268&lt;=$H$4),1,0))</f>
        <v/>
      </c>
      <c r="K268">
        <f>IF($J268=0,"",INDEX(ChqKey,252))</f>
        <v/>
      </c>
      <c r="L268">
        <f>IF($K268="","",COUNTIFS($J$17:$J$516,1,$K$17:$K$516,"&lt;"&amp;$K268)+1)</f>
        <v/>
      </c>
    </row>
    <row r="269">
      <c r="A269" s="10">
        <f>IF(IFERROR(MATCH(253,ChqRankL,0),0)=0,"",253)</f>
        <v/>
      </c>
      <c r="B269" s="22">
        <f>IF(IFERROR(MATCH(253,ChqRankL,0),0)=0,"",INDEX(ChqNorm,IFERROR(MATCH(253,ChqRankL,0),0)))</f>
        <v/>
      </c>
      <c r="C269" s="22">
        <f>IF(IFERROR(MATCH(253,ChqRankL,0),0)=0,"",INDEX(ChqNo,IFERROR(MATCH(253,ChqRankL,0),0)))</f>
        <v/>
      </c>
      <c r="D269" s="23">
        <f>IF(IFERROR(MATCH(253,ChqRankL,0),0)=0,"",IF(INDEX(ChqAmt,IFERROR(MATCH(253,ChqRankL,0),0))=0,"",INDEX(ChqAmt,IFERROR(MATCH(253,ChqRankL,0),0))))</f>
        <v/>
      </c>
      <c r="E269" s="14">
        <f>IF(IFERROR(MATCH(253,ChqRankL,0),0)=0,"",INDEX(ChqStatus,IFERROR(MATCH(253,ChqRankL,0),0)))</f>
        <v/>
      </c>
      <c r="F269" s="22">
        <f>IF(IFERROR(MATCH(253,ChqRankL,0),0)=0,"",IF(INDEX(ChqStatus,IFERROR(MATCH(253,ChqRankL,0),0))="پاس نشده","—",IF(INDEX(ChqClr,IFERROR(MATCH(253,ChqRankL,0),0))="","—",INDEX(ChqClr,IFERROR(MATCH(253,ChqRankL,0),0)))))</f>
        <v/>
      </c>
      <c r="I269">
        <f>IF(253&gt;NChq,"",INDEX(ChqNorm,253))</f>
        <v/>
      </c>
      <c r="J269">
        <f>IF($I269="","",IF(AND($I269&gt;=$H$3,$I269&lt;=$H$4),1,0))</f>
        <v/>
      </c>
      <c r="K269">
        <f>IF($J269=0,"",INDEX(ChqKey,253))</f>
        <v/>
      </c>
      <c r="L269">
        <f>IF($K269="","",COUNTIFS($J$17:$J$516,1,$K$17:$K$516,"&lt;"&amp;$K269)+1)</f>
        <v/>
      </c>
    </row>
    <row r="270">
      <c r="A270" s="16">
        <f>IF(IFERROR(MATCH(254,ChqRankL,0),0)=0,"",254)</f>
        <v/>
      </c>
      <c r="B270" s="24">
        <f>IF(IFERROR(MATCH(254,ChqRankL,0),0)=0,"",INDEX(ChqNorm,IFERROR(MATCH(254,ChqRankL,0),0)))</f>
        <v/>
      </c>
      <c r="C270" s="24">
        <f>IF(IFERROR(MATCH(254,ChqRankL,0),0)=0,"",INDEX(ChqNo,IFERROR(MATCH(254,ChqRankL,0),0)))</f>
        <v/>
      </c>
      <c r="D270" s="25">
        <f>IF(IFERROR(MATCH(254,ChqRankL,0),0)=0,"",IF(INDEX(ChqAmt,IFERROR(MATCH(254,ChqRankL,0),0))=0,"",INDEX(ChqAmt,IFERROR(MATCH(254,ChqRankL,0),0))))</f>
        <v/>
      </c>
      <c r="E270" s="17">
        <f>IF(IFERROR(MATCH(254,ChqRankL,0),0)=0,"",INDEX(ChqStatus,IFERROR(MATCH(254,ChqRankL,0),0)))</f>
        <v/>
      </c>
      <c r="F270" s="24">
        <f>IF(IFERROR(MATCH(254,ChqRankL,0),0)=0,"",IF(INDEX(ChqStatus,IFERROR(MATCH(254,ChqRankL,0),0))="پاس نشده","—",IF(INDEX(ChqClr,IFERROR(MATCH(254,ChqRankL,0),0))="","—",INDEX(ChqClr,IFERROR(MATCH(254,ChqRankL,0),0)))))</f>
        <v/>
      </c>
      <c r="I270">
        <f>IF(254&gt;NChq,"",INDEX(ChqNorm,254))</f>
        <v/>
      </c>
      <c r="J270">
        <f>IF($I270="","",IF(AND($I270&gt;=$H$3,$I270&lt;=$H$4),1,0))</f>
        <v/>
      </c>
      <c r="K270">
        <f>IF($J270=0,"",INDEX(ChqKey,254))</f>
        <v/>
      </c>
      <c r="L270">
        <f>IF($K270="","",COUNTIFS($J$17:$J$516,1,$K$17:$K$516,"&lt;"&amp;$K270)+1)</f>
        <v/>
      </c>
    </row>
    <row r="271">
      <c r="A271" s="10">
        <f>IF(IFERROR(MATCH(255,ChqRankL,0),0)=0,"",255)</f>
        <v/>
      </c>
      <c r="B271" s="22">
        <f>IF(IFERROR(MATCH(255,ChqRankL,0),0)=0,"",INDEX(ChqNorm,IFERROR(MATCH(255,ChqRankL,0),0)))</f>
        <v/>
      </c>
      <c r="C271" s="22">
        <f>IF(IFERROR(MATCH(255,ChqRankL,0),0)=0,"",INDEX(ChqNo,IFERROR(MATCH(255,ChqRankL,0),0)))</f>
        <v/>
      </c>
      <c r="D271" s="23">
        <f>IF(IFERROR(MATCH(255,ChqRankL,0),0)=0,"",IF(INDEX(ChqAmt,IFERROR(MATCH(255,ChqRankL,0),0))=0,"",INDEX(ChqAmt,IFERROR(MATCH(255,ChqRankL,0),0))))</f>
        <v/>
      </c>
      <c r="E271" s="14">
        <f>IF(IFERROR(MATCH(255,ChqRankL,0),0)=0,"",INDEX(ChqStatus,IFERROR(MATCH(255,ChqRankL,0),0)))</f>
        <v/>
      </c>
      <c r="F271" s="22">
        <f>IF(IFERROR(MATCH(255,ChqRankL,0),0)=0,"",IF(INDEX(ChqStatus,IFERROR(MATCH(255,ChqRankL,0),0))="پاس نشده","—",IF(INDEX(ChqClr,IFERROR(MATCH(255,ChqRankL,0),0))="","—",INDEX(ChqClr,IFERROR(MATCH(255,ChqRankL,0),0)))))</f>
        <v/>
      </c>
      <c r="I271">
        <f>IF(255&gt;NChq,"",INDEX(ChqNorm,255))</f>
        <v/>
      </c>
      <c r="J271">
        <f>IF($I271="","",IF(AND($I271&gt;=$H$3,$I271&lt;=$H$4),1,0))</f>
        <v/>
      </c>
      <c r="K271">
        <f>IF($J271=0,"",INDEX(ChqKey,255))</f>
        <v/>
      </c>
      <c r="L271">
        <f>IF($K271="","",COUNTIFS($J$17:$J$516,1,$K$17:$K$516,"&lt;"&amp;$K271)+1)</f>
        <v/>
      </c>
    </row>
    <row r="272">
      <c r="A272" s="16">
        <f>IF(IFERROR(MATCH(256,ChqRankL,0),0)=0,"",256)</f>
        <v/>
      </c>
      <c r="B272" s="24">
        <f>IF(IFERROR(MATCH(256,ChqRankL,0),0)=0,"",INDEX(ChqNorm,IFERROR(MATCH(256,ChqRankL,0),0)))</f>
        <v/>
      </c>
      <c r="C272" s="24">
        <f>IF(IFERROR(MATCH(256,ChqRankL,0),0)=0,"",INDEX(ChqNo,IFERROR(MATCH(256,ChqRankL,0),0)))</f>
        <v/>
      </c>
      <c r="D272" s="25">
        <f>IF(IFERROR(MATCH(256,ChqRankL,0),0)=0,"",IF(INDEX(ChqAmt,IFERROR(MATCH(256,ChqRankL,0),0))=0,"",INDEX(ChqAmt,IFERROR(MATCH(256,ChqRankL,0),0))))</f>
        <v/>
      </c>
      <c r="E272" s="17">
        <f>IF(IFERROR(MATCH(256,ChqRankL,0),0)=0,"",INDEX(ChqStatus,IFERROR(MATCH(256,ChqRankL,0),0)))</f>
        <v/>
      </c>
      <c r="F272" s="24">
        <f>IF(IFERROR(MATCH(256,ChqRankL,0),0)=0,"",IF(INDEX(ChqStatus,IFERROR(MATCH(256,ChqRankL,0),0))="پاس نشده","—",IF(INDEX(ChqClr,IFERROR(MATCH(256,ChqRankL,0),0))="","—",INDEX(ChqClr,IFERROR(MATCH(256,ChqRankL,0),0)))))</f>
        <v/>
      </c>
      <c r="I272">
        <f>IF(256&gt;NChq,"",INDEX(ChqNorm,256))</f>
        <v/>
      </c>
      <c r="J272">
        <f>IF($I272="","",IF(AND($I272&gt;=$H$3,$I272&lt;=$H$4),1,0))</f>
        <v/>
      </c>
      <c r="K272">
        <f>IF($J272=0,"",INDEX(ChqKey,256))</f>
        <v/>
      </c>
      <c r="L272">
        <f>IF($K272="","",COUNTIFS($J$17:$J$516,1,$K$17:$K$516,"&lt;"&amp;$K272)+1)</f>
        <v/>
      </c>
    </row>
    <row r="273">
      <c r="A273" s="10">
        <f>IF(IFERROR(MATCH(257,ChqRankL,0),0)=0,"",257)</f>
        <v/>
      </c>
      <c r="B273" s="22">
        <f>IF(IFERROR(MATCH(257,ChqRankL,0),0)=0,"",INDEX(ChqNorm,IFERROR(MATCH(257,ChqRankL,0),0)))</f>
        <v/>
      </c>
      <c r="C273" s="22">
        <f>IF(IFERROR(MATCH(257,ChqRankL,0),0)=0,"",INDEX(ChqNo,IFERROR(MATCH(257,ChqRankL,0),0)))</f>
        <v/>
      </c>
      <c r="D273" s="23">
        <f>IF(IFERROR(MATCH(257,ChqRankL,0),0)=0,"",IF(INDEX(ChqAmt,IFERROR(MATCH(257,ChqRankL,0),0))=0,"",INDEX(ChqAmt,IFERROR(MATCH(257,ChqRankL,0),0))))</f>
        <v/>
      </c>
      <c r="E273" s="14">
        <f>IF(IFERROR(MATCH(257,ChqRankL,0),0)=0,"",INDEX(ChqStatus,IFERROR(MATCH(257,ChqRankL,0),0)))</f>
        <v/>
      </c>
      <c r="F273" s="22">
        <f>IF(IFERROR(MATCH(257,ChqRankL,0),0)=0,"",IF(INDEX(ChqStatus,IFERROR(MATCH(257,ChqRankL,0),0))="پاس نشده","—",IF(INDEX(ChqClr,IFERROR(MATCH(257,ChqRankL,0),0))="","—",INDEX(ChqClr,IFERROR(MATCH(257,ChqRankL,0),0)))))</f>
        <v/>
      </c>
      <c r="I273">
        <f>IF(257&gt;NChq,"",INDEX(ChqNorm,257))</f>
        <v/>
      </c>
      <c r="J273">
        <f>IF($I273="","",IF(AND($I273&gt;=$H$3,$I273&lt;=$H$4),1,0))</f>
        <v/>
      </c>
      <c r="K273">
        <f>IF($J273=0,"",INDEX(ChqKey,257))</f>
        <v/>
      </c>
      <c r="L273">
        <f>IF($K273="","",COUNTIFS($J$17:$J$516,1,$K$17:$K$516,"&lt;"&amp;$K273)+1)</f>
        <v/>
      </c>
    </row>
    <row r="274">
      <c r="A274" s="16">
        <f>IF(IFERROR(MATCH(258,ChqRankL,0),0)=0,"",258)</f>
        <v/>
      </c>
      <c r="B274" s="24">
        <f>IF(IFERROR(MATCH(258,ChqRankL,0),0)=0,"",INDEX(ChqNorm,IFERROR(MATCH(258,ChqRankL,0),0)))</f>
        <v/>
      </c>
      <c r="C274" s="24">
        <f>IF(IFERROR(MATCH(258,ChqRankL,0),0)=0,"",INDEX(ChqNo,IFERROR(MATCH(258,ChqRankL,0),0)))</f>
        <v/>
      </c>
      <c r="D274" s="25">
        <f>IF(IFERROR(MATCH(258,ChqRankL,0),0)=0,"",IF(INDEX(ChqAmt,IFERROR(MATCH(258,ChqRankL,0),0))=0,"",INDEX(ChqAmt,IFERROR(MATCH(258,ChqRankL,0),0))))</f>
        <v/>
      </c>
      <c r="E274" s="17">
        <f>IF(IFERROR(MATCH(258,ChqRankL,0),0)=0,"",INDEX(ChqStatus,IFERROR(MATCH(258,ChqRankL,0),0)))</f>
        <v/>
      </c>
      <c r="F274" s="24">
        <f>IF(IFERROR(MATCH(258,ChqRankL,0),0)=0,"",IF(INDEX(ChqStatus,IFERROR(MATCH(258,ChqRankL,0),0))="پاس نشده","—",IF(INDEX(ChqClr,IFERROR(MATCH(258,ChqRankL,0),0))="","—",INDEX(ChqClr,IFERROR(MATCH(258,ChqRankL,0),0)))))</f>
        <v/>
      </c>
      <c r="I274">
        <f>IF(258&gt;NChq,"",INDEX(ChqNorm,258))</f>
        <v/>
      </c>
      <c r="J274">
        <f>IF($I274="","",IF(AND($I274&gt;=$H$3,$I274&lt;=$H$4),1,0))</f>
        <v/>
      </c>
      <c r="K274">
        <f>IF($J274=0,"",INDEX(ChqKey,258))</f>
        <v/>
      </c>
      <c r="L274">
        <f>IF($K274="","",COUNTIFS($J$17:$J$516,1,$K$17:$K$516,"&lt;"&amp;$K274)+1)</f>
        <v/>
      </c>
    </row>
    <row r="275">
      <c r="A275" s="10">
        <f>IF(IFERROR(MATCH(259,ChqRankL,0),0)=0,"",259)</f>
        <v/>
      </c>
      <c r="B275" s="22">
        <f>IF(IFERROR(MATCH(259,ChqRankL,0),0)=0,"",INDEX(ChqNorm,IFERROR(MATCH(259,ChqRankL,0),0)))</f>
        <v/>
      </c>
      <c r="C275" s="22">
        <f>IF(IFERROR(MATCH(259,ChqRankL,0),0)=0,"",INDEX(ChqNo,IFERROR(MATCH(259,ChqRankL,0),0)))</f>
        <v/>
      </c>
      <c r="D275" s="23">
        <f>IF(IFERROR(MATCH(259,ChqRankL,0),0)=0,"",IF(INDEX(ChqAmt,IFERROR(MATCH(259,ChqRankL,0),0))=0,"",INDEX(ChqAmt,IFERROR(MATCH(259,ChqRankL,0),0))))</f>
        <v/>
      </c>
      <c r="E275" s="14">
        <f>IF(IFERROR(MATCH(259,ChqRankL,0),0)=0,"",INDEX(ChqStatus,IFERROR(MATCH(259,ChqRankL,0),0)))</f>
        <v/>
      </c>
      <c r="F275" s="22">
        <f>IF(IFERROR(MATCH(259,ChqRankL,0),0)=0,"",IF(INDEX(ChqStatus,IFERROR(MATCH(259,ChqRankL,0),0))="پاس نشده","—",IF(INDEX(ChqClr,IFERROR(MATCH(259,ChqRankL,0),0))="","—",INDEX(ChqClr,IFERROR(MATCH(259,ChqRankL,0),0)))))</f>
        <v/>
      </c>
      <c r="I275">
        <f>IF(259&gt;NChq,"",INDEX(ChqNorm,259))</f>
        <v/>
      </c>
      <c r="J275">
        <f>IF($I275="","",IF(AND($I275&gt;=$H$3,$I275&lt;=$H$4),1,0))</f>
        <v/>
      </c>
      <c r="K275">
        <f>IF($J275=0,"",INDEX(ChqKey,259))</f>
        <v/>
      </c>
      <c r="L275">
        <f>IF($K275="","",COUNTIFS($J$17:$J$516,1,$K$17:$K$516,"&lt;"&amp;$K275)+1)</f>
        <v/>
      </c>
    </row>
    <row r="276">
      <c r="A276" s="16">
        <f>IF(IFERROR(MATCH(260,ChqRankL,0),0)=0,"",260)</f>
        <v/>
      </c>
      <c r="B276" s="24">
        <f>IF(IFERROR(MATCH(260,ChqRankL,0),0)=0,"",INDEX(ChqNorm,IFERROR(MATCH(260,ChqRankL,0),0)))</f>
        <v/>
      </c>
      <c r="C276" s="24">
        <f>IF(IFERROR(MATCH(260,ChqRankL,0),0)=0,"",INDEX(ChqNo,IFERROR(MATCH(260,ChqRankL,0),0)))</f>
        <v/>
      </c>
      <c r="D276" s="25">
        <f>IF(IFERROR(MATCH(260,ChqRankL,0),0)=0,"",IF(INDEX(ChqAmt,IFERROR(MATCH(260,ChqRankL,0),0))=0,"",INDEX(ChqAmt,IFERROR(MATCH(260,ChqRankL,0),0))))</f>
        <v/>
      </c>
      <c r="E276" s="17">
        <f>IF(IFERROR(MATCH(260,ChqRankL,0),0)=0,"",INDEX(ChqStatus,IFERROR(MATCH(260,ChqRankL,0),0)))</f>
        <v/>
      </c>
      <c r="F276" s="24">
        <f>IF(IFERROR(MATCH(260,ChqRankL,0),0)=0,"",IF(INDEX(ChqStatus,IFERROR(MATCH(260,ChqRankL,0),0))="پاس نشده","—",IF(INDEX(ChqClr,IFERROR(MATCH(260,ChqRankL,0),0))="","—",INDEX(ChqClr,IFERROR(MATCH(260,ChqRankL,0),0)))))</f>
        <v/>
      </c>
      <c r="I276">
        <f>IF(260&gt;NChq,"",INDEX(ChqNorm,260))</f>
        <v/>
      </c>
      <c r="J276">
        <f>IF($I276="","",IF(AND($I276&gt;=$H$3,$I276&lt;=$H$4),1,0))</f>
        <v/>
      </c>
      <c r="K276">
        <f>IF($J276=0,"",INDEX(ChqKey,260))</f>
        <v/>
      </c>
      <c r="L276">
        <f>IF($K276="","",COUNTIFS($J$17:$J$516,1,$K$17:$K$516,"&lt;"&amp;$K276)+1)</f>
        <v/>
      </c>
    </row>
    <row r="277">
      <c r="A277" s="10">
        <f>IF(IFERROR(MATCH(261,ChqRankL,0),0)=0,"",261)</f>
        <v/>
      </c>
      <c r="B277" s="22">
        <f>IF(IFERROR(MATCH(261,ChqRankL,0),0)=0,"",INDEX(ChqNorm,IFERROR(MATCH(261,ChqRankL,0),0)))</f>
        <v/>
      </c>
      <c r="C277" s="22">
        <f>IF(IFERROR(MATCH(261,ChqRankL,0),0)=0,"",INDEX(ChqNo,IFERROR(MATCH(261,ChqRankL,0),0)))</f>
        <v/>
      </c>
      <c r="D277" s="23">
        <f>IF(IFERROR(MATCH(261,ChqRankL,0),0)=0,"",IF(INDEX(ChqAmt,IFERROR(MATCH(261,ChqRankL,0),0))=0,"",INDEX(ChqAmt,IFERROR(MATCH(261,ChqRankL,0),0))))</f>
        <v/>
      </c>
      <c r="E277" s="14">
        <f>IF(IFERROR(MATCH(261,ChqRankL,0),0)=0,"",INDEX(ChqStatus,IFERROR(MATCH(261,ChqRankL,0),0)))</f>
        <v/>
      </c>
      <c r="F277" s="22">
        <f>IF(IFERROR(MATCH(261,ChqRankL,0),0)=0,"",IF(INDEX(ChqStatus,IFERROR(MATCH(261,ChqRankL,0),0))="پاس نشده","—",IF(INDEX(ChqClr,IFERROR(MATCH(261,ChqRankL,0),0))="","—",INDEX(ChqClr,IFERROR(MATCH(261,ChqRankL,0),0)))))</f>
        <v/>
      </c>
      <c r="I277">
        <f>IF(261&gt;NChq,"",INDEX(ChqNorm,261))</f>
        <v/>
      </c>
      <c r="J277">
        <f>IF($I277="","",IF(AND($I277&gt;=$H$3,$I277&lt;=$H$4),1,0))</f>
        <v/>
      </c>
      <c r="K277">
        <f>IF($J277=0,"",INDEX(ChqKey,261))</f>
        <v/>
      </c>
      <c r="L277">
        <f>IF($K277="","",COUNTIFS($J$17:$J$516,1,$K$17:$K$516,"&lt;"&amp;$K277)+1)</f>
        <v/>
      </c>
    </row>
    <row r="278">
      <c r="A278" s="16">
        <f>IF(IFERROR(MATCH(262,ChqRankL,0),0)=0,"",262)</f>
        <v/>
      </c>
      <c r="B278" s="24">
        <f>IF(IFERROR(MATCH(262,ChqRankL,0),0)=0,"",INDEX(ChqNorm,IFERROR(MATCH(262,ChqRankL,0),0)))</f>
        <v/>
      </c>
      <c r="C278" s="24">
        <f>IF(IFERROR(MATCH(262,ChqRankL,0),0)=0,"",INDEX(ChqNo,IFERROR(MATCH(262,ChqRankL,0),0)))</f>
        <v/>
      </c>
      <c r="D278" s="25">
        <f>IF(IFERROR(MATCH(262,ChqRankL,0),0)=0,"",IF(INDEX(ChqAmt,IFERROR(MATCH(262,ChqRankL,0),0))=0,"",INDEX(ChqAmt,IFERROR(MATCH(262,ChqRankL,0),0))))</f>
        <v/>
      </c>
      <c r="E278" s="17">
        <f>IF(IFERROR(MATCH(262,ChqRankL,0),0)=0,"",INDEX(ChqStatus,IFERROR(MATCH(262,ChqRankL,0),0)))</f>
        <v/>
      </c>
      <c r="F278" s="24">
        <f>IF(IFERROR(MATCH(262,ChqRankL,0),0)=0,"",IF(INDEX(ChqStatus,IFERROR(MATCH(262,ChqRankL,0),0))="پاس نشده","—",IF(INDEX(ChqClr,IFERROR(MATCH(262,ChqRankL,0),0))="","—",INDEX(ChqClr,IFERROR(MATCH(262,ChqRankL,0),0)))))</f>
        <v/>
      </c>
      <c r="I278">
        <f>IF(262&gt;NChq,"",INDEX(ChqNorm,262))</f>
        <v/>
      </c>
      <c r="J278">
        <f>IF($I278="","",IF(AND($I278&gt;=$H$3,$I278&lt;=$H$4),1,0))</f>
        <v/>
      </c>
      <c r="K278">
        <f>IF($J278=0,"",INDEX(ChqKey,262))</f>
        <v/>
      </c>
      <c r="L278">
        <f>IF($K278="","",COUNTIFS($J$17:$J$516,1,$K$17:$K$516,"&lt;"&amp;$K278)+1)</f>
        <v/>
      </c>
    </row>
    <row r="279">
      <c r="A279" s="10">
        <f>IF(IFERROR(MATCH(263,ChqRankL,0),0)=0,"",263)</f>
        <v/>
      </c>
      <c r="B279" s="22">
        <f>IF(IFERROR(MATCH(263,ChqRankL,0),0)=0,"",INDEX(ChqNorm,IFERROR(MATCH(263,ChqRankL,0),0)))</f>
        <v/>
      </c>
      <c r="C279" s="22">
        <f>IF(IFERROR(MATCH(263,ChqRankL,0),0)=0,"",INDEX(ChqNo,IFERROR(MATCH(263,ChqRankL,0),0)))</f>
        <v/>
      </c>
      <c r="D279" s="23">
        <f>IF(IFERROR(MATCH(263,ChqRankL,0),0)=0,"",IF(INDEX(ChqAmt,IFERROR(MATCH(263,ChqRankL,0),0))=0,"",INDEX(ChqAmt,IFERROR(MATCH(263,ChqRankL,0),0))))</f>
        <v/>
      </c>
      <c r="E279" s="14">
        <f>IF(IFERROR(MATCH(263,ChqRankL,0),0)=0,"",INDEX(ChqStatus,IFERROR(MATCH(263,ChqRankL,0),0)))</f>
        <v/>
      </c>
      <c r="F279" s="22">
        <f>IF(IFERROR(MATCH(263,ChqRankL,0),0)=0,"",IF(INDEX(ChqStatus,IFERROR(MATCH(263,ChqRankL,0),0))="پاس نشده","—",IF(INDEX(ChqClr,IFERROR(MATCH(263,ChqRankL,0),0))="","—",INDEX(ChqClr,IFERROR(MATCH(263,ChqRankL,0),0)))))</f>
        <v/>
      </c>
      <c r="I279">
        <f>IF(263&gt;NChq,"",INDEX(ChqNorm,263))</f>
        <v/>
      </c>
      <c r="J279">
        <f>IF($I279="","",IF(AND($I279&gt;=$H$3,$I279&lt;=$H$4),1,0))</f>
        <v/>
      </c>
      <c r="K279">
        <f>IF($J279=0,"",INDEX(ChqKey,263))</f>
        <v/>
      </c>
      <c r="L279">
        <f>IF($K279="","",COUNTIFS($J$17:$J$516,1,$K$17:$K$516,"&lt;"&amp;$K279)+1)</f>
        <v/>
      </c>
    </row>
    <row r="280">
      <c r="A280" s="16">
        <f>IF(IFERROR(MATCH(264,ChqRankL,0),0)=0,"",264)</f>
        <v/>
      </c>
      <c r="B280" s="24">
        <f>IF(IFERROR(MATCH(264,ChqRankL,0),0)=0,"",INDEX(ChqNorm,IFERROR(MATCH(264,ChqRankL,0),0)))</f>
        <v/>
      </c>
      <c r="C280" s="24">
        <f>IF(IFERROR(MATCH(264,ChqRankL,0),0)=0,"",INDEX(ChqNo,IFERROR(MATCH(264,ChqRankL,0),0)))</f>
        <v/>
      </c>
      <c r="D280" s="25">
        <f>IF(IFERROR(MATCH(264,ChqRankL,0),0)=0,"",IF(INDEX(ChqAmt,IFERROR(MATCH(264,ChqRankL,0),0))=0,"",INDEX(ChqAmt,IFERROR(MATCH(264,ChqRankL,0),0))))</f>
        <v/>
      </c>
      <c r="E280" s="17">
        <f>IF(IFERROR(MATCH(264,ChqRankL,0),0)=0,"",INDEX(ChqStatus,IFERROR(MATCH(264,ChqRankL,0),0)))</f>
        <v/>
      </c>
      <c r="F280" s="24">
        <f>IF(IFERROR(MATCH(264,ChqRankL,0),0)=0,"",IF(INDEX(ChqStatus,IFERROR(MATCH(264,ChqRankL,0),0))="پاس نشده","—",IF(INDEX(ChqClr,IFERROR(MATCH(264,ChqRankL,0),0))="","—",INDEX(ChqClr,IFERROR(MATCH(264,ChqRankL,0),0)))))</f>
        <v/>
      </c>
      <c r="I280">
        <f>IF(264&gt;NChq,"",INDEX(ChqNorm,264))</f>
        <v/>
      </c>
      <c r="J280">
        <f>IF($I280="","",IF(AND($I280&gt;=$H$3,$I280&lt;=$H$4),1,0))</f>
        <v/>
      </c>
      <c r="K280">
        <f>IF($J280=0,"",INDEX(ChqKey,264))</f>
        <v/>
      </c>
      <c r="L280">
        <f>IF($K280="","",COUNTIFS($J$17:$J$516,1,$K$17:$K$516,"&lt;"&amp;$K280)+1)</f>
        <v/>
      </c>
    </row>
    <row r="281">
      <c r="A281" s="10">
        <f>IF(IFERROR(MATCH(265,ChqRankL,0),0)=0,"",265)</f>
        <v/>
      </c>
      <c r="B281" s="22">
        <f>IF(IFERROR(MATCH(265,ChqRankL,0),0)=0,"",INDEX(ChqNorm,IFERROR(MATCH(265,ChqRankL,0),0)))</f>
        <v/>
      </c>
      <c r="C281" s="22">
        <f>IF(IFERROR(MATCH(265,ChqRankL,0),0)=0,"",INDEX(ChqNo,IFERROR(MATCH(265,ChqRankL,0),0)))</f>
        <v/>
      </c>
      <c r="D281" s="23">
        <f>IF(IFERROR(MATCH(265,ChqRankL,0),0)=0,"",IF(INDEX(ChqAmt,IFERROR(MATCH(265,ChqRankL,0),0))=0,"",INDEX(ChqAmt,IFERROR(MATCH(265,ChqRankL,0),0))))</f>
        <v/>
      </c>
      <c r="E281" s="14">
        <f>IF(IFERROR(MATCH(265,ChqRankL,0),0)=0,"",INDEX(ChqStatus,IFERROR(MATCH(265,ChqRankL,0),0)))</f>
        <v/>
      </c>
      <c r="F281" s="22">
        <f>IF(IFERROR(MATCH(265,ChqRankL,0),0)=0,"",IF(INDEX(ChqStatus,IFERROR(MATCH(265,ChqRankL,0),0))="پاس نشده","—",IF(INDEX(ChqClr,IFERROR(MATCH(265,ChqRankL,0),0))="","—",INDEX(ChqClr,IFERROR(MATCH(265,ChqRankL,0),0)))))</f>
        <v/>
      </c>
      <c r="I281">
        <f>IF(265&gt;NChq,"",INDEX(ChqNorm,265))</f>
        <v/>
      </c>
      <c r="J281">
        <f>IF($I281="","",IF(AND($I281&gt;=$H$3,$I281&lt;=$H$4),1,0))</f>
        <v/>
      </c>
      <c r="K281">
        <f>IF($J281=0,"",INDEX(ChqKey,265))</f>
        <v/>
      </c>
      <c r="L281">
        <f>IF($K281="","",COUNTIFS($J$17:$J$516,1,$K$17:$K$516,"&lt;"&amp;$K281)+1)</f>
        <v/>
      </c>
    </row>
    <row r="282">
      <c r="A282" s="16">
        <f>IF(IFERROR(MATCH(266,ChqRankL,0),0)=0,"",266)</f>
        <v/>
      </c>
      <c r="B282" s="24">
        <f>IF(IFERROR(MATCH(266,ChqRankL,0),0)=0,"",INDEX(ChqNorm,IFERROR(MATCH(266,ChqRankL,0),0)))</f>
        <v/>
      </c>
      <c r="C282" s="24">
        <f>IF(IFERROR(MATCH(266,ChqRankL,0),0)=0,"",INDEX(ChqNo,IFERROR(MATCH(266,ChqRankL,0),0)))</f>
        <v/>
      </c>
      <c r="D282" s="25">
        <f>IF(IFERROR(MATCH(266,ChqRankL,0),0)=0,"",IF(INDEX(ChqAmt,IFERROR(MATCH(266,ChqRankL,0),0))=0,"",INDEX(ChqAmt,IFERROR(MATCH(266,ChqRankL,0),0))))</f>
        <v/>
      </c>
      <c r="E282" s="17">
        <f>IF(IFERROR(MATCH(266,ChqRankL,0),0)=0,"",INDEX(ChqStatus,IFERROR(MATCH(266,ChqRankL,0),0)))</f>
        <v/>
      </c>
      <c r="F282" s="24">
        <f>IF(IFERROR(MATCH(266,ChqRankL,0),0)=0,"",IF(INDEX(ChqStatus,IFERROR(MATCH(266,ChqRankL,0),0))="پاس نشده","—",IF(INDEX(ChqClr,IFERROR(MATCH(266,ChqRankL,0),0))="","—",INDEX(ChqClr,IFERROR(MATCH(266,ChqRankL,0),0)))))</f>
        <v/>
      </c>
      <c r="I282">
        <f>IF(266&gt;NChq,"",INDEX(ChqNorm,266))</f>
        <v/>
      </c>
      <c r="J282">
        <f>IF($I282="","",IF(AND($I282&gt;=$H$3,$I282&lt;=$H$4),1,0))</f>
        <v/>
      </c>
      <c r="K282">
        <f>IF($J282=0,"",INDEX(ChqKey,266))</f>
        <v/>
      </c>
      <c r="L282">
        <f>IF($K282="","",COUNTIFS($J$17:$J$516,1,$K$17:$K$516,"&lt;"&amp;$K282)+1)</f>
        <v/>
      </c>
    </row>
    <row r="283">
      <c r="A283" s="10">
        <f>IF(IFERROR(MATCH(267,ChqRankL,0),0)=0,"",267)</f>
        <v/>
      </c>
      <c r="B283" s="22">
        <f>IF(IFERROR(MATCH(267,ChqRankL,0),0)=0,"",INDEX(ChqNorm,IFERROR(MATCH(267,ChqRankL,0),0)))</f>
        <v/>
      </c>
      <c r="C283" s="22">
        <f>IF(IFERROR(MATCH(267,ChqRankL,0),0)=0,"",INDEX(ChqNo,IFERROR(MATCH(267,ChqRankL,0),0)))</f>
        <v/>
      </c>
      <c r="D283" s="23">
        <f>IF(IFERROR(MATCH(267,ChqRankL,0),0)=0,"",IF(INDEX(ChqAmt,IFERROR(MATCH(267,ChqRankL,0),0))=0,"",INDEX(ChqAmt,IFERROR(MATCH(267,ChqRankL,0),0))))</f>
        <v/>
      </c>
      <c r="E283" s="14">
        <f>IF(IFERROR(MATCH(267,ChqRankL,0),0)=0,"",INDEX(ChqStatus,IFERROR(MATCH(267,ChqRankL,0),0)))</f>
        <v/>
      </c>
      <c r="F283" s="22">
        <f>IF(IFERROR(MATCH(267,ChqRankL,0),0)=0,"",IF(INDEX(ChqStatus,IFERROR(MATCH(267,ChqRankL,0),0))="پاس نشده","—",IF(INDEX(ChqClr,IFERROR(MATCH(267,ChqRankL,0),0))="","—",INDEX(ChqClr,IFERROR(MATCH(267,ChqRankL,0),0)))))</f>
        <v/>
      </c>
      <c r="I283">
        <f>IF(267&gt;NChq,"",INDEX(ChqNorm,267))</f>
        <v/>
      </c>
      <c r="J283">
        <f>IF($I283="","",IF(AND($I283&gt;=$H$3,$I283&lt;=$H$4),1,0))</f>
        <v/>
      </c>
      <c r="K283">
        <f>IF($J283=0,"",INDEX(ChqKey,267))</f>
        <v/>
      </c>
      <c r="L283">
        <f>IF($K283="","",COUNTIFS($J$17:$J$516,1,$K$17:$K$516,"&lt;"&amp;$K283)+1)</f>
        <v/>
      </c>
    </row>
    <row r="284">
      <c r="A284" s="16">
        <f>IF(IFERROR(MATCH(268,ChqRankL,0),0)=0,"",268)</f>
        <v/>
      </c>
      <c r="B284" s="24">
        <f>IF(IFERROR(MATCH(268,ChqRankL,0),0)=0,"",INDEX(ChqNorm,IFERROR(MATCH(268,ChqRankL,0),0)))</f>
        <v/>
      </c>
      <c r="C284" s="24">
        <f>IF(IFERROR(MATCH(268,ChqRankL,0),0)=0,"",INDEX(ChqNo,IFERROR(MATCH(268,ChqRankL,0),0)))</f>
        <v/>
      </c>
      <c r="D284" s="25">
        <f>IF(IFERROR(MATCH(268,ChqRankL,0),0)=0,"",IF(INDEX(ChqAmt,IFERROR(MATCH(268,ChqRankL,0),0))=0,"",INDEX(ChqAmt,IFERROR(MATCH(268,ChqRankL,0),0))))</f>
        <v/>
      </c>
      <c r="E284" s="17">
        <f>IF(IFERROR(MATCH(268,ChqRankL,0),0)=0,"",INDEX(ChqStatus,IFERROR(MATCH(268,ChqRankL,0),0)))</f>
        <v/>
      </c>
      <c r="F284" s="24">
        <f>IF(IFERROR(MATCH(268,ChqRankL,0),0)=0,"",IF(INDEX(ChqStatus,IFERROR(MATCH(268,ChqRankL,0),0))="پاس نشده","—",IF(INDEX(ChqClr,IFERROR(MATCH(268,ChqRankL,0),0))="","—",INDEX(ChqClr,IFERROR(MATCH(268,ChqRankL,0),0)))))</f>
        <v/>
      </c>
      <c r="I284">
        <f>IF(268&gt;NChq,"",INDEX(ChqNorm,268))</f>
        <v/>
      </c>
      <c r="J284">
        <f>IF($I284="","",IF(AND($I284&gt;=$H$3,$I284&lt;=$H$4),1,0))</f>
        <v/>
      </c>
      <c r="K284">
        <f>IF($J284=0,"",INDEX(ChqKey,268))</f>
        <v/>
      </c>
      <c r="L284">
        <f>IF($K284="","",COUNTIFS($J$17:$J$516,1,$K$17:$K$516,"&lt;"&amp;$K284)+1)</f>
        <v/>
      </c>
    </row>
    <row r="285">
      <c r="A285" s="10">
        <f>IF(IFERROR(MATCH(269,ChqRankL,0),0)=0,"",269)</f>
        <v/>
      </c>
      <c r="B285" s="22">
        <f>IF(IFERROR(MATCH(269,ChqRankL,0),0)=0,"",INDEX(ChqNorm,IFERROR(MATCH(269,ChqRankL,0),0)))</f>
        <v/>
      </c>
      <c r="C285" s="22">
        <f>IF(IFERROR(MATCH(269,ChqRankL,0),0)=0,"",INDEX(ChqNo,IFERROR(MATCH(269,ChqRankL,0),0)))</f>
        <v/>
      </c>
      <c r="D285" s="23">
        <f>IF(IFERROR(MATCH(269,ChqRankL,0),0)=0,"",IF(INDEX(ChqAmt,IFERROR(MATCH(269,ChqRankL,0),0))=0,"",INDEX(ChqAmt,IFERROR(MATCH(269,ChqRankL,0),0))))</f>
        <v/>
      </c>
      <c r="E285" s="14">
        <f>IF(IFERROR(MATCH(269,ChqRankL,0),0)=0,"",INDEX(ChqStatus,IFERROR(MATCH(269,ChqRankL,0),0)))</f>
        <v/>
      </c>
      <c r="F285" s="22">
        <f>IF(IFERROR(MATCH(269,ChqRankL,0),0)=0,"",IF(INDEX(ChqStatus,IFERROR(MATCH(269,ChqRankL,0),0))="پاس نشده","—",IF(INDEX(ChqClr,IFERROR(MATCH(269,ChqRankL,0),0))="","—",INDEX(ChqClr,IFERROR(MATCH(269,ChqRankL,0),0)))))</f>
        <v/>
      </c>
      <c r="I285">
        <f>IF(269&gt;NChq,"",INDEX(ChqNorm,269))</f>
        <v/>
      </c>
      <c r="J285">
        <f>IF($I285="","",IF(AND($I285&gt;=$H$3,$I285&lt;=$H$4),1,0))</f>
        <v/>
      </c>
      <c r="K285">
        <f>IF($J285=0,"",INDEX(ChqKey,269))</f>
        <v/>
      </c>
      <c r="L285">
        <f>IF($K285="","",COUNTIFS($J$17:$J$516,1,$K$17:$K$516,"&lt;"&amp;$K285)+1)</f>
        <v/>
      </c>
    </row>
    <row r="286">
      <c r="A286" s="16">
        <f>IF(IFERROR(MATCH(270,ChqRankL,0),0)=0,"",270)</f>
        <v/>
      </c>
      <c r="B286" s="24">
        <f>IF(IFERROR(MATCH(270,ChqRankL,0),0)=0,"",INDEX(ChqNorm,IFERROR(MATCH(270,ChqRankL,0),0)))</f>
        <v/>
      </c>
      <c r="C286" s="24">
        <f>IF(IFERROR(MATCH(270,ChqRankL,0),0)=0,"",INDEX(ChqNo,IFERROR(MATCH(270,ChqRankL,0),0)))</f>
        <v/>
      </c>
      <c r="D286" s="25">
        <f>IF(IFERROR(MATCH(270,ChqRankL,0),0)=0,"",IF(INDEX(ChqAmt,IFERROR(MATCH(270,ChqRankL,0),0))=0,"",INDEX(ChqAmt,IFERROR(MATCH(270,ChqRankL,0),0))))</f>
        <v/>
      </c>
      <c r="E286" s="17">
        <f>IF(IFERROR(MATCH(270,ChqRankL,0),0)=0,"",INDEX(ChqStatus,IFERROR(MATCH(270,ChqRankL,0),0)))</f>
        <v/>
      </c>
      <c r="F286" s="24">
        <f>IF(IFERROR(MATCH(270,ChqRankL,0),0)=0,"",IF(INDEX(ChqStatus,IFERROR(MATCH(270,ChqRankL,0),0))="پاس نشده","—",IF(INDEX(ChqClr,IFERROR(MATCH(270,ChqRankL,0),0))="","—",INDEX(ChqClr,IFERROR(MATCH(270,ChqRankL,0),0)))))</f>
        <v/>
      </c>
      <c r="I286">
        <f>IF(270&gt;NChq,"",INDEX(ChqNorm,270))</f>
        <v/>
      </c>
      <c r="J286">
        <f>IF($I286="","",IF(AND($I286&gt;=$H$3,$I286&lt;=$H$4),1,0))</f>
        <v/>
      </c>
      <c r="K286">
        <f>IF($J286=0,"",INDEX(ChqKey,270))</f>
        <v/>
      </c>
      <c r="L286">
        <f>IF($K286="","",COUNTIFS($J$17:$J$516,1,$K$17:$K$516,"&lt;"&amp;$K286)+1)</f>
        <v/>
      </c>
    </row>
    <row r="287">
      <c r="A287" s="10">
        <f>IF(IFERROR(MATCH(271,ChqRankL,0),0)=0,"",271)</f>
        <v/>
      </c>
      <c r="B287" s="22">
        <f>IF(IFERROR(MATCH(271,ChqRankL,0),0)=0,"",INDEX(ChqNorm,IFERROR(MATCH(271,ChqRankL,0),0)))</f>
        <v/>
      </c>
      <c r="C287" s="22">
        <f>IF(IFERROR(MATCH(271,ChqRankL,0),0)=0,"",INDEX(ChqNo,IFERROR(MATCH(271,ChqRankL,0),0)))</f>
        <v/>
      </c>
      <c r="D287" s="23">
        <f>IF(IFERROR(MATCH(271,ChqRankL,0),0)=0,"",IF(INDEX(ChqAmt,IFERROR(MATCH(271,ChqRankL,0),0))=0,"",INDEX(ChqAmt,IFERROR(MATCH(271,ChqRankL,0),0))))</f>
        <v/>
      </c>
      <c r="E287" s="14">
        <f>IF(IFERROR(MATCH(271,ChqRankL,0),0)=0,"",INDEX(ChqStatus,IFERROR(MATCH(271,ChqRankL,0),0)))</f>
        <v/>
      </c>
      <c r="F287" s="22">
        <f>IF(IFERROR(MATCH(271,ChqRankL,0),0)=0,"",IF(INDEX(ChqStatus,IFERROR(MATCH(271,ChqRankL,0),0))="پاس نشده","—",IF(INDEX(ChqClr,IFERROR(MATCH(271,ChqRankL,0),0))="","—",INDEX(ChqClr,IFERROR(MATCH(271,ChqRankL,0),0)))))</f>
        <v/>
      </c>
      <c r="I287">
        <f>IF(271&gt;NChq,"",INDEX(ChqNorm,271))</f>
        <v/>
      </c>
      <c r="J287">
        <f>IF($I287="","",IF(AND($I287&gt;=$H$3,$I287&lt;=$H$4),1,0))</f>
        <v/>
      </c>
      <c r="K287">
        <f>IF($J287=0,"",INDEX(ChqKey,271))</f>
        <v/>
      </c>
      <c r="L287">
        <f>IF($K287="","",COUNTIFS($J$17:$J$516,1,$K$17:$K$516,"&lt;"&amp;$K287)+1)</f>
        <v/>
      </c>
    </row>
    <row r="288">
      <c r="A288" s="16">
        <f>IF(IFERROR(MATCH(272,ChqRankL,0),0)=0,"",272)</f>
        <v/>
      </c>
      <c r="B288" s="24">
        <f>IF(IFERROR(MATCH(272,ChqRankL,0),0)=0,"",INDEX(ChqNorm,IFERROR(MATCH(272,ChqRankL,0),0)))</f>
        <v/>
      </c>
      <c r="C288" s="24">
        <f>IF(IFERROR(MATCH(272,ChqRankL,0),0)=0,"",INDEX(ChqNo,IFERROR(MATCH(272,ChqRankL,0),0)))</f>
        <v/>
      </c>
      <c r="D288" s="25">
        <f>IF(IFERROR(MATCH(272,ChqRankL,0),0)=0,"",IF(INDEX(ChqAmt,IFERROR(MATCH(272,ChqRankL,0),0))=0,"",INDEX(ChqAmt,IFERROR(MATCH(272,ChqRankL,0),0))))</f>
        <v/>
      </c>
      <c r="E288" s="17">
        <f>IF(IFERROR(MATCH(272,ChqRankL,0),0)=0,"",INDEX(ChqStatus,IFERROR(MATCH(272,ChqRankL,0),0)))</f>
        <v/>
      </c>
      <c r="F288" s="24">
        <f>IF(IFERROR(MATCH(272,ChqRankL,0),0)=0,"",IF(INDEX(ChqStatus,IFERROR(MATCH(272,ChqRankL,0),0))="پاس نشده","—",IF(INDEX(ChqClr,IFERROR(MATCH(272,ChqRankL,0),0))="","—",INDEX(ChqClr,IFERROR(MATCH(272,ChqRankL,0),0)))))</f>
        <v/>
      </c>
      <c r="I288">
        <f>IF(272&gt;NChq,"",INDEX(ChqNorm,272))</f>
        <v/>
      </c>
      <c r="J288">
        <f>IF($I288="","",IF(AND($I288&gt;=$H$3,$I288&lt;=$H$4),1,0))</f>
        <v/>
      </c>
      <c r="K288">
        <f>IF($J288=0,"",INDEX(ChqKey,272))</f>
        <v/>
      </c>
      <c r="L288">
        <f>IF($K288="","",COUNTIFS($J$17:$J$516,1,$K$17:$K$516,"&lt;"&amp;$K288)+1)</f>
        <v/>
      </c>
    </row>
    <row r="289">
      <c r="A289" s="10">
        <f>IF(IFERROR(MATCH(273,ChqRankL,0),0)=0,"",273)</f>
        <v/>
      </c>
      <c r="B289" s="22">
        <f>IF(IFERROR(MATCH(273,ChqRankL,0),0)=0,"",INDEX(ChqNorm,IFERROR(MATCH(273,ChqRankL,0),0)))</f>
        <v/>
      </c>
      <c r="C289" s="22">
        <f>IF(IFERROR(MATCH(273,ChqRankL,0),0)=0,"",INDEX(ChqNo,IFERROR(MATCH(273,ChqRankL,0),0)))</f>
        <v/>
      </c>
      <c r="D289" s="23">
        <f>IF(IFERROR(MATCH(273,ChqRankL,0),0)=0,"",IF(INDEX(ChqAmt,IFERROR(MATCH(273,ChqRankL,0),0))=0,"",INDEX(ChqAmt,IFERROR(MATCH(273,ChqRankL,0),0))))</f>
        <v/>
      </c>
      <c r="E289" s="14">
        <f>IF(IFERROR(MATCH(273,ChqRankL,0),0)=0,"",INDEX(ChqStatus,IFERROR(MATCH(273,ChqRankL,0),0)))</f>
        <v/>
      </c>
      <c r="F289" s="22">
        <f>IF(IFERROR(MATCH(273,ChqRankL,0),0)=0,"",IF(INDEX(ChqStatus,IFERROR(MATCH(273,ChqRankL,0),0))="پاس نشده","—",IF(INDEX(ChqClr,IFERROR(MATCH(273,ChqRankL,0),0))="","—",INDEX(ChqClr,IFERROR(MATCH(273,ChqRankL,0),0)))))</f>
        <v/>
      </c>
      <c r="I289">
        <f>IF(273&gt;NChq,"",INDEX(ChqNorm,273))</f>
        <v/>
      </c>
      <c r="J289">
        <f>IF($I289="","",IF(AND($I289&gt;=$H$3,$I289&lt;=$H$4),1,0))</f>
        <v/>
      </c>
      <c r="K289">
        <f>IF($J289=0,"",INDEX(ChqKey,273))</f>
        <v/>
      </c>
      <c r="L289">
        <f>IF($K289="","",COUNTIFS($J$17:$J$516,1,$K$17:$K$516,"&lt;"&amp;$K289)+1)</f>
        <v/>
      </c>
    </row>
    <row r="290">
      <c r="A290" s="16">
        <f>IF(IFERROR(MATCH(274,ChqRankL,0),0)=0,"",274)</f>
        <v/>
      </c>
      <c r="B290" s="24">
        <f>IF(IFERROR(MATCH(274,ChqRankL,0),0)=0,"",INDEX(ChqNorm,IFERROR(MATCH(274,ChqRankL,0),0)))</f>
        <v/>
      </c>
      <c r="C290" s="24">
        <f>IF(IFERROR(MATCH(274,ChqRankL,0),0)=0,"",INDEX(ChqNo,IFERROR(MATCH(274,ChqRankL,0),0)))</f>
        <v/>
      </c>
      <c r="D290" s="25">
        <f>IF(IFERROR(MATCH(274,ChqRankL,0),0)=0,"",IF(INDEX(ChqAmt,IFERROR(MATCH(274,ChqRankL,0),0))=0,"",INDEX(ChqAmt,IFERROR(MATCH(274,ChqRankL,0),0))))</f>
        <v/>
      </c>
      <c r="E290" s="17">
        <f>IF(IFERROR(MATCH(274,ChqRankL,0),0)=0,"",INDEX(ChqStatus,IFERROR(MATCH(274,ChqRankL,0),0)))</f>
        <v/>
      </c>
      <c r="F290" s="24">
        <f>IF(IFERROR(MATCH(274,ChqRankL,0),0)=0,"",IF(INDEX(ChqStatus,IFERROR(MATCH(274,ChqRankL,0),0))="پاس نشده","—",IF(INDEX(ChqClr,IFERROR(MATCH(274,ChqRankL,0),0))="","—",INDEX(ChqClr,IFERROR(MATCH(274,ChqRankL,0),0)))))</f>
        <v/>
      </c>
      <c r="I290">
        <f>IF(274&gt;NChq,"",INDEX(ChqNorm,274))</f>
        <v/>
      </c>
      <c r="J290">
        <f>IF($I290="","",IF(AND($I290&gt;=$H$3,$I290&lt;=$H$4),1,0))</f>
        <v/>
      </c>
      <c r="K290">
        <f>IF($J290=0,"",INDEX(ChqKey,274))</f>
        <v/>
      </c>
      <c r="L290">
        <f>IF($K290="","",COUNTIFS($J$17:$J$516,1,$K$17:$K$516,"&lt;"&amp;$K290)+1)</f>
        <v/>
      </c>
    </row>
    <row r="291">
      <c r="A291" s="10">
        <f>IF(IFERROR(MATCH(275,ChqRankL,0),0)=0,"",275)</f>
        <v/>
      </c>
      <c r="B291" s="22">
        <f>IF(IFERROR(MATCH(275,ChqRankL,0),0)=0,"",INDEX(ChqNorm,IFERROR(MATCH(275,ChqRankL,0),0)))</f>
        <v/>
      </c>
      <c r="C291" s="22">
        <f>IF(IFERROR(MATCH(275,ChqRankL,0),0)=0,"",INDEX(ChqNo,IFERROR(MATCH(275,ChqRankL,0),0)))</f>
        <v/>
      </c>
      <c r="D291" s="23">
        <f>IF(IFERROR(MATCH(275,ChqRankL,0),0)=0,"",IF(INDEX(ChqAmt,IFERROR(MATCH(275,ChqRankL,0),0))=0,"",INDEX(ChqAmt,IFERROR(MATCH(275,ChqRankL,0),0))))</f>
        <v/>
      </c>
      <c r="E291" s="14">
        <f>IF(IFERROR(MATCH(275,ChqRankL,0),0)=0,"",INDEX(ChqStatus,IFERROR(MATCH(275,ChqRankL,0),0)))</f>
        <v/>
      </c>
      <c r="F291" s="22">
        <f>IF(IFERROR(MATCH(275,ChqRankL,0),0)=0,"",IF(INDEX(ChqStatus,IFERROR(MATCH(275,ChqRankL,0),0))="پاس نشده","—",IF(INDEX(ChqClr,IFERROR(MATCH(275,ChqRankL,0),0))="","—",INDEX(ChqClr,IFERROR(MATCH(275,ChqRankL,0),0)))))</f>
        <v/>
      </c>
      <c r="I291">
        <f>IF(275&gt;NChq,"",INDEX(ChqNorm,275))</f>
        <v/>
      </c>
      <c r="J291">
        <f>IF($I291="","",IF(AND($I291&gt;=$H$3,$I291&lt;=$H$4),1,0))</f>
        <v/>
      </c>
      <c r="K291">
        <f>IF($J291=0,"",INDEX(ChqKey,275))</f>
        <v/>
      </c>
      <c r="L291">
        <f>IF($K291="","",COUNTIFS($J$17:$J$516,1,$K$17:$K$516,"&lt;"&amp;$K291)+1)</f>
        <v/>
      </c>
    </row>
    <row r="292">
      <c r="A292" s="16">
        <f>IF(IFERROR(MATCH(276,ChqRankL,0),0)=0,"",276)</f>
        <v/>
      </c>
      <c r="B292" s="24">
        <f>IF(IFERROR(MATCH(276,ChqRankL,0),0)=0,"",INDEX(ChqNorm,IFERROR(MATCH(276,ChqRankL,0),0)))</f>
        <v/>
      </c>
      <c r="C292" s="24">
        <f>IF(IFERROR(MATCH(276,ChqRankL,0),0)=0,"",INDEX(ChqNo,IFERROR(MATCH(276,ChqRankL,0),0)))</f>
        <v/>
      </c>
      <c r="D292" s="25">
        <f>IF(IFERROR(MATCH(276,ChqRankL,0),0)=0,"",IF(INDEX(ChqAmt,IFERROR(MATCH(276,ChqRankL,0),0))=0,"",INDEX(ChqAmt,IFERROR(MATCH(276,ChqRankL,0),0))))</f>
        <v/>
      </c>
      <c r="E292" s="17">
        <f>IF(IFERROR(MATCH(276,ChqRankL,0),0)=0,"",INDEX(ChqStatus,IFERROR(MATCH(276,ChqRankL,0),0)))</f>
        <v/>
      </c>
      <c r="F292" s="24">
        <f>IF(IFERROR(MATCH(276,ChqRankL,0),0)=0,"",IF(INDEX(ChqStatus,IFERROR(MATCH(276,ChqRankL,0),0))="پاس نشده","—",IF(INDEX(ChqClr,IFERROR(MATCH(276,ChqRankL,0),0))="","—",INDEX(ChqClr,IFERROR(MATCH(276,ChqRankL,0),0)))))</f>
        <v/>
      </c>
      <c r="I292">
        <f>IF(276&gt;NChq,"",INDEX(ChqNorm,276))</f>
        <v/>
      </c>
      <c r="J292">
        <f>IF($I292="","",IF(AND($I292&gt;=$H$3,$I292&lt;=$H$4),1,0))</f>
        <v/>
      </c>
      <c r="K292">
        <f>IF($J292=0,"",INDEX(ChqKey,276))</f>
        <v/>
      </c>
      <c r="L292">
        <f>IF($K292="","",COUNTIFS($J$17:$J$516,1,$K$17:$K$516,"&lt;"&amp;$K292)+1)</f>
        <v/>
      </c>
    </row>
    <row r="293">
      <c r="A293" s="10">
        <f>IF(IFERROR(MATCH(277,ChqRankL,0),0)=0,"",277)</f>
        <v/>
      </c>
      <c r="B293" s="22">
        <f>IF(IFERROR(MATCH(277,ChqRankL,0),0)=0,"",INDEX(ChqNorm,IFERROR(MATCH(277,ChqRankL,0),0)))</f>
        <v/>
      </c>
      <c r="C293" s="22">
        <f>IF(IFERROR(MATCH(277,ChqRankL,0),0)=0,"",INDEX(ChqNo,IFERROR(MATCH(277,ChqRankL,0),0)))</f>
        <v/>
      </c>
      <c r="D293" s="23">
        <f>IF(IFERROR(MATCH(277,ChqRankL,0),0)=0,"",IF(INDEX(ChqAmt,IFERROR(MATCH(277,ChqRankL,0),0))=0,"",INDEX(ChqAmt,IFERROR(MATCH(277,ChqRankL,0),0))))</f>
        <v/>
      </c>
      <c r="E293" s="14">
        <f>IF(IFERROR(MATCH(277,ChqRankL,0),0)=0,"",INDEX(ChqStatus,IFERROR(MATCH(277,ChqRankL,0),0)))</f>
        <v/>
      </c>
      <c r="F293" s="22">
        <f>IF(IFERROR(MATCH(277,ChqRankL,0),0)=0,"",IF(INDEX(ChqStatus,IFERROR(MATCH(277,ChqRankL,0),0))="پاس نشده","—",IF(INDEX(ChqClr,IFERROR(MATCH(277,ChqRankL,0),0))="","—",INDEX(ChqClr,IFERROR(MATCH(277,ChqRankL,0),0)))))</f>
        <v/>
      </c>
      <c r="I293">
        <f>IF(277&gt;NChq,"",INDEX(ChqNorm,277))</f>
        <v/>
      </c>
      <c r="J293">
        <f>IF($I293="","",IF(AND($I293&gt;=$H$3,$I293&lt;=$H$4),1,0))</f>
        <v/>
      </c>
      <c r="K293">
        <f>IF($J293=0,"",INDEX(ChqKey,277))</f>
        <v/>
      </c>
      <c r="L293">
        <f>IF($K293="","",COUNTIFS($J$17:$J$516,1,$K$17:$K$516,"&lt;"&amp;$K293)+1)</f>
        <v/>
      </c>
    </row>
    <row r="294">
      <c r="A294" s="16">
        <f>IF(IFERROR(MATCH(278,ChqRankL,0),0)=0,"",278)</f>
        <v/>
      </c>
      <c r="B294" s="24">
        <f>IF(IFERROR(MATCH(278,ChqRankL,0),0)=0,"",INDEX(ChqNorm,IFERROR(MATCH(278,ChqRankL,0),0)))</f>
        <v/>
      </c>
      <c r="C294" s="24">
        <f>IF(IFERROR(MATCH(278,ChqRankL,0),0)=0,"",INDEX(ChqNo,IFERROR(MATCH(278,ChqRankL,0),0)))</f>
        <v/>
      </c>
      <c r="D294" s="25">
        <f>IF(IFERROR(MATCH(278,ChqRankL,0),0)=0,"",IF(INDEX(ChqAmt,IFERROR(MATCH(278,ChqRankL,0),0))=0,"",INDEX(ChqAmt,IFERROR(MATCH(278,ChqRankL,0),0))))</f>
        <v/>
      </c>
      <c r="E294" s="17">
        <f>IF(IFERROR(MATCH(278,ChqRankL,0),0)=0,"",INDEX(ChqStatus,IFERROR(MATCH(278,ChqRankL,0),0)))</f>
        <v/>
      </c>
      <c r="F294" s="24">
        <f>IF(IFERROR(MATCH(278,ChqRankL,0),0)=0,"",IF(INDEX(ChqStatus,IFERROR(MATCH(278,ChqRankL,0),0))="پاس نشده","—",IF(INDEX(ChqClr,IFERROR(MATCH(278,ChqRankL,0),0))="","—",INDEX(ChqClr,IFERROR(MATCH(278,ChqRankL,0),0)))))</f>
        <v/>
      </c>
      <c r="I294">
        <f>IF(278&gt;NChq,"",INDEX(ChqNorm,278))</f>
        <v/>
      </c>
      <c r="J294">
        <f>IF($I294="","",IF(AND($I294&gt;=$H$3,$I294&lt;=$H$4),1,0))</f>
        <v/>
      </c>
      <c r="K294">
        <f>IF($J294=0,"",INDEX(ChqKey,278))</f>
        <v/>
      </c>
      <c r="L294">
        <f>IF($K294="","",COUNTIFS($J$17:$J$516,1,$K$17:$K$516,"&lt;"&amp;$K294)+1)</f>
        <v/>
      </c>
    </row>
    <row r="295">
      <c r="A295" s="10">
        <f>IF(IFERROR(MATCH(279,ChqRankL,0),0)=0,"",279)</f>
        <v/>
      </c>
      <c r="B295" s="22">
        <f>IF(IFERROR(MATCH(279,ChqRankL,0),0)=0,"",INDEX(ChqNorm,IFERROR(MATCH(279,ChqRankL,0),0)))</f>
        <v/>
      </c>
      <c r="C295" s="22">
        <f>IF(IFERROR(MATCH(279,ChqRankL,0),0)=0,"",INDEX(ChqNo,IFERROR(MATCH(279,ChqRankL,0),0)))</f>
        <v/>
      </c>
      <c r="D295" s="23">
        <f>IF(IFERROR(MATCH(279,ChqRankL,0),0)=0,"",IF(INDEX(ChqAmt,IFERROR(MATCH(279,ChqRankL,0),0))=0,"",INDEX(ChqAmt,IFERROR(MATCH(279,ChqRankL,0),0))))</f>
        <v/>
      </c>
      <c r="E295" s="14">
        <f>IF(IFERROR(MATCH(279,ChqRankL,0),0)=0,"",INDEX(ChqStatus,IFERROR(MATCH(279,ChqRankL,0),0)))</f>
        <v/>
      </c>
      <c r="F295" s="22">
        <f>IF(IFERROR(MATCH(279,ChqRankL,0),0)=0,"",IF(INDEX(ChqStatus,IFERROR(MATCH(279,ChqRankL,0),0))="پاس نشده","—",IF(INDEX(ChqClr,IFERROR(MATCH(279,ChqRankL,0),0))="","—",INDEX(ChqClr,IFERROR(MATCH(279,ChqRankL,0),0)))))</f>
        <v/>
      </c>
      <c r="I295">
        <f>IF(279&gt;NChq,"",INDEX(ChqNorm,279))</f>
        <v/>
      </c>
      <c r="J295">
        <f>IF($I295="","",IF(AND($I295&gt;=$H$3,$I295&lt;=$H$4),1,0))</f>
        <v/>
      </c>
      <c r="K295">
        <f>IF($J295=0,"",INDEX(ChqKey,279))</f>
        <v/>
      </c>
      <c r="L295">
        <f>IF($K295="","",COUNTIFS($J$17:$J$516,1,$K$17:$K$516,"&lt;"&amp;$K295)+1)</f>
        <v/>
      </c>
    </row>
    <row r="296">
      <c r="A296" s="16">
        <f>IF(IFERROR(MATCH(280,ChqRankL,0),0)=0,"",280)</f>
        <v/>
      </c>
      <c r="B296" s="24">
        <f>IF(IFERROR(MATCH(280,ChqRankL,0),0)=0,"",INDEX(ChqNorm,IFERROR(MATCH(280,ChqRankL,0),0)))</f>
        <v/>
      </c>
      <c r="C296" s="24">
        <f>IF(IFERROR(MATCH(280,ChqRankL,0),0)=0,"",INDEX(ChqNo,IFERROR(MATCH(280,ChqRankL,0),0)))</f>
        <v/>
      </c>
      <c r="D296" s="25">
        <f>IF(IFERROR(MATCH(280,ChqRankL,0),0)=0,"",IF(INDEX(ChqAmt,IFERROR(MATCH(280,ChqRankL,0),0))=0,"",INDEX(ChqAmt,IFERROR(MATCH(280,ChqRankL,0),0))))</f>
        <v/>
      </c>
      <c r="E296" s="17">
        <f>IF(IFERROR(MATCH(280,ChqRankL,0),0)=0,"",INDEX(ChqStatus,IFERROR(MATCH(280,ChqRankL,0),0)))</f>
        <v/>
      </c>
      <c r="F296" s="24">
        <f>IF(IFERROR(MATCH(280,ChqRankL,0),0)=0,"",IF(INDEX(ChqStatus,IFERROR(MATCH(280,ChqRankL,0),0))="پاس نشده","—",IF(INDEX(ChqClr,IFERROR(MATCH(280,ChqRankL,0),0))="","—",INDEX(ChqClr,IFERROR(MATCH(280,ChqRankL,0),0)))))</f>
        <v/>
      </c>
      <c r="I296">
        <f>IF(280&gt;NChq,"",INDEX(ChqNorm,280))</f>
        <v/>
      </c>
      <c r="J296">
        <f>IF($I296="","",IF(AND($I296&gt;=$H$3,$I296&lt;=$H$4),1,0))</f>
        <v/>
      </c>
      <c r="K296">
        <f>IF($J296=0,"",INDEX(ChqKey,280))</f>
        <v/>
      </c>
      <c r="L296">
        <f>IF($K296="","",COUNTIFS($J$17:$J$516,1,$K$17:$K$516,"&lt;"&amp;$K296)+1)</f>
        <v/>
      </c>
    </row>
    <row r="297">
      <c r="A297" s="10">
        <f>IF(IFERROR(MATCH(281,ChqRankL,0),0)=0,"",281)</f>
        <v/>
      </c>
      <c r="B297" s="22">
        <f>IF(IFERROR(MATCH(281,ChqRankL,0),0)=0,"",INDEX(ChqNorm,IFERROR(MATCH(281,ChqRankL,0),0)))</f>
        <v/>
      </c>
      <c r="C297" s="22">
        <f>IF(IFERROR(MATCH(281,ChqRankL,0),0)=0,"",INDEX(ChqNo,IFERROR(MATCH(281,ChqRankL,0),0)))</f>
        <v/>
      </c>
      <c r="D297" s="23">
        <f>IF(IFERROR(MATCH(281,ChqRankL,0),0)=0,"",IF(INDEX(ChqAmt,IFERROR(MATCH(281,ChqRankL,0),0))=0,"",INDEX(ChqAmt,IFERROR(MATCH(281,ChqRankL,0),0))))</f>
        <v/>
      </c>
      <c r="E297" s="14">
        <f>IF(IFERROR(MATCH(281,ChqRankL,0),0)=0,"",INDEX(ChqStatus,IFERROR(MATCH(281,ChqRankL,0),0)))</f>
        <v/>
      </c>
      <c r="F297" s="22">
        <f>IF(IFERROR(MATCH(281,ChqRankL,0),0)=0,"",IF(INDEX(ChqStatus,IFERROR(MATCH(281,ChqRankL,0),0))="پاس نشده","—",IF(INDEX(ChqClr,IFERROR(MATCH(281,ChqRankL,0),0))="","—",INDEX(ChqClr,IFERROR(MATCH(281,ChqRankL,0),0)))))</f>
        <v/>
      </c>
      <c r="I297">
        <f>IF(281&gt;NChq,"",INDEX(ChqNorm,281))</f>
        <v/>
      </c>
      <c r="J297">
        <f>IF($I297="","",IF(AND($I297&gt;=$H$3,$I297&lt;=$H$4),1,0))</f>
        <v/>
      </c>
      <c r="K297">
        <f>IF($J297=0,"",INDEX(ChqKey,281))</f>
        <v/>
      </c>
      <c r="L297">
        <f>IF($K297="","",COUNTIFS($J$17:$J$516,1,$K$17:$K$516,"&lt;"&amp;$K297)+1)</f>
        <v/>
      </c>
    </row>
    <row r="298">
      <c r="A298" s="16">
        <f>IF(IFERROR(MATCH(282,ChqRankL,0),0)=0,"",282)</f>
        <v/>
      </c>
      <c r="B298" s="24">
        <f>IF(IFERROR(MATCH(282,ChqRankL,0),0)=0,"",INDEX(ChqNorm,IFERROR(MATCH(282,ChqRankL,0),0)))</f>
        <v/>
      </c>
      <c r="C298" s="24">
        <f>IF(IFERROR(MATCH(282,ChqRankL,0),0)=0,"",INDEX(ChqNo,IFERROR(MATCH(282,ChqRankL,0),0)))</f>
        <v/>
      </c>
      <c r="D298" s="25">
        <f>IF(IFERROR(MATCH(282,ChqRankL,0),0)=0,"",IF(INDEX(ChqAmt,IFERROR(MATCH(282,ChqRankL,0),0))=0,"",INDEX(ChqAmt,IFERROR(MATCH(282,ChqRankL,0),0))))</f>
        <v/>
      </c>
      <c r="E298" s="17">
        <f>IF(IFERROR(MATCH(282,ChqRankL,0),0)=0,"",INDEX(ChqStatus,IFERROR(MATCH(282,ChqRankL,0),0)))</f>
        <v/>
      </c>
      <c r="F298" s="24">
        <f>IF(IFERROR(MATCH(282,ChqRankL,0),0)=0,"",IF(INDEX(ChqStatus,IFERROR(MATCH(282,ChqRankL,0),0))="پاس نشده","—",IF(INDEX(ChqClr,IFERROR(MATCH(282,ChqRankL,0),0))="","—",INDEX(ChqClr,IFERROR(MATCH(282,ChqRankL,0),0)))))</f>
        <v/>
      </c>
      <c r="I298">
        <f>IF(282&gt;NChq,"",INDEX(ChqNorm,282))</f>
        <v/>
      </c>
      <c r="J298">
        <f>IF($I298="","",IF(AND($I298&gt;=$H$3,$I298&lt;=$H$4),1,0))</f>
        <v/>
      </c>
      <c r="K298">
        <f>IF($J298=0,"",INDEX(ChqKey,282))</f>
        <v/>
      </c>
      <c r="L298">
        <f>IF($K298="","",COUNTIFS($J$17:$J$516,1,$K$17:$K$516,"&lt;"&amp;$K298)+1)</f>
        <v/>
      </c>
    </row>
    <row r="299">
      <c r="A299" s="10">
        <f>IF(IFERROR(MATCH(283,ChqRankL,0),0)=0,"",283)</f>
        <v/>
      </c>
      <c r="B299" s="22">
        <f>IF(IFERROR(MATCH(283,ChqRankL,0),0)=0,"",INDEX(ChqNorm,IFERROR(MATCH(283,ChqRankL,0),0)))</f>
        <v/>
      </c>
      <c r="C299" s="22">
        <f>IF(IFERROR(MATCH(283,ChqRankL,0),0)=0,"",INDEX(ChqNo,IFERROR(MATCH(283,ChqRankL,0),0)))</f>
        <v/>
      </c>
      <c r="D299" s="23">
        <f>IF(IFERROR(MATCH(283,ChqRankL,0),0)=0,"",IF(INDEX(ChqAmt,IFERROR(MATCH(283,ChqRankL,0),0))=0,"",INDEX(ChqAmt,IFERROR(MATCH(283,ChqRankL,0),0))))</f>
        <v/>
      </c>
      <c r="E299" s="14">
        <f>IF(IFERROR(MATCH(283,ChqRankL,0),0)=0,"",INDEX(ChqStatus,IFERROR(MATCH(283,ChqRankL,0),0)))</f>
        <v/>
      </c>
      <c r="F299" s="22">
        <f>IF(IFERROR(MATCH(283,ChqRankL,0),0)=0,"",IF(INDEX(ChqStatus,IFERROR(MATCH(283,ChqRankL,0),0))="پاس نشده","—",IF(INDEX(ChqClr,IFERROR(MATCH(283,ChqRankL,0),0))="","—",INDEX(ChqClr,IFERROR(MATCH(283,ChqRankL,0),0)))))</f>
        <v/>
      </c>
      <c r="I299">
        <f>IF(283&gt;NChq,"",INDEX(ChqNorm,283))</f>
        <v/>
      </c>
      <c r="J299">
        <f>IF($I299="","",IF(AND($I299&gt;=$H$3,$I299&lt;=$H$4),1,0))</f>
        <v/>
      </c>
      <c r="K299">
        <f>IF($J299=0,"",INDEX(ChqKey,283))</f>
        <v/>
      </c>
      <c r="L299">
        <f>IF($K299="","",COUNTIFS($J$17:$J$516,1,$K$17:$K$516,"&lt;"&amp;$K299)+1)</f>
        <v/>
      </c>
    </row>
    <row r="300">
      <c r="A300" s="16">
        <f>IF(IFERROR(MATCH(284,ChqRankL,0),0)=0,"",284)</f>
        <v/>
      </c>
      <c r="B300" s="24">
        <f>IF(IFERROR(MATCH(284,ChqRankL,0),0)=0,"",INDEX(ChqNorm,IFERROR(MATCH(284,ChqRankL,0),0)))</f>
        <v/>
      </c>
      <c r="C300" s="24">
        <f>IF(IFERROR(MATCH(284,ChqRankL,0),0)=0,"",INDEX(ChqNo,IFERROR(MATCH(284,ChqRankL,0),0)))</f>
        <v/>
      </c>
      <c r="D300" s="25">
        <f>IF(IFERROR(MATCH(284,ChqRankL,0),0)=0,"",IF(INDEX(ChqAmt,IFERROR(MATCH(284,ChqRankL,0),0))=0,"",INDEX(ChqAmt,IFERROR(MATCH(284,ChqRankL,0),0))))</f>
        <v/>
      </c>
      <c r="E300" s="17">
        <f>IF(IFERROR(MATCH(284,ChqRankL,0),0)=0,"",INDEX(ChqStatus,IFERROR(MATCH(284,ChqRankL,0),0)))</f>
        <v/>
      </c>
      <c r="F300" s="24">
        <f>IF(IFERROR(MATCH(284,ChqRankL,0),0)=0,"",IF(INDEX(ChqStatus,IFERROR(MATCH(284,ChqRankL,0),0))="پاس نشده","—",IF(INDEX(ChqClr,IFERROR(MATCH(284,ChqRankL,0),0))="","—",INDEX(ChqClr,IFERROR(MATCH(284,ChqRankL,0),0)))))</f>
        <v/>
      </c>
      <c r="I300">
        <f>IF(284&gt;NChq,"",INDEX(ChqNorm,284))</f>
        <v/>
      </c>
      <c r="J300">
        <f>IF($I300="","",IF(AND($I300&gt;=$H$3,$I300&lt;=$H$4),1,0))</f>
        <v/>
      </c>
      <c r="K300">
        <f>IF($J300=0,"",INDEX(ChqKey,284))</f>
        <v/>
      </c>
      <c r="L300">
        <f>IF($K300="","",COUNTIFS($J$17:$J$516,1,$K$17:$K$516,"&lt;"&amp;$K300)+1)</f>
        <v/>
      </c>
    </row>
    <row r="301">
      <c r="A301" s="10">
        <f>IF(IFERROR(MATCH(285,ChqRankL,0),0)=0,"",285)</f>
        <v/>
      </c>
      <c r="B301" s="22">
        <f>IF(IFERROR(MATCH(285,ChqRankL,0),0)=0,"",INDEX(ChqNorm,IFERROR(MATCH(285,ChqRankL,0),0)))</f>
        <v/>
      </c>
      <c r="C301" s="22">
        <f>IF(IFERROR(MATCH(285,ChqRankL,0),0)=0,"",INDEX(ChqNo,IFERROR(MATCH(285,ChqRankL,0),0)))</f>
        <v/>
      </c>
      <c r="D301" s="23">
        <f>IF(IFERROR(MATCH(285,ChqRankL,0),0)=0,"",IF(INDEX(ChqAmt,IFERROR(MATCH(285,ChqRankL,0),0))=0,"",INDEX(ChqAmt,IFERROR(MATCH(285,ChqRankL,0),0))))</f>
        <v/>
      </c>
      <c r="E301" s="14">
        <f>IF(IFERROR(MATCH(285,ChqRankL,0),0)=0,"",INDEX(ChqStatus,IFERROR(MATCH(285,ChqRankL,0),0)))</f>
        <v/>
      </c>
      <c r="F301" s="22">
        <f>IF(IFERROR(MATCH(285,ChqRankL,0),0)=0,"",IF(INDEX(ChqStatus,IFERROR(MATCH(285,ChqRankL,0),0))="پاس نشده","—",IF(INDEX(ChqClr,IFERROR(MATCH(285,ChqRankL,0),0))="","—",INDEX(ChqClr,IFERROR(MATCH(285,ChqRankL,0),0)))))</f>
        <v/>
      </c>
      <c r="I301">
        <f>IF(285&gt;NChq,"",INDEX(ChqNorm,285))</f>
        <v/>
      </c>
      <c r="J301">
        <f>IF($I301="","",IF(AND($I301&gt;=$H$3,$I301&lt;=$H$4),1,0))</f>
        <v/>
      </c>
      <c r="K301">
        <f>IF($J301=0,"",INDEX(ChqKey,285))</f>
        <v/>
      </c>
      <c r="L301">
        <f>IF($K301="","",COUNTIFS($J$17:$J$516,1,$K$17:$K$516,"&lt;"&amp;$K301)+1)</f>
        <v/>
      </c>
    </row>
    <row r="302">
      <c r="A302" s="16">
        <f>IF(IFERROR(MATCH(286,ChqRankL,0),0)=0,"",286)</f>
        <v/>
      </c>
      <c r="B302" s="24">
        <f>IF(IFERROR(MATCH(286,ChqRankL,0),0)=0,"",INDEX(ChqNorm,IFERROR(MATCH(286,ChqRankL,0),0)))</f>
        <v/>
      </c>
      <c r="C302" s="24">
        <f>IF(IFERROR(MATCH(286,ChqRankL,0),0)=0,"",INDEX(ChqNo,IFERROR(MATCH(286,ChqRankL,0),0)))</f>
        <v/>
      </c>
      <c r="D302" s="25">
        <f>IF(IFERROR(MATCH(286,ChqRankL,0),0)=0,"",IF(INDEX(ChqAmt,IFERROR(MATCH(286,ChqRankL,0),0))=0,"",INDEX(ChqAmt,IFERROR(MATCH(286,ChqRankL,0),0))))</f>
        <v/>
      </c>
      <c r="E302" s="17">
        <f>IF(IFERROR(MATCH(286,ChqRankL,0),0)=0,"",INDEX(ChqStatus,IFERROR(MATCH(286,ChqRankL,0),0)))</f>
        <v/>
      </c>
      <c r="F302" s="24">
        <f>IF(IFERROR(MATCH(286,ChqRankL,0),0)=0,"",IF(INDEX(ChqStatus,IFERROR(MATCH(286,ChqRankL,0),0))="پاس نشده","—",IF(INDEX(ChqClr,IFERROR(MATCH(286,ChqRankL,0),0))="","—",INDEX(ChqClr,IFERROR(MATCH(286,ChqRankL,0),0)))))</f>
        <v/>
      </c>
      <c r="I302">
        <f>IF(286&gt;NChq,"",INDEX(ChqNorm,286))</f>
        <v/>
      </c>
      <c r="J302">
        <f>IF($I302="","",IF(AND($I302&gt;=$H$3,$I302&lt;=$H$4),1,0))</f>
        <v/>
      </c>
      <c r="K302">
        <f>IF($J302=0,"",INDEX(ChqKey,286))</f>
        <v/>
      </c>
      <c r="L302">
        <f>IF($K302="","",COUNTIFS($J$17:$J$516,1,$K$17:$K$516,"&lt;"&amp;$K302)+1)</f>
        <v/>
      </c>
    </row>
    <row r="303">
      <c r="A303" s="10">
        <f>IF(IFERROR(MATCH(287,ChqRankL,0),0)=0,"",287)</f>
        <v/>
      </c>
      <c r="B303" s="22">
        <f>IF(IFERROR(MATCH(287,ChqRankL,0),0)=0,"",INDEX(ChqNorm,IFERROR(MATCH(287,ChqRankL,0),0)))</f>
        <v/>
      </c>
      <c r="C303" s="22">
        <f>IF(IFERROR(MATCH(287,ChqRankL,0),0)=0,"",INDEX(ChqNo,IFERROR(MATCH(287,ChqRankL,0),0)))</f>
        <v/>
      </c>
      <c r="D303" s="23">
        <f>IF(IFERROR(MATCH(287,ChqRankL,0),0)=0,"",IF(INDEX(ChqAmt,IFERROR(MATCH(287,ChqRankL,0),0))=0,"",INDEX(ChqAmt,IFERROR(MATCH(287,ChqRankL,0),0))))</f>
        <v/>
      </c>
      <c r="E303" s="14">
        <f>IF(IFERROR(MATCH(287,ChqRankL,0),0)=0,"",INDEX(ChqStatus,IFERROR(MATCH(287,ChqRankL,0),0)))</f>
        <v/>
      </c>
      <c r="F303" s="22">
        <f>IF(IFERROR(MATCH(287,ChqRankL,0),0)=0,"",IF(INDEX(ChqStatus,IFERROR(MATCH(287,ChqRankL,0),0))="پاس نشده","—",IF(INDEX(ChqClr,IFERROR(MATCH(287,ChqRankL,0),0))="","—",INDEX(ChqClr,IFERROR(MATCH(287,ChqRankL,0),0)))))</f>
        <v/>
      </c>
      <c r="I303">
        <f>IF(287&gt;NChq,"",INDEX(ChqNorm,287))</f>
        <v/>
      </c>
      <c r="J303">
        <f>IF($I303="","",IF(AND($I303&gt;=$H$3,$I303&lt;=$H$4),1,0))</f>
        <v/>
      </c>
      <c r="K303">
        <f>IF($J303=0,"",INDEX(ChqKey,287))</f>
        <v/>
      </c>
      <c r="L303">
        <f>IF($K303="","",COUNTIFS($J$17:$J$516,1,$K$17:$K$516,"&lt;"&amp;$K303)+1)</f>
        <v/>
      </c>
    </row>
    <row r="304">
      <c r="A304" s="16">
        <f>IF(IFERROR(MATCH(288,ChqRankL,0),0)=0,"",288)</f>
        <v/>
      </c>
      <c r="B304" s="24">
        <f>IF(IFERROR(MATCH(288,ChqRankL,0),0)=0,"",INDEX(ChqNorm,IFERROR(MATCH(288,ChqRankL,0),0)))</f>
        <v/>
      </c>
      <c r="C304" s="24">
        <f>IF(IFERROR(MATCH(288,ChqRankL,0),0)=0,"",INDEX(ChqNo,IFERROR(MATCH(288,ChqRankL,0),0)))</f>
        <v/>
      </c>
      <c r="D304" s="25">
        <f>IF(IFERROR(MATCH(288,ChqRankL,0),0)=0,"",IF(INDEX(ChqAmt,IFERROR(MATCH(288,ChqRankL,0),0))=0,"",INDEX(ChqAmt,IFERROR(MATCH(288,ChqRankL,0),0))))</f>
        <v/>
      </c>
      <c r="E304" s="17">
        <f>IF(IFERROR(MATCH(288,ChqRankL,0),0)=0,"",INDEX(ChqStatus,IFERROR(MATCH(288,ChqRankL,0),0)))</f>
        <v/>
      </c>
      <c r="F304" s="24">
        <f>IF(IFERROR(MATCH(288,ChqRankL,0),0)=0,"",IF(INDEX(ChqStatus,IFERROR(MATCH(288,ChqRankL,0),0))="پاس نشده","—",IF(INDEX(ChqClr,IFERROR(MATCH(288,ChqRankL,0),0))="","—",INDEX(ChqClr,IFERROR(MATCH(288,ChqRankL,0),0)))))</f>
        <v/>
      </c>
      <c r="I304">
        <f>IF(288&gt;NChq,"",INDEX(ChqNorm,288))</f>
        <v/>
      </c>
      <c r="J304">
        <f>IF($I304="","",IF(AND($I304&gt;=$H$3,$I304&lt;=$H$4),1,0))</f>
        <v/>
      </c>
      <c r="K304">
        <f>IF($J304=0,"",INDEX(ChqKey,288))</f>
        <v/>
      </c>
      <c r="L304">
        <f>IF($K304="","",COUNTIFS($J$17:$J$516,1,$K$17:$K$516,"&lt;"&amp;$K304)+1)</f>
        <v/>
      </c>
    </row>
    <row r="305">
      <c r="A305" s="10">
        <f>IF(IFERROR(MATCH(289,ChqRankL,0),0)=0,"",289)</f>
        <v/>
      </c>
      <c r="B305" s="22">
        <f>IF(IFERROR(MATCH(289,ChqRankL,0),0)=0,"",INDEX(ChqNorm,IFERROR(MATCH(289,ChqRankL,0),0)))</f>
        <v/>
      </c>
      <c r="C305" s="22">
        <f>IF(IFERROR(MATCH(289,ChqRankL,0),0)=0,"",INDEX(ChqNo,IFERROR(MATCH(289,ChqRankL,0),0)))</f>
        <v/>
      </c>
      <c r="D305" s="23">
        <f>IF(IFERROR(MATCH(289,ChqRankL,0),0)=0,"",IF(INDEX(ChqAmt,IFERROR(MATCH(289,ChqRankL,0),0))=0,"",INDEX(ChqAmt,IFERROR(MATCH(289,ChqRankL,0),0))))</f>
        <v/>
      </c>
      <c r="E305" s="14">
        <f>IF(IFERROR(MATCH(289,ChqRankL,0),0)=0,"",INDEX(ChqStatus,IFERROR(MATCH(289,ChqRankL,0),0)))</f>
        <v/>
      </c>
      <c r="F305" s="22">
        <f>IF(IFERROR(MATCH(289,ChqRankL,0),0)=0,"",IF(INDEX(ChqStatus,IFERROR(MATCH(289,ChqRankL,0),0))="پاس نشده","—",IF(INDEX(ChqClr,IFERROR(MATCH(289,ChqRankL,0),0))="","—",INDEX(ChqClr,IFERROR(MATCH(289,ChqRankL,0),0)))))</f>
        <v/>
      </c>
      <c r="I305">
        <f>IF(289&gt;NChq,"",INDEX(ChqNorm,289))</f>
        <v/>
      </c>
      <c r="J305">
        <f>IF($I305="","",IF(AND($I305&gt;=$H$3,$I305&lt;=$H$4),1,0))</f>
        <v/>
      </c>
      <c r="K305">
        <f>IF($J305=0,"",INDEX(ChqKey,289))</f>
        <v/>
      </c>
      <c r="L305">
        <f>IF($K305="","",COUNTIFS($J$17:$J$516,1,$K$17:$K$516,"&lt;"&amp;$K305)+1)</f>
        <v/>
      </c>
    </row>
    <row r="306">
      <c r="A306" s="16">
        <f>IF(IFERROR(MATCH(290,ChqRankL,0),0)=0,"",290)</f>
        <v/>
      </c>
      <c r="B306" s="24">
        <f>IF(IFERROR(MATCH(290,ChqRankL,0),0)=0,"",INDEX(ChqNorm,IFERROR(MATCH(290,ChqRankL,0),0)))</f>
        <v/>
      </c>
      <c r="C306" s="24">
        <f>IF(IFERROR(MATCH(290,ChqRankL,0),0)=0,"",INDEX(ChqNo,IFERROR(MATCH(290,ChqRankL,0),0)))</f>
        <v/>
      </c>
      <c r="D306" s="25">
        <f>IF(IFERROR(MATCH(290,ChqRankL,0),0)=0,"",IF(INDEX(ChqAmt,IFERROR(MATCH(290,ChqRankL,0),0))=0,"",INDEX(ChqAmt,IFERROR(MATCH(290,ChqRankL,0),0))))</f>
        <v/>
      </c>
      <c r="E306" s="17">
        <f>IF(IFERROR(MATCH(290,ChqRankL,0),0)=0,"",INDEX(ChqStatus,IFERROR(MATCH(290,ChqRankL,0),0)))</f>
        <v/>
      </c>
      <c r="F306" s="24">
        <f>IF(IFERROR(MATCH(290,ChqRankL,0),0)=0,"",IF(INDEX(ChqStatus,IFERROR(MATCH(290,ChqRankL,0),0))="پاس نشده","—",IF(INDEX(ChqClr,IFERROR(MATCH(290,ChqRankL,0),0))="","—",INDEX(ChqClr,IFERROR(MATCH(290,ChqRankL,0),0)))))</f>
        <v/>
      </c>
      <c r="I306">
        <f>IF(290&gt;NChq,"",INDEX(ChqNorm,290))</f>
        <v/>
      </c>
      <c r="J306">
        <f>IF($I306="","",IF(AND($I306&gt;=$H$3,$I306&lt;=$H$4),1,0))</f>
        <v/>
      </c>
      <c r="K306">
        <f>IF($J306=0,"",INDEX(ChqKey,290))</f>
        <v/>
      </c>
      <c r="L306">
        <f>IF($K306="","",COUNTIFS($J$17:$J$516,1,$K$17:$K$516,"&lt;"&amp;$K306)+1)</f>
        <v/>
      </c>
    </row>
    <row r="307">
      <c r="A307" s="10">
        <f>IF(IFERROR(MATCH(291,ChqRankL,0),0)=0,"",291)</f>
        <v/>
      </c>
      <c r="B307" s="22">
        <f>IF(IFERROR(MATCH(291,ChqRankL,0),0)=0,"",INDEX(ChqNorm,IFERROR(MATCH(291,ChqRankL,0),0)))</f>
        <v/>
      </c>
      <c r="C307" s="22">
        <f>IF(IFERROR(MATCH(291,ChqRankL,0),0)=0,"",INDEX(ChqNo,IFERROR(MATCH(291,ChqRankL,0),0)))</f>
        <v/>
      </c>
      <c r="D307" s="23">
        <f>IF(IFERROR(MATCH(291,ChqRankL,0),0)=0,"",IF(INDEX(ChqAmt,IFERROR(MATCH(291,ChqRankL,0),0))=0,"",INDEX(ChqAmt,IFERROR(MATCH(291,ChqRankL,0),0))))</f>
        <v/>
      </c>
      <c r="E307" s="14">
        <f>IF(IFERROR(MATCH(291,ChqRankL,0),0)=0,"",INDEX(ChqStatus,IFERROR(MATCH(291,ChqRankL,0),0)))</f>
        <v/>
      </c>
      <c r="F307" s="22">
        <f>IF(IFERROR(MATCH(291,ChqRankL,0),0)=0,"",IF(INDEX(ChqStatus,IFERROR(MATCH(291,ChqRankL,0),0))="پاس نشده","—",IF(INDEX(ChqClr,IFERROR(MATCH(291,ChqRankL,0),0))="","—",INDEX(ChqClr,IFERROR(MATCH(291,ChqRankL,0),0)))))</f>
        <v/>
      </c>
      <c r="I307">
        <f>IF(291&gt;NChq,"",INDEX(ChqNorm,291))</f>
        <v/>
      </c>
      <c r="J307">
        <f>IF($I307="","",IF(AND($I307&gt;=$H$3,$I307&lt;=$H$4),1,0))</f>
        <v/>
      </c>
      <c r="K307">
        <f>IF($J307=0,"",INDEX(ChqKey,291))</f>
        <v/>
      </c>
      <c r="L307">
        <f>IF($K307="","",COUNTIFS($J$17:$J$516,1,$K$17:$K$516,"&lt;"&amp;$K307)+1)</f>
        <v/>
      </c>
    </row>
    <row r="308">
      <c r="A308" s="16">
        <f>IF(IFERROR(MATCH(292,ChqRankL,0),0)=0,"",292)</f>
        <v/>
      </c>
      <c r="B308" s="24">
        <f>IF(IFERROR(MATCH(292,ChqRankL,0),0)=0,"",INDEX(ChqNorm,IFERROR(MATCH(292,ChqRankL,0),0)))</f>
        <v/>
      </c>
      <c r="C308" s="24">
        <f>IF(IFERROR(MATCH(292,ChqRankL,0),0)=0,"",INDEX(ChqNo,IFERROR(MATCH(292,ChqRankL,0),0)))</f>
        <v/>
      </c>
      <c r="D308" s="25">
        <f>IF(IFERROR(MATCH(292,ChqRankL,0),0)=0,"",IF(INDEX(ChqAmt,IFERROR(MATCH(292,ChqRankL,0),0))=0,"",INDEX(ChqAmt,IFERROR(MATCH(292,ChqRankL,0),0))))</f>
        <v/>
      </c>
      <c r="E308" s="17">
        <f>IF(IFERROR(MATCH(292,ChqRankL,0),0)=0,"",INDEX(ChqStatus,IFERROR(MATCH(292,ChqRankL,0),0)))</f>
        <v/>
      </c>
      <c r="F308" s="24">
        <f>IF(IFERROR(MATCH(292,ChqRankL,0),0)=0,"",IF(INDEX(ChqStatus,IFERROR(MATCH(292,ChqRankL,0),0))="پاس نشده","—",IF(INDEX(ChqClr,IFERROR(MATCH(292,ChqRankL,0),0))="","—",INDEX(ChqClr,IFERROR(MATCH(292,ChqRankL,0),0)))))</f>
        <v/>
      </c>
      <c r="I308">
        <f>IF(292&gt;NChq,"",INDEX(ChqNorm,292))</f>
        <v/>
      </c>
      <c r="J308">
        <f>IF($I308="","",IF(AND($I308&gt;=$H$3,$I308&lt;=$H$4),1,0))</f>
        <v/>
      </c>
      <c r="K308">
        <f>IF($J308=0,"",INDEX(ChqKey,292))</f>
        <v/>
      </c>
      <c r="L308">
        <f>IF($K308="","",COUNTIFS($J$17:$J$516,1,$K$17:$K$516,"&lt;"&amp;$K308)+1)</f>
        <v/>
      </c>
    </row>
    <row r="309">
      <c r="A309" s="10">
        <f>IF(IFERROR(MATCH(293,ChqRankL,0),0)=0,"",293)</f>
        <v/>
      </c>
      <c r="B309" s="22">
        <f>IF(IFERROR(MATCH(293,ChqRankL,0),0)=0,"",INDEX(ChqNorm,IFERROR(MATCH(293,ChqRankL,0),0)))</f>
        <v/>
      </c>
      <c r="C309" s="22">
        <f>IF(IFERROR(MATCH(293,ChqRankL,0),0)=0,"",INDEX(ChqNo,IFERROR(MATCH(293,ChqRankL,0),0)))</f>
        <v/>
      </c>
      <c r="D309" s="23">
        <f>IF(IFERROR(MATCH(293,ChqRankL,0),0)=0,"",IF(INDEX(ChqAmt,IFERROR(MATCH(293,ChqRankL,0),0))=0,"",INDEX(ChqAmt,IFERROR(MATCH(293,ChqRankL,0),0))))</f>
        <v/>
      </c>
      <c r="E309" s="14">
        <f>IF(IFERROR(MATCH(293,ChqRankL,0),0)=0,"",INDEX(ChqStatus,IFERROR(MATCH(293,ChqRankL,0),0)))</f>
        <v/>
      </c>
      <c r="F309" s="22">
        <f>IF(IFERROR(MATCH(293,ChqRankL,0),0)=0,"",IF(INDEX(ChqStatus,IFERROR(MATCH(293,ChqRankL,0),0))="پاس نشده","—",IF(INDEX(ChqClr,IFERROR(MATCH(293,ChqRankL,0),0))="","—",INDEX(ChqClr,IFERROR(MATCH(293,ChqRankL,0),0)))))</f>
        <v/>
      </c>
      <c r="I309">
        <f>IF(293&gt;NChq,"",INDEX(ChqNorm,293))</f>
        <v/>
      </c>
      <c r="J309">
        <f>IF($I309="","",IF(AND($I309&gt;=$H$3,$I309&lt;=$H$4),1,0))</f>
        <v/>
      </c>
      <c r="K309">
        <f>IF($J309=0,"",INDEX(ChqKey,293))</f>
        <v/>
      </c>
      <c r="L309">
        <f>IF($K309="","",COUNTIFS($J$17:$J$516,1,$K$17:$K$516,"&lt;"&amp;$K309)+1)</f>
        <v/>
      </c>
    </row>
    <row r="310">
      <c r="A310" s="16">
        <f>IF(IFERROR(MATCH(294,ChqRankL,0),0)=0,"",294)</f>
        <v/>
      </c>
      <c r="B310" s="24">
        <f>IF(IFERROR(MATCH(294,ChqRankL,0),0)=0,"",INDEX(ChqNorm,IFERROR(MATCH(294,ChqRankL,0),0)))</f>
        <v/>
      </c>
      <c r="C310" s="24">
        <f>IF(IFERROR(MATCH(294,ChqRankL,0),0)=0,"",INDEX(ChqNo,IFERROR(MATCH(294,ChqRankL,0),0)))</f>
        <v/>
      </c>
      <c r="D310" s="25">
        <f>IF(IFERROR(MATCH(294,ChqRankL,0),0)=0,"",IF(INDEX(ChqAmt,IFERROR(MATCH(294,ChqRankL,0),0))=0,"",INDEX(ChqAmt,IFERROR(MATCH(294,ChqRankL,0),0))))</f>
        <v/>
      </c>
      <c r="E310" s="17">
        <f>IF(IFERROR(MATCH(294,ChqRankL,0),0)=0,"",INDEX(ChqStatus,IFERROR(MATCH(294,ChqRankL,0),0)))</f>
        <v/>
      </c>
      <c r="F310" s="24">
        <f>IF(IFERROR(MATCH(294,ChqRankL,0),0)=0,"",IF(INDEX(ChqStatus,IFERROR(MATCH(294,ChqRankL,0),0))="پاس نشده","—",IF(INDEX(ChqClr,IFERROR(MATCH(294,ChqRankL,0),0))="","—",INDEX(ChqClr,IFERROR(MATCH(294,ChqRankL,0),0)))))</f>
        <v/>
      </c>
      <c r="I310">
        <f>IF(294&gt;NChq,"",INDEX(ChqNorm,294))</f>
        <v/>
      </c>
      <c r="J310">
        <f>IF($I310="","",IF(AND($I310&gt;=$H$3,$I310&lt;=$H$4),1,0))</f>
        <v/>
      </c>
      <c r="K310">
        <f>IF($J310=0,"",INDEX(ChqKey,294))</f>
        <v/>
      </c>
      <c r="L310">
        <f>IF($K310="","",COUNTIFS($J$17:$J$516,1,$K$17:$K$516,"&lt;"&amp;$K310)+1)</f>
        <v/>
      </c>
    </row>
    <row r="311">
      <c r="A311" s="10">
        <f>IF(IFERROR(MATCH(295,ChqRankL,0),0)=0,"",295)</f>
        <v/>
      </c>
      <c r="B311" s="22">
        <f>IF(IFERROR(MATCH(295,ChqRankL,0),0)=0,"",INDEX(ChqNorm,IFERROR(MATCH(295,ChqRankL,0),0)))</f>
        <v/>
      </c>
      <c r="C311" s="22">
        <f>IF(IFERROR(MATCH(295,ChqRankL,0),0)=0,"",INDEX(ChqNo,IFERROR(MATCH(295,ChqRankL,0),0)))</f>
        <v/>
      </c>
      <c r="D311" s="23">
        <f>IF(IFERROR(MATCH(295,ChqRankL,0),0)=0,"",IF(INDEX(ChqAmt,IFERROR(MATCH(295,ChqRankL,0),0))=0,"",INDEX(ChqAmt,IFERROR(MATCH(295,ChqRankL,0),0))))</f>
        <v/>
      </c>
      <c r="E311" s="14">
        <f>IF(IFERROR(MATCH(295,ChqRankL,0),0)=0,"",INDEX(ChqStatus,IFERROR(MATCH(295,ChqRankL,0),0)))</f>
        <v/>
      </c>
      <c r="F311" s="22">
        <f>IF(IFERROR(MATCH(295,ChqRankL,0),0)=0,"",IF(INDEX(ChqStatus,IFERROR(MATCH(295,ChqRankL,0),0))="پاس نشده","—",IF(INDEX(ChqClr,IFERROR(MATCH(295,ChqRankL,0),0))="","—",INDEX(ChqClr,IFERROR(MATCH(295,ChqRankL,0),0)))))</f>
        <v/>
      </c>
      <c r="I311">
        <f>IF(295&gt;NChq,"",INDEX(ChqNorm,295))</f>
        <v/>
      </c>
      <c r="J311">
        <f>IF($I311="","",IF(AND($I311&gt;=$H$3,$I311&lt;=$H$4),1,0))</f>
        <v/>
      </c>
      <c r="K311">
        <f>IF($J311=0,"",INDEX(ChqKey,295))</f>
        <v/>
      </c>
      <c r="L311">
        <f>IF($K311="","",COUNTIFS($J$17:$J$516,1,$K$17:$K$516,"&lt;"&amp;$K311)+1)</f>
        <v/>
      </c>
    </row>
    <row r="312">
      <c r="A312" s="16">
        <f>IF(IFERROR(MATCH(296,ChqRankL,0),0)=0,"",296)</f>
        <v/>
      </c>
      <c r="B312" s="24">
        <f>IF(IFERROR(MATCH(296,ChqRankL,0),0)=0,"",INDEX(ChqNorm,IFERROR(MATCH(296,ChqRankL,0),0)))</f>
        <v/>
      </c>
      <c r="C312" s="24">
        <f>IF(IFERROR(MATCH(296,ChqRankL,0),0)=0,"",INDEX(ChqNo,IFERROR(MATCH(296,ChqRankL,0),0)))</f>
        <v/>
      </c>
      <c r="D312" s="25">
        <f>IF(IFERROR(MATCH(296,ChqRankL,0),0)=0,"",IF(INDEX(ChqAmt,IFERROR(MATCH(296,ChqRankL,0),0))=0,"",INDEX(ChqAmt,IFERROR(MATCH(296,ChqRankL,0),0))))</f>
        <v/>
      </c>
      <c r="E312" s="17">
        <f>IF(IFERROR(MATCH(296,ChqRankL,0),0)=0,"",INDEX(ChqStatus,IFERROR(MATCH(296,ChqRankL,0),0)))</f>
        <v/>
      </c>
      <c r="F312" s="24">
        <f>IF(IFERROR(MATCH(296,ChqRankL,0),0)=0,"",IF(INDEX(ChqStatus,IFERROR(MATCH(296,ChqRankL,0),0))="پاس نشده","—",IF(INDEX(ChqClr,IFERROR(MATCH(296,ChqRankL,0),0))="","—",INDEX(ChqClr,IFERROR(MATCH(296,ChqRankL,0),0)))))</f>
        <v/>
      </c>
      <c r="I312">
        <f>IF(296&gt;NChq,"",INDEX(ChqNorm,296))</f>
        <v/>
      </c>
      <c r="J312">
        <f>IF($I312="","",IF(AND($I312&gt;=$H$3,$I312&lt;=$H$4),1,0))</f>
        <v/>
      </c>
      <c r="K312">
        <f>IF($J312=0,"",INDEX(ChqKey,296))</f>
        <v/>
      </c>
      <c r="L312">
        <f>IF($K312="","",COUNTIFS($J$17:$J$516,1,$K$17:$K$516,"&lt;"&amp;$K312)+1)</f>
        <v/>
      </c>
    </row>
    <row r="313">
      <c r="A313" s="10">
        <f>IF(IFERROR(MATCH(297,ChqRankL,0),0)=0,"",297)</f>
        <v/>
      </c>
      <c r="B313" s="22">
        <f>IF(IFERROR(MATCH(297,ChqRankL,0),0)=0,"",INDEX(ChqNorm,IFERROR(MATCH(297,ChqRankL,0),0)))</f>
        <v/>
      </c>
      <c r="C313" s="22">
        <f>IF(IFERROR(MATCH(297,ChqRankL,0),0)=0,"",INDEX(ChqNo,IFERROR(MATCH(297,ChqRankL,0),0)))</f>
        <v/>
      </c>
      <c r="D313" s="23">
        <f>IF(IFERROR(MATCH(297,ChqRankL,0),0)=0,"",IF(INDEX(ChqAmt,IFERROR(MATCH(297,ChqRankL,0),0))=0,"",INDEX(ChqAmt,IFERROR(MATCH(297,ChqRankL,0),0))))</f>
        <v/>
      </c>
      <c r="E313" s="14">
        <f>IF(IFERROR(MATCH(297,ChqRankL,0),0)=0,"",INDEX(ChqStatus,IFERROR(MATCH(297,ChqRankL,0),0)))</f>
        <v/>
      </c>
      <c r="F313" s="22">
        <f>IF(IFERROR(MATCH(297,ChqRankL,0),0)=0,"",IF(INDEX(ChqStatus,IFERROR(MATCH(297,ChqRankL,0),0))="پاس نشده","—",IF(INDEX(ChqClr,IFERROR(MATCH(297,ChqRankL,0),0))="","—",INDEX(ChqClr,IFERROR(MATCH(297,ChqRankL,0),0)))))</f>
        <v/>
      </c>
      <c r="I313">
        <f>IF(297&gt;NChq,"",INDEX(ChqNorm,297))</f>
        <v/>
      </c>
      <c r="J313">
        <f>IF($I313="","",IF(AND($I313&gt;=$H$3,$I313&lt;=$H$4),1,0))</f>
        <v/>
      </c>
      <c r="K313">
        <f>IF($J313=0,"",INDEX(ChqKey,297))</f>
        <v/>
      </c>
      <c r="L313">
        <f>IF($K313="","",COUNTIFS($J$17:$J$516,1,$K$17:$K$516,"&lt;"&amp;$K313)+1)</f>
        <v/>
      </c>
    </row>
    <row r="314">
      <c r="A314" s="16">
        <f>IF(IFERROR(MATCH(298,ChqRankL,0),0)=0,"",298)</f>
        <v/>
      </c>
      <c r="B314" s="24">
        <f>IF(IFERROR(MATCH(298,ChqRankL,0),0)=0,"",INDEX(ChqNorm,IFERROR(MATCH(298,ChqRankL,0),0)))</f>
        <v/>
      </c>
      <c r="C314" s="24">
        <f>IF(IFERROR(MATCH(298,ChqRankL,0),0)=0,"",INDEX(ChqNo,IFERROR(MATCH(298,ChqRankL,0),0)))</f>
        <v/>
      </c>
      <c r="D314" s="25">
        <f>IF(IFERROR(MATCH(298,ChqRankL,0),0)=0,"",IF(INDEX(ChqAmt,IFERROR(MATCH(298,ChqRankL,0),0))=0,"",INDEX(ChqAmt,IFERROR(MATCH(298,ChqRankL,0),0))))</f>
        <v/>
      </c>
      <c r="E314" s="17">
        <f>IF(IFERROR(MATCH(298,ChqRankL,0),0)=0,"",INDEX(ChqStatus,IFERROR(MATCH(298,ChqRankL,0),0)))</f>
        <v/>
      </c>
      <c r="F314" s="24">
        <f>IF(IFERROR(MATCH(298,ChqRankL,0),0)=0,"",IF(INDEX(ChqStatus,IFERROR(MATCH(298,ChqRankL,0),0))="پاس نشده","—",IF(INDEX(ChqClr,IFERROR(MATCH(298,ChqRankL,0),0))="","—",INDEX(ChqClr,IFERROR(MATCH(298,ChqRankL,0),0)))))</f>
        <v/>
      </c>
      <c r="I314">
        <f>IF(298&gt;NChq,"",INDEX(ChqNorm,298))</f>
        <v/>
      </c>
      <c r="J314">
        <f>IF($I314="","",IF(AND($I314&gt;=$H$3,$I314&lt;=$H$4),1,0))</f>
        <v/>
      </c>
      <c r="K314">
        <f>IF($J314=0,"",INDEX(ChqKey,298))</f>
        <v/>
      </c>
      <c r="L314">
        <f>IF($K314="","",COUNTIFS($J$17:$J$516,1,$K$17:$K$516,"&lt;"&amp;$K314)+1)</f>
        <v/>
      </c>
    </row>
    <row r="315">
      <c r="A315" s="10">
        <f>IF(IFERROR(MATCH(299,ChqRankL,0),0)=0,"",299)</f>
        <v/>
      </c>
      <c r="B315" s="22">
        <f>IF(IFERROR(MATCH(299,ChqRankL,0),0)=0,"",INDEX(ChqNorm,IFERROR(MATCH(299,ChqRankL,0),0)))</f>
        <v/>
      </c>
      <c r="C315" s="22">
        <f>IF(IFERROR(MATCH(299,ChqRankL,0),0)=0,"",INDEX(ChqNo,IFERROR(MATCH(299,ChqRankL,0),0)))</f>
        <v/>
      </c>
      <c r="D315" s="23">
        <f>IF(IFERROR(MATCH(299,ChqRankL,0),0)=0,"",IF(INDEX(ChqAmt,IFERROR(MATCH(299,ChqRankL,0),0))=0,"",INDEX(ChqAmt,IFERROR(MATCH(299,ChqRankL,0),0))))</f>
        <v/>
      </c>
      <c r="E315" s="14">
        <f>IF(IFERROR(MATCH(299,ChqRankL,0),0)=0,"",INDEX(ChqStatus,IFERROR(MATCH(299,ChqRankL,0),0)))</f>
        <v/>
      </c>
      <c r="F315" s="22">
        <f>IF(IFERROR(MATCH(299,ChqRankL,0),0)=0,"",IF(INDEX(ChqStatus,IFERROR(MATCH(299,ChqRankL,0),0))="پاس نشده","—",IF(INDEX(ChqClr,IFERROR(MATCH(299,ChqRankL,0),0))="","—",INDEX(ChqClr,IFERROR(MATCH(299,ChqRankL,0),0)))))</f>
        <v/>
      </c>
      <c r="I315">
        <f>IF(299&gt;NChq,"",INDEX(ChqNorm,299))</f>
        <v/>
      </c>
      <c r="J315">
        <f>IF($I315="","",IF(AND($I315&gt;=$H$3,$I315&lt;=$H$4),1,0))</f>
        <v/>
      </c>
      <c r="K315">
        <f>IF($J315=0,"",INDEX(ChqKey,299))</f>
        <v/>
      </c>
      <c r="L315">
        <f>IF($K315="","",COUNTIFS($J$17:$J$516,1,$K$17:$K$516,"&lt;"&amp;$K315)+1)</f>
        <v/>
      </c>
    </row>
    <row r="316">
      <c r="A316" s="16">
        <f>IF(IFERROR(MATCH(300,ChqRankL,0),0)=0,"",300)</f>
        <v/>
      </c>
      <c r="B316" s="24">
        <f>IF(IFERROR(MATCH(300,ChqRankL,0),0)=0,"",INDEX(ChqNorm,IFERROR(MATCH(300,ChqRankL,0),0)))</f>
        <v/>
      </c>
      <c r="C316" s="24">
        <f>IF(IFERROR(MATCH(300,ChqRankL,0),0)=0,"",INDEX(ChqNo,IFERROR(MATCH(300,ChqRankL,0),0)))</f>
        <v/>
      </c>
      <c r="D316" s="25">
        <f>IF(IFERROR(MATCH(300,ChqRankL,0),0)=0,"",IF(INDEX(ChqAmt,IFERROR(MATCH(300,ChqRankL,0),0))=0,"",INDEX(ChqAmt,IFERROR(MATCH(300,ChqRankL,0),0))))</f>
        <v/>
      </c>
      <c r="E316" s="17">
        <f>IF(IFERROR(MATCH(300,ChqRankL,0),0)=0,"",INDEX(ChqStatus,IFERROR(MATCH(300,ChqRankL,0),0)))</f>
        <v/>
      </c>
      <c r="F316" s="24">
        <f>IF(IFERROR(MATCH(300,ChqRankL,0),0)=0,"",IF(INDEX(ChqStatus,IFERROR(MATCH(300,ChqRankL,0),0))="پاس نشده","—",IF(INDEX(ChqClr,IFERROR(MATCH(300,ChqRankL,0),0))="","—",INDEX(ChqClr,IFERROR(MATCH(300,ChqRankL,0),0)))))</f>
        <v/>
      </c>
      <c r="I316">
        <f>IF(300&gt;NChq,"",INDEX(ChqNorm,300))</f>
        <v/>
      </c>
      <c r="J316">
        <f>IF($I316="","",IF(AND($I316&gt;=$H$3,$I316&lt;=$H$4),1,0))</f>
        <v/>
      </c>
      <c r="K316">
        <f>IF($J316=0,"",INDEX(ChqKey,300))</f>
        <v/>
      </c>
      <c r="L316">
        <f>IF($K316="","",COUNTIFS($J$17:$J$516,1,$K$17:$K$516,"&lt;"&amp;$K316)+1)</f>
        <v/>
      </c>
    </row>
    <row r="317">
      <c r="A317" s="10">
        <f>IF(IFERROR(MATCH(301,ChqRankL,0),0)=0,"",301)</f>
        <v/>
      </c>
      <c r="B317" s="22">
        <f>IF(IFERROR(MATCH(301,ChqRankL,0),0)=0,"",INDEX(ChqNorm,IFERROR(MATCH(301,ChqRankL,0),0)))</f>
        <v/>
      </c>
      <c r="C317" s="22">
        <f>IF(IFERROR(MATCH(301,ChqRankL,0),0)=0,"",INDEX(ChqNo,IFERROR(MATCH(301,ChqRankL,0),0)))</f>
        <v/>
      </c>
      <c r="D317" s="23">
        <f>IF(IFERROR(MATCH(301,ChqRankL,0),0)=0,"",IF(INDEX(ChqAmt,IFERROR(MATCH(301,ChqRankL,0),0))=0,"",INDEX(ChqAmt,IFERROR(MATCH(301,ChqRankL,0),0))))</f>
        <v/>
      </c>
      <c r="E317" s="14">
        <f>IF(IFERROR(MATCH(301,ChqRankL,0),0)=0,"",INDEX(ChqStatus,IFERROR(MATCH(301,ChqRankL,0),0)))</f>
        <v/>
      </c>
      <c r="F317" s="22">
        <f>IF(IFERROR(MATCH(301,ChqRankL,0),0)=0,"",IF(INDEX(ChqStatus,IFERROR(MATCH(301,ChqRankL,0),0))="پاس نشده","—",IF(INDEX(ChqClr,IFERROR(MATCH(301,ChqRankL,0),0))="","—",INDEX(ChqClr,IFERROR(MATCH(301,ChqRankL,0),0)))))</f>
        <v/>
      </c>
      <c r="I317">
        <f>IF(301&gt;NChq,"",INDEX(ChqNorm,301))</f>
        <v/>
      </c>
      <c r="J317">
        <f>IF($I317="","",IF(AND($I317&gt;=$H$3,$I317&lt;=$H$4),1,0))</f>
        <v/>
      </c>
      <c r="K317">
        <f>IF($J317=0,"",INDEX(ChqKey,301))</f>
        <v/>
      </c>
      <c r="L317">
        <f>IF($K317="","",COUNTIFS($J$17:$J$516,1,$K$17:$K$516,"&lt;"&amp;$K317)+1)</f>
        <v/>
      </c>
    </row>
    <row r="318">
      <c r="A318" s="16">
        <f>IF(IFERROR(MATCH(302,ChqRankL,0),0)=0,"",302)</f>
        <v/>
      </c>
      <c r="B318" s="24">
        <f>IF(IFERROR(MATCH(302,ChqRankL,0),0)=0,"",INDEX(ChqNorm,IFERROR(MATCH(302,ChqRankL,0),0)))</f>
        <v/>
      </c>
      <c r="C318" s="24">
        <f>IF(IFERROR(MATCH(302,ChqRankL,0),0)=0,"",INDEX(ChqNo,IFERROR(MATCH(302,ChqRankL,0),0)))</f>
        <v/>
      </c>
      <c r="D318" s="25">
        <f>IF(IFERROR(MATCH(302,ChqRankL,0),0)=0,"",IF(INDEX(ChqAmt,IFERROR(MATCH(302,ChqRankL,0),0))=0,"",INDEX(ChqAmt,IFERROR(MATCH(302,ChqRankL,0),0))))</f>
        <v/>
      </c>
      <c r="E318" s="17">
        <f>IF(IFERROR(MATCH(302,ChqRankL,0),0)=0,"",INDEX(ChqStatus,IFERROR(MATCH(302,ChqRankL,0),0)))</f>
        <v/>
      </c>
      <c r="F318" s="24">
        <f>IF(IFERROR(MATCH(302,ChqRankL,0),0)=0,"",IF(INDEX(ChqStatus,IFERROR(MATCH(302,ChqRankL,0),0))="پاس نشده","—",IF(INDEX(ChqClr,IFERROR(MATCH(302,ChqRankL,0),0))="","—",INDEX(ChqClr,IFERROR(MATCH(302,ChqRankL,0),0)))))</f>
        <v/>
      </c>
      <c r="I318">
        <f>IF(302&gt;NChq,"",INDEX(ChqNorm,302))</f>
        <v/>
      </c>
      <c r="J318">
        <f>IF($I318="","",IF(AND($I318&gt;=$H$3,$I318&lt;=$H$4),1,0))</f>
        <v/>
      </c>
      <c r="K318">
        <f>IF($J318=0,"",INDEX(ChqKey,302))</f>
        <v/>
      </c>
      <c r="L318">
        <f>IF($K318="","",COUNTIFS($J$17:$J$516,1,$K$17:$K$516,"&lt;"&amp;$K318)+1)</f>
        <v/>
      </c>
    </row>
    <row r="319">
      <c r="A319" s="10">
        <f>IF(IFERROR(MATCH(303,ChqRankL,0),0)=0,"",303)</f>
        <v/>
      </c>
      <c r="B319" s="22">
        <f>IF(IFERROR(MATCH(303,ChqRankL,0),0)=0,"",INDEX(ChqNorm,IFERROR(MATCH(303,ChqRankL,0),0)))</f>
        <v/>
      </c>
      <c r="C319" s="22">
        <f>IF(IFERROR(MATCH(303,ChqRankL,0),0)=0,"",INDEX(ChqNo,IFERROR(MATCH(303,ChqRankL,0),0)))</f>
        <v/>
      </c>
      <c r="D319" s="23">
        <f>IF(IFERROR(MATCH(303,ChqRankL,0),0)=0,"",IF(INDEX(ChqAmt,IFERROR(MATCH(303,ChqRankL,0),0))=0,"",INDEX(ChqAmt,IFERROR(MATCH(303,ChqRankL,0),0))))</f>
        <v/>
      </c>
      <c r="E319" s="14">
        <f>IF(IFERROR(MATCH(303,ChqRankL,0),0)=0,"",INDEX(ChqStatus,IFERROR(MATCH(303,ChqRankL,0),0)))</f>
        <v/>
      </c>
      <c r="F319" s="22">
        <f>IF(IFERROR(MATCH(303,ChqRankL,0),0)=0,"",IF(INDEX(ChqStatus,IFERROR(MATCH(303,ChqRankL,0),0))="پاس نشده","—",IF(INDEX(ChqClr,IFERROR(MATCH(303,ChqRankL,0),0))="","—",INDEX(ChqClr,IFERROR(MATCH(303,ChqRankL,0),0)))))</f>
        <v/>
      </c>
      <c r="I319">
        <f>IF(303&gt;NChq,"",INDEX(ChqNorm,303))</f>
        <v/>
      </c>
      <c r="J319">
        <f>IF($I319="","",IF(AND($I319&gt;=$H$3,$I319&lt;=$H$4),1,0))</f>
        <v/>
      </c>
      <c r="K319">
        <f>IF($J319=0,"",INDEX(ChqKey,303))</f>
        <v/>
      </c>
      <c r="L319">
        <f>IF($K319="","",COUNTIFS($J$17:$J$516,1,$K$17:$K$516,"&lt;"&amp;$K319)+1)</f>
        <v/>
      </c>
    </row>
    <row r="320">
      <c r="A320" s="16">
        <f>IF(IFERROR(MATCH(304,ChqRankL,0),0)=0,"",304)</f>
        <v/>
      </c>
      <c r="B320" s="24">
        <f>IF(IFERROR(MATCH(304,ChqRankL,0),0)=0,"",INDEX(ChqNorm,IFERROR(MATCH(304,ChqRankL,0),0)))</f>
        <v/>
      </c>
      <c r="C320" s="24">
        <f>IF(IFERROR(MATCH(304,ChqRankL,0),0)=0,"",INDEX(ChqNo,IFERROR(MATCH(304,ChqRankL,0),0)))</f>
        <v/>
      </c>
      <c r="D320" s="25">
        <f>IF(IFERROR(MATCH(304,ChqRankL,0),0)=0,"",IF(INDEX(ChqAmt,IFERROR(MATCH(304,ChqRankL,0),0))=0,"",INDEX(ChqAmt,IFERROR(MATCH(304,ChqRankL,0),0))))</f>
        <v/>
      </c>
      <c r="E320" s="17">
        <f>IF(IFERROR(MATCH(304,ChqRankL,0),0)=0,"",INDEX(ChqStatus,IFERROR(MATCH(304,ChqRankL,0),0)))</f>
        <v/>
      </c>
      <c r="F320" s="24">
        <f>IF(IFERROR(MATCH(304,ChqRankL,0),0)=0,"",IF(INDEX(ChqStatus,IFERROR(MATCH(304,ChqRankL,0),0))="پاس نشده","—",IF(INDEX(ChqClr,IFERROR(MATCH(304,ChqRankL,0),0))="","—",INDEX(ChqClr,IFERROR(MATCH(304,ChqRankL,0),0)))))</f>
        <v/>
      </c>
      <c r="I320">
        <f>IF(304&gt;NChq,"",INDEX(ChqNorm,304))</f>
        <v/>
      </c>
      <c r="J320">
        <f>IF($I320="","",IF(AND($I320&gt;=$H$3,$I320&lt;=$H$4),1,0))</f>
        <v/>
      </c>
      <c r="K320">
        <f>IF($J320=0,"",INDEX(ChqKey,304))</f>
        <v/>
      </c>
      <c r="L320">
        <f>IF($K320="","",COUNTIFS($J$17:$J$516,1,$K$17:$K$516,"&lt;"&amp;$K320)+1)</f>
        <v/>
      </c>
    </row>
    <row r="321">
      <c r="A321" s="10">
        <f>IF(IFERROR(MATCH(305,ChqRankL,0),0)=0,"",305)</f>
        <v/>
      </c>
      <c r="B321" s="22">
        <f>IF(IFERROR(MATCH(305,ChqRankL,0),0)=0,"",INDEX(ChqNorm,IFERROR(MATCH(305,ChqRankL,0),0)))</f>
        <v/>
      </c>
      <c r="C321" s="22">
        <f>IF(IFERROR(MATCH(305,ChqRankL,0),0)=0,"",INDEX(ChqNo,IFERROR(MATCH(305,ChqRankL,0),0)))</f>
        <v/>
      </c>
      <c r="D321" s="23">
        <f>IF(IFERROR(MATCH(305,ChqRankL,0),0)=0,"",IF(INDEX(ChqAmt,IFERROR(MATCH(305,ChqRankL,0),0))=0,"",INDEX(ChqAmt,IFERROR(MATCH(305,ChqRankL,0),0))))</f>
        <v/>
      </c>
      <c r="E321" s="14">
        <f>IF(IFERROR(MATCH(305,ChqRankL,0),0)=0,"",INDEX(ChqStatus,IFERROR(MATCH(305,ChqRankL,0),0)))</f>
        <v/>
      </c>
      <c r="F321" s="22">
        <f>IF(IFERROR(MATCH(305,ChqRankL,0),0)=0,"",IF(INDEX(ChqStatus,IFERROR(MATCH(305,ChqRankL,0),0))="پاس نشده","—",IF(INDEX(ChqClr,IFERROR(MATCH(305,ChqRankL,0),0))="","—",INDEX(ChqClr,IFERROR(MATCH(305,ChqRankL,0),0)))))</f>
        <v/>
      </c>
      <c r="I321">
        <f>IF(305&gt;NChq,"",INDEX(ChqNorm,305))</f>
        <v/>
      </c>
      <c r="J321">
        <f>IF($I321="","",IF(AND($I321&gt;=$H$3,$I321&lt;=$H$4),1,0))</f>
        <v/>
      </c>
      <c r="K321">
        <f>IF($J321=0,"",INDEX(ChqKey,305))</f>
        <v/>
      </c>
      <c r="L321">
        <f>IF($K321="","",COUNTIFS($J$17:$J$516,1,$K$17:$K$516,"&lt;"&amp;$K321)+1)</f>
        <v/>
      </c>
    </row>
    <row r="322">
      <c r="A322" s="16">
        <f>IF(IFERROR(MATCH(306,ChqRankL,0),0)=0,"",306)</f>
        <v/>
      </c>
      <c r="B322" s="24">
        <f>IF(IFERROR(MATCH(306,ChqRankL,0),0)=0,"",INDEX(ChqNorm,IFERROR(MATCH(306,ChqRankL,0),0)))</f>
        <v/>
      </c>
      <c r="C322" s="24">
        <f>IF(IFERROR(MATCH(306,ChqRankL,0),0)=0,"",INDEX(ChqNo,IFERROR(MATCH(306,ChqRankL,0),0)))</f>
        <v/>
      </c>
      <c r="D322" s="25">
        <f>IF(IFERROR(MATCH(306,ChqRankL,0),0)=0,"",IF(INDEX(ChqAmt,IFERROR(MATCH(306,ChqRankL,0),0))=0,"",INDEX(ChqAmt,IFERROR(MATCH(306,ChqRankL,0),0))))</f>
        <v/>
      </c>
      <c r="E322" s="17">
        <f>IF(IFERROR(MATCH(306,ChqRankL,0),0)=0,"",INDEX(ChqStatus,IFERROR(MATCH(306,ChqRankL,0),0)))</f>
        <v/>
      </c>
      <c r="F322" s="24">
        <f>IF(IFERROR(MATCH(306,ChqRankL,0),0)=0,"",IF(INDEX(ChqStatus,IFERROR(MATCH(306,ChqRankL,0),0))="پاس نشده","—",IF(INDEX(ChqClr,IFERROR(MATCH(306,ChqRankL,0),0))="","—",INDEX(ChqClr,IFERROR(MATCH(306,ChqRankL,0),0)))))</f>
        <v/>
      </c>
      <c r="I322">
        <f>IF(306&gt;NChq,"",INDEX(ChqNorm,306))</f>
        <v/>
      </c>
      <c r="J322">
        <f>IF($I322="","",IF(AND($I322&gt;=$H$3,$I322&lt;=$H$4),1,0))</f>
        <v/>
      </c>
      <c r="K322">
        <f>IF($J322=0,"",INDEX(ChqKey,306))</f>
        <v/>
      </c>
      <c r="L322">
        <f>IF($K322="","",COUNTIFS($J$17:$J$516,1,$K$17:$K$516,"&lt;"&amp;$K322)+1)</f>
        <v/>
      </c>
    </row>
    <row r="323">
      <c r="A323" s="10">
        <f>IF(IFERROR(MATCH(307,ChqRankL,0),0)=0,"",307)</f>
        <v/>
      </c>
      <c r="B323" s="22">
        <f>IF(IFERROR(MATCH(307,ChqRankL,0),0)=0,"",INDEX(ChqNorm,IFERROR(MATCH(307,ChqRankL,0),0)))</f>
        <v/>
      </c>
      <c r="C323" s="22">
        <f>IF(IFERROR(MATCH(307,ChqRankL,0),0)=0,"",INDEX(ChqNo,IFERROR(MATCH(307,ChqRankL,0),0)))</f>
        <v/>
      </c>
      <c r="D323" s="23">
        <f>IF(IFERROR(MATCH(307,ChqRankL,0),0)=0,"",IF(INDEX(ChqAmt,IFERROR(MATCH(307,ChqRankL,0),0))=0,"",INDEX(ChqAmt,IFERROR(MATCH(307,ChqRankL,0),0))))</f>
        <v/>
      </c>
      <c r="E323" s="14">
        <f>IF(IFERROR(MATCH(307,ChqRankL,0),0)=0,"",INDEX(ChqStatus,IFERROR(MATCH(307,ChqRankL,0),0)))</f>
        <v/>
      </c>
      <c r="F323" s="22">
        <f>IF(IFERROR(MATCH(307,ChqRankL,0),0)=0,"",IF(INDEX(ChqStatus,IFERROR(MATCH(307,ChqRankL,0),0))="پاس نشده","—",IF(INDEX(ChqClr,IFERROR(MATCH(307,ChqRankL,0),0))="","—",INDEX(ChqClr,IFERROR(MATCH(307,ChqRankL,0),0)))))</f>
        <v/>
      </c>
      <c r="I323">
        <f>IF(307&gt;NChq,"",INDEX(ChqNorm,307))</f>
        <v/>
      </c>
      <c r="J323">
        <f>IF($I323="","",IF(AND($I323&gt;=$H$3,$I323&lt;=$H$4),1,0))</f>
        <v/>
      </c>
      <c r="K323">
        <f>IF($J323=0,"",INDEX(ChqKey,307))</f>
        <v/>
      </c>
      <c r="L323">
        <f>IF($K323="","",COUNTIFS($J$17:$J$516,1,$K$17:$K$516,"&lt;"&amp;$K323)+1)</f>
        <v/>
      </c>
    </row>
    <row r="324">
      <c r="A324" s="16">
        <f>IF(IFERROR(MATCH(308,ChqRankL,0),0)=0,"",308)</f>
        <v/>
      </c>
      <c r="B324" s="24">
        <f>IF(IFERROR(MATCH(308,ChqRankL,0),0)=0,"",INDEX(ChqNorm,IFERROR(MATCH(308,ChqRankL,0),0)))</f>
        <v/>
      </c>
      <c r="C324" s="24">
        <f>IF(IFERROR(MATCH(308,ChqRankL,0),0)=0,"",INDEX(ChqNo,IFERROR(MATCH(308,ChqRankL,0),0)))</f>
        <v/>
      </c>
      <c r="D324" s="25">
        <f>IF(IFERROR(MATCH(308,ChqRankL,0),0)=0,"",IF(INDEX(ChqAmt,IFERROR(MATCH(308,ChqRankL,0),0))=0,"",INDEX(ChqAmt,IFERROR(MATCH(308,ChqRankL,0),0))))</f>
        <v/>
      </c>
      <c r="E324" s="17">
        <f>IF(IFERROR(MATCH(308,ChqRankL,0),0)=0,"",INDEX(ChqStatus,IFERROR(MATCH(308,ChqRankL,0),0)))</f>
        <v/>
      </c>
      <c r="F324" s="24">
        <f>IF(IFERROR(MATCH(308,ChqRankL,0),0)=0,"",IF(INDEX(ChqStatus,IFERROR(MATCH(308,ChqRankL,0),0))="پاس نشده","—",IF(INDEX(ChqClr,IFERROR(MATCH(308,ChqRankL,0),0))="","—",INDEX(ChqClr,IFERROR(MATCH(308,ChqRankL,0),0)))))</f>
        <v/>
      </c>
      <c r="I324">
        <f>IF(308&gt;NChq,"",INDEX(ChqNorm,308))</f>
        <v/>
      </c>
      <c r="J324">
        <f>IF($I324="","",IF(AND($I324&gt;=$H$3,$I324&lt;=$H$4),1,0))</f>
        <v/>
      </c>
      <c r="K324">
        <f>IF($J324=0,"",INDEX(ChqKey,308))</f>
        <v/>
      </c>
      <c r="L324">
        <f>IF($K324="","",COUNTIFS($J$17:$J$516,1,$K$17:$K$516,"&lt;"&amp;$K324)+1)</f>
        <v/>
      </c>
    </row>
    <row r="325">
      <c r="A325" s="10">
        <f>IF(IFERROR(MATCH(309,ChqRankL,0),0)=0,"",309)</f>
        <v/>
      </c>
      <c r="B325" s="22">
        <f>IF(IFERROR(MATCH(309,ChqRankL,0),0)=0,"",INDEX(ChqNorm,IFERROR(MATCH(309,ChqRankL,0),0)))</f>
        <v/>
      </c>
      <c r="C325" s="22">
        <f>IF(IFERROR(MATCH(309,ChqRankL,0),0)=0,"",INDEX(ChqNo,IFERROR(MATCH(309,ChqRankL,0),0)))</f>
        <v/>
      </c>
      <c r="D325" s="23">
        <f>IF(IFERROR(MATCH(309,ChqRankL,0),0)=0,"",IF(INDEX(ChqAmt,IFERROR(MATCH(309,ChqRankL,0),0))=0,"",INDEX(ChqAmt,IFERROR(MATCH(309,ChqRankL,0),0))))</f>
        <v/>
      </c>
      <c r="E325" s="14">
        <f>IF(IFERROR(MATCH(309,ChqRankL,0),0)=0,"",INDEX(ChqStatus,IFERROR(MATCH(309,ChqRankL,0),0)))</f>
        <v/>
      </c>
      <c r="F325" s="22">
        <f>IF(IFERROR(MATCH(309,ChqRankL,0),0)=0,"",IF(INDEX(ChqStatus,IFERROR(MATCH(309,ChqRankL,0),0))="پاس نشده","—",IF(INDEX(ChqClr,IFERROR(MATCH(309,ChqRankL,0),0))="","—",INDEX(ChqClr,IFERROR(MATCH(309,ChqRankL,0),0)))))</f>
        <v/>
      </c>
      <c r="I325">
        <f>IF(309&gt;NChq,"",INDEX(ChqNorm,309))</f>
        <v/>
      </c>
      <c r="J325">
        <f>IF($I325="","",IF(AND($I325&gt;=$H$3,$I325&lt;=$H$4),1,0))</f>
        <v/>
      </c>
      <c r="K325">
        <f>IF($J325=0,"",INDEX(ChqKey,309))</f>
        <v/>
      </c>
      <c r="L325">
        <f>IF($K325="","",COUNTIFS($J$17:$J$516,1,$K$17:$K$516,"&lt;"&amp;$K325)+1)</f>
        <v/>
      </c>
    </row>
    <row r="326">
      <c r="A326" s="16">
        <f>IF(IFERROR(MATCH(310,ChqRankL,0),0)=0,"",310)</f>
        <v/>
      </c>
      <c r="B326" s="24">
        <f>IF(IFERROR(MATCH(310,ChqRankL,0),0)=0,"",INDEX(ChqNorm,IFERROR(MATCH(310,ChqRankL,0),0)))</f>
        <v/>
      </c>
      <c r="C326" s="24">
        <f>IF(IFERROR(MATCH(310,ChqRankL,0),0)=0,"",INDEX(ChqNo,IFERROR(MATCH(310,ChqRankL,0),0)))</f>
        <v/>
      </c>
      <c r="D326" s="25">
        <f>IF(IFERROR(MATCH(310,ChqRankL,0),0)=0,"",IF(INDEX(ChqAmt,IFERROR(MATCH(310,ChqRankL,0),0))=0,"",INDEX(ChqAmt,IFERROR(MATCH(310,ChqRankL,0),0))))</f>
        <v/>
      </c>
      <c r="E326" s="17">
        <f>IF(IFERROR(MATCH(310,ChqRankL,0),0)=0,"",INDEX(ChqStatus,IFERROR(MATCH(310,ChqRankL,0),0)))</f>
        <v/>
      </c>
      <c r="F326" s="24">
        <f>IF(IFERROR(MATCH(310,ChqRankL,0),0)=0,"",IF(INDEX(ChqStatus,IFERROR(MATCH(310,ChqRankL,0),0))="پاس نشده","—",IF(INDEX(ChqClr,IFERROR(MATCH(310,ChqRankL,0),0))="","—",INDEX(ChqClr,IFERROR(MATCH(310,ChqRankL,0),0)))))</f>
        <v/>
      </c>
      <c r="I326">
        <f>IF(310&gt;NChq,"",INDEX(ChqNorm,310))</f>
        <v/>
      </c>
      <c r="J326">
        <f>IF($I326="","",IF(AND($I326&gt;=$H$3,$I326&lt;=$H$4),1,0))</f>
        <v/>
      </c>
      <c r="K326">
        <f>IF($J326=0,"",INDEX(ChqKey,310))</f>
        <v/>
      </c>
      <c r="L326">
        <f>IF($K326="","",COUNTIFS($J$17:$J$516,1,$K$17:$K$516,"&lt;"&amp;$K326)+1)</f>
        <v/>
      </c>
    </row>
    <row r="327">
      <c r="A327" s="10">
        <f>IF(IFERROR(MATCH(311,ChqRankL,0),0)=0,"",311)</f>
        <v/>
      </c>
      <c r="B327" s="22">
        <f>IF(IFERROR(MATCH(311,ChqRankL,0),0)=0,"",INDEX(ChqNorm,IFERROR(MATCH(311,ChqRankL,0),0)))</f>
        <v/>
      </c>
      <c r="C327" s="22">
        <f>IF(IFERROR(MATCH(311,ChqRankL,0),0)=0,"",INDEX(ChqNo,IFERROR(MATCH(311,ChqRankL,0),0)))</f>
        <v/>
      </c>
      <c r="D327" s="23">
        <f>IF(IFERROR(MATCH(311,ChqRankL,0),0)=0,"",IF(INDEX(ChqAmt,IFERROR(MATCH(311,ChqRankL,0),0))=0,"",INDEX(ChqAmt,IFERROR(MATCH(311,ChqRankL,0),0))))</f>
        <v/>
      </c>
      <c r="E327" s="14">
        <f>IF(IFERROR(MATCH(311,ChqRankL,0),0)=0,"",INDEX(ChqStatus,IFERROR(MATCH(311,ChqRankL,0),0)))</f>
        <v/>
      </c>
      <c r="F327" s="22">
        <f>IF(IFERROR(MATCH(311,ChqRankL,0),0)=0,"",IF(INDEX(ChqStatus,IFERROR(MATCH(311,ChqRankL,0),0))="پاس نشده","—",IF(INDEX(ChqClr,IFERROR(MATCH(311,ChqRankL,0),0))="","—",INDEX(ChqClr,IFERROR(MATCH(311,ChqRankL,0),0)))))</f>
        <v/>
      </c>
      <c r="I327">
        <f>IF(311&gt;NChq,"",INDEX(ChqNorm,311))</f>
        <v/>
      </c>
      <c r="J327">
        <f>IF($I327="","",IF(AND($I327&gt;=$H$3,$I327&lt;=$H$4),1,0))</f>
        <v/>
      </c>
      <c r="K327">
        <f>IF($J327=0,"",INDEX(ChqKey,311))</f>
        <v/>
      </c>
      <c r="L327">
        <f>IF($K327="","",COUNTIFS($J$17:$J$516,1,$K$17:$K$516,"&lt;"&amp;$K327)+1)</f>
        <v/>
      </c>
    </row>
    <row r="328">
      <c r="A328" s="16">
        <f>IF(IFERROR(MATCH(312,ChqRankL,0),0)=0,"",312)</f>
        <v/>
      </c>
      <c r="B328" s="24">
        <f>IF(IFERROR(MATCH(312,ChqRankL,0),0)=0,"",INDEX(ChqNorm,IFERROR(MATCH(312,ChqRankL,0),0)))</f>
        <v/>
      </c>
      <c r="C328" s="24">
        <f>IF(IFERROR(MATCH(312,ChqRankL,0),0)=0,"",INDEX(ChqNo,IFERROR(MATCH(312,ChqRankL,0),0)))</f>
        <v/>
      </c>
      <c r="D328" s="25">
        <f>IF(IFERROR(MATCH(312,ChqRankL,0),0)=0,"",IF(INDEX(ChqAmt,IFERROR(MATCH(312,ChqRankL,0),0))=0,"",INDEX(ChqAmt,IFERROR(MATCH(312,ChqRankL,0),0))))</f>
        <v/>
      </c>
      <c r="E328" s="17">
        <f>IF(IFERROR(MATCH(312,ChqRankL,0),0)=0,"",INDEX(ChqStatus,IFERROR(MATCH(312,ChqRankL,0),0)))</f>
        <v/>
      </c>
      <c r="F328" s="24">
        <f>IF(IFERROR(MATCH(312,ChqRankL,0),0)=0,"",IF(INDEX(ChqStatus,IFERROR(MATCH(312,ChqRankL,0),0))="پاس نشده","—",IF(INDEX(ChqClr,IFERROR(MATCH(312,ChqRankL,0),0))="","—",INDEX(ChqClr,IFERROR(MATCH(312,ChqRankL,0),0)))))</f>
        <v/>
      </c>
      <c r="I328">
        <f>IF(312&gt;NChq,"",INDEX(ChqNorm,312))</f>
        <v/>
      </c>
      <c r="J328">
        <f>IF($I328="","",IF(AND($I328&gt;=$H$3,$I328&lt;=$H$4),1,0))</f>
        <v/>
      </c>
      <c r="K328">
        <f>IF($J328=0,"",INDEX(ChqKey,312))</f>
        <v/>
      </c>
      <c r="L328">
        <f>IF($K328="","",COUNTIFS($J$17:$J$516,1,$K$17:$K$516,"&lt;"&amp;$K328)+1)</f>
        <v/>
      </c>
    </row>
    <row r="329">
      <c r="A329" s="10">
        <f>IF(IFERROR(MATCH(313,ChqRankL,0),0)=0,"",313)</f>
        <v/>
      </c>
      <c r="B329" s="22">
        <f>IF(IFERROR(MATCH(313,ChqRankL,0),0)=0,"",INDEX(ChqNorm,IFERROR(MATCH(313,ChqRankL,0),0)))</f>
        <v/>
      </c>
      <c r="C329" s="22">
        <f>IF(IFERROR(MATCH(313,ChqRankL,0),0)=0,"",INDEX(ChqNo,IFERROR(MATCH(313,ChqRankL,0),0)))</f>
        <v/>
      </c>
      <c r="D329" s="23">
        <f>IF(IFERROR(MATCH(313,ChqRankL,0),0)=0,"",IF(INDEX(ChqAmt,IFERROR(MATCH(313,ChqRankL,0),0))=0,"",INDEX(ChqAmt,IFERROR(MATCH(313,ChqRankL,0),0))))</f>
        <v/>
      </c>
      <c r="E329" s="14">
        <f>IF(IFERROR(MATCH(313,ChqRankL,0),0)=0,"",INDEX(ChqStatus,IFERROR(MATCH(313,ChqRankL,0),0)))</f>
        <v/>
      </c>
      <c r="F329" s="22">
        <f>IF(IFERROR(MATCH(313,ChqRankL,0),0)=0,"",IF(INDEX(ChqStatus,IFERROR(MATCH(313,ChqRankL,0),0))="پاس نشده","—",IF(INDEX(ChqClr,IFERROR(MATCH(313,ChqRankL,0),0))="","—",INDEX(ChqClr,IFERROR(MATCH(313,ChqRankL,0),0)))))</f>
        <v/>
      </c>
      <c r="I329">
        <f>IF(313&gt;NChq,"",INDEX(ChqNorm,313))</f>
        <v/>
      </c>
      <c r="J329">
        <f>IF($I329="","",IF(AND($I329&gt;=$H$3,$I329&lt;=$H$4),1,0))</f>
        <v/>
      </c>
      <c r="K329">
        <f>IF($J329=0,"",INDEX(ChqKey,313))</f>
        <v/>
      </c>
      <c r="L329">
        <f>IF($K329="","",COUNTIFS($J$17:$J$516,1,$K$17:$K$516,"&lt;"&amp;$K329)+1)</f>
        <v/>
      </c>
    </row>
    <row r="330">
      <c r="A330" s="16">
        <f>IF(IFERROR(MATCH(314,ChqRankL,0),0)=0,"",314)</f>
        <v/>
      </c>
      <c r="B330" s="24">
        <f>IF(IFERROR(MATCH(314,ChqRankL,0),0)=0,"",INDEX(ChqNorm,IFERROR(MATCH(314,ChqRankL,0),0)))</f>
        <v/>
      </c>
      <c r="C330" s="24">
        <f>IF(IFERROR(MATCH(314,ChqRankL,0),0)=0,"",INDEX(ChqNo,IFERROR(MATCH(314,ChqRankL,0),0)))</f>
        <v/>
      </c>
      <c r="D330" s="25">
        <f>IF(IFERROR(MATCH(314,ChqRankL,0),0)=0,"",IF(INDEX(ChqAmt,IFERROR(MATCH(314,ChqRankL,0),0))=0,"",INDEX(ChqAmt,IFERROR(MATCH(314,ChqRankL,0),0))))</f>
        <v/>
      </c>
      <c r="E330" s="17">
        <f>IF(IFERROR(MATCH(314,ChqRankL,0),0)=0,"",INDEX(ChqStatus,IFERROR(MATCH(314,ChqRankL,0),0)))</f>
        <v/>
      </c>
      <c r="F330" s="24">
        <f>IF(IFERROR(MATCH(314,ChqRankL,0),0)=0,"",IF(INDEX(ChqStatus,IFERROR(MATCH(314,ChqRankL,0),0))="پاس نشده","—",IF(INDEX(ChqClr,IFERROR(MATCH(314,ChqRankL,0),0))="","—",INDEX(ChqClr,IFERROR(MATCH(314,ChqRankL,0),0)))))</f>
        <v/>
      </c>
      <c r="I330">
        <f>IF(314&gt;NChq,"",INDEX(ChqNorm,314))</f>
        <v/>
      </c>
      <c r="J330">
        <f>IF($I330="","",IF(AND($I330&gt;=$H$3,$I330&lt;=$H$4),1,0))</f>
        <v/>
      </c>
      <c r="K330">
        <f>IF($J330=0,"",INDEX(ChqKey,314))</f>
        <v/>
      </c>
      <c r="L330">
        <f>IF($K330="","",COUNTIFS($J$17:$J$516,1,$K$17:$K$516,"&lt;"&amp;$K330)+1)</f>
        <v/>
      </c>
    </row>
    <row r="331">
      <c r="A331" s="10">
        <f>IF(IFERROR(MATCH(315,ChqRankL,0),0)=0,"",315)</f>
        <v/>
      </c>
      <c r="B331" s="22">
        <f>IF(IFERROR(MATCH(315,ChqRankL,0),0)=0,"",INDEX(ChqNorm,IFERROR(MATCH(315,ChqRankL,0),0)))</f>
        <v/>
      </c>
      <c r="C331" s="22">
        <f>IF(IFERROR(MATCH(315,ChqRankL,0),0)=0,"",INDEX(ChqNo,IFERROR(MATCH(315,ChqRankL,0),0)))</f>
        <v/>
      </c>
      <c r="D331" s="23">
        <f>IF(IFERROR(MATCH(315,ChqRankL,0),0)=0,"",IF(INDEX(ChqAmt,IFERROR(MATCH(315,ChqRankL,0),0))=0,"",INDEX(ChqAmt,IFERROR(MATCH(315,ChqRankL,0),0))))</f>
        <v/>
      </c>
      <c r="E331" s="14">
        <f>IF(IFERROR(MATCH(315,ChqRankL,0),0)=0,"",INDEX(ChqStatus,IFERROR(MATCH(315,ChqRankL,0),0)))</f>
        <v/>
      </c>
      <c r="F331" s="22">
        <f>IF(IFERROR(MATCH(315,ChqRankL,0),0)=0,"",IF(INDEX(ChqStatus,IFERROR(MATCH(315,ChqRankL,0),0))="پاس نشده","—",IF(INDEX(ChqClr,IFERROR(MATCH(315,ChqRankL,0),0))="","—",INDEX(ChqClr,IFERROR(MATCH(315,ChqRankL,0),0)))))</f>
        <v/>
      </c>
      <c r="I331">
        <f>IF(315&gt;NChq,"",INDEX(ChqNorm,315))</f>
        <v/>
      </c>
      <c r="J331">
        <f>IF($I331="","",IF(AND($I331&gt;=$H$3,$I331&lt;=$H$4),1,0))</f>
        <v/>
      </c>
      <c r="K331">
        <f>IF($J331=0,"",INDEX(ChqKey,315))</f>
        <v/>
      </c>
      <c r="L331">
        <f>IF($K331="","",COUNTIFS($J$17:$J$516,1,$K$17:$K$516,"&lt;"&amp;$K331)+1)</f>
        <v/>
      </c>
    </row>
    <row r="332">
      <c r="A332" s="16">
        <f>IF(IFERROR(MATCH(316,ChqRankL,0),0)=0,"",316)</f>
        <v/>
      </c>
      <c r="B332" s="24">
        <f>IF(IFERROR(MATCH(316,ChqRankL,0),0)=0,"",INDEX(ChqNorm,IFERROR(MATCH(316,ChqRankL,0),0)))</f>
        <v/>
      </c>
      <c r="C332" s="24">
        <f>IF(IFERROR(MATCH(316,ChqRankL,0),0)=0,"",INDEX(ChqNo,IFERROR(MATCH(316,ChqRankL,0),0)))</f>
        <v/>
      </c>
      <c r="D332" s="25">
        <f>IF(IFERROR(MATCH(316,ChqRankL,0),0)=0,"",IF(INDEX(ChqAmt,IFERROR(MATCH(316,ChqRankL,0),0))=0,"",INDEX(ChqAmt,IFERROR(MATCH(316,ChqRankL,0),0))))</f>
        <v/>
      </c>
      <c r="E332" s="17">
        <f>IF(IFERROR(MATCH(316,ChqRankL,0),0)=0,"",INDEX(ChqStatus,IFERROR(MATCH(316,ChqRankL,0),0)))</f>
        <v/>
      </c>
      <c r="F332" s="24">
        <f>IF(IFERROR(MATCH(316,ChqRankL,0),0)=0,"",IF(INDEX(ChqStatus,IFERROR(MATCH(316,ChqRankL,0),0))="پاس نشده","—",IF(INDEX(ChqClr,IFERROR(MATCH(316,ChqRankL,0),0))="","—",INDEX(ChqClr,IFERROR(MATCH(316,ChqRankL,0),0)))))</f>
        <v/>
      </c>
      <c r="I332">
        <f>IF(316&gt;NChq,"",INDEX(ChqNorm,316))</f>
        <v/>
      </c>
      <c r="J332">
        <f>IF($I332="","",IF(AND($I332&gt;=$H$3,$I332&lt;=$H$4),1,0))</f>
        <v/>
      </c>
      <c r="K332">
        <f>IF($J332=0,"",INDEX(ChqKey,316))</f>
        <v/>
      </c>
      <c r="L332">
        <f>IF($K332="","",COUNTIFS($J$17:$J$516,1,$K$17:$K$516,"&lt;"&amp;$K332)+1)</f>
        <v/>
      </c>
    </row>
    <row r="333">
      <c r="A333" s="10">
        <f>IF(IFERROR(MATCH(317,ChqRankL,0),0)=0,"",317)</f>
        <v/>
      </c>
      <c r="B333" s="22">
        <f>IF(IFERROR(MATCH(317,ChqRankL,0),0)=0,"",INDEX(ChqNorm,IFERROR(MATCH(317,ChqRankL,0),0)))</f>
        <v/>
      </c>
      <c r="C333" s="22">
        <f>IF(IFERROR(MATCH(317,ChqRankL,0),0)=0,"",INDEX(ChqNo,IFERROR(MATCH(317,ChqRankL,0),0)))</f>
        <v/>
      </c>
      <c r="D333" s="23">
        <f>IF(IFERROR(MATCH(317,ChqRankL,0),0)=0,"",IF(INDEX(ChqAmt,IFERROR(MATCH(317,ChqRankL,0),0))=0,"",INDEX(ChqAmt,IFERROR(MATCH(317,ChqRankL,0),0))))</f>
        <v/>
      </c>
      <c r="E333" s="14">
        <f>IF(IFERROR(MATCH(317,ChqRankL,0),0)=0,"",INDEX(ChqStatus,IFERROR(MATCH(317,ChqRankL,0),0)))</f>
        <v/>
      </c>
      <c r="F333" s="22">
        <f>IF(IFERROR(MATCH(317,ChqRankL,0),0)=0,"",IF(INDEX(ChqStatus,IFERROR(MATCH(317,ChqRankL,0),0))="پاس نشده","—",IF(INDEX(ChqClr,IFERROR(MATCH(317,ChqRankL,0),0))="","—",INDEX(ChqClr,IFERROR(MATCH(317,ChqRankL,0),0)))))</f>
        <v/>
      </c>
      <c r="I333">
        <f>IF(317&gt;NChq,"",INDEX(ChqNorm,317))</f>
        <v/>
      </c>
      <c r="J333">
        <f>IF($I333="","",IF(AND($I333&gt;=$H$3,$I333&lt;=$H$4),1,0))</f>
        <v/>
      </c>
      <c r="K333">
        <f>IF($J333=0,"",INDEX(ChqKey,317))</f>
        <v/>
      </c>
      <c r="L333">
        <f>IF($K333="","",COUNTIFS($J$17:$J$516,1,$K$17:$K$516,"&lt;"&amp;$K333)+1)</f>
        <v/>
      </c>
    </row>
    <row r="334">
      <c r="A334" s="16">
        <f>IF(IFERROR(MATCH(318,ChqRankL,0),0)=0,"",318)</f>
        <v/>
      </c>
      <c r="B334" s="24">
        <f>IF(IFERROR(MATCH(318,ChqRankL,0),0)=0,"",INDEX(ChqNorm,IFERROR(MATCH(318,ChqRankL,0),0)))</f>
        <v/>
      </c>
      <c r="C334" s="24">
        <f>IF(IFERROR(MATCH(318,ChqRankL,0),0)=0,"",INDEX(ChqNo,IFERROR(MATCH(318,ChqRankL,0),0)))</f>
        <v/>
      </c>
      <c r="D334" s="25">
        <f>IF(IFERROR(MATCH(318,ChqRankL,0),0)=0,"",IF(INDEX(ChqAmt,IFERROR(MATCH(318,ChqRankL,0),0))=0,"",INDEX(ChqAmt,IFERROR(MATCH(318,ChqRankL,0),0))))</f>
        <v/>
      </c>
      <c r="E334" s="17">
        <f>IF(IFERROR(MATCH(318,ChqRankL,0),0)=0,"",INDEX(ChqStatus,IFERROR(MATCH(318,ChqRankL,0),0)))</f>
        <v/>
      </c>
      <c r="F334" s="24">
        <f>IF(IFERROR(MATCH(318,ChqRankL,0),0)=0,"",IF(INDEX(ChqStatus,IFERROR(MATCH(318,ChqRankL,0),0))="پاس نشده","—",IF(INDEX(ChqClr,IFERROR(MATCH(318,ChqRankL,0),0))="","—",INDEX(ChqClr,IFERROR(MATCH(318,ChqRankL,0),0)))))</f>
        <v/>
      </c>
      <c r="I334">
        <f>IF(318&gt;NChq,"",INDEX(ChqNorm,318))</f>
        <v/>
      </c>
      <c r="J334">
        <f>IF($I334="","",IF(AND($I334&gt;=$H$3,$I334&lt;=$H$4),1,0))</f>
        <v/>
      </c>
      <c r="K334">
        <f>IF($J334=0,"",INDEX(ChqKey,318))</f>
        <v/>
      </c>
      <c r="L334">
        <f>IF($K334="","",COUNTIFS($J$17:$J$516,1,$K$17:$K$516,"&lt;"&amp;$K334)+1)</f>
        <v/>
      </c>
    </row>
    <row r="335">
      <c r="A335" s="10">
        <f>IF(IFERROR(MATCH(319,ChqRankL,0),0)=0,"",319)</f>
        <v/>
      </c>
      <c r="B335" s="22">
        <f>IF(IFERROR(MATCH(319,ChqRankL,0),0)=0,"",INDEX(ChqNorm,IFERROR(MATCH(319,ChqRankL,0),0)))</f>
        <v/>
      </c>
      <c r="C335" s="22">
        <f>IF(IFERROR(MATCH(319,ChqRankL,0),0)=0,"",INDEX(ChqNo,IFERROR(MATCH(319,ChqRankL,0),0)))</f>
        <v/>
      </c>
      <c r="D335" s="23">
        <f>IF(IFERROR(MATCH(319,ChqRankL,0),0)=0,"",IF(INDEX(ChqAmt,IFERROR(MATCH(319,ChqRankL,0),0))=0,"",INDEX(ChqAmt,IFERROR(MATCH(319,ChqRankL,0),0))))</f>
        <v/>
      </c>
      <c r="E335" s="14">
        <f>IF(IFERROR(MATCH(319,ChqRankL,0),0)=0,"",INDEX(ChqStatus,IFERROR(MATCH(319,ChqRankL,0),0)))</f>
        <v/>
      </c>
      <c r="F335" s="22">
        <f>IF(IFERROR(MATCH(319,ChqRankL,0),0)=0,"",IF(INDEX(ChqStatus,IFERROR(MATCH(319,ChqRankL,0),0))="پاس نشده","—",IF(INDEX(ChqClr,IFERROR(MATCH(319,ChqRankL,0),0))="","—",INDEX(ChqClr,IFERROR(MATCH(319,ChqRankL,0),0)))))</f>
        <v/>
      </c>
      <c r="I335">
        <f>IF(319&gt;NChq,"",INDEX(ChqNorm,319))</f>
        <v/>
      </c>
      <c r="J335">
        <f>IF($I335="","",IF(AND($I335&gt;=$H$3,$I335&lt;=$H$4),1,0))</f>
        <v/>
      </c>
      <c r="K335">
        <f>IF($J335=0,"",INDEX(ChqKey,319))</f>
        <v/>
      </c>
      <c r="L335">
        <f>IF($K335="","",COUNTIFS($J$17:$J$516,1,$K$17:$K$516,"&lt;"&amp;$K335)+1)</f>
        <v/>
      </c>
    </row>
    <row r="336">
      <c r="A336" s="16">
        <f>IF(IFERROR(MATCH(320,ChqRankL,0),0)=0,"",320)</f>
        <v/>
      </c>
      <c r="B336" s="24">
        <f>IF(IFERROR(MATCH(320,ChqRankL,0),0)=0,"",INDEX(ChqNorm,IFERROR(MATCH(320,ChqRankL,0),0)))</f>
        <v/>
      </c>
      <c r="C336" s="24">
        <f>IF(IFERROR(MATCH(320,ChqRankL,0),0)=0,"",INDEX(ChqNo,IFERROR(MATCH(320,ChqRankL,0),0)))</f>
        <v/>
      </c>
      <c r="D336" s="25">
        <f>IF(IFERROR(MATCH(320,ChqRankL,0),0)=0,"",IF(INDEX(ChqAmt,IFERROR(MATCH(320,ChqRankL,0),0))=0,"",INDEX(ChqAmt,IFERROR(MATCH(320,ChqRankL,0),0))))</f>
        <v/>
      </c>
      <c r="E336" s="17">
        <f>IF(IFERROR(MATCH(320,ChqRankL,0),0)=0,"",INDEX(ChqStatus,IFERROR(MATCH(320,ChqRankL,0),0)))</f>
        <v/>
      </c>
      <c r="F336" s="24">
        <f>IF(IFERROR(MATCH(320,ChqRankL,0),0)=0,"",IF(INDEX(ChqStatus,IFERROR(MATCH(320,ChqRankL,0),0))="پاس نشده","—",IF(INDEX(ChqClr,IFERROR(MATCH(320,ChqRankL,0),0))="","—",INDEX(ChqClr,IFERROR(MATCH(320,ChqRankL,0),0)))))</f>
        <v/>
      </c>
      <c r="I336">
        <f>IF(320&gt;NChq,"",INDEX(ChqNorm,320))</f>
        <v/>
      </c>
      <c r="J336">
        <f>IF($I336="","",IF(AND($I336&gt;=$H$3,$I336&lt;=$H$4),1,0))</f>
        <v/>
      </c>
      <c r="K336">
        <f>IF($J336=0,"",INDEX(ChqKey,320))</f>
        <v/>
      </c>
      <c r="L336">
        <f>IF($K336="","",COUNTIFS($J$17:$J$516,1,$K$17:$K$516,"&lt;"&amp;$K336)+1)</f>
        <v/>
      </c>
    </row>
    <row r="337">
      <c r="A337" s="10">
        <f>IF(IFERROR(MATCH(321,ChqRankL,0),0)=0,"",321)</f>
        <v/>
      </c>
      <c r="B337" s="22">
        <f>IF(IFERROR(MATCH(321,ChqRankL,0),0)=0,"",INDEX(ChqNorm,IFERROR(MATCH(321,ChqRankL,0),0)))</f>
        <v/>
      </c>
      <c r="C337" s="22">
        <f>IF(IFERROR(MATCH(321,ChqRankL,0),0)=0,"",INDEX(ChqNo,IFERROR(MATCH(321,ChqRankL,0),0)))</f>
        <v/>
      </c>
      <c r="D337" s="23">
        <f>IF(IFERROR(MATCH(321,ChqRankL,0),0)=0,"",IF(INDEX(ChqAmt,IFERROR(MATCH(321,ChqRankL,0),0))=0,"",INDEX(ChqAmt,IFERROR(MATCH(321,ChqRankL,0),0))))</f>
        <v/>
      </c>
      <c r="E337" s="14">
        <f>IF(IFERROR(MATCH(321,ChqRankL,0),0)=0,"",INDEX(ChqStatus,IFERROR(MATCH(321,ChqRankL,0),0)))</f>
        <v/>
      </c>
      <c r="F337" s="22">
        <f>IF(IFERROR(MATCH(321,ChqRankL,0),0)=0,"",IF(INDEX(ChqStatus,IFERROR(MATCH(321,ChqRankL,0),0))="پاس نشده","—",IF(INDEX(ChqClr,IFERROR(MATCH(321,ChqRankL,0),0))="","—",INDEX(ChqClr,IFERROR(MATCH(321,ChqRankL,0),0)))))</f>
        <v/>
      </c>
      <c r="I337">
        <f>IF(321&gt;NChq,"",INDEX(ChqNorm,321))</f>
        <v/>
      </c>
      <c r="J337">
        <f>IF($I337="","",IF(AND($I337&gt;=$H$3,$I337&lt;=$H$4),1,0))</f>
        <v/>
      </c>
      <c r="K337">
        <f>IF($J337=0,"",INDEX(ChqKey,321))</f>
        <v/>
      </c>
      <c r="L337">
        <f>IF($K337="","",COUNTIFS($J$17:$J$516,1,$K$17:$K$516,"&lt;"&amp;$K337)+1)</f>
        <v/>
      </c>
    </row>
    <row r="338">
      <c r="A338" s="16">
        <f>IF(IFERROR(MATCH(322,ChqRankL,0),0)=0,"",322)</f>
        <v/>
      </c>
      <c r="B338" s="24">
        <f>IF(IFERROR(MATCH(322,ChqRankL,0),0)=0,"",INDEX(ChqNorm,IFERROR(MATCH(322,ChqRankL,0),0)))</f>
        <v/>
      </c>
      <c r="C338" s="24">
        <f>IF(IFERROR(MATCH(322,ChqRankL,0),0)=0,"",INDEX(ChqNo,IFERROR(MATCH(322,ChqRankL,0),0)))</f>
        <v/>
      </c>
      <c r="D338" s="25">
        <f>IF(IFERROR(MATCH(322,ChqRankL,0),0)=0,"",IF(INDEX(ChqAmt,IFERROR(MATCH(322,ChqRankL,0),0))=0,"",INDEX(ChqAmt,IFERROR(MATCH(322,ChqRankL,0),0))))</f>
        <v/>
      </c>
      <c r="E338" s="17">
        <f>IF(IFERROR(MATCH(322,ChqRankL,0),0)=0,"",INDEX(ChqStatus,IFERROR(MATCH(322,ChqRankL,0),0)))</f>
        <v/>
      </c>
      <c r="F338" s="24">
        <f>IF(IFERROR(MATCH(322,ChqRankL,0),0)=0,"",IF(INDEX(ChqStatus,IFERROR(MATCH(322,ChqRankL,0),0))="پاس نشده","—",IF(INDEX(ChqClr,IFERROR(MATCH(322,ChqRankL,0),0))="","—",INDEX(ChqClr,IFERROR(MATCH(322,ChqRankL,0),0)))))</f>
        <v/>
      </c>
      <c r="I338">
        <f>IF(322&gt;NChq,"",INDEX(ChqNorm,322))</f>
        <v/>
      </c>
      <c r="J338">
        <f>IF($I338="","",IF(AND($I338&gt;=$H$3,$I338&lt;=$H$4),1,0))</f>
        <v/>
      </c>
      <c r="K338">
        <f>IF($J338=0,"",INDEX(ChqKey,322))</f>
        <v/>
      </c>
      <c r="L338">
        <f>IF($K338="","",COUNTIFS($J$17:$J$516,1,$K$17:$K$516,"&lt;"&amp;$K338)+1)</f>
        <v/>
      </c>
    </row>
    <row r="339">
      <c r="A339" s="10">
        <f>IF(IFERROR(MATCH(323,ChqRankL,0),0)=0,"",323)</f>
        <v/>
      </c>
      <c r="B339" s="22">
        <f>IF(IFERROR(MATCH(323,ChqRankL,0),0)=0,"",INDEX(ChqNorm,IFERROR(MATCH(323,ChqRankL,0),0)))</f>
        <v/>
      </c>
      <c r="C339" s="22">
        <f>IF(IFERROR(MATCH(323,ChqRankL,0),0)=0,"",INDEX(ChqNo,IFERROR(MATCH(323,ChqRankL,0),0)))</f>
        <v/>
      </c>
      <c r="D339" s="23">
        <f>IF(IFERROR(MATCH(323,ChqRankL,0),0)=0,"",IF(INDEX(ChqAmt,IFERROR(MATCH(323,ChqRankL,0),0))=0,"",INDEX(ChqAmt,IFERROR(MATCH(323,ChqRankL,0),0))))</f>
        <v/>
      </c>
      <c r="E339" s="14">
        <f>IF(IFERROR(MATCH(323,ChqRankL,0),0)=0,"",INDEX(ChqStatus,IFERROR(MATCH(323,ChqRankL,0),0)))</f>
        <v/>
      </c>
      <c r="F339" s="22">
        <f>IF(IFERROR(MATCH(323,ChqRankL,0),0)=0,"",IF(INDEX(ChqStatus,IFERROR(MATCH(323,ChqRankL,0),0))="پاس نشده","—",IF(INDEX(ChqClr,IFERROR(MATCH(323,ChqRankL,0),0))="","—",INDEX(ChqClr,IFERROR(MATCH(323,ChqRankL,0),0)))))</f>
        <v/>
      </c>
      <c r="I339">
        <f>IF(323&gt;NChq,"",INDEX(ChqNorm,323))</f>
        <v/>
      </c>
      <c r="J339">
        <f>IF($I339="","",IF(AND($I339&gt;=$H$3,$I339&lt;=$H$4),1,0))</f>
        <v/>
      </c>
      <c r="K339">
        <f>IF($J339=0,"",INDEX(ChqKey,323))</f>
        <v/>
      </c>
      <c r="L339">
        <f>IF($K339="","",COUNTIFS($J$17:$J$516,1,$K$17:$K$516,"&lt;"&amp;$K339)+1)</f>
        <v/>
      </c>
    </row>
    <row r="340">
      <c r="A340" s="16">
        <f>IF(IFERROR(MATCH(324,ChqRankL,0),0)=0,"",324)</f>
        <v/>
      </c>
      <c r="B340" s="24">
        <f>IF(IFERROR(MATCH(324,ChqRankL,0),0)=0,"",INDEX(ChqNorm,IFERROR(MATCH(324,ChqRankL,0),0)))</f>
        <v/>
      </c>
      <c r="C340" s="24">
        <f>IF(IFERROR(MATCH(324,ChqRankL,0),0)=0,"",INDEX(ChqNo,IFERROR(MATCH(324,ChqRankL,0),0)))</f>
        <v/>
      </c>
      <c r="D340" s="25">
        <f>IF(IFERROR(MATCH(324,ChqRankL,0),0)=0,"",IF(INDEX(ChqAmt,IFERROR(MATCH(324,ChqRankL,0),0))=0,"",INDEX(ChqAmt,IFERROR(MATCH(324,ChqRankL,0),0))))</f>
        <v/>
      </c>
      <c r="E340" s="17">
        <f>IF(IFERROR(MATCH(324,ChqRankL,0),0)=0,"",INDEX(ChqStatus,IFERROR(MATCH(324,ChqRankL,0),0)))</f>
        <v/>
      </c>
      <c r="F340" s="24">
        <f>IF(IFERROR(MATCH(324,ChqRankL,0),0)=0,"",IF(INDEX(ChqStatus,IFERROR(MATCH(324,ChqRankL,0),0))="پاس نشده","—",IF(INDEX(ChqClr,IFERROR(MATCH(324,ChqRankL,0),0))="","—",INDEX(ChqClr,IFERROR(MATCH(324,ChqRankL,0),0)))))</f>
        <v/>
      </c>
      <c r="I340">
        <f>IF(324&gt;NChq,"",INDEX(ChqNorm,324))</f>
        <v/>
      </c>
      <c r="J340">
        <f>IF($I340="","",IF(AND($I340&gt;=$H$3,$I340&lt;=$H$4),1,0))</f>
        <v/>
      </c>
      <c r="K340">
        <f>IF($J340=0,"",INDEX(ChqKey,324))</f>
        <v/>
      </c>
      <c r="L340">
        <f>IF($K340="","",COUNTIFS($J$17:$J$516,1,$K$17:$K$516,"&lt;"&amp;$K340)+1)</f>
        <v/>
      </c>
    </row>
    <row r="341">
      <c r="A341" s="10">
        <f>IF(IFERROR(MATCH(325,ChqRankL,0),0)=0,"",325)</f>
        <v/>
      </c>
      <c r="B341" s="22">
        <f>IF(IFERROR(MATCH(325,ChqRankL,0),0)=0,"",INDEX(ChqNorm,IFERROR(MATCH(325,ChqRankL,0),0)))</f>
        <v/>
      </c>
      <c r="C341" s="22">
        <f>IF(IFERROR(MATCH(325,ChqRankL,0),0)=0,"",INDEX(ChqNo,IFERROR(MATCH(325,ChqRankL,0),0)))</f>
        <v/>
      </c>
      <c r="D341" s="23">
        <f>IF(IFERROR(MATCH(325,ChqRankL,0),0)=0,"",IF(INDEX(ChqAmt,IFERROR(MATCH(325,ChqRankL,0),0))=0,"",INDEX(ChqAmt,IFERROR(MATCH(325,ChqRankL,0),0))))</f>
        <v/>
      </c>
      <c r="E341" s="14">
        <f>IF(IFERROR(MATCH(325,ChqRankL,0),0)=0,"",INDEX(ChqStatus,IFERROR(MATCH(325,ChqRankL,0),0)))</f>
        <v/>
      </c>
      <c r="F341" s="22">
        <f>IF(IFERROR(MATCH(325,ChqRankL,0),0)=0,"",IF(INDEX(ChqStatus,IFERROR(MATCH(325,ChqRankL,0),0))="پاس نشده","—",IF(INDEX(ChqClr,IFERROR(MATCH(325,ChqRankL,0),0))="","—",INDEX(ChqClr,IFERROR(MATCH(325,ChqRankL,0),0)))))</f>
        <v/>
      </c>
      <c r="I341">
        <f>IF(325&gt;NChq,"",INDEX(ChqNorm,325))</f>
        <v/>
      </c>
      <c r="J341">
        <f>IF($I341="","",IF(AND($I341&gt;=$H$3,$I341&lt;=$H$4),1,0))</f>
        <v/>
      </c>
      <c r="K341">
        <f>IF($J341=0,"",INDEX(ChqKey,325))</f>
        <v/>
      </c>
      <c r="L341">
        <f>IF($K341="","",COUNTIFS($J$17:$J$516,1,$K$17:$K$516,"&lt;"&amp;$K341)+1)</f>
        <v/>
      </c>
    </row>
    <row r="342">
      <c r="A342" s="16">
        <f>IF(IFERROR(MATCH(326,ChqRankL,0),0)=0,"",326)</f>
        <v/>
      </c>
      <c r="B342" s="24">
        <f>IF(IFERROR(MATCH(326,ChqRankL,0),0)=0,"",INDEX(ChqNorm,IFERROR(MATCH(326,ChqRankL,0),0)))</f>
        <v/>
      </c>
      <c r="C342" s="24">
        <f>IF(IFERROR(MATCH(326,ChqRankL,0),0)=0,"",INDEX(ChqNo,IFERROR(MATCH(326,ChqRankL,0),0)))</f>
        <v/>
      </c>
      <c r="D342" s="25">
        <f>IF(IFERROR(MATCH(326,ChqRankL,0),0)=0,"",IF(INDEX(ChqAmt,IFERROR(MATCH(326,ChqRankL,0),0))=0,"",INDEX(ChqAmt,IFERROR(MATCH(326,ChqRankL,0),0))))</f>
        <v/>
      </c>
      <c r="E342" s="17">
        <f>IF(IFERROR(MATCH(326,ChqRankL,0),0)=0,"",INDEX(ChqStatus,IFERROR(MATCH(326,ChqRankL,0),0)))</f>
        <v/>
      </c>
      <c r="F342" s="24">
        <f>IF(IFERROR(MATCH(326,ChqRankL,0),0)=0,"",IF(INDEX(ChqStatus,IFERROR(MATCH(326,ChqRankL,0),0))="پاس نشده","—",IF(INDEX(ChqClr,IFERROR(MATCH(326,ChqRankL,0),0))="","—",INDEX(ChqClr,IFERROR(MATCH(326,ChqRankL,0),0)))))</f>
        <v/>
      </c>
      <c r="I342">
        <f>IF(326&gt;NChq,"",INDEX(ChqNorm,326))</f>
        <v/>
      </c>
      <c r="J342">
        <f>IF($I342="","",IF(AND($I342&gt;=$H$3,$I342&lt;=$H$4),1,0))</f>
        <v/>
      </c>
      <c r="K342">
        <f>IF($J342=0,"",INDEX(ChqKey,326))</f>
        <v/>
      </c>
      <c r="L342">
        <f>IF($K342="","",COUNTIFS($J$17:$J$516,1,$K$17:$K$516,"&lt;"&amp;$K342)+1)</f>
        <v/>
      </c>
    </row>
    <row r="343">
      <c r="A343" s="10">
        <f>IF(IFERROR(MATCH(327,ChqRankL,0),0)=0,"",327)</f>
        <v/>
      </c>
      <c r="B343" s="22">
        <f>IF(IFERROR(MATCH(327,ChqRankL,0),0)=0,"",INDEX(ChqNorm,IFERROR(MATCH(327,ChqRankL,0),0)))</f>
        <v/>
      </c>
      <c r="C343" s="22">
        <f>IF(IFERROR(MATCH(327,ChqRankL,0),0)=0,"",INDEX(ChqNo,IFERROR(MATCH(327,ChqRankL,0),0)))</f>
        <v/>
      </c>
      <c r="D343" s="23">
        <f>IF(IFERROR(MATCH(327,ChqRankL,0),0)=0,"",IF(INDEX(ChqAmt,IFERROR(MATCH(327,ChqRankL,0),0))=0,"",INDEX(ChqAmt,IFERROR(MATCH(327,ChqRankL,0),0))))</f>
        <v/>
      </c>
      <c r="E343" s="14">
        <f>IF(IFERROR(MATCH(327,ChqRankL,0),0)=0,"",INDEX(ChqStatus,IFERROR(MATCH(327,ChqRankL,0),0)))</f>
        <v/>
      </c>
      <c r="F343" s="22">
        <f>IF(IFERROR(MATCH(327,ChqRankL,0),0)=0,"",IF(INDEX(ChqStatus,IFERROR(MATCH(327,ChqRankL,0),0))="پاس نشده","—",IF(INDEX(ChqClr,IFERROR(MATCH(327,ChqRankL,0),0))="","—",INDEX(ChqClr,IFERROR(MATCH(327,ChqRankL,0),0)))))</f>
        <v/>
      </c>
      <c r="I343">
        <f>IF(327&gt;NChq,"",INDEX(ChqNorm,327))</f>
        <v/>
      </c>
      <c r="J343">
        <f>IF($I343="","",IF(AND($I343&gt;=$H$3,$I343&lt;=$H$4),1,0))</f>
        <v/>
      </c>
      <c r="K343">
        <f>IF($J343=0,"",INDEX(ChqKey,327))</f>
        <v/>
      </c>
      <c r="L343">
        <f>IF($K343="","",COUNTIFS($J$17:$J$516,1,$K$17:$K$516,"&lt;"&amp;$K343)+1)</f>
        <v/>
      </c>
    </row>
    <row r="344">
      <c r="A344" s="16">
        <f>IF(IFERROR(MATCH(328,ChqRankL,0),0)=0,"",328)</f>
        <v/>
      </c>
      <c r="B344" s="24">
        <f>IF(IFERROR(MATCH(328,ChqRankL,0),0)=0,"",INDEX(ChqNorm,IFERROR(MATCH(328,ChqRankL,0),0)))</f>
        <v/>
      </c>
      <c r="C344" s="24">
        <f>IF(IFERROR(MATCH(328,ChqRankL,0),0)=0,"",INDEX(ChqNo,IFERROR(MATCH(328,ChqRankL,0),0)))</f>
        <v/>
      </c>
      <c r="D344" s="25">
        <f>IF(IFERROR(MATCH(328,ChqRankL,0),0)=0,"",IF(INDEX(ChqAmt,IFERROR(MATCH(328,ChqRankL,0),0))=0,"",INDEX(ChqAmt,IFERROR(MATCH(328,ChqRankL,0),0))))</f>
        <v/>
      </c>
      <c r="E344" s="17">
        <f>IF(IFERROR(MATCH(328,ChqRankL,0),0)=0,"",INDEX(ChqStatus,IFERROR(MATCH(328,ChqRankL,0),0)))</f>
        <v/>
      </c>
      <c r="F344" s="24">
        <f>IF(IFERROR(MATCH(328,ChqRankL,0),0)=0,"",IF(INDEX(ChqStatus,IFERROR(MATCH(328,ChqRankL,0),0))="پاس نشده","—",IF(INDEX(ChqClr,IFERROR(MATCH(328,ChqRankL,0),0))="","—",INDEX(ChqClr,IFERROR(MATCH(328,ChqRankL,0),0)))))</f>
        <v/>
      </c>
      <c r="I344">
        <f>IF(328&gt;NChq,"",INDEX(ChqNorm,328))</f>
        <v/>
      </c>
      <c r="J344">
        <f>IF($I344="","",IF(AND($I344&gt;=$H$3,$I344&lt;=$H$4),1,0))</f>
        <v/>
      </c>
      <c r="K344">
        <f>IF($J344=0,"",INDEX(ChqKey,328))</f>
        <v/>
      </c>
      <c r="L344">
        <f>IF($K344="","",COUNTIFS($J$17:$J$516,1,$K$17:$K$516,"&lt;"&amp;$K344)+1)</f>
        <v/>
      </c>
    </row>
    <row r="345">
      <c r="A345" s="10">
        <f>IF(IFERROR(MATCH(329,ChqRankL,0),0)=0,"",329)</f>
        <v/>
      </c>
      <c r="B345" s="22">
        <f>IF(IFERROR(MATCH(329,ChqRankL,0),0)=0,"",INDEX(ChqNorm,IFERROR(MATCH(329,ChqRankL,0),0)))</f>
        <v/>
      </c>
      <c r="C345" s="22">
        <f>IF(IFERROR(MATCH(329,ChqRankL,0),0)=0,"",INDEX(ChqNo,IFERROR(MATCH(329,ChqRankL,0),0)))</f>
        <v/>
      </c>
      <c r="D345" s="23">
        <f>IF(IFERROR(MATCH(329,ChqRankL,0),0)=0,"",IF(INDEX(ChqAmt,IFERROR(MATCH(329,ChqRankL,0),0))=0,"",INDEX(ChqAmt,IFERROR(MATCH(329,ChqRankL,0),0))))</f>
        <v/>
      </c>
      <c r="E345" s="14">
        <f>IF(IFERROR(MATCH(329,ChqRankL,0),0)=0,"",INDEX(ChqStatus,IFERROR(MATCH(329,ChqRankL,0),0)))</f>
        <v/>
      </c>
      <c r="F345" s="22">
        <f>IF(IFERROR(MATCH(329,ChqRankL,0),0)=0,"",IF(INDEX(ChqStatus,IFERROR(MATCH(329,ChqRankL,0),0))="پاس نشده","—",IF(INDEX(ChqClr,IFERROR(MATCH(329,ChqRankL,0),0))="","—",INDEX(ChqClr,IFERROR(MATCH(329,ChqRankL,0),0)))))</f>
        <v/>
      </c>
      <c r="I345">
        <f>IF(329&gt;NChq,"",INDEX(ChqNorm,329))</f>
        <v/>
      </c>
      <c r="J345">
        <f>IF($I345="","",IF(AND($I345&gt;=$H$3,$I345&lt;=$H$4),1,0))</f>
        <v/>
      </c>
      <c r="K345">
        <f>IF($J345=0,"",INDEX(ChqKey,329))</f>
        <v/>
      </c>
      <c r="L345">
        <f>IF($K345="","",COUNTIFS($J$17:$J$516,1,$K$17:$K$516,"&lt;"&amp;$K345)+1)</f>
        <v/>
      </c>
    </row>
    <row r="346">
      <c r="A346" s="16">
        <f>IF(IFERROR(MATCH(330,ChqRankL,0),0)=0,"",330)</f>
        <v/>
      </c>
      <c r="B346" s="24">
        <f>IF(IFERROR(MATCH(330,ChqRankL,0),0)=0,"",INDEX(ChqNorm,IFERROR(MATCH(330,ChqRankL,0),0)))</f>
        <v/>
      </c>
      <c r="C346" s="24">
        <f>IF(IFERROR(MATCH(330,ChqRankL,0),0)=0,"",INDEX(ChqNo,IFERROR(MATCH(330,ChqRankL,0),0)))</f>
        <v/>
      </c>
      <c r="D346" s="25">
        <f>IF(IFERROR(MATCH(330,ChqRankL,0),0)=0,"",IF(INDEX(ChqAmt,IFERROR(MATCH(330,ChqRankL,0),0))=0,"",INDEX(ChqAmt,IFERROR(MATCH(330,ChqRankL,0),0))))</f>
        <v/>
      </c>
      <c r="E346" s="17">
        <f>IF(IFERROR(MATCH(330,ChqRankL,0),0)=0,"",INDEX(ChqStatus,IFERROR(MATCH(330,ChqRankL,0),0)))</f>
        <v/>
      </c>
      <c r="F346" s="24">
        <f>IF(IFERROR(MATCH(330,ChqRankL,0),0)=0,"",IF(INDEX(ChqStatus,IFERROR(MATCH(330,ChqRankL,0),0))="پاس نشده","—",IF(INDEX(ChqClr,IFERROR(MATCH(330,ChqRankL,0),0))="","—",INDEX(ChqClr,IFERROR(MATCH(330,ChqRankL,0),0)))))</f>
        <v/>
      </c>
      <c r="I346">
        <f>IF(330&gt;NChq,"",INDEX(ChqNorm,330))</f>
        <v/>
      </c>
      <c r="J346">
        <f>IF($I346="","",IF(AND($I346&gt;=$H$3,$I346&lt;=$H$4),1,0))</f>
        <v/>
      </c>
      <c r="K346">
        <f>IF($J346=0,"",INDEX(ChqKey,330))</f>
        <v/>
      </c>
      <c r="L346">
        <f>IF($K346="","",COUNTIFS($J$17:$J$516,1,$K$17:$K$516,"&lt;"&amp;$K346)+1)</f>
        <v/>
      </c>
    </row>
    <row r="347">
      <c r="A347" s="10">
        <f>IF(IFERROR(MATCH(331,ChqRankL,0),0)=0,"",331)</f>
        <v/>
      </c>
      <c r="B347" s="22">
        <f>IF(IFERROR(MATCH(331,ChqRankL,0),0)=0,"",INDEX(ChqNorm,IFERROR(MATCH(331,ChqRankL,0),0)))</f>
        <v/>
      </c>
      <c r="C347" s="22">
        <f>IF(IFERROR(MATCH(331,ChqRankL,0),0)=0,"",INDEX(ChqNo,IFERROR(MATCH(331,ChqRankL,0),0)))</f>
        <v/>
      </c>
      <c r="D347" s="23">
        <f>IF(IFERROR(MATCH(331,ChqRankL,0),0)=0,"",IF(INDEX(ChqAmt,IFERROR(MATCH(331,ChqRankL,0),0))=0,"",INDEX(ChqAmt,IFERROR(MATCH(331,ChqRankL,0),0))))</f>
        <v/>
      </c>
      <c r="E347" s="14">
        <f>IF(IFERROR(MATCH(331,ChqRankL,0),0)=0,"",INDEX(ChqStatus,IFERROR(MATCH(331,ChqRankL,0),0)))</f>
        <v/>
      </c>
      <c r="F347" s="22">
        <f>IF(IFERROR(MATCH(331,ChqRankL,0),0)=0,"",IF(INDEX(ChqStatus,IFERROR(MATCH(331,ChqRankL,0),0))="پاس نشده","—",IF(INDEX(ChqClr,IFERROR(MATCH(331,ChqRankL,0),0))="","—",INDEX(ChqClr,IFERROR(MATCH(331,ChqRankL,0),0)))))</f>
        <v/>
      </c>
      <c r="I347">
        <f>IF(331&gt;NChq,"",INDEX(ChqNorm,331))</f>
        <v/>
      </c>
      <c r="J347">
        <f>IF($I347="","",IF(AND($I347&gt;=$H$3,$I347&lt;=$H$4),1,0))</f>
        <v/>
      </c>
      <c r="K347">
        <f>IF($J347=0,"",INDEX(ChqKey,331))</f>
        <v/>
      </c>
      <c r="L347">
        <f>IF($K347="","",COUNTIFS($J$17:$J$516,1,$K$17:$K$516,"&lt;"&amp;$K347)+1)</f>
        <v/>
      </c>
    </row>
    <row r="348">
      <c r="A348" s="16">
        <f>IF(IFERROR(MATCH(332,ChqRankL,0),0)=0,"",332)</f>
        <v/>
      </c>
      <c r="B348" s="24">
        <f>IF(IFERROR(MATCH(332,ChqRankL,0),0)=0,"",INDEX(ChqNorm,IFERROR(MATCH(332,ChqRankL,0),0)))</f>
        <v/>
      </c>
      <c r="C348" s="24">
        <f>IF(IFERROR(MATCH(332,ChqRankL,0),0)=0,"",INDEX(ChqNo,IFERROR(MATCH(332,ChqRankL,0),0)))</f>
        <v/>
      </c>
      <c r="D348" s="25">
        <f>IF(IFERROR(MATCH(332,ChqRankL,0),0)=0,"",IF(INDEX(ChqAmt,IFERROR(MATCH(332,ChqRankL,0),0))=0,"",INDEX(ChqAmt,IFERROR(MATCH(332,ChqRankL,0),0))))</f>
        <v/>
      </c>
      <c r="E348" s="17">
        <f>IF(IFERROR(MATCH(332,ChqRankL,0),0)=0,"",INDEX(ChqStatus,IFERROR(MATCH(332,ChqRankL,0),0)))</f>
        <v/>
      </c>
      <c r="F348" s="24">
        <f>IF(IFERROR(MATCH(332,ChqRankL,0),0)=0,"",IF(INDEX(ChqStatus,IFERROR(MATCH(332,ChqRankL,0),0))="پاس نشده","—",IF(INDEX(ChqClr,IFERROR(MATCH(332,ChqRankL,0),0))="","—",INDEX(ChqClr,IFERROR(MATCH(332,ChqRankL,0),0)))))</f>
        <v/>
      </c>
      <c r="I348">
        <f>IF(332&gt;NChq,"",INDEX(ChqNorm,332))</f>
        <v/>
      </c>
      <c r="J348">
        <f>IF($I348="","",IF(AND($I348&gt;=$H$3,$I348&lt;=$H$4),1,0))</f>
        <v/>
      </c>
      <c r="K348">
        <f>IF($J348=0,"",INDEX(ChqKey,332))</f>
        <v/>
      </c>
      <c r="L348">
        <f>IF($K348="","",COUNTIFS($J$17:$J$516,1,$K$17:$K$516,"&lt;"&amp;$K348)+1)</f>
        <v/>
      </c>
    </row>
    <row r="349">
      <c r="A349" s="10">
        <f>IF(IFERROR(MATCH(333,ChqRankL,0),0)=0,"",333)</f>
        <v/>
      </c>
      <c r="B349" s="22">
        <f>IF(IFERROR(MATCH(333,ChqRankL,0),0)=0,"",INDEX(ChqNorm,IFERROR(MATCH(333,ChqRankL,0),0)))</f>
        <v/>
      </c>
      <c r="C349" s="22">
        <f>IF(IFERROR(MATCH(333,ChqRankL,0),0)=0,"",INDEX(ChqNo,IFERROR(MATCH(333,ChqRankL,0),0)))</f>
        <v/>
      </c>
      <c r="D349" s="23">
        <f>IF(IFERROR(MATCH(333,ChqRankL,0),0)=0,"",IF(INDEX(ChqAmt,IFERROR(MATCH(333,ChqRankL,0),0))=0,"",INDEX(ChqAmt,IFERROR(MATCH(333,ChqRankL,0),0))))</f>
        <v/>
      </c>
      <c r="E349" s="14">
        <f>IF(IFERROR(MATCH(333,ChqRankL,0),0)=0,"",INDEX(ChqStatus,IFERROR(MATCH(333,ChqRankL,0),0)))</f>
        <v/>
      </c>
      <c r="F349" s="22">
        <f>IF(IFERROR(MATCH(333,ChqRankL,0),0)=0,"",IF(INDEX(ChqStatus,IFERROR(MATCH(333,ChqRankL,0),0))="پاس نشده","—",IF(INDEX(ChqClr,IFERROR(MATCH(333,ChqRankL,0),0))="","—",INDEX(ChqClr,IFERROR(MATCH(333,ChqRankL,0),0)))))</f>
        <v/>
      </c>
      <c r="I349">
        <f>IF(333&gt;NChq,"",INDEX(ChqNorm,333))</f>
        <v/>
      </c>
      <c r="J349">
        <f>IF($I349="","",IF(AND($I349&gt;=$H$3,$I349&lt;=$H$4),1,0))</f>
        <v/>
      </c>
      <c r="K349">
        <f>IF($J349=0,"",INDEX(ChqKey,333))</f>
        <v/>
      </c>
      <c r="L349">
        <f>IF($K349="","",COUNTIFS($J$17:$J$516,1,$K$17:$K$516,"&lt;"&amp;$K349)+1)</f>
        <v/>
      </c>
    </row>
    <row r="350">
      <c r="A350" s="16">
        <f>IF(IFERROR(MATCH(334,ChqRankL,0),0)=0,"",334)</f>
        <v/>
      </c>
      <c r="B350" s="24">
        <f>IF(IFERROR(MATCH(334,ChqRankL,0),0)=0,"",INDEX(ChqNorm,IFERROR(MATCH(334,ChqRankL,0),0)))</f>
        <v/>
      </c>
      <c r="C350" s="24">
        <f>IF(IFERROR(MATCH(334,ChqRankL,0),0)=0,"",INDEX(ChqNo,IFERROR(MATCH(334,ChqRankL,0),0)))</f>
        <v/>
      </c>
      <c r="D350" s="25">
        <f>IF(IFERROR(MATCH(334,ChqRankL,0),0)=0,"",IF(INDEX(ChqAmt,IFERROR(MATCH(334,ChqRankL,0),0))=0,"",INDEX(ChqAmt,IFERROR(MATCH(334,ChqRankL,0),0))))</f>
        <v/>
      </c>
      <c r="E350" s="17">
        <f>IF(IFERROR(MATCH(334,ChqRankL,0),0)=0,"",INDEX(ChqStatus,IFERROR(MATCH(334,ChqRankL,0),0)))</f>
        <v/>
      </c>
      <c r="F350" s="24">
        <f>IF(IFERROR(MATCH(334,ChqRankL,0),0)=0,"",IF(INDEX(ChqStatus,IFERROR(MATCH(334,ChqRankL,0),0))="پاس نشده","—",IF(INDEX(ChqClr,IFERROR(MATCH(334,ChqRankL,0),0))="","—",INDEX(ChqClr,IFERROR(MATCH(334,ChqRankL,0),0)))))</f>
        <v/>
      </c>
      <c r="I350">
        <f>IF(334&gt;NChq,"",INDEX(ChqNorm,334))</f>
        <v/>
      </c>
      <c r="J350">
        <f>IF($I350="","",IF(AND($I350&gt;=$H$3,$I350&lt;=$H$4),1,0))</f>
        <v/>
      </c>
      <c r="K350">
        <f>IF($J350=0,"",INDEX(ChqKey,334))</f>
        <v/>
      </c>
      <c r="L350">
        <f>IF($K350="","",COUNTIFS($J$17:$J$516,1,$K$17:$K$516,"&lt;"&amp;$K350)+1)</f>
        <v/>
      </c>
    </row>
    <row r="351">
      <c r="A351" s="10">
        <f>IF(IFERROR(MATCH(335,ChqRankL,0),0)=0,"",335)</f>
        <v/>
      </c>
      <c r="B351" s="22">
        <f>IF(IFERROR(MATCH(335,ChqRankL,0),0)=0,"",INDEX(ChqNorm,IFERROR(MATCH(335,ChqRankL,0),0)))</f>
        <v/>
      </c>
      <c r="C351" s="22">
        <f>IF(IFERROR(MATCH(335,ChqRankL,0),0)=0,"",INDEX(ChqNo,IFERROR(MATCH(335,ChqRankL,0),0)))</f>
        <v/>
      </c>
      <c r="D351" s="23">
        <f>IF(IFERROR(MATCH(335,ChqRankL,0),0)=0,"",IF(INDEX(ChqAmt,IFERROR(MATCH(335,ChqRankL,0),0))=0,"",INDEX(ChqAmt,IFERROR(MATCH(335,ChqRankL,0),0))))</f>
        <v/>
      </c>
      <c r="E351" s="14">
        <f>IF(IFERROR(MATCH(335,ChqRankL,0),0)=0,"",INDEX(ChqStatus,IFERROR(MATCH(335,ChqRankL,0),0)))</f>
        <v/>
      </c>
      <c r="F351" s="22">
        <f>IF(IFERROR(MATCH(335,ChqRankL,0),0)=0,"",IF(INDEX(ChqStatus,IFERROR(MATCH(335,ChqRankL,0),0))="پاس نشده","—",IF(INDEX(ChqClr,IFERROR(MATCH(335,ChqRankL,0),0))="","—",INDEX(ChqClr,IFERROR(MATCH(335,ChqRankL,0),0)))))</f>
        <v/>
      </c>
      <c r="I351">
        <f>IF(335&gt;NChq,"",INDEX(ChqNorm,335))</f>
        <v/>
      </c>
      <c r="J351">
        <f>IF($I351="","",IF(AND($I351&gt;=$H$3,$I351&lt;=$H$4),1,0))</f>
        <v/>
      </c>
      <c r="K351">
        <f>IF($J351=0,"",INDEX(ChqKey,335))</f>
        <v/>
      </c>
      <c r="L351">
        <f>IF($K351="","",COUNTIFS($J$17:$J$516,1,$K$17:$K$516,"&lt;"&amp;$K351)+1)</f>
        <v/>
      </c>
    </row>
    <row r="352">
      <c r="A352" s="16">
        <f>IF(IFERROR(MATCH(336,ChqRankL,0),0)=0,"",336)</f>
        <v/>
      </c>
      <c r="B352" s="24">
        <f>IF(IFERROR(MATCH(336,ChqRankL,0),0)=0,"",INDEX(ChqNorm,IFERROR(MATCH(336,ChqRankL,0),0)))</f>
        <v/>
      </c>
      <c r="C352" s="24">
        <f>IF(IFERROR(MATCH(336,ChqRankL,0),0)=0,"",INDEX(ChqNo,IFERROR(MATCH(336,ChqRankL,0),0)))</f>
        <v/>
      </c>
      <c r="D352" s="25">
        <f>IF(IFERROR(MATCH(336,ChqRankL,0),0)=0,"",IF(INDEX(ChqAmt,IFERROR(MATCH(336,ChqRankL,0),0))=0,"",INDEX(ChqAmt,IFERROR(MATCH(336,ChqRankL,0),0))))</f>
        <v/>
      </c>
      <c r="E352" s="17">
        <f>IF(IFERROR(MATCH(336,ChqRankL,0),0)=0,"",INDEX(ChqStatus,IFERROR(MATCH(336,ChqRankL,0),0)))</f>
        <v/>
      </c>
      <c r="F352" s="24">
        <f>IF(IFERROR(MATCH(336,ChqRankL,0),0)=0,"",IF(INDEX(ChqStatus,IFERROR(MATCH(336,ChqRankL,0),0))="پاس نشده","—",IF(INDEX(ChqClr,IFERROR(MATCH(336,ChqRankL,0),0))="","—",INDEX(ChqClr,IFERROR(MATCH(336,ChqRankL,0),0)))))</f>
        <v/>
      </c>
      <c r="I352">
        <f>IF(336&gt;NChq,"",INDEX(ChqNorm,336))</f>
        <v/>
      </c>
      <c r="J352">
        <f>IF($I352="","",IF(AND($I352&gt;=$H$3,$I352&lt;=$H$4),1,0))</f>
        <v/>
      </c>
      <c r="K352">
        <f>IF($J352=0,"",INDEX(ChqKey,336))</f>
        <v/>
      </c>
      <c r="L352">
        <f>IF($K352="","",COUNTIFS($J$17:$J$516,1,$K$17:$K$516,"&lt;"&amp;$K352)+1)</f>
        <v/>
      </c>
    </row>
    <row r="353">
      <c r="A353" s="10">
        <f>IF(IFERROR(MATCH(337,ChqRankL,0),0)=0,"",337)</f>
        <v/>
      </c>
      <c r="B353" s="22">
        <f>IF(IFERROR(MATCH(337,ChqRankL,0),0)=0,"",INDEX(ChqNorm,IFERROR(MATCH(337,ChqRankL,0),0)))</f>
        <v/>
      </c>
      <c r="C353" s="22">
        <f>IF(IFERROR(MATCH(337,ChqRankL,0),0)=0,"",INDEX(ChqNo,IFERROR(MATCH(337,ChqRankL,0),0)))</f>
        <v/>
      </c>
      <c r="D353" s="23">
        <f>IF(IFERROR(MATCH(337,ChqRankL,0),0)=0,"",IF(INDEX(ChqAmt,IFERROR(MATCH(337,ChqRankL,0),0))=0,"",INDEX(ChqAmt,IFERROR(MATCH(337,ChqRankL,0),0))))</f>
        <v/>
      </c>
      <c r="E353" s="14">
        <f>IF(IFERROR(MATCH(337,ChqRankL,0),0)=0,"",INDEX(ChqStatus,IFERROR(MATCH(337,ChqRankL,0),0)))</f>
        <v/>
      </c>
      <c r="F353" s="22">
        <f>IF(IFERROR(MATCH(337,ChqRankL,0),0)=0,"",IF(INDEX(ChqStatus,IFERROR(MATCH(337,ChqRankL,0),0))="پاس نشده","—",IF(INDEX(ChqClr,IFERROR(MATCH(337,ChqRankL,0),0))="","—",INDEX(ChqClr,IFERROR(MATCH(337,ChqRankL,0),0)))))</f>
        <v/>
      </c>
      <c r="I353">
        <f>IF(337&gt;NChq,"",INDEX(ChqNorm,337))</f>
        <v/>
      </c>
      <c r="J353">
        <f>IF($I353="","",IF(AND($I353&gt;=$H$3,$I353&lt;=$H$4),1,0))</f>
        <v/>
      </c>
      <c r="K353">
        <f>IF($J353=0,"",INDEX(ChqKey,337))</f>
        <v/>
      </c>
      <c r="L353">
        <f>IF($K353="","",COUNTIFS($J$17:$J$516,1,$K$17:$K$516,"&lt;"&amp;$K353)+1)</f>
        <v/>
      </c>
    </row>
    <row r="354">
      <c r="A354" s="16">
        <f>IF(IFERROR(MATCH(338,ChqRankL,0),0)=0,"",338)</f>
        <v/>
      </c>
      <c r="B354" s="24">
        <f>IF(IFERROR(MATCH(338,ChqRankL,0),0)=0,"",INDEX(ChqNorm,IFERROR(MATCH(338,ChqRankL,0),0)))</f>
        <v/>
      </c>
      <c r="C354" s="24">
        <f>IF(IFERROR(MATCH(338,ChqRankL,0),0)=0,"",INDEX(ChqNo,IFERROR(MATCH(338,ChqRankL,0),0)))</f>
        <v/>
      </c>
      <c r="D354" s="25">
        <f>IF(IFERROR(MATCH(338,ChqRankL,0),0)=0,"",IF(INDEX(ChqAmt,IFERROR(MATCH(338,ChqRankL,0),0))=0,"",INDEX(ChqAmt,IFERROR(MATCH(338,ChqRankL,0),0))))</f>
        <v/>
      </c>
      <c r="E354" s="17">
        <f>IF(IFERROR(MATCH(338,ChqRankL,0),0)=0,"",INDEX(ChqStatus,IFERROR(MATCH(338,ChqRankL,0),0)))</f>
        <v/>
      </c>
      <c r="F354" s="24">
        <f>IF(IFERROR(MATCH(338,ChqRankL,0),0)=0,"",IF(INDEX(ChqStatus,IFERROR(MATCH(338,ChqRankL,0),0))="پاس نشده","—",IF(INDEX(ChqClr,IFERROR(MATCH(338,ChqRankL,0),0))="","—",INDEX(ChqClr,IFERROR(MATCH(338,ChqRankL,0),0)))))</f>
        <v/>
      </c>
      <c r="I354">
        <f>IF(338&gt;NChq,"",INDEX(ChqNorm,338))</f>
        <v/>
      </c>
      <c r="J354">
        <f>IF($I354="","",IF(AND($I354&gt;=$H$3,$I354&lt;=$H$4),1,0))</f>
        <v/>
      </c>
      <c r="K354">
        <f>IF($J354=0,"",INDEX(ChqKey,338))</f>
        <v/>
      </c>
      <c r="L354">
        <f>IF($K354="","",COUNTIFS($J$17:$J$516,1,$K$17:$K$516,"&lt;"&amp;$K354)+1)</f>
        <v/>
      </c>
    </row>
    <row r="355">
      <c r="A355" s="10">
        <f>IF(IFERROR(MATCH(339,ChqRankL,0),0)=0,"",339)</f>
        <v/>
      </c>
      <c r="B355" s="22">
        <f>IF(IFERROR(MATCH(339,ChqRankL,0),0)=0,"",INDEX(ChqNorm,IFERROR(MATCH(339,ChqRankL,0),0)))</f>
        <v/>
      </c>
      <c r="C355" s="22">
        <f>IF(IFERROR(MATCH(339,ChqRankL,0),0)=0,"",INDEX(ChqNo,IFERROR(MATCH(339,ChqRankL,0),0)))</f>
        <v/>
      </c>
      <c r="D355" s="23">
        <f>IF(IFERROR(MATCH(339,ChqRankL,0),0)=0,"",IF(INDEX(ChqAmt,IFERROR(MATCH(339,ChqRankL,0),0))=0,"",INDEX(ChqAmt,IFERROR(MATCH(339,ChqRankL,0),0))))</f>
        <v/>
      </c>
      <c r="E355" s="14">
        <f>IF(IFERROR(MATCH(339,ChqRankL,0),0)=0,"",INDEX(ChqStatus,IFERROR(MATCH(339,ChqRankL,0),0)))</f>
        <v/>
      </c>
      <c r="F355" s="22">
        <f>IF(IFERROR(MATCH(339,ChqRankL,0),0)=0,"",IF(INDEX(ChqStatus,IFERROR(MATCH(339,ChqRankL,0),0))="پاس نشده","—",IF(INDEX(ChqClr,IFERROR(MATCH(339,ChqRankL,0),0))="","—",INDEX(ChqClr,IFERROR(MATCH(339,ChqRankL,0),0)))))</f>
        <v/>
      </c>
      <c r="I355">
        <f>IF(339&gt;NChq,"",INDEX(ChqNorm,339))</f>
        <v/>
      </c>
      <c r="J355">
        <f>IF($I355="","",IF(AND($I355&gt;=$H$3,$I355&lt;=$H$4),1,0))</f>
        <v/>
      </c>
      <c r="K355">
        <f>IF($J355=0,"",INDEX(ChqKey,339))</f>
        <v/>
      </c>
      <c r="L355">
        <f>IF($K355="","",COUNTIFS($J$17:$J$516,1,$K$17:$K$516,"&lt;"&amp;$K355)+1)</f>
        <v/>
      </c>
    </row>
    <row r="356">
      <c r="A356" s="16">
        <f>IF(IFERROR(MATCH(340,ChqRankL,0),0)=0,"",340)</f>
        <v/>
      </c>
      <c r="B356" s="24">
        <f>IF(IFERROR(MATCH(340,ChqRankL,0),0)=0,"",INDEX(ChqNorm,IFERROR(MATCH(340,ChqRankL,0),0)))</f>
        <v/>
      </c>
      <c r="C356" s="24">
        <f>IF(IFERROR(MATCH(340,ChqRankL,0),0)=0,"",INDEX(ChqNo,IFERROR(MATCH(340,ChqRankL,0),0)))</f>
        <v/>
      </c>
      <c r="D356" s="25">
        <f>IF(IFERROR(MATCH(340,ChqRankL,0),0)=0,"",IF(INDEX(ChqAmt,IFERROR(MATCH(340,ChqRankL,0),0))=0,"",INDEX(ChqAmt,IFERROR(MATCH(340,ChqRankL,0),0))))</f>
        <v/>
      </c>
      <c r="E356" s="17">
        <f>IF(IFERROR(MATCH(340,ChqRankL,0),0)=0,"",INDEX(ChqStatus,IFERROR(MATCH(340,ChqRankL,0),0)))</f>
        <v/>
      </c>
      <c r="F356" s="24">
        <f>IF(IFERROR(MATCH(340,ChqRankL,0),0)=0,"",IF(INDEX(ChqStatus,IFERROR(MATCH(340,ChqRankL,0),0))="پاس نشده","—",IF(INDEX(ChqClr,IFERROR(MATCH(340,ChqRankL,0),0))="","—",INDEX(ChqClr,IFERROR(MATCH(340,ChqRankL,0),0)))))</f>
        <v/>
      </c>
      <c r="I356">
        <f>IF(340&gt;NChq,"",INDEX(ChqNorm,340))</f>
        <v/>
      </c>
      <c r="J356">
        <f>IF($I356="","",IF(AND($I356&gt;=$H$3,$I356&lt;=$H$4),1,0))</f>
        <v/>
      </c>
      <c r="K356">
        <f>IF($J356=0,"",INDEX(ChqKey,340))</f>
        <v/>
      </c>
      <c r="L356">
        <f>IF($K356="","",COUNTIFS($J$17:$J$516,1,$K$17:$K$516,"&lt;"&amp;$K356)+1)</f>
        <v/>
      </c>
    </row>
    <row r="357">
      <c r="A357" s="10">
        <f>IF(IFERROR(MATCH(341,ChqRankL,0),0)=0,"",341)</f>
        <v/>
      </c>
      <c r="B357" s="22">
        <f>IF(IFERROR(MATCH(341,ChqRankL,0),0)=0,"",INDEX(ChqNorm,IFERROR(MATCH(341,ChqRankL,0),0)))</f>
        <v/>
      </c>
      <c r="C357" s="22">
        <f>IF(IFERROR(MATCH(341,ChqRankL,0),0)=0,"",INDEX(ChqNo,IFERROR(MATCH(341,ChqRankL,0),0)))</f>
        <v/>
      </c>
      <c r="D357" s="23">
        <f>IF(IFERROR(MATCH(341,ChqRankL,0),0)=0,"",IF(INDEX(ChqAmt,IFERROR(MATCH(341,ChqRankL,0),0))=0,"",INDEX(ChqAmt,IFERROR(MATCH(341,ChqRankL,0),0))))</f>
        <v/>
      </c>
      <c r="E357" s="14">
        <f>IF(IFERROR(MATCH(341,ChqRankL,0),0)=0,"",INDEX(ChqStatus,IFERROR(MATCH(341,ChqRankL,0),0)))</f>
        <v/>
      </c>
      <c r="F357" s="22">
        <f>IF(IFERROR(MATCH(341,ChqRankL,0),0)=0,"",IF(INDEX(ChqStatus,IFERROR(MATCH(341,ChqRankL,0),0))="پاس نشده","—",IF(INDEX(ChqClr,IFERROR(MATCH(341,ChqRankL,0),0))="","—",INDEX(ChqClr,IFERROR(MATCH(341,ChqRankL,0),0)))))</f>
        <v/>
      </c>
      <c r="I357">
        <f>IF(341&gt;NChq,"",INDEX(ChqNorm,341))</f>
        <v/>
      </c>
      <c r="J357">
        <f>IF($I357="","",IF(AND($I357&gt;=$H$3,$I357&lt;=$H$4),1,0))</f>
        <v/>
      </c>
      <c r="K357">
        <f>IF($J357=0,"",INDEX(ChqKey,341))</f>
        <v/>
      </c>
      <c r="L357">
        <f>IF($K357="","",COUNTIFS($J$17:$J$516,1,$K$17:$K$516,"&lt;"&amp;$K357)+1)</f>
        <v/>
      </c>
    </row>
    <row r="358">
      <c r="A358" s="16">
        <f>IF(IFERROR(MATCH(342,ChqRankL,0),0)=0,"",342)</f>
        <v/>
      </c>
      <c r="B358" s="24">
        <f>IF(IFERROR(MATCH(342,ChqRankL,0),0)=0,"",INDEX(ChqNorm,IFERROR(MATCH(342,ChqRankL,0),0)))</f>
        <v/>
      </c>
      <c r="C358" s="24">
        <f>IF(IFERROR(MATCH(342,ChqRankL,0),0)=0,"",INDEX(ChqNo,IFERROR(MATCH(342,ChqRankL,0),0)))</f>
        <v/>
      </c>
      <c r="D358" s="25">
        <f>IF(IFERROR(MATCH(342,ChqRankL,0),0)=0,"",IF(INDEX(ChqAmt,IFERROR(MATCH(342,ChqRankL,0),0))=0,"",INDEX(ChqAmt,IFERROR(MATCH(342,ChqRankL,0),0))))</f>
        <v/>
      </c>
      <c r="E358" s="17">
        <f>IF(IFERROR(MATCH(342,ChqRankL,0),0)=0,"",INDEX(ChqStatus,IFERROR(MATCH(342,ChqRankL,0),0)))</f>
        <v/>
      </c>
      <c r="F358" s="24">
        <f>IF(IFERROR(MATCH(342,ChqRankL,0),0)=0,"",IF(INDEX(ChqStatus,IFERROR(MATCH(342,ChqRankL,0),0))="پاس نشده","—",IF(INDEX(ChqClr,IFERROR(MATCH(342,ChqRankL,0),0))="","—",INDEX(ChqClr,IFERROR(MATCH(342,ChqRankL,0),0)))))</f>
        <v/>
      </c>
      <c r="I358">
        <f>IF(342&gt;NChq,"",INDEX(ChqNorm,342))</f>
        <v/>
      </c>
      <c r="J358">
        <f>IF($I358="","",IF(AND($I358&gt;=$H$3,$I358&lt;=$H$4),1,0))</f>
        <v/>
      </c>
      <c r="K358">
        <f>IF($J358=0,"",INDEX(ChqKey,342))</f>
        <v/>
      </c>
      <c r="L358">
        <f>IF($K358="","",COUNTIFS($J$17:$J$516,1,$K$17:$K$516,"&lt;"&amp;$K358)+1)</f>
        <v/>
      </c>
    </row>
    <row r="359">
      <c r="A359" s="10">
        <f>IF(IFERROR(MATCH(343,ChqRankL,0),0)=0,"",343)</f>
        <v/>
      </c>
      <c r="B359" s="22">
        <f>IF(IFERROR(MATCH(343,ChqRankL,0),0)=0,"",INDEX(ChqNorm,IFERROR(MATCH(343,ChqRankL,0),0)))</f>
        <v/>
      </c>
      <c r="C359" s="22">
        <f>IF(IFERROR(MATCH(343,ChqRankL,0),0)=0,"",INDEX(ChqNo,IFERROR(MATCH(343,ChqRankL,0),0)))</f>
        <v/>
      </c>
      <c r="D359" s="23">
        <f>IF(IFERROR(MATCH(343,ChqRankL,0),0)=0,"",IF(INDEX(ChqAmt,IFERROR(MATCH(343,ChqRankL,0),0))=0,"",INDEX(ChqAmt,IFERROR(MATCH(343,ChqRankL,0),0))))</f>
        <v/>
      </c>
      <c r="E359" s="14">
        <f>IF(IFERROR(MATCH(343,ChqRankL,0),0)=0,"",INDEX(ChqStatus,IFERROR(MATCH(343,ChqRankL,0),0)))</f>
        <v/>
      </c>
      <c r="F359" s="22">
        <f>IF(IFERROR(MATCH(343,ChqRankL,0),0)=0,"",IF(INDEX(ChqStatus,IFERROR(MATCH(343,ChqRankL,0),0))="پاس نشده","—",IF(INDEX(ChqClr,IFERROR(MATCH(343,ChqRankL,0),0))="","—",INDEX(ChqClr,IFERROR(MATCH(343,ChqRankL,0),0)))))</f>
        <v/>
      </c>
      <c r="I359">
        <f>IF(343&gt;NChq,"",INDEX(ChqNorm,343))</f>
        <v/>
      </c>
      <c r="J359">
        <f>IF($I359="","",IF(AND($I359&gt;=$H$3,$I359&lt;=$H$4),1,0))</f>
        <v/>
      </c>
      <c r="K359">
        <f>IF($J359=0,"",INDEX(ChqKey,343))</f>
        <v/>
      </c>
      <c r="L359">
        <f>IF($K359="","",COUNTIFS($J$17:$J$516,1,$K$17:$K$516,"&lt;"&amp;$K359)+1)</f>
        <v/>
      </c>
    </row>
    <row r="360">
      <c r="A360" s="16">
        <f>IF(IFERROR(MATCH(344,ChqRankL,0),0)=0,"",344)</f>
        <v/>
      </c>
      <c r="B360" s="24">
        <f>IF(IFERROR(MATCH(344,ChqRankL,0),0)=0,"",INDEX(ChqNorm,IFERROR(MATCH(344,ChqRankL,0),0)))</f>
        <v/>
      </c>
      <c r="C360" s="24">
        <f>IF(IFERROR(MATCH(344,ChqRankL,0),0)=0,"",INDEX(ChqNo,IFERROR(MATCH(344,ChqRankL,0),0)))</f>
        <v/>
      </c>
      <c r="D360" s="25">
        <f>IF(IFERROR(MATCH(344,ChqRankL,0),0)=0,"",IF(INDEX(ChqAmt,IFERROR(MATCH(344,ChqRankL,0),0))=0,"",INDEX(ChqAmt,IFERROR(MATCH(344,ChqRankL,0),0))))</f>
        <v/>
      </c>
      <c r="E360" s="17">
        <f>IF(IFERROR(MATCH(344,ChqRankL,0),0)=0,"",INDEX(ChqStatus,IFERROR(MATCH(344,ChqRankL,0),0)))</f>
        <v/>
      </c>
      <c r="F360" s="24">
        <f>IF(IFERROR(MATCH(344,ChqRankL,0),0)=0,"",IF(INDEX(ChqStatus,IFERROR(MATCH(344,ChqRankL,0),0))="پاس نشده","—",IF(INDEX(ChqClr,IFERROR(MATCH(344,ChqRankL,0),0))="","—",INDEX(ChqClr,IFERROR(MATCH(344,ChqRankL,0),0)))))</f>
        <v/>
      </c>
      <c r="I360">
        <f>IF(344&gt;NChq,"",INDEX(ChqNorm,344))</f>
        <v/>
      </c>
      <c r="J360">
        <f>IF($I360="","",IF(AND($I360&gt;=$H$3,$I360&lt;=$H$4),1,0))</f>
        <v/>
      </c>
      <c r="K360">
        <f>IF($J360=0,"",INDEX(ChqKey,344))</f>
        <v/>
      </c>
      <c r="L360">
        <f>IF($K360="","",COUNTIFS($J$17:$J$516,1,$K$17:$K$516,"&lt;"&amp;$K360)+1)</f>
        <v/>
      </c>
    </row>
    <row r="361">
      <c r="A361" s="10">
        <f>IF(IFERROR(MATCH(345,ChqRankL,0),0)=0,"",345)</f>
        <v/>
      </c>
      <c r="B361" s="22">
        <f>IF(IFERROR(MATCH(345,ChqRankL,0),0)=0,"",INDEX(ChqNorm,IFERROR(MATCH(345,ChqRankL,0),0)))</f>
        <v/>
      </c>
      <c r="C361" s="22">
        <f>IF(IFERROR(MATCH(345,ChqRankL,0),0)=0,"",INDEX(ChqNo,IFERROR(MATCH(345,ChqRankL,0),0)))</f>
        <v/>
      </c>
      <c r="D361" s="23">
        <f>IF(IFERROR(MATCH(345,ChqRankL,0),0)=0,"",IF(INDEX(ChqAmt,IFERROR(MATCH(345,ChqRankL,0),0))=0,"",INDEX(ChqAmt,IFERROR(MATCH(345,ChqRankL,0),0))))</f>
        <v/>
      </c>
      <c r="E361" s="14">
        <f>IF(IFERROR(MATCH(345,ChqRankL,0),0)=0,"",INDEX(ChqStatus,IFERROR(MATCH(345,ChqRankL,0),0)))</f>
        <v/>
      </c>
      <c r="F361" s="22">
        <f>IF(IFERROR(MATCH(345,ChqRankL,0),0)=0,"",IF(INDEX(ChqStatus,IFERROR(MATCH(345,ChqRankL,0),0))="پاس نشده","—",IF(INDEX(ChqClr,IFERROR(MATCH(345,ChqRankL,0),0))="","—",INDEX(ChqClr,IFERROR(MATCH(345,ChqRankL,0),0)))))</f>
        <v/>
      </c>
      <c r="I361">
        <f>IF(345&gt;NChq,"",INDEX(ChqNorm,345))</f>
        <v/>
      </c>
      <c r="J361">
        <f>IF($I361="","",IF(AND($I361&gt;=$H$3,$I361&lt;=$H$4),1,0))</f>
        <v/>
      </c>
      <c r="K361">
        <f>IF($J361=0,"",INDEX(ChqKey,345))</f>
        <v/>
      </c>
      <c r="L361">
        <f>IF($K361="","",COUNTIFS($J$17:$J$516,1,$K$17:$K$516,"&lt;"&amp;$K361)+1)</f>
        <v/>
      </c>
    </row>
    <row r="362">
      <c r="A362" s="16">
        <f>IF(IFERROR(MATCH(346,ChqRankL,0),0)=0,"",346)</f>
        <v/>
      </c>
      <c r="B362" s="24">
        <f>IF(IFERROR(MATCH(346,ChqRankL,0),0)=0,"",INDEX(ChqNorm,IFERROR(MATCH(346,ChqRankL,0),0)))</f>
        <v/>
      </c>
      <c r="C362" s="24">
        <f>IF(IFERROR(MATCH(346,ChqRankL,0),0)=0,"",INDEX(ChqNo,IFERROR(MATCH(346,ChqRankL,0),0)))</f>
        <v/>
      </c>
      <c r="D362" s="25">
        <f>IF(IFERROR(MATCH(346,ChqRankL,0),0)=0,"",IF(INDEX(ChqAmt,IFERROR(MATCH(346,ChqRankL,0),0))=0,"",INDEX(ChqAmt,IFERROR(MATCH(346,ChqRankL,0),0))))</f>
        <v/>
      </c>
      <c r="E362" s="17">
        <f>IF(IFERROR(MATCH(346,ChqRankL,0),0)=0,"",INDEX(ChqStatus,IFERROR(MATCH(346,ChqRankL,0),0)))</f>
        <v/>
      </c>
      <c r="F362" s="24">
        <f>IF(IFERROR(MATCH(346,ChqRankL,0),0)=0,"",IF(INDEX(ChqStatus,IFERROR(MATCH(346,ChqRankL,0),0))="پاس نشده","—",IF(INDEX(ChqClr,IFERROR(MATCH(346,ChqRankL,0),0))="","—",INDEX(ChqClr,IFERROR(MATCH(346,ChqRankL,0),0)))))</f>
        <v/>
      </c>
      <c r="I362">
        <f>IF(346&gt;NChq,"",INDEX(ChqNorm,346))</f>
        <v/>
      </c>
      <c r="J362">
        <f>IF($I362="","",IF(AND($I362&gt;=$H$3,$I362&lt;=$H$4),1,0))</f>
        <v/>
      </c>
      <c r="K362">
        <f>IF($J362=0,"",INDEX(ChqKey,346))</f>
        <v/>
      </c>
      <c r="L362">
        <f>IF($K362="","",COUNTIFS($J$17:$J$516,1,$K$17:$K$516,"&lt;"&amp;$K362)+1)</f>
        <v/>
      </c>
    </row>
    <row r="363">
      <c r="A363" s="10">
        <f>IF(IFERROR(MATCH(347,ChqRankL,0),0)=0,"",347)</f>
        <v/>
      </c>
      <c r="B363" s="22">
        <f>IF(IFERROR(MATCH(347,ChqRankL,0),0)=0,"",INDEX(ChqNorm,IFERROR(MATCH(347,ChqRankL,0),0)))</f>
        <v/>
      </c>
      <c r="C363" s="22">
        <f>IF(IFERROR(MATCH(347,ChqRankL,0),0)=0,"",INDEX(ChqNo,IFERROR(MATCH(347,ChqRankL,0),0)))</f>
        <v/>
      </c>
      <c r="D363" s="23">
        <f>IF(IFERROR(MATCH(347,ChqRankL,0),0)=0,"",IF(INDEX(ChqAmt,IFERROR(MATCH(347,ChqRankL,0),0))=0,"",INDEX(ChqAmt,IFERROR(MATCH(347,ChqRankL,0),0))))</f>
        <v/>
      </c>
      <c r="E363" s="14">
        <f>IF(IFERROR(MATCH(347,ChqRankL,0),0)=0,"",INDEX(ChqStatus,IFERROR(MATCH(347,ChqRankL,0),0)))</f>
        <v/>
      </c>
      <c r="F363" s="22">
        <f>IF(IFERROR(MATCH(347,ChqRankL,0),0)=0,"",IF(INDEX(ChqStatus,IFERROR(MATCH(347,ChqRankL,0),0))="پاس نشده","—",IF(INDEX(ChqClr,IFERROR(MATCH(347,ChqRankL,0),0))="","—",INDEX(ChqClr,IFERROR(MATCH(347,ChqRankL,0),0)))))</f>
        <v/>
      </c>
      <c r="I363">
        <f>IF(347&gt;NChq,"",INDEX(ChqNorm,347))</f>
        <v/>
      </c>
      <c r="J363">
        <f>IF($I363="","",IF(AND($I363&gt;=$H$3,$I363&lt;=$H$4),1,0))</f>
        <v/>
      </c>
      <c r="K363">
        <f>IF($J363=0,"",INDEX(ChqKey,347))</f>
        <v/>
      </c>
      <c r="L363">
        <f>IF($K363="","",COUNTIFS($J$17:$J$516,1,$K$17:$K$516,"&lt;"&amp;$K363)+1)</f>
        <v/>
      </c>
    </row>
    <row r="364">
      <c r="A364" s="16">
        <f>IF(IFERROR(MATCH(348,ChqRankL,0),0)=0,"",348)</f>
        <v/>
      </c>
      <c r="B364" s="24">
        <f>IF(IFERROR(MATCH(348,ChqRankL,0),0)=0,"",INDEX(ChqNorm,IFERROR(MATCH(348,ChqRankL,0),0)))</f>
        <v/>
      </c>
      <c r="C364" s="24">
        <f>IF(IFERROR(MATCH(348,ChqRankL,0),0)=0,"",INDEX(ChqNo,IFERROR(MATCH(348,ChqRankL,0),0)))</f>
        <v/>
      </c>
      <c r="D364" s="25">
        <f>IF(IFERROR(MATCH(348,ChqRankL,0),0)=0,"",IF(INDEX(ChqAmt,IFERROR(MATCH(348,ChqRankL,0),0))=0,"",INDEX(ChqAmt,IFERROR(MATCH(348,ChqRankL,0),0))))</f>
        <v/>
      </c>
      <c r="E364" s="17">
        <f>IF(IFERROR(MATCH(348,ChqRankL,0),0)=0,"",INDEX(ChqStatus,IFERROR(MATCH(348,ChqRankL,0),0)))</f>
        <v/>
      </c>
      <c r="F364" s="24">
        <f>IF(IFERROR(MATCH(348,ChqRankL,0),0)=0,"",IF(INDEX(ChqStatus,IFERROR(MATCH(348,ChqRankL,0),0))="پاس نشده","—",IF(INDEX(ChqClr,IFERROR(MATCH(348,ChqRankL,0),0))="","—",INDEX(ChqClr,IFERROR(MATCH(348,ChqRankL,0),0)))))</f>
        <v/>
      </c>
      <c r="I364">
        <f>IF(348&gt;NChq,"",INDEX(ChqNorm,348))</f>
        <v/>
      </c>
      <c r="J364">
        <f>IF($I364="","",IF(AND($I364&gt;=$H$3,$I364&lt;=$H$4),1,0))</f>
        <v/>
      </c>
      <c r="K364">
        <f>IF($J364=0,"",INDEX(ChqKey,348))</f>
        <v/>
      </c>
      <c r="L364">
        <f>IF($K364="","",COUNTIFS($J$17:$J$516,1,$K$17:$K$516,"&lt;"&amp;$K364)+1)</f>
        <v/>
      </c>
    </row>
    <row r="365">
      <c r="A365" s="10">
        <f>IF(IFERROR(MATCH(349,ChqRankL,0),0)=0,"",349)</f>
        <v/>
      </c>
      <c r="B365" s="22">
        <f>IF(IFERROR(MATCH(349,ChqRankL,0),0)=0,"",INDEX(ChqNorm,IFERROR(MATCH(349,ChqRankL,0),0)))</f>
        <v/>
      </c>
      <c r="C365" s="22">
        <f>IF(IFERROR(MATCH(349,ChqRankL,0),0)=0,"",INDEX(ChqNo,IFERROR(MATCH(349,ChqRankL,0),0)))</f>
        <v/>
      </c>
      <c r="D365" s="23">
        <f>IF(IFERROR(MATCH(349,ChqRankL,0),0)=0,"",IF(INDEX(ChqAmt,IFERROR(MATCH(349,ChqRankL,0),0))=0,"",INDEX(ChqAmt,IFERROR(MATCH(349,ChqRankL,0),0))))</f>
        <v/>
      </c>
      <c r="E365" s="14">
        <f>IF(IFERROR(MATCH(349,ChqRankL,0),0)=0,"",INDEX(ChqStatus,IFERROR(MATCH(349,ChqRankL,0),0)))</f>
        <v/>
      </c>
      <c r="F365" s="22">
        <f>IF(IFERROR(MATCH(349,ChqRankL,0),0)=0,"",IF(INDEX(ChqStatus,IFERROR(MATCH(349,ChqRankL,0),0))="پاس نشده","—",IF(INDEX(ChqClr,IFERROR(MATCH(349,ChqRankL,0),0))="","—",INDEX(ChqClr,IFERROR(MATCH(349,ChqRankL,0),0)))))</f>
        <v/>
      </c>
      <c r="I365">
        <f>IF(349&gt;NChq,"",INDEX(ChqNorm,349))</f>
        <v/>
      </c>
      <c r="J365">
        <f>IF($I365="","",IF(AND($I365&gt;=$H$3,$I365&lt;=$H$4),1,0))</f>
        <v/>
      </c>
      <c r="K365">
        <f>IF($J365=0,"",INDEX(ChqKey,349))</f>
        <v/>
      </c>
      <c r="L365">
        <f>IF($K365="","",COUNTIFS($J$17:$J$516,1,$K$17:$K$516,"&lt;"&amp;$K365)+1)</f>
        <v/>
      </c>
    </row>
    <row r="366">
      <c r="A366" s="16">
        <f>IF(IFERROR(MATCH(350,ChqRankL,0),0)=0,"",350)</f>
        <v/>
      </c>
      <c r="B366" s="24">
        <f>IF(IFERROR(MATCH(350,ChqRankL,0),0)=0,"",INDEX(ChqNorm,IFERROR(MATCH(350,ChqRankL,0),0)))</f>
        <v/>
      </c>
      <c r="C366" s="24">
        <f>IF(IFERROR(MATCH(350,ChqRankL,0),0)=0,"",INDEX(ChqNo,IFERROR(MATCH(350,ChqRankL,0),0)))</f>
        <v/>
      </c>
      <c r="D366" s="25">
        <f>IF(IFERROR(MATCH(350,ChqRankL,0),0)=0,"",IF(INDEX(ChqAmt,IFERROR(MATCH(350,ChqRankL,0),0))=0,"",INDEX(ChqAmt,IFERROR(MATCH(350,ChqRankL,0),0))))</f>
        <v/>
      </c>
      <c r="E366" s="17">
        <f>IF(IFERROR(MATCH(350,ChqRankL,0),0)=0,"",INDEX(ChqStatus,IFERROR(MATCH(350,ChqRankL,0),0)))</f>
        <v/>
      </c>
      <c r="F366" s="24">
        <f>IF(IFERROR(MATCH(350,ChqRankL,0),0)=0,"",IF(INDEX(ChqStatus,IFERROR(MATCH(350,ChqRankL,0),0))="پاس نشده","—",IF(INDEX(ChqClr,IFERROR(MATCH(350,ChqRankL,0),0))="","—",INDEX(ChqClr,IFERROR(MATCH(350,ChqRankL,0),0)))))</f>
        <v/>
      </c>
      <c r="I366">
        <f>IF(350&gt;NChq,"",INDEX(ChqNorm,350))</f>
        <v/>
      </c>
      <c r="J366">
        <f>IF($I366="","",IF(AND($I366&gt;=$H$3,$I366&lt;=$H$4),1,0))</f>
        <v/>
      </c>
      <c r="K366">
        <f>IF($J366=0,"",INDEX(ChqKey,350))</f>
        <v/>
      </c>
      <c r="L366">
        <f>IF($K366="","",COUNTIFS($J$17:$J$516,1,$K$17:$K$516,"&lt;"&amp;$K366)+1)</f>
        <v/>
      </c>
    </row>
    <row r="367">
      <c r="A367" s="10">
        <f>IF(IFERROR(MATCH(351,ChqRankL,0),0)=0,"",351)</f>
        <v/>
      </c>
      <c r="B367" s="22">
        <f>IF(IFERROR(MATCH(351,ChqRankL,0),0)=0,"",INDEX(ChqNorm,IFERROR(MATCH(351,ChqRankL,0),0)))</f>
        <v/>
      </c>
      <c r="C367" s="22">
        <f>IF(IFERROR(MATCH(351,ChqRankL,0),0)=0,"",INDEX(ChqNo,IFERROR(MATCH(351,ChqRankL,0),0)))</f>
        <v/>
      </c>
      <c r="D367" s="23">
        <f>IF(IFERROR(MATCH(351,ChqRankL,0),0)=0,"",IF(INDEX(ChqAmt,IFERROR(MATCH(351,ChqRankL,0),0))=0,"",INDEX(ChqAmt,IFERROR(MATCH(351,ChqRankL,0),0))))</f>
        <v/>
      </c>
      <c r="E367" s="14">
        <f>IF(IFERROR(MATCH(351,ChqRankL,0),0)=0,"",INDEX(ChqStatus,IFERROR(MATCH(351,ChqRankL,0),0)))</f>
        <v/>
      </c>
      <c r="F367" s="22">
        <f>IF(IFERROR(MATCH(351,ChqRankL,0),0)=0,"",IF(INDEX(ChqStatus,IFERROR(MATCH(351,ChqRankL,0),0))="پاس نشده","—",IF(INDEX(ChqClr,IFERROR(MATCH(351,ChqRankL,0),0))="","—",INDEX(ChqClr,IFERROR(MATCH(351,ChqRankL,0),0)))))</f>
        <v/>
      </c>
      <c r="I367">
        <f>IF(351&gt;NChq,"",INDEX(ChqNorm,351))</f>
        <v/>
      </c>
      <c r="J367">
        <f>IF($I367="","",IF(AND($I367&gt;=$H$3,$I367&lt;=$H$4),1,0))</f>
        <v/>
      </c>
      <c r="K367">
        <f>IF($J367=0,"",INDEX(ChqKey,351))</f>
        <v/>
      </c>
      <c r="L367">
        <f>IF($K367="","",COUNTIFS($J$17:$J$516,1,$K$17:$K$516,"&lt;"&amp;$K367)+1)</f>
        <v/>
      </c>
    </row>
    <row r="368">
      <c r="A368" s="16">
        <f>IF(IFERROR(MATCH(352,ChqRankL,0),0)=0,"",352)</f>
        <v/>
      </c>
      <c r="B368" s="24">
        <f>IF(IFERROR(MATCH(352,ChqRankL,0),0)=0,"",INDEX(ChqNorm,IFERROR(MATCH(352,ChqRankL,0),0)))</f>
        <v/>
      </c>
      <c r="C368" s="24">
        <f>IF(IFERROR(MATCH(352,ChqRankL,0),0)=0,"",INDEX(ChqNo,IFERROR(MATCH(352,ChqRankL,0),0)))</f>
        <v/>
      </c>
      <c r="D368" s="25">
        <f>IF(IFERROR(MATCH(352,ChqRankL,0),0)=0,"",IF(INDEX(ChqAmt,IFERROR(MATCH(352,ChqRankL,0),0))=0,"",INDEX(ChqAmt,IFERROR(MATCH(352,ChqRankL,0),0))))</f>
        <v/>
      </c>
      <c r="E368" s="17">
        <f>IF(IFERROR(MATCH(352,ChqRankL,0),0)=0,"",INDEX(ChqStatus,IFERROR(MATCH(352,ChqRankL,0),0)))</f>
        <v/>
      </c>
      <c r="F368" s="24">
        <f>IF(IFERROR(MATCH(352,ChqRankL,0),0)=0,"",IF(INDEX(ChqStatus,IFERROR(MATCH(352,ChqRankL,0),0))="پاس نشده","—",IF(INDEX(ChqClr,IFERROR(MATCH(352,ChqRankL,0),0))="","—",INDEX(ChqClr,IFERROR(MATCH(352,ChqRankL,0),0)))))</f>
        <v/>
      </c>
      <c r="I368">
        <f>IF(352&gt;NChq,"",INDEX(ChqNorm,352))</f>
        <v/>
      </c>
      <c r="J368">
        <f>IF($I368="","",IF(AND($I368&gt;=$H$3,$I368&lt;=$H$4),1,0))</f>
        <v/>
      </c>
      <c r="K368">
        <f>IF($J368=0,"",INDEX(ChqKey,352))</f>
        <v/>
      </c>
      <c r="L368">
        <f>IF($K368="","",COUNTIFS($J$17:$J$516,1,$K$17:$K$516,"&lt;"&amp;$K368)+1)</f>
        <v/>
      </c>
    </row>
    <row r="369">
      <c r="A369" s="10">
        <f>IF(IFERROR(MATCH(353,ChqRankL,0),0)=0,"",353)</f>
        <v/>
      </c>
      <c r="B369" s="22">
        <f>IF(IFERROR(MATCH(353,ChqRankL,0),0)=0,"",INDEX(ChqNorm,IFERROR(MATCH(353,ChqRankL,0),0)))</f>
        <v/>
      </c>
      <c r="C369" s="22">
        <f>IF(IFERROR(MATCH(353,ChqRankL,0),0)=0,"",INDEX(ChqNo,IFERROR(MATCH(353,ChqRankL,0),0)))</f>
        <v/>
      </c>
      <c r="D369" s="23">
        <f>IF(IFERROR(MATCH(353,ChqRankL,0),0)=0,"",IF(INDEX(ChqAmt,IFERROR(MATCH(353,ChqRankL,0),0))=0,"",INDEX(ChqAmt,IFERROR(MATCH(353,ChqRankL,0),0))))</f>
        <v/>
      </c>
      <c r="E369" s="14">
        <f>IF(IFERROR(MATCH(353,ChqRankL,0),0)=0,"",INDEX(ChqStatus,IFERROR(MATCH(353,ChqRankL,0),0)))</f>
        <v/>
      </c>
      <c r="F369" s="22">
        <f>IF(IFERROR(MATCH(353,ChqRankL,0),0)=0,"",IF(INDEX(ChqStatus,IFERROR(MATCH(353,ChqRankL,0),0))="پاس نشده","—",IF(INDEX(ChqClr,IFERROR(MATCH(353,ChqRankL,0),0))="","—",INDEX(ChqClr,IFERROR(MATCH(353,ChqRankL,0),0)))))</f>
        <v/>
      </c>
      <c r="I369">
        <f>IF(353&gt;NChq,"",INDEX(ChqNorm,353))</f>
        <v/>
      </c>
      <c r="J369">
        <f>IF($I369="","",IF(AND($I369&gt;=$H$3,$I369&lt;=$H$4),1,0))</f>
        <v/>
      </c>
      <c r="K369">
        <f>IF($J369=0,"",INDEX(ChqKey,353))</f>
        <v/>
      </c>
      <c r="L369">
        <f>IF($K369="","",COUNTIFS($J$17:$J$516,1,$K$17:$K$516,"&lt;"&amp;$K369)+1)</f>
        <v/>
      </c>
    </row>
    <row r="370">
      <c r="A370" s="16">
        <f>IF(IFERROR(MATCH(354,ChqRankL,0),0)=0,"",354)</f>
        <v/>
      </c>
      <c r="B370" s="24">
        <f>IF(IFERROR(MATCH(354,ChqRankL,0),0)=0,"",INDEX(ChqNorm,IFERROR(MATCH(354,ChqRankL,0),0)))</f>
        <v/>
      </c>
      <c r="C370" s="24">
        <f>IF(IFERROR(MATCH(354,ChqRankL,0),0)=0,"",INDEX(ChqNo,IFERROR(MATCH(354,ChqRankL,0),0)))</f>
        <v/>
      </c>
      <c r="D370" s="25">
        <f>IF(IFERROR(MATCH(354,ChqRankL,0),0)=0,"",IF(INDEX(ChqAmt,IFERROR(MATCH(354,ChqRankL,0),0))=0,"",INDEX(ChqAmt,IFERROR(MATCH(354,ChqRankL,0),0))))</f>
        <v/>
      </c>
      <c r="E370" s="17">
        <f>IF(IFERROR(MATCH(354,ChqRankL,0),0)=0,"",INDEX(ChqStatus,IFERROR(MATCH(354,ChqRankL,0),0)))</f>
        <v/>
      </c>
      <c r="F370" s="24">
        <f>IF(IFERROR(MATCH(354,ChqRankL,0),0)=0,"",IF(INDEX(ChqStatus,IFERROR(MATCH(354,ChqRankL,0),0))="پاس نشده","—",IF(INDEX(ChqClr,IFERROR(MATCH(354,ChqRankL,0),0))="","—",INDEX(ChqClr,IFERROR(MATCH(354,ChqRankL,0),0)))))</f>
        <v/>
      </c>
      <c r="I370">
        <f>IF(354&gt;NChq,"",INDEX(ChqNorm,354))</f>
        <v/>
      </c>
      <c r="J370">
        <f>IF($I370="","",IF(AND($I370&gt;=$H$3,$I370&lt;=$H$4),1,0))</f>
        <v/>
      </c>
      <c r="K370">
        <f>IF($J370=0,"",INDEX(ChqKey,354))</f>
        <v/>
      </c>
      <c r="L370">
        <f>IF($K370="","",COUNTIFS($J$17:$J$516,1,$K$17:$K$516,"&lt;"&amp;$K370)+1)</f>
        <v/>
      </c>
    </row>
    <row r="371">
      <c r="A371" s="10">
        <f>IF(IFERROR(MATCH(355,ChqRankL,0),0)=0,"",355)</f>
        <v/>
      </c>
      <c r="B371" s="22">
        <f>IF(IFERROR(MATCH(355,ChqRankL,0),0)=0,"",INDEX(ChqNorm,IFERROR(MATCH(355,ChqRankL,0),0)))</f>
        <v/>
      </c>
      <c r="C371" s="22">
        <f>IF(IFERROR(MATCH(355,ChqRankL,0),0)=0,"",INDEX(ChqNo,IFERROR(MATCH(355,ChqRankL,0),0)))</f>
        <v/>
      </c>
      <c r="D371" s="23">
        <f>IF(IFERROR(MATCH(355,ChqRankL,0),0)=0,"",IF(INDEX(ChqAmt,IFERROR(MATCH(355,ChqRankL,0),0))=0,"",INDEX(ChqAmt,IFERROR(MATCH(355,ChqRankL,0),0))))</f>
        <v/>
      </c>
      <c r="E371" s="14">
        <f>IF(IFERROR(MATCH(355,ChqRankL,0),0)=0,"",INDEX(ChqStatus,IFERROR(MATCH(355,ChqRankL,0),0)))</f>
        <v/>
      </c>
      <c r="F371" s="22">
        <f>IF(IFERROR(MATCH(355,ChqRankL,0),0)=0,"",IF(INDEX(ChqStatus,IFERROR(MATCH(355,ChqRankL,0),0))="پاس نشده","—",IF(INDEX(ChqClr,IFERROR(MATCH(355,ChqRankL,0),0))="","—",INDEX(ChqClr,IFERROR(MATCH(355,ChqRankL,0),0)))))</f>
        <v/>
      </c>
      <c r="I371">
        <f>IF(355&gt;NChq,"",INDEX(ChqNorm,355))</f>
        <v/>
      </c>
      <c r="J371">
        <f>IF($I371="","",IF(AND($I371&gt;=$H$3,$I371&lt;=$H$4),1,0))</f>
        <v/>
      </c>
      <c r="K371">
        <f>IF($J371=0,"",INDEX(ChqKey,355))</f>
        <v/>
      </c>
      <c r="L371">
        <f>IF($K371="","",COUNTIFS($J$17:$J$516,1,$K$17:$K$516,"&lt;"&amp;$K371)+1)</f>
        <v/>
      </c>
    </row>
    <row r="372">
      <c r="A372" s="16">
        <f>IF(IFERROR(MATCH(356,ChqRankL,0),0)=0,"",356)</f>
        <v/>
      </c>
      <c r="B372" s="24">
        <f>IF(IFERROR(MATCH(356,ChqRankL,0),0)=0,"",INDEX(ChqNorm,IFERROR(MATCH(356,ChqRankL,0),0)))</f>
        <v/>
      </c>
      <c r="C372" s="24">
        <f>IF(IFERROR(MATCH(356,ChqRankL,0),0)=0,"",INDEX(ChqNo,IFERROR(MATCH(356,ChqRankL,0),0)))</f>
        <v/>
      </c>
      <c r="D372" s="25">
        <f>IF(IFERROR(MATCH(356,ChqRankL,0),0)=0,"",IF(INDEX(ChqAmt,IFERROR(MATCH(356,ChqRankL,0),0))=0,"",INDEX(ChqAmt,IFERROR(MATCH(356,ChqRankL,0),0))))</f>
        <v/>
      </c>
      <c r="E372" s="17">
        <f>IF(IFERROR(MATCH(356,ChqRankL,0),0)=0,"",INDEX(ChqStatus,IFERROR(MATCH(356,ChqRankL,0),0)))</f>
        <v/>
      </c>
      <c r="F372" s="24">
        <f>IF(IFERROR(MATCH(356,ChqRankL,0),0)=0,"",IF(INDEX(ChqStatus,IFERROR(MATCH(356,ChqRankL,0),0))="پاس نشده","—",IF(INDEX(ChqClr,IFERROR(MATCH(356,ChqRankL,0),0))="","—",INDEX(ChqClr,IFERROR(MATCH(356,ChqRankL,0),0)))))</f>
        <v/>
      </c>
      <c r="I372">
        <f>IF(356&gt;NChq,"",INDEX(ChqNorm,356))</f>
        <v/>
      </c>
      <c r="J372">
        <f>IF($I372="","",IF(AND($I372&gt;=$H$3,$I372&lt;=$H$4),1,0))</f>
        <v/>
      </c>
      <c r="K372">
        <f>IF($J372=0,"",INDEX(ChqKey,356))</f>
        <v/>
      </c>
      <c r="L372">
        <f>IF($K372="","",COUNTIFS($J$17:$J$516,1,$K$17:$K$516,"&lt;"&amp;$K372)+1)</f>
        <v/>
      </c>
    </row>
    <row r="373">
      <c r="A373" s="10">
        <f>IF(IFERROR(MATCH(357,ChqRankL,0),0)=0,"",357)</f>
        <v/>
      </c>
      <c r="B373" s="22">
        <f>IF(IFERROR(MATCH(357,ChqRankL,0),0)=0,"",INDEX(ChqNorm,IFERROR(MATCH(357,ChqRankL,0),0)))</f>
        <v/>
      </c>
      <c r="C373" s="22">
        <f>IF(IFERROR(MATCH(357,ChqRankL,0),0)=0,"",INDEX(ChqNo,IFERROR(MATCH(357,ChqRankL,0),0)))</f>
        <v/>
      </c>
      <c r="D373" s="23">
        <f>IF(IFERROR(MATCH(357,ChqRankL,0),0)=0,"",IF(INDEX(ChqAmt,IFERROR(MATCH(357,ChqRankL,0),0))=0,"",INDEX(ChqAmt,IFERROR(MATCH(357,ChqRankL,0),0))))</f>
        <v/>
      </c>
      <c r="E373" s="14">
        <f>IF(IFERROR(MATCH(357,ChqRankL,0),0)=0,"",INDEX(ChqStatus,IFERROR(MATCH(357,ChqRankL,0),0)))</f>
        <v/>
      </c>
      <c r="F373" s="22">
        <f>IF(IFERROR(MATCH(357,ChqRankL,0),0)=0,"",IF(INDEX(ChqStatus,IFERROR(MATCH(357,ChqRankL,0),0))="پاس نشده","—",IF(INDEX(ChqClr,IFERROR(MATCH(357,ChqRankL,0),0))="","—",INDEX(ChqClr,IFERROR(MATCH(357,ChqRankL,0),0)))))</f>
        <v/>
      </c>
      <c r="I373">
        <f>IF(357&gt;NChq,"",INDEX(ChqNorm,357))</f>
        <v/>
      </c>
      <c r="J373">
        <f>IF($I373="","",IF(AND($I373&gt;=$H$3,$I373&lt;=$H$4),1,0))</f>
        <v/>
      </c>
      <c r="K373">
        <f>IF($J373=0,"",INDEX(ChqKey,357))</f>
        <v/>
      </c>
      <c r="L373">
        <f>IF($K373="","",COUNTIFS($J$17:$J$516,1,$K$17:$K$516,"&lt;"&amp;$K373)+1)</f>
        <v/>
      </c>
    </row>
    <row r="374">
      <c r="A374" s="16">
        <f>IF(IFERROR(MATCH(358,ChqRankL,0),0)=0,"",358)</f>
        <v/>
      </c>
      <c r="B374" s="24">
        <f>IF(IFERROR(MATCH(358,ChqRankL,0),0)=0,"",INDEX(ChqNorm,IFERROR(MATCH(358,ChqRankL,0),0)))</f>
        <v/>
      </c>
      <c r="C374" s="24">
        <f>IF(IFERROR(MATCH(358,ChqRankL,0),0)=0,"",INDEX(ChqNo,IFERROR(MATCH(358,ChqRankL,0),0)))</f>
        <v/>
      </c>
      <c r="D374" s="25">
        <f>IF(IFERROR(MATCH(358,ChqRankL,0),0)=0,"",IF(INDEX(ChqAmt,IFERROR(MATCH(358,ChqRankL,0),0))=0,"",INDEX(ChqAmt,IFERROR(MATCH(358,ChqRankL,0),0))))</f>
        <v/>
      </c>
      <c r="E374" s="17">
        <f>IF(IFERROR(MATCH(358,ChqRankL,0),0)=0,"",INDEX(ChqStatus,IFERROR(MATCH(358,ChqRankL,0),0)))</f>
        <v/>
      </c>
      <c r="F374" s="24">
        <f>IF(IFERROR(MATCH(358,ChqRankL,0),0)=0,"",IF(INDEX(ChqStatus,IFERROR(MATCH(358,ChqRankL,0),0))="پاس نشده","—",IF(INDEX(ChqClr,IFERROR(MATCH(358,ChqRankL,0),0))="","—",INDEX(ChqClr,IFERROR(MATCH(358,ChqRankL,0),0)))))</f>
        <v/>
      </c>
      <c r="I374">
        <f>IF(358&gt;NChq,"",INDEX(ChqNorm,358))</f>
        <v/>
      </c>
      <c r="J374">
        <f>IF($I374="","",IF(AND($I374&gt;=$H$3,$I374&lt;=$H$4),1,0))</f>
        <v/>
      </c>
      <c r="K374">
        <f>IF($J374=0,"",INDEX(ChqKey,358))</f>
        <v/>
      </c>
      <c r="L374">
        <f>IF($K374="","",COUNTIFS($J$17:$J$516,1,$K$17:$K$516,"&lt;"&amp;$K374)+1)</f>
        <v/>
      </c>
    </row>
    <row r="375">
      <c r="A375" s="10">
        <f>IF(IFERROR(MATCH(359,ChqRankL,0),0)=0,"",359)</f>
        <v/>
      </c>
      <c r="B375" s="22">
        <f>IF(IFERROR(MATCH(359,ChqRankL,0),0)=0,"",INDEX(ChqNorm,IFERROR(MATCH(359,ChqRankL,0),0)))</f>
        <v/>
      </c>
      <c r="C375" s="22">
        <f>IF(IFERROR(MATCH(359,ChqRankL,0),0)=0,"",INDEX(ChqNo,IFERROR(MATCH(359,ChqRankL,0),0)))</f>
        <v/>
      </c>
      <c r="D375" s="23">
        <f>IF(IFERROR(MATCH(359,ChqRankL,0),0)=0,"",IF(INDEX(ChqAmt,IFERROR(MATCH(359,ChqRankL,0),0))=0,"",INDEX(ChqAmt,IFERROR(MATCH(359,ChqRankL,0),0))))</f>
        <v/>
      </c>
      <c r="E375" s="14">
        <f>IF(IFERROR(MATCH(359,ChqRankL,0),0)=0,"",INDEX(ChqStatus,IFERROR(MATCH(359,ChqRankL,0),0)))</f>
        <v/>
      </c>
      <c r="F375" s="22">
        <f>IF(IFERROR(MATCH(359,ChqRankL,0),0)=0,"",IF(INDEX(ChqStatus,IFERROR(MATCH(359,ChqRankL,0),0))="پاس نشده","—",IF(INDEX(ChqClr,IFERROR(MATCH(359,ChqRankL,0),0))="","—",INDEX(ChqClr,IFERROR(MATCH(359,ChqRankL,0),0)))))</f>
        <v/>
      </c>
      <c r="I375">
        <f>IF(359&gt;NChq,"",INDEX(ChqNorm,359))</f>
        <v/>
      </c>
      <c r="J375">
        <f>IF($I375="","",IF(AND($I375&gt;=$H$3,$I375&lt;=$H$4),1,0))</f>
        <v/>
      </c>
      <c r="K375">
        <f>IF($J375=0,"",INDEX(ChqKey,359))</f>
        <v/>
      </c>
      <c r="L375">
        <f>IF($K375="","",COUNTIFS($J$17:$J$516,1,$K$17:$K$516,"&lt;"&amp;$K375)+1)</f>
        <v/>
      </c>
    </row>
    <row r="376">
      <c r="A376" s="16">
        <f>IF(IFERROR(MATCH(360,ChqRankL,0),0)=0,"",360)</f>
        <v/>
      </c>
      <c r="B376" s="24">
        <f>IF(IFERROR(MATCH(360,ChqRankL,0),0)=0,"",INDEX(ChqNorm,IFERROR(MATCH(360,ChqRankL,0),0)))</f>
        <v/>
      </c>
      <c r="C376" s="24">
        <f>IF(IFERROR(MATCH(360,ChqRankL,0),0)=0,"",INDEX(ChqNo,IFERROR(MATCH(360,ChqRankL,0),0)))</f>
        <v/>
      </c>
      <c r="D376" s="25">
        <f>IF(IFERROR(MATCH(360,ChqRankL,0),0)=0,"",IF(INDEX(ChqAmt,IFERROR(MATCH(360,ChqRankL,0),0))=0,"",INDEX(ChqAmt,IFERROR(MATCH(360,ChqRankL,0),0))))</f>
        <v/>
      </c>
      <c r="E376" s="17">
        <f>IF(IFERROR(MATCH(360,ChqRankL,0),0)=0,"",INDEX(ChqStatus,IFERROR(MATCH(360,ChqRankL,0),0)))</f>
        <v/>
      </c>
      <c r="F376" s="24">
        <f>IF(IFERROR(MATCH(360,ChqRankL,0),0)=0,"",IF(INDEX(ChqStatus,IFERROR(MATCH(360,ChqRankL,0),0))="پاس نشده","—",IF(INDEX(ChqClr,IFERROR(MATCH(360,ChqRankL,0),0))="","—",INDEX(ChqClr,IFERROR(MATCH(360,ChqRankL,0),0)))))</f>
        <v/>
      </c>
      <c r="I376">
        <f>IF(360&gt;NChq,"",INDEX(ChqNorm,360))</f>
        <v/>
      </c>
      <c r="J376">
        <f>IF($I376="","",IF(AND($I376&gt;=$H$3,$I376&lt;=$H$4),1,0))</f>
        <v/>
      </c>
      <c r="K376">
        <f>IF($J376=0,"",INDEX(ChqKey,360))</f>
        <v/>
      </c>
      <c r="L376">
        <f>IF($K376="","",COUNTIFS($J$17:$J$516,1,$K$17:$K$516,"&lt;"&amp;$K376)+1)</f>
        <v/>
      </c>
    </row>
    <row r="377">
      <c r="A377" s="10">
        <f>IF(IFERROR(MATCH(361,ChqRankL,0),0)=0,"",361)</f>
        <v/>
      </c>
      <c r="B377" s="22">
        <f>IF(IFERROR(MATCH(361,ChqRankL,0),0)=0,"",INDEX(ChqNorm,IFERROR(MATCH(361,ChqRankL,0),0)))</f>
        <v/>
      </c>
      <c r="C377" s="22">
        <f>IF(IFERROR(MATCH(361,ChqRankL,0),0)=0,"",INDEX(ChqNo,IFERROR(MATCH(361,ChqRankL,0),0)))</f>
        <v/>
      </c>
      <c r="D377" s="23">
        <f>IF(IFERROR(MATCH(361,ChqRankL,0),0)=0,"",IF(INDEX(ChqAmt,IFERROR(MATCH(361,ChqRankL,0),0))=0,"",INDEX(ChqAmt,IFERROR(MATCH(361,ChqRankL,0),0))))</f>
        <v/>
      </c>
      <c r="E377" s="14">
        <f>IF(IFERROR(MATCH(361,ChqRankL,0),0)=0,"",INDEX(ChqStatus,IFERROR(MATCH(361,ChqRankL,0),0)))</f>
        <v/>
      </c>
      <c r="F377" s="22">
        <f>IF(IFERROR(MATCH(361,ChqRankL,0),0)=0,"",IF(INDEX(ChqStatus,IFERROR(MATCH(361,ChqRankL,0),0))="پاس نشده","—",IF(INDEX(ChqClr,IFERROR(MATCH(361,ChqRankL,0),0))="","—",INDEX(ChqClr,IFERROR(MATCH(361,ChqRankL,0),0)))))</f>
        <v/>
      </c>
      <c r="I377">
        <f>IF(361&gt;NChq,"",INDEX(ChqNorm,361))</f>
        <v/>
      </c>
      <c r="J377">
        <f>IF($I377="","",IF(AND($I377&gt;=$H$3,$I377&lt;=$H$4),1,0))</f>
        <v/>
      </c>
      <c r="K377">
        <f>IF($J377=0,"",INDEX(ChqKey,361))</f>
        <v/>
      </c>
      <c r="L377">
        <f>IF($K377="","",COUNTIFS($J$17:$J$516,1,$K$17:$K$516,"&lt;"&amp;$K377)+1)</f>
        <v/>
      </c>
    </row>
    <row r="378">
      <c r="A378" s="16">
        <f>IF(IFERROR(MATCH(362,ChqRankL,0),0)=0,"",362)</f>
        <v/>
      </c>
      <c r="B378" s="24">
        <f>IF(IFERROR(MATCH(362,ChqRankL,0),0)=0,"",INDEX(ChqNorm,IFERROR(MATCH(362,ChqRankL,0),0)))</f>
        <v/>
      </c>
      <c r="C378" s="24">
        <f>IF(IFERROR(MATCH(362,ChqRankL,0),0)=0,"",INDEX(ChqNo,IFERROR(MATCH(362,ChqRankL,0),0)))</f>
        <v/>
      </c>
      <c r="D378" s="25">
        <f>IF(IFERROR(MATCH(362,ChqRankL,0),0)=0,"",IF(INDEX(ChqAmt,IFERROR(MATCH(362,ChqRankL,0),0))=0,"",INDEX(ChqAmt,IFERROR(MATCH(362,ChqRankL,0),0))))</f>
        <v/>
      </c>
      <c r="E378" s="17">
        <f>IF(IFERROR(MATCH(362,ChqRankL,0),0)=0,"",INDEX(ChqStatus,IFERROR(MATCH(362,ChqRankL,0),0)))</f>
        <v/>
      </c>
      <c r="F378" s="24">
        <f>IF(IFERROR(MATCH(362,ChqRankL,0),0)=0,"",IF(INDEX(ChqStatus,IFERROR(MATCH(362,ChqRankL,0),0))="پاس نشده","—",IF(INDEX(ChqClr,IFERROR(MATCH(362,ChqRankL,0),0))="","—",INDEX(ChqClr,IFERROR(MATCH(362,ChqRankL,0),0)))))</f>
        <v/>
      </c>
      <c r="I378">
        <f>IF(362&gt;NChq,"",INDEX(ChqNorm,362))</f>
        <v/>
      </c>
      <c r="J378">
        <f>IF($I378="","",IF(AND($I378&gt;=$H$3,$I378&lt;=$H$4),1,0))</f>
        <v/>
      </c>
      <c r="K378">
        <f>IF($J378=0,"",INDEX(ChqKey,362))</f>
        <v/>
      </c>
      <c r="L378">
        <f>IF($K378="","",COUNTIFS($J$17:$J$516,1,$K$17:$K$516,"&lt;"&amp;$K378)+1)</f>
        <v/>
      </c>
    </row>
    <row r="379">
      <c r="A379" s="10">
        <f>IF(IFERROR(MATCH(363,ChqRankL,0),0)=0,"",363)</f>
        <v/>
      </c>
      <c r="B379" s="22">
        <f>IF(IFERROR(MATCH(363,ChqRankL,0),0)=0,"",INDEX(ChqNorm,IFERROR(MATCH(363,ChqRankL,0),0)))</f>
        <v/>
      </c>
      <c r="C379" s="22">
        <f>IF(IFERROR(MATCH(363,ChqRankL,0),0)=0,"",INDEX(ChqNo,IFERROR(MATCH(363,ChqRankL,0),0)))</f>
        <v/>
      </c>
      <c r="D379" s="23">
        <f>IF(IFERROR(MATCH(363,ChqRankL,0),0)=0,"",IF(INDEX(ChqAmt,IFERROR(MATCH(363,ChqRankL,0),0))=0,"",INDEX(ChqAmt,IFERROR(MATCH(363,ChqRankL,0),0))))</f>
        <v/>
      </c>
      <c r="E379" s="14">
        <f>IF(IFERROR(MATCH(363,ChqRankL,0),0)=0,"",INDEX(ChqStatus,IFERROR(MATCH(363,ChqRankL,0),0)))</f>
        <v/>
      </c>
      <c r="F379" s="22">
        <f>IF(IFERROR(MATCH(363,ChqRankL,0),0)=0,"",IF(INDEX(ChqStatus,IFERROR(MATCH(363,ChqRankL,0),0))="پاس نشده","—",IF(INDEX(ChqClr,IFERROR(MATCH(363,ChqRankL,0),0))="","—",INDEX(ChqClr,IFERROR(MATCH(363,ChqRankL,0),0)))))</f>
        <v/>
      </c>
      <c r="I379">
        <f>IF(363&gt;NChq,"",INDEX(ChqNorm,363))</f>
        <v/>
      </c>
      <c r="J379">
        <f>IF($I379="","",IF(AND($I379&gt;=$H$3,$I379&lt;=$H$4),1,0))</f>
        <v/>
      </c>
      <c r="K379">
        <f>IF($J379=0,"",INDEX(ChqKey,363))</f>
        <v/>
      </c>
      <c r="L379">
        <f>IF($K379="","",COUNTIFS($J$17:$J$516,1,$K$17:$K$516,"&lt;"&amp;$K379)+1)</f>
        <v/>
      </c>
    </row>
    <row r="380">
      <c r="A380" s="16">
        <f>IF(IFERROR(MATCH(364,ChqRankL,0),0)=0,"",364)</f>
        <v/>
      </c>
      <c r="B380" s="24">
        <f>IF(IFERROR(MATCH(364,ChqRankL,0),0)=0,"",INDEX(ChqNorm,IFERROR(MATCH(364,ChqRankL,0),0)))</f>
        <v/>
      </c>
      <c r="C380" s="24">
        <f>IF(IFERROR(MATCH(364,ChqRankL,0),0)=0,"",INDEX(ChqNo,IFERROR(MATCH(364,ChqRankL,0),0)))</f>
        <v/>
      </c>
      <c r="D380" s="25">
        <f>IF(IFERROR(MATCH(364,ChqRankL,0),0)=0,"",IF(INDEX(ChqAmt,IFERROR(MATCH(364,ChqRankL,0),0))=0,"",INDEX(ChqAmt,IFERROR(MATCH(364,ChqRankL,0),0))))</f>
        <v/>
      </c>
      <c r="E380" s="17">
        <f>IF(IFERROR(MATCH(364,ChqRankL,0),0)=0,"",INDEX(ChqStatus,IFERROR(MATCH(364,ChqRankL,0),0)))</f>
        <v/>
      </c>
      <c r="F380" s="24">
        <f>IF(IFERROR(MATCH(364,ChqRankL,0),0)=0,"",IF(INDEX(ChqStatus,IFERROR(MATCH(364,ChqRankL,0),0))="پاس نشده","—",IF(INDEX(ChqClr,IFERROR(MATCH(364,ChqRankL,0),0))="","—",INDEX(ChqClr,IFERROR(MATCH(364,ChqRankL,0),0)))))</f>
        <v/>
      </c>
      <c r="I380">
        <f>IF(364&gt;NChq,"",INDEX(ChqNorm,364))</f>
        <v/>
      </c>
      <c r="J380">
        <f>IF($I380="","",IF(AND($I380&gt;=$H$3,$I380&lt;=$H$4),1,0))</f>
        <v/>
      </c>
      <c r="K380">
        <f>IF($J380=0,"",INDEX(ChqKey,364))</f>
        <v/>
      </c>
      <c r="L380">
        <f>IF($K380="","",COUNTIFS($J$17:$J$516,1,$K$17:$K$516,"&lt;"&amp;$K380)+1)</f>
        <v/>
      </c>
    </row>
    <row r="381">
      <c r="A381" s="10">
        <f>IF(IFERROR(MATCH(365,ChqRankL,0),0)=0,"",365)</f>
        <v/>
      </c>
      <c r="B381" s="22">
        <f>IF(IFERROR(MATCH(365,ChqRankL,0),0)=0,"",INDEX(ChqNorm,IFERROR(MATCH(365,ChqRankL,0),0)))</f>
        <v/>
      </c>
      <c r="C381" s="22">
        <f>IF(IFERROR(MATCH(365,ChqRankL,0),0)=0,"",INDEX(ChqNo,IFERROR(MATCH(365,ChqRankL,0),0)))</f>
        <v/>
      </c>
      <c r="D381" s="23">
        <f>IF(IFERROR(MATCH(365,ChqRankL,0),0)=0,"",IF(INDEX(ChqAmt,IFERROR(MATCH(365,ChqRankL,0),0))=0,"",INDEX(ChqAmt,IFERROR(MATCH(365,ChqRankL,0),0))))</f>
        <v/>
      </c>
      <c r="E381" s="14">
        <f>IF(IFERROR(MATCH(365,ChqRankL,0),0)=0,"",INDEX(ChqStatus,IFERROR(MATCH(365,ChqRankL,0),0)))</f>
        <v/>
      </c>
      <c r="F381" s="22">
        <f>IF(IFERROR(MATCH(365,ChqRankL,0),0)=0,"",IF(INDEX(ChqStatus,IFERROR(MATCH(365,ChqRankL,0),0))="پاس نشده","—",IF(INDEX(ChqClr,IFERROR(MATCH(365,ChqRankL,0),0))="","—",INDEX(ChqClr,IFERROR(MATCH(365,ChqRankL,0),0)))))</f>
        <v/>
      </c>
      <c r="I381">
        <f>IF(365&gt;NChq,"",INDEX(ChqNorm,365))</f>
        <v/>
      </c>
      <c r="J381">
        <f>IF($I381="","",IF(AND($I381&gt;=$H$3,$I381&lt;=$H$4),1,0))</f>
        <v/>
      </c>
      <c r="K381">
        <f>IF($J381=0,"",INDEX(ChqKey,365))</f>
        <v/>
      </c>
      <c r="L381">
        <f>IF($K381="","",COUNTIFS($J$17:$J$516,1,$K$17:$K$516,"&lt;"&amp;$K381)+1)</f>
        <v/>
      </c>
    </row>
    <row r="382">
      <c r="A382" s="16">
        <f>IF(IFERROR(MATCH(366,ChqRankL,0),0)=0,"",366)</f>
        <v/>
      </c>
      <c r="B382" s="24">
        <f>IF(IFERROR(MATCH(366,ChqRankL,0),0)=0,"",INDEX(ChqNorm,IFERROR(MATCH(366,ChqRankL,0),0)))</f>
        <v/>
      </c>
      <c r="C382" s="24">
        <f>IF(IFERROR(MATCH(366,ChqRankL,0),0)=0,"",INDEX(ChqNo,IFERROR(MATCH(366,ChqRankL,0),0)))</f>
        <v/>
      </c>
      <c r="D382" s="25">
        <f>IF(IFERROR(MATCH(366,ChqRankL,0),0)=0,"",IF(INDEX(ChqAmt,IFERROR(MATCH(366,ChqRankL,0),0))=0,"",INDEX(ChqAmt,IFERROR(MATCH(366,ChqRankL,0),0))))</f>
        <v/>
      </c>
      <c r="E382" s="17">
        <f>IF(IFERROR(MATCH(366,ChqRankL,0),0)=0,"",INDEX(ChqStatus,IFERROR(MATCH(366,ChqRankL,0),0)))</f>
        <v/>
      </c>
      <c r="F382" s="24">
        <f>IF(IFERROR(MATCH(366,ChqRankL,0),0)=0,"",IF(INDEX(ChqStatus,IFERROR(MATCH(366,ChqRankL,0),0))="پاس نشده","—",IF(INDEX(ChqClr,IFERROR(MATCH(366,ChqRankL,0),0))="","—",INDEX(ChqClr,IFERROR(MATCH(366,ChqRankL,0),0)))))</f>
        <v/>
      </c>
      <c r="I382">
        <f>IF(366&gt;NChq,"",INDEX(ChqNorm,366))</f>
        <v/>
      </c>
      <c r="J382">
        <f>IF($I382="","",IF(AND($I382&gt;=$H$3,$I382&lt;=$H$4),1,0))</f>
        <v/>
      </c>
      <c r="K382">
        <f>IF($J382=0,"",INDEX(ChqKey,366))</f>
        <v/>
      </c>
      <c r="L382">
        <f>IF($K382="","",COUNTIFS($J$17:$J$516,1,$K$17:$K$516,"&lt;"&amp;$K382)+1)</f>
        <v/>
      </c>
    </row>
    <row r="383">
      <c r="A383" s="10">
        <f>IF(IFERROR(MATCH(367,ChqRankL,0),0)=0,"",367)</f>
        <v/>
      </c>
      <c r="B383" s="22">
        <f>IF(IFERROR(MATCH(367,ChqRankL,0),0)=0,"",INDEX(ChqNorm,IFERROR(MATCH(367,ChqRankL,0),0)))</f>
        <v/>
      </c>
      <c r="C383" s="22">
        <f>IF(IFERROR(MATCH(367,ChqRankL,0),0)=0,"",INDEX(ChqNo,IFERROR(MATCH(367,ChqRankL,0),0)))</f>
        <v/>
      </c>
      <c r="D383" s="23">
        <f>IF(IFERROR(MATCH(367,ChqRankL,0),0)=0,"",IF(INDEX(ChqAmt,IFERROR(MATCH(367,ChqRankL,0),0))=0,"",INDEX(ChqAmt,IFERROR(MATCH(367,ChqRankL,0),0))))</f>
        <v/>
      </c>
      <c r="E383" s="14">
        <f>IF(IFERROR(MATCH(367,ChqRankL,0),0)=0,"",INDEX(ChqStatus,IFERROR(MATCH(367,ChqRankL,0),0)))</f>
        <v/>
      </c>
      <c r="F383" s="22">
        <f>IF(IFERROR(MATCH(367,ChqRankL,0),0)=0,"",IF(INDEX(ChqStatus,IFERROR(MATCH(367,ChqRankL,0),0))="پاس نشده","—",IF(INDEX(ChqClr,IFERROR(MATCH(367,ChqRankL,0),0))="","—",INDEX(ChqClr,IFERROR(MATCH(367,ChqRankL,0),0)))))</f>
        <v/>
      </c>
      <c r="I383">
        <f>IF(367&gt;NChq,"",INDEX(ChqNorm,367))</f>
        <v/>
      </c>
      <c r="J383">
        <f>IF($I383="","",IF(AND($I383&gt;=$H$3,$I383&lt;=$H$4),1,0))</f>
        <v/>
      </c>
      <c r="K383">
        <f>IF($J383=0,"",INDEX(ChqKey,367))</f>
        <v/>
      </c>
      <c r="L383">
        <f>IF($K383="","",COUNTIFS($J$17:$J$516,1,$K$17:$K$516,"&lt;"&amp;$K383)+1)</f>
        <v/>
      </c>
    </row>
    <row r="384">
      <c r="A384" s="16">
        <f>IF(IFERROR(MATCH(368,ChqRankL,0),0)=0,"",368)</f>
        <v/>
      </c>
      <c r="B384" s="24">
        <f>IF(IFERROR(MATCH(368,ChqRankL,0),0)=0,"",INDEX(ChqNorm,IFERROR(MATCH(368,ChqRankL,0),0)))</f>
        <v/>
      </c>
      <c r="C384" s="24">
        <f>IF(IFERROR(MATCH(368,ChqRankL,0),0)=0,"",INDEX(ChqNo,IFERROR(MATCH(368,ChqRankL,0),0)))</f>
        <v/>
      </c>
      <c r="D384" s="25">
        <f>IF(IFERROR(MATCH(368,ChqRankL,0),0)=0,"",IF(INDEX(ChqAmt,IFERROR(MATCH(368,ChqRankL,0),0))=0,"",INDEX(ChqAmt,IFERROR(MATCH(368,ChqRankL,0),0))))</f>
        <v/>
      </c>
      <c r="E384" s="17">
        <f>IF(IFERROR(MATCH(368,ChqRankL,0),0)=0,"",INDEX(ChqStatus,IFERROR(MATCH(368,ChqRankL,0),0)))</f>
        <v/>
      </c>
      <c r="F384" s="24">
        <f>IF(IFERROR(MATCH(368,ChqRankL,0),0)=0,"",IF(INDEX(ChqStatus,IFERROR(MATCH(368,ChqRankL,0),0))="پاس نشده","—",IF(INDEX(ChqClr,IFERROR(MATCH(368,ChqRankL,0),0))="","—",INDEX(ChqClr,IFERROR(MATCH(368,ChqRankL,0),0)))))</f>
        <v/>
      </c>
      <c r="I384">
        <f>IF(368&gt;NChq,"",INDEX(ChqNorm,368))</f>
        <v/>
      </c>
      <c r="J384">
        <f>IF($I384="","",IF(AND($I384&gt;=$H$3,$I384&lt;=$H$4),1,0))</f>
        <v/>
      </c>
      <c r="K384">
        <f>IF($J384=0,"",INDEX(ChqKey,368))</f>
        <v/>
      </c>
      <c r="L384">
        <f>IF($K384="","",COUNTIFS($J$17:$J$516,1,$K$17:$K$516,"&lt;"&amp;$K384)+1)</f>
        <v/>
      </c>
    </row>
    <row r="385">
      <c r="A385" s="10">
        <f>IF(IFERROR(MATCH(369,ChqRankL,0),0)=0,"",369)</f>
        <v/>
      </c>
      <c r="B385" s="22">
        <f>IF(IFERROR(MATCH(369,ChqRankL,0),0)=0,"",INDEX(ChqNorm,IFERROR(MATCH(369,ChqRankL,0),0)))</f>
        <v/>
      </c>
      <c r="C385" s="22">
        <f>IF(IFERROR(MATCH(369,ChqRankL,0),0)=0,"",INDEX(ChqNo,IFERROR(MATCH(369,ChqRankL,0),0)))</f>
        <v/>
      </c>
      <c r="D385" s="23">
        <f>IF(IFERROR(MATCH(369,ChqRankL,0),0)=0,"",IF(INDEX(ChqAmt,IFERROR(MATCH(369,ChqRankL,0),0))=0,"",INDEX(ChqAmt,IFERROR(MATCH(369,ChqRankL,0),0))))</f>
        <v/>
      </c>
      <c r="E385" s="14">
        <f>IF(IFERROR(MATCH(369,ChqRankL,0),0)=0,"",INDEX(ChqStatus,IFERROR(MATCH(369,ChqRankL,0),0)))</f>
        <v/>
      </c>
      <c r="F385" s="22">
        <f>IF(IFERROR(MATCH(369,ChqRankL,0),0)=0,"",IF(INDEX(ChqStatus,IFERROR(MATCH(369,ChqRankL,0),0))="پاس نشده","—",IF(INDEX(ChqClr,IFERROR(MATCH(369,ChqRankL,0),0))="","—",INDEX(ChqClr,IFERROR(MATCH(369,ChqRankL,0),0)))))</f>
        <v/>
      </c>
      <c r="I385">
        <f>IF(369&gt;NChq,"",INDEX(ChqNorm,369))</f>
        <v/>
      </c>
      <c r="J385">
        <f>IF($I385="","",IF(AND($I385&gt;=$H$3,$I385&lt;=$H$4),1,0))</f>
        <v/>
      </c>
      <c r="K385">
        <f>IF($J385=0,"",INDEX(ChqKey,369))</f>
        <v/>
      </c>
      <c r="L385">
        <f>IF($K385="","",COUNTIFS($J$17:$J$516,1,$K$17:$K$516,"&lt;"&amp;$K385)+1)</f>
        <v/>
      </c>
    </row>
    <row r="386">
      <c r="A386" s="16">
        <f>IF(IFERROR(MATCH(370,ChqRankL,0),0)=0,"",370)</f>
        <v/>
      </c>
      <c r="B386" s="24">
        <f>IF(IFERROR(MATCH(370,ChqRankL,0),0)=0,"",INDEX(ChqNorm,IFERROR(MATCH(370,ChqRankL,0),0)))</f>
        <v/>
      </c>
      <c r="C386" s="24">
        <f>IF(IFERROR(MATCH(370,ChqRankL,0),0)=0,"",INDEX(ChqNo,IFERROR(MATCH(370,ChqRankL,0),0)))</f>
        <v/>
      </c>
      <c r="D386" s="25">
        <f>IF(IFERROR(MATCH(370,ChqRankL,0),0)=0,"",IF(INDEX(ChqAmt,IFERROR(MATCH(370,ChqRankL,0),0))=0,"",INDEX(ChqAmt,IFERROR(MATCH(370,ChqRankL,0),0))))</f>
        <v/>
      </c>
      <c r="E386" s="17">
        <f>IF(IFERROR(MATCH(370,ChqRankL,0),0)=0,"",INDEX(ChqStatus,IFERROR(MATCH(370,ChqRankL,0),0)))</f>
        <v/>
      </c>
      <c r="F386" s="24">
        <f>IF(IFERROR(MATCH(370,ChqRankL,0),0)=0,"",IF(INDEX(ChqStatus,IFERROR(MATCH(370,ChqRankL,0),0))="پاس نشده","—",IF(INDEX(ChqClr,IFERROR(MATCH(370,ChqRankL,0),0))="","—",INDEX(ChqClr,IFERROR(MATCH(370,ChqRankL,0),0)))))</f>
        <v/>
      </c>
      <c r="I386">
        <f>IF(370&gt;NChq,"",INDEX(ChqNorm,370))</f>
        <v/>
      </c>
      <c r="J386">
        <f>IF($I386="","",IF(AND($I386&gt;=$H$3,$I386&lt;=$H$4),1,0))</f>
        <v/>
      </c>
      <c r="K386">
        <f>IF($J386=0,"",INDEX(ChqKey,370))</f>
        <v/>
      </c>
      <c r="L386">
        <f>IF($K386="","",COUNTIFS($J$17:$J$516,1,$K$17:$K$516,"&lt;"&amp;$K386)+1)</f>
        <v/>
      </c>
    </row>
    <row r="387">
      <c r="A387" s="10">
        <f>IF(IFERROR(MATCH(371,ChqRankL,0),0)=0,"",371)</f>
        <v/>
      </c>
      <c r="B387" s="22">
        <f>IF(IFERROR(MATCH(371,ChqRankL,0),0)=0,"",INDEX(ChqNorm,IFERROR(MATCH(371,ChqRankL,0),0)))</f>
        <v/>
      </c>
      <c r="C387" s="22">
        <f>IF(IFERROR(MATCH(371,ChqRankL,0),0)=0,"",INDEX(ChqNo,IFERROR(MATCH(371,ChqRankL,0),0)))</f>
        <v/>
      </c>
      <c r="D387" s="23">
        <f>IF(IFERROR(MATCH(371,ChqRankL,0),0)=0,"",IF(INDEX(ChqAmt,IFERROR(MATCH(371,ChqRankL,0),0))=0,"",INDEX(ChqAmt,IFERROR(MATCH(371,ChqRankL,0),0))))</f>
        <v/>
      </c>
      <c r="E387" s="14">
        <f>IF(IFERROR(MATCH(371,ChqRankL,0),0)=0,"",INDEX(ChqStatus,IFERROR(MATCH(371,ChqRankL,0),0)))</f>
        <v/>
      </c>
      <c r="F387" s="22">
        <f>IF(IFERROR(MATCH(371,ChqRankL,0),0)=0,"",IF(INDEX(ChqStatus,IFERROR(MATCH(371,ChqRankL,0),0))="پاس نشده","—",IF(INDEX(ChqClr,IFERROR(MATCH(371,ChqRankL,0),0))="","—",INDEX(ChqClr,IFERROR(MATCH(371,ChqRankL,0),0)))))</f>
        <v/>
      </c>
      <c r="I387">
        <f>IF(371&gt;NChq,"",INDEX(ChqNorm,371))</f>
        <v/>
      </c>
      <c r="J387">
        <f>IF($I387="","",IF(AND($I387&gt;=$H$3,$I387&lt;=$H$4),1,0))</f>
        <v/>
      </c>
      <c r="K387">
        <f>IF($J387=0,"",INDEX(ChqKey,371))</f>
        <v/>
      </c>
      <c r="L387">
        <f>IF($K387="","",COUNTIFS($J$17:$J$516,1,$K$17:$K$516,"&lt;"&amp;$K387)+1)</f>
        <v/>
      </c>
    </row>
    <row r="388">
      <c r="A388" s="16">
        <f>IF(IFERROR(MATCH(372,ChqRankL,0),0)=0,"",372)</f>
        <v/>
      </c>
      <c r="B388" s="24">
        <f>IF(IFERROR(MATCH(372,ChqRankL,0),0)=0,"",INDEX(ChqNorm,IFERROR(MATCH(372,ChqRankL,0),0)))</f>
        <v/>
      </c>
      <c r="C388" s="24">
        <f>IF(IFERROR(MATCH(372,ChqRankL,0),0)=0,"",INDEX(ChqNo,IFERROR(MATCH(372,ChqRankL,0),0)))</f>
        <v/>
      </c>
      <c r="D388" s="25">
        <f>IF(IFERROR(MATCH(372,ChqRankL,0),0)=0,"",IF(INDEX(ChqAmt,IFERROR(MATCH(372,ChqRankL,0),0))=0,"",INDEX(ChqAmt,IFERROR(MATCH(372,ChqRankL,0),0))))</f>
        <v/>
      </c>
      <c r="E388" s="17">
        <f>IF(IFERROR(MATCH(372,ChqRankL,0),0)=0,"",INDEX(ChqStatus,IFERROR(MATCH(372,ChqRankL,0),0)))</f>
        <v/>
      </c>
      <c r="F388" s="24">
        <f>IF(IFERROR(MATCH(372,ChqRankL,0),0)=0,"",IF(INDEX(ChqStatus,IFERROR(MATCH(372,ChqRankL,0),0))="پاس نشده","—",IF(INDEX(ChqClr,IFERROR(MATCH(372,ChqRankL,0),0))="","—",INDEX(ChqClr,IFERROR(MATCH(372,ChqRankL,0),0)))))</f>
        <v/>
      </c>
      <c r="I388">
        <f>IF(372&gt;NChq,"",INDEX(ChqNorm,372))</f>
        <v/>
      </c>
      <c r="J388">
        <f>IF($I388="","",IF(AND($I388&gt;=$H$3,$I388&lt;=$H$4),1,0))</f>
        <v/>
      </c>
      <c r="K388">
        <f>IF($J388=0,"",INDEX(ChqKey,372))</f>
        <v/>
      </c>
      <c r="L388">
        <f>IF($K388="","",COUNTIFS($J$17:$J$516,1,$K$17:$K$516,"&lt;"&amp;$K388)+1)</f>
        <v/>
      </c>
    </row>
    <row r="389">
      <c r="A389" s="10">
        <f>IF(IFERROR(MATCH(373,ChqRankL,0),0)=0,"",373)</f>
        <v/>
      </c>
      <c r="B389" s="22">
        <f>IF(IFERROR(MATCH(373,ChqRankL,0),0)=0,"",INDEX(ChqNorm,IFERROR(MATCH(373,ChqRankL,0),0)))</f>
        <v/>
      </c>
      <c r="C389" s="22">
        <f>IF(IFERROR(MATCH(373,ChqRankL,0),0)=0,"",INDEX(ChqNo,IFERROR(MATCH(373,ChqRankL,0),0)))</f>
        <v/>
      </c>
      <c r="D389" s="23">
        <f>IF(IFERROR(MATCH(373,ChqRankL,0),0)=0,"",IF(INDEX(ChqAmt,IFERROR(MATCH(373,ChqRankL,0),0))=0,"",INDEX(ChqAmt,IFERROR(MATCH(373,ChqRankL,0),0))))</f>
        <v/>
      </c>
      <c r="E389" s="14">
        <f>IF(IFERROR(MATCH(373,ChqRankL,0),0)=0,"",INDEX(ChqStatus,IFERROR(MATCH(373,ChqRankL,0),0)))</f>
        <v/>
      </c>
      <c r="F389" s="22">
        <f>IF(IFERROR(MATCH(373,ChqRankL,0),0)=0,"",IF(INDEX(ChqStatus,IFERROR(MATCH(373,ChqRankL,0),0))="پاس نشده","—",IF(INDEX(ChqClr,IFERROR(MATCH(373,ChqRankL,0),0))="","—",INDEX(ChqClr,IFERROR(MATCH(373,ChqRankL,0),0)))))</f>
        <v/>
      </c>
      <c r="I389">
        <f>IF(373&gt;NChq,"",INDEX(ChqNorm,373))</f>
        <v/>
      </c>
      <c r="J389">
        <f>IF($I389="","",IF(AND($I389&gt;=$H$3,$I389&lt;=$H$4),1,0))</f>
        <v/>
      </c>
      <c r="K389">
        <f>IF($J389=0,"",INDEX(ChqKey,373))</f>
        <v/>
      </c>
      <c r="L389">
        <f>IF($K389="","",COUNTIFS($J$17:$J$516,1,$K$17:$K$516,"&lt;"&amp;$K389)+1)</f>
        <v/>
      </c>
    </row>
    <row r="390">
      <c r="A390" s="16">
        <f>IF(IFERROR(MATCH(374,ChqRankL,0),0)=0,"",374)</f>
        <v/>
      </c>
      <c r="B390" s="24">
        <f>IF(IFERROR(MATCH(374,ChqRankL,0),0)=0,"",INDEX(ChqNorm,IFERROR(MATCH(374,ChqRankL,0),0)))</f>
        <v/>
      </c>
      <c r="C390" s="24">
        <f>IF(IFERROR(MATCH(374,ChqRankL,0),0)=0,"",INDEX(ChqNo,IFERROR(MATCH(374,ChqRankL,0),0)))</f>
        <v/>
      </c>
      <c r="D390" s="25">
        <f>IF(IFERROR(MATCH(374,ChqRankL,0),0)=0,"",IF(INDEX(ChqAmt,IFERROR(MATCH(374,ChqRankL,0),0))=0,"",INDEX(ChqAmt,IFERROR(MATCH(374,ChqRankL,0),0))))</f>
        <v/>
      </c>
      <c r="E390" s="17">
        <f>IF(IFERROR(MATCH(374,ChqRankL,0),0)=0,"",INDEX(ChqStatus,IFERROR(MATCH(374,ChqRankL,0),0)))</f>
        <v/>
      </c>
      <c r="F390" s="24">
        <f>IF(IFERROR(MATCH(374,ChqRankL,0),0)=0,"",IF(INDEX(ChqStatus,IFERROR(MATCH(374,ChqRankL,0),0))="پاس نشده","—",IF(INDEX(ChqClr,IFERROR(MATCH(374,ChqRankL,0),0))="","—",INDEX(ChqClr,IFERROR(MATCH(374,ChqRankL,0),0)))))</f>
        <v/>
      </c>
      <c r="I390">
        <f>IF(374&gt;NChq,"",INDEX(ChqNorm,374))</f>
        <v/>
      </c>
      <c r="J390">
        <f>IF($I390="","",IF(AND($I390&gt;=$H$3,$I390&lt;=$H$4),1,0))</f>
        <v/>
      </c>
      <c r="K390">
        <f>IF($J390=0,"",INDEX(ChqKey,374))</f>
        <v/>
      </c>
      <c r="L390">
        <f>IF($K390="","",COUNTIFS($J$17:$J$516,1,$K$17:$K$516,"&lt;"&amp;$K390)+1)</f>
        <v/>
      </c>
    </row>
    <row r="391">
      <c r="A391" s="10">
        <f>IF(IFERROR(MATCH(375,ChqRankL,0),0)=0,"",375)</f>
        <v/>
      </c>
      <c r="B391" s="22">
        <f>IF(IFERROR(MATCH(375,ChqRankL,0),0)=0,"",INDEX(ChqNorm,IFERROR(MATCH(375,ChqRankL,0),0)))</f>
        <v/>
      </c>
      <c r="C391" s="22">
        <f>IF(IFERROR(MATCH(375,ChqRankL,0),0)=0,"",INDEX(ChqNo,IFERROR(MATCH(375,ChqRankL,0),0)))</f>
        <v/>
      </c>
      <c r="D391" s="23">
        <f>IF(IFERROR(MATCH(375,ChqRankL,0),0)=0,"",IF(INDEX(ChqAmt,IFERROR(MATCH(375,ChqRankL,0),0))=0,"",INDEX(ChqAmt,IFERROR(MATCH(375,ChqRankL,0),0))))</f>
        <v/>
      </c>
      <c r="E391" s="14">
        <f>IF(IFERROR(MATCH(375,ChqRankL,0),0)=0,"",INDEX(ChqStatus,IFERROR(MATCH(375,ChqRankL,0),0)))</f>
        <v/>
      </c>
      <c r="F391" s="22">
        <f>IF(IFERROR(MATCH(375,ChqRankL,0),0)=0,"",IF(INDEX(ChqStatus,IFERROR(MATCH(375,ChqRankL,0),0))="پاس نشده","—",IF(INDEX(ChqClr,IFERROR(MATCH(375,ChqRankL,0),0))="","—",INDEX(ChqClr,IFERROR(MATCH(375,ChqRankL,0),0)))))</f>
        <v/>
      </c>
      <c r="I391">
        <f>IF(375&gt;NChq,"",INDEX(ChqNorm,375))</f>
        <v/>
      </c>
      <c r="J391">
        <f>IF($I391="","",IF(AND($I391&gt;=$H$3,$I391&lt;=$H$4),1,0))</f>
        <v/>
      </c>
      <c r="K391">
        <f>IF($J391=0,"",INDEX(ChqKey,375))</f>
        <v/>
      </c>
      <c r="L391">
        <f>IF($K391="","",COUNTIFS($J$17:$J$516,1,$K$17:$K$516,"&lt;"&amp;$K391)+1)</f>
        <v/>
      </c>
    </row>
    <row r="392">
      <c r="A392" s="16">
        <f>IF(IFERROR(MATCH(376,ChqRankL,0),0)=0,"",376)</f>
        <v/>
      </c>
      <c r="B392" s="24">
        <f>IF(IFERROR(MATCH(376,ChqRankL,0),0)=0,"",INDEX(ChqNorm,IFERROR(MATCH(376,ChqRankL,0),0)))</f>
        <v/>
      </c>
      <c r="C392" s="24">
        <f>IF(IFERROR(MATCH(376,ChqRankL,0),0)=0,"",INDEX(ChqNo,IFERROR(MATCH(376,ChqRankL,0),0)))</f>
        <v/>
      </c>
      <c r="D392" s="25">
        <f>IF(IFERROR(MATCH(376,ChqRankL,0),0)=0,"",IF(INDEX(ChqAmt,IFERROR(MATCH(376,ChqRankL,0),0))=0,"",INDEX(ChqAmt,IFERROR(MATCH(376,ChqRankL,0),0))))</f>
        <v/>
      </c>
      <c r="E392" s="17">
        <f>IF(IFERROR(MATCH(376,ChqRankL,0),0)=0,"",INDEX(ChqStatus,IFERROR(MATCH(376,ChqRankL,0),0)))</f>
        <v/>
      </c>
      <c r="F392" s="24">
        <f>IF(IFERROR(MATCH(376,ChqRankL,0),0)=0,"",IF(INDEX(ChqStatus,IFERROR(MATCH(376,ChqRankL,0),0))="پاس نشده","—",IF(INDEX(ChqClr,IFERROR(MATCH(376,ChqRankL,0),0))="","—",INDEX(ChqClr,IFERROR(MATCH(376,ChqRankL,0),0)))))</f>
        <v/>
      </c>
      <c r="I392">
        <f>IF(376&gt;NChq,"",INDEX(ChqNorm,376))</f>
        <v/>
      </c>
      <c r="J392">
        <f>IF($I392="","",IF(AND($I392&gt;=$H$3,$I392&lt;=$H$4),1,0))</f>
        <v/>
      </c>
      <c r="K392">
        <f>IF($J392=0,"",INDEX(ChqKey,376))</f>
        <v/>
      </c>
      <c r="L392">
        <f>IF($K392="","",COUNTIFS($J$17:$J$516,1,$K$17:$K$516,"&lt;"&amp;$K392)+1)</f>
        <v/>
      </c>
    </row>
    <row r="393">
      <c r="A393" s="10">
        <f>IF(IFERROR(MATCH(377,ChqRankL,0),0)=0,"",377)</f>
        <v/>
      </c>
      <c r="B393" s="22">
        <f>IF(IFERROR(MATCH(377,ChqRankL,0),0)=0,"",INDEX(ChqNorm,IFERROR(MATCH(377,ChqRankL,0),0)))</f>
        <v/>
      </c>
      <c r="C393" s="22">
        <f>IF(IFERROR(MATCH(377,ChqRankL,0),0)=0,"",INDEX(ChqNo,IFERROR(MATCH(377,ChqRankL,0),0)))</f>
        <v/>
      </c>
      <c r="D393" s="23">
        <f>IF(IFERROR(MATCH(377,ChqRankL,0),0)=0,"",IF(INDEX(ChqAmt,IFERROR(MATCH(377,ChqRankL,0),0))=0,"",INDEX(ChqAmt,IFERROR(MATCH(377,ChqRankL,0),0))))</f>
        <v/>
      </c>
      <c r="E393" s="14">
        <f>IF(IFERROR(MATCH(377,ChqRankL,0),0)=0,"",INDEX(ChqStatus,IFERROR(MATCH(377,ChqRankL,0),0)))</f>
        <v/>
      </c>
      <c r="F393" s="22">
        <f>IF(IFERROR(MATCH(377,ChqRankL,0),0)=0,"",IF(INDEX(ChqStatus,IFERROR(MATCH(377,ChqRankL,0),0))="پاس نشده","—",IF(INDEX(ChqClr,IFERROR(MATCH(377,ChqRankL,0),0))="","—",INDEX(ChqClr,IFERROR(MATCH(377,ChqRankL,0),0)))))</f>
        <v/>
      </c>
      <c r="I393">
        <f>IF(377&gt;NChq,"",INDEX(ChqNorm,377))</f>
        <v/>
      </c>
      <c r="J393">
        <f>IF($I393="","",IF(AND($I393&gt;=$H$3,$I393&lt;=$H$4),1,0))</f>
        <v/>
      </c>
      <c r="K393">
        <f>IF($J393=0,"",INDEX(ChqKey,377))</f>
        <v/>
      </c>
      <c r="L393">
        <f>IF($K393="","",COUNTIFS($J$17:$J$516,1,$K$17:$K$516,"&lt;"&amp;$K393)+1)</f>
        <v/>
      </c>
    </row>
    <row r="394">
      <c r="A394" s="16">
        <f>IF(IFERROR(MATCH(378,ChqRankL,0),0)=0,"",378)</f>
        <v/>
      </c>
      <c r="B394" s="24">
        <f>IF(IFERROR(MATCH(378,ChqRankL,0),0)=0,"",INDEX(ChqNorm,IFERROR(MATCH(378,ChqRankL,0),0)))</f>
        <v/>
      </c>
      <c r="C394" s="24">
        <f>IF(IFERROR(MATCH(378,ChqRankL,0),0)=0,"",INDEX(ChqNo,IFERROR(MATCH(378,ChqRankL,0),0)))</f>
        <v/>
      </c>
      <c r="D394" s="25">
        <f>IF(IFERROR(MATCH(378,ChqRankL,0),0)=0,"",IF(INDEX(ChqAmt,IFERROR(MATCH(378,ChqRankL,0),0))=0,"",INDEX(ChqAmt,IFERROR(MATCH(378,ChqRankL,0),0))))</f>
        <v/>
      </c>
      <c r="E394" s="17">
        <f>IF(IFERROR(MATCH(378,ChqRankL,0),0)=0,"",INDEX(ChqStatus,IFERROR(MATCH(378,ChqRankL,0),0)))</f>
        <v/>
      </c>
      <c r="F394" s="24">
        <f>IF(IFERROR(MATCH(378,ChqRankL,0),0)=0,"",IF(INDEX(ChqStatus,IFERROR(MATCH(378,ChqRankL,0),0))="پاس نشده","—",IF(INDEX(ChqClr,IFERROR(MATCH(378,ChqRankL,0),0))="","—",INDEX(ChqClr,IFERROR(MATCH(378,ChqRankL,0),0)))))</f>
        <v/>
      </c>
      <c r="I394">
        <f>IF(378&gt;NChq,"",INDEX(ChqNorm,378))</f>
        <v/>
      </c>
      <c r="J394">
        <f>IF($I394="","",IF(AND($I394&gt;=$H$3,$I394&lt;=$H$4),1,0))</f>
        <v/>
      </c>
      <c r="K394">
        <f>IF($J394=0,"",INDEX(ChqKey,378))</f>
        <v/>
      </c>
      <c r="L394">
        <f>IF($K394="","",COUNTIFS($J$17:$J$516,1,$K$17:$K$516,"&lt;"&amp;$K394)+1)</f>
        <v/>
      </c>
    </row>
    <row r="395">
      <c r="A395" s="10">
        <f>IF(IFERROR(MATCH(379,ChqRankL,0),0)=0,"",379)</f>
        <v/>
      </c>
      <c r="B395" s="22">
        <f>IF(IFERROR(MATCH(379,ChqRankL,0),0)=0,"",INDEX(ChqNorm,IFERROR(MATCH(379,ChqRankL,0),0)))</f>
        <v/>
      </c>
      <c r="C395" s="22">
        <f>IF(IFERROR(MATCH(379,ChqRankL,0),0)=0,"",INDEX(ChqNo,IFERROR(MATCH(379,ChqRankL,0),0)))</f>
        <v/>
      </c>
      <c r="D395" s="23">
        <f>IF(IFERROR(MATCH(379,ChqRankL,0),0)=0,"",IF(INDEX(ChqAmt,IFERROR(MATCH(379,ChqRankL,0),0))=0,"",INDEX(ChqAmt,IFERROR(MATCH(379,ChqRankL,0),0))))</f>
        <v/>
      </c>
      <c r="E395" s="14">
        <f>IF(IFERROR(MATCH(379,ChqRankL,0),0)=0,"",INDEX(ChqStatus,IFERROR(MATCH(379,ChqRankL,0),0)))</f>
        <v/>
      </c>
      <c r="F395" s="22">
        <f>IF(IFERROR(MATCH(379,ChqRankL,0),0)=0,"",IF(INDEX(ChqStatus,IFERROR(MATCH(379,ChqRankL,0),0))="پاس نشده","—",IF(INDEX(ChqClr,IFERROR(MATCH(379,ChqRankL,0),0))="","—",INDEX(ChqClr,IFERROR(MATCH(379,ChqRankL,0),0)))))</f>
        <v/>
      </c>
      <c r="I395">
        <f>IF(379&gt;NChq,"",INDEX(ChqNorm,379))</f>
        <v/>
      </c>
      <c r="J395">
        <f>IF($I395="","",IF(AND($I395&gt;=$H$3,$I395&lt;=$H$4),1,0))</f>
        <v/>
      </c>
      <c r="K395">
        <f>IF($J395=0,"",INDEX(ChqKey,379))</f>
        <v/>
      </c>
      <c r="L395">
        <f>IF($K395="","",COUNTIFS($J$17:$J$516,1,$K$17:$K$516,"&lt;"&amp;$K395)+1)</f>
        <v/>
      </c>
    </row>
    <row r="396">
      <c r="A396" s="16">
        <f>IF(IFERROR(MATCH(380,ChqRankL,0),0)=0,"",380)</f>
        <v/>
      </c>
      <c r="B396" s="24">
        <f>IF(IFERROR(MATCH(380,ChqRankL,0),0)=0,"",INDEX(ChqNorm,IFERROR(MATCH(380,ChqRankL,0),0)))</f>
        <v/>
      </c>
      <c r="C396" s="24">
        <f>IF(IFERROR(MATCH(380,ChqRankL,0),0)=0,"",INDEX(ChqNo,IFERROR(MATCH(380,ChqRankL,0),0)))</f>
        <v/>
      </c>
      <c r="D396" s="25">
        <f>IF(IFERROR(MATCH(380,ChqRankL,0),0)=0,"",IF(INDEX(ChqAmt,IFERROR(MATCH(380,ChqRankL,0),0))=0,"",INDEX(ChqAmt,IFERROR(MATCH(380,ChqRankL,0),0))))</f>
        <v/>
      </c>
      <c r="E396" s="17">
        <f>IF(IFERROR(MATCH(380,ChqRankL,0),0)=0,"",INDEX(ChqStatus,IFERROR(MATCH(380,ChqRankL,0),0)))</f>
        <v/>
      </c>
      <c r="F396" s="24">
        <f>IF(IFERROR(MATCH(380,ChqRankL,0),0)=0,"",IF(INDEX(ChqStatus,IFERROR(MATCH(380,ChqRankL,0),0))="پاس نشده","—",IF(INDEX(ChqClr,IFERROR(MATCH(380,ChqRankL,0),0))="","—",INDEX(ChqClr,IFERROR(MATCH(380,ChqRankL,0),0)))))</f>
        <v/>
      </c>
      <c r="I396">
        <f>IF(380&gt;NChq,"",INDEX(ChqNorm,380))</f>
        <v/>
      </c>
      <c r="J396">
        <f>IF($I396="","",IF(AND($I396&gt;=$H$3,$I396&lt;=$H$4),1,0))</f>
        <v/>
      </c>
      <c r="K396">
        <f>IF($J396=0,"",INDEX(ChqKey,380))</f>
        <v/>
      </c>
      <c r="L396">
        <f>IF($K396="","",COUNTIFS($J$17:$J$516,1,$K$17:$K$516,"&lt;"&amp;$K396)+1)</f>
        <v/>
      </c>
    </row>
    <row r="397">
      <c r="A397" s="10">
        <f>IF(IFERROR(MATCH(381,ChqRankL,0),0)=0,"",381)</f>
        <v/>
      </c>
      <c r="B397" s="22">
        <f>IF(IFERROR(MATCH(381,ChqRankL,0),0)=0,"",INDEX(ChqNorm,IFERROR(MATCH(381,ChqRankL,0),0)))</f>
        <v/>
      </c>
      <c r="C397" s="22">
        <f>IF(IFERROR(MATCH(381,ChqRankL,0),0)=0,"",INDEX(ChqNo,IFERROR(MATCH(381,ChqRankL,0),0)))</f>
        <v/>
      </c>
      <c r="D397" s="23">
        <f>IF(IFERROR(MATCH(381,ChqRankL,0),0)=0,"",IF(INDEX(ChqAmt,IFERROR(MATCH(381,ChqRankL,0),0))=0,"",INDEX(ChqAmt,IFERROR(MATCH(381,ChqRankL,0),0))))</f>
        <v/>
      </c>
      <c r="E397" s="14">
        <f>IF(IFERROR(MATCH(381,ChqRankL,0),0)=0,"",INDEX(ChqStatus,IFERROR(MATCH(381,ChqRankL,0),0)))</f>
        <v/>
      </c>
      <c r="F397" s="22">
        <f>IF(IFERROR(MATCH(381,ChqRankL,0),0)=0,"",IF(INDEX(ChqStatus,IFERROR(MATCH(381,ChqRankL,0),0))="پاس نشده","—",IF(INDEX(ChqClr,IFERROR(MATCH(381,ChqRankL,0),0))="","—",INDEX(ChqClr,IFERROR(MATCH(381,ChqRankL,0),0)))))</f>
        <v/>
      </c>
      <c r="I397">
        <f>IF(381&gt;NChq,"",INDEX(ChqNorm,381))</f>
        <v/>
      </c>
      <c r="J397">
        <f>IF($I397="","",IF(AND($I397&gt;=$H$3,$I397&lt;=$H$4),1,0))</f>
        <v/>
      </c>
      <c r="K397">
        <f>IF($J397=0,"",INDEX(ChqKey,381))</f>
        <v/>
      </c>
      <c r="L397">
        <f>IF($K397="","",COUNTIFS($J$17:$J$516,1,$K$17:$K$516,"&lt;"&amp;$K397)+1)</f>
        <v/>
      </c>
    </row>
    <row r="398">
      <c r="A398" s="16">
        <f>IF(IFERROR(MATCH(382,ChqRankL,0),0)=0,"",382)</f>
        <v/>
      </c>
      <c r="B398" s="24">
        <f>IF(IFERROR(MATCH(382,ChqRankL,0),0)=0,"",INDEX(ChqNorm,IFERROR(MATCH(382,ChqRankL,0),0)))</f>
        <v/>
      </c>
      <c r="C398" s="24">
        <f>IF(IFERROR(MATCH(382,ChqRankL,0),0)=0,"",INDEX(ChqNo,IFERROR(MATCH(382,ChqRankL,0),0)))</f>
        <v/>
      </c>
      <c r="D398" s="25">
        <f>IF(IFERROR(MATCH(382,ChqRankL,0),0)=0,"",IF(INDEX(ChqAmt,IFERROR(MATCH(382,ChqRankL,0),0))=0,"",INDEX(ChqAmt,IFERROR(MATCH(382,ChqRankL,0),0))))</f>
        <v/>
      </c>
      <c r="E398" s="17">
        <f>IF(IFERROR(MATCH(382,ChqRankL,0),0)=0,"",INDEX(ChqStatus,IFERROR(MATCH(382,ChqRankL,0),0)))</f>
        <v/>
      </c>
      <c r="F398" s="24">
        <f>IF(IFERROR(MATCH(382,ChqRankL,0),0)=0,"",IF(INDEX(ChqStatus,IFERROR(MATCH(382,ChqRankL,0),0))="پاس نشده","—",IF(INDEX(ChqClr,IFERROR(MATCH(382,ChqRankL,0),0))="","—",INDEX(ChqClr,IFERROR(MATCH(382,ChqRankL,0),0)))))</f>
        <v/>
      </c>
      <c r="I398">
        <f>IF(382&gt;NChq,"",INDEX(ChqNorm,382))</f>
        <v/>
      </c>
      <c r="J398">
        <f>IF($I398="","",IF(AND($I398&gt;=$H$3,$I398&lt;=$H$4),1,0))</f>
        <v/>
      </c>
      <c r="K398">
        <f>IF($J398=0,"",INDEX(ChqKey,382))</f>
        <v/>
      </c>
      <c r="L398">
        <f>IF($K398="","",COUNTIFS($J$17:$J$516,1,$K$17:$K$516,"&lt;"&amp;$K398)+1)</f>
        <v/>
      </c>
    </row>
    <row r="399">
      <c r="A399" s="10">
        <f>IF(IFERROR(MATCH(383,ChqRankL,0),0)=0,"",383)</f>
        <v/>
      </c>
      <c r="B399" s="22">
        <f>IF(IFERROR(MATCH(383,ChqRankL,0),0)=0,"",INDEX(ChqNorm,IFERROR(MATCH(383,ChqRankL,0),0)))</f>
        <v/>
      </c>
      <c r="C399" s="22">
        <f>IF(IFERROR(MATCH(383,ChqRankL,0),0)=0,"",INDEX(ChqNo,IFERROR(MATCH(383,ChqRankL,0),0)))</f>
        <v/>
      </c>
      <c r="D399" s="23">
        <f>IF(IFERROR(MATCH(383,ChqRankL,0),0)=0,"",IF(INDEX(ChqAmt,IFERROR(MATCH(383,ChqRankL,0),0))=0,"",INDEX(ChqAmt,IFERROR(MATCH(383,ChqRankL,0),0))))</f>
        <v/>
      </c>
      <c r="E399" s="14">
        <f>IF(IFERROR(MATCH(383,ChqRankL,0),0)=0,"",INDEX(ChqStatus,IFERROR(MATCH(383,ChqRankL,0),0)))</f>
        <v/>
      </c>
      <c r="F399" s="22">
        <f>IF(IFERROR(MATCH(383,ChqRankL,0),0)=0,"",IF(INDEX(ChqStatus,IFERROR(MATCH(383,ChqRankL,0),0))="پاس نشده","—",IF(INDEX(ChqClr,IFERROR(MATCH(383,ChqRankL,0),0))="","—",INDEX(ChqClr,IFERROR(MATCH(383,ChqRankL,0),0)))))</f>
        <v/>
      </c>
      <c r="I399">
        <f>IF(383&gt;NChq,"",INDEX(ChqNorm,383))</f>
        <v/>
      </c>
      <c r="J399">
        <f>IF($I399="","",IF(AND($I399&gt;=$H$3,$I399&lt;=$H$4),1,0))</f>
        <v/>
      </c>
      <c r="K399">
        <f>IF($J399=0,"",INDEX(ChqKey,383))</f>
        <v/>
      </c>
      <c r="L399">
        <f>IF($K399="","",COUNTIFS($J$17:$J$516,1,$K$17:$K$516,"&lt;"&amp;$K399)+1)</f>
        <v/>
      </c>
    </row>
    <row r="400">
      <c r="A400" s="16">
        <f>IF(IFERROR(MATCH(384,ChqRankL,0),0)=0,"",384)</f>
        <v/>
      </c>
      <c r="B400" s="24">
        <f>IF(IFERROR(MATCH(384,ChqRankL,0),0)=0,"",INDEX(ChqNorm,IFERROR(MATCH(384,ChqRankL,0),0)))</f>
        <v/>
      </c>
      <c r="C400" s="24">
        <f>IF(IFERROR(MATCH(384,ChqRankL,0),0)=0,"",INDEX(ChqNo,IFERROR(MATCH(384,ChqRankL,0),0)))</f>
        <v/>
      </c>
      <c r="D400" s="25">
        <f>IF(IFERROR(MATCH(384,ChqRankL,0),0)=0,"",IF(INDEX(ChqAmt,IFERROR(MATCH(384,ChqRankL,0),0))=0,"",INDEX(ChqAmt,IFERROR(MATCH(384,ChqRankL,0),0))))</f>
        <v/>
      </c>
      <c r="E400" s="17">
        <f>IF(IFERROR(MATCH(384,ChqRankL,0),0)=0,"",INDEX(ChqStatus,IFERROR(MATCH(384,ChqRankL,0),0)))</f>
        <v/>
      </c>
      <c r="F400" s="24">
        <f>IF(IFERROR(MATCH(384,ChqRankL,0),0)=0,"",IF(INDEX(ChqStatus,IFERROR(MATCH(384,ChqRankL,0),0))="پاس نشده","—",IF(INDEX(ChqClr,IFERROR(MATCH(384,ChqRankL,0),0))="","—",INDEX(ChqClr,IFERROR(MATCH(384,ChqRankL,0),0)))))</f>
        <v/>
      </c>
      <c r="I400">
        <f>IF(384&gt;NChq,"",INDEX(ChqNorm,384))</f>
        <v/>
      </c>
      <c r="J400">
        <f>IF($I400="","",IF(AND($I400&gt;=$H$3,$I400&lt;=$H$4),1,0))</f>
        <v/>
      </c>
      <c r="K400">
        <f>IF($J400=0,"",INDEX(ChqKey,384))</f>
        <v/>
      </c>
      <c r="L400">
        <f>IF($K400="","",COUNTIFS($J$17:$J$516,1,$K$17:$K$516,"&lt;"&amp;$K400)+1)</f>
        <v/>
      </c>
    </row>
    <row r="401">
      <c r="A401" s="10">
        <f>IF(IFERROR(MATCH(385,ChqRankL,0),0)=0,"",385)</f>
        <v/>
      </c>
      <c r="B401" s="22">
        <f>IF(IFERROR(MATCH(385,ChqRankL,0),0)=0,"",INDEX(ChqNorm,IFERROR(MATCH(385,ChqRankL,0),0)))</f>
        <v/>
      </c>
      <c r="C401" s="22">
        <f>IF(IFERROR(MATCH(385,ChqRankL,0),0)=0,"",INDEX(ChqNo,IFERROR(MATCH(385,ChqRankL,0),0)))</f>
        <v/>
      </c>
      <c r="D401" s="23">
        <f>IF(IFERROR(MATCH(385,ChqRankL,0),0)=0,"",IF(INDEX(ChqAmt,IFERROR(MATCH(385,ChqRankL,0),0))=0,"",INDEX(ChqAmt,IFERROR(MATCH(385,ChqRankL,0),0))))</f>
        <v/>
      </c>
      <c r="E401" s="14">
        <f>IF(IFERROR(MATCH(385,ChqRankL,0),0)=0,"",INDEX(ChqStatus,IFERROR(MATCH(385,ChqRankL,0),0)))</f>
        <v/>
      </c>
      <c r="F401" s="22">
        <f>IF(IFERROR(MATCH(385,ChqRankL,0),0)=0,"",IF(INDEX(ChqStatus,IFERROR(MATCH(385,ChqRankL,0),0))="پاس نشده","—",IF(INDEX(ChqClr,IFERROR(MATCH(385,ChqRankL,0),0))="","—",INDEX(ChqClr,IFERROR(MATCH(385,ChqRankL,0),0)))))</f>
        <v/>
      </c>
      <c r="I401">
        <f>IF(385&gt;NChq,"",INDEX(ChqNorm,385))</f>
        <v/>
      </c>
      <c r="J401">
        <f>IF($I401="","",IF(AND($I401&gt;=$H$3,$I401&lt;=$H$4),1,0))</f>
        <v/>
      </c>
      <c r="K401">
        <f>IF($J401=0,"",INDEX(ChqKey,385))</f>
        <v/>
      </c>
      <c r="L401">
        <f>IF($K401="","",COUNTIFS($J$17:$J$516,1,$K$17:$K$516,"&lt;"&amp;$K401)+1)</f>
        <v/>
      </c>
    </row>
    <row r="402">
      <c r="A402" s="16">
        <f>IF(IFERROR(MATCH(386,ChqRankL,0),0)=0,"",386)</f>
        <v/>
      </c>
      <c r="B402" s="24">
        <f>IF(IFERROR(MATCH(386,ChqRankL,0),0)=0,"",INDEX(ChqNorm,IFERROR(MATCH(386,ChqRankL,0),0)))</f>
        <v/>
      </c>
      <c r="C402" s="24">
        <f>IF(IFERROR(MATCH(386,ChqRankL,0),0)=0,"",INDEX(ChqNo,IFERROR(MATCH(386,ChqRankL,0),0)))</f>
        <v/>
      </c>
      <c r="D402" s="25">
        <f>IF(IFERROR(MATCH(386,ChqRankL,0),0)=0,"",IF(INDEX(ChqAmt,IFERROR(MATCH(386,ChqRankL,0),0))=0,"",INDEX(ChqAmt,IFERROR(MATCH(386,ChqRankL,0),0))))</f>
        <v/>
      </c>
      <c r="E402" s="17">
        <f>IF(IFERROR(MATCH(386,ChqRankL,0),0)=0,"",INDEX(ChqStatus,IFERROR(MATCH(386,ChqRankL,0),0)))</f>
        <v/>
      </c>
      <c r="F402" s="24">
        <f>IF(IFERROR(MATCH(386,ChqRankL,0),0)=0,"",IF(INDEX(ChqStatus,IFERROR(MATCH(386,ChqRankL,0),0))="پاس نشده","—",IF(INDEX(ChqClr,IFERROR(MATCH(386,ChqRankL,0),0))="","—",INDEX(ChqClr,IFERROR(MATCH(386,ChqRankL,0),0)))))</f>
        <v/>
      </c>
      <c r="I402">
        <f>IF(386&gt;NChq,"",INDEX(ChqNorm,386))</f>
        <v/>
      </c>
      <c r="J402">
        <f>IF($I402="","",IF(AND($I402&gt;=$H$3,$I402&lt;=$H$4),1,0))</f>
        <v/>
      </c>
      <c r="K402">
        <f>IF($J402=0,"",INDEX(ChqKey,386))</f>
        <v/>
      </c>
      <c r="L402">
        <f>IF($K402="","",COUNTIFS($J$17:$J$516,1,$K$17:$K$516,"&lt;"&amp;$K402)+1)</f>
        <v/>
      </c>
    </row>
    <row r="403">
      <c r="A403" s="10">
        <f>IF(IFERROR(MATCH(387,ChqRankL,0),0)=0,"",387)</f>
        <v/>
      </c>
      <c r="B403" s="22">
        <f>IF(IFERROR(MATCH(387,ChqRankL,0),0)=0,"",INDEX(ChqNorm,IFERROR(MATCH(387,ChqRankL,0),0)))</f>
        <v/>
      </c>
      <c r="C403" s="22">
        <f>IF(IFERROR(MATCH(387,ChqRankL,0),0)=0,"",INDEX(ChqNo,IFERROR(MATCH(387,ChqRankL,0),0)))</f>
        <v/>
      </c>
      <c r="D403" s="23">
        <f>IF(IFERROR(MATCH(387,ChqRankL,0),0)=0,"",IF(INDEX(ChqAmt,IFERROR(MATCH(387,ChqRankL,0),0))=0,"",INDEX(ChqAmt,IFERROR(MATCH(387,ChqRankL,0),0))))</f>
        <v/>
      </c>
      <c r="E403" s="14">
        <f>IF(IFERROR(MATCH(387,ChqRankL,0),0)=0,"",INDEX(ChqStatus,IFERROR(MATCH(387,ChqRankL,0),0)))</f>
        <v/>
      </c>
      <c r="F403" s="22">
        <f>IF(IFERROR(MATCH(387,ChqRankL,0),0)=0,"",IF(INDEX(ChqStatus,IFERROR(MATCH(387,ChqRankL,0),0))="پاس نشده","—",IF(INDEX(ChqClr,IFERROR(MATCH(387,ChqRankL,0),0))="","—",INDEX(ChqClr,IFERROR(MATCH(387,ChqRankL,0),0)))))</f>
        <v/>
      </c>
      <c r="I403">
        <f>IF(387&gt;NChq,"",INDEX(ChqNorm,387))</f>
        <v/>
      </c>
      <c r="J403">
        <f>IF($I403="","",IF(AND($I403&gt;=$H$3,$I403&lt;=$H$4),1,0))</f>
        <v/>
      </c>
      <c r="K403">
        <f>IF($J403=0,"",INDEX(ChqKey,387))</f>
        <v/>
      </c>
      <c r="L403">
        <f>IF($K403="","",COUNTIFS($J$17:$J$516,1,$K$17:$K$516,"&lt;"&amp;$K403)+1)</f>
        <v/>
      </c>
    </row>
    <row r="404">
      <c r="A404" s="16">
        <f>IF(IFERROR(MATCH(388,ChqRankL,0),0)=0,"",388)</f>
        <v/>
      </c>
      <c r="B404" s="24">
        <f>IF(IFERROR(MATCH(388,ChqRankL,0),0)=0,"",INDEX(ChqNorm,IFERROR(MATCH(388,ChqRankL,0),0)))</f>
        <v/>
      </c>
      <c r="C404" s="24">
        <f>IF(IFERROR(MATCH(388,ChqRankL,0),0)=0,"",INDEX(ChqNo,IFERROR(MATCH(388,ChqRankL,0),0)))</f>
        <v/>
      </c>
      <c r="D404" s="25">
        <f>IF(IFERROR(MATCH(388,ChqRankL,0),0)=0,"",IF(INDEX(ChqAmt,IFERROR(MATCH(388,ChqRankL,0),0))=0,"",INDEX(ChqAmt,IFERROR(MATCH(388,ChqRankL,0),0))))</f>
        <v/>
      </c>
      <c r="E404" s="17">
        <f>IF(IFERROR(MATCH(388,ChqRankL,0),0)=0,"",INDEX(ChqStatus,IFERROR(MATCH(388,ChqRankL,0),0)))</f>
        <v/>
      </c>
      <c r="F404" s="24">
        <f>IF(IFERROR(MATCH(388,ChqRankL,0),0)=0,"",IF(INDEX(ChqStatus,IFERROR(MATCH(388,ChqRankL,0),0))="پاس نشده","—",IF(INDEX(ChqClr,IFERROR(MATCH(388,ChqRankL,0),0))="","—",INDEX(ChqClr,IFERROR(MATCH(388,ChqRankL,0),0)))))</f>
        <v/>
      </c>
      <c r="I404">
        <f>IF(388&gt;NChq,"",INDEX(ChqNorm,388))</f>
        <v/>
      </c>
      <c r="J404">
        <f>IF($I404="","",IF(AND($I404&gt;=$H$3,$I404&lt;=$H$4),1,0))</f>
        <v/>
      </c>
      <c r="K404">
        <f>IF($J404=0,"",INDEX(ChqKey,388))</f>
        <v/>
      </c>
      <c r="L404">
        <f>IF($K404="","",COUNTIFS($J$17:$J$516,1,$K$17:$K$516,"&lt;"&amp;$K404)+1)</f>
        <v/>
      </c>
    </row>
    <row r="405">
      <c r="A405" s="10">
        <f>IF(IFERROR(MATCH(389,ChqRankL,0),0)=0,"",389)</f>
        <v/>
      </c>
      <c r="B405" s="22">
        <f>IF(IFERROR(MATCH(389,ChqRankL,0),0)=0,"",INDEX(ChqNorm,IFERROR(MATCH(389,ChqRankL,0),0)))</f>
        <v/>
      </c>
      <c r="C405" s="22">
        <f>IF(IFERROR(MATCH(389,ChqRankL,0),0)=0,"",INDEX(ChqNo,IFERROR(MATCH(389,ChqRankL,0),0)))</f>
        <v/>
      </c>
      <c r="D405" s="23">
        <f>IF(IFERROR(MATCH(389,ChqRankL,0),0)=0,"",IF(INDEX(ChqAmt,IFERROR(MATCH(389,ChqRankL,0),0))=0,"",INDEX(ChqAmt,IFERROR(MATCH(389,ChqRankL,0),0))))</f>
        <v/>
      </c>
      <c r="E405" s="14">
        <f>IF(IFERROR(MATCH(389,ChqRankL,0),0)=0,"",INDEX(ChqStatus,IFERROR(MATCH(389,ChqRankL,0),0)))</f>
        <v/>
      </c>
      <c r="F405" s="22">
        <f>IF(IFERROR(MATCH(389,ChqRankL,0),0)=0,"",IF(INDEX(ChqStatus,IFERROR(MATCH(389,ChqRankL,0),0))="پاس نشده","—",IF(INDEX(ChqClr,IFERROR(MATCH(389,ChqRankL,0),0))="","—",INDEX(ChqClr,IFERROR(MATCH(389,ChqRankL,0),0)))))</f>
        <v/>
      </c>
      <c r="I405">
        <f>IF(389&gt;NChq,"",INDEX(ChqNorm,389))</f>
        <v/>
      </c>
      <c r="J405">
        <f>IF($I405="","",IF(AND($I405&gt;=$H$3,$I405&lt;=$H$4),1,0))</f>
        <v/>
      </c>
      <c r="K405">
        <f>IF($J405=0,"",INDEX(ChqKey,389))</f>
        <v/>
      </c>
      <c r="L405">
        <f>IF($K405="","",COUNTIFS($J$17:$J$516,1,$K$17:$K$516,"&lt;"&amp;$K405)+1)</f>
        <v/>
      </c>
    </row>
    <row r="406">
      <c r="A406" s="16">
        <f>IF(IFERROR(MATCH(390,ChqRankL,0),0)=0,"",390)</f>
        <v/>
      </c>
      <c r="B406" s="24">
        <f>IF(IFERROR(MATCH(390,ChqRankL,0),0)=0,"",INDEX(ChqNorm,IFERROR(MATCH(390,ChqRankL,0),0)))</f>
        <v/>
      </c>
      <c r="C406" s="24">
        <f>IF(IFERROR(MATCH(390,ChqRankL,0),0)=0,"",INDEX(ChqNo,IFERROR(MATCH(390,ChqRankL,0),0)))</f>
        <v/>
      </c>
      <c r="D406" s="25">
        <f>IF(IFERROR(MATCH(390,ChqRankL,0),0)=0,"",IF(INDEX(ChqAmt,IFERROR(MATCH(390,ChqRankL,0),0))=0,"",INDEX(ChqAmt,IFERROR(MATCH(390,ChqRankL,0),0))))</f>
        <v/>
      </c>
      <c r="E406" s="17">
        <f>IF(IFERROR(MATCH(390,ChqRankL,0),0)=0,"",INDEX(ChqStatus,IFERROR(MATCH(390,ChqRankL,0),0)))</f>
        <v/>
      </c>
      <c r="F406" s="24">
        <f>IF(IFERROR(MATCH(390,ChqRankL,0),0)=0,"",IF(INDEX(ChqStatus,IFERROR(MATCH(390,ChqRankL,0),0))="پاس نشده","—",IF(INDEX(ChqClr,IFERROR(MATCH(390,ChqRankL,0),0))="","—",INDEX(ChqClr,IFERROR(MATCH(390,ChqRankL,0),0)))))</f>
        <v/>
      </c>
      <c r="I406">
        <f>IF(390&gt;NChq,"",INDEX(ChqNorm,390))</f>
        <v/>
      </c>
      <c r="J406">
        <f>IF($I406="","",IF(AND($I406&gt;=$H$3,$I406&lt;=$H$4),1,0))</f>
        <v/>
      </c>
      <c r="K406">
        <f>IF($J406=0,"",INDEX(ChqKey,390))</f>
        <v/>
      </c>
      <c r="L406">
        <f>IF($K406="","",COUNTIFS($J$17:$J$516,1,$K$17:$K$516,"&lt;"&amp;$K406)+1)</f>
        <v/>
      </c>
    </row>
    <row r="407">
      <c r="A407" s="10">
        <f>IF(IFERROR(MATCH(391,ChqRankL,0),0)=0,"",391)</f>
        <v/>
      </c>
      <c r="B407" s="22">
        <f>IF(IFERROR(MATCH(391,ChqRankL,0),0)=0,"",INDEX(ChqNorm,IFERROR(MATCH(391,ChqRankL,0),0)))</f>
        <v/>
      </c>
      <c r="C407" s="22">
        <f>IF(IFERROR(MATCH(391,ChqRankL,0),0)=0,"",INDEX(ChqNo,IFERROR(MATCH(391,ChqRankL,0),0)))</f>
        <v/>
      </c>
      <c r="D407" s="23">
        <f>IF(IFERROR(MATCH(391,ChqRankL,0),0)=0,"",IF(INDEX(ChqAmt,IFERROR(MATCH(391,ChqRankL,0),0))=0,"",INDEX(ChqAmt,IFERROR(MATCH(391,ChqRankL,0),0))))</f>
        <v/>
      </c>
      <c r="E407" s="14">
        <f>IF(IFERROR(MATCH(391,ChqRankL,0),0)=0,"",INDEX(ChqStatus,IFERROR(MATCH(391,ChqRankL,0),0)))</f>
        <v/>
      </c>
      <c r="F407" s="22">
        <f>IF(IFERROR(MATCH(391,ChqRankL,0),0)=0,"",IF(INDEX(ChqStatus,IFERROR(MATCH(391,ChqRankL,0),0))="پاس نشده","—",IF(INDEX(ChqClr,IFERROR(MATCH(391,ChqRankL,0),0))="","—",INDEX(ChqClr,IFERROR(MATCH(391,ChqRankL,0),0)))))</f>
        <v/>
      </c>
      <c r="I407">
        <f>IF(391&gt;NChq,"",INDEX(ChqNorm,391))</f>
        <v/>
      </c>
      <c r="J407">
        <f>IF($I407="","",IF(AND($I407&gt;=$H$3,$I407&lt;=$H$4),1,0))</f>
        <v/>
      </c>
      <c r="K407">
        <f>IF($J407=0,"",INDEX(ChqKey,391))</f>
        <v/>
      </c>
      <c r="L407">
        <f>IF($K407="","",COUNTIFS($J$17:$J$516,1,$K$17:$K$516,"&lt;"&amp;$K407)+1)</f>
        <v/>
      </c>
    </row>
    <row r="408">
      <c r="A408" s="16">
        <f>IF(IFERROR(MATCH(392,ChqRankL,0),0)=0,"",392)</f>
        <v/>
      </c>
      <c r="B408" s="24">
        <f>IF(IFERROR(MATCH(392,ChqRankL,0),0)=0,"",INDEX(ChqNorm,IFERROR(MATCH(392,ChqRankL,0),0)))</f>
        <v/>
      </c>
      <c r="C408" s="24">
        <f>IF(IFERROR(MATCH(392,ChqRankL,0),0)=0,"",INDEX(ChqNo,IFERROR(MATCH(392,ChqRankL,0),0)))</f>
        <v/>
      </c>
      <c r="D408" s="25">
        <f>IF(IFERROR(MATCH(392,ChqRankL,0),0)=0,"",IF(INDEX(ChqAmt,IFERROR(MATCH(392,ChqRankL,0),0))=0,"",INDEX(ChqAmt,IFERROR(MATCH(392,ChqRankL,0),0))))</f>
        <v/>
      </c>
      <c r="E408" s="17">
        <f>IF(IFERROR(MATCH(392,ChqRankL,0),0)=0,"",INDEX(ChqStatus,IFERROR(MATCH(392,ChqRankL,0),0)))</f>
        <v/>
      </c>
      <c r="F408" s="24">
        <f>IF(IFERROR(MATCH(392,ChqRankL,0),0)=0,"",IF(INDEX(ChqStatus,IFERROR(MATCH(392,ChqRankL,0),0))="پاس نشده","—",IF(INDEX(ChqClr,IFERROR(MATCH(392,ChqRankL,0),0))="","—",INDEX(ChqClr,IFERROR(MATCH(392,ChqRankL,0),0)))))</f>
        <v/>
      </c>
      <c r="I408">
        <f>IF(392&gt;NChq,"",INDEX(ChqNorm,392))</f>
        <v/>
      </c>
      <c r="J408">
        <f>IF($I408="","",IF(AND($I408&gt;=$H$3,$I408&lt;=$H$4),1,0))</f>
        <v/>
      </c>
      <c r="K408">
        <f>IF($J408=0,"",INDEX(ChqKey,392))</f>
        <v/>
      </c>
      <c r="L408">
        <f>IF($K408="","",COUNTIFS($J$17:$J$516,1,$K$17:$K$516,"&lt;"&amp;$K408)+1)</f>
        <v/>
      </c>
    </row>
    <row r="409">
      <c r="A409" s="10">
        <f>IF(IFERROR(MATCH(393,ChqRankL,0),0)=0,"",393)</f>
        <v/>
      </c>
      <c r="B409" s="22">
        <f>IF(IFERROR(MATCH(393,ChqRankL,0),0)=0,"",INDEX(ChqNorm,IFERROR(MATCH(393,ChqRankL,0),0)))</f>
        <v/>
      </c>
      <c r="C409" s="22">
        <f>IF(IFERROR(MATCH(393,ChqRankL,0),0)=0,"",INDEX(ChqNo,IFERROR(MATCH(393,ChqRankL,0),0)))</f>
        <v/>
      </c>
      <c r="D409" s="23">
        <f>IF(IFERROR(MATCH(393,ChqRankL,0),0)=0,"",IF(INDEX(ChqAmt,IFERROR(MATCH(393,ChqRankL,0),0))=0,"",INDEX(ChqAmt,IFERROR(MATCH(393,ChqRankL,0),0))))</f>
        <v/>
      </c>
      <c r="E409" s="14">
        <f>IF(IFERROR(MATCH(393,ChqRankL,0),0)=0,"",INDEX(ChqStatus,IFERROR(MATCH(393,ChqRankL,0),0)))</f>
        <v/>
      </c>
      <c r="F409" s="22">
        <f>IF(IFERROR(MATCH(393,ChqRankL,0),0)=0,"",IF(INDEX(ChqStatus,IFERROR(MATCH(393,ChqRankL,0),0))="پاس نشده","—",IF(INDEX(ChqClr,IFERROR(MATCH(393,ChqRankL,0),0))="","—",INDEX(ChqClr,IFERROR(MATCH(393,ChqRankL,0),0)))))</f>
        <v/>
      </c>
      <c r="I409">
        <f>IF(393&gt;NChq,"",INDEX(ChqNorm,393))</f>
        <v/>
      </c>
      <c r="J409">
        <f>IF($I409="","",IF(AND($I409&gt;=$H$3,$I409&lt;=$H$4),1,0))</f>
        <v/>
      </c>
      <c r="K409">
        <f>IF($J409=0,"",INDEX(ChqKey,393))</f>
        <v/>
      </c>
      <c r="L409">
        <f>IF($K409="","",COUNTIFS($J$17:$J$516,1,$K$17:$K$516,"&lt;"&amp;$K409)+1)</f>
        <v/>
      </c>
    </row>
    <row r="410">
      <c r="A410" s="16">
        <f>IF(IFERROR(MATCH(394,ChqRankL,0),0)=0,"",394)</f>
        <v/>
      </c>
      <c r="B410" s="24">
        <f>IF(IFERROR(MATCH(394,ChqRankL,0),0)=0,"",INDEX(ChqNorm,IFERROR(MATCH(394,ChqRankL,0),0)))</f>
        <v/>
      </c>
      <c r="C410" s="24">
        <f>IF(IFERROR(MATCH(394,ChqRankL,0),0)=0,"",INDEX(ChqNo,IFERROR(MATCH(394,ChqRankL,0),0)))</f>
        <v/>
      </c>
      <c r="D410" s="25">
        <f>IF(IFERROR(MATCH(394,ChqRankL,0),0)=0,"",IF(INDEX(ChqAmt,IFERROR(MATCH(394,ChqRankL,0),0))=0,"",INDEX(ChqAmt,IFERROR(MATCH(394,ChqRankL,0),0))))</f>
        <v/>
      </c>
      <c r="E410" s="17">
        <f>IF(IFERROR(MATCH(394,ChqRankL,0),0)=0,"",INDEX(ChqStatus,IFERROR(MATCH(394,ChqRankL,0),0)))</f>
        <v/>
      </c>
      <c r="F410" s="24">
        <f>IF(IFERROR(MATCH(394,ChqRankL,0),0)=0,"",IF(INDEX(ChqStatus,IFERROR(MATCH(394,ChqRankL,0),0))="پاس نشده","—",IF(INDEX(ChqClr,IFERROR(MATCH(394,ChqRankL,0),0))="","—",INDEX(ChqClr,IFERROR(MATCH(394,ChqRankL,0),0)))))</f>
        <v/>
      </c>
      <c r="I410">
        <f>IF(394&gt;NChq,"",INDEX(ChqNorm,394))</f>
        <v/>
      </c>
      <c r="J410">
        <f>IF($I410="","",IF(AND($I410&gt;=$H$3,$I410&lt;=$H$4),1,0))</f>
        <v/>
      </c>
      <c r="K410">
        <f>IF($J410=0,"",INDEX(ChqKey,394))</f>
        <v/>
      </c>
      <c r="L410">
        <f>IF($K410="","",COUNTIFS($J$17:$J$516,1,$K$17:$K$516,"&lt;"&amp;$K410)+1)</f>
        <v/>
      </c>
    </row>
    <row r="411">
      <c r="A411" s="10">
        <f>IF(IFERROR(MATCH(395,ChqRankL,0),0)=0,"",395)</f>
        <v/>
      </c>
      <c r="B411" s="22">
        <f>IF(IFERROR(MATCH(395,ChqRankL,0),0)=0,"",INDEX(ChqNorm,IFERROR(MATCH(395,ChqRankL,0),0)))</f>
        <v/>
      </c>
      <c r="C411" s="22">
        <f>IF(IFERROR(MATCH(395,ChqRankL,0),0)=0,"",INDEX(ChqNo,IFERROR(MATCH(395,ChqRankL,0),0)))</f>
        <v/>
      </c>
      <c r="D411" s="23">
        <f>IF(IFERROR(MATCH(395,ChqRankL,0),0)=0,"",IF(INDEX(ChqAmt,IFERROR(MATCH(395,ChqRankL,0),0))=0,"",INDEX(ChqAmt,IFERROR(MATCH(395,ChqRankL,0),0))))</f>
        <v/>
      </c>
      <c r="E411" s="14">
        <f>IF(IFERROR(MATCH(395,ChqRankL,0),0)=0,"",INDEX(ChqStatus,IFERROR(MATCH(395,ChqRankL,0),0)))</f>
        <v/>
      </c>
      <c r="F411" s="22">
        <f>IF(IFERROR(MATCH(395,ChqRankL,0),0)=0,"",IF(INDEX(ChqStatus,IFERROR(MATCH(395,ChqRankL,0),0))="پاس نشده","—",IF(INDEX(ChqClr,IFERROR(MATCH(395,ChqRankL,0),0))="","—",INDEX(ChqClr,IFERROR(MATCH(395,ChqRankL,0),0)))))</f>
        <v/>
      </c>
      <c r="I411">
        <f>IF(395&gt;NChq,"",INDEX(ChqNorm,395))</f>
        <v/>
      </c>
      <c r="J411">
        <f>IF($I411="","",IF(AND($I411&gt;=$H$3,$I411&lt;=$H$4),1,0))</f>
        <v/>
      </c>
      <c r="K411">
        <f>IF($J411=0,"",INDEX(ChqKey,395))</f>
        <v/>
      </c>
      <c r="L411">
        <f>IF($K411="","",COUNTIFS($J$17:$J$516,1,$K$17:$K$516,"&lt;"&amp;$K411)+1)</f>
        <v/>
      </c>
    </row>
    <row r="412">
      <c r="A412" s="16">
        <f>IF(IFERROR(MATCH(396,ChqRankL,0),0)=0,"",396)</f>
        <v/>
      </c>
      <c r="B412" s="24">
        <f>IF(IFERROR(MATCH(396,ChqRankL,0),0)=0,"",INDEX(ChqNorm,IFERROR(MATCH(396,ChqRankL,0),0)))</f>
        <v/>
      </c>
      <c r="C412" s="24">
        <f>IF(IFERROR(MATCH(396,ChqRankL,0),0)=0,"",INDEX(ChqNo,IFERROR(MATCH(396,ChqRankL,0),0)))</f>
        <v/>
      </c>
      <c r="D412" s="25">
        <f>IF(IFERROR(MATCH(396,ChqRankL,0),0)=0,"",IF(INDEX(ChqAmt,IFERROR(MATCH(396,ChqRankL,0),0))=0,"",INDEX(ChqAmt,IFERROR(MATCH(396,ChqRankL,0),0))))</f>
        <v/>
      </c>
      <c r="E412" s="17">
        <f>IF(IFERROR(MATCH(396,ChqRankL,0),0)=0,"",INDEX(ChqStatus,IFERROR(MATCH(396,ChqRankL,0),0)))</f>
        <v/>
      </c>
      <c r="F412" s="24">
        <f>IF(IFERROR(MATCH(396,ChqRankL,0),0)=0,"",IF(INDEX(ChqStatus,IFERROR(MATCH(396,ChqRankL,0),0))="پاس نشده","—",IF(INDEX(ChqClr,IFERROR(MATCH(396,ChqRankL,0),0))="","—",INDEX(ChqClr,IFERROR(MATCH(396,ChqRankL,0),0)))))</f>
        <v/>
      </c>
      <c r="I412">
        <f>IF(396&gt;NChq,"",INDEX(ChqNorm,396))</f>
        <v/>
      </c>
      <c r="J412">
        <f>IF($I412="","",IF(AND($I412&gt;=$H$3,$I412&lt;=$H$4),1,0))</f>
        <v/>
      </c>
      <c r="K412">
        <f>IF($J412=0,"",INDEX(ChqKey,396))</f>
        <v/>
      </c>
      <c r="L412">
        <f>IF($K412="","",COUNTIFS($J$17:$J$516,1,$K$17:$K$516,"&lt;"&amp;$K412)+1)</f>
        <v/>
      </c>
    </row>
    <row r="413">
      <c r="A413" s="10">
        <f>IF(IFERROR(MATCH(397,ChqRankL,0),0)=0,"",397)</f>
        <v/>
      </c>
      <c r="B413" s="22">
        <f>IF(IFERROR(MATCH(397,ChqRankL,0),0)=0,"",INDEX(ChqNorm,IFERROR(MATCH(397,ChqRankL,0),0)))</f>
        <v/>
      </c>
      <c r="C413" s="22">
        <f>IF(IFERROR(MATCH(397,ChqRankL,0),0)=0,"",INDEX(ChqNo,IFERROR(MATCH(397,ChqRankL,0),0)))</f>
        <v/>
      </c>
      <c r="D413" s="23">
        <f>IF(IFERROR(MATCH(397,ChqRankL,0),0)=0,"",IF(INDEX(ChqAmt,IFERROR(MATCH(397,ChqRankL,0),0))=0,"",INDEX(ChqAmt,IFERROR(MATCH(397,ChqRankL,0),0))))</f>
        <v/>
      </c>
      <c r="E413" s="14">
        <f>IF(IFERROR(MATCH(397,ChqRankL,0),0)=0,"",INDEX(ChqStatus,IFERROR(MATCH(397,ChqRankL,0),0)))</f>
        <v/>
      </c>
      <c r="F413" s="22">
        <f>IF(IFERROR(MATCH(397,ChqRankL,0),0)=0,"",IF(INDEX(ChqStatus,IFERROR(MATCH(397,ChqRankL,0),0))="پاس نشده","—",IF(INDEX(ChqClr,IFERROR(MATCH(397,ChqRankL,0),0))="","—",INDEX(ChqClr,IFERROR(MATCH(397,ChqRankL,0),0)))))</f>
        <v/>
      </c>
      <c r="I413">
        <f>IF(397&gt;NChq,"",INDEX(ChqNorm,397))</f>
        <v/>
      </c>
      <c r="J413">
        <f>IF($I413="","",IF(AND($I413&gt;=$H$3,$I413&lt;=$H$4),1,0))</f>
        <v/>
      </c>
      <c r="K413">
        <f>IF($J413=0,"",INDEX(ChqKey,397))</f>
        <v/>
      </c>
      <c r="L413">
        <f>IF($K413="","",COUNTIFS($J$17:$J$516,1,$K$17:$K$516,"&lt;"&amp;$K413)+1)</f>
        <v/>
      </c>
    </row>
    <row r="414">
      <c r="A414" s="16">
        <f>IF(IFERROR(MATCH(398,ChqRankL,0),0)=0,"",398)</f>
        <v/>
      </c>
      <c r="B414" s="24">
        <f>IF(IFERROR(MATCH(398,ChqRankL,0),0)=0,"",INDEX(ChqNorm,IFERROR(MATCH(398,ChqRankL,0),0)))</f>
        <v/>
      </c>
      <c r="C414" s="24">
        <f>IF(IFERROR(MATCH(398,ChqRankL,0),0)=0,"",INDEX(ChqNo,IFERROR(MATCH(398,ChqRankL,0),0)))</f>
        <v/>
      </c>
      <c r="D414" s="25">
        <f>IF(IFERROR(MATCH(398,ChqRankL,0),0)=0,"",IF(INDEX(ChqAmt,IFERROR(MATCH(398,ChqRankL,0),0))=0,"",INDEX(ChqAmt,IFERROR(MATCH(398,ChqRankL,0),0))))</f>
        <v/>
      </c>
      <c r="E414" s="17">
        <f>IF(IFERROR(MATCH(398,ChqRankL,0),0)=0,"",INDEX(ChqStatus,IFERROR(MATCH(398,ChqRankL,0),0)))</f>
        <v/>
      </c>
      <c r="F414" s="24">
        <f>IF(IFERROR(MATCH(398,ChqRankL,0),0)=0,"",IF(INDEX(ChqStatus,IFERROR(MATCH(398,ChqRankL,0),0))="پاس نشده","—",IF(INDEX(ChqClr,IFERROR(MATCH(398,ChqRankL,0),0))="","—",INDEX(ChqClr,IFERROR(MATCH(398,ChqRankL,0),0)))))</f>
        <v/>
      </c>
      <c r="I414">
        <f>IF(398&gt;NChq,"",INDEX(ChqNorm,398))</f>
        <v/>
      </c>
      <c r="J414">
        <f>IF($I414="","",IF(AND($I414&gt;=$H$3,$I414&lt;=$H$4),1,0))</f>
        <v/>
      </c>
      <c r="K414">
        <f>IF($J414=0,"",INDEX(ChqKey,398))</f>
        <v/>
      </c>
      <c r="L414">
        <f>IF($K414="","",COUNTIFS($J$17:$J$516,1,$K$17:$K$516,"&lt;"&amp;$K414)+1)</f>
        <v/>
      </c>
    </row>
    <row r="415">
      <c r="A415" s="10">
        <f>IF(IFERROR(MATCH(399,ChqRankL,0),0)=0,"",399)</f>
        <v/>
      </c>
      <c r="B415" s="22">
        <f>IF(IFERROR(MATCH(399,ChqRankL,0),0)=0,"",INDEX(ChqNorm,IFERROR(MATCH(399,ChqRankL,0),0)))</f>
        <v/>
      </c>
      <c r="C415" s="22">
        <f>IF(IFERROR(MATCH(399,ChqRankL,0),0)=0,"",INDEX(ChqNo,IFERROR(MATCH(399,ChqRankL,0),0)))</f>
        <v/>
      </c>
      <c r="D415" s="23">
        <f>IF(IFERROR(MATCH(399,ChqRankL,0),0)=0,"",IF(INDEX(ChqAmt,IFERROR(MATCH(399,ChqRankL,0),0))=0,"",INDEX(ChqAmt,IFERROR(MATCH(399,ChqRankL,0),0))))</f>
        <v/>
      </c>
      <c r="E415" s="14">
        <f>IF(IFERROR(MATCH(399,ChqRankL,0),0)=0,"",INDEX(ChqStatus,IFERROR(MATCH(399,ChqRankL,0),0)))</f>
        <v/>
      </c>
      <c r="F415" s="22">
        <f>IF(IFERROR(MATCH(399,ChqRankL,0),0)=0,"",IF(INDEX(ChqStatus,IFERROR(MATCH(399,ChqRankL,0),0))="پاس نشده","—",IF(INDEX(ChqClr,IFERROR(MATCH(399,ChqRankL,0),0))="","—",INDEX(ChqClr,IFERROR(MATCH(399,ChqRankL,0),0)))))</f>
        <v/>
      </c>
      <c r="I415">
        <f>IF(399&gt;NChq,"",INDEX(ChqNorm,399))</f>
        <v/>
      </c>
      <c r="J415">
        <f>IF($I415="","",IF(AND($I415&gt;=$H$3,$I415&lt;=$H$4),1,0))</f>
        <v/>
      </c>
      <c r="K415">
        <f>IF($J415=0,"",INDEX(ChqKey,399))</f>
        <v/>
      </c>
      <c r="L415">
        <f>IF($K415="","",COUNTIFS($J$17:$J$516,1,$K$17:$K$516,"&lt;"&amp;$K415)+1)</f>
        <v/>
      </c>
    </row>
    <row r="416">
      <c r="A416" s="16">
        <f>IF(IFERROR(MATCH(400,ChqRankL,0),0)=0,"",400)</f>
        <v/>
      </c>
      <c r="B416" s="24">
        <f>IF(IFERROR(MATCH(400,ChqRankL,0),0)=0,"",INDEX(ChqNorm,IFERROR(MATCH(400,ChqRankL,0),0)))</f>
        <v/>
      </c>
      <c r="C416" s="24">
        <f>IF(IFERROR(MATCH(400,ChqRankL,0),0)=0,"",INDEX(ChqNo,IFERROR(MATCH(400,ChqRankL,0),0)))</f>
        <v/>
      </c>
      <c r="D416" s="25">
        <f>IF(IFERROR(MATCH(400,ChqRankL,0),0)=0,"",IF(INDEX(ChqAmt,IFERROR(MATCH(400,ChqRankL,0),0))=0,"",INDEX(ChqAmt,IFERROR(MATCH(400,ChqRankL,0),0))))</f>
        <v/>
      </c>
      <c r="E416" s="17">
        <f>IF(IFERROR(MATCH(400,ChqRankL,0),0)=0,"",INDEX(ChqStatus,IFERROR(MATCH(400,ChqRankL,0),0)))</f>
        <v/>
      </c>
      <c r="F416" s="24">
        <f>IF(IFERROR(MATCH(400,ChqRankL,0),0)=0,"",IF(INDEX(ChqStatus,IFERROR(MATCH(400,ChqRankL,0),0))="پاس نشده","—",IF(INDEX(ChqClr,IFERROR(MATCH(400,ChqRankL,0),0))="","—",INDEX(ChqClr,IFERROR(MATCH(400,ChqRankL,0),0)))))</f>
        <v/>
      </c>
      <c r="I416">
        <f>IF(400&gt;NChq,"",INDEX(ChqNorm,400))</f>
        <v/>
      </c>
      <c r="J416">
        <f>IF($I416="","",IF(AND($I416&gt;=$H$3,$I416&lt;=$H$4),1,0))</f>
        <v/>
      </c>
      <c r="K416">
        <f>IF($J416=0,"",INDEX(ChqKey,400))</f>
        <v/>
      </c>
      <c r="L416">
        <f>IF($K416="","",COUNTIFS($J$17:$J$516,1,$K$17:$K$516,"&lt;"&amp;$K416)+1)</f>
        <v/>
      </c>
    </row>
    <row r="417">
      <c r="A417" s="10">
        <f>IF(IFERROR(MATCH(401,ChqRankL,0),0)=0,"",401)</f>
        <v/>
      </c>
      <c r="B417" s="22">
        <f>IF(IFERROR(MATCH(401,ChqRankL,0),0)=0,"",INDEX(ChqNorm,IFERROR(MATCH(401,ChqRankL,0),0)))</f>
        <v/>
      </c>
      <c r="C417" s="22">
        <f>IF(IFERROR(MATCH(401,ChqRankL,0),0)=0,"",INDEX(ChqNo,IFERROR(MATCH(401,ChqRankL,0),0)))</f>
        <v/>
      </c>
      <c r="D417" s="23">
        <f>IF(IFERROR(MATCH(401,ChqRankL,0),0)=0,"",IF(INDEX(ChqAmt,IFERROR(MATCH(401,ChqRankL,0),0))=0,"",INDEX(ChqAmt,IFERROR(MATCH(401,ChqRankL,0),0))))</f>
        <v/>
      </c>
      <c r="E417" s="14">
        <f>IF(IFERROR(MATCH(401,ChqRankL,0),0)=0,"",INDEX(ChqStatus,IFERROR(MATCH(401,ChqRankL,0),0)))</f>
        <v/>
      </c>
      <c r="F417" s="22">
        <f>IF(IFERROR(MATCH(401,ChqRankL,0),0)=0,"",IF(INDEX(ChqStatus,IFERROR(MATCH(401,ChqRankL,0),0))="پاس نشده","—",IF(INDEX(ChqClr,IFERROR(MATCH(401,ChqRankL,0),0))="","—",INDEX(ChqClr,IFERROR(MATCH(401,ChqRankL,0),0)))))</f>
        <v/>
      </c>
      <c r="I417">
        <f>IF(401&gt;NChq,"",INDEX(ChqNorm,401))</f>
        <v/>
      </c>
      <c r="J417">
        <f>IF($I417="","",IF(AND($I417&gt;=$H$3,$I417&lt;=$H$4),1,0))</f>
        <v/>
      </c>
      <c r="K417">
        <f>IF($J417=0,"",INDEX(ChqKey,401))</f>
        <v/>
      </c>
      <c r="L417">
        <f>IF($K417="","",COUNTIFS($J$17:$J$516,1,$K$17:$K$516,"&lt;"&amp;$K417)+1)</f>
        <v/>
      </c>
    </row>
    <row r="418">
      <c r="A418" s="16">
        <f>IF(IFERROR(MATCH(402,ChqRankL,0),0)=0,"",402)</f>
        <v/>
      </c>
      <c r="B418" s="24">
        <f>IF(IFERROR(MATCH(402,ChqRankL,0),0)=0,"",INDEX(ChqNorm,IFERROR(MATCH(402,ChqRankL,0),0)))</f>
        <v/>
      </c>
      <c r="C418" s="24">
        <f>IF(IFERROR(MATCH(402,ChqRankL,0),0)=0,"",INDEX(ChqNo,IFERROR(MATCH(402,ChqRankL,0),0)))</f>
        <v/>
      </c>
      <c r="D418" s="25">
        <f>IF(IFERROR(MATCH(402,ChqRankL,0),0)=0,"",IF(INDEX(ChqAmt,IFERROR(MATCH(402,ChqRankL,0),0))=0,"",INDEX(ChqAmt,IFERROR(MATCH(402,ChqRankL,0),0))))</f>
        <v/>
      </c>
      <c r="E418" s="17">
        <f>IF(IFERROR(MATCH(402,ChqRankL,0),0)=0,"",INDEX(ChqStatus,IFERROR(MATCH(402,ChqRankL,0),0)))</f>
        <v/>
      </c>
      <c r="F418" s="24">
        <f>IF(IFERROR(MATCH(402,ChqRankL,0),0)=0,"",IF(INDEX(ChqStatus,IFERROR(MATCH(402,ChqRankL,0),0))="پاس نشده","—",IF(INDEX(ChqClr,IFERROR(MATCH(402,ChqRankL,0),0))="","—",INDEX(ChqClr,IFERROR(MATCH(402,ChqRankL,0),0)))))</f>
        <v/>
      </c>
      <c r="I418">
        <f>IF(402&gt;NChq,"",INDEX(ChqNorm,402))</f>
        <v/>
      </c>
      <c r="J418">
        <f>IF($I418="","",IF(AND($I418&gt;=$H$3,$I418&lt;=$H$4),1,0))</f>
        <v/>
      </c>
      <c r="K418">
        <f>IF($J418=0,"",INDEX(ChqKey,402))</f>
        <v/>
      </c>
      <c r="L418">
        <f>IF($K418="","",COUNTIFS($J$17:$J$516,1,$K$17:$K$516,"&lt;"&amp;$K418)+1)</f>
        <v/>
      </c>
    </row>
    <row r="419">
      <c r="A419" s="10">
        <f>IF(IFERROR(MATCH(403,ChqRankL,0),0)=0,"",403)</f>
        <v/>
      </c>
      <c r="B419" s="22">
        <f>IF(IFERROR(MATCH(403,ChqRankL,0),0)=0,"",INDEX(ChqNorm,IFERROR(MATCH(403,ChqRankL,0),0)))</f>
        <v/>
      </c>
      <c r="C419" s="22">
        <f>IF(IFERROR(MATCH(403,ChqRankL,0),0)=0,"",INDEX(ChqNo,IFERROR(MATCH(403,ChqRankL,0),0)))</f>
        <v/>
      </c>
      <c r="D419" s="23">
        <f>IF(IFERROR(MATCH(403,ChqRankL,0),0)=0,"",IF(INDEX(ChqAmt,IFERROR(MATCH(403,ChqRankL,0),0))=0,"",INDEX(ChqAmt,IFERROR(MATCH(403,ChqRankL,0),0))))</f>
        <v/>
      </c>
      <c r="E419" s="14">
        <f>IF(IFERROR(MATCH(403,ChqRankL,0),0)=0,"",INDEX(ChqStatus,IFERROR(MATCH(403,ChqRankL,0),0)))</f>
        <v/>
      </c>
      <c r="F419" s="22">
        <f>IF(IFERROR(MATCH(403,ChqRankL,0),0)=0,"",IF(INDEX(ChqStatus,IFERROR(MATCH(403,ChqRankL,0),0))="پاس نشده","—",IF(INDEX(ChqClr,IFERROR(MATCH(403,ChqRankL,0),0))="","—",INDEX(ChqClr,IFERROR(MATCH(403,ChqRankL,0),0)))))</f>
        <v/>
      </c>
      <c r="I419">
        <f>IF(403&gt;NChq,"",INDEX(ChqNorm,403))</f>
        <v/>
      </c>
      <c r="J419">
        <f>IF($I419="","",IF(AND($I419&gt;=$H$3,$I419&lt;=$H$4),1,0))</f>
        <v/>
      </c>
      <c r="K419">
        <f>IF($J419=0,"",INDEX(ChqKey,403))</f>
        <v/>
      </c>
      <c r="L419">
        <f>IF($K419="","",COUNTIFS($J$17:$J$516,1,$K$17:$K$516,"&lt;"&amp;$K419)+1)</f>
        <v/>
      </c>
    </row>
    <row r="420">
      <c r="A420" s="16">
        <f>IF(IFERROR(MATCH(404,ChqRankL,0),0)=0,"",404)</f>
        <v/>
      </c>
      <c r="B420" s="24">
        <f>IF(IFERROR(MATCH(404,ChqRankL,0),0)=0,"",INDEX(ChqNorm,IFERROR(MATCH(404,ChqRankL,0),0)))</f>
        <v/>
      </c>
      <c r="C420" s="24">
        <f>IF(IFERROR(MATCH(404,ChqRankL,0),0)=0,"",INDEX(ChqNo,IFERROR(MATCH(404,ChqRankL,0),0)))</f>
        <v/>
      </c>
      <c r="D420" s="25">
        <f>IF(IFERROR(MATCH(404,ChqRankL,0),0)=0,"",IF(INDEX(ChqAmt,IFERROR(MATCH(404,ChqRankL,0),0))=0,"",INDEX(ChqAmt,IFERROR(MATCH(404,ChqRankL,0),0))))</f>
        <v/>
      </c>
      <c r="E420" s="17">
        <f>IF(IFERROR(MATCH(404,ChqRankL,0),0)=0,"",INDEX(ChqStatus,IFERROR(MATCH(404,ChqRankL,0),0)))</f>
        <v/>
      </c>
      <c r="F420" s="24">
        <f>IF(IFERROR(MATCH(404,ChqRankL,0),0)=0,"",IF(INDEX(ChqStatus,IFERROR(MATCH(404,ChqRankL,0),0))="پاس نشده","—",IF(INDEX(ChqClr,IFERROR(MATCH(404,ChqRankL,0),0))="","—",INDEX(ChqClr,IFERROR(MATCH(404,ChqRankL,0),0)))))</f>
        <v/>
      </c>
      <c r="I420">
        <f>IF(404&gt;NChq,"",INDEX(ChqNorm,404))</f>
        <v/>
      </c>
      <c r="J420">
        <f>IF($I420="","",IF(AND($I420&gt;=$H$3,$I420&lt;=$H$4),1,0))</f>
        <v/>
      </c>
      <c r="K420">
        <f>IF($J420=0,"",INDEX(ChqKey,404))</f>
        <v/>
      </c>
      <c r="L420">
        <f>IF($K420="","",COUNTIFS($J$17:$J$516,1,$K$17:$K$516,"&lt;"&amp;$K420)+1)</f>
        <v/>
      </c>
    </row>
    <row r="421">
      <c r="A421" s="10">
        <f>IF(IFERROR(MATCH(405,ChqRankL,0),0)=0,"",405)</f>
        <v/>
      </c>
      <c r="B421" s="22">
        <f>IF(IFERROR(MATCH(405,ChqRankL,0),0)=0,"",INDEX(ChqNorm,IFERROR(MATCH(405,ChqRankL,0),0)))</f>
        <v/>
      </c>
      <c r="C421" s="22">
        <f>IF(IFERROR(MATCH(405,ChqRankL,0),0)=0,"",INDEX(ChqNo,IFERROR(MATCH(405,ChqRankL,0),0)))</f>
        <v/>
      </c>
      <c r="D421" s="23">
        <f>IF(IFERROR(MATCH(405,ChqRankL,0),0)=0,"",IF(INDEX(ChqAmt,IFERROR(MATCH(405,ChqRankL,0),0))=0,"",INDEX(ChqAmt,IFERROR(MATCH(405,ChqRankL,0),0))))</f>
        <v/>
      </c>
      <c r="E421" s="14">
        <f>IF(IFERROR(MATCH(405,ChqRankL,0),0)=0,"",INDEX(ChqStatus,IFERROR(MATCH(405,ChqRankL,0),0)))</f>
        <v/>
      </c>
      <c r="F421" s="22">
        <f>IF(IFERROR(MATCH(405,ChqRankL,0),0)=0,"",IF(INDEX(ChqStatus,IFERROR(MATCH(405,ChqRankL,0),0))="پاس نشده","—",IF(INDEX(ChqClr,IFERROR(MATCH(405,ChqRankL,0),0))="","—",INDEX(ChqClr,IFERROR(MATCH(405,ChqRankL,0),0)))))</f>
        <v/>
      </c>
      <c r="I421">
        <f>IF(405&gt;NChq,"",INDEX(ChqNorm,405))</f>
        <v/>
      </c>
      <c r="J421">
        <f>IF($I421="","",IF(AND($I421&gt;=$H$3,$I421&lt;=$H$4),1,0))</f>
        <v/>
      </c>
      <c r="K421">
        <f>IF($J421=0,"",INDEX(ChqKey,405))</f>
        <v/>
      </c>
      <c r="L421">
        <f>IF($K421="","",COUNTIFS($J$17:$J$516,1,$K$17:$K$516,"&lt;"&amp;$K421)+1)</f>
        <v/>
      </c>
    </row>
    <row r="422">
      <c r="A422" s="16">
        <f>IF(IFERROR(MATCH(406,ChqRankL,0),0)=0,"",406)</f>
        <v/>
      </c>
      <c r="B422" s="24">
        <f>IF(IFERROR(MATCH(406,ChqRankL,0),0)=0,"",INDEX(ChqNorm,IFERROR(MATCH(406,ChqRankL,0),0)))</f>
        <v/>
      </c>
      <c r="C422" s="24">
        <f>IF(IFERROR(MATCH(406,ChqRankL,0),0)=0,"",INDEX(ChqNo,IFERROR(MATCH(406,ChqRankL,0),0)))</f>
        <v/>
      </c>
      <c r="D422" s="25">
        <f>IF(IFERROR(MATCH(406,ChqRankL,0),0)=0,"",IF(INDEX(ChqAmt,IFERROR(MATCH(406,ChqRankL,0),0))=0,"",INDEX(ChqAmt,IFERROR(MATCH(406,ChqRankL,0),0))))</f>
        <v/>
      </c>
      <c r="E422" s="17">
        <f>IF(IFERROR(MATCH(406,ChqRankL,0),0)=0,"",INDEX(ChqStatus,IFERROR(MATCH(406,ChqRankL,0),0)))</f>
        <v/>
      </c>
      <c r="F422" s="24">
        <f>IF(IFERROR(MATCH(406,ChqRankL,0),0)=0,"",IF(INDEX(ChqStatus,IFERROR(MATCH(406,ChqRankL,0),0))="پاس نشده","—",IF(INDEX(ChqClr,IFERROR(MATCH(406,ChqRankL,0),0))="","—",INDEX(ChqClr,IFERROR(MATCH(406,ChqRankL,0),0)))))</f>
        <v/>
      </c>
      <c r="I422">
        <f>IF(406&gt;NChq,"",INDEX(ChqNorm,406))</f>
        <v/>
      </c>
      <c r="J422">
        <f>IF($I422="","",IF(AND($I422&gt;=$H$3,$I422&lt;=$H$4),1,0))</f>
        <v/>
      </c>
      <c r="K422">
        <f>IF($J422=0,"",INDEX(ChqKey,406))</f>
        <v/>
      </c>
      <c r="L422">
        <f>IF($K422="","",COUNTIFS($J$17:$J$516,1,$K$17:$K$516,"&lt;"&amp;$K422)+1)</f>
        <v/>
      </c>
    </row>
    <row r="423">
      <c r="A423" s="10">
        <f>IF(IFERROR(MATCH(407,ChqRankL,0),0)=0,"",407)</f>
        <v/>
      </c>
      <c r="B423" s="22">
        <f>IF(IFERROR(MATCH(407,ChqRankL,0),0)=0,"",INDEX(ChqNorm,IFERROR(MATCH(407,ChqRankL,0),0)))</f>
        <v/>
      </c>
      <c r="C423" s="22">
        <f>IF(IFERROR(MATCH(407,ChqRankL,0),0)=0,"",INDEX(ChqNo,IFERROR(MATCH(407,ChqRankL,0),0)))</f>
        <v/>
      </c>
      <c r="D423" s="23">
        <f>IF(IFERROR(MATCH(407,ChqRankL,0),0)=0,"",IF(INDEX(ChqAmt,IFERROR(MATCH(407,ChqRankL,0),0))=0,"",INDEX(ChqAmt,IFERROR(MATCH(407,ChqRankL,0),0))))</f>
        <v/>
      </c>
      <c r="E423" s="14">
        <f>IF(IFERROR(MATCH(407,ChqRankL,0),0)=0,"",INDEX(ChqStatus,IFERROR(MATCH(407,ChqRankL,0),0)))</f>
        <v/>
      </c>
      <c r="F423" s="22">
        <f>IF(IFERROR(MATCH(407,ChqRankL,0),0)=0,"",IF(INDEX(ChqStatus,IFERROR(MATCH(407,ChqRankL,0),0))="پاس نشده","—",IF(INDEX(ChqClr,IFERROR(MATCH(407,ChqRankL,0),0))="","—",INDEX(ChqClr,IFERROR(MATCH(407,ChqRankL,0),0)))))</f>
        <v/>
      </c>
      <c r="I423">
        <f>IF(407&gt;NChq,"",INDEX(ChqNorm,407))</f>
        <v/>
      </c>
      <c r="J423">
        <f>IF($I423="","",IF(AND($I423&gt;=$H$3,$I423&lt;=$H$4),1,0))</f>
        <v/>
      </c>
      <c r="K423">
        <f>IF($J423=0,"",INDEX(ChqKey,407))</f>
        <v/>
      </c>
      <c r="L423">
        <f>IF($K423="","",COUNTIFS($J$17:$J$516,1,$K$17:$K$516,"&lt;"&amp;$K423)+1)</f>
        <v/>
      </c>
    </row>
    <row r="424">
      <c r="A424" s="16">
        <f>IF(IFERROR(MATCH(408,ChqRankL,0),0)=0,"",408)</f>
        <v/>
      </c>
      <c r="B424" s="24">
        <f>IF(IFERROR(MATCH(408,ChqRankL,0),0)=0,"",INDEX(ChqNorm,IFERROR(MATCH(408,ChqRankL,0),0)))</f>
        <v/>
      </c>
      <c r="C424" s="24">
        <f>IF(IFERROR(MATCH(408,ChqRankL,0),0)=0,"",INDEX(ChqNo,IFERROR(MATCH(408,ChqRankL,0),0)))</f>
        <v/>
      </c>
      <c r="D424" s="25">
        <f>IF(IFERROR(MATCH(408,ChqRankL,0),0)=0,"",IF(INDEX(ChqAmt,IFERROR(MATCH(408,ChqRankL,0),0))=0,"",INDEX(ChqAmt,IFERROR(MATCH(408,ChqRankL,0),0))))</f>
        <v/>
      </c>
      <c r="E424" s="17">
        <f>IF(IFERROR(MATCH(408,ChqRankL,0),0)=0,"",INDEX(ChqStatus,IFERROR(MATCH(408,ChqRankL,0),0)))</f>
        <v/>
      </c>
      <c r="F424" s="24">
        <f>IF(IFERROR(MATCH(408,ChqRankL,0),0)=0,"",IF(INDEX(ChqStatus,IFERROR(MATCH(408,ChqRankL,0),0))="پاس نشده","—",IF(INDEX(ChqClr,IFERROR(MATCH(408,ChqRankL,0),0))="","—",INDEX(ChqClr,IFERROR(MATCH(408,ChqRankL,0),0)))))</f>
        <v/>
      </c>
      <c r="I424">
        <f>IF(408&gt;NChq,"",INDEX(ChqNorm,408))</f>
        <v/>
      </c>
      <c r="J424">
        <f>IF($I424="","",IF(AND($I424&gt;=$H$3,$I424&lt;=$H$4),1,0))</f>
        <v/>
      </c>
      <c r="K424">
        <f>IF($J424=0,"",INDEX(ChqKey,408))</f>
        <v/>
      </c>
      <c r="L424">
        <f>IF($K424="","",COUNTIFS($J$17:$J$516,1,$K$17:$K$516,"&lt;"&amp;$K424)+1)</f>
        <v/>
      </c>
    </row>
    <row r="425">
      <c r="A425" s="10">
        <f>IF(IFERROR(MATCH(409,ChqRankL,0),0)=0,"",409)</f>
        <v/>
      </c>
      <c r="B425" s="22">
        <f>IF(IFERROR(MATCH(409,ChqRankL,0),0)=0,"",INDEX(ChqNorm,IFERROR(MATCH(409,ChqRankL,0),0)))</f>
        <v/>
      </c>
      <c r="C425" s="22">
        <f>IF(IFERROR(MATCH(409,ChqRankL,0),0)=0,"",INDEX(ChqNo,IFERROR(MATCH(409,ChqRankL,0),0)))</f>
        <v/>
      </c>
      <c r="D425" s="23">
        <f>IF(IFERROR(MATCH(409,ChqRankL,0),0)=0,"",IF(INDEX(ChqAmt,IFERROR(MATCH(409,ChqRankL,0),0))=0,"",INDEX(ChqAmt,IFERROR(MATCH(409,ChqRankL,0),0))))</f>
        <v/>
      </c>
      <c r="E425" s="14">
        <f>IF(IFERROR(MATCH(409,ChqRankL,0),0)=0,"",INDEX(ChqStatus,IFERROR(MATCH(409,ChqRankL,0),0)))</f>
        <v/>
      </c>
      <c r="F425" s="22">
        <f>IF(IFERROR(MATCH(409,ChqRankL,0),0)=0,"",IF(INDEX(ChqStatus,IFERROR(MATCH(409,ChqRankL,0),0))="پاس نشده","—",IF(INDEX(ChqClr,IFERROR(MATCH(409,ChqRankL,0),0))="","—",INDEX(ChqClr,IFERROR(MATCH(409,ChqRankL,0),0)))))</f>
        <v/>
      </c>
      <c r="I425">
        <f>IF(409&gt;NChq,"",INDEX(ChqNorm,409))</f>
        <v/>
      </c>
      <c r="J425">
        <f>IF($I425="","",IF(AND($I425&gt;=$H$3,$I425&lt;=$H$4),1,0))</f>
        <v/>
      </c>
      <c r="K425">
        <f>IF($J425=0,"",INDEX(ChqKey,409))</f>
        <v/>
      </c>
      <c r="L425">
        <f>IF($K425="","",COUNTIFS($J$17:$J$516,1,$K$17:$K$516,"&lt;"&amp;$K425)+1)</f>
        <v/>
      </c>
    </row>
    <row r="426">
      <c r="A426" s="16">
        <f>IF(IFERROR(MATCH(410,ChqRankL,0),0)=0,"",410)</f>
        <v/>
      </c>
      <c r="B426" s="24">
        <f>IF(IFERROR(MATCH(410,ChqRankL,0),0)=0,"",INDEX(ChqNorm,IFERROR(MATCH(410,ChqRankL,0),0)))</f>
        <v/>
      </c>
      <c r="C426" s="24">
        <f>IF(IFERROR(MATCH(410,ChqRankL,0),0)=0,"",INDEX(ChqNo,IFERROR(MATCH(410,ChqRankL,0),0)))</f>
        <v/>
      </c>
      <c r="D426" s="25">
        <f>IF(IFERROR(MATCH(410,ChqRankL,0),0)=0,"",IF(INDEX(ChqAmt,IFERROR(MATCH(410,ChqRankL,0),0))=0,"",INDEX(ChqAmt,IFERROR(MATCH(410,ChqRankL,0),0))))</f>
        <v/>
      </c>
      <c r="E426" s="17">
        <f>IF(IFERROR(MATCH(410,ChqRankL,0),0)=0,"",INDEX(ChqStatus,IFERROR(MATCH(410,ChqRankL,0),0)))</f>
        <v/>
      </c>
      <c r="F426" s="24">
        <f>IF(IFERROR(MATCH(410,ChqRankL,0),0)=0,"",IF(INDEX(ChqStatus,IFERROR(MATCH(410,ChqRankL,0),0))="پاس نشده","—",IF(INDEX(ChqClr,IFERROR(MATCH(410,ChqRankL,0),0))="","—",INDEX(ChqClr,IFERROR(MATCH(410,ChqRankL,0),0)))))</f>
        <v/>
      </c>
      <c r="I426">
        <f>IF(410&gt;NChq,"",INDEX(ChqNorm,410))</f>
        <v/>
      </c>
      <c r="J426">
        <f>IF($I426="","",IF(AND($I426&gt;=$H$3,$I426&lt;=$H$4),1,0))</f>
        <v/>
      </c>
      <c r="K426">
        <f>IF($J426=0,"",INDEX(ChqKey,410))</f>
        <v/>
      </c>
      <c r="L426">
        <f>IF($K426="","",COUNTIFS($J$17:$J$516,1,$K$17:$K$516,"&lt;"&amp;$K426)+1)</f>
        <v/>
      </c>
    </row>
    <row r="427">
      <c r="A427" s="10">
        <f>IF(IFERROR(MATCH(411,ChqRankL,0),0)=0,"",411)</f>
        <v/>
      </c>
      <c r="B427" s="22">
        <f>IF(IFERROR(MATCH(411,ChqRankL,0),0)=0,"",INDEX(ChqNorm,IFERROR(MATCH(411,ChqRankL,0),0)))</f>
        <v/>
      </c>
      <c r="C427" s="22">
        <f>IF(IFERROR(MATCH(411,ChqRankL,0),0)=0,"",INDEX(ChqNo,IFERROR(MATCH(411,ChqRankL,0),0)))</f>
        <v/>
      </c>
      <c r="D427" s="23">
        <f>IF(IFERROR(MATCH(411,ChqRankL,0),0)=0,"",IF(INDEX(ChqAmt,IFERROR(MATCH(411,ChqRankL,0),0))=0,"",INDEX(ChqAmt,IFERROR(MATCH(411,ChqRankL,0),0))))</f>
        <v/>
      </c>
      <c r="E427" s="14">
        <f>IF(IFERROR(MATCH(411,ChqRankL,0),0)=0,"",INDEX(ChqStatus,IFERROR(MATCH(411,ChqRankL,0),0)))</f>
        <v/>
      </c>
      <c r="F427" s="22">
        <f>IF(IFERROR(MATCH(411,ChqRankL,0),0)=0,"",IF(INDEX(ChqStatus,IFERROR(MATCH(411,ChqRankL,0),0))="پاس نشده","—",IF(INDEX(ChqClr,IFERROR(MATCH(411,ChqRankL,0),0))="","—",INDEX(ChqClr,IFERROR(MATCH(411,ChqRankL,0),0)))))</f>
        <v/>
      </c>
      <c r="I427">
        <f>IF(411&gt;NChq,"",INDEX(ChqNorm,411))</f>
        <v/>
      </c>
      <c r="J427">
        <f>IF($I427="","",IF(AND($I427&gt;=$H$3,$I427&lt;=$H$4),1,0))</f>
        <v/>
      </c>
      <c r="K427">
        <f>IF($J427=0,"",INDEX(ChqKey,411))</f>
        <v/>
      </c>
      <c r="L427">
        <f>IF($K427="","",COUNTIFS($J$17:$J$516,1,$K$17:$K$516,"&lt;"&amp;$K427)+1)</f>
        <v/>
      </c>
    </row>
    <row r="428">
      <c r="A428" s="16">
        <f>IF(IFERROR(MATCH(412,ChqRankL,0),0)=0,"",412)</f>
        <v/>
      </c>
      <c r="B428" s="24">
        <f>IF(IFERROR(MATCH(412,ChqRankL,0),0)=0,"",INDEX(ChqNorm,IFERROR(MATCH(412,ChqRankL,0),0)))</f>
        <v/>
      </c>
      <c r="C428" s="24">
        <f>IF(IFERROR(MATCH(412,ChqRankL,0),0)=0,"",INDEX(ChqNo,IFERROR(MATCH(412,ChqRankL,0),0)))</f>
        <v/>
      </c>
      <c r="D428" s="25">
        <f>IF(IFERROR(MATCH(412,ChqRankL,0),0)=0,"",IF(INDEX(ChqAmt,IFERROR(MATCH(412,ChqRankL,0),0))=0,"",INDEX(ChqAmt,IFERROR(MATCH(412,ChqRankL,0),0))))</f>
        <v/>
      </c>
      <c r="E428" s="17">
        <f>IF(IFERROR(MATCH(412,ChqRankL,0),0)=0,"",INDEX(ChqStatus,IFERROR(MATCH(412,ChqRankL,0),0)))</f>
        <v/>
      </c>
      <c r="F428" s="24">
        <f>IF(IFERROR(MATCH(412,ChqRankL,0),0)=0,"",IF(INDEX(ChqStatus,IFERROR(MATCH(412,ChqRankL,0),0))="پاس نشده","—",IF(INDEX(ChqClr,IFERROR(MATCH(412,ChqRankL,0),0))="","—",INDEX(ChqClr,IFERROR(MATCH(412,ChqRankL,0),0)))))</f>
        <v/>
      </c>
      <c r="I428">
        <f>IF(412&gt;NChq,"",INDEX(ChqNorm,412))</f>
        <v/>
      </c>
      <c r="J428">
        <f>IF($I428="","",IF(AND($I428&gt;=$H$3,$I428&lt;=$H$4),1,0))</f>
        <v/>
      </c>
      <c r="K428">
        <f>IF($J428=0,"",INDEX(ChqKey,412))</f>
        <v/>
      </c>
      <c r="L428">
        <f>IF($K428="","",COUNTIFS($J$17:$J$516,1,$K$17:$K$516,"&lt;"&amp;$K428)+1)</f>
        <v/>
      </c>
    </row>
    <row r="429">
      <c r="A429" s="10">
        <f>IF(IFERROR(MATCH(413,ChqRankL,0),0)=0,"",413)</f>
        <v/>
      </c>
      <c r="B429" s="22">
        <f>IF(IFERROR(MATCH(413,ChqRankL,0),0)=0,"",INDEX(ChqNorm,IFERROR(MATCH(413,ChqRankL,0),0)))</f>
        <v/>
      </c>
      <c r="C429" s="22">
        <f>IF(IFERROR(MATCH(413,ChqRankL,0),0)=0,"",INDEX(ChqNo,IFERROR(MATCH(413,ChqRankL,0),0)))</f>
        <v/>
      </c>
      <c r="D429" s="23">
        <f>IF(IFERROR(MATCH(413,ChqRankL,0),0)=0,"",IF(INDEX(ChqAmt,IFERROR(MATCH(413,ChqRankL,0),0))=0,"",INDEX(ChqAmt,IFERROR(MATCH(413,ChqRankL,0),0))))</f>
        <v/>
      </c>
      <c r="E429" s="14">
        <f>IF(IFERROR(MATCH(413,ChqRankL,0),0)=0,"",INDEX(ChqStatus,IFERROR(MATCH(413,ChqRankL,0),0)))</f>
        <v/>
      </c>
      <c r="F429" s="22">
        <f>IF(IFERROR(MATCH(413,ChqRankL,0),0)=0,"",IF(INDEX(ChqStatus,IFERROR(MATCH(413,ChqRankL,0),0))="پاس نشده","—",IF(INDEX(ChqClr,IFERROR(MATCH(413,ChqRankL,0),0))="","—",INDEX(ChqClr,IFERROR(MATCH(413,ChqRankL,0),0)))))</f>
        <v/>
      </c>
      <c r="I429">
        <f>IF(413&gt;NChq,"",INDEX(ChqNorm,413))</f>
        <v/>
      </c>
      <c r="J429">
        <f>IF($I429="","",IF(AND($I429&gt;=$H$3,$I429&lt;=$H$4),1,0))</f>
        <v/>
      </c>
      <c r="K429">
        <f>IF($J429=0,"",INDEX(ChqKey,413))</f>
        <v/>
      </c>
      <c r="L429">
        <f>IF($K429="","",COUNTIFS($J$17:$J$516,1,$K$17:$K$516,"&lt;"&amp;$K429)+1)</f>
        <v/>
      </c>
    </row>
    <row r="430">
      <c r="A430" s="16">
        <f>IF(IFERROR(MATCH(414,ChqRankL,0),0)=0,"",414)</f>
        <v/>
      </c>
      <c r="B430" s="24">
        <f>IF(IFERROR(MATCH(414,ChqRankL,0),0)=0,"",INDEX(ChqNorm,IFERROR(MATCH(414,ChqRankL,0),0)))</f>
        <v/>
      </c>
      <c r="C430" s="24">
        <f>IF(IFERROR(MATCH(414,ChqRankL,0),0)=0,"",INDEX(ChqNo,IFERROR(MATCH(414,ChqRankL,0),0)))</f>
        <v/>
      </c>
      <c r="D430" s="25">
        <f>IF(IFERROR(MATCH(414,ChqRankL,0),0)=0,"",IF(INDEX(ChqAmt,IFERROR(MATCH(414,ChqRankL,0),0))=0,"",INDEX(ChqAmt,IFERROR(MATCH(414,ChqRankL,0),0))))</f>
        <v/>
      </c>
      <c r="E430" s="17">
        <f>IF(IFERROR(MATCH(414,ChqRankL,0),0)=0,"",INDEX(ChqStatus,IFERROR(MATCH(414,ChqRankL,0),0)))</f>
        <v/>
      </c>
      <c r="F430" s="24">
        <f>IF(IFERROR(MATCH(414,ChqRankL,0),0)=0,"",IF(INDEX(ChqStatus,IFERROR(MATCH(414,ChqRankL,0),0))="پاس نشده","—",IF(INDEX(ChqClr,IFERROR(MATCH(414,ChqRankL,0),0))="","—",INDEX(ChqClr,IFERROR(MATCH(414,ChqRankL,0),0)))))</f>
        <v/>
      </c>
      <c r="I430">
        <f>IF(414&gt;NChq,"",INDEX(ChqNorm,414))</f>
        <v/>
      </c>
      <c r="J430">
        <f>IF($I430="","",IF(AND($I430&gt;=$H$3,$I430&lt;=$H$4),1,0))</f>
        <v/>
      </c>
      <c r="K430">
        <f>IF($J430=0,"",INDEX(ChqKey,414))</f>
        <v/>
      </c>
      <c r="L430">
        <f>IF($K430="","",COUNTIFS($J$17:$J$516,1,$K$17:$K$516,"&lt;"&amp;$K430)+1)</f>
        <v/>
      </c>
    </row>
    <row r="431">
      <c r="A431" s="10">
        <f>IF(IFERROR(MATCH(415,ChqRankL,0),0)=0,"",415)</f>
        <v/>
      </c>
      <c r="B431" s="22">
        <f>IF(IFERROR(MATCH(415,ChqRankL,0),0)=0,"",INDEX(ChqNorm,IFERROR(MATCH(415,ChqRankL,0),0)))</f>
        <v/>
      </c>
      <c r="C431" s="22">
        <f>IF(IFERROR(MATCH(415,ChqRankL,0),0)=0,"",INDEX(ChqNo,IFERROR(MATCH(415,ChqRankL,0),0)))</f>
        <v/>
      </c>
      <c r="D431" s="23">
        <f>IF(IFERROR(MATCH(415,ChqRankL,0),0)=0,"",IF(INDEX(ChqAmt,IFERROR(MATCH(415,ChqRankL,0),0))=0,"",INDEX(ChqAmt,IFERROR(MATCH(415,ChqRankL,0),0))))</f>
        <v/>
      </c>
      <c r="E431" s="14">
        <f>IF(IFERROR(MATCH(415,ChqRankL,0),0)=0,"",INDEX(ChqStatus,IFERROR(MATCH(415,ChqRankL,0),0)))</f>
        <v/>
      </c>
      <c r="F431" s="22">
        <f>IF(IFERROR(MATCH(415,ChqRankL,0),0)=0,"",IF(INDEX(ChqStatus,IFERROR(MATCH(415,ChqRankL,0),0))="پاس نشده","—",IF(INDEX(ChqClr,IFERROR(MATCH(415,ChqRankL,0),0))="","—",INDEX(ChqClr,IFERROR(MATCH(415,ChqRankL,0),0)))))</f>
        <v/>
      </c>
      <c r="I431">
        <f>IF(415&gt;NChq,"",INDEX(ChqNorm,415))</f>
        <v/>
      </c>
      <c r="J431">
        <f>IF($I431="","",IF(AND($I431&gt;=$H$3,$I431&lt;=$H$4),1,0))</f>
        <v/>
      </c>
      <c r="K431">
        <f>IF($J431=0,"",INDEX(ChqKey,415))</f>
        <v/>
      </c>
      <c r="L431">
        <f>IF($K431="","",COUNTIFS($J$17:$J$516,1,$K$17:$K$516,"&lt;"&amp;$K431)+1)</f>
        <v/>
      </c>
    </row>
    <row r="432">
      <c r="A432" s="16">
        <f>IF(IFERROR(MATCH(416,ChqRankL,0),0)=0,"",416)</f>
        <v/>
      </c>
      <c r="B432" s="24">
        <f>IF(IFERROR(MATCH(416,ChqRankL,0),0)=0,"",INDEX(ChqNorm,IFERROR(MATCH(416,ChqRankL,0),0)))</f>
        <v/>
      </c>
      <c r="C432" s="24">
        <f>IF(IFERROR(MATCH(416,ChqRankL,0),0)=0,"",INDEX(ChqNo,IFERROR(MATCH(416,ChqRankL,0),0)))</f>
        <v/>
      </c>
      <c r="D432" s="25">
        <f>IF(IFERROR(MATCH(416,ChqRankL,0),0)=0,"",IF(INDEX(ChqAmt,IFERROR(MATCH(416,ChqRankL,0),0))=0,"",INDEX(ChqAmt,IFERROR(MATCH(416,ChqRankL,0),0))))</f>
        <v/>
      </c>
      <c r="E432" s="17">
        <f>IF(IFERROR(MATCH(416,ChqRankL,0),0)=0,"",INDEX(ChqStatus,IFERROR(MATCH(416,ChqRankL,0),0)))</f>
        <v/>
      </c>
      <c r="F432" s="24">
        <f>IF(IFERROR(MATCH(416,ChqRankL,0),0)=0,"",IF(INDEX(ChqStatus,IFERROR(MATCH(416,ChqRankL,0),0))="پاس نشده","—",IF(INDEX(ChqClr,IFERROR(MATCH(416,ChqRankL,0),0))="","—",INDEX(ChqClr,IFERROR(MATCH(416,ChqRankL,0),0)))))</f>
        <v/>
      </c>
      <c r="I432">
        <f>IF(416&gt;NChq,"",INDEX(ChqNorm,416))</f>
        <v/>
      </c>
      <c r="J432">
        <f>IF($I432="","",IF(AND($I432&gt;=$H$3,$I432&lt;=$H$4),1,0))</f>
        <v/>
      </c>
      <c r="K432">
        <f>IF($J432=0,"",INDEX(ChqKey,416))</f>
        <v/>
      </c>
      <c r="L432">
        <f>IF($K432="","",COUNTIFS($J$17:$J$516,1,$K$17:$K$516,"&lt;"&amp;$K432)+1)</f>
        <v/>
      </c>
    </row>
    <row r="433">
      <c r="A433" s="10">
        <f>IF(IFERROR(MATCH(417,ChqRankL,0),0)=0,"",417)</f>
        <v/>
      </c>
      <c r="B433" s="22">
        <f>IF(IFERROR(MATCH(417,ChqRankL,0),0)=0,"",INDEX(ChqNorm,IFERROR(MATCH(417,ChqRankL,0),0)))</f>
        <v/>
      </c>
      <c r="C433" s="22">
        <f>IF(IFERROR(MATCH(417,ChqRankL,0),0)=0,"",INDEX(ChqNo,IFERROR(MATCH(417,ChqRankL,0),0)))</f>
        <v/>
      </c>
      <c r="D433" s="23">
        <f>IF(IFERROR(MATCH(417,ChqRankL,0),0)=0,"",IF(INDEX(ChqAmt,IFERROR(MATCH(417,ChqRankL,0),0))=0,"",INDEX(ChqAmt,IFERROR(MATCH(417,ChqRankL,0),0))))</f>
        <v/>
      </c>
      <c r="E433" s="14">
        <f>IF(IFERROR(MATCH(417,ChqRankL,0),0)=0,"",INDEX(ChqStatus,IFERROR(MATCH(417,ChqRankL,0),0)))</f>
        <v/>
      </c>
      <c r="F433" s="22">
        <f>IF(IFERROR(MATCH(417,ChqRankL,0),0)=0,"",IF(INDEX(ChqStatus,IFERROR(MATCH(417,ChqRankL,0),0))="پاس نشده","—",IF(INDEX(ChqClr,IFERROR(MATCH(417,ChqRankL,0),0))="","—",INDEX(ChqClr,IFERROR(MATCH(417,ChqRankL,0),0)))))</f>
        <v/>
      </c>
      <c r="I433">
        <f>IF(417&gt;NChq,"",INDEX(ChqNorm,417))</f>
        <v/>
      </c>
      <c r="J433">
        <f>IF($I433="","",IF(AND($I433&gt;=$H$3,$I433&lt;=$H$4),1,0))</f>
        <v/>
      </c>
      <c r="K433">
        <f>IF($J433=0,"",INDEX(ChqKey,417))</f>
        <v/>
      </c>
      <c r="L433">
        <f>IF($K433="","",COUNTIFS($J$17:$J$516,1,$K$17:$K$516,"&lt;"&amp;$K433)+1)</f>
        <v/>
      </c>
    </row>
    <row r="434">
      <c r="A434" s="16">
        <f>IF(IFERROR(MATCH(418,ChqRankL,0),0)=0,"",418)</f>
        <v/>
      </c>
      <c r="B434" s="24">
        <f>IF(IFERROR(MATCH(418,ChqRankL,0),0)=0,"",INDEX(ChqNorm,IFERROR(MATCH(418,ChqRankL,0),0)))</f>
        <v/>
      </c>
      <c r="C434" s="24">
        <f>IF(IFERROR(MATCH(418,ChqRankL,0),0)=0,"",INDEX(ChqNo,IFERROR(MATCH(418,ChqRankL,0),0)))</f>
        <v/>
      </c>
      <c r="D434" s="25">
        <f>IF(IFERROR(MATCH(418,ChqRankL,0),0)=0,"",IF(INDEX(ChqAmt,IFERROR(MATCH(418,ChqRankL,0),0))=0,"",INDEX(ChqAmt,IFERROR(MATCH(418,ChqRankL,0),0))))</f>
        <v/>
      </c>
      <c r="E434" s="17">
        <f>IF(IFERROR(MATCH(418,ChqRankL,0),0)=0,"",INDEX(ChqStatus,IFERROR(MATCH(418,ChqRankL,0),0)))</f>
        <v/>
      </c>
      <c r="F434" s="24">
        <f>IF(IFERROR(MATCH(418,ChqRankL,0),0)=0,"",IF(INDEX(ChqStatus,IFERROR(MATCH(418,ChqRankL,0),0))="پاس نشده","—",IF(INDEX(ChqClr,IFERROR(MATCH(418,ChqRankL,0),0))="","—",INDEX(ChqClr,IFERROR(MATCH(418,ChqRankL,0),0)))))</f>
        <v/>
      </c>
      <c r="I434">
        <f>IF(418&gt;NChq,"",INDEX(ChqNorm,418))</f>
        <v/>
      </c>
      <c r="J434">
        <f>IF($I434="","",IF(AND($I434&gt;=$H$3,$I434&lt;=$H$4),1,0))</f>
        <v/>
      </c>
      <c r="K434">
        <f>IF($J434=0,"",INDEX(ChqKey,418))</f>
        <v/>
      </c>
      <c r="L434">
        <f>IF($K434="","",COUNTIFS($J$17:$J$516,1,$K$17:$K$516,"&lt;"&amp;$K434)+1)</f>
        <v/>
      </c>
    </row>
    <row r="435">
      <c r="A435" s="10">
        <f>IF(IFERROR(MATCH(419,ChqRankL,0),0)=0,"",419)</f>
        <v/>
      </c>
      <c r="B435" s="22">
        <f>IF(IFERROR(MATCH(419,ChqRankL,0),0)=0,"",INDEX(ChqNorm,IFERROR(MATCH(419,ChqRankL,0),0)))</f>
        <v/>
      </c>
      <c r="C435" s="22">
        <f>IF(IFERROR(MATCH(419,ChqRankL,0),0)=0,"",INDEX(ChqNo,IFERROR(MATCH(419,ChqRankL,0),0)))</f>
        <v/>
      </c>
      <c r="D435" s="23">
        <f>IF(IFERROR(MATCH(419,ChqRankL,0),0)=0,"",IF(INDEX(ChqAmt,IFERROR(MATCH(419,ChqRankL,0),0))=0,"",INDEX(ChqAmt,IFERROR(MATCH(419,ChqRankL,0),0))))</f>
        <v/>
      </c>
      <c r="E435" s="14">
        <f>IF(IFERROR(MATCH(419,ChqRankL,0),0)=0,"",INDEX(ChqStatus,IFERROR(MATCH(419,ChqRankL,0),0)))</f>
        <v/>
      </c>
      <c r="F435" s="22">
        <f>IF(IFERROR(MATCH(419,ChqRankL,0),0)=0,"",IF(INDEX(ChqStatus,IFERROR(MATCH(419,ChqRankL,0),0))="پاس نشده","—",IF(INDEX(ChqClr,IFERROR(MATCH(419,ChqRankL,0),0))="","—",INDEX(ChqClr,IFERROR(MATCH(419,ChqRankL,0),0)))))</f>
        <v/>
      </c>
      <c r="I435">
        <f>IF(419&gt;NChq,"",INDEX(ChqNorm,419))</f>
        <v/>
      </c>
      <c r="J435">
        <f>IF($I435="","",IF(AND($I435&gt;=$H$3,$I435&lt;=$H$4),1,0))</f>
        <v/>
      </c>
      <c r="K435">
        <f>IF($J435=0,"",INDEX(ChqKey,419))</f>
        <v/>
      </c>
      <c r="L435">
        <f>IF($K435="","",COUNTIFS($J$17:$J$516,1,$K$17:$K$516,"&lt;"&amp;$K435)+1)</f>
        <v/>
      </c>
    </row>
    <row r="436">
      <c r="A436" s="16">
        <f>IF(IFERROR(MATCH(420,ChqRankL,0),0)=0,"",420)</f>
        <v/>
      </c>
      <c r="B436" s="24">
        <f>IF(IFERROR(MATCH(420,ChqRankL,0),0)=0,"",INDEX(ChqNorm,IFERROR(MATCH(420,ChqRankL,0),0)))</f>
        <v/>
      </c>
      <c r="C436" s="24">
        <f>IF(IFERROR(MATCH(420,ChqRankL,0),0)=0,"",INDEX(ChqNo,IFERROR(MATCH(420,ChqRankL,0),0)))</f>
        <v/>
      </c>
      <c r="D436" s="25">
        <f>IF(IFERROR(MATCH(420,ChqRankL,0),0)=0,"",IF(INDEX(ChqAmt,IFERROR(MATCH(420,ChqRankL,0),0))=0,"",INDEX(ChqAmt,IFERROR(MATCH(420,ChqRankL,0),0))))</f>
        <v/>
      </c>
      <c r="E436" s="17">
        <f>IF(IFERROR(MATCH(420,ChqRankL,0),0)=0,"",INDEX(ChqStatus,IFERROR(MATCH(420,ChqRankL,0),0)))</f>
        <v/>
      </c>
      <c r="F436" s="24">
        <f>IF(IFERROR(MATCH(420,ChqRankL,0),0)=0,"",IF(INDEX(ChqStatus,IFERROR(MATCH(420,ChqRankL,0),0))="پاس نشده","—",IF(INDEX(ChqClr,IFERROR(MATCH(420,ChqRankL,0),0))="","—",INDEX(ChqClr,IFERROR(MATCH(420,ChqRankL,0),0)))))</f>
        <v/>
      </c>
      <c r="I436">
        <f>IF(420&gt;NChq,"",INDEX(ChqNorm,420))</f>
        <v/>
      </c>
      <c r="J436">
        <f>IF($I436="","",IF(AND($I436&gt;=$H$3,$I436&lt;=$H$4),1,0))</f>
        <v/>
      </c>
      <c r="K436">
        <f>IF($J436=0,"",INDEX(ChqKey,420))</f>
        <v/>
      </c>
      <c r="L436">
        <f>IF($K436="","",COUNTIFS($J$17:$J$516,1,$K$17:$K$516,"&lt;"&amp;$K436)+1)</f>
        <v/>
      </c>
    </row>
    <row r="437">
      <c r="A437" s="10">
        <f>IF(IFERROR(MATCH(421,ChqRankL,0),0)=0,"",421)</f>
        <v/>
      </c>
      <c r="B437" s="22">
        <f>IF(IFERROR(MATCH(421,ChqRankL,0),0)=0,"",INDEX(ChqNorm,IFERROR(MATCH(421,ChqRankL,0),0)))</f>
        <v/>
      </c>
      <c r="C437" s="22">
        <f>IF(IFERROR(MATCH(421,ChqRankL,0),0)=0,"",INDEX(ChqNo,IFERROR(MATCH(421,ChqRankL,0),0)))</f>
        <v/>
      </c>
      <c r="D437" s="23">
        <f>IF(IFERROR(MATCH(421,ChqRankL,0),0)=0,"",IF(INDEX(ChqAmt,IFERROR(MATCH(421,ChqRankL,0),0))=0,"",INDEX(ChqAmt,IFERROR(MATCH(421,ChqRankL,0),0))))</f>
        <v/>
      </c>
      <c r="E437" s="14">
        <f>IF(IFERROR(MATCH(421,ChqRankL,0),0)=0,"",INDEX(ChqStatus,IFERROR(MATCH(421,ChqRankL,0),0)))</f>
        <v/>
      </c>
      <c r="F437" s="22">
        <f>IF(IFERROR(MATCH(421,ChqRankL,0),0)=0,"",IF(INDEX(ChqStatus,IFERROR(MATCH(421,ChqRankL,0),0))="پاس نشده","—",IF(INDEX(ChqClr,IFERROR(MATCH(421,ChqRankL,0),0))="","—",INDEX(ChqClr,IFERROR(MATCH(421,ChqRankL,0),0)))))</f>
        <v/>
      </c>
      <c r="I437">
        <f>IF(421&gt;NChq,"",INDEX(ChqNorm,421))</f>
        <v/>
      </c>
      <c r="J437">
        <f>IF($I437="","",IF(AND($I437&gt;=$H$3,$I437&lt;=$H$4),1,0))</f>
        <v/>
      </c>
      <c r="K437">
        <f>IF($J437=0,"",INDEX(ChqKey,421))</f>
        <v/>
      </c>
      <c r="L437">
        <f>IF($K437="","",COUNTIFS($J$17:$J$516,1,$K$17:$K$516,"&lt;"&amp;$K437)+1)</f>
        <v/>
      </c>
    </row>
    <row r="438">
      <c r="A438" s="16">
        <f>IF(IFERROR(MATCH(422,ChqRankL,0),0)=0,"",422)</f>
        <v/>
      </c>
      <c r="B438" s="24">
        <f>IF(IFERROR(MATCH(422,ChqRankL,0),0)=0,"",INDEX(ChqNorm,IFERROR(MATCH(422,ChqRankL,0),0)))</f>
        <v/>
      </c>
      <c r="C438" s="24">
        <f>IF(IFERROR(MATCH(422,ChqRankL,0),0)=0,"",INDEX(ChqNo,IFERROR(MATCH(422,ChqRankL,0),0)))</f>
        <v/>
      </c>
      <c r="D438" s="25">
        <f>IF(IFERROR(MATCH(422,ChqRankL,0),0)=0,"",IF(INDEX(ChqAmt,IFERROR(MATCH(422,ChqRankL,0),0))=0,"",INDEX(ChqAmt,IFERROR(MATCH(422,ChqRankL,0),0))))</f>
        <v/>
      </c>
      <c r="E438" s="17">
        <f>IF(IFERROR(MATCH(422,ChqRankL,0),0)=0,"",INDEX(ChqStatus,IFERROR(MATCH(422,ChqRankL,0),0)))</f>
        <v/>
      </c>
      <c r="F438" s="24">
        <f>IF(IFERROR(MATCH(422,ChqRankL,0),0)=0,"",IF(INDEX(ChqStatus,IFERROR(MATCH(422,ChqRankL,0),0))="پاس نشده","—",IF(INDEX(ChqClr,IFERROR(MATCH(422,ChqRankL,0),0))="","—",INDEX(ChqClr,IFERROR(MATCH(422,ChqRankL,0),0)))))</f>
        <v/>
      </c>
      <c r="I438">
        <f>IF(422&gt;NChq,"",INDEX(ChqNorm,422))</f>
        <v/>
      </c>
      <c r="J438">
        <f>IF($I438="","",IF(AND($I438&gt;=$H$3,$I438&lt;=$H$4),1,0))</f>
        <v/>
      </c>
      <c r="K438">
        <f>IF($J438=0,"",INDEX(ChqKey,422))</f>
        <v/>
      </c>
      <c r="L438">
        <f>IF($K438="","",COUNTIFS($J$17:$J$516,1,$K$17:$K$516,"&lt;"&amp;$K438)+1)</f>
        <v/>
      </c>
    </row>
    <row r="439">
      <c r="A439" s="10">
        <f>IF(IFERROR(MATCH(423,ChqRankL,0),0)=0,"",423)</f>
        <v/>
      </c>
      <c r="B439" s="22">
        <f>IF(IFERROR(MATCH(423,ChqRankL,0),0)=0,"",INDEX(ChqNorm,IFERROR(MATCH(423,ChqRankL,0),0)))</f>
        <v/>
      </c>
      <c r="C439" s="22">
        <f>IF(IFERROR(MATCH(423,ChqRankL,0),0)=0,"",INDEX(ChqNo,IFERROR(MATCH(423,ChqRankL,0),0)))</f>
        <v/>
      </c>
      <c r="D439" s="23">
        <f>IF(IFERROR(MATCH(423,ChqRankL,0),0)=0,"",IF(INDEX(ChqAmt,IFERROR(MATCH(423,ChqRankL,0),0))=0,"",INDEX(ChqAmt,IFERROR(MATCH(423,ChqRankL,0),0))))</f>
        <v/>
      </c>
      <c r="E439" s="14">
        <f>IF(IFERROR(MATCH(423,ChqRankL,0),0)=0,"",INDEX(ChqStatus,IFERROR(MATCH(423,ChqRankL,0),0)))</f>
        <v/>
      </c>
      <c r="F439" s="22">
        <f>IF(IFERROR(MATCH(423,ChqRankL,0),0)=0,"",IF(INDEX(ChqStatus,IFERROR(MATCH(423,ChqRankL,0),0))="پاس نشده","—",IF(INDEX(ChqClr,IFERROR(MATCH(423,ChqRankL,0),0))="","—",INDEX(ChqClr,IFERROR(MATCH(423,ChqRankL,0),0)))))</f>
        <v/>
      </c>
      <c r="I439">
        <f>IF(423&gt;NChq,"",INDEX(ChqNorm,423))</f>
        <v/>
      </c>
      <c r="J439">
        <f>IF($I439="","",IF(AND($I439&gt;=$H$3,$I439&lt;=$H$4),1,0))</f>
        <v/>
      </c>
      <c r="K439">
        <f>IF($J439=0,"",INDEX(ChqKey,423))</f>
        <v/>
      </c>
      <c r="L439">
        <f>IF($K439="","",COUNTIFS($J$17:$J$516,1,$K$17:$K$516,"&lt;"&amp;$K439)+1)</f>
        <v/>
      </c>
    </row>
    <row r="440">
      <c r="A440" s="16">
        <f>IF(IFERROR(MATCH(424,ChqRankL,0),0)=0,"",424)</f>
        <v/>
      </c>
      <c r="B440" s="24">
        <f>IF(IFERROR(MATCH(424,ChqRankL,0),0)=0,"",INDEX(ChqNorm,IFERROR(MATCH(424,ChqRankL,0),0)))</f>
        <v/>
      </c>
      <c r="C440" s="24">
        <f>IF(IFERROR(MATCH(424,ChqRankL,0),0)=0,"",INDEX(ChqNo,IFERROR(MATCH(424,ChqRankL,0),0)))</f>
        <v/>
      </c>
      <c r="D440" s="25">
        <f>IF(IFERROR(MATCH(424,ChqRankL,0),0)=0,"",IF(INDEX(ChqAmt,IFERROR(MATCH(424,ChqRankL,0),0))=0,"",INDEX(ChqAmt,IFERROR(MATCH(424,ChqRankL,0),0))))</f>
        <v/>
      </c>
      <c r="E440" s="17">
        <f>IF(IFERROR(MATCH(424,ChqRankL,0),0)=0,"",INDEX(ChqStatus,IFERROR(MATCH(424,ChqRankL,0),0)))</f>
        <v/>
      </c>
      <c r="F440" s="24">
        <f>IF(IFERROR(MATCH(424,ChqRankL,0),0)=0,"",IF(INDEX(ChqStatus,IFERROR(MATCH(424,ChqRankL,0),0))="پاس نشده","—",IF(INDEX(ChqClr,IFERROR(MATCH(424,ChqRankL,0),0))="","—",INDEX(ChqClr,IFERROR(MATCH(424,ChqRankL,0),0)))))</f>
        <v/>
      </c>
      <c r="I440">
        <f>IF(424&gt;NChq,"",INDEX(ChqNorm,424))</f>
        <v/>
      </c>
      <c r="J440">
        <f>IF($I440="","",IF(AND($I440&gt;=$H$3,$I440&lt;=$H$4),1,0))</f>
        <v/>
      </c>
      <c r="K440">
        <f>IF($J440=0,"",INDEX(ChqKey,424))</f>
        <v/>
      </c>
      <c r="L440">
        <f>IF($K440="","",COUNTIFS($J$17:$J$516,1,$K$17:$K$516,"&lt;"&amp;$K440)+1)</f>
        <v/>
      </c>
    </row>
    <row r="441">
      <c r="A441" s="10">
        <f>IF(IFERROR(MATCH(425,ChqRankL,0),0)=0,"",425)</f>
        <v/>
      </c>
      <c r="B441" s="22">
        <f>IF(IFERROR(MATCH(425,ChqRankL,0),0)=0,"",INDEX(ChqNorm,IFERROR(MATCH(425,ChqRankL,0),0)))</f>
        <v/>
      </c>
      <c r="C441" s="22">
        <f>IF(IFERROR(MATCH(425,ChqRankL,0),0)=0,"",INDEX(ChqNo,IFERROR(MATCH(425,ChqRankL,0),0)))</f>
        <v/>
      </c>
      <c r="D441" s="23">
        <f>IF(IFERROR(MATCH(425,ChqRankL,0),0)=0,"",IF(INDEX(ChqAmt,IFERROR(MATCH(425,ChqRankL,0),0))=0,"",INDEX(ChqAmt,IFERROR(MATCH(425,ChqRankL,0),0))))</f>
        <v/>
      </c>
      <c r="E441" s="14">
        <f>IF(IFERROR(MATCH(425,ChqRankL,0),0)=0,"",INDEX(ChqStatus,IFERROR(MATCH(425,ChqRankL,0),0)))</f>
        <v/>
      </c>
      <c r="F441" s="22">
        <f>IF(IFERROR(MATCH(425,ChqRankL,0),0)=0,"",IF(INDEX(ChqStatus,IFERROR(MATCH(425,ChqRankL,0),0))="پاس نشده","—",IF(INDEX(ChqClr,IFERROR(MATCH(425,ChqRankL,0),0))="","—",INDEX(ChqClr,IFERROR(MATCH(425,ChqRankL,0),0)))))</f>
        <v/>
      </c>
      <c r="I441">
        <f>IF(425&gt;NChq,"",INDEX(ChqNorm,425))</f>
        <v/>
      </c>
      <c r="J441">
        <f>IF($I441="","",IF(AND($I441&gt;=$H$3,$I441&lt;=$H$4),1,0))</f>
        <v/>
      </c>
      <c r="K441">
        <f>IF($J441=0,"",INDEX(ChqKey,425))</f>
        <v/>
      </c>
      <c r="L441">
        <f>IF($K441="","",COUNTIFS($J$17:$J$516,1,$K$17:$K$516,"&lt;"&amp;$K441)+1)</f>
        <v/>
      </c>
    </row>
    <row r="442">
      <c r="A442" s="16">
        <f>IF(IFERROR(MATCH(426,ChqRankL,0),0)=0,"",426)</f>
        <v/>
      </c>
      <c r="B442" s="24">
        <f>IF(IFERROR(MATCH(426,ChqRankL,0),0)=0,"",INDEX(ChqNorm,IFERROR(MATCH(426,ChqRankL,0),0)))</f>
        <v/>
      </c>
      <c r="C442" s="24">
        <f>IF(IFERROR(MATCH(426,ChqRankL,0),0)=0,"",INDEX(ChqNo,IFERROR(MATCH(426,ChqRankL,0),0)))</f>
        <v/>
      </c>
      <c r="D442" s="25">
        <f>IF(IFERROR(MATCH(426,ChqRankL,0),0)=0,"",IF(INDEX(ChqAmt,IFERROR(MATCH(426,ChqRankL,0),0))=0,"",INDEX(ChqAmt,IFERROR(MATCH(426,ChqRankL,0),0))))</f>
        <v/>
      </c>
      <c r="E442" s="17">
        <f>IF(IFERROR(MATCH(426,ChqRankL,0),0)=0,"",INDEX(ChqStatus,IFERROR(MATCH(426,ChqRankL,0),0)))</f>
        <v/>
      </c>
      <c r="F442" s="24">
        <f>IF(IFERROR(MATCH(426,ChqRankL,0),0)=0,"",IF(INDEX(ChqStatus,IFERROR(MATCH(426,ChqRankL,0),0))="پاس نشده","—",IF(INDEX(ChqClr,IFERROR(MATCH(426,ChqRankL,0),0))="","—",INDEX(ChqClr,IFERROR(MATCH(426,ChqRankL,0),0)))))</f>
        <v/>
      </c>
      <c r="I442">
        <f>IF(426&gt;NChq,"",INDEX(ChqNorm,426))</f>
        <v/>
      </c>
      <c r="J442">
        <f>IF($I442="","",IF(AND($I442&gt;=$H$3,$I442&lt;=$H$4),1,0))</f>
        <v/>
      </c>
      <c r="K442">
        <f>IF($J442=0,"",INDEX(ChqKey,426))</f>
        <v/>
      </c>
      <c r="L442">
        <f>IF($K442="","",COUNTIFS($J$17:$J$516,1,$K$17:$K$516,"&lt;"&amp;$K442)+1)</f>
        <v/>
      </c>
    </row>
    <row r="443">
      <c r="A443" s="10">
        <f>IF(IFERROR(MATCH(427,ChqRankL,0),0)=0,"",427)</f>
        <v/>
      </c>
      <c r="B443" s="22">
        <f>IF(IFERROR(MATCH(427,ChqRankL,0),0)=0,"",INDEX(ChqNorm,IFERROR(MATCH(427,ChqRankL,0),0)))</f>
        <v/>
      </c>
      <c r="C443" s="22">
        <f>IF(IFERROR(MATCH(427,ChqRankL,0),0)=0,"",INDEX(ChqNo,IFERROR(MATCH(427,ChqRankL,0),0)))</f>
        <v/>
      </c>
      <c r="D443" s="23">
        <f>IF(IFERROR(MATCH(427,ChqRankL,0),0)=0,"",IF(INDEX(ChqAmt,IFERROR(MATCH(427,ChqRankL,0),0))=0,"",INDEX(ChqAmt,IFERROR(MATCH(427,ChqRankL,0),0))))</f>
        <v/>
      </c>
      <c r="E443" s="14">
        <f>IF(IFERROR(MATCH(427,ChqRankL,0),0)=0,"",INDEX(ChqStatus,IFERROR(MATCH(427,ChqRankL,0),0)))</f>
        <v/>
      </c>
      <c r="F443" s="22">
        <f>IF(IFERROR(MATCH(427,ChqRankL,0),0)=0,"",IF(INDEX(ChqStatus,IFERROR(MATCH(427,ChqRankL,0),0))="پاس نشده","—",IF(INDEX(ChqClr,IFERROR(MATCH(427,ChqRankL,0),0))="","—",INDEX(ChqClr,IFERROR(MATCH(427,ChqRankL,0),0)))))</f>
        <v/>
      </c>
      <c r="I443">
        <f>IF(427&gt;NChq,"",INDEX(ChqNorm,427))</f>
        <v/>
      </c>
      <c r="J443">
        <f>IF($I443="","",IF(AND($I443&gt;=$H$3,$I443&lt;=$H$4),1,0))</f>
        <v/>
      </c>
      <c r="K443">
        <f>IF($J443=0,"",INDEX(ChqKey,427))</f>
        <v/>
      </c>
      <c r="L443">
        <f>IF($K443="","",COUNTIFS($J$17:$J$516,1,$K$17:$K$516,"&lt;"&amp;$K443)+1)</f>
        <v/>
      </c>
    </row>
    <row r="444">
      <c r="A444" s="16">
        <f>IF(IFERROR(MATCH(428,ChqRankL,0),0)=0,"",428)</f>
        <v/>
      </c>
      <c r="B444" s="24">
        <f>IF(IFERROR(MATCH(428,ChqRankL,0),0)=0,"",INDEX(ChqNorm,IFERROR(MATCH(428,ChqRankL,0),0)))</f>
        <v/>
      </c>
      <c r="C444" s="24">
        <f>IF(IFERROR(MATCH(428,ChqRankL,0),0)=0,"",INDEX(ChqNo,IFERROR(MATCH(428,ChqRankL,0),0)))</f>
        <v/>
      </c>
      <c r="D444" s="25">
        <f>IF(IFERROR(MATCH(428,ChqRankL,0),0)=0,"",IF(INDEX(ChqAmt,IFERROR(MATCH(428,ChqRankL,0),0))=0,"",INDEX(ChqAmt,IFERROR(MATCH(428,ChqRankL,0),0))))</f>
        <v/>
      </c>
      <c r="E444" s="17">
        <f>IF(IFERROR(MATCH(428,ChqRankL,0),0)=0,"",INDEX(ChqStatus,IFERROR(MATCH(428,ChqRankL,0),0)))</f>
        <v/>
      </c>
      <c r="F444" s="24">
        <f>IF(IFERROR(MATCH(428,ChqRankL,0),0)=0,"",IF(INDEX(ChqStatus,IFERROR(MATCH(428,ChqRankL,0),0))="پاس نشده","—",IF(INDEX(ChqClr,IFERROR(MATCH(428,ChqRankL,0),0))="","—",INDEX(ChqClr,IFERROR(MATCH(428,ChqRankL,0),0)))))</f>
        <v/>
      </c>
      <c r="I444">
        <f>IF(428&gt;NChq,"",INDEX(ChqNorm,428))</f>
        <v/>
      </c>
      <c r="J444">
        <f>IF($I444="","",IF(AND($I444&gt;=$H$3,$I444&lt;=$H$4),1,0))</f>
        <v/>
      </c>
      <c r="K444">
        <f>IF($J444=0,"",INDEX(ChqKey,428))</f>
        <v/>
      </c>
      <c r="L444">
        <f>IF($K444="","",COUNTIFS($J$17:$J$516,1,$K$17:$K$516,"&lt;"&amp;$K444)+1)</f>
        <v/>
      </c>
    </row>
    <row r="445">
      <c r="A445" s="10">
        <f>IF(IFERROR(MATCH(429,ChqRankL,0),0)=0,"",429)</f>
        <v/>
      </c>
      <c r="B445" s="22">
        <f>IF(IFERROR(MATCH(429,ChqRankL,0),0)=0,"",INDEX(ChqNorm,IFERROR(MATCH(429,ChqRankL,0),0)))</f>
        <v/>
      </c>
      <c r="C445" s="22">
        <f>IF(IFERROR(MATCH(429,ChqRankL,0),0)=0,"",INDEX(ChqNo,IFERROR(MATCH(429,ChqRankL,0),0)))</f>
        <v/>
      </c>
      <c r="D445" s="23">
        <f>IF(IFERROR(MATCH(429,ChqRankL,0),0)=0,"",IF(INDEX(ChqAmt,IFERROR(MATCH(429,ChqRankL,0),0))=0,"",INDEX(ChqAmt,IFERROR(MATCH(429,ChqRankL,0),0))))</f>
        <v/>
      </c>
      <c r="E445" s="14">
        <f>IF(IFERROR(MATCH(429,ChqRankL,0),0)=0,"",INDEX(ChqStatus,IFERROR(MATCH(429,ChqRankL,0),0)))</f>
        <v/>
      </c>
      <c r="F445" s="22">
        <f>IF(IFERROR(MATCH(429,ChqRankL,0),0)=0,"",IF(INDEX(ChqStatus,IFERROR(MATCH(429,ChqRankL,0),0))="پاس نشده","—",IF(INDEX(ChqClr,IFERROR(MATCH(429,ChqRankL,0),0))="","—",INDEX(ChqClr,IFERROR(MATCH(429,ChqRankL,0),0)))))</f>
        <v/>
      </c>
      <c r="I445">
        <f>IF(429&gt;NChq,"",INDEX(ChqNorm,429))</f>
        <v/>
      </c>
      <c r="J445">
        <f>IF($I445="","",IF(AND($I445&gt;=$H$3,$I445&lt;=$H$4),1,0))</f>
        <v/>
      </c>
      <c r="K445">
        <f>IF($J445=0,"",INDEX(ChqKey,429))</f>
        <v/>
      </c>
      <c r="L445">
        <f>IF($K445="","",COUNTIFS($J$17:$J$516,1,$K$17:$K$516,"&lt;"&amp;$K445)+1)</f>
        <v/>
      </c>
    </row>
    <row r="446">
      <c r="A446" s="16">
        <f>IF(IFERROR(MATCH(430,ChqRankL,0),0)=0,"",430)</f>
        <v/>
      </c>
      <c r="B446" s="24">
        <f>IF(IFERROR(MATCH(430,ChqRankL,0),0)=0,"",INDEX(ChqNorm,IFERROR(MATCH(430,ChqRankL,0),0)))</f>
        <v/>
      </c>
      <c r="C446" s="24">
        <f>IF(IFERROR(MATCH(430,ChqRankL,0),0)=0,"",INDEX(ChqNo,IFERROR(MATCH(430,ChqRankL,0),0)))</f>
        <v/>
      </c>
      <c r="D446" s="25">
        <f>IF(IFERROR(MATCH(430,ChqRankL,0),0)=0,"",IF(INDEX(ChqAmt,IFERROR(MATCH(430,ChqRankL,0),0))=0,"",INDEX(ChqAmt,IFERROR(MATCH(430,ChqRankL,0),0))))</f>
        <v/>
      </c>
      <c r="E446" s="17">
        <f>IF(IFERROR(MATCH(430,ChqRankL,0),0)=0,"",INDEX(ChqStatus,IFERROR(MATCH(430,ChqRankL,0),0)))</f>
        <v/>
      </c>
      <c r="F446" s="24">
        <f>IF(IFERROR(MATCH(430,ChqRankL,0),0)=0,"",IF(INDEX(ChqStatus,IFERROR(MATCH(430,ChqRankL,0),0))="پاس نشده","—",IF(INDEX(ChqClr,IFERROR(MATCH(430,ChqRankL,0),0))="","—",INDEX(ChqClr,IFERROR(MATCH(430,ChqRankL,0),0)))))</f>
        <v/>
      </c>
      <c r="I446">
        <f>IF(430&gt;NChq,"",INDEX(ChqNorm,430))</f>
        <v/>
      </c>
      <c r="J446">
        <f>IF($I446="","",IF(AND($I446&gt;=$H$3,$I446&lt;=$H$4),1,0))</f>
        <v/>
      </c>
      <c r="K446">
        <f>IF($J446=0,"",INDEX(ChqKey,430))</f>
        <v/>
      </c>
      <c r="L446">
        <f>IF($K446="","",COUNTIFS($J$17:$J$516,1,$K$17:$K$516,"&lt;"&amp;$K446)+1)</f>
        <v/>
      </c>
    </row>
    <row r="447">
      <c r="A447" s="10">
        <f>IF(IFERROR(MATCH(431,ChqRankL,0),0)=0,"",431)</f>
        <v/>
      </c>
      <c r="B447" s="22">
        <f>IF(IFERROR(MATCH(431,ChqRankL,0),0)=0,"",INDEX(ChqNorm,IFERROR(MATCH(431,ChqRankL,0),0)))</f>
        <v/>
      </c>
      <c r="C447" s="22">
        <f>IF(IFERROR(MATCH(431,ChqRankL,0),0)=0,"",INDEX(ChqNo,IFERROR(MATCH(431,ChqRankL,0),0)))</f>
        <v/>
      </c>
      <c r="D447" s="23">
        <f>IF(IFERROR(MATCH(431,ChqRankL,0),0)=0,"",IF(INDEX(ChqAmt,IFERROR(MATCH(431,ChqRankL,0),0))=0,"",INDEX(ChqAmt,IFERROR(MATCH(431,ChqRankL,0),0))))</f>
        <v/>
      </c>
      <c r="E447" s="14">
        <f>IF(IFERROR(MATCH(431,ChqRankL,0),0)=0,"",INDEX(ChqStatus,IFERROR(MATCH(431,ChqRankL,0),0)))</f>
        <v/>
      </c>
      <c r="F447" s="22">
        <f>IF(IFERROR(MATCH(431,ChqRankL,0),0)=0,"",IF(INDEX(ChqStatus,IFERROR(MATCH(431,ChqRankL,0),0))="پاس نشده","—",IF(INDEX(ChqClr,IFERROR(MATCH(431,ChqRankL,0),0))="","—",INDEX(ChqClr,IFERROR(MATCH(431,ChqRankL,0),0)))))</f>
        <v/>
      </c>
      <c r="I447">
        <f>IF(431&gt;NChq,"",INDEX(ChqNorm,431))</f>
        <v/>
      </c>
      <c r="J447">
        <f>IF($I447="","",IF(AND($I447&gt;=$H$3,$I447&lt;=$H$4),1,0))</f>
        <v/>
      </c>
      <c r="K447">
        <f>IF($J447=0,"",INDEX(ChqKey,431))</f>
        <v/>
      </c>
      <c r="L447">
        <f>IF($K447="","",COUNTIFS($J$17:$J$516,1,$K$17:$K$516,"&lt;"&amp;$K447)+1)</f>
        <v/>
      </c>
    </row>
    <row r="448">
      <c r="A448" s="16">
        <f>IF(IFERROR(MATCH(432,ChqRankL,0),0)=0,"",432)</f>
        <v/>
      </c>
      <c r="B448" s="24">
        <f>IF(IFERROR(MATCH(432,ChqRankL,0),0)=0,"",INDEX(ChqNorm,IFERROR(MATCH(432,ChqRankL,0),0)))</f>
        <v/>
      </c>
      <c r="C448" s="24">
        <f>IF(IFERROR(MATCH(432,ChqRankL,0),0)=0,"",INDEX(ChqNo,IFERROR(MATCH(432,ChqRankL,0),0)))</f>
        <v/>
      </c>
      <c r="D448" s="25">
        <f>IF(IFERROR(MATCH(432,ChqRankL,0),0)=0,"",IF(INDEX(ChqAmt,IFERROR(MATCH(432,ChqRankL,0),0))=0,"",INDEX(ChqAmt,IFERROR(MATCH(432,ChqRankL,0),0))))</f>
        <v/>
      </c>
      <c r="E448" s="17">
        <f>IF(IFERROR(MATCH(432,ChqRankL,0),0)=0,"",INDEX(ChqStatus,IFERROR(MATCH(432,ChqRankL,0),0)))</f>
        <v/>
      </c>
      <c r="F448" s="24">
        <f>IF(IFERROR(MATCH(432,ChqRankL,0),0)=0,"",IF(INDEX(ChqStatus,IFERROR(MATCH(432,ChqRankL,0),0))="پاس نشده","—",IF(INDEX(ChqClr,IFERROR(MATCH(432,ChqRankL,0),0))="","—",INDEX(ChqClr,IFERROR(MATCH(432,ChqRankL,0),0)))))</f>
        <v/>
      </c>
      <c r="I448">
        <f>IF(432&gt;NChq,"",INDEX(ChqNorm,432))</f>
        <v/>
      </c>
      <c r="J448">
        <f>IF($I448="","",IF(AND($I448&gt;=$H$3,$I448&lt;=$H$4),1,0))</f>
        <v/>
      </c>
      <c r="K448">
        <f>IF($J448=0,"",INDEX(ChqKey,432))</f>
        <v/>
      </c>
      <c r="L448">
        <f>IF($K448="","",COUNTIFS($J$17:$J$516,1,$K$17:$K$516,"&lt;"&amp;$K448)+1)</f>
        <v/>
      </c>
    </row>
    <row r="449">
      <c r="A449" s="10">
        <f>IF(IFERROR(MATCH(433,ChqRankL,0),0)=0,"",433)</f>
        <v/>
      </c>
      <c r="B449" s="22">
        <f>IF(IFERROR(MATCH(433,ChqRankL,0),0)=0,"",INDEX(ChqNorm,IFERROR(MATCH(433,ChqRankL,0),0)))</f>
        <v/>
      </c>
      <c r="C449" s="22">
        <f>IF(IFERROR(MATCH(433,ChqRankL,0),0)=0,"",INDEX(ChqNo,IFERROR(MATCH(433,ChqRankL,0),0)))</f>
        <v/>
      </c>
      <c r="D449" s="23">
        <f>IF(IFERROR(MATCH(433,ChqRankL,0),0)=0,"",IF(INDEX(ChqAmt,IFERROR(MATCH(433,ChqRankL,0),0))=0,"",INDEX(ChqAmt,IFERROR(MATCH(433,ChqRankL,0),0))))</f>
        <v/>
      </c>
      <c r="E449" s="14">
        <f>IF(IFERROR(MATCH(433,ChqRankL,0),0)=0,"",INDEX(ChqStatus,IFERROR(MATCH(433,ChqRankL,0),0)))</f>
        <v/>
      </c>
      <c r="F449" s="22">
        <f>IF(IFERROR(MATCH(433,ChqRankL,0),0)=0,"",IF(INDEX(ChqStatus,IFERROR(MATCH(433,ChqRankL,0),0))="پاس نشده","—",IF(INDEX(ChqClr,IFERROR(MATCH(433,ChqRankL,0),0))="","—",INDEX(ChqClr,IFERROR(MATCH(433,ChqRankL,0),0)))))</f>
        <v/>
      </c>
      <c r="I449">
        <f>IF(433&gt;NChq,"",INDEX(ChqNorm,433))</f>
        <v/>
      </c>
      <c r="J449">
        <f>IF($I449="","",IF(AND($I449&gt;=$H$3,$I449&lt;=$H$4),1,0))</f>
        <v/>
      </c>
      <c r="K449">
        <f>IF($J449=0,"",INDEX(ChqKey,433))</f>
        <v/>
      </c>
      <c r="L449">
        <f>IF($K449="","",COUNTIFS($J$17:$J$516,1,$K$17:$K$516,"&lt;"&amp;$K449)+1)</f>
        <v/>
      </c>
    </row>
    <row r="450">
      <c r="A450" s="16">
        <f>IF(IFERROR(MATCH(434,ChqRankL,0),0)=0,"",434)</f>
        <v/>
      </c>
      <c r="B450" s="24">
        <f>IF(IFERROR(MATCH(434,ChqRankL,0),0)=0,"",INDEX(ChqNorm,IFERROR(MATCH(434,ChqRankL,0),0)))</f>
        <v/>
      </c>
      <c r="C450" s="24">
        <f>IF(IFERROR(MATCH(434,ChqRankL,0),0)=0,"",INDEX(ChqNo,IFERROR(MATCH(434,ChqRankL,0),0)))</f>
        <v/>
      </c>
      <c r="D450" s="25">
        <f>IF(IFERROR(MATCH(434,ChqRankL,0),0)=0,"",IF(INDEX(ChqAmt,IFERROR(MATCH(434,ChqRankL,0),0))=0,"",INDEX(ChqAmt,IFERROR(MATCH(434,ChqRankL,0),0))))</f>
        <v/>
      </c>
      <c r="E450" s="17">
        <f>IF(IFERROR(MATCH(434,ChqRankL,0),0)=0,"",INDEX(ChqStatus,IFERROR(MATCH(434,ChqRankL,0),0)))</f>
        <v/>
      </c>
      <c r="F450" s="24">
        <f>IF(IFERROR(MATCH(434,ChqRankL,0),0)=0,"",IF(INDEX(ChqStatus,IFERROR(MATCH(434,ChqRankL,0),0))="پاس نشده","—",IF(INDEX(ChqClr,IFERROR(MATCH(434,ChqRankL,0),0))="","—",INDEX(ChqClr,IFERROR(MATCH(434,ChqRankL,0),0)))))</f>
        <v/>
      </c>
      <c r="I450">
        <f>IF(434&gt;NChq,"",INDEX(ChqNorm,434))</f>
        <v/>
      </c>
      <c r="J450">
        <f>IF($I450="","",IF(AND($I450&gt;=$H$3,$I450&lt;=$H$4),1,0))</f>
        <v/>
      </c>
      <c r="K450">
        <f>IF($J450=0,"",INDEX(ChqKey,434))</f>
        <v/>
      </c>
      <c r="L450">
        <f>IF($K450="","",COUNTIFS($J$17:$J$516,1,$K$17:$K$516,"&lt;"&amp;$K450)+1)</f>
        <v/>
      </c>
    </row>
    <row r="451">
      <c r="A451" s="10">
        <f>IF(IFERROR(MATCH(435,ChqRankL,0),0)=0,"",435)</f>
        <v/>
      </c>
      <c r="B451" s="22">
        <f>IF(IFERROR(MATCH(435,ChqRankL,0),0)=0,"",INDEX(ChqNorm,IFERROR(MATCH(435,ChqRankL,0),0)))</f>
        <v/>
      </c>
      <c r="C451" s="22">
        <f>IF(IFERROR(MATCH(435,ChqRankL,0),0)=0,"",INDEX(ChqNo,IFERROR(MATCH(435,ChqRankL,0),0)))</f>
        <v/>
      </c>
      <c r="D451" s="23">
        <f>IF(IFERROR(MATCH(435,ChqRankL,0),0)=0,"",IF(INDEX(ChqAmt,IFERROR(MATCH(435,ChqRankL,0),0))=0,"",INDEX(ChqAmt,IFERROR(MATCH(435,ChqRankL,0),0))))</f>
        <v/>
      </c>
      <c r="E451" s="14">
        <f>IF(IFERROR(MATCH(435,ChqRankL,0),0)=0,"",INDEX(ChqStatus,IFERROR(MATCH(435,ChqRankL,0),0)))</f>
        <v/>
      </c>
      <c r="F451" s="22">
        <f>IF(IFERROR(MATCH(435,ChqRankL,0),0)=0,"",IF(INDEX(ChqStatus,IFERROR(MATCH(435,ChqRankL,0),0))="پاس نشده","—",IF(INDEX(ChqClr,IFERROR(MATCH(435,ChqRankL,0),0))="","—",INDEX(ChqClr,IFERROR(MATCH(435,ChqRankL,0),0)))))</f>
        <v/>
      </c>
      <c r="I451">
        <f>IF(435&gt;NChq,"",INDEX(ChqNorm,435))</f>
        <v/>
      </c>
      <c r="J451">
        <f>IF($I451="","",IF(AND($I451&gt;=$H$3,$I451&lt;=$H$4),1,0))</f>
        <v/>
      </c>
      <c r="K451">
        <f>IF($J451=0,"",INDEX(ChqKey,435))</f>
        <v/>
      </c>
      <c r="L451">
        <f>IF($K451="","",COUNTIFS($J$17:$J$516,1,$K$17:$K$516,"&lt;"&amp;$K451)+1)</f>
        <v/>
      </c>
    </row>
    <row r="452">
      <c r="A452" s="16">
        <f>IF(IFERROR(MATCH(436,ChqRankL,0),0)=0,"",436)</f>
        <v/>
      </c>
      <c r="B452" s="24">
        <f>IF(IFERROR(MATCH(436,ChqRankL,0),0)=0,"",INDEX(ChqNorm,IFERROR(MATCH(436,ChqRankL,0),0)))</f>
        <v/>
      </c>
      <c r="C452" s="24">
        <f>IF(IFERROR(MATCH(436,ChqRankL,0),0)=0,"",INDEX(ChqNo,IFERROR(MATCH(436,ChqRankL,0),0)))</f>
        <v/>
      </c>
      <c r="D452" s="25">
        <f>IF(IFERROR(MATCH(436,ChqRankL,0),0)=0,"",IF(INDEX(ChqAmt,IFERROR(MATCH(436,ChqRankL,0),0))=0,"",INDEX(ChqAmt,IFERROR(MATCH(436,ChqRankL,0),0))))</f>
        <v/>
      </c>
      <c r="E452" s="17">
        <f>IF(IFERROR(MATCH(436,ChqRankL,0),0)=0,"",INDEX(ChqStatus,IFERROR(MATCH(436,ChqRankL,0),0)))</f>
        <v/>
      </c>
      <c r="F452" s="24">
        <f>IF(IFERROR(MATCH(436,ChqRankL,0),0)=0,"",IF(INDEX(ChqStatus,IFERROR(MATCH(436,ChqRankL,0),0))="پاس نشده","—",IF(INDEX(ChqClr,IFERROR(MATCH(436,ChqRankL,0),0))="","—",INDEX(ChqClr,IFERROR(MATCH(436,ChqRankL,0),0)))))</f>
        <v/>
      </c>
      <c r="I452">
        <f>IF(436&gt;NChq,"",INDEX(ChqNorm,436))</f>
        <v/>
      </c>
      <c r="J452">
        <f>IF($I452="","",IF(AND($I452&gt;=$H$3,$I452&lt;=$H$4),1,0))</f>
        <v/>
      </c>
      <c r="K452">
        <f>IF($J452=0,"",INDEX(ChqKey,436))</f>
        <v/>
      </c>
      <c r="L452">
        <f>IF($K452="","",COUNTIFS($J$17:$J$516,1,$K$17:$K$516,"&lt;"&amp;$K452)+1)</f>
        <v/>
      </c>
    </row>
    <row r="453">
      <c r="A453" s="10">
        <f>IF(IFERROR(MATCH(437,ChqRankL,0),0)=0,"",437)</f>
        <v/>
      </c>
      <c r="B453" s="22">
        <f>IF(IFERROR(MATCH(437,ChqRankL,0),0)=0,"",INDEX(ChqNorm,IFERROR(MATCH(437,ChqRankL,0),0)))</f>
        <v/>
      </c>
      <c r="C453" s="22">
        <f>IF(IFERROR(MATCH(437,ChqRankL,0),0)=0,"",INDEX(ChqNo,IFERROR(MATCH(437,ChqRankL,0),0)))</f>
        <v/>
      </c>
      <c r="D453" s="23">
        <f>IF(IFERROR(MATCH(437,ChqRankL,0),0)=0,"",IF(INDEX(ChqAmt,IFERROR(MATCH(437,ChqRankL,0),0))=0,"",INDEX(ChqAmt,IFERROR(MATCH(437,ChqRankL,0),0))))</f>
        <v/>
      </c>
      <c r="E453" s="14">
        <f>IF(IFERROR(MATCH(437,ChqRankL,0),0)=0,"",INDEX(ChqStatus,IFERROR(MATCH(437,ChqRankL,0),0)))</f>
        <v/>
      </c>
      <c r="F453" s="22">
        <f>IF(IFERROR(MATCH(437,ChqRankL,0),0)=0,"",IF(INDEX(ChqStatus,IFERROR(MATCH(437,ChqRankL,0),0))="پاس نشده","—",IF(INDEX(ChqClr,IFERROR(MATCH(437,ChqRankL,0),0))="","—",INDEX(ChqClr,IFERROR(MATCH(437,ChqRankL,0),0)))))</f>
        <v/>
      </c>
      <c r="I453">
        <f>IF(437&gt;NChq,"",INDEX(ChqNorm,437))</f>
        <v/>
      </c>
      <c r="J453">
        <f>IF($I453="","",IF(AND($I453&gt;=$H$3,$I453&lt;=$H$4),1,0))</f>
        <v/>
      </c>
      <c r="K453">
        <f>IF($J453=0,"",INDEX(ChqKey,437))</f>
        <v/>
      </c>
      <c r="L453">
        <f>IF($K453="","",COUNTIFS($J$17:$J$516,1,$K$17:$K$516,"&lt;"&amp;$K453)+1)</f>
        <v/>
      </c>
    </row>
    <row r="454">
      <c r="A454" s="16">
        <f>IF(IFERROR(MATCH(438,ChqRankL,0),0)=0,"",438)</f>
        <v/>
      </c>
      <c r="B454" s="24">
        <f>IF(IFERROR(MATCH(438,ChqRankL,0),0)=0,"",INDEX(ChqNorm,IFERROR(MATCH(438,ChqRankL,0),0)))</f>
        <v/>
      </c>
      <c r="C454" s="24">
        <f>IF(IFERROR(MATCH(438,ChqRankL,0),0)=0,"",INDEX(ChqNo,IFERROR(MATCH(438,ChqRankL,0),0)))</f>
        <v/>
      </c>
      <c r="D454" s="25">
        <f>IF(IFERROR(MATCH(438,ChqRankL,0),0)=0,"",IF(INDEX(ChqAmt,IFERROR(MATCH(438,ChqRankL,0),0))=0,"",INDEX(ChqAmt,IFERROR(MATCH(438,ChqRankL,0),0))))</f>
        <v/>
      </c>
      <c r="E454" s="17">
        <f>IF(IFERROR(MATCH(438,ChqRankL,0),0)=0,"",INDEX(ChqStatus,IFERROR(MATCH(438,ChqRankL,0),0)))</f>
        <v/>
      </c>
      <c r="F454" s="24">
        <f>IF(IFERROR(MATCH(438,ChqRankL,0),0)=0,"",IF(INDEX(ChqStatus,IFERROR(MATCH(438,ChqRankL,0),0))="پاس نشده","—",IF(INDEX(ChqClr,IFERROR(MATCH(438,ChqRankL,0),0))="","—",INDEX(ChqClr,IFERROR(MATCH(438,ChqRankL,0),0)))))</f>
        <v/>
      </c>
      <c r="I454">
        <f>IF(438&gt;NChq,"",INDEX(ChqNorm,438))</f>
        <v/>
      </c>
      <c r="J454">
        <f>IF($I454="","",IF(AND($I454&gt;=$H$3,$I454&lt;=$H$4),1,0))</f>
        <v/>
      </c>
      <c r="K454">
        <f>IF($J454=0,"",INDEX(ChqKey,438))</f>
        <v/>
      </c>
      <c r="L454">
        <f>IF($K454="","",COUNTIFS($J$17:$J$516,1,$K$17:$K$516,"&lt;"&amp;$K454)+1)</f>
        <v/>
      </c>
    </row>
    <row r="455">
      <c r="A455" s="10">
        <f>IF(IFERROR(MATCH(439,ChqRankL,0),0)=0,"",439)</f>
        <v/>
      </c>
      <c r="B455" s="22">
        <f>IF(IFERROR(MATCH(439,ChqRankL,0),0)=0,"",INDEX(ChqNorm,IFERROR(MATCH(439,ChqRankL,0),0)))</f>
        <v/>
      </c>
      <c r="C455" s="22">
        <f>IF(IFERROR(MATCH(439,ChqRankL,0),0)=0,"",INDEX(ChqNo,IFERROR(MATCH(439,ChqRankL,0),0)))</f>
        <v/>
      </c>
      <c r="D455" s="23">
        <f>IF(IFERROR(MATCH(439,ChqRankL,0),0)=0,"",IF(INDEX(ChqAmt,IFERROR(MATCH(439,ChqRankL,0),0))=0,"",INDEX(ChqAmt,IFERROR(MATCH(439,ChqRankL,0),0))))</f>
        <v/>
      </c>
      <c r="E455" s="14">
        <f>IF(IFERROR(MATCH(439,ChqRankL,0),0)=0,"",INDEX(ChqStatus,IFERROR(MATCH(439,ChqRankL,0),0)))</f>
        <v/>
      </c>
      <c r="F455" s="22">
        <f>IF(IFERROR(MATCH(439,ChqRankL,0),0)=0,"",IF(INDEX(ChqStatus,IFERROR(MATCH(439,ChqRankL,0),0))="پاس نشده","—",IF(INDEX(ChqClr,IFERROR(MATCH(439,ChqRankL,0),0))="","—",INDEX(ChqClr,IFERROR(MATCH(439,ChqRankL,0),0)))))</f>
        <v/>
      </c>
      <c r="I455">
        <f>IF(439&gt;NChq,"",INDEX(ChqNorm,439))</f>
        <v/>
      </c>
      <c r="J455">
        <f>IF($I455="","",IF(AND($I455&gt;=$H$3,$I455&lt;=$H$4),1,0))</f>
        <v/>
      </c>
      <c r="K455">
        <f>IF($J455=0,"",INDEX(ChqKey,439))</f>
        <v/>
      </c>
      <c r="L455">
        <f>IF($K455="","",COUNTIFS($J$17:$J$516,1,$K$17:$K$516,"&lt;"&amp;$K455)+1)</f>
        <v/>
      </c>
    </row>
    <row r="456">
      <c r="A456" s="16">
        <f>IF(IFERROR(MATCH(440,ChqRankL,0),0)=0,"",440)</f>
        <v/>
      </c>
      <c r="B456" s="24">
        <f>IF(IFERROR(MATCH(440,ChqRankL,0),0)=0,"",INDEX(ChqNorm,IFERROR(MATCH(440,ChqRankL,0),0)))</f>
        <v/>
      </c>
      <c r="C456" s="24">
        <f>IF(IFERROR(MATCH(440,ChqRankL,0),0)=0,"",INDEX(ChqNo,IFERROR(MATCH(440,ChqRankL,0),0)))</f>
        <v/>
      </c>
      <c r="D456" s="25">
        <f>IF(IFERROR(MATCH(440,ChqRankL,0),0)=0,"",IF(INDEX(ChqAmt,IFERROR(MATCH(440,ChqRankL,0),0))=0,"",INDEX(ChqAmt,IFERROR(MATCH(440,ChqRankL,0),0))))</f>
        <v/>
      </c>
      <c r="E456" s="17">
        <f>IF(IFERROR(MATCH(440,ChqRankL,0),0)=0,"",INDEX(ChqStatus,IFERROR(MATCH(440,ChqRankL,0),0)))</f>
        <v/>
      </c>
      <c r="F456" s="24">
        <f>IF(IFERROR(MATCH(440,ChqRankL,0),0)=0,"",IF(INDEX(ChqStatus,IFERROR(MATCH(440,ChqRankL,0),0))="پاس نشده","—",IF(INDEX(ChqClr,IFERROR(MATCH(440,ChqRankL,0),0))="","—",INDEX(ChqClr,IFERROR(MATCH(440,ChqRankL,0),0)))))</f>
        <v/>
      </c>
      <c r="I456">
        <f>IF(440&gt;NChq,"",INDEX(ChqNorm,440))</f>
        <v/>
      </c>
      <c r="J456">
        <f>IF($I456="","",IF(AND($I456&gt;=$H$3,$I456&lt;=$H$4),1,0))</f>
        <v/>
      </c>
      <c r="K456">
        <f>IF($J456=0,"",INDEX(ChqKey,440))</f>
        <v/>
      </c>
      <c r="L456">
        <f>IF($K456="","",COUNTIFS($J$17:$J$516,1,$K$17:$K$516,"&lt;"&amp;$K456)+1)</f>
        <v/>
      </c>
    </row>
    <row r="457">
      <c r="A457" s="10">
        <f>IF(IFERROR(MATCH(441,ChqRankL,0),0)=0,"",441)</f>
        <v/>
      </c>
      <c r="B457" s="22">
        <f>IF(IFERROR(MATCH(441,ChqRankL,0),0)=0,"",INDEX(ChqNorm,IFERROR(MATCH(441,ChqRankL,0),0)))</f>
        <v/>
      </c>
      <c r="C457" s="22">
        <f>IF(IFERROR(MATCH(441,ChqRankL,0),0)=0,"",INDEX(ChqNo,IFERROR(MATCH(441,ChqRankL,0),0)))</f>
        <v/>
      </c>
      <c r="D457" s="23">
        <f>IF(IFERROR(MATCH(441,ChqRankL,0),0)=0,"",IF(INDEX(ChqAmt,IFERROR(MATCH(441,ChqRankL,0),0))=0,"",INDEX(ChqAmt,IFERROR(MATCH(441,ChqRankL,0),0))))</f>
        <v/>
      </c>
      <c r="E457" s="14">
        <f>IF(IFERROR(MATCH(441,ChqRankL,0),0)=0,"",INDEX(ChqStatus,IFERROR(MATCH(441,ChqRankL,0),0)))</f>
        <v/>
      </c>
      <c r="F457" s="22">
        <f>IF(IFERROR(MATCH(441,ChqRankL,0),0)=0,"",IF(INDEX(ChqStatus,IFERROR(MATCH(441,ChqRankL,0),0))="پاس نشده","—",IF(INDEX(ChqClr,IFERROR(MATCH(441,ChqRankL,0),0))="","—",INDEX(ChqClr,IFERROR(MATCH(441,ChqRankL,0),0)))))</f>
        <v/>
      </c>
      <c r="I457">
        <f>IF(441&gt;NChq,"",INDEX(ChqNorm,441))</f>
        <v/>
      </c>
      <c r="J457">
        <f>IF($I457="","",IF(AND($I457&gt;=$H$3,$I457&lt;=$H$4),1,0))</f>
        <v/>
      </c>
      <c r="K457">
        <f>IF($J457=0,"",INDEX(ChqKey,441))</f>
        <v/>
      </c>
      <c r="L457">
        <f>IF($K457="","",COUNTIFS($J$17:$J$516,1,$K$17:$K$516,"&lt;"&amp;$K457)+1)</f>
        <v/>
      </c>
    </row>
    <row r="458">
      <c r="A458" s="16">
        <f>IF(IFERROR(MATCH(442,ChqRankL,0),0)=0,"",442)</f>
        <v/>
      </c>
      <c r="B458" s="24">
        <f>IF(IFERROR(MATCH(442,ChqRankL,0),0)=0,"",INDEX(ChqNorm,IFERROR(MATCH(442,ChqRankL,0),0)))</f>
        <v/>
      </c>
      <c r="C458" s="24">
        <f>IF(IFERROR(MATCH(442,ChqRankL,0),0)=0,"",INDEX(ChqNo,IFERROR(MATCH(442,ChqRankL,0),0)))</f>
        <v/>
      </c>
      <c r="D458" s="25">
        <f>IF(IFERROR(MATCH(442,ChqRankL,0),0)=0,"",IF(INDEX(ChqAmt,IFERROR(MATCH(442,ChqRankL,0),0))=0,"",INDEX(ChqAmt,IFERROR(MATCH(442,ChqRankL,0),0))))</f>
        <v/>
      </c>
      <c r="E458" s="17">
        <f>IF(IFERROR(MATCH(442,ChqRankL,0),0)=0,"",INDEX(ChqStatus,IFERROR(MATCH(442,ChqRankL,0),0)))</f>
        <v/>
      </c>
      <c r="F458" s="24">
        <f>IF(IFERROR(MATCH(442,ChqRankL,0),0)=0,"",IF(INDEX(ChqStatus,IFERROR(MATCH(442,ChqRankL,0),0))="پاس نشده","—",IF(INDEX(ChqClr,IFERROR(MATCH(442,ChqRankL,0),0))="","—",INDEX(ChqClr,IFERROR(MATCH(442,ChqRankL,0),0)))))</f>
        <v/>
      </c>
      <c r="I458">
        <f>IF(442&gt;NChq,"",INDEX(ChqNorm,442))</f>
        <v/>
      </c>
      <c r="J458">
        <f>IF($I458="","",IF(AND($I458&gt;=$H$3,$I458&lt;=$H$4),1,0))</f>
        <v/>
      </c>
      <c r="K458">
        <f>IF($J458=0,"",INDEX(ChqKey,442))</f>
        <v/>
      </c>
      <c r="L458">
        <f>IF($K458="","",COUNTIFS($J$17:$J$516,1,$K$17:$K$516,"&lt;"&amp;$K458)+1)</f>
        <v/>
      </c>
    </row>
    <row r="459">
      <c r="A459" s="10">
        <f>IF(IFERROR(MATCH(443,ChqRankL,0),0)=0,"",443)</f>
        <v/>
      </c>
      <c r="B459" s="22">
        <f>IF(IFERROR(MATCH(443,ChqRankL,0),0)=0,"",INDEX(ChqNorm,IFERROR(MATCH(443,ChqRankL,0),0)))</f>
        <v/>
      </c>
      <c r="C459" s="22">
        <f>IF(IFERROR(MATCH(443,ChqRankL,0),0)=0,"",INDEX(ChqNo,IFERROR(MATCH(443,ChqRankL,0),0)))</f>
        <v/>
      </c>
      <c r="D459" s="23">
        <f>IF(IFERROR(MATCH(443,ChqRankL,0),0)=0,"",IF(INDEX(ChqAmt,IFERROR(MATCH(443,ChqRankL,0),0))=0,"",INDEX(ChqAmt,IFERROR(MATCH(443,ChqRankL,0),0))))</f>
        <v/>
      </c>
      <c r="E459" s="14">
        <f>IF(IFERROR(MATCH(443,ChqRankL,0),0)=0,"",INDEX(ChqStatus,IFERROR(MATCH(443,ChqRankL,0),0)))</f>
        <v/>
      </c>
      <c r="F459" s="22">
        <f>IF(IFERROR(MATCH(443,ChqRankL,0),0)=0,"",IF(INDEX(ChqStatus,IFERROR(MATCH(443,ChqRankL,0),0))="پاس نشده","—",IF(INDEX(ChqClr,IFERROR(MATCH(443,ChqRankL,0),0))="","—",INDEX(ChqClr,IFERROR(MATCH(443,ChqRankL,0),0)))))</f>
        <v/>
      </c>
      <c r="I459">
        <f>IF(443&gt;NChq,"",INDEX(ChqNorm,443))</f>
        <v/>
      </c>
      <c r="J459">
        <f>IF($I459="","",IF(AND($I459&gt;=$H$3,$I459&lt;=$H$4),1,0))</f>
        <v/>
      </c>
      <c r="K459">
        <f>IF($J459=0,"",INDEX(ChqKey,443))</f>
        <v/>
      </c>
      <c r="L459">
        <f>IF($K459="","",COUNTIFS($J$17:$J$516,1,$K$17:$K$516,"&lt;"&amp;$K459)+1)</f>
        <v/>
      </c>
    </row>
    <row r="460">
      <c r="A460" s="16">
        <f>IF(IFERROR(MATCH(444,ChqRankL,0),0)=0,"",444)</f>
        <v/>
      </c>
      <c r="B460" s="24">
        <f>IF(IFERROR(MATCH(444,ChqRankL,0),0)=0,"",INDEX(ChqNorm,IFERROR(MATCH(444,ChqRankL,0),0)))</f>
        <v/>
      </c>
      <c r="C460" s="24">
        <f>IF(IFERROR(MATCH(444,ChqRankL,0),0)=0,"",INDEX(ChqNo,IFERROR(MATCH(444,ChqRankL,0),0)))</f>
        <v/>
      </c>
      <c r="D460" s="25">
        <f>IF(IFERROR(MATCH(444,ChqRankL,0),0)=0,"",IF(INDEX(ChqAmt,IFERROR(MATCH(444,ChqRankL,0),0))=0,"",INDEX(ChqAmt,IFERROR(MATCH(444,ChqRankL,0),0))))</f>
        <v/>
      </c>
      <c r="E460" s="17">
        <f>IF(IFERROR(MATCH(444,ChqRankL,0),0)=0,"",INDEX(ChqStatus,IFERROR(MATCH(444,ChqRankL,0),0)))</f>
        <v/>
      </c>
      <c r="F460" s="24">
        <f>IF(IFERROR(MATCH(444,ChqRankL,0),0)=0,"",IF(INDEX(ChqStatus,IFERROR(MATCH(444,ChqRankL,0),0))="پاس نشده","—",IF(INDEX(ChqClr,IFERROR(MATCH(444,ChqRankL,0),0))="","—",INDEX(ChqClr,IFERROR(MATCH(444,ChqRankL,0),0)))))</f>
        <v/>
      </c>
      <c r="I460">
        <f>IF(444&gt;NChq,"",INDEX(ChqNorm,444))</f>
        <v/>
      </c>
      <c r="J460">
        <f>IF($I460="","",IF(AND($I460&gt;=$H$3,$I460&lt;=$H$4),1,0))</f>
        <v/>
      </c>
      <c r="K460">
        <f>IF($J460=0,"",INDEX(ChqKey,444))</f>
        <v/>
      </c>
      <c r="L460">
        <f>IF($K460="","",COUNTIFS($J$17:$J$516,1,$K$17:$K$516,"&lt;"&amp;$K460)+1)</f>
        <v/>
      </c>
    </row>
    <row r="461">
      <c r="A461" s="10">
        <f>IF(IFERROR(MATCH(445,ChqRankL,0),0)=0,"",445)</f>
        <v/>
      </c>
      <c r="B461" s="22">
        <f>IF(IFERROR(MATCH(445,ChqRankL,0),0)=0,"",INDEX(ChqNorm,IFERROR(MATCH(445,ChqRankL,0),0)))</f>
        <v/>
      </c>
      <c r="C461" s="22">
        <f>IF(IFERROR(MATCH(445,ChqRankL,0),0)=0,"",INDEX(ChqNo,IFERROR(MATCH(445,ChqRankL,0),0)))</f>
        <v/>
      </c>
      <c r="D461" s="23">
        <f>IF(IFERROR(MATCH(445,ChqRankL,0),0)=0,"",IF(INDEX(ChqAmt,IFERROR(MATCH(445,ChqRankL,0),0))=0,"",INDEX(ChqAmt,IFERROR(MATCH(445,ChqRankL,0),0))))</f>
        <v/>
      </c>
      <c r="E461" s="14">
        <f>IF(IFERROR(MATCH(445,ChqRankL,0),0)=0,"",INDEX(ChqStatus,IFERROR(MATCH(445,ChqRankL,0),0)))</f>
        <v/>
      </c>
      <c r="F461" s="22">
        <f>IF(IFERROR(MATCH(445,ChqRankL,0),0)=0,"",IF(INDEX(ChqStatus,IFERROR(MATCH(445,ChqRankL,0),0))="پاس نشده","—",IF(INDEX(ChqClr,IFERROR(MATCH(445,ChqRankL,0),0))="","—",INDEX(ChqClr,IFERROR(MATCH(445,ChqRankL,0),0)))))</f>
        <v/>
      </c>
      <c r="I461">
        <f>IF(445&gt;NChq,"",INDEX(ChqNorm,445))</f>
        <v/>
      </c>
      <c r="J461">
        <f>IF($I461="","",IF(AND($I461&gt;=$H$3,$I461&lt;=$H$4),1,0))</f>
        <v/>
      </c>
      <c r="K461">
        <f>IF($J461=0,"",INDEX(ChqKey,445))</f>
        <v/>
      </c>
      <c r="L461">
        <f>IF($K461="","",COUNTIFS($J$17:$J$516,1,$K$17:$K$516,"&lt;"&amp;$K461)+1)</f>
        <v/>
      </c>
    </row>
    <row r="462">
      <c r="A462" s="16">
        <f>IF(IFERROR(MATCH(446,ChqRankL,0),0)=0,"",446)</f>
        <v/>
      </c>
      <c r="B462" s="24">
        <f>IF(IFERROR(MATCH(446,ChqRankL,0),0)=0,"",INDEX(ChqNorm,IFERROR(MATCH(446,ChqRankL,0),0)))</f>
        <v/>
      </c>
      <c r="C462" s="24">
        <f>IF(IFERROR(MATCH(446,ChqRankL,0),0)=0,"",INDEX(ChqNo,IFERROR(MATCH(446,ChqRankL,0),0)))</f>
        <v/>
      </c>
      <c r="D462" s="25">
        <f>IF(IFERROR(MATCH(446,ChqRankL,0),0)=0,"",IF(INDEX(ChqAmt,IFERROR(MATCH(446,ChqRankL,0),0))=0,"",INDEX(ChqAmt,IFERROR(MATCH(446,ChqRankL,0),0))))</f>
        <v/>
      </c>
      <c r="E462" s="17">
        <f>IF(IFERROR(MATCH(446,ChqRankL,0),0)=0,"",INDEX(ChqStatus,IFERROR(MATCH(446,ChqRankL,0),0)))</f>
        <v/>
      </c>
      <c r="F462" s="24">
        <f>IF(IFERROR(MATCH(446,ChqRankL,0),0)=0,"",IF(INDEX(ChqStatus,IFERROR(MATCH(446,ChqRankL,0),0))="پاس نشده","—",IF(INDEX(ChqClr,IFERROR(MATCH(446,ChqRankL,0),0))="","—",INDEX(ChqClr,IFERROR(MATCH(446,ChqRankL,0),0)))))</f>
        <v/>
      </c>
      <c r="I462">
        <f>IF(446&gt;NChq,"",INDEX(ChqNorm,446))</f>
        <v/>
      </c>
      <c r="J462">
        <f>IF($I462="","",IF(AND($I462&gt;=$H$3,$I462&lt;=$H$4),1,0))</f>
        <v/>
      </c>
      <c r="K462">
        <f>IF($J462=0,"",INDEX(ChqKey,446))</f>
        <v/>
      </c>
      <c r="L462">
        <f>IF($K462="","",COUNTIFS($J$17:$J$516,1,$K$17:$K$516,"&lt;"&amp;$K462)+1)</f>
        <v/>
      </c>
    </row>
    <row r="463">
      <c r="A463" s="10">
        <f>IF(IFERROR(MATCH(447,ChqRankL,0),0)=0,"",447)</f>
        <v/>
      </c>
      <c r="B463" s="22">
        <f>IF(IFERROR(MATCH(447,ChqRankL,0),0)=0,"",INDEX(ChqNorm,IFERROR(MATCH(447,ChqRankL,0),0)))</f>
        <v/>
      </c>
      <c r="C463" s="22">
        <f>IF(IFERROR(MATCH(447,ChqRankL,0),0)=0,"",INDEX(ChqNo,IFERROR(MATCH(447,ChqRankL,0),0)))</f>
        <v/>
      </c>
      <c r="D463" s="23">
        <f>IF(IFERROR(MATCH(447,ChqRankL,0),0)=0,"",IF(INDEX(ChqAmt,IFERROR(MATCH(447,ChqRankL,0),0))=0,"",INDEX(ChqAmt,IFERROR(MATCH(447,ChqRankL,0),0))))</f>
        <v/>
      </c>
      <c r="E463" s="14">
        <f>IF(IFERROR(MATCH(447,ChqRankL,0),0)=0,"",INDEX(ChqStatus,IFERROR(MATCH(447,ChqRankL,0),0)))</f>
        <v/>
      </c>
      <c r="F463" s="22">
        <f>IF(IFERROR(MATCH(447,ChqRankL,0),0)=0,"",IF(INDEX(ChqStatus,IFERROR(MATCH(447,ChqRankL,0),0))="پاس نشده","—",IF(INDEX(ChqClr,IFERROR(MATCH(447,ChqRankL,0),0))="","—",INDEX(ChqClr,IFERROR(MATCH(447,ChqRankL,0),0)))))</f>
        <v/>
      </c>
      <c r="I463">
        <f>IF(447&gt;NChq,"",INDEX(ChqNorm,447))</f>
        <v/>
      </c>
      <c r="J463">
        <f>IF($I463="","",IF(AND($I463&gt;=$H$3,$I463&lt;=$H$4),1,0))</f>
        <v/>
      </c>
      <c r="K463">
        <f>IF($J463=0,"",INDEX(ChqKey,447))</f>
        <v/>
      </c>
      <c r="L463">
        <f>IF($K463="","",COUNTIFS($J$17:$J$516,1,$K$17:$K$516,"&lt;"&amp;$K463)+1)</f>
        <v/>
      </c>
    </row>
    <row r="464">
      <c r="A464" s="16">
        <f>IF(IFERROR(MATCH(448,ChqRankL,0),0)=0,"",448)</f>
        <v/>
      </c>
      <c r="B464" s="24">
        <f>IF(IFERROR(MATCH(448,ChqRankL,0),0)=0,"",INDEX(ChqNorm,IFERROR(MATCH(448,ChqRankL,0),0)))</f>
        <v/>
      </c>
      <c r="C464" s="24">
        <f>IF(IFERROR(MATCH(448,ChqRankL,0),0)=0,"",INDEX(ChqNo,IFERROR(MATCH(448,ChqRankL,0),0)))</f>
        <v/>
      </c>
      <c r="D464" s="25">
        <f>IF(IFERROR(MATCH(448,ChqRankL,0),0)=0,"",IF(INDEX(ChqAmt,IFERROR(MATCH(448,ChqRankL,0),0))=0,"",INDEX(ChqAmt,IFERROR(MATCH(448,ChqRankL,0),0))))</f>
        <v/>
      </c>
      <c r="E464" s="17">
        <f>IF(IFERROR(MATCH(448,ChqRankL,0),0)=0,"",INDEX(ChqStatus,IFERROR(MATCH(448,ChqRankL,0),0)))</f>
        <v/>
      </c>
      <c r="F464" s="24">
        <f>IF(IFERROR(MATCH(448,ChqRankL,0),0)=0,"",IF(INDEX(ChqStatus,IFERROR(MATCH(448,ChqRankL,0),0))="پاس نشده","—",IF(INDEX(ChqClr,IFERROR(MATCH(448,ChqRankL,0),0))="","—",INDEX(ChqClr,IFERROR(MATCH(448,ChqRankL,0),0)))))</f>
        <v/>
      </c>
      <c r="I464">
        <f>IF(448&gt;NChq,"",INDEX(ChqNorm,448))</f>
        <v/>
      </c>
      <c r="J464">
        <f>IF($I464="","",IF(AND($I464&gt;=$H$3,$I464&lt;=$H$4),1,0))</f>
        <v/>
      </c>
      <c r="K464">
        <f>IF($J464=0,"",INDEX(ChqKey,448))</f>
        <v/>
      </c>
      <c r="L464">
        <f>IF($K464="","",COUNTIFS($J$17:$J$516,1,$K$17:$K$516,"&lt;"&amp;$K464)+1)</f>
        <v/>
      </c>
    </row>
    <row r="465">
      <c r="A465" s="10">
        <f>IF(IFERROR(MATCH(449,ChqRankL,0),0)=0,"",449)</f>
        <v/>
      </c>
      <c r="B465" s="22">
        <f>IF(IFERROR(MATCH(449,ChqRankL,0),0)=0,"",INDEX(ChqNorm,IFERROR(MATCH(449,ChqRankL,0),0)))</f>
        <v/>
      </c>
      <c r="C465" s="22">
        <f>IF(IFERROR(MATCH(449,ChqRankL,0),0)=0,"",INDEX(ChqNo,IFERROR(MATCH(449,ChqRankL,0),0)))</f>
        <v/>
      </c>
      <c r="D465" s="23">
        <f>IF(IFERROR(MATCH(449,ChqRankL,0),0)=0,"",IF(INDEX(ChqAmt,IFERROR(MATCH(449,ChqRankL,0),0))=0,"",INDEX(ChqAmt,IFERROR(MATCH(449,ChqRankL,0),0))))</f>
        <v/>
      </c>
      <c r="E465" s="14">
        <f>IF(IFERROR(MATCH(449,ChqRankL,0),0)=0,"",INDEX(ChqStatus,IFERROR(MATCH(449,ChqRankL,0),0)))</f>
        <v/>
      </c>
      <c r="F465" s="22">
        <f>IF(IFERROR(MATCH(449,ChqRankL,0),0)=0,"",IF(INDEX(ChqStatus,IFERROR(MATCH(449,ChqRankL,0),0))="پاس نشده","—",IF(INDEX(ChqClr,IFERROR(MATCH(449,ChqRankL,0),0))="","—",INDEX(ChqClr,IFERROR(MATCH(449,ChqRankL,0),0)))))</f>
        <v/>
      </c>
      <c r="I465">
        <f>IF(449&gt;NChq,"",INDEX(ChqNorm,449))</f>
        <v/>
      </c>
      <c r="J465">
        <f>IF($I465="","",IF(AND($I465&gt;=$H$3,$I465&lt;=$H$4),1,0))</f>
        <v/>
      </c>
      <c r="K465">
        <f>IF($J465=0,"",INDEX(ChqKey,449))</f>
        <v/>
      </c>
      <c r="L465">
        <f>IF($K465="","",COUNTIFS($J$17:$J$516,1,$K$17:$K$516,"&lt;"&amp;$K465)+1)</f>
        <v/>
      </c>
    </row>
    <row r="466">
      <c r="A466" s="16">
        <f>IF(IFERROR(MATCH(450,ChqRankL,0),0)=0,"",450)</f>
        <v/>
      </c>
      <c r="B466" s="24">
        <f>IF(IFERROR(MATCH(450,ChqRankL,0),0)=0,"",INDEX(ChqNorm,IFERROR(MATCH(450,ChqRankL,0),0)))</f>
        <v/>
      </c>
      <c r="C466" s="24">
        <f>IF(IFERROR(MATCH(450,ChqRankL,0),0)=0,"",INDEX(ChqNo,IFERROR(MATCH(450,ChqRankL,0),0)))</f>
        <v/>
      </c>
      <c r="D466" s="25">
        <f>IF(IFERROR(MATCH(450,ChqRankL,0),0)=0,"",IF(INDEX(ChqAmt,IFERROR(MATCH(450,ChqRankL,0),0))=0,"",INDEX(ChqAmt,IFERROR(MATCH(450,ChqRankL,0),0))))</f>
        <v/>
      </c>
      <c r="E466" s="17">
        <f>IF(IFERROR(MATCH(450,ChqRankL,0),0)=0,"",INDEX(ChqStatus,IFERROR(MATCH(450,ChqRankL,0),0)))</f>
        <v/>
      </c>
      <c r="F466" s="24">
        <f>IF(IFERROR(MATCH(450,ChqRankL,0),0)=0,"",IF(INDEX(ChqStatus,IFERROR(MATCH(450,ChqRankL,0),0))="پاس نشده","—",IF(INDEX(ChqClr,IFERROR(MATCH(450,ChqRankL,0),0))="","—",INDEX(ChqClr,IFERROR(MATCH(450,ChqRankL,0),0)))))</f>
        <v/>
      </c>
      <c r="I466">
        <f>IF(450&gt;NChq,"",INDEX(ChqNorm,450))</f>
        <v/>
      </c>
      <c r="J466">
        <f>IF($I466="","",IF(AND($I466&gt;=$H$3,$I466&lt;=$H$4),1,0))</f>
        <v/>
      </c>
      <c r="K466">
        <f>IF($J466=0,"",INDEX(ChqKey,450))</f>
        <v/>
      </c>
      <c r="L466">
        <f>IF($K466="","",COUNTIFS($J$17:$J$516,1,$K$17:$K$516,"&lt;"&amp;$K466)+1)</f>
        <v/>
      </c>
    </row>
    <row r="467">
      <c r="A467" s="10">
        <f>IF(IFERROR(MATCH(451,ChqRankL,0),0)=0,"",451)</f>
        <v/>
      </c>
      <c r="B467" s="22">
        <f>IF(IFERROR(MATCH(451,ChqRankL,0),0)=0,"",INDEX(ChqNorm,IFERROR(MATCH(451,ChqRankL,0),0)))</f>
        <v/>
      </c>
      <c r="C467" s="22">
        <f>IF(IFERROR(MATCH(451,ChqRankL,0),0)=0,"",INDEX(ChqNo,IFERROR(MATCH(451,ChqRankL,0),0)))</f>
        <v/>
      </c>
      <c r="D467" s="23">
        <f>IF(IFERROR(MATCH(451,ChqRankL,0),0)=0,"",IF(INDEX(ChqAmt,IFERROR(MATCH(451,ChqRankL,0),0))=0,"",INDEX(ChqAmt,IFERROR(MATCH(451,ChqRankL,0),0))))</f>
        <v/>
      </c>
      <c r="E467" s="14">
        <f>IF(IFERROR(MATCH(451,ChqRankL,0),0)=0,"",INDEX(ChqStatus,IFERROR(MATCH(451,ChqRankL,0),0)))</f>
        <v/>
      </c>
      <c r="F467" s="22">
        <f>IF(IFERROR(MATCH(451,ChqRankL,0),0)=0,"",IF(INDEX(ChqStatus,IFERROR(MATCH(451,ChqRankL,0),0))="پاس نشده","—",IF(INDEX(ChqClr,IFERROR(MATCH(451,ChqRankL,0),0))="","—",INDEX(ChqClr,IFERROR(MATCH(451,ChqRankL,0),0)))))</f>
        <v/>
      </c>
      <c r="I467">
        <f>IF(451&gt;NChq,"",INDEX(ChqNorm,451))</f>
        <v/>
      </c>
      <c r="J467">
        <f>IF($I467="","",IF(AND($I467&gt;=$H$3,$I467&lt;=$H$4),1,0))</f>
        <v/>
      </c>
      <c r="K467">
        <f>IF($J467=0,"",INDEX(ChqKey,451))</f>
        <v/>
      </c>
      <c r="L467">
        <f>IF($K467="","",COUNTIFS($J$17:$J$516,1,$K$17:$K$516,"&lt;"&amp;$K467)+1)</f>
        <v/>
      </c>
    </row>
    <row r="468">
      <c r="A468" s="16">
        <f>IF(IFERROR(MATCH(452,ChqRankL,0),0)=0,"",452)</f>
        <v/>
      </c>
      <c r="B468" s="24">
        <f>IF(IFERROR(MATCH(452,ChqRankL,0),0)=0,"",INDEX(ChqNorm,IFERROR(MATCH(452,ChqRankL,0),0)))</f>
        <v/>
      </c>
      <c r="C468" s="24">
        <f>IF(IFERROR(MATCH(452,ChqRankL,0),0)=0,"",INDEX(ChqNo,IFERROR(MATCH(452,ChqRankL,0),0)))</f>
        <v/>
      </c>
      <c r="D468" s="25">
        <f>IF(IFERROR(MATCH(452,ChqRankL,0),0)=0,"",IF(INDEX(ChqAmt,IFERROR(MATCH(452,ChqRankL,0),0))=0,"",INDEX(ChqAmt,IFERROR(MATCH(452,ChqRankL,0),0))))</f>
        <v/>
      </c>
      <c r="E468" s="17">
        <f>IF(IFERROR(MATCH(452,ChqRankL,0),0)=0,"",INDEX(ChqStatus,IFERROR(MATCH(452,ChqRankL,0),0)))</f>
        <v/>
      </c>
      <c r="F468" s="24">
        <f>IF(IFERROR(MATCH(452,ChqRankL,0),0)=0,"",IF(INDEX(ChqStatus,IFERROR(MATCH(452,ChqRankL,0),0))="پاس نشده","—",IF(INDEX(ChqClr,IFERROR(MATCH(452,ChqRankL,0),0))="","—",INDEX(ChqClr,IFERROR(MATCH(452,ChqRankL,0),0)))))</f>
        <v/>
      </c>
      <c r="I468">
        <f>IF(452&gt;NChq,"",INDEX(ChqNorm,452))</f>
        <v/>
      </c>
      <c r="J468">
        <f>IF($I468="","",IF(AND($I468&gt;=$H$3,$I468&lt;=$H$4),1,0))</f>
        <v/>
      </c>
      <c r="K468">
        <f>IF($J468=0,"",INDEX(ChqKey,452))</f>
        <v/>
      </c>
      <c r="L468">
        <f>IF($K468="","",COUNTIFS($J$17:$J$516,1,$K$17:$K$516,"&lt;"&amp;$K468)+1)</f>
        <v/>
      </c>
    </row>
    <row r="469">
      <c r="A469" s="10">
        <f>IF(IFERROR(MATCH(453,ChqRankL,0),0)=0,"",453)</f>
        <v/>
      </c>
      <c r="B469" s="22">
        <f>IF(IFERROR(MATCH(453,ChqRankL,0),0)=0,"",INDEX(ChqNorm,IFERROR(MATCH(453,ChqRankL,0),0)))</f>
        <v/>
      </c>
      <c r="C469" s="22">
        <f>IF(IFERROR(MATCH(453,ChqRankL,0),0)=0,"",INDEX(ChqNo,IFERROR(MATCH(453,ChqRankL,0),0)))</f>
        <v/>
      </c>
      <c r="D469" s="23">
        <f>IF(IFERROR(MATCH(453,ChqRankL,0),0)=0,"",IF(INDEX(ChqAmt,IFERROR(MATCH(453,ChqRankL,0),0))=0,"",INDEX(ChqAmt,IFERROR(MATCH(453,ChqRankL,0),0))))</f>
        <v/>
      </c>
      <c r="E469" s="14">
        <f>IF(IFERROR(MATCH(453,ChqRankL,0),0)=0,"",INDEX(ChqStatus,IFERROR(MATCH(453,ChqRankL,0),0)))</f>
        <v/>
      </c>
      <c r="F469" s="22">
        <f>IF(IFERROR(MATCH(453,ChqRankL,0),0)=0,"",IF(INDEX(ChqStatus,IFERROR(MATCH(453,ChqRankL,0),0))="پاس نشده","—",IF(INDEX(ChqClr,IFERROR(MATCH(453,ChqRankL,0),0))="","—",INDEX(ChqClr,IFERROR(MATCH(453,ChqRankL,0),0)))))</f>
        <v/>
      </c>
      <c r="I469">
        <f>IF(453&gt;NChq,"",INDEX(ChqNorm,453))</f>
        <v/>
      </c>
      <c r="J469">
        <f>IF($I469="","",IF(AND($I469&gt;=$H$3,$I469&lt;=$H$4),1,0))</f>
        <v/>
      </c>
      <c r="K469">
        <f>IF($J469=0,"",INDEX(ChqKey,453))</f>
        <v/>
      </c>
      <c r="L469">
        <f>IF($K469="","",COUNTIFS($J$17:$J$516,1,$K$17:$K$516,"&lt;"&amp;$K469)+1)</f>
        <v/>
      </c>
    </row>
    <row r="470">
      <c r="A470" s="16">
        <f>IF(IFERROR(MATCH(454,ChqRankL,0),0)=0,"",454)</f>
        <v/>
      </c>
      <c r="B470" s="24">
        <f>IF(IFERROR(MATCH(454,ChqRankL,0),0)=0,"",INDEX(ChqNorm,IFERROR(MATCH(454,ChqRankL,0),0)))</f>
        <v/>
      </c>
      <c r="C470" s="24">
        <f>IF(IFERROR(MATCH(454,ChqRankL,0),0)=0,"",INDEX(ChqNo,IFERROR(MATCH(454,ChqRankL,0),0)))</f>
        <v/>
      </c>
      <c r="D470" s="25">
        <f>IF(IFERROR(MATCH(454,ChqRankL,0),0)=0,"",IF(INDEX(ChqAmt,IFERROR(MATCH(454,ChqRankL,0),0))=0,"",INDEX(ChqAmt,IFERROR(MATCH(454,ChqRankL,0),0))))</f>
        <v/>
      </c>
      <c r="E470" s="17">
        <f>IF(IFERROR(MATCH(454,ChqRankL,0),0)=0,"",INDEX(ChqStatus,IFERROR(MATCH(454,ChqRankL,0),0)))</f>
        <v/>
      </c>
      <c r="F470" s="24">
        <f>IF(IFERROR(MATCH(454,ChqRankL,0),0)=0,"",IF(INDEX(ChqStatus,IFERROR(MATCH(454,ChqRankL,0),0))="پاس نشده","—",IF(INDEX(ChqClr,IFERROR(MATCH(454,ChqRankL,0),0))="","—",INDEX(ChqClr,IFERROR(MATCH(454,ChqRankL,0),0)))))</f>
        <v/>
      </c>
      <c r="I470">
        <f>IF(454&gt;NChq,"",INDEX(ChqNorm,454))</f>
        <v/>
      </c>
      <c r="J470">
        <f>IF($I470="","",IF(AND($I470&gt;=$H$3,$I470&lt;=$H$4),1,0))</f>
        <v/>
      </c>
      <c r="K470">
        <f>IF($J470=0,"",INDEX(ChqKey,454))</f>
        <v/>
      </c>
      <c r="L470">
        <f>IF($K470="","",COUNTIFS($J$17:$J$516,1,$K$17:$K$516,"&lt;"&amp;$K470)+1)</f>
        <v/>
      </c>
    </row>
    <row r="471">
      <c r="A471" s="10">
        <f>IF(IFERROR(MATCH(455,ChqRankL,0),0)=0,"",455)</f>
        <v/>
      </c>
      <c r="B471" s="22">
        <f>IF(IFERROR(MATCH(455,ChqRankL,0),0)=0,"",INDEX(ChqNorm,IFERROR(MATCH(455,ChqRankL,0),0)))</f>
        <v/>
      </c>
      <c r="C471" s="22">
        <f>IF(IFERROR(MATCH(455,ChqRankL,0),0)=0,"",INDEX(ChqNo,IFERROR(MATCH(455,ChqRankL,0),0)))</f>
        <v/>
      </c>
      <c r="D471" s="23">
        <f>IF(IFERROR(MATCH(455,ChqRankL,0),0)=0,"",IF(INDEX(ChqAmt,IFERROR(MATCH(455,ChqRankL,0),0))=0,"",INDEX(ChqAmt,IFERROR(MATCH(455,ChqRankL,0),0))))</f>
        <v/>
      </c>
      <c r="E471" s="14">
        <f>IF(IFERROR(MATCH(455,ChqRankL,0),0)=0,"",INDEX(ChqStatus,IFERROR(MATCH(455,ChqRankL,0),0)))</f>
        <v/>
      </c>
      <c r="F471" s="22">
        <f>IF(IFERROR(MATCH(455,ChqRankL,0),0)=0,"",IF(INDEX(ChqStatus,IFERROR(MATCH(455,ChqRankL,0),0))="پاس نشده","—",IF(INDEX(ChqClr,IFERROR(MATCH(455,ChqRankL,0),0))="","—",INDEX(ChqClr,IFERROR(MATCH(455,ChqRankL,0),0)))))</f>
        <v/>
      </c>
      <c r="I471">
        <f>IF(455&gt;NChq,"",INDEX(ChqNorm,455))</f>
        <v/>
      </c>
      <c r="J471">
        <f>IF($I471="","",IF(AND($I471&gt;=$H$3,$I471&lt;=$H$4),1,0))</f>
        <v/>
      </c>
      <c r="K471">
        <f>IF($J471=0,"",INDEX(ChqKey,455))</f>
        <v/>
      </c>
      <c r="L471">
        <f>IF($K471="","",COUNTIFS($J$17:$J$516,1,$K$17:$K$516,"&lt;"&amp;$K471)+1)</f>
        <v/>
      </c>
    </row>
    <row r="472">
      <c r="A472" s="16">
        <f>IF(IFERROR(MATCH(456,ChqRankL,0),0)=0,"",456)</f>
        <v/>
      </c>
      <c r="B472" s="24">
        <f>IF(IFERROR(MATCH(456,ChqRankL,0),0)=0,"",INDEX(ChqNorm,IFERROR(MATCH(456,ChqRankL,0),0)))</f>
        <v/>
      </c>
      <c r="C472" s="24">
        <f>IF(IFERROR(MATCH(456,ChqRankL,0),0)=0,"",INDEX(ChqNo,IFERROR(MATCH(456,ChqRankL,0),0)))</f>
        <v/>
      </c>
      <c r="D472" s="25">
        <f>IF(IFERROR(MATCH(456,ChqRankL,0),0)=0,"",IF(INDEX(ChqAmt,IFERROR(MATCH(456,ChqRankL,0),0))=0,"",INDEX(ChqAmt,IFERROR(MATCH(456,ChqRankL,0),0))))</f>
        <v/>
      </c>
      <c r="E472" s="17">
        <f>IF(IFERROR(MATCH(456,ChqRankL,0),0)=0,"",INDEX(ChqStatus,IFERROR(MATCH(456,ChqRankL,0),0)))</f>
        <v/>
      </c>
      <c r="F472" s="24">
        <f>IF(IFERROR(MATCH(456,ChqRankL,0),0)=0,"",IF(INDEX(ChqStatus,IFERROR(MATCH(456,ChqRankL,0),0))="پاس نشده","—",IF(INDEX(ChqClr,IFERROR(MATCH(456,ChqRankL,0),0))="","—",INDEX(ChqClr,IFERROR(MATCH(456,ChqRankL,0),0)))))</f>
        <v/>
      </c>
      <c r="I472">
        <f>IF(456&gt;NChq,"",INDEX(ChqNorm,456))</f>
        <v/>
      </c>
      <c r="J472">
        <f>IF($I472="","",IF(AND($I472&gt;=$H$3,$I472&lt;=$H$4),1,0))</f>
        <v/>
      </c>
      <c r="K472">
        <f>IF($J472=0,"",INDEX(ChqKey,456))</f>
        <v/>
      </c>
      <c r="L472">
        <f>IF($K472="","",COUNTIFS($J$17:$J$516,1,$K$17:$K$516,"&lt;"&amp;$K472)+1)</f>
        <v/>
      </c>
    </row>
    <row r="473">
      <c r="A473" s="10">
        <f>IF(IFERROR(MATCH(457,ChqRankL,0),0)=0,"",457)</f>
        <v/>
      </c>
      <c r="B473" s="22">
        <f>IF(IFERROR(MATCH(457,ChqRankL,0),0)=0,"",INDEX(ChqNorm,IFERROR(MATCH(457,ChqRankL,0),0)))</f>
        <v/>
      </c>
      <c r="C473" s="22">
        <f>IF(IFERROR(MATCH(457,ChqRankL,0),0)=0,"",INDEX(ChqNo,IFERROR(MATCH(457,ChqRankL,0),0)))</f>
        <v/>
      </c>
      <c r="D473" s="23">
        <f>IF(IFERROR(MATCH(457,ChqRankL,0),0)=0,"",IF(INDEX(ChqAmt,IFERROR(MATCH(457,ChqRankL,0),0))=0,"",INDEX(ChqAmt,IFERROR(MATCH(457,ChqRankL,0),0))))</f>
        <v/>
      </c>
      <c r="E473" s="14">
        <f>IF(IFERROR(MATCH(457,ChqRankL,0),0)=0,"",INDEX(ChqStatus,IFERROR(MATCH(457,ChqRankL,0),0)))</f>
        <v/>
      </c>
      <c r="F473" s="22">
        <f>IF(IFERROR(MATCH(457,ChqRankL,0),0)=0,"",IF(INDEX(ChqStatus,IFERROR(MATCH(457,ChqRankL,0),0))="پاس نشده","—",IF(INDEX(ChqClr,IFERROR(MATCH(457,ChqRankL,0),0))="","—",INDEX(ChqClr,IFERROR(MATCH(457,ChqRankL,0),0)))))</f>
        <v/>
      </c>
      <c r="I473">
        <f>IF(457&gt;NChq,"",INDEX(ChqNorm,457))</f>
        <v/>
      </c>
      <c r="J473">
        <f>IF($I473="","",IF(AND($I473&gt;=$H$3,$I473&lt;=$H$4),1,0))</f>
        <v/>
      </c>
      <c r="K473">
        <f>IF($J473=0,"",INDEX(ChqKey,457))</f>
        <v/>
      </c>
      <c r="L473">
        <f>IF($K473="","",COUNTIFS($J$17:$J$516,1,$K$17:$K$516,"&lt;"&amp;$K473)+1)</f>
        <v/>
      </c>
    </row>
    <row r="474">
      <c r="A474" s="16">
        <f>IF(IFERROR(MATCH(458,ChqRankL,0),0)=0,"",458)</f>
        <v/>
      </c>
      <c r="B474" s="24">
        <f>IF(IFERROR(MATCH(458,ChqRankL,0),0)=0,"",INDEX(ChqNorm,IFERROR(MATCH(458,ChqRankL,0),0)))</f>
        <v/>
      </c>
      <c r="C474" s="24">
        <f>IF(IFERROR(MATCH(458,ChqRankL,0),0)=0,"",INDEX(ChqNo,IFERROR(MATCH(458,ChqRankL,0),0)))</f>
        <v/>
      </c>
      <c r="D474" s="25">
        <f>IF(IFERROR(MATCH(458,ChqRankL,0),0)=0,"",IF(INDEX(ChqAmt,IFERROR(MATCH(458,ChqRankL,0),0))=0,"",INDEX(ChqAmt,IFERROR(MATCH(458,ChqRankL,0),0))))</f>
        <v/>
      </c>
      <c r="E474" s="17">
        <f>IF(IFERROR(MATCH(458,ChqRankL,0),0)=0,"",INDEX(ChqStatus,IFERROR(MATCH(458,ChqRankL,0),0)))</f>
        <v/>
      </c>
      <c r="F474" s="24">
        <f>IF(IFERROR(MATCH(458,ChqRankL,0),0)=0,"",IF(INDEX(ChqStatus,IFERROR(MATCH(458,ChqRankL,0),0))="پاس نشده","—",IF(INDEX(ChqClr,IFERROR(MATCH(458,ChqRankL,0),0))="","—",INDEX(ChqClr,IFERROR(MATCH(458,ChqRankL,0),0)))))</f>
        <v/>
      </c>
      <c r="I474">
        <f>IF(458&gt;NChq,"",INDEX(ChqNorm,458))</f>
        <v/>
      </c>
      <c r="J474">
        <f>IF($I474="","",IF(AND($I474&gt;=$H$3,$I474&lt;=$H$4),1,0))</f>
        <v/>
      </c>
      <c r="K474">
        <f>IF($J474=0,"",INDEX(ChqKey,458))</f>
        <v/>
      </c>
      <c r="L474">
        <f>IF($K474="","",COUNTIFS($J$17:$J$516,1,$K$17:$K$516,"&lt;"&amp;$K474)+1)</f>
        <v/>
      </c>
    </row>
    <row r="475">
      <c r="A475" s="10">
        <f>IF(IFERROR(MATCH(459,ChqRankL,0),0)=0,"",459)</f>
        <v/>
      </c>
      <c r="B475" s="22">
        <f>IF(IFERROR(MATCH(459,ChqRankL,0),0)=0,"",INDEX(ChqNorm,IFERROR(MATCH(459,ChqRankL,0),0)))</f>
        <v/>
      </c>
      <c r="C475" s="22">
        <f>IF(IFERROR(MATCH(459,ChqRankL,0),0)=0,"",INDEX(ChqNo,IFERROR(MATCH(459,ChqRankL,0),0)))</f>
        <v/>
      </c>
      <c r="D475" s="23">
        <f>IF(IFERROR(MATCH(459,ChqRankL,0),0)=0,"",IF(INDEX(ChqAmt,IFERROR(MATCH(459,ChqRankL,0),0))=0,"",INDEX(ChqAmt,IFERROR(MATCH(459,ChqRankL,0),0))))</f>
        <v/>
      </c>
      <c r="E475" s="14">
        <f>IF(IFERROR(MATCH(459,ChqRankL,0),0)=0,"",INDEX(ChqStatus,IFERROR(MATCH(459,ChqRankL,0),0)))</f>
        <v/>
      </c>
      <c r="F475" s="22">
        <f>IF(IFERROR(MATCH(459,ChqRankL,0),0)=0,"",IF(INDEX(ChqStatus,IFERROR(MATCH(459,ChqRankL,0),0))="پاس نشده","—",IF(INDEX(ChqClr,IFERROR(MATCH(459,ChqRankL,0),0))="","—",INDEX(ChqClr,IFERROR(MATCH(459,ChqRankL,0),0)))))</f>
        <v/>
      </c>
      <c r="I475">
        <f>IF(459&gt;NChq,"",INDEX(ChqNorm,459))</f>
        <v/>
      </c>
      <c r="J475">
        <f>IF($I475="","",IF(AND($I475&gt;=$H$3,$I475&lt;=$H$4),1,0))</f>
        <v/>
      </c>
      <c r="K475">
        <f>IF($J475=0,"",INDEX(ChqKey,459))</f>
        <v/>
      </c>
      <c r="L475">
        <f>IF($K475="","",COUNTIFS($J$17:$J$516,1,$K$17:$K$516,"&lt;"&amp;$K475)+1)</f>
        <v/>
      </c>
    </row>
    <row r="476">
      <c r="A476" s="16">
        <f>IF(IFERROR(MATCH(460,ChqRankL,0),0)=0,"",460)</f>
        <v/>
      </c>
      <c r="B476" s="24">
        <f>IF(IFERROR(MATCH(460,ChqRankL,0),0)=0,"",INDEX(ChqNorm,IFERROR(MATCH(460,ChqRankL,0),0)))</f>
        <v/>
      </c>
      <c r="C476" s="24">
        <f>IF(IFERROR(MATCH(460,ChqRankL,0),0)=0,"",INDEX(ChqNo,IFERROR(MATCH(460,ChqRankL,0),0)))</f>
        <v/>
      </c>
      <c r="D476" s="25">
        <f>IF(IFERROR(MATCH(460,ChqRankL,0),0)=0,"",IF(INDEX(ChqAmt,IFERROR(MATCH(460,ChqRankL,0),0))=0,"",INDEX(ChqAmt,IFERROR(MATCH(460,ChqRankL,0),0))))</f>
        <v/>
      </c>
      <c r="E476" s="17">
        <f>IF(IFERROR(MATCH(460,ChqRankL,0),0)=0,"",INDEX(ChqStatus,IFERROR(MATCH(460,ChqRankL,0),0)))</f>
        <v/>
      </c>
      <c r="F476" s="24">
        <f>IF(IFERROR(MATCH(460,ChqRankL,0),0)=0,"",IF(INDEX(ChqStatus,IFERROR(MATCH(460,ChqRankL,0),0))="پاس نشده","—",IF(INDEX(ChqClr,IFERROR(MATCH(460,ChqRankL,0),0))="","—",INDEX(ChqClr,IFERROR(MATCH(460,ChqRankL,0),0)))))</f>
        <v/>
      </c>
      <c r="I476">
        <f>IF(460&gt;NChq,"",INDEX(ChqNorm,460))</f>
        <v/>
      </c>
      <c r="J476">
        <f>IF($I476="","",IF(AND($I476&gt;=$H$3,$I476&lt;=$H$4),1,0))</f>
        <v/>
      </c>
      <c r="K476">
        <f>IF($J476=0,"",INDEX(ChqKey,460))</f>
        <v/>
      </c>
      <c r="L476">
        <f>IF($K476="","",COUNTIFS($J$17:$J$516,1,$K$17:$K$516,"&lt;"&amp;$K476)+1)</f>
        <v/>
      </c>
    </row>
    <row r="477">
      <c r="A477" s="10">
        <f>IF(IFERROR(MATCH(461,ChqRankL,0),0)=0,"",461)</f>
        <v/>
      </c>
      <c r="B477" s="22">
        <f>IF(IFERROR(MATCH(461,ChqRankL,0),0)=0,"",INDEX(ChqNorm,IFERROR(MATCH(461,ChqRankL,0),0)))</f>
        <v/>
      </c>
      <c r="C477" s="22">
        <f>IF(IFERROR(MATCH(461,ChqRankL,0),0)=0,"",INDEX(ChqNo,IFERROR(MATCH(461,ChqRankL,0),0)))</f>
        <v/>
      </c>
      <c r="D477" s="23">
        <f>IF(IFERROR(MATCH(461,ChqRankL,0),0)=0,"",IF(INDEX(ChqAmt,IFERROR(MATCH(461,ChqRankL,0),0))=0,"",INDEX(ChqAmt,IFERROR(MATCH(461,ChqRankL,0),0))))</f>
        <v/>
      </c>
      <c r="E477" s="14">
        <f>IF(IFERROR(MATCH(461,ChqRankL,0),0)=0,"",INDEX(ChqStatus,IFERROR(MATCH(461,ChqRankL,0),0)))</f>
        <v/>
      </c>
      <c r="F477" s="22">
        <f>IF(IFERROR(MATCH(461,ChqRankL,0),0)=0,"",IF(INDEX(ChqStatus,IFERROR(MATCH(461,ChqRankL,0),0))="پاس نشده","—",IF(INDEX(ChqClr,IFERROR(MATCH(461,ChqRankL,0),0))="","—",INDEX(ChqClr,IFERROR(MATCH(461,ChqRankL,0),0)))))</f>
        <v/>
      </c>
      <c r="I477">
        <f>IF(461&gt;NChq,"",INDEX(ChqNorm,461))</f>
        <v/>
      </c>
      <c r="J477">
        <f>IF($I477="","",IF(AND($I477&gt;=$H$3,$I477&lt;=$H$4),1,0))</f>
        <v/>
      </c>
      <c r="K477">
        <f>IF($J477=0,"",INDEX(ChqKey,461))</f>
        <v/>
      </c>
      <c r="L477">
        <f>IF($K477="","",COUNTIFS($J$17:$J$516,1,$K$17:$K$516,"&lt;"&amp;$K477)+1)</f>
        <v/>
      </c>
    </row>
    <row r="478">
      <c r="A478" s="16">
        <f>IF(IFERROR(MATCH(462,ChqRankL,0),0)=0,"",462)</f>
        <v/>
      </c>
      <c r="B478" s="24">
        <f>IF(IFERROR(MATCH(462,ChqRankL,0),0)=0,"",INDEX(ChqNorm,IFERROR(MATCH(462,ChqRankL,0),0)))</f>
        <v/>
      </c>
      <c r="C478" s="24">
        <f>IF(IFERROR(MATCH(462,ChqRankL,0),0)=0,"",INDEX(ChqNo,IFERROR(MATCH(462,ChqRankL,0),0)))</f>
        <v/>
      </c>
      <c r="D478" s="25">
        <f>IF(IFERROR(MATCH(462,ChqRankL,0),0)=0,"",IF(INDEX(ChqAmt,IFERROR(MATCH(462,ChqRankL,0),0))=0,"",INDEX(ChqAmt,IFERROR(MATCH(462,ChqRankL,0),0))))</f>
        <v/>
      </c>
      <c r="E478" s="17">
        <f>IF(IFERROR(MATCH(462,ChqRankL,0),0)=0,"",INDEX(ChqStatus,IFERROR(MATCH(462,ChqRankL,0),0)))</f>
        <v/>
      </c>
      <c r="F478" s="24">
        <f>IF(IFERROR(MATCH(462,ChqRankL,0),0)=0,"",IF(INDEX(ChqStatus,IFERROR(MATCH(462,ChqRankL,0),0))="پاس نشده","—",IF(INDEX(ChqClr,IFERROR(MATCH(462,ChqRankL,0),0))="","—",INDEX(ChqClr,IFERROR(MATCH(462,ChqRankL,0),0)))))</f>
        <v/>
      </c>
      <c r="I478">
        <f>IF(462&gt;NChq,"",INDEX(ChqNorm,462))</f>
        <v/>
      </c>
      <c r="J478">
        <f>IF($I478="","",IF(AND($I478&gt;=$H$3,$I478&lt;=$H$4),1,0))</f>
        <v/>
      </c>
      <c r="K478">
        <f>IF($J478=0,"",INDEX(ChqKey,462))</f>
        <v/>
      </c>
      <c r="L478">
        <f>IF($K478="","",COUNTIFS($J$17:$J$516,1,$K$17:$K$516,"&lt;"&amp;$K478)+1)</f>
        <v/>
      </c>
    </row>
    <row r="479">
      <c r="A479" s="10">
        <f>IF(IFERROR(MATCH(463,ChqRankL,0),0)=0,"",463)</f>
        <v/>
      </c>
      <c r="B479" s="22">
        <f>IF(IFERROR(MATCH(463,ChqRankL,0),0)=0,"",INDEX(ChqNorm,IFERROR(MATCH(463,ChqRankL,0),0)))</f>
        <v/>
      </c>
      <c r="C479" s="22">
        <f>IF(IFERROR(MATCH(463,ChqRankL,0),0)=0,"",INDEX(ChqNo,IFERROR(MATCH(463,ChqRankL,0),0)))</f>
        <v/>
      </c>
      <c r="D479" s="23">
        <f>IF(IFERROR(MATCH(463,ChqRankL,0),0)=0,"",IF(INDEX(ChqAmt,IFERROR(MATCH(463,ChqRankL,0),0))=0,"",INDEX(ChqAmt,IFERROR(MATCH(463,ChqRankL,0),0))))</f>
        <v/>
      </c>
      <c r="E479" s="14">
        <f>IF(IFERROR(MATCH(463,ChqRankL,0),0)=0,"",INDEX(ChqStatus,IFERROR(MATCH(463,ChqRankL,0),0)))</f>
        <v/>
      </c>
      <c r="F479" s="22">
        <f>IF(IFERROR(MATCH(463,ChqRankL,0),0)=0,"",IF(INDEX(ChqStatus,IFERROR(MATCH(463,ChqRankL,0),0))="پاس نشده","—",IF(INDEX(ChqClr,IFERROR(MATCH(463,ChqRankL,0),0))="","—",INDEX(ChqClr,IFERROR(MATCH(463,ChqRankL,0),0)))))</f>
        <v/>
      </c>
      <c r="I479">
        <f>IF(463&gt;NChq,"",INDEX(ChqNorm,463))</f>
        <v/>
      </c>
      <c r="J479">
        <f>IF($I479="","",IF(AND($I479&gt;=$H$3,$I479&lt;=$H$4),1,0))</f>
        <v/>
      </c>
      <c r="K479">
        <f>IF($J479=0,"",INDEX(ChqKey,463))</f>
        <v/>
      </c>
      <c r="L479">
        <f>IF($K479="","",COUNTIFS($J$17:$J$516,1,$K$17:$K$516,"&lt;"&amp;$K479)+1)</f>
        <v/>
      </c>
    </row>
    <row r="480">
      <c r="A480" s="16">
        <f>IF(IFERROR(MATCH(464,ChqRankL,0),0)=0,"",464)</f>
        <v/>
      </c>
      <c r="B480" s="24">
        <f>IF(IFERROR(MATCH(464,ChqRankL,0),0)=0,"",INDEX(ChqNorm,IFERROR(MATCH(464,ChqRankL,0),0)))</f>
        <v/>
      </c>
      <c r="C480" s="24">
        <f>IF(IFERROR(MATCH(464,ChqRankL,0),0)=0,"",INDEX(ChqNo,IFERROR(MATCH(464,ChqRankL,0),0)))</f>
        <v/>
      </c>
      <c r="D480" s="25">
        <f>IF(IFERROR(MATCH(464,ChqRankL,0),0)=0,"",IF(INDEX(ChqAmt,IFERROR(MATCH(464,ChqRankL,0),0))=0,"",INDEX(ChqAmt,IFERROR(MATCH(464,ChqRankL,0),0))))</f>
        <v/>
      </c>
      <c r="E480" s="17">
        <f>IF(IFERROR(MATCH(464,ChqRankL,0),0)=0,"",INDEX(ChqStatus,IFERROR(MATCH(464,ChqRankL,0),0)))</f>
        <v/>
      </c>
      <c r="F480" s="24">
        <f>IF(IFERROR(MATCH(464,ChqRankL,0),0)=0,"",IF(INDEX(ChqStatus,IFERROR(MATCH(464,ChqRankL,0),0))="پاس نشده","—",IF(INDEX(ChqClr,IFERROR(MATCH(464,ChqRankL,0),0))="","—",INDEX(ChqClr,IFERROR(MATCH(464,ChqRankL,0),0)))))</f>
        <v/>
      </c>
      <c r="I480">
        <f>IF(464&gt;NChq,"",INDEX(ChqNorm,464))</f>
        <v/>
      </c>
      <c r="J480">
        <f>IF($I480="","",IF(AND($I480&gt;=$H$3,$I480&lt;=$H$4),1,0))</f>
        <v/>
      </c>
      <c r="K480">
        <f>IF($J480=0,"",INDEX(ChqKey,464))</f>
        <v/>
      </c>
      <c r="L480">
        <f>IF($K480="","",COUNTIFS($J$17:$J$516,1,$K$17:$K$516,"&lt;"&amp;$K480)+1)</f>
        <v/>
      </c>
    </row>
    <row r="481">
      <c r="A481" s="10">
        <f>IF(IFERROR(MATCH(465,ChqRankL,0),0)=0,"",465)</f>
        <v/>
      </c>
      <c r="B481" s="22">
        <f>IF(IFERROR(MATCH(465,ChqRankL,0),0)=0,"",INDEX(ChqNorm,IFERROR(MATCH(465,ChqRankL,0),0)))</f>
        <v/>
      </c>
      <c r="C481" s="22">
        <f>IF(IFERROR(MATCH(465,ChqRankL,0),0)=0,"",INDEX(ChqNo,IFERROR(MATCH(465,ChqRankL,0),0)))</f>
        <v/>
      </c>
      <c r="D481" s="23">
        <f>IF(IFERROR(MATCH(465,ChqRankL,0),0)=0,"",IF(INDEX(ChqAmt,IFERROR(MATCH(465,ChqRankL,0),0))=0,"",INDEX(ChqAmt,IFERROR(MATCH(465,ChqRankL,0),0))))</f>
        <v/>
      </c>
      <c r="E481" s="14">
        <f>IF(IFERROR(MATCH(465,ChqRankL,0),0)=0,"",INDEX(ChqStatus,IFERROR(MATCH(465,ChqRankL,0),0)))</f>
        <v/>
      </c>
      <c r="F481" s="22">
        <f>IF(IFERROR(MATCH(465,ChqRankL,0),0)=0,"",IF(INDEX(ChqStatus,IFERROR(MATCH(465,ChqRankL,0),0))="پاس نشده","—",IF(INDEX(ChqClr,IFERROR(MATCH(465,ChqRankL,0),0))="","—",INDEX(ChqClr,IFERROR(MATCH(465,ChqRankL,0),0)))))</f>
        <v/>
      </c>
      <c r="I481">
        <f>IF(465&gt;NChq,"",INDEX(ChqNorm,465))</f>
        <v/>
      </c>
      <c r="J481">
        <f>IF($I481="","",IF(AND($I481&gt;=$H$3,$I481&lt;=$H$4),1,0))</f>
        <v/>
      </c>
      <c r="K481">
        <f>IF($J481=0,"",INDEX(ChqKey,465))</f>
        <v/>
      </c>
      <c r="L481">
        <f>IF($K481="","",COUNTIFS($J$17:$J$516,1,$K$17:$K$516,"&lt;"&amp;$K481)+1)</f>
        <v/>
      </c>
    </row>
    <row r="482">
      <c r="A482" s="16">
        <f>IF(IFERROR(MATCH(466,ChqRankL,0),0)=0,"",466)</f>
        <v/>
      </c>
      <c r="B482" s="24">
        <f>IF(IFERROR(MATCH(466,ChqRankL,0),0)=0,"",INDEX(ChqNorm,IFERROR(MATCH(466,ChqRankL,0),0)))</f>
        <v/>
      </c>
      <c r="C482" s="24">
        <f>IF(IFERROR(MATCH(466,ChqRankL,0),0)=0,"",INDEX(ChqNo,IFERROR(MATCH(466,ChqRankL,0),0)))</f>
        <v/>
      </c>
      <c r="D482" s="25">
        <f>IF(IFERROR(MATCH(466,ChqRankL,0),0)=0,"",IF(INDEX(ChqAmt,IFERROR(MATCH(466,ChqRankL,0),0))=0,"",INDEX(ChqAmt,IFERROR(MATCH(466,ChqRankL,0),0))))</f>
        <v/>
      </c>
      <c r="E482" s="17">
        <f>IF(IFERROR(MATCH(466,ChqRankL,0),0)=0,"",INDEX(ChqStatus,IFERROR(MATCH(466,ChqRankL,0),0)))</f>
        <v/>
      </c>
      <c r="F482" s="24">
        <f>IF(IFERROR(MATCH(466,ChqRankL,0),0)=0,"",IF(INDEX(ChqStatus,IFERROR(MATCH(466,ChqRankL,0),0))="پاس نشده","—",IF(INDEX(ChqClr,IFERROR(MATCH(466,ChqRankL,0),0))="","—",INDEX(ChqClr,IFERROR(MATCH(466,ChqRankL,0),0)))))</f>
        <v/>
      </c>
      <c r="I482">
        <f>IF(466&gt;NChq,"",INDEX(ChqNorm,466))</f>
        <v/>
      </c>
      <c r="J482">
        <f>IF($I482="","",IF(AND($I482&gt;=$H$3,$I482&lt;=$H$4),1,0))</f>
        <v/>
      </c>
      <c r="K482">
        <f>IF($J482=0,"",INDEX(ChqKey,466))</f>
        <v/>
      </c>
      <c r="L482">
        <f>IF($K482="","",COUNTIFS($J$17:$J$516,1,$K$17:$K$516,"&lt;"&amp;$K482)+1)</f>
        <v/>
      </c>
    </row>
    <row r="483">
      <c r="A483" s="10">
        <f>IF(IFERROR(MATCH(467,ChqRankL,0),0)=0,"",467)</f>
        <v/>
      </c>
      <c r="B483" s="22">
        <f>IF(IFERROR(MATCH(467,ChqRankL,0),0)=0,"",INDEX(ChqNorm,IFERROR(MATCH(467,ChqRankL,0),0)))</f>
        <v/>
      </c>
      <c r="C483" s="22">
        <f>IF(IFERROR(MATCH(467,ChqRankL,0),0)=0,"",INDEX(ChqNo,IFERROR(MATCH(467,ChqRankL,0),0)))</f>
        <v/>
      </c>
      <c r="D483" s="23">
        <f>IF(IFERROR(MATCH(467,ChqRankL,0),0)=0,"",IF(INDEX(ChqAmt,IFERROR(MATCH(467,ChqRankL,0),0))=0,"",INDEX(ChqAmt,IFERROR(MATCH(467,ChqRankL,0),0))))</f>
        <v/>
      </c>
      <c r="E483" s="14">
        <f>IF(IFERROR(MATCH(467,ChqRankL,0),0)=0,"",INDEX(ChqStatus,IFERROR(MATCH(467,ChqRankL,0),0)))</f>
        <v/>
      </c>
      <c r="F483" s="22">
        <f>IF(IFERROR(MATCH(467,ChqRankL,0),0)=0,"",IF(INDEX(ChqStatus,IFERROR(MATCH(467,ChqRankL,0),0))="پاس نشده","—",IF(INDEX(ChqClr,IFERROR(MATCH(467,ChqRankL,0),0))="","—",INDEX(ChqClr,IFERROR(MATCH(467,ChqRankL,0),0)))))</f>
        <v/>
      </c>
      <c r="I483">
        <f>IF(467&gt;NChq,"",INDEX(ChqNorm,467))</f>
        <v/>
      </c>
      <c r="J483">
        <f>IF($I483="","",IF(AND($I483&gt;=$H$3,$I483&lt;=$H$4),1,0))</f>
        <v/>
      </c>
      <c r="K483">
        <f>IF($J483=0,"",INDEX(ChqKey,467))</f>
        <v/>
      </c>
      <c r="L483">
        <f>IF($K483="","",COUNTIFS($J$17:$J$516,1,$K$17:$K$516,"&lt;"&amp;$K483)+1)</f>
        <v/>
      </c>
    </row>
    <row r="484">
      <c r="A484" s="16">
        <f>IF(IFERROR(MATCH(468,ChqRankL,0),0)=0,"",468)</f>
        <v/>
      </c>
      <c r="B484" s="24">
        <f>IF(IFERROR(MATCH(468,ChqRankL,0),0)=0,"",INDEX(ChqNorm,IFERROR(MATCH(468,ChqRankL,0),0)))</f>
        <v/>
      </c>
      <c r="C484" s="24">
        <f>IF(IFERROR(MATCH(468,ChqRankL,0),0)=0,"",INDEX(ChqNo,IFERROR(MATCH(468,ChqRankL,0),0)))</f>
        <v/>
      </c>
      <c r="D484" s="25">
        <f>IF(IFERROR(MATCH(468,ChqRankL,0),0)=0,"",IF(INDEX(ChqAmt,IFERROR(MATCH(468,ChqRankL,0),0))=0,"",INDEX(ChqAmt,IFERROR(MATCH(468,ChqRankL,0),0))))</f>
        <v/>
      </c>
      <c r="E484" s="17">
        <f>IF(IFERROR(MATCH(468,ChqRankL,0),0)=0,"",INDEX(ChqStatus,IFERROR(MATCH(468,ChqRankL,0),0)))</f>
        <v/>
      </c>
      <c r="F484" s="24">
        <f>IF(IFERROR(MATCH(468,ChqRankL,0),0)=0,"",IF(INDEX(ChqStatus,IFERROR(MATCH(468,ChqRankL,0),0))="پاس نشده","—",IF(INDEX(ChqClr,IFERROR(MATCH(468,ChqRankL,0),0))="","—",INDEX(ChqClr,IFERROR(MATCH(468,ChqRankL,0),0)))))</f>
        <v/>
      </c>
      <c r="I484">
        <f>IF(468&gt;NChq,"",INDEX(ChqNorm,468))</f>
        <v/>
      </c>
      <c r="J484">
        <f>IF($I484="","",IF(AND($I484&gt;=$H$3,$I484&lt;=$H$4),1,0))</f>
        <v/>
      </c>
      <c r="K484">
        <f>IF($J484=0,"",INDEX(ChqKey,468))</f>
        <v/>
      </c>
      <c r="L484">
        <f>IF($K484="","",COUNTIFS($J$17:$J$516,1,$K$17:$K$516,"&lt;"&amp;$K484)+1)</f>
        <v/>
      </c>
    </row>
    <row r="485">
      <c r="A485" s="10">
        <f>IF(IFERROR(MATCH(469,ChqRankL,0),0)=0,"",469)</f>
        <v/>
      </c>
      <c r="B485" s="22">
        <f>IF(IFERROR(MATCH(469,ChqRankL,0),0)=0,"",INDEX(ChqNorm,IFERROR(MATCH(469,ChqRankL,0),0)))</f>
        <v/>
      </c>
      <c r="C485" s="22">
        <f>IF(IFERROR(MATCH(469,ChqRankL,0),0)=0,"",INDEX(ChqNo,IFERROR(MATCH(469,ChqRankL,0),0)))</f>
        <v/>
      </c>
      <c r="D485" s="23">
        <f>IF(IFERROR(MATCH(469,ChqRankL,0),0)=0,"",IF(INDEX(ChqAmt,IFERROR(MATCH(469,ChqRankL,0),0))=0,"",INDEX(ChqAmt,IFERROR(MATCH(469,ChqRankL,0),0))))</f>
        <v/>
      </c>
      <c r="E485" s="14">
        <f>IF(IFERROR(MATCH(469,ChqRankL,0),0)=0,"",INDEX(ChqStatus,IFERROR(MATCH(469,ChqRankL,0),0)))</f>
        <v/>
      </c>
      <c r="F485" s="22">
        <f>IF(IFERROR(MATCH(469,ChqRankL,0),0)=0,"",IF(INDEX(ChqStatus,IFERROR(MATCH(469,ChqRankL,0),0))="پاس نشده","—",IF(INDEX(ChqClr,IFERROR(MATCH(469,ChqRankL,0),0))="","—",INDEX(ChqClr,IFERROR(MATCH(469,ChqRankL,0),0)))))</f>
        <v/>
      </c>
      <c r="I485">
        <f>IF(469&gt;NChq,"",INDEX(ChqNorm,469))</f>
        <v/>
      </c>
      <c r="J485">
        <f>IF($I485="","",IF(AND($I485&gt;=$H$3,$I485&lt;=$H$4),1,0))</f>
        <v/>
      </c>
      <c r="K485">
        <f>IF($J485=0,"",INDEX(ChqKey,469))</f>
        <v/>
      </c>
      <c r="L485">
        <f>IF($K485="","",COUNTIFS($J$17:$J$516,1,$K$17:$K$516,"&lt;"&amp;$K485)+1)</f>
        <v/>
      </c>
    </row>
    <row r="486">
      <c r="A486" s="16">
        <f>IF(IFERROR(MATCH(470,ChqRankL,0),0)=0,"",470)</f>
        <v/>
      </c>
      <c r="B486" s="24">
        <f>IF(IFERROR(MATCH(470,ChqRankL,0),0)=0,"",INDEX(ChqNorm,IFERROR(MATCH(470,ChqRankL,0),0)))</f>
        <v/>
      </c>
      <c r="C486" s="24">
        <f>IF(IFERROR(MATCH(470,ChqRankL,0),0)=0,"",INDEX(ChqNo,IFERROR(MATCH(470,ChqRankL,0),0)))</f>
        <v/>
      </c>
      <c r="D486" s="25">
        <f>IF(IFERROR(MATCH(470,ChqRankL,0),0)=0,"",IF(INDEX(ChqAmt,IFERROR(MATCH(470,ChqRankL,0),0))=0,"",INDEX(ChqAmt,IFERROR(MATCH(470,ChqRankL,0),0))))</f>
        <v/>
      </c>
      <c r="E486" s="17">
        <f>IF(IFERROR(MATCH(470,ChqRankL,0),0)=0,"",INDEX(ChqStatus,IFERROR(MATCH(470,ChqRankL,0),0)))</f>
        <v/>
      </c>
      <c r="F486" s="24">
        <f>IF(IFERROR(MATCH(470,ChqRankL,0),0)=0,"",IF(INDEX(ChqStatus,IFERROR(MATCH(470,ChqRankL,0),0))="پاس نشده","—",IF(INDEX(ChqClr,IFERROR(MATCH(470,ChqRankL,0),0))="","—",INDEX(ChqClr,IFERROR(MATCH(470,ChqRankL,0),0)))))</f>
        <v/>
      </c>
      <c r="I486">
        <f>IF(470&gt;NChq,"",INDEX(ChqNorm,470))</f>
        <v/>
      </c>
      <c r="J486">
        <f>IF($I486="","",IF(AND($I486&gt;=$H$3,$I486&lt;=$H$4),1,0))</f>
        <v/>
      </c>
      <c r="K486">
        <f>IF($J486=0,"",INDEX(ChqKey,470))</f>
        <v/>
      </c>
      <c r="L486">
        <f>IF($K486="","",COUNTIFS($J$17:$J$516,1,$K$17:$K$516,"&lt;"&amp;$K486)+1)</f>
        <v/>
      </c>
    </row>
    <row r="487">
      <c r="A487" s="10">
        <f>IF(IFERROR(MATCH(471,ChqRankL,0),0)=0,"",471)</f>
        <v/>
      </c>
      <c r="B487" s="22">
        <f>IF(IFERROR(MATCH(471,ChqRankL,0),0)=0,"",INDEX(ChqNorm,IFERROR(MATCH(471,ChqRankL,0),0)))</f>
        <v/>
      </c>
      <c r="C487" s="22">
        <f>IF(IFERROR(MATCH(471,ChqRankL,0),0)=0,"",INDEX(ChqNo,IFERROR(MATCH(471,ChqRankL,0),0)))</f>
        <v/>
      </c>
      <c r="D487" s="23">
        <f>IF(IFERROR(MATCH(471,ChqRankL,0),0)=0,"",IF(INDEX(ChqAmt,IFERROR(MATCH(471,ChqRankL,0),0))=0,"",INDEX(ChqAmt,IFERROR(MATCH(471,ChqRankL,0),0))))</f>
        <v/>
      </c>
      <c r="E487" s="14">
        <f>IF(IFERROR(MATCH(471,ChqRankL,0),0)=0,"",INDEX(ChqStatus,IFERROR(MATCH(471,ChqRankL,0),0)))</f>
        <v/>
      </c>
      <c r="F487" s="22">
        <f>IF(IFERROR(MATCH(471,ChqRankL,0),0)=0,"",IF(INDEX(ChqStatus,IFERROR(MATCH(471,ChqRankL,0),0))="پاس نشده","—",IF(INDEX(ChqClr,IFERROR(MATCH(471,ChqRankL,0),0))="","—",INDEX(ChqClr,IFERROR(MATCH(471,ChqRankL,0),0)))))</f>
        <v/>
      </c>
      <c r="I487">
        <f>IF(471&gt;NChq,"",INDEX(ChqNorm,471))</f>
        <v/>
      </c>
      <c r="J487">
        <f>IF($I487="","",IF(AND($I487&gt;=$H$3,$I487&lt;=$H$4),1,0))</f>
        <v/>
      </c>
      <c r="K487">
        <f>IF($J487=0,"",INDEX(ChqKey,471))</f>
        <v/>
      </c>
      <c r="L487">
        <f>IF($K487="","",COUNTIFS($J$17:$J$516,1,$K$17:$K$516,"&lt;"&amp;$K487)+1)</f>
        <v/>
      </c>
    </row>
    <row r="488">
      <c r="A488" s="16">
        <f>IF(IFERROR(MATCH(472,ChqRankL,0),0)=0,"",472)</f>
        <v/>
      </c>
      <c r="B488" s="24">
        <f>IF(IFERROR(MATCH(472,ChqRankL,0),0)=0,"",INDEX(ChqNorm,IFERROR(MATCH(472,ChqRankL,0),0)))</f>
        <v/>
      </c>
      <c r="C488" s="24">
        <f>IF(IFERROR(MATCH(472,ChqRankL,0),0)=0,"",INDEX(ChqNo,IFERROR(MATCH(472,ChqRankL,0),0)))</f>
        <v/>
      </c>
      <c r="D488" s="25">
        <f>IF(IFERROR(MATCH(472,ChqRankL,0),0)=0,"",IF(INDEX(ChqAmt,IFERROR(MATCH(472,ChqRankL,0),0))=0,"",INDEX(ChqAmt,IFERROR(MATCH(472,ChqRankL,0),0))))</f>
        <v/>
      </c>
      <c r="E488" s="17">
        <f>IF(IFERROR(MATCH(472,ChqRankL,0),0)=0,"",INDEX(ChqStatus,IFERROR(MATCH(472,ChqRankL,0),0)))</f>
        <v/>
      </c>
      <c r="F488" s="24">
        <f>IF(IFERROR(MATCH(472,ChqRankL,0),0)=0,"",IF(INDEX(ChqStatus,IFERROR(MATCH(472,ChqRankL,0),0))="پاس نشده","—",IF(INDEX(ChqClr,IFERROR(MATCH(472,ChqRankL,0),0))="","—",INDEX(ChqClr,IFERROR(MATCH(472,ChqRankL,0),0)))))</f>
        <v/>
      </c>
      <c r="I488">
        <f>IF(472&gt;NChq,"",INDEX(ChqNorm,472))</f>
        <v/>
      </c>
      <c r="J488">
        <f>IF($I488="","",IF(AND($I488&gt;=$H$3,$I488&lt;=$H$4),1,0))</f>
        <v/>
      </c>
      <c r="K488">
        <f>IF($J488=0,"",INDEX(ChqKey,472))</f>
        <v/>
      </c>
      <c r="L488">
        <f>IF($K488="","",COUNTIFS($J$17:$J$516,1,$K$17:$K$516,"&lt;"&amp;$K488)+1)</f>
        <v/>
      </c>
    </row>
    <row r="489">
      <c r="A489" s="10">
        <f>IF(IFERROR(MATCH(473,ChqRankL,0),0)=0,"",473)</f>
        <v/>
      </c>
      <c r="B489" s="22">
        <f>IF(IFERROR(MATCH(473,ChqRankL,0),0)=0,"",INDEX(ChqNorm,IFERROR(MATCH(473,ChqRankL,0),0)))</f>
        <v/>
      </c>
      <c r="C489" s="22">
        <f>IF(IFERROR(MATCH(473,ChqRankL,0),0)=0,"",INDEX(ChqNo,IFERROR(MATCH(473,ChqRankL,0),0)))</f>
        <v/>
      </c>
      <c r="D489" s="23">
        <f>IF(IFERROR(MATCH(473,ChqRankL,0),0)=0,"",IF(INDEX(ChqAmt,IFERROR(MATCH(473,ChqRankL,0),0))=0,"",INDEX(ChqAmt,IFERROR(MATCH(473,ChqRankL,0),0))))</f>
        <v/>
      </c>
      <c r="E489" s="14">
        <f>IF(IFERROR(MATCH(473,ChqRankL,0),0)=0,"",INDEX(ChqStatus,IFERROR(MATCH(473,ChqRankL,0),0)))</f>
        <v/>
      </c>
      <c r="F489" s="22">
        <f>IF(IFERROR(MATCH(473,ChqRankL,0),0)=0,"",IF(INDEX(ChqStatus,IFERROR(MATCH(473,ChqRankL,0),0))="پاس نشده","—",IF(INDEX(ChqClr,IFERROR(MATCH(473,ChqRankL,0),0))="","—",INDEX(ChqClr,IFERROR(MATCH(473,ChqRankL,0),0)))))</f>
        <v/>
      </c>
      <c r="I489">
        <f>IF(473&gt;NChq,"",INDEX(ChqNorm,473))</f>
        <v/>
      </c>
      <c r="J489">
        <f>IF($I489="","",IF(AND($I489&gt;=$H$3,$I489&lt;=$H$4),1,0))</f>
        <v/>
      </c>
      <c r="K489">
        <f>IF($J489=0,"",INDEX(ChqKey,473))</f>
        <v/>
      </c>
      <c r="L489">
        <f>IF($K489="","",COUNTIFS($J$17:$J$516,1,$K$17:$K$516,"&lt;"&amp;$K489)+1)</f>
        <v/>
      </c>
    </row>
    <row r="490">
      <c r="A490" s="16">
        <f>IF(IFERROR(MATCH(474,ChqRankL,0),0)=0,"",474)</f>
        <v/>
      </c>
      <c r="B490" s="24">
        <f>IF(IFERROR(MATCH(474,ChqRankL,0),0)=0,"",INDEX(ChqNorm,IFERROR(MATCH(474,ChqRankL,0),0)))</f>
        <v/>
      </c>
      <c r="C490" s="24">
        <f>IF(IFERROR(MATCH(474,ChqRankL,0),0)=0,"",INDEX(ChqNo,IFERROR(MATCH(474,ChqRankL,0),0)))</f>
        <v/>
      </c>
      <c r="D490" s="25">
        <f>IF(IFERROR(MATCH(474,ChqRankL,0),0)=0,"",IF(INDEX(ChqAmt,IFERROR(MATCH(474,ChqRankL,0),0))=0,"",INDEX(ChqAmt,IFERROR(MATCH(474,ChqRankL,0),0))))</f>
        <v/>
      </c>
      <c r="E490" s="17">
        <f>IF(IFERROR(MATCH(474,ChqRankL,0),0)=0,"",INDEX(ChqStatus,IFERROR(MATCH(474,ChqRankL,0),0)))</f>
        <v/>
      </c>
      <c r="F490" s="24">
        <f>IF(IFERROR(MATCH(474,ChqRankL,0),0)=0,"",IF(INDEX(ChqStatus,IFERROR(MATCH(474,ChqRankL,0),0))="پاس نشده","—",IF(INDEX(ChqClr,IFERROR(MATCH(474,ChqRankL,0),0))="","—",INDEX(ChqClr,IFERROR(MATCH(474,ChqRankL,0),0)))))</f>
        <v/>
      </c>
      <c r="I490">
        <f>IF(474&gt;NChq,"",INDEX(ChqNorm,474))</f>
        <v/>
      </c>
      <c r="J490">
        <f>IF($I490="","",IF(AND($I490&gt;=$H$3,$I490&lt;=$H$4),1,0))</f>
        <v/>
      </c>
      <c r="K490">
        <f>IF($J490=0,"",INDEX(ChqKey,474))</f>
        <v/>
      </c>
      <c r="L490">
        <f>IF($K490="","",COUNTIFS($J$17:$J$516,1,$K$17:$K$516,"&lt;"&amp;$K490)+1)</f>
        <v/>
      </c>
    </row>
    <row r="491">
      <c r="A491" s="10">
        <f>IF(IFERROR(MATCH(475,ChqRankL,0),0)=0,"",475)</f>
        <v/>
      </c>
      <c r="B491" s="22">
        <f>IF(IFERROR(MATCH(475,ChqRankL,0),0)=0,"",INDEX(ChqNorm,IFERROR(MATCH(475,ChqRankL,0),0)))</f>
        <v/>
      </c>
      <c r="C491" s="22">
        <f>IF(IFERROR(MATCH(475,ChqRankL,0),0)=0,"",INDEX(ChqNo,IFERROR(MATCH(475,ChqRankL,0),0)))</f>
        <v/>
      </c>
      <c r="D491" s="23">
        <f>IF(IFERROR(MATCH(475,ChqRankL,0),0)=0,"",IF(INDEX(ChqAmt,IFERROR(MATCH(475,ChqRankL,0),0))=0,"",INDEX(ChqAmt,IFERROR(MATCH(475,ChqRankL,0),0))))</f>
        <v/>
      </c>
      <c r="E491" s="14">
        <f>IF(IFERROR(MATCH(475,ChqRankL,0),0)=0,"",INDEX(ChqStatus,IFERROR(MATCH(475,ChqRankL,0),0)))</f>
        <v/>
      </c>
      <c r="F491" s="22">
        <f>IF(IFERROR(MATCH(475,ChqRankL,0),0)=0,"",IF(INDEX(ChqStatus,IFERROR(MATCH(475,ChqRankL,0),0))="پاس نشده","—",IF(INDEX(ChqClr,IFERROR(MATCH(475,ChqRankL,0),0))="","—",INDEX(ChqClr,IFERROR(MATCH(475,ChqRankL,0),0)))))</f>
        <v/>
      </c>
      <c r="I491">
        <f>IF(475&gt;NChq,"",INDEX(ChqNorm,475))</f>
        <v/>
      </c>
      <c r="J491">
        <f>IF($I491="","",IF(AND($I491&gt;=$H$3,$I491&lt;=$H$4),1,0))</f>
        <v/>
      </c>
      <c r="K491">
        <f>IF($J491=0,"",INDEX(ChqKey,475))</f>
        <v/>
      </c>
      <c r="L491">
        <f>IF($K491="","",COUNTIFS($J$17:$J$516,1,$K$17:$K$516,"&lt;"&amp;$K491)+1)</f>
        <v/>
      </c>
    </row>
    <row r="492">
      <c r="A492" s="16">
        <f>IF(IFERROR(MATCH(476,ChqRankL,0),0)=0,"",476)</f>
        <v/>
      </c>
      <c r="B492" s="24">
        <f>IF(IFERROR(MATCH(476,ChqRankL,0),0)=0,"",INDEX(ChqNorm,IFERROR(MATCH(476,ChqRankL,0),0)))</f>
        <v/>
      </c>
      <c r="C492" s="24">
        <f>IF(IFERROR(MATCH(476,ChqRankL,0),0)=0,"",INDEX(ChqNo,IFERROR(MATCH(476,ChqRankL,0),0)))</f>
        <v/>
      </c>
      <c r="D492" s="25">
        <f>IF(IFERROR(MATCH(476,ChqRankL,0),0)=0,"",IF(INDEX(ChqAmt,IFERROR(MATCH(476,ChqRankL,0),0))=0,"",INDEX(ChqAmt,IFERROR(MATCH(476,ChqRankL,0),0))))</f>
        <v/>
      </c>
      <c r="E492" s="17">
        <f>IF(IFERROR(MATCH(476,ChqRankL,0),0)=0,"",INDEX(ChqStatus,IFERROR(MATCH(476,ChqRankL,0),0)))</f>
        <v/>
      </c>
      <c r="F492" s="24">
        <f>IF(IFERROR(MATCH(476,ChqRankL,0),0)=0,"",IF(INDEX(ChqStatus,IFERROR(MATCH(476,ChqRankL,0),0))="پاس نشده","—",IF(INDEX(ChqClr,IFERROR(MATCH(476,ChqRankL,0),0))="","—",INDEX(ChqClr,IFERROR(MATCH(476,ChqRankL,0),0)))))</f>
        <v/>
      </c>
      <c r="I492">
        <f>IF(476&gt;NChq,"",INDEX(ChqNorm,476))</f>
        <v/>
      </c>
      <c r="J492">
        <f>IF($I492="","",IF(AND($I492&gt;=$H$3,$I492&lt;=$H$4),1,0))</f>
        <v/>
      </c>
      <c r="K492">
        <f>IF($J492=0,"",INDEX(ChqKey,476))</f>
        <v/>
      </c>
      <c r="L492">
        <f>IF($K492="","",COUNTIFS($J$17:$J$516,1,$K$17:$K$516,"&lt;"&amp;$K492)+1)</f>
        <v/>
      </c>
    </row>
    <row r="493">
      <c r="A493" s="10">
        <f>IF(IFERROR(MATCH(477,ChqRankL,0),0)=0,"",477)</f>
        <v/>
      </c>
      <c r="B493" s="22">
        <f>IF(IFERROR(MATCH(477,ChqRankL,0),0)=0,"",INDEX(ChqNorm,IFERROR(MATCH(477,ChqRankL,0),0)))</f>
        <v/>
      </c>
      <c r="C493" s="22">
        <f>IF(IFERROR(MATCH(477,ChqRankL,0),0)=0,"",INDEX(ChqNo,IFERROR(MATCH(477,ChqRankL,0),0)))</f>
        <v/>
      </c>
      <c r="D493" s="23">
        <f>IF(IFERROR(MATCH(477,ChqRankL,0),0)=0,"",IF(INDEX(ChqAmt,IFERROR(MATCH(477,ChqRankL,0),0))=0,"",INDEX(ChqAmt,IFERROR(MATCH(477,ChqRankL,0),0))))</f>
        <v/>
      </c>
      <c r="E493" s="14">
        <f>IF(IFERROR(MATCH(477,ChqRankL,0),0)=0,"",INDEX(ChqStatus,IFERROR(MATCH(477,ChqRankL,0),0)))</f>
        <v/>
      </c>
      <c r="F493" s="22">
        <f>IF(IFERROR(MATCH(477,ChqRankL,0),0)=0,"",IF(INDEX(ChqStatus,IFERROR(MATCH(477,ChqRankL,0),0))="پاس نشده","—",IF(INDEX(ChqClr,IFERROR(MATCH(477,ChqRankL,0),0))="","—",INDEX(ChqClr,IFERROR(MATCH(477,ChqRankL,0),0)))))</f>
        <v/>
      </c>
      <c r="I493">
        <f>IF(477&gt;NChq,"",INDEX(ChqNorm,477))</f>
        <v/>
      </c>
      <c r="J493">
        <f>IF($I493="","",IF(AND($I493&gt;=$H$3,$I493&lt;=$H$4),1,0))</f>
        <v/>
      </c>
      <c r="K493">
        <f>IF($J493=0,"",INDEX(ChqKey,477))</f>
        <v/>
      </c>
      <c r="L493">
        <f>IF($K493="","",COUNTIFS($J$17:$J$516,1,$K$17:$K$516,"&lt;"&amp;$K493)+1)</f>
        <v/>
      </c>
    </row>
    <row r="494">
      <c r="A494" s="16">
        <f>IF(IFERROR(MATCH(478,ChqRankL,0),0)=0,"",478)</f>
        <v/>
      </c>
      <c r="B494" s="24">
        <f>IF(IFERROR(MATCH(478,ChqRankL,0),0)=0,"",INDEX(ChqNorm,IFERROR(MATCH(478,ChqRankL,0),0)))</f>
        <v/>
      </c>
      <c r="C494" s="24">
        <f>IF(IFERROR(MATCH(478,ChqRankL,0),0)=0,"",INDEX(ChqNo,IFERROR(MATCH(478,ChqRankL,0),0)))</f>
        <v/>
      </c>
      <c r="D494" s="25">
        <f>IF(IFERROR(MATCH(478,ChqRankL,0),0)=0,"",IF(INDEX(ChqAmt,IFERROR(MATCH(478,ChqRankL,0),0))=0,"",INDEX(ChqAmt,IFERROR(MATCH(478,ChqRankL,0),0))))</f>
        <v/>
      </c>
      <c r="E494" s="17">
        <f>IF(IFERROR(MATCH(478,ChqRankL,0),0)=0,"",INDEX(ChqStatus,IFERROR(MATCH(478,ChqRankL,0),0)))</f>
        <v/>
      </c>
      <c r="F494" s="24">
        <f>IF(IFERROR(MATCH(478,ChqRankL,0),0)=0,"",IF(INDEX(ChqStatus,IFERROR(MATCH(478,ChqRankL,0),0))="پاس نشده","—",IF(INDEX(ChqClr,IFERROR(MATCH(478,ChqRankL,0),0))="","—",INDEX(ChqClr,IFERROR(MATCH(478,ChqRankL,0),0)))))</f>
        <v/>
      </c>
      <c r="I494">
        <f>IF(478&gt;NChq,"",INDEX(ChqNorm,478))</f>
        <v/>
      </c>
      <c r="J494">
        <f>IF($I494="","",IF(AND($I494&gt;=$H$3,$I494&lt;=$H$4),1,0))</f>
        <v/>
      </c>
      <c r="K494">
        <f>IF($J494=0,"",INDEX(ChqKey,478))</f>
        <v/>
      </c>
      <c r="L494">
        <f>IF($K494="","",COUNTIFS($J$17:$J$516,1,$K$17:$K$516,"&lt;"&amp;$K494)+1)</f>
        <v/>
      </c>
    </row>
    <row r="495">
      <c r="A495" s="10">
        <f>IF(IFERROR(MATCH(479,ChqRankL,0),0)=0,"",479)</f>
        <v/>
      </c>
      <c r="B495" s="22">
        <f>IF(IFERROR(MATCH(479,ChqRankL,0),0)=0,"",INDEX(ChqNorm,IFERROR(MATCH(479,ChqRankL,0),0)))</f>
        <v/>
      </c>
      <c r="C495" s="22">
        <f>IF(IFERROR(MATCH(479,ChqRankL,0),0)=0,"",INDEX(ChqNo,IFERROR(MATCH(479,ChqRankL,0),0)))</f>
        <v/>
      </c>
      <c r="D495" s="23">
        <f>IF(IFERROR(MATCH(479,ChqRankL,0),0)=0,"",IF(INDEX(ChqAmt,IFERROR(MATCH(479,ChqRankL,0),0))=0,"",INDEX(ChqAmt,IFERROR(MATCH(479,ChqRankL,0),0))))</f>
        <v/>
      </c>
      <c r="E495" s="14">
        <f>IF(IFERROR(MATCH(479,ChqRankL,0),0)=0,"",INDEX(ChqStatus,IFERROR(MATCH(479,ChqRankL,0),0)))</f>
        <v/>
      </c>
      <c r="F495" s="22">
        <f>IF(IFERROR(MATCH(479,ChqRankL,0),0)=0,"",IF(INDEX(ChqStatus,IFERROR(MATCH(479,ChqRankL,0),0))="پاس نشده","—",IF(INDEX(ChqClr,IFERROR(MATCH(479,ChqRankL,0),0))="","—",INDEX(ChqClr,IFERROR(MATCH(479,ChqRankL,0),0)))))</f>
        <v/>
      </c>
      <c r="I495">
        <f>IF(479&gt;NChq,"",INDEX(ChqNorm,479))</f>
        <v/>
      </c>
      <c r="J495">
        <f>IF($I495="","",IF(AND($I495&gt;=$H$3,$I495&lt;=$H$4),1,0))</f>
        <v/>
      </c>
      <c r="K495">
        <f>IF($J495=0,"",INDEX(ChqKey,479))</f>
        <v/>
      </c>
      <c r="L495">
        <f>IF($K495="","",COUNTIFS($J$17:$J$516,1,$K$17:$K$516,"&lt;"&amp;$K495)+1)</f>
        <v/>
      </c>
    </row>
    <row r="496">
      <c r="A496" s="16">
        <f>IF(IFERROR(MATCH(480,ChqRankL,0),0)=0,"",480)</f>
        <v/>
      </c>
      <c r="B496" s="24">
        <f>IF(IFERROR(MATCH(480,ChqRankL,0),0)=0,"",INDEX(ChqNorm,IFERROR(MATCH(480,ChqRankL,0),0)))</f>
        <v/>
      </c>
      <c r="C496" s="24">
        <f>IF(IFERROR(MATCH(480,ChqRankL,0),0)=0,"",INDEX(ChqNo,IFERROR(MATCH(480,ChqRankL,0),0)))</f>
        <v/>
      </c>
      <c r="D496" s="25">
        <f>IF(IFERROR(MATCH(480,ChqRankL,0),0)=0,"",IF(INDEX(ChqAmt,IFERROR(MATCH(480,ChqRankL,0),0))=0,"",INDEX(ChqAmt,IFERROR(MATCH(480,ChqRankL,0),0))))</f>
        <v/>
      </c>
      <c r="E496" s="17">
        <f>IF(IFERROR(MATCH(480,ChqRankL,0),0)=0,"",INDEX(ChqStatus,IFERROR(MATCH(480,ChqRankL,0),0)))</f>
        <v/>
      </c>
      <c r="F496" s="24">
        <f>IF(IFERROR(MATCH(480,ChqRankL,0),0)=0,"",IF(INDEX(ChqStatus,IFERROR(MATCH(480,ChqRankL,0),0))="پاس نشده","—",IF(INDEX(ChqClr,IFERROR(MATCH(480,ChqRankL,0),0))="","—",INDEX(ChqClr,IFERROR(MATCH(480,ChqRankL,0),0)))))</f>
        <v/>
      </c>
      <c r="I496">
        <f>IF(480&gt;NChq,"",INDEX(ChqNorm,480))</f>
        <v/>
      </c>
      <c r="J496">
        <f>IF($I496="","",IF(AND($I496&gt;=$H$3,$I496&lt;=$H$4),1,0))</f>
        <v/>
      </c>
      <c r="K496">
        <f>IF($J496=0,"",INDEX(ChqKey,480))</f>
        <v/>
      </c>
      <c r="L496">
        <f>IF($K496="","",COUNTIFS($J$17:$J$516,1,$K$17:$K$516,"&lt;"&amp;$K496)+1)</f>
        <v/>
      </c>
    </row>
    <row r="497">
      <c r="A497" s="10">
        <f>IF(IFERROR(MATCH(481,ChqRankL,0),0)=0,"",481)</f>
        <v/>
      </c>
      <c r="B497" s="22">
        <f>IF(IFERROR(MATCH(481,ChqRankL,0),0)=0,"",INDEX(ChqNorm,IFERROR(MATCH(481,ChqRankL,0),0)))</f>
        <v/>
      </c>
      <c r="C497" s="22">
        <f>IF(IFERROR(MATCH(481,ChqRankL,0),0)=0,"",INDEX(ChqNo,IFERROR(MATCH(481,ChqRankL,0),0)))</f>
        <v/>
      </c>
      <c r="D497" s="23">
        <f>IF(IFERROR(MATCH(481,ChqRankL,0),0)=0,"",IF(INDEX(ChqAmt,IFERROR(MATCH(481,ChqRankL,0),0))=0,"",INDEX(ChqAmt,IFERROR(MATCH(481,ChqRankL,0),0))))</f>
        <v/>
      </c>
      <c r="E497" s="14">
        <f>IF(IFERROR(MATCH(481,ChqRankL,0),0)=0,"",INDEX(ChqStatus,IFERROR(MATCH(481,ChqRankL,0),0)))</f>
        <v/>
      </c>
      <c r="F497" s="22">
        <f>IF(IFERROR(MATCH(481,ChqRankL,0),0)=0,"",IF(INDEX(ChqStatus,IFERROR(MATCH(481,ChqRankL,0),0))="پاس نشده","—",IF(INDEX(ChqClr,IFERROR(MATCH(481,ChqRankL,0),0))="","—",INDEX(ChqClr,IFERROR(MATCH(481,ChqRankL,0),0)))))</f>
        <v/>
      </c>
      <c r="I497">
        <f>IF(481&gt;NChq,"",INDEX(ChqNorm,481))</f>
        <v/>
      </c>
      <c r="J497">
        <f>IF($I497="","",IF(AND($I497&gt;=$H$3,$I497&lt;=$H$4),1,0))</f>
        <v/>
      </c>
      <c r="K497">
        <f>IF($J497=0,"",INDEX(ChqKey,481))</f>
        <v/>
      </c>
      <c r="L497">
        <f>IF($K497="","",COUNTIFS($J$17:$J$516,1,$K$17:$K$516,"&lt;"&amp;$K497)+1)</f>
        <v/>
      </c>
    </row>
    <row r="498">
      <c r="A498" s="16">
        <f>IF(IFERROR(MATCH(482,ChqRankL,0),0)=0,"",482)</f>
        <v/>
      </c>
      <c r="B498" s="24">
        <f>IF(IFERROR(MATCH(482,ChqRankL,0),0)=0,"",INDEX(ChqNorm,IFERROR(MATCH(482,ChqRankL,0),0)))</f>
        <v/>
      </c>
      <c r="C498" s="24">
        <f>IF(IFERROR(MATCH(482,ChqRankL,0),0)=0,"",INDEX(ChqNo,IFERROR(MATCH(482,ChqRankL,0),0)))</f>
        <v/>
      </c>
      <c r="D498" s="25">
        <f>IF(IFERROR(MATCH(482,ChqRankL,0),0)=0,"",IF(INDEX(ChqAmt,IFERROR(MATCH(482,ChqRankL,0),0))=0,"",INDEX(ChqAmt,IFERROR(MATCH(482,ChqRankL,0),0))))</f>
        <v/>
      </c>
      <c r="E498" s="17">
        <f>IF(IFERROR(MATCH(482,ChqRankL,0),0)=0,"",INDEX(ChqStatus,IFERROR(MATCH(482,ChqRankL,0),0)))</f>
        <v/>
      </c>
      <c r="F498" s="24">
        <f>IF(IFERROR(MATCH(482,ChqRankL,0),0)=0,"",IF(INDEX(ChqStatus,IFERROR(MATCH(482,ChqRankL,0),0))="پاس نشده","—",IF(INDEX(ChqClr,IFERROR(MATCH(482,ChqRankL,0),0))="","—",INDEX(ChqClr,IFERROR(MATCH(482,ChqRankL,0),0)))))</f>
        <v/>
      </c>
      <c r="I498">
        <f>IF(482&gt;NChq,"",INDEX(ChqNorm,482))</f>
        <v/>
      </c>
      <c r="J498">
        <f>IF($I498="","",IF(AND($I498&gt;=$H$3,$I498&lt;=$H$4),1,0))</f>
        <v/>
      </c>
      <c r="K498">
        <f>IF($J498=0,"",INDEX(ChqKey,482))</f>
        <v/>
      </c>
      <c r="L498">
        <f>IF($K498="","",COUNTIFS($J$17:$J$516,1,$K$17:$K$516,"&lt;"&amp;$K498)+1)</f>
        <v/>
      </c>
    </row>
    <row r="499">
      <c r="A499" s="10">
        <f>IF(IFERROR(MATCH(483,ChqRankL,0),0)=0,"",483)</f>
        <v/>
      </c>
      <c r="B499" s="22">
        <f>IF(IFERROR(MATCH(483,ChqRankL,0),0)=0,"",INDEX(ChqNorm,IFERROR(MATCH(483,ChqRankL,0),0)))</f>
        <v/>
      </c>
      <c r="C499" s="22">
        <f>IF(IFERROR(MATCH(483,ChqRankL,0),0)=0,"",INDEX(ChqNo,IFERROR(MATCH(483,ChqRankL,0),0)))</f>
        <v/>
      </c>
      <c r="D499" s="23">
        <f>IF(IFERROR(MATCH(483,ChqRankL,0),0)=0,"",IF(INDEX(ChqAmt,IFERROR(MATCH(483,ChqRankL,0),0))=0,"",INDEX(ChqAmt,IFERROR(MATCH(483,ChqRankL,0),0))))</f>
        <v/>
      </c>
      <c r="E499" s="14">
        <f>IF(IFERROR(MATCH(483,ChqRankL,0),0)=0,"",INDEX(ChqStatus,IFERROR(MATCH(483,ChqRankL,0),0)))</f>
        <v/>
      </c>
      <c r="F499" s="22">
        <f>IF(IFERROR(MATCH(483,ChqRankL,0),0)=0,"",IF(INDEX(ChqStatus,IFERROR(MATCH(483,ChqRankL,0),0))="پاس نشده","—",IF(INDEX(ChqClr,IFERROR(MATCH(483,ChqRankL,0),0))="","—",INDEX(ChqClr,IFERROR(MATCH(483,ChqRankL,0),0)))))</f>
        <v/>
      </c>
      <c r="I499">
        <f>IF(483&gt;NChq,"",INDEX(ChqNorm,483))</f>
        <v/>
      </c>
      <c r="J499">
        <f>IF($I499="","",IF(AND($I499&gt;=$H$3,$I499&lt;=$H$4),1,0))</f>
        <v/>
      </c>
      <c r="K499">
        <f>IF($J499=0,"",INDEX(ChqKey,483))</f>
        <v/>
      </c>
      <c r="L499">
        <f>IF($K499="","",COUNTIFS($J$17:$J$516,1,$K$17:$K$516,"&lt;"&amp;$K499)+1)</f>
        <v/>
      </c>
    </row>
    <row r="500">
      <c r="A500" s="16">
        <f>IF(IFERROR(MATCH(484,ChqRankL,0),0)=0,"",484)</f>
        <v/>
      </c>
      <c r="B500" s="24">
        <f>IF(IFERROR(MATCH(484,ChqRankL,0),0)=0,"",INDEX(ChqNorm,IFERROR(MATCH(484,ChqRankL,0),0)))</f>
        <v/>
      </c>
      <c r="C500" s="24">
        <f>IF(IFERROR(MATCH(484,ChqRankL,0),0)=0,"",INDEX(ChqNo,IFERROR(MATCH(484,ChqRankL,0),0)))</f>
        <v/>
      </c>
      <c r="D500" s="25">
        <f>IF(IFERROR(MATCH(484,ChqRankL,0),0)=0,"",IF(INDEX(ChqAmt,IFERROR(MATCH(484,ChqRankL,0),0))=0,"",INDEX(ChqAmt,IFERROR(MATCH(484,ChqRankL,0),0))))</f>
        <v/>
      </c>
      <c r="E500" s="17">
        <f>IF(IFERROR(MATCH(484,ChqRankL,0),0)=0,"",INDEX(ChqStatus,IFERROR(MATCH(484,ChqRankL,0),0)))</f>
        <v/>
      </c>
      <c r="F500" s="24">
        <f>IF(IFERROR(MATCH(484,ChqRankL,0),0)=0,"",IF(INDEX(ChqStatus,IFERROR(MATCH(484,ChqRankL,0),0))="پاس نشده","—",IF(INDEX(ChqClr,IFERROR(MATCH(484,ChqRankL,0),0))="","—",INDEX(ChqClr,IFERROR(MATCH(484,ChqRankL,0),0)))))</f>
        <v/>
      </c>
      <c r="I500">
        <f>IF(484&gt;NChq,"",INDEX(ChqNorm,484))</f>
        <v/>
      </c>
      <c r="J500">
        <f>IF($I500="","",IF(AND($I500&gt;=$H$3,$I500&lt;=$H$4),1,0))</f>
        <v/>
      </c>
      <c r="K500">
        <f>IF($J500=0,"",INDEX(ChqKey,484))</f>
        <v/>
      </c>
      <c r="L500">
        <f>IF($K500="","",COUNTIFS($J$17:$J$516,1,$K$17:$K$516,"&lt;"&amp;$K500)+1)</f>
        <v/>
      </c>
    </row>
    <row r="501">
      <c r="A501" s="10">
        <f>IF(IFERROR(MATCH(485,ChqRankL,0),0)=0,"",485)</f>
        <v/>
      </c>
      <c r="B501" s="22">
        <f>IF(IFERROR(MATCH(485,ChqRankL,0),0)=0,"",INDEX(ChqNorm,IFERROR(MATCH(485,ChqRankL,0),0)))</f>
        <v/>
      </c>
      <c r="C501" s="22">
        <f>IF(IFERROR(MATCH(485,ChqRankL,0),0)=0,"",INDEX(ChqNo,IFERROR(MATCH(485,ChqRankL,0),0)))</f>
        <v/>
      </c>
      <c r="D501" s="23">
        <f>IF(IFERROR(MATCH(485,ChqRankL,0),0)=0,"",IF(INDEX(ChqAmt,IFERROR(MATCH(485,ChqRankL,0),0))=0,"",INDEX(ChqAmt,IFERROR(MATCH(485,ChqRankL,0),0))))</f>
        <v/>
      </c>
      <c r="E501" s="14">
        <f>IF(IFERROR(MATCH(485,ChqRankL,0),0)=0,"",INDEX(ChqStatus,IFERROR(MATCH(485,ChqRankL,0),0)))</f>
        <v/>
      </c>
      <c r="F501" s="22">
        <f>IF(IFERROR(MATCH(485,ChqRankL,0),0)=0,"",IF(INDEX(ChqStatus,IFERROR(MATCH(485,ChqRankL,0),0))="پاس نشده","—",IF(INDEX(ChqClr,IFERROR(MATCH(485,ChqRankL,0),0))="","—",INDEX(ChqClr,IFERROR(MATCH(485,ChqRankL,0),0)))))</f>
        <v/>
      </c>
      <c r="I501">
        <f>IF(485&gt;NChq,"",INDEX(ChqNorm,485))</f>
        <v/>
      </c>
      <c r="J501">
        <f>IF($I501="","",IF(AND($I501&gt;=$H$3,$I501&lt;=$H$4),1,0))</f>
        <v/>
      </c>
      <c r="K501">
        <f>IF($J501=0,"",INDEX(ChqKey,485))</f>
        <v/>
      </c>
      <c r="L501">
        <f>IF($K501="","",COUNTIFS($J$17:$J$516,1,$K$17:$K$516,"&lt;"&amp;$K501)+1)</f>
        <v/>
      </c>
    </row>
    <row r="502">
      <c r="A502" s="16">
        <f>IF(IFERROR(MATCH(486,ChqRankL,0),0)=0,"",486)</f>
        <v/>
      </c>
      <c r="B502" s="24">
        <f>IF(IFERROR(MATCH(486,ChqRankL,0),0)=0,"",INDEX(ChqNorm,IFERROR(MATCH(486,ChqRankL,0),0)))</f>
        <v/>
      </c>
      <c r="C502" s="24">
        <f>IF(IFERROR(MATCH(486,ChqRankL,0),0)=0,"",INDEX(ChqNo,IFERROR(MATCH(486,ChqRankL,0),0)))</f>
        <v/>
      </c>
      <c r="D502" s="25">
        <f>IF(IFERROR(MATCH(486,ChqRankL,0),0)=0,"",IF(INDEX(ChqAmt,IFERROR(MATCH(486,ChqRankL,0),0))=0,"",INDEX(ChqAmt,IFERROR(MATCH(486,ChqRankL,0),0))))</f>
        <v/>
      </c>
      <c r="E502" s="17">
        <f>IF(IFERROR(MATCH(486,ChqRankL,0),0)=0,"",INDEX(ChqStatus,IFERROR(MATCH(486,ChqRankL,0),0)))</f>
        <v/>
      </c>
      <c r="F502" s="24">
        <f>IF(IFERROR(MATCH(486,ChqRankL,0),0)=0,"",IF(INDEX(ChqStatus,IFERROR(MATCH(486,ChqRankL,0),0))="پاس نشده","—",IF(INDEX(ChqClr,IFERROR(MATCH(486,ChqRankL,0),0))="","—",INDEX(ChqClr,IFERROR(MATCH(486,ChqRankL,0),0)))))</f>
        <v/>
      </c>
      <c r="I502">
        <f>IF(486&gt;NChq,"",INDEX(ChqNorm,486))</f>
        <v/>
      </c>
      <c r="J502">
        <f>IF($I502="","",IF(AND($I502&gt;=$H$3,$I502&lt;=$H$4),1,0))</f>
        <v/>
      </c>
      <c r="K502">
        <f>IF($J502=0,"",INDEX(ChqKey,486))</f>
        <v/>
      </c>
      <c r="L502">
        <f>IF($K502="","",COUNTIFS($J$17:$J$516,1,$K$17:$K$516,"&lt;"&amp;$K502)+1)</f>
        <v/>
      </c>
    </row>
    <row r="503">
      <c r="A503" s="10">
        <f>IF(IFERROR(MATCH(487,ChqRankL,0),0)=0,"",487)</f>
        <v/>
      </c>
      <c r="B503" s="22">
        <f>IF(IFERROR(MATCH(487,ChqRankL,0),0)=0,"",INDEX(ChqNorm,IFERROR(MATCH(487,ChqRankL,0),0)))</f>
        <v/>
      </c>
      <c r="C503" s="22">
        <f>IF(IFERROR(MATCH(487,ChqRankL,0),0)=0,"",INDEX(ChqNo,IFERROR(MATCH(487,ChqRankL,0),0)))</f>
        <v/>
      </c>
      <c r="D503" s="23">
        <f>IF(IFERROR(MATCH(487,ChqRankL,0),0)=0,"",IF(INDEX(ChqAmt,IFERROR(MATCH(487,ChqRankL,0),0))=0,"",INDEX(ChqAmt,IFERROR(MATCH(487,ChqRankL,0),0))))</f>
        <v/>
      </c>
      <c r="E503" s="14">
        <f>IF(IFERROR(MATCH(487,ChqRankL,0),0)=0,"",INDEX(ChqStatus,IFERROR(MATCH(487,ChqRankL,0),0)))</f>
        <v/>
      </c>
      <c r="F503" s="22">
        <f>IF(IFERROR(MATCH(487,ChqRankL,0),0)=0,"",IF(INDEX(ChqStatus,IFERROR(MATCH(487,ChqRankL,0),0))="پاس نشده","—",IF(INDEX(ChqClr,IFERROR(MATCH(487,ChqRankL,0),0))="","—",INDEX(ChqClr,IFERROR(MATCH(487,ChqRankL,0),0)))))</f>
        <v/>
      </c>
      <c r="I503">
        <f>IF(487&gt;NChq,"",INDEX(ChqNorm,487))</f>
        <v/>
      </c>
      <c r="J503">
        <f>IF($I503="","",IF(AND($I503&gt;=$H$3,$I503&lt;=$H$4),1,0))</f>
        <v/>
      </c>
      <c r="K503">
        <f>IF($J503=0,"",INDEX(ChqKey,487))</f>
        <v/>
      </c>
      <c r="L503">
        <f>IF($K503="","",COUNTIFS($J$17:$J$516,1,$K$17:$K$516,"&lt;"&amp;$K503)+1)</f>
        <v/>
      </c>
    </row>
    <row r="504">
      <c r="A504" s="16">
        <f>IF(IFERROR(MATCH(488,ChqRankL,0),0)=0,"",488)</f>
        <v/>
      </c>
      <c r="B504" s="24">
        <f>IF(IFERROR(MATCH(488,ChqRankL,0),0)=0,"",INDEX(ChqNorm,IFERROR(MATCH(488,ChqRankL,0),0)))</f>
        <v/>
      </c>
      <c r="C504" s="24">
        <f>IF(IFERROR(MATCH(488,ChqRankL,0),0)=0,"",INDEX(ChqNo,IFERROR(MATCH(488,ChqRankL,0),0)))</f>
        <v/>
      </c>
      <c r="D504" s="25">
        <f>IF(IFERROR(MATCH(488,ChqRankL,0),0)=0,"",IF(INDEX(ChqAmt,IFERROR(MATCH(488,ChqRankL,0),0))=0,"",INDEX(ChqAmt,IFERROR(MATCH(488,ChqRankL,0),0))))</f>
        <v/>
      </c>
      <c r="E504" s="17">
        <f>IF(IFERROR(MATCH(488,ChqRankL,0),0)=0,"",INDEX(ChqStatus,IFERROR(MATCH(488,ChqRankL,0),0)))</f>
        <v/>
      </c>
      <c r="F504" s="24">
        <f>IF(IFERROR(MATCH(488,ChqRankL,0),0)=0,"",IF(INDEX(ChqStatus,IFERROR(MATCH(488,ChqRankL,0),0))="پاس نشده","—",IF(INDEX(ChqClr,IFERROR(MATCH(488,ChqRankL,0),0))="","—",INDEX(ChqClr,IFERROR(MATCH(488,ChqRankL,0),0)))))</f>
        <v/>
      </c>
      <c r="I504">
        <f>IF(488&gt;NChq,"",INDEX(ChqNorm,488))</f>
        <v/>
      </c>
      <c r="J504">
        <f>IF($I504="","",IF(AND($I504&gt;=$H$3,$I504&lt;=$H$4),1,0))</f>
        <v/>
      </c>
      <c r="K504">
        <f>IF($J504=0,"",INDEX(ChqKey,488))</f>
        <v/>
      </c>
      <c r="L504">
        <f>IF($K504="","",COUNTIFS($J$17:$J$516,1,$K$17:$K$516,"&lt;"&amp;$K504)+1)</f>
        <v/>
      </c>
    </row>
    <row r="505">
      <c r="A505" s="10">
        <f>IF(IFERROR(MATCH(489,ChqRankL,0),0)=0,"",489)</f>
        <v/>
      </c>
      <c r="B505" s="22">
        <f>IF(IFERROR(MATCH(489,ChqRankL,0),0)=0,"",INDEX(ChqNorm,IFERROR(MATCH(489,ChqRankL,0),0)))</f>
        <v/>
      </c>
      <c r="C505" s="22">
        <f>IF(IFERROR(MATCH(489,ChqRankL,0),0)=0,"",INDEX(ChqNo,IFERROR(MATCH(489,ChqRankL,0),0)))</f>
        <v/>
      </c>
      <c r="D505" s="23">
        <f>IF(IFERROR(MATCH(489,ChqRankL,0),0)=0,"",IF(INDEX(ChqAmt,IFERROR(MATCH(489,ChqRankL,0),0))=0,"",INDEX(ChqAmt,IFERROR(MATCH(489,ChqRankL,0),0))))</f>
        <v/>
      </c>
      <c r="E505" s="14">
        <f>IF(IFERROR(MATCH(489,ChqRankL,0),0)=0,"",INDEX(ChqStatus,IFERROR(MATCH(489,ChqRankL,0),0)))</f>
        <v/>
      </c>
      <c r="F505" s="22">
        <f>IF(IFERROR(MATCH(489,ChqRankL,0),0)=0,"",IF(INDEX(ChqStatus,IFERROR(MATCH(489,ChqRankL,0),0))="پاس نشده","—",IF(INDEX(ChqClr,IFERROR(MATCH(489,ChqRankL,0),0))="","—",INDEX(ChqClr,IFERROR(MATCH(489,ChqRankL,0),0)))))</f>
        <v/>
      </c>
      <c r="I505">
        <f>IF(489&gt;NChq,"",INDEX(ChqNorm,489))</f>
        <v/>
      </c>
      <c r="J505">
        <f>IF($I505="","",IF(AND($I505&gt;=$H$3,$I505&lt;=$H$4),1,0))</f>
        <v/>
      </c>
      <c r="K505">
        <f>IF($J505=0,"",INDEX(ChqKey,489))</f>
        <v/>
      </c>
      <c r="L505">
        <f>IF($K505="","",COUNTIFS($J$17:$J$516,1,$K$17:$K$516,"&lt;"&amp;$K505)+1)</f>
        <v/>
      </c>
    </row>
    <row r="506">
      <c r="A506" s="16">
        <f>IF(IFERROR(MATCH(490,ChqRankL,0),0)=0,"",490)</f>
        <v/>
      </c>
      <c r="B506" s="24">
        <f>IF(IFERROR(MATCH(490,ChqRankL,0),0)=0,"",INDEX(ChqNorm,IFERROR(MATCH(490,ChqRankL,0),0)))</f>
        <v/>
      </c>
      <c r="C506" s="24">
        <f>IF(IFERROR(MATCH(490,ChqRankL,0),0)=0,"",INDEX(ChqNo,IFERROR(MATCH(490,ChqRankL,0),0)))</f>
        <v/>
      </c>
      <c r="D506" s="25">
        <f>IF(IFERROR(MATCH(490,ChqRankL,0),0)=0,"",IF(INDEX(ChqAmt,IFERROR(MATCH(490,ChqRankL,0),0))=0,"",INDEX(ChqAmt,IFERROR(MATCH(490,ChqRankL,0),0))))</f>
        <v/>
      </c>
      <c r="E506" s="17">
        <f>IF(IFERROR(MATCH(490,ChqRankL,0),0)=0,"",INDEX(ChqStatus,IFERROR(MATCH(490,ChqRankL,0),0)))</f>
        <v/>
      </c>
      <c r="F506" s="24">
        <f>IF(IFERROR(MATCH(490,ChqRankL,0),0)=0,"",IF(INDEX(ChqStatus,IFERROR(MATCH(490,ChqRankL,0),0))="پاس نشده","—",IF(INDEX(ChqClr,IFERROR(MATCH(490,ChqRankL,0),0))="","—",INDEX(ChqClr,IFERROR(MATCH(490,ChqRankL,0),0)))))</f>
        <v/>
      </c>
      <c r="I506">
        <f>IF(490&gt;NChq,"",INDEX(ChqNorm,490))</f>
        <v/>
      </c>
      <c r="J506">
        <f>IF($I506="","",IF(AND($I506&gt;=$H$3,$I506&lt;=$H$4),1,0))</f>
        <v/>
      </c>
      <c r="K506">
        <f>IF($J506=0,"",INDEX(ChqKey,490))</f>
        <v/>
      </c>
      <c r="L506">
        <f>IF($K506="","",COUNTIFS($J$17:$J$516,1,$K$17:$K$516,"&lt;"&amp;$K506)+1)</f>
        <v/>
      </c>
    </row>
    <row r="507">
      <c r="A507" s="10">
        <f>IF(IFERROR(MATCH(491,ChqRankL,0),0)=0,"",491)</f>
        <v/>
      </c>
      <c r="B507" s="22">
        <f>IF(IFERROR(MATCH(491,ChqRankL,0),0)=0,"",INDEX(ChqNorm,IFERROR(MATCH(491,ChqRankL,0),0)))</f>
        <v/>
      </c>
      <c r="C507" s="22">
        <f>IF(IFERROR(MATCH(491,ChqRankL,0),0)=0,"",INDEX(ChqNo,IFERROR(MATCH(491,ChqRankL,0),0)))</f>
        <v/>
      </c>
      <c r="D507" s="23">
        <f>IF(IFERROR(MATCH(491,ChqRankL,0),0)=0,"",IF(INDEX(ChqAmt,IFERROR(MATCH(491,ChqRankL,0),0))=0,"",INDEX(ChqAmt,IFERROR(MATCH(491,ChqRankL,0),0))))</f>
        <v/>
      </c>
      <c r="E507" s="14">
        <f>IF(IFERROR(MATCH(491,ChqRankL,0),0)=0,"",INDEX(ChqStatus,IFERROR(MATCH(491,ChqRankL,0),0)))</f>
        <v/>
      </c>
      <c r="F507" s="22">
        <f>IF(IFERROR(MATCH(491,ChqRankL,0),0)=0,"",IF(INDEX(ChqStatus,IFERROR(MATCH(491,ChqRankL,0),0))="پاس نشده","—",IF(INDEX(ChqClr,IFERROR(MATCH(491,ChqRankL,0),0))="","—",INDEX(ChqClr,IFERROR(MATCH(491,ChqRankL,0),0)))))</f>
        <v/>
      </c>
      <c r="I507">
        <f>IF(491&gt;NChq,"",INDEX(ChqNorm,491))</f>
        <v/>
      </c>
      <c r="J507">
        <f>IF($I507="","",IF(AND($I507&gt;=$H$3,$I507&lt;=$H$4),1,0))</f>
        <v/>
      </c>
      <c r="K507">
        <f>IF($J507=0,"",INDEX(ChqKey,491))</f>
        <v/>
      </c>
      <c r="L507">
        <f>IF($K507="","",COUNTIFS($J$17:$J$516,1,$K$17:$K$516,"&lt;"&amp;$K507)+1)</f>
        <v/>
      </c>
    </row>
    <row r="508">
      <c r="A508" s="16">
        <f>IF(IFERROR(MATCH(492,ChqRankL,0),0)=0,"",492)</f>
        <v/>
      </c>
      <c r="B508" s="24">
        <f>IF(IFERROR(MATCH(492,ChqRankL,0),0)=0,"",INDEX(ChqNorm,IFERROR(MATCH(492,ChqRankL,0),0)))</f>
        <v/>
      </c>
      <c r="C508" s="24">
        <f>IF(IFERROR(MATCH(492,ChqRankL,0),0)=0,"",INDEX(ChqNo,IFERROR(MATCH(492,ChqRankL,0),0)))</f>
        <v/>
      </c>
      <c r="D508" s="25">
        <f>IF(IFERROR(MATCH(492,ChqRankL,0),0)=0,"",IF(INDEX(ChqAmt,IFERROR(MATCH(492,ChqRankL,0),0))=0,"",INDEX(ChqAmt,IFERROR(MATCH(492,ChqRankL,0),0))))</f>
        <v/>
      </c>
      <c r="E508" s="17">
        <f>IF(IFERROR(MATCH(492,ChqRankL,0),0)=0,"",INDEX(ChqStatus,IFERROR(MATCH(492,ChqRankL,0),0)))</f>
        <v/>
      </c>
      <c r="F508" s="24">
        <f>IF(IFERROR(MATCH(492,ChqRankL,0),0)=0,"",IF(INDEX(ChqStatus,IFERROR(MATCH(492,ChqRankL,0),0))="پاس نشده","—",IF(INDEX(ChqClr,IFERROR(MATCH(492,ChqRankL,0),0))="","—",INDEX(ChqClr,IFERROR(MATCH(492,ChqRankL,0),0)))))</f>
        <v/>
      </c>
      <c r="I508">
        <f>IF(492&gt;NChq,"",INDEX(ChqNorm,492))</f>
        <v/>
      </c>
      <c r="J508">
        <f>IF($I508="","",IF(AND($I508&gt;=$H$3,$I508&lt;=$H$4),1,0))</f>
        <v/>
      </c>
      <c r="K508">
        <f>IF($J508=0,"",INDEX(ChqKey,492))</f>
        <v/>
      </c>
      <c r="L508">
        <f>IF($K508="","",COUNTIFS($J$17:$J$516,1,$K$17:$K$516,"&lt;"&amp;$K508)+1)</f>
        <v/>
      </c>
    </row>
    <row r="509">
      <c r="A509" s="10">
        <f>IF(IFERROR(MATCH(493,ChqRankL,0),0)=0,"",493)</f>
        <v/>
      </c>
      <c r="B509" s="22">
        <f>IF(IFERROR(MATCH(493,ChqRankL,0),0)=0,"",INDEX(ChqNorm,IFERROR(MATCH(493,ChqRankL,0),0)))</f>
        <v/>
      </c>
      <c r="C509" s="22">
        <f>IF(IFERROR(MATCH(493,ChqRankL,0),0)=0,"",INDEX(ChqNo,IFERROR(MATCH(493,ChqRankL,0),0)))</f>
        <v/>
      </c>
      <c r="D509" s="23">
        <f>IF(IFERROR(MATCH(493,ChqRankL,0),0)=0,"",IF(INDEX(ChqAmt,IFERROR(MATCH(493,ChqRankL,0),0))=0,"",INDEX(ChqAmt,IFERROR(MATCH(493,ChqRankL,0),0))))</f>
        <v/>
      </c>
      <c r="E509" s="14">
        <f>IF(IFERROR(MATCH(493,ChqRankL,0),0)=0,"",INDEX(ChqStatus,IFERROR(MATCH(493,ChqRankL,0),0)))</f>
        <v/>
      </c>
      <c r="F509" s="22">
        <f>IF(IFERROR(MATCH(493,ChqRankL,0),0)=0,"",IF(INDEX(ChqStatus,IFERROR(MATCH(493,ChqRankL,0),0))="پاس نشده","—",IF(INDEX(ChqClr,IFERROR(MATCH(493,ChqRankL,0),0))="","—",INDEX(ChqClr,IFERROR(MATCH(493,ChqRankL,0),0)))))</f>
        <v/>
      </c>
      <c r="I509">
        <f>IF(493&gt;NChq,"",INDEX(ChqNorm,493))</f>
        <v/>
      </c>
      <c r="J509">
        <f>IF($I509="","",IF(AND($I509&gt;=$H$3,$I509&lt;=$H$4),1,0))</f>
        <v/>
      </c>
      <c r="K509">
        <f>IF($J509=0,"",INDEX(ChqKey,493))</f>
        <v/>
      </c>
      <c r="L509">
        <f>IF($K509="","",COUNTIFS($J$17:$J$516,1,$K$17:$K$516,"&lt;"&amp;$K509)+1)</f>
        <v/>
      </c>
    </row>
    <row r="510">
      <c r="A510" s="16">
        <f>IF(IFERROR(MATCH(494,ChqRankL,0),0)=0,"",494)</f>
        <v/>
      </c>
      <c r="B510" s="24">
        <f>IF(IFERROR(MATCH(494,ChqRankL,0),0)=0,"",INDEX(ChqNorm,IFERROR(MATCH(494,ChqRankL,0),0)))</f>
        <v/>
      </c>
      <c r="C510" s="24">
        <f>IF(IFERROR(MATCH(494,ChqRankL,0),0)=0,"",INDEX(ChqNo,IFERROR(MATCH(494,ChqRankL,0),0)))</f>
        <v/>
      </c>
      <c r="D510" s="25">
        <f>IF(IFERROR(MATCH(494,ChqRankL,0),0)=0,"",IF(INDEX(ChqAmt,IFERROR(MATCH(494,ChqRankL,0),0))=0,"",INDEX(ChqAmt,IFERROR(MATCH(494,ChqRankL,0),0))))</f>
        <v/>
      </c>
      <c r="E510" s="17">
        <f>IF(IFERROR(MATCH(494,ChqRankL,0),0)=0,"",INDEX(ChqStatus,IFERROR(MATCH(494,ChqRankL,0),0)))</f>
        <v/>
      </c>
      <c r="F510" s="24">
        <f>IF(IFERROR(MATCH(494,ChqRankL,0),0)=0,"",IF(INDEX(ChqStatus,IFERROR(MATCH(494,ChqRankL,0),0))="پاس نشده","—",IF(INDEX(ChqClr,IFERROR(MATCH(494,ChqRankL,0),0))="","—",INDEX(ChqClr,IFERROR(MATCH(494,ChqRankL,0),0)))))</f>
        <v/>
      </c>
      <c r="I510">
        <f>IF(494&gt;NChq,"",INDEX(ChqNorm,494))</f>
        <v/>
      </c>
      <c r="J510">
        <f>IF($I510="","",IF(AND($I510&gt;=$H$3,$I510&lt;=$H$4),1,0))</f>
        <v/>
      </c>
      <c r="K510">
        <f>IF($J510=0,"",INDEX(ChqKey,494))</f>
        <v/>
      </c>
      <c r="L510">
        <f>IF($K510="","",COUNTIFS($J$17:$J$516,1,$K$17:$K$516,"&lt;"&amp;$K510)+1)</f>
        <v/>
      </c>
    </row>
    <row r="511">
      <c r="A511" s="10">
        <f>IF(IFERROR(MATCH(495,ChqRankL,0),0)=0,"",495)</f>
        <v/>
      </c>
      <c r="B511" s="22">
        <f>IF(IFERROR(MATCH(495,ChqRankL,0),0)=0,"",INDEX(ChqNorm,IFERROR(MATCH(495,ChqRankL,0),0)))</f>
        <v/>
      </c>
      <c r="C511" s="22">
        <f>IF(IFERROR(MATCH(495,ChqRankL,0),0)=0,"",INDEX(ChqNo,IFERROR(MATCH(495,ChqRankL,0),0)))</f>
        <v/>
      </c>
      <c r="D511" s="23">
        <f>IF(IFERROR(MATCH(495,ChqRankL,0),0)=0,"",IF(INDEX(ChqAmt,IFERROR(MATCH(495,ChqRankL,0),0))=0,"",INDEX(ChqAmt,IFERROR(MATCH(495,ChqRankL,0),0))))</f>
        <v/>
      </c>
      <c r="E511" s="14">
        <f>IF(IFERROR(MATCH(495,ChqRankL,0),0)=0,"",INDEX(ChqStatus,IFERROR(MATCH(495,ChqRankL,0),0)))</f>
        <v/>
      </c>
      <c r="F511" s="22">
        <f>IF(IFERROR(MATCH(495,ChqRankL,0),0)=0,"",IF(INDEX(ChqStatus,IFERROR(MATCH(495,ChqRankL,0),0))="پاس نشده","—",IF(INDEX(ChqClr,IFERROR(MATCH(495,ChqRankL,0),0))="","—",INDEX(ChqClr,IFERROR(MATCH(495,ChqRankL,0),0)))))</f>
        <v/>
      </c>
      <c r="I511">
        <f>IF(495&gt;NChq,"",INDEX(ChqNorm,495))</f>
        <v/>
      </c>
      <c r="J511">
        <f>IF($I511="","",IF(AND($I511&gt;=$H$3,$I511&lt;=$H$4),1,0))</f>
        <v/>
      </c>
      <c r="K511">
        <f>IF($J511=0,"",INDEX(ChqKey,495))</f>
        <v/>
      </c>
      <c r="L511">
        <f>IF($K511="","",COUNTIFS($J$17:$J$516,1,$K$17:$K$516,"&lt;"&amp;$K511)+1)</f>
        <v/>
      </c>
    </row>
    <row r="512">
      <c r="A512" s="16">
        <f>IF(IFERROR(MATCH(496,ChqRankL,0),0)=0,"",496)</f>
        <v/>
      </c>
      <c r="B512" s="24">
        <f>IF(IFERROR(MATCH(496,ChqRankL,0),0)=0,"",INDEX(ChqNorm,IFERROR(MATCH(496,ChqRankL,0),0)))</f>
        <v/>
      </c>
      <c r="C512" s="24">
        <f>IF(IFERROR(MATCH(496,ChqRankL,0),0)=0,"",INDEX(ChqNo,IFERROR(MATCH(496,ChqRankL,0),0)))</f>
        <v/>
      </c>
      <c r="D512" s="25">
        <f>IF(IFERROR(MATCH(496,ChqRankL,0),0)=0,"",IF(INDEX(ChqAmt,IFERROR(MATCH(496,ChqRankL,0),0))=0,"",INDEX(ChqAmt,IFERROR(MATCH(496,ChqRankL,0),0))))</f>
        <v/>
      </c>
      <c r="E512" s="17">
        <f>IF(IFERROR(MATCH(496,ChqRankL,0),0)=0,"",INDEX(ChqStatus,IFERROR(MATCH(496,ChqRankL,0),0)))</f>
        <v/>
      </c>
      <c r="F512" s="24">
        <f>IF(IFERROR(MATCH(496,ChqRankL,0),0)=0,"",IF(INDEX(ChqStatus,IFERROR(MATCH(496,ChqRankL,0),0))="پاس نشده","—",IF(INDEX(ChqClr,IFERROR(MATCH(496,ChqRankL,0),0))="","—",INDEX(ChqClr,IFERROR(MATCH(496,ChqRankL,0),0)))))</f>
        <v/>
      </c>
      <c r="I512">
        <f>IF(496&gt;NChq,"",INDEX(ChqNorm,496))</f>
        <v/>
      </c>
      <c r="J512">
        <f>IF($I512="","",IF(AND($I512&gt;=$H$3,$I512&lt;=$H$4),1,0))</f>
        <v/>
      </c>
      <c r="K512">
        <f>IF($J512=0,"",INDEX(ChqKey,496))</f>
        <v/>
      </c>
      <c r="L512">
        <f>IF($K512="","",COUNTIFS($J$17:$J$516,1,$K$17:$K$516,"&lt;"&amp;$K512)+1)</f>
        <v/>
      </c>
    </row>
    <row r="513">
      <c r="A513" s="10">
        <f>IF(IFERROR(MATCH(497,ChqRankL,0),0)=0,"",497)</f>
        <v/>
      </c>
      <c r="B513" s="22">
        <f>IF(IFERROR(MATCH(497,ChqRankL,0),0)=0,"",INDEX(ChqNorm,IFERROR(MATCH(497,ChqRankL,0),0)))</f>
        <v/>
      </c>
      <c r="C513" s="22">
        <f>IF(IFERROR(MATCH(497,ChqRankL,0),0)=0,"",INDEX(ChqNo,IFERROR(MATCH(497,ChqRankL,0),0)))</f>
        <v/>
      </c>
      <c r="D513" s="23">
        <f>IF(IFERROR(MATCH(497,ChqRankL,0),0)=0,"",IF(INDEX(ChqAmt,IFERROR(MATCH(497,ChqRankL,0),0))=0,"",INDEX(ChqAmt,IFERROR(MATCH(497,ChqRankL,0),0))))</f>
        <v/>
      </c>
      <c r="E513" s="14">
        <f>IF(IFERROR(MATCH(497,ChqRankL,0),0)=0,"",INDEX(ChqStatus,IFERROR(MATCH(497,ChqRankL,0),0)))</f>
        <v/>
      </c>
      <c r="F513" s="22">
        <f>IF(IFERROR(MATCH(497,ChqRankL,0),0)=0,"",IF(INDEX(ChqStatus,IFERROR(MATCH(497,ChqRankL,0),0))="پاس نشده","—",IF(INDEX(ChqClr,IFERROR(MATCH(497,ChqRankL,0),0))="","—",INDEX(ChqClr,IFERROR(MATCH(497,ChqRankL,0),0)))))</f>
        <v/>
      </c>
      <c r="I513">
        <f>IF(497&gt;NChq,"",INDEX(ChqNorm,497))</f>
        <v/>
      </c>
      <c r="J513">
        <f>IF($I513="","",IF(AND($I513&gt;=$H$3,$I513&lt;=$H$4),1,0))</f>
        <v/>
      </c>
      <c r="K513">
        <f>IF($J513=0,"",INDEX(ChqKey,497))</f>
        <v/>
      </c>
      <c r="L513">
        <f>IF($K513="","",COUNTIFS($J$17:$J$516,1,$K$17:$K$516,"&lt;"&amp;$K513)+1)</f>
        <v/>
      </c>
    </row>
    <row r="514">
      <c r="A514" s="16">
        <f>IF(IFERROR(MATCH(498,ChqRankL,0),0)=0,"",498)</f>
        <v/>
      </c>
      <c r="B514" s="24">
        <f>IF(IFERROR(MATCH(498,ChqRankL,0),0)=0,"",INDEX(ChqNorm,IFERROR(MATCH(498,ChqRankL,0),0)))</f>
        <v/>
      </c>
      <c r="C514" s="24">
        <f>IF(IFERROR(MATCH(498,ChqRankL,0),0)=0,"",INDEX(ChqNo,IFERROR(MATCH(498,ChqRankL,0),0)))</f>
        <v/>
      </c>
      <c r="D514" s="25">
        <f>IF(IFERROR(MATCH(498,ChqRankL,0),0)=0,"",IF(INDEX(ChqAmt,IFERROR(MATCH(498,ChqRankL,0),0))=0,"",INDEX(ChqAmt,IFERROR(MATCH(498,ChqRankL,0),0))))</f>
        <v/>
      </c>
      <c r="E514" s="17">
        <f>IF(IFERROR(MATCH(498,ChqRankL,0),0)=0,"",INDEX(ChqStatus,IFERROR(MATCH(498,ChqRankL,0),0)))</f>
        <v/>
      </c>
      <c r="F514" s="24">
        <f>IF(IFERROR(MATCH(498,ChqRankL,0),0)=0,"",IF(INDEX(ChqStatus,IFERROR(MATCH(498,ChqRankL,0),0))="پاس نشده","—",IF(INDEX(ChqClr,IFERROR(MATCH(498,ChqRankL,0),0))="","—",INDEX(ChqClr,IFERROR(MATCH(498,ChqRankL,0),0)))))</f>
        <v/>
      </c>
      <c r="I514">
        <f>IF(498&gt;NChq,"",INDEX(ChqNorm,498))</f>
        <v/>
      </c>
      <c r="J514">
        <f>IF($I514="","",IF(AND($I514&gt;=$H$3,$I514&lt;=$H$4),1,0))</f>
        <v/>
      </c>
      <c r="K514">
        <f>IF($J514=0,"",INDEX(ChqKey,498))</f>
        <v/>
      </c>
      <c r="L514">
        <f>IF($K514="","",COUNTIFS($J$17:$J$516,1,$K$17:$K$516,"&lt;"&amp;$K514)+1)</f>
        <v/>
      </c>
    </row>
    <row r="515">
      <c r="A515" s="10">
        <f>IF(IFERROR(MATCH(499,ChqRankL,0),0)=0,"",499)</f>
        <v/>
      </c>
      <c r="B515" s="22">
        <f>IF(IFERROR(MATCH(499,ChqRankL,0),0)=0,"",INDEX(ChqNorm,IFERROR(MATCH(499,ChqRankL,0),0)))</f>
        <v/>
      </c>
      <c r="C515" s="22">
        <f>IF(IFERROR(MATCH(499,ChqRankL,0),0)=0,"",INDEX(ChqNo,IFERROR(MATCH(499,ChqRankL,0),0)))</f>
        <v/>
      </c>
      <c r="D515" s="23">
        <f>IF(IFERROR(MATCH(499,ChqRankL,0),0)=0,"",IF(INDEX(ChqAmt,IFERROR(MATCH(499,ChqRankL,0),0))=0,"",INDEX(ChqAmt,IFERROR(MATCH(499,ChqRankL,0),0))))</f>
        <v/>
      </c>
      <c r="E515" s="14">
        <f>IF(IFERROR(MATCH(499,ChqRankL,0),0)=0,"",INDEX(ChqStatus,IFERROR(MATCH(499,ChqRankL,0),0)))</f>
        <v/>
      </c>
      <c r="F515" s="22">
        <f>IF(IFERROR(MATCH(499,ChqRankL,0),0)=0,"",IF(INDEX(ChqStatus,IFERROR(MATCH(499,ChqRankL,0),0))="پاس نشده","—",IF(INDEX(ChqClr,IFERROR(MATCH(499,ChqRankL,0),0))="","—",INDEX(ChqClr,IFERROR(MATCH(499,ChqRankL,0),0)))))</f>
        <v/>
      </c>
      <c r="I515">
        <f>IF(499&gt;NChq,"",INDEX(ChqNorm,499))</f>
        <v/>
      </c>
      <c r="J515">
        <f>IF($I515="","",IF(AND($I515&gt;=$H$3,$I515&lt;=$H$4),1,0))</f>
        <v/>
      </c>
      <c r="K515">
        <f>IF($J515=0,"",INDEX(ChqKey,499))</f>
        <v/>
      </c>
      <c r="L515">
        <f>IF($K515="","",COUNTIFS($J$17:$J$516,1,$K$17:$K$516,"&lt;"&amp;$K515)+1)</f>
        <v/>
      </c>
    </row>
    <row r="516">
      <c r="A516" s="16">
        <f>IF(IFERROR(MATCH(500,ChqRankL,0),0)=0,"",500)</f>
        <v/>
      </c>
      <c r="B516" s="24">
        <f>IF(IFERROR(MATCH(500,ChqRankL,0),0)=0,"",INDEX(ChqNorm,IFERROR(MATCH(500,ChqRankL,0),0)))</f>
        <v/>
      </c>
      <c r="C516" s="24">
        <f>IF(IFERROR(MATCH(500,ChqRankL,0),0)=0,"",INDEX(ChqNo,IFERROR(MATCH(500,ChqRankL,0),0)))</f>
        <v/>
      </c>
      <c r="D516" s="25">
        <f>IF(IFERROR(MATCH(500,ChqRankL,0),0)=0,"",IF(INDEX(ChqAmt,IFERROR(MATCH(500,ChqRankL,0),0))=0,"",INDEX(ChqAmt,IFERROR(MATCH(500,ChqRankL,0),0))))</f>
        <v/>
      </c>
      <c r="E516" s="17">
        <f>IF(IFERROR(MATCH(500,ChqRankL,0),0)=0,"",INDEX(ChqStatus,IFERROR(MATCH(500,ChqRankL,0),0)))</f>
        <v/>
      </c>
      <c r="F516" s="24">
        <f>IF(IFERROR(MATCH(500,ChqRankL,0),0)=0,"",IF(INDEX(ChqStatus,IFERROR(MATCH(500,ChqRankL,0),0))="پاس نشده","—",IF(INDEX(ChqClr,IFERROR(MATCH(500,ChqRankL,0),0))="","—",INDEX(ChqClr,IFERROR(MATCH(500,ChqRankL,0),0)))))</f>
        <v/>
      </c>
      <c r="I516">
        <f>IF(500&gt;NChq,"",INDEX(ChqNorm,500))</f>
        <v/>
      </c>
      <c r="J516">
        <f>IF($I516="","",IF(AND($I516&gt;=$H$3,$I516&lt;=$H$4),1,0))</f>
        <v/>
      </c>
      <c r="K516">
        <f>IF($J516=0,"",INDEX(ChqKey,500))</f>
        <v/>
      </c>
      <c r="L516">
        <f>IF($K516="","",COUNTIFS($J$17:$J$516,1,$K$17:$K$516,"&lt;"&amp;$K516)+1)</f>
        <v/>
      </c>
    </row>
  </sheetData>
  <mergeCells count="12">
    <mergeCell ref="A2:F2"/>
    <mergeCell ref="C12:D12"/>
    <mergeCell ref="E12:F12"/>
    <mergeCell ref="C11:D11"/>
    <mergeCell ref="A1:F1"/>
    <mergeCell ref="A11:B11"/>
    <mergeCell ref="E11:F11"/>
    <mergeCell ref="E5:F5"/>
    <mergeCell ref="A3:F3"/>
    <mergeCell ref="C5"/>
    <mergeCell ref="A5"/>
    <mergeCell ref="A12:B12"/>
  </mergeCells>
  <conditionalFormatting sqref="E17:E516">
    <cfRule type="cellIs" priority="1" operator="equal" dxfId="0">
      <formula>"پاس شده"</formula>
    </cfRule>
    <cfRule type="cellIs" priority="2" operator="equal" dxfId="2">
      <formula>"پاس نشده"</formula>
    </cfRule>
  </conditionalFormatting>
  <conditionalFormatting sqref="D17:D516">
    <cfRule type="dataBar" priority="3">
      <dataBar showValue="1">
        <cfvo type="num" val="0"/>
        <cfvo type="max"/>
        <color rgb="00FFB74D"/>
      </dataBar>
    </cfRule>
  </conditionalFormatting>
  <dataValidations count="2">
    <dataValidation sqref="B5" showDropDown="0" showInputMessage="0" showErrorMessage="0" allowBlank="0" errorTitle="قالب تاریخ" error="از تاریخ را با قالب 1405/07/01 وارد کنید." type="custom" errorStyle="stop">
      <formula1>AND(LEN($B$5)=10,MID($B$5,5,1)="/",MID($B$5,8,1)="/")</formula1>
    </dataValidation>
    <dataValidation sqref="D5" showDropDown="0" showInputMessage="0" showErrorMessage="0" allowBlank="0" errorTitle="قالب تاریخ" error="تا تاریخ را با قالب 1405/07/31 وارد کنید." type="custom" errorStyle="stop">
      <formula1>AND(LEN($D$5)=10,MID($D$5,5,1)="/",MID($D$5,8,1)="/")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گردش چک‌های پرداختی در بازه — همه چک‌ها (سبز = پاس شده، قرمز = پاس نشده)&amp;R&amp;"Tahoma"&amp;8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L516"/>
  <sheetViews>
    <sheetView showGridLines="0" rightToLeft="1" zoomScale="9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.5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6" customWidth="1" min="8" max="8"/>
    <col width="6" customWidth="1" min="9" max="9"/>
    <col width="5" customWidth="1" min="10" max="10"/>
    <col width="6" customWidth="1" min="11" max="11"/>
    <col width="6" customWidth="1" min="12" max="12"/>
  </cols>
  <sheetData>
    <row r="1" ht="26" customHeight="1">
      <c r="A1" s="1">
        <f>IF(Sync!$J$6="","مازندشت",Sync!$J$6)&amp;" — "&amp;IF(Sync!$J$9="","سورتینگ و بسته‌بندی مرکبات",Sync!$J$9)</f>
        <v/>
      </c>
      <c r="B1" s="1" t="n"/>
      <c r="C1" s="1" t="n"/>
      <c r="D1" s="1" t="n"/>
      <c r="E1" s="1" t="n"/>
      <c r="F1" s="1" t="n"/>
    </row>
    <row r="2" ht="14" customHeight="1">
      <c r="A2" s="2">
        <f>IF(Sync!$J$7="","باغدشت، بخش مرکزی، شهرستان قائم‌شهر، استان مازندران، ایران",Sync!$J$7)&amp;"     |     MAZANDASHT · CITRUS SORTING &amp; PACKING"</f>
        <v/>
      </c>
      <c r="B2" s="2" t="n"/>
      <c r="C2" s="2" t="n"/>
      <c r="D2" s="2" t="n"/>
      <c r="E2" s="2" t="n"/>
      <c r="F2" s="2" t="n"/>
    </row>
    <row r="3" ht="24" customHeight="1">
      <c r="A3" s="3" t="inlineStr">
        <is>
          <t>چک‌های پاس‌نشده در بازه — به ترتیب تاریخ</t>
        </is>
      </c>
      <c r="B3" s="3" t="n"/>
      <c r="C3" s="3" t="n"/>
      <c r="D3" s="3" t="n"/>
      <c r="E3" s="3" t="n"/>
      <c r="F3" s="3" t="n"/>
      <c r="H3" s="18">
        <f>IF(OR($B$5="",LEN($B$5)&lt;&gt;10),"",$B$5)</f>
        <v/>
      </c>
    </row>
    <row r="4">
      <c r="H4" s="18">
        <f>IF(OR($D$5="",LEN($D$5)&lt;&gt;10),"",$D$5)</f>
        <v/>
      </c>
    </row>
    <row r="5" ht="20" customHeight="1">
      <c r="A5" s="19" t="inlineStr">
        <is>
          <t>از تاریخ:</t>
        </is>
      </c>
      <c r="B5" s="20" t="inlineStr">
        <is>
          <t>1405/07/01</t>
        </is>
      </c>
      <c r="C5" s="19" t="inlineStr">
        <is>
          <t>تا تاریخ:</t>
        </is>
      </c>
      <c r="D5" s="20" t="inlineStr">
        <is>
          <t>1405/07/31</t>
        </is>
      </c>
      <c r="E5" s="21" t="inlineStr">
        <is>
          <t>بازه را با قالب 1405/07/01 وارد کنید — برای هر ماه، همین شیت را کپی کنید و بازه را عوض کنید.</t>
        </is>
      </c>
      <c r="F5" s="21" t="n"/>
    </row>
    <row r="11" ht="13" customHeight="1">
      <c r="A11" s="5" t="inlineStr">
        <is>
          <t>جمع چک‌های پاس‌نشده (ریال)</t>
        </is>
      </c>
      <c r="B11" s="5" t="n"/>
      <c r="C11" s="5" t="inlineStr">
        <is>
          <t>تعداد</t>
        </is>
      </c>
      <c r="D11" s="5" t="n"/>
      <c r="E11" s="5" t="inlineStr">
        <is>
          <t>نزدیک‌ترین سررسید</t>
        </is>
      </c>
      <c r="F11" s="5" t="n"/>
    </row>
    <row r="12" ht="22" customHeight="1">
      <c r="A12" s="7">
        <f>SUM($D$17:$D$516)</f>
        <v/>
      </c>
      <c r="B12" s="7" t="n"/>
      <c r="C12" s="6">
        <f>COUNT($D$17:$D$516)</f>
        <v/>
      </c>
      <c r="D12" s="6" t="n"/>
      <c r="E12" s="26">
        <f>IF(COUNT($D$17:$D$516)=0,"—",INDEX($B$17:$B$516,1))</f>
        <v/>
      </c>
      <c r="F12" s="26" t="n"/>
    </row>
    <row r="13" ht="30" customHeight="1">
      <c r="A13" s="8" t="inlineStr">
        <is>
          <t>ردیف</t>
        </is>
      </c>
      <c r="B13" s="8" t="inlineStr">
        <is>
          <t>تاریخ چک</t>
        </is>
      </c>
      <c r="C13" s="8" t="inlineStr">
        <is>
          <t>شماره چک</t>
        </is>
      </c>
      <c r="D13" s="8" t="inlineStr">
        <is>
          <t>مبلغ (ریال)</t>
        </is>
      </c>
      <c r="E13" s="8" t="inlineStr">
        <is>
          <t>وضعیت</t>
        </is>
      </c>
      <c r="F13" s="8" t="inlineStr">
        <is>
          <t>تاریخ پاس</t>
        </is>
      </c>
    </row>
    <row r="14" ht="13" customHeight="1">
      <c r="A14" s="9" t="inlineStr">
        <is>
          <t>No.</t>
        </is>
      </c>
      <c r="B14" s="9" t="inlineStr">
        <is>
          <t>Cheque Date</t>
        </is>
      </c>
      <c r="C14" s="9" t="inlineStr">
        <is>
          <t>Cheque No.</t>
        </is>
      </c>
      <c r="D14" s="9" t="inlineStr">
        <is>
          <t>Amount</t>
        </is>
      </c>
      <c r="E14" s="9" t="inlineStr">
        <is>
          <t>Status</t>
        </is>
      </c>
      <c r="F14" s="9" t="inlineStr">
        <is>
          <t>Cleared On</t>
        </is>
      </c>
    </row>
    <row r="17">
      <c r="A17" s="10">
        <f>IF(IFERROR(MATCH(1,ChqRankU,0),0)=0,"",1)</f>
        <v/>
      </c>
      <c r="B17" s="22">
        <f>IF(IFERROR(MATCH(1,ChqRankU,0),0)=0,"",INDEX(ChqNorm,IFERROR(MATCH(1,ChqRankU,0),0)))</f>
        <v/>
      </c>
      <c r="C17" s="22">
        <f>IF(IFERROR(MATCH(1,ChqRankU,0),0)=0,"",INDEX(ChqNo,IFERROR(MATCH(1,ChqRankU,0),0)))</f>
        <v/>
      </c>
      <c r="D17" s="23">
        <f>IF(IFERROR(MATCH(1,ChqRankU,0),0)=0,"",IF(INDEX(ChqAmt,IFERROR(MATCH(1,ChqRankU,0),0))=0,"",INDEX(ChqAmt,IFERROR(MATCH(1,ChqRankU,0),0))))</f>
        <v/>
      </c>
      <c r="E17" s="14">
        <f>IF(IFERROR(MATCH(1,ChqRankU,0),0)=0,"",INDEX(ChqStatus,IFERROR(MATCH(1,ChqRankU,0),0)))</f>
        <v/>
      </c>
      <c r="F17" s="22">
        <f>IF(IFERROR(MATCH(1,ChqRankU,0),0)=0,"",IF(INDEX(ChqStatus,IFERROR(MATCH(1,ChqRankU,0),0))="پاس نشده","—",IF(INDEX(ChqClr,IFERROR(MATCH(1,ChqRankU,0),0))="","—",INDEX(ChqClr,IFERROR(MATCH(1,ChqRankU,0),0)))))</f>
        <v/>
      </c>
      <c r="I17">
        <f>IF(1&gt;NChq,"",INDEX(ChqNorm,1))</f>
        <v/>
      </c>
      <c r="J17">
        <f>IF($I17="","",IF(AND($I17&gt;=$H$3,$I17&lt;=$H$4,INDEX(ChqStatus,1)="پاس نشده"),1,0))</f>
        <v/>
      </c>
      <c r="K17">
        <f>IF($J17=0,"",INDEX(ChqKey,1))</f>
        <v/>
      </c>
      <c r="L17">
        <f>IF($K17="","",COUNTIFS($J$17:$J$516,1,$K$17:$K$516,"&lt;"&amp;$K17)+1)</f>
        <v/>
      </c>
    </row>
    <row r="18">
      <c r="A18" s="16">
        <f>IF(IFERROR(MATCH(2,ChqRankU,0),0)=0,"",2)</f>
        <v/>
      </c>
      <c r="B18" s="24">
        <f>IF(IFERROR(MATCH(2,ChqRankU,0),0)=0,"",INDEX(ChqNorm,IFERROR(MATCH(2,ChqRankU,0),0)))</f>
        <v/>
      </c>
      <c r="C18" s="24">
        <f>IF(IFERROR(MATCH(2,ChqRankU,0),0)=0,"",INDEX(ChqNo,IFERROR(MATCH(2,ChqRankU,0),0)))</f>
        <v/>
      </c>
      <c r="D18" s="25">
        <f>IF(IFERROR(MATCH(2,ChqRankU,0),0)=0,"",IF(INDEX(ChqAmt,IFERROR(MATCH(2,ChqRankU,0),0))=0,"",INDEX(ChqAmt,IFERROR(MATCH(2,ChqRankU,0),0))))</f>
        <v/>
      </c>
      <c r="E18" s="17">
        <f>IF(IFERROR(MATCH(2,ChqRankU,0),0)=0,"",INDEX(ChqStatus,IFERROR(MATCH(2,ChqRankU,0),0)))</f>
        <v/>
      </c>
      <c r="F18" s="24">
        <f>IF(IFERROR(MATCH(2,ChqRankU,0),0)=0,"",IF(INDEX(ChqStatus,IFERROR(MATCH(2,ChqRankU,0),0))="پاس نشده","—",IF(INDEX(ChqClr,IFERROR(MATCH(2,ChqRankU,0),0))="","—",INDEX(ChqClr,IFERROR(MATCH(2,ChqRankU,0),0)))))</f>
        <v/>
      </c>
      <c r="I18">
        <f>IF(2&gt;NChq,"",INDEX(ChqNorm,2))</f>
        <v/>
      </c>
      <c r="J18">
        <f>IF($I18="","",IF(AND($I18&gt;=$H$3,$I18&lt;=$H$4,INDEX(ChqStatus,2)="پاس نشده"),1,0))</f>
        <v/>
      </c>
      <c r="K18">
        <f>IF($J18=0,"",INDEX(ChqKey,2))</f>
        <v/>
      </c>
      <c r="L18">
        <f>IF($K18="","",COUNTIFS($J$17:$J$516,1,$K$17:$K$516,"&lt;"&amp;$K18)+1)</f>
        <v/>
      </c>
    </row>
    <row r="19">
      <c r="A19" s="10">
        <f>IF(IFERROR(MATCH(3,ChqRankU,0),0)=0,"",3)</f>
        <v/>
      </c>
      <c r="B19" s="22">
        <f>IF(IFERROR(MATCH(3,ChqRankU,0),0)=0,"",INDEX(ChqNorm,IFERROR(MATCH(3,ChqRankU,0),0)))</f>
        <v/>
      </c>
      <c r="C19" s="22">
        <f>IF(IFERROR(MATCH(3,ChqRankU,0),0)=0,"",INDEX(ChqNo,IFERROR(MATCH(3,ChqRankU,0),0)))</f>
        <v/>
      </c>
      <c r="D19" s="23">
        <f>IF(IFERROR(MATCH(3,ChqRankU,0),0)=0,"",IF(INDEX(ChqAmt,IFERROR(MATCH(3,ChqRankU,0),0))=0,"",INDEX(ChqAmt,IFERROR(MATCH(3,ChqRankU,0),0))))</f>
        <v/>
      </c>
      <c r="E19" s="14">
        <f>IF(IFERROR(MATCH(3,ChqRankU,0),0)=0,"",INDEX(ChqStatus,IFERROR(MATCH(3,ChqRankU,0),0)))</f>
        <v/>
      </c>
      <c r="F19" s="22">
        <f>IF(IFERROR(MATCH(3,ChqRankU,0),0)=0,"",IF(INDEX(ChqStatus,IFERROR(MATCH(3,ChqRankU,0),0))="پاس نشده","—",IF(INDEX(ChqClr,IFERROR(MATCH(3,ChqRankU,0),0))="","—",INDEX(ChqClr,IFERROR(MATCH(3,ChqRankU,0),0)))))</f>
        <v/>
      </c>
      <c r="I19">
        <f>IF(3&gt;NChq,"",INDEX(ChqNorm,3))</f>
        <v/>
      </c>
      <c r="J19">
        <f>IF($I19="","",IF(AND($I19&gt;=$H$3,$I19&lt;=$H$4,INDEX(ChqStatus,3)="پاس نشده"),1,0))</f>
        <v/>
      </c>
      <c r="K19">
        <f>IF($J19=0,"",INDEX(ChqKey,3))</f>
        <v/>
      </c>
      <c r="L19">
        <f>IF($K19="","",COUNTIFS($J$17:$J$516,1,$K$17:$K$516,"&lt;"&amp;$K19)+1)</f>
        <v/>
      </c>
    </row>
    <row r="20">
      <c r="A20" s="16">
        <f>IF(IFERROR(MATCH(4,ChqRankU,0),0)=0,"",4)</f>
        <v/>
      </c>
      <c r="B20" s="24">
        <f>IF(IFERROR(MATCH(4,ChqRankU,0),0)=0,"",INDEX(ChqNorm,IFERROR(MATCH(4,ChqRankU,0),0)))</f>
        <v/>
      </c>
      <c r="C20" s="24">
        <f>IF(IFERROR(MATCH(4,ChqRankU,0),0)=0,"",INDEX(ChqNo,IFERROR(MATCH(4,ChqRankU,0),0)))</f>
        <v/>
      </c>
      <c r="D20" s="25">
        <f>IF(IFERROR(MATCH(4,ChqRankU,0),0)=0,"",IF(INDEX(ChqAmt,IFERROR(MATCH(4,ChqRankU,0),0))=0,"",INDEX(ChqAmt,IFERROR(MATCH(4,ChqRankU,0),0))))</f>
        <v/>
      </c>
      <c r="E20" s="17">
        <f>IF(IFERROR(MATCH(4,ChqRankU,0),0)=0,"",INDEX(ChqStatus,IFERROR(MATCH(4,ChqRankU,0),0)))</f>
        <v/>
      </c>
      <c r="F20" s="24">
        <f>IF(IFERROR(MATCH(4,ChqRankU,0),0)=0,"",IF(INDEX(ChqStatus,IFERROR(MATCH(4,ChqRankU,0),0))="پاس نشده","—",IF(INDEX(ChqClr,IFERROR(MATCH(4,ChqRankU,0),0))="","—",INDEX(ChqClr,IFERROR(MATCH(4,ChqRankU,0),0)))))</f>
        <v/>
      </c>
      <c r="I20">
        <f>IF(4&gt;NChq,"",INDEX(ChqNorm,4))</f>
        <v/>
      </c>
      <c r="J20">
        <f>IF($I20="","",IF(AND($I20&gt;=$H$3,$I20&lt;=$H$4,INDEX(ChqStatus,4)="پاس نشده"),1,0))</f>
        <v/>
      </c>
      <c r="K20">
        <f>IF($J20=0,"",INDEX(ChqKey,4))</f>
        <v/>
      </c>
      <c r="L20">
        <f>IF($K20="","",COUNTIFS($J$17:$J$516,1,$K$17:$K$516,"&lt;"&amp;$K20)+1)</f>
        <v/>
      </c>
    </row>
    <row r="21">
      <c r="A21" s="10">
        <f>IF(IFERROR(MATCH(5,ChqRankU,0),0)=0,"",5)</f>
        <v/>
      </c>
      <c r="B21" s="22">
        <f>IF(IFERROR(MATCH(5,ChqRankU,0),0)=0,"",INDEX(ChqNorm,IFERROR(MATCH(5,ChqRankU,0),0)))</f>
        <v/>
      </c>
      <c r="C21" s="22">
        <f>IF(IFERROR(MATCH(5,ChqRankU,0),0)=0,"",INDEX(ChqNo,IFERROR(MATCH(5,ChqRankU,0),0)))</f>
        <v/>
      </c>
      <c r="D21" s="23">
        <f>IF(IFERROR(MATCH(5,ChqRankU,0),0)=0,"",IF(INDEX(ChqAmt,IFERROR(MATCH(5,ChqRankU,0),0))=0,"",INDEX(ChqAmt,IFERROR(MATCH(5,ChqRankU,0),0))))</f>
        <v/>
      </c>
      <c r="E21" s="14">
        <f>IF(IFERROR(MATCH(5,ChqRankU,0),0)=0,"",INDEX(ChqStatus,IFERROR(MATCH(5,ChqRankU,0),0)))</f>
        <v/>
      </c>
      <c r="F21" s="22">
        <f>IF(IFERROR(MATCH(5,ChqRankU,0),0)=0,"",IF(INDEX(ChqStatus,IFERROR(MATCH(5,ChqRankU,0),0))="پاس نشده","—",IF(INDEX(ChqClr,IFERROR(MATCH(5,ChqRankU,0),0))="","—",INDEX(ChqClr,IFERROR(MATCH(5,ChqRankU,0),0)))))</f>
        <v/>
      </c>
      <c r="I21">
        <f>IF(5&gt;NChq,"",INDEX(ChqNorm,5))</f>
        <v/>
      </c>
      <c r="J21">
        <f>IF($I21="","",IF(AND($I21&gt;=$H$3,$I21&lt;=$H$4,INDEX(ChqStatus,5)="پاس نشده"),1,0))</f>
        <v/>
      </c>
      <c r="K21">
        <f>IF($J21=0,"",INDEX(ChqKey,5))</f>
        <v/>
      </c>
      <c r="L21">
        <f>IF($K21="","",COUNTIFS($J$17:$J$516,1,$K$17:$K$516,"&lt;"&amp;$K21)+1)</f>
        <v/>
      </c>
    </row>
    <row r="22">
      <c r="A22" s="16">
        <f>IF(IFERROR(MATCH(6,ChqRankU,0),0)=0,"",6)</f>
        <v/>
      </c>
      <c r="B22" s="24">
        <f>IF(IFERROR(MATCH(6,ChqRankU,0),0)=0,"",INDEX(ChqNorm,IFERROR(MATCH(6,ChqRankU,0),0)))</f>
        <v/>
      </c>
      <c r="C22" s="24">
        <f>IF(IFERROR(MATCH(6,ChqRankU,0),0)=0,"",INDEX(ChqNo,IFERROR(MATCH(6,ChqRankU,0),0)))</f>
        <v/>
      </c>
      <c r="D22" s="25">
        <f>IF(IFERROR(MATCH(6,ChqRankU,0),0)=0,"",IF(INDEX(ChqAmt,IFERROR(MATCH(6,ChqRankU,0),0))=0,"",INDEX(ChqAmt,IFERROR(MATCH(6,ChqRankU,0),0))))</f>
        <v/>
      </c>
      <c r="E22" s="17">
        <f>IF(IFERROR(MATCH(6,ChqRankU,0),0)=0,"",INDEX(ChqStatus,IFERROR(MATCH(6,ChqRankU,0),0)))</f>
        <v/>
      </c>
      <c r="F22" s="24">
        <f>IF(IFERROR(MATCH(6,ChqRankU,0),0)=0,"",IF(INDEX(ChqStatus,IFERROR(MATCH(6,ChqRankU,0),0))="پاس نشده","—",IF(INDEX(ChqClr,IFERROR(MATCH(6,ChqRankU,0),0))="","—",INDEX(ChqClr,IFERROR(MATCH(6,ChqRankU,0),0)))))</f>
        <v/>
      </c>
      <c r="I22">
        <f>IF(6&gt;NChq,"",INDEX(ChqNorm,6))</f>
        <v/>
      </c>
      <c r="J22">
        <f>IF($I22="","",IF(AND($I22&gt;=$H$3,$I22&lt;=$H$4,INDEX(ChqStatus,6)="پاس نشده"),1,0))</f>
        <v/>
      </c>
      <c r="K22">
        <f>IF($J22=0,"",INDEX(ChqKey,6))</f>
        <v/>
      </c>
      <c r="L22">
        <f>IF($K22="","",COUNTIFS($J$17:$J$516,1,$K$17:$K$516,"&lt;"&amp;$K22)+1)</f>
        <v/>
      </c>
    </row>
    <row r="23">
      <c r="A23" s="10">
        <f>IF(IFERROR(MATCH(7,ChqRankU,0),0)=0,"",7)</f>
        <v/>
      </c>
      <c r="B23" s="22">
        <f>IF(IFERROR(MATCH(7,ChqRankU,0),0)=0,"",INDEX(ChqNorm,IFERROR(MATCH(7,ChqRankU,0),0)))</f>
        <v/>
      </c>
      <c r="C23" s="22">
        <f>IF(IFERROR(MATCH(7,ChqRankU,0),0)=0,"",INDEX(ChqNo,IFERROR(MATCH(7,ChqRankU,0),0)))</f>
        <v/>
      </c>
      <c r="D23" s="23">
        <f>IF(IFERROR(MATCH(7,ChqRankU,0),0)=0,"",IF(INDEX(ChqAmt,IFERROR(MATCH(7,ChqRankU,0),0))=0,"",INDEX(ChqAmt,IFERROR(MATCH(7,ChqRankU,0),0))))</f>
        <v/>
      </c>
      <c r="E23" s="14">
        <f>IF(IFERROR(MATCH(7,ChqRankU,0),0)=0,"",INDEX(ChqStatus,IFERROR(MATCH(7,ChqRankU,0),0)))</f>
        <v/>
      </c>
      <c r="F23" s="22">
        <f>IF(IFERROR(MATCH(7,ChqRankU,0),0)=0,"",IF(INDEX(ChqStatus,IFERROR(MATCH(7,ChqRankU,0),0))="پاس نشده","—",IF(INDEX(ChqClr,IFERROR(MATCH(7,ChqRankU,0),0))="","—",INDEX(ChqClr,IFERROR(MATCH(7,ChqRankU,0),0)))))</f>
        <v/>
      </c>
      <c r="I23">
        <f>IF(7&gt;NChq,"",INDEX(ChqNorm,7))</f>
        <v/>
      </c>
      <c r="J23">
        <f>IF($I23="","",IF(AND($I23&gt;=$H$3,$I23&lt;=$H$4,INDEX(ChqStatus,7)="پاس نشده"),1,0))</f>
        <v/>
      </c>
      <c r="K23">
        <f>IF($J23=0,"",INDEX(ChqKey,7))</f>
        <v/>
      </c>
      <c r="L23">
        <f>IF($K23="","",COUNTIFS($J$17:$J$516,1,$K$17:$K$516,"&lt;"&amp;$K23)+1)</f>
        <v/>
      </c>
    </row>
    <row r="24">
      <c r="A24" s="16">
        <f>IF(IFERROR(MATCH(8,ChqRankU,0),0)=0,"",8)</f>
        <v/>
      </c>
      <c r="B24" s="24">
        <f>IF(IFERROR(MATCH(8,ChqRankU,0),0)=0,"",INDEX(ChqNorm,IFERROR(MATCH(8,ChqRankU,0),0)))</f>
        <v/>
      </c>
      <c r="C24" s="24">
        <f>IF(IFERROR(MATCH(8,ChqRankU,0),0)=0,"",INDEX(ChqNo,IFERROR(MATCH(8,ChqRankU,0),0)))</f>
        <v/>
      </c>
      <c r="D24" s="25">
        <f>IF(IFERROR(MATCH(8,ChqRankU,0),0)=0,"",IF(INDEX(ChqAmt,IFERROR(MATCH(8,ChqRankU,0),0))=0,"",INDEX(ChqAmt,IFERROR(MATCH(8,ChqRankU,0),0))))</f>
        <v/>
      </c>
      <c r="E24" s="17">
        <f>IF(IFERROR(MATCH(8,ChqRankU,0),0)=0,"",INDEX(ChqStatus,IFERROR(MATCH(8,ChqRankU,0),0)))</f>
        <v/>
      </c>
      <c r="F24" s="24">
        <f>IF(IFERROR(MATCH(8,ChqRankU,0),0)=0,"",IF(INDEX(ChqStatus,IFERROR(MATCH(8,ChqRankU,0),0))="پاس نشده","—",IF(INDEX(ChqClr,IFERROR(MATCH(8,ChqRankU,0),0))="","—",INDEX(ChqClr,IFERROR(MATCH(8,ChqRankU,0),0)))))</f>
        <v/>
      </c>
      <c r="I24">
        <f>IF(8&gt;NChq,"",INDEX(ChqNorm,8))</f>
        <v/>
      </c>
      <c r="J24">
        <f>IF($I24="","",IF(AND($I24&gt;=$H$3,$I24&lt;=$H$4,INDEX(ChqStatus,8)="پاس نشده"),1,0))</f>
        <v/>
      </c>
      <c r="K24">
        <f>IF($J24=0,"",INDEX(ChqKey,8))</f>
        <v/>
      </c>
      <c r="L24">
        <f>IF($K24="","",COUNTIFS($J$17:$J$516,1,$K$17:$K$516,"&lt;"&amp;$K24)+1)</f>
        <v/>
      </c>
    </row>
    <row r="25">
      <c r="A25" s="10">
        <f>IF(IFERROR(MATCH(9,ChqRankU,0),0)=0,"",9)</f>
        <v/>
      </c>
      <c r="B25" s="22">
        <f>IF(IFERROR(MATCH(9,ChqRankU,0),0)=0,"",INDEX(ChqNorm,IFERROR(MATCH(9,ChqRankU,0),0)))</f>
        <v/>
      </c>
      <c r="C25" s="22">
        <f>IF(IFERROR(MATCH(9,ChqRankU,0),0)=0,"",INDEX(ChqNo,IFERROR(MATCH(9,ChqRankU,0),0)))</f>
        <v/>
      </c>
      <c r="D25" s="23">
        <f>IF(IFERROR(MATCH(9,ChqRankU,0),0)=0,"",IF(INDEX(ChqAmt,IFERROR(MATCH(9,ChqRankU,0),0))=0,"",INDEX(ChqAmt,IFERROR(MATCH(9,ChqRankU,0),0))))</f>
        <v/>
      </c>
      <c r="E25" s="14">
        <f>IF(IFERROR(MATCH(9,ChqRankU,0),0)=0,"",INDEX(ChqStatus,IFERROR(MATCH(9,ChqRankU,0),0)))</f>
        <v/>
      </c>
      <c r="F25" s="22">
        <f>IF(IFERROR(MATCH(9,ChqRankU,0),0)=0,"",IF(INDEX(ChqStatus,IFERROR(MATCH(9,ChqRankU,0),0))="پاس نشده","—",IF(INDEX(ChqClr,IFERROR(MATCH(9,ChqRankU,0),0))="","—",INDEX(ChqClr,IFERROR(MATCH(9,ChqRankU,0),0)))))</f>
        <v/>
      </c>
      <c r="I25">
        <f>IF(9&gt;NChq,"",INDEX(ChqNorm,9))</f>
        <v/>
      </c>
      <c r="J25">
        <f>IF($I25="","",IF(AND($I25&gt;=$H$3,$I25&lt;=$H$4,INDEX(ChqStatus,9)="پاس نشده"),1,0))</f>
        <v/>
      </c>
      <c r="K25">
        <f>IF($J25=0,"",INDEX(ChqKey,9))</f>
        <v/>
      </c>
      <c r="L25">
        <f>IF($K25="","",COUNTIFS($J$17:$J$516,1,$K$17:$K$516,"&lt;"&amp;$K25)+1)</f>
        <v/>
      </c>
    </row>
    <row r="26">
      <c r="A26" s="16">
        <f>IF(IFERROR(MATCH(10,ChqRankU,0),0)=0,"",10)</f>
        <v/>
      </c>
      <c r="B26" s="24">
        <f>IF(IFERROR(MATCH(10,ChqRankU,0),0)=0,"",INDEX(ChqNorm,IFERROR(MATCH(10,ChqRankU,0),0)))</f>
        <v/>
      </c>
      <c r="C26" s="24">
        <f>IF(IFERROR(MATCH(10,ChqRankU,0),0)=0,"",INDEX(ChqNo,IFERROR(MATCH(10,ChqRankU,0),0)))</f>
        <v/>
      </c>
      <c r="D26" s="25">
        <f>IF(IFERROR(MATCH(10,ChqRankU,0),0)=0,"",IF(INDEX(ChqAmt,IFERROR(MATCH(10,ChqRankU,0),0))=0,"",INDEX(ChqAmt,IFERROR(MATCH(10,ChqRankU,0),0))))</f>
        <v/>
      </c>
      <c r="E26" s="17">
        <f>IF(IFERROR(MATCH(10,ChqRankU,0),0)=0,"",INDEX(ChqStatus,IFERROR(MATCH(10,ChqRankU,0),0)))</f>
        <v/>
      </c>
      <c r="F26" s="24">
        <f>IF(IFERROR(MATCH(10,ChqRankU,0),0)=0,"",IF(INDEX(ChqStatus,IFERROR(MATCH(10,ChqRankU,0),0))="پاس نشده","—",IF(INDEX(ChqClr,IFERROR(MATCH(10,ChqRankU,0),0))="","—",INDEX(ChqClr,IFERROR(MATCH(10,ChqRankU,0),0)))))</f>
        <v/>
      </c>
      <c r="I26">
        <f>IF(10&gt;NChq,"",INDEX(ChqNorm,10))</f>
        <v/>
      </c>
      <c r="J26">
        <f>IF($I26="","",IF(AND($I26&gt;=$H$3,$I26&lt;=$H$4,INDEX(ChqStatus,10)="پاس نشده"),1,0))</f>
        <v/>
      </c>
      <c r="K26">
        <f>IF($J26=0,"",INDEX(ChqKey,10))</f>
        <v/>
      </c>
      <c r="L26">
        <f>IF($K26="","",COUNTIFS($J$17:$J$516,1,$K$17:$K$516,"&lt;"&amp;$K26)+1)</f>
        <v/>
      </c>
    </row>
    <row r="27">
      <c r="A27" s="10">
        <f>IF(IFERROR(MATCH(11,ChqRankU,0),0)=0,"",11)</f>
        <v/>
      </c>
      <c r="B27" s="22">
        <f>IF(IFERROR(MATCH(11,ChqRankU,0),0)=0,"",INDEX(ChqNorm,IFERROR(MATCH(11,ChqRankU,0),0)))</f>
        <v/>
      </c>
      <c r="C27" s="22">
        <f>IF(IFERROR(MATCH(11,ChqRankU,0),0)=0,"",INDEX(ChqNo,IFERROR(MATCH(11,ChqRankU,0),0)))</f>
        <v/>
      </c>
      <c r="D27" s="23">
        <f>IF(IFERROR(MATCH(11,ChqRankU,0),0)=0,"",IF(INDEX(ChqAmt,IFERROR(MATCH(11,ChqRankU,0),0))=0,"",INDEX(ChqAmt,IFERROR(MATCH(11,ChqRankU,0),0))))</f>
        <v/>
      </c>
      <c r="E27" s="14">
        <f>IF(IFERROR(MATCH(11,ChqRankU,0),0)=0,"",INDEX(ChqStatus,IFERROR(MATCH(11,ChqRankU,0),0)))</f>
        <v/>
      </c>
      <c r="F27" s="22">
        <f>IF(IFERROR(MATCH(11,ChqRankU,0),0)=0,"",IF(INDEX(ChqStatus,IFERROR(MATCH(11,ChqRankU,0),0))="پاس نشده","—",IF(INDEX(ChqClr,IFERROR(MATCH(11,ChqRankU,0),0))="","—",INDEX(ChqClr,IFERROR(MATCH(11,ChqRankU,0),0)))))</f>
        <v/>
      </c>
      <c r="I27">
        <f>IF(11&gt;NChq,"",INDEX(ChqNorm,11))</f>
        <v/>
      </c>
      <c r="J27">
        <f>IF($I27="","",IF(AND($I27&gt;=$H$3,$I27&lt;=$H$4,INDEX(ChqStatus,11)="پاس نشده"),1,0))</f>
        <v/>
      </c>
      <c r="K27">
        <f>IF($J27=0,"",INDEX(ChqKey,11))</f>
        <v/>
      </c>
      <c r="L27">
        <f>IF($K27="","",COUNTIFS($J$17:$J$516,1,$K$17:$K$516,"&lt;"&amp;$K27)+1)</f>
        <v/>
      </c>
    </row>
    <row r="28">
      <c r="A28" s="16">
        <f>IF(IFERROR(MATCH(12,ChqRankU,0),0)=0,"",12)</f>
        <v/>
      </c>
      <c r="B28" s="24">
        <f>IF(IFERROR(MATCH(12,ChqRankU,0),0)=0,"",INDEX(ChqNorm,IFERROR(MATCH(12,ChqRankU,0),0)))</f>
        <v/>
      </c>
      <c r="C28" s="24">
        <f>IF(IFERROR(MATCH(12,ChqRankU,0),0)=0,"",INDEX(ChqNo,IFERROR(MATCH(12,ChqRankU,0),0)))</f>
        <v/>
      </c>
      <c r="D28" s="25">
        <f>IF(IFERROR(MATCH(12,ChqRankU,0),0)=0,"",IF(INDEX(ChqAmt,IFERROR(MATCH(12,ChqRankU,0),0))=0,"",INDEX(ChqAmt,IFERROR(MATCH(12,ChqRankU,0),0))))</f>
        <v/>
      </c>
      <c r="E28" s="17">
        <f>IF(IFERROR(MATCH(12,ChqRankU,0),0)=0,"",INDEX(ChqStatus,IFERROR(MATCH(12,ChqRankU,0),0)))</f>
        <v/>
      </c>
      <c r="F28" s="24">
        <f>IF(IFERROR(MATCH(12,ChqRankU,0),0)=0,"",IF(INDEX(ChqStatus,IFERROR(MATCH(12,ChqRankU,0),0))="پاس نشده","—",IF(INDEX(ChqClr,IFERROR(MATCH(12,ChqRankU,0),0))="","—",INDEX(ChqClr,IFERROR(MATCH(12,ChqRankU,0),0)))))</f>
        <v/>
      </c>
      <c r="I28">
        <f>IF(12&gt;NChq,"",INDEX(ChqNorm,12))</f>
        <v/>
      </c>
      <c r="J28">
        <f>IF($I28="","",IF(AND($I28&gt;=$H$3,$I28&lt;=$H$4,INDEX(ChqStatus,12)="پاس نشده"),1,0))</f>
        <v/>
      </c>
      <c r="K28">
        <f>IF($J28=0,"",INDEX(ChqKey,12))</f>
        <v/>
      </c>
      <c r="L28">
        <f>IF($K28="","",COUNTIFS($J$17:$J$516,1,$K$17:$K$516,"&lt;"&amp;$K28)+1)</f>
        <v/>
      </c>
    </row>
    <row r="29">
      <c r="A29" s="10">
        <f>IF(IFERROR(MATCH(13,ChqRankU,0),0)=0,"",13)</f>
        <v/>
      </c>
      <c r="B29" s="22">
        <f>IF(IFERROR(MATCH(13,ChqRankU,0),0)=0,"",INDEX(ChqNorm,IFERROR(MATCH(13,ChqRankU,0),0)))</f>
        <v/>
      </c>
      <c r="C29" s="22">
        <f>IF(IFERROR(MATCH(13,ChqRankU,0),0)=0,"",INDEX(ChqNo,IFERROR(MATCH(13,ChqRankU,0),0)))</f>
        <v/>
      </c>
      <c r="D29" s="23">
        <f>IF(IFERROR(MATCH(13,ChqRankU,0),0)=0,"",IF(INDEX(ChqAmt,IFERROR(MATCH(13,ChqRankU,0),0))=0,"",INDEX(ChqAmt,IFERROR(MATCH(13,ChqRankU,0),0))))</f>
        <v/>
      </c>
      <c r="E29" s="14">
        <f>IF(IFERROR(MATCH(13,ChqRankU,0),0)=0,"",INDEX(ChqStatus,IFERROR(MATCH(13,ChqRankU,0),0)))</f>
        <v/>
      </c>
      <c r="F29" s="22">
        <f>IF(IFERROR(MATCH(13,ChqRankU,0),0)=0,"",IF(INDEX(ChqStatus,IFERROR(MATCH(13,ChqRankU,0),0))="پاس نشده","—",IF(INDEX(ChqClr,IFERROR(MATCH(13,ChqRankU,0),0))="","—",INDEX(ChqClr,IFERROR(MATCH(13,ChqRankU,0),0)))))</f>
        <v/>
      </c>
      <c r="I29">
        <f>IF(13&gt;NChq,"",INDEX(ChqNorm,13))</f>
        <v/>
      </c>
      <c r="J29">
        <f>IF($I29="","",IF(AND($I29&gt;=$H$3,$I29&lt;=$H$4,INDEX(ChqStatus,13)="پاس نشده"),1,0))</f>
        <v/>
      </c>
      <c r="K29">
        <f>IF($J29=0,"",INDEX(ChqKey,13))</f>
        <v/>
      </c>
      <c r="L29">
        <f>IF($K29="","",COUNTIFS($J$17:$J$516,1,$K$17:$K$516,"&lt;"&amp;$K29)+1)</f>
        <v/>
      </c>
    </row>
    <row r="30">
      <c r="A30" s="16">
        <f>IF(IFERROR(MATCH(14,ChqRankU,0),0)=0,"",14)</f>
        <v/>
      </c>
      <c r="B30" s="24">
        <f>IF(IFERROR(MATCH(14,ChqRankU,0),0)=0,"",INDEX(ChqNorm,IFERROR(MATCH(14,ChqRankU,0),0)))</f>
        <v/>
      </c>
      <c r="C30" s="24">
        <f>IF(IFERROR(MATCH(14,ChqRankU,0),0)=0,"",INDEX(ChqNo,IFERROR(MATCH(14,ChqRankU,0),0)))</f>
        <v/>
      </c>
      <c r="D30" s="25">
        <f>IF(IFERROR(MATCH(14,ChqRankU,0),0)=0,"",IF(INDEX(ChqAmt,IFERROR(MATCH(14,ChqRankU,0),0))=0,"",INDEX(ChqAmt,IFERROR(MATCH(14,ChqRankU,0),0))))</f>
        <v/>
      </c>
      <c r="E30" s="17">
        <f>IF(IFERROR(MATCH(14,ChqRankU,0),0)=0,"",INDEX(ChqStatus,IFERROR(MATCH(14,ChqRankU,0),0)))</f>
        <v/>
      </c>
      <c r="F30" s="24">
        <f>IF(IFERROR(MATCH(14,ChqRankU,0),0)=0,"",IF(INDEX(ChqStatus,IFERROR(MATCH(14,ChqRankU,0),0))="پاس نشده","—",IF(INDEX(ChqClr,IFERROR(MATCH(14,ChqRankU,0),0))="","—",INDEX(ChqClr,IFERROR(MATCH(14,ChqRankU,0),0)))))</f>
        <v/>
      </c>
      <c r="I30">
        <f>IF(14&gt;NChq,"",INDEX(ChqNorm,14))</f>
        <v/>
      </c>
      <c r="J30">
        <f>IF($I30="","",IF(AND($I30&gt;=$H$3,$I30&lt;=$H$4,INDEX(ChqStatus,14)="پاس نشده"),1,0))</f>
        <v/>
      </c>
      <c r="K30">
        <f>IF($J30=0,"",INDEX(ChqKey,14))</f>
        <v/>
      </c>
      <c r="L30">
        <f>IF($K30="","",COUNTIFS($J$17:$J$516,1,$K$17:$K$516,"&lt;"&amp;$K30)+1)</f>
        <v/>
      </c>
    </row>
    <row r="31">
      <c r="A31" s="10">
        <f>IF(IFERROR(MATCH(15,ChqRankU,0),0)=0,"",15)</f>
        <v/>
      </c>
      <c r="B31" s="22">
        <f>IF(IFERROR(MATCH(15,ChqRankU,0),0)=0,"",INDEX(ChqNorm,IFERROR(MATCH(15,ChqRankU,0),0)))</f>
        <v/>
      </c>
      <c r="C31" s="22">
        <f>IF(IFERROR(MATCH(15,ChqRankU,0),0)=0,"",INDEX(ChqNo,IFERROR(MATCH(15,ChqRankU,0),0)))</f>
        <v/>
      </c>
      <c r="D31" s="23">
        <f>IF(IFERROR(MATCH(15,ChqRankU,0),0)=0,"",IF(INDEX(ChqAmt,IFERROR(MATCH(15,ChqRankU,0),0))=0,"",INDEX(ChqAmt,IFERROR(MATCH(15,ChqRankU,0),0))))</f>
        <v/>
      </c>
      <c r="E31" s="14">
        <f>IF(IFERROR(MATCH(15,ChqRankU,0),0)=0,"",INDEX(ChqStatus,IFERROR(MATCH(15,ChqRankU,0),0)))</f>
        <v/>
      </c>
      <c r="F31" s="22">
        <f>IF(IFERROR(MATCH(15,ChqRankU,0),0)=0,"",IF(INDEX(ChqStatus,IFERROR(MATCH(15,ChqRankU,0),0))="پاس نشده","—",IF(INDEX(ChqClr,IFERROR(MATCH(15,ChqRankU,0),0))="","—",INDEX(ChqClr,IFERROR(MATCH(15,ChqRankU,0),0)))))</f>
        <v/>
      </c>
      <c r="I31">
        <f>IF(15&gt;NChq,"",INDEX(ChqNorm,15))</f>
        <v/>
      </c>
      <c r="J31">
        <f>IF($I31="","",IF(AND($I31&gt;=$H$3,$I31&lt;=$H$4,INDEX(ChqStatus,15)="پاس نشده"),1,0))</f>
        <v/>
      </c>
      <c r="K31">
        <f>IF($J31=0,"",INDEX(ChqKey,15))</f>
        <v/>
      </c>
      <c r="L31">
        <f>IF($K31="","",COUNTIFS($J$17:$J$516,1,$K$17:$K$516,"&lt;"&amp;$K31)+1)</f>
        <v/>
      </c>
    </row>
    <row r="32">
      <c r="A32" s="16">
        <f>IF(IFERROR(MATCH(16,ChqRankU,0),0)=0,"",16)</f>
        <v/>
      </c>
      <c r="B32" s="24">
        <f>IF(IFERROR(MATCH(16,ChqRankU,0),0)=0,"",INDEX(ChqNorm,IFERROR(MATCH(16,ChqRankU,0),0)))</f>
        <v/>
      </c>
      <c r="C32" s="24">
        <f>IF(IFERROR(MATCH(16,ChqRankU,0),0)=0,"",INDEX(ChqNo,IFERROR(MATCH(16,ChqRankU,0),0)))</f>
        <v/>
      </c>
      <c r="D32" s="25">
        <f>IF(IFERROR(MATCH(16,ChqRankU,0),0)=0,"",IF(INDEX(ChqAmt,IFERROR(MATCH(16,ChqRankU,0),0))=0,"",INDEX(ChqAmt,IFERROR(MATCH(16,ChqRankU,0),0))))</f>
        <v/>
      </c>
      <c r="E32" s="17">
        <f>IF(IFERROR(MATCH(16,ChqRankU,0),0)=0,"",INDEX(ChqStatus,IFERROR(MATCH(16,ChqRankU,0),0)))</f>
        <v/>
      </c>
      <c r="F32" s="24">
        <f>IF(IFERROR(MATCH(16,ChqRankU,0),0)=0,"",IF(INDEX(ChqStatus,IFERROR(MATCH(16,ChqRankU,0),0))="پاس نشده","—",IF(INDEX(ChqClr,IFERROR(MATCH(16,ChqRankU,0),0))="","—",INDEX(ChqClr,IFERROR(MATCH(16,ChqRankU,0),0)))))</f>
        <v/>
      </c>
      <c r="I32">
        <f>IF(16&gt;NChq,"",INDEX(ChqNorm,16))</f>
        <v/>
      </c>
      <c r="J32">
        <f>IF($I32="","",IF(AND($I32&gt;=$H$3,$I32&lt;=$H$4,INDEX(ChqStatus,16)="پاس نشده"),1,0))</f>
        <v/>
      </c>
      <c r="K32">
        <f>IF($J32=0,"",INDEX(ChqKey,16))</f>
        <v/>
      </c>
      <c r="L32">
        <f>IF($K32="","",COUNTIFS($J$17:$J$516,1,$K$17:$K$516,"&lt;"&amp;$K32)+1)</f>
        <v/>
      </c>
    </row>
    <row r="33">
      <c r="A33" s="10">
        <f>IF(IFERROR(MATCH(17,ChqRankU,0),0)=0,"",17)</f>
        <v/>
      </c>
      <c r="B33" s="22">
        <f>IF(IFERROR(MATCH(17,ChqRankU,0),0)=0,"",INDEX(ChqNorm,IFERROR(MATCH(17,ChqRankU,0),0)))</f>
        <v/>
      </c>
      <c r="C33" s="22">
        <f>IF(IFERROR(MATCH(17,ChqRankU,0),0)=0,"",INDEX(ChqNo,IFERROR(MATCH(17,ChqRankU,0),0)))</f>
        <v/>
      </c>
      <c r="D33" s="23">
        <f>IF(IFERROR(MATCH(17,ChqRankU,0),0)=0,"",IF(INDEX(ChqAmt,IFERROR(MATCH(17,ChqRankU,0),0))=0,"",INDEX(ChqAmt,IFERROR(MATCH(17,ChqRankU,0),0))))</f>
        <v/>
      </c>
      <c r="E33" s="14">
        <f>IF(IFERROR(MATCH(17,ChqRankU,0),0)=0,"",INDEX(ChqStatus,IFERROR(MATCH(17,ChqRankU,0),0)))</f>
        <v/>
      </c>
      <c r="F33" s="22">
        <f>IF(IFERROR(MATCH(17,ChqRankU,0),0)=0,"",IF(INDEX(ChqStatus,IFERROR(MATCH(17,ChqRankU,0),0))="پاس نشده","—",IF(INDEX(ChqClr,IFERROR(MATCH(17,ChqRankU,0),0))="","—",INDEX(ChqClr,IFERROR(MATCH(17,ChqRankU,0),0)))))</f>
        <v/>
      </c>
      <c r="I33">
        <f>IF(17&gt;NChq,"",INDEX(ChqNorm,17))</f>
        <v/>
      </c>
      <c r="J33">
        <f>IF($I33="","",IF(AND($I33&gt;=$H$3,$I33&lt;=$H$4,INDEX(ChqStatus,17)="پاس نشده"),1,0))</f>
        <v/>
      </c>
      <c r="K33">
        <f>IF($J33=0,"",INDEX(ChqKey,17))</f>
        <v/>
      </c>
      <c r="L33">
        <f>IF($K33="","",COUNTIFS($J$17:$J$516,1,$K$17:$K$516,"&lt;"&amp;$K33)+1)</f>
        <v/>
      </c>
    </row>
    <row r="34">
      <c r="A34" s="16">
        <f>IF(IFERROR(MATCH(18,ChqRankU,0),0)=0,"",18)</f>
        <v/>
      </c>
      <c r="B34" s="24">
        <f>IF(IFERROR(MATCH(18,ChqRankU,0),0)=0,"",INDEX(ChqNorm,IFERROR(MATCH(18,ChqRankU,0),0)))</f>
        <v/>
      </c>
      <c r="C34" s="24">
        <f>IF(IFERROR(MATCH(18,ChqRankU,0),0)=0,"",INDEX(ChqNo,IFERROR(MATCH(18,ChqRankU,0),0)))</f>
        <v/>
      </c>
      <c r="D34" s="25">
        <f>IF(IFERROR(MATCH(18,ChqRankU,0),0)=0,"",IF(INDEX(ChqAmt,IFERROR(MATCH(18,ChqRankU,0),0))=0,"",INDEX(ChqAmt,IFERROR(MATCH(18,ChqRankU,0),0))))</f>
        <v/>
      </c>
      <c r="E34" s="17">
        <f>IF(IFERROR(MATCH(18,ChqRankU,0),0)=0,"",INDEX(ChqStatus,IFERROR(MATCH(18,ChqRankU,0),0)))</f>
        <v/>
      </c>
      <c r="F34" s="24">
        <f>IF(IFERROR(MATCH(18,ChqRankU,0),0)=0,"",IF(INDEX(ChqStatus,IFERROR(MATCH(18,ChqRankU,0),0))="پاس نشده","—",IF(INDEX(ChqClr,IFERROR(MATCH(18,ChqRankU,0),0))="","—",INDEX(ChqClr,IFERROR(MATCH(18,ChqRankU,0),0)))))</f>
        <v/>
      </c>
      <c r="I34">
        <f>IF(18&gt;NChq,"",INDEX(ChqNorm,18))</f>
        <v/>
      </c>
      <c r="J34">
        <f>IF($I34="","",IF(AND($I34&gt;=$H$3,$I34&lt;=$H$4,INDEX(ChqStatus,18)="پاس نشده"),1,0))</f>
        <v/>
      </c>
      <c r="K34">
        <f>IF($J34=0,"",INDEX(ChqKey,18))</f>
        <v/>
      </c>
      <c r="L34">
        <f>IF($K34="","",COUNTIFS($J$17:$J$516,1,$K$17:$K$516,"&lt;"&amp;$K34)+1)</f>
        <v/>
      </c>
    </row>
    <row r="35">
      <c r="A35" s="10">
        <f>IF(IFERROR(MATCH(19,ChqRankU,0),0)=0,"",19)</f>
        <v/>
      </c>
      <c r="B35" s="22">
        <f>IF(IFERROR(MATCH(19,ChqRankU,0),0)=0,"",INDEX(ChqNorm,IFERROR(MATCH(19,ChqRankU,0),0)))</f>
        <v/>
      </c>
      <c r="C35" s="22">
        <f>IF(IFERROR(MATCH(19,ChqRankU,0),0)=0,"",INDEX(ChqNo,IFERROR(MATCH(19,ChqRankU,0),0)))</f>
        <v/>
      </c>
      <c r="D35" s="23">
        <f>IF(IFERROR(MATCH(19,ChqRankU,0),0)=0,"",IF(INDEX(ChqAmt,IFERROR(MATCH(19,ChqRankU,0),0))=0,"",INDEX(ChqAmt,IFERROR(MATCH(19,ChqRankU,0),0))))</f>
        <v/>
      </c>
      <c r="E35" s="14">
        <f>IF(IFERROR(MATCH(19,ChqRankU,0),0)=0,"",INDEX(ChqStatus,IFERROR(MATCH(19,ChqRankU,0),0)))</f>
        <v/>
      </c>
      <c r="F35" s="22">
        <f>IF(IFERROR(MATCH(19,ChqRankU,0),0)=0,"",IF(INDEX(ChqStatus,IFERROR(MATCH(19,ChqRankU,0),0))="پاس نشده","—",IF(INDEX(ChqClr,IFERROR(MATCH(19,ChqRankU,0),0))="","—",INDEX(ChqClr,IFERROR(MATCH(19,ChqRankU,0),0)))))</f>
        <v/>
      </c>
      <c r="I35">
        <f>IF(19&gt;NChq,"",INDEX(ChqNorm,19))</f>
        <v/>
      </c>
      <c r="J35">
        <f>IF($I35="","",IF(AND($I35&gt;=$H$3,$I35&lt;=$H$4,INDEX(ChqStatus,19)="پاس نشده"),1,0))</f>
        <v/>
      </c>
      <c r="K35">
        <f>IF($J35=0,"",INDEX(ChqKey,19))</f>
        <v/>
      </c>
      <c r="L35">
        <f>IF($K35="","",COUNTIFS($J$17:$J$516,1,$K$17:$K$516,"&lt;"&amp;$K35)+1)</f>
        <v/>
      </c>
    </row>
    <row r="36">
      <c r="A36" s="16">
        <f>IF(IFERROR(MATCH(20,ChqRankU,0),0)=0,"",20)</f>
        <v/>
      </c>
      <c r="B36" s="24">
        <f>IF(IFERROR(MATCH(20,ChqRankU,0),0)=0,"",INDEX(ChqNorm,IFERROR(MATCH(20,ChqRankU,0),0)))</f>
        <v/>
      </c>
      <c r="C36" s="24">
        <f>IF(IFERROR(MATCH(20,ChqRankU,0),0)=0,"",INDEX(ChqNo,IFERROR(MATCH(20,ChqRankU,0),0)))</f>
        <v/>
      </c>
      <c r="D36" s="25">
        <f>IF(IFERROR(MATCH(20,ChqRankU,0),0)=0,"",IF(INDEX(ChqAmt,IFERROR(MATCH(20,ChqRankU,0),0))=0,"",INDEX(ChqAmt,IFERROR(MATCH(20,ChqRankU,0),0))))</f>
        <v/>
      </c>
      <c r="E36" s="17">
        <f>IF(IFERROR(MATCH(20,ChqRankU,0),0)=0,"",INDEX(ChqStatus,IFERROR(MATCH(20,ChqRankU,0),0)))</f>
        <v/>
      </c>
      <c r="F36" s="24">
        <f>IF(IFERROR(MATCH(20,ChqRankU,0),0)=0,"",IF(INDEX(ChqStatus,IFERROR(MATCH(20,ChqRankU,0),0))="پاس نشده","—",IF(INDEX(ChqClr,IFERROR(MATCH(20,ChqRankU,0),0))="","—",INDEX(ChqClr,IFERROR(MATCH(20,ChqRankU,0),0)))))</f>
        <v/>
      </c>
      <c r="I36">
        <f>IF(20&gt;NChq,"",INDEX(ChqNorm,20))</f>
        <v/>
      </c>
      <c r="J36">
        <f>IF($I36="","",IF(AND($I36&gt;=$H$3,$I36&lt;=$H$4,INDEX(ChqStatus,20)="پاس نشده"),1,0))</f>
        <v/>
      </c>
      <c r="K36">
        <f>IF($J36=0,"",INDEX(ChqKey,20))</f>
        <v/>
      </c>
      <c r="L36">
        <f>IF($K36="","",COUNTIFS($J$17:$J$516,1,$K$17:$K$516,"&lt;"&amp;$K36)+1)</f>
        <v/>
      </c>
    </row>
    <row r="37">
      <c r="A37" s="10">
        <f>IF(IFERROR(MATCH(21,ChqRankU,0),0)=0,"",21)</f>
        <v/>
      </c>
      <c r="B37" s="22">
        <f>IF(IFERROR(MATCH(21,ChqRankU,0),0)=0,"",INDEX(ChqNorm,IFERROR(MATCH(21,ChqRankU,0),0)))</f>
        <v/>
      </c>
      <c r="C37" s="22">
        <f>IF(IFERROR(MATCH(21,ChqRankU,0),0)=0,"",INDEX(ChqNo,IFERROR(MATCH(21,ChqRankU,0),0)))</f>
        <v/>
      </c>
      <c r="D37" s="23">
        <f>IF(IFERROR(MATCH(21,ChqRankU,0),0)=0,"",IF(INDEX(ChqAmt,IFERROR(MATCH(21,ChqRankU,0),0))=0,"",INDEX(ChqAmt,IFERROR(MATCH(21,ChqRankU,0),0))))</f>
        <v/>
      </c>
      <c r="E37" s="14">
        <f>IF(IFERROR(MATCH(21,ChqRankU,0),0)=0,"",INDEX(ChqStatus,IFERROR(MATCH(21,ChqRankU,0),0)))</f>
        <v/>
      </c>
      <c r="F37" s="22">
        <f>IF(IFERROR(MATCH(21,ChqRankU,0),0)=0,"",IF(INDEX(ChqStatus,IFERROR(MATCH(21,ChqRankU,0),0))="پاس نشده","—",IF(INDEX(ChqClr,IFERROR(MATCH(21,ChqRankU,0),0))="","—",INDEX(ChqClr,IFERROR(MATCH(21,ChqRankU,0),0)))))</f>
        <v/>
      </c>
      <c r="I37">
        <f>IF(21&gt;NChq,"",INDEX(ChqNorm,21))</f>
        <v/>
      </c>
      <c r="J37">
        <f>IF($I37="","",IF(AND($I37&gt;=$H$3,$I37&lt;=$H$4,INDEX(ChqStatus,21)="پاس نشده"),1,0))</f>
        <v/>
      </c>
      <c r="K37">
        <f>IF($J37=0,"",INDEX(ChqKey,21))</f>
        <v/>
      </c>
      <c r="L37">
        <f>IF($K37="","",COUNTIFS($J$17:$J$516,1,$K$17:$K$516,"&lt;"&amp;$K37)+1)</f>
        <v/>
      </c>
    </row>
    <row r="38">
      <c r="A38" s="16">
        <f>IF(IFERROR(MATCH(22,ChqRankU,0),0)=0,"",22)</f>
        <v/>
      </c>
      <c r="B38" s="24">
        <f>IF(IFERROR(MATCH(22,ChqRankU,0),0)=0,"",INDEX(ChqNorm,IFERROR(MATCH(22,ChqRankU,0),0)))</f>
        <v/>
      </c>
      <c r="C38" s="24">
        <f>IF(IFERROR(MATCH(22,ChqRankU,0),0)=0,"",INDEX(ChqNo,IFERROR(MATCH(22,ChqRankU,0),0)))</f>
        <v/>
      </c>
      <c r="D38" s="25">
        <f>IF(IFERROR(MATCH(22,ChqRankU,0),0)=0,"",IF(INDEX(ChqAmt,IFERROR(MATCH(22,ChqRankU,0),0))=0,"",INDEX(ChqAmt,IFERROR(MATCH(22,ChqRankU,0),0))))</f>
        <v/>
      </c>
      <c r="E38" s="17">
        <f>IF(IFERROR(MATCH(22,ChqRankU,0),0)=0,"",INDEX(ChqStatus,IFERROR(MATCH(22,ChqRankU,0),0)))</f>
        <v/>
      </c>
      <c r="F38" s="24">
        <f>IF(IFERROR(MATCH(22,ChqRankU,0),0)=0,"",IF(INDEX(ChqStatus,IFERROR(MATCH(22,ChqRankU,0),0))="پاس نشده","—",IF(INDEX(ChqClr,IFERROR(MATCH(22,ChqRankU,0),0))="","—",INDEX(ChqClr,IFERROR(MATCH(22,ChqRankU,0),0)))))</f>
        <v/>
      </c>
      <c r="I38">
        <f>IF(22&gt;NChq,"",INDEX(ChqNorm,22))</f>
        <v/>
      </c>
      <c r="J38">
        <f>IF($I38="","",IF(AND($I38&gt;=$H$3,$I38&lt;=$H$4,INDEX(ChqStatus,22)="پاس نشده"),1,0))</f>
        <v/>
      </c>
      <c r="K38">
        <f>IF($J38=0,"",INDEX(ChqKey,22))</f>
        <v/>
      </c>
      <c r="L38">
        <f>IF($K38="","",COUNTIFS($J$17:$J$516,1,$K$17:$K$516,"&lt;"&amp;$K38)+1)</f>
        <v/>
      </c>
    </row>
    <row r="39">
      <c r="A39" s="10">
        <f>IF(IFERROR(MATCH(23,ChqRankU,0),0)=0,"",23)</f>
        <v/>
      </c>
      <c r="B39" s="22">
        <f>IF(IFERROR(MATCH(23,ChqRankU,0),0)=0,"",INDEX(ChqNorm,IFERROR(MATCH(23,ChqRankU,0),0)))</f>
        <v/>
      </c>
      <c r="C39" s="22">
        <f>IF(IFERROR(MATCH(23,ChqRankU,0),0)=0,"",INDEX(ChqNo,IFERROR(MATCH(23,ChqRankU,0),0)))</f>
        <v/>
      </c>
      <c r="D39" s="23">
        <f>IF(IFERROR(MATCH(23,ChqRankU,0),0)=0,"",IF(INDEX(ChqAmt,IFERROR(MATCH(23,ChqRankU,0),0))=0,"",INDEX(ChqAmt,IFERROR(MATCH(23,ChqRankU,0),0))))</f>
        <v/>
      </c>
      <c r="E39" s="14">
        <f>IF(IFERROR(MATCH(23,ChqRankU,0),0)=0,"",INDEX(ChqStatus,IFERROR(MATCH(23,ChqRankU,0),0)))</f>
        <v/>
      </c>
      <c r="F39" s="22">
        <f>IF(IFERROR(MATCH(23,ChqRankU,0),0)=0,"",IF(INDEX(ChqStatus,IFERROR(MATCH(23,ChqRankU,0),0))="پاس نشده","—",IF(INDEX(ChqClr,IFERROR(MATCH(23,ChqRankU,0),0))="","—",INDEX(ChqClr,IFERROR(MATCH(23,ChqRankU,0),0)))))</f>
        <v/>
      </c>
      <c r="I39">
        <f>IF(23&gt;NChq,"",INDEX(ChqNorm,23))</f>
        <v/>
      </c>
      <c r="J39">
        <f>IF($I39="","",IF(AND($I39&gt;=$H$3,$I39&lt;=$H$4,INDEX(ChqStatus,23)="پاس نشده"),1,0))</f>
        <v/>
      </c>
      <c r="K39">
        <f>IF($J39=0,"",INDEX(ChqKey,23))</f>
        <v/>
      </c>
      <c r="L39">
        <f>IF($K39="","",COUNTIFS($J$17:$J$516,1,$K$17:$K$516,"&lt;"&amp;$K39)+1)</f>
        <v/>
      </c>
    </row>
    <row r="40">
      <c r="A40" s="16">
        <f>IF(IFERROR(MATCH(24,ChqRankU,0),0)=0,"",24)</f>
        <v/>
      </c>
      <c r="B40" s="24">
        <f>IF(IFERROR(MATCH(24,ChqRankU,0),0)=0,"",INDEX(ChqNorm,IFERROR(MATCH(24,ChqRankU,0),0)))</f>
        <v/>
      </c>
      <c r="C40" s="24">
        <f>IF(IFERROR(MATCH(24,ChqRankU,0),0)=0,"",INDEX(ChqNo,IFERROR(MATCH(24,ChqRankU,0),0)))</f>
        <v/>
      </c>
      <c r="D40" s="25">
        <f>IF(IFERROR(MATCH(24,ChqRankU,0),0)=0,"",IF(INDEX(ChqAmt,IFERROR(MATCH(24,ChqRankU,0),0))=0,"",INDEX(ChqAmt,IFERROR(MATCH(24,ChqRankU,0),0))))</f>
        <v/>
      </c>
      <c r="E40" s="17">
        <f>IF(IFERROR(MATCH(24,ChqRankU,0),0)=0,"",INDEX(ChqStatus,IFERROR(MATCH(24,ChqRankU,0),0)))</f>
        <v/>
      </c>
      <c r="F40" s="24">
        <f>IF(IFERROR(MATCH(24,ChqRankU,0),0)=0,"",IF(INDEX(ChqStatus,IFERROR(MATCH(24,ChqRankU,0),0))="پاس نشده","—",IF(INDEX(ChqClr,IFERROR(MATCH(24,ChqRankU,0),0))="","—",INDEX(ChqClr,IFERROR(MATCH(24,ChqRankU,0),0)))))</f>
        <v/>
      </c>
      <c r="I40">
        <f>IF(24&gt;NChq,"",INDEX(ChqNorm,24))</f>
        <v/>
      </c>
      <c r="J40">
        <f>IF($I40="","",IF(AND($I40&gt;=$H$3,$I40&lt;=$H$4,INDEX(ChqStatus,24)="پاس نشده"),1,0))</f>
        <v/>
      </c>
      <c r="K40">
        <f>IF($J40=0,"",INDEX(ChqKey,24))</f>
        <v/>
      </c>
      <c r="L40">
        <f>IF($K40="","",COUNTIFS($J$17:$J$516,1,$K$17:$K$516,"&lt;"&amp;$K40)+1)</f>
        <v/>
      </c>
    </row>
    <row r="41">
      <c r="A41" s="10">
        <f>IF(IFERROR(MATCH(25,ChqRankU,0),0)=0,"",25)</f>
        <v/>
      </c>
      <c r="B41" s="22">
        <f>IF(IFERROR(MATCH(25,ChqRankU,0),0)=0,"",INDEX(ChqNorm,IFERROR(MATCH(25,ChqRankU,0),0)))</f>
        <v/>
      </c>
      <c r="C41" s="22">
        <f>IF(IFERROR(MATCH(25,ChqRankU,0),0)=0,"",INDEX(ChqNo,IFERROR(MATCH(25,ChqRankU,0),0)))</f>
        <v/>
      </c>
      <c r="D41" s="23">
        <f>IF(IFERROR(MATCH(25,ChqRankU,0),0)=0,"",IF(INDEX(ChqAmt,IFERROR(MATCH(25,ChqRankU,0),0))=0,"",INDEX(ChqAmt,IFERROR(MATCH(25,ChqRankU,0),0))))</f>
        <v/>
      </c>
      <c r="E41" s="14">
        <f>IF(IFERROR(MATCH(25,ChqRankU,0),0)=0,"",INDEX(ChqStatus,IFERROR(MATCH(25,ChqRankU,0),0)))</f>
        <v/>
      </c>
      <c r="F41" s="22">
        <f>IF(IFERROR(MATCH(25,ChqRankU,0),0)=0,"",IF(INDEX(ChqStatus,IFERROR(MATCH(25,ChqRankU,0),0))="پاس نشده","—",IF(INDEX(ChqClr,IFERROR(MATCH(25,ChqRankU,0),0))="","—",INDEX(ChqClr,IFERROR(MATCH(25,ChqRankU,0),0)))))</f>
        <v/>
      </c>
      <c r="I41">
        <f>IF(25&gt;NChq,"",INDEX(ChqNorm,25))</f>
        <v/>
      </c>
      <c r="J41">
        <f>IF($I41="","",IF(AND($I41&gt;=$H$3,$I41&lt;=$H$4,INDEX(ChqStatus,25)="پاس نشده"),1,0))</f>
        <v/>
      </c>
      <c r="K41">
        <f>IF($J41=0,"",INDEX(ChqKey,25))</f>
        <v/>
      </c>
      <c r="L41">
        <f>IF($K41="","",COUNTIFS($J$17:$J$516,1,$K$17:$K$516,"&lt;"&amp;$K41)+1)</f>
        <v/>
      </c>
    </row>
    <row r="42">
      <c r="A42" s="16">
        <f>IF(IFERROR(MATCH(26,ChqRankU,0),0)=0,"",26)</f>
        <v/>
      </c>
      <c r="B42" s="24">
        <f>IF(IFERROR(MATCH(26,ChqRankU,0),0)=0,"",INDEX(ChqNorm,IFERROR(MATCH(26,ChqRankU,0),0)))</f>
        <v/>
      </c>
      <c r="C42" s="24">
        <f>IF(IFERROR(MATCH(26,ChqRankU,0),0)=0,"",INDEX(ChqNo,IFERROR(MATCH(26,ChqRankU,0),0)))</f>
        <v/>
      </c>
      <c r="D42" s="25">
        <f>IF(IFERROR(MATCH(26,ChqRankU,0),0)=0,"",IF(INDEX(ChqAmt,IFERROR(MATCH(26,ChqRankU,0),0))=0,"",INDEX(ChqAmt,IFERROR(MATCH(26,ChqRankU,0),0))))</f>
        <v/>
      </c>
      <c r="E42" s="17">
        <f>IF(IFERROR(MATCH(26,ChqRankU,0),0)=0,"",INDEX(ChqStatus,IFERROR(MATCH(26,ChqRankU,0),0)))</f>
        <v/>
      </c>
      <c r="F42" s="24">
        <f>IF(IFERROR(MATCH(26,ChqRankU,0),0)=0,"",IF(INDEX(ChqStatus,IFERROR(MATCH(26,ChqRankU,0),0))="پاس نشده","—",IF(INDEX(ChqClr,IFERROR(MATCH(26,ChqRankU,0),0))="","—",INDEX(ChqClr,IFERROR(MATCH(26,ChqRankU,0),0)))))</f>
        <v/>
      </c>
      <c r="I42">
        <f>IF(26&gt;NChq,"",INDEX(ChqNorm,26))</f>
        <v/>
      </c>
      <c r="J42">
        <f>IF($I42="","",IF(AND($I42&gt;=$H$3,$I42&lt;=$H$4,INDEX(ChqStatus,26)="پاس نشده"),1,0))</f>
        <v/>
      </c>
      <c r="K42">
        <f>IF($J42=0,"",INDEX(ChqKey,26))</f>
        <v/>
      </c>
      <c r="L42">
        <f>IF($K42="","",COUNTIFS($J$17:$J$516,1,$K$17:$K$516,"&lt;"&amp;$K42)+1)</f>
        <v/>
      </c>
    </row>
    <row r="43">
      <c r="A43" s="10">
        <f>IF(IFERROR(MATCH(27,ChqRankU,0),0)=0,"",27)</f>
        <v/>
      </c>
      <c r="B43" s="22">
        <f>IF(IFERROR(MATCH(27,ChqRankU,0),0)=0,"",INDEX(ChqNorm,IFERROR(MATCH(27,ChqRankU,0),0)))</f>
        <v/>
      </c>
      <c r="C43" s="22">
        <f>IF(IFERROR(MATCH(27,ChqRankU,0),0)=0,"",INDEX(ChqNo,IFERROR(MATCH(27,ChqRankU,0),0)))</f>
        <v/>
      </c>
      <c r="D43" s="23">
        <f>IF(IFERROR(MATCH(27,ChqRankU,0),0)=0,"",IF(INDEX(ChqAmt,IFERROR(MATCH(27,ChqRankU,0),0))=0,"",INDEX(ChqAmt,IFERROR(MATCH(27,ChqRankU,0),0))))</f>
        <v/>
      </c>
      <c r="E43" s="14">
        <f>IF(IFERROR(MATCH(27,ChqRankU,0),0)=0,"",INDEX(ChqStatus,IFERROR(MATCH(27,ChqRankU,0),0)))</f>
        <v/>
      </c>
      <c r="F43" s="22">
        <f>IF(IFERROR(MATCH(27,ChqRankU,0),0)=0,"",IF(INDEX(ChqStatus,IFERROR(MATCH(27,ChqRankU,0),0))="پاس نشده","—",IF(INDEX(ChqClr,IFERROR(MATCH(27,ChqRankU,0),0))="","—",INDEX(ChqClr,IFERROR(MATCH(27,ChqRankU,0),0)))))</f>
        <v/>
      </c>
      <c r="I43">
        <f>IF(27&gt;NChq,"",INDEX(ChqNorm,27))</f>
        <v/>
      </c>
      <c r="J43">
        <f>IF($I43="","",IF(AND($I43&gt;=$H$3,$I43&lt;=$H$4,INDEX(ChqStatus,27)="پاس نشده"),1,0))</f>
        <v/>
      </c>
      <c r="K43">
        <f>IF($J43=0,"",INDEX(ChqKey,27))</f>
        <v/>
      </c>
      <c r="L43">
        <f>IF($K43="","",COUNTIFS($J$17:$J$516,1,$K$17:$K$516,"&lt;"&amp;$K43)+1)</f>
        <v/>
      </c>
    </row>
    <row r="44">
      <c r="A44" s="16">
        <f>IF(IFERROR(MATCH(28,ChqRankU,0),0)=0,"",28)</f>
        <v/>
      </c>
      <c r="B44" s="24">
        <f>IF(IFERROR(MATCH(28,ChqRankU,0),0)=0,"",INDEX(ChqNorm,IFERROR(MATCH(28,ChqRankU,0),0)))</f>
        <v/>
      </c>
      <c r="C44" s="24">
        <f>IF(IFERROR(MATCH(28,ChqRankU,0),0)=0,"",INDEX(ChqNo,IFERROR(MATCH(28,ChqRankU,0),0)))</f>
        <v/>
      </c>
      <c r="D44" s="25">
        <f>IF(IFERROR(MATCH(28,ChqRankU,0),0)=0,"",IF(INDEX(ChqAmt,IFERROR(MATCH(28,ChqRankU,0),0))=0,"",INDEX(ChqAmt,IFERROR(MATCH(28,ChqRankU,0),0))))</f>
        <v/>
      </c>
      <c r="E44" s="17">
        <f>IF(IFERROR(MATCH(28,ChqRankU,0),0)=0,"",INDEX(ChqStatus,IFERROR(MATCH(28,ChqRankU,0),0)))</f>
        <v/>
      </c>
      <c r="F44" s="24">
        <f>IF(IFERROR(MATCH(28,ChqRankU,0),0)=0,"",IF(INDEX(ChqStatus,IFERROR(MATCH(28,ChqRankU,0),0))="پاس نشده","—",IF(INDEX(ChqClr,IFERROR(MATCH(28,ChqRankU,0),0))="","—",INDEX(ChqClr,IFERROR(MATCH(28,ChqRankU,0),0)))))</f>
        <v/>
      </c>
      <c r="I44">
        <f>IF(28&gt;NChq,"",INDEX(ChqNorm,28))</f>
        <v/>
      </c>
      <c r="J44">
        <f>IF($I44="","",IF(AND($I44&gt;=$H$3,$I44&lt;=$H$4,INDEX(ChqStatus,28)="پاس نشده"),1,0))</f>
        <v/>
      </c>
      <c r="K44">
        <f>IF($J44=0,"",INDEX(ChqKey,28))</f>
        <v/>
      </c>
      <c r="L44">
        <f>IF($K44="","",COUNTIFS($J$17:$J$516,1,$K$17:$K$516,"&lt;"&amp;$K44)+1)</f>
        <v/>
      </c>
    </row>
    <row r="45">
      <c r="A45" s="10">
        <f>IF(IFERROR(MATCH(29,ChqRankU,0),0)=0,"",29)</f>
        <v/>
      </c>
      <c r="B45" s="22">
        <f>IF(IFERROR(MATCH(29,ChqRankU,0),0)=0,"",INDEX(ChqNorm,IFERROR(MATCH(29,ChqRankU,0),0)))</f>
        <v/>
      </c>
      <c r="C45" s="22">
        <f>IF(IFERROR(MATCH(29,ChqRankU,0),0)=0,"",INDEX(ChqNo,IFERROR(MATCH(29,ChqRankU,0),0)))</f>
        <v/>
      </c>
      <c r="D45" s="23">
        <f>IF(IFERROR(MATCH(29,ChqRankU,0),0)=0,"",IF(INDEX(ChqAmt,IFERROR(MATCH(29,ChqRankU,0),0))=0,"",INDEX(ChqAmt,IFERROR(MATCH(29,ChqRankU,0),0))))</f>
        <v/>
      </c>
      <c r="E45" s="14">
        <f>IF(IFERROR(MATCH(29,ChqRankU,0),0)=0,"",INDEX(ChqStatus,IFERROR(MATCH(29,ChqRankU,0),0)))</f>
        <v/>
      </c>
      <c r="F45" s="22">
        <f>IF(IFERROR(MATCH(29,ChqRankU,0),0)=0,"",IF(INDEX(ChqStatus,IFERROR(MATCH(29,ChqRankU,0),0))="پاس نشده","—",IF(INDEX(ChqClr,IFERROR(MATCH(29,ChqRankU,0),0))="","—",INDEX(ChqClr,IFERROR(MATCH(29,ChqRankU,0),0)))))</f>
        <v/>
      </c>
      <c r="I45">
        <f>IF(29&gt;NChq,"",INDEX(ChqNorm,29))</f>
        <v/>
      </c>
      <c r="J45">
        <f>IF($I45="","",IF(AND($I45&gt;=$H$3,$I45&lt;=$H$4,INDEX(ChqStatus,29)="پاس نشده"),1,0))</f>
        <v/>
      </c>
      <c r="K45">
        <f>IF($J45=0,"",INDEX(ChqKey,29))</f>
        <v/>
      </c>
      <c r="L45">
        <f>IF($K45="","",COUNTIFS($J$17:$J$516,1,$K$17:$K$516,"&lt;"&amp;$K45)+1)</f>
        <v/>
      </c>
    </row>
    <row r="46">
      <c r="A46" s="16">
        <f>IF(IFERROR(MATCH(30,ChqRankU,0),0)=0,"",30)</f>
        <v/>
      </c>
      <c r="B46" s="24">
        <f>IF(IFERROR(MATCH(30,ChqRankU,0),0)=0,"",INDEX(ChqNorm,IFERROR(MATCH(30,ChqRankU,0),0)))</f>
        <v/>
      </c>
      <c r="C46" s="24">
        <f>IF(IFERROR(MATCH(30,ChqRankU,0),0)=0,"",INDEX(ChqNo,IFERROR(MATCH(30,ChqRankU,0),0)))</f>
        <v/>
      </c>
      <c r="D46" s="25">
        <f>IF(IFERROR(MATCH(30,ChqRankU,0),0)=0,"",IF(INDEX(ChqAmt,IFERROR(MATCH(30,ChqRankU,0),0))=0,"",INDEX(ChqAmt,IFERROR(MATCH(30,ChqRankU,0),0))))</f>
        <v/>
      </c>
      <c r="E46" s="17">
        <f>IF(IFERROR(MATCH(30,ChqRankU,0),0)=0,"",INDEX(ChqStatus,IFERROR(MATCH(30,ChqRankU,0),0)))</f>
        <v/>
      </c>
      <c r="F46" s="24">
        <f>IF(IFERROR(MATCH(30,ChqRankU,0),0)=0,"",IF(INDEX(ChqStatus,IFERROR(MATCH(30,ChqRankU,0),0))="پاس نشده","—",IF(INDEX(ChqClr,IFERROR(MATCH(30,ChqRankU,0),0))="","—",INDEX(ChqClr,IFERROR(MATCH(30,ChqRankU,0),0)))))</f>
        <v/>
      </c>
      <c r="I46">
        <f>IF(30&gt;NChq,"",INDEX(ChqNorm,30))</f>
        <v/>
      </c>
      <c r="J46">
        <f>IF($I46="","",IF(AND($I46&gt;=$H$3,$I46&lt;=$H$4,INDEX(ChqStatus,30)="پاس نشده"),1,0))</f>
        <v/>
      </c>
      <c r="K46">
        <f>IF($J46=0,"",INDEX(ChqKey,30))</f>
        <v/>
      </c>
      <c r="L46">
        <f>IF($K46="","",COUNTIFS($J$17:$J$516,1,$K$17:$K$516,"&lt;"&amp;$K46)+1)</f>
        <v/>
      </c>
    </row>
    <row r="47">
      <c r="A47" s="10">
        <f>IF(IFERROR(MATCH(31,ChqRankU,0),0)=0,"",31)</f>
        <v/>
      </c>
      <c r="B47" s="22">
        <f>IF(IFERROR(MATCH(31,ChqRankU,0),0)=0,"",INDEX(ChqNorm,IFERROR(MATCH(31,ChqRankU,0),0)))</f>
        <v/>
      </c>
      <c r="C47" s="22">
        <f>IF(IFERROR(MATCH(31,ChqRankU,0),0)=0,"",INDEX(ChqNo,IFERROR(MATCH(31,ChqRankU,0),0)))</f>
        <v/>
      </c>
      <c r="D47" s="23">
        <f>IF(IFERROR(MATCH(31,ChqRankU,0),0)=0,"",IF(INDEX(ChqAmt,IFERROR(MATCH(31,ChqRankU,0),0))=0,"",INDEX(ChqAmt,IFERROR(MATCH(31,ChqRankU,0),0))))</f>
        <v/>
      </c>
      <c r="E47" s="14">
        <f>IF(IFERROR(MATCH(31,ChqRankU,0),0)=0,"",INDEX(ChqStatus,IFERROR(MATCH(31,ChqRankU,0),0)))</f>
        <v/>
      </c>
      <c r="F47" s="22">
        <f>IF(IFERROR(MATCH(31,ChqRankU,0),0)=0,"",IF(INDEX(ChqStatus,IFERROR(MATCH(31,ChqRankU,0),0))="پاس نشده","—",IF(INDEX(ChqClr,IFERROR(MATCH(31,ChqRankU,0),0))="","—",INDEX(ChqClr,IFERROR(MATCH(31,ChqRankU,0),0)))))</f>
        <v/>
      </c>
      <c r="I47">
        <f>IF(31&gt;NChq,"",INDEX(ChqNorm,31))</f>
        <v/>
      </c>
      <c r="J47">
        <f>IF($I47="","",IF(AND($I47&gt;=$H$3,$I47&lt;=$H$4,INDEX(ChqStatus,31)="پاس نشده"),1,0))</f>
        <v/>
      </c>
      <c r="K47">
        <f>IF($J47=0,"",INDEX(ChqKey,31))</f>
        <v/>
      </c>
      <c r="L47">
        <f>IF($K47="","",COUNTIFS($J$17:$J$516,1,$K$17:$K$516,"&lt;"&amp;$K47)+1)</f>
        <v/>
      </c>
    </row>
    <row r="48">
      <c r="A48" s="16">
        <f>IF(IFERROR(MATCH(32,ChqRankU,0),0)=0,"",32)</f>
        <v/>
      </c>
      <c r="B48" s="24">
        <f>IF(IFERROR(MATCH(32,ChqRankU,0),0)=0,"",INDEX(ChqNorm,IFERROR(MATCH(32,ChqRankU,0),0)))</f>
        <v/>
      </c>
      <c r="C48" s="24">
        <f>IF(IFERROR(MATCH(32,ChqRankU,0),0)=0,"",INDEX(ChqNo,IFERROR(MATCH(32,ChqRankU,0),0)))</f>
        <v/>
      </c>
      <c r="D48" s="25">
        <f>IF(IFERROR(MATCH(32,ChqRankU,0),0)=0,"",IF(INDEX(ChqAmt,IFERROR(MATCH(32,ChqRankU,0),0))=0,"",INDEX(ChqAmt,IFERROR(MATCH(32,ChqRankU,0),0))))</f>
        <v/>
      </c>
      <c r="E48" s="17">
        <f>IF(IFERROR(MATCH(32,ChqRankU,0),0)=0,"",INDEX(ChqStatus,IFERROR(MATCH(32,ChqRankU,0),0)))</f>
        <v/>
      </c>
      <c r="F48" s="24">
        <f>IF(IFERROR(MATCH(32,ChqRankU,0),0)=0,"",IF(INDEX(ChqStatus,IFERROR(MATCH(32,ChqRankU,0),0))="پاس نشده","—",IF(INDEX(ChqClr,IFERROR(MATCH(32,ChqRankU,0),0))="","—",INDEX(ChqClr,IFERROR(MATCH(32,ChqRankU,0),0)))))</f>
        <v/>
      </c>
      <c r="I48">
        <f>IF(32&gt;NChq,"",INDEX(ChqNorm,32))</f>
        <v/>
      </c>
      <c r="J48">
        <f>IF($I48="","",IF(AND($I48&gt;=$H$3,$I48&lt;=$H$4,INDEX(ChqStatus,32)="پاس نشده"),1,0))</f>
        <v/>
      </c>
      <c r="K48">
        <f>IF($J48=0,"",INDEX(ChqKey,32))</f>
        <v/>
      </c>
      <c r="L48">
        <f>IF($K48="","",COUNTIFS($J$17:$J$516,1,$K$17:$K$516,"&lt;"&amp;$K48)+1)</f>
        <v/>
      </c>
    </row>
    <row r="49">
      <c r="A49" s="10">
        <f>IF(IFERROR(MATCH(33,ChqRankU,0),0)=0,"",33)</f>
        <v/>
      </c>
      <c r="B49" s="22">
        <f>IF(IFERROR(MATCH(33,ChqRankU,0),0)=0,"",INDEX(ChqNorm,IFERROR(MATCH(33,ChqRankU,0),0)))</f>
        <v/>
      </c>
      <c r="C49" s="22">
        <f>IF(IFERROR(MATCH(33,ChqRankU,0),0)=0,"",INDEX(ChqNo,IFERROR(MATCH(33,ChqRankU,0),0)))</f>
        <v/>
      </c>
      <c r="D49" s="23">
        <f>IF(IFERROR(MATCH(33,ChqRankU,0),0)=0,"",IF(INDEX(ChqAmt,IFERROR(MATCH(33,ChqRankU,0),0))=0,"",INDEX(ChqAmt,IFERROR(MATCH(33,ChqRankU,0),0))))</f>
        <v/>
      </c>
      <c r="E49" s="14">
        <f>IF(IFERROR(MATCH(33,ChqRankU,0),0)=0,"",INDEX(ChqStatus,IFERROR(MATCH(33,ChqRankU,0),0)))</f>
        <v/>
      </c>
      <c r="F49" s="22">
        <f>IF(IFERROR(MATCH(33,ChqRankU,0),0)=0,"",IF(INDEX(ChqStatus,IFERROR(MATCH(33,ChqRankU,0),0))="پاس نشده","—",IF(INDEX(ChqClr,IFERROR(MATCH(33,ChqRankU,0),0))="","—",INDEX(ChqClr,IFERROR(MATCH(33,ChqRankU,0),0)))))</f>
        <v/>
      </c>
      <c r="I49">
        <f>IF(33&gt;NChq,"",INDEX(ChqNorm,33))</f>
        <v/>
      </c>
      <c r="J49">
        <f>IF($I49="","",IF(AND($I49&gt;=$H$3,$I49&lt;=$H$4,INDEX(ChqStatus,33)="پاس نشده"),1,0))</f>
        <v/>
      </c>
      <c r="K49">
        <f>IF($J49=0,"",INDEX(ChqKey,33))</f>
        <v/>
      </c>
      <c r="L49">
        <f>IF($K49="","",COUNTIFS($J$17:$J$516,1,$K$17:$K$516,"&lt;"&amp;$K49)+1)</f>
        <v/>
      </c>
    </row>
    <row r="50">
      <c r="A50" s="16">
        <f>IF(IFERROR(MATCH(34,ChqRankU,0),0)=0,"",34)</f>
        <v/>
      </c>
      <c r="B50" s="24">
        <f>IF(IFERROR(MATCH(34,ChqRankU,0),0)=0,"",INDEX(ChqNorm,IFERROR(MATCH(34,ChqRankU,0),0)))</f>
        <v/>
      </c>
      <c r="C50" s="24">
        <f>IF(IFERROR(MATCH(34,ChqRankU,0),0)=0,"",INDEX(ChqNo,IFERROR(MATCH(34,ChqRankU,0),0)))</f>
        <v/>
      </c>
      <c r="D50" s="25">
        <f>IF(IFERROR(MATCH(34,ChqRankU,0),0)=0,"",IF(INDEX(ChqAmt,IFERROR(MATCH(34,ChqRankU,0),0))=0,"",INDEX(ChqAmt,IFERROR(MATCH(34,ChqRankU,0),0))))</f>
        <v/>
      </c>
      <c r="E50" s="17">
        <f>IF(IFERROR(MATCH(34,ChqRankU,0),0)=0,"",INDEX(ChqStatus,IFERROR(MATCH(34,ChqRankU,0),0)))</f>
        <v/>
      </c>
      <c r="F50" s="24">
        <f>IF(IFERROR(MATCH(34,ChqRankU,0),0)=0,"",IF(INDEX(ChqStatus,IFERROR(MATCH(34,ChqRankU,0),0))="پاس نشده","—",IF(INDEX(ChqClr,IFERROR(MATCH(34,ChqRankU,0),0))="","—",INDEX(ChqClr,IFERROR(MATCH(34,ChqRankU,0),0)))))</f>
        <v/>
      </c>
      <c r="I50">
        <f>IF(34&gt;NChq,"",INDEX(ChqNorm,34))</f>
        <v/>
      </c>
      <c r="J50">
        <f>IF($I50="","",IF(AND($I50&gt;=$H$3,$I50&lt;=$H$4,INDEX(ChqStatus,34)="پاس نشده"),1,0))</f>
        <v/>
      </c>
      <c r="K50">
        <f>IF($J50=0,"",INDEX(ChqKey,34))</f>
        <v/>
      </c>
      <c r="L50">
        <f>IF($K50="","",COUNTIFS($J$17:$J$516,1,$K$17:$K$516,"&lt;"&amp;$K50)+1)</f>
        <v/>
      </c>
    </row>
    <row r="51">
      <c r="A51" s="10">
        <f>IF(IFERROR(MATCH(35,ChqRankU,0),0)=0,"",35)</f>
        <v/>
      </c>
      <c r="B51" s="22">
        <f>IF(IFERROR(MATCH(35,ChqRankU,0),0)=0,"",INDEX(ChqNorm,IFERROR(MATCH(35,ChqRankU,0),0)))</f>
        <v/>
      </c>
      <c r="C51" s="22">
        <f>IF(IFERROR(MATCH(35,ChqRankU,0),0)=0,"",INDEX(ChqNo,IFERROR(MATCH(35,ChqRankU,0),0)))</f>
        <v/>
      </c>
      <c r="D51" s="23">
        <f>IF(IFERROR(MATCH(35,ChqRankU,0),0)=0,"",IF(INDEX(ChqAmt,IFERROR(MATCH(35,ChqRankU,0),0))=0,"",INDEX(ChqAmt,IFERROR(MATCH(35,ChqRankU,0),0))))</f>
        <v/>
      </c>
      <c r="E51" s="14">
        <f>IF(IFERROR(MATCH(35,ChqRankU,0),0)=0,"",INDEX(ChqStatus,IFERROR(MATCH(35,ChqRankU,0),0)))</f>
        <v/>
      </c>
      <c r="F51" s="22">
        <f>IF(IFERROR(MATCH(35,ChqRankU,0),0)=0,"",IF(INDEX(ChqStatus,IFERROR(MATCH(35,ChqRankU,0),0))="پاس نشده","—",IF(INDEX(ChqClr,IFERROR(MATCH(35,ChqRankU,0),0))="","—",INDEX(ChqClr,IFERROR(MATCH(35,ChqRankU,0),0)))))</f>
        <v/>
      </c>
      <c r="I51">
        <f>IF(35&gt;NChq,"",INDEX(ChqNorm,35))</f>
        <v/>
      </c>
      <c r="J51">
        <f>IF($I51="","",IF(AND($I51&gt;=$H$3,$I51&lt;=$H$4,INDEX(ChqStatus,35)="پاس نشده"),1,0))</f>
        <v/>
      </c>
      <c r="K51">
        <f>IF($J51=0,"",INDEX(ChqKey,35))</f>
        <v/>
      </c>
      <c r="L51">
        <f>IF($K51="","",COUNTIFS($J$17:$J$516,1,$K$17:$K$516,"&lt;"&amp;$K51)+1)</f>
        <v/>
      </c>
    </row>
    <row r="52">
      <c r="A52" s="16">
        <f>IF(IFERROR(MATCH(36,ChqRankU,0),0)=0,"",36)</f>
        <v/>
      </c>
      <c r="B52" s="24">
        <f>IF(IFERROR(MATCH(36,ChqRankU,0),0)=0,"",INDEX(ChqNorm,IFERROR(MATCH(36,ChqRankU,0),0)))</f>
        <v/>
      </c>
      <c r="C52" s="24">
        <f>IF(IFERROR(MATCH(36,ChqRankU,0),0)=0,"",INDEX(ChqNo,IFERROR(MATCH(36,ChqRankU,0),0)))</f>
        <v/>
      </c>
      <c r="D52" s="25">
        <f>IF(IFERROR(MATCH(36,ChqRankU,0),0)=0,"",IF(INDEX(ChqAmt,IFERROR(MATCH(36,ChqRankU,0),0))=0,"",INDEX(ChqAmt,IFERROR(MATCH(36,ChqRankU,0),0))))</f>
        <v/>
      </c>
      <c r="E52" s="17">
        <f>IF(IFERROR(MATCH(36,ChqRankU,0),0)=0,"",INDEX(ChqStatus,IFERROR(MATCH(36,ChqRankU,0),0)))</f>
        <v/>
      </c>
      <c r="F52" s="24">
        <f>IF(IFERROR(MATCH(36,ChqRankU,0),0)=0,"",IF(INDEX(ChqStatus,IFERROR(MATCH(36,ChqRankU,0),0))="پاس نشده","—",IF(INDEX(ChqClr,IFERROR(MATCH(36,ChqRankU,0),0))="","—",INDEX(ChqClr,IFERROR(MATCH(36,ChqRankU,0),0)))))</f>
        <v/>
      </c>
      <c r="I52">
        <f>IF(36&gt;NChq,"",INDEX(ChqNorm,36))</f>
        <v/>
      </c>
      <c r="J52">
        <f>IF($I52="","",IF(AND($I52&gt;=$H$3,$I52&lt;=$H$4,INDEX(ChqStatus,36)="پاس نشده"),1,0))</f>
        <v/>
      </c>
      <c r="K52">
        <f>IF($J52=0,"",INDEX(ChqKey,36))</f>
        <v/>
      </c>
      <c r="L52">
        <f>IF($K52="","",COUNTIFS($J$17:$J$516,1,$K$17:$K$516,"&lt;"&amp;$K52)+1)</f>
        <v/>
      </c>
    </row>
    <row r="53">
      <c r="A53" s="10">
        <f>IF(IFERROR(MATCH(37,ChqRankU,0),0)=0,"",37)</f>
        <v/>
      </c>
      <c r="B53" s="22">
        <f>IF(IFERROR(MATCH(37,ChqRankU,0),0)=0,"",INDEX(ChqNorm,IFERROR(MATCH(37,ChqRankU,0),0)))</f>
        <v/>
      </c>
      <c r="C53" s="22">
        <f>IF(IFERROR(MATCH(37,ChqRankU,0),0)=0,"",INDEX(ChqNo,IFERROR(MATCH(37,ChqRankU,0),0)))</f>
        <v/>
      </c>
      <c r="D53" s="23">
        <f>IF(IFERROR(MATCH(37,ChqRankU,0),0)=0,"",IF(INDEX(ChqAmt,IFERROR(MATCH(37,ChqRankU,0),0))=0,"",INDEX(ChqAmt,IFERROR(MATCH(37,ChqRankU,0),0))))</f>
        <v/>
      </c>
      <c r="E53" s="14">
        <f>IF(IFERROR(MATCH(37,ChqRankU,0),0)=0,"",INDEX(ChqStatus,IFERROR(MATCH(37,ChqRankU,0),0)))</f>
        <v/>
      </c>
      <c r="F53" s="22">
        <f>IF(IFERROR(MATCH(37,ChqRankU,0),0)=0,"",IF(INDEX(ChqStatus,IFERROR(MATCH(37,ChqRankU,0),0))="پاس نشده","—",IF(INDEX(ChqClr,IFERROR(MATCH(37,ChqRankU,0),0))="","—",INDEX(ChqClr,IFERROR(MATCH(37,ChqRankU,0),0)))))</f>
        <v/>
      </c>
      <c r="I53">
        <f>IF(37&gt;NChq,"",INDEX(ChqNorm,37))</f>
        <v/>
      </c>
      <c r="J53">
        <f>IF($I53="","",IF(AND($I53&gt;=$H$3,$I53&lt;=$H$4,INDEX(ChqStatus,37)="پاس نشده"),1,0))</f>
        <v/>
      </c>
      <c r="K53">
        <f>IF($J53=0,"",INDEX(ChqKey,37))</f>
        <v/>
      </c>
      <c r="L53">
        <f>IF($K53="","",COUNTIFS($J$17:$J$516,1,$K$17:$K$516,"&lt;"&amp;$K53)+1)</f>
        <v/>
      </c>
    </row>
    <row r="54">
      <c r="A54" s="16">
        <f>IF(IFERROR(MATCH(38,ChqRankU,0),0)=0,"",38)</f>
        <v/>
      </c>
      <c r="B54" s="24">
        <f>IF(IFERROR(MATCH(38,ChqRankU,0),0)=0,"",INDEX(ChqNorm,IFERROR(MATCH(38,ChqRankU,0),0)))</f>
        <v/>
      </c>
      <c r="C54" s="24">
        <f>IF(IFERROR(MATCH(38,ChqRankU,0),0)=0,"",INDEX(ChqNo,IFERROR(MATCH(38,ChqRankU,0),0)))</f>
        <v/>
      </c>
      <c r="D54" s="25">
        <f>IF(IFERROR(MATCH(38,ChqRankU,0),0)=0,"",IF(INDEX(ChqAmt,IFERROR(MATCH(38,ChqRankU,0),0))=0,"",INDEX(ChqAmt,IFERROR(MATCH(38,ChqRankU,0),0))))</f>
        <v/>
      </c>
      <c r="E54" s="17">
        <f>IF(IFERROR(MATCH(38,ChqRankU,0),0)=0,"",INDEX(ChqStatus,IFERROR(MATCH(38,ChqRankU,0),0)))</f>
        <v/>
      </c>
      <c r="F54" s="24">
        <f>IF(IFERROR(MATCH(38,ChqRankU,0),0)=0,"",IF(INDEX(ChqStatus,IFERROR(MATCH(38,ChqRankU,0),0))="پاس نشده","—",IF(INDEX(ChqClr,IFERROR(MATCH(38,ChqRankU,0),0))="","—",INDEX(ChqClr,IFERROR(MATCH(38,ChqRankU,0),0)))))</f>
        <v/>
      </c>
      <c r="I54">
        <f>IF(38&gt;NChq,"",INDEX(ChqNorm,38))</f>
        <v/>
      </c>
      <c r="J54">
        <f>IF($I54="","",IF(AND($I54&gt;=$H$3,$I54&lt;=$H$4,INDEX(ChqStatus,38)="پاس نشده"),1,0))</f>
        <v/>
      </c>
      <c r="K54">
        <f>IF($J54=0,"",INDEX(ChqKey,38))</f>
        <v/>
      </c>
      <c r="L54">
        <f>IF($K54="","",COUNTIFS($J$17:$J$516,1,$K$17:$K$516,"&lt;"&amp;$K54)+1)</f>
        <v/>
      </c>
    </row>
    <row r="55">
      <c r="A55" s="10">
        <f>IF(IFERROR(MATCH(39,ChqRankU,0),0)=0,"",39)</f>
        <v/>
      </c>
      <c r="B55" s="22">
        <f>IF(IFERROR(MATCH(39,ChqRankU,0),0)=0,"",INDEX(ChqNorm,IFERROR(MATCH(39,ChqRankU,0),0)))</f>
        <v/>
      </c>
      <c r="C55" s="22">
        <f>IF(IFERROR(MATCH(39,ChqRankU,0),0)=0,"",INDEX(ChqNo,IFERROR(MATCH(39,ChqRankU,0),0)))</f>
        <v/>
      </c>
      <c r="D55" s="23">
        <f>IF(IFERROR(MATCH(39,ChqRankU,0),0)=0,"",IF(INDEX(ChqAmt,IFERROR(MATCH(39,ChqRankU,0),0))=0,"",INDEX(ChqAmt,IFERROR(MATCH(39,ChqRankU,0),0))))</f>
        <v/>
      </c>
      <c r="E55" s="14">
        <f>IF(IFERROR(MATCH(39,ChqRankU,0),0)=0,"",INDEX(ChqStatus,IFERROR(MATCH(39,ChqRankU,0),0)))</f>
        <v/>
      </c>
      <c r="F55" s="22">
        <f>IF(IFERROR(MATCH(39,ChqRankU,0),0)=0,"",IF(INDEX(ChqStatus,IFERROR(MATCH(39,ChqRankU,0),0))="پاس نشده","—",IF(INDEX(ChqClr,IFERROR(MATCH(39,ChqRankU,0),0))="","—",INDEX(ChqClr,IFERROR(MATCH(39,ChqRankU,0),0)))))</f>
        <v/>
      </c>
      <c r="I55">
        <f>IF(39&gt;NChq,"",INDEX(ChqNorm,39))</f>
        <v/>
      </c>
      <c r="J55">
        <f>IF($I55="","",IF(AND($I55&gt;=$H$3,$I55&lt;=$H$4,INDEX(ChqStatus,39)="پاس نشده"),1,0))</f>
        <v/>
      </c>
      <c r="K55">
        <f>IF($J55=0,"",INDEX(ChqKey,39))</f>
        <v/>
      </c>
      <c r="L55">
        <f>IF($K55="","",COUNTIFS($J$17:$J$516,1,$K$17:$K$516,"&lt;"&amp;$K55)+1)</f>
        <v/>
      </c>
    </row>
    <row r="56">
      <c r="A56" s="16">
        <f>IF(IFERROR(MATCH(40,ChqRankU,0),0)=0,"",40)</f>
        <v/>
      </c>
      <c r="B56" s="24">
        <f>IF(IFERROR(MATCH(40,ChqRankU,0),0)=0,"",INDEX(ChqNorm,IFERROR(MATCH(40,ChqRankU,0),0)))</f>
        <v/>
      </c>
      <c r="C56" s="24">
        <f>IF(IFERROR(MATCH(40,ChqRankU,0),0)=0,"",INDEX(ChqNo,IFERROR(MATCH(40,ChqRankU,0),0)))</f>
        <v/>
      </c>
      <c r="D56" s="25">
        <f>IF(IFERROR(MATCH(40,ChqRankU,0),0)=0,"",IF(INDEX(ChqAmt,IFERROR(MATCH(40,ChqRankU,0),0))=0,"",INDEX(ChqAmt,IFERROR(MATCH(40,ChqRankU,0),0))))</f>
        <v/>
      </c>
      <c r="E56" s="17">
        <f>IF(IFERROR(MATCH(40,ChqRankU,0),0)=0,"",INDEX(ChqStatus,IFERROR(MATCH(40,ChqRankU,0),0)))</f>
        <v/>
      </c>
      <c r="F56" s="24">
        <f>IF(IFERROR(MATCH(40,ChqRankU,0),0)=0,"",IF(INDEX(ChqStatus,IFERROR(MATCH(40,ChqRankU,0),0))="پاس نشده","—",IF(INDEX(ChqClr,IFERROR(MATCH(40,ChqRankU,0),0))="","—",INDEX(ChqClr,IFERROR(MATCH(40,ChqRankU,0),0)))))</f>
        <v/>
      </c>
      <c r="I56">
        <f>IF(40&gt;NChq,"",INDEX(ChqNorm,40))</f>
        <v/>
      </c>
      <c r="J56">
        <f>IF($I56="","",IF(AND($I56&gt;=$H$3,$I56&lt;=$H$4,INDEX(ChqStatus,40)="پاس نشده"),1,0))</f>
        <v/>
      </c>
      <c r="K56">
        <f>IF($J56=0,"",INDEX(ChqKey,40))</f>
        <v/>
      </c>
      <c r="L56">
        <f>IF($K56="","",COUNTIFS($J$17:$J$516,1,$K$17:$K$516,"&lt;"&amp;$K56)+1)</f>
        <v/>
      </c>
    </row>
    <row r="57">
      <c r="A57" s="10">
        <f>IF(IFERROR(MATCH(41,ChqRankU,0),0)=0,"",41)</f>
        <v/>
      </c>
      <c r="B57" s="22">
        <f>IF(IFERROR(MATCH(41,ChqRankU,0),0)=0,"",INDEX(ChqNorm,IFERROR(MATCH(41,ChqRankU,0),0)))</f>
        <v/>
      </c>
      <c r="C57" s="22">
        <f>IF(IFERROR(MATCH(41,ChqRankU,0),0)=0,"",INDEX(ChqNo,IFERROR(MATCH(41,ChqRankU,0),0)))</f>
        <v/>
      </c>
      <c r="D57" s="23">
        <f>IF(IFERROR(MATCH(41,ChqRankU,0),0)=0,"",IF(INDEX(ChqAmt,IFERROR(MATCH(41,ChqRankU,0),0))=0,"",INDEX(ChqAmt,IFERROR(MATCH(41,ChqRankU,0),0))))</f>
        <v/>
      </c>
      <c r="E57" s="14">
        <f>IF(IFERROR(MATCH(41,ChqRankU,0),0)=0,"",INDEX(ChqStatus,IFERROR(MATCH(41,ChqRankU,0),0)))</f>
        <v/>
      </c>
      <c r="F57" s="22">
        <f>IF(IFERROR(MATCH(41,ChqRankU,0),0)=0,"",IF(INDEX(ChqStatus,IFERROR(MATCH(41,ChqRankU,0),0))="پاس نشده","—",IF(INDEX(ChqClr,IFERROR(MATCH(41,ChqRankU,0),0))="","—",INDEX(ChqClr,IFERROR(MATCH(41,ChqRankU,0),0)))))</f>
        <v/>
      </c>
      <c r="I57">
        <f>IF(41&gt;NChq,"",INDEX(ChqNorm,41))</f>
        <v/>
      </c>
      <c r="J57">
        <f>IF($I57="","",IF(AND($I57&gt;=$H$3,$I57&lt;=$H$4,INDEX(ChqStatus,41)="پاس نشده"),1,0))</f>
        <v/>
      </c>
      <c r="K57">
        <f>IF($J57=0,"",INDEX(ChqKey,41))</f>
        <v/>
      </c>
      <c r="L57">
        <f>IF($K57="","",COUNTIFS($J$17:$J$516,1,$K$17:$K$516,"&lt;"&amp;$K57)+1)</f>
        <v/>
      </c>
    </row>
    <row r="58">
      <c r="A58" s="16">
        <f>IF(IFERROR(MATCH(42,ChqRankU,0),0)=0,"",42)</f>
        <v/>
      </c>
      <c r="B58" s="24">
        <f>IF(IFERROR(MATCH(42,ChqRankU,0),0)=0,"",INDEX(ChqNorm,IFERROR(MATCH(42,ChqRankU,0),0)))</f>
        <v/>
      </c>
      <c r="C58" s="24">
        <f>IF(IFERROR(MATCH(42,ChqRankU,0),0)=0,"",INDEX(ChqNo,IFERROR(MATCH(42,ChqRankU,0),0)))</f>
        <v/>
      </c>
      <c r="D58" s="25">
        <f>IF(IFERROR(MATCH(42,ChqRankU,0),0)=0,"",IF(INDEX(ChqAmt,IFERROR(MATCH(42,ChqRankU,0),0))=0,"",INDEX(ChqAmt,IFERROR(MATCH(42,ChqRankU,0),0))))</f>
        <v/>
      </c>
      <c r="E58" s="17">
        <f>IF(IFERROR(MATCH(42,ChqRankU,0),0)=0,"",INDEX(ChqStatus,IFERROR(MATCH(42,ChqRankU,0),0)))</f>
        <v/>
      </c>
      <c r="F58" s="24">
        <f>IF(IFERROR(MATCH(42,ChqRankU,0),0)=0,"",IF(INDEX(ChqStatus,IFERROR(MATCH(42,ChqRankU,0),0))="پاس نشده","—",IF(INDEX(ChqClr,IFERROR(MATCH(42,ChqRankU,0),0))="","—",INDEX(ChqClr,IFERROR(MATCH(42,ChqRankU,0),0)))))</f>
        <v/>
      </c>
      <c r="I58">
        <f>IF(42&gt;NChq,"",INDEX(ChqNorm,42))</f>
        <v/>
      </c>
      <c r="J58">
        <f>IF($I58="","",IF(AND($I58&gt;=$H$3,$I58&lt;=$H$4,INDEX(ChqStatus,42)="پاس نشده"),1,0))</f>
        <v/>
      </c>
      <c r="K58">
        <f>IF($J58=0,"",INDEX(ChqKey,42))</f>
        <v/>
      </c>
      <c r="L58">
        <f>IF($K58="","",COUNTIFS($J$17:$J$516,1,$K$17:$K$516,"&lt;"&amp;$K58)+1)</f>
        <v/>
      </c>
    </row>
    <row r="59">
      <c r="A59" s="10">
        <f>IF(IFERROR(MATCH(43,ChqRankU,0),0)=0,"",43)</f>
        <v/>
      </c>
      <c r="B59" s="22">
        <f>IF(IFERROR(MATCH(43,ChqRankU,0),0)=0,"",INDEX(ChqNorm,IFERROR(MATCH(43,ChqRankU,0),0)))</f>
        <v/>
      </c>
      <c r="C59" s="22">
        <f>IF(IFERROR(MATCH(43,ChqRankU,0),0)=0,"",INDEX(ChqNo,IFERROR(MATCH(43,ChqRankU,0),0)))</f>
        <v/>
      </c>
      <c r="D59" s="23">
        <f>IF(IFERROR(MATCH(43,ChqRankU,0),0)=0,"",IF(INDEX(ChqAmt,IFERROR(MATCH(43,ChqRankU,0),0))=0,"",INDEX(ChqAmt,IFERROR(MATCH(43,ChqRankU,0),0))))</f>
        <v/>
      </c>
      <c r="E59" s="14">
        <f>IF(IFERROR(MATCH(43,ChqRankU,0),0)=0,"",INDEX(ChqStatus,IFERROR(MATCH(43,ChqRankU,0),0)))</f>
        <v/>
      </c>
      <c r="F59" s="22">
        <f>IF(IFERROR(MATCH(43,ChqRankU,0),0)=0,"",IF(INDEX(ChqStatus,IFERROR(MATCH(43,ChqRankU,0),0))="پاس نشده","—",IF(INDEX(ChqClr,IFERROR(MATCH(43,ChqRankU,0),0))="","—",INDEX(ChqClr,IFERROR(MATCH(43,ChqRankU,0),0)))))</f>
        <v/>
      </c>
      <c r="I59">
        <f>IF(43&gt;NChq,"",INDEX(ChqNorm,43))</f>
        <v/>
      </c>
      <c r="J59">
        <f>IF($I59="","",IF(AND($I59&gt;=$H$3,$I59&lt;=$H$4,INDEX(ChqStatus,43)="پاس نشده"),1,0))</f>
        <v/>
      </c>
      <c r="K59">
        <f>IF($J59=0,"",INDEX(ChqKey,43))</f>
        <v/>
      </c>
      <c r="L59">
        <f>IF($K59="","",COUNTIFS($J$17:$J$516,1,$K$17:$K$516,"&lt;"&amp;$K59)+1)</f>
        <v/>
      </c>
    </row>
    <row r="60">
      <c r="A60" s="16">
        <f>IF(IFERROR(MATCH(44,ChqRankU,0),0)=0,"",44)</f>
        <v/>
      </c>
      <c r="B60" s="24">
        <f>IF(IFERROR(MATCH(44,ChqRankU,0),0)=0,"",INDEX(ChqNorm,IFERROR(MATCH(44,ChqRankU,0),0)))</f>
        <v/>
      </c>
      <c r="C60" s="24">
        <f>IF(IFERROR(MATCH(44,ChqRankU,0),0)=0,"",INDEX(ChqNo,IFERROR(MATCH(44,ChqRankU,0),0)))</f>
        <v/>
      </c>
      <c r="D60" s="25">
        <f>IF(IFERROR(MATCH(44,ChqRankU,0),0)=0,"",IF(INDEX(ChqAmt,IFERROR(MATCH(44,ChqRankU,0),0))=0,"",INDEX(ChqAmt,IFERROR(MATCH(44,ChqRankU,0),0))))</f>
        <v/>
      </c>
      <c r="E60" s="17">
        <f>IF(IFERROR(MATCH(44,ChqRankU,0),0)=0,"",INDEX(ChqStatus,IFERROR(MATCH(44,ChqRankU,0),0)))</f>
        <v/>
      </c>
      <c r="F60" s="24">
        <f>IF(IFERROR(MATCH(44,ChqRankU,0),0)=0,"",IF(INDEX(ChqStatus,IFERROR(MATCH(44,ChqRankU,0),0))="پاس نشده","—",IF(INDEX(ChqClr,IFERROR(MATCH(44,ChqRankU,0),0))="","—",INDEX(ChqClr,IFERROR(MATCH(44,ChqRankU,0),0)))))</f>
        <v/>
      </c>
      <c r="I60">
        <f>IF(44&gt;NChq,"",INDEX(ChqNorm,44))</f>
        <v/>
      </c>
      <c r="J60">
        <f>IF($I60="","",IF(AND($I60&gt;=$H$3,$I60&lt;=$H$4,INDEX(ChqStatus,44)="پاس نشده"),1,0))</f>
        <v/>
      </c>
      <c r="K60">
        <f>IF($J60=0,"",INDEX(ChqKey,44))</f>
        <v/>
      </c>
      <c r="L60">
        <f>IF($K60="","",COUNTIFS($J$17:$J$516,1,$K$17:$K$516,"&lt;"&amp;$K60)+1)</f>
        <v/>
      </c>
    </row>
    <row r="61">
      <c r="A61" s="10">
        <f>IF(IFERROR(MATCH(45,ChqRankU,0),0)=0,"",45)</f>
        <v/>
      </c>
      <c r="B61" s="22">
        <f>IF(IFERROR(MATCH(45,ChqRankU,0),0)=0,"",INDEX(ChqNorm,IFERROR(MATCH(45,ChqRankU,0),0)))</f>
        <v/>
      </c>
      <c r="C61" s="22">
        <f>IF(IFERROR(MATCH(45,ChqRankU,0),0)=0,"",INDEX(ChqNo,IFERROR(MATCH(45,ChqRankU,0),0)))</f>
        <v/>
      </c>
      <c r="D61" s="23">
        <f>IF(IFERROR(MATCH(45,ChqRankU,0),0)=0,"",IF(INDEX(ChqAmt,IFERROR(MATCH(45,ChqRankU,0),0))=0,"",INDEX(ChqAmt,IFERROR(MATCH(45,ChqRankU,0),0))))</f>
        <v/>
      </c>
      <c r="E61" s="14">
        <f>IF(IFERROR(MATCH(45,ChqRankU,0),0)=0,"",INDEX(ChqStatus,IFERROR(MATCH(45,ChqRankU,0),0)))</f>
        <v/>
      </c>
      <c r="F61" s="22">
        <f>IF(IFERROR(MATCH(45,ChqRankU,0),0)=0,"",IF(INDEX(ChqStatus,IFERROR(MATCH(45,ChqRankU,0),0))="پاس نشده","—",IF(INDEX(ChqClr,IFERROR(MATCH(45,ChqRankU,0),0))="","—",INDEX(ChqClr,IFERROR(MATCH(45,ChqRankU,0),0)))))</f>
        <v/>
      </c>
      <c r="I61">
        <f>IF(45&gt;NChq,"",INDEX(ChqNorm,45))</f>
        <v/>
      </c>
      <c r="J61">
        <f>IF($I61="","",IF(AND($I61&gt;=$H$3,$I61&lt;=$H$4,INDEX(ChqStatus,45)="پاس نشده"),1,0))</f>
        <v/>
      </c>
      <c r="K61">
        <f>IF($J61=0,"",INDEX(ChqKey,45))</f>
        <v/>
      </c>
      <c r="L61">
        <f>IF($K61="","",COUNTIFS($J$17:$J$516,1,$K$17:$K$516,"&lt;"&amp;$K61)+1)</f>
        <v/>
      </c>
    </row>
    <row r="62">
      <c r="A62" s="16">
        <f>IF(IFERROR(MATCH(46,ChqRankU,0),0)=0,"",46)</f>
        <v/>
      </c>
      <c r="B62" s="24">
        <f>IF(IFERROR(MATCH(46,ChqRankU,0),0)=0,"",INDEX(ChqNorm,IFERROR(MATCH(46,ChqRankU,0),0)))</f>
        <v/>
      </c>
      <c r="C62" s="24">
        <f>IF(IFERROR(MATCH(46,ChqRankU,0),0)=0,"",INDEX(ChqNo,IFERROR(MATCH(46,ChqRankU,0),0)))</f>
        <v/>
      </c>
      <c r="D62" s="25">
        <f>IF(IFERROR(MATCH(46,ChqRankU,0),0)=0,"",IF(INDEX(ChqAmt,IFERROR(MATCH(46,ChqRankU,0),0))=0,"",INDEX(ChqAmt,IFERROR(MATCH(46,ChqRankU,0),0))))</f>
        <v/>
      </c>
      <c r="E62" s="17">
        <f>IF(IFERROR(MATCH(46,ChqRankU,0),0)=0,"",INDEX(ChqStatus,IFERROR(MATCH(46,ChqRankU,0),0)))</f>
        <v/>
      </c>
      <c r="F62" s="24">
        <f>IF(IFERROR(MATCH(46,ChqRankU,0),0)=0,"",IF(INDEX(ChqStatus,IFERROR(MATCH(46,ChqRankU,0),0))="پاس نشده","—",IF(INDEX(ChqClr,IFERROR(MATCH(46,ChqRankU,0),0))="","—",INDEX(ChqClr,IFERROR(MATCH(46,ChqRankU,0),0)))))</f>
        <v/>
      </c>
      <c r="I62">
        <f>IF(46&gt;NChq,"",INDEX(ChqNorm,46))</f>
        <v/>
      </c>
      <c r="J62">
        <f>IF($I62="","",IF(AND($I62&gt;=$H$3,$I62&lt;=$H$4,INDEX(ChqStatus,46)="پاس نشده"),1,0))</f>
        <v/>
      </c>
      <c r="K62">
        <f>IF($J62=0,"",INDEX(ChqKey,46))</f>
        <v/>
      </c>
      <c r="L62">
        <f>IF($K62="","",COUNTIFS($J$17:$J$516,1,$K$17:$K$516,"&lt;"&amp;$K62)+1)</f>
        <v/>
      </c>
    </row>
    <row r="63">
      <c r="A63" s="10">
        <f>IF(IFERROR(MATCH(47,ChqRankU,0),0)=0,"",47)</f>
        <v/>
      </c>
      <c r="B63" s="22">
        <f>IF(IFERROR(MATCH(47,ChqRankU,0),0)=0,"",INDEX(ChqNorm,IFERROR(MATCH(47,ChqRankU,0),0)))</f>
        <v/>
      </c>
      <c r="C63" s="22">
        <f>IF(IFERROR(MATCH(47,ChqRankU,0),0)=0,"",INDEX(ChqNo,IFERROR(MATCH(47,ChqRankU,0),0)))</f>
        <v/>
      </c>
      <c r="D63" s="23">
        <f>IF(IFERROR(MATCH(47,ChqRankU,0),0)=0,"",IF(INDEX(ChqAmt,IFERROR(MATCH(47,ChqRankU,0),0))=0,"",INDEX(ChqAmt,IFERROR(MATCH(47,ChqRankU,0),0))))</f>
        <v/>
      </c>
      <c r="E63" s="14">
        <f>IF(IFERROR(MATCH(47,ChqRankU,0),0)=0,"",INDEX(ChqStatus,IFERROR(MATCH(47,ChqRankU,0),0)))</f>
        <v/>
      </c>
      <c r="F63" s="22">
        <f>IF(IFERROR(MATCH(47,ChqRankU,0),0)=0,"",IF(INDEX(ChqStatus,IFERROR(MATCH(47,ChqRankU,0),0))="پاس نشده","—",IF(INDEX(ChqClr,IFERROR(MATCH(47,ChqRankU,0),0))="","—",INDEX(ChqClr,IFERROR(MATCH(47,ChqRankU,0),0)))))</f>
        <v/>
      </c>
      <c r="I63">
        <f>IF(47&gt;NChq,"",INDEX(ChqNorm,47))</f>
        <v/>
      </c>
      <c r="J63">
        <f>IF($I63="","",IF(AND($I63&gt;=$H$3,$I63&lt;=$H$4,INDEX(ChqStatus,47)="پاس نشده"),1,0))</f>
        <v/>
      </c>
      <c r="K63">
        <f>IF($J63=0,"",INDEX(ChqKey,47))</f>
        <v/>
      </c>
      <c r="L63">
        <f>IF($K63="","",COUNTIFS($J$17:$J$516,1,$K$17:$K$516,"&lt;"&amp;$K63)+1)</f>
        <v/>
      </c>
    </row>
    <row r="64">
      <c r="A64" s="16">
        <f>IF(IFERROR(MATCH(48,ChqRankU,0),0)=0,"",48)</f>
        <v/>
      </c>
      <c r="B64" s="24">
        <f>IF(IFERROR(MATCH(48,ChqRankU,0),0)=0,"",INDEX(ChqNorm,IFERROR(MATCH(48,ChqRankU,0),0)))</f>
        <v/>
      </c>
      <c r="C64" s="24">
        <f>IF(IFERROR(MATCH(48,ChqRankU,0),0)=0,"",INDEX(ChqNo,IFERROR(MATCH(48,ChqRankU,0),0)))</f>
        <v/>
      </c>
      <c r="D64" s="25">
        <f>IF(IFERROR(MATCH(48,ChqRankU,0),0)=0,"",IF(INDEX(ChqAmt,IFERROR(MATCH(48,ChqRankU,0),0))=0,"",INDEX(ChqAmt,IFERROR(MATCH(48,ChqRankU,0),0))))</f>
        <v/>
      </c>
      <c r="E64" s="17">
        <f>IF(IFERROR(MATCH(48,ChqRankU,0),0)=0,"",INDEX(ChqStatus,IFERROR(MATCH(48,ChqRankU,0),0)))</f>
        <v/>
      </c>
      <c r="F64" s="24">
        <f>IF(IFERROR(MATCH(48,ChqRankU,0),0)=0,"",IF(INDEX(ChqStatus,IFERROR(MATCH(48,ChqRankU,0),0))="پاس نشده","—",IF(INDEX(ChqClr,IFERROR(MATCH(48,ChqRankU,0),0))="","—",INDEX(ChqClr,IFERROR(MATCH(48,ChqRankU,0),0)))))</f>
        <v/>
      </c>
      <c r="I64">
        <f>IF(48&gt;NChq,"",INDEX(ChqNorm,48))</f>
        <v/>
      </c>
      <c r="J64">
        <f>IF($I64="","",IF(AND($I64&gt;=$H$3,$I64&lt;=$H$4,INDEX(ChqStatus,48)="پاس نشده"),1,0))</f>
        <v/>
      </c>
      <c r="K64">
        <f>IF($J64=0,"",INDEX(ChqKey,48))</f>
        <v/>
      </c>
      <c r="L64">
        <f>IF($K64="","",COUNTIFS($J$17:$J$516,1,$K$17:$K$516,"&lt;"&amp;$K64)+1)</f>
        <v/>
      </c>
    </row>
    <row r="65">
      <c r="A65" s="10">
        <f>IF(IFERROR(MATCH(49,ChqRankU,0),0)=0,"",49)</f>
        <v/>
      </c>
      <c r="B65" s="22">
        <f>IF(IFERROR(MATCH(49,ChqRankU,0),0)=0,"",INDEX(ChqNorm,IFERROR(MATCH(49,ChqRankU,0),0)))</f>
        <v/>
      </c>
      <c r="C65" s="22">
        <f>IF(IFERROR(MATCH(49,ChqRankU,0),0)=0,"",INDEX(ChqNo,IFERROR(MATCH(49,ChqRankU,0),0)))</f>
        <v/>
      </c>
      <c r="D65" s="23">
        <f>IF(IFERROR(MATCH(49,ChqRankU,0),0)=0,"",IF(INDEX(ChqAmt,IFERROR(MATCH(49,ChqRankU,0),0))=0,"",INDEX(ChqAmt,IFERROR(MATCH(49,ChqRankU,0),0))))</f>
        <v/>
      </c>
      <c r="E65" s="14">
        <f>IF(IFERROR(MATCH(49,ChqRankU,0),0)=0,"",INDEX(ChqStatus,IFERROR(MATCH(49,ChqRankU,0),0)))</f>
        <v/>
      </c>
      <c r="F65" s="22">
        <f>IF(IFERROR(MATCH(49,ChqRankU,0),0)=0,"",IF(INDEX(ChqStatus,IFERROR(MATCH(49,ChqRankU,0),0))="پاس نشده","—",IF(INDEX(ChqClr,IFERROR(MATCH(49,ChqRankU,0),0))="","—",INDEX(ChqClr,IFERROR(MATCH(49,ChqRankU,0),0)))))</f>
        <v/>
      </c>
      <c r="I65">
        <f>IF(49&gt;NChq,"",INDEX(ChqNorm,49))</f>
        <v/>
      </c>
      <c r="J65">
        <f>IF($I65="","",IF(AND($I65&gt;=$H$3,$I65&lt;=$H$4,INDEX(ChqStatus,49)="پاس نشده"),1,0))</f>
        <v/>
      </c>
      <c r="K65">
        <f>IF($J65=0,"",INDEX(ChqKey,49))</f>
        <v/>
      </c>
      <c r="L65">
        <f>IF($K65="","",COUNTIFS($J$17:$J$516,1,$K$17:$K$516,"&lt;"&amp;$K65)+1)</f>
        <v/>
      </c>
    </row>
    <row r="66">
      <c r="A66" s="16">
        <f>IF(IFERROR(MATCH(50,ChqRankU,0),0)=0,"",50)</f>
        <v/>
      </c>
      <c r="B66" s="24">
        <f>IF(IFERROR(MATCH(50,ChqRankU,0),0)=0,"",INDEX(ChqNorm,IFERROR(MATCH(50,ChqRankU,0),0)))</f>
        <v/>
      </c>
      <c r="C66" s="24">
        <f>IF(IFERROR(MATCH(50,ChqRankU,0),0)=0,"",INDEX(ChqNo,IFERROR(MATCH(50,ChqRankU,0),0)))</f>
        <v/>
      </c>
      <c r="D66" s="25">
        <f>IF(IFERROR(MATCH(50,ChqRankU,0),0)=0,"",IF(INDEX(ChqAmt,IFERROR(MATCH(50,ChqRankU,0),0))=0,"",INDEX(ChqAmt,IFERROR(MATCH(50,ChqRankU,0),0))))</f>
        <v/>
      </c>
      <c r="E66" s="17">
        <f>IF(IFERROR(MATCH(50,ChqRankU,0),0)=0,"",INDEX(ChqStatus,IFERROR(MATCH(50,ChqRankU,0),0)))</f>
        <v/>
      </c>
      <c r="F66" s="24">
        <f>IF(IFERROR(MATCH(50,ChqRankU,0),0)=0,"",IF(INDEX(ChqStatus,IFERROR(MATCH(50,ChqRankU,0),0))="پاس نشده","—",IF(INDEX(ChqClr,IFERROR(MATCH(50,ChqRankU,0),0))="","—",INDEX(ChqClr,IFERROR(MATCH(50,ChqRankU,0),0)))))</f>
        <v/>
      </c>
      <c r="I66">
        <f>IF(50&gt;NChq,"",INDEX(ChqNorm,50))</f>
        <v/>
      </c>
      <c r="J66">
        <f>IF($I66="","",IF(AND($I66&gt;=$H$3,$I66&lt;=$H$4,INDEX(ChqStatus,50)="پاس نشده"),1,0))</f>
        <v/>
      </c>
      <c r="K66">
        <f>IF($J66=0,"",INDEX(ChqKey,50))</f>
        <v/>
      </c>
      <c r="L66">
        <f>IF($K66="","",COUNTIFS($J$17:$J$516,1,$K$17:$K$516,"&lt;"&amp;$K66)+1)</f>
        <v/>
      </c>
    </row>
    <row r="67">
      <c r="A67" s="10">
        <f>IF(IFERROR(MATCH(51,ChqRankU,0),0)=0,"",51)</f>
        <v/>
      </c>
      <c r="B67" s="22">
        <f>IF(IFERROR(MATCH(51,ChqRankU,0),0)=0,"",INDEX(ChqNorm,IFERROR(MATCH(51,ChqRankU,0),0)))</f>
        <v/>
      </c>
      <c r="C67" s="22">
        <f>IF(IFERROR(MATCH(51,ChqRankU,0),0)=0,"",INDEX(ChqNo,IFERROR(MATCH(51,ChqRankU,0),0)))</f>
        <v/>
      </c>
      <c r="D67" s="23">
        <f>IF(IFERROR(MATCH(51,ChqRankU,0),0)=0,"",IF(INDEX(ChqAmt,IFERROR(MATCH(51,ChqRankU,0),0))=0,"",INDEX(ChqAmt,IFERROR(MATCH(51,ChqRankU,0),0))))</f>
        <v/>
      </c>
      <c r="E67" s="14">
        <f>IF(IFERROR(MATCH(51,ChqRankU,0),0)=0,"",INDEX(ChqStatus,IFERROR(MATCH(51,ChqRankU,0),0)))</f>
        <v/>
      </c>
      <c r="F67" s="22">
        <f>IF(IFERROR(MATCH(51,ChqRankU,0),0)=0,"",IF(INDEX(ChqStatus,IFERROR(MATCH(51,ChqRankU,0),0))="پاس نشده","—",IF(INDEX(ChqClr,IFERROR(MATCH(51,ChqRankU,0),0))="","—",INDEX(ChqClr,IFERROR(MATCH(51,ChqRankU,0),0)))))</f>
        <v/>
      </c>
      <c r="I67">
        <f>IF(51&gt;NChq,"",INDEX(ChqNorm,51))</f>
        <v/>
      </c>
      <c r="J67">
        <f>IF($I67="","",IF(AND($I67&gt;=$H$3,$I67&lt;=$H$4,INDEX(ChqStatus,51)="پاس نشده"),1,0))</f>
        <v/>
      </c>
      <c r="K67">
        <f>IF($J67=0,"",INDEX(ChqKey,51))</f>
        <v/>
      </c>
      <c r="L67">
        <f>IF($K67="","",COUNTIFS($J$17:$J$516,1,$K$17:$K$516,"&lt;"&amp;$K67)+1)</f>
        <v/>
      </c>
    </row>
    <row r="68">
      <c r="A68" s="16">
        <f>IF(IFERROR(MATCH(52,ChqRankU,0),0)=0,"",52)</f>
        <v/>
      </c>
      <c r="B68" s="24">
        <f>IF(IFERROR(MATCH(52,ChqRankU,0),0)=0,"",INDEX(ChqNorm,IFERROR(MATCH(52,ChqRankU,0),0)))</f>
        <v/>
      </c>
      <c r="C68" s="24">
        <f>IF(IFERROR(MATCH(52,ChqRankU,0),0)=0,"",INDEX(ChqNo,IFERROR(MATCH(52,ChqRankU,0),0)))</f>
        <v/>
      </c>
      <c r="D68" s="25">
        <f>IF(IFERROR(MATCH(52,ChqRankU,0),0)=0,"",IF(INDEX(ChqAmt,IFERROR(MATCH(52,ChqRankU,0),0))=0,"",INDEX(ChqAmt,IFERROR(MATCH(52,ChqRankU,0),0))))</f>
        <v/>
      </c>
      <c r="E68" s="17">
        <f>IF(IFERROR(MATCH(52,ChqRankU,0),0)=0,"",INDEX(ChqStatus,IFERROR(MATCH(52,ChqRankU,0),0)))</f>
        <v/>
      </c>
      <c r="F68" s="24">
        <f>IF(IFERROR(MATCH(52,ChqRankU,0),0)=0,"",IF(INDEX(ChqStatus,IFERROR(MATCH(52,ChqRankU,0),0))="پاس نشده","—",IF(INDEX(ChqClr,IFERROR(MATCH(52,ChqRankU,0),0))="","—",INDEX(ChqClr,IFERROR(MATCH(52,ChqRankU,0),0)))))</f>
        <v/>
      </c>
      <c r="I68">
        <f>IF(52&gt;NChq,"",INDEX(ChqNorm,52))</f>
        <v/>
      </c>
      <c r="J68">
        <f>IF($I68="","",IF(AND($I68&gt;=$H$3,$I68&lt;=$H$4,INDEX(ChqStatus,52)="پاس نشده"),1,0))</f>
        <v/>
      </c>
      <c r="K68">
        <f>IF($J68=0,"",INDEX(ChqKey,52))</f>
        <v/>
      </c>
      <c r="L68">
        <f>IF($K68="","",COUNTIFS($J$17:$J$516,1,$K$17:$K$516,"&lt;"&amp;$K68)+1)</f>
        <v/>
      </c>
    </row>
    <row r="69">
      <c r="A69" s="10">
        <f>IF(IFERROR(MATCH(53,ChqRankU,0),0)=0,"",53)</f>
        <v/>
      </c>
      <c r="B69" s="22">
        <f>IF(IFERROR(MATCH(53,ChqRankU,0),0)=0,"",INDEX(ChqNorm,IFERROR(MATCH(53,ChqRankU,0),0)))</f>
        <v/>
      </c>
      <c r="C69" s="22">
        <f>IF(IFERROR(MATCH(53,ChqRankU,0),0)=0,"",INDEX(ChqNo,IFERROR(MATCH(53,ChqRankU,0),0)))</f>
        <v/>
      </c>
      <c r="D69" s="23">
        <f>IF(IFERROR(MATCH(53,ChqRankU,0),0)=0,"",IF(INDEX(ChqAmt,IFERROR(MATCH(53,ChqRankU,0),0))=0,"",INDEX(ChqAmt,IFERROR(MATCH(53,ChqRankU,0),0))))</f>
        <v/>
      </c>
      <c r="E69" s="14">
        <f>IF(IFERROR(MATCH(53,ChqRankU,0),0)=0,"",INDEX(ChqStatus,IFERROR(MATCH(53,ChqRankU,0),0)))</f>
        <v/>
      </c>
      <c r="F69" s="22">
        <f>IF(IFERROR(MATCH(53,ChqRankU,0),0)=0,"",IF(INDEX(ChqStatus,IFERROR(MATCH(53,ChqRankU,0),0))="پاس نشده","—",IF(INDEX(ChqClr,IFERROR(MATCH(53,ChqRankU,0),0))="","—",INDEX(ChqClr,IFERROR(MATCH(53,ChqRankU,0),0)))))</f>
        <v/>
      </c>
      <c r="I69">
        <f>IF(53&gt;NChq,"",INDEX(ChqNorm,53))</f>
        <v/>
      </c>
      <c r="J69">
        <f>IF($I69="","",IF(AND($I69&gt;=$H$3,$I69&lt;=$H$4,INDEX(ChqStatus,53)="پاس نشده"),1,0))</f>
        <v/>
      </c>
      <c r="K69">
        <f>IF($J69=0,"",INDEX(ChqKey,53))</f>
        <v/>
      </c>
      <c r="L69">
        <f>IF($K69="","",COUNTIFS($J$17:$J$516,1,$K$17:$K$516,"&lt;"&amp;$K69)+1)</f>
        <v/>
      </c>
    </row>
    <row r="70">
      <c r="A70" s="16">
        <f>IF(IFERROR(MATCH(54,ChqRankU,0),0)=0,"",54)</f>
        <v/>
      </c>
      <c r="B70" s="24">
        <f>IF(IFERROR(MATCH(54,ChqRankU,0),0)=0,"",INDEX(ChqNorm,IFERROR(MATCH(54,ChqRankU,0),0)))</f>
        <v/>
      </c>
      <c r="C70" s="24">
        <f>IF(IFERROR(MATCH(54,ChqRankU,0),0)=0,"",INDEX(ChqNo,IFERROR(MATCH(54,ChqRankU,0),0)))</f>
        <v/>
      </c>
      <c r="D70" s="25">
        <f>IF(IFERROR(MATCH(54,ChqRankU,0),0)=0,"",IF(INDEX(ChqAmt,IFERROR(MATCH(54,ChqRankU,0),0))=0,"",INDEX(ChqAmt,IFERROR(MATCH(54,ChqRankU,0),0))))</f>
        <v/>
      </c>
      <c r="E70" s="17">
        <f>IF(IFERROR(MATCH(54,ChqRankU,0),0)=0,"",INDEX(ChqStatus,IFERROR(MATCH(54,ChqRankU,0),0)))</f>
        <v/>
      </c>
      <c r="F70" s="24">
        <f>IF(IFERROR(MATCH(54,ChqRankU,0),0)=0,"",IF(INDEX(ChqStatus,IFERROR(MATCH(54,ChqRankU,0),0))="پاس نشده","—",IF(INDEX(ChqClr,IFERROR(MATCH(54,ChqRankU,0),0))="","—",INDEX(ChqClr,IFERROR(MATCH(54,ChqRankU,0),0)))))</f>
        <v/>
      </c>
      <c r="I70">
        <f>IF(54&gt;NChq,"",INDEX(ChqNorm,54))</f>
        <v/>
      </c>
      <c r="J70">
        <f>IF($I70="","",IF(AND($I70&gt;=$H$3,$I70&lt;=$H$4,INDEX(ChqStatus,54)="پاس نشده"),1,0))</f>
        <v/>
      </c>
      <c r="K70">
        <f>IF($J70=0,"",INDEX(ChqKey,54))</f>
        <v/>
      </c>
      <c r="L70">
        <f>IF($K70="","",COUNTIFS($J$17:$J$516,1,$K$17:$K$516,"&lt;"&amp;$K70)+1)</f>
        <v/>
      </c>
    </row>
    <row r="71">
      <c r="A71" s="10">
        <f>IF(IFERROR(MATCH(55,ChqRankU,0),0)=0,"",55)</f>
        <v/>
      </c>
      <c r="B71" s="22">
        <f>IF(IFERROR(MATCH(55,ChqRankU,0),0)=0,"",INDEX(ChqNorm,IFERROR(MATCH(55,ChqRankU,0),0)))</f>
        <v/>
      </c>
      <c r="C71" s="22">
        <f>IF(IFERROR(MATCH(55,ChqRankU,0),0)=0,"",INDEX(ChqNo,IFERROR(MATCH(55,ChqRankU,0),0)))</f>
        <v/>
      </c>
      <c r="D71" s="23">
        <f>IF(IFERROR(MATCH(55,ChqRankU,0),0)=0,"",IF(INDEX(ChqAmt,IFERROR(MATCH(55,ChqRankU,0),0))=0,"",INDEX(ChqAmt,IFERROR(MATCH(55,ChqRankU,0),0))))</f>
        <v/>
      </c>
      <c r="E71" s="14">
        <f>IF(IFERROR(MATCH(55,ChqRankU,0),0)=0,"",INDEX(ChqStatus,IFERROR(MATCH(55,ChqRankU,0),0)))</f>
        <v/>
      </c>
      <c r="F71" s="22">
        <f>IF(IFERROR(MATCH(55,ChqRankU,0),0)=0,"",IF(INDEX(ChqStatus,IFERROR(MATCH(55,ChqRankU,0),0))="پاس نشده","—",IF(INDEX(ChqClr,IFERROR(MATCH(55,ChqRankU,0),0))="","—",INDEX(ChqClr,IFERROR(MATCH(55,ChqRankU,0),0)))))</f>
        <v/>
      </c>
      <c r="I71">
        <f>IF(55&gt;NChq,"",INDEX(ChqNorm,55))</f>
        <v/>
      </c>
      <c r="J71">
        <f>IF($I71="","",IF(AND($I71&gt;=$H$3,$I71&lt;=$H$4,INDEX(ChqStatus,55)="پاس نشده"),1,0))</f>
        <v/>
      </c>
      <c r="K71">
        <f>IF($J71=0,"",INDEX(ChqKey,55))</f>
        <v/>
      </c>
      <c r="L71">
        <f>IF($K71="","",COUNTIFS($J$17:$J$516,1,$K$17:$K$516,"&lt;"&amp;$K71)+1)</f>
        <v/>
      </c>
    </row>
    <row r="72">
      <c r="A72" s="16">
        <f>IF(IFERROR(MATCH(56,ChqRankU,0),0)=0,"",56)</f>
        <v/>
      </c>
      <c r="B72" s="24">
        <f>IF(IFERROR(MATCH(56,ChqRankU,0),0)=0,"",INDEX(ChqNorm,IFERROR(MATCH(56,ChqRankU,0),0)))</f>
        <v/>
      </c>
      <c r="C72" s="24">
        <f>IF(IFERROR(MATCH(56,ChqRankU,0),0)=0,"",INDEX(ChqNo,IFERROR(MATCH(56,ChqRankU,0),0)))</f>
        <v/>
      </c>
      <c r="D72" s="25">
        <f>IF(IFERROR(MATCH(56,ChqRankU,0),0)=0,"",IF(INDEX(ChqAmt,IFERROR(MATCH(56,ChqRankU,0),0))=0,"",INDEX(ChqAmt,IFERROR(MATCH(56,ChqRankU,0),0))))</f>
        <v/>
      </c>
      <c r="E72" s="17">
        <f>IF(IFERROR(MATCH(56,ChqRankU,0),0)=0,"",INDEX(ChqStatus,IFERROR(MATCH(56,ChqRankU,0),0)))</f>
        <v/>
      </c>
      <c r="F72" s="24">
        <f>IF(IFERROR(MATCH(56,ChqRankU,0),0)=0,"",IF(INDEX(ChqStatus,IFERROR(MATCH(56,ChqRankU,0),0))="پاس نشده","—",IF(INDEX(ChqClr,IFERROR(MATCH(56,ChqRankU,0),0))="","—",INDEX(ChqClr,IFERROR(MATCH(56,ChqRankU,0),0)))))</f>
        <v/>
      </c>
      <c r="I72">
        <f>IF(56&gt;NChq,"",INDEX(ChqNorm,56))</f>
        <v/>
      </c>
      <c r="J72">
        <f>IF($I72="","",IF(AND($I72&gt;=$H$3,$I72&lt;=$H$4,INDEX(ChqStatus,56)="پاس نشده"),1,0))</f>
        <v/>
      </c>
      <c r="K72">
        <f>IF($J72=0,"",INDEX(ChqKey,56))</f>
        <v/>
      </c>
      <c r="L72">
        <f>IF($K72="","",COUNTIFS($J$17:$J$516,1,$K$17:$K$516,"&lt;"&amp;$K72)+1)</f>
        <v/>
      </c>
    </row>
    <row r="73">
      <c r="A73" s="10">
        <f>IF(IFERROR(MATCH(57,ChqRankU,0),0)=0,"",57)</f>
        <v/>
      </c>
      <c r="B73" s="22">
        <f>IF(IFERROR(MATCH(57,ChqRankU,0),0)=0,"",INDEX(ChqNorm,IFERROR(MATCH(57,ChqRankU,0),0)))</f>
        <v/>
      </c>
      <c r="C73" s="22">
        <f>IF(IFERROR(MATCH(57,ChqRankU,0),0)=0,"",INDEX(ChqNo,IFERROR(MATCH(57,ChqRankU,0),0)))</f>
        <v/>
      </c>
      <c r="D73" s="23">
        <f>IF(IFERROR(MATCH(57,ChqRankU,0),0)=0,"",IF(INDEX(ChqAmt,IFERROR(MATCH(57,ChqRankU,0),0))=0,"",INDEX(ChqAmt,IFERROR(MATCH(57,ChqRankU,0),0))))</f>
        <v/>
      </c>
      <c r="E73" s="14">
        <f>IF(IFERROR(MATCH(57,ChqRankU,0),0)=0,"",INDEX(ChqStatus,IFERROR(MATCH(57,ChqRankU,0),0)))</f>
        <v/>
      </c>
      <c r="F73" s="22">
        <f>IF(IFERROR(MATCH(57,ChqRankU,0),0)=0,"",IF(INDEX(ChqStatus,IFERROR(MATCH(57,ChqRankU,0),0))="پاس نشده","—",IF(INDEX(ChqClr,IFERROR(MATCH(57,ChqRankU,0),0))="","—",INDEX(ChqClr,IFERROR(MATCH(57,ChqRankU,0),0)))))</f>
        <v/>
      </c>
      <c r="I73">
        <f>IF(57&gt;NChq,"",INDEX(ChqNorm,57))</f>
        <v/>
      </c>
      <c r="J73">
        <f>IF($I73="","",IF(AND($I73&gt;=$H$3,$I73&lt;=$H$4,INDEX(ChqStatus,57)="پاس نشده"),1,0))</f>
        <v/>
      </c>
      <c r="K73">
        <f>IF($J73=0,"",INDEX(ChqKey,57))</f>
        <v/>
      </c>
      <c r="L73">
        <f>IF($K73="","",COUNTIFS($J$17:$J$516,1,$K$17:$K$516,"&lt;"&amp;$K73)+1)</f>
        <v/>
      </c>
    </row>
    <row r="74">
      <c r="A74" s="16">
        <f>IF(IFERROR(MATCH(58,ChqRankU,0),0)=0,"",58)</f>
        <v/>
      </c>
      <c r="B74" s="24">
        <f>IF(IFERROR(MATCH(58,ChqRankU,0),0)=0,"",INDEX(ChqNorm,IFERROR(MATCH(58,ChqRankU,0),0)))</f>
        <v/>
      </c>
      <c r="C74" s="24">
        <f>IF(IFERROR(MATCH(58,ChqRankU,0),0)=0,"",INDEX(ChqNo,IFERROR(MATCH(58,ChqRankU,0),0)))</f>
        <v/>
      </c>
      <c r="D74" s="25">
        <f>IF(IFERROR(MATCH(58,ChqRankU,0),0)=0,"",IF(INDEX(ChqAmt,IFERROR(MATCH(58,ChqRankU,0),0))=0,"",INDEX(ChqAmt,IFERROR(MATCH(58,ChqRankU,0),0))))</f>
        <v/>
      </c>
      <c r="E74" s="17">
        <f>IF(IFERROR(MATCH(58,ChqRankU,0),0)=0,"",INDEX(ChqStatus,IFERROR(MATCH(58,ChqRankU,0),0)))</f>
        <v/>
      </c>
      <c r="F74" s="24">
        <f>IF(IFERROR(MATCH(58,ChqRankU,0),0)=0,"",IF(INDEX(ChqStatus,IFERROR(MATCH(58,ChqRankU,0),0))="پاس نشده","—",IF(INDEX(ChqClr,IFERROR(MATCH(58,ChqRankU,0),0))="","—",INDEX(ChqClr,IFERROR(MATCH(58,ChqRankU,0),0)))))</f>
        <v/>
      </c>
      <c r="I74">
        <f>IF(58&gt;NChq,"",INDEX(ChqNorm,58))</f>
        <v/>
      </c>
      <c r="J74">
        <f>IF($I74="","",IF(AND($I74&gt;=$H$3,$I74&lt;=$H$4,INDEX(ChqStatus,58)="پاس نشده"),1,0))</f>
        <v/>
      </c>
      <c r="K74">
        <f>IF($J74=0,"",INDEX(ChqKey,58))</f>
        <v/>
      </c>
      <c r="L74">
        <f>IF($K74="","",COUNTIFS($J$17:$J$516,1,$K$17:$K$516,"&lt;"&amp;$K74)+1)</f>
        <v/>
      </c>
    </row>
    <row r="75">
      <c r="A75" s="10">
        <f>IF(IFERROR(MATCH(59,ChqRankU,0),0)=0,"",59)</f>
        <v/>
      </c>
      <c r="B75" s="22">
        <f>IF(IFERROR(MATCH(59,ChqRankU,0),0)=0,"",INDEX(ChqNorm,IFERROR(MATCH(59,ChqRankU,0),0)))</f>
        <v/>
      </c>
      <c r="C75" s="22">
        <f>IF(IFERROR(MATCH(59,ChqRankU,0),0)=0,"",INDEX(ChqNo,IFERROR(MATCH(59,ChqRankU,0),0)))</f>
        <v/>
      </c>
      <c r="D75" s="23">
        <f>IF(IFERROR(MATCH(59,ChqRankU,0),0)=0,"",IF(INDEX(ChqAmt,IFERROR(MATCH(59,ChqRankU,0),0))=0,"",INDEX(ChqAmt,IFERROR(MATCH(59,ChqRankU,0),0))))</f>
        <v/>
      </c>
      <c r="E75" s="14">
        <f>IF(IFERROR(MATCH(59,ChqRankU,0),0)=0,"",INDEX(ChqStatus,IFERROR(MATCH(59,ChqRankU,0),0)))</f>
        <v/>
      </c>
      <c r="F75" s="22">
        <f>IF(IFERROR(MATCH(59,ChqRankU,0),0)=0,"",IF(INDEX(ChqStatus,IFERROR(MATCH(59,ChqRankU,0),0))="پاس نشده","—",IF(INDEX(ChqClr,IFERROR(MATCH(59,ChqRankU,0),0))="","—",INDEX(ChqClr,IFERROR(MATCH(59,ChqRankU,0),0)))))</f>
        <v/>
      </c>
      <c r="I75">
        <f>IF(59&gt;NChq,"",INDEX(ChqNorm,59))</f>
        <v/>
      </c>
      <c r="J75">
        <f>IF($I75="","",IF(AND($I75&gt;=$H$3,$I75&lt;=$H$4,INDEX(ChqStatus,59)="پاس نشده"),1,0))</f>
        <v/>
      </c>
      <c r="K75">
        <f>IF($J75=0,"",INDEX(ChqKey,59))</f>
        <v/>
      </c>
      <c r="L75">
        <f>IF($K75="","",COUNTIFS($J$17:$J$516,1,$K$17:$K$516,"&lt;"&amp;$K75)+1)</f>
        <v/>
      </c>
    </row>
    <row r="76">
      <c r="A76" s="16">
        <f>IF(IFERROR(MATCH(60,ChqRankU,0),0)=0,"",60)</f>
        <v/>
      </c>
      <c r="B76" s="24">
        <f>IF(IFERROR(MATCH(60,ChqRankU,0),0)=0,"",INDEX(ChqNorm,IFERROR(MATCH(60,ChqRankU,0),0)))</f>
        <v/>
      </c>
      <c r="C76" s="24">
        <f>IF(IFERROR(MATCH(60,ChqRankU,0),0)=0,"",INDEX(ChqNo,IFERROR(MATCH(60,ChqRankU,0),0)))</f>
        <v/>
      </c>
      <c r="D76" s="25">
        <f>IF(IFERROR(MATCH(60,ChqRankU,0),0)=0,"",IF(INDEX(ChqAmt,IFERROR(MATCH(60,ChqRankU,0),0))=0,"",INDEX(ChqAmt,IFERROR(MATCH(60,ChqRankU,0),0))))</f>
        <v/>
      </c>
      <c r="E76" s="17">
        <f>IF(IFERROR(MATCH(60,ChqRankU,0),0)=0,"",INDEX(ChqStatus,IFERROR(MATCH(60,ChqRankU,0),0)))</f>
        <v/>
      </c>
      <c r="F76" s="24">
        <f>IF(IFERROR(MATCH(60,ChqRankU,0),0)=0,"",IF(INDEX(ChqStatus,IFERROR(MATCH(60,ChqRankU,0),0))="پاس نشده","—",IF(INDEX(ChqClr,IFERROR(MATCH(60,ChqRankU,0),0))="","—",INDEX(ChqClr,IFERROR(MATCH(60,ChqRankU,0),0)))))</f>
        <v/>
      </c>
      <c r="I76">
        <f>IF(60&gt;NChq,"",INDEX(ChqNorm,60))</f>
        <v/>
      </c>
      <c r="J76">
        <f>IF($I76="","",IF(AND($I76&gt;=$H$3,$I76&lt;=$H$4,INDEX(ChqStatus,60)="پاس نشده"),1,0))</f>
        <v/>
      </c>
      <c r="K76">
        <f>IF($J76=0,"",INDEX(ChqKey,60))</f>
        <v/>
      </c>
      <c r="L76">
        <f>IF($K76="","",COUNTIFS($J$17:$J$516,1,$K$17:$K$516,"&lt;"&amp;$K76)+1)</f>
        <v/>
      </c>
    </row>
    <row r="77">
      <c r="A77" s="10">
        <f>IF(IFERROR(MATCH(61,ChqRankU,0),0)=0,"",61)</f>
        <v/>
      </c>
      <c r="B77" s="22">
        <f>IF(IFERROR(MATCH(61,ChqRankU,0),0)=0,"",INDEX(ChqNorm,IFERROR(MATCH(61,ChqRankU,0),0)))</f>
        <v/>
      </c>
      <c r="C77" s="22">
        <f>IF(IFERROR(MATCH(61,ChqRankU,0),0)=0,"",INDEX(ChqNo,IFERROR(MATCH(61,ChqRankU,0),0)))</f>
        <v/>
      </c>
      <c r="D77" s="23">
        <f>IF(IFERROR(MATCH(61,ChqRankU,0),0)=0,"",IF(INDEX(ChqAmt,IFERROR(MATCH(61,ChqRankU,0),0))=0,"",INDEX(ChqAmt,IFERROR(MATCH(61,ChqRankU,0),0))))</f>
        <v/>
      </c>
      <c r="E77" s="14">
        <f>IF(IFERROR(MATCH(61,ChqRankU,0),0)=0,"",INDEX(ChqStatus,IFERROR(MATCH(61,ChqRankU,0),0)))</f>
        <v/>
      </c>
      <c r="F77" s="22">
        <f>IF(IFERROR(MATCH(61,ChqRankU,0),0)=0,"",IF(INDEX(ChqStatus,IFERROR(MATCH(61,ChqRankU,0),0))="پاس نشده","—",IF(INDEX(ChqClr,IFERROR(MATCH(61,ChqRankU,0),0))="","—",INDEX(ChqClr,IFERROR(MATCH(61,ChqRankU,0),0)))))</f>
        <v/>
      </c>
      <c r="I77">
        <f>IF(61&gt;NChq,"",INDEX(ChqNorm,61))</f>
        <v/>
      </c>
      <c r="J77">
        <f>IF($I77="","",IF(AND($I77&gt;=$H$3,$I77&lt;=$H$4,INDEX(ChqStatus,61)="پاس نشده"),1,0))</f>
        <v/>
      </c>
      <c r="K77">
        <f>IF($J77=0,"",INDEX(ChqKey,61))</f>
        <v/>
      </c>
      <c r="L77">
        <f>IF($K77="","",COUNTIFS($J$17:$J$516,1,$K$17:$K$516,"&lt;"&amp;$K77)+1)</f>
        <v/>
      </c>
    </row>
    <row r="78">
      <c r="A78" s="16">
        <f>IF(IFERROR(MATCH(62,ChqRankU,0),0)=0,"",62)</f>
        <v/>
      </c>
      <c r="B78" s="24">
        <f>IF(IFERROR(MATCH(62,ChqRankU,0),0)=0,"",INDEX(ChqNorm,IFERROR(MATCH(62,ChqRankU,0),0)))</f>
        <v/>
      </c>
      <c r="C78" s="24">
        <f>IF(IFERROR(MATCH(62,ChqRankU,0),0)=0,"",INDEX(ChqNo,IFERROR(MATCH(62,ChqRankU,0),0)))</f>
        <v/>
      </c>
      <c r="D78" s="25">
        <f>IF(IFERROR(MATCH(62,ChqRankU,0),0)=0,"",IF(INDEX(ChqAmt,IFERROR(MATCH(62,ChqRankU,0),0))=0,"",INDEX(ChqAmt,IFERROR(MATCH(62,ChqRankU,0),0))))</f>
        <v/>
      </c>
      <c r="E78" s="17">
        <f>IF(IFERROR(MATCH(62,ChqRankU,0),0)=0,"",INDEX(ChqStatus,IFERROR(MATCH(62,ChqRankU,0),0)))</f>
        <v/>
      </c>
      <c r="F78" s="24">
        <f>IF(IFERROR(MATCH(62,ChqRankU,0),0)=0,"",IF(INDEX(ChqStatus,IFERROR(MATCH(62,ChqRankU,0),0))="پاس نشده","—",IF(INDEX(ChqClr,IFERROR(MATCH(62,ChqRankU,0),0))="","—",INDEX(ChqClr,IFERROR(MATCH(62,ChqRankU,0),0)))))</f>
        <v/>
      </c>
      <c r="I78">
        <f>IF(62&gt;NChq,"",INDEX(ChqNorm,62))</f>
        <v/>
      </c>
      <c r="J78">
        <f>IF($I78="","",IF(AND($I78&gt;=$H$3,$I78&lt;=$H$4,INDEX(ChqStatus,62)="پاس نشده"),1,0))</f>
        <v/>
      </c>
      <c r="K78">
        <f>IF($J78=0,"",INDEX(ChqKey,62))</f>
        <v/>
      </c>
      <c r="L78">
        <f>IF($K78="","",COUNTIFS($J$17:$J$516,1,$K$17:$K$516,"&lt;"&amp;$K78)+1)</f>
        <v/>
      </c>
    </row>
    <row r="79">
      <c r="A79" s="10">
        <f>IF(IFERROR(MATCH(63,ChqRankU,0),0)=0,"",63)</f>
        <v/>
      </c>
      <c r="B79" s="22">
        <f>IF(IFERROR(MATCH(63,ChqRankU,0),0)=0,"",INDEX(ChqNorm,IFERROR(MATCH(63,ChqRankU,0),0)))</f>
        <v/>
      </c>
      <c r="C79" s="22">
        <f>IF(IFERROR(MATCH(63,ChqRankU,0),0)=0,"",INDEX(ChqNo,IFERROR(MATCH(63,ChqRankU,0),0)))</f>
        <v/>
      </c>
      <c r="D79" s="23">
        <f>IF(IFERROR(MATCH(63,ChqRankU,0),0)=0,"",IF(INDEX(ChqAmt,IFERROR(MATCH(63,ChqRankU,0),0))=0,"",INDEX(ChqAmt,IFERROR(MATCH(63,ChqRankU,0),0))))</f>
        <v/>
      </c>
      <c r="E79" s="14">
        <f>IF(IFERROR(MATCH(63,ChqRankU,0),0)=0,"",INDEX(ChqStatus,IFERROR(MATCH(63,ChqRankU,0),0)))</f>
        <v/>
      </c>
      <c r="F79" s="22">
        <f>IF(IFERROR(MATCH(63,ChqRankU,0),0)=0,"",IF(INDEX(ChqStatus,IFERROR(MATCH(63,ChqRankU,0),0))="پاس نشده","—",IF(INDEX(ChqClr,IFERROR(MATCH(63,ChqRankU,0),0))="","—",INDEX(ChqClr,IFERROR(MATCH(63,ChqRankU,0),0)))))</f>
        <v/>
      </c>
      <c r="I79">
        <f>IF(63&gt;NChq,"",INDEX(ChqNorm,63))</f>
        <v/>
      </c>
      <c r="J79">
        <f>IF($I79="","",IF(AND($I79&gt;=$H$3,$I79&lt;=$H$4,INDEX(ChqStatus,63)="پاس نشده"),1,0))</f>
        <v/>
      </c>
      <c r="K79">
        <f>IF($J79=0,"",INDEX(ChqKey,63))</f>
        <v/>
      </c>
      <c r="L79">
        <f>IF($K79="","",COUNTIFS($J$17:$J$516,1,$K$17:$K$516,"&lt;"&amp;$K79)+1)</f>
        <v/>
      </c>
    </row>
    <row r="80">
      <c r="A80" s="16">
        <f>IF(IFERROR(MATCH(64,ChqRankU,0),0)=0,"",64)</f>
        <v/>
      </c>
      <c r="B80" s="24">
        <f>IF(IFERROR(MATCH(64,ChqRankU,0),0)=0,"",INDEX(ChqNorm,IFERROR(MATCH(64,ChqRankU,0),0)))</f>
        <v/>
      </c>
      <c r="C80" s="24">
        <f>IF(IFERROR(MATCH(64,ChqRankU,0),0)=0,"",INDEX(ChqNo,IFERROR(MATCH(64,ChqRankU,0),0)))</f>
        <v/>
      </c>
      <c r="D80" s="25">
        <f>IF(IFERROR(MATCH(64,ChqRankU,0),0)=0,"",IF(INDEX(ChqAmt,IFERROR(MATCH(64,ChqRankU,0),0))=0,"",INDEX(ChqAmt,IFERROR(MATCH(64,ChqRankU,0),0))))</f>
        <v/>
      </c>
      <c r="E80" s="17">
        <f>IF(IFERROR(MATCH(64,ChqRankU,0),0)=0,"",INDEX(ChqStatus,IFERROR(MATCH(64,ChqRankU,0),0)))</f>
        <v/>
      </c>
      <c r="F80" s="24">
        <f>IF(IFERROR(MATCH(64,ChqRankU,0),0)=0,"",IF(INDEX(ChqStatus,IFERROR(MATCH(64,ChqRankU,0),0))="پاس نشده","—",IF(INDEX(ChqClr,IFERROR(MATCH(64,ChqRankU,0),0))="","—",INDEX(ChqClr,IFERROR(MATCH(64,ChqRankU,0),0)))))</f>
        <v/>
      </c>
      <c r="I80">
        <f>IF(64&gt;NChq,"",INDEX(ChqNorm,64))</f>
        <v/>
      </c>
      <c r="J80">
        <f>IF($I80="","",IF(AND($I80&gt;=$H$3,$I80&lt;=$H$4,INDEX(ChqStatus,64)="پاس نشده"),1,0))</f>
        <v/>
      </c>
      <c r="K80">
        <f>IF($J80=0,"",INDEX(ChqKey,64))</f>
        <v/>
      </c>
      <c r="L80">
        <f>IF($K80="","",COUNTIFS($J$17:$J$516,1,$K$17:$K$516,"&lt;"&amp;$K80)+1)</f>
        <v/>
      </c>
    </row>
    <row r="81">
      <c r="A81" s="10">
        <f>IF(IFERROR(MATCH(65,ChqRankU,0),0)=0,"",65)</f>
        <v/>
      </c>
      <c r="B81" s="22">
        <f>IF(IFERROR(MATCH(65,ChqRankU,0),0)=0,"",INDEX(ChqNorm,IFERROR(MATCH(65,ChqRankU,0),0)))</f>
        <v/>
      </c>
      <c r="C81" s="22">
        <f>IF(IFERROR(MATCH(65,ChqRankU,0),0)=0,"",INDEX(ChqNo,IFERROR(MATCH(65,ChqRankU,0),0)))</f>
        <v/>
      </c>
      <c r="D81" s="23">
        <f>IF(IFERROR(MATCH(65,ChqRankU,0),0)=0,"",IF(INDEX(ChqAmt,IFERROR(MATCH(65,ChqRankU,0),0))=0,"",INDEX(ChqAmt,IFERROR(MATCH(65,ChqRankU,0),0))))</f>
        <v/>
      </c>
      <c r="E81" s="14">
        <f>IF(IFERROR(MATCH(65,ChqRankU,0),0)=0,"",INDEX(ChqStatus,IFERROR(MATCH(65,ChqRankU,0),0)))</f>
        <v/>
      </c>
      <c r="F81" s="22">
        <f>IF(IFERROR(MATCH(65,ChqRankU,0),0)=0,"",IF(INDEX(ChqStatus,IFERROR(MATCH(65,ChqRankU,0),0))="پاس نشده","—",IF(INDEX(ChqClr,IFERROR(MATCH(65,ChqRankU,0),0))="","—",INDEX(ChqClr,IFERROR(MATCH(65,ChqRankU,0),0)))))</f>
        <v/>
      </c>
      <c r="I81">
        <f>IF(65&gt;NChq,"",INDEX(ChqNorm,65))</f>
        <v/>
      </c>
      <c r="J81">
        <f>IF($I81="","",IF(AND($I81&gt;=$H$3,$I81&lt;=$H$4,INDEX(ChqStatus,65)="پاس نشده"),1,0))</f>
        <v/>
      </c>
      <c r="K81">
        <f>IF($J81=0,"",INDEX(ChqKey,65))</f>
        <v/>
      </c>
      <c r="L81">
        <f>IF($K81="","",COUNTIFS($J$17:$J$516,1,$K$17:$K$516,"&lt;"&amp;$K81)+1)</f>
        <v/>
      </c>
    </row>
    <row r="82">
      <c r="A82" s="16">
        <f>IF(IFERROR(MATCH(66,ChqRankU,0),0)=0,"",66)</f>
        <v/>
      </c>
      <c r="B82" s="24">
        <f>IF(IFERROR(MATCH(66,ChqRankU,0),0)=0,"",INDEX(ChqNorm,IFERROR(MATCH(66,ChqRankU,0),0)))</f>
        <v/>
      </c>
      <c r="C82" s="24">
        <f>IF(IFERROR(MATCH(66,ChqRankU,0),0)=0,"",INDEX(ChqNo,IFERROR(MATCH(66,ChqRankU,0),0)))</f>
        <v/>
      </c>
      <c r="D82" s="25">
        <f>IF(IFERROR(MATCH(66,ChqRankU,0),0)=0,"",IF(INDEX(ChqAmt,IFERROR(MATCH(66,ChqRankU,0),0))=0,"",INDEX(ChqAmt,IFERROR(MATCH(66,ChqRankU,0),0))))</f>
        <v/>
      </c>
      <c r="E82" s="17">
        <f>IF(IFERROR(MATCH(66,ChqRankU,0),0)=0,"",INDEX(ChqStatus,IFERROR(MATCH(66,ChqRankU,0),0)))</f>
        <v/>
      </c>
      <c r="F82" s="24">
        <f>IF(IFERROR(MATCH(66,ChqRankU,0),0)=0,"",IF(INDEX(ChqStatus,IFERROR(MATCH(66,ChqRankU,0),0))="پاس نشده","—",IF(INDEX(ChqClr,IFERROR(MATCH(66,ChqRankU,0),0))="","—",INDEX(ChqClr,IFERROR(MATCH(66,ChqRankU,0),0)))))</f>
        <v/>
      </c>
      <c r="I82">
        <f>IF(66&gt;NChq,"",INDEX(ChqNorm,66))</f>
        <v/>
      </c>
      <c r="J82">
        <f>IF($I82="","",IF(AND($I82&gt;=$H$3,$I82&lt;=$H$4,INDEX(ChqStatus,66)="پاس نشده"),1,0))</f>
        <v/>
      </c>
      <c r="K82">
        <f>IF($J82=0,"",INDEX(ChqKey,66))</f>
        <v/>
      </c>
      <c r="L82">
        <f>IF($K82="","",COUNTIFS($J$17:$J$516,1,$K$17:$K$516,"&lt;"&amp;$K82)+1)</f>
        <v/>
      </c>
    </row>
    <row r="83">
      <c r="A83" s="10">
        <f>IF(IFERROR(MATCH(67,ChqRankU,0),0)=0,"",67)</f>
        <v/>
      </c>
      <c r="B83" s="22">
        <f>IF(IFERROR(MATCH(67,ChqRankU,0),0)=0,"",INDEX(ChqNorm,IFERROR(MATCH(67,ChqRankU,0),0)))</f>
        <v/>
      </c>
      <c r="C83" s="22">
        <f>IF(IFERROR(MATCH(67,ChqRankU,0),0)=0,"",INDEX(ChqNo,IFERROR(MATCH(67,ChqRankU,0),0)))</f>
        <v/>
      </c>
      <c r="D83" s="23">
        <f>IF(IFERROR(MATCH(67,ChqRankU,0),0)=0,"",IF(INDEX(ChqAmt,IFERROR(MATCH(67,ChqRankU,0),0))=0,"",INDEX(ChqAmt,IFERROR(MATCH(67,ChqRankU,0),0))))</f>
        <v/>
      </c>
      <c r="E83" s="14">
        <f>IF(IFERROR(MATCH(67,ChqRankU,0),0)=0,"",INDEX(ChqStatus,IFERROR(MATCH(67,ChqRankU,0),0)))</f>
        <v/>
      </c>
      <c r="F83" s="22">
        <f>IF(IFERROR(MATCH(67,ChqRankU,0),0)=0,"",IF(INDEX(ChqStatus,IFERROR(MATCH(67,ChqRankU,0),0))="پاس نشده","—",IF(INDEX(ChqClr,IFERROR(MATCH(67,ChqRankU,0),0))="","—",INDEX(ChqClr,IFERROR(MATCH(67,ChqRankU,0),0)))))</f>
        <v/>
      </c>
      <c r="I83">
        <f>IF(67&gt;NChq,"",INDEX(ChqNorm,67))</f>
        <v/>
      </c>
      <c r="J83">
        <f>IF($I83="","",IF(AND($I83&gt;=$H$3,$I83&lt;=$H$4,INDEX(ChqStatus,67)="پاس نشده"),1,0))</f>
        <v/>
      </c>
      <c r="K83">
        <f>IF($J83=0,"",INDEX(ChqKey,67))</f>
        <v/>
      </c>
      <c r="L83">
        <f>IF($K83="","",COUNTIFS($J$17:$J$516,1,$K$17:$K$516,"&lt;"&amp;$K83)+1)</f>
        <v/>
      </c>
    </row>
    <row r="84">
      <c r="A84" s="16">
        <f>IF(IFERROR(MATCH(68,ChqRankU,0),0)=0,"",68)</f>
        <v/>
      </c>
      <c r="B84" s="24">
        <f>IF(IFERROR(MATCH(68,ChqRankU,0),0)=0,"",INDEX(ChqNorm,IFERROR(MATCH(68,ChqRankU,0),0)))</f>
        <v/>
      </c>
      <c r="C84" s="24">
        <f>IF(IFERROR(MATCH(68,ChqRankU,0),0)=0,"",INDEX(ChqNo,IFERROR(MATCH(68,ChqRankU,0),0)))</f>
        <v/>
      </c>
      <c r="D84" s="25">
        <f>IF(IFERROR(MATCH(68,ChqRankU,0),0)=0,"",IF(INDEX(ChqAmt,IFERROR(MATCH(68,ChqRankU,0),0))=0,"",INDEX(ChqAmt,IFERROR(MATCH(68,ChqRankU,0),0))))</f>
        <v/>
      </c>
      <c r="E84" s="17">
        <f>IF(IFERROR(MATCH(68,ChqRankU,0),0)=0,"",INDEX(ChqStatus,IFERROR(MATCH(68,ChqRankU,0),0)))</f>
        <v/>
      </c>
      <c r="F84" s="24">
        <f>IF(IFERROR(MATCH(68,ChqRankU,0),0)=0,"",IF(INDEX(ChqStatus,IFERROR(MATCH(68,ChqRankU,0),0))="پاس نشده","—",IF(INDEX(ChqClr,IFERROR(MATCH(68,ChqRankU,0),0))="","—",INDEX(ChqClr,IFERROR(MATCH(68,ChqRankU,0),0)))))</f>
        <v/>
      </c>
      <c r="I84">
        <f>IF(68&gt;NChq,"",INDEX(ChqNorm,68))</f>
        <v/>
      </c>
      <c r="J84">
        <f>IF($I84="","",IF(AND($I84&gt;=$H$3,$I84&lt;=$H$4,INDEX(ChqStatus,68)="پاس نشده"),1,0))</f>
        <v/>
      </c>
      <c r="K84">
        <f>IF($J84=0,"",INDEX(ChqKey,68))</f>
        <v/>
      </c>
      <c r="L84">
        <f>IF($K84="","",COUNTIFS($J$17:$J$516,1,$K$17:$K$516,"&lt;"&amp;$K84)+1)</f>
        <v/>
      </c>
    </row>
    <row r="85">
      <c r="A85" s="10">
        <f>IF(IFERROR(MATCH(69,ChqRankU,0),0)=0,"",69)</f>
        <v/>
      </c>
      <c r="B85" s="22">
        <f>IF(IFERROR(MATCH(69,ChqRankU,0),0)=0,"",INDEX(ChqNorm,IFERROR(MATCH(69,ChqRankU,0),0)))</f>
        <v/>
      </c>
      <c r="C85" s="22">
        <f>IF(IFERROR(MATCH(69,ChqRankU,0),0)=0,"",INDEX(ChqNo,IFERROR(MATCH(69,ChqRankU,0),0)))</f>
        <v/>
      </c>
      <c r="D85" s="23">
        <f>IF(IFERROR(MATCH(69,ChqRankU,0),0)=0,"",IF(INDEX(ChqAmt,IFERROR(MATCH(69,ChqRankU,0),0))=0,"",INDEX(ChqAmt,IFERROR(MATCH(69,ChqRankU,0),0))))</f>
        <v/>
      </c>
      <c r="E85" s="14">
        <f>IF(IFERROR(MATCH(69,ChqRankU,0),0)=0,"",INDEX(ChqStatus,IFERROR(MATCH(69,ChqRankU,0),0)))</f>
        <v/>
      </c>
      <c r="F85" s="22">
        <f>IF(IFERROR(MATCH(69,ChqRankU,0),0)=0,"",IF(INDEX(ChqStatus,IFERROR(MATCH(69,ChqRankU,0),0))="پاس نشده","—",IF(INDEX(ChqClr,IFERROR(MATCH(69,ChqRankU,0),0))="","—",INDEX(ChqClr,IFERROR(MATCH(69,ChqRankU,0),0)))))</f>
        <v/>
      </c>
      <c r="I85">
        <f>IF(69&gt;NChq,"",INDEX(ChqNorm,69))</f>
        <v/>
      </c>
      <c r="J85">
        <f>IF($I85="","",IF(AND($I85&gt;=$H$3,$I85&lt;=$H$4,INDEX(ChqStatus,69)="پاس نشده"),1,0))</f>
        <v/>
      </c>
      <c r="K85">
        <f>IF($J85=0,"",INDEX(ChqKey,69))</f>
        <v/>
      </c>
      <c r="L85">
        <f>IF($K85="","",COUNTIFS($J$17:$J$516,1,$K$17:$K$516,"&lt;"&amp;$K85)+1)</f>
        <v/>
      </c>
    </row>
    <row r="86">
      <c r="A86" s="16">
        <f>IF(IFERROR(MATCH(70,ChqRankU,0),0)=0,"",70)</f>
        <v/>
      </c>
      <c r="B86" s="24">
        <f>IF(IFERROR(MATCH(70,ChqRankU,0),0)=0,"",INDEX(ChqNorm,IFERROR(MATCH(70,ChqRankU,0),0)))</f>
        <v/>
      </c>
      <c r="C86" s="24">
        <f>IF(IFERROR(MATCH(70,ChqRankU,0),0)=0,"",INDEX(ChqNo,IFERROR(MATCH(70,ChqRankU,0),0)))</f>
        <v/>
      </c>
      <c r="D86" s="25">
        <f>IF(IFERROR(MATCH(70,ChqRankU,0),0)=0,"",IF(INDEX(ChqAmt,IFERROR(MATCH(70,ChqRankU,0),0))=0,"",INDEX(ChqAmt,IFERROR(MATCH(70,ChqRankU,0),0))))</f>
        <v/>
      </c>
      <c r="E86" s="17">
        <f>IF(IFERROR(MATCH(70,ChqRankU,0),0)=0,"",INDEX(ChqStatus,IFERROR(MATCH(70,ChqRankU,0),0)))</f>
        <v/>
      </c>
      <c r="F86" s="24">
        <f>IF(IFERROR(MATCH(70,ChqRankU,0),0)=0,"",IF(INDEX(ChqStatus,IFERROR(MATCH(70,ChqRankU,0),0))="پاس نشده","—",IF(INDEX(ChqClr,IFERROR(MATCH(70,ChqRankU,0),0))="","—",INDEX(ChqClr,IFERROR(MATCH(70,ChqRankU,0),0)))))</f>
        <v/>
      </c>
      <c r="I86">
        <f>IF(70&gt;NChq,"",INDEX(ChqNorm,70))</f>
        <v/>
      </c>
      <c r="J86">
        <f>IF($I86="","",IF(AND($I86&gt;=$H$3,$I86&lt;=$H$4,INDEX(ChqStatus,70)="پاس نشده"),1,0))</f>
        <v/>
      </c>
      <c r="K86">
        <f>IF($J86=0,"",INDEX(ChqKey,70))</f>
        <v/>
      </c>
      <c r="L86">
        <f>IF($K86="","",COUNTIFS($J$17:$J$516,1,$K$17:$K$516,"&lt;"&amp;$K86)+1)</f>
        <v/>
      </c>
    </row>
    <row r="87">
      <c r="A87" s="10">
        <f>IF(IFERROR(MATCH(71,ChqRankU,0),0)=0,"",71)</f>
        <v/>
      </c>
      <c r="B87" s="22">
        <f>IF(IFERROR(MATCH(71,ChqRankU,0),0)=0,"",INDEX(ChqNorm,IFERROR(MATCH(71,ChqRankU,0),0)))</f>
        <v/>
      </c>
      <c r="C87" s="22">
        <f>IF(IFERROR(MATCH(71,ChqRankU,0),0)=0,"",INDEX(ChqNo,IFERROR(MATCH(71,ChqRankU,0),0)))</f>
        <v/>
      </c>
      <c r="D87" s="23">
        <f>IF(IFERROR(MATCH(71,ChqRankU,0),0)=0,"",IF(INDEX(ChqAmt,IFERROR(MATCH(71,ChqRankU,0),0))=0,"",INDEX(ChqAmt,IFERROR(MATCH(71,ChqRankU,0),0))))</f>
        <v/>
      </c>
      <c r="E87" s="14">
        <f>IF(IFERROR(MATCH(71,ChqRankU,0),0)=0,"",INDEX(ChqStatus,IFERROR(MATCH(71,ChqRankU,0),0)))</f>
        <v/>
      </c>
      <c r="F87" s="22">
        <f>IF(IFERROR(MATCH(71,ChqRankU,0),0)=0,"",IF(INDEX(ChqStatus,IFERROR(MATCH(71,ChqRankU,0),0))="پاس نشده","—",IF(INDEX(ChqClr,IFERROR(MATCH(71,ChqRankU,0),0))="","—",INDEX(ChqClr,IFERROR(MATCH(71,ChqRankU,0),0)))))</f>
        <v/>
      </c>
      <c r="I87">
        <f>IF(71&gt;NChq,"",INDEX(ChqNorm,71))</f>
        <v/>
      </c>
      <c r="J87">
        <f>IF($I87="","",IF(AND($I87&gt;=$H$3,$I87&lt;=$H$4,INDEX(ChqStatus,71)="پاس نشده"),1,0))</f>
        <v/>
      </c>
      <c r="K87">
        <f>IF($J87=0,"",INDEX(ChqKey,71))</f>
        <v/>
      </c>
      <c r="L87">
        <f>IF($K87="","",COUNTIFS($J$17:$J$516,1,$K$17:$K$516,"&lt;"&amp;$K87)+1)</f>
        <v/>
      </c>
    </row>
    <row r="88">
      <c r="A88" s="16">
        <f>IF(IFERROR(MATCH(72,ChqRankU,0),0)=0,"",72)</f>
        <v/>
      </c>
      <c r="B88" s="24">
        <f>IF(IFERROR(MATCH(72,ChqRankU,0),0)=0,"",INDEX(ChqNorm,IFERROR(MATCH(72,ChqRankU,0),0)))</f>
        <v/>
      </c>
      <c r="C88" s="24">
        <f>IF(IFERROR(MATCH(72,ChqRankU,0),0)=0,"",INDEX(ChqNo,IFERROR(MATCH(72,ChqRankU,0),0)))</f>
        <v/>
      </c>
      <c r="D88" s="25">
        <f>IF(IFERROR(MATCH(72,ChqRankU,0),0)=0,"",IF(INDEX(ChqAmt,IFERROR(MATCH(72,ChqRankU,0),0))=0,"",INDEX(ChqAmt,IFERROR(MATCH(72,ChqRankU,0),0))))</f>
        <v/>
      </c>
      <c r="E88" s="17">
        <f>IF(IFERROR(MATCH(72,ChqRankU,0),0)=0,"",INDEX(ChqStatus,IFERROR(MATCH(72,ChqRankU,0),0)))</f>
        <v/>
      </c>
      <c r="F88" s="24">
        <f>IF(IFERROR(MATCH(72,ChqRankU,0),0)=0,"",IF(INDEX(ChqStatus,IFERROR(MATCH(72,ChqRankU,0),0))="پاس نشده","—",IF(INDEX(ChqClr,IFERROR(MATCH(72,ChqRankU,0),0))="","—",INDEX(ChqClr,IFERROR(MATCH(72,ChqRankU,0),0)))))</f>
        <v/>
      </c>
      <c r="I88">
        <f>IF(72&gt;NChq,"",INDEX(ChqNorm,72))</f>
        <v/>
      </c>
      <c r="J88">
        <f>IF($I88="","",IF(AND($I88&gt;=$H$3,$I88&lt;=$H$4,INDEX(ChqStatus,72)="پاس نشده"),1,0))</f>
        <v/>
      </c>
      <c r="K88">
        <f>IF($J88=0,"",INDEX(ChqKey,72))</f>
        <v/>
      </c>
      <c r="L88">
        <f>IF($K88="","",COUNTIFS($J$17:$J$516,1,$K$17:$K$516,"&lt;"&amp;$K88)+1)</f>
        <v/>
      </c>
    </row>
    <row r="89">
      <c r="A89" s="10">
        <f>IF(IFERROR(MATCH(73,ChqRankU,0),0)=0,"",73)</f>
        <v/>
      </c>
      <c r="B89" s="22">
        <f>IF(IFERROR(MATCH(73,ChqRankU,0),0)=0,"",INDEX(ChqNorm,IFERROR(MATCH(73,ChqRankU,0),0)))</f>
        <v/>
      </c>
      <c r="C89" s="22">
        <f>IF(IFERROR(MATCH(73,ChqRankU,0),0)=0,"",INDEX(ChqNo,IFERROR(MATCH(73,ChqRankU,0),0)))</f>
        <v/>
      </c>
      <c r="D89" s="23">
        <f>IF(IFERROR(MATCH(73,ChqRankU,0),0)=0,"",IF(INDEX(ChqAmt,IFERROR(MATCH(73,ChqRankU,0),0))=0,"",INDEX(ChqAmt,IFERROR(MATCH(73,ChqRankU,0),0))))</f>
        <v/>
      </c>
      <c r="E89" s="14">
        <f>IF(IFERROR(MATCH(73,ChqRankU,0),0)=0,"",INDEX(ChqStatus,IFERROR(MATCH(73,ChqRankU,0),0)))</f>
        <v/>
      </c>
      <c r="F89" s="22">
        <f>IF(IFERROR(MATCH(73,ChqRankU,0),0)=0,"",IF(INDEX(ChqStatus,IFERROR(MATCH(73,ChqRankU,0),0))="پاس نشده","—",IF(INDEX(ChqClr,IFERROR(MATCH(73,ChqRankU,0),0))="","—",INDEX(ChqClr,IFERROR(MATCH(73,ChqRankU,0),0)))))</f>
        <v/>
      </c>
      <c r="I89">
        <f>IF(73&gt;NChq,"",INDEX(ChqNorm,73))</f>
        <v/>
      </c>
      <c r="J89">
        <f>IF($I89="","",IF(AND($I89&gt;=$H$3,$I89&lt;=$H$4,INDEX(ChqStatus,73)="پاس نشده"),1,0))</f>
        <v/>
      </c>
      <c r="K89">
        <f>IF($J89=0,"",INDEX(ChqKey,73))</f>
        <v/>
      </c>
      <c r="L89">
        <f>IF($K89="","",COUNTIFS($J$17:$J$516,1,$K$17:$K$516,"&lt;"&amp;$K89)+1)</f>
        <v/>
      </c>
    </row>
    <row r="90">
      <c r="A90" s="16">
        <f>IF(IFERROR(MATCH(74,ChqRankU,0),0)=0,"",74)</f>
        <v/>
      </c>
      <c r="B90" s="24">
        <f>IF(IFERROR(MATCH(74,ChqRankU,0),0)=0,"",INDEX(ChqNorm,IFERROR(MATCH(74,ChqRankU,0),0)))</f>
        <v/>
      </c>
      <c r="C90" s="24">
        <f>IF(IFERROR(MATCH(74,ChqRankU,0),0)=0,"",INDEX(ChqNo,IFERROR(MATCH(74,ChqRankU,0),0)))</f>
        <v/>
      </c>
      <c r="D90" s="25">
        <f>IF(IFERROR(MATCH(74,ChqRankU,0),0)=0,"",IF(INDEX(ChqAmt,IFERROR(MATCH(74,ChqRankU,0),0))=0,"",INDEX(ChqAmt,IFERROR(MATCH(74,ChqRankU,0),0))))</f>
        <v/>
      </c>
      <c r="E90" s="17">
        <f>IF(IFERROR(MATCH(74,ChqRankU,0),0)=0,"",INDEX(ChqStatus,IFERROR(MATCH(74,ChqRankU,0),0)))</f>
        <v/>
      </c>
      <c r="F90" s="24">
        <f>IF(IFERROR(MATCH(74,ChqRankU,0),0)=0,"",IF(INDEX(ChqStatus,IFERROR(MATCH(74,ChqRankU,0),0))="پاس نشده","—",IF(INDEX(ChqClr,IFERROR(MATCH(74,ChqRankU,0),0))="","—",INDEX(ChqClr,IFERROR(MATCH(74,ChqRankU,0),0)))))</f>
        <v/>
      </c>
      <c r="I90">
        <f>IF(74&gt;NChq,"",INDEX(ChqNorm,74))</f>
        <v/>
      </c>
      <c r="J90">
        <f>IF($I90="","",IF(AND($I90&gt;=$H$3,$I90&lt;=$H$4,INDEX(ChqStatus,74)="پاس نشده"),1,0))</f>
        <v/>
      </c>
      <c r="K90">
        <f>IF($J90=0,"",INDEX(ChqKey,74))</f>
        <v/>
      </c>
      <c r="L90">
        <f>IF($K90="","",COUNTIFS($J$17:$J$516,1,$K$17:$K$516,"&lt;"&amp;$K90)+1)</f>
        <v/>
      </c>
    </row>
    <row r="91">
      <c r="A91" s="10">
        <f>IF(IFERROR(MATCH(75,ChqRankU,0),0)=0,"",75)</f>
        <v/>
      </c>
      <c r="B91" s="22">
        <f>IF(IFERROR(MATCH(75,ChqRankU,0),0)=0,"",INDEX(ChqNorm,IFERROR(MATCH(75,ChqRankU,0),0)))</f>
        <v/>
      </c>
      <c r="C91" s="22">
        <f>IF(IFERROR(MATCH(75,ChqRankU,0),0)=0,"",INDEX(ChqNo,IFERROR(MATCH(75,ChqRankU,0),0)))</f>
        <v/>
      </c>
      <c r="D91" s="23">
        <f>IF(IFERROR(MATCH(75,ChqRankU,0),0)=0,"",IF(INDEX(ChqAmt,IFERROR(MATCH(75,ChqRankU,0),0))=0,"",INDEX(ChqAmt,IFERROR(MATCH(75,ChqRankU,0),0))))</f>
        <v/>
      </c>
      <c r="E91" s="14">
        <f>IF(IFERROR(MATCH(75,ChqRankU,0),0)=0,"",INDEX(ChqStatus,IFERROR(MATCH(75,ChqRankU,0),0)))</f>
        <v/>
      </c>
      <c r="F91" s="22">
        <f>IF(IFERROR(MATCH(75,ChqRankU,0),0)=0,"",IF(INDEX(ChqStatus,IFERROR(MATCH(75,ChqRankU,0),0))="پاس نشده","—",IF(INDEX(ChqClr,IFERROR(MATCH(75,ChqRankU,0),0))="","—",INDEX(ChqClr,IFERROR(MATCH(75,ChqRankU,0),0)))))</f>
        <v/>
      </c>
      <c r="I91">
        <f>IF(75&gt;NChq,"",INDEX(ChqNorm,75))</f>
        <v/>
      </c>
      <c r="J91">
        <f>IF($I91="","",IF(AND($I91&gt;=$H$3,$I91&lt;=$H$4,INDEX(ChqStatus,75)="پاس نشده"),1,0))</f>
        <v/>
      </c>
      <c r="K91">
        <f>IF($J91=0,"",INDEX(ChqKey,75))</f>
        <v/>
      </c>
      <c r="L91">
        <f>IF($K91="","",COUNTIFS($J$17:$J$516,1,$K$17:$K$516,"&lt;"&amp;$K91)+1)</f>
        <v/>
      </c>
    </row>
    <row r="92">
      <c r="A92" s="16">
        <f>IF(IFERROR(MATCH(76,ChqRankU,0),0)=0,"",76)</f>
        <v/>
      </c>
      <c r="B92" s="24">
        <f>IF(IFERROR(MATCH(76,ChqRankU,0),0)=0,"",INDEX(ChqNorm,IFERROR(MATCH(76,ChqRankU,0),0)))</f>
        <v/>
      </c>
      <c r="C92" s="24">
        <f>IF(IFERROR(MATCH(76,ChqRankU,0),0)=0,"",INDEX(ChqNo,IFERROR(MATCH(76,ChqRankU,0),0)))</f>
        <v/>
      </c>
      <c r="D92" s="25">
        <f>IF(IFERROR(MATCH(76,ChqRankU,0),0)=0,"",IF(INDEX(ChqAmt,IFERROR(MATCH(76,ChqRankU,0),0))=0,"",INDEX(ChqAmt,IFERROR(MATCH(76,ChqRankU,0),0))))</f>
        <v/>
      </c>
      <c r="E92" s="17">
        <f>IF(IFERROR(MATCH(76,ChqRankU,0),0)=0,"",INDEX(ChqStatus,IFERROR(MATCH(76,ChqRankU,0),0)))</f>
        <v/>
      </c>
      <c r="F92" s="24">
        <f>IF(IFERROR(MATCH(76,ChqRankU,0),0)=0,"",IF(INDEX(ChqStatus,IFERROR(MATCH(76,ChqRankU,0),0))="پاس نشده","—",IF(INDEX(ChqClr,IFERROR(MATCH(76,ChqRankU,0),0))="","—",INDEX(ChqClr,IFERROR(MATCH(76,ChqRankU,0),0)))))</f>
        <v/>
      </c>
      <c r="I92">
        <f>IF(76&gt;NChq,"",INDEX(ChqNorm,76))</f>
        <v/>
      </c>
      <c r="J92">
        <f>IF($I92="","",IF(AND($I92&gt;=$H$3,$I92&lt;=$H$4,INDEX(ChqStatus,76)="پاس نشده"),1,0))</f>
        <v/>
      </c>
      <c r="K92">
        <f>IF($J92=0,"",INDEX(ChqKey,76))</f>
        <v/>
      </c>
      <c r="L92">
        <f>IF($K92="","",COUNTIFS($J$17:$J$516,1,$K$17:$K$516,"&lt;"&amp;$K92)+1)</f>
        <v/>
      </c>
    </row>
    <row r="93">
      <c r="A93" s="10">
        <f>IF(IFERROR(MATCH(77,ChqRankU,0),0)=0,"",77)</f>
        <v/>
      </c>
      <c r="B93" s="22">
        <f>IF(IFERROR(MATCH(77,ChqRankU,0),0)=0,"",INDEX(ChqNorm,IFERROR(MATCH(77,ChqRankU,0),0)))</f>
        <v/>
      </c>
      <c r="C93" s="22">
        <f>IF(IFERROR(MATCH(77,ChqRankU,0),0)=0,"",INDEX(ChqNo,IFERROR(MATCH(77,ChqRankU,0),0)))</f>
        <v/>
      </c>
      <c r="D93" s="23">
        <f>IF(IFERROR(MATCH(77,ChqRankU,0),0)=0,"",IF(INDEX(ChqAmt,IFERROR(MATCH(77,ChqRankU,0),0))=0,"",INDEX(ChqAmt,IFERROR(MATCH(77,ChqRankU,0),0))))</f>
        <v/>
      </c>
      <c r="E93" s="14">
        <f>IF(IFERROR(MATCH(77,ChqRankU,0),0)=0,"",INDEX(ChqStatus,IFERROR(MATCH(77,ChqRankU,0),0)))</f>
        <v/>
      </c>
      <c r="F93" s="22">
        <f>IF(IFERROR(MATCH(77,ChqRankU,0),0)=0,"",IF(INDEX(ChqStatus,IFERROR(MATCH(77,ChqRankU,0),0))="پاس نشده","—",IF(INDEX(ChqClr,IFERROR(MATCH(77,ChqRankU,0),0))="","—",INDEX(ChqClr,IFERROR(MATCH(77,ChqRankU,0),0)))))</f>
        <v/>
      </c>
      <c r="I93">
        <f>IF(77&gt;NChq,"",INDEX(ChqNorm,77))</f>
        <v/>
      </c>
      <c r="J93">
        <f>IF($I93="","",IF(AND($I93&gt;=$H$3,$I93&lt;=$H$4,INDEX(ChqStatus,77)="پاس نشده"),1,0))</f>
        <v/>
      </c>
      <c r="K93">
        <f>IF($J93=0,"",INDEX(ChqKey,77))</f>
        <v/>
      </c>
      <c r="L93">
        <f>IF($K93="","",COUNTIFS($J$17:$J$516,1,$K$17:$K$516,"&lt;"&amp;$K93)+1)</f>
        <v/>
      </c>
    </row>
    <row r="94">
      <c r="A94" s="16">
        <f>IF(IFERROR(MATCH(78,ChqRankU,0),0)=0,"",78)</f>
        <v/>
      </c>
      <c r="B94" s="24">
        <f>IF(IFERROR(MATCH(78,ChqRankU,0),0)=0,"",INDEX(ChqNorm,IFERROR(MATCH(78,ChqRankU,0),0)))</f>
        <v/>
      </c>
      <c r="C94" s="24">
        <f>IF(IFERROR(MATCH(78,ChqRankU,0),0)=0,"",INDEX(ChqNo,IFERROR(MATCH(78,ChqRankU,0),0)))</f>
        <v/>
      </c>
      <c r="D94" s="25">
        <f>IF(IFERROR(MATCH(78,ChqRankU,0),0)=0,"",IF(INDEX(ChqAmt,IFERROR(MATCH(78,ChqRankU,0),0))=0,"",INDEX(ChqAmt,IFERROR(MATCH(78,ChqRankU,0),0))))</f>
        <v/>
      </c>
      <c r="E94" s="17">
        <f>IF(IFERROR(MATCH(78,ChqRankU,0),0)=0,"",INDEX(ChqStatus,IFERROR(MATCH(78,ChqRankU,0),0)))</f>
        <v/>
      </c>
      <c r="F94" s="24">
        <f>IF(IFERROR(MATCH(78,ChqRankU,0),0)=0,"",IF(INDEX(ChqStatus,IFERROR(MATCH(78,ChqRankU,0),0))="پاس نشده","—",IF(INDEX(ChqClr,IFERROR(MATCH(78,ChqRankU,0),0))="","—",INDEX(ChqClr,IFERROR(MATCH(78,ChqRankU,0),0)))))</f>
        <v/>
      </c>
      <c r="I94">
        <f>IF(78&gt;NChq,"",INDEX(ChqNorm,78))</f>
        <v/>
      </c>
      <c r="J94">
        <f>IF($I94="","",IF(AND($I94&gt;=$H$3,$I94&lt;=$H$4,INDEX(ChqStatus,78)="پاس نشده"),1,0))</f>
        <v/>
      </c>
      <c r="K94">
        <f>IF($J94=0,"",INDEX(ChqKey,78))</f>
        <v/>
      </c>
      <c r="L94">
        <f>IF($K94="","",COUNTIFS($J$17:$J$516,1,$K$17:$K$516,"&lt;"&amp;$K94)+1)</f>
        <v/>
      </c>
    </row>
    <row r="95">
      <c r="A95" s="10">
        <f>IF(IFERROR(MATCH(79,ChqRankU,0),0)=0,"",79)</f>
        <v/>
      </c>
      <c r="B95" s="22">
        <f>IF(IFERROR(MATCH(79,ChqRankU,0),0)=0,"",INDEX(ChqNorm,IFERROR(MATCH(79,ChqRankU,0),0)))</f>
        <v/>
      </c>
      <c r="C95" s="22">
        <f>IF(IFERROR(MATCH(79,ChqRankU,0),0)=0,"",INDEX(ChqNo,IFERROR(MATCH(79,ChqRankU,0),0)))</f>
        <v/>
      </c>
      <c r="D95" s="23">
        <f>IF(IFERROR(MATCH(79,ChqRankU,0),0)=0,"",IF(INDEX(ChqAmt,IFERROR(MATCH(79,ChqRankU,0),0))=0,"",INDEX(ChqAmt,IFERROR(MATCH(79,ChqRankU,0),0))))</f>
        <v/>
      </c>
      <c r="E95" s="14">
        <f>IF(IFERROR(MATCH(79,ChqRankU,0),0)=0,"",INDEX(ChqStatus,IFERROR(MATCH(79,ChqRankU,0),0)))</f>
        <v/>
      </c>
      <c r="F95" s="22">
        <f>IF(IFERROR(MATCH(79,ChqRankU,0),0)=0,"",IF(INDEX(ChqStatus,IFERROR(MATCH(79,ChqRankU,0),0))="پاس نشده","—",IF(INDEX(ChqClr,IFERROR(MATCH(79,ChqRankU,0),0))="","—",INDEX(ChqClr,IFERROR(MATCH(79,ChqRankU,0),0)))))</f>
        <v/>
      </c>
      <c r="I95">
        <f>IF(79&gt;NChq,"",INDEX(ChqNorm,79))</f>
        <v/>
      </c>
      <c r="J95">
        <f>IF($I95="","",IF(AND($I95&gt;=$H$3,$I95&lt;=$H$4,INDEX(ChqStatus,79)="پاس نشده"),1,0))</f>
        <v/>
      </c>
      <c r="K95">
        <f>IF($J95=0,"",INDEX(ChqKey,79))</f>
        <v/>
      </c>
      <c r="L95">
        <f>IF($K95="","",COUNTIFS($J$17:$J$516,1,$K$17:$K$516,"&lt;"&amp;$K95)+1)</f>
        <v/>
      </c>
    </row>
    <row r="96">
      <c r="A96" s="16">
        <f>IF(IFERROR(MATCH(80,ChqRankU,0),0)=0,"",80)</f>
        <v/>
      </c>
      <c r="B96" s="24">
        <f>IF(IFERROR(MATCH(80,ChqRankU,0),0)=0,"",INDEX(ChqNorm,IFERROR(MATCH(80,ChqRankU,0),0)))</f>
        <v/>
      </c>
      <c r="C96" s="24">
        <f>IF(IFERROR(MATCH(80,ChqRankU,0),0)=0,"",INDEX(ChqNo,IFERROR(MATCH(80,ChqRankU,0),0)))</f>
        <v/>
      </c>
      <c r="D96" s="25">
        <f>IF(IFERROR(MATCH(80,ChqRankU,0),0)=0,"",IF(INDEX(ChqAmt,IFERROR(MATCH(80,ChqRankU,0),0))=0,"",INDEX(ChqAmt,IFERROR(MATCH(80,ChqRankU,0),0))))</f>
        <v/>
      </c>
      <c r="E96" s="17">
        <f>IF(IFERROR(MATCH(80,ChqRankU,0),0)=0,"",INDEX(ChqStatus,IFERROR(MATCH(80,ChqRankU,0),0)))</f>
        <v/>
      </c>
      <c r="F96" s="24">
        <f>IF(IFERROR(MATCH(80,ChqRankU,0),0)=0,"",IF(INDEX(ChqStatus,IFERROR(MATCH(80,ChqRankU,0),0))="پاس نشده","—",IF(INDEX(ChqClr,IFERROR(MATCH(80,ChqRankU,0),0))="","—",INDEX(ChqClr,IFERROR(MATCH(80,ChqRankU,0),0)))))</f>
        <v/>
      </c>
      <c r="I96">
        <f>IF(80&gt;NChq,"",INDEX(ChqNorm,80))</f>
        <v/>
      </c>
      <c r="J96">
        <f>IF($I96="","",IF(AND($I96&gt;=$H$3,$I96&lt;=$H$4,INDEX(ChqStatus,80)="پاس نشده"),1,0))</f>
        <v/>
      </c>
      <c r="K96">
        <f>IF($J96=0,"",INDEX(ChqKey,80))</f>
        <v/>
      </c>
      <c r="L96">
        <f>IF($K96="","",COUNTIFS($J$17:$J$516,1,$K$17:$K$516,"&lt;"&amp;$K96)+1)</f>
        <v/>
      </c>
    </row>
    <row r="97">
      <c r="A97" s="10">
        <f>IF(IFERROR(MATCH(81,ChqRankU,0),0)=0,"",81)</f>
        <v/>
      </c>
      <c r="B97" s="22">
        <f>IF(IFERROR(MATCH(81,ChqRankU,0),0)=0,"",INDEX(ChqNorm,IFERROR(MATCH(81,ChqRankU,0),0)))</f>
        <v/>
      </c>
      <c r="C97" s="22">
        <f>IF(IFERROR(MATCH(81,ChqRankU,0),0)=0,"",INDEX(ChqNo,IFERROR(MATCH(81,ChqRankU,0),0)))</f>
        <v/>
      </c>
      <c r="D97" s="23">
        <f>IF(IFERROR(MATCH(81,ChqRankU,0),0)=0,"",IF(INDEX(ChqAmt,IFERROR(MATCH(81,ChqRankU,0),0))=0,"",INDEX(ChqAmt,IFERROR(MATCH(81,ChqRankU,0),0))))</f>
        <v/>
      </c>
      <c r="E97" s="14">
        <f>IF(IFERROR(MATCH(81,ChqRankU,0),0)=0,"",INDEX(ChqStatus,IFERROR(MATCH(81,ChqRankU,0),0)))</f>
        <v/>
      </c>
      <c r="F97" s="22">
        <f>IF(IFERROR(MATCH(81,ChqRankU,0),0)=0,"",IF(INDEX(ChqStatus,IFERROR(MATCH(81,ChqRankU,0),0))="پاس نشده","—",IF(INDEX(ChqClr,IFERROR(MATCH(81,ChqRankU,0),0))="","—",INDEX(ChqClr,IFERROR(MATCH(81,ChqRankU,0),0)))))</f>
        <v/>
      </c>
      <c r="I97">
        <f>IF(81&gt;NChq,"",INDEX(ChqNorm,81))</f>
        <v/>
      </c>
      <c r="J97">
        <f>IF($I97="","",IF(AND($I97&gt;=$H$3,$I97&lt;=$H$4,INDEX(ChqStatus,81)="پاس نشده"),1,0))</f>
        <v/>
      </c>
      <c r="K97">
        <f>IF($J97=0,"",INDEX(ChqKey,81))</f>
        <v/>
      </c>
      <c r="L97">
        <f>IF($K97="","",COUNTIFS($J$17:$J$516,1,$K$17:$K$516,"&lt;"&amp;$K97)+1)</f>
        <v/>
      </c>
    </row>
    <row r="98">
      <c r="A98" s="16">
        <f>IF(IFERROR(MATCH(82,ChqRankU,0),0)=0,"",82)</f>
        <v/>
      </c>
      <c r="B98" s="24">
        <f>IF(IFERROR(MATCH(82,ChqRankU,0),0)=0,"",INDEX(ChqNorm,IFERROR(MATCH(82,ChqRankU,0),0)))</f>
        <v/>
      </c>
      <c r="C98" s="24">
        <f>IF(IFERROR(MATCH(82,ChqRankU,0),0)=0,"",INDEX(ChqNo,IFERROR(MATCH(82,ChqRankU,0),0)))</f>
        <v/>
      </c>
      <c r="D98" s="25">
        <f>IF(IFERROR(MATCH(82,ChqRankU,0),0)=0,"",IF(INDEX(ChqAmt,IFERROR(MATCH(82,ChqRankU,0),0))=0,"",INDEX(ChqAmt,IFERROR(MATCH(82,ChqRankU,0),0))))</f>
        <v/>
      </c>
      <c r="E98" s="17">
        <f>IF(IFERROR(MATCH(82,ChqRankU,0),0)=0,"",INDEX(ChqStatus,IFERROR(MATCH(82,ChqRankU,0),0)))</f>
        <v/>
      </c>
      <c r="F98" s="24">
        <f>IF(IFERROR(MATCH(82,ChqRankU,0),0)=0,"",IF(INDEX(ChqStatus,IFERROR(MATCH(82,ChqRankU,0),0))="پاس نشده","—",IF(INDEX(ChqClr,IFERROR(MATCH(82,ChqRankU,0),0))="","—",INDEX(ChqClr,IFERROR(MATCH(82,ChqRankU,0),0)))))</f>
        <v/>
      </c>
      <c r="I98">
        <f>IF(82&gt;NChq,"",INDEX(ChqNorm,82))</f>
        <v/>
      </c>
      <c r="J98">
        <f>IF($I98="","",IF(AND($I98&gt;=$H$3,$I98&lt;=$H$4,INDEX(ChqStatus,82)="پاس نشده"),1,0))</f>
        <v/>
      </c>
      <c r="K98">
        <f>IF($J98=0,"",INDEX(ChqKey,82))</f>
        <v/>
      </c>
      <c r="L98">
        <f>IF($K98="","",COUNTIFS($J$17:$J$516,1,$K$17:$K$516,"&lt;"&amp;$K98)+1)</f>
        <v/>
      </c>
    </row>
    <row r="99">
      <c r="A99" s="10">
        <f>IF(IFERROR(MATCH(83,ChqRankU,0),0)=0,"",83)</f>
        <v/>
      </c>
      <c r="B99" s="22">
        <f>IF(IFERROR(MATCH(83,ChqRankU,0),0)=0,"",INDEX(ChqNorm,IFERROR(MATCH(83,ChqRankU,0),0)))</f>
        <v/>
      </c>
      <c r="C99" s="22">
        <f>IF(IFERROR(MATCH(83,ChqRankU,0),0)=0,"",INDEX(ChqNo,IFERROR(MATCH(83,ChqRankU,0),0)))</f>
        <v/>
      </c>
      <c r="D99" s="23">
        <f>IF(IFERROR(MATCH(83,ChqRankU,0),0)=0,"",IF(INDEX(ChqAmt,IFERROR(MATCH(83,ChqRankU,0),0))=0,"",INDEX(ChqAmt,IFERROR(MATCH(83,ChqRankU,0),0))))</f>
        <v/>
      </c>
      <c r="E99" s="14">
        <f>IF(IFERROR(MATCH(83,ChqRankU,0),0)=0,"",INDEX(ChqStatus,IFERROR(MATCH(83,ChqRankU,0),0)))</f>
        <v/>
      </c>
      <c r="F99" s="22">
        <f>IF(IFERROR(MATCH(83,ChqRankU,0),0)=0,"",IF(INDEX(ChqStatus,IFERROR(MATCH(83,ChqRankU,0),0))="پاس نشده","—",IF(INDEX(ChqClr,IFERROR(MATCH(83,ChqRankU,0),0))="","—",INDEX(ChqClr,IFERROR(MATCH(83,ChqRankU,0),0)))))</f>
        <v/>
      </c>
      <c r="I99">
        <f>IF(83&gt;NChq,"",INDEX(ChqNorm,83))</f>
        <v/>
      </c>
      <c r="J99">
        <f>IF($I99="","",IF(AND($I99&gt;=$H$3,$I99&lt;=$H$4,INDEX(ChqStatus,83)="پاس نشده"),1,0))</f>
        <v/>
      </c>
      <c r="K99">
        <f>IF($J99=0,"",INDEX(ChqKey,83))</f>
        <v/>
      </c>
      <c r="L99">
        <f>IF($K99="","",COUNTIFS($J$17:$J$516,1,$K$17:$K$516,"&lt;"&amp;$K99)+1)</f>
        <v/>
      </c>
    </row>
    <row r="100">
      <c r="A100" s="16">
        <f>IF(IFERROR(MATCH(84,ChqRankU,0),0)=0,"",84)</f>
        <v/>
      </c>
      <c r="B100" s="24">
        <f>IF(IFERROR(MATCH(84,ChqRankU,0),0)=0,"",INDEX(ChqNorm,IFERROR(MATCH(84,ChqRankU,0),0)))</f>
        <v/>
      </c>
      <c r="C100" s="24">
        <f>IF(IFERROR(MATCH(84,ChqRankU,0),0)=0,"",INDEX(ChqNo,IFERROR(MATCH(84,ChqRankU,0),0)))</f>
        <v/>
      </c>
      <c r="D100" s="25">
        <f>IF(IFERROR(MATCH(84,ChqRankU,0),0)=0,"",IF(INDEX(ChqAmt,IFERROR(MATCH(84,ChqRankU,0),0))=0,"",INDEX(ChqAmt,IFERROR(MATCH(84,ChqRankU,0),0))))</f>
        <v/>
      </c>
      <c r="E100" s="17">
        <f>IF(IFERROR(MATCH(84,ChqRankU,0),0)=0,"",INDEX(ChqStatus,IFERROR(MATCH(84,ChqRankU,0),0)))</f>
        <v/>
      </c>
      <c r="F100" s="24">
        <f>IF(IFERROR(MATCH(84,ChqRankU,0),0)=0,"",IF(INDEX(ChqStatus,IFERROR(MATCH(84,ChqRankU,0),0))="پاس نشده","—",IF(INDEX(ChqClr,IFERROR(MATCH(84,ChqRankU,0),0))="","—",INDEX(ChqClr,IFERROR(MATCH(84,ChqRankU,0),0)))))</f>
        <v/>
      </c>
      <c r="I100">
        <f>IF(84&gt;NChq,"",INDEX(ChqNorm,84))</f>
        <v/>
      </c>
      <c r="J100">
        <f>IF($I100="","",IF(AND($I100&gt;=$H$3,$I100&lt;=$H$4,INDEX(ChqStatus,84)="پاس نشده"),1,0))</f>
        <v/>
      </c>
      <c r="K100">
        <f>IF($J100=0,"",INDEX(ChqKey,84))</f>
        <v/>
      </c>
      <c r="L100">
        <f>IF($K100="","",COUNTIFS($J$17:$J$516,1,$K$17:$K$516,"&lt;"&amp;$K100)+1)</f>
        <v/>
      </c>
    </row>
    <row r="101">
      <c r="A101" s="10">
        <f>IF(IFERROR(MATCH(85,ChqRankU,0),0)=0,"",85)</f>
        <v/>
      </c>
      <c r="B101" s="22">
        <f>IF(IFERROR(MATCH(85,ChqRankU,0),0)=0,"",INDEX(ChqNorm,IFERROR(MATCH(85,ChqRankU,0),0)))</f>
        <v/>
      </c>
      <c r="C101" s="22">
        <f>IF(IFERROR(MATCH(85,ChqRankU,0),0)=0,"",INDEX(ChqNo,IFERROR(MATCH(85,ChqRankU,0),0)))</f>
        <v/>
      </c>
      <c r="D101" s="23">
        <f>IF(IFERROR(MATCH(85,ChqRankU,0),0)=0,"",IF(INDEX(ChqAmt,IFERROR(MATCH(85,ChqRankU,0),0))=0,"",INDEX(ChqAmt,IFERROR(MATCH(85,ChqRankU,0),0))))</f>
        <v/>
      </c>
      <c r="E101" s="14">
        <f>IF(IFERROR(MATCH(85,ChqRankU,0),0)=0,"",INDEX(ChqStatus,IFERROR(MATCH(85,ChqRankU,0),0)))</f>
        <v/>
      </c>
      <c r="F101" s="22">
        <f>IF(IFERROR(MATCH(85,ChqRankU,0),0)=0,"",IF(INDEX(ChqStatus,IFERROR(MATCH(85,ChqRankU,0),0))="پاس نشده","—",IF(INDEX(ChqClr,IFERROR(MATCH(85,ChqRankU,0),0))="","—",INDEX(ChqClr,IFERROR(MATCH(85,ChqRankU,0),0)))))</f>
        <v/>
      </c>
      <c r="I101">
        <f>IF(85&gt;NChq,"",INDEX(ChqNorm,85))</f>
        <v/>
      </c>
      <c r="J101">
        <f>IF($I101="","",IF(AND($I101&gt;=$H$3,$I101&lt;=$H$4,INDEX(ChqStatus,85)="پاس نشده"),1,0))</f>
        <v/>
      </c>
      <c r="K101">
        <f>IF($J101=0,"",INDEX(ChqKey,85))</f>
        <v/>
      </c>
      <c r="L101">
        <f>IF($K101="","",COUNTIFS($J$17:$J$516,1,$K$17:$K$516,"&lt;"&amp;$K101)+1)</f>
        <v/>
      </c>
    </row>
    <row r="102">
      <c r="A102" s="16">
        <f>IF(IFERROR(MATCH(86,ChqRankU,0),0)=0,"",86)</f>
        <v/>
      </c>
      <c r="B102" s="24">
        <f>IF(IFERROR(MATCH(86,ChqRankU,0),0)=0,"",INDEX(ChqNorm,IFERROR(MATCH(86,ChqRankU,0),0)))</f>
        <v/>
      </c>
      <c r="C102" s="24">
        <f>IF(IFERROR(MATCH(86,ChqRankU,0),0)=0,"",INDEX(ChqNo,IFERROR(MATCH(86,ChqRankU,0),0)))</f>
        <v/>
      </c>
      <c r="D102" s="25">
        <f>IF(IFERROR(MATCH(86,ChqRankU,0),0)=0,"",IF(INDEX(ChqAmt,IFERROR(MATCH(86,ChqRankU,0),0))=0,"",INDEX(ChqAmt,IFERROR(MATCH(86,ChqRankU,0),0))))</f>
        <v/>
      </c>
      <c r="E102" s="17">
        <f>IF(IFERROR(MATCH(86,ChqRankU,0),0)=0,"",INDEX(ChqStatus,IFERROR(MATCH(86,ChqRankU,0),0)))</f>
        <v/>
      </c>
      <c r="F102" s="24">
        <f>IF(IFERROR(MATCH(86,ChqRankU,0),0)=0,"",IF(INDEX(ChqStatus,IFERROR(MATCH(86,ChqRankU,0),0))="پاس نشده","—",IF(INDEX(ChqClr,IFERROR(MATCH(86,ChqRankU,0),0))="","—",INDEX(ChqClr,IFERROR(MATCH(86,ChqRankU,0),0)))))</f>
        <v/>
      </c>
      <c r="I102">
        <f>IF(86&gt;NChq,"",INDEX(ChqNorm,86))</f>
        <v/>
      </c>
      <c r="J102">
        <f>IF($I102="","",IF(AND($I102&gt;=$H$3,$I102&lt;=$H$4,INDEX(ChqStatus,86)="پاس نشده"),1,0))</f>
        <v/>
      </c>
      <c r="K102">
        <f>IF($J102=0,"",INDEX(ChqKey,86))</f>
        <v/>
      </c>
      <c r="L102">
        <f>IF($K102="","",COUNTIFS($J$17:$J$516,1,$K$17:$K$516,"&lt;"&amp;$K102)+1)</f>
        <v/>
      </c>
    </row>
    <row r="103">
      <c r="A103" s="10">
        <f>IF(IFERROR(MATCH(87,ChqRankU,0),0)=0,"",87)</f>
        <v/>
      </c>
      <c r="B103" s="22">
        <f>IF(IFERROR(MATCH(87,ChqRankU,0),0)=0,"",INDEX(ChqNorm,IFERROR(MATCH(87,ChqRankU,0),0)))</f>
        <v/>
      </c>
      <c r="C103" s="22">
        <f>IF(IFERROR(MATCH(87,ChqRankU,0),0)=0,"",INDEX(ChqNo,IFERROR(MATCH(87,ChqRankU,0),0)))</f>
        <v/>
      </c>
      <c r="D103" s="23">
        <f>IF(IFERROR(MATCH(87,ChqRankU,0),0)=0,"",IF(INDEX(ChqAmt,IFERROR(MATCH(87,ChqRankU,0),0))=0,"",INDEX(ChqAmt,IFERROR(MATCH(87,ChqRankU,0),0))))</f>
        <v/>
      </c>
      <c r="E103" s="14">
        <f>IF(IFERROR(MATCH(87,ChqRankU,0),0)=0,"",INDEX(ChqStatus,IFERROR(MATCH(87,ChqRankU,0),0)))</f>
        <v/>
      </c>
      <c r="F103" s="22">
        <f>IF(IFERROR(MATCH(87,ChqRankU,0),0)=0,"",IF(INDEX(ChqStatus,IFERROR(MATCH(87,ChqRankU,0),0))="پاس نشده","—",IF(INDEX(ChqClr,IFERROR(MATCH(87,ChqRankU,0),0))="","—",INDEX(ChqClr,IFERROR(MATCH(87,ChqRankU,0),0)))))</f>
        <v/>
      </c>
      <c r="I103">
        <f>IF(87&gt;NChq,"",INDEX(ChqNorm,87))</f>
        <v/>
      </c>
      <c r="J103">
        <f>IF($I103="","",IF(AND($I103&gt;=$H$3,$I103&lt;=$H$4,INDEX(ChqStatus,87)="پاس نشده"),1,0))</f>
        <v/>
      </c>
      <c r="K103">
        <f>IF($J103=0,"",INDEX(ChqKey,87))</f>
        <v/>
      </c>
      <c r="L103">
        <f>IF($K103="","",COUNTIFS($J$17:$J$516,1,$K$17:$K$516,"&lt;"&amp;$K103)+1)</f>
        <v/>
      </c>
    </row>
    <row r="104">
      <c r="A104" s="16">
        <f>IF(IFERROR(MATCH(88,ChqRankU,0),0)=0,"",88)</f>
        <v/>
      </c>
      <c r="B104" s="24">
        <f>IF(IFERROR(MATCH(88,ChqRankU,0),0)=0,"",INDEX(ChqNorm,IFERROR(MATCH(88,ChqRankU,0),0)))</f>
        <v/>
      </c>
      <c r="C104" s="24">
        <f>IF(IFERROR(MATCH(88,ChqRankU,0),0)=0,"",INDEX(ChqNo,IFERROR(MATCH(88,ChqRankU,0),0)))</f>
        <v/>
      </c>
      <c r="D104" s="25">
        <f>IF(IFERROR(MATCH(88,ChqRankU,0),0)=0,"",IF(INDEX(ChqAmt,IFERROR(MATCH(88,ChqRankU,0),0))=0,"",INDEX(ChqAmt,IFERROR(MATCH(88,ChqRankU,0),0))))</f>
        <v/>
      </c>
      <c r="E104" s="17">
        <f>IF(IFERROR(MATCH(88,ChqRankU,0),0)=0,"",INDEX(ChqStatus,IFERROR(MATCH(88,ChqRankU,0),0)))</f>
        <v/>
      </c>
      <c r="F104" s="24">
        <f>IF(IFERROR(MATCH(88,ChqRankU,0),0)=0,"",IF(INDEX(ChqStatus,IFERROR(MATCH(88,ChqRankU,0),0))="پاس نشده","—",IF(INDEX(ChqClr,IFERROR(MATCH(88,ChqRankU,0),0))="","—",INDEX(ChqClr,IFERROR(MATCH(88,ChqRankU,0),0)))))</f>
        <v/>
      </c>
      <c r="I104">
        <f>IF(88&gt;NChq,"",INDEX(ChqNorm,88))</f>
        <v/>
      </c>
      <c r="J104">
        <f>IF($I104="","",IF(AND($I104&gt;=$H$3,$I104&lt;=$H$4,INDEX(ChqStatus,88)="پاس نشده"),1,0))</f>
        <v/>
      </c>
      <c r="K104">
        <f>IF($J104=0,"",INDEX(ChqKey,88))</f>
        <v/>
      </c>
      <c r="L104">
        <f>IF($K104="","",COUNTIFS($J$17:$J$516,1,$K$17:$K$516,"&lt;"&amp;$K104)+1)</f>
        <v/>
      </c>
    </row>
    <row r="105">
      <c r="A105" s="10">
        <f>IF(IFERROR(MATCH(89,ChqRankU,0),0)=0,"",89)</f>
        <v/>
      </c>
      <c r="B105" s="22">
        <f>IF(IFERROR(MATCH(89,ChqRankU,0),0)=0,"",INDEX(ChqNorm,IFERROR(MATCH(89,ChqRankU,0),0)))</f>
        <v/>
      </c>
      <c r="C105" s="22">
        <f>IF(IFERROR(MATCH(89,ChqRankU,0),0)=0,"",INDEX(ChqNo,IFERROR(MATCH(89,ChqRankU,0),0)))</f>
        <v/>
      </c>
      <c r="D105" s="23">
        <f>IF(IFERROR(MATCH(89,ChqRankU,0),0)=0,"",IF(INDEX(ChqAmt,IFERROR(MATCH(89,ChqRankU,0),0))=0,"",INDEX(ChqAmt,IFERROR(MATCH(89,ChqRankU,0),0))))</f>
        <v/>
      </c>
      <c r="E105" s="14">
        <f>IF(IFERROR(MATCH(89,ChqRankU,0),0)=0,"",INDEX(ChqStatus,IFERROR(MATCH(89,ChqRankU,0),0)))</f>
        <v/>
      </c>
      <c r="F105" s="22">
        <f>IF(IFERROR(MATCH(89,ChqRankU,0),0)=0,"",IF(INDEX(ChqStatus,IFERROR(MATCH(89,ChqRankU,0),0))="پاس نشده","—",IF(INDEX(ChqClr,IFERROR(MATCH(89,ChqRankU,0),0))="","—",INDEX(ChqClr,IFERROR(MATCH(89,ChqRankU,0),0)))))</f>
        <v/>
      </c>
      <c r="I105">
        <f>IF(89&gt;NChq,"",INDEX(ChqNorm,89))</f>
        <v/>
      </c>
      <c r="J105">
        <f>IF($I105="","",IF(AND($I105&gt;=$H$3,$I105&lt;=$H$4,INDEX(ChqStatus,89)="پاس نشده"),1,0))</f>
        <v/>
      </c>
      <c r="K105">
        <f>IF($J105=0,"",INDEX(ChqKey,89))</f>
        <v/>
      </c>
      <c r="L105">
        <f>IF($K105="","",COUNTIFS($J$17:$J$516,1,$K$17:$K$516,"&lt;"&amp;$K105)+1)</f>
        <v/>
      </c>
    </row>
    <row r="106">
      <c r="A106" s="16">
        <f>IF(IFERROR(MATCH(90,ChqRankU,0),0)=0,"",90)</f>
        <v/>
      </c>
      <c r="B106" s="24">
        <f>IF(IFERROR(MATCH(90,ChqRankU,0),0)=0,"",INDEX(ChqNorm,IFERROR(MATCH(90,ChqRankU,0),0)))</f>
        <v/>
      </c>
      <c r="C106" s="24">
        <f>IF(IFERROR(MATCH(90,ChqRankU,0),0)=0,"",INDEX(ChqNo,IFERROR(MATCH(90,ChqRankU,0),0)))</f>
        <v/>
      </c>
      <c r="D106" s="25">
        <f>IF(IFERROR(MATCH(90,ChqRankU,0),0)=0,"",IF(INDEX(ChqAmt,IFERROR(MATCH(90,ChqRankU,0),0))=0,"",INDEX(ChqAmt,IFERROR(MATCH(90,ChqRankU,0),0))))</f>
        <v/>
      </c>
      <c r="E106" s="17">
        <f>IF(IFERROR(MATCH(90,ChqRankU,0),0)=0,"",INDEX(ChqStatus,IFERROR(MATCH(90,ChqRankU,0),0)))</f>
        <v/>
      </c>
      <c r="F106" s="24">
        <f>IF(IFERROR(MATCH(90,ChqRankU,0),0)=0,"",IF(INDEX(ChqStatus,IFERROR(MATCH(90,ChqRankU,0),0))="پاس نشده","—",IF(INDEX(ChqClr,IFERROR(MATCH(90,ChqRankU,0),0))="","—",INDEX(ChqClr,IFERROR(MATCH(90,ChqRankU,0),0)))))</f>
        <v/>
      </c>
      <c r="I106">
        <f>IF(90&gt;NChq,"",INDEX(ChqNorm,90))</f>
        <v/>
      </c>
      <c r="J106">
        <f>IF($I106="","",IF(AND($I106&gt;=$H$3,$I106&lt;=$H$4,INDEX(ChqStatus,90)="پاس نشده"),1,0))</f>
        <v/>
      </c>
      <c r="K106">
        <f>IF($J106=0,"",INDEX(ChqKey,90))</f>
        <v/>
      </c>
      <c r="L106">
        <f>IF($K106="","",COUNTIFS($J$17:$J$516,1,$K$17:$K$516,"&lt;"&amp;$K106)+1)</f>
        <v/>
      </c>
    </row>
    <row r="107">
      <c r="A107" s="10">
        <f>IF(IFERROR(MATCH(91,ChqRankU,0),0)=0,"",91)</f>
        <v/>
      </c>
      <c r="B107" s="22">
        <f>IF(IFERROR(MATCH(91,ChqRankU,0),0)=0,"",INDEX(ChqNorm,IFERROR(MATCH(91,ChqRankU,0),0)))</f>
        <v/>
      </c>
      <c r="C107" s="22">
        <f>IF(IFERROR(MATCH(91,ChqRankU,0),0)=0,"",INDEX(ChqNo,IFERROR(MATCH(91,ChqRankU,0),0)))</f>
        <v/>
      </c>
      <c r="D107" s="23">
        <f>IF(IFERROR(MATCH(91,ChqRankU,0),0)=0,"",IF(INDEX(ChqAmt,IFERROR(MATCH(91,ChqRankU,0),0))=0,"",INDEX(ChqAmt,IFERROR(MATCH(91,ChqRankU,0),0))))</f>
        <v/>
      </c>
      <c r="E107" s="14">
        <f>IF(IFERROR(MATCH(91,ChqRankU,0),0)=0,"",INDEX(ChqStatus,IFERROR(MATCH(91,ChqRankU,0),0)))</f>
        <v/>
      </c>
      <c r="F107" s="22">
        <f>IF(IFERROR(MATCH(91,ChqRankU,0),0)=0,"",IF(INDEX(ChqStatus,IFERROR(MATCH(91,ChqRankU,0),0))="پاس نشده","—",IF(INDEX(ChqClr,IFERROR(MATCH(91,ChqRankU,0),0))="","—",INDEX(ChqClr,IFERROR(MATCH(91,ChqRankU,0),0)))))</f>
        <v/>
      </c>
      <c r="I107">
        <f>IF(91&gt;NChq,"",INDEX(ChqNorm,91))</f>
        <v/>
      </c>
      <c r="J107">
        <f>IF($I107="","",IF(AND($I107&gt;=$H$3,$I107&lt;=$H$4,INDEX(ChqStatus,91)="پاس نشده"),1,0))</f>
        <v/>
      </c>
      <c r="K107">
        <f>IF($J107=0,"",INDEX(ChqKey,91))</f>
        <v/>
      </c>
      <c r="L107">
        <f>IF($K107="","",COUNTIFS($J$17:$J$516,1,$K$17:$K$516,"&lt;"&amp;$K107)+1)</f>
        <v/>
      </c>
    </row>
    <row r="108">
      <c r="A108" s="16">
        <f>IF(IFERROR(MATCH(92,ChqRankU,0),0)=0,"",92)</f>
        <v/>
      </c>
      <c r="B108" s="24">
        <f>IF(IFERROR(MATCH(92,ChqRankU,0),0)=0,"",INDEX(ChqNorm,IFERROR(MATCH(92,ChqRankU,0),0)))</f>
        <v/>
      </c>
      <c r="C108" s="24">
        <f>IF(IFERROR(MATCH(92,ChqRankU,0),0)=0,"",INDEX(ChqNo,IFERROR(MATCH(92,ChqRankU,0),0)))</f>
        <v/>
      </c>
      <c r="D108" s="25">
        <f>IF(IFERROR(MATCH(92,ChqRankU,0),0)=0,"",IF(INDEX(ChqAmt,IFERROR(MATCH(92,ChqRankU,0),0))=0,"",INDEX(ChqAmt,IFERROR(MATCH(92,ChqRankU,0),0))))</f>
        <v/>
      </c>
      <c r="E108" s="17">
        <f>IF(IFERROR(MATCH(92,ChqRankU,0),0)=0,"",INDEX(ChqStatus,IFERROR(MATCH(92,ChqRankU,0),0)))</f>
        <v/>
      </c>
      <c r="F108" s="24">
        <f>IF(IFERROR(MATCH(92,ChqRankU,0),0)=0,"",IF(INDEX(ChqStatus,IFERROR(MATCH(92,ChqRankU,0),0))="پاس نشده","—",IF(INDEX(ChqClr,IFERROR(MATCH(92,ChqRankU,0),0))="","—",INDEX(ChqClr,IFERROR(MATCH(92,ChqRankU,0),0)))))</f>
        <v/>
      </c>
      <c r="I108">
        <f>IF(92&gt;NChq,"",INDEX(ChqNorm,92))</f>
        <v/>
      </c>
      <c r="J108">
        <f>IF($I108="","",IF(AND($I108&gt;=$H$3,$I108&lt;=$H$4,INDEX(ChqStatus,92)="پاس نشده"),1,0))</f>
        <v/>
      </c>
      <c r="K108">
        <f>IF($J108=0,"",INDEX(ChqKey,92))</f>
        <v/>
      </c>
      <c r="L108">
        <f>IF($K108="","",COUNTIFS($J$17:$J$516,1,$K$17:$K$516,"&lt;"&amp;$K108)+1)</f>
        <v/>
      </c>
    </row>
    <row r="109">
      <c r="A109" s="10">
        <f>IF(IFERROR(MATCH(93,ChqRankU,0),0)=0,"",93)</f>
        <v/>
      </c>
      <c r="B109" s="22">
        <f>IF(IFERROR(MATCH(93,ChqRankU,0),0)=0,"",INDEX(ChqNorm,IFERROR(MATCH(93,ChqRankU,0),0)))</f>
        <v/>
      </c>
      <c r="C109" s="22">
        <f>IF(IFERROR(MATCH(93,ChqRankU,0),0)=0,"",INDEX(ChqNo,IFERROR(MATCH(93,ChqRankU,0),0)))</f>
        <v/>
      </c>
      <c r="D109" s="23">
        <f>IF(IFERROR(MATCH(93,ChqRankU,0),0)=0,"",IF(INDEX(ChqAmt,IFERROR(MATCH(93,ChqRankU,0),0))=0,"",INDEX(ChqAmt,IFERROR(MATCH(93,ChqRankU,0),0))))</f>
        <v/>
      </c>
      <c r="E109" s="14">
        <f>IF(IFERROR(MATCH(93,ChqRankU,0),0)=0,"",INDEX(ChqStatus,IFERROR(MATCH(93,ChqRankU,0),0)))</f>
        <v/>
      </c>
      <c r="F109" s="22">
        <f>IF(IFERROR(MATCH(93,ChqRankU,0),0)=0,"",IF(INDEX(ChqStatus,IFERROR(MATCH(93,ChqRankU,0),0))="پاس نشده","—",IF(INDEX(ChqClr,IFERROR(MATCH(93,ChqRankU,0),0))="","—",INDEX(ChqClr,IFERROR(MATCH(93,ChqRankU,0),0)))))</f>
        <v/>
      </c>
      <c r="I109">
        <f>IF(93&gt;NChq,"",INDEX(ChqNorm,93))</f>
        <v/>
      </c>
      <c r="J109">
        <f>IF($I109="","",IF(AND($I109&gt;=$H$3,$I109&lt;=$H$4,INDEX(ChqStatus,93)="پاس نشده"),1,0))</f>
        <v/>
      </c>
      <c r="K109">
        <f>IF($J109=0,"",INDEX(ChqKey,93))</f>
        <v/>
      </c>
      <c r="L109">
        <f>IF($K109="","",COUNTIFS($J$17:$J$516,1,$K$17:$K$516,"&lt;"&amp;$K109)+1)</f>
        <v/>
      </c>
    </row>
    <row r="110">
      <c r="A110" s="16">
        <f>IF(IFERROR(MATCH(94,ChqRankU,0),0)=0,"",94)</f>
        <v/>
      </c>
      <c r="B110" s="24">
        <f>IF(IFERROR(MATCH(94,ChqRankU,0),0)=0,"",INDEX(ChqNorm,IFERROR(MATCH(94,ChqRankU,0),0)))</f>
        <v/>
      </c>
      <c r="C110" s="24">
        <f>IF(IFERROR(MATCH(94,ChqRankU,0),0)=0,"",INDEX(ChqNo,IFERROR(MATCH(94,ChqRankU,0),0)))</f>
        <v/>
      </c>
      <c r="D110" s="25">
        <f>IF(IFERROR(MATCH(94,ChqRankU,0),0)=0,"",IF(INDEX(ChqAmt,IFERROR(MATCH(94,ChqRankU,0),0))=0,"",INDEX(ChqAmt,IFERROR(MATCH(94,ChqRankU,0),0))))</f>
        <v/>
      </c>
      <c r="E110" s="17">
        <f>IF(IFERROR(MATCH(94,ChqRankU,0),0)=0,"",INDEX(ChqStatus,IFERROR(MATCH(94,ChqRankU,0),0)))</f>
        <v/>
      </c>
      <c r="F110" s="24">
        <f>IF(IFERROR(MATCH(94,ChqRankU,0),0)=0,"",IF(INDEX(ChqStatus,IFERROR(MATCH(94,ChqRankU,0),0))="پاس نشده","—",IF(INDEX(ChqClr,IFERROR(MATCH(94,ChqRankU,0),0))="","—",INDEX(ChqClr,IFERROR(MATCH(94,ChqRankU,0),0)))))</f>
        <v/>
      </c>
      <c r="I110">
        <f>IF(94&gt;NChq,"",INDEX(ChqNorm,94))</f>
        <v/>
      </c>
      <c r="J110">
        <f>IF($I110="","",IF(AND($I110&gt;=$H$3,$I110&lt;=$H$4,INDEX(ChqStatus,94)="پاس نشده"),1,0))</f>
        <v/>
      </c>
      <c r="K110">
        <f>IF($J110=0,"",INDEX(ChqKey,94))</f>
        <v/>
      </c>
      <c r="L110">
        <f>IF($K110="","",COUNTIFS($J$17:$J$516,1,$K$17:$K$516,"&lt;"&amp;$K110)+1)</f>
        <v/>
      </c>
    </row>
    <row r="111">
      <c r="A111" s="10">
        <f>IF(IFERROR(MATCH(95,ChqRankU,0),0)=0,"",95)</f>
        <v/>
      </c>
      <c r="B111" s="22">
        <f>IF(IFERROR(MATCH(95,ChqRankU,0),0)=0,"",INDEX(ChqNorm,IFERROR(MATCH(95,ChqRankU,0),0)))</f>
        <v/>
      </c>
      <c r="C111" s="22">
        <f>IF(IFERROR(MATCH(95,ChqRankU,0),0)=0,"",INDEX(ChqNo,IFERROR(MATCH(95,ChqRankU,0),0)))</f>
        <v/>
      </c>
      <c r="D111" s="23">
        <f>IF(IFERROR(MATCH(95,ChqRankU,0),0)=0,"",IF(INDEX(ChqAmt,IFERROR(MATCH(95,ChqRankU,0),0))=0,"",INDEX(ChqAmt,IFERROR(MATCH(95,ChqRankU,0),0))))</f>
        <v/>
      </c>
      <c r="E111" s="14">
        <f>IF(IFERROR(MATCH(95,ChqRankU,0),0)=0,"",INDEX(ChqStatus,IFERROR(MATCH(95,ChqRankU,0),0)))</f>
        <v/>
      </c>
      <c r="F111" s="22">
        <f>IF(IFERROR(MATCH(95,ChqRankU,0),0)=0,"",IF(INDEX(ChqStatus,IFERROR(MATCH(95,ChqRankU,0),0))="پاس نشده","—",IF(INDEX(ChqClr,IFERROR(MATCH(95,ChqRankU,0),0))="","—",INDEX(ChqClr,IFERROR(MATCH(95,ChqRankU,0),0)))))</f>
        <v/>
      </c>
      <c r="I111">
        <f>IF(95&gt;NChq,"",INDEX(ChqNorm,95))</f>
        <v/>
      </c>
      <c r="J111">
        <f>IF($I111="","",IF(AND($I111&gt;=$H$3,$I111&lt;=$H$4,INDEX(ChqStatus,95)="پاس نشده"),1,0))</f>
        <v/>
      </c>
      <c r="K111">
        <f>IF($J111=0,"",INDEX(ChqKey,95))</f>
        <v/>
      </c>
      <c r="L111">
        <f>IF($K111="","",COUNTIFS($J$17:$J$516,1,$K$17:$K$516,"&lt;"&amp;$K111)+1)</f>
        <v/>
      </c>
    </row>
    <row r="112">
      <c r="A112" s="16">
        <f>IF(IFERROR(MATCH(96,ChqRankU,0),0)=0,"",96)</f>
        <v/>
      </c>
      <c r="B112" s="24">
        <f>IF(IFERROR(MATCH(96,ChqRankU,0),0)=0,"",INDEX(ChqNorm,IFERROR(MATCH(96,ChqRankU,0),0)))</f>
        <v/>
      </c>
      <c r="C112" s="24">
        <f>IF(IFERROR(MATCH(96,ChqRankU,0),0)=0,"",INDEX(ChqNo,IFERROR(MATCH(96,ChqRankU,0),0)))</f>
        <v/>
      </c>
      <c r="D112" s="25">
        <f>IF(IFERROR(MATCH(96,ChqRankU,0),0)=0,"",IF(INDEX(ChqAmt,IFERROR(MATCH(96,ChqRankU,0),0))=0,"",INDEX(ChqAmt,IFERROR(MATCH(96,ChqRankU,0),0))))</f>
        <v/>
      </c>
      <c r="E112" s="17">
        <f>IF(IFERROR(MATCH(96,ChqRankU,0),0)=0,"",INDEX(ChqStatus,IFERROR(MATCH(96,ChqRankU,0),0)))</f>
        <v/>
      </c>
      <c r="F112" s="24">
        <f>IF(IFERROR(MATCH(96,ChqRankU,0),0)=0,"",IF(INDEX(ChqStatus,IFERROR(MATCH(96,ChqRankU,0),0))="پاس نشده","—",IF(INDEX(ChqClr,IFERROR(MATCH(96,ChqRankU,0),0))="","—",INDEX(ChqClr,IFERROR(MATCH(96,ChqRankU,0),0)))))</f>
        <v/>
      </c>
      <c r="I112">
        <f>IF(96&gt;NChq,"",INDEX(ChqNorm,96))</f>
        <v/>
      </c>
      <c r="J112">
        <f>IF($I112="","",IF(AND($I112&gt;=$H$3,$I112&lt;=$H$4,INDEX(ChqStatus,96)="پاس نشده"),1,0))</f>
        <v/>
      </c>
      <c r="K112">
        <f>IF($J112=0,"",INDEX(ChqKey,96))</f>
        <v/>
      </c>
      <c r="L112">
        <f>IF($K112="","",COUNTIFS($J$17:$J$516,1,$K$17:$K$516,"&lt;"&amp;$K112)+1)</f>
        <v/>
      </c>
    </row>
    <row r="113">
      <c r="A113" s="10">
        <f>IF(IFERROR(MATCH(97,ChqRankU,0),0)=0,"",97)</f>
        <v/>
      </c>
      <c r="B113" s="22">
        <f>IF(IFERROR(MATCH(97,ChqRankU,0),0)=0,"",INDEX(ChqNorm,IFERROR(MATCH(97,ChqRankU,0),0)))</f>
        <v/>
      </c>
      <c r="C113" s="22">
        <f>IF(IFERROR(MATCH(97,ChqRankU,0),0)=0,"",INDEX(ChqNo,IFERROR(MATCH(97,ChqRankU,0),0)))</f>
        <v/>
      </c>
      <c r="D113" s="23">
        <f>IF(IFERROR(MATCH(97,ChqRankU,0),0)=0,"",IF(INDEX(ChqAmt,IFERROR(MATCH(97,ChqRankU,0),0))=0,"",INDEX(ChqAmt,IFERROR(MATCH(97,ChqRankU,0),0))))</f>
        <v/>
      </c>
      <c r="E113" s="14">
        <f>IF(IFERROR(MATCH(97,ChqRankU,0),0)=0,"",INDEX(ChqStatus,IFERROR(MATCH(97,ChqRankU,0),0)))</f>
        <v/>
      </c>
      <c r="F113" s="22">
        <f>IF(IFERROR(MATCH(97,ChqRankU,0),0)=0,"",IF(INDEX(ChqStatus,IFERROR(MATCH(97,ChqRankU,0),0))="پاس نشده","—",IF(INDEX(ChqClr,IFERROR(MATCH(97,ChqRankU,0),0))="","—",INDEX(ChqClr,IFERROR(MATCH(97,ChqRankU,0),0)))))</f>
        <v/>
      </c>
      <c r="I113">
        <f>IF(97&gt;NChq,"",INDEX(ChqNorm,97))</f>
        <v/>
      </c>
      <c r="J113">
        <f>IF($I113="","",IF(AND($I113&gt;=$H$3,$I113&lt;=$H$4,INDEX(ChqStatus,97)="پاس نشده"),1,0))</f>
        <v/>
      </c>
      <c r="K113">
        <f>IF($J113=0,"",INDEX(ChqKey,97))</f>
        <v/>
      </c>
      <c r="L113">
        <f>IF($K113="","",COUNTIFS($J$17:$J$516,1,$K$17:$K$516,"&lt;"&amp;$K113)+1)</f>
        <v/>
      </c>
    </row>
    <row r="114">
      <c r="A114" s="16">
        <f>IF(IFERROR(MATCH(98,ChqRankU,0),0)=0,"",98)</f>
        <v/>
      </c>
      <c r="B114" s="24">
        <f>IF(IFERROR(MATCH(98,ChqRankU,0),0)=0,"",INDEX(ChqNorm,IFERROR(MATCH(98,ChqRankU,0),0)))</f>
        <v/>
      </c>
      <c r="C114" s="24">
        <f>IF(IFERROR(MATCH(98,ChqRankU,0),0)=0,"",INDEX(ChqNo,IFERROR(MATCH(98,ChqRankU,0),0)))</f>
        <v/>
      </c>
      <c r="D114" s="25">
        <f>IF(IFERROR(MATCH(98,ChqRankU,0),0)=0,"",IF(INDEX(ChqAmt,IFERROR(MATCH(98,ChqRankU,0),0))=0,"",INDEX(ChqAmt,IFERROR(MATCH(98,ChqRankU,0),0))))</f>
        <v/>
      </c>
      <c r="E114" s="17">
        <f>IF(IFERROR(MATCH(98,ChqRankU,0),0)=0,"",INDEX(ChqStatus,IFERROR(MATCH(98,ChqRankU,0),0)))</f>
        <v/>
      </c>
      <c r="F114" s="24">
        <f>IF(IFERROR(MATCH(98,ChqRankU,0),0)=0,"",IF(INDEX(ChqStatus,IFERROR(MATCH(98,ChqRankU,0),0))="پاس نشده","—",IF(INDEX(ChqClr,IFERROR(MATCH(98,ChqRankU,0),0))="","—",INDEX(ChqClr,IFERROR(MATCH(98,ChqRankU,0),0)))))</f>
        <v/>
      </c>
      <c r="I114">
        <f>IF(98&gt;NChq,"",INDEX(ChqNorm,98))</f>
        <v/>
      </c>
      <c r="J114">
        <f>IF($I114="","",IF(AND($I114&gt;=$H$3,$I114&lt;=$H$4,INDEX(ChqStatus,98)="پاس نشده"),1,0))</f>
        <v/>
      </c>
      <c r="K114">
        <f>IF($J114=0,"",INDEX(ChqKey,98))</f>
        <v/>
      </c>
      <c r="L114">
        <f>IF($K114="","",COUNTIFS($J$17:$J$516,1,$K$17:$K$516,"&lt;"&amp;$K114)+1)</f>
        <v/>
      </c>
    </row>
    <row r="115">
      <c r="A115" s="10">
        <f>IF(IFERROR(MATCH(99,ChqRankU,0),0)=0,"",99)</f>
        <v/>
      </c>
      <c r="B115" s="22">
        <f>IF(IFERROR(MATCH(99,ChqRankU,0),0)=0,"",INDEX(ChqNorm,IFERROR(MATCH(99,ChqRankU,0),0)))</f>
        <v/>
      </c>
      <c r="C115" s="22">
        <f>IF(IFERROR(MATCH(99,ChqRankU,0),0)=0,"",INDEX(ChqNo,IFERROR(MATCH(99,ChqRankU,0),0)))</f>
        <v/>
      </c>
      <c r="D115" s="23">
        <f>IF(IFERROR(MATCH(99,ChqRankU,0),0)=0,"",IF(INDEX(ChqAmt,IFERROR(MATCH(99,ChqRankU,0),0))=0,"",INDEX(ChqAmt,IFERROR(MATCH(99,ChqRankU,0),0))))</f>
        <v/>
      </c>
      <c r="E115" s="14">
        <f>IF(IFERROR(MATCH(99,ChqRankU,0),0)=0,"",INDEX(ChqStatus,IFERROR(MATCH(99,ChqRankU,0),0)))</f>
        <v/>
      </c>
      <c r="F115" s="22">
        <f>IF(IFERROR(MATCH(99,ChqRankU,0),0)=0,"",IF(INDEX(ChqStatus,IFERROR(MATCH(99,ChqRankU,0),0))="پاس نشده","—",IF(INDEX(ChqClr,IFERROR(MATCH(99,ChqRankU,0),0))="","—",INDEX(ChqClr,IFERROR(MATCH(99,ChqRankU,0),0)))))</f>
        <v/>
      </c>
      <c r="I115">
        <f>IF(99&gt;NChq,"",INDEX(ChqNorm,99))</f>
        <v/>
      </c>
      <c r="J115">
        <f>IF($I115="","",IF(AND($I115&gt;=$H$3,$I115&lt;=$H$4,INDEX(ChqStatus,99)="پاس نشده"),1,0))</f>
        <v/>
      </c>
      <c r="K115">
        <f>IF($J115=0,"",INDEX(ChqKey,99))</f>
        <v/>
      </c>
      <c r="L115">
        <f>IF($K115="","",COUNTIFS($J$17:$J$516,1,$K$17:$K$516,"&lt;"&amp;$K115)+1)</f>
        <v/>
      </c>
    </row>
    <row r="116">
      <c r="A116" s="16">
        <f>IF(IFERROR(MATCH(100,ChqRankU,0),0)=0,"",100)</f>
        <v/>
      </c>
      <c r="B116" s="24">
        <f>IF(IFERROR(MATCH(100,ChqRankU,0),0)=0,"",INDEX(ChqNorm,IFERROR(MATCH(100,ChqRankU,0),0)))</f>
        <v/>
      </c>
      <c r="C116" s="24">
        <f>IF(IFERROR(MATCH(100,ChqRankU,0),0)=0,"",INDEX(ChqNo,IFERROR(MATCH(100,ChqRankU,0),0)))</f>
        <v/>
      </c>
      <c r="D116" s="25">
        <f>IF(IFERROR(MATCH(100,ChqRankU,0),0)=0,"",IF(INDEX(ChqAmt,IFERROR(MATCH(100,ChqRankU,0),0))=0,"",INDEX(ChqAmt,IFERROR(MATCH(100,ChqRankU,0),0))))</f>
        <v/>
      </c>
      <c r="E116" s="17">
        <f>IF(IFERROR(MATCH(100,ChqRankU,0),0)=0,"",INDEX(ChqStatus,IFERROR(MATCH(100,ChqRankU,0),0)))</f>
        <v/>
      </c>
      <c r="F116" s="24">
        <f>IF(IFERROR(MATCH(100,ChqRankU,0),0)=0,"",IF(INDEX(ChqStatus,IFERROR(MATCH(100,ChqRankU,0),0))="پاس نشده","—",IF(INDEX(ChqClr,IFERROR(MATCH(100,ChqRankU,0),0))="","—",INDEX(ChqClr,IFERROR(MATCH(100,ChqRankU,0),0)))))</f>
        <v/>
      </c>
      <c r="I116">
        <f>IF(100&gt;NChq,"",INDEX(ChqNorm,100))</f>
        <v/>
      </c>
      <c r="J116">
        <f>IF($I116="","",IF(AND($I116&gt;=$H$3,$I116&lt;=$H$4,INDEX(ChqStatus,100)="پاس نشده"),1,0))</f>
        <v/>
      </c>
      <c r="K116">
        <f>IF($J116=0,"",INDEX(ChqKey,100))</f>
        <v/>
      </c>
      <c r="L116">
        <f>IF($K116="","",COUNTIFS($J$17:$J$516,1,$K$17:$K$516,"&lt;"&amp;$K116)+1)</f>
        <v/>
      </c>
    </row>
    <row r="117">
      <c r="A117" s="10">
        <f>IF(IFERROR(MATCH(101,ChqRankU,0),0)=0,"",101)</f>
        <v/>
      </c>
      <c r="B117" s="22">
        <f>IF(IFERROR(MATCH(101,ChqRankU,0),0)=0,"",INDEX(ChqNorm,IFERROR(MATCH(101,ChqRankU,0),0)))</f>
        <v/>
      </c>
      <c r="C117" s="22">
        <f>IF(IFERROR(MATCH(101,ChqRankU,0),0)=0,"",INDEX(ChqNo,IFERROR(MATCH(101,ChqRankU,0),0)))</f>
        <v/>
      </c>
      <c r="D117" s="23">
        <f>IF(IFERROR(MATCH(101,ChqRankU,0),0)=0,"",IF(INDEX(ChqAmt,IFERROR(MATCH(101,ChqRankU,0),0))=0,"",INDEX(ChqAmt,IFERROR(MATCH(101,ChqRankU,0),0))))</f>
        <v/>
      </c>
      <c r="E117" s="14">
        <f>IF(IFERROR(MATCH(101,ChqRankU,0),0)=0,"",INDEX(ChqStatus,IFERROR(MATCH(101,ChqRankU,0),0)))</f>
        <v/>
      </c>
      <c r="F117" s="22">
        <f>IF(IFERROR(MATCH(101,ChqRankU,0),0)=0,"",IF(INDEX(ChqStatus,IFERROR(MATCH(101,ChqRankU,0),0))="پاس نشده","—",IF(INDEX(ChqClr,IFERROR(MATCH(101,ChqRankU,0),0))="","—",INDEX(ChqClr,IFERROR(MATCH(101,ChqRankU,0),0)))))</f>
        <v/>
      </c>
      <c r="I117">
        <f>IF(101&gt;NChq,"",INDEX(ChqNorm,101))</f>
        <v/>
      </c>
      <c r="J117">
        <f>IF($I117="","",IF(AND($I117&gt;=$H$3,$I117&lt;=$H$4,INDEX(ChqStatus,101)="پاس نشده"),1,0))</f>
        <v/>
      </c>
      <c r="K117">
        <f>IF($J117=0,"",INDEX(ChqKey,101))</f>
        <v/>
      </c>
      <c r="L117">
        <f>IF($K117="","",COUNTIFS($J$17:$J$516,1,$K$17:$K$516,"&lt;"&amp;$K117)+1)</f>
        <v/>
      </c>
    </row>
    <row r="118">
      <c r="A118" s="16">
        <f>IF(IFERROR(MATCH(102,ChqRankU,0),0)=0,"",102)</f>
        <v/>
      </c>
      <c r="B118" s="24">
        <f>IF(IFERROR(MATCH(102,ChqRankU,0),0)=0,"",INDEX(ChqNorm,IFERROR(MATCH(102,ChqRankU,0),0)))</f>
        <v/>
      </c>
      <c r="C118" s="24">
        <f>IF(IFERROR(MATCH(102,ChqRankU,0),0)=0,"",INDEX(ChqNo,IFERROR(MATCH(102,ChqRankU,0),0)))</f>
        <v/>
      </c>
      <c r="D118" s="25">
        <f>IF(IFERROR(MATCH(102,ChqRankU,0),0)=0,"",IF(INDEX(ChqAmt,IFERROR(MATCH(102,ChqRankU,0),0))=0,"",INDEX(ChqAmt,IFERROR(MATCH(102,ChqRankU,0),0))))</f>
        <v/>
      </c>
      <c r="E118" s="17">
        <f>IF(IFERROR(MATCH(102,ChqRankU,0),0)=0,"",INDEX(ChqStatus,IFERROR(MATCH(102,ChqRankU,0),0)))</f>
        <v/>
      </c>
      <c r="F118" s="24">
        <f>IF(IFERROR(MATCH(102,ChqRankU,0),0)=0,"",IF(INDEX(ChqStatus,IFERROR(MATCH(102,ChqRankU,0),0))="پاس نشده","—",IF(INDEX(ChqClr,IFERROR(MATCH(102,ChqRankU,0),0))="","—",INDEX(ChqClr,IFERROR(MATCH(102,ChqRankU,0),0)))))</f>
        <v/>
      </c>
      <c r="I118">
        <f>IF(102&gt;NChq,"",INDEX(ChqNorm,102))</f>
        <v/>
      </c>
      <c r="J118">
        <f>IF($I118="","",IF(AND($I118&gt;=$H$3,$I118&lt;=$H$4,INDEX(ChqStatus,102)="پاس نشده"),1,0))</f>
        <v/>
      </c>
      <c r="K118">
        <f>IF($J118=0,"",INDEX(ChqKey,102))</f>
        <v/>
      </c>
      <c r="L118">
        <f>IF($K118="","",COUNTIFS($J$17:$J$516,1,$K$17:$K$516,"&lt;"&amp;$K118)+1)</f>
        <v/>
      </c>
    </row>
    <row r="119">
      <c r="A119" s="10">
        <f>IF(IFERROR(MATCH(103,ChqRankU,0),0)=0,"",103)</f>
        <v/>
      </c>
      <c r="B119" s="22">
        <f>IF(IFERROR(MATCH(103,ChqRankU,0),0)=0,"",INDEX(ChqNorm,IFERROR(MATCH(103,ChqRankU,0),0)))</f>
        <v/>
      </c>
      <c r="C119" s="22">
        <f>IF(IFERROR(MATCH(103,ChqRankU,0),0)=0,"",INDEX(ChqNo,IFERROR(MATCH(103,ChqRankU,0),0)))</f>
        <v/>
      </c>
      <c r="D119" s="23">
        <f>IF(IFERROR(MATCH(103,ChqRankU,0),0)=0,"",IF(INDEX(ChqAmt,IFERROR(MATCH(103,ChqRankU,0),0))=0,"",INDEX(ChqAmt,IFERROR(MATCH(103,ChqRankU,0),0))))</f>
        <v/>
      </c>
      <c r="E119" s="14">
        <f>IF(IFERROR(MATCH(103,ChqRankU,0),0)=0,"",INDEX(ChqStatus,IFERROR(MATCH(103,ChqRankU,0),0)))</f>
        <v/>
      </c>
      <c r="F119" s="22">
        <f>IF(IFERROR(MATCH(103,ChqRankU,0),0)=0,"",IF(INDEX(ChqStatus,IFERROR(MATCH(103,ChqRankU,0),0))="پاس نشده","—",IF(INDEX(ChqClr,IFERROR(MATCH(103,ChqRankU,0),0))="","—",INDEX(ChqClr,IFERROR(MATCH(103,ChqRankU,0),0)))))</f>
        <v/>
      </c>
      <c r="I119">
        <f>IF(103&gt;NChq,"",INDEX(ChqNorm,103))</f>
        <v/>
      </c>
      <c r="J119">
        <f>IF($I119="","",IF(AND($I119&gt;=$H$3,$I119&lt;=$H$4,INDEX(ChqStatus,103)="پاس نشده"),1,0))</f>
        <v/>
      </c>
      <c r="K119">
        <f>IF($J119=0,"",INDEX(ChqKey,103))</f>
        <v/>
      </c>
      <c r="L119">
        <f>IF($K119="","",COUNTIFS($J$17:$J$516,1,$K$17:$K$516,"&lt;"&amp;$K119)+1)</f>
        <v/>
      </c>
    </row>
    <row r="120">
      <c r="A120" s="16">
        <f>IF(IFERROR(MATCH(104,ChqRankU,0),0)=0,"",104)</f>
        <v/>
      </c>
      <c r="B120" s="24">
        <f>IF(IFERROR(MATCH(104,ChqRankU,0),0)=0,"",INDEX(ChqNorm,IFERROR(MATCH(104,ChqRankU,0),0)))</f>
        <v/>
      </c>
      <c r="C120" s="24">
        <f>IF(IFERROR(MATCH(104,ChqRankU,0),0)=0,"",INDEX(ChqNo,IFERROR(MATCH(104,ChqRankU,0),0)))</f>
        <v/>
      </c>
      <c r="D120" s="25">
        <f>IF(IFERROR(MATCH(104,ChqRankU,0),0)=0,"",IF(INDEX(ChqAmt,IFERROR(MATCH(104,ChqRankU,0),0))=0,"",INDEX(ChqAmt,IFERROR(MATCH(104,ChqRankU,0),0))))</f>
        <v/>
      </c>
      <c r="E120" s="17">
        <f>IF(IFERROR(MATCH(104,ChqRankU,0),0)=0,"",INDEX(ChqStatus,IFERROR(MATCH(104,ChqRankU,0),0)))</f>
        <v/>
      </c>
      <c r="F120" s="24">
        <f>IF(IFERROR(MATCH(104,ChqRankU,0),0)=0,"",IF(INDEX(ChqStatus,IFERROR(MATCH(104,ChqRankU,0),0))="پاس نشده","—",IF(INDEX(ChqClr,IFERROR(MATCH(104,ChqRankU,0),0))="","—",INDEX(ChqClr,IFERROR(MATCH(104,ChqRankU,0),0)))))</f>
        <v/>
      </c>
      <c r="I120">
        <f>IF(104&gt;NChq,"",INDEX(ChqNorm,104))</f>
        <v/>
      </c>
      <c r="J120">
        <f>IF($I120="","",IF(AND($I120&gt;=$H$3,$I120&lt;=$H$4,INDEX(ChqStatus,104)="پاس نشده"),1,0))</f>
        <v/>
      </c>
      <c r="K120">
        <f>IF($J120=0,"",INDEX(ChqKey,104))</f>
        <v/>
      </c>
      <c r="L120">
        <f>IF($K120="","",COUNTIFS($J$17:$J$516,1,$K$17:$K$516,"&lt;"&amp;$K120)+1)</f>
        <v/>
      </c>
    </row>
    <row r="121">
      <c r="A121" s="10">
        <f>IF(IFERROR(MATCH(105,ChqRankU,0),0)=0,"",105)</f>
        <v/>
      </c>
      <c r="B121" s="22">
        <f>IF(IFERROR(MATCH(105,ChqRankU,0),0)=0,"",INDEX(ChqNorm,IFERROR(MATCH(105,ChqRankU,0),0)))</f>
        <v/>
      </c>
      <c r="C121" s="22">
        <f>IF(IFERROR(MATCH(105,ChqRankU,0),0)=0,"",INDEX(ChqNo,IFERROR(MATCH(105,ChqRankU,0),0)))</f>
        <v/>
      </c>
      <c r="D121" s="23">
        <f>IF(IFERROR(MATCH(105,ChqRankU,0),0)=0,"",IF(INDEX(ChqAmt,IFERROR(MATCH(105,ChqRankU,0),0))=0,"",INDEX(ChqAmt,IFERROR(MATCH(105,ChqRankU,0),0))))</f>
        <v/>
      </c>
      <c r="E121" s="14">
        <f>IF(IFERROR(MATCH(105,ChqRankU,0),0)=0,"",INDEX(ChqStatus,IFERROR(MATCH(105,ChqRankU,0),0)))</f>
        <v/>
      </c>
      <c r="F121" s="22">
        <f>IF(IFERROR(MATCH(105,ChqRankU,0),0)=0,"",IF(INDEX(ChqStatus,IFERROR(MATCH(105,ChqRankU,0),0))="پاس نشده","—",IF(INDEX(ChqClr,IFERROR(MATCH(105,ChqRankU,0),0))="","—",INDEX(ChqClr,IFERROR(MATCH(105,ChqRankU,0),0)))))</f>
        <v/>
      </c>
      <c r="I121">
        <f>IF(105&gt;NChq,"",INDEX(ChqNorm,105))</f>
        <v/>
      </c>
      <c r="J121">
        <f>IF($I121="","",IF(AND($I121&gt;=$H$3,$I121&lt;=$H$4,INDEX(ChqStatus,105)="پاس نشده"),1,0))</f>
        <v/>
      </c>
      <c r="K121">
        <f>IF($J121=0,"",INDEX(ChqKey,105))</f>
        <v/>
      </c>
      <c r="L121">
        <f>IF($K121="","",COUNTIFS($J$17:$J$516,1,$K$17:$K$516,"&lt;"&amp;$K121)+1)</f>
        <v/>
      </c>
    </row>
    <row r="122">
      <c r="A122" s="16">
        <f>IF(IFERROR(MATCH(106,ChqRankU,0),0)=0,"",106)</f>
        <v/>
      </c>
      <c r="B122" s="24">
        <f>IF(IFERROR(MATCH(106,ChqRankU,0),0)=0,"",INDEX(ChqNorm,IFERROR(MATCH(106,ChqRankU,0),0)))</f>
        <v/>
      </c>
      <c r="C122" s="24">
        <f>IF(IFERROR(MATCH(106,ChqRankU,0),0)=0,"",INDEX(ChqNo,IFERROR(MATCH(106,ChqRankU,0),0)))</f>
        <v/>
      </c>
      <c r="D122" s="25">
        <f>IF(IFERROR(MATCH(106,ChqRankU,0),0)=0,"",IF(INDEX(ChqAmt,IFERROR(MATCH(106,ChqRankU,0),0))=0,"",INDEX(ChqAmt,IFERROR(MATCH(106,ChqRankU,0),0))))</f>
        <v/>
      </c>
      <c r="E122" s="17">
        <f>IF(IFERROR(MATCH(106,ChqRankU,0),0)=0,"",INDEX(ChqStatus,IFERROR(MATCH(106,ChqRankU,0),0)))</f>
        <v/>
      </c>
      <c r="F122" s="24">
        <f>IF(IFERROR(MATCH(106,ChqRankU,0),0)=0,"",IF(INDEX(ChqStatus,IFERROR(MATCH(106,ChqRankU,0),0))="پاس نشده","—",IF(INDEX(ChqClr,IFERROR(MATCH(106,ChqRankU,0),0))="","—",INDEX(ChqClr,IFERROR(MATCH(106,ChqRankU,0),0)))))</f>
        <v/>
      </c>
      <c r="I122">
        <f>IF(106&gt;NChq,"",INDEX(ChqNorm,106))</f>
        <v/>
      </c>
      <c r="J122">
        <f>IF($I122="","",IF(AND($I122&gt;=$H$3,$I122&lt;=$H$4,INDEX(ChqStatus,106)="پاس نشده"),1,0))</f>
        <v/>
      </c>
      <c r="K122">
        <f>IF($J122=0,"",INDEX(ChqKey,106))</f>
        <v/>
      </c>
      <c r="L122">
        <f>IF($K122="","",COUNTIFS($J$17:$J$516,1,$K$17:$K$516,"&lt;"&amp;$K122)+1)</f>
        <v/>
      </c>
    </row>
    <row r="123">
      <c r="A123" s="10">
        <f>IF(IFERROR(MATCH(107,ChqRankU,0),0)=0,"",107)</f>
        <v/>
      </c>
      <c r="B123" s="22">
        <f>IF(IFERROR(MATCH(107,ChqRankU,0),0)=0,"",INDEX(ChqNorm,IFERROR(MATCH(107,ChqRankU,0),0)))</f>
        <v/>
      </c>
      <c r="C123" s="22">
        <f>IF(IFERROR(MATCH(107,ChqRankU,0),0)=0,"",INDEX(ChqNo,IFERROR(MATCH(107,ChqRankU,0),0)))</f>
        <v/>
      </c>
      <c r="D123" s="23">
        <f>IF(IFERROR(MATCH(107,ChqRankU,0),0)=0,"",IF(INDEX(ChqAmt,IFERROR(MATCH(107,ChqRankU,0),0))=0,"",INDEX(ChqAmt,IFERROR(MATCH(107,ChqRankU,0),0))))</f>
        <v/>
      </c>
      <c r="E123" s="14">
        <f>IF(IFERROR(MATCH(107,ChqRankU,0),0)=0,"",INDEX(ChqStatus,IFERROR(MATCH(107,ChqRankU,0),0)))</f>
        <v/>
      </c>
      <c r="F123" s="22">
        <f>IF(IFERROR(MATCH(107,ChqRankU,0),0)=0,"",IF(INDEX(ChqStatus,IFERROR(MATCH(107,ChqRankU,0),0))="پاس نشده","—",IF(INDEX(ChqClr,IFERROR(MATCH(107,ChqRankU,0),0))="","—",INDEX(ChqClr,IFERROR(MATCH(107,ChqRankU,0),0)))))</f>
        <v/>
      </c>
      <c r="I123">
        <f>IF(107&gt;NChq,"",INDEX(ChqNorm,107))</f>
        <v/>
      </c>
      <c r="J123">
        <f>IF($I123="","",IF(AND($I123&gt;=$H$3,$I123&lt;=$H$4,INDEX(ChqStatus,107)="پاس نشده"),1,0))</f>
        <v/>
      </c>
      <c r="K123">
        <f>IF($J123=0,"",INDEX(ChqKey,107))</f>
        <v/>
      </c>
      <c r="L123">
        <f>IF($K123="","",COUNTIFS($J$17:$J$516,1,$K$17:$K$516,"&lt;"&amp;$K123)+1)</f>
        <v/>
      </c>
    </row>
    <row r="124">
      <c r="A124" s="16">
        <f>IF(IFERROR(MATCH(108,ChqRankU,0),0)=0,"",108)</f>
        <v/>
      </c>
      <c r="B124" s="24">
        <f>IF(IFERROR(MATCH(108,ChqRankU,0),0)=0,"",INDEX(ChqNorm,IFERROR(MATCH(108,ChqRankU,0),0)))</f>
        <v/>
      </c>
      <c r="C124" s="24">
        <f>IF(IFERROR(MATCH(108,ChqRankU,0),0)=0,"",INDEX(ChqNo,IFERROR(MATCH(108,ChqRankU,0),0)))</f>
        <v/>
      </c>
      <c r="D124" s="25">
        <f>IF(IFERROR(MATCH(108,ChqRankU,0),0)=0,"",IF(INDEX(ChqAmt,IFERROR(MATCH(108,ChqRankU,0),0))=0,"",INDEX(ChqAmt,IFERROR(MATCH(108,ChqRankU,0),0))))</f>
        <v/>
      </c>
      <c r="E124" s="17">
        <f>IF(IFERROR(MATCH(108,ChqRankU,0),0)=0,"",INDEX(ChqStatus,IFERROR(MATCH(108,ChqRankU,0),0)))</f>
        <v/>
      </c>
      <c r="F124" s="24">
        <f>IF(IFERROR(MATCH(108,ChqRankU,0),0)=0,"",IF(INDEX(ChqStatus,IFERROR(MATCH(108,ChqRankU,0),0))="پاس نشده","—",IF(INDEX(ChqClr,IFERROR(MATCH(108,ChqRankU,0),0))="","—",INDEX(ChqClr,IFERROR(MATCH(108,ChqRankU,0),0)))))</f>
        <v/>
      </c>
      <c r="I124">
        <f>IF(108&gt;NChq,"",INDEX(ChqNorm,108))</f>
        <v/>
      </c>
      <c r="J124">
        <f>IF($I124="","",IF(AND($I124&gt;=$H$3,$I124&lt;=$H$4,INDEX(ChqStatus,108)="پاس نشده"),1,0))</f>
        <v/>
      </c>
      <c r="K124">
        <f>IF($J124=0,"",INDEX(ChqKey,108))</f>
        <v/>
      </c>
      <c r="L124">
        <f>IF($K124="","",COUNTIFS($J$17:$J$516,1,$K$17:$K$516,"&lt;"&amp;$K124)+1)</f>
        <v/>
      </c>
    </row>
    <row r="125">
      <c r="A125" s="10">
        <f>IF(IFERROR(MATCH(109,ChqRankU,0),0)=0,"",109)</f>
        <v/>
      </c>
      <c r="B125" s="22">
        <f>IF(IFERROR(MATCH(109,ChqRankU,0),0)=0,"",INDEX(ChqNorm,IFERROR(MATCH(109,ChqRankU,0),0)))</f>
        <v/>
      </c>
      <c r="C125" s="22">
        <f>IF(IFERROR(MATCH(109,ChqRankU,0),0)=0,"",INDEX(ChqNo,IFERROR(MATCH(109,ChqRankU,0),0)))</f>
        <v/>
      </c>
      <c r="D125" s="23">
        <f>IF(IFERROR(MATCH(109,ChqRankU,0),0)=0,"",IF(INDEX(ChqAmt,IFERROR(MATCH(109,ChqRankU,0),0))=0,"",INDEX(ChqAmt,IFERROR(MATCH(109,ChqRankU,0),0))))</f>
        <v/>
      </c>
      <c r="E125" s="14">
        <f>IF(IFERROR(MATCH(109,ChqRankU,0),0)=0,"",INDEX(ChqStatus,IFERROR(MATCH(109,ChqRankU,0),0)))</f>
        <v/>
      </c>
      <c r="F125" s="22">
        <f>IF(IFERROR(MATCH(109,ChqRankU,0),0)=0,"",IF(INDEX(ChqStatus,IFERROR(MATCH(109,ChqRankU,0),0))="پاس نشده","—",IF(INDEX(ChqClr,IFERROR(MATCH(109,ChqRankU,0),0))="","—",INDEX(ChqClr,IFERROR(MATCH(109,ChqRankU,0),0)))))</f>
        <v/>
      </c>
      <c r="I125">
        <f>IF(109&gt;NChq,"",INDEX(ChqNorm,109))</f>
        <v/>
      </c>
      <c r="J125">
        <f>IF($I125="","",IF(AND($I125&gt;=$H$3,$I125&lt;=$H$4,INDEX(ChqStatus,109)="پاس نشده"),1,0))</f>
        <v/>
      </c>
      <c r="K125">
        <f>IF($J125=0,"",INDEX(ChqKey,109))</f>
        <v/>
      </c>
      <c r="L125">
        <f>IF($K125="","",COUNTIFS($J$17:$J$516,1,$K$17:$K$516,"&lt;"&amp;$K125)+1)</f>
        <v/>
      </c>
    </row>
    <row r="126">
      <c r="A126" s="16">
        <f>IF(IFERROR(MATCH(110,ChqRankU,0),0)=0,"",110)</f>
        <v/>
      </c>
      <c r="B126" s="24">
        <f>IF(IFERROR(MATCH(110,ChqRankU,0),0)=0,"",INDEX(ChqNorm,IFERROR(MATCH(110,ChqRankU,0),0)))</f>
        <v/>
      </c>
      <c r="C126" s="24">
        <f>IF(IFERROR(MATCH(110,ChqRankU,0),0)=0,"",INDEX(ChqNo,IFERROR(MATCH(110,ChqRankU,0),0)))</f>
        <v/>
      </c>
      <c r="D126" s="25">
        <f>IF(IFERROR(MATCH(110,ChqRankU,0),0)=0,"",IF(INDEX(ChqAmt,IFERROR(MATCH(110,ChqRankU,0),0))=0,"",INDEX(ChqAmt,IFERROR(MATCH(110,ChqRankU,0),0))))</f>
        <v/>
      </c>
      <c r="E126" s="17">
        <f>IF(IFERROR(MATCH(110,ChqRankU,0),0)=0,"",INDEX(ChqStatus,IFERROR(MATCH(110,ChqRankU,0),0)))</f>
        <v/>
      </c>
      <c r="F126" s="24">
        <f>IF(IFERROR(MATCH(110,ChqRankU,0),0)=0,"",IF(INDEX(ChqStatus,IFERROR(MATCH(110,ChqRankU,0),0))="پاس نشده","—",IF(INDEX(ChqClr,IFERROR(MATCH(110,ChqRankU,0),0))="","—",INDEX(ChqClr,IFERROR(MATCH(110,ChqRankU,0),0)))))</f>
        <v/>
      </c>
      <c r="I126">
        <f>IF(110&gt;NChq,"",INDEX(ChqNorm,110))</f>
        <v/>
      </c>
      <c r="J126">
        <f>IF($I126="","",IF(AND($I126&gt;=$H$3,$I126&lt;=$H$4,INDEX(ChqStatus,110)="پاس نشده"),1,0))</f>
        <v/>
      </c>
      <c r="K126">
        <f>IF($J126=0,"",INDEX(ChqKey,110))</f>
        <v/>
      </c>
      <c r="L126">
        <f>IF($K126="","",COUNTIFS($J$17:$J$516,1,$K$17:$K$516,"&lt;"&amp;$K126)+1)</f>
        <v/>
      </c>
    </row>
    <row r="127">
      <c r="A127" s="10">
        <f>IF(IFERROR(MATCH(111,ChqRankU,0),0)=0,"",111)</f>
        <v/>
      </c>
      <c r="B127" s="22">
        <f>IF(IFERROR(MATCH(111,ChqRankU,0),0)=0,"",INDEX(ChqNorm,IFERROR(MATCH(111,ChqRankU,0),0)))</f>
        <v/>
      </c>
      <c r="C127" s="22">
        <f>IF(IFERROR(MATCH(111,ChqRankU,0),0)=0,"",INDEX(ChqNo,IFERROR(MATCH(111,ChqRankU,0),0)))</f>
        <v/>
      </c>
      <c r="D127" s="23">
        <f>IF(IFERROR(MATCH(111,ChqRankU,0),0)=0,"",IF(INDEX(ChqAmt,IFERROR(MATCH(111,ChqRankU,0),0))=0,"",INDEX(ChqAmt,IFERROR(MATCH(111,ChqRankU,0),0))))</f>
        <v/>
      </c>
      <c r="E127" s="14">
        <f>IF(IFERROR(MATCH(111,ChqRankU,0),0)=0,"",INDEX(ChqStatus,IFERROR(MATCH(111,ChqRankU,0),0)))</f>
        <v/>
      </c>
      <c r="F127" s="22">
        <f>IF(IFERROR(MATCH(111,ChqRankU,0),0)=0,"",IF(INDEX(ChqStatus,IFERROR(MATCH(111,ChqRankU,0),0))="پاس نشده","—",IF(INDEX(ChqClr,IFERROR(MATCH(111,ChqRankU,0),0))="","—",INDEX(ChqClr,IFERROR(MATCH(111,ChqRankU,0),0)))))</f>
        <v/>
      </c>
      <c r="I127">
        <f>IF(111&gt;NChq,"",INDEX(ChqNorm,111))</f>
        <v/>
      </c>
      <c r="J127">
        <f>IF($I127="","",IF(AND($I127&gt;=$H$3,$I127&lt;=$H$4,INDEX(ChqStatus,111)="پاس نشده"),1,0))</f>
        <v/>
      </c>
      <c r="K127">
        <f>IF($J127=0,"",INDEX(ChqKey,111))</f>
        <v/>
      </c>
      <c r="L127">
        <f>IF($K127="","",COUNTIFS($J$17:$J$516,1,$K$17:$K$516,"&lt;"&amp;$K127)+1)</f>
        <v/>
      </c>
    </row>
    <row r="128">
      <c r="A128" s="16">
        <f>IF(IFERROR(MATCH(112,ChqRankU,0),0)=0,"",112)</f>
        <v/>
      </c>
      <c r="B128" s="24">
        <f>IF(IFERROR(MATCH(112,ChqRankU,0),0)=0,"",INDEX(ChqNorm,IFERROR(MATCH(112,ChqRankU,0),0)))</f>
        <v/>
      </c>
      <c r="C128" s="24">
        <f>IF(IFERROR(MATCH(112,ChqRankU,0),0)=0,"",INDEX(ChqNo,IFERROR(MATCH(112,ChqRankU,0),0)))</f>
        <v/>
      </c>
      <c r="D128" s="25">
        <f>IF(IFERROR(MATCH(112,ChqRankU,0),0)=0,"",IF(INDEX(ChqAmt,IFERROR(MATCH(112,ChqRankU,0),0))=0,"",INDEX(ChqAmt,IFERROR(MATCH(112,ChqRankU,0),0))))</f>
        <v/>
      </c>
      <c r="E128" s="17">
        <f>IF(IFERROR(MATCH(112,ChqRankU,0),0)=0,"",INDEX(ChqStatus,IFERROR(MATCH(112,ChqRankU,0),0)))</f>
        <v/>
      </c>
      <c r="F128" s="24">
        <f>IF(IFERROR(MATCH(112,ChqRankU,0),0)=0,"",IF(INDEX(ChqStatus,IFERROR(MATCH(112,ChqRankU,0),0))="پاس نشده","—",IF(INDEX(ChqClr,IFERROR(MATCH(112,ChqRankU,0),0))="","—",INDEX(ChqClr,IFERROR(MATCH(112,ChqRankU,0),0)))))</f>
        <v/>
      </c>
      <c r="I128">
        <f>IF(112&gt;NChq,"",INDEX(ChqNorm,112))</f>
        <v/>
      </c>
      <c r="J128">
        <f>IF($I128="","",IF(AND($I128&gt;=$H$3,$I128&lt;=$H$4,INDEX(ChqStatus,112)="پاس نشده"),1,0))</f>
        <v/>
      </c>
      <c r="K128">
        <f>IF($J128=0,"",INDEX(ChqKey,112))</f>
        <v/>
      </c>
      <c r="L128">
        <f>IF($K128="","",COUNTIFS($J$17:$J$516,1,$K$17:$K$516,"&lt;"&amp;$K128)+1)</f>
        <v/>
      </c>
    </row>
    <row r="129">
      <c r="A129" s="10">
        <f>IF(IFERROR(MATCH(113,ChqRankU,0),0)=0,"",113)</f>
        <v/>
      </c>
      <c r="B129" s="22">
        <f>IF(IFERROR(MATCH(113,ChqRankU,0),0)=0,"",INDEX(ChqNorm,IFERROR(MATCH(113,ChqRankU,0),0)))</f>
        <v/>
      </c>
      <c r="C129" s="22">
        <f>IF(IFERROR(MATCH(113,ChqRankU,0),0)=0,"",INDEX(ChqNo,IFERROR(MATCH(113,ChqRankU,0),0)))</f>
        <v/>
      </c>
      <c r="D129" s="23">
        <f>IF(IFERROR(MATCH(113,ChqRankU,0),0)=0,"",IF(INDEX(ChqAmt,IFERROR(MATCH(113,ChqRankU,0),0))=0,"",INDEX(ChqAmt,IFERROR(MATCH(113,ChqRankU,0),0))))</f>
        <v/>
      </c>
      <c r="E129" s="14">
        <f>IF(IFERROR(MATCH(113,ChqRankU,0),0)=0,"",INDEX(ChqStatus,IFERROR(MATCH(113,ChqRankU,0),0)))</f>
        <v/>
      </c>
      <c r="F129" s="22">
        <f>IF(IFERROR(MATCH(113,ChqRankU,0),0)=0,"",IF(INDEX(ChqStatus,IFERROR(MATCH(113,ChqRankU,0),0))="پاس نشده","—",IF(INDEX(ChqClr,IFERROR(MATCH(113,ChqRankU,0),0))="","—",INDEX(ChqClr,IFERROR(MATCH(113,ChqRankU,0),0)))))</f>
        <v/>
      </c>
      <c r="I129">
        <f>IF(113&gt;NChq,"",INDEX(ChqNorm,113))</f>
        <v/>
      </c>
      <c r="J129">
        <f>IF($I129="","",IF(AND($I129&gt;=$H$3,$I129&lt;=$H$4,INDEX(ChqStatus,113)="پاس نشده"),1,0))</f>
        <v/>
      </c>
      <c r="K129">
        <f>IF($J129=0,"",INDEX(ChqKey,113))</f>
        <v/>
      </c>
      <c r="L129">
        <f>IF($K129="","",COUNTIFS($J$17:$J$516,1,$K$17:$K$516,"&lt;"&amp;$K129)+1)</f>
        <v/>
      </c>
    </row>
    <row r="130">
      <c r="A130" s="16">
        <f>IF(IFERROR(MATCH(114,ChqRankU,0),0)=0,"",114)</f>
        <v/>
      </c>
      <c r="B130" s="24">
        <f>IF(IFERROR(MATCH(114,ChqRankU,0),0)=0,"",INDEX(ChqNorm,IFERROR(MATCH(114,ChqRankU,0),0)))</f>
        <v/>
      </c>
      <c r="C130" s="24">
        <f>IF(IFERROR(MATCH(114,ChqRankU,0),0)=0,"",INDEX(ChqNo,IFERROR(MATCH(114,ChqRankU,0),0)))</f>
        <v/>
      </c>
      <c r="D130" s="25">
        <f>IF(IFERROR(MATCH(114,ChqRankU,0),0)=0,"",IF(INDEX(ChqAmt,IFERROR(MATCH(114,ChqRankU,0),0))=0,"",INDEX(ChqAmt,IFERROR(MATCH(114,ChqRankU,0),0))))</f>
        <v/>
      </c>
      <c r="E130" s="17">
        <f>IF(IFERROR(MATCH(114,ChqRankU,0),0)=0,"",INDEX(ChqStatus,IFERROR(MATCH(114,ChqRankU,0),0)))</f>
        <v/>
      </c>
      <c r="F130" s="24">
        <f>IF(IFERROR(MATCH(114,ChqRankU,0),0)=0,"",IF(INDEX(ChqStatus,IFERROR(MATCH(114,ChqRankU,0),0))="پاس نشده","—",IF(INDEX(ChqClr,IFERROR(MATCH(114,ChqRankU,0),0))="","—",INDEX(ChqClr,IFERROR(MATCH(114,ChqRankU,0),0)))))</f>
        <v/>
      </c>
      <c r="I130">
        <f>IF(114&gt;NChq,"",INDEX(ChqNorm,114))</f>
        <v/>
      </c>
      <c r="J130">
        <f>IF($I130="","",IF(AND($I130&gt;=$H$3,$I130&lt;=$H$4,INDEX(ChqStatus,114)="پاس نشده"),1,0))</f>
        <v/>
      </c>
      <c r="K130">
        <f>IF($J130=0,"",INDEX(ChqKey,114))</f>
        <v/>
      </c>
      <c r="L130">
        <f>IF($K130="","",COUNTIFS($J$17:$J$516,1,$K$17:$K$516,"&lt;"&amp;$K130)+1)</f>
        <v/>
      </c>
    </row>
    <row r="131">
      <c r="A131" s="10">
        <f>IF(IFERROR(MATCH(115,ChqRankU,0),0)=0,"",115)</f>
        <v/>
      </c>
      <c r="B131" s="22">
        <f>IF(IFERROR(MATCH(115,ChqRankU,0),0)=0,"",INDEX(ChqNorm,IFERROR(MATCH(115,ChqRankU,0),0)))</f>
        <v/>
      </c>
      <c r="C131" s="22">
        <f>IF(IFERROR(MATCH(115,ChqRankU,0),0)=0,"",INDEX(ChqNo,IFERROR(MATCH(115,ChqRankU,0),0)))</f>
        <v/>
      </c>
      <c r="D131" s="23">
        <f>IF(IFERROR(MATCH(115,ChqRankU,0),0)=0,"",IF(INDEX(ChqAmt,IFERROR(MATCH(115,ChqRankU,0),0))=0,"",INDEX(ChqAmt,IFERROR(MATCH(115,ChqRankU,0),0))))</f>
        <v/>
      </c>
      <c r="E131" s="14">
        <f>IF(IFERROR(MATCH(115,ChqRankU,0),0)=0,"",INDEX(ChqStatus,IFERROR(MATCH(115,ChqRankU,0),0)))</f>
        <v/>
      </c>
      <c r="F131" s="22">
        <f>IF(IFERROR(MATCH(115,ChqRankU,0),0)=0,"",IF(INDEX(ChqStatus,IFERROR(MATCH(115,ChqRankU,0),0))="پاس نشده","—",IF(INDEX(ChqClr,IFERROR(MATCH(115,ChqRankU,0),0))="","—",INDEX(ChqClr,IFERROR(MATCH(115,ChqRankU,0),0)))))</f>
        <v/>
      </c>
      <c r="I131">
        <f>IF(115&gt;NChq,"",INDEX(ChqNorm,115))</f>
        <v/>
      </c>
      <c r="J131">
        <f>IF($I131="","",IF(AND($I131&gt;=$H$3,$I131&lt;=$H$4,INDEX(ChqStatus,115)="پاس نشده"),1,0))</f>
        <v/>
      </c>
      <c r="K131">
        <f>IF($J131=0,"",INDEX(ChqKey,115))</f>
        <v/>
      </c>
      <c r="L131">
        <f>IF($K131="","",COUNTIFS($J$17:$J$516,1,$K$17:$K$516,"&lt;"&amp;$K131)+1)</f>
        <v/>
      </c>
    </row>
    <row r="132">
      <c r="A132" s="16">
        <f>IF(IFERROR(MATCH(116,ChqRankU,0),0)=0,"",116)</f>
        <v/>
      </c>
      <c r="B132" s="24">
        <f>IF(IFERROR(MATCH(116,ChqRankU,0),0)=0,"",INDEX(ChqNorm,IFERROR(MATCH(116,ChqRankU,0),0)))</f>
        <v/>
      </c>
      <c r="C132" s="24">
        <f>IF(IFERROR(MATCH(116,ChqRankU,0),0)=0,"",INDEX(ChqNo,IFERROR(MATCH(116,ChqRankU,0),0)))</f>
        <v/>
      </c>
      <c r="D132" s="25">
        <f>IF(IFERROR(MATCH(116,ChqRankU,0),0)=0,"",IF(INDEX(ChqAmt,IFERROR(MATCH(116,ChqRankU,0),0))=0,"",INDEX(ChqAmt,IFERROR(MATCH(116,ChqRankU,0),0))))</f>
        <v/>
      </c>
      <c r="E132" s="17">
        <f>IF(IFERROR(MATCH(116,ChqRankU,0),0)=0,"",INDEX(ChqStatus,IFERROR(MATCH(116,ChqRankU,0),0)))</f>
        <v/>
      </c>
      <c r="F132" s="24">
        <f>IF(IFERROR(MATCH(116,ChqRankU,0),0)=0,"",IF(INDEX(ChqStatus,IFERROR(MATCH(116,ChqRankU,0),0))="پاس نشده","—",IF(INDEX(ChqClr,IFERROR(MATCH(116,ChqRankU,0),0))="","—",INDEX(ChqClr,IFERROR(MATCH(116,ChqRankU,0),0)))))</f>
        <v/>
      </c>
      <c r="I132">
        <f>IF(116&gt;NChq,"",INDEX(ChqNorm,116))</f>
        <v/>
      </c>
      <c r="J132">
        <f>IF($I132="","",IF(AND($I132&gt;=$H$3,$I132&lt;=$H$4,INDEX(ChqStatus,116)="پاس نشده"),1,0))</f>
        <v/>
      </c>
      <c r="K132">
        <f>IF($J132=0,"",INDEX(ChqKey,116))</f>
        <v/>
      </c>
      <c r="L132">
        <f>IF($K132="","",COUNTIFS($J$17:$J$516,1,$K$17:$K$516,"&lt;"&amp;$K132)+1)</f>
        <v/>
      </c>
    </row>
    <row r="133">
      <c r="A133" s="10">
        <f>IF(IFERROR(MATCH(117,ChqRankU,0),0)=0,"",117)</f>
        <v/>
      </c>
      <c r="B133" s="22">
        <f>IF(IFERROR(MATCH(117,ChqRankU,0),0)=0,"",INDEX(ChqNorm,IFERROR(MATCH(117,ChqRankU,0),0)))</f>
        <v/>
      </c>
      <c r="C133" s="22">
        <f>IF(IFERROR(MATCH(117,ChqRankU,0),0)=0,"",INDEX(ChqNo,IFERROR(MATCH(117,ChqRankU,0),0)))</f>
        <v/>
      </c>
      <c r="D133" s="23">
        <f>IF(IFERROR(MATCH(117,ChqRankU,0),0)=0,"",IF(INDEX(ChqAmt,IFERROR(MATCH(117,ChqRankU,0),0))=0,"",INDEX(ChqAmt,IFERROR(MATCH(117,ChqRankU,0),0))))</f>
        <v/>
      </c>
      <c r="E133" s="14">
        <f>IF(IFERROR(MATCH(117,ChqRankU,0),0)=0,"",INDEX(ChqStatus,IFERROR(MATCH(117,ChqRankU,0),0)))</f>
        <v/>
      </c>
      <c r="F133" s="22">
        <f>IF(IFERROR(MATCH(117,ChqRankU,0),0)=0,"",IF(INDEX(ChqStatus,IFERROR(MATCH(117,ChqRankU,0),0))="پاس نشده","—",IF(INDEX(ChqClr,IFERROR(MATCH(117,ChqRankU,0),0))="","—",INDEX(ChqClr,IFERROR(MATCH(117,ChqRankU,0),0)))))</f>
        <v/>
      </c>
      <c r="I133">
        <f>IF(117&gt;NChq,"",INDEX(ChqNorm,117))</f>
        <v/>
      </c>
      <c r="J133">
        <f>IF($I133="","",IF(AND($I133&gt;=$H$3,$I133&lt;=$H$4,INDEX(ChqStatus,117)="پاس نشده"),1,0))</f>
        <v/>
      </c>
      <c r="K133">
        <f>IF($J133=0,"",INDEX(ChqKey,117))</f>
        <v/>
      </c>
      <c r="L133">
        <f>IF($K133="","",COUNTIFS($J$17:$J$516,1,$K$17:$K$516,"&lt;"&amp;$K133)+1)</f>
        <v/>
      </c>
    </row>
    <row r="134">
      <c r="A134" s="16">
        <f>IF(IFERROR(MATCH(118,ChqRankU,0),0)=0,"",118)</f>
        <v/>
      </c>
      <c r="B134" s="24">
        <f>IF(IFERROR(MATCH(118,ChqRankU,0),0)=0,"",INDEX(ChqNorm,IFERROR(MATCH(118,ChqRankU,0),0)))</f>
        <v/>
      </c>
      <c r="C134" s="24">
        <f>IF(IFERROR(MATCH(118,ChqRankU,0),0)=0,"",INDEX(ChqNo,IFERROR(MATCH(118,ChqRankU,0),0)))</f>
        <v/>
      </c>
      <c r="D134" s="25">
        <f>IF(IFERROR(MATCH(118,ChqRankU,0),0)=0,"",IF(INDEX(ChqAmt,IFERROR(MATCH(118,ChqRankU,0),0))=0,"",INDEX(ChqAmt,IFERROR(MATCH(118,ChqRankU,0),0))))</f>
        <v/>
      </c>
      <c r="E134" s="17">
        <f>IF(IFERROR(MATCH(118,ChqRankU,0),0)=0,"",INDEX(ChqStatus,IFERROR(MATCH(118,ChqRankU,0),0)))</f>
        <v/>
      </c>
      <c r="F134" s="24">
        <f>IF(IFERROR(MATCH(118,ChqRankU,0),0)=0,"",IF(INDEX(ChqStatus,IFERROR(MATCH(118,ChqRankU,0),0))="پاس نشده","—",IF(INDEX(ChqClr,IFERROR(MATCH(118,ChqRankU,0),0))="","—",INDEX(ChqClr,IFERROR(MATCH(118,ChqRankU,0),0)))))</f>
        <v/>
      </c>
      <c r="I134">
        <f>IF(118&gt;NChq,"",INDEX(ChqNorm,118))</f>
        <v/>
      </c>
      <c r="J134">
        <f>IF($I134="","",IF(AND($I134&gt;=$H$3,$I134&lt;=$H$4,INDEX(ChqStatus,118)="پاس نشده"),1,0))</f>
        <v/>
      </c>
      <c r="K134">
        <f>IF($J134=0,"",INDEX(ChqKey,118))</f>
        <v/>
      </c>
      <c r="L134">
        <f>IF($K134="","",COUNTIFS($J$17:$J$516,1,$K$17:$K$516,"&lt;"&amp;$K134)+1)</f>
        <v/>
      </c>
    </row>
    <row r="135">
      <c r="A135" s="10">
        <f>IF(IFERROR(MATCH(119,ChqRankU,0),0)=0,"",119)</f>
        <v/>
      </c>
      <c r="B135" s="22">
        <f>IF(IFERROR(MATCH(119,ChqRankU,0),0)=0,"",INDEX(ChqNorm,IFERROR(MATCH(119,ChqRankU,0),0)))</f>
        <v/>
      </c>
      <c r="C135" s="22">
        <f>IF(IFERROR(MATCH(119,ChqRankU,0),0)=0,"",INDEX(ChqNo,IFERROR(MATCH(119,ChqRankU,0),0)))</f>
        <v/>
      </c>
      <c r="D135" s="23">
        <f>IF(IFERROR(MATCH(119,ChqRankU,0),0)=0,"",IF(INDEX(ChqAmt,IFERROR(MATCH(119,ChqRankU,0),0))=0,"",INDEX(ChqAmt,IFERROR(MATCH(119,ChqRankU,0),0))))</f>
        <v/>
      </c>
      <c r="E135" s="14">
        <f>IF(IFERROR(MATCH(119,ChqRankU,0),0)=0,"",INDEX(ChqStatus,IFERROR(MATCH(119,ChqRankU,0),0)))</f>
        <v/>
      </c>
      <c r="F135" s="22">
        <f>IF(IFERROR(MATCH(119,ChqRankU,0),0)=0,"",IF(INDEX(ChqStatus,IFERROR(MATCH(119,ChqRankU,0),0))="پاس نشده","—",IF(INDEX(ChqClr,IFERROR(MATCH(119,ChqRankU,0),0))="","—",INDEX(ChqClr,IFERROR(MATCH(119,ChqRankU,0),0)))))</f>
        <v/>
      </c>
      <c r="I135">
        <f>IF(119&gt;NChq,"",INDEX(ChqNorm,119))</f>
        <v/>
      </c>
      <c r="J135">
        <f>IF($I135="","",IF(AND($I135&gt;=$H$3,$I135&lt;=$H$4,INDEX(ChqStatus,119)="پاس نشده"),1,0))</f>
        <v/>
      </c>
      <c r="K135">
        <f>IF($J135=0,"",INDEX(ChqKey,119))</f>
        <v/>
      </c>
      <c r="L135">
        <f>IF($K135="","",COUNTIFS($J$17:$J$516,1,$K$17:$K$516,"&lt;"&amp;$K135)+1)</f>
        <v/>
      </c>
    </row>
    <row r="136">
      <c r="A136" s="16">
        <f>IF(IFERROR(MATCH(120,ChqRankU,0),0)=0,"",120)</f>
        <v/>
      </c>
      <c r="B136" s="24">
        <f>IF(IFERROR(MATCH(120,ChqRankU,0),0)=0,"",INDEX(ChqNorm,IFERROR(MATCH(120,ChqRankU,0),0)))</f>
        <v/>
      </c>
      <c r="C136" s="24">
        <f>IF(IFERROR(MATCH(120,ChqRankU,0),0)=0,"",INDEX(ChqNo,IFERROR(MATCH(120,ChqRankU,0),0)))</f>
        <v/>
      </c>
      <c r="D136" s="25">
        <f>IF(IFERROR(MATCH(120,ChqRankU,0),0)=0,"",IF(INDEX(ChqAmt,IFERROR(MATCH(120,ChqRankU,0),0))=0,"",INDEX(ChqAmt,IFERROR(MATCH(120,ChqRankU,0),0))))</f>
        <v/>
      </c>
      <c r="E136" s="17">
        <f>IF(IFERROR(MATCH(120,ChqRankU,0),0)=0,"",INDEX(ChqStatus,IFERROR(MATCH(120,ChqRankU,0),0)))</f>
        <v/>
      </c>
      <c r="F136" s="24">
        <f>IF(IFERROR(MATCH(120,ChqRankU,0),0)=0,"",IF(INDEX(ChqStatus,IFERROR(MATCH(120,ChqRankU,0),0))="پاس نشده","—",IF(INDEX(ChqClr,IFERROR(MATCH(120,ChqRankU,0),0))="","—",INDEX(ChqClr,IFERROR(MATCH(120,ChqRankU,0),0)))))</f>
        <v/>
      </c>
      <c r="I136">
        <f>IF(120&gt;NChq,"",INDEX(ChqNorm,120))</f>
        <v/>
      </c>
      <c r="J136">
        <f>IF($I136="","",IF(AND($I136&gt;=$H$3,$I136&lt;=$H$4,INDEX(ChqStatus,120)="پاس نشده"),1,0))</f>
        <v/>
      </c>
      <c r="K136">
        <f>IF($J136=0,"",INDEX(ChqKey,120))</f>
        <v/>
      </c>
      <c r="L136">
        <f>IF($K136="","",COUNTIFS($J$17:$J$516,1,$K$17:$K$516,"&lt;"&amp;$K136)+1)</f>
        <v/>
      </c>
    </row>
    <row r="137">
      <c r="A137" s="10">
        <f>IF(IFERROR(MATCH(121,ChqRankU,0),0)=0,"",121)</f>
        <v/>
      </c>
      <c r="B137" s="22">
        <f>IF(IFERROR(MATCH(121,ChqRankU,0),0)=0,"",INDEX(ChqNorm,IFERROR(MATCH(121,ChqRankU,0),0)))</f>
        <v/>
      </c>
      <c r="C137" s="22">
        <f>IF(IFERROR(MATCH(121,ChqRankU,0),0)=0,"",INDEX(ChqNo,IFERROR(MATCH(121,ChqRankU,0),0)))</f>
        <v/>
      </c>
      <c r="D137" s="23">
        <f>IF(IFERROR(MATCH(121,ChqRankU,0),0)=0,"",IF(INDEX(ChqAmt,IFERROR(MATCH(121,ChqRankU,0),0))=0,"",INDEX(ChqAmt,IFERROR(MATCH(121,ChqRankU,0),0))))</f>
        <v/>
      </c>
      <c r="E137" s="14">
        <f>IF(IFERROR(MATCH(121,ChqRankU,0),0)=0,"",INDEX(ChqStatus,IFERROR(MATCH(121,ChqRankU,0),0)))</f>
        <v/>
      </c>
      <c r="F137" s="22">
        <f>IF(IFERROR(MATCH(121,ChqRankU,0),0)=0,"",IF(INDEX(ChqStatus,IFERROR(MATCH(121,ChqRankU,0),0))="پاس نشده","—",IF(INDEX(ChqClr,IFERROR(MATCH(121,ChqRankU,0),0))="","—",INDEX(ChqClr,IFERROR(MATCH(121,ChqRankU,0),0)))))</f>
        <v/>
      </c>
      <c r="I137">
        <f>IF(121&gt;NChq,"",INDEX(ChqNorm,121))</f>
        <v/>
      </c>
      <c r="J137">
        <f>IF($I137="","",IF(AND($I137&gt;=$H$3,$I137&lt;=$H$4,INDEX(ChqStatus,121)="پاس نشده"),1,0))</f>
        <v/>
      </c>
      <c r="K137">
        <f>IF($J137=0,"",INDEX(ChqKey,121))</f>
        <v/>
      </c>
      <c r="L137">
        <f>IF($K137="","",COUNTIFS($J$17:$J$516,1,$K$17:$K$516,"&lt;"&amp;$K137)+1)</f>
        <v/>
      </c>
    </row>
    <row r="138">
      <c r="A138" s="16">
        <f>IF(IFERROR(MATCH(122,ChqRankU,0),0)=0,"",122)</f>
        <v/>
      </c>
      <c r="B138" s="24">
        <f>IF(IFERROR(MATCH(122,ChqRankU,0),0)=0,"",INDEX(ChqNorm,IFERROR(MATCH(122,ChqRankU,0),0)))</f>
        <v/>
      </c>
      <c r="C138" s="24">
        <f>IF(IFERROR(MATCH(122,ChqRankU,0),0)=0,"",INDEX(ChqNo,IFERROR(MATCH(122,ChqRankU,0),0)))</f>
        <v/>
      </c>
      <c r="D138" s="25">
        <f>IF(IFERROR(MATCH(122,ChqRankU,0),0)=0,"",IF(INDEX(ChqAmt,IFERROR(MATCH(122,ChqRankU,0),0))=0,"",INDEX(ChqAmt,IFERROR(MATCH(122,ChqRankU,0),0))))</f>
        <v/>
      </c>
      <c r="E138" s="17">
        <f>IF(IFERROR(MATCH(122,ChqRankU,0),0)=0,"",INDEX(ChqStatus,IFERROR(MATCH(122,ChqRankU,0),0)))</f>
        <v/>
      </c>
      <c r="F138" s="24">
        <f>IF(IFERROR(MATCH(122,ChqRankU,0),0)=0,"",IF(INDEX(ChqStatus,IFERROR(MATCH(122,ChqRankU,0),0))="پاس نشده","—",IF(INDEX(ChqClr,IFERROR(MATCH(122,ChqRankU,0),0))="","—",INDEX(ChqClr,IFERROR(MATCH(122,ChqRankU,0),0)))))</f>
        <v/>
      </c>
      <c r="I138">
        <f>IF(122&gt;NChq,"",INDEX(ChqNorm,122))</f>
        <v/>
      </c>
      <c r="J138">
        <f>IF($I138="","",IF(AND($I138&gt;=$H$3,$I138&lt;=$H$4,INDEX(ChqStatus,122)="پاس نشده"),1,0))</f>
        <v/>
      </c>
      <c r="K138">
        <f>IF($J138=0,"",INDEX(ChqKey,122))</f>
        <v/>
      </c>
      <c r="L138">
        <f>IF($K138="","",COUNTIFS($J$17:$J$516,1,$K$17:$K$516,"&lt;"&amp;$K138)+1)</f>
        <v/>
      </c>
    </row>
    <row r="139">
      <c r="A139" s="10">
        <f>IF(IFERROR(MATCH(123,ChqRankU,0),0)=0,"",123)</f>
        <v/>
      </c>
      <c r="B139" s="22">
        <f>IF(IFERROR(MATCH(123,ChqRankU,0),0)=0,"",INDEX(ChqNorm,IFERROR(MATCH(123,ChqRankU,0),0)))</f>
        <v/>
      </c>
      <c r="C139" s="22">
        <f>IF(IFERROR(MATCH(123,ChqRankU,0),0)=0,"",INDEX(ChqNo,IFERROR(MATCH(123,ChqRankU,0),0)))</f>
        <v/>
      </c>
      <c r="D139" s="23">
        <f>IF(IFERROR(MATCH(123,ChqRankU,0),0)=0,"",IF(INDEX(ChqAmt,IFERROR(MATCH(123,ChqRankU,0),0))=0,"",INDEX(ChqAmt,IFERROR(MATCH(123,ChqRankU,0),0))))</f>
        <v/>
      </c>
      <c r="E139" s="14">
        <f>IF(IFERROR(MATCH(123,ChqRankU,0),0)=0,"",INDEX(ChqStatus,IFERROR(MATCH(123,ChqRankU,0),0)))</f>
        <v/>
      </c>
      <c r="F139" s="22">
        <f>IF(IFERROR(MATCH(123,ChqRankU,0),0)=0,"",IF(INDEX(ChqStatus,IFERROR(MATCH(123,ChqRankU,0),0))="پاس نشده","—",IF(INDEX(ChqClr,IFERROR(MATCH(123,ChqRankU,0),0))="","—",INDEX(ChqClr,IFERROR(MATCH(123,ChqRankU,0),0)))))</f>
        <v/>
      </c>
      <c r="I139">
        <f>IF(123&gt;NChq,"",INDEX(ChqNorm,123))</f>
        <v/>
      </c>
      <c r="J139">
        <f>IF($I139="","",IF(AND($I139&gt;=$H$3,$I139&lt;=$H$4,INDEX(ChqStatus,123)="پاس نشده"),1,0))</f>
        <v/>
      </c>
      <c r="K139">
        <f>IF($J139=0,"",INDEX(ChqKey,123))</f>
        <v/>
      </c>
      <c r="L139">
        <f>IF($K139="","",COUNTIFS($J$17:$J$516,1,$K$17:$K$516,"&lt;"&amp;$K139)+1)</f>
        <v/>
      </c>
    </row>
    <row r="140">
      <c r="A140" s="16">
        <f>IF(IFERROR(MATCH(124,ChqRankU,0),0)=0,"",124)</f>
        <v/>
      </c>
      <c r="B140" s="24">
        <f>IF(IFERROR(MATCH(124,ChqRankU,0),0)=0,"",INDEX(ChqNorm,IFERROR(MATCH(124,ChqRankU,0),0)))</f>
        <v/>
      </c>
      <c r="C140" s="24">
        <f>IF(IFERROR(MATCH(124,ChqRankU,0),0)=0,"",INDEX(ChqNo,IFERROR(MATCH(124,ChqRankU,0),0)))</f>
        <v/>
      </c>
      <c r="D140" s="25">
        <f>IF(IFERROR(MATCH(124,ChqRankU,0),0)=0,"",IF(INDEX(ChqAmt,IFERROR(MATCH(124,ChqRankU,0),0))=0,"",INDEX(ChqAmt,IFERROR(MATCH(124,ChqRankU,0),0))))</f>
        <v/>
      </c>
      <c r="E140" s="17">
        <f>IF(IFERROR(MATCH(124,ChqRankU,0),0)=0,"",INDEX(ChqStatus,IFERROR(MATCH(124,ChqRankU,0),0)))</f>
        <v/>
      </c>
      <c r="F140" s="24">
        <f>IF(IFERROR(MATCH(124,ChqRankU,0),0)=0,"",IF(INDEX(ChqStatus,IFERROR(MATCH(124,ChqRankU,0),0))="پاس نشده","—",IF(INDEX(ChqClr,IFERROR(MATCH(124,ChqRankU,0),0))="","—",INDEX(ChqClr,IFERROR(MATCH(124,ChqRankU,0),0)))))</f>
        <v/>
      </c>
      <c r="I140">
        <f>IF(124&gt;NChq,"",INDEX(ChqNorm,124))</f>
        <v/>
      </c>
      <c r="J140">
        <f>IF($I140="","",IF(AND($I140&gt;=$H$3,$I140&lt;=$H$4,INDEX(ChqStatus,124)="پاس نشده"),1,0))</f>
        <v/>
      </c>
      <c r="K140">
        <f>IF($J140=0,"",INDEX(ChqKey,124))</f>
        <v/>
      </c>
      <c r="L140">
        <f>IF($K140="","",COUNTIFS($J$17:$J$516,1,$K$17:$K$516,"&lt;"&amp;$K140)+1)</f>
        <v/>
      </c>
    </row>
    <row r="141">
      <c r="A141" s="10">
        <f>IF(IFERROR(MATCH(125,ChqRankU,0),0)=0,"",125)</f>
        <v/>
      </c>
      <c r="B141" s="22">
        <f>IF(IFERROR(MATCH(125,ChqRankU,0),0)=0,"",INDEX(ChqNorm,IFERROR(MATCH(125,ChqRankU,0),0)))</f>
        <v/>
      </c>
      <c r="C141" s="22">
        <f>IF(IFERROR(MATCH(125,ChqRankU,0),0)=0,"",INDEX(ChqNo,IFERROR(MATCH(125,ChqRankU,0),0)))</f>
        <v/>
      </c>
      <c r="D141" s="23">
        <f>IF(IFERROR(MATCH(125,ChqRankU,0),0)=0,"",IF(INDEX(ChqAmt,IFERROR(MATCH(125,ChqRankU,0),0))=0,"",INDEX(ChqAmt,IFERROR(MATCH(125,ChqRankU,0),0))))</f>
        <v/>
      </c>
      <c r="E141" s="14">
        <f>IF(IFERROR(MATCH(125,ChqRankU,0),0)=0,"",INDEX(ChqStatus,IFERROR(MATCH(125,ChqRankU,0),0)))</f>
        <v/>
      </c>
      <c r="F141" s="22">
        <f>IF(IFERROR(MATCH(125,ChqRankU,0),0)=0,"",IF(INDEX(ChqStatus,IFERROR(MATCH(125,ChqRankU,0),0))="پاس نشده","—",IF(INDEX(ChqClr,IFERROR(MATCH(125,ChqRankU,0),0))="","—",INDEX(ChqClr,IFERROR(MATCH(125,ChqRankU,0),0)))))</f>
        <v/>
      </c>
      <c r="I141">
        <f>IF(125&gt;NChq,"",INDEX(ChqNorm,125))</f>
        <v/>
      </c>
      <c r="J141">
        <f>IF($I141="","",IF(AND($I141&gt;=$H$3,$I141&lt;=$H$4,INDEX(ChqStatus,125)="پاس نشده"),1,0))</f>
        <v/>
      </c>
      <c r="K141">
        <f>IF($J141=0,"",INDEX(ChqKey,125))</f>
        <v/>
      </c>
      <c r="L141">
        <f>IF($K141="","",COUNTIFS($J$17:$J$516,1,$K$17:$K$516,"&lt;"&amp;$K141)+1)</f>
        <v/>
      </c>
    </row>
    <row r="142">
      <c r="A142" s="16">
        <f>IF(IFERROR(MATCH(126,ChqRankU,0),0)=0,"",126)</f>
        <v/>
      </c>
      <c r="B142" s="24">
        <f>IF(IFERROR(MATCH(126,ChqRankU,0),0)=0,"",INDEX(ChqNorm,IFERROR(MATCH(126,ChqRankU,0),0)))</f>
        <v/>
      </c>
      <c r="C142" s="24">
        <f>IF(IFERROR(MATCH(126,ChqRankU,0),0)=0,"",INDEX(ChqNo,IFERROR(MATCH(126,ChqRankU,0),0)))</f>
        <v/>
      </c>
      <c r="D142" s="25">
        <f>IF(IFERROR(MATCH(126,ChqRankU,0),0)=0,"",IF(INDEX(ChqAmt,IFERROR(MATCH(126,ChqRankU,0),0))=0,"",INDEX(ChqAmt,IFERROR(MATCH(126,ChqRankU,0),0))))</f>
        <v/>
      </c>
      <c r="E142" s="17">
        <f>IF(IFERROR(MATCH(126,ChqRankU,0),0)=0,"",INDEX(ChqStatus,IFERROR(MATCH(126,ChqRankU,0),0)))</f>
        <v/>
      </c>
      <c r="F142" s="24">
        <f>IF(IFERROR(MATCH(126,ChqRankU,0),0)=0,"",IF(INDEX(ChqStatus,IFERROR(MATCH(126,ChqRankU,0),0))="پاس نشده","—",IF(INDEX(ChqClr,IFERROR(MATCH(126,ChqRankU,0),0))="","—",INDEX(ChqClr,IFERROR(MATCH(126,ChqRankU,0),0)))))</f>
        <v/>
      </c>
      <c r="I142">
        <f>IF(126&gt;NChq,"",INDEX(ChqNorm,126))</f>
        <v/>
      </c>
      <c r="J142">
        <f>IF($I142="","",IF(AND($I142&gt;=$H$3,$I142&lt;=$H$4,INDEX(ChqStatus,126)="پاس نشده"),1,0))</f>
        <v/>
      </c>
      <c r="K142">
        <f>IF($J142=0,"",INDEX(ChqKey,126))</f>
        <v/>
      </c>
      <c r="L142">
        <f>IF($K142="","",COUNTIFS($J$17:$J$516,1,$K$17:$K$516,"&lt;"&amp;$K142)+1)</f>
        <v/>
      </c>
    </row>
    <row r="143">
      <c r="A143" s="10">
        <f>IF(IFERROR(MATCH(127,ChqRankU,0),0)=0,"",127)</f>
        <v/>
      </c>
      <c r="B143" s="22">
        <f>IF(IFERROR(MATCH(127,ChqRankU,0),0)=0,"",INDEX(ChqNorm,IFERROR(MATCH(127,ChqRankU,0),0)))</f>
        <v/>
      </c>
      <c r="C143" s="22">
        <f>IF(IFERROR(MATCH(127,ChqRankU,0),0)=0,"",INDEX(ChqNo,IFERROR(MATCH(127,ChqRankU,0),0)))</f>
        <v/>
      </c>
      <c r="D143" s="23">
        <f>IF(IFERROR(MATCH(127,ChqRankU,0),0)=0,"",IF(INDEX(ChqAmt,IFERROR(MATCH(127,ChqRankU,0),0))=0,"",INDEX(ChqAmt,IFERROR(MATCH(127,ChqRankU,0),0))))</f>
        <v/>
      </c>
      <c r="E143" s="14">
        <f>IF(IFERROR(MATCH(127,ChqRankU,0),0)=0,"",INDEX(ChqStatus,IFERROR(MATCH(127,ChqRankU,0),0)))</f>
        <v/>
      </c>
      <c r="F143" s="22">
        <f>IF(IFERROR(MATCH(127,ChqRankU,0),0)=0,"",IF(INDEX(ChqStatus,IFERROR(MATCH(127,ChqRankU,0),0))="پاس نشده","—",IF(INDEX(ChqClr,IFERROR(MATCH(127,ChqRankU,0),0))="","—",INDEX(ChqClr,IFERROR(MATCH(127,ChqRankU,0),0)))))</f>
        <v/>
      </c>
      <c r="I143">
        <f>IF(127&gt;NChq,"",INDEX(ChqNorm,127))</f>
        <v/>
      </c>
      <c r="J143">
        <f>IF($I143="","",IF(AND($I143&gt;=$H$3,$I143&lt;=$H$4,INDEX(ChqStatus,127)="پاس نشده"),1,0))</f>
        <v/>
      </c>
      <c r="K143">
        <f>IF($J143=0,"",INDEX(ChqKey,127))</f>
        <v/>
      </c>
      <c r="L143">
        <f>IF($K143="","",COUNTIFS($J$17:$J$516,1,$K$17:$K$516,"&lt;"&amp;$K143)+1)</f>
        <v/>
      </c>
    </row>
    <row r="144">
      <c r="A144" s="16">
        <f>IF(IFERROR(MATCH(128,ChqRankU,0),0)=0,"",128)</f>
        <v/>
      </c>
      <c r="B144" s="24">
        <f>IF(IFERROR(MATCH(128,ChqRankU,0),0)=0,"",INDEX(ChqNorm,IFERROR(MATCH(128,ChqRankU,0),0)))</f>
        <v/>
      </c>
      <c r="C144" s="24">
        <f>IF(IFERROR(MATCH(128,ChqRankU,0),0)=0,"",INDEX(ChqNo,IFERROR(MATCH(128,ChqRankU,0),0)))</f>
        <v/>
      </c>
      <c r="D144" s="25">
        <f>IF(IFERROR(MATCH(128,ChqRankU,0),0)=0,"",IF(INDEX(ChqAmt,IFERROR(MATCH(128,ChqRankU,0),0))=0,"",INDEX(ChqAmt,IFERROR(MATCH(128,ChqRankU,0),0))))</f>
        <v/>
      </c>
      <c r="E144" s="17">
        <f>IF(IFERROR(MATCH(128,ChqRankU,0),0)=0,"",INDEX(ChqStatus,IFERROR(MATCH(128,ChqRankU,0),0)))</f>
        <v/>
      </c>
      <c r="F144" s="24">
        <f>IF(IFERROR(MATCH(128,ChqRankU,0),0)=0,"",IF(INDEX(ChqStatus,IFERROR(MATCH(128,ChqRankU,0),0))="پاس نشده","—",IF(INDEX(ChqClr,IFERROR(MATCH(128,ChqRankU,0),0))="","—",INDEX(ChqClr,IFERROR(MATCH(128,ChqRankU,0),0)))))</f>
        <v/>
      </c>
      <c r="I144">
        <f>IF(128&gt;NChq,"",INDEX(ChqNorm,128))</f>
        <v/>
      </c>
      <c r="J144">
        <f>IF($I144="","",IF(AND($I144&gt;=$H$3,$I144&lt;=$H$4,INDEX(ChqStatus,128)="پاس نشده"),1,0))</f>
        <v/>
      </c>
      <c r="K144">
        <f>IF($J144=0,"",INDEX(ChqKey,128))</f>
        <v/>
      </c>
      <c r="L144">
        <f>IF($K144="","",COUNTIFS($J$17:$J$516,1,$K$17:$K$516,"&lt;"&amp;$K144)+1)</f>
        <v/>
      </c>
    </row>
    <row r="145">
      <c r="A145" s="10">
        <f>IF(IFERROR(MATCH(129,ChqRankU,0),0)=0,"",129)</f>
        <v/>
      </c>
      <c r="B145" s="22">
        <f>IF(IFERROR(MATCH(129,ChqRankU,0),0)=0,"",INDEX(ChqNorm,IFERROR(MATCH(129,ChqRankU,0),0)))</f>
        <v/>
      </c>
      <c r="C145" s="22">
        <f>IF(IFERROR(MATCH(129,ChqRankU,0),0)=0,"",INDEX(ChqNo,IFERROR(MATCH(129,ChqRankU,0),0)))</f>
        <v/>
      </c>
      <c r="D145" s="23">
        <f>IF(IFERROR(MATCH(129,ChqRankU,0),0)=0,"",IF(INDEX(ChqAmt,IFERROR(MATCH(129,ChqRankU,0),0))=0,"",INDEX(ChqAmt,IFERROR(MATCH(129,ChqRankU,0),0))))</f>
        <v/>
      </c>
      <c r="E145" s="14">
        <f>IF(IFERROR(MATCH(129,ChqRankU,0),0)=0,"",INDEX(ChqStatus,IFERROR(MATCH(129,ChqRankU,0),0)))</f>
        <v/>
      </c>
      <c r="F145" s="22">
        <f>IF(IFERROR(MATCH(129,ChqRankU,0),0)=0,"",IF(INDEX(ChqStatus,IFERROR(MATCH(129,ChqRankU,0),0))="پاس نشده","—",IF(INDEX(ChqClr,IFERROR(MATCH(129,ChqRankU,0),0))="","—",INDEX(ChqClr,IFERROR(MATCH(129,ChqRankU,0),0)))))</f>
        <v/>
      </c>
      <c r="I145">
        <f>IF(129&gt;NChq,"",INDEX(ChqNorm,129))</f>
        <v/>
      </c>
      <c r="J145">
        <f>IF($I145="","",IF(AND($I145&gt;=$H$3,$I145&lt;=$H$4,INDEX(ChqStatus,129)="پاس نشده"),1,0))</f>
        <v/>
      </c>
      <c r="K145">
        <f>IF($J145=0,"",INDEX(ChqKey,129))</f>
        <v/>
      </c>
      <c r="L145">
        <f>IF($K145="","",COUNTIFS($J$17:$J$516,1,$K$17:$K$516,"&lt;"&amp;$K145)+1)</f>
        <v/>
      </c>
    </row>
    <row r="146">
      <c r="A146" s="16">
        <f>IF(IFERROR(MATCH(130,ChqRankU,0),0)=0,"",130)</f>
        <v/>
      </c>
      <c r="B146" s="24">
        <f>IF(IFERROR(MATCH(130,ChqRankU,0),0)=0,"",INDEX(ChqNorm,IFERROR(MATCH(130,ChqRankU,0),0)))</f>
        <v/>
      </c>
      <c r="C146" s="24">
        <f>IF(IFERROR(MATCH(130,ChqRankU,0),0)=0,"",INDEX(ChqNo,IFERROR(MATCH(130,ChqRankU,0),0)))</f>
        <v/>
      </c>
      <c r="D146" s="25">
        <f>IF(IFERROR(MATCH(130,ChqRankU,0),0)=0,"",IF(INDEX(ChqAmt,IFERROR(MATCH(130,ChqRankU,0),0))=0,"",INDEX(ChqAmt,IFERROR(MATCH(130,ChqRankU,0),0))))</f>
        <v/>
      </c>
      <c r="E146" s="17">
        <f>IF(IFERROR(MATCH(130,ChqRankU,0),0)=0,"",INDEX(ChqStatus,IFERROR(MATCH(130,ChqRankU,0),0)))</f>
        <v/>
      </c>
      <c r="F146" s="24">
        <f>IF(IFERROR(MATCH(130,ChqRankU,0),0)=0,"",IF(INDEX(ChqStatus,IFERROR(MATCH(130,ChqRankU,0),0))="پاس نشده","—",IF(INDEX(ChqClr,IFERROR(MATCH(130,ChqRankU,0),0))="","—",INDEX(ChqClr,IFERROR(MATCH(130,ChqRankU,0),0)))))</f>
        <v/>
      </c>
      <c r="I146">
        <f>IF(130&gt;NChq,"",INDEX(ChqNorm,130))</f>
        <v/>
      </c>
      <c r="J146">
        <f>IF($I146="","",IF(AND($I146&gt;=$H$3,$I146&lt;=$H$4,INDEX(ChqStatus,130)="پاس نشده"),1,0))</f>
        <v/>
      </c>
      <c r="K146">
        <f>IF($J146=0,"",INDEX(ChqKey,130))</f>
        <v/>
      </c>
      <c r="L146">
        <f>IF($K146="","",COUNTIFS($J$17:$J$516,1,$K$17:$K$516,"&lt;"&amp;$K146)+1)</f>
        <v/>
      </c>
    </row>
    <row r="147">
      <c r="A147" s="10">
        <f>IF(IFERROR(MATCH(131,ChqRankU,0),0)=0,"",131)</f>
        <v/>
      </c>
      <c r="B147" s="22">
        <f>IF(IFERROR(MATCH(131,ChqRankU,0),0)=0,"",INDEX(ChqNorm,IFERROR(MATCH(131,ChqRankU,0),0)))</f>
        <v/>
      </c>
      <c r="C147" s="22">
        <f>IF(IFERROR(MATCH(131,ChqRankU,0),0)=0,"",INDEX(ChqNo,IFERROR(MATCH(131,ChqRankU,0),0)))</f>
        <v/>
      </c>
      <c r="D147" s="23">
        <f>IF(IFERROR(MATCH(131,ChqRankU,0),0)=0,"",IF(INDEX(ChqAmt,IFERROR(MATCH(131,ChqRankU,0),0))=0,"",INDEX(ChqAmt,IFERROR(MATCH(131,ChqRankU,0),0))))</f>
        <v/>
      </c>
      <c r="E147" s="14">
        <f>IF(IFERROR(MATCH(131,ChqRankU,0),0)=0,"",INDEX(ChqStatus,IFERROR(MATCH(131,ChqRankU,0),0)))</f>
        <v/>
      </c>
      <c r="F147" s="22">
        <f>IF(IFERROR(MATCH(131,ChqRankU,0),0)=0,"",IF(INDEX(ChqStatus,IFERROR(MATCH(131,ChqRankU,0),0))="پاس نشده","—",IF(INDEX(ChqClr,IFERROR(MATCH(131,ChqRankU,0),0))="","—",INDEX(ChqClr,IFERROR(MATCH(131,ChqRankU,0),0)))))</f>
        <v/>
      </c>
      <c r="I147">
        <f>IF(131&gt;NChq,"",INDEX(ChqNorm,131))</f>
        <v/>
      </c>
      <c r="J147">
        <f>IF($I147="","",IF(AND($I147&gt;=$H$3,$I147&lt;=$H$4,INDEX(ChqStatus,131)="پاس نشده"),1,0))</f>
        <v/>
      </c>
      <c r="K147">
        <f>IF($J147=0,"",INDEX(ChqKey,131))</f>
        <v/>
      </c>
      <c r="L147">
        <f>IF($K147="","",COUNTIFS($J$17:$J$516,1,$K$17:$K$516,"&lt;"&amp;$K147)+1)</f>
        <v/>
      </c>
    </row>
    <row r="148">
      <c r="A148" s="16">
        <f>IF(IFERROR(MATCH(132,ChqRankU,0),0)=0,"",132)</f>
        <v/>
      </c>
      <c r="B148" s="24">
        <f>IF(IFERROR(MATCH(132,ChqRankU,0),0)=0,"",INDEX(ChqNorm,IFERROR(MATCH(132,ChqRankU,0),0)))</f>
        <v/>
      </c>
      <c r="C148" s="24">
        <f>IF(IFERROR(MATCH(132,ChqRankU,0),0)=0,"",INDEX(ChqNo,IFERROR(MATCH(132,ChqRankU,0),0)))</f>
        <v/>
      </c>
      <c r="D148" s="25">
        <f>IF(IFERROR(MATCH(132,ChqRankU,0),0)=0,"",IF(INDEX(ChqAmt,IFERROR(MATCH(132,ChqRankU,0),0))=0,"",INDEX(ChqAmt,IFERROR(MATCH(132,ChqRankU,0),0))))</f>
        <v/>
      </c>
      <c r="E148" s="17">
        <f>IF(IFERROR(MATCH(132,ChqRankU,0),0)=0,"",INDEX(ChqStatus,IFERROR(MATCH(132,ChqRankU,0),0)))</f>
        <v/>
      </c>
      <c r="F148" s="24">
        <f>IF(IFERROR(MATCH(132,ChqRankU,0),0)=0,"",IF(INDEX(ChqStatus,IFERROR(MATCH(132,ChqRankU,0),0))="پاس نشده","—",IF(INDEX(ChqClr,IFERROR(MATCH(132,ChqRankU,0),0))="","—",INDEX(ChqClr,IFERROR(MATCH(132,ChqRankU,0),0)))))</f>
        <v/>
      </c>
      <c r="I148">
        <f>IF(132&gt;NChq,"",INDEX(ChqNorm,132))</f>
        <v/>
      </c>
      <c r="J148">
        <f>IF($I148="","",IF(AND($I148&gt;=$H$3,$I148&lt;=$H$4,INDEX(ChqStatus,132)="پاس نشده"),1,0))</f>
        <v/>
      </c>
      <c r="K148">
        <f>IF($J148=0,"",INDEX(ChqKey,132))</f>
        <v/>
      </c>
      <c r="L148">
        <f>IF($K148="","",COUNTIFS($J$17:$J$516,1,$K$17:$K$516,"&lt;"&amp;$K148)+1)</f>
        <v/>
      </c>
    </row>
    <row r="149">
      <c r="A149" s="10">
        <f>IF(IFERROR(MATCH(133,ChqRankU,0),0)=0,"",133)</f>
        <v/>
      </c>
      <c r="B149" s="22">
        <f>IF(IFERROR(MATCH(133,ChqRankU,0),0)=0,"",INDEX(ChqNorm,IFERROR(MATCH(133,ChqRankU,0),0)))</f>
        <v/>
      </c>
      <c r="C149" s="22">
        <f>IF(IFERROR(MATCH(133,ChqRankU,0),0)=0,"",INDEX(ChqNo,IFERROR(MATCH(133,ChqRankU,0),0)))</f>
        <v/>
      </c>
      <c r="D149" s="23">
        <f>IF(IFERROR(MATCH(133,ChqRankU,0),0)=0,"",IF(INDEX(ChqAmt,IFERROR(MATCH(133,ChqRankU,0),0))=0,"",INDEX(ChqAmt,IFERROR(MATCH(133,ChqRankU,0),0))))</f>
        <v/>
      </c>
      <c r="E149" s="14">
        <f>IF(IFERROR(MATCH(133,ChqRankU,0),0)=0,"",INDEX(ChqStatus,IFERROR(MATCH(133,ChqRankU,0),0)))</f>
        <v/>
      </c>
      <c r="F149" s="22">
        <f>IF(IFERROR(MATCH(133,ChqRankU,0),0)=0,"",IF(INDEX(ChqStatus,IFERROR(MATCH(133,ChqRankU,0),0))="پاس نشده","—",IF(INDEX(ChqClr,IFERROR(MATCH(133,ChqRankU,0),0))="","—",INDEX(ChqClr,IFERROR(MATCH(133,ChqRankU,0),0)))))</f>
        <v/>
      </c>
      <c r="I149">
        <f>IF(133&gt;NChq,"",INDEX(ChqNorm,133))</f>
        <v/>
      </c>
      <c r="J149">
        <f>IF($I149="","",IF(AND($I149&gt;=$H$3,$I149&lt;=$H$4,INDEX(ChqStatus,133)="پاس نشده"),1,0))</f>
        <v/>
      </c>
      <c r="K149">
        <f>IF($J149=0,"",INDEX(ChqKey,133))</f>
        <v/>
      </c>
      <c r="L149">
        <f>IF($K149="","",COUNTIFS($J$17:$J$516,1,$K$17:$K$516,"&lt;"&amp;$K149)+1)</f>
        <v/>
      </c>
    </row>
    <row r="150">
      <c r="A150" s="16">
        <f>IF(IFERROR(MATCH(134,ChqRankU,0),0)=0,"",134)</f>
        <v/>
      </c>
      <c r="B150" s="24">
        <f>IF(IFERROR(MATCH(134,ChqRankU,0),0)=0,"",INDEX(ChqNorm,IFERROR(MATCH(134,ChqRankU,0),0)))</f>
        <v/>
      </c>
      <c r="C150" s="24">
        <f>IF(IFERROR(MATCH(134,ChqRankU,0),0)=0,"",INDEX(ChqNo,IFERROR(MATCH(134,ChqRankU,0),0)))</f>
        <v/>
      </c>
      <c r="D150" s="25">
        <f>IF(IFERROR(MATCH(134,ChqRankU,0),0)=0,"",IF(INDEX(ChqAmt,IFERROR(MATCH(134,ChqRankU,0),0))=0,"",INDEX(ChqAmt,IFERROR(MATCH(134,ChqRankU,0),0))))</f>
        <v/>
      </c>
      <c r="E150" s="17">
        <f>IF(IFERROR(MATCH(134,ChqRankU,0),0)=0,"",INDEX(ChqStatus,IFERROR(MATCH(134,ChqRankU,0),0)))</f>
        <v/>
      </c>
      <c r="F150" s="24">
        <f>IF(IFERROR(MATCH(134,ChqRankU,0),0)=0,"",IF(INDEX(ChqStatus,IFERROR(MATCH(134,ChqRankU,0),0))="پاس نشده","—",IF(INDEX(ChqClr,IFERROR(MATCH(134,ChqRankU,0),0))="","—",INDEX(ChqClr,IFERROR(MATCH(134,ChqRankU,0),0)))))</f>
        <v/>
      </c>
      <c r="I150">
        <f>IF(134&gt;NChq,"",INDEX(ChqNorm,134))</f>
        <v/>
      </c>
      <c r="J150">
        <f>IF($I150="","",IF(AND($I150&gt;=$H$3,$I150&lt;=$H$4,INDEX(ChqStatus,134)="پاس نشده"),1,0))</f>
        <v/>
      </c>
      <c r="K150">
        <f>IF($J150=0,"",INDEX(ChqKey,134))</f>
        <v/>
      </c>
      <c r="L150">
        <f>IF($K150="","",COUNTIFS($J$17:$J$516,1,$K$17:$K$516,"&lt;"&amp;$K150)+1)</f>
        <v/>
      </c>
    </row>
    <row r="151">
      <c r="A151" s="10">
        <f>IF(IFERROR(MATCH(135,ChqRankU,0),0)=0,"",135)</f>
        <v/>
      </c>
      <c r="B151" s="22">
        <f>IF(IFERROR(MATCH(135,ChqRankU,0),0)=0,"",INDEX(ChqNorm,IFERROR(MATCH(135,ChqRankU,0),0)))</f>
        <v/>
      </c>
      <c r="C151" s="22">
        <f>IF(IFERROR(MATCH(135,ChqRankU,0),0)=0,"",INDEX(ChqNo,IFERROR(MATCH(135,ChqRankU,0),0)))</f>
        <v/>
      </c>
      <c r="D151" s="23">
        <f>IF(IFERROR(MATCH(135,ChqRankU,0),0)=0,"",IF(INDEX(ChqAmt,IFERROR(MATCH(135,ChqRankU,0),0))=0,"",INDEX(ChqAmt,IFERROR(MATCH(135,ChqRankU,0),0))))</f>
        <v/>
      </c>
      <c r="E151" s="14">
        <f>IF(IFERROR(MATCH(135,ChqRankU,0),0)=0,"",INDEX(ChqStatus,IFERROR(MATCH(135,ChqRankU,0),0)))</f>
        <v/>
      </c>
      <c r="F151" s="22">
        <f>IF(IFERROR(MATCH(135,ChqRankU,0),0)=0,"",IF(INDEX(ChqStatus,IFERROR(MATCH(135,ChqRankU,0),0))="پاس نشده","—",IF(INDEX(ChqClr,IFERROR(MATCH(135,ChqRankU,0),0))="","—",INDEX(ChqClr,IFERROR(MATCH(135,ChqRankU,0),0)))))</f>
        <v/>
      </c>
      <c r="I151">
        <f>IF(135&gt;NChq,"",INDEX(ChqNorm,135))</f>
        <v/>
      </c>
      <c r="J151">
        <f>IF($I151="","",IF(AND($I151&gt;=$H$3,$I151&lt;=$H$4,INDEX(ChqStatus,135)="پاس نشده"),1,0))</f>
        <v/>
      </c>
      <c r="K151">
        <f>IF($J151=0,"",INDEX(ChqKey,135))</f>
        <v/>
      </c>
      <c r="L151">
        <f>IF($K151="","",COUNTIFS($J$17:$J$516,1,$K$17:$K$516,"&lt;"&amp;$K151)+1)</f>
        <v/>
      </c>
    </row>
    <row r="152">
      <c r="A152" s="16">
        <f>IF(IFERROR(MATCH(136,ChqRankU,0),0)=0,"",136)</f>
        <v/>
      </c>
      <c r="B152" s="24">
        <f>IF(IFERROR(MATCH(136,ChqRankU,0),0)=0,"",INDEX(ChqNorm,IFERROR(MATCH(136,ChqRankU,0),0)))</f>
        <v/>
      </c>
      <c r="C152" s="24">
        <f>IF(IFERROR(MATCH(136,ChqRankU,0),0)=0,"",INDEX(ChqNo,IFERROR(MATCH(136,ChqRankU,0),0)))</f>
        <v/>
      </c>
      <c r="D152" s="25">
        <f>IF(IFERROR(MATCH(136,ChqRankU,0),0)=0,"",IF(INDEX(ChqAmt,IFERROR(MATCH(136,ChqRankU,0),0))=0,"",INDEX(ChqAmt,IFERROR(MATCH(136,ChqRankU,0),0))))</f>
        <v/>
      </c>
      <c r="E152" s="17">
        <f>IF(IFERROR(MATCH(136,ChqRankU,0),0)=0,"",INDEX(ChqStatus,IFERROR(MATCH(136,ChqRankU,0),0)))</f>
        <v/>
      </c>
      <c r="F152" s="24">
        <f>IF(IFERROR(MATCH(136,ChqRankU,0),0)=0,"",IF(INDEX(ChqStatus,IFERROR(MATCH(136,ChqRankU,0),0))="پاس نشده","—",IF(INDEX(ChqClr,IFERROR(MATCH(136,ChqRankU,0),0))="","—",INDEX(ChqClr,IFERROR(MATCH(136,ChqRankU,0),0)))))</f>
        <v/>
      </c>
      <c r="I152">
        <f>IF(136&gt;NChq,"",INDEX(ChqNorm,136))</f>
        <v/>
      </c>
      <c r="J152">
        <f>IF($I152="","",IF(AND($I152&gt;=$H$3,$I152&lt;=$H$4,INDEX(ChqStatus,136)="پاس نشده"),1,0))</f>
        <v/>
      </c>
      <c r="K152">
        <f>IF($J152=0,"",INDEX(ChqKey,136))</f>
        <v/>
      </c>
      <c r="L152">
        <f>IF($K152="","",COUNTIFS($J$17:$J$516,1,$K$17:$K$516,"&lt;"&amp;$K152)+1)</f>
        <v/>
      </c>
    </row>
    <row r="153">
      <c r="A153" s="10">
        <f>IF(IFERROR(MATCH(137,ChqRankU,0),0)=0,"",137)</f>
        <v/>
      </c>
      <c r="B153" s="22">
        <f>IF(IFERROR(MATCH(137,ChqRankU,0),0)=0,"",INDEX(ChqNorm,IFERROR(MATCH(137,ChqRankU,0),0)))</f>
        <v/>
      </c>
      <c r="C153" s="22">
        <f>IF(IFERROR(MATCH(137,ChqRankU,0),0)=0,"",INDEX(ChqNo,IFERROR(MATCH(137,ChqRankU,0),0)))</f>
        <v/>
      </c>
      <c r="D153" s="23">
        <f>IF(IFERROR(MATCH(137,ChqRankU,0),0)=0,"",IF(INDEX(ChqAmt,IFERROR(MATCH(137,ChqRankU,0),0))=0,"",INDEX(ChqAmt,IFERROR(MATCH(137,ChqRankU,0),0))))</f>
        <v/>
      </c>
      <c r="E153" s="14">
        <f>IF(IFERROR(MATCH(137,ChqRankU,0),0)=0,"",INDEX(ChqStatus,IFERROR(MATCH(137,ChqRankU,0),0)))</f>
        <v/>
      </c>
      <c r="F153" s="22">
        <f>IF(IFERROR(MATCH(137,ChqRankU,0),0)=0,"",IF(INDEX(ChqStatus,IFERROR(MATCH(137,ChqRankU,0),0))="پاس نشده","—",IF(INDEX(ChqClr,IFERROR(MATCH(137,ChqRankU,0),0))="","—",INDEX(ChqClr,IFERROR(MATCH(137,ChqRankU,0),0)))))</f>
        <v/>
      </c>
      <c r="I153">
        <f>IF(137&gt;NChq,"",INDEX(ChqNorm,137))</f>
        <v/>
      </c>
      <c r="J153">
        <f>IF($I153="","",IF(AND($I153&gt;=$H$3,$I153&lt;=$H$4,INDEX(ChqStatus,137)="پاس نشده"),1,0))</f>
        <v/>
      </c>
      <c r="K153">
        <f>IF($J153=0,"",INDEX(ChqKey,137))</f>
        <v/>
      </c>
      <c r="L153">
        <f>IF($K153="","",COUNTIFS($J$17:$J$516,1,$K$17:$K$516,"&lt;"&amp;$K153)+1)</f>
        <v/>
      </c>
    </row>
    <row r="154">
      <c r="A154" s="16">
        <f>IF(IFERROR(MATCH(138,ChqRankU,0),0)=0,"",138)</f>
        <v/>
      </c>
      <c r="B154" s="24">
        <f>IF(IFERROR(MATCH(138,ChqRankU,0),0)=0,"",INDEX(ChqNorm,IFERROR(MATCH(138,ChqRankU,0),0)))</f>
        <v/>
      </c>
      <c r="C154" s="24">
        <f>IF(IFERROR(MATCH(138,ChqRankU,0),0)=0,"",INDEX(ChqNo,IFERROR(MATCH(138,ChqRankU,0),0)))</f>
        <v/>
      </c>
      <c r="D154" s="25">
        <f>IF(IFERROR(MATCH(138,ChqRankU,0),0)=0,"",IF(INDEX(ChqAmt,IFERROR(MATCH(138,ChqRankU,0),0))=0,"",INDEX(ChqAmt,IFERROR(MATCH(138,ChqRankU,0),0))))</f>
        <v/>
      </c>
      <c r="E154" s="17">
        <f>IF(IFERROR(MATCH(138,ChqRankU,0),0)=0,"",INDEX(ChqStatus,IFERROR(MATCH(138,ChqRankU,0),0)))</f>
        <v/>
      </c>
      <c r="F154" s="24">
        <f>IF(IFERROR(MATCH(138,ChqRankU,0),0)=0,"",IF(INDEX(ChqStatus,IFERROR(MATCH(138,ChqRankU,0),0))="پاس نشده","—",IF(INDEX(ChqClr,IFERROR(MATCH(138,ChqRankU,0),0))="","—",INDEX(ChqClr,IFERROR(MATCH(138,ChqRankU,0),0)))))</f>
        <v/>
      </c>
      <c r="I154">
        <f>IF(138&gt;NChq,"",INDEX(ChqNorm,138))</f>
        <v/>
      </c>
      <c r="J154">
        <f>IF($I154="","",IF(AND($I154&gt;=$H$3,$I154&lt;=$H$4,INDEX(ChqStatus,138)="پاس نشده"),1,0))</f>
        <v/>
      </c>
      <c r="K154">
        <f>IF($J154=0,"",INDEX(ChqKey,138))</f>
        <v/>
      </c>
      <c r="L154">
        <f>IF($K154="","",COUNTIFS($J$17:$J$516,1,$K$17:$K$516,"&lt;"&amp;$K154)+1)</f>
        <v/>
      </c>
    </row>
    <row r="155">
      <c r="A155" s="10">
        <f>IF(IFERROR(MATCH(139,ChqRankU,0),0)=0,"",139)</f>
        <v/>
      </c>
      <c r="B155" s="22">
        <f>IF(IFERROR(MATCH(139,ChqRankU,0),0)=0,"",INDEX(ChqNorm,IFERROR(MATCH(139,ChqRankU,0),0)))</f>
        <v/>
      </c>
      <c r="C155" s="22">
        <f>IF(IFERROR(MATCH(139,ChqRankU,0),0)=0,"",INDEX(ChqNo,IFERROR(MATCH(139,ChqRankU,0),0)))</f>
        <v/>
      </c>
      <c r="D155" s="23">
        <f>IF(IFERROR(MATCH(139,ChqRankU,0),0)=0,"",IF(INDEX(ChqAmt,IFERROR(MATCH(139,ChqRankU,0),0))=0,"",INDEX(ChqAmt,IFERROR(MATCH(139,ChqRankU,0),0))))</f>
        <v/>
      </c>
      <c r="E155" s="14">
        <f>IF(IFERROR(MATCH(139,ChqRankU,0),0)=0,"",INDEX(ChqStatus,IFERROR(MATCH(139,ChqRankU,0),0)))</f>
        <v/>
      </c>
      <c r="F155" s="22">
        <f>IF(IFERROR(MATCH(139,ChqRankU,0),0)=0,"",IF(INDEX(ChqStatus,IFERROR(MATCH(139,ChqRankU,0),0))="پاس نشده","—",IF(INDEX(ChqClr,IFERROR(MATCH(139,ChqRankU,0),0))="","—",INDEX(ChqClr,IFERROR(MATCH(139,ChqRankU,0),0)))))</f>
        <v/>
      </c>
      <c r="I155">
        <f>IF(139&gt;NChq,"",INDEX(ChqNorm,139))</f>
        <v/>
      </c>
      <c r="J155">
        <f>IF($I155="","",IF(AND($I155&gt;=$H$3,$I155&lt;=$H$4,INDEX(ChqStatus,139)="پاس نشده"),1,0))</f>
        <v/>
      </c>
      <c r="K155">
        <f>IF($J155=0,"",INDEX(ChqKey,139))</f>
        <v/>
      </c>
      <c r="L155">
        <f>IF($K155="","",COUNTIFS($J$17:$J$516,1,$K$17:$K$516,"&lt;"&amp;$K155)+1)</f>
        <v/>
      </c>
    </row>
    <row r="156">
      <c r="A156" s="16">
        <f>IF(IFERROR(MATCH(140,ChqRankU,0),0)=0,"",140)</f>
        <v/>
      </c>
      <c r="B156" s="24">
        <f>IF(IFERROR(MATCH(140,ChqRankU,0),0)=0,"",INDEX(ChqNorm,IFERROR(MATCH(140,ChqRankU,0),0)))</f>
        <v/>
      </c>
      <c r="C156" s="24">
        <f>IF(IFERROR(MATCH(140,ChqRankU,0),0)=0,"",INDEX(ChqNo,IFERROR(MATCH(140,ChqRankU,0),0)))</f>
        <v/>
      </c>
      <c r="D156" s="25">
        <f>IF(IFERROR(MATCH(140,ChqRankU,0),0)=0,"",IF(INDEX(ChqAmt,IFERROR(MATCH(140,ChqRankU,0),0))=0,"",INDEX(ChqAmt,IFERROR(MATCH(140,ChqRankU,0),0))))</f>
        <v/>
      </c>
      <c r="E156" s="17">
        <f>IF(IFERROR(MATCH(140,ChqRankU,0),0)=0,"",INDEX(ChqStatus,IFERROR(MATCH(140,ChqRankU,0),0)))</f>
        <v/>
      </c>
      <c r="F156" s="24">
        <f>IF(IFERROR(MATCH(140,ChqRankU,0),0)=0,"",IF(INDEX(ChqStatus,IFERROR(MATCH(140,ChqRankU,0),0))="پاس نشده","—",IF(INDEX(ChqClr,IFERROR(MATCH(140,ChqRankU,0),0))="","—",INDEX(ChqClr,IFERROR(MATCH(140,ChqRankU,0),0)))))</f>
        <v/>
      </c>
      <c r="I156">
        <f>IF(140&gt;NChq,"",INDEX(ChqNorm,140))</f>
        <v/>
      </c>
      <c r="J156">
        <f>IF($I156="","",IF(AND($I156&gt;=$H$3,$I156&lt;=$H$4,INDEX(ChqStatus,140)="پاس نشده"),1,0))</f>
        <v/>
      </c>
      <c r="K156">
        <f>IF($J156=0,"",INDEX(ChqKey,140))</f>
        <v/>
      </c>
      <c r="L156">
        <f>IF($K156="","",COUNTIFS($J$17:$J$516,1,$K$17:$K$516,"&lt;"&amp;$K156)+1)</f>
        <v/>
      </c>
    </row>
    <row r="157">
      <c r="A157" s="10">
        <f>IF(IFERROR(MATCH(141,ChqRankU,0),0)=0,"",141)</f>
        <v/>
      </c>
      <c r="B157" s="22">
        <f>IF(IFERROR(MATCH(141,ChqRankU,0),0)=0,"",INDEX(ChqNorm,IFERROR(MATCH(141,ChqRankU,0),0)))</f>
        <v/>
      </c>
      <c r="C157" s="22">
        <f>IF(IFERROR(MATCH(141,ChqRankU,0),0)=0,"",INDEX(ChqNo,IFERROR(MATCH(141,ChqRankU,0),0)))</f>
        <v/>
      </c>
      <c r="D157" s="23">
        <f>IF(IFERROR(MATCH(141,ChqRankU,0),0)=0,"",IF(INDEX(ChqAmt,IFERROR(MATCH(141,ChqRankU,0),0))=0,"",INDEX(ChqAmt,IFERROR(MATCH(141,ChqRankU,0),0))))</f>
        <v/>
      </c>
      <c r="E157" s="14">
        <f>IF(IFERROR(MATCH(141,ChqRankU,0),0)=0,"",INDEX(ChqStatus,IFERROR(MATCH(141,ChqRankU,0),0)))</f>
        <v/>
      </c>
      <c r="F157" s="22">
        <f>IF(IFERROR(MATCH(141,ChqRankU,0),0)=0,"",IF(INDEX(ChqStatus,IFERROR(MATCH(141,ChqRankU,0),0))="پاس نشده","—",IF(INDEX(ChqClr,IFERROR(MATCH(141,ChqRankU,0),0))="","—",INDEX(ChqClr,IFERROR(MATCH(141,ChqRankU,0),0)))))</f>
        <v/>
      </c>
      <c r="I157">
        <f>IF(141&gt;NChq,"",INDEX(ChqNorm,141))</f>
        <v/>
      </c>
      <c r="J157">
        <f>IF($I157="","",IF(AND($I157&gt;=$H$3,$I157&lt;=$H$4,INDEX(ChqStatus,141)="پاس نشده"),1,0))</f>
        <v/>
      </c>
      <c r="K157">
        <f>IF($J157=0,"",INDEX(ChqKey,141))</f>
        <v/>
      </c>
      <c r="L157">
        <f>IF($K157="","",COUNTIFS($J$17:$J$516,1,$K$17:$K$516,"&lt;"&amp;$K157)+1)</f>
        <v/>
      </c>
    </row>
    <row r="158">
      <c r="A158" s="16">
        <f>IF(IFERROR(MATCH(142,ChqRankU,0),0)=0,"",142)</f>
        <v/>
      </c>
      <c r="B158" s="24">
        <f>IF(IFERROR(MATCH(142,ChqRankU,0),0)=0,"",INDEX(ChqNorm,IFERROR(MATCH(142,ChqRankU,0),0)))</f>
        <v/>
      </c>
      <c r="C158" s="24">
        <f>IF(IFERROR(MATCH(142,ChqRankU,0),0)=0,"",INDEX(ChqNo,IFERROR(MATCH(142,ChqRankU,0),0)))</f>
        <v/>
      </c>
      <c r="D158" s="25">
        <f>IF(IFERROR(MATCH(142,ChqRankU,0),0)=0,"",IF(INDEX(ChqAmt,IFERROR(MATCH(142,ChqRankU,0),0))=0,"",INDEX(ChqAmt,IFERROR(MATCH(142,ChqRankU,0),0))))</f>
        <v/>
      </c>
      <c r="E158" s="17">
        <f>IF(IFERROR(MATCH(142,ChqRankU,0),0)=0,"",INDEX(ChqStatus,IFERROR(MATCH(142,ChqRankU,0),0)))</f>
        <v/>
      </c>
      <c r="F158" s="24">
        <f>IF(IFERROR(MATCH(142,ChqRankU,0),0)=0,"",IF(INDEX(ChqStatus,IFERROR(MATCH(142,ChqRankU,0),0))="پاس نشده","—",IF(INDEX(ChqClr,IFERROR(MATCH(142,ChqRankU,0),0))="","—",INDEX(ChqClr,IFERROR(MATCH(142,ChqRankU,0),0)))))</f>
        <v/>
      </c>
      <c r="I158">
        <f>IF(142&gt;NChq,"",INDEX(ChqNorm,142))</f>
        <v/>
      </c>
      <c r="J158">
        <f>IF($I158="","",IF(AND($I158&gt;=$H$3,$I158&lt;=$H$4,INDEX(ChqStatus,142)="پاس نشده"),1,0))</f>
        <v/>
      </c>
      <c r="K158">
        <f>IF($J158=0,"",INDEX(ChqKey,142))</f>
        <v/>
      </c>
      <c r="L158">
        <f>IF($K158="","",COUNTIFS($J$17:$J$516,1,$K$17:$K$516,"&lt;"&amp;$K158)+1)</f>
        <v/>
      </c>
    </row>
    <row r="159">
      <c r="A159" s="10">
        <f>IF(IFERROR(MATCH(143,ChqRankU,0),0)=0,"",143)</f>
        <v/>
      </c>
      <c r="B159" s="22">
        <f>IF(IFERROR(MATCH(143,ChqRankU,0),0)=0,"",INDEX(ChqNorm,IFERROR(MATCH(143,ChqRankU,0),0)))</f>
        <v/>
      </c>
      <c r="C159" s="22">
        <f>IF(IFERROR(MATCH(143,ChqRankU,0),0)=0,"",INDEX(ChqNo,IFERROR(MATCH(143,ChqRankU,0),0)))</f>
        <v/>
      </c>
      <c r="D159" s="23">
        <f>IF(IFERROR(MATCH(143,ChqRankU,0),0)=0,"",IF(INDEX(ChqAmt,IFERROR(MATCH(143,ChqRankU,0),0))=0,"",INDEX(ChqAmt,IFERROR(MATCH(143,ChqRankU,0),0))))</f>
        <v/>
      </c>
      <c r="E159" s="14">
        <f>IF(IFERROR(MATCH(143,ChqRankU,0),0)=0,"",INDEX(ChqStatus,IFERROR(MATCH(143,ChqRankU,0),0)))</f>
        <v/>
      </c>
      <c r="F159" s="22">
        <f>IF(IFERROR(MATCH(143,ChqRankU,0),0)=0,"",IF(INDEX(ChqStatus,IFERROR(MATCH(143,ChqRankU,0),0))="پاس نشده","—",IF(INDEX(ChqClr,IFERROR(MATCH(143,ChqRankU,0),0))="","—",INDEX(ChqClr,IFERROR(MATCH(143,ChqRankU,0),0)))))</f>
        <v/>
      </c>
      <c r="I159">
        <f>IF(143&gt;NChq,"",INDEX(ChqNorm,143))</f>
        <v/>
      </c>
      <c r="J159">
        <f>IF($I159="","",IF(AND($I159&gt;=$H$3,$I159&lt;=$H$4,INDEX(ChqStatus,143)="پاس نشده"),1,0))</f>
        <v/>
      </c>
      <c r="K159">
        <f>IF($J159=0,"",INDEX(ChqKey,143))</f>
        <v/>
      </c>
      <c r="L159">
        <f>IF($K159="","",COUNTIFS($J$17:$J$516,1,$K$17:$K$516,"&lt;"&amp;$K159)+1)</f>
        <v/>
      </c>
    </row>
    <row r="160">
      <c r="A160" s="16">
        <f>IF(IFERROR(MATCH(144,ChqRankU,0),0)=0,"",144)</f>
        <v/>
      </c>
      <c r="B160" s="24">
        <f>IF(IFERROR(MATCH(144,ChqRankU,0),0)=0,"",INDEX(ChqNorm,IFERROR(MATCH(144,ChqRankU,0),0)))</f>
        <v/>
      </c>
      <c r="C160" s="24">
        <f>IF(IFERROR(MATCH(144,ChqRankU,0),0)=0,"",INDEX(ChqNo,IFERROR(MATCH(144,ChqRankU,0),0)))</f>
        <v/>
      </c>
      <c r="D160" s="25">
        <f>IF(IFERROR(MATCH(144,ChqRankU,0),0)=0,"",IF(INDEX(ChqAmt,IFERROR(MATCH(144,ChqRankU,0),0))=0,"",INDEX(ChqAmt,IFERROR(MATCH(144,ChqRankU,0),0))))</f>
        <v/>
      </c>
      <c r="E160" s="17">
        <f>IF(IFERROR(MATCH(144,ChqRankU,0),0)=0,"",INDEX(ChqStatus,IFERROR(MATCH(144,ChqRankU,0),0)))</f>
        <v/>
      </c>
      <c r="F160" s="24">
        <f>IF(IFERROR(MATCH(144,ChqRankU,0),0)=0,"",IF(INDEX(ChqStatus,IFERROR(MATCH(144,ChqRankU,0),0))="پاس نشده","—",IF(INDEX(ChqClr,IFERROR(MATCH(144,ChqRankU,0),0))="","—",INDEX(ChqClr,IFERROR(MATCH(144,ChqRankU,0),0)))))</f>
        <v/>
      </c>
      <c r="I160">
        <f>IF(144&gt;NChq,"",INDEX(ChqNorm,144))</f>
        <v/>
      </c>
      <c r="J160">
        <f>IF($I160="","",IF(AND($I160&gt;=$H$3,$I160&lt;=$H$4,INDEX(ChqStatus,144)="پاس نشده"),1,0))</f>
        <v/>
      </c>
      <c r="K160">
        <f>IF($J160=0,"",INDEX(ChqKey,144))</f>
        <v/>
      </c>
      <c r="L160">
        <f>IF($K160="","",COUNTIFS($J$17:$J$516,1,$K$17:$K$516,"&lt;"&amp;$K160)+1)</f>
        <v/>
      </c>
    </row>
    <row r="161">
      <c r="A161" s="10">
        <f>IF(IFERROR(MATCH(145,ChqRankU,0),0)=0,"",145)</f>
        <v/>
      </c>
      <c r="B161" s="22">
        <f>IF(IFERROR(MATCH(145,ChqRankU,0),0)=0,"",INDEX(ChqNorm,IFERROR(MATCH(145,ChqRankU,0),0)))</f>
        <v/>
      </c>
      <c r="C161" s="22">
        <f>IF(IFERROR(MATCH(145,ChqRankU,0),0)=0,"",INDEX(ChqNo,IFERROR(MATCH(145,ChqRankU,0),0)))</f>
        <v/>
      </c>
      <c r="D161" s="23">
        <f>IF(IFERROR(MATCH(145,ChqRankU,0),0)=0,"",IF(INDEX(ChqAmt,IFERROR(MATCH(145,ChqRankU,0),0))=0,"",INDEX(ChqAmt,IFERROR(MATCH(145,ChqRankU,0),0))))</f>
        <v/>
      </c>
      <c r="E161" s="14">
        <f>IF(IFERROR(MATCH(145,ChqRankU,0),0)=0,"",INDEX(ChqStatus,IFERROR(MATCH(145,ChqRankU,0),0)))</f>
        <v/>
      </c>
      <c r="F161" s="22">
        <f>IF(IFERROR(MATCH(145,ChqRankU,0),0)=0,"",IF(INDEX(ChqStatus,IFERROR(MATCH(145,ChqRankU,0),0))="پاس نشده","—",IF(INDEX(ChqClr,IFERROR(MATCH(145,ChqRankU,0),0))="","—",INDEX(ChqClr,IFERROR(MATCH(145,ChqRankU,0),0)))))</f>
        <v/>
      </c>
      <c r="I161">
        <f>IF(145&gt;NChq,"",INDEX(ChqNorm,145))</f>
        <v/>
      </c>
      <c r="J161">
        <f>IF($I161="","",IF(AND($I161&gt;=$H$3,$I161&lt;=$H$4,INDEX(ChqStatus,145)="پاس نشده"),1,0))</f>
        <v/>
      </c>
      <c r="K161">
        <f>IF($J161=0,"",INDEX(ChqKey,145))</f>
        <v/>
      </c>
      <c r="L161">
        <f>IF($K161="","",COUNTIFS($J$17:$J$516,1,$K$17:$K$516,"&lt;"&amp;$K161)+1)</f>
        <v/>
      </c>
    </row>
    <row r="162">
      <c r="A162" s="16">
        <f>IF(IFERROR(MATCH(146,ChqRankU,0),0)=0,"",146)</f>
        <v/>
      </c>
      <c r="B162" s="24">
        <f>IF(IFERROR(MATCH(146,ChqRankU,0),0)=0,"",INDEX(ChqNorm,IFERROR(MATCH(146,ChqRankU,0),0)))</f>
        <v/>
      </c>
      <c r="C162" s="24">
        <f>IF(IFERROR(MATCH(146,ChqRankU,0),0)=0,"",INDEX(ChqNo,IFERROR(MATCH(146,ChqRankU,0),0)))</f>
        <v/>
      </c>
      <c r="D162" s="25">
        <f>IF(IFERROR(MATCH(146,ChqRankU,0),0)=0,"",IF(INDEX(ChqAmt,IFERROR(MATCH(146,ChqRankU,0),0))=0,"",INDEX(ChqAmt,IFERROR(MATCH(146,ChqRankU,0),0))))</f>
        <v/>
      </c>
      <c r="E162" s="17">
        <f>IF(IFERROR(MATCH(146,ChqRankU,0),0)=0,"",INDEX(ChqStatus,IFERROR(MATCH(146,ChqRankU,0),0)))</f>
        <v/>
      </c>
      <c r="F162" s="24">
        <f>IF(IFERROR(MATCH(146,ChqRankU,0),0)=0,"",IF(INDEX(ChqStatus,IFERROR(MATCH(146,ChqRankU,0),0))="پاس نشده","—",IF(INDEX(ChqClr,IFERROR(MATCH(146,ChqRankU,0),0))="","—",INDEX(ChqClr,IFERROR(MATCH(146,ChqRankU,0),0)))))</f>
        <v/>
      </c>
      <c r="I162">
        <f>IF(146&gt;NChq,"",INDEX(ChqNorm,146))</f>
        <v/>
      </c>
      <c r="J162">
        <f>IF($I162="","",IF(AND($I162&gt;=$H$3,$I162&lt;=$H$4,INDEX(ChqStatus,146)="پاس نشده"),1,0))</f>
        <v/>
      </c>
      <c r="K162">
        <f>IF($J162=0,"",INDEX(ChqKey,146))</f>
        <v/>
      </c>
      <c r="L162">
        <f>IF($K162="","",COUNTIFS($J$17:$J$516,1,$K$17:$K$516,"&lt;"&amp;$K162)+1)</f>
        <v/>
      </c>
    </row>
    <row r="163">
      <c r="A163" s="10">
        <f>IF(IFERROR(MATCH(147,ChqRankU,0),0)=0,"",147)</f>
        <v/>
      </c>
      <c r="B163" s="22">
        <f>IF(IFERROR(MATCH(147,ChqRankU,0),0)=0,"",INDEX(ChqNorm,IFERROR(MATCH(147,ChqRankU,0),0)))</f>
        <v/>
      </c>
      <c r="C163" s="22">
        <f>IF(IFERROR(MATCH(147,ChqRankU,0),0)=0,"",INDEX(ChqNo,IFERROR(MATCH(147,ChqRankU,0),0)))</f>
        <v/>
      </c>
      <c r="D163" s="23">
        <f>IF(IFERROR(MATCH(147,ChqRankU,0),0)=0,"",IF(INDEX(ChqAmt,IFERROR(MATCH(147,ChqRankU,0),0))=0,"",INDEX(ChqAmt,IFERROR(MATCH(147,ChqRankU,0),0))))</f>
        <v/>
      </c>
      <c r="E163" s="14">
        <f>IF(IFERROR(MATCH(147,ChqRankU,0),0)=0,"",INDEX(ChqStatus,IFERROR(MATCH(147,ChqRankU,0),0)))</f>
        <v/>
      </c>
      <c r="F163" s="22">
        <f>IF(IFERROR(MATCH(147,ChqRankU,0),0)=0,"",IF(INDEX(ChqStatus,IFERROR(MATCH(147,ChqRankU,0),0))="پاس نشده","—",IF(INDEX(ChqClr,IFERROR(MATCH(147,ChqRankU,0),0))="","—",INDEX(ChqClr,IFERROR(MATCH(147,ChqRankU,0),0)))))</f>
        <v/>
      </c>
      <c r="I163">
        <f>IF(147&gt;NChq,"",INDEX(ChqNorm,147))</f>
        <v/>
      </c>
      <c r="J163">
        <f>IF($I163="","",IF(AND($I163&gt;=$H$3,$I163&lt;=$H$4,INDEX(ChqStatus,147)="پاس نشده"),1,0))</f>
        <v/>
      </c>
      <c r="K163">
        <f>IF($J163=0,"",INDEX(ChqKey,147))</f>
        <v/>
      </c>
      <c r="L163">
        <f>IF($K163="","",COUNTIFS($J$17:$J$516,1,$K$17:$K$516,"&lt;"&amp;$K163)+1)</f>
        <v/>
      </c>
    </row>
    <row r="164">
      <c r="A164" s="16">
        <f>IF(IFERROR(MATCH(148,ChqRankU,0),0)=0,"",148)</f>
        <v/>
      </c>
      <c r="B164" s="24">
        <f>IF(IFERROR(MATCH(148,ChqRankU,0),0)=0,"",INDEX(ChqNorm,IFERROR(MATCH(148,ChqRankU,0),0)))</f>
        <v/>
      </c>
      <c r="C164" s="24">
        <f>IF(IFERROR(MATCH(148,ChqRankU,0),0)=0,"",INDEX(ChqNo,IFERROR(MATCH(148,ChqRankU,0),0)))</f>
        <v/>
      </c>
      <c r="D164" s="25">
        <f>IF(IFERROR(MATCH(148,ChqRankU,0),0)=0,"",IF(INDEX(ChqAmt,IFERROR(MATCH(148,ChqRankU,0),0))=0,"",INDEX(ChqAmt,IFERROR(MATCH(148,ChqRankU,0),0))))</f>
        <v/>
      </c>
      <c r="E164" s="17">
        <f>IF(IFERROR(MATCH(148,ChqRankU,0),0)=0,"",INDEX(ChqStatus,IFERROR(MATCH(148,ChqRankU,0),0)))</f>
        <v/>
      </c>
      <c r="F164" s="24">
        <f>IF(IFERROR(MATCH(148,ChqRankU,0),0)=0,"",IF(INDEX(ChqStatus,IFERROR(MATCH(148,ChqRankU,0),0))="پاس نشده","—",IF(INDEX(ChqClr,IFERROR(MATCH(148,ChqRankU,0),0))="","—",INDEX(ChqClr,IFERROR(MATCH(148,ChqRankU,0),0)))))</f>
        <v/>
      </c>
      <c r="I164">
        <f>IF(148&gt;NChq,"",INDEX(ChqNorm,148))</f>
        <v/>
      </c>
      <c r="J164">
        <f>IF($I164="","",IF(AND($I164&gt;=$H$3,$I164&lt;=$H$4,INDEX(ChqStatus,148)="پاس نشده"),1,0))</f>
        <v/>
      </c>
      <c r="K164">
        <f>IF($J164=0,"",INDEX(ChqKey,148))</f>
        <v/>
      </c>
      <c r="L164">
        <f>IF($K164="","",COUNTIFS($J$17:$J$516,1,$K$17:$K$516,"&lt;"&amp;$K164)+1)</f>
        <v/>
      </c>
    </row>
    <row r="165">
      <c r="A165" s="10">
        <f>IF(IFERROR(MATCH(149,ChqRankU,0),0)=0,"",149)</f>
        <v/>
      </c>
      <c r="B165" s="22">
        <f>IF(IFERROR(MATCH(149,ChqRankU,0),0)=0,"",INDEX(ChqNorm,IFERROR(MATCH(149,ChqRankU,0),0)))</f>
        <v/>
      </c>
      <c r="C165" s="22">
        <f>IF(IFERROR(MATCH(149,ChqRankU,0),0)=0,"",INDEX(ChqNo,IFERROR(MATCH(149,ChqRankU,0),0)))</f>
        <v/>
      </c>
      <c r="D165" s="23">
        <f>IF(IFERROR(MATCH(149,ChqRankU,0),0)=0,"",IF(INDEX(ChqAmt,IFERROR(MATCH(149,ChqRankU,0),0))=0,"",INDEX(ChqAmt,IFERROR(MATCH(149,ChqRankU,0),0))))</f>
        <v/>
      </c>
      <c r="E165" s="14">
        <f>IF(IFERROR(MATCH(149,ChqRankU,0),0)=0,"",INDEX(ChqStatus,IFERROR(MATCH(149,ChqRankU,0),0)))</f>
        <v/>
      </c>
      <c r="F165" s="22">
        <f>IF(IFERROR(MATCH(149,ChqRankU,0),0)=0,"",IF(INDEX(ChqStatus,IFERROR(MATCH(149,ChqRankU,0),0))="پاس نشده","—",IF(INDEX(ChqClr,IFERROR(MATCH(149,ChqRankU,0),0))="","—",INDEX(ChqClr,IFERROR(MATCH(149,ChqRankU,0),0)))))</f>
        <v/>
      </c>
      <c r="I165">
        <f>IF(149&gt;NChq,"",INDEX(ChqNorm,149))</f>
        <v/>
      </c>
      <c r="J165">
        <f>IF($I165="","",IF(AND($I165&gt;=$H$3,$I165&lt;=$H$4,INDEX(ChqStatus,149)="پاس نشده"),1,0))</f>
        <v/>
      </c>
      <c r="K165">
        <f>IF($J165=0,"",INDEX(ChqKey,149))</f>
        <v/>
      </c>
      <c r="L165">
        <f>IF($K165="","",COUNTIFS($J$17:$J$516,1,$K$17:$K$516,"&lt;"&amp;$K165)+1)</f>
        <v/>
      </c>
    </row>
    <row r="166">
      <c r="A166" s="16">
        <f>IF(IFERROR(MATCH(150,ChqRankU,0),0)=0,"",150)</f>
        <v/>
      </c>
      <c r="B166" s="24">
        <f>IF(IFERROR(MATCH(150,ChqRankU,0),0)=0,"",INDEX(ChqNorm,IFERROR(MATCH(150,ChqRankU,0),0)))</f>
        <v/>
      </c>
      <c r="C166" s="24">
        <f>IF(IFERROR(MATCH(150,ChqRankU,0),0)=0,"",INDEX(ChqNo,IFERROR(MATCH(150,ChqRankU,0),0)))</f>
        <v/>
      </c>
      <c r="D166" s="25">
        <f>IF(IFERROR(MATCH(150,ChqRankU,0),0)=0,"",IF(INDEX(ChqAmt,IFERROR(MATCH(150,ChqRankU,0),0))=0,"",INDEX(ChqAmt,IFERROR(MATCH(150,ChqRankU,0),0))))</f>
        <v/>
      </c>
      <c r="E166" s="17">
        <f>IF(IFERROR(MATCH(150,ChqRankU,0),0)=0,"",INDEX(ChqStatus,IFERROR(MATCH(150,ChqRankU,0),0)))</f>
        <v/>
      </c>
      <c r="F166" s="24">
        <f>IF(IFERROR(MATCH(150,ChqRankU,0),0)=0,"",IF(INDEX(ChqStatus,IFERROR(MATCH(150,ChqRankU,0),0))="پاس نشده","—",IF(INDEX(ChqClr,IFERROR(MATCH(150,ChqRankU,0),0))="","—",INDEX(ChqClr,IFERROR(MATCH(150,ChqRankU,0),0)))))</f>
        <v/>
      </c>
      <c r="I166">
        <f>IF(150&gt;NChq,"",INDEX(ChqNorm,150))</f>
        <v/>
      </c>
      <c r="J166">
        <f>IF($I166="","",IF(AND($I166&gt;=$H$3,$I166&lt;=$H$4,INDEX(ChqStatus,150)="پاس نشده"),1,0))</f>
        <v/>
      </c>
      <c r="K166">
        <f>IF($J166=0,"",INDEX(ChqKey,150))</f>
        <v/>
      </c>
      <c r="L166">
        <f>IF($K166="","",COUNTIFS($J$17:$J$516,1,$K$17:$K$516,"&lt;"&amp;$K166)+1)</f>
        <v/>
      </c>
    </row>
    <row r="167">
      <c r="A167" s="10">
        <f>IF(IFERROR(MATCH(151,ChqRankU,0),0)=0,"",151)</f>
        <v/>
      </c>
      <c r="B167" s="22">
        <f>IF(IFERROR(MATCH(151,ChqRankU,0),0)=0,"",INDEX(ChqNorm,IFERROR(MATCH(151,ChqRankU,0),0)))</f>
        <v/>
      </c>
      <c r="C167" s="22">
        <f>IF(IFERROR(MATCH(151,ChqRankU,0),0)=0,"",INDEX(ChqNo,IFERROR(MATCH(151,ChqRankU,0),0)))</f>
        <v/>
      </c>
      <c r="D167" s="23">
        <f>IF(IFERROR(MATCH(151,ChqRankU,0),0)=0,"",IF(INDEX(ChqAmt,IFERROR(MATCH(151,ChqRankU,0),0))=0,"",INDEX(ChqAmt,IFERROR(MATCH(151,ChqRankU,0),0))))</f>
        <v/>
      </c>
      <c r="E167" s="14">
        <f>IF(IFERROR(MATCH(151,ChqRankU,0),0)=0,"",INDEX(ChqStatus,IFERROR(MATCH(151,ChqRankU,0),0)))</f>
        <v/>
      </c>
      <c r="F167" s="22">
        <f>IF(IFERROR(MATCH(151,ChqRankU,0),0)=0,"",IF(INDEX(ChqStatus,IFERROR(MATCH(151,ChqRankU,0),0))="پاس نشده","—",IF(INDEX(ChqClr,IFERROR(MATCH(151,ChqRankU,0),0))="","—",INDEX(ChqClr,IFERROR(MATCH(151,ChqRankU,0),0)))))</f>
        <v/>
      </c>
      <c r="I167">
        <f>IF(151&gt;NChq,"",INDEX(ChqNorm,151))</f>
        <v/>
      </c>
      <c r="J167">
        <f>IF($I167="","",IF(AND($I167&gt;=$H$3,$I167&lt;=$H$4,INDEX(ChqStatus,151)="پاس نشده"),1,0))</f>
        <v/>
      </c>
      <c r="K167">
        <f>IF($J167=0,"",INDEX(ChqKey,151))</f>
        <v/>
      </c>
      <c r="L167">
        <f>IF($K167="","",COUNTIFS($J$17:$J$516,1,$K$17:$K$516,"&lt;"&amp;$K167)+1)</f>
        <v/>
      </c>
    </row>
    <row r="168">
      <c r="A168" s="16">
        <f>IF(IFERROR(MATCH(152,ChqRankU,0),0)=0,"",152)</f>
        <v/>
      </c>
      <c r="B168" s="24">
        <f>IF(IFERROR(MATCH(152,ChqRankU,0),0)=0,"",INDEX(ChqNorm,IFERROR(MATCH(152,ChqRankU,0),0)))</f>
        <v/>
      </c>
      <c r="C168" s="24">
        <f>IF(IFERROR(MATCH(152,ChqRankU,0),0)=0,"",INDEX(ChqNo,IFERROR(MATCH(152,ChqRankU,0),0)))</f>
        <v/>
      </c>
      <c r="D168" s="25">
        <f>IF(IFERROR(MATCH(152,ChqRankU,0),0)=0,"",IF(INDEX(ChqAmt,IFERROR(MATCH(152,ChqRankU,0),0))=0,"",INDEX(ChqAmt,IFERROR(MATCH(152,ChqRankU,0),0))))</f>
        <v/>
      </c>
      <c r="E168" s="17">
        <f>IF(IFERROR(MATCH(152,ChqRankU,0),0)=0,"",INDEX(ChqStatus,IFERROR(MATCH(152,ChqRankU,0),0)))</f>
        <v/>
      </c>
      <c r="F168" s="24">
        <f>IF(IFERROR(MATCH(152,ChqRankU,0),0)=0,"",IF(INDEX(ChqStatus,IFERROR(MATCH(152,ChqRankU,0),0))="پاس نشده","—",IF(INDEX(ChqClr,IFERROR(MATCH(152,ChqRankU,0),0))="","—",INDEX(ChqClr,IFERROR(MATCH(152,ChqRankU,0),0)))))</f>
        <v/>
      </c>
      <c r="I168">
        <f>IF(152&gt;NChq,"",INDEX(ChqNorm,152))</f>
        <v/>
      </c>
      <c r="J168">
        <f>IF($I168="","",IF(AND($I168&gt;=$H$3,$I168&lt;=$H$4,INDEX(ChqStatus,152)="پاس نشده"),1,0))</f>
        <v/>
      </c>
      <c r="K168">
        <f>IF($J168=0,"",INDEX(ChqKey,152))</f>
        <v/>
      </c>
      <c r="L168">
        <f>IF($K168="","",COUNTIFS($J$17:$J$516,1,$K$17:$K$516,"&lt;"&amp;$K168)+1)</f>
        <v/>
      </c>
    </row>
    <row r="169">
      <c r="A169" s="10">
        <f>IF(IFERROR(MATCH(153,ChqRankU,0),0)=0,"",153)</f>
        <v/>
      </c>
      <c r="B169" s="22">
        <f>IF(IFERROR(MATCH(153,ChqRankU,0),0)=0,"",INDEX(ChqNorm,IFERROR(MATCH(153,ChqRankU,0),0)))</f>
        <v/>
      </c>
      <c r="C169" s="22">
        <f>IF(IFERROR(MATCH(153,ChqRankU,0),0)=0,"",INDEX(ChqNo,IFERROR(MATCH(153,ChqRankU,0),0)))</f>
        <v/>
      </c>
      <c r="D169" s="23">
        <f>IF(IFERROR(MATCH(153,ChqRankU,0),0)=0,"",IF(INDEX(ChqAmt,IFERROR(MATCH(153,ChqRankU,0),0))=0,"",INDEX(ChqAmt,IFERROR(MATCH(153,ChqRankU,0),0))))</f>
        <v/>
      </c>
      <c r="E169" s="14">
        <f>IF(IFERROR(MATCH(153,ChqRankU,0),0)=0,"",INDEX(ChqStatus,IFERROR(MATCH(153,ChqRankU,0),0)))</f>
        <v/>
      </c>
      <c r="F169" s="22">
        <f>IF(IFERROR(MATCH(153,ChqRankU,0),0)=0,"",IF(INDEX(ChqStatus,IFERROR(MATCH(153,ChqRankU,0),0))="پاس نشده","—",IF(INDEX(ChqClr,IFERROR(MATCH(153,ChqRankU,0),0))="","—",INDEX(ChqClr,IFERROR(MATCH(153,ChqRankU,0),0)))))</f>
        <v/>
      </c>
      <c r="I169">
        <f>IF(153&gt;NChq,"",INDEX(ChqNorm,153))</f>
        <v/>
      </c>
      <c r="J169">
        <f>IF($I169="","",IF(AND($I169&gt;=$H$3,$I169&lt;=$H$4,INDEX(ChqStatus,153)="پاس نشده"),1,0))</f>
        <v/>
      </c>
      <c r="K169">
        <f>IF($J169=0,"",INDEX(ChqKey,153))</f>
        <v/>
      </c>
      <c r="L169">
        <f>IF($K169="","",COUNTIFS($J$17:$J$516,1,$K$17:$K$516,"&lt;"&amp;$K169)+1)</f>
        <v/>
      </c>
    </row>
    <row r="170">
      <c r="A170" s="16">
        <f>IF(IFERROR(MATCH(154,ChqRankU,0),0)=0,"",154)</f>
        <v/>
      </c>
      <c r="B170" s="24">
        <f>IF(IFERROR(MATCH(154,ChqRankU,0),0)=0,"",INDEX(ChqNorm,IFERROR(MATCH(154,ChqRankU,0),0)))</f>
        <v/>
      </c>
      <c r="C170" s="24">
        <f>IF(IFERROR(MATCH(154,ChqRankU,0),0)=0,"",INDEX(ChqNo,IFERROR(MATCH(154,ChqRankU,0),0)))</f>
        <v/>
      </c>
      <c r="D170" s="25">
        <f>IF(IFERROR(MATCH(154,ChqRankU,0),0)=0,"",IF(INDEX(ChqAmt,IFERROR(MATCH(154,ChqRankU,0),0))=0,"",INDEX(ChqAmt,IFERROR(MATCH(154,ChqRankU,0),0))))</f>
        <v/>
      </c>
      <c r="E170" s="17">
        <f>IF(IFERROR(MATCH(154,ChqRankU,0),0)=0,"",INDEX(ChqStatus,IFERROR(MATCH(154,ChqRankU,0),0)))</f>
        <v/>
      </c>
      <c r="F170" s="24">
        <f>IF(IFERROR(MATCH(154,ChqRankU,0),0)=0,"",IF(INDEX(ChqStatus,IFERROR(MATCH(154,ChqRankU,0),0))="پاس نشده","—",IF(INDEX(ChqClr,IFERROR(MATCH(154,ChqRankU,0),0))="","—",INDEX(ChqClr,IFERROR(MATCH(154,ChqRankU,0),0)))))</f>
        <v/>
      </c>
      <c r="I170">
        <f>IF(154&gt;NChq,"",INDEX(ChqNorm,154))</f>
        <v/>
      </c>
      <c r="J170">
        <f>IF($I170="","",IF(AND($I170&gt;=$H$3,$I170&lt;=$H$4,INDEX(ChqStatus,154)="پاس نشده"),1,0))</f>
        <v/>
      </c>
      <c r="K170">
        <f>IF($J170=0,"",INDEX(ChqKey,154))</f>
        <v/>
      </c>
      <c r="L170">
        <f>IF($K170="","",COUNTIFS($J$17:$J$516,1,$K$17:$K$516,"&lt;"&amp;$K170)+1)</f>
        <v/>
      </c>
    </row>
    <row r="171">
      <c r="A171" s="10">
        <f>IF(IFERROR(MATCH(155,ChqRankU,0),0)=0,"",155)</f>
        <v/>
      </c>
      <c r="B171" s="22">
        <f>IF(IFERROR(MATCH(155,ChqRankU,0),0)=0,"",INDEX(ChqNorm,IFERROR(MATCH(155,ChqRankU,0),0)))</f>
        <v/>
      </c>
      <c r="C171" s="22">
        <f>IF(IFERROR(MATCH(155,ChqRankU,0),0)=0,"",INDEX(ChqNo,IFERROR(MATCH(155,ChqRankU,0),0)))</f>
        <v/>
      </c>
      <c r="D171" s="23">
        <f>IF(IFERROR(MATCH(155,ChqRankU,0),0)=0,"",IF(INDEX(ChqAmt,IFERROR(MATCH(155,ChqRankU,0),0))=0,"",INDEX(ChqAmt,IFERROR(MATCH(155,ChqRankU,0),0))))</f>
        <v/>
      </c>
      <c r="E171" s="14">
        <f>IF(IFERROR(MATCH(155,ChqRankU,0),0)=0,"",INDEX(ChqStatus,IFERROR(MATCH(155,ChqRankU,0),0)))</f>
        <v/>
      </c>
      <c r="F171" s="22">
        <f>IF(IFERROR(MATCH(155,ChqRankU,0),0)=0,"",IF(INDEX(ChqStatus,IFERROR(MATCH(155,ChqRankU,0),0))="پاس نشده","—",IF(INDEX(ChqClr,IFERROR(MATCH(155,ChqRankU,0),0))="","—",INDEX(ChqClr,IFERROR(MATCH(155,ChqRankU,0),0)))))</f>
        <v/>
      </c>
      <c r="I171">
        <f>IF(155&gt;NChq,"",INDEX(ChqNorm,155))</f>
        <v/>
      </c>
      <c r="J171">
        <f>IF($I171="","",IF(AND($I171&gt;=$H$3,$I171&lt;=$H$4,INDEX(ChqStatus,155)="پاس نشده"),1,0))</f>
        <v/>
      </c>
      <c r="K171">
        <f>IF($J171=0,"",INDEX(ChqKey,155))</f>
        <v/>
      </c>
      <c r="L171">
        <f>IF($K171="","",COUNTIFS($J$17:$J$516,1,$K$17:$K$516,"&lt;"&amp;$K171)+1)</f>
        <v/>
      </c>
    </row>
    <row r="172">
      <c r="A172" s="16">
        <f>IF(IFERROR(MATCH(156,ChqRankU,0),0)=0,"",156)</f>
        <v/>
      </c>
      <c r="B172" s="24">
        <f>IF(IFERROR(MATCH(156,ChqRankU,0),0)=0,"",INDEX(ChqNorm,IFERROR(MATCH(156,ChqRankU,0),0)))</f>
        <v/>
      </c>
      <c r="C172" s="24">
        <f>IF(IFERROR(MATCH(156,ChqRankU,0),0)=0,"",INDEX(ChqNo,IFERROR(MATCH(156,ChqRankU,0),0)))</f>
        <v/>
      </c>
      <c r="D172" s="25">
        <f>IF(IFERROR(MATCH(156,ChqRankU,0),0)=0,"",IF(INDEX(ChqAmt,IFERROR(MATCH(156,ChqRankU,0),0))=0,"",INDEX(ChqAmt,IFERROR(MATCH(156,ChqRankU,0),0))))</f>
        <v/>
      </c>
      <c r="E172" s="17">
        <f>IF(IFERROR(MATCH(156,ChqRankU,0),0)=0,"",INDEX(ChqStatus,IFERROR(MATCH(156,ChqRankU,0),0)))</f>
        <v/>
      </c>
      <c r="F172" s="24">
        <f>IF(IFERROR(MATCH(156,ChqRankU,0),0)=0,"",IF(INDEX(ChqStatus,IFERROR(MATCH(156,ChqRankU,0),0))="پاس نشده","—",IF(INDEX(ChqClr,IFERROR(MATCH(156,ChqRankU,0),0))="","—",INDEX(ChqClr,IFERROR(MATCH(156,ChqRankU,0),0)))))</f>
        <v/>
      </c>
      <c r="I172">
        <f>IF(156&gt;NChq,"",INDEX(ChqNorm,156))</f>
        <v/>
      </c>
      <c r="J172">
        <f>IF($I172="","",IF(AND($I172&gt;=$H$3,$I172&lt;=$H$4,INDEX(ChqStatus,156)="پاس نشده"),1,0))</f>
        <v/>
      </c>
      <c r="K172">
        <f>IF($J172=0,"",INDEX(ChqKey,156))</f>
        <v/>
      </c>
      <c r="L172">
        <f>IF($K172="","",COUNTIFS($J$17:$J$516,1,$K$17:$K$516,"&lt;"&amp;$K172)+1)</f>
        <v/>
      </c>
    </row>
    <row r="173">
      <c r="A173" s="10">
        <f>IF(IFERROR(MATCH(157,ChqRankU,0),0)=0,"",157)</f>
        <v/>
      </c>
      <c r="B173" s="22">
        <f>IF(IFERROR(MATCH(157,ChqRankU,0),0)=0,"",INDEX(ChqNorm,IFERROR(MATCH(157,ChqRankU,0),0)))</f>
        <v/>
      </c>
      <c r="C173" s="22">
        <f>IF(IFERROR(MATCH(157,ChqRankU,0),0)=0,"",INDEX(ChqNo,IFERROR(MATCH(157,ChqRankU,0),0)))</f>
        <v/>
      </c>
      <c r="D173" s="23">
        <f>IF(IFERROR(MATCH(157,ChqRankU,0),0)=0,"",IF(INDEX(ChqAmt,IFERROR(MATCH(157,ChqRankU,0),0))=0,"",INDEX(ChqAmt,IFERROR(MATCH(157,ChqRankU,0),0))))</f>
        <v/>
      </c>
      <c r="E173" s="14">
        <f>IF(IFERROR(MATCH(157,ChqRankU,0),0)=0,"",INDEX(ChqStatus,IFERROR(MATCH(157,ChqRankU,0),0)))</f>
        <v/>
      </c>
      <c r="F173" s="22">
        <f>IF(IFERROR(MATCH(157,ChqRankU,0),0)=0,"",IF(INDEX(ChqStatus,IFERROR(MATCH(157,ChqRankU,0),0))="پاس نشده","—",IF(INDEX(ChqClr,IFERROR(MATCH(157,ChqRankU,0),0))="","—",INDEX(ChqClr,IFERROR(MATCH(157,ChqRankU,0),0)))))</f>
        <v/>
      </c>
      <c r="I173">
        <f>IF(157&gt;NChq,"",INDEX(ChqNorm,157))</f>
        <v/>
      </c>
      <c r="J173">
        <f>IF($I173="","",IF(AND($I173&gt;=$H$3,$I173&lt;=$H$4,INDEX(ChqStatus,157)="پاس نشده"),1,0))</f>
        <v/>
      </c>
      <c r="K173">
        <f>IF($J173=0,"",INDEX(ChqKey,157))</f>
        <v/>
      </c>
      <c r="L173">
        <f>IF($K173="","",COUNTIFS($J$17:$J$516,1,$K$17:$K$516,"&lt;"&amp;$K173)+1)</f>
        <v/>
      </c>
    </row>
    <row r="174">
      <c r="A174" s="16">
        <f>IF(IFERROR(MATCH(158,ChqRankU,0),0)=0,"",158)</f>
        <v/>
      </c>
      <c r="B174" s="24">
        <f>IF(IFERROR(MATCH(158,ChqRankU,0),0)=0,"",INDEX(ChqNorm,IFERROR(MATCH(158,ChqRankU,0),0)))</f>
        <v/>
      </c>
      <c r="C174" s="24">
        <f>IF(IFERROR(MATCH(158,ChqRankU,0),0)=0,"",INDEX(ChqNo,IFERROR(MATCH(158,ChqRankU,0),0)))</f>
        <v/>
      </c>
      <c r="D174" s="25">
        <f>IF(IFERROR(MATCH(158,ChqRankU,0),0)=0,"",IF(INDEX(ChqAmt,IFERROR(MATCH(158,ChqRankU,0),0))=0,"",INDEX(ChqAmt,IFERROR(MATCH(158,ChqRankU,0),0))))</f>
        <v/>
      </c>
      <c r="E174" s="17">
        <f>IF(IFERROR(MATCH(158,ChqRankU,0),0)=0,"",INDEX(ChqStatus,IFERROR(MATCH(158,ChqRankU,0),0)))</f>
        <v/>
      </c>
      <c r="F174" s="24">
        <f>IF(IFERROR(MATCH(158,ChqRankU,0),0)=0,"",IF(INDEX(ChqStatus,IFERROR(MATCH(158,ChqRankU,0),0))="پاس نشده","—",IF(INDEX(ChqClr,IFERROR(MATCH(158,ChqRankU,0),0))="","—",INDEX(ChqClr,IFERROR(MATCH(158,ChqRankU,0),0)))))</f>
        <v/>
      </c>
      <c r="I174">
        <f>IF(158&gt;NChq,"",INDEX(ChqNorm,158))</f>
        <v/>
      </c>
      <c r="J174">
        <f>IF($I174="","",IF(AND($I174&gt;=$H$3,$I174&lt;=$H$4,INDEX(ChqStatus,158)="پاس نشده"),1,0))</f>
        <v/>
      </c>
      <c r="K174">
        <f>IF($J174=0,"",INDEX(ChqKey,158))</f>
        <v/>
      </c>
      <c r="L174">
        <f>IF($K174="","",COUNTIFS($J$17:$J$516,1,$K$17:$K$516,"&lt;"&amp;$K174)+1)</f>
        <v/>
      </c>
    </row>
    <row r="175">
      <c r="A175" s="10">
        <f>IF(IFERROR(MATCH(159,ChqRankU,0),0)=0,"",159)</f>
        <v/>
      </c>
      <c r="B175" s="22">
        <f>IF(IFERROR(MATCH(159,ChqRankU,0),0)=0,"",INDEX(ChqNorm,IFERROR(MATCH(159,ChqRankU,0),0)))</f>
        <v/>
      </c>
      <c r="C175" s="22">
        <f>IF(IFERROR(MATCH(159,ChqRankU,0),0)=0,"",INDEX(ChqNo,IFERROR(MATCH(159,ChqRankU,0),0)))</f>
        <v/>
      </c>
      <c r="D175" s="23">
        <f>IF(IFERROR(MATCH(159,ChqRankU,0),0)=0,"",IF(INDEX(ChqAmt,IFERROR(MATCH(159,ChqRankU,0),0))=0,"",INDEX(ChqAmt,IFERROR(MATCH(159,ChqRankU,0),0))))</f>
        <v/>
      </c>
      <c r="E175" s="14">
        <f>IF(IFERROR(MATCH(159,ChqRankU,0),0)=0,"",INDEX(ChqStatus,IFERROR(MATCH(159,ChqRankU,0),0)))</f>
        <v/>
      </c>
      <c r="F175" s="22">
        <f>IF(IFERROR(MATCH(159,ChqRankU,0),0)=0,"",IF(INDEX(ChqStatus,IFERROR(MATCH(159,ChqRankU,0),0))="پاس نشده","—",IF(INDEX(ChqClr,IFERROR(MATCH(159,ChqRankU,0),0))="","—",INDEX(ChqClr,IFERROR(MATCH(159,ChqRankU,0),0)))))</f>
        <v/>
      </c>
      <c r="I175">
        <f>IF(159&gt;NChq,"",INDEX(ChqNorm,159))</f>
        <v/>
      </c>
      <c r="J175">
        <f>IF($I175="","",IF(AND($I175&gt;=$H$3,$I175&lt;=$H$4,INDEX(ChqStatus,159)="پاس نشده"),1,0))</f>
        <v/>
      </c>
      <c r="K175">
        <f>IF($J175=0,"",INDEX(ChqKey,159))</f>
        <v/>
      </c>
      <c r="L175">
        <f>IF($K175="","",COUNTIFS($J$17:$J$516,1,$K$17:$K$516,"&lt;"&amp;$K175)+1)</f>
        <v/>
      </c>
    </row>
    <row r="176">
      <c r="A176" s="16">
        <f>IF(IFERROR(MATCH(160,ChqRankU,0),0)=0,"",160)</f>
        <v/>
      </c>
      <c r="B176" s="24">
        <f>IF(IFERROR(MATCH(160,ChqRankU,0),0)=0,"",INDEX(ChqNorm,IFERROR(MATCH(160,ChqRankU,0),0)))</f>
        <v/>
      </c>
      <c r="C176" s="24">
        <f>IF(IFERROR(MATCH(160,ChqRankU,0),0)=0,"",INDEX(ChqNo,IFERROR(MATCH(160,ChqRankU,0),0)))</f>
        <v/>
      </c>
      <c r="D176" s="25">
        <f>IF(IFERROR(MATCH(160,ChqRankU,0),0)=0,"",IF(INDEX(ChqAmt,IFERROR(MATCH(160,ChqRankU,0),0))=0,"",INDEX(ChqAmt,IFERROR(MATCH(160,ChqRankU,0),0))))</f>
        <v/>
      </c>
      <c r="E176" s="17">
        <f>IF(IFERROR(MATCH(160,ChqRankU,0),0)=0,"",INDEX(ChqStatus,IFERROR(MATCH(160,ChqRankU,0),0)))</f>
        <v/>
      </c>
      <c r="F176" s="24">
        <f>IF(IFERROR(MATCH(160,ChqRankU,0),0)=0,"",IF(INDEX(ChqStatus,IFERROR(MATCH(160,ChqRankU,0),0))="پاس نشده","—",IF(INDEX(ChqClr,IFERROR(MATCH(160,ChqRankU,0),0))="","—",INDEX(ChqClr,IFERROR(MATCH(160,ChqRankU,0),0)))))</f>
        <v/>
      </c>
      <c r="I176">
        <f>IF(160&gt;NChq,"",INDEX(ChqNorm,160))</f>
        <v/>
      </c>
      <c r="J176">
        <f>IF($I176="","",IF(AND($I176&gt;=$H$3,$I176&lt;=$H$4,INDEX(ChqStatus,160)="پاس نشده"),1,0))</f>
        <v/>
      </c>
      <c r="K176">
        <f>IF($J176=0,"",INDEX(ChqKey,160))</f>
        <v/>
      </c>
      <c r="L176">
        <f>IF($K176="","",COUNTIFS($J$17:$J$516,1,$K$17:$K$516,"&lt;"&amp;$K176)+1)</f>
        <v/>
      </c>
    </row>
    <row r="177">
      <c r="A177" s="10">
        <f>IF(IFERROR(MATCH(161,ChqRankU,0),0)=0,"",161)</f>
        <v/>
      </c>
      <c r="B177" s="22">
        <f>IF(IFERROR(MATCH(161,ChqRankU,0),0)=0,"",INDEX(ChqNorm,IFERROR(MATCH(161,ChqRankU,0),0)))</f>
        <v/>
      </c>
      <c r="C177" s="22">
        <f>IF(IFERROR(MATCH(161,ChqRankU,0),0)=0,"",INDEX(ChqNo,IFERROR(MATCH(161,ChqRankU,0),0)))</f>
        <v/>
      </c>
      <c r="D177" s="23">
        <f>IF(IFERROR(MATCH(161,ChqRankU,0),0)=0,"",IF(INDEX(ChqAmt,IFERROR(MATCH(161,ChqRankU,0),0))=0,"",INDEX(ChqAmt,IFERROR(MATCH(161,ChqRankU,0),0))))</f>
        <v/>
      </c>
      <c r="E177" s="14">
        <f>IF(IFERROR(MATCH(161,ChqRankU,0),0)=0,"",INDEX(ChqStatus,IFERROR(MATCH(161,ChqRankU,0),0)))</f>
        <v/>
      </c>
      <c r="F177" s="22">
        <f>IF(IFERROR(MATCH(161,ChqRankU,0),0)=0,"",IF(INDEX(ChqStatus,IFERROR(MATCH(161,ChqRankU,0),0))="پاس نشده","—",IF(INDEX(ChqClr,IFERROR(MATCH(161,ChqRankU,0),0))="","—",INDEX(ChqClr,IFERROR(MATCH(161,ChqRankU,0),0)))))</f>
        <v/>
      </c>
      <c r="I177">
        <f>IF(161&gt;NChq,"",INDEX(ChqNorm,161))</f>
        <v/>
      </c>
      <c r="J177">
        <f>IF($I177="","",IF(AND($I177&gt;=$H$3,$I177&lt;=$H$4,INDEX(ChqStatus,161)="پاس نشده"),1,0))</f>
        <v/>
      </c>
      <c r="K177">
        <f>IF($J177=0,"",INDEX(ChqKey,161))</f>
        <v/>
      </c>
      <c r="L177">
        <f>IF($K177="","",COUNTIFS($J$17:$J$516,1,$K$17:$K$516,"&lt;"&amp;$K177)+1)</f>
        <v/>
      </c>
    </row>
    <row r="178">
      <c r="A178" s="16">
        <f>IF(IFERROR(MATCH(162,ChqRankU,0),0)=0,"",162)</f>
        <v/>
      </c>
      <c r="B178" s="24">
        <f>IF(IFERROR(MATCH(162,ChqRankU,0),0)=0,"",INDEX(ChqNorm,IFERROR(MATCH(162,ChqRankU,0),0)))</f>
        <v/>
      </c>
      <c r="C178" s="24">
        <f>IF(IFERROR(MATCH(162,ChqRankU,0),0)=0,"",INDEX(ChqNo,IFERROR(MATCH(162,ChqRankU,0),0)))</f>
        <v/>
      </c>
      <c r="D178" s="25">
        <f>IF(IFERROR(MATCH(162,ChqRankU,0),0)=0,"",IF(INDEX(ChqAmt,IFERROR(MATCH(162,ChqRankU,0),0))=0,"",INDEX(ChqAmt,IFERROR(MATCH(162,ChqRankU,0),0))))</f>
        <v/>
      </c>
      <c r="E178" s="17">
        <f>IF(IFERROR(MATCH(162,ChqRankU,0),0)=0,"",INDEX(ChqStatus,IFERROR(MATCH(162,ChqRankU,0),0)))</f>
        <v/>
      </c>
      <c r="F178" s="24">
        <f>IF(IFERROR(MATCH(162,ChqRankU,0),0)=0,"",IF(INDEX(ChqStatus,IFERROR(MATCH(162,ChqRankU,0),0))="پاس نشده","—",IF(INDEX(ChqClr,IFERROR(MATCH(162,ChqRankU,0),0))="","—",INDEX(ChqClr,IFERROR(MATCH(162,ChqRankU,0),0)))))</f>
        <v/>
      </c>
      <c r="I178">
        <f>IF(162&gt;NChq,"",INDEX(ChqNorm,162))</f>
        <v/>
      </c>
      <c r="J178">
        <f>IF($I178="","",IF(AND($I178&gt;=$H$3,$I178&lt;=$H$4,INDEX(ChqStatus,162)="پاس نشده"),1,0))</f>
        <v/>
      </c>
      <c r="K178">
        <f>IF($J178=0,"",INDEX(ChqKey,162))</f>
        <v/>
      </c>
      <c r="L178">
        <f>IF($K178="","",COUNTIFS($J$17:$J$516,1,$K$17:$K$516,"&lt;"&amp;$K178)+1)</f>
        <v/>
      </c>
    </row>
    <row r="179">
      <c r="A179" s="10">
        <f>IF(IFERROR(MATCH(163,ChqRankU,0),0)=0,"",163)</f>
        <v/>
      </c>
      <c r="B179" s="22">
        <f>IF(IFERROR(MATCH(163,ChqRankU,0),0)=0,"",INDEX(ChqNorm,IFERROR(MATCH(163,ChqRankU,0),0)))</f>
        <v/>
      </c>
      <c r="C179" s="22">
        <f>IF(IFERROR(MATCH(163,ChqRankU,0),0)=0,"",INDEX(ChqNo,IFERROR(MATCH(163,ChqRankU,0),0)))</f>
        <v/>
      </c>
      <c r="D179" s="23">
        <f>IF(IFERROR(MATCH(163,ChqRankU,0),0)=0,"",IF(INDEX(ChqAmt,IFERROR(MATCH(163,ChqRankU,0),0))=0,"",INDEX(ChqAmt,IFERROR(MATCH(163,ChqRankU,0),0))))</f>
        <v/>
      </c>
      <c r="E179" s="14">
        <f>IF(IFERROR(MATCH(163,ChqRankU,0),0)=0,"",INDEX(ChqStatus,IFERROR(MATCH(163,ChqRankU,0),0)))</f>
        <v/>
      </c>
      <c r="F179" s="22">
        <f>IF(IFERROR(MATCH(163,ChqRankU,0),0)=0,"",IF(INDEX(ChqStatus,IFERROR(MATCH(163,ChqRankU,0),0))="پاس نشده","—",IF(INDEX(ChqClr,IFERROR(MATCH(163,ChqRankU,0),0))="","—",INDEX(ChqClr,IFERROR(MATCH(163,ChqRankU,0),0)))))</f>
        <v/>
      </c>
      <c r="I179">
        <f>IF(163&gt;NChq,"",INDEX(ChqNorm,163))</f>
        <v/>
      </c>
      <c r="J179">
        <f>IF($I179="","",IF(AND($I179&gt;=$H$3,$I179&lt;=$H$4,INDEX(ChqStatus,163)="پاس نشده"),1,0))</f>
        <v/>
      </c>
      <c r="K179">
        <f>IF($J179=0,"",INDEX(ChqKey,163))</f>
        <v/>
      </c>
      <c r="L179">
        <f>IF($K179="","",COUNTIFS($J$17:$J$516,1,$K$17:$K$516,"&lt;"&amp;$K179)+1)</f>
        <v/>
      </c>
    </row>
    <row r="180">
      <c r="A180" s="16">
        <f>IF(IFERROR(MATCH(164,ChqRankU,0),0)=0,"",164)</f>
        <v/>
      </c>
      <c r="B180" s="24">
        <f>IF(IFERROR(MATCH(164,ChqRankU,0),0)=0,"",INDEX(ChqNorm,IFERROR(MATCH(164,ChqRankU,0),0)))</f>
        <v/>
      </c>
      <c r="C180" s="24">
        <f>IF(IFERROR(MATCH(164,ChqRankU,0),0)=0,"",INDEX(ChqNo,IFERROR(MATCH(164,ChqRankU,0),0)))</f>
        <v/>
      </c>
      <c r="D180" s="25">
        <f>IF(IFERROR(MATCH(164,ChqRankU,0),0)=0,"",IF(INDEX(ChqAmt,IFERROR(MATCH(164,ChqRankU,0),0))=0,"",INDEX(ChqAmt,IFERROR(MATCH(164,ChqRankU,0),0))))</f>
        <v/>
      </c>
      <c r="E180" s="17">
        <f>IF(IFERROR(MATCH(164,ChqRankU,0),0)=0,"",INDEX(ChqStatus,IFERROR(MATCH(164,ChqRankU,0),0)))</f>
        <v/>
      </c>
      <c r="F180" s="24">
        <f>IF(IFERROR(MATCH(164,ChqRankU,0),0)=0,"",IF(INDEX(ChqStatus,IFERROR(MATCH(164,ChqRankU,0),0))="پاس نشده","—",IF(INDEX(ChqClr,IFERROR(MATCH(164,ChqRankU,0),0))="","—",INDEX(ChqClr,IFERROR(MATCH(164,ChqRankU,0),0)))))</f>
        <v/>
      </c>
      <c r="I180">
        <f>IF(164&gt;NChq,"",INDEX(ChqNorm,164))</f>
        <v/>
      </c>
      <c r="J180">
        <f>IF($I180="","",IF(AND($I180&gt;=$H$3,$I180&lt;=$H$4,INDEX(ChqStatus,164)="پاس نشده"),1,0))</f>
        <v/>
      </c>
      <c r="K180">
        <f>IF($J180=0,"",INDEX(ChqKey,164))</f>
        <v/>
      </c>
      <c r="L180">
        <f>IF($K180="","",COUNTIFS($J$17:$J$516,1,$K$17:$K$516,"&lt;"&amp;$K180)+1)</f>
        <v/>
      </c>
    </row>
    <row r="181">
      <c r="A181" s="10">
        <f>IF(IFERROR(MATCH(165,ChqRankU,0),0)=0,"",165)</f>
        <v/>
      </c>
      <c r="B181" s="22">
        <f>IF(IFERROR(MATCH(165,ChqRankU,0),0)=0,"",INDEX(ChqNorm,IFERROR(MATCH(165,ChqRankU,0),0)))</f>
        <v/>
      </c>
      <c r="C181" s="22">
        <f>IF(IFERROR(MATCH(165,ChqRankU,0),0)=0,"",INDEX(ChqNo,IFERROR(MATCH(165,ChqRankU,0),0)))</f>
        <v/>
      </c>
      <c r="D181" s="23">
        <f>IF(IFERROR(MATCH(165,ChqRankU,0),0)=0,"",IF(INDEX(ChqAmt,IFERROR(MATCH(165,ChqRankU,0),0))=0,"",INDEX(ChqAmt,IFERROR(MATCH(165,ChqRankU,0),0))))</f>
        <v/>
      </c>
      <c r="E181" s="14">
        <f>IF(IFERROR(MATCH(165,ChqRankU,0),0)=0,"",INDEX(ChqStatus,IFERROR(MATCH(165,ChqRankU,0),0)))</f>
        <v/>
      </c>
      <c r="F181" s="22">
        <f>IF(IFERROR(MATCH(165,ChqRankU,0),0)=0,"",IF(INDEX(ChqStatus,IFERROR(MATCH(165,ChqRankU,0),0))="پاس نشده","—",IF(INDEX(ChqClr,IFERROR(MATCH(165,ChqRankU,0),0))="","—",INDEX(ChqClr,IFERROR(MATCH(165,ChqRankU,0),0)))))</f>
        <v/>
      </c>
      <c r="I181">
        <f>IF(165&gt;NChq,"",INDEX(ChqNorm,165))</f>
        <v/>
      </c>
      <c r="J181">
        <f>IF($I181="","",IF(AND($I181&gt;=$H$3,$I181&lt;=$H$4,INDEX(ChqStatus,165)="پاس نشده"),1,0))</f>
        <v/>
      </c>
      <c r="K181">
        <f>IF($J181=0,"",INDEX(ChqKey,165))</f>
        <v/>
      </c>
      <c r="L181">
        <f>IF($K181="","",COUNTIFS($J$17:$J$516,1,$K$17:$K$516,"&lt;"&amp;$K181)+1)</f>
        <v/>
      </c>
    </row>
    <row r="182">
      <c r="A182" s="16">
        <f>IF(IFERROR(MATCH(166,ChqRankU,0),0)=0,"",166)</f>
        <v/>
      </c>
      <c r="B182" s="24">
        <f>IF(IFERROR(MATCH(166,ChqRankU,0),0)=0,"",INDEX(ChqNorm,IFERROR(MATCH(166,ChqRankU,0),0)))</f>
        <v/>
      </c>
      <c r="C182" s="24">
        <f>IF(IFERROR(MATCH(166,ChqRankU,0),0)=0,"",INDEX(ChqNo,IFERROR(MATCH(166,ChqRankU,0),0)))</f>
        <v/>
      </c>
      <c r="D182" s="25">
        <f>IF(IFERROR(MATCH(166,ChqRankU,0),0)=0,"",IF(INDEX(ChqAmt,IFERROR(MATCH(166,ChqRankU,0),0))=0,"",INDEX(ChqAmt,IFERROR(MATCH(166,ChqRankU,0),0))))</f>
        <v/>
      </c>
      <c r="E182" s="17">
        <f>IF(IFERROR(MATCH(166,ChqRankU,0),0)=0,"",INDEX(ChqStatus,IFERROR(MATCH(166,ChqRankU,0),0)))</f>
        <v/>
      </c>
      <c r="F182" s="24">
        <f>IF(IFERROR(MATCH(166,ChqRankU,0),0)=0,"",IF(INDEX(ChqStatus,IFERROR(MATCH(166,ChqRankU,0),0))="پاس نشده","—",IF(INDEX(ChqClr,IFERROR(MATCH(166,ChqRankU,0),0))="","—",INDEX(ChqClr,IFERROR(MATCH(166,ChqRankU,0),0)))))</f>
        <v/>
      </c>
      <c r="I182">
        <f>IF(166&gt;NChq,"",INDEX(ChqNorm,166))</f>
        <v/>
      </c>
      <c r="J182">
        <f>IF($I182="","",IF(AND($I182&gt;=$H$3,$I182&lt;=$H$4,INDEX(ChqStatus,166)="پاس نشده"),1,0))</f>
        <v/>
      </c>
      <c r="K182">
        <f>IF($J182=0,"",INDEX(ChqKey,166))</f>
        <v/>
      </c>
      <c r="L182">
        <f>IF($K182="","",COUNTIFS($J$17:$J$516,1,$K$17:$K$516,"&lt;"&amp;$K182)+1)</f>
        <v/>
      </c>
    </row>
    <row r="183">
      <c r="A183" s="10">
        <f>IF(IFERROR(MATCH(167,ChqRankU,0),0)=0,"",167)</f>
        <v/>
      </c>
      <c r="B183" s="22">
        <f>IF(IFERROR(MATCH(167,ChqRankU,0),0)=0,"",INDEX(ChqNorm,IFERROR(MATCH(167,ChqRankU,0),0)))</f>
        <v/>
      </c>
      <c r="C183" s="22">
        <f>IF(IFERROR(MATCH(167,ChqRankU,0),0)=0,"",INDEX(ChqNo,IFERROR(MATCH(167,ChqRankU,0),0)))</f>
        <v/>
      </c>
      <c r="D183" s="23">
        <f>IF(IFERROR(MATCH(167,ChqRankU,0),0)=0,"",IF(INDEX(ChqAmt,IFERROR(MATCH(167,ChqRankU,0),0))=0,"",INDEX(ChqAmt,IFERROR(MATCH(167,ChqRankU,0),0))))</f>
        <v/>
      </c>
      <c r="E183" s="14">
        <f>IF(IFERROR(MATCH(167,ChqRankU,0),0)=0,"",INDEX(ChqStatus,IFERROR(MATCH(167,ChqRankU,0),0)))</f>
        <v/>
      </c>
      <c r="F183" s="22">
        <f>IF(IFERROR(MATCH(167,ChqRankU,0),0)=0,"",IF(INDEX(ChqStatus,IFERROR(MATCH(167,ChqRankU,0),0))="پاس نشده","—",IF(INDEX(ChqClr,IFERROR(MATCH(167,ChqRankU,0),0))="","—",INDEX(ChqClr,IFERROR(MATCH(167,ChqRankU,0),0)))))</f>
        <v/>
      </c>
      <c r="I183">
        <f>IF(167&gt;NChq,"",INDEX(ChqNorm,167))</f>
        <v/>
      </c>
      <c r="J183">
        <f>IF($I183="","",IF(AND($I183&gt;=$H$3,$I183&lt;=$H$4,INDEX(ChqStatus,167)="پاس نشده"),1,0))</f>
        <v/>
      </c>
      <c r="K183">
        <f>IF($J183=0,"",INDEX(ChqKey,167))</f>
        <v/>
      </c>
      <c r="L183">
        <f>IF($K183="","",COUNTIFS($J$17:$J$516,1,$K$17:$K$516,"&lt;"&amp;$K183)+1)</f>
        <v/>
      </c>
    </row>
    <row r="184">
      <c r="A184" s="16">
        <f>IF(IFERROR(MATCH(168,ChqRankU,0),0)=0,"",168)</f>
        <v/>
      </c>
      <c r="B184" s="24">
        <f>IF(IFERROR(MATCH(168,ChqRankU,0),0)=0,"",INDEX(ChqNorm,IFERROR(MATCH(168,ChqRankU,0),0)))</f>
        <v/>
      </c>
      <c r="C184" s="24">
        <f>IF(IFERROR(MATCH(168,ChqRankU,0),0)=0,"",INDEX(ChqNo,IFERROR(MATCH(168,ChqRankU,0),0)))</f>
        <v/>
      </c>
      <c r="D184" s="25">
        <f>IF(IFERROR(MATCH(168,ChqRankU,0),0)=0,"",IF(INDEX(ChqAmt,IFERROR(MATCH(168,ChqRankU,0),0))=0,"",INDEX(ChqAmt,IFERROR(MATCH(168,ChqRankU,0),0))))</f>
        <v/>
      </c>
      <c r="E184" s="17">
        <f>IF(IFERROR(MATCH(168,ChqRankU,0),0)=0,"",INDEX(ChqStatus,IFERROR(MATCH(168,ChqRankU,0),0)))</f>
        <v/>
      </c>
      <c r="F184" s="24">
        <f>IF(IFERROR(MATCH(168,ChqRankU,0),0)=0,"",IF(INDEX(ChqStatus,IFERROR(MATCH(168,ChqRankU,0),0))="پاس نشده","—",IF(INDEX(ChqClr,IFERROR(MATCH(168,ChqRankU,0),0))="","—",INDEX(ChqClr,IFERROR(MATCH(168,ChqRankU,0),0)))))</f>
        <v/>
      </c>
      <c r="I184">
        <f>IF(168&gt;NChq,"",INDEX(ChqNorm,168))</f>
        <v/>
      </c>
      <c r="J184">
        <f>IF($I184="","",IF(AND($I184&gt;=$H$3,$I184&lt;=$H$4,INDEX(ChqStatus,168)="پاس نشده"),1,0))</f>
        <v/>
      </c>
      <c r="K184">
        <f>IF($J184=0,"",INDEX(ChqKey,168))</f>
        <v/>
      </c>
      <c r="L184">
        <f>IF($K184="","",COUNTIFS($J$17:$J$516,1,$K$17:$K$516,"&lt;"&amp;$K184)+1)</f>
        <v/>
      </c>
    </row>
    <row r="185">
      <c r="A185" s="10">
        <f>IF(IFERROR(MATCH(169,ChqRankU,0),0)=0,"",169)</f>
        <v/>
      </c>
      <c r="B185" s="22">
        <f>IF(IFERROR(MATCH(169,ChqRankU,0),0)=0,"",INDEX(ChqNorm,IFERROR(MATCH(169,ChqRankU,0),0)))</f>
        <v/>
      </c>
      <c r="C185" s="22">
        <f>IF(IFERROR(MATCH(169,ChqRankU,0),0)=0,"",INDEX(ChqNo,IFERROR(MATCH(169,ChqRankU,0),0)))</f>
        <v/>
      </c>
      <c r="D185" s="23">
        <f>IF(IFERROR(MATCH(169,ChqRankU,0),0)=0,"",IF(INDEX(ChqAmt,IFERROR(MATCH(169,ChqRankU,0),0))=0,"",INDEX(ChqAmt,IFERROR(MATCH(169,ChqRankU,0),0))))</f>
        <v/>
      </c>
      <c r="E185" s="14">
        <f>IF(IFERROR(MATCH(169,ChqRankU,0),0)=0,"",INDEX(ChqStatus,IFERROR(MATCH(169,ChqRankU,0),0)))</f>
        <v/>
      </c>
      <c r="F185" s="22">
        <f>IF(IFERROR(MATCH(169,ChqRankU,0),0)=0,"",IF(INDEX(ChqStatus,IFERROR(MATCH(169,ChqRankU,0),0))="پاس نشده","—",IF(INDEX(ChqClr,IFERROR(MATCH(169,ChqRankU,0),0))="","—",INDEX(ChqClr,IFERROR(MATCH(169,ChqRankU,0),0)))))</f>
        <v/>
      </c>
      <c r="I185">
        <f>IF(169&gt;NChq,"",INDEX(ChqNorm,169))</f>
        <v/>
      </c>
      <c r="J185">
        <f>IF($I185="","",IF(AND($I185&gt;=$H$3,$I185&lt;=$H$4,INDEX(ChqStatus,169)="پاس نشده"),1,0))</f>
        <v/>
      </c>
      <c r="K185">
        <f>IF($J185=0,"",INDEX(ChqKey,169))</f>
        <v/>
      </c>
      <c r="L185">
        <f>IF($K185="","",COUNTIFS($J$17:$J$516,1,$K$17:$K$516,"&lt;"&amp;$K185)+1)</f>
        <v/>
      </c>
    </row>
    <row r="186">
      <c r="A186" s="16">
        <f>IF(IFERROR(MATCH(170,ChqRankU,0),0)=0,"",170)</f>
        <v/>
      </c>
      <c r="B186" s="24">
        <f>IF(IFERROR(MATCH(170,ChqRankU,0),0)=0,"",INDEX(ChqNorm,IFERROR(MATCH(170,ChqRankU,0),0)))</f>
        <v/>
      </c>
      <c r="C186" s="24">
        <f>IF(IFERROR(MATCH(170,ChqRankU,0),0)=0,"",INDEX(ChqNo,IFERROR(MATCH(170,ChqRankU,0),0)))</f>
        <v/>
      </c>
      <c r="D186" s="25">
        <f>IF(IFERROR(MATCH(170,ChqRankU,0),0)=0,"",IF(INDEX(ChqAmt,IFERROR(MATCH(170,ChqRankU,0),0))=0,"",INDEX(ChqAmt,IFERROR(MATCH(170,ChqRankU,0),0))))</f>
        <v/>
      </c>
      <c r="E186" s="17">
        <f>IF(IFERROR(MATCH(170,ChqRankU,0),0)=0,"",INDEX(ChqStatus,IFERROR(MATCH(170,ChqRankU,0),0)))</f>
        <v/>
      </c>
      <c r="F186" s="24">
        <f>IF(IFERROR(MATCH(170,ChqRankU,0),0)=0,"",IF(INDEX(ChqStatus,IFERROR(MATCH(170,ChqRankU,0),0))="پاس نشده","—",IF(INDEX(ChqClr,IFERROR(MATCH(170,ChqRankU,0),0))="","—",INDEX(ChqClr,IFERROR(MATCH(170,ChqRankU,0),0)))))</f>
        <v/>
      </c>
      <c r="I186">
        <f>IF(170&gt;NChq,"",INDEX(ChqNorm,170))</f>
        <v/>
      </c>
      <c r="J186">
        <f>IF($I186="","",IF(AND($I186&gt;=$H$3,$I186&lt;=$H$4,INDEX(ChqStatus,170)="پاس نشده"),1,0))</f>
        <v/>
      </c>
      <c r="K186">
        <f>IF($J186=0,"",INDEX(ChqKey,170))</f>
        <v/>
      </c>
      <c r="L186">
        <f>IF($K186="","",COUNTIFS($J$17:$J$516,1,$K$17:$K$516,"&lt;"&amp;$K186)+1)</f>
        <v/>
      </c>
    </row>
    <row r="187">
      <c r="A187" s="10">
        <f>IF(IFERROR(MATCH(171,ChqRankU,0),0)=0,"",171)</f>
        <v/>
      </c>
      <c r="B187" s="22">
        <f>IF(IFERROR(MATCH(171,ChqRankU,0),0)=0,"",INDEX(ChqNorm,IFERROR(MATCH(171,ChqRankU,0),0)))</f>
        <v/>
      </c>
      <c r="C187" s="22">
        <f>IF(IFERROR(MATCH(171,ChqRankU,0),0)=0,"",INDEX(ChqNo,IFERROR(MATCH(171,ChqRankU,0),0)))</f>
        <v/>
      </c>
      <c r="D187" s="23">
        <f>IF(IFERROR(MATCH(171,ChqRankU,0),0)=0,"",IF(INDEX(ChqAmt,IFERROR(MATCH(171,ChqRankU,0),0))=0,"",INDEX(ChqAmt,IFERROR(MATCH(171,ChqRankU,0),0))))</f>
        <v/>
      </c>
      <c r="E187" s="14">
        <f>IF(IFERROR(MATCH(171,ChqRankU,0),0)=0,"",INDEX(ChqStatus,IFERROR(MATCH(171,ChqRankU,0),0)))</f>
        <v/>
      </c>
      <c r="F187" s="22">
        <f>IF(IFERROR(MATCH(171,ChqRankU,0),0)=0,"",IF(INDEX(ChqStatus,IFERROR(MATCH(171,ChqRankU,0),0))="پاس نشده","—",IF(INDEX(ChqClr,IFERROR(MATCH(171,ChqRankU,0),0))="","—",INDEX(ChqClr,IFERROR(MATCH(171,ChqRankU,0),0)))))</f>
        <v/>
      </c>
      <c r="I187">
        <f>IF(171&gt;NChq,"",INDEX(ChqNorm,171))</f>
        <v/>
      </c>
      <c r="J187">
        <f>IF($I187="","",IF(AND($I187&gt;=$H$3,$I187&lt;=$H$4,INDEX(ChqStatus,171)="پاس نشده"),1,0))</f>
        <v/>
      </c>
      <c r="K187">
        <f>IF($J187=0,"",INDEX(ChqKey,171))</f>
        <v/>
      </c>
      <c r="L187">
        <f>IF($K187="","",COUNTIFS($J$17:$J$516,1,$K$17:$K$516,"&lt;"&amp;$K187)+1)</f>
        <v/>
      </c>
    </row>
    <row r="188">
      <c r="A188" s="16">
        <f>IF(IFERROR(MATCH(172,ChqRankU,0),0)=0,"",172)</f>
        <v/>
      </c>
      <c r="B188" s="24">
        <f>IF(IFERROR(MATCH(172,ChqRankU,0),0)=0,"",INDEX(ChqNorm,IFERROR(MATCH(172,ChqRankU,0),0)))</f>
        <v/>
      </c>
      <c r="C188" s="24">
        <f>IF(IFERROR(MATCH(172,ChqRankU,0),0)=0,"",INDEX(ChqNo,IFERROR(MATCH(172,ChqRankU,0),0)))</f>
        <v/>
      </c>
      <c r="D188" s="25">
        <f>IF(IFERROR(MATCH(172,ChqRankU,0),0)=0,"",IF(INDEX(ChqAmt,IFERROR(MATCH(172,ChqRankU,0),0))=0,"",INDEX(ChqAmt,IFERROR(MATCH(172,ChqRankU,0),0))))</f>
        <v/>
      </c>
      <c r="E188" s="17">
        <f>IF(IFERROR(MATCH(172,ChqRankU,0),0)=0,"",INDEX(ChqStatus,IFERROR(MATCH(172,ChqRankU,0),0)))</f>
        <v/>
      </c>
      <c r="F188" s="24">
        <f>IF(IFERROR(MATCH(172,ChqRankU,0),0)=0,"",IF(INDEX(ChqStatus,IFERROR(MATCH(172,ChqRankU,0),0))="پاس نشده","—",IF(INDEX(ChqClr,IFERROR(MATCH(172,ChqRankU,0),0))="","—",INDEX(ChqClr,IFERROR(MATCH(172,ChqRankU,0),0)))))</f>
        <v/>
      </c>
      <c r="I188">
        <f>IF(172&gt;NChq,"",INDEX(ChqNorm,172))</f>
        <v/>
      </c>
      <c r="J188">
        <f>IF($I188="","",IF(AND($I188&gt;=$H$3,$I188&lt;=$H$4,INDEX(ChqStatus,172)="پاس نشده"),1,0))</f>
        <v/>
      </c>
      <c r="K188">
        <f>IF($J188=0,"",INDEX(ChqKey,172))</f>
        <v/>
      </c>
      <c r="L188">
        <f>IF($K188="","",COUNTIFS($J$17:$J$516,1,$K$17:$K$516,"&lt;"&amp;$K188)+1)</f>
        <v/>
      </c>
    </row>
    <row r="189">
      <c r="A189" s="10">
        <f>IF(IFERROR(MATCH(173,ChqRankU,0),0)=0,"",173)</f>
        <v/>
      </c>
      <c r="B189" s="22">
        <f>IF(IFERROR(MATCH(173,ChqRankU,0),0)=0,"",INDEX(ChqNorm,IFERROR(MATCH(173,ChqRankU,0),0)))</f>
        <v/>
      </c>
      <c r="C189" s="22">
        <f>IF(IFERROR(MATCH(173,ChqRankU,0),0)=0,"",INDEX(ChqNo,IFERROR(MATCH(173,ChqRankU,0),0)))</f>
        <v/>
      </c>
      <c r="D189" s="23">
        <f>IF(IFERROR(MATCH(173,ChqRankU,0),0)=0,"",IF(INDEX(ChqAmt,IFERROR(MATCH(173,ChqRankU,0),0))=0,"",INDEX(ChqAmt,IFERROR(MATCH(173,ChqRankU,0),0))))</f>
        <v/>
      </c>
      <c r="E189" s="14">
        <f>IF(IFERROR(MATCH(173,ChqRankU,0),0)=0,"",INDEX(ChqStatus,IFERROR(MATCH(173,ChqRankU,0),0)))</f>
        <v/>
      </c>
      <c r="F189" s="22">
        <f>IF(IFERROR(MATCH(173,ChqRankU,0),0)=0,"",IF(INDEX(ChqStatus,IFERROR(MATCH(173,ChqRankU,0),0))="پاس نشده","—",IF(INDEX(ChqClr,IFERROR(MATCH(173,ChqRankU,0),0))="","—",INDEX(ChqClr,IFERROR(MATCH(173,ChqRankU,0),0)))))</f>
        <v/>
      </c>
      <c r="I189">
        <f>IF(173&gt;NChq,"",INDEX(ChqNorm,173))</f>
        <v/>
      </c>
      <c r="J189">
        <f>IF($I189="","",IF(AND($I189&gt;=$H$3,$I189&lt;=$H$4,INDEX(ChqStatus,173)="پاس نشده"),1,0))</f>
        <v/>
      </c>
      <c r="K189">
        <f>IF($J189=0,"",INDEX(ChqKey,173))</f>
        <v/>
      </c>
      <c r="L189">
        <f>IF($K189="","",COUNTIFS($J$17:$J$516,1,$K$17:$K$516,"&lt;"&amp;$K189)+1)</f>
        <v/>
      </c>
    </row>
    <row r="190">
      <c r="A190" s="16">
        <f>IF(IFERROR(MATCH(174,ChqRankU,0),0)=0,"",174)</f>
        <v/>
      </c>
      <c r="B190" s="24">
        <f>IF(IFERROR(MATCH(174,ChqRankU,0),0)=0,"",INDEX(ChqNorm,IFERROR(MATCH(174,ChqRankU,0),0)))</f>
        <v/>
      </c>
      <c r="C190" s="24">
        <f>IF(IFERROR(MATCH(174,ChqRankU,0),0)=0,"",INDEX(ChqNo,IFERROR(MATCH(174,ChqRankU,0),0)))</f>
        <v/>
      </c>
      <c r="D190" s="25">
        <f>IF(IFERROR(MATCH(174,ChqRankU,0),0)=0,"",IF(INDEX(ChqAmt,IFERROR(MATCH(174,ChqRankU,0),0))=0,"",INDEX(ChqAmt,IFERROR(MATCH(174,ChqRankU,0),0))))</f>
        <v/>
      </c>
      <c r="E190" s="17">
        <f>IF(IFERROR(MATCH(174,ChqRankU,0),0)=0,"",INDEX(ChqStatus,IFERROR(MATCH(174,ChqRankU,0),0)))</f>
        <v/>
      </c>
      <c r="F190" s="24">
        <f>IF(IFERROR(MATCH(174,ChqRankU,0),0)=0,"",IF(INDEX(ChqStatus,IFERROR(MATCH(174,ChqRankU,0),0))="پاس نشده","—",IF(INDEX(ChqClr,IFERROR(MATCH(174,ChqRankU,0),0))="","—",INDEX(ChqClr,IFERROR(MATCH(174,ChqRankU,0),0)))))</f>
        <v/>
      </c>
      <c r="I190">
        <f>IF(174&gt;NChq,"",INDEX(ChqNorm,174))</f>
        <v/>
      </c>
      <c r="J190">
        <f>IF($I190="","",IF(AND($I190&gt;=$H$3,$I190&lt;=$H$4,INDEX(ChqStatus,174)="پاس نشده"),1,0))</f>
        <v/>
      </c>
      <c r="K190">
        <f>IF($J190=0,"",INDEX(ChqKey,174))</f>
        <v/>
      </c>
      <c r="L190">
        <f>IF($K190="","",COUNTIFS($J$17:$J$516,1,$K$17:$K$516,"&lt;"&amp;$K190)+1)</f>
        <v/>
      </c>
    </row>
    <row r="191">
      <c r="A191" s="10">
        <f>IF(IFERROR(MATCH(175,ChqRankU,0),0)=0,"",175)</f>
        <v/>
      </c>
      <c r="B191" s="22">
        <f>IF(IFERROR(MATCH(175,ChqRankU,0),0)=0,"",INDEX(ChqNorm,IFERROR(MATCH(175,ChqRankU,0),0)))</f>
        <v/>
      </c>
      <c r="C191" s="22">
        <f>IF(IFERROR(MATCH(175,ChqRankU,0),0)=0,"",INDEX(ChqNo,IFERROR(MATCH(175,ChqRankU,0),0)))</f>
        <v/>
      </c>
      <c r="D191" s="23">
        <f>IF(IFERROR(MATCH(175,ChqRankU,0),0)=0,"",IF(INDEX(ChqAmt,IFERROR(MATCH(175,ChqRankU,0),0))=0,"",INDEX(ChqAmt,IFERROR(MATCH(175,ChqRankU,0),0))))</f>
        <v/>
      </c>
      <c r="E191" s="14">
        <f>IF(IFERROR(MATCH(175,ChqRankU,0),0)=0,"",INDEX(ChqStatus,IFERROR(MATCH(175,ChqRankU,0),0)))</f>
        <v/>
      </c>
      <c r="F191" s="22">
        <f>IF(IFERROR(MATCH(175,ChqRankU,0),0)=0,"",IF(INDEX(ChqStatus,IFERROR(MATCH(175,ChqRankU,0),0))="پاس نشده","—",IF(INDEX(ChqClr,IFERROR(MATCH(175,ChqRankU,0),0))="","—",INDEX(ChqClr,IFERROR(MATCH(175,ChqRankU,0),0)))))</f>
        <v/>
      </c>
      <c r="I191">
        <f>IF(175&gt;NChq,"",INDEX(ChqNorm,175))</f>
        <v/>
      </c>
      <c r="J191">
        <f>IF($I191="","",IF(AND($I191&gt;=$H$3,$I191&lt;=$H$4,INDEX(ChqStatus,175)="پاس نشده"),1,0))</f>
        <v/>
      </c>
      <c r="K191">
        <f>IF($J191=0,"",INDEX(ChqKey,175))</f>
        <v/>
      </c>
      <c r="L191">
        <f>IF($K191="","",COUNTIFS($J$17:$J$516,1,$K$17:$K$516,"&lt;"&amp;$K191)+1)</f>
        <v/>
      </c>
    </row>
    <row r="192">
      <c r="A192" s="16">
        <f>IF(IFERROR(MATCH(176,ChqRankU,0),0)=0,"",176)</f>
        <v/>
      </c>
      <c r="B192" s="24">
        <f>IF(IFERROR(MATCH(176,ChqRankU,0),0)=0,"",INDEX(ChqNorm,IFERROR(MATCH(176,ChqRankU,0),0)))</f>
        <v/>
      </c>
      <c r="C192" s="24">
        <f>IF(IFERROR(MATCH(176,ChqRankU,0),0)=0,"",INDEX(ChqNo,IFERROR(MATCH(176,ChqRankU,0),0)))</f>
        <v/>
      </c>
      <c r="D192" s="25">
        <f>IF(IFERROR(MATCH(176,ChqRankU,0),0)=0,"",IF(INDEX(ChqAmt,IFERROR(MATCH(176,ChqRankU,0),0))=0,"",INDEX(ChqAmt,IFERROR(MATCH(176,ChqRankU,0),0))))</f>
        <v/>
      </c>
      <c r="E192" s="17">
        <f>IF(IFERROR(MATCH(176,ChqRankU,0),0)=0,"",INDEX(ChqStatus,IFERROR(MATCH(176,ChqRankU,0),0)))</f>
        <v/>
      </c>
      <c r="F192" s="24">
        <f>IF(IFERROR(MATCH(176,ChqRankU,0),0)=0,"",IF(INDEX(ChqStatus,IFERROR(MATCH(176,ChqRankU,0),0))="پاس نشده","—",IF(INDEX(ChqClr,IFERROR(MATCH(176,ChqRankU,0),0))="","—",INDEX(ChqClr,IFERROR(MATCH(176,ChqRankU,0),0)))))</f>
        <v/>
      </c>
      <c r="I192">
        <f>IF(176&gt;NChq,"",INDEX(ChqNorm,176))</f>
        <v/>
      </c>
      <c r="J192">
        <f>IF($I192="","",IF(AND($I192&gt;=$H$3,$I192&lt;=$H$4,INDEX(ChqStatus,176)="پاس نشده"),1,0))</f>
        <v/>
      </c>
      <c r="K192">
        <f>IF($J192=0,"",INDEX(ChqKey,176))</f>
        <v/>
      </c>
      <c r="L192">
        <f>IF($K192="","",COUNTIFS($J$17:$J$516,1,$K$17:$K$516,"&lt;"&amp;$K192)+1)</f>
        <v/>
      </c>
    </row>
    <row r="193">
      <c r="A193" s="10">
        <f>IF(IFERROR(MATCH(177,ChqRankU,0),0)=0,"",177)</f>
        <v/>
      </c>
      <c r="B193" s="22">
        <f>IF(IFERROR(MATCH(177,ChqRankU,0),0)=0,"",INDEX(ChqNorm,IFERROR(MATCH(177,ChqRankU,0),0)))</f>
        <v/>
      </c>
      <c r="C193" s="22">
        <f>IF(IFERROR(MATCH(177,ChqRankU,0),0)=0,"",INDEX(ChqNo,IFERROR(MATCH(177,ChqRankU,0),0)))</f>
        <v/>
      </c>
      <c r="D193" s="23">
        <f>IF(IFERROR(MATCH(177,ChqRankU,0),0)=0,"",IF(INDEX(ChqAmt,IFERROR(MATCH(177,ChqRankU,0),0))=0,"",INDEX(ChqAmt,IFERROR(MATCH(177,ChqRankU,0),0))))</f>
        <v/>
      </c>
      <c r="E193" s="14">
        <f>IF(IFERROR(MATCH(177,ChqRankU,0),0)=0,"",INDEX(ChqStatus,IFERROR(MATCH(177,ChqRankU,0),0)))</f>
        <v/>
      </c>
      <c r="F193" s="22">
        <f>IF(IFERROR(MATCH(177,ChqRankU,0),0)=0,"",IF(INDEX(ChqStatus,IFERROR(MATCH(177,ChqRankU,0),0))="پاس نشده","—",IF(INDEX(ChqClr,IFERROR(MATCH(177,ChqRankU,0),0))="","—",INDEX(ChqClr,IFERROR(MATCH(177,ChqRankU,0),0)))))</f>
        <v/>
      </c>
      <c r="I193">
        <f>IF(177&gt;NChq,"",INDEX(ChqNorm,177))</f>
        <v/>
      </c>
      <c r="J193">
        <f>IF($I193="","",IF(AND($I193&gt;=$H$3,$I193&lt;=$H$4,INDEX(ChqStatus,177)="پاس نشده"),1,0))</f>
        <v/>
      </c>
      <c r="K193">
        <f>IF($J193=0,"",INDEX(ChqKey,177))</f>
        <v/>
      </c>
      <c r="L193">
        <f>IF($K193="","",COUNTIFS($J$17:$J$516,1,$K$17:$K$516,"&lt;"&amp;$K193)+1)</f>
        <v/>
      </c>
    </row>
    <row r="194">
      <c r="A194" s="16">
        <f>IF(IFERROR(MATCH(178,ChqRankU,0),0)=0,"",178)</f>
        <v/>
      </c>
      <c r="B194" s="24">
        <f>IF(IFERROR(MATCH(178,ChqRankU,0),0)=0,"",INDEX(ChqNorm,IFERROR(MATCH(178,ChqRankU,0),0)))</f>
        <v/>
      </c>
      <c r="C194" s="24">
        <f>IF(IFERROR(MATCH(178,ChqRankU,0),0)=0,"",INDEX(ChqNo,IFERROR(MATCH(178,ChqRankU,0),0)))</f>
        <v/>
      </c>
      <c r="D194" s="25">
        <f>IF(IFERROR(MATCH(178,ChqRankU,0),0)=0,"",IF(INDEX(ChqAmt,IFERROR(MATCH(178,ChqRankU,0),0))=0,"",INDEX(ChqAmt,IFERROR(MATCH(178,ChqRankU,0),0))))</f>
        <v/>
      </c>
      <c r="E194" s="17">
        <f>IF(IFERROR(MATCH(178,ChqRankU,0),0)=0,"",INDEX(ChqStatus,IFERROR(MATCH(178,ChqRankU,0),0)))</f>
        <v/>
      </c>
      <c r="F194" s="24">
        <f>IF(IFERROR(MATCH(178,ChqRankU,0),0)=0,"",IF(INDEX(ChqStatus,IFERROR(MATCH(178,ChqRankU,0),0))="پاس نشده","—",IF(INDEX(ChqClr,IFERROR(MATCH(178,ChqRankU,0),0))="","—",INDEX(ChqClr,IFERROR(MATCH(178,ChqRankU,0),0)))))</f>
        <v/>
      </c>
      <c r="I194">
        <f>IF(178&gt;NChq,"",INDEX(ChqNorm,178))</f>
        <v/>
      </c>
      <c r="J194">
        <f>IF($I194="","",IF(AND($I194&gt;=$H$3,$I194&lt;=$H$4,INDEX(ChqStatus,178)="پاس نشده"),1,0))</f>
        <v/>
      </c>
      <c r="K194">
        <f>IF($J194=0,"",INDEX(ChqKey,178))</f>
        <v/>
      </c>
      <c r="L194">
        <f>IF($K194="","",COUNTIFS($J$17:$J$516,1,$K$17:$K$516,"&lt;"&amp;$K194)+1)</f>
        <v/>
      </c>
    </row>
    <row r="195">
      <c r="A195" s="10">
        <f>IF(IFERROR(MATCH(179,ChqRankU,0),0)=0,"",179)</f>
        <v/>
      </c>
      <c r="B195" s="22">
        <f>IF(IFERROR(MATCH(179,ChqRankU,0),0)=0,"",INDEX(ChqNorm,IFERROR(MATCH(179,ChqRankU,0),0)))</f>
        <v/>
      </c>
      <c r="C195" s="22">
        <f>IF(IFERROR(MATCH(179,ChqRankU,0),0)=0,"",INDEX(ChqNo,IFERROR(MATCH(179,ChqRankU,0),0)))</f>
        <v/>
      </c>
      <c r="D195" s="23">
        <f>IF(IFERROR(MATCH(179,ChqRankU,0),0)=0,"",IF(INDEX(ChqAmt,IFERROR(MATCH(179,ChqRankU,0),0))=0,"",INDEX(ChqAmt,IFERROR(MATCH(179,ChqRankU,0),0))))</f>
        <v/>
      </c>
      <c r="E195" s="14">
        <f>IF(IFERROR(MATCH(179,ChqRankU,0),0)=0,"",INDEX(ChqStatus,IFERROR(MATCH(179,ChqRankU,0),0)))</f>
        <v/>
      </c>
      <c r="F195" s="22">
        <f>IF(IFERROR(MATCH(179,ChqRankU,0),0)=0,"",IF(INDEX(ChqStatus,IFERROR(MATCH(179,ChqRankU,0),0))="پاس نشده","—",IF(INDEX(ChqClr,IFERROR(MATCH(179,ChqRankU,0),0))="","—",INDEX(ChqClr,IFERROR(MATCH(179,ChqRankU,0),0)))))</f>
        <v/>
      </c>
      <c r="I195">
        <f>IF(179&gt;NChq,"",INDEX(ChqNorm,179))</f>
        <v/>
      </c>
      <c r="J195">
        <f>IF($I195="","",IF(AND($I195&gt;=$H$3,$I195&lt;=$H$4,INDEX(ChqStatus,179)="پاس نشده"),1,0))</f>
        <v/>
      </c>
      <c r="K195">
        <f>IF($J195=0,"",INDEX(ChqKey,179))</f>
        <v/>
      </c>
      <c r="L195">
        <f>IF($K195="","",COUNTIFS($J$17:$J$516,1,$K$17:$K$516,"&lt;"&amp;$K195)+1)</f>
        <v/>
      </c>
    </row>
    <row r="196">
      <c r="A196" s="16">
        <f>IF(IFERROR(MATCH(180,ChqRankU,0),0)=0,"",180)</f>
        <v/>
      </c>
      <c r="B196" s="24">
        <f>IF(IFERROR(MATCH(180,ChqRankU,0),0)=0,"",INDEX(ChqNorm,IFERROR(MATCH(180,ChqRankU,0),0)))</f>
        <v/>
      </c>
      <c r="C196" s="24">
        <f>IF(IFERROR(MATCH(180,ChqRankU,0),0)=0,"",INDEX(ChqNo,IFERROR(MATCH(180,ChqRankU,0),0)))</f>
        <v/>
      </c>
      <c r="D196" s="25">
        <f>IF(IFERROR(MATCH(180,ChqRankU,0),0)=0,"",IF(INDEX(ChqAmt,IFERROR(MATCH(180,ChqRankU,0),0))=0,"",INDEX(ChqAmt,IFERROR(MATCH(180,ChqRankU,0),0))))</f>
        <v/>
      </c>
      <c r="E196" s="17">
        <f>IF(IFERROR(MATCH(180,ChqRankU,0),0)=0,"",INDEX(ChqStatus,IFERROR(MATCH(180,ChqRankU,0),0)))</f>
        <v/>
      </c>
      <c r="F196" s="24">
        <f>IF(IFERROR(MATCH(180,ChqRankU,0),0)=0,"",IF(INDEX(ChqStatus,IFERROR(MATCH(180,ChqRankU,0),0))="پاس نشده","—",IF(INDEX(ChqClr,IFERROR(MATCH(180,ChqRankU,0),0))="","—",INDEX(ChqClr,IFERROR(MATCH(180,ChqRankU,0),0)))))</f>
        <v/>
      </c>
      <c r="I196">
        <f>IF(180&gt;NChq,"",INDEX(ChqNorm,180))</f>
        <v/>
      </c>
      <c r="J196">
        <f>IF($I196="","",IF(AND($I196&gt;=$H$3,$I196&lt;=$H$4,INDEX(ChqStatus,180)="پاس نشده"),1,0))</f>
        <v/>
      </c>
      <c r="K196">
        <f>IF($J196=0,"",INDEX(ChqKey,180))</f>
        <v/>
      </c>
      <c r="L196">
        <f>IF($K196="","",COUNTIFS($J$17:$J$516,1,$K$17:$K$516,"&lt;"&amp;$K196)+1)</f>
        <v/>
      </c>
    </row>
    <row r="197">
      <c r="A197" s="10">
        <f>IF(IFERROR(MATCH(181,ChqRankU,0),0)=0,"",181)</f>
        <v/>
      </c>
      <c r="B197" s="22">
        <f>IF(IFERROR(MATCH(181,ChqRankU,0),0)=0,"",INDEX(ChqNorm,IFERROR(MATCH(181,ChqRankU,0),0)))</f>
        <v/>
      </c>
      <c r="C197" s="22">
        <f>IF(IFERROR(MATCH(181,ChqRankU,0),0)=0,"",INDEX(ChqNo,IFERROR(MATCH(181,ChqRankU,0),0)))</f>
        <v/>
      </c>
      <c r="D197" s="23">
        <f>IF(IFERROR(MATCH(181,ChqRankU,0),0)=0,"",IF(INDEX(ChqAmt,IFERROR(MATCH(181,ChqRankU,0),0))=0,"",INDEX(ChqAmt,IFERROR(MATCH(181,ChqRankU,0),0))))</f>
        <v/>
      </c>
      <c r="E197" s="14">
        <f>IF(IFERROR(MATCH(181,ChqRankU,0),0)=0,"",INDEX(ChqStatus,IFERROR(MATCH(181,ChqRankU,0),0)))</f>
        <v/>
      </c>
      <c r="F197" s="22">
        <f>IF(IFERROR(MATCH(181,ChqRankU,0),0)=0,"",IF(INDEX(ChqStatus,IFERROR(MATCH(181,ChqRankU,0),0))="پاس نشده","—",IF(INDEX(ChqClr,IFERROR(MATCH(181,ChqRankU,0),0))="","—",INDEX(ChqClr,IFERROR(MATCH(181,ChqRankU,0),0)))))</f>
        <v/>
      </c>
      <c r="I197">
        <f>IF(181&gt;NChq,"",INDEX(ChqNorm,181))</f>
        <v/>
      </c>
      <c r="J197">
        <f>IF($I197="","",IF(AND($I197&gt;=$H$3,$I197&lt;=$H$4,INDEX(ChqStatus,181)="پاس نشده"),1,0))</f>
        <v/>
      </c>
      <c r="K197">
        <f>IF($J197=0,"",INDEX(ChqKey,181))</f>
        <v/>
      </c>
      <c r="L197">
        <f>IF($K197="","",COUNTIFS($J$17:$J$516,1,$K$17:$K$516,"&lt;"&amp;$K197)+1)</f>
        <v/>
      </c>
    </row>
    <row r="198">
      <c r="A198" s="16">
        <f>IF(IFERROR(MATCH(182,ChqRankU,0),0)=0,"",182)</f>
        <v/>
      </c>
      <c r="B198" s="24">
        <f>IF(IFERROR(MATCH(182,ChqRankU,0),0)=0,"",INDEX(ChqNorm,IFERROR(MATCH(182,ChqRankU,0),0)))</f>
        <v/>
      </c>
      <c r="C198" s="24">
        <f>IF(IFERROR(MATCH(182,ChqRankU,0),0)=0,"",INDEX(ChqNo,IFERROR(MATCH(182,ChqRankU,0),0)))</f>
        <v/>
      </c>
      <c r="D198" s="25">
        <f>IF(IFERROR(MATCH(182,ChqRankU,0),0)=0,"",IF(INDEX(ChqAmt,IFERROR(MATCH(182,ChqRankU,0),0))=0,"",INDEX(ChqAmt,IFERROR(MATCH(182,ChqRankU,0),0))))</f>
        <v/>
      </c>
      <c r="E198" s="17">
        <f>IF(IFERROR(MATCH(182,ChqRankU,0),0)=0,"",INDEX(ChqStatus,IFERROR(MATCH(182,ChqRankU,0),0)))</f>
        <v/>
      </c>
      <c r="F198" s="24">
        <f>IF(IFERROR(MATCH(182,ChqRankU,0),0)=0,"",IF(INDEX(ChqStatus,IFERROR(MATCH(182,ChqRankU,0),0))="پاس نشده","—",IF(INDEX(ChqClr,IFERROR(MATCH(182,ChqRankU,0),0))="","—",INDEX(ChqClr,IFERROR(MATCH(182,ChqRankU,0),0)))))</f>
        <v/>
      </c>
      <c r="I198">
        <f>IF(182&gt;NChq,"",INDEX(ChqNorm,182))</f>
        <v/>
      </c>
      <c r="J198">
        <f>IF($I198="","",IF(AND($I198&gt;=$H$3,$I198&lt;=$H$4,INDEX(ChqStatus,182)="پاس نشده"),1,0))</f>
        <v/>
      </c>
      <c r="K198">
        <f>IF($J198=0,"",INDEX(ChqKey,182))</f>
        <v/>
      </c>
      <c r="L198">
        <f>IF($K198="","",COUNTIFS($J$17:$J$516,1,$K$17:$K$516,"&lt;"&amp;$K198)+1)</f>
        <v/>
      </c>
    </row>
    <row r="199">
      <c r="A199" s="10">
        <f>IF(IFERROR(MATCH(183,ChqRankU,0),0)=0,"",183)</f>
        <v/>
      </c>
      <c r="B199" s="22">
        <f>IF(IFERROR(MATCH(183,ChqRankU,0),0)=0,"",INDEX(ChqNorm,IFERROR(MATCH(183,ChqRankU,0),0)))</f>
        <v/>
      </c>
      <c r="C199" s="22">
        <f>IF(IFERROR(MATCH(183,ChqRankU,0),0)=0,"",INDEX(ChqNo,IFERROR(MATCH(183,ChqRankU,0),0)))</f>
        <v/>
      </c>
      <c r="D199" s="23">
        <f>IF(IFERROR(MATCH(183,ChqRankU,0),0)=0,"",IF(INDEX(ChqAmt,IFERROR(MATCH(183,ChqRankU,0),0))=0,"",INDEX(ChqAmt,IFERROR(MATCH(183,ChqRankU,0),0))))</f>
        <v/>
      </c>
      <c r="E199" s="14">
        <f>IF(IFERROR(MATCH(183,ChqRankU,0),0)=0,"",INDEX(ChqStatus,IFERROR(MATCH(183,ChqRankU,0),0)))</f>
        <v/>
      </c>
      <c r="F199" s="22">
        <f>IF(IFERROR(MATCH(183,ChqRankU,0),0)=0,"",IF(INDEX(ChqStatus,IFERROR(MATCH(183,ChqRankU,0),0))="پاس نشده","—",IF(INDEX(ChqClr,IFERROR(MATCH(183,ChqRankU,0),0))="","—",INDEX(ChqClr,IFERROR(MATCH(183,ChqRankU,0),0)))))</f>
        <v/>
      </c>
      <c r="I199">
        <f>IF(183&gt;NChq,"",INDEX(ChqNorm,183))</f>
        <v/>
      </c>
      <c r="J199">
        <f>IF($I199="","",IF(AND($I199&gt;=$H$3,$I199&lt;=$H$4,INDEX(ChqStatus,183)="پاس نشده"),1,0))</f>
        <v/>
      </c>
      <c r="K199">
        <f>IF($J199=0,"",INDEX(ChqKey,183))</f>
        <v/>
      </c>
      <c r="L199">
        <f>IF($K199="","",COUNTIFS($J$17:$J$516,1,$K$17:$K$516,"&lt;"&amp;$K199)+1)</f>
        <v/>
      </c>
    </row>
    <row r="200">
      <c r="A200" s="16">
        <f>IF(IFERROR(MATCH(184,ChqRankU,0),0)=0,"",184)</f>
        <v/>
      </c>
      <c r="B200" s="24">
        <f>IF(IFERROR(MATCH(184,ChqRankU,0),0)=0,"",INDEX(ChqNorm,IFERROR(MATCH(184,ChqRankU,0),0)))</f>
        <v/>
      </c>
      <c r="C200" s="24">
        <f>IF(IFERROR(MATCH(184,ChqRankU,0),0)=0,"",INDEX(ChqNo,IFERROR(MATCH(184,ChqRankU,0),0)))</f>
        <v/>
      </c>
      <c r="D200" s="25">
        <f>IF(IFERROR(MATCH(184,ChqRankU,0),0)=0,"",IF(INDEX(ChqAmt,IFERROR(MATCH(184,ChqRankU,0),0))=0,"",INDEX(ChqAmt,IFERROR(MATCH(184,ChqRankU,0),0))))</f>
        <v/>
      </c>
      <c r="E200" s="17">
        <f>IF(IFERROR(MATCH(184,ChqRankU,0),0)=0,"",INDEX(ChqStatus,IFERROR(MATCH(184,ChqRankU,0),0)))</f>
        <v/>
      </c>
      <c r="F200" s="24">
        <f>IF(IFERROR(MATCH(184,ChqRankU,0),0)=0,"",IF(INDEX(ChqStatus,IFERROR(MATCH(184,ChqRankU,0),0))="پاس نشده","—",IF(INDEX(ChqClr,IFERROR(MATCH(184,ChqRankU,0),0))="","—",INDEX(ChqClr,IFERROR(MATCH(184,ChqRankU,0),0)))))</f>
        <v/>
      </c>
      <c r="I200">
        <f>IF(184&gt;NChq,"",INDEX(ChqNorm,184))</f>
        <v/>
      </c>
      <c r="J200">
        <f>IF($I200="","",IF(AND($I200&gt;=$H$3,$I200&lt;=$H$4,INDEX(ChqStatus,184)="پاس نشده"),1,0))</f>
        <v/>
      </c>
      <c r="K200">
        <f>IF($J200=0,"",INDEX(ChqKey,184))</f>
        <v/>
      </c>
      <c r="L200">
        <f>IF($K200="","",COUNTIFS($J$17:$J$516,1,$K$17:$K$516,"&lt;"&amp;$K200)+1)</f>
        <v/>
      </c>
    </row>
    <row r="201">
      <c r="A201" s="10">
        <f>IF(IFERROR(MATCH(185,ChqRankU,0),0)=0,"",185)</f>
        <v/>
      </c>
      <c r="B201" s="22">
        <f>IF(IFERROR(MATCH(185,ChqRankU,0),0)=0,"",INDEX(ChqNorm,IFERROR(MATCH(185,ChqRankU,0),0)))</f>
        <v/>
      </c>
      <c r="C201" s="22">
        <f>IF(IFERROR(MATCH(185,ChqRankU,0),0)=0,"",INDEX(ChqNo,IFERROR(MATCH(185,ChqRankU,0),0)))</f>
        <v/>
      </c>
      <c r="D201" s="23">
        <f>IF(IFERROR(MATCH(185,ChqRankU,0),0)=0,"",IF(INDEX(ChqAmt,IFERROR(MATCH(185,ChqRankU,0),0))=0,"",INDEX(ChqAmt,IFERROR(MATCH(185,ChqRankU,0),0))))</f>
        <v/>
      </c>
      <c r="E201" s="14">
        <f>IF(IFERROR(MATCH(185,ChqRankU,0),0)=0,"",INDEX(ChqStatus,IFERROR(MATCH(185,ChqRankU,0),0)))</f>
        <v/>
      </c>
      <c r="F201" s="22">
        <f>IF(IFERROR(MATCH(185,ChqRankU,0),0)=0,"",IF(INDEX(ChqStatus,IFERROR(MATCH(185,ChqRankU,0),0))="پاس نشده","—",IF(INDEX(ChqClr,IFERROR(MATCH(185,ChqRankU,0),0))="","—",INDEX(ChqClr,IFERROR(MATCH(185,ChqRankU,0),0)))))</f>
        <v/>
      </c>
      <c r="I201">
        <f>IF(185&gt;NChq,"",INDEX(ChqNorm,185))</f>
        <v/>
      </c>
      <c r="J201">
        <f>IF($I201="","",IF(AND($I201&gt;=$H$3,$I201&lt;=$H$4,INDEX(ChqStatus,185)="پاس نشده"),1,0))</f>
        <v/>
      </c>
      <c r="K201">
        <f>IF($J201=0,"",INDEX(ChqKey,185))</f>
        <v/>
      </c>
      <c r="L201">
        <f>IF($K201="","",COUNTIFS($J$17:$J$516,1,$K$17:$K$516,"&lt;"&amp;$K201)+1)</f>
        <v/>
      </c>
    </row>
    <row r="202">
      <c r="A202" s="16">
        <f>IF(IFERROR(MATCH(186,ChqRankU,0),0)=0,"",186)</f>
        <v/>
      </c>
      <c r="B202" s="24">
        <f>IF(IFERROR(MATCH(186,ChqRankU,0),0)=0,"",INDEX(ChqNorm,IFERROR(MATCH(186,ChqRankU,0),0)))</f>
        <v/>
      </c>
      <c r="C202" s="24">
        <f>IF(IFERROR(MATCH(186,ChqRankU,0),0)=0,"",INDEX(ChqNo,IFERROR(MATCH(186,ChqRankU,0),0)))</f>
        <v/>
      </c>
      <c r="D202" s="25">
        <f>IF(IFERROR(MATCH(186,ChqRankU,0),0)=0,"",IF(INDEX(ChqAmt,IFERROR(MATCH(186,ChqRankU,0),0))=0,"",INDEX(ChqAmt,IFERROR(MATCH(186,ChqRankU,0),0))))</f>
        <v/>
      </c>
      <c r="E202" s="17">
        <f>IF(IFERROR(MATCH(186,ChqRankU,0),0)=0,"",INDEX(ChqStatus,IFERROR(MATCH(186,ChqRankU,0),0)))</f>
        <v/>
      </c>
      <c r="F202" s="24">
        <f>IF(IFERROR(MATCH(186,ChqRankU,0),0)=0,"",IF(INDEX(ChqStatus,IFERROR(MATCH(186,ChqRankU,0),0))="پاس نشده","—",IF(INDEX(ChqClr,IFERROR(MATCH(186,ChqRankU,0),0))="","—",INDEX(ChqClr,IFERROR(MATCH(186,ChqRankU,0),0)))))</f>
        <v/>
      </c>
      <c r="I202">
        <f>IF(186&gt;NChq,"",INDEX(ChqNorm,186))</f>
        <v/>
      </c>
      <c r="J202">
        <f>IF($I202="","",IF(AND($I202&gt;=$H$3,$I202&lt;=$H$4,INDEX(ChqStatus,186)="پاس نشده"),1,0))</f>
        <v/>
      </c>
      <c r="K202">
        <f>IF($J202=0,"",INDEX(ChqKey,186))</f>
        <v/>
      </c>
      <c r="L202">
        <f>IF($K202="","",COUNTIFS($J$17:$J$516,1,$K$17:$K$516,"&lt;"&amp;$K202)+1)</f>
        <v/>
      </c>
    </row>
    <row r="203">
      <c r="A203" s="10">
        <f>IF(IFERROR(MATCH(187,ChqRankU,0),0)=0,"",187)</f>
        <v/>
      </c>
      <c r="B203" s="22">
        <f>IF(IFERROR(MATCH(187,ChqRankU,0),0)=0,"",INDEX(ChqNorm,IFERROR(MATCH(187,ChqRankU,0),0)))</f>
        <v/>
      </c>
      <c r="C203" s="22">
        <f>IF(IFERROR(MATCH(187,ChqRankU,0),0)=0,"",INDEX(ChqNo,IFERROR(MATCH(187,ChqRankU,0),0)))</f>
        <v/>
      </c>
      <c r="D203" s="23">
        <f>IF(IFERROR(MATCH(187,ChqRankU,0),0)=0,"",IF(INDEX(ChqAmt,IFERROR(MATCH(187,ChqRankU,0),0))=0,"",INDEX(ChqAmt,IFERROR(MATCH(187,ChqRankU,0),0))))</f>
        <v/>
      </c>
      <c r="E203" s="14">
        <f>IF(IFERROR(MATCH(187,ChqRankU,0),0)=0,"",INDEX(ChqStatus,IFERROR(MATCH(187,ChqRankU,0),0)))</f>
        <v/>
      </c>
      <c r="F203" s="22">
        <f>IF(IFERROR(MATCH(187,ChqRankU,0),0)=0,"",IF(INDEX(ChqStatus,IFERROR(MATCH(187,ChqRankU,0),0))="پاس نشده","—",IF(INDEX(ChqClr,IFERROR(MATCH(187,ChqRankU,0),0))="","—",INDEX(ChqClr,IFERROR(MATCH(187,ChqRankU,0),0)))))</f>
        <v/>
      </c>
      <c r="I203">
        <f>IF(187&gt;NChq,"",INDEX(ChqNorm,187))</f>
        <v/>
      </c>
      <c r="J203">
        <f>IF($I203="","",IF(AND($I203&gt;=$H$3,$I203&lt;=$H$4,INDEX(ChqStatus,187)="پاس نشده"),1,0))</f>
        <v/>
      </c>
      <c r="K203">
        <f>IF($J203=0,"",INDEX(ChqKey,187))</f>
        <v/>
      </c>
      <c r="L203">
        <f>IF($K203="","",COUNTIFS($J$17:$J$516,1,$K$17:$K$516,"&lt;"&amp;$K203)+1)</f>
        <v/>
      </c>
    </row>
    <row r="204">
      <c r="A204" s="16">
        <f>IF(IFERROR(MATCH(188,ChqRankU,0),0)=0,"",188)</f>
        <v/>
      </c>
      <c r="B204" s="24">
        <f>IF(IFERROR(MATCH(188,ChqRankU,0),0)=0,"",INDEX(ChqNorm,IFERROR(MATCH(188,ChqRankU,0),0)))</f>
        <v/>
      </c>
      <c r="C204" s="24">
        <f>IF(IFERROR(MATCH(188,ChqRankU,0),0)=0,"",INDEX(ChqNo,IFERROR(MATCH(188,ChqRankU,0),0)))</f>
        <v/>
      </c>
      <c r="D204" s="25">
        <f>IF(IFERROR(MATCH(188,ChqRankU,0),0)=0,"",IF(INDEX(ChqAmt,IFERROR(MATCH(188,ChqRankU,0),0))=0,"",INDEX(ChqAmt,IFERROR(MATCH(188,ChqRankU,0),0))))</f>
        <v/>
      </c>
      <c r="E204" s="17">
        <f>IF(IFERROR(MATCH(188,ChqRankU,0),0)=0,"",INDEX(ChqStatus,IFERROR(MATCH(188,ChqRankU,0),0)))</f>
        <v/>
      </c>
      <c r="F204" s="24">
        <f>IF(IFERROR(MATCH(188,ChqRankU,0),0)=0,"",IF(INDEX(ChqStatus,IFERROR(MATCH(188,ChqRankU,0),0))="پاس نشده","—",IF(INDEX(ChqClr,IFERROR(MATCH(188,ChqRankU,0),0))="","—",INDEX(ChqClr,IFERROR(MATCH(188,ChqRankU,0),0)))))</f>
        <v/>
      </c>
      <c r="I204">
        <f>IF(188&gt;NChq,"",INDEX(ChqNorm,188))</f>
        <v/>
      </c>
      <c r="J204">
        <f>IF($I204="","",IF(AND($I204&gt;=$H$3,$I204&lt;=$H$4,INDEX(ChqStatus,188)="پاس نشده"),1,0))</f>
        <v/>
      </c>
      <c r="K204">
        <f>IF($J204=0,"",INDEX(ChqKey,188))</f>
        <v/>
      </c>
      <c r="L204">
        <f>IF($K204="","",COUNTIFS($J$17:$J$516,1,$K$17:$K$516,"&lt;"&amp;$K204)+1)</f>
        <v/>
      </c>
    </row>
    <row r="205">
      <c r="A205" s="10">
        <f>IF(IFERROR(MATCH(189,ChqRankU,0),0)=0,"",189)</f>
        <v/>
      </c>
      <c r="B205" s="22">
        <f>IF(IFERROR(MATCH(189,ChqRankU,0),0)=0,"",INDEX(ChqNorm,IFERROR(MATCH(189,ChqRankU,0),0)))</f>
        <v/>
      </c>
      <c r="C205" s="22">
        <f>IF(IFERROR(MATCH(189,ChqRankU,0),0)=0,"",INDEX(ChqNo,IFERROR(MATCH(189,ChqRankU,0),0)))</f>
        <v/>
      </c>
      <c r="D205" s="23">
        <f>IF(IFERROR(MATCH(189,ChqRankU,0),0)=0,"",IF(INDEX(ChqAmt,IFERROR(MATCH(189,ChqRankU,0),0))=0,"",INDEX(ChqAmt,IFERROR(MATCH(189,ChqRankU,0),0))))</f>
        <v/>
      </c>
      <c r="E205" s="14">
        <f>IF(IFERROR(MATCH(189,ChqRankU,0),0)=0,"",INDEX(ChqStatus,IFERROR(MATCH(189,ChqRankU,0),0)))</f>
        <v/>
      </c>
      <c r="F205" s="22">
        <f>IF(IFERROR(MATCH(189,ChqRankU,0),0)=0,"",IF(INDEX(ChqStatus,IFERROR(MATCH(189,ChqRankU,0),0))="پاس نشده","—",IF(INDEX(ChqClr,IFERROR(MATCH(189,ChqRankU,0),0))="","—",INDEX(ChqClr,IFERROR(MATCH(189,ChqRankU,0),0)))))</f>
        <v/>
      </c>
      <c r="I205">
        <f>IF(189&gt;NChq,"",INDEX(ChqNorm,189))</f>
        <v/>
      </c>
      <c r="J205">
        <f>IF($I205="","",IF(AND($I205&gt;=$H$3,$I205&lt;=$H$4,INDEX(ChqStatus,189)="پاس نشده"),1,0))</f>
        <v/>
      </c>
      <c r="K205">
        <f>IF($J205=0,"",INDEX(ChqKey,189))</f>
        <v/>
      </c>
      <c r="L205">
        <f>IF($K205="","",COUNTIFS($J$17:$J$516,1,$K$17:$K$516,"&lt;"&amp;$K205)+1)</f>
        <v/>
      </c>
    </row>
    <row r="206">
      <c r="A206" s="16">
        <f>IF(IFERROR(MATCH(190,ChqRankU,0),0)=0,"",190)</f>
        <v/>
      </c>
      <c r="B206" s="24">
        <f>IF(IFERROR(MATCH(190,ChqRankU,0),0)=0,"",INDEX(ChqNorm,IFERROR(MATCH(190,ChqRankU,0),0)))</f>
        <v/>
      </c>
      <c r="C206" s="24">
        <f>IF(IFERROR(MATCH(190,ChqRankU,0),0)=0,"",INDEX(ChqNo,IFERROR(MATCH(190,ChqRankU,0),0)))</f>
        <v/>
      </c>
      <c r="D206" s="25">
        <f>IF(IFERROR(MATCH(190,ChqRankU,0),0)=0,"",IF(INDEX(ChqAmt,IFERROR(MATCH(190,ChqRankU,0),0))=0,"",INDEX(ChqAmt,IFERROR(MATCH(190,ChqRankU,0),0))))</f>
        <v/>
      </c>
      <c r="E206" s="17">
        <f>IF(IFERROR(MATCH(190,ChqRankU,0),0)=0,"",INDEX(ChqStatus,IFERROR(MATCH(190,ChqRankU,0),0)))</f>
        <v/>
      </c>
      <c r="F206" s="24">
        <f>IF(IFERROR(MATCH(190,ChqRankU,0),0)=0,"",IF(INDEX(ChqStatus,IFERROR(MATCH(190,ChqRankU,0),0))="پاس نشده","—",IF(INDEX(ChqClr,IFERROR(MATCH(190,ChqRankU,0),0))="","—",INDEX(ChqClr,IFERROR(MATCH(190,ChqRankU,0),0)))))</f>
        <v/>
      </c>
      <c r="I206">
        <f>IF(190&gt;NChq,"",INDEX(ChqNorm,190))</f>
        <v/>
      </c>
      <c r="J206">
        <f>IF($I206="","",IF(AND($I206&gt;=$H$3,$I206&lt;=$H$4,INDEX(ChqStatus,190)="پاس نشده"),1,0))</f>
        <v/>
      </c>
      <c r="K206">
        <f>IF($J206=0,"",INDEX(ChqKey,190))</f>
        <v/>
      </c>
      <c r="L206">
        <f>IF($K206="","",COUNTIFS($J$17:$J$516,1,$K$17:$K$516,"&lt;"&amp;$K206)+1)</f>
        <v/>
      </c>
    </row>
    <row r="207">
      <c r="A207" s="10">
        <f>IF(IFERROR(MATCH(191,ChqRankU,0),0)=0,"",191)</f>
        <v/>
      </c>
      <c r="B207" s="22">
        <f>IF(IFERROR(MATCH(191,ChqRankU,0),0)=0,"",INDEX(ChqNorm,IFERROR(MATCH(191,ChqRankU,0),0)))</f>
        <v/>
      </c>
      <c r="C207" s="22">
        <f>IF(IFERROR(MATCH(191,ChqRankU,0),0)=0,"",INDEX(ChqNo,IFERROR(MATCH(191,ChqRankU,0),0)))</f>
        <v/>
      </c>
      <c r="D207" s="23">
        <f>IF(IFERROR(MATCH(191,ChqRankU,0),0)=0,"",IF(INDEX(ChqAmt,IFERROR(MATCH(191,ChqRankU,0),0))=0,"",INDEX(ChqAmt,IFERROR(MATCH(191,ChqRankU,0),0))))</f>
        <v/>
      </c>
      <c r="E207" s="14">
        <f>IF(IFERROR(MATCH(191,ChqRankU,0),0)=0,"",INDEX(ChqStatus,IFERROR(MATCH(191,ChqRankU,0),0)))</f>
        <v/>
      </c>
      <c r="F207" s="22">
        <f>IF(IFERROR(MATCH(191,ChqRankU,0),0)=0,"",IF(INDEX(ChqStatus,IFERROR(MATCH(191,ChqRankU,0),0))="پاس نشده","—",IF(INDEX(ChqClr,IFERROR(MATCH(191,ChqRankU,0),0))="","—",INDEX(ChqClr,IFERROR(MATCH(191,ChqRankU,0),0)))))</f>
        <v/>
      </c>
      <c r="I207">
        <f>IF(191&gt;NChq,"",INDEX(ChqNorm,191))</f>
        <v/>
      </c>
      <c r="J207">
        <f>IF($I207="","",IF(AND($I207&gt;=$H$3,$I207&lt;=$H$4,INDEX(ChqStatus,191)="پاس نشده"),1,0))</f>
        <v/>
      </c>
      <c r="K207">
        <f>IF($J207=0,"",INDEX(ChqKey,191))</f>
        <v/>
      </c>
      <c r="L207">
        <f>IF($K207="","",COUNTIFS($J$17:$J$516,1,$K$17:$K$516,"&lt;"&amp;$K207)+1)</f>
        <v/>
      </c>
    </row>
    <row r="208">
      <c r="A208" s="16">
        <f>IF(IFERROR(MATCH(192,ChqRankU,0),0)=0,"",192)</f>
        <v/>
      </c>
      <c r="B208" s="24">
        <f>IF(IFERROR(MATCH(192,ChqRankU,0),0)=0,"",INDEX(ChqNorm,IFERROR(MATCH(192,ChqRankU,0),0)))</f>
        <v/>
      </c>
      <c r="C208" s="24">
        <f>IF(IFERROR(MATCH(192,ChqRankU,0),0)=0,"",INDEX(ChqNo,IFERROR(MATCH(192,ChqRankU,0),0)))</f>
        <v/>
      </c>
      <c r="D208" s="25">
        <f>IF(IFERROR(MATCH(192,ChqRankU,0),0)=0,"",IF(INDEX(ChqAmt,IFERROR(MATCH(192,ChqRankU,0),0))=0,"",INDEX(ChqAmt,IFERROR(MATCH(192,ChqRankU,0),0))))</f>
        <v/>
      </c>
      <c r="E208" s="17">
        <f>IF(IFERROR(MATCH(192,ChqRankU,0),0)=0,"",INDEX(ChqStatus,IFERROR(MATCH(192,ChqRankU,0),0)))</f>
        <v/>
      </c>
      <c r="F208" s="24">
        <f>IF(IFERROR(MATCH(192,ChqRankU,0),0)=0,"",IF(INDEX(ChqStatus,IFERROR(MATCH(192,ChqRankU,0),0))="پاس نشده","—",IF(INDEX(ChqClr,IFERROR(MATCH(192,ChqRankU,0),0))="","—",INDEX(ChqClr,IFERROR(MATCH(192,ChqRankU,0),0)))))</f>
        <v/>
      </c>
      <c r="I208">
        <f>IF(192&gt;NChq,"",INDEX(ChqNorm,192))</f>
        <v/>
      </c>
      <c r="J208">
        <f>IF($I208="","",IF(AND($I208&gt;=$H$3,$I208&lt;=$H$4,INDEX(ChqStatus,192)="پاس نشده"),1,0))</f>
        <v/>
      </c>
      <c r="K208">
        <f>IF($J208=0,"",INDEX(ChqKey,192))</f>
        <v/>
      </c>
      <c r="L208">
        <f>IF($K208="","",COUNTIFS($J$17:$J$516,1,$K$17:$K$516,"&lt;"&amp;$K208)+1)</f>
        <v/>
      </c>
    </row>
    <row r="209">
      <c r="A209" s="10">
        <f>IF(IFERROR(MATCH(193,ChqRankU,0),0)=0,"",193)</f>
        <v/>
      </c>
      <c r="B209" s="22">
        <f>IF(IFERROR(MATCH(193,ChqRankU,0),0)=0,"",INDEX(ChqNorm,IFERROR(MATCH(193,ChqRankU,0),0)))</f>
        <v/>
      </c>
      <c r="C209" s="22">
        <f>IF(IFERROR(MATCH(193,ChqRankU,0),0)=0,"",INDEX(ChqNo,IFERROR(MATCH(193,ChqRankU,0),0)))</f>
        <v/>
      </c>
      <c r="D209" s="23">
        <f>IF(IFERROR(MATCH(193,ChqRankU,0),0)=0,"",IF(INDEX(ChqAmt,IFERROR(MATCH(193,ChqRankU,0),0))=0,"",INDEX(ChqAmt,IFERROR(MATCH(193,ChqRankU,0),0))))</f>
        <v/>
      </c>
      <c r="E209" s="14">
        <f>IF(IFERROR(MATCH(193,ChqRankU,0),0)=0,"",INDEX(ChqStatus,IFERROR(MATCH(193,ChqRankU,0),0)))</f>
        <v/>
      </c>
      <c r="F209" s="22">
        <f>IF(IFERROR(MATCH(193,ChqRankU,0),0)=0,"",IF(INDEX(ChqStatus,IFERROR(MATCH(193,ChqRankU,0),0))="پاس نشده","—",IF(INDEX(ChqClr,IFERROR(MATCH(193,ChqRankU,0),0))="","—",INDEX(ChqClr,IFERROR(MATCH(193,ChqRankU,0),0)))))</f>
        <v/>
      </c>
      <c r="I209">
        <f>IF(193&gt;NChq,"",INDEX(ChqNorm,193))</f>
        <v/>
      </c>
      <c r="J209">
        <f>IF($I209="","",IF(AND($I209&gt;=$H$3,$I209&lt;=$H$4,INDEX(ChqStatus,193)="پاس نشده"),1,0))</f>
        <v/>
      </c>
      <c r="K209">
        <f>IF($J209=0,"",INDEX(ChqKey,193))</f>
        <v/>
      </c>
      <c r="L209">
        <f>IF($K209="","",COUNTIFS($J$17:$J$516,1,$K$17:$K$516,"&lt;"&amp;$K209)+1)</f>
        <v/>
      </c>
    </row>
    <row r="210">
      <c r="A210" s="16">
        <f>IF(IFERROR(MATCH(194,ChqRankU,0),0)=0,"",194)</f>
        <v/>
      </c>
      <c r="B210" s="24">
        <f>IF(IFERROR(MATCH(194,ChqRankU,0),0)=0,"",INDEX(ChqNorm,IFERROR(MATCH(194,ChqRankU,0),0)))</f>
        <v/>
      </c>
      <c r="C210" s="24">
        <f>IF(IFERROR(MATCH(194,ChqRankU,0),0)=0,"",INDEX(ChqNo,IFERROR(MATCH(194,ChqRankU,0),0)))</f>
        <v/>
      </c>
      <c r="D210" s="25">
        <f>IF(IFERROR(MATCH(194,ChqRankU,0),0)=0,"",IF(INDEX(ChqAmt,IFERROR(MATCH(194,ChqRankU,0),0))=0,"",INDEX(ChqAmt,IFERROR(MATCH(194,ChqRankU,0),0))))</f>
        <v/>
      </c>
      <c r="E210" s="17">
        <f>IF(IFERROR(MATCH(194,ChqRankU,0),0)=0,"",INDEX(ChqStatus,IFERROR(MATCH(194,ChqRankU,0),0)))</f>
        <v/>
      </c>
      <c r="F210" s="24">
        <f>IF(IFERROR(MATCH(194,ChqRankU,0),0)=0,"",IF(INDEX(ChqStatus,IFERROR(MATCH(194,ChqRankU,0),0))="پاس نشده","—",IF(INDEX(ChqClr,IFERROR(MATCH(194,ChqRankU,0),0))="","—",INDEX(ChqClr,IFERROR(MATCH(194,ChqRankU,0),0)))))</f>
        <v/>
      </c>
      <c r="I210">
        <f>IF(194&gt;NChq,"",INDEX(ChqNorm,194))</f>
        <v/>
      </c>
      <c r="J210">
        <f>IF($I210="","",IF(AND($I210&gt;=$H$3,$I210&lt;=$H$4,INDEX(ChqStatus,194)="پاس نشده"),1,0))</f>
        <v/>
      </c>
      <c r="K210">
        <f>IF($J210=0,"",INDEX(ChqKey,194))</f>
        <v/>
      </c>
      <c r="L210">
        <f>IF($K210="","",COUNTIFS($J$17:$J$516,1,$K$17:$K$516,"&lt;"&amp;$K210)+1)</f>
        <v/>
      </c>
    </row>
    <row r="211">
      <c r="A211" s="10">
        <f>IF(IFERROR(MATCH(195,ChqRankU,0),0)=0,"",195)</f>
        <v/>
      </c>
      <c r="B211" s="22">
        <f>IF(IFERROR(MATCH(195,ChqRankU,0),0)=0,"",INDEX(ChqNorm,IFERROR(MATCH(195,ChqRankU,0),0)))</f>
        <v/>
      </c>
      <c r="C211" s="22">
        <f>IF(IFERROR(MATCH(195,ChqRankU,0),0)=0,"",INDEX(ChqNo,IFERROR(MATCH(195,ChqRankU,0),0)))</f>
        <v/>
      </c>
      <c r="D211" s="23">
        <f>IF(IFERROR(MATCH(195,ChqRankU,0),0)=0,"",IF(INDEX(ChqAmt,IFERROR(MATCH(195,ChqRankU,0),0))=0,"",INDEX(ChqAmt,IFERROR(MATCH(195,ChqRankU,0),0))))</f>
        <v/>
      </c>
      <c r="E211" s="14">
        <f>IF(IFERROR(MATCH(195,ChqRankU,0),0)=0,"",INDEX(ChqStatus,IFERROR(MATCH(195,ChqRankU,0),0)))</f>
        <v/>
      </c>
      <c r="F211" s="22">
        <f>IF(IFERROR(MATCH(195,ChqRankU,0),0)=0,"",IF(INDEX(ChqStatus,IFERROR(MATCH(195,ChqRankU,0),0))="پاس نشده","—",IF(INDEX(ChqClr,IFERROR(MATCH(195,ChqRankU,0),0))="","—",INDEX(ChqClr,IFERROR(MATCH(195,ChqRankU,0),0)))))</f>
        <v/>
      </c>
      <c r="I211">
        <f>IF(195&gt;NChq,"",INDEX(ChqNorm,195))</f>
        <v/>
      </c>
      <c r="J211">
        <f>IF($I211="","",IF(AND($I211&gt;=$H$3,$I211&lt;=$H$4,INDEX(ChqStatus,195)="پاس نشده"),1,0))</f>
        <v/>
      </c>
      <c r="K211">
        <f>IF($J211=0,"",INDEX(ChqKey,195))</f>
        <v/>
      </c>
      <c r="L211">
        <f>IF($K211="","",COUNTIFS($J$17:$J$516,1,$K$17:$K$516,"&lt;"&amp;$K211)+1)</f>
        <v/>
      </c>
    </row>
    <row r="212">
      <c r="A212" s="16">
        <f>IF(IFERROR(MATCH(196,ChqRankU,0),0)=0,"",196)</f>
        <v/>
      </c>
      <c r="B212" s="24">
        <f>IF(IFERROR(MATCH(196,ChqRankU,0),0)=0,"",INDEX(ChqNorm,IFERROR(MATCH(196,ChqRankU,0),0)))</f>
        <v/>
      </c>
      <c r="C212" s="24">
        <f>IF(IFERROR(MATCH(196,ChqRankU,0),0)=0,"",INDEX(ChqNo,IFERROR(MATCH(196,ChqRankU,0),0)))</f>
        <v/>
      </c>
      <c r="D212" s="25">
        <f>IF(IFERROR(MATCH(196,ChqRankU,0),0)=0,"",IF(INDEX(ChqAmt,IFERROR(MATCH(196,ChqRankU,0),0))=0,"",INDEX(ChqAmt,IFERROR(MATCH(196,ChqRankU,0),0))))</f>
        <v/>
      </c>
      <c r="E212" s="17">
        <f>IF(IFERROR(MATCH(196,ChqRankU,0),0)=0,"",INDEX(ChqStatus,IFERROR(MATCH(196,ChqRankU,0),0)))</f>
        <v/>
      </c>
      <c r="F212" s="24">
        <f>IF(IFERROR(MATCH(196,ChqRankU,0),0)=0,"",IF(INDEX(ChqStatus,IFERROR(MATCH(196,ChqRankU,0),0))="پاس نشده","—",IF(INDEX(ChqClr,IFERROR(MATCH(196,ChqRankU,0),0))="","—",INDEX(ChqClr,IFERROR(MATCH(196,ChqRankU,0),0)))))</f>
        <v/>
      </c>
      <c r="I212">
        <f>IF(196&gt;NChq,"",INDEX(ChqNorm,196))</f>
        <v/>
      </c>
      <c r="J212">
        <f>IF($I212="","",IF(AND($I212&gt;=$H$3,$I212&lt;=$H$4,INDEX(ChqStatus,196)="پاس نشده"),1,0))</f>
        <v/>
      </c>
      <c r="K212">
        <f>IF($J212=0,"",INDEX(ChqKey,196))</f>
        <v/>
      </c>
      <c r="L212">
        <f>IF($K212="","",COUNTIFS($J$17:$J$516,1,$K$17:$K$516,"&lt;"&amp;$K212)+1)</f>
        <v/>
      </c>
    </row>
    <row r="213">
      <c r="A213" s="10">
        <f>IF(IFERROR(MATCH(197,ChqRankU,0),0)=0,"",197)</f>
        <v/>
      </c>
      <c r="B213" s="22">
        <f>IF(IFERROR(MATCH(197,ChqRankU,0),0)=0,"",INDEX(ChqNorm,IFERROR(MATCH(197,ChqRankU,0),0)))</f>
        <v/>
      </c>
      <c r="C213" s="22">
        <f>IF(IFERROR(MATCH(197,ChqRankU,0),0)=0,"",INDEX(ChqNo,IFERROR(MATCH(197,ChqRankU,0),0)))</f>
        <v/>
      </c>
      <c r="D213" s="23">
        <f>IF(IFERROR(MATCH(197,ChqRankU,0),0)=0,"",IF(INDEX(ChqAmt,IFERROR(MATCH(197,ChqRankU,0),0))=0,"",INDEX(ChqAmt,IFERROR(MATCH(197,ChqRankU,0),0))))</f>
        <v/>
      </c>
      <c r="E213" s="14">
        <f>IF(IFERROR(MATCH(197,ChqRankU,0),0)=0,"",INDEX(ChqStatus,IFERROR(MATCH(197,ChqRankU,0),0)))</f>
        <v/>
      </c>
      <c r="F213" s="22">
        <f>IF(IFERROR(MATCH(197,ChqRankU,0),0)=0,"",IF(INDEX(ChqStatus,IFERROR(MATCH(197,ChqRankU,0),0))="پاس نشده","—",IF(INDEX(ChqClr,IFERROR(MATCH(197,ChqRankU,0),0))="","—",INDEX(ChqClr,IFERROR(MATCH(197,ChqRankU,0),0)))))</f>
        <v/>
      </c>
      <c r="I213">
        <f>IF(197&gt;NChq,"",INDEX(ChqNorm,197))</f>
        <v/>
      </c>
      <c r="J213">
        <f>IF($I213="","",IF(AND($I213&gt;=$H$3,$I213&lt;=$H$4,INDEX(ChqStatus,197)="پاس نشده"),1,0))</f>
        <v/>
      </c>
      <c r="K213">
        <f>IF($J213=0,"",INDEX(ChqKey,197))</f>
        <v/>
      </c>
      <c r="L213">
        <f>IF($K213="","",COUNTIFS($J$17:$J$516,1,$K$17:$K$516,"&lt;"&amp;$K213)+1)</f>
        <v/>
      </c>
    </row>
    <row r="214">
      <c r="A214" s="16">
        <f>IF(IFERROR(MATCH(198,ChqRankU,0),0)=0,"",198)</f>
        <v/>
      </c>
      <c r="B214" s="24">
        <f>IF(IFERROR(MATCH(198,ChqRankU,0),0)=0,"",INDEX(ChqNorm,IFERROR(MATCH(198,ChqRankU,0),0)))</f>
        <v/>
      </c>
      <c r="C214" s="24">
        <f>IF(IFERROR(MATCH(198,ChqRankU,0),0)=0,"",INDEX(ChqNo,IFERROR(MATCH(198,ChqRankU,0),0)))</f>
        <v/>
      </c>
      <c r="D214" s="25">
        <f>IF(IFERROR(MATCH(198,ChqRankU,0),0)=0,"",IF(INDEX(ChqAmt,IFERROR(MATCH(198,ChqRankU,0),0))=0,"",INDEX(ChqAmt,IFERROR(MATCH(198,ChqRankU,0),0))))</f>
        <v/>
      </c>
      <c r="E214" s="17">
        <f>IF(IFERROR(MATCH(198,ChqRankU,0),0)=0,"",INDEX(ChqStatus,IFERROR(MATCH(198,ChqRankU,0),0)))</f>
        <v/>
      </c>
      <c r="F214" s="24">
        <f>IF(IFERROR(MATCH(198,ChqRankU,0),0)=0,"",IF(INDEX(ChqStatus,IFERROR(MATCH(198,ChqRankU,0),0))="پاس نشده","—",IF(INDEX(ChqClr,IFERROR(MATCH(198,ChqRankU,0),0))="","—",INDEX(ChqClr,IFERROR(MATCH(198,ChqRankU,0),0)))))</f>
        <v/>
      </c>
      <c r="I214">
        <f>IF(198&gt;NChq,"",INDEX(ChqNorm,198))</f>
        <v/>
      </c>
      <c r="J214">
        <f>IF($I214="","",IF(AND($I214&gt;=$H$3,$I214&lt;=$H$4,INDEX(ChqStatus,198)="پاس نشده"),1,0))</f>
        <v/>
      </c>
      <c r="K214">
        <f>IF($J214=0,"",INDEX(ChqKey,198))</f>
        <v/>
      </c>
      <c r="L214">
        <f>IF($K214="","",COUNTIFS($J$17:$J$516,1,$K$17:$K$516,"&lt;"&amp;$K214)+1)</f>
        <v/>
      </c>
    </row>
    <row r="215">
      <c r="A215" s="10">
        <f>IF(IFERROR(MATCH(199,ChqRankU,0),0)=0,"",199)</f>
        <v/>
      </c>
      <c r="B215" s="22">
        <f>IF(IFERROR(MATCH(199,ChqRankU,0),0)=0,"",INDEX(ChqNorm,IFERROR(MATCH(199,ChqRankU,0),0)))</f>
        <v/>
      </c>
      <c r="C215" s="22">
        <f>IF(IFERROR(MATCH(199,ChqRankU,0),0)=0,"",INDEX(ChqNo,IFERROR(MATCH(199,ChqRankU,0),0)))</f>
        <v/>
      </c>
      <c r="D215" s="23">
        <f>IF(IFERROR(MATCH(199,ChqRankU,0),0)=0,"",IF(INDEX(ChqAmt,IFERROR(MATCH(199,ChqRankU,0),0))=0,"",INDEX(ChqAmt,IFERROR(MATCH(199,ChqRankU,0),0))))</f>
        <v/>
      </c>
      <c r="E215" s="14">
        <f>IF(IFERROR(MATCH(199,ChqRankU,0),0)=0,"",INDEX(ChqStatus,IFERROR(MATCH(199,ChqRankU,0),0)))</f>
        <v/>
      </c>
      <c r="F215" s="22">
        <f>IF(IFERROR(MATCH(199,ChqRankU,0),0)=0,"",IF(INDEX(ChqStatus,IFERROR(MATCH(199,ChqRankU,0),0))="پاس نشده","—",IF(INDEX(ChqClr,IFERROR(MATCH(199,ChqRankU,0),0))="","—",INDEX(ChqClr,IFERROR(MATCH(199,ChqRankU,0),0)))))</f>
        <v/>
      </c>
      <c r="I215">
        <f>IF(199&gt;NChq,"",INDEX(ChqNorm,199))</f>
        <v/>
      </c>
      <c r="J215">
        <f>IF($I215="","",IF(AND($I215&gt;=$H$3,$I215&lt;=$H$4,INDEX(ChqStatus,199)="پاس نشده"),1,0))</f>
        <v/>
      </c>
      <c r="K215">
        <f>IF($J215=0,"",INDEX(ChqKey,199))</f>
        <v/>
      </c>
      <c r="L215">
        <f>IF($K215="","",COUNTIFS($J$17:$J$516,1,$K$17:$K$516,"&lt;"&amp;$K215)+1)</f>
        <v/>
      </c>
    </row>
    <row r="216">
      <c r="A216" s="16">
        <f>IF(IFERROR(MATCH(200,ChqRankU,0),0)=0,"",200)</f>
        <v/>
      </c>
      <c r="B216" s="24">
        <f>IF(IFERROR(MATCH(200,ChqRankU,0),0)=0,"",INDEX(ChqNorm,IFERROR(MATCH(200,ChqRankU,0),0)))</f>
        <v/>
      </c>
      <c r="C216" s="24">
        <f>IF(IFERROR(MATCH(200,ChqRankU,0),0)=0,"",INDEX(ChqNo,IFERROR(MATCH(200,ChqRankU,0),0)))</f>
        <v/>
      </c>
      <c r="D216" s="25">
        <f>IF(IFERROR(MATCH(200,ChqRankU,0),0)=0,"",IF(INDEX(ChqAmt,IFERROR(MATCH(200,ChqRankU,0),0))=0,"",INDEX(ChqAmt,IFERROR(MATCH(200,ChqRankU,0),0))))</f>
        <v/>
      </c>
      <c r="E216" s="17">
        <f>IF(IFERROR(MATCH(200,ChqRankU,0),0)=0,"",INDEX(ChqStatus,IFERROR(MATCH(200,ChqRankU,0),0)))</f>
        <v/>
      </c>
      <c r="F216" s="24">
        <f>IF(IFERROR(MATCH(200,ChqRankU,0),0)=0,"",IF(INDEX(ChqStatus,IFERROR(MATCH(200,ChqRankU,0),0))="پاس نشده","—",IF(INDEX(ChqClr,IFERROR(MATCH(200,ChqRankU,0),0))="","—",INDEX(ChqClr,IFERROR(MATCH(200,ChqRankU,0),0)))))</f>
        <v/>
      </c>
      <c r="I216">
        <f>IF(200&gt;NChq,"",INDEX(ChqNorm,200))</f>
        <v/>
      </c>
      <c r="J216">
        <f>IF($I216="","",IF(AND($I216&gt;=$H$3,$I216&lt;=$H$4,INDEX(ChqStatus,200)="پاس نشده"),1,0))</f>
        <v/>
      </c>
      <c r="K216">
        <f>IF($J216=0,"",INDEX(ChqKey,200))</f>
        <v/>
      </c>
      <c r="L216">
        <f>IF($K216="","",COUNTIFS($J$17:$J$516,1,$K$17:$K$516,"&lt;"&amp;$K216)+1)</f>
        <v/>
      </c>
    </row>
    <row r="217">
      <c r="A217" s="10">
        <f>IF(IFERROR(MATCH(201,ChqRankU,0),0)=0,"",201)</f>
        <v/>
      </c>
      <c r="B217" s="22">
        <f>IF(IFERROR(MATCH(201,ChqRankU,0),0)=0,"",INDEX(ChqNorm,IFERROR(MATCH(201,ChqRankU,0),0)))</f>
        <v/>
      </c>
      <c r="C217" s="22">
        <f>IF(IFERROR(MATCH(201,ChqRankU,0),0)=0,"",INDEX(ChqNo,IFERROR(MATCH(201,ChqRankU,0),0)))</f>
        <v/>
      </c>
      <c r="D217" s="23">
        <f>IF(IFERROR(MATCH(201,ChqRankU,0),0)=0,"",IF(INDEX(ChqAmt,IFERROR(MATCH(201,ChqRankU,0),0))=0,"",INDEX(ChqAmt,IFERROR(MATCH(201,ChqRankU,0),0))))</f>
        <v/>
      </c>
      <c r="E217" s="14">
        <f>IF(IFERROR(MATCH(201,ChqRankU,0),0)=0,"",INDEX(ChqStatus,IFERROR(MATCH(201,ChqRankU,0),0)))</f>
        <v/>
      </c>
      <c r="F217" s="22">
        <f>IF(IFERROR(MATCH(201,ChqRankU,0),0)=0,"",IF(INDEX(ChqStatus,IFERROR(MATCH(201,ChqRankU,0),0))="پاس نشده","—",IF(INDEX(ChqClr,IFERROR(MATCH(201,ChqRankU,0),0))="","—",INDEX(ChqClr,IFERROR(MATCH(201,ChqRankU,0),0)))))</f>
        <v/>
      </c>
      <c r="I217">
        <f>IF(201&gt;NChq,"",INDEX(ChqNorm,201))</f>
        <v/>
      </c>
      <c r="J217">
        <f>IF($I217="","",IF(AND($I217&gt;=$H$3,$I217&lt;=$H$4,INDEX(ChqStatus,201)="پاس نشده"),1,0))</f>
        <v/>
      </c>
      <c r="K217">
        <f>IF($J217=0,"",INDEX(ChqKey,201))</f>
        <v/>
      </c>
      <c r="L217">
        <f>IF($K217="","",COUNTIFS($J$17:$J$516,1,$K$17:$K$516,"&lt;"&amp;$K217)+1)</f>
        <v/>
      </c>
    </row>
    <row r="218">
      <c r="A218" s="16">
        <f>IF(IFERROR(MATCH(202,ChqRankU,0),0)=0,"",202)</f>
        <v/>
      </c>
      <c r="B218" s="24">
        <f>IF(IFERROR(MATCH(202,ChqRankU,0),0)=0,"",INDEX(ChqNorm,IFERROR(MATCH(202,ChqRankU,0),0)))</f>
        <v/>
      </c>
      <c r="C218" s="24">
        <f>IF(IFERROR(MATCH(202,ChqRankU,0),0)=0,"",INDEX(ChqNo,IFERROR(MATCH(202,ChqRankU,0),0)))</f>
        <v/>
      </c>
      <c r="D218" s="25">
        <f>IF(IFERROR(MATCH(202,ChqRankU,0),0)=0,"",IF(INDEX(ChqAmt,IFERROR(MATCH(202,ChqRankU,0),0))=0,"",INDEX(ChqAmt,IFERROR(MATCH(202,ChqRankU,0),0))))</f>
        <v/>
      </c>
      <c r="E218" s="17">
        <f>IF(IFERROR(MATCH(202,ChqRankU,0),0)=0,"",INDEX(ChqStatus,IFERROR(MATCH(202,ChqRankU,0),0)))</f>
        <v/>
      </c>
      <c r="F218" s="24">
        <f>IF(IFERROR(MATCH(202,ChqRankU,0),0)=0,"",IF(INDEX(ChqStatus,IFERROR(MATCH(202,ChqRankU,0),0))="پاس نشده","—",IF(INDEX(ChqClr,IFERROR(MATCH(202,ChqRankU,0),0))="","—",INDEX(ChqClr,IFERROR(MATCH(202,ChqRankU,0),0)))))</f>
        <v/>
      </c>
      <c r="I218">
        <f>IF(202&gt;NChq,"",INDEX(ChqNorm,202))</f>
        <v/>
      </c>
      <c r="J218">
        <f>IF($I218="","",IF(AND($I218&gt;=$H$3,$I218&lt;=$H$4,INDEX(ChqStatus,202)="پاس نشده"),1,0))</f>
        <v/>
      </c>
      <c r="K218">
        <f>IF($J218=0,"",INDEX(ChqKey,202))</f>
        <v/>
      </c>
      <c r="L218">
        <f>IF($K218="","",COUNTIFS($J$17:$J$516,1,$K$17:$K$516,"&lt;"&amp;$K218)+1)</f>
        <v/>
      </c>
    </row>
    <row r="219">
      <c r="A219" s="10">
        <f>IF(IFERROR(MATCH(203,ChqRankU,0),0)=0,"",203)</f>
        <v/>
      </c>
      <c r="B219" s="22">
        <f>IF(IFERROR(MATCH(203,ChqRankU,0),0)=0,"",INDEX(ChqNorm,IFERROR(MATCH(203,ChqRankU,0),0)))</f>
        <v/>
      </c>
      <c r="C219" s="22">
        <f>IF(IFERROR(MATCH(203,ChqRankU,0),0)=0,"",INDEX(ChqNo,IFERROR(MATCH(203,ChqRankU,0),0)))</f>
        <v/>
      </c>
      <c r="D219" s="23">
        <f>IF(IFERROR(MATCH(203,ChqRankU,0),0)=0,"",IF(INDEX(ChqAmt,IFERROR(MATCH(203,ChqRankU,0),0))=0,"",INDEX(ChqAmt,IFERROR(MATCH(203,ChqRankU,0),0))))</f>
        <v/>
      </c>
      <c r="E219" s="14">
        <f>IF(IFERROR(MATCH(203,ChqRankU,0),0)=0,"",INDEX(ChqStatus,IFERROR(MATCH(203,ChqRankU,0),0)))</f>
        <v/>
      </c>
      <c r="F219" s="22">
        <f>IF(IFERROR(MATCH(203,ChqRankU,0),0)=0,"",IF(INDEX(ChqStatus,IFERROR(MATCH(203,ChqRankU,0),0))="پاس نشده","—",IF(INDEX(ChqClr,IFERROR(MATCH(203,ChqRankU,0),0))="","—",INDEX(ChqClr,IFERROR(MATCH(203,ChqRankU,0),0)))))</f>
        <v/>
      </c>
      <c r="I219">
        <f>IF(203&gt;NChq,"",INDEX(ChqNorm,203))</f>
        <v/>
      </c>
      <c r="J219">
        <f>IF($I219="","",IF(AND($I219&gt;=$H$3,$I219&lt;=$H$4,INDEX(ChqStatus,203)="پاس نشده"),1,0))</f>
        <v/>
      </c>
      <c r="K219">
        <f>IF($J219=0,"",INDEX(ChqKey,203))</f>
        <v/>
      </c>
      <c r="L219">
        <f>IF($K219="","",COUNTIFS($J$17:$J$516,1,$K$17:$K$516,"&lt;"&amp;$K219)+1)</f>
        <v/>
      </c>
    </row>
    <row r="220">
      <c r="A220" s="16">
        <f>IF(IFERROR(MATCH(204,ChqRankU,0),0)=0,"",204)</f>
        <v/>
      </c>
      <c r="B220" s="24">
        <f>IF(IFERROR(MATCH(204,ChqRankU,0),0)=0,"",INDEX(ChqNorm,IFERROR(MATCH(204,ChqRankU,0),0)))</f>
        <v/>
      </c>
      <c r="C220" s="24">
        <f>IF(IFERROR(MATCH(204,ChqRankU,0),0)=0,"",INDEX(ChqNo,IFERROR(MATCH(204,ChqRankU,0),0)))</f>
        <v/>
      </c>
      <c r="D220" s="25">
        <f>IF(IFERROR(MATCH(204,ChqRankU,0),0)=0,"",IF(INDEX(ChqAmt,IFERROR(MATCH(204,ChqRankU,0),0))=0,"",INDEX(ChqAmt,IFERROR(MATCH(204,ChqRankU,0),0))))</f>
        <v/>
      </c>
      <c r="E220" s="17">
        <f>IF(IFERROR(MATCH(204,ChqRankU,0),0)=0,"",INDEX(ChqStatus,IFERROR(MATCH(204,ChqRankU,0),0)))</f>
        <v/>
      </c>
      <c r="F220" s="24">
        <f>IF(IFERROR(MATCH(204,ChqRankU,0),0)=0,"",IF(INDEX(ChqStatus,IFERROR(MATCH(204,ChqRankU,0),0))="پاس نشده","—",IF(INDEX(ChqClr,IFERROR(MATCH(204,ChqRankU,0),0))="","—",INDEX(ChqClr,IFERROR(MATCH(204,ChqRankU,0),0)))))</f>
        <v/>
      </c>
      <c r="I220">
        <f>IF(204&gt;NChq,"",INDEX(ChqNorm,204))</f>
        <v/>
      </c>
      <c r="J220">
        <f>IF($I220="","",IF(AND($I220&gt;=$H$3,$I220&lt;=$H$4,INDEX(ChqStatus,204)="پاس نشده"),1,0))</f>
        <v/>
      </c>
      <c r="K220">
        <f>IF($J220=0,"",INDEX(ChqKey,204))</f>
        <v/>
      </c>
      <c r="L220">
        <f>IF($K220="","",COUNTIFS($J$17:$J$516,1,$K$17:$K$516,"&lt;"&amp;$K220)+1)</f>
        <v/>
      </c>
    </row>
    <row r="221">
      <c r="A221" s="10">
        <f>IF(IFERROR(MATCH(205,ChqRankU,0),0)=0,"",205)</f>
        <v/>
      </c>
      <c r="B221" s="22">
        <f>IF(IFERROR(MATCH(205,ChqRankU,0),0)=0,"",INDEX(ChqNorm,IFERROR(MATCH(205,ChqRankU,0),0)))</f>
        <v/>
      </c>
      <c r="C221" s="22">
        <f>IF(IFERROR(MATCH(205,ChqRankU,0),0)=0,"",INDEX(ChqNo,IFERROR(MATCH(205,ChqRankU,0),0)))</f>
        <v/>
      </c>
      <c r="D221" s="23">
        <f>IF(IFERROR(MATCH(205,ChqRankU,0),0)=0,"",IF(INDEX(ChqAmt,IFERROR(MATCH(205,ChqRankU,0),0))=0,"",INDEX(ChqAmt,IFERROR(MATCH(205,ChqRankU,0),0))))</f>
        <v/>
      </c>
      <c r="E221" s="14">
        <f>IF(IFERROR(MATCH(205,ChqRankU,0),0)=0,"",INDEX(ChqStatus,IFERROR(MATCH(205,ChqRankU,0),0)))</f>
        <v/>
      </c>
      <c r="F221" s="22">
        <f>IF(IFERROR(MATCH(205,ChqRankU,0),0)=0,"",IF(INDEX(ChqStatus,IFERROR(MATCH(205,ChqRankU,0),0))="پاس نشده","—",IF(INDEX(ChqClr,IFERROR(MATCH(205,ChqRankU,0),0))="","—",INDEX(ChqClr,IFERROR(MATCH(205,ChqRankU,0),0)))))</f>
        <v/>
      </c>
      <c r="I221">
        <f>IF(205&gt;NChq,"",INDEX(ChqNorm,205))</f>
        <v/>
      </c>
      <c r="J221">
        <f>IF($I221="","",IF(AND($I221&gt;=$H$3,$I221&lt;=$H$4,INDEX(ChqStatus,205)="پاس نشده"),1,0))</f>
        <v/>
      </c>
      <c r="K221">
        <f>IF($J221=0,"",INDEX(ChqKey,205))</f>
        <v/>
      </c>
      <c r="L221">
        <f>IF($K221="","",COUNTIFS($J$17:$J$516,1,$K$17:$K$516,"&lt;"&amp;$K221)+1)</f>
        <v/>
      </c>
    </row>
    <row r="222">
      <c r="A222" s="16">
        <f>IF(IFERROR(MATCH(206,ChqRankU,0),0)=0,"",206)</f>
        <v/>
      </c>
      <c r="B222" s="24">
        <f>IF(IFERROR(MATCH(206,ChqRankU,0),0)=0,"",INDEX(ChqNorm,IFERROR(MATCH(206,ChqRankU,0),0)))</f>
        <v/>
      </c>
      <c r="C222" s="24">
        <f>IF(IFERROR(MATCH(206,ChqRankU,0),0)=0,"",INDEX(ChqNo,IFERROR(MATCH(206,ChqRankU,0),0)))</f>
        <v/>
      </c>
      <c r="D222" s="25">
        <f>IF(IFERROR(MATCH(206,ChqRankU,0),0)=0,"",IF(INDEX(ChqAmt,IFERROR(MATCH(206,ChqRankU,0),0))=0,"",INDEX(ChqAmt,IFERROR(MATCH(206,ChqRankU,0),0))))</f>
        <v/>
      </c>
      <c r="E222" s="17">
        <f>IF(IFERROR(MATCH(206,ChqRankU,0),0)=0,"",INDEX(ChqStatus,IFERROR(MATCH(206,ChqRankU,0),0)))</f>
        <v/>
      </c>
      <c r="F222" s="24">
        <f>IF(IFERROR(MATCH(206,ChqRankU,0),0)=0,"",IF(INDEX(ChqStatus,IFERROR(MATCH(206,ChqRankU,0),0))="پاس نشده","—",IF(INDEX(ChqClr,IFERROR(MATCH(206,ChqRankU,0),0))="","—",INDEX(ChqClr,IFERROR(MATCH(206,ChqRankU,0),0)))))</f>
        <v/>
      </c>
      <c r="I222">
        <f>IF(206&gt;NChq,"",INDEX(ChqNorm,206))</f>
        <v/>
      </c>
      <c r="J222">
        <f>IF($I222="","",IF(AND($I222&gt;=$H$3,$I222&lt;=$H$4,INDEX(ChqStatus,206)="پاس نشده"),1,0))</f>
        <v/>
      </c>
      <c r="K222">
        <f>IF($J222=0,"",INDEX(ChqKey,206))</f>
        <v/>
      </c>
      <c r="L222">
        <f>IF($K222="","",COUNTIFS($J$17:$J$516,1,$K$17:$K$516,"&lt;"&amp;$K222)+1)</f>
        <v/>
      </c>
    </row>
    <row r="223">
      <c r="A223" s="10">
        <f>IF(IFERROR(MATCH(207,ChqRankU,0),0)=0,"",207)</f>
        <v/>
      </c>
      <c r="B223" s="22">
        <f>IF(IFERROR(MATCH(207,ChqRankU,0),0)=0,"",INDEX(ChqNorm,IFERROR(MATCH(207,ChqRankU,0),0)))</f>
        <v/>
      </c>
      <c r="C223" s="22">
        <f>IF(IFERROR(MATCH(207,ChqRankU,0),0)=0,"",INDEX(ChqNo,IFERROR(MATCH(207,ChqRankU,0),0)))</f>
        <v/>
      </c>
      <c r="D223" s="23">
        <f>IF(IFERROR(MATCH(207,ChqRankU,0),0)=0,"",IF(INDEX(ChqAmt,IFERROR(MATCH(207,ChqRankU,0),0))=0,"",INDEX(ChqAmt,IFERROR(MATCH(207,ChqRankU,0),0))))</f>
        <v/>
      </c>
      <c r="E223" s="14">
        <f>IF(IFERROR(MATCH(207,ChqRankU,0),0)=0,"",INDEX(ChqStatus,IFERROR(MATCH(207,ChqRankU,0),0)))</f>
        <v/>
      </c>
      <c r="F223" s="22">
        <f>IF(IFERROR(MATCH(207,ChqRankU,0),0)=0,"",IF(INDEX(ChqStatus,IFERROR(MATCH(207,ChqRankU,0),0))="پاس نشده","—",IF(INDEX(ChqClr,IFERROR(MATCH(207,ChqRankU,0),0))="","—",INDEX(ChqClr,IFERROR(MATCH(207,ChqRankU,0),0)))))</f>
        <v/>
      </c>
      <c r="I223">
        <f>IF(207&gt;NChq,"",INDEX(ChqNorm,207))</f>
        <v/>
      </c>
      <c r="J223">
        <f>IF($I223="","",IF(AND($I223&gt;=$H$3,$I223&lt;=$H$4,INDEX(ChqStatus,207)="پاس نشده"),1,0))</f>
        <v/>
      </c>
      <c r="K223">
        <f>IF($J223=0,"",INDEX(ChqKey,207))</f>
        <v/>
      </c>
      <c r="L223">
        <f>IF($K223="","",COUNTIFS($J$17:$J$516,1,$K$17:$K$516,"&lt;"&amp;$K223)+1)</f>
        <v/>
      </c>
    </row>
    <row r="224">
      <c r="A224" s="16">
        <f>IF(IFERROR(MATCH(208,ChqRankU,0),0)=0,"",208)</f>
        <v/>
      </c>
      <c r="B224" s="24">
        <f>IF(IFERROR(MATCH(208,ChqRankU,0),0)=0,"",INDEX(ChqNorm,IFERROR(MATCH(208,ChqRankU,0),0)))</f>
        <v/>
      </c>
      <c r="C224" s="24">
        <f>IF(IFERROR(MATCH(208,ChqRankU,0),0)=0,"",INDEX(ChqNo,IFERROR(MATCH(208,ChqRankU,0),0)))</f>
        <v/>
      </c>
      <c r="D224" s="25">
        <f>IF(IFERROR(MATCH(208,ChqRankU,0),0)=0,"",IF(INDEX(ChqAmt,IFERROR(MATCH(208,ChqRankU,0),0))=0,"",INDEX(ChqAmt,IFERROR(MATCH(208,ChqRankU,0),0))))</f>
        <v/>
      </c>
      <c r="E224" s="17">
        <f>IF(IFERROR(MATCH(208,ChqRankU,0),0)=0,"",INDEX(ChqStatus,IFERROR(MATCH(208,ChqRankU,0),0)))</f>
        <v/>
      </c>
      <c r="F224" s="24">
        <f>IF(IFERROR(MATCH(208,ChqRankU,0),0)=0,"",IF(INDEX(ChqStatus,IFERROR(MATCH(208,ChqRankU,0),0))="پاس نشده","—",IF(INDEX(ChqClr,IFERROR(MATCH(208,ChqRankU,0),0))="","—",INDEX(ChqClr,IFERROR(MATCH(208,ChqRankU,0),0)))))</f>
        <v/>
      </c>
      <c r="I224">
        <f>IF(208&gt;NChq,"",INDEX(ChqNorm,208))</f>
        <v/>
      </c>
      <c r="J224">
        <f>IF($I224="","",IF(AND($I224&gt;=$H$3,$I224&lt;=$H$4,INDEX(ChqStatus,208)="پاس نشده"),1,0))</f>
        <v/>
      </c>
      <c r="K224">
        <f>IF($J224=0,"",INDEX(ChqKey,208))</f>
        <v/>
      </c>
      <c r="L224">
        <f>IF($K224="","",COUNTIFS($J$17:$J$516,1,$K$17:$K$516,"&lt;"&amp;$K224)+1)</f>
        <v/>
      </c>
    </row>
    <row r="225">
      <c r="A225" s="10">
        <f>IF(IFERROR(MATCH(209,ChqRankU,0),0)=0,"",209)</f>
        <v/>
      </c>
      <c r="B225" s="22">
        <f>IF(IFERROR(MATCH(209,ChqRankU,0),0)=0,"",INDEX(ChqNorm,IFERROR(MATCH(209,ChqRankU,0),0)))</f>
        <v/>
      </c>
      <c r="C225" s="22">
        <f>IF(IFERROR(MATCH(209,ChqRankU,0),0)=0,"",INDEX(ChqNo,IFERROR(MATCH(209,ChqRankU,0),0)))</f>
        <v/>
      </c>
      <c r="D225" s="23">
        <f>IF(IFERROR(MATCH(209,ChqRankU,0),0)=0,"",IF(INDEX(ChqAmt,IFERROR(MATCH(209,ChqRankU,0),0))=0,"",INDEX(ChqAmt,IFERROR(MATCH(209,ChqRankU,0),0))))</f>
        <v/>
      </c>
      <c r="E225" s="14">
        <f>IF(IFERROR(MATCH(209,ChqRankU,0),0)=0,"",INDEX(ChqStatus,IFERROR(MATCH(209,ChqRankU,0),0)))</f>
        <v/>
      </c>
      <c r="F225" s="22">
        <f>IF(IFERROR(MATCH(209,ChqRankU,0),0)=0,"",IF(INDEX(ChqStatus,IFERROR(MATCH(209,ChqRankU,0),0))="پاس نشده","—",IF(INDEX(ChqClr,IFERROR(MATCH(209,ChqRankU,0),0))="","—",INDEX(ChqClr,IFERROR(MATCH(209,ChqRankU,0),0)))))</f>
        <v/>
      </c>
      <c r="I225">
        <f>IF(209&gt;NChq,"",INDEX(ChqNorm,209))</f>
        <v/>
      </c>
      <c r="J225">
        <f>IF($I225="","",IF(AND($I225&gt;=$H$3,$I225&lt;=$H$4,INDEX(ChqStatus,209)="پاس نشده"),1,0))</f>
        <v/>
      </c>
      <c r="K225">
        <f>IF($J225=0,"",INDEX(ChqKey,209))</f>
        <v/>
      </c>
      <c r="L225">
        <f>IF($K225="","",COUNTIFS($J$17:$J$516,1,$K$17:$K$516,"&lt;"&amp;$K225)+1)</f>
        <v/>
      </c>
    </row>
    <row r="226">
      <c r="A226" s="16">
        <f>IF(IFERROR(MATCH(210,ChqRankU,0),0)=0,"",210)</f>
        <v/>
      </c>
      <c r="B226" s="24">
        <f>IF(IFERROR(MATCH(210,ChqRankU,0),0)=0,"",INDEX(ChqNorm,IFERROR(MATCH(210,ChqRankU,0),0)))</f>
        <v/>
      </c>
      <c r="C226" s="24">
        <f>IF(IFERROR(MATCH(210,ChqRankU,0),0)=0,"",INDEX(ChqNo,IFERROR(MATCH(210,ChqRankU,0),0)))</f>
        <v/>
      </c>
      <c r="D226" s="25">
        <f>IF(IFERROR(MATCH(210,ChqRankU,0),0)=0,"",IF(INDEX(ChqAmt,IFERROR(MATCH(210,ChqRankU,0),0))=0,"",INDEX(ChqAmt,IFERROR(MATCH(210,ChqRankU,0),0))))</f>
        <v/>
      </c>
      <c r="E226" s="17">
        <f>IF(IFERROR(MATCH(210,ChqRankU,0),0)=0,"",INDEX(ChqStatus,IFERROR(MATCH(210,ChqRankU,0),0)))</f>
        <v/>
      </c>
      <c r="F226" s="24">
        <f>IF(IFERROR(MATCH(210,ChqRankU,0),0)=0,"",IF(INDEX(ChqStatus,IFERROR(MATCH(210,ChqRankU,0),0))="پاس نشده","—",IF(INDEX(ChqClr,IFERROR(MATCH(210,ChqRankU,0),0))="","—",INDEX(ChqClr,IFERROR(MATCH(210,ChqRankU,0),0)))))</f>
        <v/>
      </c>
      <c r="I226">
        <f>IF(210&gt;NChq,"",INDEX(ChqNorm,210))</f>
        <v/>
      </c>
      <c r="J226">
        <f>IF($I226="","",IF(AND($I226&gt;=$H$3,$I226&lt;=$H$4,INDEX(ChqStatus,210)="پاس نشده"),1,0))</f>
        <v/>
      </c>
      <c r="K226">
        <f>IF($J226=0,"",INDEX(ChqKey,210))</f>
        <v/>
      </c>
      <c r="L226">
        <f>IF($K226="","",COUNTIFS($J$17:$J$516,1,$K$17:$K$516,"&lt;"&amp;$K226)+1)</f>
        <v/>
      </c>
    </row>
    <row r="227">
      <c r="A227" s="10">
        <f>IF(IFERROR(MATCH(211,ChqRankU,0),0)=0,"",211)</f>
        <v/>
      </c>
      <c r="B227" s="22">
        <f>IF(IFERROR(MATCH(211,ChqRankU,0),0)=0,"",INDEX(ChqNorm,IFERROR(MATCH(211,ChqRankU,0),0)))</f>
        <v/>
      </c>
      <c r="C227" s="22">
        <f>IF(IFERROR(MATCH(211,ChqRankU,0),0)=0,"",INDEX(ChqNo,IFERROR(MATCH(211,ChqRankU,0),0)))</f>
        <v/>
      </c>
      <c r="D227" s="23">
        <f>IF(IFERROR(MATCH(211,ChqRankU,0),0)=0,"",IF(INDEX(ChqAmt,IFERROR(MATCH(211,ChqRankU,0),0))=0,"",INDEX(ChqAmt,IFERROR(MATCH(211,ChqRankU,0),0))))</f>
        <v/>
      </c>
      <c r="E227" s="14">
        <f>IF(IFERROR(MATCH(211,ChqRankU,0),0)=0,"",INDEX(ChqStatus,IFERROR(MATCH(211,ChqRankU,0),0)))</f>
        <v/>
      </c>
      <c r="F227" s="22">
        <f>IF(IFERROR(MATCH(211,ChqRankU,0),0)=0,"",IF(INDEX(ChqStatus,IFERROR(MATCH(211,ChqRankU,0),0))="پاس نشده","—",IF(INDEX(ChqClr,IFERROR(MATCH(211,ChqRankU,0),0))="","—",INDEX(ChqClr,IFERROR(MATCH(211,ChqRankU,0),0)))))</f>
        <v/>
      </c>
      <c r="I227">
        <f>IF(211&gt;NChq,"",INDEX(ChqNorm,211))</f>
        <v/>
      </c>
      <c r="J227">
        <f>IF($I227="","",IF(AND($I227&gt;=$H$3,$I227&lt;=$H$4,INDEX(ChqStatus,211)="پاس نشده"),1,0))</f>
        <v/>
      </c>
      <c r="K227">
        <f>IF($J227=0,"",INDEX(ChqKey,211))</f>
        <v/>
      </c>
      <c r="L227">
        <f>IF($K227="","",COUNTIFS($J$17:$J$516,1,$K$17:$K$516,"&lt;"&amp;$K227)+1)</f>
        <v/>
      </c>
    </row>
    <row r="228">
      <c r="A228" s="16">
        <f>IF(IFERROR(MATCH(212,ChqRankU,0),0)=0,"",212)</f>
        <v/>
      </c>
      <c r="B228" s="24">
        <f>IF(IFERROR(MATCH(212,ChqRankU,0),0)=0,"",INDEX(ChqNorm,IFERROR(MATCH(212,ChqRankU,0),0)))</f>
        <v/>
      </c>
      <c r="C228" s="24">
        <f>IF(IFERROR(MATCH(212,ChqRankU,0),0)=0,"",INDEX(ChqNo,IFERROR(MATCH(212,ChqRankU,0),0)))</f>
        <v/>
      </c>
      <c r="D228" s="25">
        <f>IF(IFERROR(MATCH(212,ChqRankU,0),0)=0,"",IF(INDEX(ChqAmt,IFERROR(MATCH(212,ChqRankU,0),0))=0,"",INDEX(ChqAmt,IFERROR(MATCH(212,ChqRankU,0),0))))</f>
        <v/>
      </c>
      <c r="E228" s="17">
        <f>IF(IFERROR(MATCH(212,ChqRankU,0),0)=0,"",INDEX(ChqStatus,IFERROR(MATCH(212,ChqRankU,0),0)))</f>
        <v/>
      </c>
      <c r="F228" s="24">
        <f>IF(IFERROR(MATCH(212,ChqRankU,0),0)=0,"",IF(INDEX(ChqStatus,IFERROR(MATCH(212,ChqRankU,0),0))="پاس نشده","—",IF(INDEX(ChqClr,IFERROR(MATCH(212,ChqRankU,0),0))="","—",INDEX(ChqClr,IFERROR(MATCH(212,ChqRankU,0),0)))))</f>
        <v/>
      </c>
      <c r="I228">
        <f>IF(212&gt;NChq,"",INDEX(ChqNorm,212))</f>
        <v/>
      </c>
      <c r="J228">
        <f>IF($I228="","",IF(AND($I228&gt;=$H$3,$I228&lt;=$H$4,INDEX(ChqStatus,212)="پاس نشده"),1,0))</f>
        <v/>
      </c>
      <c r="K228">
        <f>IF($J228=0,"",INDEX(ChqKey,212))</f>
        <v/>
      </c>
      <c r="L228">
        <f>IF($K228="","",COUNTIFS($J$17:$J$516,1,$K$17:$K$516,"&lt;"&amp;$K228)+1)</f>
        <v/>
      </c>
    </row>
    <row r="229">
      <c r="A229" s="10">
        <f>IF(IFERROR(MATCH(213,ChqRankU,0),0)=0,"",213)</f>
        <v/>
      </c>
      <c r="B229" s="22">
        <f>IF(IFERROR(MATCH(213,ChqRankU,0),0)=0,"",INDEX(ChqNorm,IFERROR(MATCH(213,ChqRankU,0),0)))</f>
        <v/>
      </c>
      <c r="C229" s="22">
        <f>IF(IFERROR(MATCH(213,ChqRankU,0),0)=0,"",INDEX(ChqNo,IFERROR(MATCH(213,ChqRankU,0),0)))</f>
        <v/>
      </c>
      <c r="D229" s="23">
        <f>IF(IFERROR(MATCH(213,ChqRankU,0),0)=0,"",IF(INDEX(ChqAmt,IFERROR(MATCH(213,ChqRankU,0),0))=0,"",INDEX(ChqAmt,IFERROR(MATCH(213,ChqRankU,0),0))))</f>
        <v/>
      </c>
      <c r="E229" s="14">
        <f>IF(IFERROR(MATCH(213,ChqRankU,0),0)=0,"",INDEX(ChqStatus,IFERROR(MATCH(213,ChqRankU,0),0)))</f>
        <v/>
      </c>
      <c r="F229" s="22">
        <f>IF(IFERROR(MATCH(213,ChqRankU,0),0)=0,"",IF(INDEX(ChqStatus,IFERROR(MATCH(213,ChqRankU,0),0))="پاس نشده","—",IF(INDEX(ChqClr,IFERROR(MATCH(213,ChqRankU,0),0))="","—",INDEX(ChqClr,IFERROR(MATCH(213,ChqRankU,0),0)))))</f>
        <v/>
      </c>
      <c r="I229">
        <f>IF(213&gt;NChq,"",INDEX(ChqNorm,213))</f>
        <v/>
      </c>
      <c r="J229">
        <f>IF($I229="","",IF(AND($I229&gt;=$H$3,$I229&lt;=$H$4,INDEX(ChqStatus,213)="پاس نشده"),1,0))</f>
        <v/>
      </c>
      <c r="K229">
        <f>IF($J229=0,"",INDEX(ChqKey,213))</f>
        <v/>
      </c>
      <c r="L229">
        <f>IF($K229="","",COUNTIFS($J$17:$J$516,1,$K$17:$K$516,"&lt;"&amp;$K229)+1)</f>
        <v/>
      </c>
    </row>
    <row r="230">
      <c r="A230" s="16">
        <f>IF(IFERROR(MATCH(214,ChqRankU,0),0)=0,"",214)</f>
        <v/>
      </c>
      <c r="B230" s="24">
        <f>IF(IFERROR(MATCH(214,ChqRankU,0),0)=0,"",INDEX(ChqNorm,IFERROR(MATCH(214,ChqRankU,0),0)))</f>
        <v/>
      </c>
      <c r="C230" s="24">
        <f>IF(IFERROR(MATCH(214,ChqRankU,0),0)=0,"",INDEX(ChqNo,IFERROR(MATCH(214,ChqRankU,0),0)))</f>
        <v/>
      </c>
      <c r="D230" s="25">
        <f>IF(IFERROR(MATCH(214,ChqRankU,0),0)=0,"",IF(INDEX(ChqAmt,IFERROR(MATCH(214,ChqRankU,0),0))=0,"",INDEX(ChqAmt,IFERROR(MATCH(214,ChqRankU,0),0))))</f>
        <v/>
      </c>
      <c r="E230" s="17">
        <f>IF(IFERROR(MATCH(214,ChqRankU,0),0)=0,"",INDEX(ChqStatus,IFERROR(MATCH(214,ChqRankU,0),0)))</f>
        <v/>
      </c>
      <c r="F230" s="24">
        <f>IF(IFERROR(MATCH(214,ChqRankU,0),0)=0,"",IF(INDEX(ChqStatus,IFERROR(MATCH(214,ChqRankU,0),0))="پاس نشده","—",IF(INDEX(ChqClr,IFERROR(MATCH(214,ChqRankU,0),0))="","—",INDEX(ChqClr,IFERROR(MATCH(214,ChqRankU,0),0)))))</f>
        <v/>
      </c>
      <c r="I230">
        <f>IF(214&gt;NChq,"",INDEX(ChqNorm,214))</f>
        <v/>
      </c>
      <c r="J230">
        <f>IF($I230="","",IF(AND($I230&gt;=$H$3,$I230&lt;=$H$4,INDEX(ChqStatus,214)="پاس نشده"),1,0))</f>
        <v/>
      </c>
      <c r="K230">
        <f>IF($J230=0,"",INDEX(ChqKey,214))</f>
        <v/>
      </c>
      <c r="L230">
        <f>IF($K230="","",COUNTIFS($J$17:$J$516,1,$K$17:$K$516,"&lt;"&amp;$K230)+1)</f>
        <v/>
      </c>
    </row>
    <row r="231">
      <c r="A231" s="10">
        <f>IF(IFERROR(MATCH(215,ChqRankU,0),0)=0,"",215)</f>
        <v/>
      </c>
      <c r="B231" s="22">
        <f>IF(IFERROR(MATCH(215,ChqRankU,0),0)=0,"",INDEX(ChqNorm,IFERROR(MATCH(215,ChqRankU,0),0)))</f>
        <v/>
      </c>
      <c r="C231" s="22">
        <f>IF(IFERROR(MATCH(215,ChqRankU,0),0)=0,"",INDEX(ChqNo,IFERROR(MATCH(215,ChqRankU,0),0)))</f>
        <v/>
      </c>
      <c r="D231" s="23">
        <f>IF(IFERROR(MATCH(215,ChqRankU,0),0)=0,"",IF(INDEX(ChqAmt,IFERROR(MATCH(215,ChqRankU,0),0))=0,"",INDEX(ChqAmt,IFERROR(MATCH(215,ChqRankU,0),0))))</f>
        <v/>
      </c>
      <c r="E231" s="14">
        <f>IF(IFERROR(MATCH(215,ChqRankU,0),0)=0,"",INDEX(ChqStatus,IFERROR(MATCH(215,ChqRankU,0),0)))</f>
        <v/>
      </c>
      <c r="F231" s="22">
        <f>IF(IFERROR(MATCH(215,ChqRankU,0),0)=0,"",IF(INDEX(ChqStatus,IFERROR(MATCH(215,ChqRankU,0),0))="پاس نشده","—",IF(INDEX(ChqClr,IFERROR(MATCH(215,ChqRankU,0),0))="","—",INDEX(ChqClr,IFERROR(MATCH(215,ChqRankU,0),0)))))</f>
        <v/>
      </c>
      <c r="I231">
        <f>IF(215&gt;NChq,"",INDEX(ChqNorm,215))</f>
        <v/>
      </c>
      <c r="J231">
        <f>IF($I231="","",IF(AND($I231&gt;=$H$3,$I231&lt;=$H$4,INDEX(ChqStatus,215)="پاس نشده"),1,0))</f>
        <v/>
      </c>
      <c r="K231">
        <f>IF($J231=0,"",INDEX(ChqKey,215))</f>
        <v/>
      </c>
      <c r="L231">
        <f>IF($K231="","",COUNTIFS($J$17:$J$516,1,$K$17:$K$516,"&lt;"&amp;$K231)+1)</f>
        <v/>
      </c>
    </row>
    <row r="232">
      <c r="A232" s="16">
        <f>IF(IFERROR(MATCH(216,ChqRankU,0),0)=0,"",216)</f>
        <v/>
      </c>
      <c r="B232" s="24">
        <f>IF(IFERROR(MATCH(216,ChqRankU,0),0)=0,"",INDEX(ChqNorm,IFERROR(MATCH(216,ChqRankU,0),0)))</f>
        <v/>
      </c>
      <c r="C232" s="24">
        <f>IF(IFERROR(MATCH(216,ChqRankU,0),0)=0,"",INDEX(ChqNo,IFERROR(MATCH(216,ChqRankU,0),0)))</f>
        <v/>
      </c>
      <c r="D232" s="25">
        <f>IF(IFERROR(MATCH(216,ChqRankU,0),0)=0,"",IF(INDEX(ChqAmt,IFERROR(MATCH(216,ChqRankU,0),0))=0,"",INDEX(ChqAmt,IFERROR(MATCH(216,ChqRankU,0),0))))</f>
        <v/>
      </c>
      <c r="E232" s="17">
        <f>IF(IFERROR(MATCH(216,ChqRankU,0),0)=0,"",INDEX(ChqStatus,IFERROR(MATCH(216,ChqRankU,0),0)))</f>
        <v/>
      </c>
      <c r="F232" s="24">
        <f>IF(IFERROR(MATCH(216,ChqRankU,0),0)=0,"",IF(INDEX(ChqStatus,IFERROR(MATCH(216,ChqRankU,0),0))="پاس نشده","—",IF(INDEX(ChqClr,IFERROR(MATCH(216,ChqRankU,0),0))="","—",INDEX(ChqClr,IFERROR(MATCH(216,ChqRankU,0),0)))))</f>
        <v/>
      </c>
      <c r="I232">
        <f>IF(216&gt;NChq,"",INDEX(ChqNorm,216))</f>
        <v/>
      </c>
      <c r="J232">
        <f>IF($I232="","",IF(AND($I232&gt;=$H$3,$I232&lt;=$H$4,INDEX(ChqStatus,216)="پاس نشده"),1,0))</f>
        <v/>
      </c>
      <c r="K232">
        <f>IF($J232=0,"",INDEX(ChqKey,216))</f>
        <v/>
      </c>
      <c r="L232">
        <f>IF($K232="","",COUNTIFS($J$17:$J$516,1,$K$17:$K$516,"&lt;"&amp;$K232)+1)</f>
        <v/>
      </c>
    </row>
    <row r="233">
      <c r="A233" s="10">
        <f>IF(IFERROR(MATCH(217,ChqRankU,0),0)=0,"",217)</f>
        <v/>
      </c>
      <c r="B233" s="22">
        <f>IF(IFERROR(MATCH(217,ChqRankU,0),0)=0,"",INDEX(ChqNorm,IFERROR(MATCH(217,ChqRankU,0),0)))</f>
        <v/>
      </c>
      <c r="C233" s="22">
        <f>IF(IFERROR(MATCH(217,ChqRankU,0),0)=0,"",INDEX(ChqNo,IFERROR(MATCH(217,ChqRankU,0),0)))</f>
        <v/>
      </c>
      <c r="D233" s="23">
        <f>IF(IFERROR(MATCH(217,ChqRankU,0),0)=0,"",IF(INDEX(ChqAmt,IFERROR(MATCH(217,ChqRankU,0),0))=0,"",INDEX(ChqAmt,IFERROR(MATCH(217,ChqRankU,0),0))))</f>
        <v/>
      </c>
      <c r="E233" s="14">
        <f>IF(IFERROR(MATCH(217,ChqRankU,0),0)=0,"",INDEX(ChqStatus,IFERROR(MATCH(217,ChqRankU,0),0)))</f>
        <v/>
      </c>
      <c r="F233" s="22">
        <f>IF(IFERROR(MATCH(217,ChqRankU,0),0)=0,"",IF(INDEX(ChqStatus,IFERROR(MATCH(217,ChqRankU,0),0))="پاس نشده","—",IF(INDEX(ChqClr,IFERROR(MATCH(217,ChqRankU,0),0))="","—",INDEX(ChqClr,IFERROR(MATCH(217,ChqRankU,0),0)))))</f>
        <v/>
      </c>
      <c r="I233">
        <f>IF(217&gt;NChq,"",INDEX(ChqNorm,217))</f>
        <v/>
      </c>
      <c r="J233">
        <f>IF($I233="","",IF(AND($I233&gt;=$H$3,$I233&lt;=$H$4,INDEX(ChqStatus,217)="پاس نشده"),1,0))</f>
        <v/>
      </c>
      <c r="K233">
        <f>IF($J233=0,"",INDEX(ChqKey,217))</f>
        <v/>
      </c>
      <c r="L233">
        <f>IF($K233="","",COUNTIFS($J$17:$J$516,1,$K$17:$K$516,"&lt;"&amp;$K233)+1)</f>
        <v/>
      </c>
    </row>
    <row r="234">
      <c r="A234" s="16">
        <f>IF(IFERROR(MATCH(218,ChqRankU,0),0)=0,"",218)</f>
        <v/>
      </c>
      <c r="B234" s="24">
        <f>IF(IFERROR(MATCH(218,ChqRankU,0),0)=0,"",INDEX(ChqNorm,IFERROR(MATCH(218,ChqRankU,0),0)))</f>
        <v/>
      </c>
      <c r="C234" s="24">
        <f>IF(IFERROR(MATCH(218,ChqRankU,0),0)=0,"",INDEX(ChqNo,IFERROR(MATCH(218,ChqRankU,0),0)))</f>
        <v/>
      </c>
      <c r="D234" s="25">
        <f>IF(IFERROR(MATCH(218,ChqRankU,0),0)=0,"",IF(INDEX(ChqAmt,IFERROR(MATCH(218,ChqRankU,0),0))=0,"",INDEX(ChqAmt,IFERROR(MATCH(218,ChqRankU,0),0))))</f>
        <v/>
      </c>
      <c r="E234" s="17">
        <f>IF(IFERROR(MATCH(218,ChqRankU,0),0)=0,"",INDEX(ChqStatus,IFERROR(MATCH(218,ChqRankU,0),0)))</f>
        <v/>
      </c>
      <c r="F234" s="24">
        <f>IF(IFERROR(MATCH(218,ChqRankU,0),0)=0,"",IF(INDEX(ChqStatus,IFERROR(MATCH(218,ChqRankU,0),0))="پاس نشده","—",IF(INDEX(ChqClr,IFERROR(MATCH(218,ChqRankU,0),0))="","—",INDEX(ChqClr,IFERROR(MATCH(218,ChqRankU,0),0)))))</f>
        <v/>
      </c>
      <c r="I234">
        <f>IF(218&gt;NChq,"",INDEX(ChqNorm,218))</f>
        <v/>
      </c>
      <c r="J234">
        <f>IF($I234="","",IF(AND($I234&gt;=$H$3,$I234&lt;=$H$4,INDEX(ChqStatus,218)="پاس نشده"),1,0))</f>
        <v/>
      </c>
      <c r="K234">
        <f>IF($J234=0,"",INDEX(ChqKey,218))</f>
        <v/>
      </c>
      <c r="L234">
        <f>IF($K234="","",COUNTIFS($J$17:$J$516,1,$K$17:$K$516,"&lt;"&amp;$K234)+1)</f>
        <v/>
      </c>
    </row>
    <row r="235">
      <c r="A235" s="10">
        <f>IF(IFERROR(MATCH(219,ChqRankU,0),0)=0,"",219)</f>
        <v/>
      </c>
      <c r="B235" s="22">
        <f>IF(IFERROR(MATCH(219,ChqRankU,0),0)=0,"",INDEX(ChqNorm,IFERROR(MATCH(219,ChqRankU,0),0)))</f>
        <v/>
      </c>
      <c r="C235" s="22">
        <f>IF(IFERROR(MATCH(219,ChqRankU,0),0)=0,"",INDEX(ChqNo,IFERROR(MATCH(219,ChqRankU,0),0)))</f>
        <v/>
      </c>
      <c r="D235" s="23">
        <f>IF(IFERROR(MATCH(219,ChqRankU,0),0)=0,"",IF(INDEX(ChqAmt,IFERROR(MATCH(219,ChqRankU,0),0))=0,"",INDEX(ChqAmt,IFERROR(MATCH(219,ChqRankU,0),0))))</f>
        <v/>
      </c>
      <c r="E235" s="14">
        <f>IF(IFERROR(MATCH(219,ChqRankU,0),0)=0,"",INDEX(ChqStatus,IFERROR(MATCH(219,ChqRankU,0),0)))</f>
        <v/>
      </c>
      <c r="F235" s="22">
        <f>IF(IFERROR(MATCH(219,ChqRankU,0),0)=0,"",IF(INDEX(ChqStatus,IFERROR(MATCH(219,ChqRankU,0),0))="پاس نشده","—",IF(INDEX(ChqClr,IFERROR(MATCH(219,ChqRankU,0),0))="","—",INDEX(ChqClr,IFERROR(MATCH(219,ChqRankU,0),0)))))</f>
        <v/>
      </c>
      <c r="I235">
        <f>IF(219&gt;NChq,"",INDEX(ChqNorm,219))</f>
        <v/>
      </c>
      <c r="J235">
        <f>IF($I235="","",IF(AND($I235&gt;=$H$3,$I235&lt;=$H$4,INDEX(ChqStatus,219)="پاس نشده"),1,0))</f>
        <v/>
      </c>
      <c r="K235">
        <f>IF($J235=0,"",INDEX(ChqKey,219))</f>
        <v/>
      </c>
      <c r="L235">
        <f>IF($K235="","",COUNTIFS($J$17:$J$516,1,$K$17:$K$516,"&lt;"&amp;$K235)+1)</f>
        <v/>
      </c>
    </row>
    <row r="236">
      <c r="A236" s="16">
        <f>IF(IFERROR(MATCH(220,ChqRankU,0),0)=0,"",220)</f>
        <v/>
      </c>
      <c r="B236" s="24">
        <f>IF(IFERROR(MATCH(220,ChqRankU,0),0)=0,"",INDEX(ChqNorm,IFERROR(MATCH(220,ChqRankU,0),0)))</f>
        <v/>
      </c>
      <c r="C236" s="24">
        <f>IF(IFERROR(MATCH(220,ChqRankU,0),0)=0,"",INDEX(ChqNo,IFERROR(MATCH(220,ChqRankU,0),0)))</f>
        <v/>
      </c>
      <c r="D236" s="25">
        <f>IF(IFERROR(MATCH(220,ChqRankU,0),0)=0,"",IF(INDEX(ChqAmt,IFERROR(MATCH(220,ChqRankU,0),0))=0,"",INDEX(ChqAmt,IFERROR(MATCH(220,ChqRankU,0),0))))</f>
        <v/>
      </c>
      <c r="E236" s="17">
        <f>IF(IFERROR(MATCH(220,ChqRankU,0),0)=0,"",INDEX(ChqStatus,IFERROR(MATCH(220,ChqRankU,0),0)))</f>
        <v/>
      </c>
      <c r="F236" s="24">
        <f>IF(IFERROR(MATCH(220,ChqRankU,0),0)=0,"",IF(INDEX(ChqStatus,IFERROR(MATCH(220,ChqRankU,0),0))="پاس نشده","—",IF(INDEX(ChqClr,IFERROR(MATCH(220,ChqRankU,0),0))="","—",INDEX(ChqClr,IFERROR(MATCH(220,ChqRankU,0),0)))))</f>
        <v/>
      </c>
      <c r="I236">
        <f>IF(220&gt;NChq,"",INDEX(ChqNorm,220))</f>
        <v/>
      </c>
      <c r="J236">
        <f>IF($I236="","",IF(AND($I236&gt;=$H$3,$I236&lt;=$H$4,INDEX(ChqStatus,220)="پاس نشده"),1,0))</f>
        <v/>
      </c>
      <c r="K236">
        <f>IF($J236=0,"",INDEX(ChqKey,220))</f>
        <v/>
      </c>
      <c r="L236">
        <f>IF($K236="","",COUNTIFS($J$17:$J$516,1,$K$17:$K$516,"&lt;"&amp;$K236)+1)</f>
        <v/>
      </c>
    </row>
    <row r="237">
      <c r="A237" s="10">
        <f>IF(IFERROR(MATCH(221,ChqRankU,0),0)=0,"",221)</f>
        <v/>
      </c>
      <c r="B237" s="22">
        <f>IF(IFERROR(MATCH(221,ChqRankU,0),0)=0,"",INDEX(ChqNorm,IFERROR(MATCH(221,ChqRankU,0),0)))</f>
        <v/>
      </c>
      <c r="C237" s="22">
        <f>IF(IFERROR(MATCH(221,ChqRankU,0),0)=0,"",INDEX(ChqNo,IFERROR(MATCH(221,ChqRankU,0),0)))</f>
        <v/>
      </c>
      <c r="D237" s="23">
        <f>IF(IFERROR(MATCH(221,ChqRankU,0),0)=0,"",IF(INDEX(ChqAmt,IFERROR(MATCH(221,ChqRankU,0),0))=0,"",INDEX(ChqAmt,IFERROR(MATCH(221,ChqRankU,0),0))))</f>
        <v/>
      </c>
      <c r="E237" s="14">
        <f>IF(IFERROR(MATCH(221,ChqRankU,0),0)=0,"",INDEX(ChqStatus,IFERROR(MATCH(221,ChqRankU,0),0)))</f>
        <v/>
      </c>
      <c r="F237" s="22">
        <f>IF(IFERROR(MATCH(221,ChqRankU,0),0)=0,"",IF(INDEX(ChqStatus,IFERROR(MATCH(221,ChqRankU,0),0))="پاس نشده","—",IF(INDEX(ChqClr,IFERROR(MATCH(221,ChqRankU,0),0))="","—",INDEX(ChqClr,IFERROR(MATCH(221,ChqRankU,0),0)))))</f>
        <v/>
      </c>
      <c r="I237">
        <f>IF(221&gt;NChq,"",INDEX(ChqNorm,221))</f>
        <v/>
      </c>
      <c r="J237">
        <f>IF($I237="","",IF(AND($I237&gt;=$H$3,$I237&lt;=$H$4,INDEX(ChqStatus,221)="پاس نشده"),1,0))</f>
        <v/>
      </c>
      <c r="K237">
        <f>IF($J237=0,"",INDEX(ChqKey,221))</f>
        <v/>
      </c>
      <c r="L237">
        <f>IF($K237="","",COUNTIFS($J$17:$J$516,1,$K$17:$K$516,"&lt;"&amp;$K237)+1)</f>
        <v/>
      </c>
    </row>
    <row r="238">
      <c r="A238" s="16">
        <f>IF(IFERROR(MATCH(222,ChqRankU,0),0)=0,"",222)</f>
        <v/>
      </c>
      <c r="B238" s="24">
        <f>IF(IFERROR(MATCH(222,ChqRankU,0),0)=0,"",INDEX(ChqNorm,IFERROR(MATCH(222,ChqRankU,0),0)))</f>
        <v/>
      </c>
      <c r="C238" s="24">
        <f>IF(IFERROR(MATCH(222,ChqRankU,0),0)=0,"",INDEX(ChqNo,IFERROR(MATCH(222,ChqRankU,0),0)))</f>
        <v/>
      </c>
      <c r="D238" s="25">
        <f>IF(IFERROR(MATCH(222,ChqRankU,0),0)=0,"",IF(INDEX(ChqAmt,IFERROR(MATCH(222,ChqRankU,0),0))=0,"",INDEX(ChqAmt,IFERROR(MATCH(222,ChqRankU,0),0))))</f>
        <v/>
      </c>
      <c r="E238" s="17">
        <f>IF(IFERROR(MATCH(222,ChqRankU,0),0)=0,"",INDEX(ChqStatus,IFERROR(MATCH(222,ChqRankU,0),0)))</f>
        <v/>
      </c>
      <c r="F238" s="24">
        <f>IF(IFERROR(MATCH(222,ChqRankU,0),0)=0,"",IF(INDEX(ChqStatus,IFERROR(MATCH(222,ChqRankU,0),0))="پاس نشده","—",IF(INDEX(ChqClr,IFERROR(MATCH(222,ChqRankU,0),0))="","—",INDEX(ChqClr,IFERROR(MATCH(222,ChqRankU,0),0)))))</f>
        <v/>
      </c>
      <c r="I238">
        <f>IF(222&gt;NChq,"",INDEX(ChqNorm,222))</f>
        <v/>
      </c>
      <c r="J238">
        <f>IF($I238="","",IF(AND($I238&gt;=$H$3,$I238&lt;=$H$4,INDEX(ChqStatus,222)="پاس نشده"),1,0))</f>
        <v/>
      </c>
      <c r="K238">
        <f>IF($J238=0,"",INDEX(ChqKey,222))</f>
        <v/>
      </c>
      <c r="L238">
        <f>IF($K238="","",COUNTIFS($J$17:$J$516,1,$K$17:$K$516,"&lt;"&amp;$K238)+1)</f>
        <v/>
      </c>
    </row>
    <row r="239">
      <c r="A239" s="10">
        <f>IF(IFERROR(MATCH(223,ChqRankU,0),0)=0,"",223)</f>
        <v/>
      </c>
      <c r="B239" s="22">
        <f>IF(IFERROR(MATCH(223,ChqRankU,0),0)=0,"",INDEX(ChqNorm,IFERROR(MATCH(223,ChqRankU,0),0)))</f>
        <v/>
      </c>
      <c r="C239" s="22">
        <f>IF(IFERROR(MATCH(223,ChqRankU,0),0)=0,"",INDEX(ChqNo,IFERROR(MATCH(223,ChqRankU,0),0)))</f>
        <v/>
      </c>
      <c r="D239" s="23">
        <f>IF(IFERROR(MATCH(223,ChqRankU,0),0)=0,"",IF(INDEX(ChqAmt,IFERROR(MATCH(223,ChqRankU,0),0))=0,"",INDEX(ChqAmt,IFERROR(MATCH(223,ChqRankU,0),0))))</f>
        <v/>
      </c>
      <c r="E239" s="14">
        <f>IF(IFERROR(MATCH(223,ChqRankU,0),0)=0,"",INDEX(ChqStatus,IFERROR(MATCH(223,ChqRankU,0),0)))</f>
        <v/>
      </c>
      <c r="F239" s="22">
        <f>IF(IFERROR(MATCH(223,ChqRankU,0),0)=0,"",IF(INDEX(ChqStatus,IFERROR(MATCH(223,ChqRankU,0),0))="پاس نشده","—",IF(INDEX(ChqClr,IFERROR(MATCH(223,ChqRankU,0),0))="","—",INDEX(ChqClr,IFERROR(MATCH(223,ChqRankU,0),0)))))</f>
        <v/>
      </c>
      <c r="I239">
        <f>IF(223&gt;NChq,"",INDEX(ChqNorm,223))</f>
        <v/>
      </c>
      <c r="J239">
        <f>IF($I239="","",IF(AND($I239&gt;=$H$3,$I239&lt;=$H$4,INDEX(ChqStatus,223)="پاس نشده"),1,0))</f>
        <v/>
      </c>
      <c r="K239">
        <f>IF($J239=0,"",INDEX(ChqKey,223))</f>
        <v/>
      </c>
      <c r="L239">
        <f>IF($K239="","",COUNTIFS($J$17:$J$516,1,$K$17:$K$516,"&lt;"&amp;$K239)+1)</f>
        <v/>
      </c>
    </row>
    <row r="240">
      <c r="A240" s="16">
        <f>IF(IFERROR(MATCH(224,ChqRankU,0),0)=0,"",224)</f>
        <v/>
      </c>
      <c r="B240" s="24">
        <f>IF(IFERROR(MATCH(224,ChqRankU,0),0)=0,"",INDEX(ChqNorm,IFERROR(MATCH(224,ChqRankU,0),0)))</f>
        <v/>
      </c>
      <c r="C240" s="24">
        <f>IF(IFERROR(MATCH(224,ChqRankU,0),0)=0,"",INDEX(ChqNo,IFERROR(MATCH(224,ChqRankU,0),0)))</f>
        <v/>
      </c>
      <c r="D240" s="25">
        <f>IF(IFERROR(MATCH(224,ChqRankU,0),0)=0,"",IF(INDEX(ChqAmt,IFERROR(MATCH(224,ChqRankU,0),0))=0,"",INDEX(ChqAmt,IFERROR(MATCH(224,ChqRankU,0),0))))</f>
        <v/>
      </c>
      <c r="E240" s="17">
        <f>IF(IFERROR(MATCH(224,ChqRankU,0),0)=0,"",INDEX(ChqStatus,IFERROR(MATCH(224,ChqRankU,0),0)))</f>
        <v/>
      </c>
      <c r="F240" s="24">
        <f>IF(IFERROR(MATCH(224,ChqRankU,0),0)=0,"",IF(INDEX(ChqStatus,IFERROR(MATCH(224,ChqRankU,0),0))="پاس نشده","—",IF(INDEX(ChqClr,IFERROR(MATCH(224,ChqRankU,0),0))="","—",INDEX(ChqClr,IFERROR(MATCH(224,ChqRankU,0),0)))))</f>
        <v/>
      </c>
      <c r="I240">
        <f>IF(224&gt;NChq,"",INDEX(ChqNorm,224))</f>
        <v/>
      </c>
      <c r="J240">
        <f>IF($I240="","",IF(AND($I240&gt;=$H$3,$I240&lt;=$H$4,INDEX(ChqStatus,224)="پاس نشده"),1,0))</f>
        <v/>
      </c>
      <c r="K240">
        <f>IF($J240=0,"",INDEX(ChqKey,224))</f>
        <v/>
      </c>
      <c r="L240">
        <f>IF($K240="","",COUNTIFS($J$17:$J$516,1,$K$17:$K$516,"&lt;"&amp;$K240)+1)</f>
        <v/>
      </c>
    </row>
    <row r="241">
      <c r="A241" s="10">
        <f>IF(IFERROR(MATCH(225,ChqRankU,0),0)=0,"",225)</f>
        <v/>
      </c>
      <c r="B241" s="22">
        <f>IF(IFERROR(MATCH(225,ChqRankU,0),0)=0,"",INDEX(ChqNorm,IFERROR(MATCH(225,ChqRankU,0),0)))</f>
        <v/>
      </c>
      <c r="C241" s="22">
        <f>IF(IFERROR(MATCH(225,ChqRankU,0),0)=0,"",INDEX(ChqNo,IFERROR(MATCH(225,ChqRankU,0),0)))</f>
        <v/>
      </c>
      <c r="D241" s="23">
        <f>IF(IFERROR(MATCH(225,ChqRankU,0),0)=0,"",IF(INDEX(ChqAmt,IFERROR(MATCH(225,ChqRankU,0),0))=0,"",INDEX(ChqAmt,IFERROR(MATCH(225,ChqRankU,0),0))))</f>
        <v/>
      </c>
      <c r="E241" s="14">
        <f>IF(IFERROR(MATCH(225,ChqRankU,0),0)=0,"",INDEX(ChqStatus,IFERROR(MATCH(225,ChqRankU,0),0)))</f>
        <v/>
      </c>
      <c r="F241" s="22">
        <f>IF(IFERROR(MATCH(225,ChqRankU,0),0)=0,"",IF(INDEX(ChqStatus,IFERROR(MATCH(225,ChqRankU,0),0))="پاس نشده","—",IF(INDEX(ChqClr,IFERROR(MATCH(225,ChqRankU,0),0))="","—",INDEX(ChqClr,IFERROR(MATCH(225,ChqRankU,0),0)))))</f>
        <v/>
      </c>
      <c r="I241">
        <f>IF(225&gt;NChq,"",INDEX(ChqNorm,225))</f>
        <v/>
      </c>
      <c r="J241">
        <f>IF($I241="","",IF(AND($I241&gt;=$H$3,$I241&lt;=$H$4,INDEX(ChqStatus,225)="پاس نشده"),1,0))</f>
        <v/>
      </c>
      <c r="K241">
        <f>IF($J241=0,"",INDEX(ChqKey,225))</f>
        <v/>
      </c>
      <c r="L241">
        <f>IF($K241="","",COUNTIFS($J$17:$J$516,1,$K$17:$K$516,"&lt;"&amp;$K241)+1)</f>
        <v/>
      </c>
    </row>
    <row r="242">
      <c r="A242" s="16">
        <f>IF(IFERROR(MATCH(226,ChqRankU,0),0)=0,"",226)</f>
        <v/>
      </c>
      <c r="B242" s="24">
        <f>IF(IFERROR(MATCH(226,ChqRankU,0),0)=0,"",INDEX(ChqNorm,IFERROR(MATCH(226,ChqRankU,0),0)))</f>
        <v/>
      </c>
      <c r="C242" s="24">
        <f>IF(IFERROR(MATCH(226,ChqRankU,0),0)=0,"",INDEX(ChqNo,IFERROR(MATCH(226,ChqRankU,0),0)))</f>
        <v/>
      </c>
      <c r="D242" s="25">
        <f>IF(IFERROR(MATCH(226,ChqRankU,0),0)=0,"",IF(INDEX(ChqAmt,IFERROR(MATCH(226,ChqRankU,0),0))=0,"",INDEX(ChqAmt,IFERROR(MATCH(226,ChqRankU,0),0))))</f>
        <v/>
      </c>
      <c r="E242" s="17">
        <f>IF(IFERROR(MATCH(226,ChqRankU,0),0)=0,"",INDEX(ChqStatus,IFERROR(MATCH(226,ChqRankU,0),0)))</f>
        <v/>
      </c>
      <c r="F242" s="24">
        <f>IF(IFERROR(MATCH(226,ChqRankU,0),0)=0,"",IF(INDEX(ChqStatus,IFERROR(MATCH(226,ChqRankU,0),0))="پاس نشده","—",IF(INDEX(ChqClr,IFERROR(MATCH(226,ChqRankU,0),0))="","—",INDEX(ChqClr,IFERROR(MATCH(226,ChqRankU,0),0)))))</f>
        <v/>
      </c>
      <c r="I242">
        <f>IF(226&gt;NChq,"",INDEX(ChqNorm,226))</f>
        <v/>
      </c>
      <c r="J242">
        <f>IF($I242="","",IF(AND($I242&gt;=$H$3,$I242&lt;=$H$4,INDEX(ChqStatus,226)="پاس نشده"),1,0))</f>
        <v/>
      </c>
      <c r="K242">
        <f>IF($J242=0,"",INDEX(ChqKey,226))</f>
        <v/>
      </c>
      <c r="L242">
        <f>IF($K242="","",COUNTIFS($J$17:$J$516,1,$K$17:$K$516,"&lt;"&amp;$K242)+1)</f>
        <v/>
      </c>
    </row>
    <row r="243">
      <c r="A243" s="10">
        <f>IF(IFERROR(MATCH(227,ChqRankU,0),0)=0,"",227)</f>
        <v/>
      </c>
      <c r="B243" s="22">
        <f>IF(IFERROR(MATCH(227,ChqRankU,0),0)=0,"",INDEX(ChqNorm,IFERROR(MATCH(227,ChqRankU,0),0)))</f>
        <v/>
      </c>
      <c r="C243" s="22">
        <f>IF(IFERROR(MATCH(227,ChqRankU,0),0)=0,"",INDEX(ChqNo,IFERROR(MATCH(227,ChqRankU,0),0)))</f>
        <v/>
      </c>
      <c r="D243" s="23">
        <f>IF(IFERROR(MATCH(227,ChqRankU,0),0)=0,"",IF(INDEX(ChqAmt,IFERROR(MATCH(227,ChqRankU,0),0))=0,"",INDEX(ChqAmt,IFERROR(MATCH(227,ChqRankU,0),0))))</f>
        <v/>
      </c>
      <c r="E243" s="14">
        <f>IF(IFERROR(MATCH(227,ChqRankU,0),0)=0,"",INDEX(ChqStatus,IFERROR(MATCH(227,ChqRankU,0),0)))</f>
        <v/>
      </c>
      <c r="F243" s="22">
        <f>IF(IFERROR(MATCH(227,ChqRankU,0),0)=0,"",IF(INDEX(ChqStatus,IFERROR(MATCH(227,ChqRankU,0),0))="پاس نشده","—",IF(INDEX(ChqClr,IFERROR(MATCH(227,ChqRankU,0),0))="","—",INDEX(ChqClr,IFERROR(MATCH(227,ChqRankU,0),0)))))</f>
        <v/>
      </c>
      <c r="I243">
        <f>IF(227&gt;NChq,"",INDEX(ChqNorm,227))</f>
        <v/>
      </c>
      <c r="J243">
        <f>IF($I243="","",IF(AND($I243&gt;=$H$3,$I243&lt;=$H$4,INDEX(ChqStatus,227)="پاس نشده"),1,0))</f>
        <v/>
      </c>
      <c r="K243">
        <f>IF($J243=0,"",INDEX(ChqKey,227))</f>
        <v/>
      </c>
      <c r="L243">
        <f>IF($K243="","",COUNTIFS($J$17:$J$516,1,$K$17:$K$516,"&lt;"&amp;$K243)+1)</f>
        <v/>
      </c>
    </row>
    <row r="244">
      <c r="A244" s="16">
        <f>IF(IFERROR(MATCH(228,ChqRankU,0),0)=0,"",228)</f>
        <v/>
      </c>
      <c r="B244" s="24">
        <f>IF(IFERROR(MATCH(228,ChqRankU,0),0)=0,"",INDEX(ChqNorm,IFERROR(MATCH(228,ChqRankU,0),0)))</f>
        <v/>
      </c>
      <c r="C244" s="24">
        <f>IF(IFERROR(MATCH(228,ChqRankU,0),0)=0,"",INDEX(ChqNo,IFERROR(MATCH(228,ChqRankU,0),0)))</f>
        <v/>
      </c>
      <c r="D244" s="25">
        <f>IF(IFERROR(MATCH(228,ChqRankU,0),0)=0,"",IF(INDEX(ChqAmt,IFERROR(MATCH(228,ChqRankU,0),0))=0,"",INDEX(ChqAmt,IFERROR(MATCH(228,ChqRankU,0),0))))</f>
        <v/>
      </c>
      <c r="E244" s="17">
        <f>IF(IFERROR(MATCH(228,ChqRankU,0),0)=0,"",INDEX(ChqStatus,IFERROR(MATCH(228,ChqRankU,0),0)))</f>
        <v/>
      </c>
      <c r="F244" s="24">
        <f>IF(IFERROR(MATCH(228,ChqRankU,0),0)=0,"",IF(INDEX(ChqStatus,IFERROR(MATCH(228,ChqRankU,0),0))="پاس نشده","—",IF(INDEX(ChqClr,IFERROR(MATCH(228,ChqRankU,0),0))="","—",INDEX(ChqClr,IFERROR(MATCH(228,ChqRankU,0),0)))))</f>
        <v/>
      </c>
      <c r="I244">
        <f>IF(228&gt;NChq,"",INDEX(ChqNorm,228))</f>
        <v/>
      </c>
      <c r="J244">
        <f>IF($I244="","",IF(AND($I244&gt;=$H$3,$I244&lt;=$H$4,INDEX(ChqStatus,228)="پاس نشده"),1,0))</f>
        <v/>
      </c>
      <c r="K244">
        <f>IF($J244=0,"",INDEX(ChqKey,228))</f>
        <v/>
      </c>
      <c r="L244">
        <f>IF($K244="","",COUNTIFS($J$17:$J$516,1,$K$17:$K$516,"&lt;"&amp;$K244)+1)</f>
        <v/>
      </c>
    </row>
    <row r="245">
      <c r="A245" s="10">
        <f>IF(IFERROR(MATCH(229,ChqRankU,0),0)=0,"",229)</f>
        <v/>
      </c>
      <c r="B245" s="22">
        <f>IF(IFERROR(MATCH(229,ChqRankU,0),0)=0,"",INDEX(ChqNorm,IFERROR(MATCH(229,ChqRankU,0),0)))</f>
        <v/>
      </c>
      <c r="C245" s="22">
        <f>IF(IFERROR(MATCH(229,ChqRankU,0),0)=0,"",INDEX(ChqNo,IFERROR(MATCH(229,ChqRankU,0),0)))</f>
        <v/>
      </c>
      <c r="D245" s="23">
        <f>IF(IFERROR(MATCH(229,ChqRankU,0),0)=0,"",IF(INDEX(ChqAmt,IFERROR(MATCH(229,ChqRankU,0),0))=0,"",INDEX(ChqAmt,IFERROR(MATCH(229,ChqRankU,0),0))))</f>
        <v/>
      </c>
      <c r="E245" s="14">
        <f>IF(IFERROR(MATCH(229,ChqRankU,0),0)=0,"",INDEX(ChqStatus,IFERROR(MATCH(229,ChqRankU,0),0)))</f>
        <v/>
      </c>
      <c r="F245" s="22">
        <f>IF(IFERROR(MATCH(229,ChqRankU,0),0)=0,"",IF(INDEX(ChqStatus,IFERROR(MATCH(229,ChqRankU,0),0))="پاس نشده","—",IF(INDEX(ChqClr,IFERROR(MATCH(229,ChqRankU,0),0))="","—",INDEX(ChqClr,IFERROR(MATCH(229,ChqRankU,0),0)))))</f>
        <v/>
      </c>
      <c r="I245">
        <f>IF(229&gt;NChq,"",INDEX(ChqNorm,229))</f>
        <v/>
      </c>
      <c r="J245">
        <f>IF($I245="","",IF(AND($I245&gt;=$H$3,$I245&lt;=$H$4,INDEX(ChqStatus,229)="پاس نشده"),1,0))</f>
        <v/>
      </c>
      <c r="K245">
        <f>IF($J245=0,"",INDEX(ChqKey,229))</f>
        <v/>
      </c>
      <c r="L245">
        <f>IF($K245="","",COUNTIFS($J$17:$J$516,1,$K$17:$K$516,"&lt;"&amp;$K245)+1)</f>
        <v/>
      </c>
    </row>
    <row r="246">
      <c r="A246" s="16">
        <f>IF(IFERROR(MATCH(230,ChqRankU,0),0)=0,"",230)</f>
        <v/>
      </c>
      <c r="B246" s="24">
        <f>IF(IFERROR(MATCH(230,ChqRankU,0),0)=0,"",INDEX(ChqNorm,IFERROR(MATCH(230,ChqRankU,0),0)))</f>
        <v/>
      </c>
      <c r="C246" s="24">
        <f>IF(IFERROR(MATCH(230,ChqRankU,0),0)=0,"",INDEX(ChqNo,IFERROR(MATCH(230,ChqRankU,0),0)))</f>
        <v/>
      </c>
      <c r="D246" s="25">
        <f>IF(IFERROR(MATCH(230,ChqRankU,0),0)=0,"",IF(INDEX(ChqAmt,IFERROR(MATCH(230,ChqRankU,0),0))=0,"",INDEX(ChqAmt,IFERROR(MATCH(230,ChqRankU,0),0))))</f>
        <v/>
      </c>
      <c r="E246" s="17">
        <f>IF(IFERROR(MATCH(230,ChqRankU,0),0)=0,"",INDEX(ChqStatus,IFERROR(MATCH(230,ChqRankU,0),0)))</f>
        <v/>
      </c>
      <c r="F246" s="24">
        <f>IF(IFERROR(MATCH(230,ChqRankU,0),0)=0,"",IF(INDEX(ChqStatus,IFERROR(MATCH(230,ChqRankU,0),0))="پاس نشده","—",IF(INDEX(ChqClr,IFERROR(MATCH(230,ChqRankU,0),0))="","—",INDEX(ChqClr,IFERROR(MATCH(230,ChqRankU,0),0)))))</f>
        <v/>
      </c>
      <c r="I246">
        <f>IF(230&gt;NChq,"",INDEX(ChqNorm,230))</f>
        <v/>
      </c>
      <c r="J246">
        <f>IF($I246="","",IF(AND($I246&gt;=$H$3,$I246&lt;=$H$4,INDEX(ChqStatus,230)="پاس نشده"),1,0))</f>
        <v/>
      </c>
      <c r="K246">
        <f>IF($J246=0,"",INDEX(ChqKey,230))</f>
        <v/>
      </c>
      <c r="L246">
        <f>IF($K246="","",COUNTIFS($J$17:$J$516,1,$K$17:$K$516,"&lt;"&amp;$K246)+1)</f>
        <v/>
      </c>
    </row>
    <row r="247">
      <c r="A247" s="10">
        <f>IF(IFERROR(MATCH(231,ChqRankU,0),0)=0,"",231)</f>
        <v/>
      </c>
      <c r="B247" s="22">
        <f>IF(IFERROR(MATCH(231,ChqRankU,0),0)=0,"",INDEX(ChqNorm,IFERROR(MATCH(231,ChqRankU,0),0)))</f>
        <v/>
      </c>
      <c r="C247" s="22">
        <f>IF(IFERROR(MATCH(231,ChqRankU,0),0)=0,"",INDEX(ChqNo,IFERROR(MATCH(231,ChqRankU,0),0)))</f>
        <v/>
      </c>
      <c r="D247" s="23">
        <f>IF(IFERROR(MATCH(231,ChqRankU,0),0)=0,"",IF(INDEX(ChqAmt,IFERROR(MATCH(231,ChqRankU,0),0))=0,"",INDEX(ChqAmt,IFERROR(MATCH(231,ChqRankU,0),0))))</f>
        <v/>
      </c>
      <c r="E247" s="14">
        <f>IF(IFERROR(MATCH(231,ChqRankU,0),0)=0,"",INDEX(ChqStatus,IFERROR(MATCH(231,ChqRankU,0),0)))</f>
        <v/>
      </c>
      <c r="F247" s="22">
        <f>IF(IFERROR(MATCH(231,ChqRankU,0),0)=0,"",IF(INDEX(ChqStatus,IFERROR(MATCH(231,ChqRankU,0),0))="پاس نشده","—",IF(INDEX(ChqClr,IFERROR(MATCH(231,ChqRankU,0),0))="","—",INDEX(ChqClr,IFERROR(MATCH(231,ChqRankU,0),0)))))</f>
        <v/>
      </c>
      <c r="I247">
        <f>IF(231&gt;NChq,"",INDEX(ChqNorm,231))</f>
        <v/>
      </c>
      <c r="J247">
        <f>IF($I247="","",IF(AND($I247&gt;=$H$3,$I247&lt;=$H$4,INDEX(ChqStatus,231)="پاس نشده"),1,0))</f>
        <v/>
      </c>
      <c r="K247">
        <f>IF($J247=0,"",INDEX(ChqKey,231))</f>
        <v/>
      </c>
      <c r="L247">
        <f>IF($K247="","",COUNTIFS($J$17:$J$516,1,$K$17:$K$516,"&lt;"&amp;$K247)+1)</f>
        <v/>
      </c>
    </row>
    <row r="248">
      <c r="A248" s="16">
        <f>IF(IFERROR(MATCH(232,ChqRankU,0),0)=0,"",232)</f>
        <v/>
      </c>
      <c r="B248" s="24">
        <f>IF(IFERROR(MATCH(232,ChqRankU,0),0)=0,"",INDEX(ChqNorm,IFERROR(MATCH(232,ChqRankU,0),0)))</f>
        <v/>
      </c>
      <c r="C248" s="24">
        <f>IF(IFERROR(MATCH(232,ChqRankU,0),0)=0,"",INDEX(ChqNo,IFERROR(MATCH(232,ChqRankU,0),0)))</f>
        <v/>
      </c>
      <c r="D248" s="25">
        <f>IF(IFERROR(MATCH(232,ChqRankU,0),0)=0,"",IF(INDEX(ChqAmt,IFERROR(MATCH(232,ChqRankU,0),0))=0,"",INDEX(ChqAmt,IFERROR(MATCH(232,ChqRankU,0),0))))</f>
        <v/>
      </c>
      <c r="E248" s="17">
        <f>IF(IFERROR(MATCH(232,ChqRankU,0),0)=0,"",INDEX(ChqStatus,IFERROR(MATCH(232,ChqRankU,0),0)))</f>
        <v/>
      </c>
      <c r="F248" s="24">
        <f>IF(IFERROR(MATCH(232,ChqRankU,0),0)=0,"",IF(INDEX(ChqStatus,IFERROR(MATCH(232,ChqRankU,0),0))="پاس نشده","—",IF(INDEX(ChqClr,IFERROR(MATCH(232,ChqRankU,0),0))="","—",INDEX(ChqClr,IFERROR(MATCH(232,ChqRankU,0),0)))))</f>
        <v/>
      </c>
      <c r="I248">
        <f>IF(232&gt;NChq,"",INDEX(ChqNorm,232))</f>
        <v/>
      </c>
      <c r="J248">
        <f>IF($I248="","",IF(AND($I248&gt;=$H$3,$I248&lt;=$H$4,INDEX(ChqStatus,232)="پاس نشده"),1,0))</f>
        <v/>
      </c>
      <c r="K248">
        <f>IF($J248=0,"",INDEX(ChqKey,232))</f>
        <v/>
      </c>
      <c r="L248">
        <f>IF($K248="","",COUNTIFS($J$17:$J$516,1,$K$17:$K$516,"&lt;"&amp;$K248)+1)</f>
        <v/>
      </c>
    </row>
    <row r="249">
      <c r="A249" s="10">
        <f>IF(IFERROR(MATCH(233,ChqRankU,0),0)=0,"",233)</f>
        <v/>
      </c>
      <c r="B249" s="22">
        <f>IF(IFERROR(MATCH(233,ChqRankU,0),0)=0,"",INDEX(ChqNorm,IFERROR(MATCH(233,ChqRankU,0),0)))</f>
        <v/>
      </c>
      <c r="C249" s="22">
        <f>IF(IFERROR(MATCH(233,ChqRankU,0),0)=0,"",INDEX(ChqNo,IFERROR(MATCH(233,ChqRankU,0),0)))</f>
        <v/>
      </c>
      <c r="D249" s="23">
        <f>IF(IFERROR(MATCH(233,ChqRankU,0),0)=0,"",IF(INDEX(ChqAmt,IFERROR(MATCH(233,ChqRankU,0),0))=0,"",INDEX(ChqAmt,IFERROR(MATCH(233,ChqRankU,0),0))))</f>
        <v/>
      </c>
      <c r="E249" s="14">
        <f>IF(IFERROR(MATCH(233,ChqRankU,0),0)=0,"",INDEX(ChqStatus,IFERROR(MATCH(233,ChqRankU,0),0)))</f>
        <v/>
      </c>
      <c r="F249" s="22">
        <f>IF(IFERROR(MATCH(233,ChqRankU,0),0)=0,"",IF(INDEX(ChqStatus,IFERROR(MATCH(233,ChqRankU,0),0))="پاس نشده","—",IF(INDEX(ChqClr,IFERROR(MATCH(233,ChqRankU,0),0))="","—",INDEX(ChqClr,IFERROR(MATCH(233,ChqRankU,0),0)))))</f>
        <v/>
      </c>
      <c r="I249">
        <f>IF(233&gt;NChq,"",INDEX(ChqNorm,233))</f>
        <v/>
      </c>
      <c r="J249">
        <f>IF($I249="","",IF(AND($I249&gt;=$H$3,$I249&lt;=$H$4,INDEX(ChqStatus,233)="پاس نشده"),1,0))</f>
        <v/>
      </c>
      <c r="K249">
        <f>IF($J249=0,"",INDEX(ChqKey,233))</f>
        <v/>
      </c>
      <c r="L249">
        <f>IF($K249="","",COUNTIFS($J$17:$J$516,1,$K$17:$K$516,"&lt;"&amp;$K249)+1)</f>
        <v/>
      </c>
    </row>
    <row r="250">
      <c r="A250" s="16">
        <f>IF(IFERROR(MATCH(234,ChqRankU,0),0)=0,"",234)</f>
        <v/>
      </c>
      <c r="B250" s="24">
        <f>IF(IFERROR(MATCH(234,ChqRankU,0),0)=0,"",INDEX(ChqNorm,IFERROR(MATCH(234,ChqRankU,0),0)))</f>
        <v/>
      </c>
      <c r="C250" s="24">
        <f>IF(IFERROR(MATCH(234,ChqRankU,0),0)=0,"",INDEX(ChqNo,IFERROR(MATCH(234,ChqRankU,0),0)))</f>
        <v/>
      </c>
      <c r="D250" s="25">
        <f>IF(IFERROR(MATCH(234,ChqRankU,0),0)=0,"",IF(INDEX(ChqAmt,IFERROR(MATCH(234,ChqRankU,0),0))=0,"",INDEX(ChqAmt,IFERROR(MATCH(234,ChqRankU,0),0))))</f>
        <v/>
      </c>
      <c r="E250" s="17">
        <f>IF(IFERROR(MATCH(234,ChqRankU,0),0)=0,"",INDEX(ChqStatus,IFERROR(MATCH(234,ChqRankU,0),0)))</f>
        <v/>
      </c>
      <c r="F250" s="24">
        <f>IF(IFERROR(MATCH(234,ChqRankU,0),0)=0,"",IF(INDEX(ChqStatus,IFERROR(MATCH(234,ChqRankU,0),0))="پاس نشده","—",IF(INDEX(ChqClr,IFERROR(MATCH(234,ChqRankU,0),0))="","—",INDEX(ChqClr,IFERROR(MATCH(234,ChqRankU,0),0)))))</f>
        <v/>
      </c>
      <c r="I250">
        <f>IF(234&gt;NChq,"",INDEX(ChqNorm,234))</f>
        <v/>
      </c>
      <c r="J250">
        <f>IF($I250="","",IF(AND($I250&gt;=$H$3,$I250&lt;=$H$4,INDEX(ChqStatus,234)="پاس نشده"),1,0))</f>
        <v/>
      </c>
      <c r="K250">
        <f>IF($J250=0,"",INDEX(ChqKey,234))</f>
        <v/>
      </c>
      <c r="L250">
        <f>IF($K250="","",COUNTIFS($J$17:$J$516,1,$K$17:$K$516,"&lt;"&amp;$K250)+1)</f>
        <v/>
      </c>
    </row>
    <row r="251">
      <c r="A251" s="10">
        <f>IF(IFERROR(MATCH(235,ChqRankU,0),0)=0,"",235)</f>
        <v/>
      </c>
      <c r="B251" s="22">
        <f>IF(IFERROR(MATCH(235,ChqRankU,0),0)=0,"",INDEX(ChqNorm,IFERROR(MATCH(235,ChqRankU,0),0)))</f>
        <v/>
      </c>
      <c r="C251" s="22">
        <f>IF(IFERROR(MATCH(235,ChqRankU,0),0)=0,"",INDEX(ChqNo,IFERROR(MATCH(235,ChqRankU,0),0)))</f>
        <v/>
      </c>
      <c r="D251" s="23">
        <f>IF(IFERROR(MATCH(235,ChqRankU,0),0)=0,"",IF(INDEX(ChqAmt,IFERROR(MATCH(235,ChqRankU,0),0))=0,"",INDEX(ChqAmt,IFERROR(MATCH(235,ChqRankU,0),0))))</f>
        <v/>
      </c>
      <c r="E251" s="14">
        <f>IF(IFERROR(MATCH(235,ChqRankU,0),0)=0,"",INDEX(ChqStatus,IFERROR(MATCH(235,ChqRankU,0),0)))</f>
        <v/>
      </c>
      <c r="F251" s="22">
        <f>IF(IFERROR(MATCH(235,ChqRankU,0),0)=0,"",IF(INDEX(ChqStatus,IFERROR(MATCH(235,ChqRankU,0),0))="پاس نشده","—",IF(INDEX(ChqClr,IFERROR(MATCH(235,ChqRankU,0),0))="","—",INDEX(ChqClr,IFERROR(MATCH(235,ChqRankU,0),0)))))</f>
        <v/>
      </c>
      <c r="I251">
        <f>IF(235&gt;NChq,"",INDEX(ChqNorm,235))</f>
        <v/>
      </c>
      <c r="J251">
        <f>IF($I251="","",IF(AND($I251&gt;=$H$3,$I251&lt;=$H$4,INDEX(ChqStatus,235)="پاس نشده"),1,0))</f>
        <v/>
      </c>
      <c r="K251">
        <f>IF($J251=0,"",INDEX(ChqKey,235))</f>
        <v/>
      </c>
      <c r="L251">
        <f>IF($K251="","",COUNTIFS($J$17:$J$516,1,$K$17:$K$516,"&lt;"&amp;$K251)+1)</f>
        <v/>
      </c>
    </row>
    <row r="252">
      <c r="A252" s="16">
        <f>IF(IFERROR(MATCH(236,ChqRankU,0),0)=0,"",236)</f>
        <v/>
      </c>
      <c r="B252" s="24">
        <f>IF(IFERROR(MATCH(236,ChqRankU,0),0)=0,"",INDEX(ChqNorm,IFERROR(MATCH(236,ChqRankU,0),0)))</f>
        <v/>
      </c>
      <c r="C252" s="24">
        <f>IF(IFERROR(MATCH(236,ChqRankU,0),0)=0,"",INDEX(ChqNo,IFERROR(MATCH(236,ChqRankU,0),0)))</f>
        <v/>
      </c>
      <c r="D252" s="25">
        <f>IF(IFERROR(MATCH(236,ChqRankU,0),0)=0,"",IF(INDEX(ChqAmt,IFERROR(MATCH(236,ChqRankU,0),0))=0,"",INDEX(ChqAmt,IFERROR(MATCH(236,ChqRankU,0),0))))</f>
        <v/>
      </c>
      <c r="E252" s="17">
        <f>IF(IFERROR(MATCH(236,ChqRankU,0),0)=0,"",INDEX(ChqStatus,IFERROR(MATCH(236,ChqRankU,0),0)))</f>
        <v/>
      </c>
      <c r="F252" s="24">
        <f>IF(IFERROR(MATCH(236,ChqRankU,0),0)=0,"",IF(INDEX(ChqStatus,IFERROR(MATCH(236,ChqRankU,0),0))="پاس نشده","—",IF(INDEX(ChqClr,IFERROR(MATCH(236,ChqRankU,0),0))="","—",INDEX(ChqClr,IFERROR(MATCH(236,ChqRankU,0),0)))))</f>
        <v/>
      </c>
      <c r="I252">
        <f>IF(236&gt;NChq,"",INDEX(ChqNorm,236))</f>
        <v/>
      </c>
      <c r="J252">
        <f>IF($I252="","",IF(AND($I252&gt;=$H$3,$I252&lt;=$H$4,INDEX(ChqStatus,236)="پاس نشده"),1,0))</f>
        <v/>
      </c>
      <c r="K252">
        <f>IF($J252=0,"",INDEX(ChqKey,236))</f>
        <v/>
      </c>
      <c r="L252">
        <f>IF($K252="","",COUNTIFS($J$17:$J$516,1,$K$17:$K$516,"&lt;"&amp;$K252)+1)</f>
        <v/>
      </c>
    </row>
    <row r="253">
      <c r="A253" s="10">
        <f>IF(IFERROR(MATCH(237,ChqRankU,0),0)=0,"",237)</f>
        <v/>
      </c>
      <c r="B253" s="22">
        <f>IF(IFERROR(MATCH(237,ChqRankU,0),0)=0,"",INDEX(ChqNorm,IFERROR(MATCH(237,ChqRankU,0),0)))</f>
        <v/>
      </c>
      <c r="C253" s="22">
        <f>IF(IFERROR(MATCH(237,ChqRankU,0),0)=0,"",INDEX(ChqNo,IFERROR(MATCH(237,ChqRankU,0),0)))</f>
        <v/>
      </c>
      <c r="D253" s="23">
        <f>IF(IFERROR(MATCH(237,ChqRankU,0),0)=0,"",IF(INDEX(ChqAmt,IFERROR(MATCH(237,ChqRankU,0),0))=0,"",INDEX(ChqAmt,IFERROR(MATCH(237,ChqRankU,0),0))))</f>
        <v/>
      </c>
      <c r="E253" s="14">
        <f>IF(IFERROR(MATCH(237,ChqRankU,0),0)=0,"",INDEX(ChqStatus,IFERROR(MATCH(237,ChqRankU,0),0)))</f>
        <v/>
      </c>
      <c r="F253" s="22">
        <f>IF(IFERROR(MATCH(237,ChqRankU,0),0)=0,"",IF(INDEX(ChqStatus,IFERROR(MATCH(237,ChqRankU,0),0))="پاس نشده","—",IF(INDEX(ChqClr,IFERROR(MATCH(237,ChqRankU,0),0))="","—",INDEX(ChqClr,IFERROR(MATCH(237,ChqRankU,0),0)))))</f>
        <v/>
      </c>
      <c r="I253">
        <f>IF(237&gt;NChq,"",INDEX(ChqNorm,237))</f>
        <v/>
      </c>
      <c r="J253">
        <f>IF($I253="","",IF(AND($I253&gt;=$H$3,$I253&lt;=$H$4,INDEX(ChqStatus,237)="پاس نشده"),1,0))</f>
        <v/>
      </c>
      <c r="K253">
        <f>IF($J253=0,"",INDEX(ChqKey,237))</f>
        <v/>
      </c>
      <c r="L253">
        <f>IF($K253="","",COUNTIFS($J$17:$J$516,1,$K$17:$K$516,"&lt;"&amp;$K253)+1)</f>
        <v/>
      </c>
    </row>
    <row r="254">
      <c r="A254" s="16">
        <f>IF(IFERROR(MATCH(238,ChqRankU,0),0)=0,"",238)</f>
        <v/>
      </c>
      <c r="B254" s="24">
        <f>IF(IFERROR(MATCH(238,ChqRankU,0),0)=0,"",INDEX(ChqNorm,IFERROR(MATCH(238,ChqRankU,0),0)))</f>
        <v/>
      </c>
      <c r="C254" s="24">
        <f>IF(IFERROR(MATCH(238,ChqRankU,0),0)=0,"",INDEX(ChqNo,IFERROR(MATCH(238,ChqRankU,0),0)))</f>
        <v/>
      </c>
      <c r="D254" s="25">
        <f>IF(IFERROR(MATCH(238,ChqRankU,0),0)=0,"",IF(INDEX(ChqAmt,IFERROR(MATCH(238,ChqRankU,0),0))=0,"",INDEX(ChqAmt,IFERROR(MATCH(238,ChqRankU,0),0))))</f>
        <v/>
      </c>
      <c r="E254" s="17">
        <f>IF(IFERROR(MATCH(238,ChqRankU,0),0)=0,"",INDEX(ChqStatus,IFERROR(MATCH(238,ChqRankU,0),0)))</f>
        <v/>
      </c>
      <c r="F254" s="24">
        <f>IF(IFERROR(MATCH(238,ChqRankU,0),0)=0,"",IF(INDEX(ChqStatus,IFERROR(MATCH(238,ChqRankU,0),0))="پاس نشده","—",IF(INDEX(ChqClr,IFERROR(MATCH(238,ChqRankU,0),0))="","—",INDEX(ChqClr,IFERROR(MATCH(238,ChqRankU,0),0)))))</f>
        <v/>
      </c>
      <c r="I254">
        <f>IF(238&gt;NChq,"",INDEX(ChqNorm,238))</f>
        <v/>
      </c>
      <c r="J254">
        <f>IF($I254="","",IF(AND($I254&gt;=$H$3,$I254&lt;=$H$4,INDEX(ChqStatus,238)="پاس نشده"),1,0))</f>
        <v/>
      </c>
      <c r="K254">
        <f>IF($J254=0,"",INDEX(ChqKey,238))</f>
        <v/>
      </c>
      <c r="L254">
        <f>IF($K254="","",COUNTIFS($J$17:$J$516,1,$K$17:$K$516,"&lt;"&amp;$K254)+1)</f>
        <v/>
      </c>
    </row>
    <row r="255">
      <c r="A255" s="10">
        <f>IF(IFERROR(MATCH(239,ChqRankU,0),0)=0,"",239)</f>
        <v/>
      </c>
      <c r="B255" s="22">
        <f>IF(IFERROR(MATCH(239,ChqRankU,0),0)=0,"",INDEX(ChqNorm,IFERROR(MATCH(239,ChqRankU,0),0)))</f>
        <v/>
      </c>
      <c r="C255" s="22">
        <f>IF(IFERROR(MATCH(239,ChqRankU,0),0)=0,"",INDEX(ChqNo,IFERROR(MATCH(239,ChqRankU,0),0)))</f>
        <v/>
      </c>
      <c r="D255" s="23">
        <f>IF(IFERROR(MATCH(239,ChqRankU,0),0)=0,"",IF(INDEX(ChqAmt,IFERROR(MATCH(239,ChqRankU,0),0))=0,"",INDEX(ChqAmt,IFERROR(MATCH(239,ChqRankU,0),0))))</f>
        <v/>
      </c>
      <c r="E255" s="14">
        <f>IF(IFERROR(MATCH(239,ChqRankU,0),0)=0,"",INDEX(ChqStatus,IFERROR(MATCH(239,ChqRankU,0),0)))</f>
        <v/>
      </c>
      <c r="F255" s="22">
        <f>IF(IFERROR(MATCH(239,ChqRankU,0),0)=0,"",IF(INDEX(ChqStatus,IFERROR(MATCH(239,ChqRankU,0),0))="پاس نشده","—",IF(INDEX(ChqClr,IFERROR(MATCH(239,ChqRankU,0),0))="","—",INDEX(ChqClr,IFERROR(MATCH(239,ChqRankU,0),0)))))</f>
        <v/>
      </c>
      <c r="I255">
        <f>IF(239&gt;NChq,"",INDEX(ChqNorm,239))</f>
        <v/>
      </c>
      <c r="J255">
        <f>IF($I255="","",IF(AND($I255&gt;=$H$3,$I255&lt;=$H$4,INDEX(ChqStatus,239)="پاس نشده"),1,0))</f>
        <v/>
      </c>
      <c r="K255">
        <f>IF($J255=0,"",INDEX(ChqKey,239))</f>
        <v/>
      </c>
      <c r="L255">
        <f>IF($K255="","",COUNTIFS($J$17:$J$516,1,$K$17:$K$516,"&lt;"&amp;$K255)+1)</f>
        <v/>
      </c>
    </row>
    <row r="256">
      <c r="A256" s="16">
        <f>IF(IFERROR(MATCH(240,ChqRankU,0),0)=0,"",240)</f>
        <v/>
      </c>
      <c r="B256" s="24">
        <f>IF(IFERROR(MATCH(240,ChqRankU,0),0)=0,"",INDEX(ChqNorm,IFERROR(MATCH(240,ChqRankU,0),0)))</f>
        <v/>
      </c>
      <c r="C256" s="24">
        <f>IF(IFERROR(MATCH(240,ChqRankU,0),0)=0,"",INDEX(ChqNo,IFERROR(MATCH(240,ChqRankU,0),0)))</f>
        <v/>
      </c>
      <c r="D256" s="25">
        <f>IF(IFERROR(MATCH(240,ChqRankU,0),0)=0,"",IF(INDEX(ChqAmt,IFERROR(MATCH(240,ChqRankU,0),0))=0,"",INDEX(ChqAmt,IFERROR(MATCH(240,ChqRankU,0),0))))</f>
        <v/>
      </c>
      <c r="E256" s="17">
        <f>IF(IFERROR(MATCH(240,ChqRankU,0),0)=0,"",INDEX(ChqStatus,IFERROR(MATCH(240,ChqRankU,0),0)))</f>
        <v/>
      </c>
      <c r="F256" s="24">
        <f>IF(IFERROR(MATCH(240,ChqRankU,0),0)=0,"",IF(INDEX(ChqStatus,IFERROR(MATCH(240,ChqRankU,0),0))="پاس نشده","—",IF(INDEX(ChqClr,IFERROR(MATCH(240,ChqRankU,0),0))="","—",INDEX(ChqClr,IFERROR(MATCH(240,ChqRankU,0),0)))))</f>
        <v/>
      </c>
      <c r="I256">
        <f>IF(240&gt;NChq,"",INDEX(ChqNorm,240))</f>
        <v/>
      </c>
      <c r="J256">
        <f>IF($I256="","",IF(AND($I256&gt;=$H$3,$I256&lt;=$H$4,INDEX(ChqStatus,240)="پاس نشده"),1,0))</f>
        <v/>
      </c>
      <c r="K256">
        <f>IF($J256=0,"",INDEX(ChqKey,240))</f>
        <v/>
      </c>
      <c r="L256">
        <f>IF($K256="","",COUNTIFS($J$17:$J$516,1,$K$17:$K$516,"&lt;"&amp;$K256)+1)</f>
        <v/>
      </c>
    </row>
    <row r="257">
      <c r="A257" s="10">
        <f>IF(IFERROR(MATCH(241,ChqRankU,0),0)=0,"",241)</f>
        <v/>
      </c>
      <c r="B257" s="22">
        <f>IF(IFERROR(MATCH(241,ChqRankU,0),0)=0,"",INDEX(ChqNorm,IFERROR(MATCH(241,ChqRankU,0),0)))</f>
        <v/>
      </c>
      <c r="C257" s="22">
        <f>IF(IFERROR(MATCH(241,ChqRankU,0),0)=0,"",INDEX(ChqNo,IFERROR(MATCH(241,ChqRankU,0),0)))</f>
        <v/>
      </c>
      <c r="D257" s="23">
        <f>IF(IFERROR(MATCH(241,ChqRankU,0),0)=0,"",IF(INDEX(ChqAmt,IFERROR(MATCH(241,ChqRankU,0),0))=0,"",INDEX(ChqAmt,IFERROR(MATCH(241,ChqRankU,0),0))))</f>
        <v/>
      </c>
      <c r="E257" s="14">
        <f>IF(IFERROR(MATCH(241,ChqRankU,0),0)=0,"",INDEX(ChqStatus,IFERROR(MATCH(241,ChqRankU,0),0)))</f>
        <v/>
      </c>
      <c r="F257" s="22">
        <f>IF(IFERROR(MATCH(241,ChqRankU,0),0)=0,"",IF(INDEX(ChqStatus,IFERROR(MATCH(241,ChqRankU,0),0))="پاس نشده","—",IF(INDEX(ChqClr,IFERROR(MATCH(241,ChqRankU,0),0))="","—",INDEX(ChqClr,IFERROR(MATCH(241,ChqRankU,0),0)))))</f>
        <v/>
      </c>
      <c r="I257">
        <f>IF(241&gt;NChq,"",INDEX(ChqNorm,241))</f>
        <v/>
      </c>
      <c r="J257">
        <f>IF($I257="","",IF(AND($I257&gt;=$H$3,$I257&lt;=$H$4,INDEX(ChqStatus,241)="پاس نشده"),1,0))</f>
        <v/>
      </c>
      <c r="K257">
        <f>IF($J257=0,"",INDEX(ChqKey,241))</f>
        <v/>
      </c>
      <c r="L257">
        <f>IF($K257="","",COUNTIFS($J$17:$J$516,1,$K$17:$K$516,"&lt;"&amp;$K257)+1)</f>
        <v/>
      </c>
    </row>
    <row r="258">
      <c r="A258" s="16">
        <f>IF(IFERROR(MATCH(242,ChqRankU,0),0)=0,"",242)</f>
        <v/>
      </c>
      <c r="B258" s="24">
        <f>IF(IFERROR(MATCH(242,ChqRankU,0),0)=0,"",INDEX(ChqNorm,IFERROR(MATCH(242,ChqRankU,0),0)))</f>
        <v/>
      </c>
      <c r="C258" s="24">
        <f>IF(IFERROR(MATCH(242,ChqRankU,0),0)=0,"",INDEX(ChqNo,IFERROR(MATCH(242,ChqRankU,0),0)))</f>
        <v/>
      </c>
      <c r="D258" s="25">
        <f>IF(IFERROR(MATCH(242,ChqRankU,0),0)=0,"",IF(INDEX(ChqAmt,IFERROR(MATCH(242,ChqRankU,0),0))=0,"",INDEX(ChqAmt,IFERROR(MATCH(242,ChqRankU,0),0))))</f>
        <v/>
      </c>
      <c r="E258" s="17">
        <f>IF(IFERROR(MATCH(242,ChqRankU,0),0)=0,"",INDEX(ChqStatus,IFERROR(MATCH(242,ChqRankU,0),0)))</f>
        <v/>
      </c>
      <c r="F258" s="24">
        <f>IF(IFERROR(MATCH(242,ChqRankU,0),0)=0,"",IF(INDEX(ChqStatus,IFERROR(MATCH(242,ChqRankU,0),0))="پاس نشده","—",IF(INDEX(ChqClr,IFERROR(MATCH(242,ChqRankU,0),0))="","—",INDEX(ChqClr,IFERROR(MATCH(242,ChqRankU,0),0)))))</f>
        <v/>
      </c>
      <c r="I258">
        <f>IF(242&gt;NChq,"",INDEX(ChqNorm,242))</f>
        <v/>
      </c>
      <c r="J258">
        <f>IF($I258="","",IF(AND($I258&gt;=$H$3,$I258&lt;=$H$4,INDEX(ChqStatus,242)="پاس نشده"),1,0))</f>
        <v/>
      </c>
      <c r="K258">
        <f>IF($J258=0,"",INDEX(ChqKey,242))</f>
        <v/>
      </c>
      <c r="L258">
        <f>IF($K258="","",COUNTIFS($J$17:$J$516,1,$K$17:$K$516,"&lt;"&amp;$K258)+1)</f>
        <v/>
      </c>
    </row>
    <row r="259">
      <c r="A259" s="10">
        <f>IF(IFERROR(MATCH(243,ChqRankU,0),0)=0,"",243)</f>
        <v/>
      </c>
      <c r="B259" s="22">
        <f>IF(IFERROR(MATCH(243,ChqRankU,0),0)=0,"",INDEX(ChqNorm,IFERROR(MATCH(243,ChqRankU,0),0)))</f>
        <v/>
      </c>
      <c r="C259" s="22">
        <f>IF(IFERROR(MATCH(243,ChqRankU,0),0)=0,"",INDEX(ChqNo,IFERROR(MATCH(243,ChqRankU,0),0)))</f>
        <v/>
      </c>
      <c r="D259" s="23">
        <f>IF(IFERROR(MATCH(243,ChqRankU,0),0)=0,"",IF(INDEX(ChqAmt,IFERROR(MATCH(243,ChqRankU,0),0))=0,"",INDEX(ChqAmt,IFERROR(MATCH(243,ChqRankU,0),0))))</f>
        <v/>
      </c>
      <c r="E259" s="14">
        <f>IF(IFERROR(MATCH(243,ChqRankU,0),0)=0,"",INDEX(ChqStatus,IFERROR(MATCH(243,ChqRankU,0),0)))</f>
        <v/>
      </c>
      <c r="F259" s="22">
        <f>IF(IFERROR(MATCH(243,ChqRankU,0),0)=0,"",IF(INDEX(ChqStatus,IFERROR(MATCH(243,ChqRankU,0),0))="پاس نشده","—",IF(INDEX(ChqClr,IFERROR(MATCH(243,ChqRankU,0),0))="","—",INDEX(ChqClr,IFERROR(MATCH(243,ChqRankU,0),0)))))</f>
        <v/>
      </c>
      <c r="I259">
        <f>IF(243&gt;NChq,"",INDEX(ChqNorm,243))</f>
        <v/>
      </c>
      <c r="J259">
        <f>IF($I259="","",IF(AND($I259&gt;=$H$3,$I259&lt;=$H$4,INDEX(ChqStatus,243)="پاس نشده"),1,0))</f>
        <v/>
      </c>
      <c r="K259">
        <f>IF($J259=0,"",INDEX(ChqKey,243))</f>
        <v/>
      </c>
      <c r="L259">
        <f>IF($K259="","",COUNTIFS($J$17:$J$516,1,$K$17:$K$516,"&lt;"&amp;$K259)+1)</f>
        <v/>
      </c>
    </row>
    <row r="260">
      <c r="A260" s="16">
        <f>IF(IFERROR(MATCH(244,ChqRankU,0),0)=0,"",244)</f>
        <v/>
      </c>
      <c r="B260" s="24">
        <f>IF(IFERROR(MATCH(244,ChqRankU,0),0)=0,"",INDEX(ChqNorm,IFERROR(MATCH(244,ChqRankU,0),0)))</f>
        <v/>
      </c>
      <c r="C260" s="24">
        <f>IF(IFERROR(MATCH(244,ChqRankU,0),0)=0,"",INDEX(ChqNo,IFERROR(MATCH(244,ChqRankU,0),0)))</f>
        <v/>
      </c>
      <c r="D260" s="25">
        <f>IF(IFERROR(MATCH(244,ChqRankU,0),0)=0,"",IF(INDEX(ChqAmt,IFERROR(MATCH(244,ChqRankU,0),0))=0,"",INDEX(ChqAmt,IFERROR(MATCH(244,ChqRankU,0),0))))</f>
        <v/>
      </c>
      <c r="E260" s="17">
        <f>IF(IFERROR(MATCH(244,ChqRankU,0),0)=0,"",INDEX(ChqStatus,IFERROR(MATCH(244,ChqRankU,0),0)))</f>
        <v/>
      </c>
      <c r="F260" s="24">
        <f>IF(IFERROR(MATCH(244,ChqRankU,0),0)=0,"",IF(INDEX(ChqStatus,IFERROR(MATCH(244,ChqRankU,0),0))="پاس نشده","—",IF(INDEX(ChqClr,IFERROR(MATCH(244,ChqRankU,0),0))="","—",INDEX(ChqClr,IFERROR(MATCH(244,ChqRankU,0),0)))))</f>
        <v/>
      </c>
      <c r="I260">
        <f>IF(244&gt;NChq,"",INDEX(ChqNorm,244))</f>
        <v/>
      </c>
      <c r="J260">
        <f>IF($I260="","",IF(AND($I260&gt;=$H$3,$I260&lt;=$H$4,INDEX(ChqStatus,244)="پاس نشده"),1,0))</f>
        <v/>
      </c>
      <c r="K260">
        <f>IF($J260=0,"",INDEX(ChqKey,244))</f>
        <v/>
      </c>
      <c r="L260">
        <f>IF($K260="","",COUNTIFS($J$17:$J$516,1,$K$17:$K$516,"&lt;"&amp;$K260)+1)</f>
        <v/>
      </c>
    </row>
    <row r="261">
      <c r="A261" s="10">
        <f>IF(IFERROR(MATCH(245,ChqRankU,0),0)=0,"",245)</f>
        <v/>
      </c>
      <c r="B261" s="22">
        <f>IF(IFERROR(MATCH(245,ChqRankU,0),0)=0,"",INDEX(ChqNorm,IFERROR(MATCH(245,ChqRankU,0),0)))</f>
        <v/>
      </c>
      <c r="C261" s="22">
        <f>IF(IFERROR(MATCH(245,ChqRankU,0),0)=0,"",INDEX(ChqNo,IFERROR(MATCH(245,ChqRankU,0),0)))</f>
        <v/>
      </c>
      <c r="D261" s="23">
        <f>IF(IFERROR(MATCH(245,ChqRankU,0),0)=0,"",IF(INDEX(ChqAmt,IFERROR(MATCH(245,ChqRankU,0),0))=0,"",INDEX(ChqAmt,IFERROR(MATCH(245,ChqRankU,0),0))))</f>
        <v/>
      </c>
      <c r="E261" s="14">
        <f>IF(IFERROR(MATCH(245,ChqRankU,0),0)=0,"",INDEX(ChqStatus,IFERROR(MATCH(245,ChqRankU,0),0)))</f>
        <v/>
      </c>
      <c r="F261" s="22">
        <f>IF(IFERROR(MATCH(245,ChqRankU,0),0)=0,"",IF(INDEX(ChqStatus,IFERROR(MATCH(245,ChqRankU,0),0))="پاس نشده","—",IF(INDEX(ChqClr,IFERROR(MATCH(245,ChqRankU,0),0))="","—",INDEX(ChqClr,IFERROR(MATCH(245,ChqRankU,0),0)))))</f>
        <v/>
      </c>
      <c r="I261">
        <f>IF(245&gt;NChq,"",INDEX(ChqNorm,245))</f>
        <v/>
      </c>
      <c r="J261">
        <f>IF($I261="","",IF(AND($I261&gt;=$H$3,$I261&lt;=$H$4,INDEX(ChqStatus,245)="پاس نشده"),1,0))</f>
        <v/>
      </c>
      <c r="K261">
        <f>IF($J261=0,"",INDEX(ChqKey,245))</f>
        <v/>
      </c>
      <c r="L261">
        <f>IF($K261="","",COUNTIFS($J$17:$J$516,1,$K$17:$K$516,"&lt;"&amp;$K261)+1)</f>
        <v/>
      </c>
    </row>
    <row r="262">
      <c r="A262" s="16">
        <f>IF(IFERROR(MATCH(246,ChqRankU,0),0)=0,"",246)</f>
        <v/>
      </c>
      <c r="B262" s="24">
        <f>IF(IFERROR(MATCH(246,ChqRankU,0),0)=0,"",INDEX(ChqNorm,IFERROR(MATCH(246,ChqRankU,0),0)))</f>
        <v/>
      </c>
      <c r="C262" s="24">
        <f>IF(IFERROR(MATCH(246,ChqRankU,0),0)=0,"",INDEX(ChqNo,IFERROR(MATCH(246,ChqRankU,0),0)))</f>
        <v/>
      </c>
      <c r="D262" s="25">
        <f>IF(IFERROR(MATCH(246,ChqRankU,0),0)=0,"",IF(INDEX(ChqAmt,IFERROR(MATCH(246,ChqRankU,0),0))=0,"",INDEX(ChqAmt,IFERROR(MATCH(246,ChqRankU,0),0))))</f>
        <v/>
      </c>
      <c r="E262" s="17">
        <f>IF(IFERROR(MATCH(246,ChqRankU,0),0)=0,"",INDEX(ChqStatus,IFERROR(MATCH(246,ChqRankU,0),0)))</f>
        <v/>
      </c>
      <c r="F262" s="24">
        <f>IF(IFERROR(MATCH(246,ChqRankU,0),0)=0,"",IF(INDEX(ChqStatus,IFERROR(MATCH(246,ChqRankU,0),0))="پاس نشده","—",IF(INDEX(ChqClr,IFERROR(MATCH(246,ChqRankU,0),0))="","—",INDEX(ChqClr,IFERROR(MATCH(246,ChqRankU,0),0)))))</f>
        <v/>
      </c>
      <c r="I262">
        <f>IF(246&gt;NChq,"",INDEX(ChqNorm,246))</f>
        <v/>
      </c>
      <c r="J262">
        <f>IF($I262="","",IF(AND($I262&gt;=$H$3,$I262&lt;=$H$4,INDEX(ChqStatus,246)="پاس نشده"),1,0))</f>
        <v/>
      </c>
      <c r="K262">
        <f>IF($J262=0,"",INDEX(ChqKey,246))</f>
        <v/>
      </c>
      <c r="L262">
        <f>IF($K262="","",COUNTIFS($J$17:$J$516,1,$K$17:$K$516,"&lt;"&amp;$K262)+1)</f>
        <v/>
      </c>
    </row>
    <row r="263">
      <c r="A263" s="10">
        <f>IF(IFERROR(MATCH(247,ChqRankU,0),0)=0,"",247)</f>
        <v/>
      </c>
      <c r="B263" s="22">
        <f>IF(IFERROR(MATCH(247,ChqRankU,0),0)=0,"",INDEX(ChqNorm,IFERROR(MATCH(247,ChqRankU,0),0)))</f>
        <v/>
      </c>
      <c r="C263" s="22">
        <f>IF(IFERROR(MATCH(247,ChqRankU,0),0)=0,"",INDEX(ChqNo,IFERROR(MATCH(247,ChqRankU,0),0)))</f>
        <v/>
      </c>
      <c r="D263" s="23">
        <f>IF(IFERROR(MATCH(247,ChqRankU,0),0)=0,"",IF(INDEX(ChqAmt,IFERROR(MATCH(247,ChqRankU,0),0))=0,"",INDEX(ChqAmt,IFERROR(MATCH(247,ChqRankU,0),0))))</f>
        <v/>
      </c>
      <c r="E263" s="14">
        <f>IF(IFERROR(MATCH(247,ChqRankU,0),0)=0,"",INDEX(ChqStatus,IFERROR(MATCH(247,ChqRankU,0),0)))</f>
        <v/>
      </c>
      <c r="F263" s="22">
        <f>IF(IFERROR(MATCH(247,ChqRankU,0),0)=0,"",IF(INDEX(ChqStatus,IFERROR(MATCH(247,ChqRankU,0),0))="پاس نشده","—",IF(INDEX(ChqClr,IFERROR(MATCH(247,ChqRankU,0),0))="","—",INDEX(ChqClr,IFERROR(MATCH(247,ChqRankU,0),0)))))</f>
        <v/>
      </c>
      <c r="I263">
        <f>IF(247&gt;NChq,"",INDEX(ChqNorm,247))</f>
        <v/>
      </c>
      <c r="J263">
        <f>IF($I263="","",IF(AND($I263&gt;=$H$3,$I263&lt;=$H$4,INDEX(ChqStatus,247)="پاس نشده"),1,0))</f>
        <v/>
      </c>
      <c r="K263">
        <f>IF($J263=0,"",INDEX(ChqKey,247))</f>
        <v/>
      </c>
      <c r="L263">
        <f>IF($K263="","",COUNTIFS($J$17:$J$516,1,$K$17:$K$516,"&lt;"&amp;$K263)+1)</f>
        <v/>
      </c>
    </row>
    <row r="264">
      <c r="A264" s="16">
        <f>IF(IFERROR(MATCH(248,ChqRankU,0),0)=0,"",248)</f>
        <v/>
      </c>
      <c r="B264" s="24">
        <f>IF(IFERROR(MATCH(248,ChqRankU,0),0)=0,"",INDEX(ChqNorm,IFERROR(MATCH(248,ChqRankU,0),0)))</f>
        <v/>
      </c>
      <c r="C264" s="24">
        <f>IF(IFERROR(MATCH(248,ChqRankU,0),0)=0,"",INDEX(ChqNo,IFERROR(MATCH(248,ChqRankU,0),0)))</f>
        <v/>
      </c>
      <c r="D264" s="25">
        <f>IF(IFERROR(MATCH(248,ChqRankU,0),0)=0,"",IF(INDEX(ChqAmt,IFERROR(MATCH(248,ChqRankU,0),0))=0,"",INDEX(ChqAmt,IFERROR(MATCH(248,ChqRankU,0),0))))</f>
        <v/>
      </c>
      <c r="E264" s="17">
        <f>IF(IFERROR(MATCH(248,ChqRankU,0),0)=0,"",INDEX(ChqStatus,IFERROR(MATCH(248,ChqRankU,0),0)))</f>
        <v/>
      </c>
      <c r="F264" s="24">
        <f>IF(IFERROR(MATCH(248,ChqRankU,0),0)=0,"",IF(INDEX(ChqStatus,IFERROR(MATCH(248,ChqRankU,0),0))="پاس نشده","—",IF(INDEX(ChqClr,IFERROR(MATCH(248,ChqRankU,0),0))="","—",INDEX(ChqClr,IFERROR(MATCH(248,ChqRankU,0),0)))))</f>
        <v/>
      </c>
      <c r="I264">
        <f>IF(248&gt;NChq,"",INDEX(ChqNorm,248))</f>
        <v/>
      </c>
      <c r="J264">
        <f>IF($I264="","",IF(AND($I264&gt;=$H$3,$I264&lt;=$H$4,INDEX(ChqStatus,248)="پاس نشده"),1,0))</f>
        <v/>
      </c>
      <c r="K264">
        <f>IF($J264=0,"",INDEX(ChqKey,248))</f>
        <v/>
      </c>
      <c r="L264">
        <f>IF($K264="","",COUNTIFS($J$17:$J$516,1,$K$17:$K$516,"&lt;"&amp;$K264)+1)</f>
        <v/>
      </c>
    </row>
    <row r="265">
      <c r="A265" s="10">
        <f>IF(IFERROR(MATCH(249,ChqRankU,0),0)=0,"",249)</f>
        <v/>
      </c>
      <c r="B265" s="22">
        <f>IF(IFERROR(MATCH(249,ChqRankU,0),0)=0,"",INDEX(ChqNorm,IFERROR(MATCH(249,ChqRankU,0),0)))</f>
        <v/>
      </c>
      <c r="C265" s="22">
        <f>IF(IFERROR(MATCH(249,ChqRankU,0),0)=0,"",INDEX(ChqNo,IFERROR(MATCH(249,ChqRankU,0),0)))</f>
        <v/>
      </c>
      <c r="D265" s="23">
        <f>IF(IFERROR(MATCH(249,ChqRankU,0),0)=0,"",IF(INDEX(ChqAmt,IFERROR(MATCH(249,ChqRankU,0),0))=0,"",INDEX(ChqAmt,IFERROR(MATCH(249,ChqRankU,0),0))))</f>
        <v/>
      </c>
      <c r="E265" s="14">
        <f>IF(IFERROR(MATCH(249,ChqRankU,0),0)=0,"",INDEX(ChqStatus,IFERROR(MATCH(249,ChqRankU,0),0)))</f>
        <v/>
      </c>
      <c r="F265" s="22">
        <f>IF(IFERROR(MATCH(249,ChqRankU,0),0)=0,"",IF(INDEX(ChqStatus,IFERROR(MATCH(249,ChqRankU,0),0))="پاس نشده","—",IF(INDEX(ChqClr,IFERROR(MATCH(249,ChqRankU,0),0))="","—",INDEX(ChqClr,IFERROR(MATCH(249,ChqRankU,0),0)))))</f>
        <v/>
      </c>
      <c r="I265">
        <f>IF(249&gt;NChq,"",INDEX(ChqNorm,249))</f>
        <v/>
      </c>
      <c r="J265">
        <f>IF($I265="","",IF(AND($I265&gt;=$H$3,$I265&lt;=$H$4,INDEX(ChqStatus,249)="پاس نشده"),1,0))</f>
        <v/>
      </c>
      <c r="K265">
        <f>IF($J265=0,"",INDEX(ChqKey,249))</f>
        <v/>
      </c>
      <c r="L265">
        <f>IF($K265="","",COUNTIFS($J$17:$J$516,1,$K$17:$K$516,"&lt;"&amp;$K265)+1)</f>
        <v/>
      </c>
    </row>
    <row r="266">
      <c r="A266" s="16">
        <f>IF(IFERROR(MATCH(250,ChqRankU,0),0)=0,"",250)</f>
        <v/>
      </c>
      <c r="B266" s="24">
        <f>IF(IFERROR(MATCH(250,ChqRankU,0),0)=0,"",INDEX(ChqNorm,IFERROR(MATCH(250,ChqRankU,0),0)))</f>
        <v/>
      </c>
      <c r="C266" s="24">
        <f>IF(IFERROR(MATCH(250,ChqRankU,0),0)=0,"",INDEX(ChqNo,IFERROR(MATCH(250,ChqRankU,0),0)))</f>
        <v/>
      </c>
      <c r="D266" s="25">
        <f>IF(IFERROR(MATCH(250,ChqRankU,0),0)=0,"",IF(INDEX(ChqAmt,IFERROR(MATCH(250,ChqRankU,0),0))=0,"",INDEX(ChqAmt,IFERROR(MATCH(250,ChqRankU,0),0))))</f>
        <v/>
      </c>
      <c r="E266" s="17">
        <f>IF(IFERROR(MATCH(250,ChqRankU,0),0)=0,"",INDEX(ChqStatus,IFERROR(MATCH(250,ChqRankU,0),0)))</f>
        <v/>
      </c>
      <c r="F266" s="24">
        <f>IF(IFERROR(MATCH(250,ChqRankU,0),0)=0,"",IF(INDEX(ChqStatus,IFERROR(MATCH(250,ChqRankU,0),0))="پاس نشده","—",IF(INDEX(ChqClr,IFERROR(MATCH(250,ChqRankU,0),0))="","—",INDEX(ChqClr,IFERROR(MATCH(250,ChqRankU,0),0)))))</f>
        <v/>
      </c>
      <c r="I266">
        <f>IF(250&gt;NChq,"",INDEX(ChqNorm,250))</f>
        <v/>
      </c>
      <c r="J266">
        <f>IF($I266="","",IF(AND($I266&gt;=$H$3,$I266&lt;=$H$4,INDEX(ChqStatus,250)="پاس نشده"),1,0))</f>
        <v/>
      </c>
      <c r="K266">
        <f>IF($J266=0,"",INDEX(ChqKey,250))</f>
        <v/>
      </c>
      <c r="L266">
        <f>IF($K266="","",COUNTIFS($J$17:$J$516,1,$K$17:$K$516,"&lt;"&amp;$K266)+1)</f>
        <v/>
      </c>
    </row>
    <row r="267">
      <c r="A267" s="10">
        <f>IF(IFERROR(MATCH(251,ChqRankU,0),0)=0,"",251)</f>
        <v/>
      </c>
      <c r="B267" s="22">
        <f>IF(IFERROR(MATCH(251,ChqRankU,0),0)=0,"",INDEX(ChqNorm,IFERROR(MATCH(251,ChqRankU,0),0)))</f>
        <v/>
      </c>
      <c r="C267" s="22">
        <f>IF(IFERROR(MATCH(251,ChqRankU,0),0)=0,"",INDEX(ChqNo,IFERROR(MATCH(251,ChqRankU,0),0)))</f>
        <v/>
      </c>
      <c r="D267" s="23">
        <f>IF(IFERROR(MATCH(251,ChqRankU,0),0)=0,"",IF(INDEX(ChqAmt,IFERROR(MATCH(251,ChqRankU,0),0))=0,"",INDEX(ChqAmt,IFERROR(MATCH(251,ChqRankU,0),0))))</f>
        <v/>
      </c>
      <c r="E267" s="14">
        <f>IF(IFERROR(MATCH(251,ChqRankU,0),0)=0,"",INDEX(ChqStatus,IFERROR(MATCH(251,ChqRankU,0),0)))</f>
        <v/>
      </c>
      <c r="F267" s="22">
        <f>IF(IFERROR(MATCH(251,ChqRankU,0),0)=0,"",IF(INDEX(ChqStatus,IFERROR(MATCH(251,ChqRankU,0),0))="پاس نشده","—",IF(INDEX(ChqClr,IFERROR(MATCH(251,ChqRankU,0),0))="","—",INDEX(ChqClr,IFERROR(MATCH(251,ChqRankU,0),0)))))</f>
        <v/>
      </c>
      <c r="I267">
        <f>IF(251&gt;NChq,"",INDEX(ChqNorm,251))</f>
        <v/>
      </c>
      <c r="J267">
        <f>IF($I267="","",IF(AND($I267&gt;=$H$3,$I267&lt;=$H$4,INDEX(ChqStatus,251)="پاس نشده"),1,0))</f>
        <v/>
      </c>
      <c r="K267">
        <f>IF($J267=0,"",INDEX(ChqKey,251))</f>
        <v/>
      </c>
      <c r="L267">
        <f>IF($K267="","",COUNTIFS($J$17:$J$516,1,$K$17:$K$516,"&lt;"&amp;$K267)+1)</f>
        <v/>
      </c>
    </row>
    <row r="268">
      <c r="A268" s="16">
        <f>IF(IFERROR(MATCH(252,ChqRankU,0),0)=0,"",252)</f>
        <v/>
      </c>
      <c r="B268" s="24">
        <f>IF(IFERROR(MATCH(252,ChqRankU,0),0)=0,"",INDEX(ChqNorm,IFERROR(MATCH(252,ChqRankU,0),0)))</f>
        <v/>
      </c>
      <c r="C268" s="24">
        <f>IF(IFERROR(MATCH(252,ChqRankU,0),0)=0,"",INDEX(ChqNo,IFERROR(MATCH(252,ChqRankU,0),0)))</f>
        <v/>
      </c>
      <c r="D268" s="25">
        <f>IF(IFERROR(MATCH(252,ChqRankU,0),0)=0,"",IF(INDEX(ChqAmt,IFERROR(MATCH(252,ChqRankU,0),0))=0,"",INDEX(ChqAmt,IFERROR(MATCH(252,ChqRankU,0),0))))</f>
        <v/>
      </c>
      <c r="E268" s="17">
        <f>IF(IFERROR(MATCH(252,ChqRankU,0),0)=0,"",INDEX(ChqStatus,IFERROR(MATCH(252,ChqRankU,0),0)))</f>
        <v/>
      </c>
      <c r="F268" s="24">
        <f>IF(IFERROR(MATCH(252,ChqRankU,0),0)=0,"",IF(INDEX(ChqStatus,IFERROR(MATCH(252,ChqRankU,0),0))="پاس نشده","—",IF(INDEX(ChqClr,IFERROR(MATCH(252,ChqRankU,0),0))="","—",INDEX(ChqClr,IFERROR(MATCH(252,ChqRankU,0),0)))))</f>
        <v/>
      </c>
      <c r="I268">
        <f>IF(252&gt;NChq,"",INDEX(ChqNorm,252))</f>
        <v/>
      </c>
      <c r="J268">
        <f>IF($I268="","",IF(AND($I268&gt;=$H$3,$I268&lt;=$H$4,INDEX(ChqStatus,252)="پاس نشده"),1,0))</f>
        <v/>
      </c>
      <c r="K268">
        <f>IF($J268=0,"",INDEX(ChqKey,252))</f>
        <v/>
      </c>
      <c r="L268">
        <f>IF($K268="","",COUNTIFS($J$17:$J$516,1,$K$17:$K$516,"&lt;"&amp;$K268)+1)</f>
        <v/>
      </c>
    </row>
    <row r="269">
      <c r="A269" s="10">
        <f>IF(IFERROR(MATCH(253,ChqRankU,0),0)=0,"",253)</f>
        <v/>
      </c>
      <c r="B269" s="22">
        <f>IF(IFERROR(MATCH(253,ChqRankU,0),0)=0,"",INDEX(ChqNorm,IFERROR(MATCH(253,ChqRankU,0),0)))</f>
        <v/>
      </c>
      <c r="C269" s="22">
        <f>IF(IFERROR(MATCH(253,ChqRankU,0),0)=0,"",INDEX(ChqNo,IFERROR(MATCH(253,ChqRankU,0),0)))</f>
        <v/>
      </c>
      <c r="D269" s="23">
        <f>IF(IFERROR(MATCH(253,ChqRankU,0),0)=0,"",IF(INDEX(ChqAmt,IFERROR(MATCH(253,ChqRankU,0),0))=0,"",INDEX(ChqAmt,IFERROR(MATCH(253,ChqRankU,0),0))))</f>
        <v/>
      </c>
      <c r="E269" s="14">
        <f>IF(IFERROR(MATCH(253,ChqRankU,0),0)=0,"",INDEX(ChqStatus,IFERROR(MATCH(253,ChqRankU,0),0)))</f>
        <v/>
      </c>
      <c r="F269" s="22">
        <f>IF(IFERROR(MATCH(253,ChqRankU,0),0)=0,"",IF(INDEX(ChqStatus,IFERROR(MATCH(253,ChqRankU,0),0))="پاس نشده","—",IF(INDEX(ChqClr,IFERROR(MATCH(253,ChqRankU,0),0))="","—",INDEX(ChqClr,IFERROR(MATCH(253,ChqRankU,0),0)))))</f>
        <v/>
      </c>
      <c r="I269">
        <f>IF(253&gt;NChq,"",INDEX(ChqNorm,253))</f>
        <v/>
      </c>
      <c r="J269">
        <f>IF($I269="","",IF(AND($I269&gt;=$H$3,$I269&lt;=$H$4,INDEX(ChqStatus,253)="پاس نشده"),1,0))</f>
        <v/>
      </c>
      <c r="K269">
        <f>IF($J269=0,"",INDEX(ChqKey,253))</f>
        <v/>
      </c>
      <c r="L269">
        <f>IF($K269="","",COUNTIFS($J$17:$J$516,1,$K$17:$K$516,"&lt;"&amp;$K269)+1)</f>
        <v/>
      </c>
    </row>
    <row r="270">
      <c r="A270" s="16">
        <f>IF(IFERROR(MATCH(254,ChqRankU,0),0)=0,"",254)</f>
        <v/>
      </c>
      <c r="B270" s="24">
        <f>IF(IFERROR(MATCH(254,ChqRankU,0),0)=0,"",INDEX(ChqNorm,IFERROR(MATCH(254,ChqRankU,0),0)))</f>
        <v/>
      </c>
      <c r="C270" s="24">
        <f>IF(IFERROR(MATCH(254,ChqRankU,0),0)=0,"",INDEX(ChqNo,IFERROR(MATCH(254,ChqRankU,0),0)))</f>
        <v/>
      </c>
      <c r="D270" s="25">
        <f>IF(IFERROR(MATCH(254,ChqRankU,0),0)=0,"",IF(INDEX(ChqAmt,IFERROR(MATCH(254,ChqRankU,0),0))=0,"",INDEX(ChqAmt,IFERROR(MATCH(254,ChqRankU,0),0))))</f>
        <v/>
      </c>
      <c r="E270" s="17">
        <f>IF(IFERROR(MATCH(254,ChqRankU,0),0)=0,"",INDEX(ChqStatus,IFERROR(MATCH(254,ChqRankU,0),0)))</f>
        <v/>
      </c>
      <c r="F270" s="24">
        <f>IF(IFERROR(MATCH(254,ChqRankU,0),0)=0,"",IF(INDEX(ChqStatus,IFERROR(MATCH(254,ChqRankU,0),0))="پاس نشده","—",IF(INDEX(ChqClr,IFERROR(MATCH(254,ChqRankU,0),0))="","—",INDEX(ChqClr,IFERROR(MATCH(254,ChqRankU,0),0)))))</f>
        <v/>
      </c>
      <c r="I270">
        <f>IF(254&gt;NChq,"",INDEX(ChqNorm,254))</f>
        <v/>
      </c>
      <c r="J270">
        <f>IF($I270="","",IF(AND($I270&gt;=$H$3,$I270&lt;=$H$4,INDEX(ChqStatus,254)="پاس نشده"),1,0))</f>
        <v/>
      </c>
      <c r="K270">
        <f>IF($J270=0,"",INDEX(ChqKey,254))</f>
        <v/>
      </c>
      <c r="L270">
        <f>IF($K270="","",COUNTIFS($J$17:$J$516,1,$K$17:$K$516,"&lt;"&amp;$K270)+1)</f>
        <v/>
      </c>
    </row>
    <row r="271">
      <c r="A271" s="10">
        <f>IF(IFERROR(MATCH(255,ChqRankU,0),0)=0,"",255)</f>
        <v/>
      </c>
      <c r="B271" s="22">
        <f>IF(IFERROR(MATCH(255,ChqRankU,0),0)=0,"",INDEX(ChqNorm,IFERROR(MATCH(255,ChqRankU,0),0)))</f>
        <v/>
      </c>
      <c r="C271" s="22">
        <f>IF(IFERROR(MATCH(255,ChqRankU,0),0)=0,"",INDEX(ChqNo,IFERROR(MATCH(255,ChqRankU,0),0)))</f>
        <v/>
      </c>
      <c r="D271" s="23">
        <f>IF(IFERROR(MATCH(255,ChqRankU,0),0)=0,"",IF(INDEX(ChqAmt,IFERROR(MATCH(255,ChqRankU,0),0))=0,"",INDEX(ChqAmt,IFERROR(MATCH(255,ChqRankU,0),0))))</f>
        <v/>
      </c>
      <c r="E271" s="14">
        <f>IF(IFERROR(MATCH(255,ChqRankU,0),0)=0,"",INDEX(ChqStatus,IFERROR(MATCH(255,ChqRankU,0),0)))</f>
        <v/>
      </c>
      <c r="F271" s="22">
        <f>IF(IFERROR(MATCH(255,ChqRankU,0),0)=0,"",IF(INDEX(ChqStatus,IFERROR(MATCH(255,ChqRankU,0),0))="پاس نشده","—",IF(INDEX(ChqClr,IFERROR(MATCH(255,ChqRankU,0),0))="","—",INDEX(ChqClr,IFERROR(MATCH(255,ChqRankU,0),0)))))</f>
        <v/>
      </c>
      <c r="I271">
        <f>IF(255&gt;NChq,"",INDEX(ChqNorm,255))</f>
        <v/>
      </c>
      <c r="J271">
        <f>IF($I271="","",IF(AND($I271&gt;=$H$3,$I271&lt;=$H$4,INDEX(ChqStatus,255)="پاس نشده"),1,0))</f>
        <v/>
      </c>
      <c r="K271">
        <f>IF($J271=0,"",INDEX(ChqKey,255))</f>
        <v/>
      </c>
      <c r="L271">
        <f>IF($K271="","",COUNTIFS($J$17:$J$516,1,$K$17:$K$516,"&lt;"&amp;$K271)+1)</f>
        <v/>
      </c>
    </row>
    <row r="272">
      <c r="A272" s="16">
        <f>IF(IFERROR(MATCH(256,ChqRankU,0),0)=0,"",256)</f>
        <v/>
      </c>
      <c r="B272" s="24">
        <f>IF(IFERROR(MATCH(256,ChqRankU,0),0)=0,"",INDEX(ChqNorm,IFERROR(MATCH(256,ChqRankU,0),0)))</f>
        <v/>
      </c>
      <c r="C272" s="24">
        <f>IF(IFERROR(MATCH(256,ChqRankU,0),0)=0,"",INDEX(ChqNo,IFERROR(MATCH(256,ChqRankU,0),0)))</f>
        <v/>
      </c>
      <c r="D272" s="25">
        <f>IF(IFERROR(MATCH(256,ChqRankU,0),0)=0,"",IF(INDEX(ChqAmt,IFERROR(MATCH(256,ChqRankU,0),0))=0,"",INDEX(ChqAmt,IFERROR(MATCH(256,ChqRankU,0),0))))</f>
        <v/>
      </c>
      <c r="E272" s="17">
        <f>IF(IFERROR(MATCH(256,ChqRankU,0),0)=0,"",INDEX(ChqStatus,IFERROR(MATCH(256,ChqRankU,0),0)))</f>
        <v/>
      </c>
      <c r="F272" s="24">
        <f>IF(IFERROR(MATCH(256,ChqRankU,0),0)=0,"",IF(INDEX(ChqStatus,IFERROR(MATCH(256,ChqRankU,0),0))="پاس نشده","—",IF(INDEX(ChqClr,IFERROR(MATCH(256,ChqRankU,0),0))="","—",INDEX(ChqClr,IFERROR(MATCH(256,ChqRankU,0),0)))))</f>
        <v/>
      </c>
      <c r="I272">
        <f>IF(256&gt;NChq,"",INDEX(ChqNorm,256))</f>
        <v/>
      </c>
      <c r="J272">
        <f>IF($I272="","",IF(AND($I272&gt;=$H$3,$I272&lt;=$H$4,INDEX(ChqStatus,256)="پاس نشده"),1,0))</f>
        <v/>
      </c>
      <c r="K272">
        <f>IF($J272=0,"",INDEX(ChqKey,256))</f>
        <v/>
      </c>
      <c r="L272">
        <f>IF($K272="","",COUNTIFS($J$17:$J$516,1,$K$17:$K$516,"&lt;"&amp;$K272)+1)</f>
        <v/>
      </c>
    </row>
    <row r="273">
      <c r="A273" s="10">
        <f>IF(IFERROR(MATCH(257,ChqRankU,0),0)=0,"",257)</f>
        <v/>
      </c>
      <c r="B273" s="22">
        <f>IF(IFERROR(MATCH(257,ChqRankU,0),0)=0,"",INDEX(ChqNorm,IFERROR(MATCH(257,ChqRankU,0),0)))</f>
        <v/>
      </c>
      <c r="C273" s="22">
        <f>IF(IFERROR(MATCH(257,ChqRankU,0),0)=0,"",INDEX(ChqNo,IFERROR(MATCH(257,ChqRankU,0),0)))</f>
        <v/>
      </c>
      <c r="D273" s="23">
        <f>IF(IFERROR(MATCH(257,ChqRankU,0),0)=0,"",IF(INDEX(ChqAmt,IFERROR(MATCH(257,ChqRankU,0),0))=0,"",INDEX(ChqAmt,IFERROR(MATCH(257,ChqRankU,0),0))))</f>
        <v/>
      </c>
      <c r="E273" s="14">
        <f>IF(IFERROR(MATCH(257,ChqRankU,0),0)=0,"",INDEX(ChqStatus,IFERROR(MATCH(257,ChqRankU,0),0)))</f>
        <v/>
      </c>
      <c r="F273" s="22">
        <f>IF(IFERROR(MATCH(257,ChqRankU,0),0)=0,"",IF(INDEX(ChqStatus,IFERROR(MATCH(257,ChqRankU,0),0))="پاس نشده","—",IF(INDEX(ChqClr,IFERROR(MATCH(257,ChqRankU,0),0))="","—",INDEX(ChqClr,IFERROR(MATCH(257,ChqRankU,0),0)))))</f>
        <v/>
      </c>
      <c r="I273">
        <f>IF(257&gt;NChq,"",INDEX(ChqNorm,257))</f>
        <v/>
      </c>
      <c r="J273">
        <f>IF($I273="","",IF(AND($I273&gt;=$H$3,$I273&lt;=$H$4,INDEX(ChqStatus,257)="پاس نشده"),1,0))</f>
        <v/>
      </c>
      <c r="K273">
        <f>IF($J273=0,"",INDEX(ChqKey,257))</f>
        <v/>
      </c>
      <c r="L273">
        <f>IF($K273="","",COUNTIFS($J$17:$J$516,1,$K$17:$K$516,"&lt;"&amp;$K273)+1)</f>
        <v/>
      </c>
    </row>
    <row r="274">
      <c r="A274" s="16">
        <f>IF(IFERROR(MATCH(258,ChqRankU,0),0)=0,"",258)</f>
        <v/>
      </c>
      <c r="B274" s="24">
        <f>IF(IFERROR(MATCH(258,ChqRankU,0),0)=0,"",INDEX(ChqNorm,IFERROR(MATCH(258,ChqRankU,0),0)))</f>
        <v/>
      </c>
      <c r="C274" s="24">
        <f>IF(IFERROR(MATCH(258,ChqRankU,0),0)=0,"",INDEX(ChqNo,IFERROR(MATCH(258,ChqRankU,0),0)))</f>
        <v/>
      </c>
      <c r="D274" s="25">
        <f>IF(IFERROR(MATCH(258,ChqRankU,0),0)=0,"",IF(INDEX(ChqAmt,IFERROR(MATCH(258,ChqRankU,0),0))=0,"",INDEX(ChqAmt,IFERROR(MATCH(258,ChqRankU,0),0))))</f>
        <v/>
      </c>
      <c r="E274" s="17">
        <f>IF(IFERROR(MATCH(258,ChqRankU,0),0)=0,"",INDEX(ChqStatus,IFERROR(MATCH(258,ChqRankU,0),0)))</f>
        <v/>
      </c>
      <c r="F274" s="24">
        <f>IF(IFERROR(MATCH(258,ChqRankU,0),0)=0,"",IF(INDEX(ChqStatus,IFERROR(MATCH(258,ChqRankU,0),0))="پاس نشده","—",IF(INDEX(ChqClr,IFERROR(MATCH(258,ChqRankU,0),0))="","—",INDEX(ChqClr,IFERROR(MATCH(258,ChqRankU,0),0)))))</f>
        <v/>
      </c>
      <c r="I274">
        <f>IF(258&gt;NChq,"",INDEX(ChqNorm,258))</f>
        <v/>
      </c>
      <c r="J274">
        <f>IF($I274="","",IF(AND($I274&gt;=$H$3,$I274&lt;=$H$4,INDEX(ChqStatus,258)="پاس نشده"),1,0))</f>
        <v/>
      </c>
      <c r="K274">
        <f>IF($J274=0,"",INDEX(ChqKey,258))</f>
        <v/>
      </c>
      <c r="L274">
        <f>IF($K274="","",COUNTIFS($J$17:$J$516,1,$K$17:$K$516,"&lt;"&amp;$K274)+1)</f>
        <v/>
      </c>
    </row>
    <row r="275">
      <c r="A275" s="10">
        <f>IF(IFERROR(MATCH(259,ChqRankU,0),0)=0,"",259)</f>
        <v/>
      </c>
      <c r="B275" s="22">
        <f>IF(IFERROR(MATCH(259,ChqRankU,0),0)=0,"",INDEX(ChqNorm,IFERROR(MATCH(259,ChqRankU,0),0)))</f>
        <v/>
      </c>
      <c r="C275" s="22">
        <f>IF(IFERROR(MATCH(259,ChqRankU,0),0)=0,"",INDEX(ChqNo,IFERROR(MATCH(259,ChqRankU,0),0)))</f>
        <v/>
      </c>
      <c r="D275" s="23">
        <f>IF(IFERROR(MATCH(259,ChqRankU,0),0)=0,"",IF(INDEX(ChqAmt,IFERROR(MATCH(259,ChqRankU,0),0))=0,"",INDEX(ChqAmt,IFERROR(MATCH(259,ChqRankU,0),0))))</f>
        <v/>
      </c>
      <c r="E275" s="14">
        <f>IF(IFERROR(MATCH(259,ChqRankU,0),0)=0,"",INDEX(ChqStatus,IFERROR(MATCH(259,ChqRankU,0),0)))</f>
        <v/>
      </c>
      <c r="F275" s="22">
        <f>IF(IFERROR(MATCH(259,ChqRankU,0),0)=0,"",IF(INDEX(ChqStatus,IFERROR(MATCH(259,ChqRankU,0),0))="پاس نشده","—",IF(INDEX(ChqClr,IFERROR(MATCH(259,ChqRankU,0),0))="","—",INDEX(ChqClr,IFERROR(MATCH(259,ChqRankU,0),0)))))</f>
        <v/>
      </c>
      <c r="I275">
        <f>IF(259&gt;NChq,"",INDEX(ChqNorm,259))</f>
        <v/>
      </c>
      <c r="J275">
        <f>IF($I275="","",IF(AND($I275&gt;=$H$3,$I275&lt;=$H$4,INDEX(ChqStatus,259)="پاس نشده"),1,0))</f>
        <v/>
      </c>
      <c r="K275">
        <f>IF($J275=0,"",INDEX(ChqKey,259))</f>
        <v/>
      </c>
      <c r="L275">
        <f>IF($K275="","",COUNTIFS($J$17:$J$516,1,$K$17:$K$516,"&lt;"&amp;$K275)+1)</f>
        <v/>
      </c>
    </row>
    <row r="276">
      <c r="A276" s="16">
        <f>IF(IFERROR(MATCH(260,ChqRankU,0),0)=0,"",260)</f>
        <v/>
      </c>
      <c r="B276" s="24">
        <f>IF(IFERROR(MATCH(260,ChqRankU,0),0)=0,"",INDEX(ChqNorm,IFERROR(MATCH(260,ChqRankU,0),0)))</f>
        <v/>
      </c>
      <c r="C276" s="24">
        <f>IF(IFERROR(MATCH(260,ChqRankU,0),0)=0,"",INDEX(ChqNo,IFERROR(MATCH(260,ChqRankU,0),0)))</f>
        <v/>
      </c>
      <c r="D276" s="25">
        <f>IF(IFERROR(MATCH(260,ChqRankU,0),0)=0,"",IF(INDEX(ChqAmt,IFERROR(MATCH(260,ChqRankU,0),0))=0,"",INDEX(ChqAmt,IFERROR(MATCH(260,ChqRankU,0),0))))</f>
        <v/>
      </c>
      <c r="E276" s="17">
        <f>IF(IFERROR(MATCH(260,ChqRankU,0),0)=0,"",INDEX(ChqStatus,IFERROR(MATCH(260,ChqRankU,0),0)))</f>
        <v/>
      </c>
      <c r="F276" s="24">
        <f>IF(IFERROR(MATCH(260,ChqRankU,0),0)=0,"",IF(INDEX(ChqStatus,IFERROR(MATCH(260,ChqRankU,0),0))="پاس نشده","—",IF(INDEX(ChqClr,IFERROR(MATCH(260,ChqRankU,0),0))="","—",INDEX(ChqClr,IFERROR(MATCH(260,ChqRankU,0),0)))))</f>
        <v/>
      </c>
      <c r="I276">
        <f>IF(260&gt;NChq,"",INDEX(ChqNorm,260))</f>
        <v/>
      </c>
      <c r="J276">
        <f>IF($I276="","",IF(AND($I276&gt;=$H$3,$I276&lt;=$H$4,INDEX(ChqStatus,260)="پاس نشده"),1,0))</f>
        <v/>
      </c>
      <c r="K276">
        <f>IF($J276=0,"",INDEX(ChqKey,260))</f>
        <v/>
      </c>
      <c r="L276">
        <f>IF($K276="","",COUNTIFS($J$17:$J$516,1,$K$17:$K$516,"&lt;"&amp;$K276)+1)</f>
        <v/>
      </c>
    </row>
    <row r="277">
      <c r="A277" s="10">
        <f>IF(IFERROR(MATCH(261,ChqRankU,0),0)=0,"",261)</f>
        <v/>
      </c>
      <c r="B277" s="22">
        <f>IF(IFERROR(MATCH(261,ChqRankU,0),0)=0,"",INDEX(ChqNorm,IFERROR(MATCH(261,ChqRankU,0),0)))</f>
        <v/>
      </c>
      <c r="C277" s="22">
        <f>IF(IFERROR(MATCH(261,ChqRankU,0),0)=0,"",INDEX(ChqNo,IFERROR(MATCH(261,ChqRankU,0),0)))</f>
        <v/>
      </c>
      <c r="D277" s="23">
        <f>IF(IFERROR(MATCH(261,ChqRankU,0),0)=0,"",IF(INDEX(ChqAmt,IFERROR(MATCH(261,ChqRankU,0),0))=0,"",INDEX(ChqAmt,IFERROR(MATCH(261,ChqRankU,0),0))))</f>
        <v/>
      </c>
      <c r="E277" s="14">
        <f>IF(IFERROR(MATCH(261,ChqRankU,0),0)=0,"",INDEX(ChqStatus,IFERROR(MATCH(261,ChqRankU,0),0)))</f>
        <v/>
      </c>
      <c r="F277" s="22">
        <f>IF(IFERROR(MATCH(261,ChqRankU,0),0)=0,"",IF(INDEX(ChqStatus,IFERROR(MATCH(261,ChqRankU,0),0))="پاس نشده","—",IF(INDEX(ChqClr,IFERROR(MATCH(261,ChqRankU,0),0))="","—",INDEX(ChqClr,IFERROR(MATCH(261,ChqRankU,0),0)))))</f>
        <v/>
      </c>
      <c r="I277">
        <f>IF(261&gt;NChq,"",INDEX(ChqNorm,261))</f>
        <v/>
      </c>
      <c r="J277">
        <f>IF($I277="","",IF(AND($I277&gt;=$H$3,$I277&lt;=$H$4,INDEX(ChqStatus,261)="پاس نشده"),1,0))</f>
        <v/>
      </c>
      <c r="K277">
        <f>IF($J277=0,"",INDEX(ChqKey,261))</f>
        <v/>
      </c>
      <c r="L277">
        <f>IF($K277="","",COUNTIFS($J$17:$J$516,1,$K$17:$K$516,"&lt;"&amp;$K277)+1)</f>
        <v/>
      </c>
    </row>
    <row r="278">
      <c r="A278" s="16">
        <f>IF(IFERROR(MATCH(262,ChqRankU,0),0)=0,"",262)</f>
        <v/>
      </c>
      <c r="B278" s="24">
        <f>IF(IFERROR(MATCH(262,ChqRankU,0),0)=0,"",INDEX(ChqNorm,IFERROR(MATCH(262,ChqRankU,0),0)))</f>
        <v/>
      </c>
      <c r="C278" s="24">
        <f>IF(IFERROR(MATCH(262,ChqRankU,0),0)=0,"",INDEX(ChqNo,IFERROR(MATCH(262,ChqRankU,0),0)))</f>
        <v/>
      </c>
      <c r="D278" s="25">
        <f>IF(IFERROR(MATCH(262,ChqRankU,0),0)=0,"",IF(INDEX(ChqAmt,IFERROR(MATCH(262,ChqRankU,0),0))=0,"",INDEX(ChqAmt,IFERROR(MATCH(262,ChqRankU,0),0))))</f>
        <v/>
      </c>
      <c r="E278" s="17">
        <f>IF(IFERROR(MATCH(262,ChqRankU,0),0)=0,"",INDEX(ChqStatus,IFERROR(MATCH(262,ChqRankU,0),0)))</f>
        <v/>
      </c>
      <c r="F278" s="24">
        <f>IF(IFERROR(MATCH(262,ChqRankU,0),0)=0,"",IF(INDEX(ChqStatus,IFERROR(MATCH(262,ChqRankU,0),0))="پاس نشده","—",IF(INDEX(ChqClr,IFERROR(MATCH(262,ChqRankU,0),0))="","—",INDEX(ChqClr,IFERROR(MATCH(262,ChqRankU,0),0)))))</f>
        <v/>
      </c>
      <c r="I278">
        <f>IF(262&gt;NChq,"",INDEX(ChqNorm,262))</f>
        <v/>
      </c>
      <c r="J278">
        <f>IF($I278="","",IF(AND($I278&gt;=$H$3,$I278&lt;=$H$4,INDEX(ChqStatus,262)="پاس نشده"),1,0))</f>
        <v/>
      </c>
      <c r="K278">
        <f>IF($J278=0,"",INDEX(ChqKey,262))</f>
        <v/>
      </c>
      <c r="L278">
        <f>IF($K278="","",COUNTIFS($J$17:$J$516,1,$K$17:$K$516,"&lt;"&amp;$K278)+1)</f>
        <v/>
      </c>
    </row>
    <row r="279">
      <c r="A279" s="10">
        <f>IF(IFERROR(MATCH(263,ChqRankU,0),0)=0,"",263)</f>
        <v/>
      </c>
      <c r="B279" s="22">
        <f>IF(IFERROR(MATCH(263,ChqRankU,0),0)=0,"",INDEX(ChqNorm,IFERROR(MATCH(263,ChqRankU,0),0)))</f>
        <v/>
      </c>
      <c r="C279" s="22">
        <f>IF(IFERROR(MATCH(263,ChqRankU,0),0)=0,"",INDEX(ChqNo,IFERROR(MATCH(263,ChqRankU,0),0)))</f>
        <v/>
      </c>
      <c r="D279" s="23">
        <f>IF(IFERROR(MATCH(263,ChqRankU,0),0)=0,"",IF(INDEX(ChqAmt,IFERROR(MATCH(263,ChqRankU,0),0))=0,"",INDEX(ChqAmt,IFERROR(MATCH(263,ChqRankU,0),0))))</f>
        <v/>
      </c>
      <c r="E279" s="14">
        <f>IF(IFERROR(MATCH(263,ChqRankU,0),0)=0,"",INDEX(ChqStatus,IFERROR(MATCH(263,ChqRankU,0),0)))</f>
        <v/>
      </c>
      <c r="F279" s="22">
        <f>IF(IFERROR(MATCH(263,ChqRankU,0),0)=0,"",IF(INDEX(ChqStatus,IFERROR(MATCH(263,ChqRankU,0),0))="پاس نشده","—",IF(INDEX(ChqClr,IFERROR(MATCH(263,ChqRankU,0),0))="","—",INDEX(ChqClr,IFERROR(MATCH(263,ChqRankU,0),0)))))</f>
        <v/>
      </c>
      <c r="I279">
        <f>IF(263&gt;NChq,"",INDEX(ChqNorm,263))</f>
        <v/>
      </c>
      <c r="J279">
        <f>IF($I279="","",IF(AND($I279&gt;=$H$3,$I279&lt;=$H$4,INDEX(ChqStatus,263)="پاس نشده"),1,0))</f>
        <v/>
      </c>
      <c r="K279">
        <f>IF($J279=0,"",INDEX(ChqKey,263))</f>
        <v/>
      </c>
      <c r="L279">
        <f>IF($K279="","",COUNTIFS($J$17:$J$516,1,$K$17:$K$516,"&lt;"&amp;$K279)+1)</f>
        <v/>
      </c>
    </row>
    <row r="280">
      <c r="A280" s="16">
        <f>IF(IFERROR(MATCH(264,ChqRankU,0),0)=0,"",264)</f>
        <v/>
      </c>
      <c r="B280" s="24">
        <f>IF(IFERROR(MATCH(264,ChqRankU,0),0)=0,"",INDEX(ChqNorm,IFERROR(MATCH(264,ChqRankU,0),0)))</f>
        <v/>
      </c>
      <c r="C280" s="24">
        <f>IF(IFERROR(MATCH(264,ChqRankU,0),0)=0,"",INDEX(ChqNo,IFERROR(MATCH(264,ChqRankU,0),0)))</f>
        <v/>
      </c>
      <c r="D280" s="25">
        <f>IF(IFERROR(MATCH(264,ChqRankU,0),0)=0,"",IF(INDEX(ChqAmt,IFERROR(MATCH(264,ChqRankU,0),0))=0,"",INDEX(ChqAmt,IFERROR(MATCH(264,ChqRankU,0),0))))</f>
        <v/>
      </c>
      <c r="E280" s="17">
        <f>IF(IFERROR(MATCH(264,ChqRankU,0),0)=0,"",INDEX(ChqStatus,IFERROR(MATCH(264,ChqRankU,0),0)))</f>
        <v/>
      </c>
      <c r="F280" s="24">
        <f>IF(IFERROR(MATCH(264,ChqRankU,0),0)=0,"",IF(INDEX(ChqStatus,IFERROR(MATCH(264,ChqRankU,0),0))="پاس نشده","—",IF(INDEX(ChqClr,IFERROR(MATCH(264,ChqRankU,0),0))="","—",INDEX(ChqClr,IFERROR(MATCH(264,ChqRankU,0),0)))))</f>
        <v/>
      </c>
      <c r="I280">
        <f>IF(264&gt;NChq,"",INDEX(ChqNorm,264))</f>
        <v/>
      </c>
      <c r="J280">
        <f>IF($I280="","",IF(AND($I280&gt;=$H$3,$I280&lt;=$H$4,INDEX(ChqStatus,264)="پاس نشده"),1,0))</f>
        <v/>
      </c>
      <c r="K280">
        <f>IF($J280=0,"",INDEX(ChqKey,264))</f>
        <v/>
      </c>
      <c r="L280">
        <f>IF($K280="","",COUNTIFS($J$17:$J$516,1,$K$17:$K$516,"&lt;"&amp;$K280)+1)</f>
        <v/>
      </c>
    </row>
    <row r="281">
      <c r="A281" s="10">
        <f>IF(IFERROR(MATCH(265,ChqRankU,0),0)=0,"",265)</f>
        <v/>
      </c>
      <c r="B281" s="22">
        <f>IF(IFERROR(MATCH(265,ChqRankU,0),0)=0,"",INDEX(ChqNorm,IFERROR(MATCH(265,ChqRankU,0),0)))</f>
        <v/>
      </c>
      <c r="C281" s="22">
        <f>IF(IFERROR(MATCH(265,ChqRankU,0),0)=0,"",INDEX(ChqNo,IFERROR(MATCH(265,ChqRankU,0),0)))</f>
        <v/>
      </c>
      <c r="D281" s="23">
        <f>IF(IFERROR(MATCH(265,ChqRankU,0),0)=0,"",IF(INDEX(ChqAmt,IFERROR(MATCH(265,ChqRankU,0),0))=0,"",INDEX(ChqAmt,IFERROR(MATCH(265,ChqRankU,0),0))))</f>
        <v/>
      </c>
      <c r="E281" s="14">
        <f>IF(IFERROR(MATCH(265,ChqRankU,0),0)=0,"",INDEX(ChqStatus,IFERROR(MATCH(265,ChqRankU,0),0)))</f>
        <v/>
      </c>
      <c r="F281" s="22">
        <f>IF(IFERROR(MATCH(265,ChqRankU,0),0)=0,"",IF(INDEX(ChqStatus,IFERROR(MATCH(265,ChqRankU,0),0))="پاس نشده","—",IF(INDEX(ChqClr,IFERROR(MATCH(265,ChqRankU,0),0))="","—",INDEX(ChqClr,IFERROR(MATCH(265,ChqRankU,0),0)))))</f>
        <v/>
      </c>
      <c r="I281">
        <f>IF(265&gt;NChq,"",INDEX(ChqNorm,265))</f>
        <v/>
      </c>
      <c r="J281">
        <f>IF($I281="","",IF(AND($I281&gt;=$H$3,$I281&lt;=$H$4,INDEX(ChqStatus,265)="پاس نشده"),1,0))</f>
        <v/>
      </c>
      <c r="K281">
        <f>IF($J281=0,"",INDEX(ChqKey,265))</f>
        <v/>
      </c>
      <c r="L281">
        <f>IF($K281="","",COUNTIFS($J$17:$J$516,1,$K$17:$K$516,"&lt;"&amp;$K281)+1)</f>
        <v/>
      </c>
    </row>
    <row r="282">
      <c r="A282" s="16">
        <f>IF(IFERROR(MATCH(266,ChqRankU,0),0)=0,"",266)</f>
        <v/>
      </c>
      <c r="B282" s="24">
        <f>IF(IFERROR(MATCH(266,ChqRankU,0),0)=0,"",INDEX(ChqNorm,IFERROR(MATCH(266,ChqRankU,0),0)))</f>
        <v/>
      </c>
      <c r="C282" s="24">
        <f>IF(IFERROR(MATCH(266,ChqRankU,0),0)=0,"",INDEX(ChqNo,IFERROR(MATCH(266,ChqRankU,0),0)))</f>
        <v/>
      </c>
      <c r="D282" s="25">
        <f>IF(IFERROR(MATCH(266,ChqRankU,0),0)=0,"",IF(INDEX(ChqAmt,IFERROR(MATCH(266,ChqRankU,0),0))=0,"",INDEX(ChqAmt,IFERROR(MATCH(266,ChqRankU,0),0))))</f>
        <v/>
      </c>
      <c r="E282" s="17">
        <f>IF(IFERROR(MATCH(266,ChqRankU,0),0)=0,"",INDEX(ChqStatus,IFERROR(MATCH(266,ChqRankU,0),0)))</f>
        <v/>
      </c>
      <c r="F282" s="24">
        <f>IF(IFERROR(MATCH(266,ChqRankU,0),0)=0,"",IF(INDEX(ChqStatus,IFERROR(MATCH(266,ChqRankU,0),0))="پاس نشده","—",IF(INDEX(ChqClr,IFERROR(MATCH(266,ChqRankU,0),0))="","—",INDEX(ChqClr,IFERROR(MATCH(266,ChqRankU,0),0)))))</f>
        <v/>
      </c>
      <c r="I282">
        <f>IF(266&gt;NChq,"",INDEX(ChqNorm,266))</f>
        <v/>
      </c>
      <c r="J282">
        <f>IF($I282="","",IF(AND($I282&gt;=$H$3,$I282&lt;=$H$4,INDEX(ChqStatus,266)="پاس نشده"),1,0))</f>
        <v/>
      </c>
      <c r="K282">
        <f>IF($J282=0,"",INDEX(ChqKey,266))</f>
        <v/>
      </c>
      <c r="L282">
        <f>IF($K282="","",COUNTIFS($J$17:$J$516,1,$K$17:$K$516,"&lt;"&amp;$K282)+1)</f>
        <v/>
      </c>
    </row>
    <row r="283">
      <c r="A283" s="10">
        <f>IF(IFERROR(MATCH(267,ChqRankU,0),0)=0,"",267)</f>
        <v/>
      </c>
      <c r="B283" s="22">
        <f>IF(IFERROR(MATCH(267,ChqRankU,0),0)=0,"",INDEX(ChqNorm,IFERROR(MATCH(267,ChqRankU,0),0)))</f>
        <v/>
      </c>
      <c r="C283" s="22">
        <f>IF(IFERROR(MATCH(267,ChqRankU,0),0)=0,"",INDEX(ChqNo,IFERROR(MATCH(267,ChqRankU,0),0)))</f>
        <v/>
      </c>
      <c r="D283" s="23">
        <f>IF(IFERROR(MATCH(267,ChqRankU,0),0)=0,"",IF(INDEX(ChqAmt,IFERROR(MATCH(267,ChqRankU,0),0))=0,"",INDEX(ChqAmt,IFERROR(MATCH(267,ChqRankU,0),0))))</f>
        <v/>
      </c>
      <c r="E283" s="14">
        <f>IF(IFERROR(MATCH(267,ChqRankU,0),0)=0,"",INDEX(ChqStatus,IFERROR(MATCH(267,ChqRankU,0),0)))</f>
        <v/>
      </c>
      <c r="F283" s="22">
        <f>IF(IFERROR(MATCH(267,ChqRankU,0),0)=0,"",IF(INDEX(ChqStatus,IFERROR(MATCH(267,ChqRankU,0),0))="پاس نشده","—",IF(INDEX(ChqClr,IFERROR(MATCH(267,ChqRankU,0),0))="","—",INDEX(ChqClr,IFERROR(MATCH(267,ChqRankU,0),0)))))</f>
        <v/>
      </c>
      <c r="I283">
        <f>IF(267&gt;NChq,"",INDEX(ChqNorm,267))</f>
        <v/>
      </c>
      <c r="J283">
        <f>IF($I283="","",IF(AND($I283&gt;=$H$3,$I283&lt;=$H$4,INDEX(ChqStatus,267)="پاس نشده"),1,0))</f>
        <v/>
      </c>
      <c r="K283">
        <f>IF($J283=0,"",INDEX(ChqKey,267))</f>
        <v/>
      </c>
      <c r="L283">
        <f>IF($K283="","",COUNTIFS($J$17:$J$516,1,$K$17:$K$516,"&lt;"&amp;$K283)+1)</f>
        <v/>
      </c>
    </row>
    <row r="284">
      <c r="A284" s="16">
        <f>IF(IFERROR(MATCH(268,ChqRankU,0),0)=0,"",268)</f>
        <v/>
      </c>
      <c r="B284" s="24">
        <f>IF(IFERROR(MATCH(268,ChqRankU,0),0)=0,"",INDEX(ChqNorm,IFERROR(MATCH(268,ChqRankU,0),0)))</f>
        <v/>
      </c>
      <c r="C284" s="24">
        <f>IF(IFERROR(MATCH(268,ChqRankU,0),0)=0,"",INDEX(ChqNo,IFERROR(MATCH(268,ChqRankU,0),0)))</f>
        <v/>
      </c>
      <c r="D284" s="25">
        <f>IF(IFERROR(MATCH(268,ChqRankU,0),0)=0,"",IF(INDEX(ChqAmt,IFERROR(MATCH(268,ChqRankU,0),0))=0,"",INDEX(ChqAmt,IFERROR(MATCH(268,ChqRankU,0),0))))</f>
        <v/>
      </c>
      <c r="E284" s="17">
        <f>IF(IFERROR(MATCH(268,ChqRankU,0),0)=0,"",INDEX(ChqStatus,IFERROR(MATCH(268,ChqRankU,0),0)))</f>
        <v/>
      </c>
      <c r="F284" s="24">
        <f>IF(IFERROR(MATCH(268,ChqRankU,0),0)=0,"",IF(INDEX(ChqStatus,IFERROR(MATCH(268,ChqRankU,0),0))="پاس نشده","—",IF(INDEX(ChqClr,IFERROR(MATCH(268,ChqRankU,0),0))="","—",INDEX(ChqClr,IFERROR(MATCH(268,ChqRankU,0),0)))))</f>
        <v/>
      </c>
      <c r="I284">
        <f>IF(268&gt;NChq,"",INDEX(ChqNorm,268))</f>
        <v/>
      </c>
      <c r="J284">
        <f>IF($I284="","",IF(AND($I284&gt;=$H$3,$I284&lt;=$H$4,INDEX(ChqStatus,268)="پاس نشده"),1,0))</f>
        <v/>
      </c>
      <c r="K284">
        <f>IF($J284=0,"",INDEX(ChqKey,268))</f>
        <v/>
      </c>
      <c r="L284">
        <f>IF($K284="","",COUNTIFS($J$17:$J$516,1,$K$17:$K$516,"&lt;"&amp;$K284)+1)</f>
        <v/>
      </c>
    </row>
    <row r="285">
      <c r="A285" s="10">
        <f>IF(IFERROR(MATCH(269,ChqRankU,0),0)=0,"",269)</f>
        <v/>
      </c>
      <c r="B285" s="22">
        <f>IF(IFERROR(MATCH(269,ChqRankU,0),0)=0,"",INDEX(ChqNorm,IFERROR(MATCH(269,ChqRankU,0),0)))</f>
        <v/>
      </c>
      <c r="C285" s="22">
        <f>IF(IFERROR(MATCH(269,ChqRankU,0),0)=0,"",INDEX(ChqNo,IFERROR(MATCH(269,ChqRankU,0),0)))</f>
        <v/>
      </c>
      <c r="D285" s="23">
        <f>IF(IFERROR(MATCH(269,ChqRankU,0),0)=0,"",IF(INDEX(ChqAmt,IFERROR(MATCH(269,ChqRankU,0),0))=0,"",INDEX(ChqAmt,IFERROR(MATCH(269,ChqRankU,0),0))))</f>
        <v/>
      </c>
      <c r="E285" s="14">
        <f>IF(IFERROR(MATCH(269,ChqRankU,0),0)=0,"",INDEX(ChqStatus,IFERROR(MATCH(269,ChqRankU,0),0)))</f>
        <v/>
      </c>
      <c r="F285" s="22">
        <f>IF(IFERROR(MATCH(269,ChqRankU,0),0)=0,"",IF(INDEX(ChqStatus,IFERROR(MATCH(269,ChqRankU,0),0))="پاس نشده","—",IF(INDEX(ChqClr,IFERROR(MATCH(269,ChqRankU,0),0))="","—",INDEX(ChqClr,IFERROR(MATCH(269,ChqRankU,0),0)))))</f>
        <v/>
      </c>
      <c r="I285">
        <f>IF(269&gt;NChq,"",INDEX(ChqNorm,269))</f>
        <v/>
      </c>
      <c r="J285">
        <f>IF($I285="","",IF(AND($I285&gt;=$H$3,$I285&lt;=$H$4,INDEX(ChqStatus,269)="پاس نشده"),1,0))</f>
        <v/>
      </c>
      <c r="K285">
        <f>IF($J285=0,"",INDEX(ChqKey,269))</f>
        <v/>
      </c>
      <c r="L285">
        <f>IF($K285="","",COUNTIFS($J$17:$J$516,1,$K$17:$K$516,"&lt;"&amp;$K285)+1)</f>
        <v/>
      </c>
    </row>
    <row r="286">
      <c r="A286" s="16">
        <f>IF(IFERROR(MATCH(270,ChqRankU,0),0)=0,"",270)</f>
        <v/>
      </c>
      <c r="B286" s="24">
        <f>IF(IFERROR(MATCH(270,ChqRankU,0),0)=0,"",INDEX(ChqNorm,IFERROR(MATCH(270,ChqRankU,0),0)))</f>
        <v/>
      </c>
      <c r="C286" s="24">
        <f>IF(IFERROR(MATCH(270,ChqRankU,0),0)=0,"",INDEX(ChqNo,IFERROR(MATCH(270,ChqRankU,0),0)))</f>
        <v/>
      </c>
      <c r="D286" s="25">
        <f>IF(IFERROR(MATCH(270,ChqRankU,0),0)=0,"",IF(INDEX(ChqAmt,IFERROR(MATCH(270,ChqRankU,0),0))=0,"",INDEX(ChqAmt,IFERROR(MATCH(270,ChqRankU,0),0))))</f>
        <v/>
      </c>
      <c r="E286" s="17">
        <f>IF(IFERROR(MATCH(270,ChqRankU,0),0)=0,"",INDEX(ChqStatus,IFERROR(MATCH(270,ChqRankU,0),0)))</f>
        <v/>
      </c>
      <c r="F286" s="24">
        <f>IF(IFERROR(MATCH(270,ChqRankU,0),0)=0,"",IF(INDEX(ChqStatus,IFERROR(MATCH(270,ChqRankU,0),0))="پاس نشده","—",IF(INDEX(ChqClr,IFERROR(MATCH(270,ChqRankU,0),0))="","—",INDEX(ChqClr,IFERROR(MATCH(270,ChqRankU,0),0)))))</f>
        <v/>
      </c>
      <c r="I286">
        <f>IF(270&gt;NChq,"",INDEX(ChqNorm,270))</f>
        <v/>
      </c>
      <c r="J286">
        <f>IF($I286="","",IF(AND($I286&gt;=$H$3,$I286&lt;=$H$4,INDEX(ChqStatus,270)="پاس نشده"),1,0))</f>
        <v/>
      </c>
      <c r="K286">
        <f>IF($J286=0,"",INDEX(ChqKey,270))</f>
        <v/>
      </c>
      <c r="L286">
        <f>IF($K286="","",COUNTIFS($J$17:$J$516,1,$K$17:$K$516,"&lt;"&amp;$K286)+1)</f>
        <v/>
      </c>
    </row>
    <row r="287">
      <c r="A287" s="10">
        <f>IF(IFERROR(MATCH(271,ChqRankU,0),0)=0,"",271)</f>
        <v/>
      </c>
      <c r="B287" s="22">
        <f>IF(IFERROR(MATCH(271,ChqRankU,0),0)=0,"",INDEX(ChqNorm,IFERROR(MATCH(271,ChqRankU,0),0)))</f>
        <v/>
      </c>
      <c r="C287" s="22">
        <f>IF(IFERROR(MATCH(271,ChqRankU,0),0)=0,"",INDEX(ChqNo,IFERROR(MATCH(271,ChqRankU,0),0)))</f>
        <v/>
      </c>
      <c r="D287" s="23">
        <f>IF(IFERROR(MATCH(271,ChqRankU,0),0)=0,"",IF(INDEX(ChqAmt,IFERROR(MATCH(271,ChqRankU,0),0))=0,"",INDEX(ChqAmt,IFERROR(MATCH(271,ChqRankU,0),0))))</f>
        <v/>
      </c>
      <c r="E287" s="14">
        <f>IF(IFERROR(MATCH(271,ChqRankU,0),0)=0,"",INDEX(ChqStatus,IFERROR(MATCH(271,ChqRankU,0),0)))</f>
        <v/>
      </c>
      <c r="F287" s="22">
        <f>IF(IFERROR(MATCH(271,ChqRankU,0),0)=0,"",IF(INDEX(ChqStatus,IFERROR(MATCH(271,ChqRankU,0),0))="پاس نشده","—",IF(INDEX(ChqClr,IFERROR(MATCH(271,ChqRankU,0),0))="","—",INDEX(ChqClr,IFERROR(MATCH(271,ChqRankU,0),0)))))</f>
        <v/>
      </c>
      <c r="I287">
        <f>IF(271&gt;NChq,"",INDEX(ChqNorm,271))</f>
        <v/>
      </c>
      <c r="J287">
        <f>IF($I287="","",IF(AND($I287&gt;=$H$3,$I287&lt;=$H$4,INDEX(ChqStatus,271)="پاس نشده"),1,0))</f>
        <v/>
      </c>
      <c r="K287">
        <f>IF($J287=0,"",INDEX(ChqKey,271))</f>
        <v/>
      </c>
      <c r="L287">
        <f>IF($K287="","",COUNTIFS($J$17:$J$516,1,$K$17:$K$516,"&lt;"&amp;$K287)+1)</f>
        <v/>
      </c>
    </row>
    <row r="288">
      <c r="A288" s="16">
        <f>IF(IFERROR(MATCH(272,ChqRankU,0),0)=0,"",272)</f>
        <v/>
      </c>
      <c r="B288" s="24">
        <f>IF(IFERROR(MATCH(272,ChqRankU,0),0)=0,"",INDEX(ChqNorm,IFERROR(MATCH(272,ChqRankU,0),0)))</f>
        <v/>
      </c>
      <c r="C288" s="24">
        <f>IF(IFERROR(MATCH(272,ChqRankU,0),0)=0,"",INDEX(ChqNo,IFERROR(MATCH(272,ChqRankU,0),0)))</f>
        <v/>
      </c>
      <c r="D288" s="25">
        <f>IF(IFERROR(MATCH(272,ChqRankU,0),0)=0,"",IF(INDEX(ChqAmt,IFERROR(MATCH(272,ChqRankU,0),0))=0,"",INDEX(ChqAmt,IFERROR(MATCH(272,ChqRankU,0),0))))</f>
        <v/>
      </c>
      <c r="E288" s="17">
        <f>IF(IFERROR(MATCH(272,ChqRankU,0),0)=0,"",INDEX(ChqStatus,IFERROR(MATCH(272,ChqRankU,0),0)))</f>
        <v/>
      </c>
      <c r="F288" s="24">
        <f>IF(IFERROR(MATCH(272,ChqRankU,0),0)=0,"",IF(INDEX(ChqStatus,IFERROR(MATCH(272,ChqRankU,0),0))="پاس نشده","—",IF(INDEX(ChqClr,IFERROR(MATCH(272,ChqRankU,0),0))="","—",INDEX(ChqClr,IFERROR(MATCH(272,ChqRankU,0),0)))))</f>
        <v/>
      </c>
      <c r="I288">
        <f>IF(272&gt;NChq,"",INDEX(ChqNorm,272))</f>
        <v/>
      </c>
      <c r="J288">
        <f>IF($I288="","",IF(AND($I288&gt;=$H$3,$I288&lt;=$H$4,INDEX(ChqStatus,272)="پاس نشده"),1,0))</f>
        <v/>
      </c>
      <c r="K288">
        <f>IF($J288=0,"",INDEX(ChqKey,272))</f>
        <v/>
      </c>
      <c r="L288">
        <f>IF($K288="","",COUNTIFS($J$17:$J$516,1,$K$17:$K$516,"&lt;"&amp;$K288)+1)</f>
        <v/>
      </c>
    </row>
    <row r="289">
      <c r="A289" s="10">
        <f>IF(IFERROR(MATCH(273,ChqRankU,0),0)=0,"",273)</f>
        <v/>
      </c>
      <c r="B289" s="22">
        <f>IF(IFERROR(MATCH(273,ChqRankU,0),0)=0,"",INDEX(ChqNorm,IFERROR(MATCH(273,ChqRankU,0),0)))</f>
        <v/>
      </c>
      <c r="C289" s="22">
        <f>IF(IFERROR(MATCH(273,ChqRankU,0),0)=0,"",INDEX(ChqNo,IFERROR(MATCH(273,ChqRankU,0),0)))</f>
        <v/>
      </c>
      <c r="D289" s="23">
        <f>IF(IFERROR(MATCH(273,ChqRankU,0),0)=0,"",IF(INDEX(ChqAmt,IFERROR(MATCH(273,ChqRankU,0),0))=0,"",INDEX(ChqAmt,IFERROR(MATCH(273,ChqRankU,0),0))))</f>
        <v/>
      </c>
      <c r="E289" s="14">
        <f>IF(IFERROR(MATCH(273,ChqRankU,0),0)=0,"",INDEX(ChqStatus,IFERROR(MATCH(273,ChqRankU,0),0)))</f>
        <v/>
      </c>
      <c r="F289" s="22">
        <f>IF(IFERROR(MATCH(273,ChqRankU,0),0)=0,"",IF(INDEX(ChqStatus,IFERROR(MATCH(273,ChqRankU,0),0))="پاس نشده","—",IF(INDEX(ChqClr,IFERROR(MATCH(273,ChqRankU,0),0))="","—",INDEX(ChqClr,IFERROR(MATCH(273,ChqRankU,0),0)))))</f>
        <v/>
      </c>
      <c r="I289">
        <f>IF(273&gt;NChq,"",INDEX(ChqNorm,273))</f>
        <v/>
      </c>
      <c r="J289">
        <f>IF($I289="","",IF(AND($I289&gt;=$H$3,$I289&lt;=$H$4,INDEX(ChqStatus,273)="پاس نشده"),1,0))</f>
        <v/>
      </c>
      <c r="K289">
        <f>IF($J289=0,"",INDEX(ChqKey,273))</f>
        <v/>
      </c>
      <c r="L289">
        <f>IF($K289="","",COUNTIFS($J$17:$J$516,1,$K$17:$K$516,"&lt;"&amp;$K289)+1)</f>
        <v/>
      </c>
    </row>
    <row r="290">
      <c r="A290" s="16">
        <f>IF(IFERROR(MATCH(274,ChqRankU,0),0)=0,"",274)</f>
        <v/>
      </c>
      <c r="B290" s="24">
        <f>IF(IFERROR(MATCH(274,ChqRankU,0),0)=0,"",INDEX(ChqNorm,IFERROR(MATCH(274,ChqRankU,0),0)))</f>
        <v/>
      </c>
      <c r="C290" s="24">
        <f>IF(IFERROR(MATCH(274,ChqRankU,0),0)=0,"",INDEX(ChqNo,IFERROR(MATCH(274,ChqRankU,0),0)))</f>
        <v/>
      </c>
      <c r="D290" s="25">
        <f>IF(IFERROR(MATCH(274,ChqRankU,0),0)=0,"",IF(INDEX(ChqAmt,IFERROR(MATCH(274,ChqRankU,0),0))=0,"",INDEX(ChqAmt,IFERROR(MATCH(274,ChqRankU,0),0))))</f>
        <v/>
      </c>
      <c r="E290" s="17">
        <f>IF(IFERROR(MATCH(274,ChqRankU,0),0)=0,"",INDEX(ChqStatus,IFERROR(MATCH(274,ChqRankU,0),0)))</f>
        <v/>
      </c>
      <c r="F290" s="24">
        <f>IF(IFERROR(MATCH(274,ChqRankU,0),0)=0,"",IF(INDEX(ChqStatus,IFERROR(MATCH(274,ChqRankU,0),0))="پاس نشده","—",IF(INDEX(ChqClr,IFERROR(MATCH(274,ChqRankU,0),0))="","—",INDEX(ChqClr,IFERROR(MATCH(274,ChqRankU,0),0)))))</f>
        <v/>
      </c>
      <c r="I290">
        <f>IF(274&gt;NChq,"",INDEX(ChqNorm,274))</f>
        <v/>
      </c>
      <c r="J290">
        <f>IF($I290="","",IF(AND($I290&gt;=$H$3,$I290&lt;=$H$4,INDEX(ChqStatus,274)="پاس نشده"),1,0))</f>
        <v/>
      </c>
      <c r="K290">
        <f>IF($J290=0,"",INDEX(ChqKey,274))</f>
        <v/>
      </c>
      <c r="L290">
        <f>IF($K290="","",COUNTIFS($J$17:$J$516,1,$K$17:$K$516,"&lt;"&amp;$K290)+1)</f>
        <v/>
      </c>
    </row>
    <row r="291">
      <c r="A291" s="10">
        <f>IF(IFERROR(MATCH(275,ChqRankU,0),0)=0,"",275)</f>
        <v/>
      </c>
      <c r="B291" s="22">
        <f>IF(IFERROR(MATCH(275,ChqRankU,0),0)=0,"",INDEX(ChqNorm,IFERROR(MATCH(275,ChqRankU,0),0)))</f>
        <v/>
      </c>
      <c r="C291" s="22">
        <f>IF(IFERROR(MATCH(275,ChqRankU,0),0)=0,"",INDEX(ChqNo,IFERROR(MATCH(275,ChqRankU,0),0)))</f>
        <v/>
      </c>
      <c r="D291" s="23">
        <f>IF(IFERROR(MATCH(275,ChqRankU,0),0)=0,"",IF(INDEX(ChqAmt,IFERROR(MATCH(275,ChqRankU,0),0))=0,"",INDEX(ChqAmt,IFERROR(MATCH(275,ChqRankU,0),0))))</f>
        <v/>
      </c>
      <c r="E291" s="14">
        <f>IF(IFERROR(MATCH(275,ChqRankU,0),0)=0,"",INDEX(ChqStatus,IFERROR(MATCH(275,ChqRankU,0),0)))</f>
        <v/>
      </c>
      <c r="F291" s="22">
        <f>IF(IFERROR(MATCH(275,ChqRankU,0),0)=0,"",IF(INDEX(ChqStatus,IFERROR(MATCH(275,ChqRankU,0),0))="پاس نشده","—",IF(INDEX(ChqClr,IFERROR(MATCH(275,ChqRankU,0),0))="","—",INDEX(ChqClr,IFERROR(MATCH(275,ChqRankU,0),0)))))</f>
        <v/>
      </c>
      <c r="I291">
        <f>IF(275&gt;NChq,"",INDEX(ChqNorm,275))</f>
        <v/>
      </c>
      <c r="J291">
        <f>IF($I291="","",IF(AND($I291&gt;=$H$3,$I291&lt;=$H$4,INDEX(ChqStatus,275)="پاس نشده"),1,0))</f>
        <v/>
      </c>
      <c r="K291">
        <f>IF($J291=0,"",INDEX(ChqKey,275))</f>
        <v/>
      </c>
      <c r="L291">
        <f>IF($K291="","",COUNTIFS($J$17:$J$516,1,$K$17:$K$516,"&lt;"&amp;$K291)+1)</f>
        <v/>
      </c>
    </row>
    <row r="292">
      <c r="A292" s="16">
        <f>IF(IFERROR(MATCH(276,ChqRankU,0),0)=0,"",276)</f>
        <v/>
      </c>
      <c r="B292" s="24">
        <f>IF(IFERROR(MATCH(276,ChqRankU,0),0)=0,"",INDEX(ChqNorm,IFERROR(MATCH(276,ChqRankU,0),0)))</f>
        <v/>
      </c>
      <c r="C292" s="24">
        <f>IF(IFERROR(MATCH(276,ChqRankU,0),0)=0,"",INDEX(ChqNo,IFERROR(MATCH(276,ChqRankU,0),0)))</f>
        <v/>
      </c>
      <c r="D292" s="25">
        <f>IF(IFERROR(MATCH(276,ChqRankU,0),0)=0,"",IF(INDEX(ChqAmt,IFERROR(MATCH(276,ChqRankU,0),0))=0,"",INDEX(ChqAmt,IFERROR(MATCH(276,ChqRankU,0),0))))</f>
        <v/>
      </c>
      <c r="E292" s="17">
        <f>IF(IFERROR(MATCH(276,ChqRankU,0),0)=0,"",INDEX(ChqStatus,IFERROR(MATCH(276,ChqRankU,0),0)))</f>
        <v/>
      </c>
      <c r="F292" s="24">
        <f>IF(IFERROR(MATCH(276,ChqRankU,0),0)=0,"",IF(INDEX(ChqStatus,IFERROR(MATCH(276,ChqRankU,0),0))="پاس نشده","—",IF(INDEX(ChqClr,IFERROR(MATCH(276,ChqRankU,0),0))="","—",INDEX(ChqClr,IFERROR(MATCH(276,ChqRankU,0),0)))))</f>
        <v/>
      </c>
      <c r="I292">
        <f>IF(276&gt;NChq,"",INDEX(ChqNorm,276))</f>
        <v/>
      </c>
      <c r="J292">
        <f>IF($I292="","",IF(AND($I292&gt;=$H$3,$I292&lt;=$H$4,INDEX(ChqStatus,276)="پاس نشده"),1,0))</f>
        <v/>
      </c>
      <c r="K292">
        <f>IF($J292=0,"",INDEX(ChqKey,276))</f>
        <v/>
      </c>
      <c r="L292">
        <f>IF($K292="","",COUNTIFS($J$17:$J$516,1,$K$17:$K$516,"&lt;"&amp;$K292)+1)</f>
        <v/>
      </c>
    </row>
    <row r="293">
      <c r="A293" s="10">
        <f>IF(IFERROR(MATCH(277,ChqRankU,0),0)=0,"",277)</f>
        <v/>
      </c>
      <c r="B293" s="22">
        <f>IF(IFERROR(MATCH(277,ChqRankU,0),0)=0,"",INDEX(ChqNorm,IFERROR(MATCH(277,ChqRankU,0),0)))</f>
        <v/>
      </c>
      <c r="C293" s="22">
        <f>IF(IFERROR(MATCH(277,ChqRankU,0),0)=0,"",INDEX(ChqNo,IFERROR(MATCH(277,ChqRankU,0),0)))</f>
        <v/>
      </c>
      <c r="D293" s="23">
        <f>IF(IFERROR(MATCH(277,ChqRankU,0),0)=0,"",IF(INDEX(ChqAmt,IFERROR(MATCH(277,ChqRankU,0),0))=0,"",INDEX(ChqAmt,IFERROR(MATCH(277,ChqRankU,0),0))))</f>
        <v/>
      </c>
      <c r="E293" s="14">
        <f>IF(IFERROR(MATCH(277,ChqRankU,0),0)=0,"",INDEX(ChqStatus,IFERROR(MATCH(277,ChqRankU,0),0)))</f>
        <v/>
      </c>
      <c r="F293" s="22">
        <f>IF(IFERROR(MATCH(277,ChqRankU,0),0)=0,"",IF(INDEX(ChqStatus,IFERROR(MATCH(277,ChqRankU,0),0))="پاس نشده","—",IF(INDEX(ChqClr,IFERROR(MATCH(277,ChqRankU,0),0))="","—",INDEX(ChqClr,IFERROR(MATCH(277,ChqRankU,0),0)))))</f>
        <v/>
      </c>
      <c r="I293">
        <f>IF(277&gt;NChq,"",INDEX(ChqNorm,277))</f>
        <v/>
      </c>
      <c r="J293">
        <f>IF($I293="","",IF(AND($I293&gt;=$H$3,$I293&lt;=$H$4,INDEX(ChqStatus,277)="پاس نشده"),1,0))</f>
        <v/>
      </c>
      <c r="K293">
        <f>IF($J293=0,"",INDEX(ChqKey,277))</f>
        <v/>
      </c>
      <c r="L293">
        <f>IF($K293="","",COUNTIFS($J$17:$J$516,1,$K$17:$K$516,"&lt;"&amp;$K293)+1)</f>
        <v/>
      </c>
    </row>
    <row r="294">
      <c r="A294" s="16">
        <f>IF(IFERROR(MATCH(278,ChqRankU,0),0)=0,"",278)</f>
        <v/>
      </c>
      <c r="B294" s="24">
        <f>IF(IFERROR(MATCH(278,ChqRankU,0),0)=0,"",INDEX(ChqNorm,IFERROR(MATCH(278,ChqRankU,0),0)))</f>
        <v/>
      </c>
      <c r="C294" s="24">
        <f>IF(IFERROR(MATCH(278,ChqRankU,0),0)=0,"",INDEX(ChqNo,IFERROR(MATCH(278,ChqRankU,0),0)))</f>
        <v/>
      </c>
      <c r="D294" s="25">
        <f>IF(IFERROR(MATCH(278,ChqRankU,0),0)=0,"",IF(INDEX(ChqAmt,IFERROR(MATCH(278,ChqRankU,0),0))=0,"",INDEX(ChqAmt,IFERROR(MATCH(278,ChqRankU,0),0))))</f>
        <v/>
      </c>
      <c r="E294" s="17">
        <f>IF(IFERROR(MATCH(278,ChqRankU,0),0)=0,"",INDEX(ChqStatus,IFERROR(MATCH(278,ChqRankU,0),0)))</f>
        <v/>
      </c>
      <c r="F294" s="24">
        <f>IF(IFERROR(MATCH(278,ChqRankU,0),0)=0,"",IF(INDEX(ChqStatus,IFERROR(MATCH(278,ChqRankU,0),0))="پاس نشده","—",IF(INDEX(ChqClr,IFERROR(MATCH(278,ChqRankU,0),0))="","—",INDEX(ChqClr,IFERROR(MATCH(278,ChqRankU,0),0)))))</f>
        <v/>
      </c>
      <c r="I294">
        <f>IF(278&gt;NChq,"",INDEX(ChqNorm,278))</f>
        <v/>
      </c>
      <c r="J294">
        <f>IF($I294="","",IF(AND($I294&gt;=$H$3,$I294&lt;=$H$4,INDEX(ChqStatus,278)="پاس نشده"),1,0))</f>
        <v/>
      </c>
      <c r="K294">
        <f>IF($J294=0,"",INDEX(ChqKey,278))</f>
        <v/>
      </c>
      <c r="L294">
        <f>IF($K294="","",COUNTIFS($J$17:$J$516,1,$K$17:$K$516,"&lt;"&amp;$K294)+1)</f>
        <v/>
      </c>
    </row>
    <row r="295">
      <c r="A295" s="10">
        <f>IF(IFERROR(MATCH(279,ChqRankU,0),0)=0,"",279)</f>
        <v/>
      </c>
      <c r="B295" s="22">
        <f>IF(IFERROR(MATCH(279,ChqRankU,0),0)=0,"",INDEX(ChqNorm,IFERROR(MATCH(279,ChqRankU,0),0)))</f>
        <v/>
      </c>
      <c r="C295" s="22">
        <f>IF(IFERROR(MATCH(279,ChqRankU,0),0)=0,"",INDEX(ChqNo,IFERROR(MATCH(279,ChqRankU,0),0)))</f>
        <v/>
      </c>
      <c r="D295" s="23">
        <f>IF(IFERROR(MATCH(279,ChqRankU,0),0)=0,"",IF(INDEX(ChqAmt,IFERROR(MATCH(279,ChqRankU,0),0))=0,"",INDEX(ChqAmt,IFERROR(MATCH(279,ChqRankU,0),0))))</f>
        <v/>
      </c>
      <c r="E295" s="14">
        <f>IF(IFERROR(MATCH(279,ChqRankU,0),0)=0,"",INDEX(ChqStatus,IFERROR(MATCH(279,ChqRankU,0),0)))</f>
        <v/>
      </c>
      <c r="F295" s="22">
        <f>IF(IFERROR(MATCH(279,ChqRankU,0),0)=0,"",IF(INDEX(ChqStatus,IFERROR(MATCH(279,ChqRankU,0),0))="پاس نشده","—",IF(INDEX(ChqClr,IFERROR(MATCH(279,ChqRankU,0),0))="","—",INDEX(ChqClr,IFERROR(MATCH(279,ChqRankU,0),0)))))</f>
        <v/>
      </c>
      <c r="I295">
        <f>IF(279&gt;NChq,"",INDEX(ChqNorm,279))</f>
        <v/>
      </c>
      <c r="J295">
        <f>IF($I295="","",IF(AND($I295&gt;=$H$3,$I295&lt;=$H$4,INDEX(ChqStatus,279)="پاس نشده"),1,0))</f>
        <v/>
      </c>
      <c r="K295">
        <f>IF($J295=0,"",INDEX(ChqKey,279))</f>
        <v/>
      </c>
      <c r="L295">
        <f>IF($K295="","",COUNTIFS($J$17:$J$516,1,$K$17:$K$516,"&lt;"&amp;$K295)+1)</f>
        <v/>
      </c>
    </row>
    <row r="296">
      <c r="A296" s="16">
        <f>IF(IFERROR(MATCH(280,ChqRankU,0),0)=0,"",280)</f>
        <v/>
      </c>
      <c r="B296" s="24">
        <f>IF(IFERROR(MATCH(280,ChqRankU,0),0)=0,"",INDEX(ChqNorm,IFERROR(MATCH(280,ChqRankU,0),0)))</f>
        <v/>
      </c>
      <c r="C296" s="24">
        <f>IF(IFERROR(MATCH(280,ChqRankU,0),0)=0,"",INDEX(ChqNo,IFERROR(MATCH(280,ChqRankU,0),0)))</f>
        <v/>
      </c>
      <c r="D296" s="25">
        <f>IF(IFERROR(MATCH(280,ChqRankU,0),0)=0,"",IF(INDEX(ChqAmt,IFERROR(MATCH(280,ChqRankU,0),0))=0,"",INDEX(ChqAmt,IFERROR(MATCH(280,ChqRankU,0),0))))</f>
        <v/>
      </c>
      <c r="E296" s="17">
        <f>IF(IFERROR(MATCH(280,ChqRankU,0),0)=0,"",INDEX(ChqStatus,IFERROR(MATCH(280,ChqRankU,0),0)))</f>
        <v/>
      </c>
      <c r="F296" s="24">
        <f>IF(IFERROR(MATCH(280,ChqRankU,0),0)=0,"",IF(INDEX(ChqStatus,IFERROR(MATCH(280,ChqRankU,0),0))="پاس نشده","—",IF(INDEX(ChqClr,IFERROR(MATCH(280,ChqRankU,0),0))="","—",INDEX(ChqClr,IFERROR(MATCH(280,ChqRankU,0),0)))))</f>
        <v/>
      </c>
      <c r="I296">
        <f>IF(280&gt;NChq,"",INDEX(ChqNorm,280))</f>
        <v/>
      </c>
      <c r="J296">
        <f>IF($I296="","",IF(AND($I296&gt;=$H$3,$I296&lt;=$H$4,INDEX(ChqStatus,280)="پاس نشده"),1,0))</f>
        <v/>
      </c>
      <c r="K296">
        <f>IF($J296=0,"",INDEX(ChqKey,280))</f>
        <v/>
      </c>
      <c r="L296">
        <f>IF($K296="","",COUNTIFS($J$17:$J$516,1,$K$17:$K$516,"&lt;"&amp;$K296)+1)</f>
        <v/>
      </c>
    </row>
    <row r="297">
      <c r="A297" s="10">
        <f>IF(IFERROR(MATCH(281,ChqRankU,0),0)=0,"",281)</f>
        <v/>
      </c>
      <c r="B297" s="22">
        <f>IF(IFERROR(MATCH(281,ChqRankU,0),0)=0,"",INDEX(ChqNorm,IFERROR(MATCH(281,ChqRankU,0),0)))</f>
        <v/>
      </c>
      <c r="C297" s="22">
        <f>IF(IFERROR(MATCH(281,ChqRankU,0),0)=0,"",INDEX(ChqNo,IFERROR(MATCH(281,ChqRankU,0),0)))</f>
        <v/>
      </c>
      <c r="D297" s="23">
        <f>IF(IFERROR(MATCH(281,ChqRankU,0),0)=0,"",IF(INDEX(ChqAmt,IFERROR(MATCH(281,ChqRankU,0),0))=0,"",INDEX(ChqAmt,IFERROR(MATCH(281,ChqRankU,0),0))))</f>
        <v/>
      </c>
      <c r="E297" s="14">
        <f>IF(IFERROR(MATCH(281,ChqRankU,0),0)=0,"",INDEX(ChqStatus,IFERROR(MATCH(281,ChqRankU,0),0)))</f>
        <v/>
      </c>
      <c r="F297" s="22">
        <f>IF(IFERROR(MATCH(281,ChqRankU,0),0)=0,"",IF(INDEX(ChqStatus,IFERROR(MATCH(281,ChqRankU,0),0))="پاس نشده","—",IF(INDEX(ChqClr,IFERROR(MATCH(281,ChqRankU,0),0))="","—",INDEX(ChqClr,IFERROR(MATCH(281,ChqRankU,0),0)))))</f>
        <v/>
      </c>
      <c r="I297">
        <f>IF(281&gt;NChq,"",INDEX(ChqNorm,281))</f>
        <v/>
      </c>
      <c r="J297">
        <f>IF($I297="","",IF(AND($I297&gt;=$H$3,$I297&lt;=$H$4,INDEX(ChqStatus,281)="پاس نشده"),1,0))</f>
        <v/>
      </c>
      <c r="K297">
        <f>IF($J297=0,"",INDEX(ChqKey,281))</f>
        <v/>
      </c>
      <c r="L297">
        <f>IF($K297="","",COUNTIFS($J$17:$J$516,1,$K$17:$K$516,"&lt;"&amp;$K297)+1)</f>
        <v/>
      </c>
    </row>
    <row r="298">
      <c r="A298" s="16">
        <f>IF(IFERROR(MATCH(282,ChqRankU,0),0)=0,"",282)</f>
        <v/>
      </c>
      <c r="B298" s="24">
        <f>IF(IFERROR(MATCH(282,ChqRankU,0),0)=0,"",INDEX(ChqNorm,IFERROR(MATCH(282,ChqRankU,0),0)))</f>
        <v/>
      </c>
      <c r="C298" s="24">
        <f>IF(IFERROR(MATCH(282,ChqRankU,0),0)=0,"",INDEX(ChqNo,IFERROR(MATCH(282,ChqRankU,0),0)))</f>
        <v/>
      </c>
      <c r="D298" s="25">
        <f>IF(IFERROR(MATCH(282,ChqRankU,0),0)=0,"",IF(INDEX(ChqAmt,IFERROR(MATCH(282,ChqRankU,0),0))=0,"",INDEX(ChqAmt,IFERROR(MATCH(282,ChqRankU,0),0))))</f>
        <v/>
      </c>
      <c r="E298" s="17">
        <f>IF(IFERROR(MATCH(282,ChqRankU,0),0)=0,"",INDEX(ChqStatus,IFERROR(MATCH(282,ChqRankU,0),0)))</f>
        <v/>
      </c>
      <c r="F298" s="24">
        <f>IF(IFERROR(MATCH(282,ChqRankU,0),0)=0,"",IF(INDEX(ChqStatus,IFERROR(MATCH(282,ChqRankU,0),0))="پاس نشده","—",IF(INDEX(ChqClr,IFERROR(MATCH(282,ChqRankU,0),0))="","—",INDEX(ChqClr,IFERROR(MATCH(282,ChqRankU,0),0)))))</f>
        <v/>
      </c>
      <c r="I298">
        <f>IF(282&gt;NChq,"",INDEX(ChqNorm,282))</f>
        <v/>
      </c>
      <c r="J298">
        <f>IF($I298="","",IF(AND($I298&gt;=$H$3,$I298&lt;=$H$4,INDEX(ChqStatus,282)="پاس نشده"),1,0))</f>
        <v/>
      </c>
      <c r="K298">
        <f>IF($J298=0,"",INDEX(ChqKey,282))</f>
        <v/>
      </c>
      <c r="L298">
        <f>IF($K298="","",COUNTIFS($J$17:$J$516,1,$K$17:$K$516,"&lt;"&amp;$K298)+1)</f>
        <v/>
      </c>
    </row>
    <row r="299">
      <c r="A299" s="10">
        <f>IF(IFERROR(MATCH(283,ChqRankU,0),0)=0,"",283)</f>
        <v/>
      </c>
      <c r="B299" s="22">
        <f>IF(IFERROR(MATCH(283,ChqRankU,0),0)=0,"",INDEX(ChqNorm,IFERROR(MATCH(283,ChqRankU,0),0)))</f>
        <v/>
      </c>
      <c r="C299" s="22">
        <f>IF(IFERROR(MATCH(283,ChqRankU,0),0)=0,"",INDEX(ChqNo,IFERROR(MATCH(283,ChqRankU,0),0)))</f>
        <v/>
      </c>
      <c r="D299" s="23">
        <f>IF(IFERROR(MATCH(283,ChqRankU,0),0)=0,"",IF(INDEX(ChqAmt,IFERROR(MATCH(283,ChqRankU,0),0))=0,"",INDEX(ChqAmt,IFERROR(MATCH(283,ChqRankU,0),0))))</f>
        <v/>
      </c>
      <c r="E299" s="14">
        <f>IF(IFERROR(MATCH(283,ChqRankU,0),0)=0,"",INDEX(ChqStatus,IFERROR(MATCH(283,ChqRankU,0),0)))</f>
        <v/>
      </c>
      <c r="F299" s="22">
        <f>IF(IFERROR(MATCH(283,ChqRankU,0),0)=0,"",IF(INDEX(ChqStatus,IFERROR(MATCH(283,ChqRankU,0),0))="پاس نشده","—",IF(INDEX(ChqClr,IFERROR(MATCH(283,ChqRankU,0),0))="","—",INDEX(ChqClr,IFERROR(MATCH(283,ChqRankU,0),0)))))</f>
        <v/>
      </c>
      <c r="I299">
        <f>IF(283&gt;NChq,"",INDEX(ChqNorm,283))</f>
        <v/>
      </c>
      <c r="J299">
        <f>IF($I299="","",IF(AND($I299&gt;=$H$3,$I299&lt;=$H$4,INDEX(ChqStatus,283)="پاس نشده"),1,0))</f>
        <v/>
      </c>
      <c r="K299">
        <f>IF($J299=0,"",INDEX(ChqKey,283))</f>
        <v/>
      </c>
      <c r="L299">
        <f>IF($K299="","",COUNTIFS($J$17:$J$516,1,$K$17:$K$516,"&lt;"&amp;$K299)+1)</f>
        <v/>
      </c>
    </row>
    <row r="300">
      <c r="A300" s="16">
        <f>IF(IFERROR(MATCH(284,ChqRankU,0),0)=0,"",284)</f>
        <v/>
      </c>
      <c r="B300" s="24">
        <f>IF(IFERROR(MATCH(284,ChqRankU,0),0)=0,"",INDEX(ChqNorm,IFERROR(MATCH(284,ChqRankU,0),0)))</f>
        <v/>
      </c>
      <c r="C300" s="24">
        <f>IF(IFERROR(MATCH(284,ChqRankU,0),0)=0,"",INDEX(ChqNo,IFERROR(MATCH(284,ChqRankU,0),0)))</f>
        <v/>
      </c>
      <c r="D300" s="25">
        <f>IF(IFERROR(MATCH(284,ChqRankU,0),0)=0,"",IF(INDEX(ChqAmt,IFERROR(MATCH(284,ChqRankU,0),0))=0,"",INDEX(ChqAmt,IFERROR(MATCH(284,ChqRankU,0),0))))</f>
        <v/>
      </c>
      <c r="E300" s="17">
        <f>IF(IFERROR(MATCH(284,ChqRankU,0),0)=0,"",INDEX(ChqStatus,IFERROR(MATCH(284,ChqRankU,0),0)))</f>
        <v/>
      </c>
      <c r="F300" s="24">
        <f>IF(IFERROR(MATCH(284,ChqRankU,0),0)=0,"",IF(INDEX(ChqStatus,IFERROR(MATCH(284,ChqRankU,0),0))="پاس نشده","—",IF(INDEX(ChqClr,IFERROR(MATCH(284,ChqRankU,0),0))="","—",INDEX(ChqClr,IFERROR(MATCH(284,ChqRankU,0),0)))))</f>
        <v/>
      </c>
      <c r="I300">
        <f>IF(284&gt;NChq,"",INDEX(ChqNorm,284))</f>
        <v/>
      </c>
      <c r="J300">
        <f>IF($I300="","",IF(AND($I300&gt;=$H$3,$I300&lt;=$H$4,INDEX(ChqStatus,284)="پاس نشده"),1,0))</f>
        <v/>
      </c>
      <c r="K300">
        <f>IF($J300=0,"",INDEX(ChqKey,284))</f>
        <v/>
      </c>
      <c r="L300">
        <f>IF($K300="","",COUNTIFS($J$17:$J$516,1,$K$17:$K$516,"&lt;"&amp;$K300)+1)</f>
        <v/>
      </c>
    </row>
    <row r="301">
      <c r="A301" s="10">
        <f>IF(IFERROR(MATCH(285,ChqRankU,0),0)=0,"",285)</f>
        <v/>
      </c>
      <c r="B301" s="22">
        <f>IF(IFERROR(MATCH(285,ChqRankU,0),0)=0,"",INDEX(ChqNorm,IFERROR(MATCH(285,ChqRankU,0),0)))</f>
        <v/>
      </c>
      <c r="C301" s="22">
        <f>IF(IFERROR(MATCH(285,ChqRankU,0),0)=0,"",INDEX(ChqNo,IFERROR(MATCH(285,ChqRankU,0),0)))</f>
        <v/>
      </c>
      <c r="D301" s="23">
        <f>IF(IFERROR(MATCH(285,ChqRankU,0),0)=0,"",IF(INDEX(ChqAmt,IFERROR(MATCH(285,ChqRankU,0),0))=0,"",INDEX(ChqAmt,IFERROR(MATCH(285,ChqRankU,0),0))))</f>
        <v/>
      </c>
      <c r="E301" s="14">
        <f>IF(IFERROR(MATCH(285,ChqRankU,0),0)=0,"",INDEX(ChqStatus,IFERROR(MATCH(285,ChqRankU,0),0)))</f>
        <v/>
      </c>
      <c r="F301" s="22">
        <f>IF(IFERROR(MATCH(285,ChqRankU,0),0)=0,"",IF(INDEX(ChqStatus,IFERROR(MATCH(285,ChqRankU,0),0))="پاس نشده","—",IF(INDEX(ChqClr,IFERROR(MATCH(285,ChqRankU,0),0))="","—",INDEX(ChqClr,IFERROR(MATCH(285,ChqRankU,0),0)))))</f>
        <v/>
      </c>
      <c r="I301">
        <f>IF(285&gt;NChq,"",INDEX(ChqNorm,285))</f>
        <v/>
      </c>
      <c r="J301">
        <f>IF($I301="","",IF(AND($I301&gt;=$H$3,$I301&lt;=$H$4,INDEX(ChqStatus,285)="پاس نشده"),1,0))</f>
        <v/>
      </c>
      <c r="K301">
        <f>IF($J301=0,"",INDEX(ChqKey,285))</f>
        <v/>
      </c>
      <c r="L301">
        <f>IF($K301="","",COUNTIFS($J$17:$J$516,1,$K$17:$K$516,"&lt;"&amp;$K301)+1)</f>
        <v/>
      </c>
    </row>
    <row r="302">
      <c r="A302" s="16">
        <f>IF(IFERROR(MATCH(286,ChqRankU,0),0)=0,"",286)</f>
        <v/>
      </c>
      <c r="B302" s="24">
        <f>IF(IFERROR(MATCH(286,ChqRankU,0),0)=0,"",INDEX(ChqNorm,IFERROR(MATCH(286,ChqRankU,0),0)))</f>
        <v/>
      </c>
      <c r="C302" s="24">
        <f>IF(IFERROR(MATCH(286,ChqRankU,0),0)=0,"",INDEX(ChqNo,IFERROR(MATCH(286,ChqRankU,0),0)))</f>
        <v/>
      </c>
      <c r="D302" s="25">
        <f>IF(IFERROR(MATCH(286,ChqRankU,0),0)=0,"",IF(INDEX(ChqAmt,IFERROR(MATCH(286,ChqRankU,0),0))=0,"",INDEX(ChqAmt,IFERROR(MATCH(286,ChqRankU,0),0))))</f>
        <v/>
      </c>
      <c r="E302" s="17">
        <f>IF(IFERROR(MATCH(286,ChqRankU,0),0)=0,"",INDEX(ChqStatus,IFERROR(MATCH(286,ChqRankU,0),0)))</f>
        <v/>
      </c>
      <c r="F302" s="24">
        <f>IF(IFERROR(MATCH(286,ChqRankU,0),0)=0,"",IF(INDEX(ChqStatus,IFERROR(MATCH(286,ChqRankU,0),0))="پاس نشده","—",IF(INDEX(ChqClr,IFERROR(MATCH(286,ChqRankU,0),0))="","—",INDEX(ChqClr,IFERROR(MATCH(286,ChqRankU,0),0)))))</f>
        <v/>
      </c>
      <c r="I302">
        <f>IF(286&gt;NChq,"",INDEX(ChqNorm,286))</f>
        <v/>
      </c>
      <c r="J302">
        <f>IF($I302="","",IF(AND($I302&gt;=$H$3,$I302&lt;=$H$4,INDEX(ChqStatus,286)="پاس نشده"),1,0))</f>
        <v/>
      </c>
      <c r="K302">
        <f>IF($J302=0,"",INDEX(ChqKey,286))</f>
        <v/>
      </c>
      <c r="L302">
        <f>IF($K302="","",COUNTIFS($J$17:$J$516,1,$K$17:$K$516,"&lt;"&amp;$K302)+1)</f>
        <v/>
      </c>
    </row>
    <row r="303">
      <c r="A303" s="10">
        <f>IF(IFERROR(MATCH(287,ChqRankU,0),0)=0,"",287)</f>
        <v/>
      </c>
      <c r="B303" s="22">
        <f>IF(IFERROR(MATCH(287,ChqRankU,0),0)=0,"",INDEX(ChqNorm,IFERROR(MATCH(287,ChqRankU,0),0)))</f>
        <v/>
      </c>
      <c r="C303" s="22">
        <f>IF(IFERROR(MATCH(287,ChqRankU,0),0)=0,"",INDEX(ChqNo,IFERROR(MATCH(287,ChqRankU,0),0)))</f>
        <v/>
      </c>
      <c r="D303" s="23">
        <f>IF(IFERROR(MATCH(287,ChqRankU,0),0)=0,"",IF(INDEX(ChqAmt,IFERROR(MATCH(287,ChqRankU,0),0))=0,"",INDEX(ChqAmt,IFERROR(MATCH(287,ChqRankU,0),0))))</f>
        <v/>
      </c>
      <c r="E303" s="14">
        <f>IF(IFERROR(MATCH(287,ChqRankU,0),0)=0,"",INDEX(ChqStatus,IFERROR(MATCH(287,ChqRankU,0),0)))</f>
        <v/>
      </c>
      <c r="F303" s="22">
        <f>IF(IFERROR(MATCH(287,ChqRankU,0),0)=0,"",IF(INDEX(ChqStatus,IFERROR(MATCH(287,ChqRankU,0),0))="پاس نشده","—",IF(INDEX(ChqClr,IFERROR(MATCH(287,ChqRankU,0),0))="","—",INDEX(ChqClr,IFERROR(MATCH(287,ChqRankU,0),0)))))</f>
        <v/>
      </c>
      <c r="I303">
        <f>IF(287&gt;NChq,"",INDEX(ChqNorm,287))</f>
        <v/>
      </c>
      <c r="J303">
        <f>IF($I303="","",IF(AND($I303&gt;=$H$3,$I303&lt;=$H$4,INDEX(ChqStatus,287)="پاس نشده"),1,0))</f>
        <v/>
      </c>
      <c r="K303">
        <f>IF($J303=0,"",INDEX(ChqKey,287))</f>
        <v/>
      </c>
      <c r="L303">
        <f>IF($K303="","",COUNTIFS($J$17:$J$516,1,$K$17:$K$516,"&lt;"&amp;$K303)+1)</f>
        <v/>
      </c>
    </row>
    <row r="304">
      <c r="A304" s="16">
        <f>IF(IFERROR(MATCH(288,ChqRankU,0),0)=0,"",288)</f>
        <v/>
      </c>
      <c r="B304" s="24">
        <f>IF(IFERROR(MATCH(288,ChqRankU,0),0)=0,"",INDEX(ChqNorm,IFERROR(MATCH(288,ChqRankU,0),0)))</f>
        <v/>
      </c>
      <c r="C304" s="24">
        <f>IF(IFERROR(MATCH(288,ChqRankU,0),0)=0,"",INDEX(ChqNo,IFERROR(MATCH(288,ChqRankU,0),0)))</f>
        <v/>
      </c>
      <c r="D304" s="25">
        <f>IF(IFERROR(MATCH(288,ChqRankU,0),0)=0,"",IF(INDEX(ChqAmt,IFERROR(MATCH(288,ChqRankU,0),0))=0,"",INDEX(ChqAmt,IFERROR(MATCH(288,ChqRankU,0),0))))</f>
        <v/>
      </c>
      <c r="E304" s="17">
        <f>IF(IFERROR(MATCH(288,ChqRankU,0),0)=0,"",INDEX(ChqStatus,IFERROR(MATCH(288,ChqRankU,0),0)))</f>
        <v/>
      </c>
      <c r="F304" s="24">
        <f>IF(IFERROR(MATCH(288,ChqRankU,0),0)=0,"",IF(INDEX(ChqStatus,IFERROR(MATCH(288,ChqRankU,0),0))="پاس نشده","—",IF(INDEX(ChqClr,IFERROR(MATCH(288,ChqRankU,0),0))="","—",INDEX(ChqClr,IFERROR(MATCH(288,ChqRankU,0),0)))))</f>
        <v/>
      </c>
      <c r="I304">
        <f>IF(288&gt;NChq,"",INDEX(ChqNorm,288))</f>
        <v/>
      </c>
      <c r="J304">
        <f>IF($I304="","",IF(AND($I304&gt;=$H$3,$I304&lt;=$H$4,INDEX(ChqStatus,288)="پاس نشده"),1,0))</f>
        <v/>
      </c>
      <c r="K304">
        <f>IF($J304=0,"",INDEX(ChqKey,288))</f>
        <v/>
      </c>
      <c r="L304">
        <f>IF($K304="","",COUNTIFS($J$17:$J$516,1,$K$17:$K$516,"&lt;"&amp;$K304)+1)</f>
        <v/>
      </c>
    </row>
    <row r="305">
      <c r="A305" s="10">
        <f>IF(IFERROR(MATCH(289,ChqRankU,0),0)=0,"",289)</f>
        <v/>
      </c>
      <c r="B305" s="22">
        <f>IF(IFERROR(MATCH(289,ChqRankU,0),0)=0,"",INDEX(ChqNorm,IFERROR(MATCH(289,ChqRankU,0),0)))</f>
        <v/>
      </c>
      <c r="C305" s="22">
        <f>IF(IFERROR(MATCH(289,ChqRankU,0),0)=0,"",INDEX(ChqNo,IFERROR(MATCH(289,ChqRankU,0),0)))</f>
        <v/>
      </c>
      <c r="D305" s="23">
        <f>IF(IFERROR(MATCH(289,ChqRankU,0),0)=0,"",IF(INDEX(ChqAmt,IFERROR(MATCH(289,ChqRankU,0),0))=0,"",INDEX(ChqAmt,IFERROR(MATCH(289,ChqRankU,0),0))))</f>
        <v/>
      </c>
      <c r="E305" s="14">
        <f>IF(IFERROR(MATCH(289,ChqRankU,0),0)=0,"",INDEX(ChqStatus,IFERROR(MATCH(289,ChqRankU,0),0)))</f>
        <v/>
      </c>
      <c r="F305" s="22">
        <f>IF(IFERROR(MATCH(289,ChqRankU,0),0)=0,"",IF(INDEX(ChqStatus,IFERROR(MATCH(289,ChqRankU,0),0))="پاس نشده","—",IF(INDEX(ChqClr,IFERROR(MATCH(289,ChqRankU,0),0))="","—",INDEX(ChqClr,IFERROR(MATCH(289,ChqRankU,0),0)))))</f>
        <v/>
      </c>
      <c r="I305">
        <f>IF(289&gt;NChq,"",INDEX(ChqNorm,289))</f>
        <v/>
      </c>
      <c r="J305">
        <f>IF($I305="","",IF(AND($I305&gt;=$H$3,$I305&lt;=$H$4,INDEX(ChqStatus,289)="پاس نشده"),1,0))</f>
        <v/>
      </c>
      <c r="K305">
        <f>IF($J305=0,"",INDEX(ChqKey,289))</f>
        <v/>
      </c>
      <c r="L305">
        <f>IF($K305="","",COUNTIFS($J$17:$J$516,1,$K$17:$K$516,"&lt;"&amp;$K305)+1)</f>
        <v/>
      </c>
    </row>
    <row r="306">
      <c r="A306" s="16">
        <f>IF(IFERROR(MATCH(290,ChqRankU,0),0)=0,"",290)</f>
        <v/>
      </c>
      <c r="B306" s="24">
        <f>IF(IFERROR(MATCH(290,ChqRankU,0),0)=0,"",INDEX(ChqNorm,IFERROR(MATCH(290,ChqRankU,0),0)))</f>
        <v/>
      </c>
      <c r="C306" s="24">
        <f>IF(IFERROR(MATCH(290,ChqRankU,0),0)=0,"",INDEX(ChqNo,IFERROR(MATCH(290,ChqRankU,0),0)))</f>
        <v/>
      </c>
      <c r="D306" s="25">
        <f>IF(IFERROR(MATCH(290,ChqRankU,0),0)=0,"",IF(INDEX(ChqAmt,IFERROR(MATCH(290,ChqRankU,0),0))=0,"",INDEX(ChqAmt,IFERROR(MATCH(290,ChqRankU,0),0))))</f>
        <v/>
      </c>
      <c r="E306" s="17">
        <f>IF(IFERROR(MATCH(290,ChqRankU,0),0)=0,"",INDEX(ChqStatus,IFERROR(MATCH(290,ChqRankU,0),0)))</f>
        <v/>
      </c>
      <c r="F306" s="24">
        <f>IF(IFERROR(MATCH(290,ChqRankU,0),0)=0,"",IF(INDEX(ChqStatus,IFERROR(MATCH(290,ChqRankU,0),0))="پاس نشده","—",IF(INDEX(ChqClr,IFERROR(MATCH(290,ChqRankU,0),0))="","—",INDEX(ChqClr,IFERROR(MATCH(290,ChqRankU,0),0)))))</f>
        <v/>
      </c>
      <c r="I306">
        <f>IF(290&gt;NChq,"",INDEX(ChqNorm,290))</f>
        <v/>
      </c>
      <c r="J306">
        <f>IF($I306="","",IF(AND($I306&gt;=$H$3,$I306&lt;=$H$4,INDEX(ChqStatus,290)="پاس نشده"),1,0))</f>
        <v/>
      </c>
      <c r="K306">
        <f>IF($J306=0,"",INDEX(ChqKey,290))</f>
        <v/>
      </c>
      <c r="L306">
        <f>IF($K306="","",COUNTIFS($J$17:$J$516,1,$K$17:$K$516,"&lt;"&amp;$K306)+1)</f>
        <v/>
      </c>
    </row>
    <row r="307">
      <c r="A307" s="10">
        <f>IF(IFERROR(MATCH(291,ChqRankU,0),0)=0,"",291)</f>
        <v/>
      </c>
      <c r="B307" s="22">
        <f>IF(IFERROR(MATCH(291,ChqRankU,0),0)=0,"",INDEX(ChqNorm,IFERROR(MATCH(291,ChqRankU,0),0)))</f>
        <v/>
      </c>
      <c r="C307" s="22">
        <f>IF(IFERROR(MATCH(291,ChqRankU,0),0)=0,"",INDEX(ChqNo,IFERROR(MATCH(291,ChqRankU,0),0)))</f>
        <v/>
      </c>
      <c r="D307" s="23">
        <f>IF(IFERROR(MATCH(291,ChqRankU,0),0)=0,"",IF(INDEX(ChqAmt,IFERROR(MATCH(291,ChqRankU,0),0))=0,"",INDEX(ChqAmt,IFERROR(MATCH(291,ChqRankU,0),0))))</f>
        <v/>
      </c>
      <c r="E307" s="14">
        <f>IF(IFERROR(MATCH(291,ChqRankU,0),0)=0,"",INDEX(ChqStatus,IFERROR(MATCH(291,ChqRankU,0),0)))</f>
        <v/>
      </c>
      <c r="F307" s="22">
        <f>IF(IFERROR(MATCH(291,ChqRankU,0),0)=0,"",IF(INDEX(ChqStatus,IFERROR(MATCH(291,ChqRankU,0),0))="پاس نشده","—",IF(INDEX(ChqClr,IFERROR(MATCH(291,ChqRankU,0),0))="","—",INDEX(ChqClr,IFERROR(MATCH(291,ChqRankU,0),0)))))</f>
        <v/>
      </c>
      <c r="I307">
        <f>IF(291&gt;NChq,"",INDEX(ChqNorm,291))</f>
        <v/>
      </c>
      <c r="J307">
        <f>IF($I307="","",IF(AND($I307&gt;=$H$3,$I307&lt;=$H$4,INDEX(ChqStatus,291)="پاس نشده"),1,0))</f>
        <v/>
      </c>
      <c r="K307">
        <f>IF($J307=0,"",INDEX(ChqKey,291))</f>
        <v/>
      </c>
      <c r="L307">
        <f>IF($K307="","",COUNTIFS($J$17:$J$516,1,$K$17:$K$516,"&lt;"&amp;$K307)+1)</f>
        <v/>
      </c>
    </row>
    <row r="308">
      <c r="A308" s="16">
        <f>IF(IFERROR(MATCH(292,ChqRankU,0),0)=0,"",292)</f>
        <v/>
      </c>
      <c r="B308" s="24">
        <f>IF(IFERROR(MATCH(292,ChqRankU,0),0)=0,"",INDEX(ChqNorm,IFERROR(MATCH(292,ChqRankU,0),0)))</f>
        <v/>
      </c>
      <c r="C308" s="24">
        <f>IF(IFERROR(MATCH(292,ChqRankU,0),0)=0,"",INDEX(ChqNo,IFERROR(MATCH(292,ChqRankU,0),0)))</f>
        <v/>
      </c>
      <c r="D308" s="25">
        <f>IF(IFERROR(MATCH(292,ChqRankU,0),0)=0,"",IF(INDEX(ChqAmt,IFERROR(MATCH(292,ChqRankU,0),0))=0,"",INDEX(ChqAmt,IFERROR(MATCH(292,ChqRankU,0),0))))</f>
        <v/>
      </c>
      <c r="E308" s="17">
        <f>IF(IFERROR(MATCH(292,ChqRankU,0),0)=0,"",INDEX(ChqStatus,IFERROR(MATCH(292,ChqRankU,0),0)))</f>
        <v/>
      </c>
      <c r="F308" s="24">
        <f>IF(IFERROR(MATCH(292,ChqRankU,0),0)=0,"",IF(INDEX(ChqStatus,IFERROR(MATCH(292,ChqRankU,0),0))="پاس نشده","—",IF(INDEX(ChqClr,IFERROR(MATCH(292,ChqRankU,0),0))="","—",INDEX(ChqClr,IFERROR(MATCH(292,ChqRankU,0),0)))))</f>
        <v/>
      </c>
      <c r="I308">
        <f>IF(292&gt;NChq,"",INDEX(ChqNorm,292))</f>
        <v/>
      </c>
      <c r="J308">
        <f>IF($I308="","",IF(AND($I308&gt;=$H$3,$I308&lt;=$H$4,INDEX(ChqStatus,292)="پاس نشده"),1,0))</f>
        <v/>
      </c>
      <c r="K308">
        <f>IF($J308=0,"",INDEX(ChqKey,292))</f>
        <v/>
      </c>
      <c r="L308">
        <f>IF($K308="","",COUNTIFS($J$17:$J$516,1,$K$17:$K$516,"&lt;"&amp;$K308)+1)</f>
        <v/>
      </c>
    </row>
    <row r="309">
      <c r="A309" s="10">
        <f>IF(IFERROR(MATCH(293,ChqRankU,0),0)=0,"",293)</f>
        <v/>
      </c>
      <c r="B309" s="22">
        <f>IF(IFERROR(MATCH(293,ChqRankU,0),0)=0,"",INDEX(ChqNorm,IFERROR(MATCH(293,ChqRankU,0),0)))</f>
        <v/>
      </c>
      <c r="C309" s="22">
        <f>IF(IFERROR(MATCH(293,ChqRankU,0),0)=0,"",INDEX(ChqNo,IFERROR(MATCH(293,ChqRankU,0),0)))</f>
        <v/>
      </c>
      <c r="D309" s="23">
        <f>IF(IFERROR(MATCH(293,ChqRankU,0),0)=0,"",IF(INDEX(ChqAmt,IFERROR(MATCH(293,ChqRankU,0),0))=0,"",INDEX(ChqAmt,IFERROR(MATCH(293,ChqRankU,0),0))))</f>
        <v/>
      </c>
      <c r="E309" s="14">
        <f>IF(IFERROR(MATCH(293,ChqRankU,0),0)=0,"",INDEX(ChqStatus,IFERROR(MATCH(293,ChqRankU,0),0)))</f>
        <v/>
      </c>
      <c r="F309" s="22">
        <f>IF(IFERROR(MATCH(293,ChqRankU,0),0)=0,"",IF(INDEX(ChqStatus,IFERROR(MATCH(293,ChqRankU,0),0))="پاس نشده","—",IF(INDEX(ChqClr,IFERROR(MATCH(293,ChqRankU,0),0))="","—",INDEX(ChqClr,IFERROR(MATCH(293,ChqRankU,0),0)))))</f>
        <v/>
      </c>
      <c r="I309">
        <f>IF(293&gt;NChq,"",INDEX(ChqNorm,293))</f>
        <v/>
      </c>
      <c r="J309">
        <f>IF($I309="","",IF(AND($I309&gt;=$H$3,$I309&lt;=$H$4,INDEX(ChqStatus,293)="پاس نشده"),1,0))</f>
        <v/>
      </c>
      <c r="K309">
        <f>IF($J309=0,"",INDEX(ChqKey,293))</f>
        <v/>
      </c>
      <c r="L309">
        <f>IF($K309="","",COUNTIFS($J$17:$J$516,1,$K$17:$K$516,"&lt;"&amp;$K309)+1)</f>
        <v/>
      </c>
    </row>
    <row r="310">
      <c r="A310" s="16">
        <f>IF(IFERROR(MATCH(294,ChqRankU,0),0)=0,"",294)</f>
        <v/>
      </c>
      <c r="B310" s="24">
        <f>IF(IFERROR(MATCH(294,ChqRankU,0),0)=0,"",INDEX(ChqNorm,IFERROR(MATCH(294,ChqRankU,0),0)))</f>
        <v/>
      </c>
      <c r="C310" s="24">
        <f>IF(IFERROR(MATCH(294,ChqRankU,0),0)=0,"",INDEX(ChqNo,IFERROR(MATCH(294,ChqRankU,0),0)))</f>
        <v/>
      </c>
      <c r="D310" s="25">
        <f>IF(IFERROR(MATCH(294,ChqRankU,0),0)=0,"",IF(INDEX(ChqAmt,IFERROR(MATCH(294,ChqRankU,0),0))=0,"",INDEX(ChqAmt,IFERROR(MATCH(294,ChqRankU,0),0))))</f>
        <v/>
      </c>
      <c r="E310" s="17">
        <f>IF(IFERROR(MATCH(294,ChqRankU,0),0)=0,"",INDEX(ChqStatus,IFERROR(MATCH(294,ChqRankU,0),0)))</f>
        <v/>
      </c>
      <c r="F310" s="24">
        <f>IF(IFERROR(MATCH(294,ChqRankU,0),0)=0,"",IF(INDEX(ChqStatus,IFERROR(MATCH(294,ChqRankU,0),0))="پاس نشده","—",IF(INDEX(ChqClr,IFERROR(MATCH(294,ChqRankU,0),0))="","—",INDEX(ChqClr,IFERROR(MATCH(294,ChqRankU,0),0)))))</f>
        <v/>
      </c>
      <c r="I310">
        <f>IF(294&gt;NChq,"",INDEX(ChqNorm,294))</f>
        <v/>
      </c>
      <c r="J310">
        <f>IF($I310="","",IF(AND($I310&gt;=$H$3,$I310&lt;=$H$4,INDEX(ChqStatus,294)="پاس نشده"),1,0))</f>
        <v/>
      </c>
      <c r="K310">
        <f>IF($J310=0,"",INDEX(ChqKey,294))</f>
        <v/>
      </c>
      <c r="L310">
        <f>IF($K310="","",COUNTIFS($J$17:$J$516,1,$K$17:$K$516,"&lt;"&amp;$K310)+1)</f>
        <v/>
      </c>
    </row>
    <row r="311">
      <c r="A311" s="10">
        <f>IF(IFERROR(MATCH(295,ChqRankU,0),0)=0,"",295)</f>
        <v/>
      </c>
      <c r="B311" s="22">
        <f>IF(IFERROR(MATCH(295,ChqRankU,0),0)=0,"",INDEX(ChqNorm,IFERROR(MATCH(295,ChqRankU,0),0)))</f>
        <v/>
      </c>
      <c r="C311" s="22">
        <f>IF(IFERROR(MATCH(295,ChqRankU,0),0)=0,"",INDEX(ChqNo,IFERROR(MATCH(295,ChqRankU,0),0)))</f>
        <v/>
      </c>
      <c r="D311" s="23">
        <f>IF(IFERROR(MATCH(295,ChqRankU,0),0)=0,"",IF(INDEX(ChqAmt,IFERROR(MATCH(295,ChqRankU,0),0))=0,"",INDEX(ChqAmt,IFERROR(MATCH(295,ChqRankU,0),0))))</f>
        <v/>
      </c>
      <c r="E311" s="14">
        <f>IF(IFERROR(MATCH(295,ChqRankU,0),0)=0,"",INDEX(ChqStatus,IFERROR(MATCH(295,ChqRankU,0),0)))</f>
        <v/>
      </c>
      <c r="F311" s="22">
        <f>IF(IFERROR(MATCH(295,ChqRankU,0),0)=0,"",IF(INDEX(ChqStatus,IFERROR(MATCH(295,ChqRankU,0),0))="پاس نشده","—",IF(INDEX(ChqClr,IFERROR(MATCH(295,ChqRankU,0),0))="","—",INDEX(ChqClr,IFERROR(MATCH(295,ChqRankU,0),0)))))</f>
        <v/>
      </c>
      <c r="I311">
        <f>IF(295&gt;NChq,"",INDEX(ChqNorm,295))</f>
        <v/>
      </c>
      <c r="J311">
        <f>IF($I311="","",IF(AND($I311&gt;=$H$3,$I311&lt;=$H$4,INDEX(ChqStatus,295)="پاس نشده"),1,0))</f>
        <v/>
      </c>
      <c r="K311">
        <f>IF($J311=0,"",INDEX(ChqKey,295))</f>
        <v/>
      </c>
      <c r="L311">
        <f>IF($K311="","",COUNTIFS($J$17:$J$516,1,$K$17:$K$516,"&lt;"&amp;$K311)+1)</f>
        <v/>
      </c>
    </row>
    <row r="312">
      <c r="A312" s="16">
        <f>IF(IFERROR(MATCH(296,ChqRankU,0),0)=0,"",296)</f>
        <v/>
      </c>
      <c r="B312" s="24">
        <f>IF(IFERROR(MATCH(296,ChqRankU,0),0)=0,"",INDEX(ChqNorm,IFERROR(MATCH(296,ChqRankU,0),0)))</f>
        <v/>
      </c>
      <c r="C312" s="24">
        <f>IF(IFERROR(MATCH(296,ChqRankU,0),0)=0,"",INDEX(ChqNo,IFERROR(MATCH(296,ChqRankU,0),0)))</f>
        <v/>
      </c>
      <c r="D312" s="25">
        <f>IF(IFERROR(MATCH(296,ChqRankU,0),0)=0,"",IF(INDEX(ChqAmt,IFERROR(MATCH(296,ChqRankU,0),0))=0,"",INDEX(ChqAmt,IFERROR(MATCH(296,ChqRankU,0),0))))</f>
        <v/>
      </c>
      <c r="E312" s="17">
        <f>IF(IFERROR(MATCH(296,ChqRankU,0),0)=0,"",INDEX(ChqStatus,IFERROR(MATCH(296,ChqRankU,0),0)))</f>
        <v/>
      </c>
      <c r="F312" s="24">
        <f>IF(IFERROR(MATCH(296,ChqRankU,0),0)=0,"",IF(INDEX(ChqStatus,IFERROR(MATCH(296,ChqRankU,0),0))="پاس نشده","—",IF(INDEX(ChqClr,IFERROR(MATCH(296,ChqRankU,0),0))="","—",INDEX(ChqClr,IFERROR(MATCH(296,ChqRankU,0),0)))))</f>
        <v/>
      </c>
      <c r="I312">
        <f>IF(296&gt;NChq,"",INDEX(ChqNorm,296))</f>
        <v/>
      </c>
      <c r="J312">
        <f>IF($I312="","",IF(AND($I312&gt;=$H$3,$I312&lt;=$H$4,INDEX(ChqStatus,296)="پاس نشده"),1,0))</f>
        <v/>
      </c>
      <c r="K312">
        <f>IF($J312=0,"",INDEX(ChqKey,296))</f>
        <v/>
      </c>
      <c r="L312">
        <f>IF($K312="","",COUNTIFS($J$17:$J$516,1,$K$17:$K$516,"&lt;"&amp;$K312)+1)</f>
        <v/>
      </c>
    </row>
    <row r="313">
      <c r="A313" s="10">
        <f>IF(IFERROR(MATCH(297,ChqRankU,0),0)=0,"",297)</f>
        <v/>
      </c>
      <c r="B313" s="22">
        <f>IF(IFERROR(MATCH(297,ChqRankU,0),0)=0,"",INDEX(ChqNorm,IFERROR(MATCH(297,ChqRankU,0),0)))</f>
        <v/>
      </c>
      <c r="C313" s="22">
        <f>IF(IFERROR(MATCH(297,ChqRankU,0),0)=0,"",INDEX(ChqNo,IFERROR(MATCH(297,ChqRankU,0),0)))</f>
        <v/>
      </c>
      <c r="D313" s="23">
        <f>IF(IFERROR(MATCH(297,ChqRankU,0),0)=0,"",IF(INDEX(ChqAmt,IFERROR(MATCH(297,ChqRankU,0),0))=0,"",INDEX(ChqAmt,IFERROR(MATCH(297,ChqRankU,0),0))))</f>
        <v/>
      </c>
      <c r="E313" s="14">
        <f>IF(IFERROR(MATCH(297,ChqRankU,0),0)=0,"",INDEX(ChqStatus,IFERROR(MATCH(297,ChqRankU,0),0)))</f>
        <v/>
      </c>
      <c r="F313" s="22">
        <f>IF(IFERROR(MATCH(297,ChqRankU,0),0)=0,"",IF(INDEX(ChqStatus,IFERROR(MATCH(297,ChqRankU,0),0))="پاس نشده","—",IF(INDEX(ChqClr,IFERROR(MATCH(297,ChqRankU,0),0))="","—",INDEX(ChqClr,IFERROR(MATCH(297,ChqRankU,0),0)))))</f>
        <v/>
      </c>
      <c r="I313">
        <f>IF(297&gt;NChq,"",INDEX(ChqNorm,297))</f>
        <v/>
      </c>
      <c r="J313">
        <f>IF($I313="","",IF(AND($I313&gt;=$H$3,$I313&lt;=$H$4,INDEX(ChqStatus,297)="پاس نشده"),1,0))</f>
        <v/>
      </c>
      <c r="K313">
        <f>IF($J313=0,"",INDEX(ChqKey,297))</f>
        <v/>
      </c>
      <c r="L313">
        <f>IF($K313="","",COUNTIFS($J$17:$J$516,1,$K$17:$K$516,"&lt;"&amp;$K313)+1)</f>
        <v/>
      </c>
    </row>
    <row r="314">
      <c r="A314" s="16">
        <f>IF(IFERROR(MATCH(298,ChqRankU,0),0)=0,"",298)</f>
        <v/>
      </c>
      <c r="B314" s="24">
        <f>IF(IFERROR(MATCH(298,ChqRankU,0),0)=0,"",INDEX(ChqNorm,IFERROR(MATCH(298,ChqRankU,0),0)))</f>
        <v/>
      </c>
      <c r="C314" s="24">
        <f>IF(IFERROR(MATCH(298,ChqRankU,0),0)=0,"",INDEX(ChqNo,IFERROR(MATCH(298,ChqRankU,0),0)))</f>
        <v/>
      </c>
      <c r="D314" s="25">
        <f>IF(IFERROR(MATCH(298,ChqRankU,0),0)=0,"",IF(INDEX(ChqAmt,IFERROR(MATCH(298,ChqRankU,0),0))=0,"",INDEX(ChqAmt,IFERROR(MATCH(298,ChqRankU,0),0))))</f>
        <v/>
      </c>
      <c r="E314" s="17">
        <f>IF(IFERROR(MATCH(298,ChqRankU,0),0)=0,"",INDEX(ChqStatus,IFERROR(MATCH(298,ChqRankU,0),0)))</f>
        <v/>
      </c>
      <c r="F314" s="24">
        <f>IF(IFERROR(MATCH(298,ChqRankU,0),0)=0,"",IF(INDEX(ChqStatus,IFERROR(MATCH(298,ChqRankU,0),0))="پاس نشده","—",IF(INDEX(ChqClr,IFERROR(MATCH(298,ChqRankU,0),0))="","—",INDEX(ChqClr,IFERROR(MATCH(298,ChqRankU,0),0)))))</f>
        <v/>
      </c>
      <c r="I314">
        <f>IF(298&gt;NChq,"",INDEX(ChqNorm,298))</f>
        <v/>
      </c>
      <c r="J314">
        <f>IF($I314="","",IF(AND($I314&gt;=$H$3,$I314&lt;=$H$4,INDEX(ChqStatus,298)="پاس نشده"),1,0))</f>
        <v/>
      </c>
      <c r="K314">
        <f>IF($J314=0,"",INDEX(ChqKey,298))</f>
        <v/>
      </c>
      <c r="L314">
        <f>IF($K314="","",COUNTIFS($J$17:$J$516,1,$K$17:$K$516,"&lt;"&amp;$K314)+1)</f>
        <v/>
      </c>
    </row>
    <row r="315">
      <c r="A315" s="10">
        <f>IF(IFERROR(MATCH(299,ChqRankU,0),0)=0,"",299)</f>
        <v/>
      </c>
      <c r="B315" s="22">
        <f>IF(IFERROR(MATCH(299,ChqRankU,0),0)=0,"",INDEX(ChqNorm,IFERROR(MATCH(299,ChqRankU,0),0)))</f>
        <v/>
      </c>
      <c r="C315" s="22">
        <f>IF(IFERROR(MATCH(299,ChqRankU,0),0)=0,"",INDEX(ChqNo,IFERROR(MATCH(299,ChqRankU,0),0)))</f>
        <v/>
      </c>
      <c r="D315" s="23">
        <f>IF(IFERROR(MATCH(299,ChqRankU,0),0)=0,"",IF(INDEX(ChqAmt,IFERROR(MATCH(299,ChqRankU,0),0))=0,"",INDEX(ChqAmt,IFERROR(MATCH(299,ChqRankU,0),0))))</f>
        <v/>
      </c>
      <c r="E315" s="14">
        <f>IF(IFERROR(MATCH(299,ChqRankU,0),0)=0,"",INDEX(ChqStatus,IFERROR(MATCH(299,ChqRankU,0),0)))</f>
        <v/>
      </c>
      <c r="F315" s="22">
        <f>IF(IFERROR(MATCH(299,ChqRankU,0),0)=0,"",IF(INDEX(ChqStatus,IFERROR(MATCH(299,ChqRankU,0),0))="پاس نشده","—",IF(INDEX(ChqClr,IFERROR(MATCH(299,ChqRankU,0),0))="","—",INDEX(ChqClr,IFERROR(MATCH(299,ChqRankU,0),0)))))</f>
        <v/>
      </c>
      <c r="I315">
        <f>IF(299&gt;NChq,"",INDEX(ChqNorm,299))</f>
        <v/>
      </c>
      <c r="J315">
        <f>IF($I315="","",IF(AND($I315&gt;=$H$3,$I315&lt;=$H$4,INDEX(ChqStatus,299)="پاس نشده"),1,0))</f>
        <v/>
      </c>
      <c r="K315">
        <f>IF($J315=0,"",INDEX(ChqKey,299))</f>
        <v/>
      </c>
      <c r="L315">
        <f>IF($K315="","",COUNTIFS($J$17:$J$516,1,$K$17:$K$516,"&lt;"&amp;$K315)+1)</f>
        <v/>
      </c>
    </row>
    <row r="316">
      <c r="A316" s="16">
        <f>IF(IFERROR(MATCH(300,ChqRankU,0),0)=0,"",300)</f>
        <v/>
      </c>
      <c r="B316" s="24">
        <f>IF(IFERROR(MATCH(300,ChqRankU,0),0)=0,"",INDEX(ChqNorm,IFERROR(MATCH(300,ChqRankU,0),0)))</f>
        <v/>
      </c>
      <c r="C316" s="24">
        <f>IF(IFERROR(MATCH(300,ChqRankU,0),0)=0,"",INDEX(ChqNo,IFERROR(MATCH(300,ChqRankU,0),0)))</f>
        <v/>
      </c>
      <c r="D316" s="25">
        <f>IF(IFERROR(MATCH(300,ChqRankU,0),0)=0,"",IF(INDEX(ChqAmt,IFERROR(MATCH(300,ChqRankU,0),0))=0,"",INDEX(ChqAmt,IFERROR(MATCH(300,ChqRankU,0),0))))</f>
        <v/>
      </c>
      <c r="E316" s="17">
        <f>IF(IFERROR(MATCH(300,ChqRankU,0),0)=0,"",INDEX(ChqStatus,IFERROR(MATCH(300,ChqRankU,0),0)))</f>
        <v/>
      </c>
      <c r="F316" s="24">
        <f>IF(IFERROR(MATCH(300,ChqRankU,0),0)=0,"",IF(INDEX(ChqStatus,IFERROR(MATCH(300,ChqRankU,0),0))="پاس نشده","—",IF(INDEX(ChqClr,IFERROR(MATCH(300,ChqRankU,0),0))="","—",INDEX(ChqClr,IFERROR(MATCH(300,ChqRankU,0),0)))))</f>
        <v/>
      </c>
      <c r="I316">
        <f>IF(300&gt;NChq,"",INDEX(ChqNorm,300))</f>
        <v/>
      </c>
      <c r="J316">
        <f>IF($I316="","",IF(AND($I316&gt;=$H$3,$I316&lt;=$H$4,INDEX(ChqStatus,300)="پاس نشده"),1,0))</f>
        <v/>
      </c>
      <c r="K316">
        <f>IF($J316=0,"",INDEX(ChqKey,300))</f>
        <v/>
      </c>
      <c r="L316">
        <f>IF($K316="","",COUNTIFS($J$17:$J$516,1,$K$17:$K$516,"&lt;"&amp;$K316)+1)</f>
        <v/>
      </c>
    </row>
    <row r="317">
      <c r="A317" s="10">
        <f>IF(IFERROR(MATCH(301,ChqRankU,0),0)=0,"",301)</f>
        <v/>
      </c>
      <c r="B317" s="22">
        <f>IF(IFERROR(MATCH(301,ChqRankU,0),0)=0,"",INDEX(ChqNorm,IFERROR(MATCH(301,ChqRankU,0),0)))</f>
        <v/>
      </c>
      <c r="C317" s="22">
        <f>IF(IFERROR(MATCH(301,ChqRankU,0),0)=0,"",INDEX(ChqNo,IFERROR(MATCH(301,ChqRankU,0),0)))</f>
        <v/>
      </c>
      <c r="D317" s="23">
        <f>IF(IFERROR(MATCH(301,ChqRankU,0),0)=0,"",IF(INDEX(ChqAmt,IFERROR(MATCH(301,ChqRankU,0),0))=0,"",INDEX(ChqAmt,IFERROR(MATCH(301,ChqRankU,0),0))))</f>
        <v/>
      </c>
      <c r="E317" s="14">
        <f>IF(IFERROR(MATCH(301,ChqRankU,0),0)=0,"",INDEX(ChqStatus,IFERROR(MATCH(301,ChqRankU,0),0)))</f>
        <v/>
      </c>
      <c r="F317" s="22">
        <f>IF(IFERROR(MATCH(301,ChqRankU,0),0)=0,"",IF(INDEX(ChqStatus,IFERROR(MATCH(301,ChqRankU,0),0))="پاس نشده","—",IF(INDEX(ChqClr,IFERROR(MATCH(301,ChqRankU,0),0))="","—",INDEX(ChqClr,IFERROR(MATCH(301,ChqRankU,0),0)))))</f>
        <v/>
      </c>
      <c r="I317">
        <f>IF(301&gt;NChq,"",INDEX(ChqNorm,301))</f>
        <v/>
      </c>
      <c r="J317">
        <f>IF($I317="","",IF(AND($I317&gt;=$H$3,$I317&lt;=$H$4,INDEX(ChqStatus,301)="پاس نشده"),1,0))</f>
        <v/>
      </c>
      <c r="K317">
        <f>IF($J317=0,"",INDEX(ChqKey,301))</f>
        <v/>
      </c>
      <c r="L317">
        <f>IF($K317="","",COUNTIFS($J$17:$J$516,1,$K$17:$K$516,"&lt;"&amp;$K317)+1)</f>
        <v/>
      </c>
    </row>
    <row r="318">
      <c r="A318" s="16">
        <f>IF(IFERROR(MATCH(302,ChqRankU,0),0)=0,"",302)</f>
        <v/>
      </c>
      <c r="B318" s="24">
        <f>IF(IFERROR(MATCH(302,ChqRankU,0),0)=0,"",INDEX(ChqNorm,IFERROR(MATCH(302,ChqRankU,0),0)))</f>
        <v/>
      </c>
      <c r="C318" s="24">
        <f>IF(IFERROR(MATCH(302,ChqRankU,0),0)=0,"",INDEX(ChqNo,IFERROR(MATCH(302,ChqRankU,0),0)))</f>
        <v/>
      </c>
      <c r="D318" s="25">
        <f>IF(IFERROR(MATCH(302,ChqRankU,0),0)=0,"",IF(INDEX(ChqAmt,IFERROR(MATCH(302,ChqRankU,0),0))=0,"",INDEX(ChqAmt,IFERROR(MATCH(302,ChqRankU,0),0))))</f>
        <v/>
      </c>
      <c r="E318" s="17">
        <f>IF(IFERROR(MATCH(302,ChqRankU,0),0)=0,"",INDEX(ChqStatus,IFERROR(MATCH(302,ChqRankU,0),0)))</f>
        <v/>
      </c>
      <c r="F318" s="24">
        <f>IF(IFERROR(MATCH(302,ChqRankU,0),0)=0,"",IF(INDEX(ChqStatus,IFERROR(MATCH(302,ChqRankU,0),0))="پاس نشده","—",IF(INDEX(ChqClr,IFERROR(MATCH(302,ChqRankU,0),0))="","—",INDEX(ChqClr,IFERROR(MATCH(302,ChqRankU,0),0)))))</f>
        <v/>
      </c>
      <c r="I318">
        <f>IF(302&gt;NChq,"",INDEX(ChqNorm,302))</f>
        <v/>
      </c>
      <c r="J318">
        <f>IF($I318="","",IF(AND($I318&gt;=$H$3,$I318&lt;=$H$4,INDEX(ChqStatus,302)="پاس نشده"),1,0))</f>
        <v/>
      </c>
      <c r="K318">
        <f>IF($J318=0,"",INDEX(ChqKey,302))</f>
        <v/>
      </c>
      <c r="L318">
        <f>IF($K318="","",COUNTIFS($J$17:$J$516,1,$K$17:$K$516,"&lt;"&amp;$K318)+1)</f>
        <v/>
      </c>
    </row>
    <row r="319">
      <c r="A319" s="10">
        <f>IF(IFERROR(MATCH(303,ChqRankU,0),0)=0,"",303)</f>
        <v/>
      </c>
      <c r="B319" s="22">
        <f>IF(IFERROR(MATCH(303,ChqRankU,0),0)=0,"",INDEX(ChqNorm,IFERROR(MATCH(303,ChqRankU,0),0)))</f>
        <v/>
      </c>
      <c r="C319" s="22">
        <f>IF(IFERROR(MATCH(303,ChqRankU,0),0)=0,"",INDEX(ChqNo,IFERROR(MATCH(303,ChqRankU,0),0)))</f>
        <v/>
      </c>
      <c r="D319" s="23">
        <f>IF(IFERROR(MATCH(303,ChqRankU,0),0)=0,"",IF(INDEX(ChqAmt,IFERROR(MATCH(303,ChqRankU,0),0))=0,"",INDEX(ChqAmt,IFERROR(MATCH(303,ChqRankU,0),0))))</f>
        <v/>
      </c>
      <c r="E319" s="14">
        <f>IF(IFERROR(MATCH(303,ChqRankU,0),0)=0,"",INDEX(ChqStatus,IFERROR(MATCH(303,ChqRankU,0),0)))</f>
        <v/>
      </c>
      <c r="F319" s="22">
        <f>IF(IFERROR(MATCH(303,ChqRankU,0),0)=0,"",IF(INDEX(ChqStatus,IFERROR(MATCH(303,ChqRankU,0),0))="پاس نشده","—",IF(INDEX(ChqClr,IFERROR(MATCH(303,ChqRankU,0),0))="","—",INDEX(ChqClr,IFERROR(MATCH(303,ChqRankU,0),0)))))</f>
        <v/>
      </c>
      <c r="I319">
        <f>IF(303&gt;NChq,"",INDEX(ChqNorm,303))</f>
        <v/>
      </c>
      <c r="J319">
        <f>IF($I319="","",IF(AND($I319&gt;=$H$3,$I319&lt;=$H$4,INDEX(ChqStatus,303)="پاس نشده"),1,0))</f>
        <v/>
      </c>
      <c r="K319">
        <f>IF($J319=0,"",INDEX(ChqKey,303))</f>
        <v/>
      </c>
      <c r="L319">
        <f>IF($K319="","",COUNTIFS($J$17:$J$516,1,$K$17:$K$516,"&lt;"&amp;$K319)+1)</f>
        <v/>
      </c>
    </row>
    <row r="320">
      <c r="A320" s="16">
        <f>IF(IFERROR(MATCH(304,ChqRankU,0),0)=0,"",304)</f>
        <v/>
      </c>
      <c r="B320" s="24">
        <f>IF(IFERROR(MATCH(304,ChqRankU,0),0)=0,"",INDEX(ChqNorm,IFERROR(MATCH(304,ChqRankU,0),0)))</f>
        <v/>
      </c>
      <c r="C320" s="24">
        <f>IF(IFERROR(MATCH(304,ChqRankU,0),0)=0,"",INDEX(ChqNo,IFERROR(MATCH(304,ChqRankU,0),0)))</f>
        <v/>
      </c>
      <c r="D320" s="25">
        <f>IF(IFERROR(MATCH(304,ChqRankU,0),0)=0,"",IF(INDEX(ChqAmt,IFERROR(MATCH(304,ChqRankU,0),0))=0,"",INDEX(ChqAmt,IFERROR(MATCH(304,ChqRankU,0),0))))</f>
        <v/>
      </c>
      <c r="E320" s="17">
        <f>IF(IFERROR(MATCH(304,ChqRankU,0),0)=0,"",INDEX(ChqStatus,IFERROR(MATCH(304,ChqRankU,0),0)))</f>
        <v/>
      </c>
      <c r="F320" s="24">
        <f>IF(IFERROR(MATCH(304,ChqRankU,0),0)=0,"",IF(INDEX(ChqStatus,IFERROR(MATCH(304,ChqRankU,0),0))="پاس نشده","—",IF(INDEX(ChqClr,IFERROR(MATCH(304,ChqRankU,0),0))="","—",INDEX(ChqClr,IFERROR(MATCH(304,ChqRankU,0),0)))))</f>
        <v/>
      </c>
      <c r="I320">
        <f>IF(304&gt;NChq,"",INDEX(ChqNorm,304))</f>
        <v/>
      </c>
      <c r="J320">
        <f>IF($I320="","",IF(AND($I320&gt;=$H$3,$I320&lt;=$H$4,INDEX(ChqStatus,304)="پاس نشده"),1,0))</f>
        <v/>
      </c>
      <c r="K320">
        <f>IF($J320=0,"",INDEX(ChqKey,304))</f>
        <v/>
      </c>
      <c r="L320">
        <f>IF($K320="","",COUNTIFS($J$17:$J$516,1,$K$17:$K$516,"&lt;"&amp;$K320)+1)</f>
        <v/>
      </c>
    </row>
    <row r="321">
      <c r="A321" s="10">
        <f>IF(IFERROR(MATCH(305,ChqRankU,0),0)=0,"",305)</f>
        <v/>
      </c>
      <c r="B321" s="22">
        <f>IF(IFERROR(MATCH(305,ChqRankU,0),0)=0,"",INDEX(ChqNorm,IFERROR(MATCH(305,ChqRankU,0),0)))</f>
        <v/>
      </c>
      <c r="C321" s="22">
        <f>IF(IFERROR(MATCH(305,ChqRankU,0),0)=0,"",INDEX(ChqNo,IFERROR(MATCH(305,ChqRankU,0),0)))</f>
        <v/>
      </c>
      <c r="D321" s="23">
        <f>IF(IFERROR(MATCH(305,ChqRankU,0),0)=0,"",IF(INDEX(ChqAmt,IFERROR(MATCH(305,ChqRankU,0),0))=0,"",INDEX(ChqAmt,IFERROR(MATCH(305,ChqRankU,0),0))))</f>
        <v/>
      </c>
      <c r="E321" s="14">
        <f>IF(IFERROR(MATCH(305,ChqRankU,0),0)=0,"",INDEX(ChqStatus,IFERROR(MATCH(305,ChqRankU,0),0)))</f>
        <v/>
      </c>
      <c r="F321" s="22">
        <f>IF(IFERROR(MATCH(305,ChqRankU,0),0)=0,"",IF(INDEX(ChqStatus,IFERROR(MATCH(305,ChqRankU,0),0))="پاس نشده","—",IF(INDEX(ChqClr,IFERROR(MATCH(305,ChqRankU,0),0))="","—",INDEX(ChqClr,IFERROR(MATCH(305,ChqRankU,0),0)))))</f>
        <v/>
      </c>
      <c r="I321">
        <f>IF(305&gt;NChq,"",INDEX(ChqNorm,305))</f>
        <v/>
      </c>
      <c r="J321">
        <f>IF($I321="","",IF(AND($I321&gt;=$H$3,$I321&lt;=$H$4,INDEX(ChqStatus,305)="پاس نشده"),1,0))</f>
        <v/>
      </c>
      <c r="K321">
        <f>IF($J321=0,"",INDEX(ChqKey,305))</f>
        <v/>
      </c>
      <c r="L321">
        <f>IF($K321="","",COUNTIFS($J$17:$J$516,1,$K$17:$K$516,"&lt;"&amp;$K321)+1)</f>
        <v/>
      </c>
    </row>
    <row r="322">
      <c r="A322" s="16">
        <f>IF(IFERROR(MATCH(306,ChqRankU,0),0)=0,"",306)</f>
        <v/>
      </c>
      <c r="B322" s="24">
        <f>IF(IFERROR(MATCH(306,ChqRankU,0),0)=0,"",INDEX(ChqNorm,IFERROR(MATCH(306,ChqRankU,0),0)))</f>
        <v/>
      </c>
      <c r="C322" s="24">
        <f>IF(IFERROR(MATCH(306,ChqRankU,0),0)=0,"",INDEX(ChqNo,IFERROR(MATCH(306,ChqRankU,0),0)))</f>
        <v/>
      </c>
      <c r="D322" s="25">
        <f>IF(IFERROR(MATCH(306,ChqRankU,0),0)=0,"",IF(INDEX(ChqAmt,IFERROR(MATCH(306,ChqRankU,0),0))=0,"",INDEX(ChqAmt,IFERROR(MATCH(306,ChqRankU,0),0))))</f>
        <v/>
      </c>
      <c r="E322" s="17">
        <f>IF(IFERROR(MATCH(306,ChqRankU,0),0)=0,"",INDEX(ChqStatus,IFERROR(MATCH(306,ChqRankU,0),0)))</f>
        <v/>
      </c>
      <c r="F322" s="24">
        <f>IF(IFERROR(MATCH(306,ChqRankU,0),0)=0,"",IF(INDEX(ChqStatus,IFERROR(MATCH(306,ChqRankU,0),0))="پاس نشده","—",IF(INDEX(ChqClr,IFERROR(MATCH(306,ChqRankU,0),0))="","—",INDEX(ChqClr,IFERROR(MATCH(306,ChqRankU,0),0)))))</f>
        <v/>
      </c>
      <c r="I322">
        <f>IF(306&gt;NChq,"",INDEX(ChqNorm,306))</f>
        <v/>
      </c>
      <c r="J322">
        <f>IF($I322="","",IF(AND($I322&gt;=$H$3,$I322&lt;=$H$4,INDEX(ChqStatus,306)="پاس نشده"),1,0))</f>
        <v/>
      </c>
      <c r="K322">
        <f>IF($J322=0,"",INDEX(ChqKey,306))</f>
        <v/>
      </c>
      <c r="L322">
        <f>IF($K322="","",COUNTIFS($J$17:$J$516,1,$K$17:$K$516,"&lt;"&amp;$K322)+1)</f>
        <v/>
      </c>
    </row>
    <row r="323">
      <c r="A323" s="10">
        <f>IF(IFERROR(MATCH(307,ChqRankU,0),0)=0,"",307)</f>
        <v/>
      </c>
      <c r="B323" s="22">
        <f>IF(IFERROR(MATCH(307,ChqRankU,0),0)=0,"",INDEX(ChqNorm,IFERROR(MATCH(307,ChqRankU,0),0)))</f>
        <v/>
      </c>
      <c r="C323" s="22">
        <f>IF(IFERROR(MATCH(307,ChqRankU,0),0)=0,"",INDEX(ChqNo,IFERROR(MATCH(307,ChqRankU,0),0)))</f>
        <v/>
      </c>
      <c r="D323" s="23">
        <f>IF(IFERROR(MATCH(307,ChqRankU,0),0)=0,"",IF(INDEX(ChqAmt,IFERROR(MATCH(307,ChqRankU,0),0))=0,"",INDEX(ChqAmt,IFERROR(MATCH(307,ChqRankU,0),0))))</f>
        <v/>
      </c>
      <c r="E323" s="14">
        <f>IF(IFERROR(MATCH(307,ChqRankU,0),0)=0,"",INDEX(ChqStatus,IFERROR(MATCH(307,ChqRankU,0),0)))</f>
        <v/>
      </c>
      <c r="F323" s="22">
        <f>IF(IFERROR(MATCH(307,ChqRankU,0),0)=0,"",IF(INDEX(ChqStatus,IFERROR(MATCH(307,ChqRankU,0),0))="پاس نشده","—",IF(INDEX(ChqClr,IFERROR(MATCH(307,ChqRankU,0),0))="","—",INDEX(ChqClr,IFERROR(MATCH(307,ChqRankU,0),0)))))</f>
        <v/>
      </c>
      <c r="I323">
        <f>IF(307&gt;NChq,"",INDEX(ChqNorm,307))</f>
        <v/>
      </c>
      <c r="J323">
        <f>IF($I323="","",IF(AND($I323&gt;=$H$3,$I323&lt;=$H$4,INDEX(ChqStatus,307)="پاس نشده"),1,0))</f>
        <v/>
      </c>
      <c r="K323">
        <f>IF($J323=0,"",INDEX(ChqKey,307))</f>
        <v/>
      </c>
      <c r="L323">
        <f>IF($K323="","",COUNTIFS($J$17:$J$516,1,$K$17:$K$516,"&lt;"&amp;$K323)+1)</f>
        <v/>
      </c>
    </row>
    <row r="324">
      <c r="A324" s="16">
        <f>IF(IFERROR(MATCH(308,ChqRankU,0),0)=0,"",308)</f>
        <v/>
      </c>
      <c r="B324" s="24">
        <f>IF(IFERROR(MATCH(308,ChqRankU,0),0)=0,"",INDEX(ChqNorm,IFERROR(MATCH(308,ChqRankU,0),0)))</f>
        <v/>
      </c>
      <c r="C324" s="24">
        <f>IF(IFERROR(MATCH(308,ChqRankU,0),0)=0,"",INDEX(ChqNo,IFERROR(MATCH(308,ChqRankU,0),0)))</f>
        <v/>
      </c>
      <c r="D324" s="25">
        <f>IF(IFERROR(MATCH(308,ChqRankU,0),0)=0,"",IF(INDEX(ChqAmt,IFERROR(MATCH(308,ChqRankU,0),0))=0,"",INDEX(ChqAmt,IFERROR(MATCH(308,ChqRankU,0),0))))</f>
        <v/>
      </c>
      <c r="E324" s="17">
        <f>IF(IFERROR(MATCH(308,ChqRankU,0),0)=0,"",INDEX(ChqStatus,IFERROR(MATCH(308,ChqRankU,0),0)))</f>
        <v/>
      </c>
      <c r="F324" s="24">
        <f>IF(IFERROR(MATCH(308,ChqRankU,0),0)=0,"",IF(INDEX(ChqStatus,IFERROR(MATCH(308,ChqRankU,0),0))="پاس نشده","—",IF(INDEX(ChqClr,IFERROR(MATCH(308,ChqRankU,0),0))="","—",INDEX(ChqClr,IFERROR(MATCH(308,ChqRankU,0),0)))))</f>
        <v/>
      </c>
      <c r="I324">
        <f>IF(308&gt;NChq,"",INDEX(ChqNorm,308))</f>
        <v/>
      </c>
      <c r="J324">
        <f>IF($I324="","",IF(AND($I324&gt;=$H$3,$I324&lt;=$H$4,INDEX(ChqStatus,308)="پاس نشده"),1,0))</f>
        <v/>
      </c>
      <c r="K324">
        <f>IF($J324=0,"",INDEX(ChqKey,308))</f>
        <v/>
      </c>
      <c r="L324">
        <f>IF($K324="","",COUNTIFS($J$17:$J$516,1,$K$17:$K$516,"&lt;"&amp;$K324)+1)</f>
        <v/>
      </c>
    </row>
    <row r="325">
      <c r="A325" s="10">
        <f>IF(IFERROR(MATCH(309,ChqRankU,0),0)=0,"",309)</f>
        <v/>
      </c>
      <c r="B325" s="22">
        <f>IF(IFERROR(MATCH(309,ChqRankU,0),0)=0,"",INDEX(ChqNorm,IFERROR(MATCH(309,ChqRankU,0),0)))</f>
        <v/>
      </c>
      <c r="C325" s="22">
        <f>IF(IFERROR(MATCH(309,ChqRankU,0),0)=0,"",INDEX(ChqNo,IFERROR(MATCH(309,ChqRankU,0),0)))</f>
        <v/>
      </c>
      <c r="D325" s="23">
        <f>IF(IFERROR(MATCH(309,ChqRankU,0),0)=0,"",IF(INDEX(ChqAmt,IFERROR(MATCH(309,ChqRankU,0),0))=0,"",INDEX(ChqAmt,IFERROR(MATCH(309,ChqRankU,0),0))))</f>
        <v/>
      </c>
      <c r="E325" s="14">
        <f>IF(IFERROR(MATCH(309,ChqRankU,0),0)=0,"",INDEX(ChqStatus,IFERROR(MATCH(309,ChqRankU,0),0)))</f>
        <v/>
      </c>
      <c r="F325" s="22">
        <f>IF(IFERROR(MATCH(309,ChqRankU,0),0)=0,"",IF(INDEX(ChqStatus,IFERROR(MATCH(309,ChqRankU,0),0))="پاس نشده","—",IF(INDEX(ChqClr,IFERROR(MATCH(309,ChqRankU,0),0))="","—",INDEX(ChqClr,IFERROR(MATCH(309,ChqRankU,0),0)))))</f>
        <v/>
      </c>
      <c r="I325">
        <f>IF(309&gt;NChq,"",INDEX(ChqNorm,309))</f>
        <v/>
      </c>
      <c r="J325">
        <f>IF($I325="","",IF(AND($I325&gt;=$H$3,$I325&lt;=$H$4,INDEX(ChqStatus,309)="پاس نشده"),1,0))</f>
        <v/>
      </c>
      <c r="K325">
        <f>IF($J325=0,"",INDEX(ChqKey,309))</f>
        <v/>
      </c>
      <c r="L325">
        <f>IF($K325="","",COUNTIFS($J$17:$J$516,1,$K$17:$K$516,"&lt;"&amp;$K325)+1)</f>
        <v/>
      </c>
    </row>
    <row r="326">
      <c r="A326" s="16">
        <f>IF(IFERROR(MATCH(310,ChqRankU,0),0)=0,"",310)</f>
        <v/>
      </c>
      <c r="B326" s="24">
        <f>IF(IFERROR(MATCH(310,ChqRankU,0),0)=0,"",INDEX(ChqNorm,IFERROR(MATCH(310,ChqRankU,0),0)))</f>
        <v/>
      </c>
      <c r="C326" s="24">
        <f>IF(IFERROR(MATCH(310,ChqRankU,0),0)=0,"",INDEX(ChqNo,IFERROR(MATCH(310,ChqRankU,0),0)))</f>
        <v/>
      </c>
      <c r="D326" s="25">
        <f>IF(IFERROR(MATCH(310,ChqRankU,0),0)=0,"",IF(INDEX(ChqAmt,IFERROR(MATCH(310,ChqRankU,0),0))=0,"",INDEX(ChqAmt,IFERROR(MATCH(310,ChqRankU,0),0))))</f>
        <v/>
      </c>
      <c r="E326" s="17">
        <f>IF(IFERROR(MATCH(310,ChqRankU,0),0)=0,"",INDEX(ChqStatus,IFERROR(MATCH(310,ChqRankU,0),0)))</f>
        <v/>
      </c>
      <c r="F326" s="24">
        <f>IF(IFERROR(MATCH(310,ChqRankU,0),0)=0,"",IF(INDEX(ChqStatus,IFERROR(MATCH(310,ChqRankU,0),0))="پاس نشده","—",IF(INDEX(ChqClr,IFERROR(MATCH(310,ChqRankU,0),0))="","—",INDEX(ChqClr,IFERROR(MATCH(310,ChqRankU,0),0)))))</f>
        <v/>
      </c>
      <c r="I326">
        <f>IF(310&gt;NChq,"",INDEX(ChqNorm,310))</f>
        <v/>
      </c>
      <c r="J326">
        <f>IF($I326="","",IF(AND($I326&gt;=$H$3,$I326&lt;=$H$4,INDEX(ChqStatus,310)="پاس نشده"),1,0))</f>
        <v/>
      </c>
      <c r="K326">
        <f>IF($J326=0,"",INDEX(ChqKey,310))</f>
        <v/>
      </c>
      <c r="L326">
        <f>IF($K326="","",COUNTIFS($J$17:$J$516,1,$K$17:$K$516,"&lt;"&amp;$K326)+1)</f>
        <v/>
      </c>
    </row>
    <row r="327">
      <c r="A327" s="10">
        <f>IF(IFERROR(MATCH(311,ChqRankU,0),0)=0,"",311)</f>
        <v/>
      </c>
      <c r="B327" s="22">
        <f>IF(IFERROR(MATCH(311,ChqRankU,0),0)=0,"",INDEX(ChqNorm,IFERROR(MATCH(311,ChqRankU,0),0)))</f>
        <v/>
      </c>
      <c r="C327" s="22">
        <f>IF(IFERROR(MATCH(311,ChqRankU,0),0)=0,"",INDEX(ChqNo,IFERROR(MATCH(311,ChqRankU,0),0)))</f>
        <v/>
      </c>
      <c r="D327" s="23">
        <f>IF(IFERROR(MATCH(311,ChqRankU,0),0)=0,"",IF(INDEX(ChqAmt,IFERROR(MATCH(311,ChqRankU,0),0))=0,"",INDEX(ChqAmt,IFERROR(MATCH(311,ChqRankU,0),0))))</f>
        <v/>
      </c>
      <c r="E327" s="14">
        <f>IF(IFERROR(MATCH(311,ChqRankU,0),0)=0,"",INDEX(ChqStatus,IFERROR(MATCH(311,ChqRankU,0),0)))</f>
        <v/>
      </c>
      <c r="F327" s="22">
        <f>IF(IFERROR(MATCH(311,ChqRankU,0),0)=0,"",IF(INDEX(ChqStatus,IFERROR(MATCH(311,ChqRankU,0),0))="پاس نشده","—",IF(INDEX(ChqClr,IFERROR(MATCH(311,ChqRankU,0),0))="","—",INDEX(ChqClr,IFERROR(MATCH(311,ChqRankU,0),0)))))</f>
        <v/>
      </c>
      <c r="I327">
        <f>IF(311&gt;NChq,"",INDEX(ChqNorm,311))</f>
        <v/>
      </c>
      <c r="J327">
        <f>IF($I327="","",IF(AND($I327&gt;=$H$3,$I327&lt;=$H$4,INDEX(ChqStatus,311)="پاس نشده"),1,0))</f>
        <v/>
      </c>
      <c r="K327">
        <f>IF($J327=0,"",INDEX(ChqKey,311))</f>
        <v/>
      </c>
      <c r="L327">
        <f>IF($K327="","",COUNTIFS($J$17:$J$516,1,$K$17:$K$516,"&lt;"&amp;$K327)+1)</f>
        <v/>
      </c>
    </row>
    <row r="328">
      <c r="A328" s="16">
        <f>IF(IFERROR(MATCH(312,ChqRankU,0),0)=0,"",312)</f>
        <v/>
      </c>
      <c r="B328" s="24">
        <f>IF(IFERROR(MATCH(312,ChqRankU,0),0)=0,"",INDEX(ChqNorm,IFERROR(MATCH(312,ChqRankU,0),0)))</f>
        <v/>
      </c>
      <c r="C328" s="24">
        <f>IF(IFERROR(MATCH(312,ChqRankU,0),0)=0,"",INDEX(ChqNo,IFERROR(MATCH(312,ChqRankU,0),0)))</f>
        <v/>
      </c>
      <c r="D328" s="25">
        <f>IF(IFERROR(MATCH(312,ChqRankU,0),0)=0,"",IF(INDEX(ChqAmt,IFERROR(MATCH(312,ChqRankU,0),0))=0,"",INDEX(ChqAmt,IFERROR(MATCH(312,ChqRankU,0),0))))</f>
        <v/>
      </c>
      <c r="E328" s="17">
        <f>IF(IFERROR(MATCH(312,ChqRankU,0),0)=0,"",INDEX(ChqStatus,IFERROR(MATCH(312,ChqRankU,0),0)))</f>
        <v/>
      </c>
      <c r="F328" s="24">
        <f>IF(IFERROR(MATCH(312,ChqRankU,0),0)=0,"",IF(INDEX(ChqStatus,IFERROR(MATCH(312,ChqRankU,0),0))="پاس نشده","—",IF(INDEX(ChqClr,IFERROR(MATCH(312,ChqRankU,0),0))="","—",INDEX(ChqClr,IFERROR(MATCH(312,ChqRankU,0),0)))))</f>
        <v/>
      </c>
      <c r="I328">
        <f>IF(312&gt;NChq,"",INDEX(ChqNorm,312))</f>
        <v/>
      </c>
      <c r="J328">
        <f>IF($I328="","",IF(AND($I328&gt;=$H$3,$I328&lt;=$H$4,INDEX(ChqStatus,312)="پاس نشده"),1,0))</f>
        <v/>
      </c>
      <c r="K328">
        <f>IF($J328=0,"",INDEX(ChqKey,312))</f>
        <v/>
      </c>
      <c r="L328">
        <f>IF($K328="","",COUNTIFS($J$17:$J$516,1,$K$17:$K$516,"&lt;"&amp;$K328)+1)</f>
        <v/>
      </c>
    </row>
    <row r="329">
      <c r="A329" s="10">
        <f>IF(IFERROR(MATCH(313,ChqRankU,0),0)=0,"",313)</f>
        <v/>
      </c>
      <c r="B329" s="22">
        <f>IF(IFERROR(MATCH(313,ChqRankU,0),0)=0,"",INDEX(ChqNorm,IFERROR(MATCH(313,ChqRankU,0),0)))</f>
        <v/>
      </c>
      <c r="C329" s="22">
        <f>IF(IFERROR(MATCH(313,ChqRankU,0),0)=0,"",INDEX(ChqNo,IFERROR(MATCH(313,ChqRankU,0),0)))</f>
        <v/>
      </c>
      <c r="D329" s="23">
        <f>IF(IFERROR(MATCH(313,ChqRankU,0),0)=0,"",IF(INDEX(ChqAmt,IFERROR(MATCH(313,ChqRankU,0),0))=0,"",INDEX(ChqAmt,IFERROR(MATCH(313,ChqRankU,0),0))))</f>
        <v/>
      </c>
      <c r="E329" s="14">
        <f>IF(IFERROR(MATCH(313,ChqRankU,0),0)=0,"",INDEX(ChqStatus,IFERROR(MATCH(313,ChqRankU,0),0)))</f>
        <v/>
      </c>
      <c r="F329" s="22">
        <f>IF(IFERROR(MATCH(313,ChqRankU,0),0)=0,"",IF(INDEX(ChqStatus,IFERROR(MATCH(313,ChqRankU,0),0))="پاس نشده","—",IF(INDEX(ChqClr,IFERROR(MATCH(313,ChqRankU,0),0))="","—",INDEX(ChqClr,IFERROR(MATCH(313,ChqRankU,0),0)))))</f>
        <v/>
      </c>
      <c r="I329">
        <f>IF(313&gt;NChq,"",INDEX(ChqNorm,313))</f>
        <v/>
      </c>
      <c r="J329">
        <f>IF($I329="","",IF(AND($I329&gt;=$H$3,$I329&lt;=$H$4,INDEX(ChqStatus,313)="پاس نشده"),1,0))</f>
        <v/>
      </c>
      <c r="K329">
        <f>IF($J329=0,"",INDEX(ChqKey,313))</f>
        <v/>
      </c>
      <c r="L329">
        <f>IF($K329="","",COUNTIFS($J$17:$J$516,1,$K$17:$K$516,"&lt;"&amp;$K329)+1)</f>
        <v/>
      </c>
    </row>
    <row r="330">
      <c r="A330" s="16">
        <f>IF(IFERROR(MATCH(314,ChqRankU,0),0)=0,"",314)</f>
        <v/>
      </c>
      <c r="B330" s="24">
        <f>IF(IFERROR(MATCH(314,ChqRankU,0),0)=0,"",INDEX(ChqNorm,IFERROR(MATCH(314,ChqRankU,0),0)))</f>
        <v/>
      </c>
      <c r="C330" s="24">
        <f>IF(IFERROR(MATCH(314,ChqRankU,0),0)=0,"",INDEX(ChqNo,IFERROR(MATCH(314,ChqRankU,0),0)))</f>
        <v/>
      </c>
      <c r="D330" s="25">
        <f>IF(IFERROR(MATCH(314,ChqRankU,0),0)=0,"",IF(INDEX(ChqAmt,IFERROR(MATCH(314,ChqRankU,0),0))=0,"",INDEX(ChqAmt,IFERROR(MATCH(314,ChqRankU,0),0))))</f>
        <v/>
      </c>
      <c r="E330" s="17">
        <f>IF(IFERROR(MATCH(314,ChqRankU,0),0)=0,"",INDEX(ChqStatus,IFERROR(MATCH(314,ChqRankU,0),0)))</f>
        <v/>
      </c>
      <c r="F330" s="24">
        <f>IF(IFERROR(MATCH(314,ChqRankU,0),0)=0,"",IF(INDEX(ChqStatus,IFERROR(MATCH(314,ChqRankU,0),0))="پاس نشده","—",IF(INDEX(ChqClr,IFERROR(MATCH(314,ChqRankU,0),0))="","—",INDEX(ChqClr,IFERROR(MATCH(314,ChqRankU,0),0)))))</f>
        <v/>
      </c>
      <c r="I330">
        <f>IF(314&gt;NChq,"",INDEX(ChqNorm,314))</f>
        <v/>
      </c>
      <c r="J330">
        <f>IF($I330="","",IF(AND($I330&gt;=$H$3,$I330&lt;=$H$4,INDEX(ChqStatus,314)="پاس نشده"),1,0))</f>
        <v/>
      </c>
      <c r="K330">
        <f>IF($J330=0,"",INDEX(ChqKey,314))</f>
        <v/>
      </c>
      <c r="L330">
        <f>IF($K330="","",COUNTIFS($J$17:$J$516,1,$K$17:$K$516,"&lt;"&amp;$K330)+1)</f>
        <v/>
      </c>
    </row>
    <row r="331">
      <c r="A331" s="10">
        <f>IF(IFERROR(MATCH(315,ChqRankU,0),0)=0,"",315)</f>
        <v/>
      </c>
      <c r="B331" s="22">
        <f>IF(IFERROR(MATCH(315,ChqRankU,0),0)=0,"",INDEX(ChqNorm,IFERROR(MATCH(315,ChqRankU,0),0)))</f>
        <v/>
      </c>
      <c r="C331" s="22">
        <f>IF(IFERROR(MATCH(315,ChqRankU,0),0)=0,"",INDEX(ChqNo,IFERROR(MATCH(315,ChqRankU,0),0)))</f>
        <v/>
      </c>
      <c r="D331" s="23">
        <f>IF(IFERROR(MATCH(315,ChqRankU,0),0)=0,"",IF(INDEX(ChqAmt,IFERROR(MATCH(315,ChqRankU,0),0))=0,"",INDEX(ChqAmt,IFERROR(MATCH(315,ChqRankU,0),0))))</f>
        <v/>
      </c>
      <c r="E331" s="14">
        <f>IF(IFERROR(MATCH(315,ChqRankU,0),0)=0,"",INDEX(ChqStatus,IFERROR(MATCH(315,ChqRankU,0),0)))</f>
        <v/>
      </c>
      <c r="F331" s="22">
        <f>IF(IFERROR(MATCH(315,ChqRankU,0),0)=0,"",IF(INDEX(ChqStatus,IFERROR(MATCH(315,ChqRankU,0),0))="پاس نشده","—",IF(INDEX(ChqClr,IFERROR(MATCH(315,ChqRankU,0),0))="","—",INDEX(ChqClr,IFERROR(MATCH(315,ChqRankU,0),0)))))</f>
        <v/>
      </c>
      <c r="I331">
        <f>IF(315&gt;NChq,"",INDEX(ChqNorm,315))</f>
        <v/>
      </c>
      <c r="J331">
        <f>IF($I331="","",IF(AND($I331&gt;=$H$3,$I331&lt;=$H$4,INDEX(ChqStatus,315)="پاس نشده"),1,0))</f>
        <v/>
      </c>
      <c r="K331">
        <f>IF($J331=0,"",INDEX(ChqKey,315))</f>
        <v/>
      </c>
      <c r="L331">
        <f>IF($K331="","",COUNTIFS($J$17:$J$516,1,$K$17:$K$516,"&lt;"&amp;$K331)+1)</f>
        <v/>
      </c>
    </row>
    <row r="332">
      <c r="A332" s="16">
        <f>IF(IFERROR(MATCH(316,ChqRankU,0),0)=0,"",316)</f>
        <v/>
      </c>
      <c r="B332" s="24">
        <f>IF(IFERROR(MATCH(316,ChqRankU,0),0)=0,"",INDEX(ChqNorm,IFERROR(MATCH(316,ChqRankU,0),0)))</f>
        <v/>
      </c>
      <c r="C332" s="24">
        <f>IF(IFERROR(MATCH(316,ChqRankU,0),0)=0,"",INDEX(ChqNo,IFERROR(MATCH(316,ChqRankU,0),0)))</f>
        <v/>
      </c>
      <c r="D332" s="25">
        <f>IF(IFERROR(MATCH(316,ChqRankU,0),0)=0,"",IF(INDEX(ChqAmt,IFERROR(MATCH(316,ChqRankU,0),0))=0,"",INDEX(ChqAmt,IFERROR(MATCH(316,ChqRankU,0),0))))</f>
        <v/>
      </c>
      <c r="E332" s="17">
        <f>IF(IFERROR(MATCH(316,ChqRankU,0),0)=0,"",INDEX(ChqStatus,IFERROR(MATCH(316,ChqRankU,0),0)))</f>
        <v/>
      </c>
      <c r="F332" s="24">
        <f>IF(IFERROR(MATCH(316,ChqRankU,0),0)=0,"",IF(INDEX(ChqStatus,IFERROR(MATCH(316,ChqRankU,0),0))="پاس نشده","—",IF(INDEX(ChqClr,IFERROR(MATCH(316,ChqRankU,0),0))="","—",INDEX(ChqClr,IFERROR(MATCH(316,ChqRankU,0),0)))))</f>
        <v/>
      </c>
      <c r="I332">
        <f>IF(316&gt;NChq,"",INDEX(ChqNorm,316))</f>
        <v/>
      </c>
      <c r="J332">
        <f>IF($I332="","",IF(AND($I332&gt;=$H$3,$I332&lt;=$H$4,INDEX(ChqStatus,316)="پاس نشده"),1,0))</f>
        <v/>
      </c>
      <c r="K332">
        <f>IF($J332=0,"",INDEX(ChqKey,316))</f>
        <v/>
      </c>
      <c r="L332">
        <f>IF($K332="","",COUNTIFS($J$17:$J$516,1,$K$17:$K$516,"&lt;"&amp;$K332)+1)</f>
        <v/>
      </c>
    </row>
    <row r="333">
      <c r="A333" s="10">
        <f>IF(IFERROR(MATCH(317,ChqRankU,0),0)=0,"",317)</f>
        <v/>
      </c>
      <c r="B333" s="22">
        <f>IF(IFERROR(MATCH(317,ChqRankU,0),0)=0,"",INDEX(ChqNorm,IFERROR(MATCH(317,ChqRankU,0),0)))</f>
        <v/>
      </c>
      <c r="C333" s="22">
        <f>IF(IFERROR(MATCH(317,ChqRankU,0),0)=0,"",INDEX(ChqNo,IFERROR(MATCH(317,ChqRankU,0),0)))</f>
        <v/>
      </c>
      <c r="D333" s="23">
        <f>IF(IFERROR(MATCH(317,ChqRankU,0),0)=0,"",IF(INDEX(ChqAmt,IFERROR(MATCH(317,ChqRankU,0),0))=0,"",INDEX(ChqAmt,IFERROR(MATCH(317,ChqRankU,0),0))))</f>
        <v/>
      </c>
      <c r="E333" s="14">
        <f>IF(IFERROR(MATCH(317,ChqRankU,0),0)=0,"",INDEX(ChqStatus,IFERROR(MATCH(317,ChqRankU,0),0)))</f>
        <v/>
      </c>
      <c r="F333" s="22">
        <f>IF(IFERROR(MATCH(317,ChqRankU,0),0)=0,"",IF(INDEX(ChqStatus,IFERROR(MATCH(317,ChqRankU,0),0))="پاس نشده","—",IF(INDEX(ChqClr,IFERROR(MATCH(317,ChqRankU,0),0))="","—",INDEX(ChqClr,IFERROR(MATCH(317,ChqRankU,0),0)))))</f>
        <v/>
      </c>
      <c r="I333">
        <f>IF(317&gt;NChq,"",INDEX(ChqNorm,317))</f>
        <v/>
      </c>
      <c r="J333">
        <f>IF($I333="","",IF(AND($I333&gt;=$H$3,$I333&lt;=$H$4,INDEX(ChqStatus,317)="پاس نشده"),1,0))</f>
        <v/>
      </c>
      <c r="K333">
        <f>IF($J333=0,"",INDEX(ChqKey,317))</f>
        <v/>
      </c>
      <c r="L333">
        <f>IF($K333="","",COUNTIFS($J$17:$J$516,1,$K$17:$K$516,"&lt;"&amp;$K333)+1)</f>
        <v/>
      </c>
    </row>
    <row r="334">
      <c r="A334" s="16">
        <f>IF(IFERROR(MATCH(318,ChqRankU,0),0)=0,"",318)</f>
        <v/>
      </c>
      <c r="B334" s="24">
        <f>IF(IFERROR(MATCH(318,ChqRankU,0),0)=0,"",INDEX(ChqNorm,IFERROR(MATCH(318,ChqRankU,0),0)))</f>
        <v/>
      </c>
      <c r="C334" s="24">
        <f>IF(IFERROR(MATCH(318,ChqRankU,0),0)=0,"",INDEX(ChqNo,IFERROR(MATCH(318,ChqRankU,0),0)))</f>
        <v/>
      </c>
      <c r="D334" s="25">
        <f>IF(IFERROR(MATCH(318,ChqRankU,0),0)=0,"",IF(INDEX(ChqAmt,IFERROR(MATCH(318,ChqRankU,0),0))=0,"",INDEX(ChqAmt,IFERROR(MATCH(318,ChqRankU,0),0))))</f>
        <v/>
      </c>
      <c r="E334" s="17">
        <f>IF(IFERROR(MATCH(318,ChqRankU,0),0)=0,"",INDEX(ChqStatus,IFERROR(MATCH(318,ChqRankU,0),0)))</f>
        <v/>
      </c>
      <c r="F334" s="24">
        <f>IF(IFERROR(MATCH(318,ChqRankU,0),0)=0,"",IF(INDEX(ChqStatus,IFERROR(MATCH(318,ChqRankU,0),0))="پاس نشده","—",IF(INDEX(ChqClr,IFERROR(MATCH(318,ChqRankU,0),0))="","—",INDEX(ChqClr,IFERROR(MATCH(318,ChqRankU,0),0)))))</f>
        <v/>
      </c>
      <c r="I334">
        <f>IF(318&gt;NChq,"",INDEX(ChqNorm,318))</f>
        <v/>
      </c>
      <c r="J334">
        <f>IF($I334="","",IF(AND($I334&gt;=$H$3,$I334&lt;=$H$4,INDEX(ChqStatus,318)="پاس نشده"),1,0))</f>
        <v/>
      </c>
      <c r="K334">
        <f>IF($J334=0,"",INDEX(ChqKey,318))</f>
        <v/>
      </c>
      <c r="L334">
        <f>IF($K334="","",COUNTIFS($J$17:$J$516,1,$K$17:$K$516,"&lt;"&amp;$K334)+1)</f>
        <v/>
      </c>
    </row>
    <row r="335">
      <c r="A335" s="10">
        <f>IF(IFERROR(MATCH(319,ChqRankU,0),0)=0,"",319)</f>
        <v/>
      </c>
      <c r="B335" s="22">
        <f>IF(IFERROR(MATCH(319,ChqRankU,0),0)=0,"",INDEX(ChqNorm,IFERROR(MATCH(319,ChqRankU,0),0)))</f>
        <v/>
      </c>
      <c r="C335" s="22">
        <f>IF(IFERROR(MATCH(319,ChqRankU,0),0)=0,"",INDEX(ChqNo,IFERROR(MATCH(319,ChqRankU,0),0)))</f>
        <v/>
      </c>
      <c r="D335" s="23">
        <f>IF(IFERROR(MATCH(319,ChqRankU,0),0)=0,"",IF(INDEX(ChqAmt,IFERROR(MATCH(319,ChqRankU,0),0))=0,"",INDEX(ChqAmt,IFERROR(MATCH(319,ChqRankU,0),0))))</f>
        <v/>
      </c>
      <c r="E335" s="14">
        <f>IF(IFERROR(MATCH(319,ChqRankU,0),0)=0,"",INDEX(ChqStatus,IFERROR(MATCH(319,ChqRankU,0),0)))</f>
        <v/>
      </c>
      <c r="F335" s="22">
        <f>IF(IFERROR(MATCH(319,ChqRankU,0),0)=0,"",IF(INDEX(ChqStatus,IFERROR(MATCH(319,ChqRankU,0),0))="پاس نشده","—",IF(INDEX(ChqClr,IFERROR(MATCH(319,ChqRankU,0),0))="","—",INDEX(ChqClr,IFERROR(MATCH(319,ChqRankU,0),0)))))</f>
        <v/>
      </c>
      <c r="I335">
        <f>IF(319&gt;NChq,"",INDEX(ChqNorm,319))</f>
        <v/>
      </c>
      <c r="J335">
        <f>IF($I335="","",IF(AND($I335&gt;=$H$3,$I335&lt;=$H$4,INDEX(ChqStatus,319)="پاس نشده"),1,0))</f>
        <v/>
      </c>
      <c r="K335">
        <f>IF($J335=0,"",INDEX(ChqKey,319))</f>
        <v/>
      </c>
      <c r="L335">
        <f>IF($K335="","",COUNTIFS($J$17:$J$516,1,$K$17:$K$516,"&lt;"&amp;$K335)+1)</f>
        <v/>
      </c>
    </row>
    <row r="336">
      <c r="A336" s="16">
        <f>IF(IFERROR(MATCH(320,ChqRankU,0),0)=0,"",320)</f>
        <v/>
      </c>
      <c r="B336" s="24">
        <f>IF(IFERROR(MATCH(320,ChqRankU,0),0)=0,"",INDEX(ChqNorm,IFERROR(MATCH(320,ChqRankU,0),0)))</f>
        <v/>
      </c>
      <c r="C336" s="24">
        <f>IF(IFERROR(MATCH(320,ChqRankU,0),0)=0,"",INDEX(ChqNo,IFERROR(MATCH(320,ChqRankU,0),0)))</f>
        <v/>
      </c>
      <c r="D336" s="25">
        <f>IF(IFERROR(MATCH(320,ChqRankU,0),0)=0,"",IF(INDEX(ChqAmt,IFERROR(MATCH(320,ChqRankU,0),0))=0,"",INDEX(ChqAmt,IFERROR(MATCH(320,ChqRankU,0),0))))</f>
        <v/>
      </c>
      <c r="E336" s="17">
        <f>IF(IFERROR(MATCH(320,ChqRankU,0),0)=0,"",INDEX(ChqStatus,IFERROR(MATCH(320,ChqRankU,0),0)))</f>
        <v/>
      </c>
      <c r="F336" s="24">
        <f>IF(IFERROR(MATCH(320,ChqRankU,0),0)=0,"",IF(INDEX(ChqStatus,IFERROR(MATCH(320,ChqRankU,0),0))="پاس نشده","—",IF(INDEX(ChqClr,IFERROR(MATCH(320,ChqRankU,0),0))="","—",INDEX(ChqClr,IFERROR(MATCH(320,ChqRankU,0),0)))))</f>
        <v/>
      </c>
      <c r="I336">
        <f>IF(320&gt;NChq,"",INDEX(ChqNorm,320))</f>
        <v/>
      </c>
      <c r="J336">
        <f>IF($I336="","",IF(AND($I336&gt;=$H$3,$I336&lt;=$H$4,INDEX(ChqStatus,320)="پاس نشده"),1,0))</f>
        <v/>
      </c>
      <c r="K336">
        <f>IF($J336=0,"",INDEX(ChqKey,320))</f>
        <v/>
      </c>
      <c r="L336">
        <f>IF($K336="","",COUNTIFS($J$17:$J$516,1,$K$17:$K$516,"&lt;"&amp;$K336)+1)</f>
        <v/>
      </c>
    </row>
    <row r="337">
      <c r="A337" s="10">
        <f>IF(IFERROR(MATCH(321,ChqRankU,0),0)=0,"",321)</f>
        <v/>
      </c>
      <c r="B337" s="22">
        <f>IF(IFERROR(MATCH(321,ChqRankU,0),0)=0,"",INDEX(ChqNorm,IFERROR(MATCH(321,ChqRankU,0),0)))</f>
        <v/>
      </c>
      <c r="C337" s="22">
        <f>IF(IFERROR(MATCH(321,ChqRankU,0),0)=0,"",INDEX(ChqNo,IFERROR(MATCH(321,ChqRankU,0),0)))</f>
        <v/>
      </c>
      <c r="D337" s="23">
        <f>IF(IFERROR(MATCH(321,ChqRankU,0),0)=0,"",IF(INDEX(ChqAmt,IFERROR(MATCH(321,ChqRankU,0),0))=0,"",INDEX(ChqAmt,IFERROR(MATCH(321,ChqRankU,0),0))))</f>
        <v/>
      </c>
      <c r="E337" s="14">
        <f>IF(IFERROR(MATCH(321,ChqRankU,0),0)=0,"",INDEX(ChqStatus,IFERROR(MATCH(321,ChqRankU,0),0)))</f>
        <v/>
      </c>
      <c r="F337" s="22">
        <f>IF(IFERROR(MATCH(321,ChqRankU,0),0)=0,"",IF(INDEX(ChqStatus,IFERROR(MATCH(321,ChqRankU,0),0))="پاس نشده","—",IF(INDEX(ChqClr,IFERROR(MATCH(321,ChqRankU,0),0))="","—",INDEX(ChqClr,IFERROR(MATCH(321,ChqRankU,0),0)))))</f>
        <v/>
      </c>
      <c r="I337">
        <f>IF(321&gt;NChq,"",INDEX(ChqNorm,321))</f>
        <v/>
      </c>
      <c r="J337">
        <f>IF($I337="","",IF(AND($I337&gt;=$H$3,$I337&lt;=$H$4,INDEX(ChqStatus,321)="پاس نشده"),1,0))</f>
        <v/>
      </c>
      <c r="K337">
        <f>IF($J337=0,"",INDEX(ChqKey,321))</f>
        <v/>
      </c>
      <c r="L337">
        <f>IF($K337="","",COUNTIFS($J$17:$J$516,1,$K$17:$K$516,"&lt;"&amp;$K337)+1)</f>
        <v/>
      </c>
    </row>
    <row r="338">
      <c r="A338" s="16">
        <f>IF(IFERROR(MATCH(322,ChqRankU,0),0)=0,"",322)</f>
        <v/>
      </c>
      <c r="B338" s="24">
        <f>IF(IFERROR(MATCH(322,ChqRankU,0),0)=0,"",INDEX(ChqNorm,IFERROR(MATCH(322,ChqRankU,0),0)))</f>
        <v/>
      </c>
      <c r="C338" s="24">
        <f>IF(IFERROR(MATCH(322,ChqRankU,0),0)=0,"",INDEX(ChqNo,IFERROR(MATCH(322,ChqRankU,0),0)))</f>
        <v/>
      </c>
      <c r="D338" s="25">
        <f>IF(IFERROR(MATCH(322,ChqRankU,0),0)=0,"",IF(INDEX(ChqAmt,IFERROR(MATCH(322,ChqRankU,0),0))=0,"",INDEX(ChqAmt,IFERROR(MATCH(322,ChqRankU,0),0))))</f>
        <v/>
      </c>
      <c r="E338" s="17">
        <f>IF(IFERROR(MATCH(322,ChqRankU,0),0)=0,"",INDEX(ChqStatus,IFERROR(MATCH(322,ChqRankU,0),0)))</f>
        <v/>
      </c>
      <c r="F338" s="24">
        <f>IF(IFERROR(MATCH(322,ChqRankU,0),0)=0,"",IF(INDEX(ChqStatus,IFERROR(MATCH(322,ChqRankU,0),0))="پاس نشده","—",IF(INDEX(ChqClr,IFERROR(MATCH(322,ChqRankU,0),0))="","—",INDEX(ChqClr,IFERROR(MATCH(322,ChqRankU,0),0)))))</f>
        <v/>
      </c>
      <c r="I338">
        <f>IF(322&gt;NChq,"",INDEX(ChqNorm,322))</f>
        <v/>
      </c>
      <c r="J338">
        <f>IF($I338="","",IF(AND($I338&gt;=$H$3,$I338&lt;=$H$4,INDEX(ChqStatus,322)="پاس نشده"),1,0))</f>
        <v/>
      </c>
      <c r="K338">
        <f>IF($J338=0,"",INDEX(ChqKey,322))</f>
        <v/>
      </c>
      <c r="L338">
        <f>IF($K338="","",COUNTIFS($J$17:$J$516,1,$K$17:$K$516,"&lt;"&amp;$K338)+1)</f>
        <v/>
      </c>
    </row>
    <row r="339">
      <c r="A339" s="10">
        <f>IF(IFERROR(MATCH(323,ChqRankU,0),0)=0,"",323)</f>
        <v/>
      </c>
      <c r="B339" s="22">
        <f>IF(IFERROR(MATCH(323,ChqRankU,0),0)=0,"",INDEX(ChqNorm,IFERROR(MATCH(323,ChqRankU,0),0)))</f>
        <v/>
      </c>
      <c r="C339" s="22">
        <f>IF(IFERROR(MATCH(323,ChqRankU,0),0)=0,"",INDEX(ChqNo,IFERROR(MATCH(323,ChqRankU,0),0)))</f>
        <v/>
      </c>
      <c r="D339" s="23">
        <f>IF(IFERROR(MATCH(323,ChqRankU,0),0)=0,"",IF(INDEX(ChqAmt,IFERROR(MATCH(323,ChqRankU,0),0))=0,"",INDEX(ChqAmt,IFERROR(MATCH(323,ChqRankU,0),0))))</f>
        <v/>
      </c>
      <c r="E339" s="14">
        <f>IF(IFERROR(MATCH(323,ChqRankU,0),0)=0,"",INDEX(ChqStatus,IFERROR(MATCH(323,ChqRankU,0),0)))</f>
        <v/>
      </c>
      <c r="F339" s="22">
        <f>IF(IFERROR(MATCH(323,ChqRankU,0),0)=0,"",IF(INDEX(ChqStatus,IFERROR(MATCH(323,ChqRankU,0),0))="پاس نشده","—",IF(INDEX(ChqClr,IFERROR(MATCH(323,ChqRankU,0),0))="","—",INDEX(ChqClr,IFERROR(MATCH(323,ChqRankU,0),0)))))</f>
        <v/>
      </c>
      <c r="I339">
        <f>IF(323&gt;NChq,"",INDEX(ChqNorm,323))</f>
        <v/>
      </c>
      <c r="J339">
        <f>IF($I339="","",IF(AND($I339&gt;=$H$3,$I339&lt;=$H$4,INDEX(ChqStatus,323)="پاس نشده"),1,0))</f>
        <v/>
      </c>
      <c r="K339">
        <f>IF($J339=0,"",INDEX(ChqKey,323))</f>
        <v/>
      </c>
      <c r="L339">
        <f>IF($K339="","",COUNTIFS($J$17:$J$516,1,$K$17:$K$516,"&lt;"&amp;$K339)+1)</f>
        <v/>
      </c>
    </row>
    <row r="340">
      <c r="A340" s="16">
        <f>IF(IFERROR(MATCH(324,ChqRankU,0),0)=0,"",324)</f>
        <v/>
      </c>
      <c r="B340" s="24">
        <f>IF(IFERROR(MATCH(324,ChqRankU,0),0)=0,"",INDEX(ChqNorm,IFERROR(MATCH(324,ChqRankU,0),0)))</f>
        <v/>
      </c>
      <c r="C340" s="24">
        <f>IF(IFERROR(MATCH(324,ChqRankU,0),0)=0,"",INDEX(ChqNo,IFERROR(MATCH(324,ChqRankU,0),0)))</f>
        <v/>
      </c>
      <c r="D340" s="25">
        <f>IF(IFERROR(MATCH(324,ChqRankU,0),0)=0,"",IF(INDEX(ChqAmt,IFERROR(MATCH(324,ChqRankU,0),0))=0,"",INDEX(ChqAmt,IFERROR(MATCH(324,ChqRankU,0),0))))</f>
        <v/>
      </c>
      <c r="E340" s="17">
        <f>IF(IFERROR(MATCH(324,ChqRankU,0),0)=0,"",INDEX(ChqStatus,IFERROR(MATCH(324,ChqRankU,0),0)))</f>
        <v/>
      </c>
      <c r="F340" s="24">
        <f>IF(IFERROR(MATCH(324,ChqRankU,0),0)=0,"",IF(INDEX(ChqStatus,IFERROR(MATCH(324,ChqRankU,0),0))="پاس نشده","—",IF(INDEX(ChqClr,IFERROR(MATCH(324,ChqRankU,0),0))="","—",INDEX(ChqClr,IFERROR(MATCH(324,ChqRankU,0),0)))))</f>
        <v/>
      </c>
      <c r="I340">
        <f>IF(324&gt;NChq,"",INDEX(ChqNorm,324))</f>
        <v/>
      </c>
      <c r="J340">
        <f>IF($I340="","",IF(AND($I340&gt;=$H$3,$I340&lt;=$H$4,INDEX(ChqStatus,324)="پاس نشده"),1,0))</f>
        <v/>
      </c>
      <c r="K340">
        <f>IF($J340=0,"",INDEX(ChqKey,324))</f>
        <v/>
      </c>
      <c r="L340">
        <f>IF($K340="","",COUNTIFS($J$17:$J$516,1,$K$17:$K$516,"&lt;"&amp;$K340)+1)</f>
        <v/>
      </c>
    </row>
    <row r="341">
      <c r="A341" s="10">
        <f>IF(IFERROR(MATCH(325,ChqRankU,0),0)=0,"",325)</f>
        <v/>
      </c>
      <c r="B341" s="22">
        <f>IF(IFERROR(MATCH(325,ChqRankU,0),0)=0,"",INDEX(ChqNorm,IFERROR(MATCH(325,ChqRankU,0),0)))</f>
        <v/>
      </c>
      <c r="C341" s="22">
        <f>IF(IFERROR(MATCH(325,ChqRankU,0),0)=0,"",INDEX(ChqNo,IFERROR(MATCH(325,ChqRankU,0),0)))</f>
        <v/>
      </c>
      <c r="D341" s="23">
        <f>IF(IFERROR(MATCH(325,ChqRankU,0),0)=0,"",IF(INDEX(ChqAmt,IFERROR(MATCH(325,ChqRankU,0),0))=0,"",INDEX(ChqAmt,IFERROR(MATCH(325,ChqRankU,0),0))))</f>
        <v/>
      </c>
      <c r="E341" s="14">
        <f>IF(IFERROR(MATCH(325,ChqRankU,0),0)=0,"",INDEX(ChqStatus,IFERROR(MATCH(325,ChqRankU,0),0)))</f>
        <v/>
      </c>
      <c r="F341" s="22">
        <f>IF(IFERROR(MATCH(325,ChqRankU,0),0)=0,"",IF(INDEX(ChqStatus,IFERROR(MATCH(325,ChqRankU,0),0))="پاس نشده","—",IF(INDEX(ChqClr,IFERROR(MATCH(325,ChqRankU,0),0))="","—",INDEX(ChqClr,IFERROR(MATCH(325,ChqRankU,0),0)))))</f>
        <v/>
      </c>
      <c r="I341">
        <f>IF(325&gt;NChq,"",INDEX(ChqNorm,325))</f>
        <v/>
      </c>
      <c r="J341">
        <f>IF($I341="","",IF(AND($I341&gt;=$H$3,$I341&lt;=$H$4,INDEX(ChqStatus,325)="پاس نشده"),1,0))</f>
        <v/>
      </c>
      <c r="K341">
        <f>IF($J341=0,"",INDEX(ChqKey,325))</f>
        <v/>
      </c>
      <c r="L341">
        <f>IF($K341="","",COUNTIFS($J$17:$J$516,1,$K$17:$K$516,"&lt;"&amp;$K341)+1)</f>
        <v/>
      </c>
    </row>
    <row r="342">
      <c r="A342" s="16">
        <f>IF(IFERROR(MATCH(326,ChqRankU,0),0)=0,"",326)</f>
        <v/>
      </c>
      <c r="B342" s="24">
        <f>IF(IFERROR(MATCH(326,ChqRankU,0),0)=0,"",INDEX(ChqNorm,IFERROR(MATCH(326,ChqRankU,0),0)))</f>
        <v/>
      </c>
      <c r="C342" s="24">
        <f>IF(IFERROR(MATCH(326,ChqRankU,0),0)=0,"",INDEX(ChqNo,IFERROR(MATCH(326,ChqRankU,0),0)))</f>
        <v/>
      </c>
      <c r="D342" s="25">
        <f>IF(IFERROR(MATCH(326,ChqRankU,0),0)=0,"",IF(INDEX(ChqAmt,IFERROR(MATCH(326,ChqRankU,0),0))=0,"",INDEX(ChqAmt,IFERROR(MATCH(326,ChqRankU,0),0))))</f>
        <v/>
      </c>
      <c r="E342" s="17">
        <f>IF(IFERROR(MATCH(326,ChqRankU,0),0)=0,"",INDEX(ChqStatus,IFERROR(MATCH(326,ChqRankU,0),0)))</f>
        <v/>
      </c>
      <c r="F342" s="24">
        <f>IF(IFERROR(MATCH(326,ChqRankU,0),0)=0,"",IF(INDEX(ChqStatus,IFERROR(MATCH(326,ChqRankU,0),0))="پاس نشده","—",IF(INDEX(ChqClr,IFERROR(MATCH(326,ChqRankU,0),0))="","—",INDEX(ChqClr,IFERROR(MATCH(326,ChqRankU,0),0)))))</f>
        <v/>
      </c>
      <c r="I342">
        <f>IF(326&gt;NChq,"",INDEX(ChqNorm,326))</f>
        <v/>
      </c>
      <c r="J342">
        <f>IF($I342="","",IF(AND($I342&gt;=$H$3,$I342&lt;=$H$4,INDEX(ChqStatus,326)="پاس نشده"),1,0))</f>
        <v/>
      </c>
      <c r="K342">
        <f>IF($J342=0,"",INDEX(ChqKey,326))</f>
        <v/>
      </c>
      <c r="L342">
        <f>IF($K342="","",COUNTIFS($J$17:$J$516,1,$K$17:$K$516,"&lt;"&amp;$K342)+1)</f>
        <v/>
      </c>
    </row>
    <row r="343">
      <c r="A343" s="10">
        <f>IF(IFERROR(MATCH(327,ChqRankU,0),0)=0,"",327)</f>
        <v/>
      </c>
      <c r="B343" s="22">
        <f>IF(IFERROR(MATCH(327,ChqRankU,0),0)=0,"",INDEX(ChqNorm,IFERROR(MATCH(327,ChqRankU,0),0)))</f>
        <v/>
      </c>
      <c r="C343" s="22">
        <f>IF(IFERROR(MATCH(327,ChqRankU,0),0)=0,"",INDEX(ChqNo,IFERROR(MATCH(327,ChqRankU,0),0)))</f>
        <v/>
      </c>
      <c r="D343" s="23">
        <f>IF(IFERROR(MATCH(327,ChqRankU,0),0)=0,"",IF(INDEX(ChqAmt,IFERROR(MATCH(327,ChqRankU,0),0))=0,"",INDEX(ChqAmt,IFERROR(MATCH(327,ChqRankU,0),0))))</f>
        <v/>
      </c>
      <c r="E343" s="14">
        <f>IF(IFERROR(MATCH(327,ChqRankU,0),0)=0,"",INDEX(ChqStatus,IFERROR(MATCH(327,ChqRankU,0),0)))</f>
        <v/>
      </c>
      <c r="F343" s="22">
        <f>IF(IFERROR(MATCH(327,ChqRankU,0),0)=0,"",IF(INDEX(ChqStatus,IFERROR(MATCH(327,ChqRankU,0),0))="پاس نشده","—",IF(INDEX(ChqClr,IFERROR(MATCH(327,ChqRankU,0),0))="","—",INDEX(ChqClr,IFERROR(MATCH(327,ChqRankU,0),0)))))</f>
        <v/>
      </c>
      <c r="I343">
        <f>IF(327&gt;NChq,"",INDEX(ChqNorm,327))</f>
        <v/>
      </c>
      <c r="J343">
        <f>IF($I343="","",IF(AND($I343&gt;=$H$3,$I343&lt;=$H$4,INDEX(ChqStatus,327)="پاس نشده"),1,0))</f>
        <v/>
      </c>
      <c r="K343">
        <f>IF($J343=0,"",INDEX(ChqKey,327))</f>
        <v/>
      </c>
      <c r="L343">
        <f>IF($K343="","",COUNTIFS($J$17:$J$516,1,$K$17:$K$516,"&lt;"&amp;$K343)+1)</f>
        <v/>
      </c>
    </row>
    <row r="344">
      <c r="A344" s="16">
        <f>IF(IFERROR(MATCH(328,ChqRankU,0),0)=0,"",328)</f>
        <v/>
      </c>
      <c r="B344" s="24">
        <f>IF(IFERROR(MATCH(328,ChqRankU,0),0)=0,"",INDEX(ChqNorm,IFERROR(MATCH(328,ChqRankU,0),0)))</f>
        <v/>
      </c>
      <c r="C344" s="24">
        <f>IF(IFERROR(MATCH(328,ChqRankU,0),0)=0,"",INDEX(ChqNo,IFERROR(MATCH(328,ChqRankU,0),0)))</f>
        <v/>
      </c>
      <c r="D344" s="25">
        <f>IF(IFERROR(MATCH(328,ChqRankU,0),0)=0,"",IF(INDEX(ChqAmt,IFERROR(MATCH(328,ChqRankU,0),0))=0,"",INDEX(ChqAmt,IFERROR(MATCH(328,ChqRankU,0),0))))</f>
        <v/>
      </c>
      <c r="E344" s="17">
        <f>IF(IFERROR(MATCH(328,ChqRankU,0),0)=0,"",INDEX(ChqStatus,IFERROR(MATCH(328,ChqRankU,0),0)))</f>
        <v/>
      </c>
      <c r="F344" s="24">
        <f>IF(IFERROR(MATCH(328,ChqRankU,0),0)=0,"",IF(INDEX(ChqStatus,IFERROR(MATCH(328,ChqRankU,0),0))="پاس نشده","—",IF(INDEX(ChqClr,IFERROR(MATCH(328,ChqRankU,0),0))="","—",INDEX(ChqClr,IFERROR(MATCH(328,ChqRankU,0),0)))))</f>
        <v/>
      </c>
      <c r="I344">
        <f>IF(328&gt;NChq,"",INDEX(ChqNorm,328))</f>
        <v/>
      </c>
      <c r="J344">
        <f>IF($I344="","",IF(AND($I344&gt;=$H$3,$I344&lt;=$H$4,INDEX(ChqStatus,328)="پاس نشده"),1,0))</f>
        <v/>
      </c>
      <c r="K344">
        <f>IF($J344=0,"",INDEX(ChqKey,328))</f>
        <v/>
      </c>
      <c r="L344">
        <f>IF($K344="","",COUNTIFS($J$17:$J$516,1,$K$17:$K$516,"&lt;"&amp;$K344)+1)</f>
        <v/>
      </c>
    </row>
    <row r="345">
      <c r="A345" s="10">
        <f>IF(IFERROR(MATCH(329,ChqRankU,0),0)=0,"",329)</f>
        <v/>
      </c>
      <c r="B345" s="22">
        <f>IF(IFERROR(MATCH(329,ChqRankU,0),0)=0,"",INDEX(ChqNorm,IFERROR(MATCH(329,ChqRankU,0),0)))</f>
        <v/>
      </c>
      <c r="C345" s="22">
        <f>IF(IFERROR(MATCH(329,ChqRankU,0),0)=0,"",INDEX(ChqNo,IFERROR(MATCH(329,ChqRankU,0),0)))</f>
        <v/>
      </c>
      <c r="D345" s="23">
        <f>IF(IFERROR(MATCH(329,ChqRankU,0),0)=0,"",IF(INDEX(ChqAmt,IFERROR(MATCH(329,ChqRankU,0),0))=0,"",INDEX(ChqAmt,IFERROR(MATCH(329,ChqRankU,0),0))))</f>
        <v/>
      </c>
      <c r="E345" s="14">
        <f>IF(IFERROR(MATCH(329,ChqRankU,0),0)=0,"",INDEX(ChqStatus,IFERROR(MATCH(329,ChqRankU,0),0)))</f>
        <v/>
      </c>
      <c r="F345" s="22">
        <f>IF(IFERROR(MATCH(329,ChqRankU,0),0)=0,"",IF(INDEX(ChqStatus,IFERROR(MATCH(329,ChqRankU,0),0))="پاس نشده","—",IF(INDEX(ChqClr,IFERROR(MATCH(329,ChqRankU,0),0))="","—",INDEX(ChqClr,IFERROR(MATCH(329,ChqRankU,0),0)))))</f>
        <v/>
      </c>
      <c r="I345">
        <f>IF(329&gt;NChq,"",INDEX(ChqNorm,329))</f>
        <v/>
      </c>
      <c r="J345">
        <f>IF($I345="","",IF(AND($I345&gt;=$H$3,$I345&lt;=$H$4,INDEX(ChqStatus,329)="پاس نشده"),1,0))</f>
        <v/>
      </c>
      <c r="K345">
        <f>IF($J345=0,"",INDEX(ChqKey,329))</f>
        <v/>
      </c>
      <c r="L345">
        <f>IF($K345="","",COUNTIFS($J$17:$J$516,1,$K$17:$K$516,"&lt;"&amp;$K345)+1)</f>
        <v/>
      </c>
    </row>
    <row r="346">
      <c r="A346" s="16">
        <f>IF(IFERROR(MATCH(330,ChqRankU,0),0)=0,"",330)</f>
        <v/>
      </c>
      <c r="B346" s="24">
        <f>IF(IFERROR(MATCH(330,ChqRankU,0),0)=0,"",INDEX(ChqNorm,IFERROR(MATCH(330,ChqRankU,0),0)))</f>
        <v/>
      </c>
      <c r="C346" s="24">
        <f>IF(IFERROR(MATCH(330,ChqRankU,0),0)=0,"",INDEX(ChqNo,IFERROR(MATCH(330,ChqRankU,0),0)))</f>
        <v/>
      </c>
      <c r="D346" s="25">
        <f>IF(IFERROR(MATCH(330,ChqRankU,0),0)=0,"",IF(INDEX(ChqAmt,IFERROR(MATCH(330,ChqRankU,0),0))=0,"",INDEX(ChqAmt,IFERROR(MATCH(330,ChqRankU,0),0))))</f>
        <v/>
      </c>
      <c r="E346" s="17">
        <f>IF(IFERROR(MATCH(330,ChqRankU,0),0)=0,"",INDEX(ChqStatus,IFERROR(MATCH(330,ChqRankU,0),0)))</f>
        <v/>
      </c>
      <c r="F346" s="24">
        <f>IF(IFERROR(MATCH(330,ChqRankU,0),0)=0,"",IF(INDEX(ChqStatus,IFERROR(MATCH(330,ChqRankU,0),0))="پاس نشده","—",IF(INDEX(ChqClr,IFERROR(MATCH(330,ChqRankU,0),0))="","—",INDEX(ChqClr,IFERROR(MATCH(330,ChqRankU,0),0)))))</f>
        <v/>
      </c>
      <c r="I346">
        <f>IF(330&gt;NChq,"",INDEX(ChqNorm,330))</f>
        <v/>
      </c>
      <c r="J346">
        <f>IF($I346="","",IF(AND($I346&gt;=$H$3,$I346&lt;=$H$4,INDEX(ChqStatus,330)="پاس نشده"),1,0))</f>
        <v/>
      </c>
      <c r="K346">
        <f>IF($J346=0,"",INDEX(ChqKey,330))</f>
        <v/>
      </c>
      <c r="L346">
        <f>IF($K346="","",COUNTIFS($J$17:$J$516,1,$K$17:$K$516,"&lt;"&amp;$K346)+1)</f>
        <v/>
      </c>
    </row>
    <row r="347">
      <c r="A347" s="10">
        <f>IF(IFERROR(MATCH(331,ChqRankU,0),0)=0,"",331)</f>
        <v/>
      </c>
      <c r="B347" s="22">
        <f>IF(IFERROR(MATCH(331,ChqRankU,0),0)=0,"",INDEX(ChqNorm,IFERROR(MATCH(331,ChqRankU,0),0)))</f>
        <v/>
      </c>
      <c r="C347" s="22">
        <f>IF(IFERROR(MATCH(331,ChqRankU,0),0)=0,"",INDEX(ChqNo,IFERROR(MATCH(331,ChqRankU,0),0)))</f>
        <v/>
      </c>
      <c r="D347" s="23">
        <f>IF(IFERROR(MATCH(331,ChqRankU,0),0)=0,"",IF(INDEX(ChqAmt,IFERROR(MATCH(331,ChqRankU,0),0))=0,"",INDEX(ChqAmt,IFERROR(MATCH(331,ChqRankU,0),0))))</f>
        <v/>
      </c>
      <c r="E347" s="14">
        <f>IF(IFERROR(MATCH(331,ChqRankU,0),0)=0,"",INDEX(ChqStatus,IFERROR(MATCH(331,ChqRankU,0),0)))</f>
        <v/>
      </c>
      <c r="F347" s="22">
        <f>IF(IFERROR(MATCH(331,ChqRankU,0),0)=0,"",IF(INDEX(ChqStatus,IFERROR(MATCH(331,ChqRankU,0),0))="پاس نشده","—",IF(INDEX(ChqClr,IFERROR(MATCH(331,ChqRankU,0),0))="","—",INDEX(ChqClr,IFERROR(MATCH(331,ChqRankU,0),0)))))</f>
        <v/>
      </c>
      <c r="I347">
        <f>IF(331&gt;NChq,"",INDEX(ChqNorm,331))</f>
        <v/>
      </c>
      <c r="J347">
        <f>IF($I347="","",IF(AND($I347&gt;=$H$3,$I347&lt;=$H$4,INDEX(ChqStatus,331)="پاس نشده"),1,0))</f>
        <v/>
      </c>
      <c r="K347">
        <f>IF($J347=0,"",INDEX(ChqKey,331))</f>
        <v/>
      </c>
      <c r="L347">
        <f>IF($K347="","",COUNTIFS($J$17:$J$516,1,$K$17:$K$516,"&lt;"&amp;$K347)+1)</f>
        <v/>
      </c>
    </row>
    <row r="348">
      <c r="A348" s="16">
        <f>IF(IFERROR(MATCH(332,ChqRankU,0),0)=0,"",332)</f>
        <v/>
      </c>
      <c r="B348" s="24">
        <f>IF(IFERROR(MATCH(332,ChqRankU,0),0)=0,"",INDEX(ChqNorm,IFERROR(MATCH(332,ChqRankU,0),0)))</f>
        <v/>
      </c>
      <c r="C348" s="24">
        <f>IF(IFERROR(MATCH(332,ChqRankU,0),0)=0,"",INDEX(ChqNo,IFERROR(MATCH(332,ChqRankU,0),0)))</f>
        <v/>
      </c>
      <c r="D348" s="25">
        <f>IF(IFERROR(MATCH(332,ChqRankU,0),0)=0,"",IF(INDEX(ChqAmt,IFERROR(MATCH(332,ChqRankU,0),0))=0,"",INDEX(ChqAmt,IFERROR(MATCH(332,ChqRankU,0),0))))</f>
        <v/>
      </c>
      <c r="E348" s="17">
        <f>IF(IFERROR(MATCH(332,ChqRankU,0),0)=0,"",INDEX(ChqStatus,IFERROR(MATCH(332,ChqRankU,0),0)))</f>
        <v/>
      </c>
      <c r="F348" s="24">
        <f>IF(IFERROR(MATCH(332,ChqRankU,0),0)=0,"",IF(INDEX(ChqStatus,IFERROR(MATCH(332,ChqRankU,0),0))="پاس نشده","—",IF(INDEX(ChqClr,IFERROR(MATCH(332,ChqRankU,0),0))="","—",INDEX(ChqClr,IFERROR(MATCH(332,ChqRankU,0),0)))))</f>
        <v/>
      </c>
      <c r="I348">
        <f>IF(332&gt;NChq,"",INDEX(ChqNorm,332))</f>
        <v/>
      </c>
      <c r="J348">
        <f>IF($I348="","",IF(AND($I348&gt;=$H$3,$I348&lt;=$H$4,INDEX(ChqStatus,332)="پاس نشده"),1,0))</f>
        <v/>
      </c>
      <c r="K348">
        <f>IF($J348=0,"",INDEX(ChqKey,332))</f>
        <v/>
      </c>
      <c r="L348">
        <f>IF($K348="","",COUNTIFS($J$17:$J$516,1,$K$17:$K$516,"&lt;"&amp;$K348)+1)</f>
        <v/>
      </c>
    </row>
    <row r="349">
      <c r="A349" s="10">
        <f>IF(IFERROR(MATCH(333,ChqRankU,0),0)=0,"",333)</f>
        <v/>
      </c>
      <c r="B349" s="22">
        <f>IF(IFERROR(MATCH(333,ChqRankU,0),0)=0,"",INDEX(ChqNorm,IFERROR(MATCH(333,ChqRankU,0),0)))</f>
        <v/>
      </c>
      <c r="C349" s="22">
        <f>IF(IFERROR(MATCH(333,ChqRankU,0),0)=0,"",INDEX(ChqNo,IFERROR(MATCH(333,ChqRankU,0),0)))</f>
        <v/>
      </c>
      <c r="D349" s="23">
        <f>IF(IFERROR(MATCH(333,ChqRankU,0),0)=0,"",IF(INDEX(ChqAmt,IFERROR(MATCH(333,ChqRankU,0),0))=0,"",INDEX(ChqAmt,IFERROR(MATCH(333,ChqRankU,0),0))))</f>
        <v/>
      </c>
      <c r="E349" s="14">
        <f>IF(IFERROR(MATCH(333,ChqRankU,0),0)=0,"",INDEX(ChqStatus,IFERROR(MATCH(333,ChqRankU,0),0)))</f>
        <v/>
      </c>
      <c r="F349" s="22">
        <f>IF(IFERROR(MATCH(333,ChqRankU,0),0)=0,"",IF(INDEX(ChqStatus,IFERROR(MATCH(333,ChqRankU,0),0))="پاس نشده","—",IF(INDEX(ChqClr,IFERROR(MATCH(333,ChqRankU,0),0))="","—",INDEX(ChqClr,IFERROR(MATCH(333,ChqRankU,0),0)))))</f>
        <v/>
      </c>
      <c r="I349">
        <f>IF(333&gt;NChq,"",INDEX(ChqNorm,333))</f>
        <v/>
      </c>
      <c r="J349">
        <f>IF($I349="","",IF(AND($I349&gt;=$H$3,$I349&lt;=$H$4,INDEX(ChqStatus,333)="پاس نشده"),1,0))</f>
        <v/>
      </c>
      <c r="K349">
        <f>IF($J349=0,"",INDEX(ChqKey,333))</f>
        <v/>
      </c>
      <c r="L349">
        <f>IF($K349="","",COUNTIFS($J$17:$J$516,1,$K$17:$K$516,"&lt;"&amp;$K349)+1)</f>
        <v/>
      </c>
    </row>
    <row r="350">
      <c r="A350" s="16">
        <f>IF(IFERROR(MATCH(334,ChqRankU,0),0)=0,"",334)</f>
        <v/>
      </c>
      <c r="B350" s="24">
        <f>IF(IFERROR(MATCH(334,ChqRankU,0),0)=0,"",INDEX(ChqNorm,IFERROR(MATCH(334,ChqRankU,0),0)))</f>
        <v/>
      </c>
      <c r="C350" s="24">
        <f>IF(IFERROR(MATCH(334,ChqRankU,0),0)=0,"",INDEX(ChqNo,IFERROR(MATCH(334,ChqRankU,0),0)))</f>
        <v/>
      </c>
      <c r="D350" s="25">
        <f>IF(IFERROR(MATCH(334,ChqRankU,0),0)=0,"",IF(INDEX(ChqAmt,IFERROR(MATCH(334,ChqRankU,0),0))=0,"",INDEX(ChqAmt,IFERROR(MATCH(334,ChqRankU,0),0))))</f>
        <v/>
      </c>
      <c r="E350" s="17">
        <f>IF(IFERROR(MATCH(334,ChqRankU,0),0)=0,"",INDEX(ChqStatus,IFERROR(MATCH(334,ChqRankU,0),0)))</f>
        <v/>
      </c>
      <c r="F350" s="24">
        <f>IF(IFERROR(MATCH(334,ChqRankU,0),0)=0,"",IF(INDEX(ChqStatus,IFERROR(MATCH(334,ChqRankU,0),0))="پاس نشده","—",IF(INDEX(ChqClr,IFERROR(MATCH(334,ChqRankU,0),0))="","—",INDEX(ChqClr,IFERROR(MATCH(334,ChqRankU,0),0)))))</f>
        <v/>
      </c>
      <c r="I350">
        <f>IF(334&gt;NChq,"",INDEX(ChqNorm,334))</f>
        <v/>
      </c>
      <c r="J350">
        <f>IF($I350="","",IF(AND($I350&gt;=$H$3,$I350&lt;=$H$4,INDEX(ChqStatus,334)="پاس نشده"),1,0))</f>
        <v/>
      </c>
      <c r="K350">
        <f>IF($J350=0,"",INDEX(ChqKey,334))</f>
        <v/>
      </c>
      <c r="L350">
        <f>IF($K350="","",COUNTIFS($J$17:$J$516,1,$K$17:$K$516,"&lt;"&amp;$K350)+1)</f>
        <v/>
      </c>
    </row>
    <row r="351">
      <c r="A351" s="10">
        <f>IF(IFERROR(MATCH(335,ChqRankU,0),0)=0,"",335)</f>
        <v/>
      </c>
      <c r="B351" s="22">
        <f>IF(IFERROR(MATCH(335,ChqRankU,0),0)=0,"",INDEX(ChqNorm,IFERROR(MATCH(335,ChqRankU,0),0)))</f>
        <v/>
      </c>
      <c r="C351" s="22">
        <f>IF(IFERROR(MATCH(335,ChqRankU,0),0)=0,"",INDEX(ChqNo,IFERROR(MATCH(335,ChqRankU,0),0)))</f>
        <v/>
      </c>
      <c r="D351" s="23">
        <f>IF(IFERROR(MATCH(335,ChqRankU,0),0)=0,"",IF(INDEX(ChqAmt,IFERROR(MATCH(335,ChqRankU,0),0))=0,"",INDEX(ChqAmt,IFERROR(MATCH(335,ChqRankU,0),0))))</f>
        <v/>
      </c>
      <c r="E351" s="14">
        <f>IF(IFERROR(MATCH(335,ChqRankU,0),0)=0,"",INDEX(ChqStatus,IFERROR(MATCH(335,ChqRankU,0),0)))</f>
        <v/>
      </c>
      <c r="F351" s="22">
        <f>IF(IFERROR(MATCH(335,ChqRankU,0),0)=0,"",IF(INDEX(ChqStatus,IFERROR(MATCH(335,ChqRankU,0),0))="پاس نشده","—",IF(INDEX(ChqClr,IFERROR(MATCH(335,ChqRankU,0),0))="","—",INDEX(ChqClr,IFERROR(MATCH(335,ChqRankU,0),0)))))</f>
        <v/>
      </c>
      <c r="I351">
        <f>IF(335&gt;NChq,"",INDEX(ChqNorm,335))</f>
        <v/>
      </c>
      <c r="J351">
        <f>IF($I351="","",IF(AND($I351&gt;=$H$3,$I351&lt;=$H$4,INDEX(ChqStatus,335)="پاس نشده"),1,0))</f>
        <v/>
      </c>
      <c r="K351">
        <f>IF($J351=0,"",INDEX(ChqKey,335))</f>
        <v/>
      </c>
      <c r="L351">
        <f>IF($K351="","",COUNTIFS($J$17:$J$516,1,$K$17:$K$516,"&lt;"&amp;$K351)+1)</f>
        <v/>
      </c>
    </row>
    <row r="352">
      <c r="A352" s="16">
        <f>IF(IFERROR(MATCH(336,ChqRankU,0),0)=0,"",336)</f>
        <v/>
      </c>
      <c r="B352" s="24">
        <f>IF(IFERROR(MATCH(336,ChqRankU,0),0)=0,"",INDEX(ChqNorm,IFERROR(MATCH(336,ChqRankU,0),0)))</f>
        <v/>
      </c>
      <c r="C352" s="24">
        <f>IF(IFERROR(MATCH(336,ChqRankU,0),0)=0,"",INDEX(ChqNo,IFERROR(MATCH(336,ChqRankU,0),0)))</f>
        <v/>
      </c>
      <c r="D352" s="25">
        <f>IF(IFERROR(MATCH(336,ChqRankU,0),0)=0,"",IF(INDEX(ChqAmt,IFERROR(MATCH(336,ChqRankU,0),0))=0,"",INDEX(ChqAmt,IFERROR(MATCH(336,ChqRankU,0),0))))</f>
        <v/>
      </c>
      <c r="E352" s="17">
        <f>IF(IFERROR(MATCH(336,ChqRankU,0),0)=0,"",INDEX(ChqStatus,IFERROR(MATCH(336,ChqRankU,0),0)))</f>
        <v/>
      </c>
      <c r="F352" s="24">
        <f>IF(IFERROR(MATCH(336,ChqRankU,0),0)=0,"",IF(INDEX(ChqStatus,IFERROR(MATCH(336,ChqRankU,0),0))="پاس نشده","—",IF(INDEX(ChqClr,IFERROR(MATCH(336,ChqRankU,0),0))="","—",INDEX(ChqClr,IFERROR(MATCH(336,ChqRankU,0),0)))))</f>
        <v/>
      </c>
      <c r="I352">
        <f>IF(336&gt;NChq,"",INDEX(ChqNorm,336))</f>
        <v/>
      </c>
      <c r="J352">
        <f>IF($I352="","",IF(AND($I352&gt;=$H$3,$I352&lt;=$H$4,INDEX(ChqStatus,336)="پاس نشده"),1,0))</f>
        <v/>
      </c>
      <c r="K352">
        <f>IF($J352=0,"",INDEX(ChqKey,336))</f>
        <v/>
      </c>
      <c r="L352">
        <f>IF($K352="","",COUNTIFS($J$17:$J$516,1,$K$17:$K$516,"&lt;"&amp;$K352)+1)</f>
        <v/>
      </c>
    </row>
    <row r="353">
      <c r="A353" s="10">
        <f>IF(IFERROR(MATCH(337,ChqRankU,0),0)=0,"",337)</f>
        <v/>
      </c>
      <c r="B353" s="22">
        <f>IF(IFERROR(MATCH(337,ChqRankU,0),0)=0,"",INDEX(ChqNorm,IFERROR(MATCH(337,ChqRankU,0),0)))</f>
        <v/>
      </c>
      <c r="C353" s="22">
        <f>IF(IFERROR(MATCH(337,ChqRankU,0),0)=0,"",INDEX(ChqNo,IFERROR(MATCH(337,ChqRankU,0),0)))</f>
        <v/>
      </c>
      <c r="D353" s="23">
        <f>IF(IFERROR(MATCH(337,ChqRankU,0),0)=0,"",IF(INDEX(ChqAmt,IFERROR(MATCH(337,ChqRankU,0),0))=0,"",INDEX(ChqAmt,IFERROR(MATCH(337,ChqRankU,0),0))))</f>
        <v/>
      </c>
      <c r="E353" s="14">
        <f>IF(IFERROR(MATCH(337,ChqRankU,0),0)=0,"",INDEX(ChqStatus,IFERROR(MATCH(337,ChqRankU,0),0)))</f>
        <v/>
      </c>
      <c r="F353" s="22">
        <f>IF(IFERROR(MATCH(337,ChqRankU,0),0)=0,"",IF(INDEX(ChqStatus,IFERROR(MATCH(337,ChqRankU,0),0))="پاس نشده","—",IF(INDEX(ChqClr,IFERROR(MATCH(337,ChqRankU,0),0))="","—",INDEX(ChqClr,IFERROR(MATCH(337,ChqRankU,0),0)))))</f>
        <v/>
      </c>
      <c r="I353">
        <f>IF(337&gt;NChq,"",INDEX(ChqNorm,337))</f>
        <v/>
      </c>
      <c r="J353">
        <f>IF($I353="","",IF(AND($I353&gt;=$H$3,$I353&lt;=$H$4,INDEX(ChqStatus,337)="پاس نشده"),1,0))</f>
        <v/>
      </c>
      <c r="K353">
        <f>IF($J353=0,"",INDEX(ChqKey,337))</f>
        <v/>
      </c>
      <c r="L353">
        <f>IF($K353="","",COUNTIFS($J$17:$J$516,1,$K$17:$K$516,"&lt;"&amp;$K353)+1)</f>
        <v/>
      </c>
    </row>
    <row r="354">
      <c r="A354" s="16">
        <f>IF(IFERROR(MATCH(338,ChqRankU,0),0)=0,"",338)</f>
        <v/>
      </c>
      <c r="B354" s="24">
        <f>IF(IFERROR(MATCH(338,ChqRankU,0),0)=0,"",INDEX(ChqNorm,IFERROR(MATCH(338,ChqRankU,0),0)))</f>
        <v/>
      </c>
      <c r="C354" s="24">
        <f>IF(IFERROR(MATCH(338,ChqRankU,0),0)=0,"",INDEX(ChqNo,IFERROR(MATCH(338,ChqRankU,0),0)))</f>
        <v/>
      </c>
      <c r="D354" s="25">
        <f>IF(IFERROR(MATCH(338,ChqRankU,0),0)=0,"",IF(INDEX(ChqAmt,IFERROR(MATCH(338,ChqRankU,0),0))=0,"",INDEX(ChqAmt,IFERROR(MATCH(338,ChqRankU,0),0))))</f>
        <v/>
      </c>
      <c r="E354" s="17">
        <f>IF(IFERROR(MATCH(338,ChqRankU,0),0)=0,"",INDEX(ChqStatus,IFERROR(MATCH(338,ChqRankU,0),0)))</f>
        <v/>
      </c>
      <c r="F354" s="24">
        <f>IF(IFERROR(MATCH(338,ChqRankU,0),0)=0,"",IF(INDEX(ChqStatus,IFERROR(MATCH(338,ChqRankU,0),0))="پاس نشده","—",IF(INDEX(ChqClr,IFERROR(MATCH(338,ChqRankU,0),0))="","—",INDEX(ChqClr,IFERROR(MATCH(338,ChqRankU,0),0)))))</f>
        <v/>
      </c>
      <c r="I354">
        <f>IF(338&gt;NChq,"",INDEX(ChqNorm,338))</f>
        <v/>
      </c>
      <c r="J354">
        <f>IF($I354="","",IF(AND($I354&gt;=$H$3,$I354&lt;=$H$4,INDEX(ChqStatus,338)="پاس نشده"),1,0))</f>
        <v/>
      </c>
      <c r="K354">
        <f>IF($J354=0,"",INDEX(ChqKey,338))</f>
        <v/>
      </c>
      <c r="L354">
        <f>IF($K354="","",COUNTIFS($J$17:$J$516,1,$K$17:$K$516,"&lt;"&amp;$K354)+1)</f>
        <v/>
      </c>
    </row>
    <row r="355">
      <c r="A355" s="10">
        <f>IF(IFERROR(MATCH(339,ChqRankU,0),0)=0,"",339)</f>
        <v/>
      </c>
      <c r="B355" s="22">
        <f>IF(IFERROR(MATCH(339,ChqRankU,0),0)=0,"",INDEX(ChqNorm,IFERROR(MATCH(339,ChqRankU,0),0)))</f>
        <v/>
      </c>
      <c r="C355" s="22">
        <f>IF(IFERROR(MATCH(339,ChqRankU,0),0)=0,"",INDEX(ChqNo,IFERROR(MATCH(339,ChqRankU,0),0)))</f>
        <v/>
      </c>
      <c r="D355" s="23">
        <f>IF(IFERROR(MATCH(339,ChqRankU,0),0)=0,"",IF(INDEX(ChqAmt,IFERROR(MATCH(339,ChqRankU,0),0))=0,"",INDEX(ChqAmt,IFERROR(MATCH(339,ChqRankU,0),0))))</f>
        <v/>
      </c>
      <c r="E355" s="14">
        <f>IF(IFERROR(MATCH(339,ChqRankU,0),0)=0,"",INDEX(ChqStatus,IFERROR(MATCH(339,ChqRankU,0),0)))</f>
        <v/>
      </c>
      <c r="F355" s="22">
        <f>IF(IFERROR(MATCH(339,ChqRankU,0),0)=0,"",IF(INDEX(ChqStatus,IFERROR(MATCH(339,ChqRankU,0),0))="پاس نشده","—",IF(INDEX(ChqClr,IFERROR(MATCH(339,ChqRankU,0),0))="","—",INDEX(ChqClr,IFERROR(MATCH(339,ChqRankU,0),0)))))</f>
        <v/>
      </c>
      <c r="I355">
        <f>IF(339&gt;NChq,"",INDEX(ChqNorm,339))</f>
        <v/>
      </c>
      <c r="J355">
        <f>IF($I355="","",IF(AND($I355&gt;=$H$3,$I355&lt;=$H$4,INDEX(ChqStatus,339)="پاس نشده"),1,0))</f>
        <v/>
      </c>
      <c r="K355">
        <f>IF($J355=0,"",INDEX(ChqKey,339))</f>
        <v/>
      </c>
      <c r="L355">
        <f>IF($K355="","",COUNTIFS($J$17:$J$516,1,$K$17:$K$516,"&lt;"&amp;$K355)+1)</f>
        <v/>
      </c>
    </row>
    <row r="356">
      <c r="A356" s="16">
        <f>IF(IFERROR(MATCH(340,ChqRankU,0),0)=0,"",340)</f>
        <v/>
      </c>
      <c r="B356" s="24">
        <f>IF(IFERROR(MATCH(340,ChqRankU,0),0)=0,"",INDEX(ChqNorm,IFERROR(MATCH(340,ChqRankU,0),0)))</f>
        <v/>
      </c>
      <c r="C356" s="24">
        <f>IF(IFERROR(MATCH(340,ChqRankU,0),0)=0,"",INDEX(ChqNo,IFERROR(MATCH(340,ChqRankU,0),0)))</f>
        <v/>
      </c>
      <c r="D356" s="25">
        <f>IF(IFERROR(MATCH(340,ChqRankU,0),0)=0,"",IF(INDEX(ChqAmt,IFERROR(MATCH(340,ChqRankU,0),0))=0,"",INDEX(ChqAmt,IFERROR(MATCH(340,ChqRankU,0),0))))</f>
        <v/>
      </c>
      <c r="E356" s="17">
        <f>IF(IFERROR(MATCH(340,ChqRankU,0),0)=0,"",INDEX(ChqStatus,IFERROR(MATCH(340,ChqRankU,0),0)))</f>
        <v/>
      </c>
      <c r="F356" s="24">
        <f>IF(IFERROR(MATCH(340,ChqRankU,0),0)=0,"",IF(INDEX(ChqStatus,IFERROR(MATCH(340,ChqRankU,0),0))="پاس نشده","—",IF(INDEX(ChqClr,IFERROR(MATCH(340,ChqRankU,0),0))="","—",INDEX(ChqClr,IFERROR(MATCH(340,ChqRankU,0),0)))))</f>
        <v/>
      </c>
      <c r="I356">
        <f>IF(340&gt;NChq,"",INDEX(ChqNorm,340))</f>
        <v/>
      </c>
      <c r="J356">
        <f>IF($I356="","",IF(AND($I356&gt;=$H$3,$I356&lt;=$H$4,INDEX(ChqStatus,340)="پاس نشده"),1,0))</f>
        <v/>
      </c>
      <c r="K356">
        <f>IF($J356=0,"",INDEX(ChqKey,340))</f>
        <v/>
      </c>
      <c r="L356">
        <f>IF($K356="","",COUNTIFS($J$17:$J$516,1,$K$17:$K$516,"&lt;"&amp;$K356)+1)</f>
        <v/>
      </c>
    </row>
    <row r="357">
      <c r="A357" s="10">
        <f>IF(IFERROR(MATCH(341,ChqRankU,0),0)=0,"",341)</f>
        <v/>
      </c>
      <c r="B357" s="22">
        <f>IF(IFERROR(MATCH(341,ChqRankU,0),0)=0,"",INDEX(ChqNorm,IFERROR(MATCH(341,ChqRankU,0),0)))</f>
        <v/>
      </c>
      <c r="C357" s="22">
        <f>IF(IFERROR(MATCH(341,ChqRankU,0),0)=0,"",INDEX(ChqNo,IFERROR(MATCH(341,ChqRankU,0),0)))</f>
        <v/>
      </c>
      <c r="D357" s="23">
        <f>IF(IFERROR(MATCH(341,ChqRankU,0),0)=0,"",IF(INDEX(ChqAmt,IFERROR(MATCH(341,ChqRankU,0),0))=0,"",INDEX(ChqAmt,IFERROR(MATCH(341,ChqRankU,0),0))))</f>
        <v/>
      </c>
      <c r="E357" s="14">
        <f>IF(IFERROR(MATCH(341,ChqRankU,0),0)=0,"",INDEX(ChqStatus,IFERROR(MATCH(341,ChqRankU,0),0)))</f>
        <v/>
      </c>
      <c r="F357" s="22">
        <f>IF(IFERROR(MATCH(341,ChqRankU,0),0)=0,"",IF(INDEX(ChqStatus,IFERROR(MATCH(341,ChqRankU,0),0))="پاس نشده","—",IF(INDEX(ChqClr,IFERROR(MATCH(341,ChqRankU,0),0))="","—",INDEX(ChqClr,IFERROR(MATCH(341,ChqRankU,0),0)))))</f>
        <v/>
      </c>
      <c r="I357">
        <f>IF(341&gt;NChq,"",INDEX(ChqNorm,341))</f>
        <v/>
      </c>
      <c r="J357">
        <f>IF($I357="","",IF(AND($I357&gt;=$H$3,$I357&lt;=$H$4,INDEX(ChqStatus,341)="پاس نشده"),1,0))</f>
        <v/>
      </c>
      <c r="K357">
        <f>IF($J357=0,"",INDEX(ChqKey,341))</f>
        <v/>
      </c>
      <c r="L357">
        <f>IF($K357="","",COUNTIFS($J$17:$J$516,1,$K$17:$K$516,"&lt;"&amp;$K357)+1)</f>
        <v/>
      </c>
    </row>
    <row r="358">
      <c r="A358" s="16">
        <f>IF(IFERROR(MATCH(342,ChqRankU,0),0)=0,"",342)</f>
        <v/>
      </c>
      <c r="B358" s="24">
        <f>IF(IFERROR(MATCH(342,ChqRankU,0),0)=0,"",INDEX(ChqNorm,IFERROR(MATCH(342,ChqRankU,0),0)))</f>
        <v/>
      </c>
      <c r="C358" s="24">
        <f>IF(IFERROR(MATCH(342,ChqRankU,0),0)=0,"",INDEX(ChqNo,IFERROR(MATCH(342,ChqRankU,0),0)))</f>
        <v/>
      </c>
      <c r="D358" s="25">
        <f>IF(IFERROR(MATCH(342,ChqRankU,0),0)=0,"",IF(INDEX(ChqAmt,IFERROR(MATCH(342,ChqRankU,0),0))=0,"",INDEX(ChqAmt,IFERROR(MATCH(342,ChqRankU,0),0))))</f>
        <v/>
      </c>
      <c r="E358" s="17">
        <f>IF(IFERROR(MATCH(342,ChqRankU,0),0)=0,"",INDEX(ChqStatus,IFERROR(MATCH(342,ChqRankU,0),0)))</f>
        <v/>
      </c>
      <c r="F358" s="24">
        <f>IF(IFERROR(MATCH(342,ChqRankU,0),0)=0,"",IF(INDEX(ChqStatus,IFERROR(MATCH(342,ChqRankU,0),0))="پاس نشده","—",IF(INDEX(ChqClr,IFERROR(MATCH(342,ChqRankU,0),0))="","—",INDEX(ChqClr,IFERROR(MATCH(342,ChqRankU,0),0)))))</f>
        <v/>
      </c>
      <c r="I358">
        <f>IF(342&gt;NChq,"",INDEX(ChqNorm,342))</f>
        <v/>
      </c>
      <c r="J358">
        <f>IF($I358="","",IF(AND($I358&gt;=$H$3,$I358&lt;=$H$4,INDEX(ChqStatus,342)="پاس نشده"),1,0))</f>
        <v/>
      </c>
      <c r="K358">
        <f>IF($J358=0,"",INDEX(ChqKey,342))</f>
        <v/>
      </c>
      <c r="L358">
        <f>IF($K358="","",COUNTIFS($J$17:$J$516,1,$K$17:$K$516,"&lt;"&amp;$K358)+1)</f>
        <v/>
      </c>
    </row>
    <row r="359">
      <c r="A359" s="10">
        <f>IF(IFERROR(MATCH(343,ChqRankU,0),0)=0,"",343)</f>
        <v/>
      </c>
      <c r="B359" s="22">
        <f>IF(IFERROR(MATCH(343,ChqRankU,0),0)=0,"",INDEX(ChqNorm,IFERROR(MATCH(343,ChqRankU,0),0)))</f>
        <v/>
      </c>
      <c r="C359" s="22">
        <f>IF(IFERROR(MATCH(343,ChqRankU,0),0)=0,"",INDEX(ChqNo,IFERROR(MATCH(343,ChqRankU,0),0)))</f>
        <v/>
      </c>
      <c r="D359" s="23">
        <f>IF(IFERROR(MATCH(343,ChqRankU,0),0)=0,"",IF(INDEX(ChqAmt,IFERROR(MATCH(343,ChqRankU,0),0))=0,"",INDEX(ChqAmt,IFERROR(MATCH(343,ChqRankU,0),0))))</f>
        <v/>
      </c>
      <c r="E359" s="14">
        <f>IF(IFERROR(MATCH(343,ChqRankU,0),0)=0,"",INDEX(ChqStatus,IFERROR(MATCH(343,ChqRankU,0),0)))</f>
        <v/>
      </c>
      <c r="F359" s="22">
        <f>IF(IFERROR(MATCH(343,ChqRankU,0),0)=0,"",IF(INDEX(ChqStatus,IFERROR(MATCH(343,ChqRankU,0),0))="پاس نشده","—",IF(INDEX(ChqClr,IFERROR(MATCH(343,ChqRankU,0),0))="","—",INDEX(ChqClr,IFERROR(MATCH(343,ChqRankU,0),0)))))</f>
        <v/>
      </c>
      <c r="I359">
        <f>IF(343&gt;NChq,"",INDEX(ChqNorm,343))</f>
        <v/>
      </c>
      <c r="J359">
        <f>IF($I359="","",IF(AND($I359&gt;=$H$3,$I359&lt;=$H$4,INDEX(ChqStatus,343)="پاس نشده"),1,0))</f>
        <v/>
      </c>
      <c r="K359">
        <f>IF($J359=0,"",INDEX(ChqKey,343))</f>
        <v/>
      </c>
      <c r="L359">
        <f>IF($K359="","",COUNTIFS($J$17:$J$516,1,$K$17:$K$516,"&lt;"&amp;$K359)+1)</f>
        <v/>
      </c>
    </row>
    <row r="360">
      <c r="A360" s="16">
        <f>IF(IFERROR(MATCH(344,ChqRankU,0),0)=0,"",344)</f>
        <v/>
      </c>
      <c r="B360" s="24">
        <f>IF(IFERROR(MATCH(344,ChqRankU,0),0)=0,"",INDEX(ChqNorm,IFERROR(MATCH(344,ChqRankU,0),0)))</f>
        <v/>
      </c>
      <c r="C360" s="24">
        <f>IF(IFERROR(MATCH(344,ChqRankU,0),0)=0,"",INDEX(ChqNo,IFERROR(MATCH(344,ChqRankU,0),0)))</f>
        <v/>
      </c>
      <c r="D360" s="25">
        <f>IF(IFERROR(MATCH(344,ChqRankU,0),0)=0,"",IF(INDEX(ChqAmt,IFERROR(MATCH(344,ChqRankU,0),0))=0,"",INDEX(ChqAmt,IFERROR(MATCH(344,ChqRankU,0),0))))</f>
        <v/>
      </c>
      <c r="E360" s="17">
        <f>IF(IFERROR(MATCH(344,ChqRankU,0),0)=0,"",INDEX(ChqStatus,IFERROR(MATCH(344,ChqRankU,0),0)))</f>
        <v/>
      </c>
      <c r="F360" s="24">
        <f>IF(IFERROR(MATCH(344,ChqRankU,0),0)=0,"",IF(INDEX(ChqStatus,IFERROR(MATCH(344,ChqRankU,0),0))="پاس نشده","—",IF(INDEX(ChqClr,IFERROR(MATCH(344,ChqRankU,0),0))="","—",INDEX(ChqClr,IFERROR(MATCH(344,ChqRankU,0),0)))))</f>
        <v/>
      </c>
      <c r="I360">
        <f>IF(344&gt;NChq,"",INDEX(ChqNorm,344))</f>
        <v/>
      </c>
      <c r="J360">
        <f>IF($I360="","",IF(AND($I360&gt;=$H$3,$I360&lt;=$H$4,INDEX(ChqStatus,344)="پاس نشده"),1,0))</f>
        <v/>
      </c>
      <c r="K360">
        <f>IF($J360=0,"",INDEX(ChqKey,344))</f>
        <v/>
      </c>
      <c r="L360">
        <f>IF($K360="","",COUNTIFS($J$17:$J$516,1,$K$17:$K$516,"&lt;"&amp;$K360)+1)</f>
        <v/>
      </c>
    </row>
    <row r="361">
      <c r="A361" s="10">
        <f>IF(IFERROR(MATCH(345,ChqRankU,0),0)=0,"",345)</f>
        <v/>
      </c>
      <c r="B361" s="22">
        <f>IF(IFERROR(MATCH(345,ChqRankU,0),0)=0,"",INDEX(ChqNorm,IFERROR(MATCH(345,ChqRankU,0),0)))</f>
        <v/>
      </c>
      <c r="C361" s="22">
        <f>IF(IFERROR(MATCH(345,ChqRankU,0),0)=0,"",INDEX(ChqNo,IFERROR(MATCH(345,ChqRankU,0),0)))</f>
        <v/>
      </c>
      <c r="D361" s="23">
        <f>IF(IFERROR(MATCH(345,ChqRankU,0),0)=0,"",IF(INDEX(ChqAmt,IFERROR(MATCH(345,ChqRankU,0),0))=0,"",INDEX(ChqAmt,IFERROR(MATCH(345,ChqRankU,0),0))))</f>
        <v/>
      </c>
      <c r="E361" s="14">
        <f>IF(IFERROR(MATCH(345,ChqRankU,0),0)=0,"",INDEX(ChqStatus,IFERROR(MATCH(345,ChqRankU,0),0)))</f>
        <v/>
      </c>
      <c r="F361" s="22">
        <f>IF(IFERROR(MATCH(345,ChqRankU,0),0)=0,"",IF(INDEX(ChqStatus,IFERROR(MATCH(345,ChqRankU,0),0))="پاس نشده","—",IF(INDEX(ChqClr,IFERROR(MATCH(345,ChqRankU,0),0))="","—",INDEX(ChqClr,IFERROR(MATCH(345,ChqRankU,0),0)))))</f>
        <v/>
      </c>
      <c r="I361">
        <f>IF(345&gt;NChq,"",INDEX(ChqNorm,345))</f>
        <v/>
      </c>
      <c r="J361">
        <f>IF($I361="","",IF(AND($I361&gt;=$H$3,$I361&lt;=$H$4,INDEX(ChqStatus,345)="پاس نشده"),1,0))</f>
        <v/>
      </c>
      <c r="K361">
        <f>IF($J361=0,"",INDEX(ChqKey,345))</f>
        <v/>
      </c>
      <c r="L361">
        <f>IF($K361="","",COUNTIFS($J$17:$J$516,1,$K$17:$K$516,"&lt;"&amp;$K361)+1)</f>
        <v/>
      </c>
    </row>
    <row r="362">
      <c r="A362" s="16">
        <f>IF(IFERROR(MATCH(346,ChqRankU,0),0)=0,"",346)</f>
        <v/>
      </c>
      <c r="B362" s="24">
        <f>IF(IFERROR(MATCH(346,ChqRankU,0),0)=0,"",INDEX(ChqNorm,IFERROR(MATCH(346,ChqRankU,0),0)))</f>
        <v/>
      </c>
      <c r="C362" s="24">
        <f>IF(IFERROR(MATCH(346,ChqRankU,0),0)=0,"",INDEX(ChqNo,IFERROR(MATCH(346,ChqRankU,0),0)))</f>
        <v/>
      </c>
      <c r="D362" s="25">
        <f>IF(IFERROR(MATCH(346,ChqRankU,0),0)=0,"",IF(INDEX(ChqAmt,IFERROR(MATCH(346,ChqRankU,0),0))=0,"",INDEX(ChqAmt,IFERROR(MATCH(346,ChqRankU,0),0))))</f>
        <v/>
      </c>
      <c r="E362" s="17">
        <f>IF(IFERROR(MATCH(346,ChqRankU,0),0)=0,"",INDEX(ChqStatus,IFERROR(MATCH(346,ChqRankU,0),0)))</f>
        <v/>
      </c>
      <c r="F362" s="24">
        <f>IF(IFERROR(MATCH(346,ChqRankU,0),0)=0,"",IF(INDEX(ChqStatus,IFERROR(MATCH(346,ChqRankU,0),0))="پاس نشده","—",IF(INDEX(ChqClr,IFERROR(MATCH(346,ChqRankU,0),0))="","—",INDEX(ChqClr,IFERROR(MATCH(346,ChqRankU,0),0)))))</f>
        <v/>
      </c>
      <c r="I362">
        <f>IF(346&gt;NChq,"",INDEX(ChqNorm,346))</f>
        <v/>
      </c>
      <c r="J362">
        <f>IF($I362="","",IF(AND($I362&gt;=$H$3,$I362&lt;=$H$4,INDEX(ChqStatus,346)="پاس نشده"),1,0))</f>
        <v/>
      </c>
      <c r="K362">
        <f>IF($J362=0,"",INDEX(ChqKey,346))</f>
        <v/>
      </c>
      <c r="L362">
        <f>IF($K362="","",COUNTIFS($J$17:$J$516,1,$K$17:$K$516,"&lt;"&amp;$K362)+1)</f>
        <v/>
      </c>
    </row>
    <row r="363">
      <c r="A363" s="10">
        <f>IF(IFERROR(MATCH(347,ChqRankU,0),0)=0,"",347)</f>
        <v/>
      </c>
      <c r="B363" s="22">
        <f>IF(IFERROR(MATCH(347,ChqRankU,0),0)=0,"",INDEX(ChqNorm,IFERROR(MATCH(347,ChqRankU,0),0)))</f>
        <v/>
      </c>
      <c r="C363" s="22">
        <f>IF(IFERROR(MATCH(347,ChqRankU,0),0)=0,"",INDEX(ChqNo,IFERROR(MATCH(347,ChqRankU,0),0)))</f>
        <v/>
      </c>
      <c r="D363" s="23">
        <f>IF(IFERROR(MATCH(347,ChqRankU,0),0)=0,"",IF(INDEX(ChqAmt,IFERROR(MATCH(347,ChqRankU,0),0))=0,"",INDEX(ChqAmt,IFERROR(MATCH(347,ChqRankU,0),0))))</f>
        <v/>
      </c>
      <c r="E363" s="14">
        <f>IF(IFERROR(MATCH(347,ChqRankU,0),0)=0,"",INDEX(ChqStatus,IFERROR(MATCH(347,ChqRankU,0),0)))</f>
        <v/>
      </c>
      <c r="F363" s="22">
        <f>IF(IFERROR(MATCH(347,ChqRankU,0),0)=0,"",IF(INDEX(ChqStatus,IFERROR(MATCH(347,ChqRankU,0),0))="پاس نشده","—",IF(INDEX(ChqClr,IFERROR(MATCH(347,ChqRankU,0),0))="","—",INDEX(ChqClr,IFERROR(MATCH(347,ChqRankU,0),0)))))</f>
        <v/>
      </c>
      <c r="I363">
        <f>IF(347&gt;NChq,"",INDEX(ChqNorm,347))</f>
        <v/>
      </c>
      <c r="J363">
        <f>IF($I363="","",IF(AND($I363&gt;=$H$3,$I363&lt;=$H$4,INDEX(ChqStatus,347)="پاس نشده"),1,0))</f>
        <v/>
      </c>
      <c r="K363">
        <f>IF($J363=0,"",INDEX(ChqKey,347))</f>
        <v/>
      </c>
      <c r="L363">
        <f>IF($K363="","",COUNTIFS($J$17:$J$516,1,$K$17:$K$516,"&lt;"&amp;$K363)+1)</f>
        <v/>
      </c>
    </row>
    <row r="364">
      <c r="A364" s="16">
        <f>IF(IFERROR(MATCH(348,ChqRankU,0),0)=0,"",348)</f>
        <v/>
      </c>
      <c r="B364" s="24">
        <f>IF(IFERROR(MATCH(348,ChqRankU,0),0)=0,"",INDEX(ChqNorm,IFERROR(MATCH(348,ChqRankU,0),0)))</f>
        <v/>
      </c>
      <c r="C364" s="24">
        <f>IF(IFERROR(MATCH(348,ChqRankU,0),0)=0,"",INDEX(ChqNo,IFERROR(MATCH(348,ChqRankU,0),0)))</f>
        <v/>
      </c>
      <c r="D364" s="25">
        <f>IF(IFERROR(MATCH(348,ChqRankU,0),0)=0,"",IF(INDEX(ChqAmt,IFERROR(MATCH(348,ChqRankU,0),0))=0,"",INDEX(ChqAmt,IFERROR(MATCH(348,ChqRankU,0),0))))</f>
        <v/>
      </c>
      <c r="E364" s="17">
        <f>IF(IFERROR(MATCH(348,ChqRankU,0),0)=0,"",INDEX(ChqStatus,IFERROR(MATCH(348,ChqRankU,0),0)))</f>
        <v/>
      </c>
      <c r="F364" s="24">
        <f>IF(IFERROR(MATCH(348,ChqRankU,0),0)=0,"",IF(INDEX(ChqStatus,IFERROR(MATCH(348,ChqRankU,0),0))="پاس نشده","—",IF(INDEX(ChqClr,IFERROR(MATCH(348,ChqRankU,0),0))="","—",INDEX(ChqClr,IFERROR(MATCH(348,ChqRankU,0),0)))))</f>
        <v/>
      </c>
      <c r="I364">
        <f>IF(348&gt;NChq,"",INDEX(ChqNorm,348))</f>
        <v/>
      </c>
      <c r="J364">
        <f>IF($I364="","",IF(AND($I364&gt;=$H$3,$I364&lt;=$H$4,INDEX(ChqStatus,348)="پاس نشده"),1,0))</f>
        <v/>
      </c>
      <c r="K364">
        <f>IF($J364=0,"",INDEX(ChqKey,348))</f>
        <v/>
      </c>
      <c r="L364">
        <f>IF($K364="","",COUNTIFS($J$17:$J$516,1,$K$17:$K$516,"&lt;"&amp;$K364)+1)</f>
        <v/>
      </c>
    </row>
    <row r="365">
      <c r="A365" s="10">
        <f>IF(IFERROR(MATCH(349,ChqRankU,0),0)=0,"",349)</f>
        <v/>
      </c>
      <c r="B365" s="22">
        <f>IF(IFERROR(MATCH(349,ChqRankU,0),0)=0,"",INDEX(ChqNorm,IFERROR(MATCH(349,ChqRankU,0),0)))</f>
        <v/>
      </c>
      <c r="C365" s="22">
        <f>IF(IFERROR(MATCH(349,ChqRankU,0),0)=0,"",INDEX(ChqNo,IFERROR(MATCH(349,ChqRankU,0),0)))</f>
        <v/>
      </c>
      <c r="D365" s="23">
        <f>IF(IFERROR(MATCH(349,ChqRankU,0),0)=0,"",IF(INDEX(ChqAmt,IFERROR(MATCH(349,ChqRankU,0),0))=0,"",INDEX(ChqAmt,IFERROR(MATCH(349,ChqRankU,0),0))))</f>
        <v/>
      </c>
      <c r="E365" s="14">
        <f>IF(IFERROR(MATCH(349,ChqRankU,0),0)=0,"",INDEX(ChqStatus,IFERROR(MATCH(349,ChqRankU,0),0)))</f>
        <v/>
      </c>
      <c r="F365" s="22">
        <f>IF(IFERROR(MATCH(349,ChqRankU,0),0)=0,"",IF(INDEX(ChqStatus,IFERROR(MATCH(349,ChqRankU,0),0))="پاس نشده","—",IF(INDEX(ChqClr,IFERROR(MATCH(349,ChqRankU,0),0))="","—",INDEX(ChqClr,IFERROR(MATCH(349,ChqRankU,0),0)))))</f>
        <v/>
      </c>
      <c r="I365">
        <f>IF(349&gt;NChq,"",INDEX(ChqNorm,349))</f>
        <v/>
      </c>
      <c r="J365">
        <f>IF($I365="","",IF(AND($I365&gt;=$H$3,$I365&lt;=$H$4,INDEX(ChqStatus,349)="پاس نشده"),1,0))</f>
        <v/>
      </c>
      <c r="K365">
        <f>IF($J365=0,"",INDEX(ChqKey,349))</f>
        <v/>
      </c>
      <c r="L365">
        <f>IF($K365="","",COUNTIFS($J$17:$J$516,1,$K$17:$K$516,"&lt;"&amp;$K365)+1)</f>
        <v/>
      </c>
    </row>
    <row r="366">
      <c r="A366" s="16">
        <f>IF(IFERROR(MATCH(350,ChqRankU,0),0)=0,"",350)</f>
        <v/>
      </c>
      <c r="B366" s="24">
        <f>IF(IFERROR(MATCH(350,ChqRankU,0),0)=0,"",INDEX(ChqNorm,IFERROR(MATCH(350,ChqRankU,0),0)))</f>
        <v/>
      </c>
      <c r="C366" s="24">
        <f>IF(IFERROR(MATCH(350,ChqRankU,0),0)=0,"",INDEX(ChqNo,IFERROR(MATCH(350,ChqRankU,0),0)))</f>
        <v/>
      </c>
      <c r="D366" s="25">
        <f>IF(IFERROR(MATCH(350,ChqRankU,0),0)=0,"",IF(INDEX(ChqAmt,IFERROR(MATCH(350,ChqRankU,0),0))=0,"",INDEX(ChqAmt,IFERROR(MATCH(350,ChqRankU,0),0))))</f>
        <v/>
      </c>
      <c r="E366" s="17">
        <f>IF(IFERROR(MATCH(350,ChqRankU,0),0)=0,"",INDEX(ChqStatus,IFERROR(MATCH(350,ChqRankU,0),0)))</f>
        <v/>
      </c>
      <c r="F366" s="24">
        <f>IF(IFERROR(MATCH(350,ChqRankU,0),0)=0,"",IF(INDEX(ChqStatus,IFERROR(MATCH(350,ChqRankU,0),0))="پاس نشده","—",IF(INDEX(ChqClr,IFERROR(MATCH(350,ChqRankU,0),0))="","—",INDEX(ChqClr,IFERROR(MATCH(350,ChqRankU,0),0)))))</f>
        <v/>
      </c>
      <c r="I366">
        <f>IF(350&gt;NChq,"",INDEX(ChqNorm,350))</f>
        <v/>
      </c>
      <c r="J366">
        <f>IF($I366="","",IF(AND($I366&gt;=$H$3,$I366&lt;=$H$4,INDEX(ChqStatus,350)="پاس نشده"),1,0))</f>
        <v/>
      </c>
      <c r="K366">
        <f>IF($J366=0,"",INDEX(ChqKey,350))</f>
        <v/>
      </c>
      <c r="L366">
        <f>IF($K366="","",COUNTIFS($J$17:$J$516,1,$K$17:$K$516,"&lt;"&amp;$K366)+1)</f>
        <v/>
      </c>
    </row>
    <row r="367">
      <c r="A367" s="10">
        <f>IF(IFERROR(MATCH(351,ChqRankU,0),0)=0,"",351)</f>
        <v/>
      </c>
      <c r="B367" s="22">
        <f>IF(IFERROR(MATCH(351,ChqRankU,0),0)=0,"",INDEX(ChqNorm,IFERROR(MATCH(351,ChqRankU,0),0)))</f>
        <v/>
      </c>
      <c r="C367" s="22">
        <f>IF(IFERROR(MATCH(351,ChqRankU,0),0)=0,"",INDEX(ChqNo,IFERROR(MATCH(351,ChqRankU,0),0)))</f>
        <v/>
      </c>
      <c r="D367" s="23">
        <f>IF(IFERROR(MATCH(351,ChqRankU,0),0)=0,"",IF(INDEX(ChqAmt,IFERROR(MATCH(351,ChqRankU,0),0))=0,"",INDEX(ChqAmt,IFERROR(MATCH(351,ChqRankU,0),0))))</f>
        <v/>
      </c>
      <c r="E367" s="14">
        <f>IF(IFERROR(MATCH(351,ChqRankU,0),0)=0,"",INDEX(ChqStatus,IFERROR(MATCH(351,ChqRankU,0),0)))</f>
        <v/>
      </c>
      <c r="F367" s="22">
        <f>IF(IFERROR(MATCH(351,ChqRankU,0),0)=0,"",IF(INDEX(ChqStatus,IFERROR(MATCH(351,ChqRankU,0),0))="پاس نشده","—",IF(INDEX(ChqClr,IFERROR(MATCH(351,ChqRankU,0),0))="","—",INDEX(ChqClr,IFERROR(MATCH(351,ChqRankU,0),0)))))</f>
        <v/>
      </c>
      <c r="I367">
        <f>IF(351&gt;NChq,"",INDEX(ChqNorm,351))</f>
        <v/>
      </c>
      <c r="J367">
        <f>IF($I367="","",IF(AND($I367&gt;=$H$3,$I367&lt;=$H$4,INDEX(ChqStatus,351)="پاس نشده"),1,0))</f>
        <v/>
      </c>
      <c r="K367">
        <f>IF($J367=0,"",INDEX(ChqKey,351))</f>
        <v/>
      </c>
      <c r="L367">
        <f>IF($K367="","",COUNTIFS($J$17:$J$516,1,$K$17:$K$516,"&lt;"&amp;$K367)+1)</f>
        <v/>
      </c>
    </row>
    <row r="368">
      <c r="A368" s="16">
        <f>IF(IFERROR(MATCH(352,ChqRankU,0),0)=0,"",352)</f>
        <v/>
      </c>
      <c r="B368" s="24">
        <f>IF(IFERROR(MATCH(352,ChqRankU,0),0)=0,"",INDEX(ChqNorm,IFERROR(MATCH(352,ChqRankU,0),0)))</f>
        <v/>
      </c>
      <c r="C368" s="24">
        <f>IF(IFERROR(MATCH(352,ChqRankU,0),0)=0,"",INDEX(ChqNo,IFERROR(MATCH(352,ChqRankU,0),0)))</f>
        <v/>
      </c>
      <c r="D368" s="25">
        <f>IF(IFERROR(MATCH(352,ChqRankU,0),0)=0,"",IF(INDEX(ChqAmt,IFERROR(MATCH(352,ChqRankU,0),0))=0,"",INDEX(ChqAmt,IFERROR(MATCH(352,ChqRankU,0),0))))</f>
        <v/>
      </c>
      <c r="E368" s="17">
        <f>IF(IFERROR(MATCH(352,ChqRankU,0),0)=0,"",INDEX(ChqStatus,IFERROR(MATCH(352,ChqRankU,0),0)))</f>
        <v/>
      </c>
      <c r="F368" s="24">
        <f>IF(IFERROR(MATCH(352,ChqRankU,0),0)=0,"",IF(INDEX(ChqStatus,IFERROR(MATCH(352,ChqRankU,0),0))="پاس نشده","—",IF(INDEX(ChqClr,IFERROR(MATCH(352,ChqRankU,0),0))="","—",INDEX(ChqClr,IFERROR(MATCH(352,ChqRankU,0),0)))))</f>
        <v/>
      </c>
      <c r="I368">
        <f>IF(352&gt;NChq,"",INDEX(ChqNorm,352))</f>
        <v/>
      </c>
      <c r="J368">
        <f>IF($I368="","",IF(AND($I368&gt;=$H$3,$I368&lt;=$H$4,INDEX(ChqStatus,352)="پاس نشده"),1,0))</f>
        <v/>
      </c>
      <c r="K368">
        <f>IF($J368=0,"",INDEX(ChqKey,352))</f>
        <v/>
      </c>
      <c r="L368">
        <f>IF($K368="","",COUNTIFS($J$17:$J$516,1,$K$17:$K$516,"&lt;"&amp;$K368)+1)</f>
        <v/>
      </c>
    </row>
    <row r="369">
      <c r="A369" s="10">
        <f>IF(IFERROR(MATCH(353,ChqRankU,0),0)=0,"",353)</f>
        <v/>
      </c>
      <c r="B369" s="22">
        <f>IF(IFERROR(MATCH(353,ChqRankU,0),0)=0,"",INDEX(ChqNorm,IFERROR(MATCH(353,ChqRankU,0),0)))</f>
        <v/>
      </c>
      <c r="C369" s="22">
        <f>IF(IFERROR(MATCH(353,ChqRankU,0),0)=0,"",INDEX(ChqNo,IFERROR(MATCH(353,ChqRankU,0),0)))</f>
        <v/>
      </c>
      <c r="D369" s="23">
        <f>IF(IFERROR(MATCH(353,ChqRankU,0),0)=0,"",IF(INDEX(ChqAmt,IFERROR(MATCH(353,ChqRankU,0),0))=0,"",INDEX(ChqAmt,IFERROR(MATCH(353,ChqRankU,0),0))))</f>
        <v/>
      </c>
      <c r="E369" s="14">
        <f>IF(IFERROR(MATCH(353,ChqRankU,0),0)=0,"",INDEX(ChqStatus,IFERROR(MATCH(353,ChqRankU,0),0)))</f>
        <v/>
      </c>
      <c r="F369" s="22">
        <f>IF(IFERROR(MATCH(353,ChqRankU,0),0)=0,"",IF(INDEX(ChqStatus,IFERROR(MATCH(353,ChqRankU,0),0))="پاس نشده","—",IF(INDEX(ChqClr,IFERROR(MATCH(353,ChqRankU,0),0))="","—",INDEX(ChqClr,IFERROR(MATCH(353,ChqRankU,0),0)))))</f>
        <v/>
      </c>
      <c r="I369">
        <f>IF(353&gt;NChq,"",INDEX(ChqNorm,353))</f>
        <v/>
      </c>
      <c r="J369">
        <f>IF($I369="","",IF(AND($I369&gt;=$H$3,$I369&lt;=$H$4,INDEX(ChqStatus,353)="پاس نشده"),1,0))</f>
        <v/>
      </c>
      <c r="K369">
        <f>IF($J369=0,"",INDEX(ChqKey,353))</f>
        <v/>
      </c>
      <c r="L369">
        <f>IF($K369="","",COUNTIFS($J$17:$J$516,1,$K$17:$K$516,"&lt;"&amp;$K369)+1)</f>
        <v/>
      </c>
    </row>
    <row r="370">
      <c r="A370" s="16">
        <f>IF(IFERROR(MATCH(354,ChqRankU,0),0)=0,"",354)</f>
        <v/>
      </c>
      <c r="B370" s="24">
        <f>IF(IFERROR(MATCH(354,ChqRankU,0),0)=0,"",INDEX(ChqNorm,IFERROR(MATCH(354,ChqRankU,0),0)))</f>
        <v/>
      </c>
      <c r="C370" s="24">
        <f>IF(IFERROR(MATCH(354,ChqRankU,0),0)=0,"",INDEX(ChqNo,IFERROR(MATCH(354,ChqRankU,0),0)))</f>
        <v/>
      </c>
      <c r="D370" s="25">
        <f>IF(IFERROR(MATCH(354,ChqRankU,0),0)=0,"",IF(INDEX(ChqAmt,IFERROR(MATCH(354,ChqRankU,0),0))=0,"",INDEX(ChqAmt,IFERROR(MATCH(354,ChqRankU,0),0))))</f>
        <v/>
      </c>
      <c r="E370" s="17">
        <f>IF(IFERROR(MATCH(354,ChqRankU,0),0)=0,"",INDEX(ChqStatus,IFERROR(MATCH(354,ChqRankU,0),0)))</f>
        <v/>
      </c>
      <c r="F370" s="24">
        <f>IF(IFERROR(MATCH(354,ChqRankU,0),0)=0,"",IF(INDEX(ChqStatus,IFERROR(MATCH(354,ChqRankU,0),0))="پاس نشده","—",IF(INDEX(ChqClr,IFERROR(MATCH(354,ChqRankU,0),0))="","—",INDEX(ChqClr,IFERROR(MATCH(354,ChqRankU,0),0)))))</f>
        <v/>
      </c>
      <c r="I370">
        <f>IF(354&gt;NChq,"",INDEX(ChqNorm,354))</f>
        <v/>
      </c>
      <c r="J370">
        <f>IF($I370="","",IF(AND($I370&gt;=$H$3,$I370&lt;=$H$4,INDEX(ChqStatus,354)="پاس نشده"),1,0))</f>
        <v/>
      </c>
      <c r="K370">
        <f>IF($J370=0,"",INDEX(ChqKey,354))</f>
        <v/>
      </c>
      <c r="L370">
        <f>IF($K370="","",COUNTIFS($J$17:$J$516,1,$K$17:$K$516,"&lt;"&amp;$K370)+1)</f>
        <v/>
      </c>
    </row>
    <row r="371">
      <c r="A371" s="10">
        <f>IF(IFERROR(MATCH(355,ChqRankU,0),0)=0,"",355)</f>
        <v/>
      </c>
      <c r="B371" s="22">
        <f>IF(IFERROR(MATCH(355,ChqRankU,0),0)=0,"",INDEX(ChqNorm,IFERROR(MATCH(355,ChqRankU,0),0)))</f>
        <v/>
      </c>
      <c r="C371" s="22">
        <f>IF(IFERROR(MATCH(355,ChqRankU,0),0)=0,"",INDEX(ChqNo,IFERROR(MATCH(355,ChqRankU,0),0)))</f>
        <v/>
      </c>
      <c r="D371" s="23">
        <f>IF(IFERROR(MATCH(355,ChqRankU,0),0)=0,"",IF(INDEX(ChqAmt,IFERROR(MATCH(355,ChqRankU,0),0))=0,"",INDEX(ChqAmt,IFERROR(MATCH(355,ChqRankU,0),0))))</f>
        <v/>
      </c>
      <c r="E371" s="14">
        <f>IF(IFERROR(MATCH(355,ChqRankU,0),0)=0,"",INDEX(ChqStatus,IFERROR(MATCH(355,ChqRankU,0),0)))</f>
        <v/>
      </c>
      <c r="F371" s="22">
        <f>IF(IFERROR(MATCH(355,ChqRankU,0),0)=0,"",IF(INDEX(ChqStatus,IFERROR(MATCH(355,ChqRankU,0),0))="پاس نشده","—",IF(INDEX(ChqClr,IFERROR(MATCH(355,ChqRankU,0),0))="","—",INDEX(ChqClr,IFERROR(MATCH(355,ChqRankU,0),0)))))</f>
        <v/>
      </c>
      <c r="I371">
        <f>IF(355&gt;NChq,"",INDEX(ChqNorm,355))</f>
        <v/>
      </c>
      <c r="J371">
        <f>IF($I371="","",IF(AND($I371&gt;=$H$3,$I371&lt;=$H$4,INDEX(ChqStatus,355)="پاس نشده"),1,0))</f>
        <v/>
      </c>
      <c r="K371">
        <f>IF($J371=0,"",INDEX(ChqKey,355))</f>
        <v/>
      </c>
      <c r="L371">
        <f>IF($K371="","",COUNTIFS($J$17:$J$516,1,$K$17:$K$516,"&lt;"&amp;$K371)+1)</f>
        <v/>
      </c>
    </row>
    <row r="372">
      <c r="A372" s="16">
        <f>IF(IFERROR(MATCH(356,ChqRankU,0),0)=0,"",356)</f>
        <v/>
      </c>
      <c r="B372" s="24">
        <f>IF(IFERROR(MATCH(356,ChqRankU,0),0)=0,"",INDEX(ChqNorm,IFERROR(MATCH(356,ChqRankU,0),0)))</f>
        <v/>
      </c>
      <c r="C372" s="24">
        <f>IF(IFERROR(MATCH(356,ChqRankU,0),0)=0,"",INDEX(ChqNo,IFERROR(MATCH(356,ChqRankU,0),0)))</f>
        <v/>
      </c>
      <c r="D372" s="25">
        <f>IF(IFERROR(MATCH(356,ChqRankU,0),0)=0,"",IF(INDEX(ChqAmt,IFERROR(MATCH(356,ChqRankU,0),0))=0,"",INDEX(ChqAmt,IFERROR(MATCH(356,ChqRankU,0),0))))</f>
        <v/>
      </c>
      <c r="E372" s="17">
        <f>IF(IFERROR(MATCH(356,ChqRankU,0),0)=0,"",INDEX(ChqStatus,IFERROR(MATCH(356,ChqRankU,0),0)))</f>
        <v/>
      </c>
      <c r="F372" s="24">
        <f>IF(IFERROR(MATCH(356,ChqRankU,0),0)=0,"",IF(INDEX(ChqStatus,IFERROR(MATCH(356,ChqRankU,0),0))="پاس نشده","—",IF(INDEX(ChqClr,IFERROR(MATCH(356,ChqRankU,0),0))="","—",INDEX(ChqClr,IFERROR(MATCH(356,ChqRankU,0),0)))))</f>
        <v/>
      </c>
      <c r="I372">
        <f>IF(356&gt;NChq,"",INDEX(ChqNorm,356))</f>
        <v/>
      </c>
      <c r="J372">
        <f>IF($I372="","",IF(AND($I372&gt;=$H$3,$I372&lt;=$H$4,INDEX(ChqStatus,356)="پاس نشده"),1,0))</f>
        <v/>
      </c>
      <c r="K372">
        <f>IF($J372=0,"",INDEX(ChqKey,356))</f>
        <v/>
      </c>
      <c r="L372">
        <f>IF($K372="","",COUNTIFS($J$17:$J$516,1,$K$17:$K$516,"&lt;"&amp;$K372)+1)</f>
        <v/>
      </c>
    </row>
    <row r="373">
      <c r="A373" s="10">
        <f>IF(IFERROR(MATCH(357,ChqRankU,0),0)=0,"",357)</f>
        <v/>
      </c>
      <c r="B373" s="22">
        <f>IF(IFERROR(MATCH(357,ChqRankU,0),0)=0,"",INDEX(ChqNorm,IFERROR(MATCH(357,ChqRankU,0),0)))</f>
        <v/>
      </c>
      <c r="C373" s="22">
        <f>IF(IFERROR(MATCH(357,ChqRankU,0),0)=0,"",INDEX(ChqNo,IFERROR(MATCH(357,ChqRankU,0),0)))</f>
        <v/>
      </c>
      <c r="D373" s="23">
        <f>IF(IFERROR(MATCH(357,ChqRankU,0),0)=0,"",IF(INDEX(ChqAmt,IFERROR(MATCH(357,ChqRankU,0),0))=0,"",INDEX(ChqAmt,IFERROR(MATCH(357,ChqRankU,0),0))))</f>
        <v/>
      </c>
      <c r="E373" s="14">
        <f>IF(IFERROR(MATCH(357,ChqRankU,0),0)=0,"",INDEX(ChqStatus,IFERROR(MATCH(357,ChqRankU,0),0)))</f>
        <v/>
      </c>
      <c r="F373" s="22">
        <f>IF(IFERROR(MATCH(357,ChqRankU,0),0)=0,"",IF(INDEX(ChqStatus,IFERROR(MATCH(357,ChqRankU,0),0))="پاس نشده","—",IF(INDEX(ChqClr,IFERROR(MATCH(357,ChqRankU,0),0))="","—",INDEX(ChqClr,IFERROR(MATCH(357,ChqRankU,0),0)))))</f>
        <v/>
      </c>
      <c r="I373">
        <f>IF(357&gt;NChq,"",INDEX(ChqNorm,357))</f>
        <v/>
      </c>
      <c r="J373">
        <f>IF($I373="","",IF(AND($I373&gt;=$H$3,$I373&lt;=$H$4,INDEX(ChqStatus,357)="پاس نشده"),1,0))</f>
        <v/>
      </c>
      <c r="K373">
        <f>IF($J373=0,"",INDEX(ChqKey,357))</f>
        <v/>
      </c>
      <c r="L373">
        <f>IF($K373="","",COUNTIFS($J$17:$J$516,1,$K$17:$K$516,"&lt;"&amp;$K373)+1)</f>
        <v/>
      </c>
    </row>
    <row r="374">
      <c r="A374" s="16">
        <f>IF(IFERROR(MATCH(358,ChqRankU,0),0)=0,"",358)</f>
        <v/>
      </c>
      <c r="B374" s="24">
        <f>IF(IFERROR(MATCH(358,ChqRankU,0),0)=0,"",INDEX(ChqNorm,IFERROR(MATCH(358,ChqRankU,0),0)))</f>
        <v/>
      </c>
      <c r="C374" s="24">
        <f>IF(IFERROR(MATCH(358,ChqRankU,0),0)=0,"",INDEX(ChqNo,IFERROR(MATCH(358,ChqRankU,0),0)))</f>
        <v/>
      </c>
      <c r="D374" s="25">
        <f>IF(IFERROR(MATCH(358,ChqRankU,0),0)=0,"",IF(INDEX(ChqAmt,IFERROR(MATCH(358,ChqRankU,0),0))=0,"",INDEX(ChqAmt,IFERROR(MATCH(358,ChqRankU,0),0))))</f>
        <v/>
      </c>
      <c r="E374" s="17">
        <f>IF(IFERROR(MATCH(358,ChqRankU,0),0)=0,"",INDEX(ChqStatus,IFERROR(MATCH(358,ChqRankU,0),0)))</f>
        <v/>
      </c>
      <c r="F374" s="24">
        <f>IF(IFERROR(MATCH(358,ChqRankU,0),0)=0,"",IF(INDEX(ChqStatus,IFERROR(MATCH(358,ChqRankU,0),0))="پاس نشده","—",IF(INDEX(ChqClr,IFERROR(MATCH(358,ChqRankU,0),0))="","—",INDEX(ChqClr,IFERROR(MATCH(358,ChqRankU,0),0)))))</f>
        <v/>
      </c>
      <c r="I374">
        <f>IF(358&gt;NChq,"",INDEX(ChqNorm,358))</f>
        <v/>
      </c>
      <c r="J374">
        <f>IF($I374="","",IF(AND($I374&gt;=$H$3,$I374&lt;=$H$4,INDEX(ChqStatus,358)="پاس نشده"),1,0))</f>
        <v/>
      </c>
      <c r="K374">
        <f>IF($J374=0,"",INDEX(ChqKey,358))</f>
        <v/>
      </c>
      <c r="L374">
        <f>IF($K374="","",COUNTIFS($J$17:$J$516,1,$K$17:$K$516,"&lt;"&amp;$K374)+1)</f>
        <v/>
      </c>
    </row>
    <row r="375">
      <c r="A375" s="10">
        <f>IF(IFERROR(MATCH(359,ChqRankU,0),0)=0,"",359)</f>
        <v/>
      </c>
      <c r="B375" s="22">
        <f>IF(IFERROR(MATCH(359,ChqRankU,0),0)=0,"",INDEX(ChqNorm,IFERROR(MATCH(359,ChqRankU,0),0)))</f>
        <v/>
      </c>
      <c r="C375" s="22">
        <f>IF(IFERROR(MATCH(359,ChqRankU,0),0)=0,"",INDEX(ChqNo,IFERROR(MATCH(359,ChqRankU,0),0)))</f>
        <v/>
      </c>
      <c r="D375" s="23">
        <f>IF(IFERROR(MATCH(359,ChqRankU,0),0)=0,"",IF(INDEX(ChqAmt,IFERROR(MATCH(359,ChqRankU,0),0))=0,"",INDEX(ChqAmt,IFERROR(MATCH(359,ChqRankU,0),0))))</f>
        <v/>
      </c>
      <c r="E375" s="14">
        <f>IF(IFERROR(MATCH(359,ChqRankU,0),0)=0,"",INDEX(ChqStatus,IFERROR(MATCH(359,ChqRankU,0),0)))</f>
        <v/>
      </c>
      <c r="F375" s="22">
        <f>IF(IFERROR(MATCH(359,ChqRankU,0),0)=0,"",IF(INDEX(ChqStatus,IFERROR(MATCH(359,ChqRankU,0),0))="پاس نشده","—",IF(INDEX(ChqClr,IFERROR(MATCH(359,ChqRankU,0),0))="","—",INDEX(ChqClr,IFERROR(MATCH(359,ChqRankU,0),0)))))</f>
        <v/>
      </c>
      <c r="I375">
        <f>IF(359&gt;NChq,"",INDEX(ChqNorm,359))</f>
        <v/>
      </c>
      <c r="J375">
        <f>IF($I375="","",IF(AND($I375&gt;=$H$3,$I375&lt;=$H$4,INDEX(ChqStatus,359)="پاس نشده"),1,0))</f>
        <v/>
      </c>
      <c r="K375">
        <f>IF($J375=0,"",INDEX(ChqKey,359))</f>
        <v/>
      </c>
      <c r="L375">
        <f>IF($K375="","",COUNTIFS($J$17:$J$516,1,$K$17:$K$516,"&lt;"&amp;$K375)+1)</f>
        <v/>
      </c>
    </row>
    <row r="376">
      <c r="A376" s="16">
        <f>IF(IFERROR(MATCH(360,ChqRankU,0),0)=0,"",360)</f>
        <v/>
      </c>
      <c r="B376" s="24">
        <f>IF(IFERROR(MATCH(360,ChqRankU,0),0)=0,"",INDEX(ChqNorm,IFERROR(MATCH(360,ChqRankU,0),0)))</f>
        <v/>
      </c>
      <c r="C376" s="24">
        <f>IF(IFERROR(MATCH(360,ChqRankU,0),0)=0,"",INDEX(ChqNo,IFERROR(MATCH(360,ChqRankU,0),0)))</f>
        <v/>
      </c>
      <c r="D376" s="25">
        <f>IF(IFERROR(MATCH(360,ChqRankU,0),0)=0,"",IF(INDEX(ChqAmt,IFERROR(MATCH(360,ChqRankU,0),0))=0,"",INDEX(ChqAmt,IFERROR(MATCH(360,ChqRankU,0),0))))</f>
        <v/>
      </c>
      <c r="E376" s="17">
        <f>IF(IFERROR(MATCH(360,ChqRankU,0),0)=0,"",INDEX(ChqStatus,IFERROR(MATCH(360,ChqRankU,0),0)))</f>
        <v/>
      </c>
      <c r="F376" s="24">
        <f>IF(IFERROR(MATCH(360,ChqRankU,0),0)=0,"",IF(INDEX(ChqStatus,IFERROR(MATCH(360,ChqRankU,0),0))="پاس نشده","—",IF(INDEX(ChqClr,IFERROR(MATCH(360,ChqRankU,0),0))="","—",INDEX(ChqClr,IFERROR(MATCH(360,ChqRankU,0),0)))))</f>
        <v/>
      </c>
      <c r="I376">
        <f>IF(360&gt;NChq,"",INDEX(ChqNorm,360))</f>
        <v/>
      </c>
      <c r="J376">
        <f>IF($I376="","",IF(AND($I376&gt;=$H$3,$I376&lt;=$H$4,INDEX(ChqStatus,360)="پاس نشده"),1,0))</f>
        <v/>
      </c>
      <c r="K376">
        <f>IF($J376=0,"",INDEX(ChqKey,360))</f>
        <v/>
      </c>
      <c r="L376">
        <f>IF($K376="","",COUNTIFS($J$17:$J$516,1,$K$17:$K$516,"&lt;"&amp;$K376)+1)</f>
        <v/>
      </c>
    </row>
    <row r="377">
      <c r="A377" s="10">
        <f>IF(IFERROR(MATCH(361,ChqRankU,0),0)=0,"",361)</f>
        <v/>
      </c>
      <c r="B377" s="22">
        <f>IF(IFERROR(MATCH(361,ChqRankU,0),0)=0,"",INDEX(ChqNorm,IFERROR(MATCH(361,ChqRankU,0),0)))</f>
        <v/>
      </c>
      <c r="C377" s="22">
        <f>IF(IFERROR(MATCH(361,ChqRankU,0),0)=0,"",INDEX(ChqNo,IFERROR(MATCH(361,ChqRankU,0),0)))</f>
        <v/>
      </c>
      <c r="D377" s="23">
        <f>IF(IFERROR(MATCH(361,ChqRankU,0),0)=0,"",IF(INDEX(ChqAmt,IFERROR(MATCH(361,ChqRankU,0),0))=0,"",INDEX(ChqAmt,IFERROR(MATCH(361,ChqRankU,0),0))))</f>
        <v/>
      </c>
      <c r="E377" s="14">
        <f>IF(IFERROR(MATCH(361,ChqRankU,0),0)=0,"",INDEX(ChqStatus,IFERROR(MATCH(361,ChqRankU,0),0)))</f>
        <v/>
      </c>
      <c r="F377" s="22">
        <f>IF(IFERROR(MATCH(361,ChqRankU,0),0)=0,"",IF(INDEX(ChqStatus,IFERROR(MATCH(361,ChqRankU,0),0))="پاس نشده","—",IF(INDEX(ChqClr,IFERROR(MATCH(361,ChqRankU,0),0))="","—",INDEX(ChqClr,IFERROR(MATCH(361,ChqRankU,0),0)))))</f>
        <v/>
      </c>
      <c r="I377">
        <f>IF(361&gt;NChq,"",INDEX(ChqNorm,361))</f>
        <v/>
      </c>
      <c r="J377">
        <f>IF($I377="","",IF(AND($I377&gt;=$H$3,$I377&lt;=$H$4,INDEX(ChqStatus,361)="پاس نشده"),1,0))</f>
        <v/>
      </c>
      <c r="K377">
        <f>IF($J377=0,"",INDEX(ChqKey,361))</f>
        <v/>
      </c>
      <c r="L377">
        <f>IF($K377="","",COUNTIFS($J$17:$J$516,1,$K$17:$K$516,"&lt;"&amp;$K377)+1)</f>
        <v/>
      </c>
    </row>
    <row r="378">
      <c r="A378" s="16">
        <f>IF(IFERROR(MATCH(362,ChqRankU,0),0)=0,"",362)</f>
        <v/>
      </c>
      <c r="B378" s="24">
        <f>IF(IFERROR(MATCH(362,ChqRankU,0),0)=0,"",INDEX(ChqNorm,IFERROR(MATCH(362,ChqRankU,0),0)))</f>
        <v/>
      </c>
      <c r="C378" s="24">
        <f>IF(IFERROR(MATCH(362,ChqRankU,0),0)=0,"",INDEX(ChqNo,IFERROR(MATCH(362,ChqRankU,0),0)))</f>
        <v/>
      </c>
      <c r="D378" s="25">
        <f>IF(IFERROR(MATCH(362,ChqRankU,0),0)=0,"",IF(INDEX(ChqAmt,IFERROR(MATCH(362,ChqRankU,0),0))=0,"",INDEX(ChqAmt,IFERROR(MATCH(362,ChqRankU,0),0))))</f>
        <v/>
      </c>
      <c r="E378" s="17">
        <f>IF(IFERROR(MATCH(362,ChqRankU,0),0)=0,"",INDEX(ChqStatus,IFERROR(MATCH(362,ChqRankU,0),0)))</f>
        <v/>
      </c>
      <c r="F378" s="24">
        <f>IF(IFERROR(MATCH(362,ChqRankU,0),0)=0,"",IF(INDEX(ChqStatus,IFERROR(MATCH(362,ChqRankU,0),0))="پاس نشده","—",IF(INDEX(ChqClr,IFERROR(MATCH(362,ChqRankU,0),0))="","—",INDEX(ChqClr,IFERROR(MATCH(362,ChqRankU,0),0)))))</f>
        <v/>
      </c>
      <c r="I378">
        <f>IF(362&gt;NChq,"",INDEX(ChqNorm,362))</f>
        <v/>
      </c>
      <c r="J378">
        <f>IF($I378="","",IF(AND($I378&gt;=$H$3,$I378&lt;=$H$4,INDEX(ChqStatus,362)="پاس نشده"),1,0))</f>
        <v/>
      </c>
      <c r="K378">
        <f>IF($J378=0,"",INDEX(ChqKey,362))</f>
        <v/>
      </c>
      <c r="L378">
        <f>IF($K378="","",COUNTIFS($J$17:$J$516,1,$K$17:$K$516,"&lt;"&amp;$K378)+1)</f>
        <v/>
      </c>
    </row>
    <row r="379">
      <c r="A379" s="10">
        <f>IF(IFERROR(MATCH(363,ChqRankU,0),0)=0,"",363)</f>
        <v/>
      </c>
      <c r="B379" s="22">
        <f>IF(IFERROR(MATCH(363,ChqRankU,0),0)=0,"",INDEX(ChqNorm,IFERROR(MATCH(363,ChqRankU,0),0)))</f>
        <v/>
      </c>
      <c r="C379" s="22">
        <f>IF(IFERROR(MATCH(363,ChqRankU,0),0)=0,"",INDEX(ChqNo,IFERROR(MATCH(363,ChqRankU,0),0)))</f>
        <v/>
      </c>
      <c r="D379" s="23">
        <f>IF(IFERROR(MATCH(363,ChqRankU,0),0)=0,"",IF(INDEX(ChqAmt,IFERROR(MATCH(363,ChqRankU,0),0))=0,"",INDEX(ChqAmt,IFERROR(MATCH(363,ChqRankU,0),0))))</f>
        <v/>
      </c>
      <c r="E379" s="14">
        <f>IF(IFERROR(MATCH(363,ChqRankU,0),0)=0,"",INDEX(ChqStatus,IFERROR(MATCH(363,ChqRankU,0),0)))</f>
        <v/>
      </c>
      <c r="F379" s="22">
        <f>IF(IFERROR(MATCH(363,ChqRankU,0),0)=0,"",IF(INDEX(ChqStatus,IFERROR(MATCH(363,ChqRankU,0),0))="پاس نشده","—",IF(INDEX(ChqClr,IFERROR(MATCH(363,ChqRankU,0),0))="","—",INDEX(ChqClr,IFERROR(MATCH(363,ChqRankU,0),0)))))</f>
        <v/>
      </c>
      <c r="I379">
        <f>IF(363&gt;NChq,"",INDEX(ChqNorm,363))</f>
        <v/>
      </c>
      <c r="J379">
        <f>IF($I379="","",IF(AND($I379&gt;=$H$3,$I379&lt;=$H$4,INDEX(ChqStatus,363)="پاس نشده"),1,0))</f>
        <v/>
      </c>
      <c r="K379">
        <f>IF($J379=0,"",INDEX(ChqKey,363))</f>
        <v/>
      </c>
      <c r="L379">
        <f>IF($K379="","",COUNTIFS($J$17:$J$516,1,$K$17:$K$516,"&lt;"&amp;$K379)+1)</f>
        <v/>
      </c>
    </row>
    <row r="380">
      <c r="A380" s="16">
        <f>IF(IFERROR(MATCH(364,ChqRankU,0),0)=0,"",364)</f>
        <v/>
      </c>
      <c r="B380" s="24">
        <f>IF(IFERROR(MATCH(364,ChqRankU,0),0)=0,"",INDEX(ChqNorm,IFERROR(MATCH(364,ChqRankU,0),0)))</f>
        <v/>
      </c>
      <c r="C380" s="24">
        <f>IF(IFERROR(MATCH(364,ChqRankU,0),0)=0,"",INDEX(ChqNo,IFERROR(MATCH(364,ChqRankU,0),0)))</f>
        <v/>
      </c>
      <c r="D380" s="25">
        <f>IF(IFERROR(MATCH(364,ChqRankU,0),0)=0,"",IF(INDEX(ChqAmt,IFERROR(MATCH(364,ChqRankU,0),0))=0,"",INDEX(ChqAmt,IFERROR(MATCH(364,ChqRankU,0),0))))</f>
        <v/>
      </c>
      <c r="E380" s="17">
        <f>IF(IFERROR(MATCH(364,ChqRankU,0),0)=0,"",INDEX(ChqStatus,IFERROR(MATCH(364,ChqRankU,0),0)))</f>
        <v/>
      </c>
      <c r="F380" s="24">
        <f>IF(IFERROR(MATCH(364,ChqRankU,0),0)=0,"",IF(INDEX(ChqStatus,IFERROR(MATCH(364,ChqRankU,0),0))="پاس نشده","—",IF(INDEX(ChqClr,IFERROR(MATCH(364,ChqRankU,0),0))="","—",INDEX(ChqClr,IFERROR(MATCH(364,ChqRankU,0),0)))))</f>
        <v/>
      </c>
      <c r="I380">
        <f>IF(364&gt;NChq,"",INDEX(ChqNorm,364))</f>
        <v/>
      </c>
      <c r="J380">
        <f>IF($I380="","",IF(AND($I380&gt;=$H$3,$I380&lt;=$H$4,INDEX(ChqStatus,364)="پاس نشده"),1,0))</f>
        <v/>
      </c>
      <c r="K380">
        <f>IF($J380=0,"",INDEX(ChqKey,364))</f>
        <v/>
      </c>
      <c r="L380">
        <f>IF($K380="","",COUNTIFS($J$17:$J$516,1,$K$17:$K$516,"&lt;"&amp;$K380)+1)</f>
        <v/>
      </c>
    </row>
    <row r="381">
      <c r="A381" s="10">
        <f>IF(IFERROR(MATCH(365,ChqRankU,0),0)=0,"",365)</f>
        <v/>
      </c>
      <c r="B381" s="22">
        <f>IF(IFERROR(MATCH(365,ChqRankU,0),0)=0,"",INDEX(ChqNorm,IFERROR(MATCH(365,ChqRankU,0),0)))</f>
        <v/>
      </c>
      <c r="C381" s="22">
        <f>IF(IFERROR(MATCH(365,ChqRankU,0),0)=0,"",INDEX(ChqNo,IFERROR(MATCH(365,ChqRankU,0),0)))</f>
        <v/>
      </c>
      <c r="D381" s="23">
        <f>IF(IFERROR(MATCH(365,ChqRankU,0),0)=0,"",IF(INDEX(ChqAmt,IFERROR(MATCH(365,ChqRankU,0),0))=0,"",INDEX(ChqAmt,IFERROR(MATCH(365,ChqRankU,0),0))))</f>
        <v/>
      </c>
      <c r="E381" s="14">
        <f>IF(IFERROR(MATCH(365,ChqRankU,0),0)=0,"",INDEX(ChqStatus,IFERROR(MATCH(365,ChqRankU,0),0)))</f>
        <v/>
      </c>
      <c r="F381" s="22">
        <f>IF(IFERROR(MATCH(365,ChqRankU,0),0)=0,"",IF(INDEX(ChqStatus,IFERROR(MATCH(365,ChqRankU,0),0))="پاس نشده","—",IF(INDEX(ChqClr,IFERROR(MATCH(365,ChqRankU,0),0))="","—",INDEX(ChqClr,IFERROR(MATCH(365,ChqRankU,0),0)))))</f>
        <v/>
      </c>
      <c r="I381">
        <f>IF(365&gt;NChq,"",INDEX(ChqNorm,365))</f>
        <v/>
      </c>
      <c r="J381">
        <f>IF($I381="","",IF(AND($I381&gt;=$H$3,$I381&lt;=$H$4,INDEX(ChqStatus,365)="پاس نشده"),1,0))</f>
        <v/>
      </c>
      <c r="K381">
        <f>IF($J381=0,"",INDEX(ChqKey,365))</f>
        <v/>
      </c>
      <c r="L381">
        <f>IF($K381="","",COUNTIFS($J$17:$J$516,1,$K$17:$K$516,"&lt;"&amp;$K381)+1)</f>
        <v/>
      </c>
    </row>
    <row r="382">
      <c r="A382" s="16">
        <f>IF(IFERROR(MATCH(366,ChqRankU,0),0)=0,"",366)</f>
        <v/>
      </c>
      <c r="B382" s="24">
        <f>IF(IFERROR(MATCH(366,ChqRankU,0),0)=0,"",INDEX(ChqNorm,IFERROR(MATCH(366,ChqRankU,0),0)))</f>
        <v/>
      </c>
      <c r="C382" s="24">
        <f>IF(IFERROR(MATCH(366,ChqRankU,0),0)=0,"",INDEX(ChqNo,IFERROR(MATCH(366,ChqRankU,0),0)))</f>
        <v/>
      </c>
      <c r="D382" s="25">
        <f>IF(IFERROR(MATCH(366,ChqRankU,0),0)=0,"",IF(INDEX(ChqAmt,IFERROR(MATCH(366,ChqRankU,0),0))=0,"",INDEX(ChqAmt,IFERROR(MATCH(366,ChqRankU,0),0))))</f>
        <v/>
      </c>
      <c r="E382" s="17">
        <f>IF(IFERROR(MATCH(366,ChqRankU,0),0)=0,"",INDEX(ChqStatus,IFERROR(MATCH(366,ChqRankU,0),0)))</f>
        <v/>
      </c>
      <c r="F382" s="24">
        <f>IF(IFERROR(MATCH(366,ChqRankU,0),0)=0,"",IF(INDEX(ChqStatus,IFERROR(MATCH(366,ChqRankU,0),0))="پاس نشده","—",IF(INDEX(ChqClr,IFERROR(MATCH(366,ChqRankU,0),0))="","—",INDEX(ChqClr,IFERROR(MATCH(366,ChqRankU,0),0)))))</f>
        <v/>
      </c>
      <c r="I382">
        <f>IF(366&gt;NChq,"",INDEX(ChqNorm,366))</f>
        <v/>
      </c>
      <c r="J382">
        <f>IF($I382="","",IF(AND($I382&gt;=$H$3,$I382&lt;=$H$4,INDEX(ChqStatus,366)="پاس نشده"),1,0))</f>
        <v/>
      </c>
      <c r="K382">
        <f>IF($J382=0,"",INDEX(ChqKey,366))</f>
        <v/>
      </c>
      <c r="L382">
        <f>IF($K382="","",COUNTIFS($J$17:$J$516,1,$K$17:$K$516,"&lt;"&amp;$K382)+1)</f>
        <v/>
      </c>
    </row>
    <row r="383">
      <c r="A383" s="10">
        <f>IF(IFERROR(MATCH(367,ChqRankU,0),0)=0,"",367)</f>
        <v/>
      </c>
      <c r="B383" s="22">
        <f>IF(IFERROR(MATCH(367,ChqRankU,0),0)=0,"",INDEX(ChqNorm,IFERROR(MATCH(367,ChqRankU,0),0)))</f>
        <v/>
      </c>
      <c r="C383" s="22">
        <f>IF(IFERROR(MATCH(367,ChqRankU,0),0)=0,"",INDEX(ChqNo,IFERROR(MATCH(367,ChqRankU,0),0)))</f>
        <v/>
      </c>
      <c r="D383" s="23">
        <f>IF(IFERROR(MATCH(367,ChqRankU,0),0)=0,"",IF(INDEX(ChqAmt,IFERROR(MATCH(367,ChqRankU,0),0))=0,"",INDEX(ChqAmt,IFERROR(MATCH(367,ChqRankU,0),0))))</f>
        <v/>
      </c>
      <c r="E383" s="14">
        <f>IF(IFERROR(MATCH(367,ChqRankU,0),0)=0,"",INDEX(ChqStatus,IFERROR(MATCH(367,ChqRankU,0),0)))</f>
        <v/>
      </c>
      <c r="F383" s="22">
        <f>IF(IFERROR(MATCH(367,ChqRankU,0),0)=0,"",IF(INDEX(ChqStatus,IFERROR(MATCH(367,ChqRankU,0),0))="پاس نشده","—",IF(INDEX(ChqClr,IFERROR(MATCH(367,ChqRankU,0),0))="","—",INDEX(ChqClr,IFERROR(MATCH(367,ChqRankU,0),0)))))</f>
        <v/>
      </c>
      <c r="I383">
        <f>IF(367&gt;NChq,"",INDEX(ChqNorm,367))</f>
        <v/>
      </c>
      <c r="J383">
        <f>IF($I383="","",IF(AND($I383&gt;=$H$3,$I383&lt;=$H$4,INDEX(ChqStatus,367)="پاس نشده"),1,0))</f>
        <v/>
      </c>
      <c r="K383">
        <f>IF($J383=0,"",INDEX(ChqKey,367))</f>
        <v/>
      </c>
      <c r="L383">
        <f>IF($K383="","",COUNTIFS($J$17:$J$516,1,$K$17:$K$516,"&lt;"&amp;$K383)+1)</f>
        <v/>
      </c>
    </row>
    <row r="384">
      <c r="A384" s="16">
        <f>IF(IFERROR(MATCH(368,ChqRankU,0),0)=0,"",368)</f>
        <v/>
      </c>
      <c r="B384" s="24">
        <f>IF(IFERROR(MATCH(368,ChqRankU,0),0)=0,"",INDEX(ChqNorm,IFERROR(MATCH(368,ChqRankU,0),0)))</f>
        <v/>
      </c>
      <c r="C384" s="24">
        <f>IF(IFERROR(MATCH(368,ChqRankU,0),0)=0,"",INDEX(ChqNo,IFERROR(MATCH(368,ChqRankU,0),0)))</f>
        <v/>
      </c>
      <c r="D384" s="25">
        <f>IF(IFERROR(MATCH(368,ChqRankU,0),0)=0,"",IF(INDEX(ChqAmt,IFERROR(MATCH(368,ChqRankU,0),0))=0,"",INDEX(ChqAmt,IFERROR(MATCH(368,ChqRankU,0),0))))</f>
        <v/>
      </c>
      <c r="E384" s="17">
        <f>IF(IFERROR(MATCH(368,ChqRankU,0),0)=0,"",INDEX(ChqStatus,IFERROR(MATCH(368,ChqRankU,0),0)))</f>
        <v/>
      </c>
      <c r="F384" s="24">
        <f>IF(IFERROR(MATCH(368,ChqRankU,0),0)=0,"",IF(INDEX(ChqStatus,IFERROR(MATCH(368,ChqRankU,0),0))="پاس نشده","—",IF(INDEX(ChqClr,IFERROR(MATCH(368,ChqRankU,0),0))="","—",INDEX(ChqClr,IFERROR(MATCH(368,ChqRankU,0),0)))))</f>
        <v/>
      </c>
      <c r="I384">
        <f>IF(368&gt;NChq,"",INDEX(ChqNorm,368))</f>
        <v/>
      </c>
      <c r="J384">
        <f>IF($I384="","",IF(AND($I384&gt;=$H$3,$I384&lt;=$H$4,INDEX(ChqStatus,368)="پاس نشده"),1,0))</f>
        <v/>
      </c>
      <c r="K384">
        <f>IF($J384=0,"",INDEX(ChqKey,368))</f>
        <v/>
      </c>
      <c r="L384">
        <f>IF($K384="","",COUNTIFS($J$17:$J$516,1,$K$17:$K$516,"&lt;"&amp;$K384)+1)</f>
        <v/>
      </c>
    </row>
    <row r="385">
      <c r="A385" s="10">
        <f>IF(IFERROR(MATCH(369,ChqRankU,0),0)=0,"",369)</f>
        <v/>
      </c>
      <c r="B385" s="22">
        <f>IF(IFERROR(MATCH(369,ChqRankU,0),0)=0,"",INDEX(ChqNorm,IFERROR(MATCH(369,ChqRankU,0),0)))</f>
        <v/>
      </c>
      <c r="C385" s="22">
        <f>IF(IFERROR(MATCH(369,ChqRankU,0),0)=0,"",INDEX(ChqNo,IFERROR(MATCH(369,ChqRankU,0),0)))</f>
        <v/>
      </c>
      <c r="D385" s="23">
        <f>IF(IFERROR(MATCH(369,ChqRankU,0),0)=0,"",IF(INDEX(ChqAmt,IFERROR(MATCH(369,ChqRankU,0),0))=0,"",INDEX(ChqAmt,IFERROR(MATCH(369,ChqRankU,0),0))))</f>
        <v/>
      </c>
      <c r="E385" s="14">
        <f>IF(IFERROR(MATCH(369,ChqRankU,0),0)=0,"",INDEX(ChqStatus,IFERROR(MATCH(369,ChqRankU,0),0)))</f>
        <v/>
      </c>
      <c r="F385" s="22">
        <f>IF(IFERROR(MATCH(369,ChqRankU,0),0)=0,"",IF(INDEX(ChqStatus,IFERROR(MATCH(369,ChqRankU,0),0))="پاس نشده","—",IF(INDEX(ChqClr,IFERROR(MATCH(369,ChqRankU,0),0))="","—",INDEX(ChqClr,IFERROR(MATCH(369,ChqRankU,0),0)))))</f>
        <v/>
      </c>
      <c r="I385">
        <f>IF(369&gt;NChq,"",INDEX(ChqNorm,369))</f>
        <v/>
      </c>
      <c r="J385">
        <f>IF($I385="","",IF(AND($I385&gt;=$H$3,$I385&lt;=$H$4,INDEX(ChqStatus,369)="پاس نشده"),1,0))</f>
        <v/>
      </c>
      <c r="K385">
        <f>IF($J385=0,"",INDEX(ChqKey,369))</f>
        <v/>
      </c>
      <c r="L385">
        <f>IF($K385="","",COUNTIFS($J$17:$J$516,1,$K$17:$K$516,"&lt;"&amp;$K385)+1)</f>
        <v/>
      </c>
    </row>
    <row r="386">
      <c r="A386" s="16">
        <f>IF(IFERROR(MATCH(370,ChqRankU,0),0)=0,"",370)</f>
        <v/>
      </c>
      <c r="B386" s="24">
        <f>IF(IFERROR(MATCH(370,ChqRankU,0),0)=0,"",INDEX(ChqNorm,IFERROR(MATCH(370,ChqRankU,0),0)))</f>
        <v/>
      </c>
      <c r="C386" s="24">
        <f>IF(IFERROR(MATCH(370,ChqRankU,0),0)=0,"",INDEX(ChqNo,IFERROR(MATCH(370,ChqRankU,0),0)))</f>
        <v/>
      </c>
      <c r="D386" s="25">
        <f>IF(IFERROR(MATCH(370,ChqRankU,0),0)=0,"",IF(INDEX(ChqAmt,IFERROR(MATCH(370,ChqRankU,0),0))=0,"",INDEX(ChqAmt,IFERROR(MATCH(370,ChqRankU,0),0))))</f>
        <v/>
      </c>
      <c r="E386" s="17">
        <f>IF(IFERROR(MATCH(370,ChqRankU,0),0)=0,"",INDEX(ChqStatus,IFERROR(MATCH(370,ChqRankU,0),0)))</f>
        <v/>
      </c>
      <c r="F386" s="24">
        <f>IF(IFERROR(MATCH(370,ChqRankU,0),0)=0,"",IF(INDEX(ChqStatus,IFERROR(MATCH(370,ChqRankU,0),0))="پاس نشده","—",IF(INDEX(ChqClr,IFERROR(MATCH(370,ChqRankU,0),0))="","—",INDEX(ChqClr,IFERROR(MATCH(370,ChqRankU,0),0)))))</f>
        <v/>
      </c>
      <c r="I386">
        <f>IF(370&gt;NChq,"",INDEX(ChqNorm,370))</f>
        <v/>
      </c>
      <c r="J386">
        <f>IF($I386="","",IF(AND($I386&gt;=$H$3,$I386&lt;=$H$4,INDEX(ChqStatus,370)="پاس نشده"),1,0))</f>
        <v/>
      </c>
      <c r="K386">
        <f>IF($J386=0,"",INDEX(ChqKey,370))</f>
        <v/>
      </c>
      <c r="L386">
        <f>IF($K386="","",COUNTIFS($J$17:$J$516,1,$K$17:$K$516,"&lt;"&amp;$K386)+1)</f>
        <v/>
      </c>
    </row>
    <row r="387">
      <c r="A387" s="10">
        <f>IF(IFERROR(MATCH(371,ChqRankU,0),0)=0,"",371)</f>
        <v/>
      </c>
      <c r="B387" s="22">
        <f>IF(IFERROR(MATCH(371,ChqRankU,0),0)=0,"",INDEX(ChqNorm,IFERROR(MATCH(371,ChqRankU,0),0)))</f>
        <v/>
      </c>
      <c r="C387" s="22">
        <f>IF(IFERROR(MATCH(371,ChqRankU,0),0)=0,"",INDEX(ChqNo,IFERROR(MATCH(371,ChqRankU,0),0)))</f>
        <v/>
      </c>
      <c r="D387" s="23">
        <f>IF(IFERROR(MATCH(371,ChqRankU,0),0)=0,"",IF(INDEX(ChqAmt,IFERROR(MATCH(371,ChqRankU,0),0))=0,"",INDEX(ChqAmt,IFERROR(MATCH(371,ChqRankU,0),0))))</f>
        <v/>
      </c>
      <c r="E387" s="14">
        <f>IF(IFERROR(MATCH(371,ChqRankU,0),0)=0,"",INDEX(ChqStatus,IFERROR(MATCH(371,ChqRankU,0),0)))</f>
        <v/>
      </c>
      <c r="F387" s="22">
        <f>IF(IFERROR(MATCH(371,ChqRankU,0),0)=0,"",IF(INDEX(ChqStatus,IFERROR(MATCH(371,ChqRankU,0),0))="پاس نشده","—",IF(INDEX(ChqClr,IFERROR(MATCH(371,ChqRankU,0),0))="","—",INDEX(ChqClr,IFERROR(MATCH(371,ChqRankU,0),0)))))</f>
        <v/>
      </c>
      <c r="I387">
        <f>IF(371&gt;NChq,"",INDEX(ChqNorm,371))</f>
        <v/>
      </c>
      <c r="J387">
        <f>IF($I387="","",IF(AND($I387&gt;=$H$3,$I387&lt;=$H$4,INDEX(ChqStatus,371)="پاس نشده"),1,0))</f>
        <v/>
      </c>
      <c r="K387">
        <f>IF($J387=0,"",INDEX(ChqKey,371))</f>
        <v/>
      </c>
      <c r="L387">
        <f>IF($K387="","",COUNTIFS($J$17:$J$516,1,$K$17:$K$516,"&lt;"&amp;$K387)+1)</f>
        <v/>
      </c>
    </row>
    <row r="388">
      <c r="A388" s="16">
        <f>IF(IFERROR(MATCH(372,ChqRankU,0),0)=0,"",372)</f>
        <v/>
      </c>
      <c r="B388" s="24">
        <f>IF(IFERROR(MATCH(372,ChqRankU,0),0)=0,"",INDEX(ChqNorm,IFERROR(MATCH(372,ChqRankU,0),0)))</f>
        <v/>
      </c>
      <c r="C388" s="24">
        <f>IF(IFERROR(MATCH(372,ChqRankU,0),0)=0,"",INDEX(ChqNo,IFERROR(MATCH(372,ChqRankU,0),0)))</f>
        <v/>
      </c>
      <c r="D388" s="25">
        <f>IF(IFERROR(MATCH(372,ChqRankU,0),0)=0,"",IF(INDEX(ChqAmt,IFERROR(MATCH(372,ChqRankU,0),0))=0,"",INDEX(ChqAmt,IFERROR(MATCH(372,ChqRankU,0),0))))</f>
        <v/>
      </c>
      <c r="E388" s="17">
        <f>IF(IFERROR(MATCH(372,ChqRankU,0),0)=0,"",INDEX(ChqStatus,IFERROR(MATCH(372,ChqRankU,0),0)))</f>
        <v/>
      </c>
      <c r="F388" s="24">
        <f>IF(IFERROR(MATCH(372,ChqRankU,0),0)=0,"",IF(INDEX(ChqStatus,IFERROR(MATCH(372,ChqRankU,0),0))="پاس نشده","—",IF(INDEX(ChqClr,IFERROR(MATCH(372,ChqRankU,0),0))="","—",INDEX(ChqClr,IFERROR(MATCH(372,ChqRankU,0),0)))))</f>
        <v/>
      </c>
      <c r="I388">
        <f>IF(372&gt;NChq,"",INDEX(ChqNorm,372))</f>
        <v/>
      </c>
      <c r="J388">
        <f>IF($I388="","",IF(AND($I388&gt;=$H$3,$I388&lt;=$H$4,INDEX(ChqStatus,372)="پاس نشده"),1,0))</f>
        <v/>
      </c>
      <c r="K388">
        <f>IF($J388=0,"",INDEX(ChqKey,372))</f>
        <v/>
      </c>
      <c r="L388">
        <f>IF($K388="","",COUNTIFS($J$17:$J$516,1,$K$17:$K$516,"&lt;"&amp;$K388)+1)</f>
        <v/>
      </c>
    </row>
    <row r="389">
      <c r="A389" s="10">
        <f>IF(IFERROR(MATCH(373,ChqRankU,0),0)=0,"",373)</f>
        <v/>
      </c>
      <c r="B389" s="22">
        <f>IF(IFERROR(MATCH(373,ChqRankU,0),0)=0,"",INDEX(ChqNorm,IFERROR(MATCH(373,ChqRankU,0),0)))</f>
        <v/>
      </c>
      <c r="C389" s="22">
        <f>IF(IFERROR(MATCH(373,ChqRankU,0),0)=0,"",INDEX(ChqNo,IFERROR(MATCH(373,ChqRankU,0),0)))</f>
        <v/>
      </c>
      <c r="D389" s="23">
        <f>IF(IFERROR(MATCH(373,ChqRankU,0),0)=0,"",IF(INDEX(ChqAmt,IFERROR(MATCH(373,ChqRankU,0),0))=0,"",INDEX(ChqAmt,IFERROR(MATCH(373,ChqRankU,0),0))))</f>
        <v/>
      </c>
      <c r="E389" s="14">
        <f>IF(IFERROR(MATCH(373,ChqRankU,0),0)=0,"",INDEX(ChqStatus,IFERROR(MATCH(373,ChqRankU,0),0)))</f>
        <v/>
      </c>
      <c r="F389" s="22">
        <f>IF(IFERROR(MATCH(373,ChqRankU,0),0)=0,"",IF(INDEX(ChqStatus,IFERROR(MATCH(373,ChqRankU,0),0))="پاس نشده","—",IF(INDEX(ChqClr,IFERROR(MATCH(373,ChqRankU,0),0))="","—",INDEX(ChqClr,IFERROR(MATCH(373,ChqRankU,0),0)))))</f>
        <v/>
      </c>
      <c r="I389">
        <f>IF(373&gt;NChq,"",INDEX(ChqNorm,373))</f>
        <v/>
      </c>
      <c r="J389">
        <f>IF($I389="","",IF(AND($I389&gt;=$H$3,$I389&lt;=$H$4,INDEX(ChqStatus,373)="پاس نشده"),1,0))</f>
        <v/>
      </c>
      <c r="K389">
        <f>IF($J389=0,"",INDEX(ChqKey,373))</f>
        <v/>
      </c>
      <c r="L389">
        <f>IF($K389="","",COUNTIFS($J$17:$J$516,1,$K$17:$K$516,"&lt;"&amp;$K389)+1)</f>
        <v/>
      </c>
    </row>
    <row r="390">
      <c r="A390" s="16">
        <f>IF(IFERROR(MATCH(374,ChqRankU,0),0)=0,"",374)</f>
        <v/>
      </c>
      <c r="B390" s="24">
        <f>IF(IFERROR(MATCH(374,ChqRankU,0),0)=0,"",INDEX(ChqNorm,IFERROR(MATCH(374,ChqRankU,0),0)))</f>
        <v/>
      </c>
      <c r="C390" s="24">
        <f>IF(IFERROR(MATCH(374,ChqRankU,0),0)=0,"",INDEX(ChqNo,IFERROR(MATCH(374,ChqRankU,0),0)))</f>
        <v/>
      </c>
      <c r="D390" s="25">
        <f>IF(IFERROR(MATCH(374,ChqRankU,0),0)=0,"",IF(INDEX(ChqAmt,IFERROR(MATCH(374,ChqRankU,0),0))=0,"",INDEX(ChqAmt,IFERROR(MATCH(374,ChqRankU,0),0))))</f>
        <v/>
      </c>
      <c r="E390" s="17">
        <f>IF(IFERROR(MATCH(374,ChqRankU,0),0)=0,"",INDEX(ChqStatus,IFERROR(MATCH(374,ChqRankU,0),0)))</f>
        <v/>
      </c>
      <c r="F390" s="24">
        <f>IF(IFERROR(MATCH(374,ChqRankU,0),0)=0,"",IF(INDEX(ChqStatus,IFERROR(MATCH(374,ChqRankU,0),0))="پاس نشده","—",IF(INDEX(ChqClr,IFERROR(MATCH(374,ChqRankU,0),0))="","—",INDEX(ChqClr,IFERROR(MATCH(374,ChqRankU,0),0)))))</f>
        <v/>
      </c>
      <c r="I390">
        <f>IF(374&gt;NChq,"",INDEX(ChqNorm,374))</f>
        <v/>
      </c>
      <c r="J390">
        <f>IF($I390="","",IF(AND($I390&gt;=$H$3,$I390&lt;=$H$4,INDEX(ChqStatus,374)="پاس نشده"),1,0))</f>
        <v/>
      </c>
      <c r="K390">
        <f>IF($J390=0,"",INDEX(ChqKey,374))</f>
        <v/>
      </c>
      <c r="L390">
        <f>IF($K390="","",COUNTIFS($J$17:$J$516,1,$K$17:$K$516,"&lt;"&amp;$K390)+1)</f>
        <v/>
      </c>
    </row>
    <row r="391">
      <c r="A391" s="10">
        <f>IF(IFERROR(MATCH(375,ChqRankU,0),0)=0,"",375)</f>
        <v/>
      </c>
      <c r="B391" s="22">
        <f>IF(IFERROR(MATCH(375,ChqRankU,0),0)=0,"",INDEX(ChqNorm,IFERROR(MATCH(375,ChqRankU,0),0)))</f>
        <v/>
      </c>
      <c r="C391" s="22">
        <f>IF(IFERROR(MATCH(375,ChqRankU,0),0)=0,"",INDEX(ChqNo,IFERROR(MATCH(375,ChqRankU,0),0)))</f>
        <v/>
      </c>
      <c r="D391" s="23">
        <f>IF(IFERROR(MATCH(375,ChqRankU,0),0)=0,"",IF(INDEX(ChqAmt,IFERROR(MATCH(375,ChqRankU,0),0))=0,"",INDEX(ChqAmt,IFERROR(MATCH(375,ChqRankU,0),0))))</f>
        <v/>
      </c>
      <c r="E391" s="14">
        <f>IF(IFERROR(MATCH(375,ChqRankU,0),0)=0,"",INDEX(ChqStatus,IFERROR(MATCH(375,ChqRankU,0),0)))</f>
        <v/>
      </c>
      <c r="F391" s="22">
        <f>IF(IFERROR(MATCH(375,ChqRankU,0),0)=0,"",IF(INDEX(ChqStatus,IFERROR(MATCH(375,ChqRankU,0),0))="پاس نشده","—",IF(INDEX(ChqClr,IFERROR(MATCH(375,ChqRankU,0),0))="","—",INDEX(ChqClr,IFERROR(MATCH(375,ChqRankU,0),0)))))</f>
        <v/>
      </c>
      <c r="I391">
        <f>IF(375&gt;NChq,"",INDEX(ChqNorm,375))</f>
        <v/>
      </c>
      <c r="J391">
        <f>IF($I391="","",IF(AND($I391&gt;=$H$3,$I391&lt;=$H$4,INDEX(ChqStatus,375)="پاس نشده"),1,0))</f>
        <v/>
      </c>
      <c r="K391">
        <f>IF($J391=0,"",INDEX(ChqKey,375))</f>
        <v/>
      </c>
      <c r="L391">
        <f>IF($K391="","",COUNTIFS($J$17:$J$516,1,$K$17:$K$516,"&lt;"&amp;$K391)+1)</f>
        <v/>
      </c>
    </row>
    <row r="392">
      <c r="A392" s="16">
        <f>IF(IFERROR(MATCH(376,ChqRankU,0),0)=0,"",376)</f>
        <v/>
      </c>
      <c r="B392" s="24">
        <f>IF(IFERROR(MATCH(376,ChqRankU,0),0)=0,"",INDEX(ChqNorm,IFERROR(MATCH(376,ChqRankU,0),0)))</f>
        <v/>
      </c>
      <c r="C392" s="24">
        <f>IF(IFERROR(MATCH(376,ChqRankU,0),0)=0,"",INDEX(ChqNo,IFERROR(MATCH(376,ChqRankU,0),0)))</f>
        <v/>
      </c>
      <c r="D392" s="25">
        <f>IF(IFERROR(MATCH(376,ChqRankU,0),0)=0,"",IF(INDEX(ChqAmt,IFERROR(MATCH(376,ChqRankU,0),0))=0,"",INDEX(ChqAmt,IFERROR(MATCH(376,ChqRankU,0),0))))</f>
        <v/>
      </c>
      <c r="E392" s="17">
        <f>IF(IFERROR(MATCH(376,ChqRankU,0),0)=0,"",INDEX(ChqStatus,IFERROR(MATCH(376,ChqRankU,0),0)))</f>
        <v/>
      </c>
      <c r="F392" s="24">
        <f>IF(IFERROR(MATCH(376,ChqRankU,0),0)=0,"",IF(INDEX(ChqStatus,IFERROR(MATCH(376,ChqRankU,0),0))="پاس نشده","—",IF(INDEX(ChqClr,IFERROR(MATCH(376,ChqRankU,0),0))="","—",INDEX(ChqClr,IFERROR(MATCH(376,ChqRankU,0),0)))))</f>
        <v/>
      </c>
      <c r="I392">
        <f>IF(376&gt;NChq,"",INDEX(ChqNorm,376))</f>
        <v/>
      </c>
      <c r="J392">
        <f>IF($I392="","",IF(AND($I392&gt;=$H$3,$I392&lt;=$H$4,INDEX(ChqStatus,376)="پاس نشده"),1,0))</f>
        <v/>
      </c>
      <c r="K392">
        <f>IF($J392=0,"",INDEX(ChqKey,376))</f>
        <v/>
      </c>
      <c r="L392">
        <f>IF($K392="","",COUNTIFS($J$17:$J$516,1,$K$17:$K$516,"&lt;"&amp;$K392)+1)</f>
        <v/>
      </c>
    </row>
    <row r="393">
      <c r="A393" s="10">
        <f>IF(IFERROR(MATCH(377,ChqRankU,0),0)=0,"",377)</f>
        <v/>
      </c>
      <c r="B393" s="22">
        <f>IF(IFERROR(MATCH(377,ChqRankU,0),0)=0,"",INDEX(ChqNorm,IFERROR(MATCH(377,ChqRankU,0),0)))</f>
        <v/>
      </c>
      <c r="C393" s="22">
        <f>IF(IFERROR(MATCH(377,ChqRankU,0),0)=0,"",INDEX(ChqNo,IFERROR(MATCH(377,ChqRankU,0),0)))</f>
        <v/>
      </c>
      <c r="D393" s="23">
        <f>IF(IFERROR(MATCH(377,ChqRankU,0),0)=0,"",IF(INDEX(ChqAmt,IFERROR(MATCH(377,ChqRankU,0),0))=0,"",INDEX(ChqAmt,IFERROR(MATCH(377,ChqRankU,0),0))))</f>
        <v/>
      </c>
      <c r="E393" s="14">
        <f>IF(IFERROR(MATCH(377,ChqRankU,0),0)=0,"",INDEX(ChqStatus,IFERROR(MATCH(377,ChqRankU,0),0)))</f>
        <v/>
      </c>
      <c r="F393" s="22">
        <f>IF(IFERROR(MATCH(377,ChqRankU,0),0)=0,"",IF(INDEX(ChqStatus,IFERROR(MATCH(377,ChqRankU,0),0))="پاس نشده","—",IF(INDEX(ChqClr,IFERROR(MATCH(377,ChqRankU,0),0))="","—",INDEX(ChqClr,IFERROR(MATCH(377,ChqRankU,0),0)))))</f>
        <v/>
      </c>
      <c r="I393">
        <f>IF(377&gt;NChq,"",INDEX(ChqNorm,377))</f>
        <v/>
      </c>
      <c r="J393">
        <f>IF($I393="","",IF(AND($I393&gt;=$H$3,$I393&lt;=$H$4,INDEX(ChqStatus,377)="پاس نشده"),1,0))</f>
        <v/>
      </c>
      <c r="K393">
        <f>IF($J393=0,"",INDEX(ChqKey,377))</f>
        <v/>
      </c>
      <c r="L393">
        <f>IF($K393="","",COUNTIFS($J$17:$J$516,1,$K$17:$K$516,"&lt;"&amp;$K393)+1)</f>
        <v/>
      </c>
    </row>
    <row r="394">
      <c r="A394" s="16">
        <f>IF(IFERROR(MATCH(378,ChqRankU,0),0)=0,"",378)</f>
        <v/>
      </c>
      <c r="B394" s="24">
        <f>IF(IFERROR(MATCH(378,ChqRankU,0),0)=0,"",INDEX(ChqNorm,IFERROR(MATCH(378,ChqRankU,0),0)))</f>
        <v/>
      </c>
      <c r="C394" s="24">
        <f>IF(IFERROR(MATCH(378,ChqRankU,0),0)=0,"",INDEX(ChqNo,IFERROR(MATCH(378,ChqRankU,0),0)))</f>
        <v/>
      </c>
      <c r="D394" s="25">
        <f>IF(IFERROR(MATCH(378,ChqRankU,0),0)=0,"",IF(INDEX(ChqAmt,IFERROR(MATCH(378,ChqRankU,0),0))=0,"",INDEX(ChqAmt,IFERROR(MATCH(378,ChqRankU,0),0))))</f>
        <v/>
      </c>
      <c r="E394" s="17">
        <f>IF(IFERROR(MATCH(378,ChqRankU,0),0)=0,"",INDEX(ChqStatus,IFERROR(MATCH(378,ChqRankU,0),0)))</f>
        <v/>
      </c>
      <c r="F394" s="24">
        <f>IF(IFERROR(MATCH(378,ChqRankU,0),0)=0,"",IF(INDEX(ChqStatus,IFERROR(MATCH(378,ChqRankU,0),0))="پاس نشده","—",IF(INDEX(ChqClr,IFERROR(MATCH(378,ChqRankU,0),0))="","—",INDEX(ChqClr,IFERROR(MATCH(378,ChqRankU,0),0)))))</f>
        <v/>
      </c>
      <c r="I394">
        <f>IF(378&gt;NChq,"",INDEX(ChqNorm,378))</f>
        <v/>
      </c>
      <c r="J394">
        <f>IF($I394="","",IF(AND($I394&gt;=$H$3,$I394&lt;=$H$4,INDEX(ChqStatus,378)="پاس نشده"),1,0))</f>
        <v/>
      </c>
      <c r="K394">
        <f>IF($J394=0,"",INDEX(ChqKey,378))</f>
        <v/>
      </c>
      <c r="L394">
        <f>IF($K394="","",COUNTIFS($J$17:$J$516,1,$K$17:$K$516,"&lt;"&amp;$K394)+1)</f>
        <v/>
      </c>
    </row>
    <row r="395">
      <c r="A395" s="10">
        <f>IF(IFERROR(MATCH(379,ChqRankU,0),0)=0,"",379)</f>
        <v/>
      </c>
      <c r="B395" s="22">
        <f>IF(IFERROR(MATCH(379,ChqRankU,0),0)=0,"",INDEX(ChqNorm,IFERROR(MATCH(379,ChqRankU,0),0)))</f>
        <v/>
      </c>
      <c r="C395" s="22">
        <f>IF(IFERROR(MATCH(379,ChqRankU,0),0)=0,"",INDEX(ChqNo,IFERROR(MATCH(379,ChqRankU,0),0)))</f>
        <v/>
      </c>
      <c r="D395" s="23">
        <f>IF(IFERROR(MATCH(379,ChqRankU,0),0)=0,"",IF(INDEX(ChqAmt,IFERROR(MATCH(379,ChqRankU,0),0))=0,"",INDEX(ChqAmt,IFERROR(MATCH(379,ChqRankU,0),0))))</f>
        <v/>
      </c>
      <c r="E395" s="14">
        <f>IF(IFERROR(MATCH(379,ChqRankU,0),0)=0,"",INDEX(ChqStatus,IFERROR(MATCH(379,ChqRankU,0),0)))</f>
        <v/>
      </c>
      <c r="F395" s="22">
        <f>IF(IFERROR(MATCH(379,ChqRankU,0),0)=0,"",IF(INDEX(ChqStatus,IFERROR(MATCH(379,ChqRankU,0),0))="پاس نشده","—",IF(INDEX(ChqClr,IFERROR(MATCH(379,ChqRankU,0),0))="","—",INDEX(ChqClr,IFERROR(MATCH(379,ChqRankU,0),0)))))</f>
        <v/>
      </c>
      <c r="I395">
        <f>IF(379&gt;NChq,"",INDEX(ChqNorm,379))</f>
        <v/>
      </c>
      <c r="J395">
        <f>IF($I395="","",IF(AND($I395&gt;=$H$3,$I395&lt;=$H$4,INDEX(ChqStatus,379)="پاس نشده"),1,0))</f>
        <v/>
      </c>
      <c r="K395">
        <f>IF($J395=0,"",INDEX(ChqKey,379))</f>
        <v/>
      </c>
      <c r="L395">
        <f>IF($K395="","",COUNTIFS($J$17:$J$516,1,$K$17:$K$516,"&lt;"&amp;$K395)+1)</f>
        <v/>
      </c>
    </row>
    <row r="396">
      <c r="A396" s="16">
        <f>IF(IFERROR(MATCH(380,ChqRankU,0),0)=0,"",380)</f>
        <v/>
      </c>
      <c r="B396" s="24">
        <f>IF(IFERROR(MATCH(380,ChqRankU,0),0)=0,"",INDEX(ChqNorm,IFERROR(MATCH(380,ChqRankU,0),0)))</f>
        <v/>
      </c>
      <c r="C396" s="24">
        <f>IF(IFERROR(MATCH(380,ChqRankU,0),0)=0,"",INDEX(ChqNo,IFERROR(MATCH(380,ChqRankU,0),0)))</f>
        <v/>
      </c>
      <c r="D396" s="25">
        <f>IF(IFERROR(MATCH(380,ChqRankU,0),0)=0,"",IF(INDEX(ChqAmt,IFERROR(MATCH(380,ChqRankU,0),0))=0,"",INDEX(ChqAmt,IFERROR(MATCH(380,ChqRankU,0),0))))</f>
        <v/>
      </c>
      <c r="E396" s="17">
        <f>IF(IFERROR(MATCH(380,ChqRankU,0),0)=0,"",INDEX(ChqStatus,IFERROR(MATCH(380,ChqRankU,0),0)))</f>
        <v/>
      </c>
      <c r="F396" s="24">
        <f>IF(IFERROR(MATCH(380,ChqRankU,0),0)=0,"",IF(INDEX(ChqStatus,IFERROR(MATCH(380,ChqRankU,0),0))="پاس نشده","—",IF(INDEX(ChqClr,IFERROR(MATCH(380,ChqRankU,0),0))="","—",INDEX(ChqClr,IFERROR(MATCH(380,ChqRankU,0),0)))))</f>
        <v/>
      </c>
      <c r="I396">
        <f>IF(380&gt;NChq,"",INDEX(ChqNorm,380))</f>
        <v/>
      </c>
      <c r="J396">
        <f>IF($I396="","",IF(AND($I396&gt;=$H$3,$I396&lt;=$H$4,INDEX(ChqStatus,380)="پاس نشده"),1,0))</f>
        <v/>
      </c>
      <c r="K396">
        <f>IF($J396=0,"",INDEX(ChqKey,380))</f>
        <v/>
      </c>
      <c r="L396">
        <f>IF($K396="","",COUNTIFS($J$17:$J$516,1,$K$17:$K$516,"&lt;"&amp;$K396)+1)</f>
        <v/>
      </c>
    </row>
    <row r="397">
      <c r="A397" s="10">
        <f>IF(IFERROR(MATCH(381,ChqRankU,0),0)=0,"",381)</f>
        <v/>
      </c>
      <c r="B397" s="22">
        <f>IF(IFERROR(MATCH(381,ChqRankU,0),0)=0,"",INDEX(ChqNorm,IFERROR(MATCH(381,ChqRankU,0),0)))</f>
        <v/>
      </c>
      <c r="C397" s="22">
        <f>IF(IFERROR(MATCH(381,ChqRankU,0),0)=0,"",INDEX(ChqNo,IFERROR(MATCH(381,ChqRankU,0),0)))</f>
        <v/>
      </c>
      <c r="D397" s="23">
        <f>IF(IFERROR(MATCH(381,ChqRankU,0),0)=0,"",IF(INDEX(ChqAmt,IFERROR(MATCH(381,ChqRankU,0),0))=0,"",INDEX(ChqAmt,IFERROR(MATCH(381,ChqRankU,0),0))))</f>
        <v/>
      </c>
      <c r="E397" s="14">
        <f>IF(IFERROR(MATCH(381,ChqRankU,0),0)=0,"",INDEX(ChqStatus,IFERROR(MATCH(381,ChqRankU,0),0)))</f>
        <v/>
      </c>
      <c r="F397" s="22">
        <f>IF(IFERROR(MATCH(381,ChqRankU,0),0)=0,"",IF(INDEX(ChqStatus,IFERROR(MATCH(381,ChqRankU,0),0))="پاس نشده","—",IF(INDEX(ChqClr,IFERROR(MATCH(381,ChqRankU,0),0))="","—",INDEX(ChqClr,IFERROR(MATCH(381,ChqRankU,0),0)))))</f>
        <v/>
      </c>
      <c r="I397">
        <f>IF(381&gt;NChq,"",INDEX(ChqNorm,381))</f>
        <v/>
      </c>
      <c r="J397">
        <f>IF($I397="","",IF(AND($I397&gt;=$H$3,$I397&lt;=$H$4,INDEX(ChqStatus,381)="پاس نشده"),1,0))</f>
        <v/>
      </c>
      <c r="K397">
        <f>IF($J397=0,"",INDEX(ChqKey,381))</f>
        <v/>
      </c>
      <c r="L397">
        <f>IF($K397="","",COUNTIFS($J$17:$J$516,1,$K$17:$K$516,"&lt;"&amp;$K397)+1)</f>
        <v/>
      </c>
    </row>
    <row r="398">
      <c r="A398" s="16">
        <f>IF(IFERROR(MATCH(382,ChqRankU,0),0)=0,"",382)</f>
        <v/>
      </c>
      <c r="B398" s="24">
        <f>IF(IFERROR(MATCH(382,ChqRankU,0),0)=0,"",INDEX(ChqNorm,IFERROR(MATCH(382,ChqRankU,0),0)))</f>
        <v/>
      </c>
      <c r="C398" s="24">
        <f>IF(IFERROR(MATCH(382,ChqRankU,0),0)=0,"",INDEX(ChqNo,IFERROR(MATCH(382,ChqRankU,0),0)))</f>
        <v/>
      </c>
      <c r="D398" s="25">
        <f>IF(IFERROR(MATCH(382,ChqRankU,0),0)=0,"",IF(INDEX(ChqAmt,IFERROR(MATCH(382,ChqRankU,0),0))=0,"",INDEX(ChqAmt,IFERROR(MATCH(382,ChqRankU,0),0))))</f>
        <v/>
      </c>
      <c r="E398" s="17">
        <f>IF(IFERROR(MATCH(382,ChqRankU,0),0)=0,"",INDEX(ChqStatus,IFERROR(MATCH(382,ChqRankU,0),0)))</f>
        <v/>
      </c>
      <c r="F398" s="24">
        <f>IF(IFERROR(MATCH(382,ChqRankU,0),0)=0,"",IF(INDEX(ChqStatus,IFERROR(MATCH(382,ChqRankU,0),0))="پاس نشده","—",IF(INDEX(ChqClr,IFERROR(MATCH(382,ChqRankU,0),0))="","—",INDEX(ChqClr,IFERROR(MATCH(382,ChqRankU,0),0)))))</f>
        <v/>
      </c>
      <c r="I398">
        <f>IF(382&gt;NChq,"",INDEX(ChqNorm,382))</f>
        <v/>
      </c>
      <c r="J398">
        <f>IF($I398="","",IF(AND($I398&gt;=$H$3,$I398&lt;=$H$4,INDEX(ChqStatus,382)="پاس نشده"),1,0))</f>
        <v/>
      </c>
      <c r="K398">
        <f>IF($J398=0,"",INDEX(ChqKey,382))</f>
        <v/>
      </c>
      <c r="L398">
        <f>IF($K398="","",COUNTIFS($J$17:$J$516,1,$K$17:$K$516,"&lt;"&amp;$K398)+1)</f>
        <v/>
      </c>
    </row>
    <row r="399">
      <c r="A399" s="10">
        <f>IF(IFERROR(MATCH(383,ChqRankU,0),0)=0,"",383)</f>
        <v/>
      </c>
      <c r="B399" s="22">
        <f>IF(IFERROR(MATCH(383,ChqRankU,0),0)=0,"",INDEX(ChqNorm,IFERROR(MATCH(383,ChqRankU,0),0)))</f>
        <v/>
      </c>
      <c r="C399" s="22">
        <f>IF(IFERROR(MATCH(383,ChqRankU,0),0)=0,"",INDEX(ChqNo,IFERROR(MATCH(383,ChqRankU,0),0)))</f>
        <v/>
      </c>
      <c r="D399" s="23">
        <f>IF(IFERROR(MATCH(383,ChqRankU,0),0)=0,"",IF(INDEX(ChqAmt,IFERROR(MATCH(383,ChqRankU,0),0))=0,"",INDEX(ChqAmt,IFERROR(MATCH(383,ChqRankU,0),0))))</f>
        <v/>
      </c>
      <c r="E399" s="14">
        <f>IF(IFERROR(MATCH(383,ChqRankU,0),0)=0,"",INDEX(ChqStatus,IFERROR(MATCH(383,ChqRankU,0),0)))</f>
        <v/>
      </c>
      <c r="F399" s="22">
        <f>IF(IFERROR(MATCH(383,ChqRankU,0),0)=0,"",IF(INDEX(ChqStatus,IFERROR(MATCH(383,ChqRankU,0),0))="پاس نشده","—",IF(INDEX(ChqClr,IFERROR(MATCH(383,ChqRankU,0),0))="","—",INDEX(ChqClr,IFERROR(MATCH(383,ChqRankU,0),0)))))</f>
        <v/>
      </c>
      <c r="I399">
        <f>IF(383&gt;NChq,"",INDEX(ChqNorm,383))</f>
        <v/>
      </c>
      <c r="J399">
        <f>IF($I399="","",IF(AND($I399&gt;=$H$3,$I399&lt;=$H$4,INDEX(ChqStatus,383)="پاس نشده"),1,0))</f>
        <v/>
      </c>
      <c r="K399">
        <f>IF($J399=0,"",INDEX(ChqKey,383))</f>
        <v/>
      </c>
      <c r="L399">
        <f>IF($K399="","",COUNTIFS($J$17:$J$516,1,$K$17:$K$516,"&lt;"&amp;$K399)+1)</f>
        <v/>
      </c>
    </row>
    <row r="400">
      <c r="A400" s="16">
        <f>IF(IFERROR(MATCH(384,ChqRankU,0),0)=0,"",384)</f>
        <v/>
      </c>
      <c r="B400" s="24">
        <f>IF(IFERROR(MATCH(384,ChqRankU,0),0)=0,"",INDEX(ChqNorm,IFERROR(MATCH(384,ChqRankU,0),0)))</f>
        <v/>
      </c>
      <c r="C400" s="24">
        <f>IF(IFERROR(MATCH(384,ChqRankU,0),0)=0,"",INDEX(ChqNo,IFERROR(MATCH(384,ChqRankU,0),0)))</f>
        <v/>
      </c>
      <c r="D400" s="25">
        <f>IF(IFERROR(MATCH(384,ChqRankU,0),0)=0,"",IF(INDEX(ChqAmt,IFERROR(MATCH(384,ChqRankU,0),0))=0,"",INDEX(ChqAmt,IFERROR(MATCH(384,ChqRankU,0),0))))</f>
        <v/>
      </c>
      <c r="E400" s="17">
        <f>IF(IFERROR(MATCH(384,ChqRankU,0),0)=0,"",INDEX(ChqStatus,IFERROR(MATCH(384,ChqRankU,0),0)))</f>
        <v/>
      </c>
      <c r="F400" s="24">
        <f>IF(IFERROR(MATCH(384,ChqRankU,0),0)=0,"",IF(INDEX(ChqStatus,IFERROR(MATCH(384,ChqRankU,0),0))="پاس نشده","—",IF(INDEX(ChqClr,IFERROR(MATCH(384,ChqRankU,0),0))="","—",INDEX(ChqClr,IFERROR(MATCH(384,ChqRankU,0),0)))))</f>
        <v/>
      </c>
      <c r="I400">
        <f>IF(384&gt;NChq,"",INDEX(ChqNorm,384))</f>
        <v/>
      </c>
      <c r="J400">
        <f>IF($I400="","",IF(AND($I400&gt;=$H$3,$I400&lt;=$H$4,INDEX(ChqStatus,384)="پاس نشده"),1,0))</f>
        <v/>
      </c>
      <c r="K400">
        <f>IF($J400=0,"",INDEX(ChqKey,384))</f>
        <v/>
      </c>
      <c r="L400">
        <f>IF($K400="","",COUNTIFS($J$17:$J$516,1,$K$17:$K$516,"&lt;"&amp;$K400)+1)</f>
        <v/>
      </c>
    </row>
    <row r="401">
      <c r="A401" s="10">
        <f>IF(IFERROR(MATCH(385,ChqRankU,0),0)=0,"",385)</f>
        <v/>
      </c>
      <c r="B401" s="22">
        <f>IF(IFERROR(MATCH(385,ChqRankU,0),0)=0,"",INDEX(ChqNorm,IFERROR(MATCH(385,ChqRankU,0),0)))</f>
        <v/>
      </c>
      <c r="C401" s="22">
        <f>IF(IFERROR(MATCH(385,ChqRankU,0),0)=0,"",INDEX(ChqNo,IFERROR(MATCH(385,ChqRankU,0),0)))</f>
        <v/>
      </c>
      <c r="D401" s="23">
        <f>IF(IFERROR(MATCH(385,ChqRankU,0),0)=0,"",IF(INDEX(ChqAmt,IFERROR(MATCH(385,ChqRankU,0),0))=0,"",INDEX(ChqAmt,IFERROR(MATCH(385,ChqRankU,0),0))))</f>
        <v/>
      </c>
      <c r="E401" s="14">
        <f>IF(IFERROR(MATCH(385,ChqRankU,0),0)=0,"",INDEX(ChqStatus,IFERROR(MATCH(385,ChqRankU,0),0)))</f>
        <v/>
      </c>
      <c r="F401" s="22">
        <f>IF(IFERROR(MATCH(385,ChqRankU,0),0)=0,"",IF(INDEX(ChqStatus,IFERROR(MATCH(385,ChqRankU,0),0))="پاس نشده","—",IF(INDEX(ChqClr,IFERROR(MATCH(385,ChqRankU,0),0))="","—",INDEX(ChqClr,IFERROR(MATCH(385,ChqRankU,0),0)))))</f>
        <v/>
      </c>
      <c r="I401">
        <f>IF(385&gt;NChq,"",INDEX(ChqNorm,385))</f>
        <v/>
      </c>
      <c r="J401">
        <f>IF($I401="","",IF(AND($I401&gt;=$H$3,$I401&lt;=$H$4,INDEX(ChqStatus,385)="پاس نشده"),1,0))</f>
        <v/>
      </c>
      <c r="K401">
        <f>IF($J401=0,"",INDEX(ChqKey,385))</f>
        <v/>
      </c>
      <c r="L401">
        <f>IF($K401="","",COUNTIFS($J$17:$J$516,1,$K$17:$K$516,"&lt;"&amp;$K401)+1)</f>
        <v/>
      </c>
    </row>
    <row r="402">
      <c r="A402" s="16">
        <f>IF(IFERROR(MATCH(386,ChqRankU,0),0)=0,"",386)</f>
        <v/>
      </c>
      <c r="B402" s="24">
        <f>IF(IFERROR(MATCH(386,ChqRankU,0),0)=0,"",INDEX(ChqNorm,IFERROR(MATCH(386,ChqRankU,0),0)))</f>
        <v/>
      </c>
      <c r="C402" s="24">
        <f>IF(IFERROR(MATCH(386,ChqRankU,0),0)=0,"",INDEX(ChqNo,IFERROR(MATCH(386,ChqRankU,0),0)))</f>
        <v/>
      </c>
      <c r="D402" s="25">
        <f>IF(IFERROR(MATCH(386,ChqRankU,0),0)=0,"",IF(INDEX(ChqAmt,IFERROR(MATCH(386,ChqRankU,0),0))=0,"",INDEX(ChqAmt,IFERROR(MATCH(386,ChqRankU,0),0))))</f>
        <v/>
      </c>
      <c r="E402" s="17">
        <f>IF(IFERROR(MATCH(386,ChqRankU,0),0)=0,"",INDEX(ChqStatus,IFERROR(MATCH(386,ChqRankU,0),0)))</f>
        <v/>
      </c>
      <c r="F402" s="24">
        <f>IF(IFERROR(MATCH(386,ChqRankU,0),0)=0,"",IF(INDEX(ChqStatus,IFERROR(MATCH(386,ChqRankU,0),0))="پاس نشده","—",IF(INDEX(ChqClr,IFERROR(MATCH(386,ChqRankU,0),0))="","—",INDEX(ChqClr,IFERROR(MATCH(386,ChqRankU,0),0)))))</f>
        <v/>
      </c>
      <c r="I402">
        <f>IF(386&gt;NChq,"",INDEX(ChqNorm,386))</f>
        <v/>
      </c>
      <c r="J402">
        <f>IF($I402="","",IF(AND($I402&gt;=$H$3,$I402&lt;=$H$4,INDEX(ChqStatus,386)="پاس نشده"),1,0))</f>
        <v/>
      </c>
      <c r="K402">
        <f>IF($J402=0,"",INDEX(ChqKey,386))</f>
        <v/>
      </c>
      <c r="L402">
        <f>IF($K402="","",COUNTIFS($J$17:$J$516,1,$K$17:$K$516,"&lt;"&amp;$K402)+1)</f>
        <v/>
      </c>
    </row>
    <row r="403">
      <c r="A403" s="10">
        <f>IF(IFERROR(MATCH(387,ChqRankU,0),0)=0,"",387)</f>
        <v/>
      </c>
      <c r="B403" s="22">
        <f>IF(IFERROR(MATCH(387,ChqRankU,0),0)=0,"",INDEX(ChqNorm,IFERROR(MATCH(387,ChqRankU,0),0)))</f>
        <v/>
      </c>
      <c r="C403" s="22">
        <f>IF(IFERROR(MATCH(387,ChqRankU,0),0)=0,"",INDEX(ChqNo,IFERROR(MATCH(387,ChqRankU,0),0)))</f>
        <v/>
      </c>
      <c r="D403" s="23">
        <f>IF(IFERROR(MATCH(387,ChqRankU,0),0)=0,"",IF(INDEX(ChqAmt,IFERROR(MATCH(387,ChqRankU,0),0))=0,"",INDEX(ChqAmt,IFERROR(MATCH(387,ChqRankU,0),0))))</f>
        <v/>
      </c>
      <c r="E403" s="14">
        <f>IF(IFERROR(MATCH(387,ChqRankU,0),0)=0,"",INDEX(ChqStatus,IFERROR(MATCH(387,ChqRankU,0),0)))</f>
        <v/>
      </c>
      <c r="F403" s="22">
        <f>IF(IFERROR(MATCH(387,ChqRankU,0),0)=0,"",IF(INDEX(ChqStatus,IFERROR(MATCH(387,ChqRankU,0),0))="پاس نشده","—",IF(INDEX(ChqClr,IFERROR(MATCH(387,ChqRankU,0),0))="","—",INDEX(ChqClr,IFERROR(MATCH(387,ChqRankU,0),0)))))</f>
        <v/>
      </c>
      <c r="I403">
        <f>IF(387&gt;NChq,"",INDEX(ChqNorm,387))</f>
        <v/>
      </c>
      <c r="J403">
        <f>IF($I403="","",IF(AND($I403&gt;=$H$3,$I403&lt;=$H$4,INDEX(ChqStatus,387)="پاس نشده"),1,0))</f>
        <v/>
      </c>
      <c r="K403">
        <f>IF($J403=0,"",INDEX(ChqKey,387))</f>
        <v/>
      </c>
      <c r="L403">
        <f>IF($K403="","",COUNTIFS($J$17:$J$516,1,$K$17:$K$516,"&lt;"&amp;$K403)+1)</f>
        <v/>
      </c>
    </row>
    <row r="404">
      <c r="A404" s="16">
        <f>IF(IFERROR(MATCH(388,ChqRankU,0),0)=0,"",388)</f>
        <v/>
      </c>
      <c r="B404" s="24">
        <f>IF(IFERROR(MATCH(388,ChqRankU,0),0)=0,"",INDEX(ChqNorm,IFERROR(MATCH(388,ChqRankU,0),0)))</f>
        <v/>
      </c>
      <c r="C404" s="24">
        <f>IF(IFERROR(MATCH(388,ChqRankU,0),0)=0,"",INDEX(ChqNo,IFERROR(MATCH(388,ChqRankU,0),0)))</f>
        <v/>
      </c>
      <c r="D404" s="25">
        <f>IF(IFERROR(MATCH(388,ChqRankU,0),0)=0,"",IF(INDEX(ChqAmt,IFERROR(MATCH(388,ChqRankU,0),0))=0,"",INDEX(ChqAmt,IFERROR(MATCH(388,ChqRankU,0),0))))</f>
        <v/>
      </c>
      <c r="E404" s="17">
        <f>IF(IFERROR(MATCH(388,ChqRankU,0),0)=0,"",INDEX(ChqStatus,IFERROR(MATCH(388,ChqRankU,0),0)))</f>
        <v/>
      </c>
      <c r="F404" s="24">
        <f>IF(IFERROR(MATCH(388,ChqRankU,0),0)=0,"",IF(INDEX(ChqStatus,IFERROR(MATCH(388,ChqRankU,0),0))="پاس نشده","—",IF(INDEX(ChqClr,IFERROR(MATCH(388,ChqRankU,0),0))="","—",INDEX(ChqClr,IFERROR(MATCH(388,ChqRankU,0),0)))))</f>
        <v/>
      </c>
      <c r="I404">
        <f>IF(388&gt;NChq,"",INDEX(ChqNorm,388))</f>
        <v/>
      </c>
      <c r="J404">
        <f>IF($I404="","",IF(AND($I404&gt;=$H$3,$I404&lt;=$H$4,INDEX(ChqStatus,388)="پاس نشده"),1,0))</f>
        <v/>
      </c>
      <c r="K404">
        <f>IF($J404=0,"",INDEX(ChqKey,388))</f>
        <v/>
      </c>
      <c r="L404">
        <f>IF($K404="","",COUNTIFS($J$17:$J$516,1,$K$17:$K$516,"&lt;"&amp;$K404)+1)</f>
        <v/>
      </c>
    </row>
    <row r="405">
      <c r="A405" s="10">
        <f>IF(IFERROR(MATCH(389,ChqRankU,0),0)=0,"",389)</f>
        <v/>
      </c>
      <c r="B405" s="22">
        <f>IF(IFERROR(MATCH(389,ChqRankU,0),0)=0,"",INDEX(ChqNorm,IFERROR(MATCH(389,ChqRankU,0),0)))</f>
        <v/>
      </c>
      <c r="C405" s="22">
        <f>IF(IFERROR(MATCH(389,ChqRankU,0),0)=0,"",INDEX(ChqNo,IFERROR(MATCH(389,ChqRankU,0),0)))</f>
        <v/>
      </c>
      <c r="D405" s="23">
        <f>IF(IFERROR(MATCH(389,ChqRankU,0),0)=0,"",IF(INDEX(ChqAmt,IFERROR(MATCH(389,ChqRankU,0),0))=0,"",INDEX(ChqAmt,IFERROR(MATCH(389,ChqRankU,0),0))))</f>
        <v/>
      </c>
      <c r="E405" s="14">
        <f>IF(IFERROR(MATCH(389,ChqRankU,0),0)=0,"",INDEX(ChqStatus,IFERROR(MATCH(389,ChqRankU,0),0)))</f>
        <v/>
      </c>
      <c r="F405" s="22">
        <f>IF(IFERROR(MATCH(389,ChqRankU,0),0)=0,"",IF(INDEX(ChqStatus,IFERROR(MATCH(389,ChqRankU,0),0))="پاس نشده","—",IF(INDEX(ChqClr,IFERROR(MATCH(389,ChqRankU,0),0))="","—",INDEX(ChqClr,IFERROR(MATCH(389,ChqRankU,0),0)))))</f>
        <v/>
      </c>
      <c r="I405">
        <f>IF(389&gt;NChq,"",INDEX(ChqNorm,389))</f>
        <v/>
      </c>
      <c r="J405">
        <f>IF($I405="","",IF(AND($I405&gt;=$H$3,$I405&lt;=$H$4,INDEX(ChqStatus,389)="پاس نشده"),1,0))</f>
        <v/>
      </c>
      <c r="K405">
        <f>IF($J405=0,"",INDEX(ChqKey,389))</f>
        <v/>
      </c>
      <c r="L405">
        <f>IF($K405="","",COUNTIFS($J$17:$J$516,1,$K$17:$K$516,"&lt;"&amp;$K405)+1)</f>
        <v/>
      </c>
    </row>
    <row r="406">
      <c r="A406" s="16">
        <f>IF(IFERROR(MATCH(390,ChqRankU,0),0)=0,"",390)</f>
        <v/>
      </c>
      <c r="B406" s="24">
        <f>IF(IFERROR(MATCH(390,ChqRankU,0),0)=0,"",INDEX(ChqNorm,IFERROR(MATCH(390,ChqRankU,0),0)))</f>
        <v/>
      </c>
      <c r="C406" s="24">
        <f>IF(IFERROR(MATCH(390,ChqRankU,0),0)=0,"",INDEX(ChqNo,IFERROR(MATCH(390,ChqRankU,0),0)))</f>
        <v/>
      </c>
      <c r="D406" s="25">
        <f>IF(IFERROR(MATCH(390,ChqRankU,0),0)=0,"",IF(INDEX(ChqAmt,IFERROR(MATCH(390,ChqRankU,0),0))=0,"",INDEX(ChqAmt,IFERROR(MATCH(390,ChqRankU,0),0))))</f>
        <v/>
      </c>
      <c r="E406" s="17">
        <f>IF(IFERROR(MATCH(390,ChqRankU,0),0)=0,"",INDEX(ChqStatus,IFERROR(MATCH(390,ChqRankU,0),0)))</f>
        <v/>
      </c>
      <c r="F406" s="24">
        <f>IF(IFERROR(MATCH(390,ChqRankU,0),0)=0,"",IF(INDEX(ChqStatus,IFERROR(MATCH(390,ChqRankU,0),0))="پاس نشده","—",IF(INDEX(ChqClr,IFERROR(MATCH(390,ChqRankU,0),0))="","—",INDEX(ChqClr,IFERROR(MATCH(390,ChqRankU,0),0)))))</f>
        <v/>
      </c>
      <c r="I406">
        <f>IF(390&gt;NChq,"",INDEX(ChqNorm,390))</f>
        <v/>
      </c>
      <c r="J406">
        <f>IF($I406="","",IF(AND($I406&gt;=$H$3,$I406&lt;=$H$4,INDEX(ChqStatus,390)="پاس نشده"),1,0))</f>
        <v/>
      </c>
      <c r="K406">
        <f>IF($J406=0,"",INDEX(ChqKey,390))</f>
        <v/>
      </c>
      <c r="L406">
        <f>IF($K406="","",COUNTIFS($J$17:$J$516,1,$K$17:$K$516,"&lt;"&amp;$K406)+1)</f>
        <v/>
      </c>
    </row>
    <row r="407">
      <c r="A407" s="10">
        <f>IF(IFERROR(MATCH(391,ChqRankU,0),0)=0,"",391)</f>
        <v/>
      </c>
      <c r="B407" s="22">
        <f>IF(IFERROR(MATCH(391,ChqRankU,0),0)=0,"",INDEX(ChqNorm,IFERROR(MATCH(391,ChqRankU,0),0)))</f>
        <v/>
      </c>
      <c r="C407" s="22">
        <f>IF(IFERROR(MATCH(391,ChqRankU,0),0)=0,"",INDEX(ChqNo,IFERROR(MATCH(391,ChqRankU,0),0)))</f>
        <v/>
      </c>
      <c r="D407" s="23">
        <f>IF(IFERROR(MATCH(391,ChqRankU,0),0)=0,"",IF(INDEX(ChqAmt,IFERROR(MATCH(391,ChqRankU,0),0))=0,"",INDEX(ChqAmt,IFERROR(MATCH(391,ChqRankU,0),0))))</f>
        <v/>
      </c>
      <c r="E407" s="14">
        <f>IF(IFERROR(MATCH(391,ChqRankU,0),0)=0,"",INDEX(ChqStatus,IFERROR(MATCH(391,ChqRankU,0),0)))</f>
        <v/>
      </c>
      <c r="F407" s="22">
        <f>IF(IFERROR(MATCH(391,ChqRankU,0),0)=0,"",IF(INDEX(ChqStatus,IFERROR(MATCH(391,ChqRankU,0),0))="پاس نشده","—",IF(INDEX(ChqClr,IFERROR(MATCH(391,ChqRankU,0),0))="","—",INDEX(ChqClr,IFERROR(MATCH(391,ChqRankU,0),0)))))</f>
        <v/>
      </c>
      <c r="I407">
        <f>IF(391&gt;NChq,"",INDEX(ChqNorm,391))</f>
        <v/>
      </c>
      <c r="J407">
        <f>IF($I407="","",IF(AND($I407&gt;=$H$3,$I407&lt;=$H$4,INDEX(ChqStatus,391)="پاس نشده"),1,0))</f>
        <v/>
      </c>
      <c r="K407">
        <f>IF($J407=0,"",INDEX(ChqKey,391))</f>
        <v/>
      </c>
      <c r="L407">
        <f>IF($K407="","",COUNTIFS($J$17:$J$516,1,$K$17:$K$516,"&lt;"&amp;$K407)+1)</f>
        <v/>
      </c>
    </row>
    <row r="408">
      <c r="A408" s="16">
        <f>IF(IFERROR(MATCH(392,ChqRankU,0),0)=0,"",392)</f>
        <v/>
      </c>
      <c r="B408" s="24">
        <f>IF(IFERROR(MATCH(392,ChqRankU,0),0)=0,"",INDEX(ChqNorm,IFERROR(MATCH(392,ChqRankU,0),0)))</f>
        <v/>
      </c>
      <c r="C408" s="24">
        <f>IF(IFERROR(MATCH(392,ChqRankU,0),0)=0,"",INDEX(ChqNo,IFERROR(MATCH(392,ChqRankU,0),0)))</f>
        <v/>
      </c>
      <c r="D408" s="25">
        <f>IF(IFERROR(MATCH(392,ChqRankU,0),0)=0,"",IF(INDEX(ChqAmt,IFERROR(MATCH(392,ChqRankU,0),0))=0,"",INDEX(ChqAmt,IFERROR(MATCH(392,ChqRankU,0),0))))</f>
        <v/>
      </c>
      <c r="E408" s="17">
        <f>IF(IFERROR(MATCH(392,ChqRankU,0),0)=0,"",INDEX(ChqStatus,IFERROR(MATCH(392,ChqRankU,0),0)))</f>
        <v/>
      </c>
      <c r="F408" s="24">
        <f>IF(IFERROR(MATCH(392,ChqRankU,0),0)=0,"",IF(INDEX(ChqStatus,IFERROR(MATCH(392,ChqRankU,0),0))="پاس نشده","—",IF(INDEX(ChqClr,IFERROR(MATCH(392,ChqRankU,0),0))="","—",INDEX(ChqClr,IFERROR(MATCH(392,ChqRankU,0),0)))))</f>
        <v/>
      </c>
      <c r="I408">
        <f>IF(392&gt;NChq,"",INDEX(ChqNorm,392))</f>
        <v/>
      </c>
      <c r="J408">
        <f>IF($I408="","",IF(AND($I408&gt;=$H$3,$I408&lt;=$H$4,INDEX(ChqStatus,392)="پاس نشده"),1,0))</f>
        <v/>
      </c>
      <c r="K408">
        <f>IF($J408=0,"",INDEX(ChqKey,392))</f>
        <v/>
      </c>
      <c r="L408">
        <f>IF($K408="","",COUNTIFS($J$17:$J$516,1,$K$17:$K$516,"&lt;"&amp;$K408)+1)</f>
        <v/>
      </c>
    </row>
    <row r="409">
      <c r="A409" s="10">
        <f>IF(IFERROR(MATCH(393,ChqRankU,0),0)=0,"",393)</f>
        <v/>
      </c>
      <c r="B409" s="22">
        <f>IF(IFERROR(MATCH(393,ChqRankU,0),0)=0,"",INDEX(ChqNorm,IFERROR(MATCH(393,ChqRankU,0),0)))</f>
        <v/>
      </c>
      <c r="C409" s="22">
        <f>IF(IFERROR(MATCH(393,ChqRankU,0),0)=0,"",INDEX(ChqNo,IFERROR(MATCH(393,ChqRankU,0),0)))</f>
        <v/>
      </c>
      <c r="D409" s="23">
        <f>IF(IFERROR(MATCH(393,ChqRankU,0),0)=0,"",IF(INDEX(ChqAmt,IFERROR(MATCH(393,ChqRankU,0),0))=0,"",INDEX(ChqAmt,IFERROR(MATCH(393,ChqRankU,0),0))))</f>
        <v/>
      </c>
      <c r="E409" s="14">
        <f>IF(IFERROR(MATCH(393,ChqRankU,0),0)=0,"",INDEX(ChqStatus,IFERROR(MATCH(393,ChqRankU,0),0)))</f>
        <v/>
      </c>
      <c r="F409" s="22">
        <f>IF(IFERROR(MATCH(393,ChqRankU,0),0)=0,"",IF(INDEX(ChqStatus,IFERROR(MATCH(393,ChqRankU,0),0))="پاس نشده","—",IF(INDEX(ChqClr,IFERROR(MATCH(393,ChqRankU,0),0))="","—",INDEX(ChqClr,IFERROR(MATCH(393,ChqRankU,0),0)))))</f>
        <v/>
      </c>
      <c r="I409">
        <f>IF(393&gt;NChq,"",INDEX(ChqNorm,393))</f>
        <v/>
      </c>
      <c r="J409">
        <f>IF($I409="","",IF(AND($I409&gt;=$H$3,$I409&lt;=$H$4,INDEX(ChqStatus,393)="پاس نشده"),1,0))</f>
        <v/>
      </c>
      <c r="K409">
        <f>IF($J409=0,"",INDEX(ChqKey,393))</f>
        <v/>
      </c>
      <c r="L409">
        <f>IF($K409="","",COUNTIFS($J$17:$J$516,1,$K$17:$K$516,"&lt;"&amp;$K409)+1)</f>
        <v/>
      </c>
    </row>
    <row r="410">
      <c r="A410" s="16">
        <f>IF(IFERROR(MATCH(394,ChqRankU,0),0)=0,"",394)</f>
        <v/>
      </c>
      <c r="B410" s="24">
        <f>IF(IFERROR(MATCH(394,ChqRankU,0),0)=0,"",INDEX(ChqNorm,IFERROR(MATCH(394,ChqRankU,0),0)))</f>
        <v/>
      </c>
      <c r="C410" s="24">
        <f>IF(IFERROR(MATCH(394,ChqRankU,0),0)=0,"",INDEX(ChqNo,IFERROR(MATCH(394,ChqRankU,0),0)))</f>
        <v/>
      </c>
      <c r="D410" s="25">
        <f>IF(IFERROR(MATCH(394,ChqRankU,0),0)=0,"",IF(INDEX(ChqAmt,IFERROR(MATCH(394,ChqRankU,0),0))=0,"",INDEX(ChqAmt,IFERROR(MATCH(394,ChqRankU,0),0))))</f>
        <v/>
      </c>
      <c r="E410" s="17">
        <f>IF(IFERROR(MATCH(394,ChqRankU,0),0)=0,"",INDEX(ChqStatus,IFERROR(MATCH(394,ChqRankU,0),0)))</f>
        <v/>
      </c>
      <c r="F410" s="24">
        <f>IF(IFERROR(MATCH(394,ChqRankU,0),0)=0,"",IF(INDEX(ChqStatus,IFERROR(MATCH(394,ChqRankU,0),0))="پاس نشده","—",IF(INDEX(ChqClr,IFERROR(MATCH(394,ChqRankU,0),0))="","—",INDEX(ChqClr,IFERROR(MATCH(394,ChqRankU,0),0)))))</f>
        <v/>
      </c>
      <c r="I410">
        <f>IF(394&gt;NChq,"",INDEX(ChqNorm,394))</f>
        <v/>
      </c>
      <c r="J410">
        <f>IF($I410="","",IF(AND($I410&gt;=$H$3,$I410&lt;=$H$4,INDEX(ChqStatus,394)="پاس نشده"),1,0))</f>
        <v/>
      </c>
      <c r="K410">
        <f>IF($J410=0,"",INDEX(ChqKey,394))</f>
        <v/>
      </c>
      <c r="L410">
        <f>IF($K410="","",COUNTIFS($J$17:$J$516,1,$K$17:$K$516,"&lt;"&amp;$K410)+1)</f>
        <v/>
      </c>
    </row>
    <row r="411">
      <c r="A411" s="10">
        <f>IF(IFERROR(MATCH(395,ChqRankU,0),0)=0,"",395)</f>
        <v/>
      </c>
      <c r="B411" s="22">
        <f>IF(IFERROR(MATCH(395,ChqRankU,0),0)=0,"",INDEX(ChqNorm,IFERROR(MATCH(395,ChqRankU,0),0)))</f>
        <v/>
      </c>
      <c r="C411" s="22">
        <f>IF(IFERROR(MATCH(395,ChqRankU,0),0)=0,"",INDEX(ChqNo,IFERROR(MATCH(395,ChqRankU,0),0)))</f>
        <v/>
      </c>
      <c r="D411" s="23">
        <f>IF(IFERROR(MATCH(395,ChqRankU,0),0)=0,"",IF(INDEX(ChqAmt,IFERROR(MATCH(395,ChqRankU,0),0))=0,"",INDEX(ChqAmt,IFERROR(MATCH(395,ChqRankU,0),0))))</f>
        <v/>
      </c>
      <c r="E411" s="14">
        <f>IF(IFERROR(MATCH(395,ChqRankU,0),0)=0,"",INDEX(ChqStatus,IFERROR(MATCH(395,ChqRankU,0),0)))</f>
        <v/>
      </c>
      <c r="F411" s="22">
        <f>IF(IFERROR(MATCH(395,ChqRankU,0),0)=0,"",IF(INDEX(ChqStatus,IFERROR(MATCH(395,ChqRankU,0),0))="پاس نشده","—",IF(INDEX(ChqClr,IFERROR(MATCH(395,ChqRankU,0),0))="","—",INDEX(ChqClr,IFERROR(MATCH(395,ChqRankU,0),0)))))</f>
        <v/>
      </c>
      <c r="I411">
        <f>IF(395&gt;NChq,"",INDEX(ChqNorm,395))</f>
        <v/>
      </c>
      <c r="J411">
        <f>IF($I411="","",IF(AND($I411&gt;=$H$3,$I411&lt;=$H$4,INDEX(ChqStatus,395)="پاس نشده"),1,0))</f>
        <v/>
      </c>
      <c r="K411">
        <f>IF($J411=0,"",INDEX(ChqKey,395))</f>
        <v/>
      </c>
      <c r="L411">
        <f>IF($K411="","",COUNTIFS($J$17:$J$516,1,$K$17:$K$516,"&lt;"&amp;$K411)+1)</f>
        <v/>
      </c>
    </row>
    <row r="412">
      <c r="A412" s="16">
        <f>IF(IFERROR(MATCH(396,ChqRankU,0),0)=0,"",396)</f>
        <v/>
      </c>
      <c r="B412" s="24">
        <f>IF(IFERROR(MATCH(396,ChqRankU,0),0)=0,"",INDEX(ChqNorm,IFERROR(MATCH(396,ChqRankU,0),0)))</f>
        <v/>
      </c>
      <c r="C412" s="24">
        <f>IF(IFERROR(MATCH(396,ChqRankU,0),0)=0,"",INDEX(ChqNo,IFERROR(MATCH(396,ChqRankU,0),0)))</f>
        <v/>
      </c>
      <c r="D412" s="25">
        <f>IF(IFERROR(MATCH(396,ChqRankU,0),0)=0,"",IF(INDEX(ChqAmt,IFERROR(MATCH(396,ChqRankU,0),0))=0,"",INDEX(ChqAmt,IFERROR(MATCH(396,ChqRankU,0),0))))</f>
        <v/>
      </c>
      <c r="E412" s="17">
        <f>IF(IFERROR(MATCH(396,ChqRankU,0),0)=0,"",INDEX(ChqStatus,IFERROR(MATCH(396,ChqRankU,0),0)))</f>
        <v/>
      </c>
      <c r="F412" s="24">
        <f>IF(IFERROR(MATCH(396,ChqRankU,0),0)=0,"",IF(INDEX(ChqStatus,IFERROR(MATCH(396,ChqRankU,0),0))="پاس نشده","—",IF(INDEX(ChqClr,IFERROR(MATCH(396,ChqRankU,0),0))="","—",INDEX(ChqClr,IFERROR(MATCH(396,ChqRankU,0),0)))))</f>
        <v/>
      </c>
      <c r="I412">
        <f>IF(396&gt;NChq,"",INDEX(ChqNorm,396))</f>
        <v/>
      </c>
      <c r="J412">
        <f>IF($I412="","",IF(AND($I412&gt;=$H$3,$I412&lt;=$H$4,INDEX(ChqStatus,396)="پاس نشده"),1,0))</f>
        <v/>
      </c>
      <c r="K412">
        <f>IF($J412=0,"",INDEX(ChqKey,396))</f>
        <v/>
      </c>
      <c r="L412">
        <f>IF($K412="","",COUNTIFS($J$17:$J$516,1,$K$17:$K$516,"&lt;"&amp;$K412)+1)</f>
        <v/>
      </c>
    </row>
    <row r="413">
      <c r="A413" s="10">
        <f>IF(IFERROR(MATCH(397,ChqRankU,0),0)=0,"",397)</f>
        <v/>
      </c>
      <c r="B413" s="22">
        <f>IF(IFERROR(MATCH(397,ChqRankU,0),0)=0,"",INDEX(ChqNorm,IFERROR(MATCH(397,ChqRankU,0),0)))</f>
        <v/>
      </c>
      <c r="C413" s="22">
        <f>IF(IFERROR(MATCH(397,ChqRankU,0),0)=0,"",INDEX(ChqNo,IFERROR(MATCH(397,ChqRankU,0),0)))</f>
        <v/>
      </c>
      <c r="D413" s="23">
        <f>IF(IFERROR(MATCH(397,ChqRankU,0),0)=0,"",IF(INDEX(ChqAmt,IFERROR(MATCH(397,ChqRankU,0),0))=0,"",INDEX(ChqAmt,IFERROR(MATCH(397,ChqRankU,0),0))))</f>
        <v/>
      </c>
      <c r="E413" s="14">
        <f>IF(IFERROR(MATCH(397,ChqRankU,0),0)=0,"",INDEX(ChqStatus,IFERROR(MATCH(397,ChqRankU,0),0)))</f>
        <v/>
      </c>
      <c r="F413" s="22">
        <f>IF(IFERROR(MATCH(397,ChqRankU,0),0)=0,"",IF(INDEX(ChqStatus,IFERROR(MATCH(397,ChqRankU,0),0))="پاس نشده","—",IF(INDEX(ChqClr,IFERROR(MATCH(397,ChqRankU,0),0))="","—",INDEX(ChqClr,IFERROR(MATCH(397,ChqRankU,0),0)))))</f>
        <v/>
      </c>
      <c r="I413">
        <f>IF(397&gt;NChq,"",INDEX(ChqNorm,397))</f>
        <v/>
      </c>
      <c r="J413">
        <f>IF($I413="","",IF(AND($I413&gt;=$H$3,$I413&lt;=$H$4,INDEX(ChqStatus,397)="پاس نشده"),1,0))</f>
        <v/>
      </c>
      <c r="K413">
        <f>IF($J413=0,"",INDEX(ChqKey,397))</f>
        <v/>
      </c>
      <c r="L413">
        <f>IF($K413="","",COUNTIFS($J$17:$J$516,1,$K$17:$K$516,"&lt;"&amp;$K413)+1)</f>
        <v/>
      </c>
    </row>
    <row r="414">
      <c r="A414" s="16">
        <f>IF(IFERROR(MATCH(398,ChqRankU,0),0)=0,"",398)</f>
        <v/>
      </c>
      <c r="B414" s="24">
        <f>IF(IFERROR(MATCH(398,ChqRankU,0),0)=0,"",INDEX(ChqNorm,IFERROR(MATCH(398,ChqRankU,0),0)))</f>
        <v/>
      </c>
      <c r="C414" s="24">
        <f>IF(IFERROR(MATCH(398,ChqRankU,0),0)=0,"",INDEX(ChqNo,IFERROR(MATCH(398,ChqRankU,0),0)))</f>
        <v/>
      </c>
      <c r="D414" s="25">
        <f>IF(IFERROR(MATCH(398,ChqRankU,0),0)=0,"",IF(INDEX(ChqAmt,IFERROR(MATCH(398,ChqRankU,0),0))=0,"",INDEX(ChqAmt,IFERROR(MATCH(398,ChqRankU,0),0))))</f>
        <v/>
      </c>
      <c r="E414" s="17">
        <f>IF(IFERROR(MATCH(398,ChqRankU,0),0)=0,"",INDEX(ChqStatus,IFERROR(MATCH(398,ChqRankU,0),0)))</f>
        <v/>
      </c>
      <c r="F414" s="24">
        <f>IF(IFERROR(MATCH(398,ChqRankU,0),0)=0,"",IF(INDEX(ChqStatus,IFERROR(MATCH(398,ChqRankU,0),0))="پاس نشده","—",IF(INDEX(ChqClr,IFERROR(MATCH(398,ChqRankU,0),0))="","—",INDEX(ChqClr,IFERROR(MATCH(398,ChqRankU,0),0)))))</f>
        <v/>
      </c>
      <c r="I414">
        <f>IF(398&gt;NChq,"",INDEX(ChqNorm,398))</f>
        <v/>
      </c>
      <c r="J414">
        <f>IF($I414="","",IF(AND($I414&gt;=$H$3,$I414&lt;=$H$4,INDEX(ChqStatus,398)="پاس نشده"),1,0))</f>
        <v/>
      </c>
      <c r="K414">
        <f>IF($J414=0,"",INDEX(ChqKey,398))</f>
        <v/>
      </c>
      <c r="L414">
        <f>IF($K414="","",COUNTIFS($J$17:$J$516,1,$K$17:$K$516,"&lt;"&amp;$K414)+1)</f>
        <v/>
      </c>
    </row>
    <row r="415">
      <c r="A415" s="10">
        <f>IF(IFERROR(MATCH(399,ChqRankU,0),0)=0,"",399)</f>
        <v/>
      </c>
      <c r="B415" s="22">
        <f>IF(IFERROR(MATCH(399,ChqRankU,0),0)=0,"",INDEX(ChqNorm,IFERROR(MATCH(399,ChqRankU,0),0)))</f>
        <v/>
      </c>
      <c r="C415" s="22">
        <f>IF(IFERROR(MATCH(399,ChqRankU,0),0)=0,"",INDEX(ChqNo,IFERROR(MATCH(399,ChqRankU,0),0)))</f>
        <v/>
      </c>
      <c r="D415" s="23">
        <f>IF(IFERROR(MATCH(399,ChqRankU,0),0)=0,"",IF(INDEX(ChqAmt,IFERROR(MATCH(399,ChqRankU,0),0))=0,"",INDEX(ChqAmt,IFERROR(MATCH(399,ChqRankU,0),0))))</f>
        <v/>
      </c>
      <c r="E415" s="14">
        <f>IF(IFERROR(MATCH(399,ChqRankU,0),0)=0,"",INDEX(ChqStatus,IFERROR(MATCH(399,ChqRankU,0),0)))</f>
        <v/>
      </c>
      <c r="F415" s="22">
        <f>IF(IFERROR(MATCH(399,ChqRankU,0),0)=0,"",IF(INDEX(ChqStatus,IFERROR(MATCH(399,ChqRankU,0),0))="پاس نشده","—",IF(INDEX(ChqClr,IFERROR(MATCH(399,ChqRankU,0),0))="","—",INDEX(ChqClr,IFERROR(MATCH(399,ChqRankU,0),0)))))</f>
        <v/>
      </c>
      <c r="I415">
        <f>IF(399&gt;NChq,"",INDEX(ChqNorm,399))</f>
        <v/>
      </c>
      <c r="J415">
        <f>IF($I415="","",IF(AND($I415&gt;=$H$3,$I415&lt;=$H$4,INDEX(ChqStatus,399)="پاس نشده"),1,0))</f>
        <v/>
      </c>
      <c r="K415">
        <f>IF($J415=0,"",INDEX(ChqKey,399))</f>
        <v/>
      </c>
      <c r="L415">
        <f>IF($K415="","",COUNTIFS($J$17:$J$516,1,$K$17:$K$516,"&lt;"&amp;$K415)+1)</f>
        <v/>
      </c>
    </row>
    <row r="416">
      <c r="A416" s="16">
        <f>IF(IFERROR(MATCH(400,ChqRankU,0),0)=0,"",400)</f>
        <v/>
      </c>
      <c r="B416" s="24">
        <f>IF(IFERROR(MATCH(400,ChqRankU,0),0)=0,"",INDEX(ChqNorm,IFERROR(MATCH(400,ChqRankU,0),0)))</f>
        <v/>
      </c>
      <c r="C416" s="24">
        <f>IF(IFERROR(MATCH(400,ChqRankU,0),0)=0,"",INDEX(ChqNo,IFERROR(MATCH(400,ChqRankU,0),0)))</f>
        <v/>
      </c>
      <c r="D416" s="25">
        <f>IF(IFERROR(MATCH(400,ChqRankU,0),0)=0,"",IF(INDEX(ChqAmt,IFERROR(MATCH(400,ChqRankU,0),0))=0,"",INDEX(ChqAmt,IFERROR(MATCH(400,ChqRankU,0),0))))</f>
        <v/>
      </c>
      <c r="E416" s="17">
        <f>IF(IFERROR(MATCH(400,ChqRankU,0),0)=0,"",INDEX(ChqStatus,IFERROR(MATCH(400,ChqRankU,0),0)))</f>
        <v/>
      </c>
      <c r="F416" s="24">
        <f>IF(IFERROR(MATCH(400,ChqRankU,0),0)=0,"",IF(INDEX(ChqStatus,IFERROR(MATCH(400,ChqRankU,0),0))="پاس نشده","—",IF(INDEX(ChqClr,IFERROR(MATCH(400,ChqRankU,0),0))="","—",INDEX(ChqClr,IFERROR(MATCH(400,ChqRankU,0),0)))))</f>
        <v/>
      </c>
      <c r="I416">
        <f>IF(400&gt;NChq,"",INDEX(ChqNorm,400))</f>
        <v/>
      </c>
      <c r="J416">
        <f>IF($I416="","",IF(AND($I416&gt;=$H$3,$I416&lt;=$H$4,INDEX(ChqStatus,400)="پاس نشده"),1,0))</f>
        <v/>
      </c>
      <c r="K416">
        <f>IF($J416=0,"",INDEX(ChqKey,400))</f>
        <v/>
      </c>
      <c r="L416">
        <f>IF($K416="","",COUNTIFS($J$17:$J$516,1,$K$17:$K$516,"&lt;"&amp;$K416)+1)</f>
        <v/>
      </c>
    </row>
    <row r="417">
      <c r="A417" s="10">
        <f>IF(IFERROR(MATCH(401,ChqRankU,0),0)=0,"",401)</f>
        <v/>
      </c>
      <c r="B417" s="22">
        <f>IF(IFERROR(MATCH(401,ChqRankU,0),0)=0,"",INDEX(ChqNorm,IFERROR(MATCH(401,ChqRankU,0),0)))</f>
        <v/>
      </c>
      <c r="C417" s="22">
        <f>IF(IFERROR(MATCH(401,ChqRankU,0),0)=0,"",INDEX(ChqNo,IFERROR(MATCH(401,ChqRankU,0),0)))</f>
        <v/>
      </c>
      <c r="D417" s="23">
        <f>IF(IFERROR(MATCH(401,ChqRankU,0),0)=0,"",IF(INDEX(ChqAmt,IFERROR(MATCH(401,ChqRankU,0),0))=0,"",INDEX(ChqAmt,IFERROR(MATCH(401,ChqRankU,0),0))))</f>
        <v/>
      </c>
      <c r="E417" s="14">
        <f>IF(IFERROR(MATCH(401,ChqRankU,0),0)=0,"",INDEX(ChqStatus,IFERROR(MATCH(401,ChqRankU,0),0)))</f>
        <v/>
      </c>
      <c r="F417" s="22">
        <f>IF(IFERROR(MATCH(401,ChqRankU,0),0)=0,"",IF(INDEX(ChqStatus,IFERROR(MATCH(401,ChqRankU,0),0))="پاس نشده","—",IF(INDEX(ChqClr,IFERROR(MATCH(401,ChqRankU,0),0))="","—",INDEX(ChqClr,IFERROR(MATCH(401,ChqRankU,0),0)))))</f>
        <v/>
      </c>
      <c r="I417">
        <f>IF(401&gt;NChq,"",INDEX(ChqNorm,401))</f>
        <v/>
      </c>
      <c r="J417">
        <f>IF($I417="","",IF(AND($I417&gt;=$H$3,$I417&lt;=$H$4,INDEX(ChqStatus,401)="پاس نشده"),1,0))</f>
        <v/>
      </c>
      <c r="K417">
        <f>IF($J417=0,"",INDEX(ChqKey,401))</f>
        <v/>
      </c>
      <c r="L417">
        <f>IF($K417="","",COUNTIFS($J$17:$J$516,1,$K$17:$K$516,"&lt;"&amp;$K417)+1)</f>
        <v/>
      </c>
    </row>
    <row r="418">
      <c r="A418" s="16">
        <f>IF(IFERROR(MATCH(402,ChqRankU,0),0)=0,"",402)</f>
        <v/>
      </c>
      <c r="B418" s="24">
        <f>IF(IFERROR(MATCH(402,ChqRankU,0),0)=0,"",INDEX(ChqNorm,IFERROR(MATCH(402,ChqRankU,0),0)))</f>
        <v/>
      </c>
      <c r="C418" s="24">
        <f>IF(IFERROR(MATCH(402,ChqRankU,0),0)=0,"",INDEX(ChqNo,IFERROR(MATCH(402,ChqRankU,0),0)))</f>
        <v/>
      </c>
      <c r="D418" s="25">
        <f>IF(IFERROR(MATCH(402,ChqRankU,0),0)=0,"",IF(INDEX(ChqAmt,IFERROR(MATCH(402,ChqRankU,0),0))=0,"",INDEX(ChqAmt,IFERROR(MATCH(402,ChqRankU,0),0))))</f>
        <v/>
      </c>
      <c r="E418" s="17">
        <f>IF(IFERROR(MATCH(402,ChqRankU,0),0)=0,"",INDEX(ChqStatus,IFERROR(MATCH(402,ChqRankU,0),0)))</f>
        <v/>
      </c>
      <c r="F418" s="24">
        <f>IF(IFERROR(MATCH(402,ChqRankU,0),0)=0,"",IF(INDEX(ChqStatus,IFERROR(MATCH(402,ChqRankU,0),0))="پاس نشده","—",IF(INDEX(ChqClr,IFERROR(MATCH(402,ChqRankU,0),0))="","—",INDEX(ChqClr,IFERROR(MATCH(402,ChqRankU,0),0)))))</f>
        <v/>
      </c>
      <c r="I418">
        <f>IF(402&gt;NChq,"",INDEX(ChqNorm,402))</f>
        <v/>
      </c>
      <c r="J418">
        <f>IF($I418="","",IF(AND($I418&gt;=$H$3,$I418&lt;=$H$4,INDEX(ChqStatus,402)="پاس نشده"),1,0))</f>
        <v/>
      </c>
      <c r="K418">
        <f>IF($J418=0,"",INDEX(ChqKey,402))</f>
        <v/>
      </c>
      <c r="L418">
        <f>IF($K418="","",COUNTIFS($J$17:$J$516,1,$K$17:$K$516,"&lt;"&amp;$K418)+1)</f>
        <v/>
      </c>
    </row>
    <row r="419">
      <c r="A419" s="10">
        <f>IF(IFERROR(MATCH(403,ChqRankU,0),0)=0,"",403)</f>
        <v/>
      </c>
      <c r="B419" s="22">
        <f>IF(IFERROR(MATCH(403,ChqRankU,0),0)=0,"",INDEX(ChqNorm,IFERROR(MATCH(403,ChqRankU,0),0)))</f>
        <v/>
      </c>
      <c r="C419" s="22">
        <f>IF(IFERROR(MATCH(403,ChqRankU,0),0)=0,"",INDEX(ChqNo,IFERROR(MATCH(403,ChqRankU,0),0)))</f>
        <v/>
      </c>
      <c r="D419" s="23">
        <f>IF(IFERROR(MATCH(403,ChqRankU,0),0)=0,"",IF(INDEX(ChqAmt,IFERROR(MATCH(403,ChqRankU,0),0))=0,"",INDEX(ChqAmt,IFERROR(MATCH(403,ChqRankU,0),0))))</f>
        <v/>
      </c>
      <c r="E419" s="14">
        <f>IF(IFERROR(MATCH(403,ChqRankU,0),0)=0,"",INDEX(ChqStatus,IFERROR(MATCH(403,ChqRankU,0),0)))</f>
        <v/>
      </c>
      <c r="F419" s="22">
        <f>IF(IFERROR(MATCH(403,ChqRankU,0),0)=0,"",IF(INDEX(ChqStatus,IFERROR(MATCH(403,ChqRankU,0),0))="پاس نشده","—",IF(INDEX(ChqClr,IFERROR(MATCH(403,ChqRankU,0),0))="","—",INDEX(ChqClr,IFERROR(MATCH(403,ChqRankU,0),0)))))</f>
        <v/>
      </c>
      <c r="I419">
        <f>IF(403&gt;NChq,"",INDEX(ChqNorm,403))</f>
        <v/>
      </c>
      <c r="J419">
        <f>IF($I419="","",IF(AND($I419&gt;=$H$3,$I419&lt;=$H$4,INDEX(ChqStatus,403)="پاس نشده"),1,0))</f>
        <v/>
      </c>
      <c r="K419">
        <f>IF($J419=0,"",INDEX(ChqKey,403))</f>
        <v/>
      </c>
      <c r="L419">
        <f>IF($K419="","",COUNTIFS($J$17:$J$516,1,$K$17:$K$516,"&lt;"&amp;$K419)+1)</f>
        <v/>
      </c>
    </row>
    <row r="420">
      <c r="A420" s="16">
        <f>IF(IFERROR(MATCH(404,ChqRankU,0),0)=0,"",404)</f>
        <v/>
      </c>
      <c r="B420" s="24">
        <f>IF(IFERROR(MATCH(404,ChqRankU,0),0)=0,"",INDEX(ChqNorm,IFERROR(MATCH(404,ChqRankU,0),0)))</f>
        <v/>
      </c>
      <c r="C420" s="24">
        <f>IF(IFERROR(MATCH(404,ChqRankU,0),0)=0,"",INDEX(ChqNo,IFERROR(MATCH(404,ChqRankU,0),0)))</f>
        <v/>
      </c>
      <c r="D420" s="25">
        <f>IF(IFERROR(MATCH(404,ChqRankU,0),0)=0,"",IF(INDEX(ChqAmt,IFERROR(MATCH(404,ChqRankU,0),0))=0,"",INDEX(ChqAmt,IFERROR(MATCH(404,ChqRankU,0),0))))</f>
        <v/>
      </c>
      <c r="E420" s="17">
        <f>IF(IFERROR(MATCH(404,ChqRankU,0),0)=0,"",INDEX(ChqStatus,IFERROR(MATCH(404,ChqRankU,0),0)))</f>
        <v/>
      </c>
      <c r="F420" s="24">
        <f>IF(IFERROR(MATCH(404,ChqRankU,0),0)=0,"",IF(INDEX(ChqStatus,IFERROR(MATCH(404,ChqRankU,0),0))="پاس نشده","—",IF(INDEX(ChqClr,IFERROR(MATCH(404,ChqRankU,0),0))="","—",INDEX(ChqClr,IFERROR(MATCH(404,ChqRankU,0),0)))))</f>
        <v/>
      </c>
      <c r="I420">
        <f>IF(404&gt;NChq,"",INDEX(ChqNorm,404))</f>
        <v/>
      </c>
      <c r="J420">
        <f>IF($I420="","",IF(AND($I420&gt;=$H$3,$I420&lt;=$H$4,INDEX(ChqStatus,404)="پاس نشده"),1,0))</f>
        <v/>
      </c>
      <c r="K420">
        <f>IF($J420=0,"",INDEX(ChqKey,404))</f>
        <v/>
      </c>
      <c r="L420">
        <f>IF($K420="","",COUNTIFS($J$17:$J$516,1,$K$17:$K$516,"&lt;"&amp;$K420)+1)</f>
        <v/>
      </c>
    </row>
    <row r="421">
      <c r="A421" s="10">
        <f>IF(IFERROR(MATCH(405,ChqRankU,0),0)=0,"",405)</f>
        <v/>
      </c>
      <c r="B421" s="22">
        <f>IF(IFERROR(MATCH(405,ChqRankU,0),0)=0,"",INDEX(ChqNorm,IFERROR(MATCH(405,ChqRankU,0),0)))</f>
        <v/>
      </c>
      <c r="C421" s="22">
        <f>IF(IFERROR(MATCH(405,ChqRankU,0),0)=0,"",INDEX(ChqNo,IFERROR(MATCH(405,ChqRankU,0),0)))</f>
        <v/>
      </c>
      <c r="D421" s="23">
        <f>IF(IFERROR(MATCH(405,ChqRankU,0),0)=0,"",IF(INDEX(ChqAmt,IFERROR(MATCH(405,ChqRankU,0),0))=0,"",INDEX(ChqAmt,IFERROR(MATCH(405,ChqRankU,0),0))))</f>
        <v/>
      </c>
      <c r="E421" s="14">
        <f>IF(IFERROR(MATCH(405,ChqRankU,0),0)=0,"",INDEX(ChqStatus,IFERROR(MATCH(405,ChqRankU,0),0)))</f>
        <v/>
      </c>
      <c r="F421" s="22">
        <f>IF(IFERROR(MATCH(405,ChqRankU,0),0)=0,"",IF(INDEX(ChqStatus,IFERROR(MATCH(405,ChqRankU,0),0))="پاس نشده","—",IF(INDEX(ChqClr,IFERROR(MATCH(405,ChqRankU,0),0))="","—",INDEX(ChqClr,IFERROR(MATCH(405,ChqRankU,0),0)))))</f>
        <v/>
      </c>
      <c r="I421">
        <f>IF(405&gt;NChq,"",INDEX(ChqNorm,405))</f>
        <v/>
      </c>
      <c r="J421">
        <f>IF($I421="","",IF(AND($I421&gt;=$H$3,$I421&lt;=$H$4,INDEX(ChqStatus,405)="پاس نشده"),1,0))</f>
        <v/>
      </c>
      <c r="K421">
        <f>IF($J421=0,"",INDEX(ChqKey,405))</f>
        <v/>
      </c>
      <c r="L421">
        <f>IF($K421="","",COUNTIFS($J$17:$J$516,1,$K$17:$K$516,"&lt;"&amp;$K421)+1)</f>
        <v/>
      </c>
    </row>
    <row r="422">
      <c r="A422" s="16">
        <f>IF(IFERROR(MATCH(406,ChqRankU,0),0)=0,"",406)</f>
        <v/>
      </c>
      <c r="B422" s="24">
        <f>IF(IFERROR(MATCH(406,ChqRankU,0),0)=0,"",INDEX(ChqNorm,IFERROR(MATCH(406,ChqRankU,0),0)))</f>
        <v/>
      </c>
      <c r="C422" s="24">
        <f>IF(IFERROR(MATCH(406,ChqRankU,0),0)=0,"",INDEX(ChqNo,IFERROR(MATCH(406,ChqRankU,0),0)))</f>
        <v/>
      </c>
      <c r="D422" s="25">
        <f>IF(IFERROR(MATCH(406,ChqRankU,0),0)=0,"",IF(INDEX(ChqAmt,IFERROR(MATCH(406,ChqRankU,0),0))=0,"",INDEX(ChqAmt,IFERROR(MATCH(406,ChqRankU,0),0))))</f>
        <v/>
      </c>
      <c r="E422" s="17">
        <f>IF(IFERROR(MATCH(406,ChqRankU,0),0)=0,"",INDEX(ChqStatus,IFERROR(MATCH(406,ChqRankU,0),0)))</f>
        <v/>
      </c>
      <c r="F422" s="24">
        <f>IF(IFERROR(MATCH(406,ChqRankU,0),0)=0,"",IF(INDEX(ChqStatus,IFERROR(MATCH(406,ChqRankU,0),0))="پاس نشده","—",IF(INDEX(ChqClr,IFERROR(MATCH(406,ChqRankU,0),0))="","—",INDEX(ChqClr,IFERROR(MATCH(406,ChqRankU,0),0)))))</f>
        <v/>
      </c>
      <c r="I422">
        <f>IF(406&gt;NChq,"",INDEX(ChqNorm,406))</f>
        <v/>
      </c>
      <c r="J422">
        <f>IF($I422="","",IF(AND($I422&gt;=$H$3,$I422&lt;=$H$4,INDEX(ChqStatus,406)="پاس نشده"),1,0))</f>
        <v/>
      </c>
      <c r="K422">
        <f>IF($J422=0,"",INDEX(ChqKey,406))</f>
        <v/>
      </c>
      <c r="L422">
        <f>IF($K422="","",COUNTIFS($J$17:$J$516,1,$K$17:$K$516,"&lt;"&amp;$K422)+1)</f>
        <v/>
      </c>
    </row>
    <row r="423">
      <c r="A423" s="10">
        <f>IF(IFERROR(MATCH(407,ChqRankU,0),0)=0,"",407)</f>
        <v/>
      </c>
      <c r="B423" s="22">
        <f>IF(IFERROR(MATCH(407,ChqRankU,0),0)=0,"",INDEX(ChqNorm,IFERROR(MATCH(407,ChqRankU,0),0)))</f>
        <v/>
      </c>
      <c r="C423" s="22">
        <f>IF(IFERROR(MATCH(407,ChqRankU,0),0)=0,"",INDEX(ChqNo,IFERROR(MATCH(407,ChqRankU,0),0)))</f>
        <v/>
      </c>
      <c r="D423" s="23">
        <f>IF(IFERROR(MATCH(407,ChqRankU,0),0)=0,"",IF(INDEX(ChqAmt,IFERROR(MATCH(407,ChqRankU,0),0))=0,"",INDEX(ChqAmt,IFERROR(MATCH(407,ChqRankU,0),0))))</f>
        <v/>
      </c>
      <c r="E423" s="14">
        <f>IF(IFERROR(MATCH(407,ChqRankU,0),0)=0,"",INDEX(ChqStatus,IFERROR(MATCH(407,ChqRankU,0),0)))</f>
        <v/>
      </c>
      <c r="F423" s="22">
        <f>IF(IFERROR(MATCH(407,ChqRankU,0),0)=0,"",IF(INDEX(ChqStatus,IFERROR(MATCH(407,ChqRankU,0),0))="پاس نشده","—",IF(INDEX(ChqClr,IFERROR(MATCH(407,ChqRankU,0),0))="","—",INDEX(ChqClr,IFERROR(MATCH(407,ChqRankU,0),0)))))</f>
        <v/>
      </c>
      <c r="I423">
        <f>IF(407&gt;NChq,"",INDEX(ChqNorm,407))</f>
        <v/>
      </c>
      <c r="J423">
        <f>IF($I423="","",IF(AND($I423&gt;=$H$3,$I423&lt;=$H$4,INDEX(ChqStatus,407)="پاس نشده"),1,0))</f>
        <v/>
      </c>
      <c r="K423">
        <f>IF($J423=0,"",INDEX(ChqKey,407))</f>
        <v/>
      </c>
      <c r="L423">
        <f>IF($K423="","",COUNTIFS($J$17:$J$516,1,$K$17:$K$516,"&lt;"&amp;$K423)+1)</f>
        <v/>
      </c>
    </row>
    <row r="424">
      <c r="A424" s="16">
        <f>IF(IFERROR(MATCH(408,ChqRankU,0),0)=0,"",408)</f>
        <v/>
      </c>
      <c r="B424" s="24">
        <f>IF(IFERROR(MATCH(408,ChqRankU,0),0)=0,"",INDEX(ChqNorm,IFERROR(MATCH(408,ChqRankU,0),0)))</f>
        <v/>
      </c>
      <c r="C424" s="24">
        <f>IF(IFERROR(MATCH(408,ChqRankU,0),0)=0,"",INDEX(ChqNo,IFERROR(MATCH(408,ChqRankU,0),0)))</f>
        <v/>
      </c>
      <c r="D424" s="25">
        <f>IF(IFERROR(MATCH(408,ChqRankU,0),0)=0,"",IF(INDEX(ChqAmt,IFERROR(MATCH(408,ChqRankU,0),0))=0,"",INDEX(ChqAmt,IFERROR(MATCH(408,ChqRankU,0),0))))</f>
        <v/>
      </c>
      <c r="E424" s="17">
        <f>IF(IFERROR(MATCH(408,ChqRankU,0),0)=0,"",INDEX(ChqStatus,IFERROR(MATCH(408,ChqRankU,0),0)))</f>
        <v/>
      </c>
      <c r="F424" s="24">
        <f>IF(IFERROR(MATCH(408,ChqRankU,0),0)=0,"",IF(INDEX(ChqStatus,IFERROR(MATCH(408,ChqRankU,0),0))="پاس نشده","—",IF(INDEX(ChqClr,IFERROR(MATCH(408,ChqRankU,0),0))="","—",INDEX(ChqClr,IFERROR(MATCH(408,ChqRankU,0),0)))))</f>
        <v/>
      </c>
      <c r="I424">
        <f>IF(408&gt;NChq,"",INDEX(ChqNorm,408))</f>
        <v/>
      </c>
      <c r="J424">
        <f>IF($I424="","",IF(AND($I424&gt;=$H$3,$I424&lt;=$H$4,INDEX(ChqStatus,408)="پاس نشده"),1,0))</f>
        <v/>
      </c>
      <c r="K424">
        <f>IF($J424=0,"",INDEX(ChqKey,408))</f>
        <v/>
      </c>
      <c r="L424">
        <f>IF($K424="","",COUNTIFS($J$17:$J$516,1,$K$17:$K$516,"&lt;"&amp;$K424)+1)</f>
        <v/>
      </c>
    </row>
    <row r="425">
      <c r="A425" s="10">
        <f>IF(IFERROR(MATCH(409,ChqRankU,0),0)=0,"",409)</f>
        <v/>
      </c>
      <c r="B425" s="22">
        <f>IF(IFERROR(MATCH(409,ChqRankU,0),0)=0,"",INDEX(ChqNorm,IFERROR(MATCH(409,ChqRankU,0),0)))</f>
        <v/>
      </c>
      <c r="C425" s="22">
        <f>IF(IFERROR(MATCH(409,ChqRankU,0),0)=0,"",INDEX(ChqNo,IFERROR(MATCH(409,ChqRankU,0),0)))</f>
        <v/>
      </c>
      <c r="D425" s="23">
        <f>IF(IFERROR(MATCH(409,ChqRankU,0),0)=0,"",IF(INDEX(ChqAmt,IFERROR(MATCH(409,ChqRankU,0),0))=0,"",INDEX(ChqAmt,IFERROR(MATCH(409,ChqRankU,0),0))))</f>
        <v/>
      </c>
      <c r="E425" s="14">
        <f>IF(IFERROR(MATCH(409,ChqRankU,0),0)=0,"",INDEX(ChqStatus,IFERROR(MATCH(409,ChqRankU,0),0)))</f>
        <v/>
      </c>
      <c r="F425" s="22">
        <f>IF(IFERROR(MATCH(409,ChqRankU,0),0)=0,"",IF(INDEX(ChqStatus,IFERROR(MATCH(409,ChqRankU,0),0))="پاس نشده","—",IF(INDEX(ChqClr,IFERROR(MATCH(409,ChqRankU,0),0))="","—",INDEX(ChqClr,IFERROR(MATCH(409,ChqRankU,0),0)))))</f>
        <v/>
      </c>
      <c r="I425">
        <f>IF(409&gt;NChq,"",INDEX(ChqNorm,409))</f>
        <v/>
      </c>
      <c r="J425">
        <f>IF($I425="","",IF(AND($I425&gt;=$H$3,$I425&lt;=$H$4,INDEX(ChqStatus,409)="پاس نشده"),1,0))</f>
        <v/>
      </c>
      <c r="K425">
        <f>IF($J425=0,"",INDEX(ChqKey,409))</f>
        <v/>
      </c>
      <c r="L425">
        <f>IF($K425="","",COUNTIFS($J$17:$J$516,1,$K$17:$K$516,"&lt;"&amp;$K425)+1)</f>
        <v/>
      </c>
    </row>
    <row r="426">
      <c r="A426" s="16">
        <f>IF(IFERROR(MATCH(410,ChqRankU,0),0)=0,"",410)</f>
        <v/>
      </c>
      <c r="B426" s="24">
        <f>IF(IFERROR(MATCH(410,ChqRankU,0),0)=0,"",INDEX(ChqNorm,IFERROR(MATCH(410,ChqRankU,0),0)))</f>
        <v/>
      </c>
      <c r="C426" s="24">
        <f>IF(IFERROR(MATCH(410,ChqRankU,0),0)=0,"",INDEX(ChqNo,IFERROR(MATCH(410,ChqRankU,0),0)))</f>
        <v/>
      </c>
      <c r="D426" s="25">
        <f>IF(IFERROR(MATCH(410,ChqRankU,0),0)=0,"",IF(INDEX(ChqAmt,IFERROR(MATCH(410,ChqRankU,0),0))=0,"",INDEX(ChqAmt,IFERROR(MATCH(410,ChqRankU,0),0))))</f>
        <v/>
      </c>
      <c r="E426" s="17">
        <f>IF(IFERROR(MATCH(410,ChqRankU,0),0)=0,"",INDEX(ChqStatus,IFERROR(MATCH(410,ChqRankU,0),0)))</f>
        <v/>
      </c>
      <c r="F426" s="24">
        <f>IF(IFERROR(MATCH(410,ChqRankU,0),0)=0,"",IF(INDEX(ChqStatus,IFERROR(MATCH(410,ChqRankU,0),0))="پاس نشده","—",IF(INDEX(ChqClr,IFERROR(MATCH(410,ChqRankU,0),0))="","—",INDEX(ChqClr,IFERROR(MATCH(410,ChqRankU,0),0)))))</f>
        <v/>
      </c>
      <c r="I426">
        <f>IF(410&gt;NChq,"",INDEX(ChqNorm,410))</f>
        <v/>
      </c>
      <c r="J426">
        <f>IF($I426="","",IF(AND($I426&gt;=$H$3,$I426&lt;=$H$4,INDEX(ChqStatus,410)="پاس نشده"),1,0))</f>
        <v/>
      </c>
      <c r="K426">
        <f>IF($J426=0,"",INDEX(ChqKey,410))</f>
        <v/>
      </c>
      <c r="L426">
        <f>IF($K426="","",COUNTIFS($J$17:$J$516,1,$K$17:$K$516,"&lt;"&amp;$K426)+1)</f>
        <v/>
      </c>
    </row>
    <row r="427">
      <c r="A427" s="10">
        <f>IF(IFERROR(MATCH(411,ChqRankU,0),0)=0,"",411)</f>
        <v/>
      </c>
      <c r="B427" s="22">
        <f>IF(IFERROR(MATCH(411,ChqRankU,0),0)=0,"",INDEX(ChqNorm,IFERROR(MATCH(411,ChqRankU,0),0)))</f>
        <v/>
      </c>
      <c r="C427" s="22">
        <f>IF(IFERROR(MATCH(411,ChqRankU,0),0)=0,"",INDEX(ChqNo,IFERROR(MATCH(411,ChqRankU,0),0)))</f>
        <v/>
      </c>
      <c r="D427" s="23">
        <f>IF(IFERROR(MATCH(411,ChqRankU,0),0)=0,"",IF(INDEX(ChqAmt,IFERROR(MATCH(411,ChqRankU,0),0))=0,"",INDEX(ChqAmt,IFERROR(MATCH(411,ChqRankU,0),0))))</f>
        <v/>
      </c>
      <c r="E427" s="14">
        <f>IF(IFERROR(MATCH(411,ChqRankU,0),0)=0,"",INDEX(ChqStatus,IFERROR(MATCH(411,ChqRankU,0),0)))</f>
        <v/>
      </c>
      <c r="F427" s="22">
        <f>IF(IFERROR(MATCH(411,ChqRankU,0),0)=0,"",IF(INDEX(ChqStatus,IFERROR(MATCH(411,ChqRankU,0),0))="پاس نشده","—",IF(INDEX(ChqClr,IFERROR(MATCH(411,ChqRankU,0),0))="","—",INDEX(ChqClr,IFERROR(MATCH(411,ChqRankU,0),0)))))</f>
        <v/>
      </c>
      <c r="I427">
        <f>IF(411&gt;NChq,"",INDEX(ChqNorm,411))</f>
        <v/>
      </c>
      <c r="J427">
        <f>IF($I427="","",IF(AND($I427&gt;=$H$3,$I427&lt;=$H$4,INDEX(ChqStatus,411)="پاس نشده"),1,0))</f>
        <v/>
      </c>
      <c r="K427">
        <f>IF($J427=0,"",INDEX(ChqKey,411))</f>
        <v/>
      </c>
      <c r="L427">
        <f>IF($K427="","",COUNTIFS($J$17:$J$516,1,$K$17:$K$516,"&lt;"&amp;$K427)+1)</f>
        <v/>
      </c>
    </row>
    <row r="428">
      <c r="A428" s="16">
        <f>IF(IFERROR(MATCH(412,ChqRankU,0),0)=0,"",412)</f>
        <v/>
      </c>
      <c r="B428" s="24">
        <f>IF(IFERROR(MATCH(412,ChqRankU,0),0)=0,"",INDEX(ChqNorm,IFERROR(MATCH(412,ChqRankU,0),0)))</f>
        <v/>
      </c>
      <c r="C428" s="24">
        <f>IF(IFERROR(MATCH(412,ChqRankU,0),0)=0,"",INDEX(ChqNo,IFERROR(MATCH(412,ChqRankU,0),0)))</f>
        <v/>
      </c>
      <c r="D428" s="25">
        <f>IF(IFERROR(MATCH(412,ChqRankU,0),0)=0,"",IF(INDEX(ChqAmt,IFERROR(MATCH(412,ChqRankU,0),0))=0,"",INDEX(ChqAmt,IFERROR(MATCH(412,ChqRankU,0),0))))</f>
        <v/>
      </c>
      <c r="E428" s="17">
        <f>IF(IFERROR(MATCH(412,ChqRankU,0),0)=0,"",INDEX(ChqStatus,IFERROR(MATCH(412,ChqRankU,0),0)))</f>
        <v/>
      </c>
      <c r="F428" s="24">
        <f>IF(IFERROR(MATCH(412,ChqRankU,0),0)=0,"",IF(INDEX(ChqStatus,IFERROR(MATCH(412,ChqRankU,0),0))="پاس نشده","—",IF(INDEX(ChqClr,IFERROR(MATCH(412,ChqRankU,0),0))="","—",INDEX(ChqClr,IFERROR(MATCH(412,ChqRankU,0),0)))))</f>
        <v/>
      </c>
      <c r="I428">
        <f>IF(412&gt;NChq,"",INDEX(ChqNorm,412))</f>
        <v/>
      </c>
      <c r="J428">
        <f>IF($I428="","",IF(AND($I428&gt;=$H$3,$I428&lt;=$H$4,INDEX(ChqStatus,412)="پاس نشده"),1,0))</f>
        <v/>
      </c>
      <c r="K428">
        <f>IF($J428=0,"",INDEX(ChqKey,412))</f>
        <v/>
      </c>
      <c r="L428">
        <f>IF($K428="","",COUNTIFS($J$17:$J$516,1,$K$17:$K$516,"&lt;"&amp;$K428)+1)</f>
        <v/>
      </c>
    </row>
    <row r="429">
      <c r="A429" s="10">
        <f>IF(IFERROR(MATCH(413,ChqRankU,0),0)=0,"",413)</f>
        <v/>
      </c>
      <c r="B429" s="22">
        <f>IF(IFERROR(MATCH(413,ChqRankU,0),0)=0,"",INDEX(ChqNorm,IFERROR(MATCH(413,ChqRankU,0),0)))</f>
        <v/>
      </c>
      <c r="C429" s="22">
        <f>IF(IFERROR(MATCH(413,ChqRankU,0),0)=0,"",INDEX(ChqNo,IFERROR(MATCH(413,ChqRankU,0),0)))</f>
        <v/>
      </c>
      <c r="D429" s="23">
        <f>IF(IFERROR(MATCH(413,ChqRankU,0),0)=0,"",IF(INDEX(ChqAmt,IFERROR(MATCH(413,ChqRankU,0),0))=0,"",INDEX(ChqAmt,IFERROR(MATCH(413,ChqRankU,0),0))))</f>
        <v/>
      </c>
      <c r="E429" s="14">
        <f>IF(IFERROR(MATCH(413,ChqRankU,0),0)=0,"",INDEX(ChqStatus,IFERROR(MATCH(413,ChqRankU,0),0)))</f>
        <v/>
      </c>
      <c r="F429" s="22">
        <f>IF(IFERROR(MATCH(413,ChqRankU,0),0)=0,"",IF(INDEX(ChqStatus,IFERROR(MATCH(413,ChqRankU,0),0))="پاس نشده","—",IF(INDEX(ChqClr,IFERROR(MATCH(413,ChqRankU,0),0))="","—",INDEX(ChqClr,IFERROR(MATCH(413,ChqRankU,0),0)))))</f>
        <v/>
      </c>
      <c r="I429">
        <f>IF(413&gt;NChq,"",INDEX(ChqNorm,413))</f>
        <v/>
      </c>
      <c r="J429">
        <f>IF($I429="","",IF(AND($I429&gt;=$H$3,$I429&lt;=$H$4,INDEX(ChqStatus,413)="پاس نشده"),1,0))</f>
        <v/>
      </c>
      <c r="K429">
        <f>IF($J429=0,"",INDEX(ChqKey,413))</f>
        <v/>
      </c>
      <c r="L429">
        <f>IF($K429="","",COUNTIFS($J$17:$J$516,1,$K$17:$K$516,"&lt;"&amp;$K429)+1)</f>
        <v/>
      </c>
    </row>
    <row r="430">
      <c r="A430" s="16">
        <f>IF(IFERROR(MATCH(414,ChqRankU,0),0)=0,"",414)</f>
        <v/>
      </c>
      <c r="B430" s="24">
        <f>IF(IFERROR(MATCH(414,ChqRankU,0),0)=0,"",INDEX(ChqNorm,IFERROR(MATCH(414,ChqRankU,0),0)))</f>
        <v/>
      </c>
      <c r="C430" s="24">
        <f>IF(IFERROR(MATCH(414,ChqRankU,0),0)=0,"",INDEX(ChqNo,IFERROR(MATCH(414,ChqRankU,0),0)))</f>
        <v/>
      </c>
      <c r="D430" s="25">
        <f>IF(IFERROR(MATCH(414,ChqRankU,0),0)=0,"",IF(INDEX(ChqAmt,IFERROR(MATCH(414,ChqRankU,0),0))=0,"",INDEX(ChqAmt,IFERROR(MATCH(414,ChqRankU,0),0))))</f>
        <v/>
      </c>
      <c r="E430" s="17">
        <f>IF(IFERROR(MATCH(414,ChqRankU,0),0)=0,"",INDEX(ChqStatus,IFERROR(MATCH(414,ChqRankU,0),0)))</f>
        <v/>
      </c>
      <c r="F430" s="24">
        <f>IF(IFERROR(MATCH(414,ChqRankU,0),0)=0,"",IF(INDEX(ChqStatus,IFERROR(MATCH(414,ChqRankU,0),0))="پاس نشده","—",IF(INDEX(ChqClr,IFERROR(MATCH(414,ChqRankU,0),0))="","—",INDEX(ChqClr,IFERROR(MATCH(414,ChqRankU,0),0)))))</f>
        <v/>
      </c>
      <c r="I430">
        <f>IF(414&gt;NChq,"",INDEX(ChqNorm,414))</f>
        <v/>
      </c>
      <c r="J430">
        <f>IF($I430="","",IF(AND($I430&gt;=$H$3,$I430&lt;=$H$4,INDEX(ChqStatus,414)="پاس نشده"),1,0))</f>
        <v/>
      </c>
      <c r="K430">
        <f>IF($J430=0,"",INDEX(ChqKey,414))</f>
        <v/>
      </c>
      <c r="L430">
        <f>IF($K430="","",COUNTIFS($J$17:$J$516,1,$K$17:$K$516,"&lt;"&amp;$K430)+1)</f>
        <v/>
      </c>
    </row>
    <row r="431">
      <c r="A431" s="10">
        <f>IF(IFERROR(MATCH(415,ChqRankU,0),0)=0,"",415)</f>
        <v/>
      </c>
      <c r="B431" s="22">
        <f>IF(IFERROR(MATCH(415,ChqRankU,0),0)=0,"",INDEX(ChqNorm,IFERROR(MATCH(415,ChqRankU,0),0)))</f>
        <v/>
      </c>
      <c r="C431" s="22">
        <f>IF(IFERROR(MATCH(415,ChqRankU,0),0)=0,"",INDEX(ChqNo,IFERROR(MATCH(415,ChqRankU,0),0)))</f>
        <v/>
      </c>
      <c r="D431" s="23">
        <f>IF(IFERROR(MATCH(415,ChqRankU,0),0)=0,"",IF(INDEX(ChqAmt,IFERROR(MATCH(415,ChqRankU,0),0))=0,"",INDEX(ChqAmt,IFERROR(MATCH(415,ChqRankU,0),0))))</f>
        <v/>
      </c>
      <c r="E431" s="14">
        <f>IF(IFERROR(MATCH(415,ChqRankU,0),0)=0,"",INDEX(ChqStatus,IFERROR(MATCH(415,ChqRankU,0),0)))</f>
        <v/>
      </c>
      <c r="F431" s="22">
        <f>IF(IFERROR(MATCH(415,ChqRankU,0),0)=0,"",IF(INDEX(ChqStatus,IFERROR(MATCH(415,ChqRankU,0),0))="پاس نشده","—",IF(INDEX(ChqClr,IFERROR(MATCH(415,ChqRankU,0),0))="","—",INDEX(ChqClr,IFERROR(MATCH(415,ChqRankU,0),0)))))</f>
        <v/>
      </c>
      <c r="I431">
        <f>IF(415&gt;NChq,"",INDEX(ChqNorm,415))</f>
        <v/>
      </c>
      <c r="J431">
        <f>IF($I431="","",IF(AND($I431&gt;=$H$3,$I431&lt;=$H$4,INDEX(ChqStatus,415)="پاس نشده"),1,0))</f>
        <v/>
      </c>
      <c r="K431">
        <f>IF($J431=0,"",INDEX(ChqKey,415))</f>
        <v/>
      </c>
      <c r="L431">
        <f>IF($K431="","",COUNTIFS($J$17:$J$516,1,$K$17:$K$516,"&lt;"&amp;$K431)+1)</f>
        <v/>
      </c>
    </row>
    <row r="432">
      <c r="A432" s="16">
        <f>IF(IFERROR(MATCH(416,ChqRankU,0),0)=0,"",416)</f>
        <v/>
      </c>
      <c r="B432" s="24">
        <f>IF(IFERROR(MATCH(416,ChqRankU,0),0)=0,"",INDEX(ChqNorm,IFERROR(MATCH(416,ChqRankU,0),0)))</f>
        <v/>
      </c>
      <c r="C432" s="24">
        <f>IF(IFERROR(MATCH(416,ChqRankU,0),0)=0,"",INDEX(ChqNo,IFERROR(MATCH(416,ChqRankU,0),0)))</f>
        <v/>
      </c>
      <c r="D432" s="25">
        <f>IF(IFERROR(MATCH(416,ChqRankU,0),0)=0,"",IF(INDEX(ChqAmt,IFERROR(MATCH(416,ChqRankU,0),0))=0,"",INDEX(ChqAmt,IFERROR(MATCH(416,ChqRankU,0),0))))</f>
        <v/>
      </c>
      <c r="E432" s="17">
        <f>IF(IFERROR(MATCH(416,ChqRankU,0),0)=0,"",INDEX(ChqStatus,IFERROR(MATCH(416,ChqRankU,0),0)))</f>
        <v/>
      </c>
      <c r="F432" s="24">
        <f>IF(IFERROR(MATCH(416,ChqRankU,0),0)=0,"",IF(INDEX(ChqStatus,IFERROR(MATCH(416,ChqRankU,0),0))="پاس نشده","—",IF(INDEX(ChqClr,IFERROR(MATCH(416,ChqRankU,0),0))="","—",INDEX(ChqClr,IFERROR(MATCH(416,ChqRankU,0),0)))))</f>
        <v/>
      </c>
      <c r="I432">
        <f>IF(416&gt;NChq,"",INDEX(ChqNorm,416))</f>
        <v/>
      </c>
      <c r="J432">
        <f>IF($I432="","",IF(AND($I432&gt;=$H$3,$I432&lt;=$H$4,INDEX(ChqStatus,416)="پاس نشده"),1,0))</f>
        <v/>
      </c>
      <c r="K432">
        <f>IF($J432=0,"",INDEX(ChqKey,416))</f>
        <v/>
      </c>
      <c r="L432">
        <f>IF($K432="","",COUNTIFS($J$17:$J$516,1,$K$17:$K$516,"&lt;"&amp;$K432)+1)</f>
        <v/>
      </c>
    </row>
    <row r="433">
      <c r="A433" s="10">
        <f>IF(IFERROR(MATCH(417,ChqRankU,0),0)=0,"",417)</f>
        <v/>
      </c>
      <c r="B433" s="22">
        <f>IF(IFERROR(MATCH(417,ChqRankU,0),0)=0,"",INDEX(ChqNorm,IFERROR(MATCH(417,ChqRankU,0),0)))</f>
        <v/>
      </c>
      <c r="C433" s="22">
        <f>IF(IFERROR(MATCH(417,ChqRankU,0),0)=0,"",INDEX(ChqNo,IFERROR(MATCH(417,ChqRankU,0),0)))</f>
        <v/>
      </c>
      <c r="D433" s="23">
        <f>IF(IFERROR(MATCH(417,ChqRankU,0),0)=0,"",IF(INDEX(ChqAmt,IFERROR(MATCH(417,ChqRankU,0),0))=0,"",INDEX(ChqAmt,IFERROR(MATCH(417,ChqRankU,0),0))))</f>
        <v/>
      </c>
      <c r="E433" s="14">
        <f>IF(IFERROR(MATCH(417,ChqRankU,0),0)=0,"",INDEX(ChqStatus,IFERROR(MATCH(417,ChqRankU,0),0)))</f>
        <v/>
      </c>
      <c r="F433" s="22">
        <f>IF(IFERROR(MATCH(417,ChqRankU,0),0)=0,"",IF(INDEX(ChqStatus,IFERROR(MATCH(417,ChqRankU,0),0))="پاس نشده","—",IF(INDEX(ChqClr,IFERROR(MATCH(417,ChqRankU,0),0))="","—",INDEX(ChqClr,IFERROR(MATCH(417,ChqRankU,0),0)))))</f>
        <v/>
      </c>
      <c r="I433">
        <f>IF(417&gt;NChq,"",INDEX(ChqNorm,417))</f>
        <v/>
      </c>
      <c r="J433">
        <f>IF($I433="","",IF(AND($I433&gt;=$H$3,$I433&lt;=$H$4,INDEX(ChqStatus,417)="پاس نشده"),1,0))</f>
        <v/>
      </c>
      <c r="K433">
        <f>IF($J433=0,"",INDEX(ChqKey,417))</f>
        <v/>
      </c>
      <c r="L433">
        <f>IF($K433="","",COUNTIFS($J$17:$J$516,1,$K$17:$K$516,"&lt;"&amp;$K433)+1)</f>
        <v/>
      </c>
    </row>
    <row r="434">
      <c r="A434" s="16">
        <f>IF(IFERROR(MATCH(418,ChqRankU,0),0)=0,"",418)</f>
        <v/>
      </c>
      <c r="B434" s="24">
        <f>IF(IFERROR(MATCH(418,ChqRankU,0),0)=0,"",INDEX(ChqNorm,IFERROR(MATCH(418,ChqRankU,0),0)))</f>
        <v/>
      </c>
      <c r="C434" s="24">
        <f>IF(IFERROR(MATCH(418,ChqRankU,0),0)=0,"",INDEX(ChqNo,IFERROR(MATCH(418,ChqRankU,0),0)))</f>
        <v/>
      </c>
      <c r="D434" s="25">
        <f>IF(IFERROR(MATCH(418,ChqRankU,0),0)=0,"",IF(INDEX(ChqAmt,IFERROR(MATCH(418,ChqRankU,0),0))=0,"",INDEX(ChqAmt,IFERROR(MATCH(418,ChqRankU,0),0))))</f>
        <v/>
      </c>
      <c r="E434" s="17">
        <f>IF(IFERROR(MATCH(418,ChqRankU,0),0)=0,"",INDEX(ChqStatus,IFERROR(MATCH(418,ChqRankU,0),0)))</f>
        <v/>
      </c>
      <c r="F434" s="24">
        <f>IF(IFERROR(MATCH(418,ChqRankU,0),0)=0,"",IF(INDEX(ChqStatus,IFERROR(MATCH(418,ChqRankU,0),0))="پاس نشده","—",IF(INDEX(ChqClr,IFERROR(MATCH(418,ChqRankU,0),0))="","—",INDEX(ChqClr,IFERROR(MATCH(418,ChqRankU,0),0)))))</f>
        <v/>
      </c>
      <c r="I434">
        <f>IF(418&gt;NChq,"",INDEX(ChqNorm,418))</f>
        <v/>
      </c>
      <c r="J434">
        <f>IF($I434="","",IF(AND($I434&gt;=$H$3,$I434&lt;=$H$4,INDEX(ChqStatus,418)="پاس نشده"),1,0))</f>
        <v/>
      </c>
      <c r="K434">
        <f>IF($J434=0,"",INDEX(ChqKey,418))</f>
        <v/>
      </c>
      <c r="L434">
        <f>IF($K434="","",COUNTIFS($J$17:$J$516,1,$K$17:$K$516,"&lt;"&amp;$K434)+1)</f>
        <v/>
      </c>
    </row>
    <row r="435">
      <c r="A435" s="10">
        <f>IF(IFERROR(MATCH(419,ChqRankU,0),0)=0,"",419)</f>
        <v/>
      </c>
      <c r="B435" s="22">
        <f>IF(IFERROR(MATCH(419,ChqRankU,0),0)=0,"",INDEX(ChqNorm,IFERROR(MATCH(419,ChqRankU,0),0)))</f>
        <v/>
      </c>
      <c r="C435" s="22">
        <f>IF(IFERROR(MATCH(419,ChqRankU,0),0)=0,"",INDEX(ChqNo,IFERROR(MATCH(419,ChqRankU,0),0)))</f>
        <v/>
      </c>
      <c r="D435" s="23">
        <f>IF(IFERROR(MATCH(419,ChqRankU,0),0)=0,"",IF(INDEX(ChqAmt,IFERROR(MATCH(419,ChqRankU,0),0))=0,"",INDEX(ChqAmt,IFERROR(MATCH(419,ChqRankU,0),0))))</f>
        <v/>
      </c>
      <c r="E435" s="14">
        <f>IF(IFERROR(MATCH(419,ChqRankU,0),0)=0,"",INDEX(ChqStatus,IFERROR(MATCH(419,ChqRankU,0),0)))</f>
        <v/>
      </c>
      <c r="F435" s="22">
        <f>IF(IFERROR(MATCH(419,ChqRankU,0),0)=0,"",IF(INDEX(ChqStatus,IFERROR(MATCH(419,ChqRankU,0),0))="پاس نشده","—",IF(INDEX(ChqClr,IFERROR(MATCH(419,ChqRankU,0),0))="","—",INDEX(ChqClr,IFERROR(MATCH(419,ChqRankU,0),0)))))</f>
        <v/>
      </c>
      <c r="I435">
        <f>IF(419&gt;NChq,"",INDEX(ChqNorm,419))</f>
        <v/>
      </c>
      <c r="J435">
        <f>IF($I435="","",IF(AND($I435&gt;=$H$3,$I435&lt;=$H$4,INDEX(ChqStatus,419)="پاس نشده"),1,0))</f>
        <v/>
      </c>
      <c r="K435">
        <f>IF($J435=0,"",INDEX(ChqKey,419))</f>
        <v/>
      </c>
      <c r="L435">
        <f>IF($K435="","",COUNTIFS($J$17:$J$516,1,$K$17:$K$516,"&lt;"&amp;$K435)+1)</f>
        <v/>
      </c>
    </row>
    <row r="436">
      <c r="A436" s="16">
        <f>IF(IFERROR(MATCH(420,ChqRankU,0),0)=0,"",420)</f>
        <v/>
      </c>
      <c r="B436" s="24">
        <f>IF(IFERROR(MATCH(420,ChqRankU,0),0)=0,"",INDEX(ChqNorm,IFERROR(MATCH(420,ChqRankU,0),0)))</f>
        <v/>
      </c>
      <c r="C436" s="24">
        <f>IF(IFERROR(MATCH(420,ChqRankU,0),0)=0,"",INDEX(ChqNo,IFERROR(MATCH(420,ChqRankU,0),0)))</f>
        <v/>
      </c>
      <c r="D436" s="25">
        <f>IF(IFERROR(MATCH(420,ChqRankU,0),0)=0,"",IF(INDEX(ChqAmt,IFERROR(MATCH(420,ChqRankU,0),0))=0,"",INDEX(ChqAmt,IFERROR(MATCH(420,ChqRankU,0),0))))</f>
        <v/>
      </c>
      <c r="E436" s="17">
        <f>IF(IFERROR(MATCH(420,ChqRankU,0),0)=0,"",INDEX(ChqStatus,IFERROR(MATCH(420,ChqRankU,0),0)))</f>
        <v/>
      </c>
      <c r="F436" s="24">
        <f>IF(IFERROR(MATCH(420,ChqRankU,0),0)=0,"",IF(INDEX(ChqStatus,IFERROR(MATCH(420,ChqRankU,0),0))="پاس نشده","—",IF(INDEX(ChqClr,IFERROR(MATCH(420,ChqRankU,0),0))="","—",INDEX(ChqClr,IFERROR(MATCH(420,ChqRankU,0),0)))))</f>
        <v/>
      </c>
      <c r="I436">
        <f>IF(420&gt;NChq,"",INDEX(ChqNorm,420))</f>
        <v/>
      </c>
      <c r="J436">
        <f>IF($I436="","",IF(AND($I436&gt;=$H$3,$I436&lt;=$H$4,INDEX(ChqStatus,420)="پاس نشده"),1,0))</f>
        <v/>
      </c>
      <c r="K436">
        <f>IF($J436=0,"",INDEX(ChqKey,420))</f>
        <v/>
      </c>
      <c r="L436">
        <f>IF($K436="","",COUNTIFS($J$17:$J$516,1,$K$17:$K$516,"&lt;"&amp;$K436)+1)</f>
        <v/>
      </c>
    </row>
    <row r="437">
      <c r="A437" s="10">
        <f>IF(IFERROR(MATCH(421,ChqRankU,0),0)=0,"",421)</f>
        <v/>
      </c>
      <c r="B437" s="22">
        <f>IF(IFERROR(MATCH(421,ChqRankU,0),0)=0,"",INDEX(ChqNorm,IFERROR(MATCH(421,ChqRankU,0),0)))</f>
        <v/>
      </c>
      <c r="C437" s="22">
        <f>IF(IFERROR(MATCH(421,ChqRankU,0),0)=0,"",INDEX(ChqNo,IFERROR(MATCH(421,ChqRankU,0),0)))</f>
        <v/>
      </c>
      <c r="D437" s="23">
        <f>IF(IFERROR(MATCH(421,ChqRankU,0),0)=0,"",IF(INDEX(ChqAmt,IFERROR(MATCH(421,ChqRankU,0),0))=0,"",INDEX(ChqAmt,IFERROR(MATCH(421,ChqRankU,0),0))))</f>
        <v/>
      </c>
      <c r="E437" s="14">
        <f>IF(IFERROR(MATCH(421,ChqRankU,0),0)=0,"",INDEX(ChqStatus,IFERROR(MATCH(421,ChqRankU,0),0)))</f>
        <v/>
      </c>
      <c r="F437" s="22">
        <f>IF(IFERROR(MATCH(421,ChqRankU,0),0)=0,"",IF(INDEX(ChqStatus,IFERROR(MATCH(421,ChqRankU,0),0))="پاس نشده","—",IF(INDEX(ChqClr,IFERROR(MATCH(421,ChqRankU,0),0))="","—",INDEX(ChqClr,IFERROR(MATCH(421,ChqRankU,0),0)))))</f>
        <v/>
      </c>
      <c r="I437">
        <f>IF(421&gt;NChq,"",INDEX(ChqNorm,421))</f>
        <v/>
      </c>
      <c r="J437">
        <f>IF($I437="","",IF(AND($I437&gt;=$H$3,$I437&lt;=$H$4,INDEX(ChqStatus,421)="پاس نشده"),1,0))</f>
        <v/>
      </c>
      <c r="K437">
        <f>IF($J437=0,"",INDEX(ChqKey,421))</f>
        <v/>
      </c>
      <c r="L437">
        <f>IF($K437="","",COUNTIFS($J$17:$J$516,1,$K$17:$K$516,"&lt;"&amp;$K437)+1)</f>
        <v/>
      </c>
    </row>
    <row r="438">
      <c r="A438" s="16">
        <f>IF(IFERROR(MATCH(422,ChqRankU,0),0)=0,"",422)</f>
        <v/>
      </c>
      <c r="B438" s="24">
        <f>IF(IFERROR(MATCH(422,ChqRankU,0),0)=0,"",INDEX(ChqNorm,IFERROR(MATCH(422,ChqRankU,0),0)))</f>
        <v/>
      </c>
      <c r="C438" s="24">
        <f>IF(IFERROR(MATCH(422,ChqRankU,0),0)=0,"",INDEX(ChqNo,IFERROR(MATCH(422,ChqRankU,0),0)))</f>
        <v/>
      </c>
      <c r="D438" s="25">
        <f>IF(IFERROR(MATCH(422,ChqRankU,0),0)=0,"",IF(INDEX(ChqAmt,IFERROR(MATCH(422,ChqRankU,0),0))=0,"",INDEX(ChqAmt,IFERROR(MATCH(422,ChqRankU,0),0))))</f>
        <v/>
      </c>
      <c r="E438" s="17">
        <f>IF(IFERROR(MATCH(422,ChqRankU,0),0)=0,"",INDEX(ChqStatus,IFERROR(MATCH(422,ChqRankU,0),0)))</f>
        <v/>
      </c>
      <c r="F438" s="24">
        <f>IF(IFERROR(MATCH(422,ChqRankU,0),0)=0,"",IF(INDEX(ChqStatus,IFERROR(MATCH(422,ChqRankU,0),0))="پاس نشده","—",IF(INDEX(ChqClr,IFERROR(MATCH(422,ChqRankU,0),0))="","—",INDEX(ChqClr,IFERROR(MATCH(422,ChqRankU,0),0)))))</f>
        <v/>
      </c>
      <c r="I438">
        <f>IF(422&gt;NChq,"",INDEX(ChqNorm,422))</f>
        <v/>
      </c>
      <c r="J438">
        <f>IF($I438="","",IF(AND($I438&gt;=$H$3,$I438&lt;=$H$4,INDEX(ChqStatus,422)="پاس نشده"),1,0))</f>
        <v/>
      </c>
      <c r="K438">
        <f>IF($J438=0,"",INDEX(ChqKey,422))</f>
        <v/>
      </c>
      <c r="L438">
        <f>IF($K438="","",COUNTIFS($J$17:$J$516,1,$K$17:$K$516,"&lt;"&amp;$K438)+1)</f>
        <v/>
      </c>
    </row>
    <row r="439">
      <c r="A439" s="10">
        <f>IF(IFERROR(MATCH(423,ChqRankU,0),0)=0,"",423)</f>
        <v/>
      </c>
      <c r="B439" s="22">
        <f>IF(IFERROR(MATCH(423,ChqRankU,0),0)=0,"",INDEX(ChqNorm,IFERROR(MATCH(423,ChqRankU,0),0)))</f>
        <v/>
      </c>
      <c r="C439" s="22">
        <f>IF(IFERROR(MATCH(423,ChqRankU,0),0)=0,"",INDEX(ChqNo,IFERROR(MATCH(423,ChqRankU,0),0)))</f>
        <v/>
      </c>
      <c r="D439" s="23">
        <f>IF(IFERROR(MATCH(423,ChqRankU,0),0)=0,"",IF(INDEX(ChqAmt,IFERROR(MATCH(423,ChqRankU,0),0))=0,"",INDEX(ChqAmt,IFERROR(MATCH(423,ChqRankU,0),0))))</f>
        <v/>
      </c>
      <c r="E439" s="14">
        <f>IF(IFERROR(MATCH(423,ChqRankU,0),0)=0,"",INDEX(ChqStatus,IFERROR(MATCH(423,ChqRankU,0),0)))</f>
        <v/>
      </c>
      <c r="F439" s="22">
        <f>IF(IFERROR(MATCH(423,ChqRankU,0),0)=0,"",IF(INDEX(ChqStatus,IFERROR(MATCH(423,ChqRankU,0),0))="پاس نشده","—",IF(INDEX(ChqClr,IFERROR(MATCH(423,ChqRankU,0),0))="","—",INDEX(ChqClr,IFERROR(MATCH(423,ChqRankU,0),0)))))</f>
        <v/>
      </c>
      <c r="I439">
        <f>IF(423&gt;NChq,"",INDEX(ChqNorm,423))</f>
        <v/>
      </c>
      <c r="J439">
        <f>IF($I439="","",IF(AND($I439&gt;=$H$3,$I439&lt;=$H$4,INDEX(ChqStatus,423)="پاس نشده"),1,0))</f>
        <v/>
      </c>
      <c r="K439">
        <f>IF($J439=0,"",INDEX(ChqKey,423))</f>
        <v/>
      </c>
      <c r="L439">
        <f>IF($K439="","",COUNTIFS($J$17:$J$516,1,$K$17:$K$516,"&lt;"&amp;$K439)+1)</f>
        <v/>
      </c>
    </row>
    <row r="440">
      <c r="A440" s="16">
        <f>IF(IFERROR(MATCH(424,ChqRankU,0),0)=0,"",424)</f>
        <v/>
      </c>
      <c r="B440" s="24">
        <f>IF(IFERROR(MATCH(424,ChqRankU,0),0)=0,"",INDEX(ChqNorm,IFERROR(MATCH(424,ChqRankU,0),0)))</f>
        <v/>
      </c>
      <c r="C440" s="24">
        <f>IF(IFERROR(MATCH(424,ChqRankU,0),0)=0,"",INDEX(ChqNo,IFERROR(MATCH(424,ChqRankU,0),0)))</f>
        <v/>
      </c>
      <c r="D440" s="25">
        <f>IF(IFERROR(MATCH(424,ChqRankU,0),0)=0,"",IF(INDEX(ChqAmt,IFERROR(MATCH(424,ChqRankU,0),0))=0,"",INDEX(ChqAmt,IFERROR(MATCH(424,ChqRankU,0),0))))</f>
        <v/>
      </c>
      <c r="E440" s="17">
        <f>IF(IFERROR(MATCH(424,ChqRankU,0),0)=0,"",INDEX(ChqStatus,IFERROR(MATCH(424,ChqRankU,0),0)))</f>
        <v/>
      </c>
      <c r="F440" s="24">
        <f>IF(IFERROR(MATCH(424,ChqRankU,0),0)=0,"",IF(INDEX(ChqStatus,IFERROR(MATCH(424,ChqRankU,0),0))="پاس نشده","—",IF(INDEX(ChqClr,IFERROR(MATCH(424,ChqRankU,0),0))="","—",INDEX(ChqClr,IFERROR(MATCH(424,ChqRankU,0),0)))))</f>
        <v/>
      </c>
      <c r="I440">
        <f>IF(424&gt;NChq,"",INDEX(ChqNorm,424))</f>
        <v/>
      </c>
      <c r="J440">
        <f>IF($I440="","",IF(AND($I440&gt;=$H$3,$I440&lt;=$H$4,INDEX(ChqStatus,424)="پاس نشده"),1,0))</f>
        <v/>
      </c>
      <c r="K440">
        <f>IF($J440=0,"",INDEX(ChqKey,424))</f>
        <v/>
      </c>
      <c r="L440">
        <f>IF($K440="","",COUNTIFS($J$17:$J$516,1,$K$17:$K$516,"&lt;"&amp;$K440)+1)</f>
        <v/>
      </c>
    </row>
    <row r="441">
      <c r="A441" s="10">
        <f>IF(IFERROR(MATCH(425,ChqRankU,0),0)=0,"",425)</f>
        <v/>
      </c>
      <c r="B441" s="22">
        <f>IF(IFERROR(MATCH(425,ChqRankU,0),0)=0,"",INDEX(ChqNorm,IFERROR(MATCH(425,ChqRankU,0),0)))</f>
        <v/>
      </c>
      <c r="C441" s="22">
        <f>IF(IFERROR(MATCH(425,ChqRankU,0),0)=0,"",INDEX(ChqNo,IFERROR(MATCH(425,ChqRankU,0),0)))</f>
        <v/>
      </c>
      <c r="D441" s="23">
        <f>IF(IFERROR(MATCH(425,ChqRankU,0),0)=0,"",IF(INDEX(ChqAmt,IFERROR(MATCH(425,ChqRankU,0),0))=0,"",INDEX(ChqAmt,IFERROR(MATCH(425,ChqRankU,0),0))))</f>
        <v/>
      </c>
      <c r="E441" s="14">
        <f>IF(IFERROR(MATCH(425,ChqRankU,0),0)=0,"",INDEX(ChqStatus,IFERROR(MATCH(425,ChqRankU,0),0)))</f>
        <v/>
      </c>
      <c r="F441" s="22">
        <f>IF(IFERROR(MATCH(425,ChqRankU,0),0)=0,"",IF(INDEX(ChqStatus,IFERROR(MATCH(425,ChqRankU,0),0))="پاس نشده","—",IF(INDEX(ChqClr,IFERROR(MATCH(425,ChqRankU,0),0))="","—",INDEX(ChqClr,IFERROR(MATCH(425,ChqRankU,0),0)))))</f>
        <v/>
      </c>
      <c r="I441">
        <f>IF(425&gt;NChq,"",INDEX(ChqNorm,425))</f>
        <v/>
      </c>
      <c r="J441">
        <f>IF($I441="","",IF(AND($I441&gt;=$H$3,$I441&lt;=$H$4,INDEX(ChqStatus,425)="پاس نشده"),1,0))</f>
        <v/>
      </c>
      <c r="K441">
        <f>IF($J441=0,"",INDEX(ChqKey,425))</f>
        <v/>
      </c>
      <c r="L441">
        <f>IF($K441="","",COUNTIFS($J$17:$J$516,1,$K$17:$K$516,"&lt;"&amp;$K441)+1)</f>
        <v/>
      </c>
    </row>
    <row r="442">
      <c r="A442" s="16">
        <f>IF(IFERROR(MATCH(426,ChqRankU,0),0)=0,"",426)</f>
        <v/>
      </c>
      <c r="B442" s="24">
        <f>IF(IFERROR(MATCH(426,ChqRankU,0),0)=0,"",INDEX(ChqNorm,IFERROR(MATCH(426,ChqRankU,0),0)))</f>
        <v/>
      </c>
      <c r="C442" s="24">
        <f>IF(IFERROR(MATCH(426,ChqRankU,0),0)=0,"",INDEX(ChqNo,IFERROR(MATCH(426,ChqRankU,0),0)))</f>
        <v/>
      </c>
      <c r="D442" s="25">
        <f>IF(IFERROR(MATCH(426,ChqRankU,0),0)=0,"",IF(INDEX(ChqAmt,IFERROR(MATCH(426,ChqRankU,0),0))=0,"",INDEX(ChqAmt,IFERROR(MATCH(426,ChqRankU,0),0))))</f>
        <v/>
      </c>
      <c r="E442" s="17">
        <f>IF(IFERROR(MATCH(426,ChqRankU,0),0)=0,"",INDEX(ChqStatus,IFERROR(MATCH(426,ChqRankU,0),0)))</f>
        <v/>
      </c>
      <c r="F442" s="24">
        <f>IF(IFERROR(MATCH(426,ChqRankU,0),0)=0,"",IF(INDEX(ChqStatus,IFERROR(MATCH(426,ChqRankU,0),0))="پاس نشده","—",IF(INDEX(ChqClr,IFERROR(MATCH(426,ChqRankU,0),0))="","—",INDEX(ChqClr,IFERROR(MATCH(426,ChqRankU,0),0)))))</f>
        <v/>
      </c>
      <c r="I442">
        <f>IF(426&gt;NChq,"",INDEX(ChqNorm,426))</f>
        <v/>
      </c>
      <c r="J442">
        <f>IF($I442="","",IF(AND($I442&gt;=$H$3,$I442&lt;=$H$4,INDEX(ChqStatus,426)="پاس نشده"),1,0))</f>
        <v/>
      </c>
      <c r="K442">
        <f>IF($J442=0,"",INDEX(ChqKey,426))</f>
        <v/>
      </c>
      <c r="L442">
        <f>IF($K442="","",COUNTIFS($J$17:$J$516,1,$K$17:$K$516,"&lt;"&amp;$K442)+1)</f>
        <v/>
      </c>
    </row>
    <row r="443">
      <c r="A443" s="10">
        <f>IF(IFERROR(MATCH(427,ChqRankU,0),0)=0,"",427)</f>
        <v/>
      </c>
      <c r="B443" s="22">
        <f>IF(IFERROR(MATCH(427,ChqRankU,0),0)=0,"",INDEX(ChqNorm,IFERROR(MATCH(427,ChqRankU,0),0)))</f>
        <v/>
      </c>
      <c r="C443" s="22">
        <f>IF(IFERROR(MATCH(427,ChqRankU,0),0)=0,"",INDEX(ChqNo,IFERROR(MATCH(427,ChqRankU,0),0)))</f>
        <v/>
      </c>
      <c r="D443" s="23">
        <f>IF(IFERROR(MATCH(427,ChqRankU,0),0)=0,"",IF(INDEX(ChqAmt,IFERROR(MATCH(427,ChqRankU,0),0))=0,"",INDEX(ChqAmt,IFERROR(MATCH(427,ChqRankU,0),0))))</f>
        <v/>
      </c>
      <c r="E443" s="14">
        <f>IF(IFERROR(MATCH(427,ChqRankU,0),0)=0,"",INDEX(ChqStatus,IFERROR(MATCH(427,ChqRankU,0),0)))</f>
        <v/>
      </c>
      <c r="F443" s="22">
        <f>IF(IFERROR(MATCH(427,ChqRankU,0),0)=0,"",IF(INDEX(ChqStatus,IFERROR(MATCH(427,ChqRankU,0),0))="پاس نشده","—",IF(INDEX(ChqClr,IFERROR(MATCH(427,ChqRankU,0),0))="","—",INDEX(ChqClr,IFERROR(MATCH(427,ChqRankU,0),0)))))</f>
        <v/>
      </c>
      <c r="I443">
        <f>IF(427&gt;NChq,"",INDEX(ChqNorm,427))</f>
        <v/>
      </c>
      <c r="J443">
        <f>IF($I443="","",IF(AND($I443&gt;=$H$3,$I443&lt;=$H$4,INDEX(ChqStatus,427)="پاس نشده"),1,0))</f>
        <v/>
      </c>
      <c r="K443">
        <f>IF($J443=0,"",INDEX(ChqKey,427))</f>
        <v/>
      </c>
      <c r="L443">
        <f>IF($K443="","",COUNTIFS($J$17:$J$516,1,$K$17:$K$516,"&lt;"&amp;$K443)+1)</f>
        <v/>
      </c>
    </row>
    <row r="444">
      <c r="A444" s="16">
        <f>IF(IFERROR(MATCH(428,ChqRankU,0),0)=0,"",428)</f>
        <v/>
      </c>
      <c r="B444" s="24">
        <f>IF(IFERROR(MATCH(428,ChqRankU,0),0)=0,"",INDEX(ChqNorm,IFERROR(MATCH(428,ChqRankU,0),0)))</f>
        <v/>
      </c>
      <c r="C444" s="24">
        <f>IF(IFERROR(MATCH(428,ChqRankU,0),0)=0,"",INDEX(ChqNo,IFERROR(MATCH(428,ChqRankU,0),0)))</f>
        <v/>
      </c>
      <c r="D444" s="25">
        <f>IF(IFERROR(MATCH(428,ChqRankU,0),0)=0,"",IF(INDEX(ChqAmt,IFERROR(MATCH(428,ChqRankU,0),0))=0,"",INDEX(ChqAmt,IFERROR(MATCH(428,ChqRankU,0),0))))</f>
        <v/>
      </c>
      <c r="E444" s="17">
        <f>IF(IFERROR(MATCH(428,ChqRankU,0),0)=0,"",INDEX(ChqStatus,IFERROR(MATCH(428,ChqRankU,0),0)))</f>
        <v/>
      </c>
      <c r="F444" s="24">
        <f>IF(IFERROR(MATCH(428,ChqRankU,0),0)=0,"",IF(INDEX(ChqStatus,IFERROR(MATCH(428,ChqRankU,0),0))="پاس نشده","—",IF(INDEX(ChqClr,IFERROR(MATCH(428,ChqRankU,0),0))="","—",INDEX(ChqClr,IFERROR(MATCH(428,ChqRankU,0),0)))))</f>
        <v/>
      </c>
      <c r="I444">
        <f>IF(428&gt;NChq,"",INDEX(ChqNorm,428))</f>
        <v/>
      </c>
      <c r="J444">
        <f>IF($I444="","",IF(AND($I444&gt;=$H$3,$I444&lt;=$H$4,INDEX(ChqStatus,428)="پاس نشده"),1,0))</f>
        <v/>
      </c>
      <c r="K444">
        <f>IF($J444=0,"",INDEX(ChqKey,428))</f>
        <v/>
      </c>
      <c r="L444">
        <f>IF($K444="","",COUNTIFS($J$17:$J$516,1,$K$17:$K$516,"&lt;"&amp;$K444)+1)</f>
        <v/>
      </c>
    </row>
    <row r="445">
      <c r="A445" s="10">
        <f>IF(IFERROR(MATCH(429,ChqRankU,0),0)=0,"",429)</f>
        <v/>
      </c>
      <c r="B445" s="22">
        <f>IF(IFERROR(MATCH(429,ChqRankU,0),0)=0,"",INDEX(ChqNorm,IFERROR(MATCH(429,ChqRankU,0),0)))</f>
        <v/>
      </c>
      <c r="C445" s="22">
        <f>IF(IFERROR(MATCH(429,ChqRankU,0),0)=0,"",INDEX(ChqNo,IFERROR(MATCH(429,ChqRankU,0),0)))</f>
        <v/>
      </c>
      <c r="D445" s="23">
        <f>IF(IFERROR(MATCH(429,ChqRankU,0),0)=0,"",IF(INDEX(ChqAmt,IFERROR(MATCH(429,ChqRankU,0),0))=0,"",INDEX(ChqAmt,IFERROR(MATCH(429,ChqRankU,0),0))))</f>
        <v/>
      </c>
      <c r="E445" s="14">
        <f>IF(IFERROR(MATCH(429,ChqRankU,0),0)=0,"",INDEX(ChqStatus,IFERROR(MATCH(429,ChqRankU,0),0)))</f>
        <v/>
      </c>
      <c r="F445" s="22">
        <f>IF(IFERROR(MATCH(429,ChqRankU,0),0)=0,"",IF(INDEX(ChqStatus,IFERROR(MATCH(429,ChqRankU,0),0))="پاس نشده","—",IF(INDEX(ChqClr,IFERROR(MATCH(429,ChqRankU,0),0))="","—",INDEX(ChqClr,IFERROR(MATCH(429,ChqRankU,0),0)))))</f>
        <v/>
      </c>
      <c r="I445">
        <f>IF(429&gt;NChq,"",INDEX(ChqNorm,429))</f>
        <v/>
      </c>
      <c r="J445">
        <f>IF($I445="","",IF(AND($I445&gt;=$H$3,$I445&lt;=$H$4,INDEX(ChqStatus,429)="پاس نشده"),1,0))</f>
        <v/>
      </c>
      <c r="K445">
        <f>IF($J445=0,"",INDEX(ChqKey,429))</f>
        <v/>
      </c>
      <c r="L445">
        <f>IF($K445="","",COUNTIFS($J$17:$J$516,1,$K$17:$K$516,"&lt;"&amp;$K445)+1)</f>
        <v/>
      </c>
    </row>
    <row r="446">
      <c r="A446" s="16">
        <f>IF(IFERROR(MATCH(430,ChqRankU,0),0)=0,"",430)</f>
        <v/>
      </c>
      <c r="B446" s="24">
        <f>IF(IFERROR(MATCH(430,ChqRankU,0),0)=0,"",INDEX(ChqNorm,IFERROR(MATCH(430,ChqRankU,0),0)))</f>
        <v/>
      </c>
      <c r="C446" s="24">
        <f>IF(IFERROR(MATCH(430,ChqRankU,0),0)=0,"",INDEX(ChqNo,IFERROR(MATCH(430,ChqRankU,0),0)))</f>
        <v/>
      </c>
      <c r="D446" s="25">
        <f>IF(IFERROR(MATCH(430,ChqRankU,0),0)=0,"",IF(INDEX(ChqAmt,IFERROR(MATCH(430,ChqRankU,0),0))=0,"",INDEX(ChqAmt,IFERROR(MATCH(430,ChqRankU,0),0))))</f>
        <v/>
      </c>
      <c r="E446" s="17">
        <f>IF(IFERROR(MATCH(430,ChqRankU,0),0)=0,"",INDEX(ChqStatus,IFERROR(MATCH(430,ChqRankU,0),0)))</f>
        <v/>
      </c>
      <c r="F446" s="24">
        <f>IF(IFERROR(MATCH(430,ChqRankU,0),0)=0,"",IF(INDEX(ChqStatus,IFERROR(MATCH(430,ChqRankU,0),0))="پاس نشده","—",IF(INDEX(ChqClr,IFERROR(MATCH(430,ChqRankU,0),0))="","—",INDEX(ChqClr,IFERROR(MATCH(430,ChqRankU,0),0)))))</f>
        <v/>
      </c>
      <c r="I446">
        <f>IF(430&gt;NChq,"",INDEX(ChqNorm,430))</f>
        <v/>
      </c>
      <c r="J446">
        <f>IF($I446="","",IF(AND($I446&gt;=$H$3,$I446&lt;=$H$4,INDEX(ChqStatus,430)="پاس نشده"),1,0))</f>
        <v/>
      </c>
      <c r="K446">
        <f>IF($J446=0,"",INDEX(ChqKey,430))</f>
        <v/>
      </c>
      <c r="L446">
        <f>IF($K446="","",COUNTIFS($J$17:$J$516,1,$K$17:$K$516,"&lt;"&amp;$K446)+1)</f>
        <v/>
      </c>
    </row>
    <row r="447">
      <c r="A447" s="10">
        <f>IF(IFERROR(MATCH(431,ChqRankU,0),0)=0,"",431)</f>
        <v/>
      </c>
      <c r="B447" s="22">
        <f>IF(IFERROR(MATCH(431,ChqRankU,0),0)=0,"",INDEX(ChqNorm,IFERROR(MATCH(431,ChqRankU,0),0)))</f>
        <v/>
      </c>
      <c r="C447" s="22">
        <f>IF(IFERROR(MATCH(431,ChqRankU,0),0)=0,"",INDEX(ChqNo,IFERROR(MATCH(431,ChqRankU,0),0)))</f>
        <v/>
      </c>
      <c r="D447" s="23">
        <f>IF(IFERROR(MATCH(431,ChqRankU,0),0)=0,"",IF(INDEX(ChqAmt,IFERROR(MATCH(431,ChqRankU,0),0))=0,"",INDEX(ChqAmt,IFERROR(MATCH(431,ChqRankU,0),0))))</f>
        <v/>
      </c>
      <c r="E447" s="14">
        <f>IF(IFERROR(MATCH(431,ChqRankU,0),0)=0,"",INDEX(ChqStatus,IFERROR(MATCH(431,ChqRankU,0),0)))</f>
        <v/>
      </c>
      <c r="F447" s="22">
        <f>IF(IFERROR(MATCH(431,ChqRankU,0),0)=0,"",IF(INDEX(ChqStatus,IFERROR(MATCH(431,ChqRankU,0),0))="پاس نشده","—",IF(INDEX(ChqClr,IFERROR(MATCH(431,ChqRankU,0),0))="","—",INDEX(ChqClr,IFERROR(MATCH(431,ChqRankU,0),0)))))</f>
        <v/>
      </c>
      <c r="I447">
        <f>IF(431&gt;NChq,"",INDEX(ChqNorm,431))</f>
        <v/>
      </c>
      <c r="J447">
        <f>IF($I447="","",IF(AND($I447&gt;=$H$3,$I447&lt;=$H$4,INDEX(ChqStatus,431)="پاس نشده"),1,0))</f>
        <v/>
      </c>
      <c r="K447">
        <f>IF($J447=0,"",INDEX(ChqKey,431))</f>
        <v/>
      </c>
      <c r="L447">
        <f>IF($K447="","",COUNTIFS($J$17:$J$516,1,$K$17:$K$516,"&lt;"&amp;$K447)+1)</f>
        <v/>
      </c>
    </row>
    <row r="448">
      <c r="A448" s="16">
        <f>IF(IFERROR(MATCH(432,ChqRankU,0),0)=0,"",432)</f>
        <v/>
      </c>
      <c r="B448" s="24">
        <f>IF(IFERROR(MATCH(432,ChqRankU,0),0)=0,"",INDEX(ChqNorm,IFERROR(MATCH(432,ChqRankU,0),0)))</f>
        <v/>
      </c>
      <c r="C448" s="24">
        <f>IF(IFERROR(MATCH(432,ChqRankU,0),0)=0,"",INDEX(ChqNo,IFERROR(MATCH(432,ChqRankU,0),0)))</f>
        <v/>
      </c>
      <c r="D448" s="25">
        <f>IF(IFERROR(MATCH(432,ChqRankU,0),0)=0,"",IF(INDEX(ChqAmt,IFERROR(MATCH(432,ChqRankU,0),0))=0,"",INDEX(ChqAmt,IFERROR(MATCH(432,ChqRankU,0),0))))</f>
        <v/>
      </c>
      <c r="E448" s="17">
        <f>IF(IFERROR(MATCH(432,ChqRankU,0),0)=0,"",INDEX(ChqStatus,IFERROR(MATCH(432,ChqRankU,0),0)))</f>
        <v/>
      </c>
      <c r="F448" s="24">
        <f>IF(IFERROR(MATCH(432,ChqRankU,0),0)=0,"",IF(INDEX(ChqStatus,IFERROR(MATCH(432,ChqRankU,0),0))="پاس نشده","—",IF(INDEX(ChqClr,IFERROR(MATCH(432,ChqRankU,0),0))="","—",INDEX(ChqClr,IFERROR(MATCH(432,ChqRankU,0),0)))))</f>
        <v/>
      </c>
      <c r="I448">
        <f>IF(432&gt;NChq,"",INDEX(ChqNorm,432))</f>
        <v/>
      </c>
      <c r="J448">
        <f>IF($I448="","",IF(AND($I448&gt;=$H$3,$I448&lt;=$H$4,INDEX(ChqStatus,432)="پاس نشده"),1,0))</f>
        <v/>
      </c>
      <c r="K448">
        <f>IF($J448=0,"",INDEX(ChqKey,432))</f>
        <v/>
      </c>
      <c r="L448">
        <f>IF($K448="","",COUNTIFS($J$17:$J$516,1,$K$17:$K$516,"&lt;"&amp;$K448)+1)</f>
        <v/>
      </c>
    </row>
    <row r="449">
      <c r="A449" s="10">
        <f>IF(IFERROR(MATCH(433,ChqRankU,0),0)=0,"",433)</f>
        <v/>
      </c>
      <c r="B449" s="22">
        <f>IF(IFERROR(MATCH(433,ChqRankU,0),0)=0,"",INDEX(ChqNorm,IFERROR(MATCH(433,ChqRankU,0),0)))</f>
        <v/>
      </c>
      <c r="C449" s="22">
        <f>IF(IFERROR(MATCH(433,ChqRankU,0),0)=0,"",INDEX(ChqNo,IFERROR(MATCH(433,ChqRankU,0),0)))</f>
        <v/>
      </c>
      <c r="D449" s="23">
        <f>IF(IFERROR(MATCH(433,ChqRankU,0),0)=0,"",IF(INDEX(ChqAmt,IFERROR(MATCH(433,ChqRankU,0),0))=0,"",INDEX(ChqAmt,IFERROR(MATCH(433,ChqRankU,0),0))))</f>
        <v/>
      </c>
      <c r="E449" s="14">
        <f>IF(IFERROR(MATCH(433,ChqRankU,0),0)=0,"",INDEX(ChqStatus,IFERROR(MATCH(433,ChqRankU,0),0)))</f>
        <v/>
      </c>
      <c r="F449" s="22">
        <f>IF(IFERROR(MATCH(433,ChqRankU,0),0)=0,"",IF(INDEX(ChqStatus,IFERROR(MATCH(433,ChqRankU,0),0))="پاس نشده","—",IF(INDEX(ChqClr,IFERROR(MATCH(433,ChqRankU,0),0))="","—",INDEX(ChqClr,IFERROR(MATCH(433,ChqRankU,0),0)))))</f>
        <v/>
      </c>
      <c r="I449">
        <f>IF(433&gt;NChq,"",INDEX(ChqNorm,433))</f>
        <v/>
      </c>
      <c r="J449">
        <f>IF($I449="","",IF(AND($I449&gt;=$H$3,$I449&lt;=$H$4,INDEX(ChqStatus,433)="پاس نشده"),1,0))</f>
        <v/>
      </c>
      <c r="K449">
        <f>IF($J449=0,"",INDEX(ChqKey,433))</f>
        <v/>
      </c>
      <c r="L449">
        <f>IF($K449="","",COUNTIFS($J$17:$J$516,1,$K$17:$K$516,"&lt;"&amp;$K449)+1)</f>
        <v/>
      </c>
    </row>
    <row r="450">
      <c r="A450" s="16">
        <f>IF(IFERROR(MATCH(434,ChqRankU,0),0)=0,"",434)</f>
        <v/>
      </c>
      <c r="B450" s="24">
        <f>IF(IFERROR(MATCH(434,ChqRankU,0),0)=0,"",INDEX(ChqNorm,IFERROR(MATCH(434,ChqRankU,0),0)))</f>
        <v/>
      </c>
      <c r="C450" s="24">
        <f>IF(IFERROR(MATCH(434,ChqRankU,0),0)=0,"",INDEX(ChqNo,IFERROR(MATCH(434,ChqRankU,0),0)))</f>
        <v/>
      </c>
      <c r="D450" s="25">
        <f>IF(IFERROR(MATCH(434,ChqRankU,0),0)=0,"",IF(INDEX(ChqAmt,IFERROR(MATCH(434,ChqRankU,0),0))=0,"",INDEX(ChqAmt,IFERROR(MATCH(434,ChqRankU,0),0))))</f>
        <v/>
      </c>
      <c r="E450" s="17">
        <f>IF(IFERROR(MATCH(434,ChqRankU,0),0)=0,"",INDEX(ChqStatus,IFERROR(MATCH(434,ChqRankU,0),0)))</f>
        <v/>
      </c>
      <c r="F450" s="24">
        <f>IF(IFERROR(MATCH(434,ChqRankU,0),0)=0,"",IF(INDEX(ChqStatus,IFERROR(MATCH(434,ChqRankU,0),0))="پاس نشده","—",IF(INDEX(ChqClr,IFERROR(MATCH(434,ChqRankU,0),0))="","—",INDEX(ChqClr,IFERROR(MATCH(434,ChqRankU,0),0)))))</f>
        <v/>
      </c>
      <c r="I450">
        <f>IF(434&gt;NChq,"",INDEX(ChqNorm,434))</f>
        <v/>
      </c>
      <c r="J450">
        <f>IF($I450="","",IF(AND($I450&gt;=$H$3,$I450&lt;=$H$4,INDEX(ChqStatus,434)="پاس نشده"),1,0))</f>
        <v/>
      </c>
      <c r="K450">
        <f>IF($J450=0,"",INDEX(ChqKey,434))</f>
        <v/>
      </c>
      <c r="L450">
        <f>IF($K450="","",COUNTIFS($J$17:$J$516,1,$K$17:$K$516,"&lt;"&amp;$K450)+1)</f>
        <v/>
      </c>
    </row>
    <row r="451">
      <c r="A451" s="10">
        <f>IF(IFERROR(MATCH(435,ChqRankU,0),0)=0,"",435)</f>
        <v/>
      </c>
      <c r="B451" s="22">
        <f>IF(IFERROR(MATCH(435,ChqRankU,0),0)=0,"",INDEX(ChqNorm,IFERROR(MATCH(435,ChqRankU,0),0)))</f>
        <v/>
      </c>
      <c r="C451" s="22">
        <f>IF(IFERROR(MATCH(435,ChqRankU,0),0)=0,"",INDEX(ChqNo,IFERROR(MATCH(435,ChqRankU,0),0)))</f>
        <v/>
      </c>
      <c r="D451" s="23">
        <f>IF(IFERROR(MATCH(435,ChqRankU,0),0)=0,"",IF(INDEX(ChqAmt,IFERROR(MATCH(435,ChqRankU,0),0))=0,"",INDEX(ChqAmt,IFERROR(MATCH(435,ChqRankU,0),0))))</f>
        <v/>
      </c>
      <c r="E451" s="14">
        <f>IF(IFERROR(MATCH(435,ChqRankU,0),0)=0,"",INDEX(ChqStatus,IFERROR(MATCH(435,ChqRankU,0),0)))</f>
        <v/>
      </c>
      <c r="F451" s="22">
        <f>IF(IFERROR(MATCH(435,ChqRankU,0),0)=0,"",IF(INDEX(ChqStatus,IFERROR(MATCH(435,ChqRankU,0),0))="پاس نشده","—",IF(INDEX(ChqClr,IFERROR(MATCH(435,ChqRankU,0),0))="","—",INDEX(ChqClr,IFERROR(MATCH(435,ChqRankU,0),0)))))</f>
        <v/>
      </c>
      <c r="I451">
        <f>IF(435&gt;NChq,"",INDEX(ChqNorm,435))</f>
        <v/>
      </c>
      <c r="J451">
        <f>IF($I451="","",IF(AND($I451&gt;=$H$3,$I451&lt;=$H$4,INDEX(ChqStatus,435)="پاس نشده"),1,0))</f>
        <v/>
      </c>
      <c r="K451">
        <f>IF($J451=0,"",INDEX(ChqKey,435))</f>
        <v/>
      </c>
      <c r="L451">
        <f>IF($K451="","",COUNTIFS($J$17:$J$516,1,$K$17:$K$516,"&lt;"&amp;$K451)+1)</f>
        <v/>
      </c>
    </row>
    <row r="452">
      <c r="A452" s="16">
        <f>IF(IFERROR(MATCH(436,ChqRankU,0),0)=0,"",436)</f>
        <v/>
      </c>
      <c r="B452" s="24">
        <f>IF(IFERROR(MATCH(436,ChqRankU,0),0)=0,"",INDEX(ChqNorm,IFERROR(MATCH(436,ChqRankU,0),0)))</f>
        <v/>
      </c>
      <c r="C452" s="24">
        <f>IF(IFERROR(MATCH(436,ChqRankU,0),0)=0,"",INDEX(ChqNo,IFERROR(MATCH(436,ChqRankU,0),0)))</f>
        <v/>
      </c>
      <c r="D452" s="25">
        <f>IF(IFERROR(MATCH(436,ChqRankU,0),0)=0,"",IF(INDEX(ChqAmt,IFERROR(MATCH(436,ChqRankU,0),0))=0,"",INDEX(ChqAmt,IFERROR(MATCH(436,ChqRankU,0),0))))</f>
        <v/>
      </c>
      <c r="E452" s="17">
        <f>IF(IFERROR(MATCH(436,ChqRankU,0),0)=0,"",INDEX(ChqStatus,IFERROR(MATCH(436,ChqRankU,0),0)))</f>
        <v/>
      </c>
      <c r="F452" s="24">
        <f>IF(IFERROR(MATCH(436,ChqRankU,0),0)=0,"",IF(INDEX(ChqStatus,IFERROR(MATCH(436,ChqRankU,0),0))="پاس نشده","—",IF(INDEX(ChqClr,IFERROR(MATCH(436,ChqRankU,0),0))="","—",INDEX(ChqClr,IFERROR(MATCH(436,ChqRankU,0),0)))))</f>
        <v/>
      </c>
      <c r="I452">
        <f>IF(436&gt;NChq,"",INDEX(ChqNorm,436))</f>
        <v/>
      </c>
      <c r="J452">
        <f>IF($I452="","",IF(AND($I452&gt;=$H$3,$I452&lt;=$H$4,INDEX(ChqStatus,436)="پاس نشده"),1,0))</f>
        <v/>
      </c>
      <c r="K452">
        <f>IF($J452=0,"",INDEX(ChqKey,436))</f>
        <v/>
      </c>
      <c r="L452">
        <f>IF($K452="","",COUNTIFS($J$17:$J$516,1,$K$17:$K$516,"&lt;"&amp;$K452)+1)</f>
        <v/>
      </c>
    </row>
    <row r="453">
      <c r="A453" s="10">
        <f>IF(IFERROR(MATCH(437,ChqRankU,0),0)=0,"",437)</f>
        <v/>
      </c>
      <c r="B453" s="22">
        <f>IF(IFERROR(MATCH(437,ChqRankU,0),0)=0,"",INDEX(ChqNorm,IFERROR(MATCH(437,ChqRankU,0),0)))</f>
        <v/>
      </c>
      <c r="C453" s="22">
        <f>IF(IFERROR(MATCH(437,ChqRankU,0),0)=0,"",INDEX(ChqNo,IFERROR(MATCH(437,ChqRankU,0),0)))</f>
        <v/>
      </c>
      <c r="D453" s="23">
        <f>IF(IFERROR(MATCH(437,ChqRankU,0),0)=0,"",IF(INDEX(ChqAmt,IFERROR(MATCH(437,ChqRankU,0),0))=0,"",INDEX(ChqAmt,IFERROR(MATCH(437,ChqRankU,0),0))))</f>
        <v/>
      </c>
      <c r="E453" s="14">
        <f>IF(IFERROR(MATCH(437,ChqRankU,0),0)=0,"",INDEX(ChqStatus,IFERROR(MATCH(437,ChqRankU,0),0)))</f>
        <v/>
      </c>
      <c r="F453" s="22">
        <f>IF(IFERROR(MATCH(437,ChqRankU,0),0)=0,"",IF(INDEX(ChqStatus,IFERROR(MATCH(437,ChqRankU,0),0))="پاس نشده","—",IF(INDEX(ChqClr,IFERROR(MATCH(437,ChqRankU,0),0))="","—",INDEX(ChqClr,IFERROR(MATCH(437,ChqRankU,0),0)))))</f>
        <v/>
      </c>
      <c r="I453">
        <f>IF(437&gt;NChq,"",INDEX(ChqNorm,437))</f>
        <v/>
      </c>
      <c r="J453">
        <f>IF($I453="","",IF(AND($I453&gt;=$H$3,$I453&lt;=$H$4,INDEX(ChqStatus,437)="پاس نشده"),1,0))</f>
        <v/>
      </c>
      <c r="K453">
        <f>IF($J453=0,"",INDEX(ChqKey,437))</f>
        <v/>
      </c>
      <c r="L453">
        <f>IF($K453="","",COUNTIFS($J$17:$J$516,1,$K$17:$K$516,"&lt;"&amp;$K453)+1)</f>
        <v/>
      </c>
    </row>
    <row r="454">
      <c r="A454" s="16">
        <f>IF(IFERROR(MATCH(438,ChqRankU,0),0)=0,"",438)</f>
        <v/>
      </c>
      <c r="B454" s="24">
        <f>IF(IFERROR(MATCH(438,ChqRankU,0),0)=0,"",INDEX(ChqNorm,IFERROR(MATCH(438,ChqRankU,0),0)))</f>
        <v/>
      </c>
      <c r="C454" s="24">
        <f>IF(IFERROR(MATCH(438,ChqRankU,0),0)=0,"",INDEX(ChqNo,IFERROR(MATCH(438,ChqRankU,0),0)))</f>
        <v/>
      </c>
      <c r="D454" s="25">
        <f>IF(IFERROR(MATCH(438,ChqRankU,0),0)=0,"",IF(INDEX(ChqAmt,IFERROR(MATCH(438,ChqRankU,0),0))=0,"",INDEX(ChqAmt,IFERROR(MATCH(438,ChqRankU,0),0))))</f>
        <v/>
      </c>
      <c r="E454" s="17">
        <f>IF(IFERROR(MATCH(438,ChqRankU,0),0)=0,"",INDEX(ChqStatus,IFERROR(MATCH(438,ChqRankU,0),0)))</f>
        <v/>
      </c>
      <c r="F454" s="24">
        <f>IF(IFERROR(MATCH(438,ChqRankU,0),0)=0,"",IF(INDEX(ChqStatus,IFERROR(MATCH(438,ChqRankU,0),0))="پاس نشده","—",IF(INDEX(ChqClr,IFERROR(MATCH(438,ChqRankU,0),0))="","—",INDEX(ChqClr,IFERROR(MATCH(438,ChqRankU,0),0)))))</f>
        <v/>
      </c>
      <c r="I454">
        <f>IF(438&gt;NChq,"",INDEX(ChqNorm,438))</f>
        <v/>
      </c>
      <c r="J454">
        <f>IF($I454="","",IF(AND($I454&gt;=$H$3,$I454&lt;=$H$4,INDEX(ChqStatus,438)="پاس نشده"),1,0))</f>
        <v/>
      </c>
      <c r="K454">
        <f>IF($J454=0,"",INDEX(ChqKey,438))</f>
        <v/>
      </c>
      <c r="L454">
        <f>IF($K454="","",COUNTIFS($J$17:$J$516,1,$K$17:$K$516,"&lt;"&amp;$K454)+1)</f>
        <v/>
      </c>
    </row>
    <row r="455">
      <c r="A455" s="10">
        <f>IF(IFERROR(MATCH(439,ChqRankU,0),0)=0,"",439)</f>
        <v/>
      </c>
      <c r="B455" s="22">
        <f>IF(IFERROR(MATCH(439,ChqRankU,0),0)=0,"",INDEX(ChqNorm,IFERROR(MATCH(439,ChqRankU,0),0)))</f>
        <v/>
      </c>
      <c r="C455" s="22">
        <f>IF(IFERROR(MATCH(439,ChqRankU,0),0)=0,"",INDEX(ChqNo,IFERROR(MATCH(439,ChqRankU,0),0)))</f>
        <v/>
      </c>
      <c r="D455" s="23">
        <f>IF(IFERROR(MATCH(439,ChqRankU,0),0)=0,"",IF(INDEX(ChqAmt,IFERROR(MATCH(439,ChqRankU,0),0))=0,"",INDEX(ChqAmt,IFERROR(MATCH(439,ChqRankU,0),0))))</f>
        <v/>
      </c>
      <c r="E455" s="14">
        <f>IF(IFERROR(MATCH(439,ChqRankU,0),0)=0,"",INDEX(ChqStatus,IFERROR(MATCH(439,ChqRankU,0),0)))</f>
        <v/>
      </c>
      <c r="F455" s="22">
        <f>IF(IFERROR(MATCH(439,ChqRankU,0),0)=0,"",IF(INDEX(ChqStatus,IFERROR(MATCH(439,ChqRankU,0),0))="پاس نشده","—",IF(INDEX(ChqClr,IFERROR(MATCH(439,ChqRankU,0),0))="","—",INDEX(ChqClr,IFERROR(MATCH(439,ChqRankU,0),0)))))</f>
        <v/>
      </c>
      <c r="I455">
        <f>IF(439&gt;NChq,"",INDEX(ChqNorm,439))</f>
        <v/>
      </c>
      <c r="J455">
        <f>IF($I455="","",IF(AND($I455&gt;=$H$3,$I455&lt;=$H$4,INDEX(ChqStatus,439)="پاس نشده"),1,0))</f>
        <v/>
      </c>
      <c r="K455">
        <f>IF($J455=0,"",INDEX(ChqKey,439))</f>
        <v/>
      </c>
      <c r="L455">
        <f>IF($K455="","",COUNTIFS($J$17:$J$516,1,$K$17:$K$516,"&lt;"&amp;$K455)+1)</f>
        <v/>
      </c>
    </row>
    <row r="456">
      <c r="A456" s="16">
        <f>IF(IFERROR(MATCH(440,ChqRankU,0),0)=0,"",440)</f>
        <v/>
      </c>
      <c r="B456" s="24">
        <f>IF(IFERROR(MATCH(440,ChqRankU,0),0)=0,"",INDEX(ChqNorm,IFERROR(MATCH(440,ChqRankU,0),0)))</f>
        <v/>
      </c>
      <c r="C456" s="24">
        <f>IF(IFERROR(MATCH(440,ChqRankU,0),0)=0,"",INDEX(ChqNo,IFERROR(MATCH(440,ChqRankU,0),0)))</f>
        <v/>
      </c>
      <c r="D456" s="25">
        <f>IF(IFERROR(MATCH(440,ChqRankU,0),0)=0,"",IF(INDEX(ChqAmt,IFERROR(MATCH(440,ChqRankU,0),0))=0,"",INDEX(ChqAmt,IFERROR(MATCH(440,ChqRankU,0),0))))</f>
        <v/>
      </c>
      <c r="E456" s="17">
        <f>IF(IFERROR(MATCH(440,ChqRankU,0),0)=0,"",INDEX(ChqStatus,IFERROR(MATCH(440,ChqRankU,0),0)))</f>
        <v/>
      </c>
      <c r="F456" s="24">
        <f>IF(IFERROR(MATCH(440,ChqRankU,0),0)=0,"",IF(INDEX(ChqStatus,IFERROR(MATCH(440,ChqRankU,0),0))="پاس نشده","—",IF(INDEX(ChqClr,IFERROR(MATCH(440,ChqRankU,0),0))="","—",INDEX(ChqClr,IFERROR(MATCH(440,ChqRankU,0),0)))))</f>
        <v/>
      </c>
      <c r="I456">
        <f>IF(440&gt;NChq,"",INDEX(ChqNorm,440))</f>
        <v/>
      </c>
      <c r="J456">
        <f>IF($I456="","",IF(AND($I456&gt;=$H$3,$I456&lt;=$H$4,INDEX(ChqStatus,440)="پاس نشده"),1,0))</f>
        <v/>
      </c>
      <c r="K456">
        <f>IF($J456=0,"",INDEX(ChqKey,440))</f>
        <v/>
      </c>
      <c r="L456">
        <f>IF($K456="","",COUNTIFS($J$17:$J$516,1,$K$17:$K$516,"&lt;"&amp;$K456)+1)</f>
        <v/>
      </c>
    </row>
    <row r="457">
      <c r="A457" s="10">
        <f>IF(IFERROR(MATCH(441,ChqRankU,0),0)=0,"",441)</f>
        <v/>
      </c>
      <c r="B457" s="22">
        <f>IF(IFERROR(MATCH(441,ChqRankU,0),0)=0,"",INDEX(ChqNorm,IFERROR(MATCH(441,ChqRankU,0),0)))</f>
        <v/>
      </c>
      <c r="C457" s="22">
        <f>IF(IFERROR(MATCH(441,ChqRankU,0),0)=0,"",INDEX(ChqNo,IFERROR(MATCH(441,ChqRankU,0),0)))</f>
        <v/>
      </c>
      <c r="D457" s="23">
        <f>IF(IFERROR(MATCH(441,ChqRankU,0),0)=0,"",IF(INDEX(ChqAmt,IFERROR(MATCH(441,ChqRankU,0),0))=0,"",INDEX(ChqAmt,IFERROR(MATCH(441,ChqRankU,0),0))))</f>
        <v/>
      </c>
      <c r="E457" s="14">
        <f>IF(IFERROR(MATCH(441,ChqRankU,0),0)=0,"",INDEX(ChqStatus,IFERROR(MATCH(441,ChqRankU,0),0)))</f>
        <v/>
      </c>
      <c r="F457" s="22">
        <f>IF(IFERROR(MATCH(441,ChqRankU,0),0)=0,"",IF(INDEX(ChqStatus,IFERROR(MATCH(441,ChqRankU,0),0))="پاس نشده","—",IF(INDEX(ChqClr,IFERROR(MATCH(441,ChqRankU,0),0))="","—",INDEX(ChqClr,IFERROR(MATCH(441,ChqRankU,0),0)))))</f>
        <v/>
      </c>
      <c r="I457">
        <f>IF(441&gt;NChq,"",INDEX(ChqNorm,441))</f>
        <v/>
      </c>
      <c r="J457">
        <f>IF($I457="","",IF(AND($I457&gt;=$H$3,$I457&lt;=$H$4,INDEX(ChqStatus,441)="پاس نشده"),1,0))</f>
        <v/>
      </c>
      <c r="K457">
        <f>IF($J457=0,"",INDEX(ChqKey,441))</f>
        <v/>
      </c>
      <c r="L457">
        <f>IF($K457="","",COUNTIFS($J$17:$J$516,1,$K$17:$K$516,"&lt;"&amp;$K457)+1)</f>
        <v/>
      </c>
    </row>
    <row r="458">
      <c r="A458" s="16">
        <f>IF(IFERROR(MATCH(442,ChqRankU,0),0)=0,"",442)</f>
        <v/>
      </c>
      <c r="B458" s="24">
        <f>IF(IFERROR(MATCH(442,ChqRankU,0),0)=0,"",INDEX(ChqNorm,IFERROR(MATCH(442,ChqRankU,0),0)))</f>
        <v/>
      </c>
      <c r="C458" s="24">
        <f>IF(IFERROR(MATCH(442,ChqRankU,0),0)=0,"",INDEX(ChqNo,IFERROR(MATCH(442,ChqRankU,0),0)))</f>
        <v/>
      </c>
      <c r="D458" s="25">
        <f>IF(IFERROR(MATCH(442,ChqRankU,0),0)=0,"",IF(INDEX(ChqAmt,IFERROR(MATCH(442,ChqRankU,0),0))=0,"",INDEX(ChqAmt,IFERROR(MATCH(442,ChqRankU,0),0))))</f>
        <v/>
      </c>
      <c r="E458" s="17">
        <f>IF(IFERROR(MATCH(442,ChqRankU,0),0)=0,"",INDEX(ChqStatus,IFERROR(MATCH(442,ChqRankU,0),0)))</f>
        <v/>
      </c>
      <c r="F458" s="24">
        <f>IF(IFERROR(MATCH(442,ChqRankU,0),0)=0,"",IF(INDEX(ChqStatus,IFERROR(MATCH(442,ChqRankU,0),0))="پاس نشده","—",IF(INDEX(ChqClr,IFERROR(MATCH(442,ChqRankU,0),0))="","—",INDEX(ChqClr,IFERROR(MATCH(442,ChqRankU,0),0)))))</f>
        <v/>
      </c>
      <c r="I458">
        <f>IF(442&gt;NChq,"",INDEX(ChqNorm,442))</f>
        <v/>
      </c>
      <c r="J458">
        <f>IF($I458="","",IF(AND($I458&gt;=$H$3,$I458&lt;=$H$4,INDEX(ChqStatus,442)="پاس نشده"),1,0))</f>
        <v/>
      </c>
      <c r="K458">
        <f>IF($J458=0,"",INDEX(ChqKey,442))</f>
        <v/>
      </c>
      <c r="L458">
        <f>IF($K458="","",COUNTIFS($J$17:$J$516,1,$K$17:$K$516,"&lt;"&amp;$K458)+1)</f>
        <v/>
      </c>
    </row>
    <row r="459">
      <c r="A459" s="10">
        <f>IF(IFERROR(MATCH(443,ChqRankU,0),0)=0,"",443)</f>
        <v/>
      </c>
      <c r="B459" s="22">
        <f>IF(IFERROR(MATCH(443,ChqRankU,0),0)=0,"",INDEX(ChqNorm,IFERROR(MATCH(443,ChqRankU,0),0)))</f>
        <v/>
      </c>
      <c r="C459" s="22">
        <f>IF(IFERROR(MATCH(443,ChqRankU,0),0)=0,"",INDEX(ChqNo,IFERROR(MATCH(443,ChqRankU,0),0)))</f>
        <v/>
      </c>
      <c r="D459" s="23">
        <f>IF(IFERROR(MATCH(443,ChqRankU,0),0)=0,"",IF(INDEX(ChqAmt,IFERROR(MATCH(443,ChqRankU,0),0))=0,"",INDEX(ChqAmt,IFERROR(MATCH(443,ChqRankU,0),0))))</f>
        <v/>
      </c>
      <c r="E459" s="14">
        <f>IF(IFERROR(MATCH(443,ChqRankU,0),0)=0,"",INDEX(ChqStatus,IFERROR(MATCH(443,ChqRankU,0),0)))</f>
        <v/>
      </c>
      <c r="F459" s="22">
        <f>IF(IFERROR(MATCH(443,ChqRankU,0),0)=0,"",IF(INDEX(ChqStatus,IFERROR(MATCH(443,ChqRankU,0),0))="پاس نشده","—",IF(INDEX(ChqClr,IFERROR(MATCH(443,ChqRankU,0),0))="","—",INDEX(ChqClr,IFERROR(MATCH(443,ChqRankU,0),0)))))</f>
        <v/>
      </c>
      <c r="I459">
        <f>IF(443&gt;NChq,"",INDEX(ChqNorm,443))</f>
        <v/>
      </c>
      <c r="J459">
        <f>IF($I459="","",IF(AND($I459&gt;=$H$3,$I459&lt;=$H$4,INDEX(ChqStatus,443)="پاس نشده"),1,0))</f>
        <v/>
      </c>
      <c r="K459">
        <f>IF($J459=0,"",INDEX(ChqKey,443))</f>
        <v/>
      </c>
      <c r="L459">
        <f>IF($K459="","",COUNTIFS($J$17:$J$516,1,$K$17:$K$516,"&lt;"&amp;$K459)+1)</f>
        <v/>
      </c>
    </row>
    <row r="460">
      <c r="A460" s="16">
        <f>IF(IFERROR(MATCH(444,ChqRankU,0),0)=0,"",444)</f>
        <v/>
      </c>
      <c r="B460" s="24">
        <f>IF(IFERROR(MATCH(444,ChqRankU,0),0)=0,"",INDEX(ChqNorm,IFERROR(MATCH(444,ChqRankU,0),0)))</f>
        <v/>
      </c>
      <c r="C460" s="24">
        <f>IF(IFERROR(MATCH(444,ChqRankU,0),0)=0,"",INDEX(ChqNo,IFERROR(MATCH(444,ChqRankU,0),0)))</f>
        <v/>
      </c>
      <c r="D460" s="25">
        <f>IF(IFERROR(MATCH(444,ChqRankU,0),0)=0,"",IF(INDEX(ChqAmt,IFERROR(MATCH(444,ChqRankU,0),0))=0,"",INDEX(ChqAmt,IFERROR(MATCH(444,ChqRankU,0),0))))</f>
        <v/>
      </c>
      <c r="E460" s="17">
        <f>IF(IFERROR(MATCH(444,ChqRankU,0),0)=0,"",INDEX(ChqStatus,IFERROR(MATCH(444,ChqRankU,0),0)))</f>
        <v/>
      </c>
      <c r="F460" s="24">
        <f>IF(IFERROR(MATCH(444,ChqRankU,0),0)=0,"",IF(INDEX(ChqStatus,IFERROR(MATCH(444,ChqRankU,0),0))="پاس نشده","—",IF(INDEX(ChqClr,IFERROR(MATCH(444,ChqRankU,0),0))="","—",INDEX(ChqClr,IFERROR(MATCH(444,ChqRankU,0),0)))))</f>
        <v/>
      </c>
      <c r="I460">
        <f>IF(444&gt;NChq,"",INDEX(ChqNorm,444))</f>
        <v/>
      </c>
      <c r="J460">
        <f>IF($I460="","",IF(AND($I460&gt;=$H$3,$I460&lt;=$H$4,INDEX(ChqStatus,444)="پاس نشده"),1,0))</f>
        <v/>
      </c>
      <c r="K460">
        <f>IF($J460=0,"",INDEX(ChqKey,444))</f>
        <v/>
      </c>
      <c r="L460">
        <f>IF($K460="","",COUNTIFS($J$17:$J$516,1,$K$17:$K$516,"&lt;"&amp;$K460)+1)</f>
        <v/>
      </c>
    </row>
    <row r="461">
      <c r="A461" s="10">
        <f>IF(IFERROR(MATCH(445,ChqRankU,0),0)=0,"",445)</f>
        <v/>
      </c>
      <c r="B461" s="22">
        <f>IF(IFERROR(MATCH(445,ChqRankU,0),0)=0,"",INDEX(ChqNorm,IFERROR(MATCH(445,ChqRankU,0),0)))</f>
        <v/>
      </c>
      <c r="C461" s="22">
        <f>IF(IFERROR(MATCH(445,ChqRankU,0),0)=0,"",INDEX(ChqNo,IFERROR(MATCH(445,ChqRankU,0),0)))</f>
        <v/>
      </c>
      <c r="D461" s="23">
        <f>IF(IFERROR(MATCH(445,ChqRankU,0),0)=0,"",IF(INDEX(ChqAmt,IFERROR(MATCH(445,ChqRankU,0),0))=0,"",INDEX(ChqAmt,IFERROR(MATCH(445,ChqRankU,0),0))))</f>
        <v/>
      </c>
      <c r="E461" s="14">
        <f>IF(IFERROR(MATCH(445,ChqRankU,0),0)=0,"",INDEX(ChqStatus,IFERROR(MATCH(445,ChqRankU,0),0)))</f>
        <v/>
      </c>
      <c r="F461" s="22">
        <f>IF(IFERROR(MATCH(445,ChqRankU,0),0)=0,"",IF(INDEX(ChqStatus,IFERROR(MATCH(445,ChqRankU,0),0))="پاس نشده","—",IF(INDEX(ChqClr,IFERROR(MATCH(445,ChqRankU,0),0))="","—",INDEX(ChqClr,IFERROR(MATCH(445,ChqRankU,0),0)))))</f>
        <v/>
      </c>
      <c r="I461">
        <f>IF(445&gt;NChq,"",INDEX(ChqNorm,445))</f>
        <v/>
      </c>
      <c r="J461">
        <f>IF($I461="","",IF(AND($I461&gt;=$H$3,$I461&lt;=$H$4,INDEX(ChqStatus,445)="پاس نشده"),1,0))</f>
        <v/>
      </c>
      <c r="K461">
        <f>IF($J461=0,"",INDEX(ChqKey,445))</f>
        <v/>
      </c>
      <c r="L461">
        <f>IF($K461="","",COUNTIFS($J$17:$J$516,1,$K$17:$K$516,"&lt;"&amp;$K461)+1)</f>
        <v/>
      </c>
    </row>
    <row r="462">
      <c r="A462" s="16">
        <f>IF(IFERROR(MATCH(446,ChqRankU,0),0)=0,"",446)</f>
        <v/>
      </c>
      <c r="B462" s="24">
        <f>IF(IFERROR(MATCH(446,ChqRankU,0),0)=0,"",INDEX(ChqNorm,IFERROR(MATCH(446,ChqRankU,0),0)))</f>
        <v/>
      </c>
      <c r="C462" s="24">
        <f>IF(IFERROR(MATCH(446,ChqRankU,0),0)=0,"",INDEX(ChqNo,IFERROR(MATCH(446,ChqRankU,0),0)))</f>
        <v/>
      </c>
      <c r="D462" s="25">
        <f>IF(IFERROR(MATCH(446,ChqRankU,0),0)=0,"",IF(INDEX(ChqAmt,IFERROR(MATCH(446,ChqRankU,0),0))=0,"",INDEX(ChqAmt,IFERROR(MATCH(446,ChqRankU,0),0))))</f>
        <v/>
      </c>
      <c r="E462" s="17">
        <f>IF(IFERROR(MATCH(446,ChqRankU,0),0)=0,"",INDEX(ChqStatus,IFERROR(MATCH(446,ChqRankU,0),0)))</f>
        <v/>
      </c>
      <c r="F462" s="24">
        <f>IF(IFERROR(MATCH(446,ChqRankU,0),0)=0,"",IF(INDEX(ChqStatus,IFERROR(MATCH(446,ChqRankU,0),0))="پاس نشده","—",IF(INDEX(ChqClr,IFERROR(MATCH(446,ChqRankU,0),0))="","—",INDEX(ChqClr,IFERROR(MATCH(446,ChqRankU,0),0)))))</f>
        <v/>
      </c>
      <c r="I462">
        <f>IF(446&gt;NChq,"",INDEX(ChqNorm,446))</f>
        <v/>
      </c>
      <c r="J462">
        <f>IF($I462="","",IF(AND($I462&gt;=$H$3,$I462&lt;=$H$4,INDEX(ChqStatus,446)="پاس نشده"),1,0))</f>
        <v/>
      </c>
      <c r="K462">
        <f>IF($J462=0,"",INDEX(ChqKey,446))</f>
        <v/>
      </c>
      <c r="L462">
        <f>IF($K462="","",COUNTIFS($J$17:$J$516,1,$K$17:$K$516,"&lt;"&amp;$K462)+1)</f>
        <v/>
      </c>
    </row>
    <row r="463">
      <c r="A463" s="10">
        <f>IF(IFERROR(MATCH(447,ChqRankU,0),0)=0,"",447)</f>
        <v/>
      </c>
      <c r="B463" s="22">
        <f>IF(IFERROR(MATCH(447,ChqRankU,0),0)=0,"",INDEX(ChqNorm,IFERROR(MATCH(447,ChqRankU,0),0)))</f>
        <v/>
      </c>
      <c r="C463" s="22">
        <f>IF(IFERROR(MATCH(447,ChqRankU,0),0)=0,"",INDEX(ChqNo,IFERROR(MATCH(447,ChqRankU,0),0)))</f>
        <v/>
      </c>
      <c r="D463" s="23">
        <f>IF(IFERROR(MATCH(447,ChqRankU,0),0)=0,"",IF(INDEX(ChqAmt,IFERROR(MATCH(447,ChqRankU,0),0))=0,"",INDEX(ChqAmt,IFERROR(MATCH(447,ChqRankU,0),0))))</f>
        <v/>
      </c>
      <c r="E463" s="14">
        <f>IF(IFERROR(MATCH(447,ChqRankU,0),0)=0,"",INDEX(ChqStatus,IFERROR(MATCH(447,ChqRankU,0),0)))</f>
        <v/>
      </c>
      <c r="F463" s="22">
        <f>IF(IFERROR(MATCH(447,ChqRankU,0),0)=0,"",IF(INDEX(ChqStatus,IFERROR(MATCH(447,ChqRankU,0),0))="پاس نشده","—",IF(INDEX(ChqClr,IFERROR(MATCH(447,ChqRankU,0),0))="","—",INDEX(ChqClr,IFERROR(MATCH(447,ChqRankU,0),0)))))</f>
        <v/>
      </c>
      <c r="I463">
        <f>IF(447&gt;NChq,"",INDEX(ChqNorm,447))</f>
        <v/>
      </c>
      <c r="J463">
        <f>IF($I463="","",IF(AND($I463&gt;=$H$3,$I463&lt;=$H$4,INDEX(ChqStatus,447)="پاس نشده"),1,0))</f>
        <v/>
      </c>
      <c r="K463">
        <f>IF($J463=0,"",INDEX(ChqKey,447))</f>
        <v/>
      </c>
      <c r="L463">
        <f>IF($K463="","",COUNTIFS($J$17:$J$516,1,$K$17:$K$516,"&lt;"&amp;$K463)+1)</f>
        <v/>
      </c>
    </row>
    <row r="464">
      <c r="A464" s="16">
        <f>IF(IFERROR(MATCH(448,ChqRankU,0),0)=0,"",448)</f>
        <v/>
      </c>
      <c r="B464" s="24">
        <f>IF(IFERROR(MATCH(448,ChqRankU,0),0)=0,"",INDEX(ChqNorm,IFERROR(MATCH(448,ChqRankU,0),0)))</f>
        <v/>
      </c>
      <c r="C464" s="24">
        <f>IF(IFERROR(MATCH(448,ChqRankU,0),0)=0,"",INDEX(ChqNo,IFERROR(MATCH(448,ChqRankU,0),0)))</f>
        <v/>
      </c>
      <c r="D464" s="25">
        <f>IF(IFERROR(MATCH(448,ChqRankU,0),0)=0,"",IF(INDEX(ChqAmt,IFERROR(MATCH(448,ChqRankU,0),0))=0,"",INDEX(ChqAmt,IFERROR(MATCH(448,ChqRankU,0),0))))</f>
        <v/>
      </c>
      <c r="E464" s="17">
        <f>IF(IFERROR(MATCH(448,ChqRankU,0),0)=0,"",INDEX(ChqStatus,IFERROR(MATCH(448,ChqRankU,0),0)))</f>
        <v/>
      </c>
      <c r="F464" s="24">
        <f>IF(IFERROR(MATCH(448,ChqRankU,0),0)=0,"",IF(INDEX(ChqStatus,IFERROR(MATCH(448,ChqRankU,0),0))="پاس نشده","—",IF(INDEX(ChqClr,IFERROR(MATCH(448,ChqRankU,0),0))="","—",INDEX(ChqClr,IFERROR(MATCH(448,ChqRankU,0),0)))))</f>
        <v/>
      </c>
      <c r="I464">
        <f>IF(448&gt;NChq,"",INDEX(ChqNorm,448))</f>
        <v/>
      </c>
      <c r="J464">
        <f>IF($I464="","",IF(AND($I464&gt;=$H$3,$I464&lt;=$H$4,INDEX(ChqStatus,448)="پاس نشده"),1,0))</f>
        <v/>
      </c>
      <c r="K464">
        <f>IF($J464=0,"",INDEX(ChqKey,448))</f>
        <v/>
      </c>
      <c r="L464">
        <f>IF($K464="","",COUNTIFS($J$17:$J$516,1,$K$17:$K$516,"&lt;"&amp;$K464)+1)</f>
        <v/>
      </c>
    </row>
    <row r="465">
      <c r="A465" s="10">
        <f>IF(IFERROR(MATCH(449,ChqRankU,0),0)=0,"",449)</f>
        <v/>
      </c>
      <c r="B465" s="22">
        <f>IF(IFERROR(MATCH(449,ChqRankU,0),0)=0,"",INDEX(ChqNorm,IFERROR(MATCH(449,ChqRankU,0),0)))</f>
        <v/>
      </c>
      <c r="C465" s="22">
        <f>IF(IFERROR(MATCH(449,ChqRankU,0),0)=0,"",INDEX(ChqNo,IFERROR(MATCH(449,ChqRankU,0),0)))</f>
        <v/>
      </c>
      <c r="D465" s="23">
        <f>IF(IFERROR(MATCH(449,ChqRankU,0),0)=0,"",IF(INDEX(ChqAmt,IFERROR(MATCH(449,ChqRankU,0),0))=0,"",INDEX(ChqAmt,IFERROR(MATCH(449,ChqRankU,0),0))))</f>
        <v/>
      </c>
      <c r="E465" s="14">
        <f>IF(IFERROR(MATCH(449,ChqRankU,0),0)=0,"",INDEX(ChqStatus,IFERROR(MATCH(449,ChqRankU,0),0)))</f>
        <v/>
      </c>
      <c r="F465" s="22">
        <f>IF(IFERROR(MATCH(449,ChqRankU,0),0)=0,"",IF(INDEX(ChqStatus,IFERROR(MATCH(449,ChqRankU,0),0))="پاس نشده","—",IF(INDEX(ChqClr,IFERROR(MATCH(449,ChqRankU,0),0))="","—",INDEX(ChqClr,IFERROR(MATCH(449,ChqRankU,0),0)))))</f>
        <v/>
      </c>
      <c r="I465">
        <f>IF(449&gt;NChq,"",INDEX(ChqNorm,449))</f>
        <v/>
      </c>
      <c r="J465">
        <f>IF($I465="","",IF(AND($I465&gt;=$H$3,$I465&lt;=$H$4,INDEX(ChqStatus,449)="پاس نشده"),1,0))</f>
        <v/>
      </c>
      <c r="K465">
        <f>IF($J465=0,"",INDEX(ChqKey,449))</f>
        <v/>
      </c>
      <c r="L465">
        <f>IF($K465="","",COUNTIFS($J$17:$J$516,1,$K$17:$K$516,"&lt;"&amp;$K465)+1)</f>
        <v/>
      </c>
    </row>
    <row r="466">
      <c r="A466" s="16">
        <f>IF(IFERROR(MATCH(450,ChqRankU,0),0)=0,"",450)</f>
        <v/>
      </c>
      <c r="B466" s="24">
        <f>IF(IFERROR(MATCH(450,ChqRankU,0),0)=0,"",INDEX(ChqNorm,IFERROR(MATCH(450,ChqRankU,0),0)))</f>
        <v/>
      </c>
      <c r="C466" s="24">
        <f>IF(IFERROR(MATCH(450,ChqRankU,0),0)=0,"",INDEX(ChqNo,IFERROR(MATCH(450,ChqRankU,0),0)))</f>
        <v/>
      </c>
      <c r="D466" s="25">
        <f>IF(IFERROR(MATCH(450,ChqRankU,0),0)=0,"",IF(INDEX(ChqAmt,IFERROR(MATCH(450,ChqRankU,0),0))=0,"",INDEX(ChqAmt,IFERROR(MATCH(450,ChqRankU,0),0))))</f>
        <v/>
      </c>
      <c r="E466" s="17">
        <f>IF(IFERROR(MATCH(450,ChqRankU,0),0)=0,"",INDEX(ChqStatus,IFERROR(MATCH(450,ChqRankU,0),0)))</f>
        <v/>
      </c>
      <c r="F466" s="24">
        <f>IF(IFERROR(MATCH(450,ChqRankU,0),0)=0,"",IF(INDEX(ChqStatus,IFERROR(MATCH(450,ChqRankU,0),0))="پاس نشده","—",IF(INDEX(ChqClr,IFERROR(MATCH(450,ChqRankU,0),0))="","—",INDEX(ChqClr,IFERROR(MATCH(450,ChqRankU,0),0)))))</f>
        <v/>
      </c>
      <c r="I466">
        <f>IF(450&gt;NChq,"",INDEX(ChqNorm,450))</f>
        <v/>
      </c>
      <c r="J466">
        <f>IF($I466="","",IF(AND($I466&gt;=$H$3,$I466&lt;=$H$4,INDEX(ChqStatus,450)="پاس نشده"),1,0))</f>
        <v/>
      </c>
      <c r="K466">
        <f>IF($J466=0,"",INDEX(ChqKey,450))</f>
        <v/>
      </c>
      <c r="L466">
        <f>IF($K466="","",COUNTIFS($J$17:$J$516,1,$K$17:$K$516,"&lt;"&amp;$K466)+1)</f>
        <v/>
      </c>
    </row>
    <row r="467">
      <c r="A467" s="10">
        <f>IF(IFERROR(MATCH(451,ChqRankU,0),0)=0,"",451)</f>
        <v/>
      </c>
      <c r="B467" s="22">
        <f>IF(IFERROR(MATCH(451,ChqRankU,0),0)=0,"",INDEX(ChqNorm,IFERROR(MATCH(451,ChqRankU,0),0)))</f>
        <v/>
      </c>
      <c r="C467" s="22">
        <f>IF(IFERROR(MATCH(451,ChqRankU,0),0)=0,"",INDEX(ChqNo,IFERROR(MATCH(451,ChqRankU,0),0)))</f>
        <v/>
      </c>
      <c r="D467" s="23">
        <f>IF(IFERROR(MATCH(451,ChqRankU,0),0)=0,"",IF(INDEX(ChqAmt,IFERROR(MATCH(451,ChqRankU,0),0))=0,"",INDEX(ChqAmt,IFERROR(MATCH(451,ChqRankU,0),0))))</f>
        <v/>
      </c>
      <c r="E467" s="14">
        <f>IF(IFERROR(MATCH(451,ChqRankU,0),0)=0,"",INDEX(ChqStatus,IFERROR(MATCH(451,ChqRankU,0),0)))</f>
        <v/>
      </c>
      <c r="F467" s="22">
        <f>IF(IFERROR(MATCH(451,ChqRankU,0),0)=0,"",IF(INDEX(ChqStatus,IFERROR(MATCH(451,ChqRankU,0),0))="پاس نشده","—",IF(INDEX(ChqClr,IFERROR(MATCH(451,ChqRankU,0),0))="","—",INDEX(ChqClr,IFERROR(MATCH(451,ChqRankU,0),0)))))</f>
        <v/>
      </c>
      <c r="I467">
        <f>IF(451&gt;NChq,"",INDEX(ChqNorm,451))</f>
        <v/>
      </c>
      <c r="J467">
        <f>IF($I467="","",IF(AND($I467&gt;=$H$3,$I467&lt;=$H$4,INDEX(ChqStatus,451)="پاس نشده"),1,0))</f>
        <v/>
      </c>
      <c r="K467">
        <f>IF($J467=0,"",INDEX(ChqKey,451))</f>
        <v/>
      </c>
      <c r="L467">
        <f>IF($K467="","",COUNTIFS($J$17:$J$516,1,$K$17:$K$516,"&lt;"&amp;$K467)+1)</f>
        <v/>
      </c>
    </row>
    <row r="468">
      <c r="A468" s="16">
        <f>IF(IFERROR(MATCH(452,ChqRankU,0),0)=0,"",452)</f>
        <v/>
      </c>
      <c r="B468" s="24">
        <f>IF(IFERROR(MATCH(452,ChqRankU,0),0)=0,"",INDEX(ChqNorm,IFERROR(MATCH(452,ChqRankU,0),0)))</f>
        <v/>
      </c>
      <c r="C468" s="24">
        <f>IF(IFERROR(MATCH(452,ChqRankU,0),0)=0,"",INDEX(ChqNo,IFERROR(MATCH(452,ChqRankU,0),0)))</f>
        <v/>
      </c>
      <c r="D468" s="25">
        <f>IF(IFERROR(MATCH(452,ChqRankU,0),0)=0,"",IF(INDEX(ChqAmt,IFERROR(MATCH(452,ChqRankU,0),0))=0,"",INDEX(ChqAmt,IFERROR(MATCH(452,ChqRankU,0),0))))</f>
        <v/>
      </c>
      <c r="E468" s="17">
        <f>IF(IFERROR(MATCH(452,ChqRankU,0),0)=0,"",INDEX(ChqStatus,IFERROR(MATCH(452,ChqRankU,0),0)))</f>
        <v/>
      </c>
      <c r="F468" s="24">
        <f>IF(IFERROR(MATCH(452,ChqRankU,0),0)=0,"",IF(INDEX(ChqStatus,IFERROR(MATCH(452,ChqRankU,0),0))="پاس نشده","—",IF(INDEX(ChqClr,IFERROR(MATCH(452,ChqRankU,0),0))="","—",INDEX(ChqClr,IFERROR(MATCH(452,ChqRankU,0),0)))))</f>
        <v/>
      </c>
      <c r="I468">
        <f>IF(452&gt;NChq,"",INDEX(ChqNorm,452))</f>
        <v/>
      </c>
      <c r="J468">
        <f>IF($I468="","",IF(AND($I468&gt;=$H$3,$I468&lt;=$H$4,INDEX(ChqStatus,452)="پاس نشده"),1,0))</f>
        <v/>
      </c>
      <c r="K468">
        <f>IF($J468=0,"",INDEX(ChqKey,452))</f>
        <v/>
      </c>
      <c r="L468">
        <f>IF($K468="","",COUNTIFS($J$17:$J$516,1,$K$17:$K$516,"&lt;"&amp;$K468)+1)</f>
        <v/>
      </c>
    </row>
    <row r="469">
      <c r="A469" s="10">
        <f>IF(IFERROR(MATCH(453,ChqRankU,0),0)=0,"",453)</f>
        <v/>
      </c>
      <c r="B469" s="22">
        <f>IF(IFERROR(MATCH(453,ChqRankU,0),0)=0,"",INDEX(ChqNorm,IFERROR(MATCH(453,ChqRankU,0),0)))</f>
        <v/>
      </c>
      <c r="C469" s="22">
        <f>IF(IFERROR(MATCH(453,ChqRankU,0),0)=0,"",INDEX(ChqNo,IFERROR(MATCH(453,ChqRankU,0),0)))</f>
        <v/>
      </c>
      <c r="D469" s="23">
        <f>IF(IFERROR(MATCH(453,ChqRankU,0),0)=0,"",IF(INDEX(ChqAmt,IFERROR(MATCH(453,ChqRankU,0),0))=0,"",INDEX(ChqAmt,IFERROR(MATCH(453,ChqRankU,0),0))))</f>
        <v/>
      </c>
      <c r="E469" s="14">
        <f>IF(IFERROR(MATCH(453,ChqRankU,0),0)=0,"",INDEX(ChqStatus,IFERROR(MATCH(453,ChqRankU,0),0)))</f>
        <v/>
      </c>
      <c r="F469" s="22">
        <f>IF(IFERROR(MATCH(453,ChqRankU,0),0)=0,"",IF(INDEX(ChqStatus,IFERROR(MATCH(453,ChqRankU,0),0))="پاس نشده","—",IF(INDEX(ChqClr,IFERROR(MATCH(453,ChqRankU,0),0))="","—",INDEX(ChqClr,IFERROR(MATCH(453,ChqRankU,0),0)))))</f>
        <v/>
      </c>
      <c r="I469">
        <f>IF(453&gt;NChq,"",INDEX(ChqNorm,453))</f>
        <v/>
      </c>
      <c r="J469">
        <f>IF($I469="","",IF(AND($I469&gt;=$H$3,$I469&lt;=$H$4,INDEX(ChqStatus,453)="پاس نشده"),1,0))</f>
        <v/>
      </c>
      <c r="K469">
        <f>IF($J469=0,"",INDEX(ChqKey,453))</f>
        <v/>
      </c>
      <c r="L469">
        <f>IF($K469="","",COUNTIFS($J$17:$J$516,1,$K$17:$K$516,"&lt;"&amp;$K469)+1)</f>
        <v/>
      </c>
    </row>
    <row r="470">
      <c r="A470" s="16">
        <f>IF(IFERROR(MATCH(454,ChqRankU,0),0)=0,"",454)</f>
        <v/>
      </c>
      <c r="B470" s="24">
        <f>IF(IFERROR(MATCH(454,ChqRankU,0),0)=0,"",INDEX(ChqNorm,IFERROR(MATCH(454,ChqRankU,0),0)))</f>
        <v/>
      </c>
      <c r="C470" s="24">
        <f>IF(IFERROR(MATCH(454,ChqRankU,0),0)=0,"",INDEX(ChqNo,IFERROR(MATCH(454,ChqRankU,0),0)))</f>
        <v/>
      </c>
      <c r="D470" s="25">
        <f>IF(IFERROR(MATCH(454,ChqRankU,0),0)=0,"",IF(INDEX(ChqAmt,IFERROR(MATCH(454,ChqRankU,0),0))=0,"",INDEX(ChqAmt,IFERROR(MATCH(454,ChqRankU,0),0))))</f>
        <v/>
      </c>
      <c r="E470" s="17">
        <f>IF(IFERROR(MATCH(454,ChqRankU,0),0)=0,"",INDEX(ChqStatus,IFERROR(MATCH(454,ChqRankU,0),0)))</f>
        <v/>
      </c>
      <c r="F470" s="24">
        <f>IF(IFERROR(MATCH(454,ChqRankU,0),0)=0,"",IF(INDEX(ChqStatus,IFERROR(MATCH(454,ChqRankU,0),0))="پاس نشده","—",IF(INDEX(ChqClr,IFERROR(MATCH(454,ChqRankU,0),0))="","—",INDEX(ChqClr,IFERROR(MATCH(454,ChqRankU,0),0)))))</f>
        <v/>
      </c>
      <c r="I470">
        <f>IF(454&gt;NChq,"",INDEX(ChqNorm,454))</f>
        <v/>
      </c>
      <c r="J470">
        <f>IF($I470="","",IF(AND($I470&gt;=$H$3,$I470&lt;=$H$4,INDEX(ChqStatus,454)="پاس نشده"),1,0))</f>
        <v/>
      </c>
      <c r="K470">
        <f>IF($J470=0,"",INDEX(ChqKey,454))</f>
        <v/>
      </c>
      <c r="L470">
        <f>IF($K470="","",COUNTIFS($J$17:$J$516,1,$K$17:$K$516,"&lt;"&amp;$K470)+1)</f>
        <v/>
      </c>
    </row>
    <row r="471">
      <c r="A471" s="10">
        <f>IF(IFERROR(MATCH(455,ChqRankU,0),0)=0,"",455)</f>
        <v/>
      </c>
      <c r="B471" s="22">
        <f>IF(IFERROR(MATCH(455,ChqRankU,0),0)=0,"",INDEX(ChqNorm,IFERROR(MATCH(455,ChqRankU,0),0)))</f>
        <v/>
      </c>
      <c r="C471" s="22">
        <f>IF(IFERROR(MATCH(455,ChqRankU,0),0)=0,"",INDEX(ChqNo,IFERROR(MATCH(455,ChqRankU,0),0)))</f>
        <v/>
      </c>
      <c r="D471" s="23">
        <f>IF(IFERROR(MATCH(455,ChqRankU,0),0)=0,"",IF(INDEX(ChqAmt,IFERROR(MATCH(455,ChqRankU,0),0))=0,"",INDEX(ChqAmt,IFERROR(MATCH(455,ChqRankU,0),0))))</f>
        <v/>
      </c>
      <c r="E471" s="14">
        <f>IF(IFERROR(MATCH(455,ChqRankU,0),0)=0,"",INDEX(ChqStatus,IFERROR(MATCH(455,ChqRankU,0),0)))</f>
        <v/>
      </c>
      <c r="F471" s="22">
        <f>IF(IFERROR(MATCH(455,ChqRankU,0),0)=0,"",IF(INDEX(ChqStatus,IFERROR(MATCH(455,ChqRankU,0),0))="پاس نشده","—",IF(INDEX(ChqClr,IFERROR(MATCH(455,ChqRankU,0),0))="","—",INDEX(ChqClr,IFERROR(MATCH(455,ChqRankU,0),0)))))</f>
        <v/>
      </c>
      <c r="I471">
        <f>IF(455&gt;NChq,"",INDEX(ChqNorm,455))</f>
        <v/>
      </c>
      <c r="J471">
        <f>IF($I471="","",IF(AND($I471&gt;=$H$3,$I471&lt;=$H$4,INDEX(ChqStatus,455)="پاس نشده"),1,0))</f>
        <v/>
      </c>
      <c r="K471">
        <f>IF($J471=0,"",INDEX(ChqKey,455))</f>
        <v/>
      </c>
      <c r="L471">
        <f>IF($K471="","",COUNTIFS($J$17:$J$516,1,$K$17:$K$516,"&lt;"&amp;$K471)+1)</f>
        <v/>
      </c>
    </row>
    <row r="472">
      <c r="A472" s="16">
        <f>IF(IFERROR(MATCH(456,ChqRankU,0),0)=0,"",456)</f>
        <v/>
      </c>
      <c r="B472" s="24">
        <f>IF(IFERROR(MATCH(456,ChqRankU,0),0)=0,"",INDEX(ChqNorm,IFERROR(MATCH(456,ChqRankU,0),0)))</f>
        <v/>
      </c>
      <c r="C472" s="24">
        <f>IF(IFERROR(MATCH(456,ChqRankU,0),0)=0,"",INDEX(ChqNo,IFERROR(MATCH(456,ChqRankU,0),0)))</f>
        <v/>
      </c>
      <c r="D472" s="25">
        <f>IF(IFERROR(MATCH(456,ChqRankU,0),0)=0,"",IF(INDEX(ChqAmt,IFERROR(MATCH(456,ChqRankU,0),0))=0,"",INDEX(ChqAmt,IFERROR(MATCH(456,ChqRankU,0),0))))</f>
        <v/>
      </c>
      <c r="E472" s="17">
        <f>IF(IFERROR(MATCH(456,ChqRankU,0),0)=0,"",INDEX(ChqStatus,IFERROR(MATCH(456,ChqRankU,0),0)))</f>
        <v/>
      </c>
      <c r="F472" s="24">
        <f>IF(IFERROR(MATCH(456,ChqRankU,0),0)=0,"",IF(INDEX(ChqStatus,IFERROR(MATCH(456,ChqRankU,0),0))="پاس نشده","—",IF(INDEX(ChqClr,IFERROR(MATCH(456,ChqRankU,0),0))="","—",INDEX(ChqClr,IFERROR(MATCH(456,ChqRankU,0),0)))))</f>
        <v/>
      </c>
      <c r="I472">
        <f>IF(456&gt;NChq,"",INDEX(ChqNorm,456))</f>
        <v/>
      </c>
      <c r="J472">
        <f>IF($I472="","",IF(AND($I472&gt;=$H$3,$I472&lt;=$H$4,INDEX(ChqStatus,456)="پاس نشده"),1,0))</f>
        <v/>
      </c>
      <c r="K472">
        <f>IF($J472=0,"",INDEX(ChqKey,456))</f>
        <v/>
      </c>
      <c r="L472">
        <f>IF($K472="","",COUNTIFS($J$17:$J$516,1,$K$17:$K$516,"&lt;"&amp;$K472)+1)</f>
        <v/>
      </c>
    </row>
    <row r="473">
      <c r="A473" s="10">
        <f>IF(IFERROR(MATCH(457,ChqRankU,0),0)=0,"",457)</f>
        <v/>
      </c>
      <c r="B473" s="22">
        <f>IF(IFERROR(MATCH(457,ChqRankU,0),0)=0,"",INDEX(ChqNorm,IFERROR(MATCH(457,ChqRankU,0),0)))</f>
        <v/>
      </c>
      <c r="C473" s="22">
        <f>IF(IFERROR(MATCH(457,ChqRankU,0),0)=0,"",INDEX(ChqNo,IFERROR(MATCH(457,ChqRankU,0),0)))</f>
        <v/>
      </c>
      <c r="D473" s="23">
        <f>IF(IFERROR(MATCH(457,ChqRankU,0),0)=0,"",IF(INDEX(ChqAmt,IFERROR(MATCH(457,ChqRankU,0),0))=0,"",INDEX(ChqAmt,IFERROR(MATCH(457,ChqRankU,0),0))))</f>
        <v/>
      </c>
      <c r="E473" s="14">
        <f>IF(IFERROR(MATCH(457,ChqRankU,0),0)=0,"",INDEX(ChqStatus,IFERROR(MATCH(457,ChqRankU,0),0)))</f>
        <v/>
      </c>
      <c r="F473" s="22">
        <f>IF(IFERROR(MATCH(457,ChqRankU,0),0)=0,"",IF(INDEX(ChqStatus,IFERROR(MATCH(457,ChqRankU,0),0))="پاس نشده","—",IF(INDEX(ChqClr,IFERROR(MATCH(457,ChqRankU,0),0))="","—",INDEX(ChqClr,IFERROR(MATCH(457,ChqRankU,0),0)))))</f>
        <v/>
      </c>
      <c r="I473">
        <f>IF(457&gt;NChq,"",INDEX(ChqNorm,457))</f>
        <v/>
      </c>
      <c r="J473">
        <f>IF($I473="","",IF(AND($I473&gt;=$H$3,$I473&lt;=$H$4,INDEX(ChqStatus,457)="پاس نشده"),1,0))</f>
        <v/>
      </c>
      <c r="K473">
        <f>IF($J473=0,"",INDEX(ChqKey,457))</f>
        <v/>
      </c>
      <c r="L473">
        <f>IF($K473="","",COUNTIFS($J$17:$J$516,1,$K$17:$K$516,"&lt;"&amp;$K473)+1)</f>
        <v/>
      </c>
    </row>
    <row r="474">
      <c r="A474" s="16">
        <f>IF(IFERROR(MATCH(458,ChqRankU,0),0)=0,"",458)</f>
        <v/>
      </c>
      <c r="B474" s="24">
        <f>IF(IFERROR(MATCH(458,ChqRankU,0),0)=0,"",INDEX(ChqNorm,IFERROR(MATCH(458,ChqRankU,0),0)))</f>
        <v/>
      </c>
      <c r="C474" s="24">
        <f>IF(IFERROR(MATCH(458,ChqRankU,0),0)=0,"",INDEX(ChqNo,IFERROR(MATCH(458,ChqRankU,0),0)))</f>
        <v/>
      </c>
      <c r="D474" s="25">
        <f>IF(IFERROR(MATCH(458,ChqRankU,0),0)=0,"",IF(INDEX(ChqAmt,IFERROR(MATCH(458,ChqRankU,0),0))=0,"",INDEX(ChqAmt,IFERROR(MATCH(458,ChqRankU,0),0))))</f>
        <v/>
      </c>
      <c r="E474" s="17">
        <f>IF(IFERROR(MATCH(458,ChqRankU,0),0)=0,"",INDEX(ChqStatus,IFERROR(MATCH(458,ChqRankU,0),0)))</f>
        <v/>
      </c>
      <c r="F474" s="24">
        <f>IF(IFERROR(MATCH(458,ChqRankU,0),0)=0,"",IF(INDEX(ChqStatus,IFERROR(MATCH(458,ChqRankU,0),0))="پاس نشده","—",IF(INDEX(ChqClr,IFERROR(MATCH(458,ChqRankU,0),0))="","—",INDEX(ChqClr,IFERROR(MATCH(458,ChqRankU,0),0)))))</f>
        <v/>
      </c>
      <c r="I474">
        <f>IF(458&gt;NChq,"",INDEX(ChqNorm,458))</f>
        <v/>
      </c>
      <c r="J474">
        <f>IF($I474="","",IF(AND($I474&gt;=$H$3,$I474&lt;=$H$4,INDEX(ChqStatus,458)="پاس نشده"),1,0))</f>
        <v/>
      </c>
      <c r="K474">
        <f>IF($J474=0,"",INDEX(ChqKey,458))</f>
        <v/>
      </c>
      <c r="L474">
        <f>IF($K474="","",COUNTIFS($J$17:$J$516,1,$K$17:$K$516,"&lt;"&amp;$K474)+1)</f>
        <v/>
      </c>
    </row>
    <row r="475">
      <c r="A475" s="10">
        <f>IF(IFERROR(MATCH(459,ChqRankU,0),0)=0,"",459)</f>
        <v/>
      </c>
      <c r="B475" s="22">
        <f>IF(IFERROR(MATCH(459,ChqRankU,0),0)=0,"",INDEX(ChqNorm,IFERROR(MATCH(459,ChqRankU,0),0)))</f>
        <v/>
      </c>
      <c r="C475" s="22">
        <f>IF(IFERROR(MATCH(459,ChqRankU,0),0)=0,"",INDEX(ChqNo,IFERROR(MATCH(459,ChqRankU,0),0)))</f>
        <v/>
      </c>
      <c r="D475" s="23">
        <f>IF(IFERROR(MATCH(459,ChqRankU,0),0)=0,"",IF(INDEX(ChqAmt,IFERROR(MATCH(459,ChqRankU,0),0))=0,"",INDEX(ChqAmt,IFERROR(MATCH(459,ChqRankU,0),0))))</f>
        <v/>
      </c>
      <c r="E475" s="14">
        <f>IF(IFERROR(MATCH(459,ChqRankU,0),0)=0,"",INDEX(ChqStatus,IFERROR(MATCH(459,ChqRankU,0),0)))</f>
        <v/>
      </c>
      <c r="F475" s="22">
        <f>IF(IFERROR(MATCH(459,ChqRankU,0),0)=0,"",IF(INDEX(ChqStatus,IFERROR(MATCH(459,ChqRankU,0),0))="پاس نشده","—",IF(INDEX(ChqClr,IFERROR(MATCH(459,ChqRankU,0),0))="","—",INDEX(ChqClr,IFERROR(MATCH(459,ChqRankU,0),0)))))</f>
        <v/>
      </c>
      <c r="I475">
        <f>IF(459&gt;NChq,"",INDEX(ChqNorm,459))</f>
        <v/>
      </c>
      <c r="J475">
        <f>IF($I475="","",IF(AND($I475&gt;=$H$3,$I475&lt;=$H$4,INDEX(ChqStatus,459)="پاس نشده"),1,0))</f>
        <v/>
      </c>
      <c r="K475">
        <f>IF($J475=0,"",INDEX(ChqKey,459))</f>
        <v/>
      </c>
      <c r="L475">
        <f>IF($K475="","",COUNTIFS($J$17:$J$516,1,$K$17:$K$516,"&lt;"&amp;$K475)+1)</f>
        <v/>
      </c>
    </row>
    <row r="476">
      <c r="A476" s="16">
        <f>IF(IFERROR(MATCH(460,ChqRankU,0),0)=0,"",460)</f>
        <v/>
      </c>
      <c r="B476" s="24">
        <f>IF(IFERROR(MATCH(460,ChqRankU,0),0)=0,"",INDEX(ChqNorm,IFERROR(MATCH(460,ChqRankU,0),0)))</f>
        <v/>
      </c>
      <c r="C476" s="24">
        <f>IF(IFERROR(MATCH(460,ChqRankU,0),0)=0,"",INDEX(ChqNo,IFERROR(MATCH(460,ChqRankU,0),0)))</f>
        <v/>
      </c>
      <c r="D476" s="25">
        <f>IF(IFERROR(MATCH(460,ChqRankU,0),0)=0,"",IF(INDEX(ChqAmt,IFERROR(MATCH(460,ChqRankU,0),0))=0,"",INDEX(ChqAmt,IFERROR(MATCH(460,ChqRankU,0),0))))</f>
        <v/>
      </c>
      <c r="E476" s="17">
        <f>IF(IFERROR(MATCH(460,ChqRankU,0),0)=0,"",INDEX(ChqStatus,IFERROR(MATCH(460,ChqRankU,0),0)))</f>
        <v/>
      </c>
      <c r="F476" s="24">
        <f>IF(IFERROR(MATCH(460,ChqRankU,0),0)=0,"",IF(INDEX(ChqStatus,IFERROR(MATCH(460,ChqRankU,0),0))="پاس نشده","—",IF(INDEX(ChqClr,IFERROR(MATCH(460,ChqRankU,0),0))="","—",INDEX(ChqClr,IFERROR(MATCH(460,ChqRankU,0),0)))))</f>
        <v/>
      </c>
      <c r="I476">
        <f>IF(460&gt;NChq,"",INDEX(ChqNorm,460))</f>
        <v/>
      </c>
      <c r="J476">
        <f>IF($I476="","",IF(AND($I476&gt;=$H$3,$I476&lt;=$H$4,INDEX(ChqStatus,460)="پاس نشده"),1,0))</f>
        <v/>
      </c>
      <c r="K476">
        <f>IF($J476=0,"",INDEX(ChqKey,460))</f>
        <v/>
      </c>
      <c r="L476">
        <f>IF($K476="","",COUNTIFS($J$17:$J$516,1,$K$17:$K$516,"&lt;"&amp;$K476)+1)</f>
        <v/>
      </c>
    </row>
    <row r="477">
      <c r="A477" s="10">
        <f>IF(IFERROR(MATCH(461,ChqRankU,0),0)=0,"",461)</f>
        <v/>
      </c>
      <c r="B477" s="22">
        <f>IF(IFERROR(MATCH(461,ChqRankU,0),0)=0,"",INDEX(ChqNorm,IFERROR(MATCH(461,ChqRankU,0),0)))</f>
        <v/>
      </c>
      <c r="C477" s="22">
        <f>IF(IFERROR(MATCH(461,ChqRankU,0),0)=0,"",INDEX(ChqNo,IFERROR(MATCH(461,ChqRankU,0),0)))</f>
        <v/>
      </c>
      <c r="D477" s="23">
        <f>IF(IFERROR(MATCH(461,ChqRankU,0),0)=0,"",IF(INDEX(ChqAmt,IFERROR(MATCH(461,ChqRankU,0),0))=0,"",INDEX(ChqAmt,IFERROR(MATCH(461,ChqRankU,0),0))))</f>
        <v/>
      </c>
      <c r="E477" s="14">
        <f>IF(IFERROR(MATCH(461,ChqRankU,0),0)=0,"",INDEX(ChqStatus,IFERROR(MATCH(461,ChqRankU,0),0)))</f>
        <v/>
      </c>
      <c r="F477" s="22">
        <f>IF(IFERROR(MATCH(461,ChqRankU,0),0)=0,"",IF(INDEX(ChqStatus,IFERROR(MATCH(461,ChqRankU,0),0))="پاس نشده","—",IF(INDEX(ChqClr,IFERROR(MATCH(461,ChqRankU,0),0))="","—",INDEX(ChqClr,IFERROR(MATCH(461,ChqRankU,0),0)))))</f>
        <v/>
      </c>
      <c r="I477">
        <f>IF(461&gt;NChq,"",INDEX(ChqNorm,461))</f>
        <v/>
      </c>
      <c r="J477">
        <f>IF($I477="","",IF(AND($I477&gt;=$H$3,$I477&lt;=$H$4,INDEX(ChqStatus,461)="پاس نشده"),1,0))</f>
        <v/>
      </c>
      <c r="K477">
        <f>IF($J477=0,"",INDEX(ChqKey,461))</f>
        <v/>
      </c>
      <c r="L477">
        <f>IF($K477="","",COUNTIFS($J$17:$J$516,1,$K$17:$K$516,"&lt;"&amp;$K477)+1)</f>
        <v/>
      </c>
    </row>
    <row r="478">
      <c r="A478" s="16">
        <f>IF(IFERROR(MATCH(462,ChqRankU,0),0)=0,"",462)</f>
        <v/>
      </c>
      <c r="B478" s="24">
        <f>IF(IFERROR(MATCH(462,ChqRankU,0),0)=0,"",INDEX(ChqNorm,IFERROR(MATCH(462,ChqRankU,0),0)))</f>
        <v/>
      </c>
      <c r="C478" s="24">
        <f>IF(IFERROR(MATCH(462,ChqRankU,0),0)=0,"",INDEX(ChqNo,IFERROR(MATCH(462,ChqRankU,0),0)))</f>
        <v/>
      </c>
      <c r="D478" s="25">
        <f>IF(IFERROR(MATCH(462,ChqRankU,0),0)=0,"",IF(INDEX(ChqAmt,IFERROR(MATCH(462,ChqRankU,0),0))=0,"",INDEX(ChqAmt,IFERROR(MATCH(462,ChqRankU,0),0))))</f>
        <v/>
      </c>
      <c r="E478" s="17">
        <f>IF(IFERROR(MATCH(462,ChqRankU,0),0)=0,"",INDEX(ChqStatus,IFERROR(MATCH(462,ChqRankU,0),0)))</f>
        <v/>
      </c>
      <c r="F478" s="24">
        <f>IF(IFERROR(MATCH(462,ChqRankU,0),0)=0,"",IF(INDEX(ChqStatus,IFERROR(MATCH(462,ChqRankU,0),0))="پاس نشده","—",IF(INDEX(ChqClr,IFERROR(MATCH(462,ChqRankU,0),0))="","—",INDEX(ChqClr,IFERROR(MATCH(462,ChqRankU,0),0)))))</f>
        <v/>
      </c>
      <c r="I478">
        <f>IF(462&gt;NChq,"",INDEX(ChqNorm,462))</f>
        <v/>
      </c>
      <c r="J478">
        <f>IF($I478="","",IF(AND($I478&gt;=$H$3,$I478&lt;=$H$4,INDEX(ChqStatus,462)="پاس نشده"),1,0))</f>
        <v/>
      </c>
      <c r="K478">
        <f>IF($J478=0,"",INDEX(ChqKey,462))</f>
        <v/>
      </c>
      <c r="L478">
        <f>IF($K478="","",COUNTIFS($J$17:$J$516,1,$K$17:$K$516,"&lt;"&amp;$K478)+1)</f>
        <v/>
      </c>
    </row>
    <row r="479">
      <c r="A479" s="10">
        <f>IF(IFERROR(MATCH(463,ChqRankU,0),0)=0,"",463)</f>
        <v/>
      </c>
      <c r="B479" s="22">
        <f>IF(IFERROR(MATCH(463,ChqRankU,0),0)=0,"",INDEX(ChqNorm,IFERROR(MATCH(463,ChqRankU,0),0)))</f>
        <v/>
      </c>
      <c r="C479" s="22">
        <f>IF(IFERROR(MATCH(463,ChqRankU,0),0)=0,"",INDEX(ChqNo,IFERROR(MATCH(463,ChqRankU,0),0)))</f>
        <v/>
      </c>
      <c r="D479" s="23">
        <f>IF(IFERROR(MATCH(463,ChqRankU,0),0)=0,"",IF(INDEX(ChqAmt,IFERROR(MATCH(463,ChqRankU,0),0))=0,"",INDEX(ChqAmt,IFERROR(MATCH(463,ChqRankU,0),0))))</f>
        <v/>
      </c>
      <c r="E479" s="14">
        <f>IF(IFERROR(MATCH(463,ChqRankU,0),0)=0,"",INDEX(ChqStatus,IFERROR(MATCH(463,ChqRankU,0),0)))</f>
        <v/>
      </c>
      <c r="F479" s="22">
        <f>IF(IFERROR(MATCH(463,ChqRankU,0),0)=0,"",IF(INDEX(ChqStatus,IFERROR(MATCH(463,ChqRankU,0),0))="پاس نشده","—",IF(INDEX(ChqClr,IFERROR(MATCH(463,ChqRankU,0),0))="","—",INDEX(ChqClr,IFERROR(MATCH(463,ChqRankU,0),0)))))</f>
        <v/>
      </c>
      <c r="I479">
        <f>IF(463&gt;NChq,"",INDEX(ChqNorm,463))</f>
        <v/>
      </c>
      <c r="J479">
        <f>IF($I479="","",IF(AND($I479&gt;=$H$3,$I479&lt;=$H$4,INDEX(ChqStatus,463)="پاس نشده"),1,0))</f>
        <v/>
      </c>
      <c r="K479">
        <f>IF($J479=0,"",INDEX(ChqKey,463))</f>
        <v/>
      </c>
      <c r="L479">
        <f>IF($K479="","",COUNTIFS($J$17:$J$516,1,$K$17:$K$516,"&lt;"&amp;$K479)+1)</f>
        <v/>
      </c>
    </row>
    <row r="480">
      <c r="A480" s="16">
        <f>IF(IFERROR(MATCH(464,ChqRankU,0),0)=0,"",464)</f>
        <v/>
      </c>
      <c r="B480" s="24">
        <f>IF(IFERROR(MATCH(464,ChqRankU,0),0)=0,"",INDEX(ChqNorm,IFERROR(MATCH(464,ChqRankU,0),0)))</f>
        <v/>
      </c>
      <c r="C480" s="24">
        <f>IF(IFERROR(MATCH(464,ChqRankU,0),0)=0,"",INDEX(ChqNo,IFERROR(MATCH(464,ChqRankU,0),0)))</f>
        <v/>
      </c>
      <c r="D480" s="25">
        <f>IF(IFERROR(MATCH(464,ChqRankU,0),0)=0,"",IF(INDEX(ChqAmt,IFERROR(MATCH(464,ChqRankU,0),0))=0,"",INDEX(ChqAmt,IFERROR(MATCH(464,ChqRankU,0),0))))</f>
        <v/>
      </c>
      <c r="E480" s="17">
        <f>IF(IFERROR(MATCH(464,ChqRankU,0),0)=0,"",INDEX(ChqStatus,IFERROR(MATCH(464,ChqRankU,0),0)))</f>
        <v/>
      </c>
      <c r="F480" s="24">
        <f>IF(IFERROR(MATCH(464,ChqRankU,0),0)=0,"",IF(INDEX(ChqStatus,IFERROR(MATCH(464,ChqRankU,0),0))="پاس نشده","—",IF(INDEX(ChqClr,IFERROR(MATCH(464,ChqRankU,0),0))="","—",INDEX(ChqClr,IFERROR(MATCH(464,ChqRankU,0),0)))))</f>
        <v/>
      </c>
      <c r="I480">
        <f>IF(464&gt;NChq,"",INDEX(ChqNorm,464))</f>
        <v/>
      </c>
      <c r="J480">
        <f>IF($I480="","",IF(AND($I480&gt;=$H$3,$I480&lt;=$H$4,INDEX(ChqStatus,464)="پاس نشده"),1,0))</f>
        <v/>
      </c>
      <c r="K480">
        <f>IF($J480=0,"",INDEX(ChqKey,464))</f>
        <v/>
      </c>
      <c r="L480">
        <f>IF($K480="","",COUNTIFS($J$17:$J$516,1,$K$17:$K$516,"&lt;"&amp;$K480)+1)</f>
        <v/>
      </c>
    </row>
    <row r="481">
      <c r="A481" s="10">
        <f>IF(IFERROR(MATCH(465,ChqRankU,0),0)=0,"",465)</f>
        <v/>
      </c>
      <c r="B481" s="22">
        <f>IF(IFERROR(MATCH(465,ChqRankU,0),0)=0,"",INDEX(ChqNorm,IFERROR(MATCH(465,ChqRankU,0),0)))</f>
        <v/>
      </c>
      <c r="C481" s="22">
        <f>IF(IFERROR(MATCH(465,ChqRankU,0),0)=0,"",INDEX(ChqNo,IFERROR(MATCH(465,ChqRankU,0),0)))</f>
        <v/>
      </c>
      <c r="D481" s="23">
        <f>IF(IFERROR(MATCH(465,ChqRankU,0),0)=0,"",IF(INDEX(ChqAmt,IFERROR(MATCH(465,ChqRankU,0),0))=0,"",INDEX(ChqAmt,IFERROR(MATCH(465,ChqRankU,0),0))))</f>
        <v/>
      </c>
      <c r="E481" s="14">
        <f>IF(IFERROR(MATCH(465,ChqRankU,0),0)=0,"",INDEX(ChqStatus,IFERROR(MATCH(465,ChqRankU,0),0)))</f>
        <v/>
      </c>
      <c r="F481" s="22">
        <f>IF(IFERROR(MATCH(465,ChqRankU,0),0)=0,"",IF(INDEX(ChqStatus,IFERROR(MATCH(465,ChqRankU,0),0))="پاس نشده","—",IF(INDEX(ChqClr,IFERROR(MATCH(465,ChqRankU,0),0))="","—",INDEX(ChqClr,IFERROR(MATCH(465,ChqRankU,0),0)))))</f>
        <v/>
      </c>
      <c r="I481">
        <f>IF(465&gt;NChq,"",INDEX(ChqNorm,465))</f>
        <v/>
      </c>
      <c r="J481">
        <f>IF($I481="","",IF(AND($I481&gt;=$H$3,$I481&lt;=$H$4,INDEX(ChqStatus,465)="پاس نشده"),1,0))</f>
        <v/>
      </c>
      <c r="K481">
        <f>IF($J481=0,"",INDEX(ChqKey,465))</f>
        <v/>
      </c>
      <c r="L481">
        <f>IF($K481="","",COUNTIFS($J$17:$J$516,1,$K$17:$K$516,"&lt;"&amp;$K481)+1)</f>
        <v/>
      </c>
    </row>
    <row r="482">
      <c r="A482" s="16">
        <f>IF(IFERROR(MATCH(466,ChqRankU,0),0)=0,"",466)</f>
        <v/>
      </c>
      <c r="B482" s="24">
        <f>IF(IFERROR(MATCH(466,ChqRankU,0),0)=0,"",INDEX(ChqNorm,IFERROR(MATCH(466,ChqRankU,0),0)))</f>
        <v/>
      </c>
      <c r="C482" s="24">
        <f>IF(IFERROR(MATCH(466,ChqRankU,0),0)=0,"",INDEX(ChqNo,IFERROR(MATCH(466,ChqRankU,0),0)))</f>
        <v/>
      </c>
      <c r="D482" s="25">
        <f>IF(IFERROR(MATCH(466,ChqRankU,0),0)=0,"",IF(INDEX(ChqAmt,IFERROR(MATCH(466,ChqRankU,0),0))=0,"",INDEX(ChqAmt,IFERROR(MATCH(466,ChqRankU,0),0))))</f>
        <v/>
      </c>
      <c r="E482" s="17">
        <f>IF(IFERROR(MATCH(466,ChqRankU,0),0)=0,"",INDEX(ChqStatus,IFERROR(MATCH(466,ChqRankU,0),0)))</f>
        <v/>
      </c>
      <c r="F482" s="24">
        <f>IF(IFERROR(MATCH(466,ChqRankU,0),0)=0,"",IF(INDEX(ChqStatus,IFERROR(MATCH(466,ChqRankU,0),0))="پاس نشده","—",IF(INDEX(ChqClr,IFERROR(MATCH(466,ChqRankU,0),0))="","—",INDEX(ChqClr,IFERROR(MATCH(466,ChqRankU,0),0)))))</f>
        <v/>
      </c>
      <c r="I482">
        <f>IF(466&gt;NChq,"",INDEX(ChqNorm,466))</f>
        <v/>
      </c>
      <c r="J482">
        <f>IF($I482="","",IF(AND($I482&gt;=$H$3,$I482&lt;=$H$4,INDEX(ChqStatus,466)="پاس نشده"),1,0))</f>
        <v/>
      </c>
      <c r="K482">
        <f>IF($J482=0,"",INDEX(ChqKey,466))</f>
        <v/>
      </c>
      <c r="L482">
        <f>IF($K482="","",COUNTIFS($J$17:$J$516,1,$K$17:$K$516,"&lt;"&amp;$K482)+1)</f>
        <v/>
      </c>
    </row>
    <row r="483">
      <c r="A483" s="10">
        <f>IF(IFERROR(MATCH(467,ChqRankU,0),0)=0,"",467)</f>
        <v/>
      </c>
      <c r="B483" s="22">
        <f>IF(IFERROR(MATCH(467,ChqRankU,0),0)=0,"",INDEX(ChqNorm,IFERROR(MATCH(467,ChqRankU,0),0)))</f>
        <v/>
      </c>
      <c r="C483" s="22">
        <f>IF(IFERROR(MATCH(467,ChqRankU,0),0)=0,"",INDEX(ChqNo,IFERROR(MATCH(467,ChqRankU,0),0)))</f>
        <v/>
      </c>
      <c r="D483" s="23">
        <f>IF(IFERROR(MATCH(467,ChqRankU,0),0)=0,"",IF(INDEX(ChqAmt,IFERROR(MATCH(467,ChqRankU,0),0))=0,"",INDEX(ChqAmt,IFERROR(MATCH(467,ChqRankU,0),0))))</f>
        <v/>
      </c>
      <c r="E483" s="14">
        <f>IF(IFERROR(MATCH(467,ChqRankU,0),0)=0,"",INDEX(ChqStatus,IFERROR(MATCH(467,ChqRankU,0),0)))</f>
        <v/>
      </c>
      <c r="F483" s="22">
        <f>IF(IFERROR(MATCH(467,ChqRankU,0),0)=0,"",IF(INDEX(ChqStatus,IFERROR(MATCH(467,ChqRankU,0),0))="پاس نشده","—",IF(INDEX(ChqClr,IFERROR(MATCH(467,ChqRankU,0),0))="","—",INDEX(ChqClr,IFERROR(MATCH(467,ChqRankU,0),0)))))</f>
        <v/>
      </c>
      <c r="I483">
        <f>IF(467&gt;NChq,"",INDEX(ChqNorm,467))</f>
        <v/>
      </c>
      <c r="J483">
        <f>IF($I483="","",IF(AND($I483&gt;=$H$3,$I483&lt;=$H$4,INDEX(ChqStatus,467)="پاس نشده"),1,0))</f>
        <v/>
      </c>
      <c r="K483">
        <f>IF($J483=0,"",INDEX(ChqKey,467))</f>
        <v/>
      </c>
      <c r="L483">
        <f>IF($K483="","",COUNTIFS($J$17:$J$516,1,$K$17:$K$516,"&lt;"&amp;$K483)+1)</f>
        <v/>
      </c>
    </row>
    <row r="484">
      <c r="A484" s="16">
        <f>IF(IFERROR(MATCH(468,ChqRankU,0),0)=0,"",468)</f>
        <v/>
      </c>
      <c r="B484" s="24">
        <f>IF(IFERROR(MATCH(468,ChqRankU,0),0)=0,"",INDEX(ChqNorm,IFERROR(MATCH(468,ChqRankU,0),0)))</f>
        <v/>
      </c>
      <c r="C484" s="24">
        <f>IF(IFERROR(MATCH(468,ChqRankU,0),0)=0,"",INDEX(ChqNo,IFERROR(MATCH(468,ChqRankU,0),0)))</f>
        <v/>
      </c>
      <c r="D484" s="25">
        <f>IF(IFERROR(MATCH(468,ChqRankU,0),0)=0,"",IF(INDEX(ChqAmt,IFERROR(MATCH(468,ChqRankU,0),0))=0,"",INDEX(ChqAmt,IFERROR(MATCH(468,ChqRankU,0),0))))</f>
        <v/>
      </c>
      <c r="E484" s="17">
        <f>IF(IFERROR(MATCH(468,ChqRankU,0),0)=0,"",INDEX(ChqStatus,IFERROR(MATCH(468,ChqRankU,0),0)))</f>
        <v/>
      </c>
      <c r="F484" s="24">
        <f>IF(IFERROR(MATCH(468,ChqRankU,0),0)=0,"",IF(INDEX(ChqStatus,IFERROR(MATCH(468,ChqRankU,0),0))="پاس نشده","—",IF(INDEX(ChqClr,IFERROR(MATCH(468,ChqRankU,0),0))="","—",INDEX(ChqClr,IFERROR(MATCH(468,ChqRankU,0),0)))))</f>
        <v/>
      </c>
      <c r="I484">
        <f>IF(468&gt;NChq,"",INDEX(ChqNorm,468))</f>
        <v/>
      </c>
      <c r="J484">
        <f>IF($I484="","",IF(AND($I484&gt;=$H$3,$I484&lt;=$H$4,INDEX(ChqStatus,468)="پاس نشده"),1,0))</f>
        <v/>
      </c>
      <c r="K484">
        <f>IF($J484=0,"",INDEX(ChqKey,468))</f>
        <v/>
      </c>
      <c r="L484">
        <f>IF($K484="","",COUNTIFS($J$17:$J$516,1,$K$17:$K$516,"&lt;"&amp;$K484)+1)</f>
        <v/>
      </c>
    </row>
    <row r="485">
      <c r="A485" s="10">
        <f>IF(IFERROR(MATCH(469,ChqRankU,0),0)=0,"",469)</f>
        <v/>
      </c>
      <c r="B485" s="22">
        <f>IF(IFERROR(MATCH(469,ChqRankU,0),0)=0,"",INDEX(ChqNorm,IFERROR(MATCH(469,ChqRankU,0),0)))</f>
        <v/>
      </c>
      <c r="C485" s="22">
        <f>IF(IFERROR(MATCH(469,ChqRankU,0),0)=0,"",INDEX(ChqNo,IFERROR(MATCH(469,ChqRankU,0),0)))</f>
        <v/>
      </c>
      <c r="D485" s="23">
        <f>IF(IFERROR(MATCH(469,ChqRankU,0),0)=0,"",IF(INDEX(ChqAmt,IFERROR(MATCH(469,ChqRankU,0),0))=0,"",INDEX(ChqAmt,IFERROR(MATCH(469,ChqRankU,0),0))))</f>
        <v/>
      </c>
      <c r="E485" s="14">
        <f>IF(IFERROR(MATCH(469,ChqRankU,0),0)=0,"",INDEX(ChqStatus,IFERROR(MATCH(469,ChqRankU,0),0)))</f>
        <v/>
      </c>
      <c r="F485" s="22">
        <f>IF(IFERROR(MATCH(469,ChqRankU,0),0)=0,"",IF(INDEX(ChqStatus,IFERROR(MATCH(469,ChqRankU,0),0))="پاس نشده","—",IF(INDEX(ChqClr,IFERROR(MATCH(469,ChqRankU,0),0))="","—",INDEX(ChqClr,IFERROR(MATCH(469,ChqRankU,0),0)))))</f>
        <v/>
      </c>
      <c r="I485">
        <f>IF(469&gt;NChq,"",INDEX(ChqNorm,469))</f>
        <v/>
      </c>
      <c r="J485">
        <f>IF($I485="","",IF(AND($I485&gt;=$H$3,$I485&lt;=$H$4,INDEX(ChqStatus,469)="پاس نشده"),1,0))</f>
        <v/>
      </c>
      <c r="K485">
        <f>IF($J485=0,"",INDEX(ChqKey,469))</f>
        <v/>
      </c>
      <c r="L485">
        <f>IF($K485="","",COUNTIFS($J$17:$J$516,1,$K$17:$K$516,"&lt;"&amp;$K485)+1)</f>
        <v/>
      </c>
    </row>
    <row r="486">
      <c r="A486" s="16">
        <f>IF(IFERROR(MATCH(470,ChqRankU,0),0)=0,"",470)</f>
        <v/>
      </c>
      <c r="B486" s="24">
        <f>IF(IFERROR(MATCH(470,ChqRankU,0),0)=0,"",INDEX(ChqNorm,IFERROR(MATCH(470,ChqRankU,0),0)))</f>
        <v/>
      </c>
      <c r="C486" s="24">
        <f>IF(IFERROR(MATCH(470,ChqRankU,0),0)=0,"",INDEX(ChqNo,IFERROR(MATCH(470,ChqRankU,0),0)))</f>
        <v/>
      </c>
      <c r="D486" s="25">
        <f>IF(IFERROR(MATCH(470,ChqRankU,0),0)=0,"",IF(INDEX(ChqAmt,IFERROR(MATCH(470,ChqRankU,0),0))=0,"",INDEX(ChqAmt,IFERROR(MATCH(470,ChqRankU,0),0))))</f>
        <v/>
      </c>
      <c r="E486" s="17">
        <f>IF(IFERROR(MATCH(470,ChqRankU,0),0)=0,"",INDEX(ChqStatus,IFERROR(MATCH(470,ChqRankU,0),0)))</f>
        <v/>
      </c>
      <c r="F486" s="24">
        <f>IF(IFERROR(MATCH(470,ChqRankU,0),0)=0,"",IF(INDEX(ChqStatus,IFERROR(MATCH(470,ChqRankU,0),0))="پاس نشده","—",IF(INDEX(ChqClr,IFERROR(MATCH(470,ChqRankU,0),0))="","—",INDEX(ChqClr,IFERROR(MATCH(470,ChqRankU,0),0)))))</f>
        <v/>
      </c>
      <c r="I486">
        <f>IF(470&gt;NChq,"",INDEX(ChqNorm,470))</f>
        <v/>
      </c>
      <c r="J486">
        <f>IF($I486="","",IF(AND($I486&gt;=$H$3,$I486&lt;=$H$4,INDEX(ChqStatus,470)="پاس نشده"),1,0))</f>
        <v/>
      </c>
      <c r="K486">
        <f>IF($J486=0,"",INDEX(ChqKey,470))</f>
        <v/>
      </c>
      <c r="L486">
        <f>IF($K486="","",COUNTIFS($J$17:$J$516,1,$K$17:$K$516,"&lt;"&amp;$K486)+1)</f>
        <v/>
      </c>
    </row>
    <row r="487">
      <c r="A487" s="10">
        <f>IF(IFERROR(MATCH(471,ChqRankU,0),0)=0,"",471)</f>
        <v/>
      </c>
      <c r="B487" s="22">
        <f>IF(IFERROR(MATCH(471,ChqRankU,0),0)=0,"",INDEX(ChqNorm,IFERROR(MATCH(471,ChqRankU,0),0)))</f>
        <v/>
      </c>
      <c r="C487" s="22">
        <f>IF(IFERROR(MATCH(471,ChqRankU,0),0)=0,"",INDEX(ChqNo,IFERROR(MATCH(471,ChqRankU,0),0)))</f>
        <v/>
      </c>
      <c r="D487" s="23">
        <f>IF(IFERROR(MATCH(471,ChqRankU,0),0)=0,"",IF(INDEX(ChqAmt,IFERROR(MATCH(471,ChqRankU,0),0))=0,"",INDEX(ChqAmt,IFERROR(MATCH(471,ChqRankU,0),0))))</f>
        <v/>
      </c>
      <c r="E487" s="14">
        <f>IF(IFERROR(MATCH(471,ChqRankU,0),0)=0,"",INDEX(ChqStatus,IFERROR(MATCH(471,ChqRankU,0),0)))</f>
        <v/>
      </c>
      <c r="F487" s="22">
        <f>IF(IFERROR(MATCH(471,ChqRankU,0),0)=0,"",IF(INDEX(ChqStatus,IFERROR(MATCH(471,ChqRankU,0),0))="پاس نشده","—",IF(INDEX(ChqClr,IFERROR(MATCH(471,ChqRankU,0),0))="","—",INDEX(ChqClr,IFERROR(MATCH(471,ChqRankU,0),0)))))</f>
        <v/>
      </c>
      <c r="I487">
        <f>IF(471&gt;NChq,"",INDEX(ChqNorm,471))</f>
        <v/>
      </c>
      <c r="J487">
        <f>IF($I487="","",IF(AND($I487&gt;=$H$3,$I487&lt;=$H$4,INDEX(ChqStatus,471)="پاس نشده"),1,0))</f>
        <v/>
      </c>
      <c r="K487">
        <f>IF($J487=0,"",INDEX(ChqKey,471))</f>
        <v/>
      </c>
      <c r="L487">
        <f>IF($K487="","",COUNTIFS($J$17:$J$516,1,$K$17:$K$516,"&lt;"&amp;$K487)+1)</f>
        <v/>
      </c>
    </row>
    <row r="488">
      <c r="A488" s="16">
        <f>IF(IFERROR(MATCH(472,ChqRankU,0),0)=0,"",472)</f>
        <v/>
      </c>
      <c r="B488" s="24">
        <f>IF(IFERROR(MATCH(472,ChqRankU,0),0)=0,"",INDEX(ChqNorm,IFERROR(MATCH(472,ChqRankU,0),0)))</f>
        <v/>
      </c>
      <c r="C488" s="24">
        <f>IF(IFERROR(MATCH(472,ChqRankU,0),0)=0,"",INDEX(ChqNo,IFERROR(MATCH(472,ChqRankU,0),0)))</f>
        <v/>
      </c>
      <c r="D488" s="25">
        <f>IF(IFERROR(MATCH(472,ChqRankU,0),0)=0,"",IF(INDEX(ChqAmt,IFERROR(MATCH(472,ChqRankU,0),0))=0,"",INDEX(ChqAmt,IFERROR(MATCH(472,ChqRankU,0),0))))</f>
        <v/>
      </c>
      <c r="E488" s="17">
        <f>IF(IFERROR(MATCH(472,ChqRankU,0),0)=0,"",INDEX(ChqStatus,IFERROR(MATCH(472,ChqRankU,0),0)))</f>
        <v/>
      </c>
      <c r="F488" s="24">
        <f>IF(IFERROR(MATCH(472,ChqRankU,0),0)=0,"",IF(INDEX(ChqStatus,IFERROR(MATCH(472,ChqRankU,0),0))="پاس نشده","—",IF(INDEX(ChqClr,IFERROR(MATCH(472,ChqRankU,0),0))="","—",INDEX(ChqClr,IFERROR(MATCH(472,ChqRankU,0),0)))))</f>
        <v/>
      </c>
      <c r="I488">
        <f>IF(472&gt;NChq,"",INDEX(ChqNorm,472))</f>
        <v/>
      </c>
      <c r="J488">
        <f>IF($I488="","",IF(AND($I488&gt;=$H$3,$I488&lt;=$H$4,INDEX(ChqStatus,472)="پاس نشده"),1,0))</f>
        <v/>
      </c>
      <c r="K488">
        <f>IF($J488=0,"",INDEX(ChqKey,472))</f>
        <v/>
      </c>
      <c r="L488">
        <f>IF($K488="","",COUNTIFS($J$17:$J$516,1,$K$17:$K$516,"&lt;"&amp;$K488)+1)</f>
        <v/>
      </c>
    </row>
    <row r="489">
      <c r="A489" s="10">
        <f>IF(IFERROR(MATCH(473,ChqRankU,0),0)=0,"",473)</f>
        <v/>
      </c>
      <c r="B489" s="22">
        <f>IF(IFERROR(MATCH(473,ChqRankU,0),0)=0,"",INDEX(ChqNorm,IFERROR(MATCH(473,ChqRankU,0),0)))</f>
        <v/>
      </c>
      <c r="C489" s="22">
        <f>IF(IFERROR(MATCH(473,ChqRankU,0),0)=0,"",INDEX(ChqNo,IFERROR(MATCH(473,ChqRankU,0),0)))</f>
        <v/>
      </c>
      <c r="D489" s="23">
        <f>IF(IFERROR(MATCH(473,ChqRankU,0),0)=0,"",IF(INDEX(ChqAmt,IFERROR(MATCH(473,ChqRankU,0),0))=0,"",INDEX(ChqAmt,IFERROR(MATCH(473,ChqRankU,0),0))))</f>
        <v/>
      </c>
      <c r="E489" s="14">
        <f>IF(IFERROR(MATCH(473,ChqRankU,0),0)=0,"",INDEX(ChqStatus,IFERROR(MATCH(473,ChqRankU,0),0)))</f>
        <v/>
      </c>
      <c r="F489" s="22">
        <f>IF(IFERROR(MATCH(473,ChqRankU,0),0)=0,"",IF(INDEX(ChqStatus,IFERROR(MATCH(473,ChqRankU,0),0))="پاس نشده","—",IF(INDEX(ChqClr,IFERROR(MATCH(473,ChqRankU,0),0))="","—",INDEX(ChqClr,IFERROR(MATCH(473,ChqRankU,0),0)))))</f>
        <v/>
      </c>
      <c r="I489">
        <f>IF(473&gt;NChq,"",INDEX(ChqNorm,473))</f>
        <v/>
      </c>
      <c r="J489">
        <f>IF($I489="","",IF(AND($I489&gt;=$H$3,$I489&lt;=$H$4,INDEX(ChqStatus,473)="پاس نشده"),1,0))</f>
        <v/>
      </c>
      <c r="K489">
        <f>IF($J489=0,"",INDEX(ChqKey,473))</f>
        <v/>
      </c>
      <c r="L489">
        <f>IF($K489="","",COUNTIFS($J$17:$J$516,1,$K$17:$K$516,"&lt;"&amp;$K489)+1)</f>
        <v/>
      </c>
    </row>
    <row r="490">
      <c r="A490" s="16">
        <f>IF(IFERROR(MATCH(474,ChqRankU,0),0)=0,"",474)</f>
        <v/>
      </c>
      <c r="B490" s="24">
        <f>IF(IFERROR(MATCH(474,ChqRankU,0),0)=0,"",INDEX(ChqNorm,IFERROR(MATCH(474,ChqRankU,0),0)))</f>
        <v/>
      </c>
      <c r="C490" s="24">
        <f>IF(IFERROR(MATCH(474,ChqRankU,0),0)=0,"",INDEX(ChqNo,IFERROR(MATCH(474,ChqRankU,0),0)))</f>
        <v/>
      </c>
      <c r="D490" s="25">
        <f>IF(IFERROR(MATCH(474,ChqRankU,0),0)=0,"",IF(INDEX(ChqAmt,IFERROR(MATCH(474,ChqRankU,0),0))=0,"",INDEX(ChqAmt,IFERROR(MATCH(474,ChqRankU,0),0))))</f>
        <v/>
      </c>
      <c r="E490" s="17">
        <f>IF(IFERROR(MATCH(474,ChqRankU,0),0)=0,"",INDEX(ChqStatus,IFERROR(MATCH(474,ChqRankU,0),0)))</f>
        <v/>
      </c>
      <c r="F490" s="24">
        <f>IF(IFERROR(MATCH(474,ChqRankU,0),0)=0,"",IF(INDEX(ChqStatus,IFERROR(MATCH(474,ChqRankU,0),0))="پاس نشده","—",IF(INDEX(ChqClr,IFERROR(MATCH(474,ChqRankU,0),0))="","—",INDEX(ChqClr,IFERROR(MATCH(474,ChqRankU,0),0)))))</f>
        <v/>
      </c>
      <c r="I490">
        <f>IF(474&gt;NChq,"",INDEX(ChqNorm,474))</f>
        <v/>
      </c>
      <c r="J490">
        <f>IF($I490="","",IF(AND($I490&gt;=$H$3,$I490&lt;=$H$4,INDEX(ChqStatus,474)="پاس نشده"),1,0))</f>
        <v/>
      </c>
      <c r="K490">
        <f>IF($J490=0,"",INDEX(ChqKey,474))</f>
        <v/>
      </c>
      <c r="L490">
        <f>IF($K490="","",COUNTIFS($J$17:$J$516,1,$K$17:$K$516,"&lt;"&amp;$K490)+1)</f>
        <v/>
      </c>
    </row>
    <row r="491">
      <c r="A491" s="10">
        <f>IF(IFERROR(MATCH(475,ChqRankU,0),0)=0,"",475)</f>
        <v/>
      </c>
      <c r="B491" s="22">
        <f>IF(IFERROR(MATCH(475,ChqRankU,0),0)=0,"",INDEX(ChqNorm,IFERROR(MATCH(475,ChqRankU,0),0)))</f>
        <v/>
      </c>
      <c r="C491" s="22">
        <f>IF(IFERROR(MATCH(475,ChqRankU,0),0)=0,"",INDEX(ChqNo,IFERROR(MATCH(475,ChqRankU,0),0)))</f>
        <v/>
      </c>
      <c r="D491" s="23">
        <f>IF(IFERROR(MATCH(475,ChqRankU,0),0)=0,"",IF(INDEX(ChqAmt,IFERROR(MATCH(475,ChqRankU,0),0))=0,"",INDEX(ChqAmt,IFERROR(MATCH(475,ChqRankU,0),0))))</f>
        <v/>
      </c>
      <c r="E491" s="14">
        <f>IF(IFERROR(MATCH(475,ChqRankU,0),0)=0,"",INDEX(ChqStatus,IFERROR(MATCH(475,ChqRankU,0),0)))</f>
        <v/>
      </c>
      <c r="F491" s="22">
        <f>IF(IFERROR(MATCH(475,ChqRankU,0),0)=0,"",IF(INDEX(ChqStatus,IFERROR(MATCH(475,ChqRankU,0),0))="پاس نشده","—",IF(INDEX(ChqClr,IFERROR(MATCH(475,ChqRankU,0),0))="","—",INDEX(ChqClr,IFERROR(MATCH(475,ChqRankU,0),0)))))</f>
        <v/>
      </c>
      <c r="I491">
        <f>IF(475&gt;NChq,"",INDEX(ChqNorm,475))</f>
        <v/>
      </c>
      <c r="J491">
        <f>IF($I491="","",IF(AND($I491&gt;=$H$3,$I491&lt;=$H$4,INDEX(ChqStatus,475)="پاس نشده"),1,0))</f>
        <v/>
      </c>
      <c r="K491">
        <f>IF($J491=0,"",INDEX(ChqKey,475))</f>
        <v/>
      </c>
      <c r="L491">
        <f>IF($K491="","",COUNTIFS($J$17:$J$516,1,$K$17:$K$516,"&lt;"&amp;$K491)+1)</f>
        <v/>
      </c>
    </row>
    <row r="492">
      <c r="A492" s="16">
        <f>IF(IFERROR(MATCH(476,ChqRankU,0),0)=0,"",476)</f>
        <v/>
      </c>
      <c r="B492" s="24">
        <f>IF(IFERROR(MATCH(476,ChqRankU,0),0)=0,"",INDEX(ChqNorm,IFERROR(MATCH(476,ChqRankU,0),0)))</f>
        <v/>
      </c>
      <c r="C492" s="24">
        <f>IF(IFERROR(MATCH(476,ChqRankU,0),0)=0,"",INDEX(ChqNo,IFERROR(MATCH(476,ChqRankU,0),0)))</f>
        <v/>
      </c>
      <c r="D492" s="25">
        <f>IF(IFERROR(MATCH(476,ChqRankU,0),0)=0,"",IF(INDEX(ChqAmt,IFERROR(MATCH(476,ChqRankU,0),0))=0,"",INDEX(ChqAmt,IFERROR(MATCH(476,ChqRankU,0),0))))</f>
        <v/>
      </c>
      <c r="E492" s="17">
        <f>IF(IFERROR(MATCH(476,ChqRankU,0),0)=0,"",INDEX(ChqStatus,IFERROR(MATCH(476,ChqRankU,0),0)))</f>
        <v/>
      </c>
      <c r="F492" s="24">
        <f>IF(IFERROR(MATCH(476,ChqRankU,0),0)=0,"",IF(INDEX(ChqStatus,IFERROR(MATCH(476,ChqRankU,0),0))="پاس نشده","—",IF(INDEX(ChqClr,IFERROR(MATCH(476,ChqRankU,0),0))="","—",INDEX(ChqClr,IFERROR(MATCH(476,ChqRankU,0),0)))))</f>
        <v/>
      </c>
      <c r="I492">
        <f>IF(476&gt;NChq,"",INDEX(ChqNorm,476))</f>
        <v/>
      </c>
      <c r="J492">
        <f>IF($I492="","",IF(AND($I492&gt;=$H$3,$I492&lt;=$H$4,INDEX(ChqStatus,476)="پاس نشده"),1,0))</f>
        <v/>
      </c>
      <c r="K492">
        <f>IF($J492=0,"",INDEX(ChqKey,476))</f>
        <v/>
      </c>
      <c r="L492">
        <f>IF($K492="","",COUNTIFS($J$17:$J$516,1,$K$17:$K$516,"&lt;"&amp;$K492)+1)</f>
        <v/>
      </c>
    </row>
    <row r="493">
      <c r="A493" s="10">
        <f>IF(IFERROR(MATCH(477,ChqRankU,0),0)=0,"",477)</f>
        <v/>
      </c>
      <c r="B493" s="22">
        <f>IF(IFERROR(MATCH(477,ChqRankU,0),0)=0,"",INDEX(ChqNorm,IFERROR(MATCH(477,ChqRankU,0),0)))</f>
        <v/>
      </c>
      <c r="C493" s="22">
        <f>IF(IFERROR(MATCH(477,ChqRankU,0),0)=0,"",INDEX(ChqNo,IFERROR(MATCH(477,ChqRankU,0),0)))</f>
        <v/>
      </c>
      <c r="D493" s="23">
        <f>IF(IFERROR(MATCH(477,ChqRankU,0),0)=0,"",IF(INDEX(ChqAmt,IFERROR(MATCH(477,ChqRankU,0),0))=0,"",INDEX(ChqAmt,IFERROR(MATCH(477,ChqRankU,0),0))))</f>
        <v/>
      </c>
      <c r="E493" s="14">
        <f>IF(IFERROR(MATCH(477,ChqRankU,0),0)=0,"",INDEX(ChqStatus,IFERROR(MATCH(477,ChqRankU,0),0)))</f>
        <v/>
      </c>
      <c r="F493" s="22">
        <f>IF(IFERROR(MATCH(477,ChqRankU,0),0)=0,"",IF(INDEX(ChqStatus,IFERROR(MATCH(477,ChqRankU,0),0))="پاس نشده","—",IF(INDEX(ChqClr,IFERROR(MATCH(477,ChqRankU,0),0))="","—",INDEX(ChqClr,IFERROR(MATCH(477,ChqRankU,0),0)))))</f>
        <v/>
      </c>
      <c r="I493">
        <f>IF(477&gt;NChq,"",INDEX(ChqNorm,477))</f>
        <v/>
      </c>
      <c r="J493">
        <f>IF($I493="","",IF(AND($I493&gt;=$H$3,$I493&lt;=$H$4,INDEX(ChqStatus,477)="پاس نشده"),1,0))</f>
        <v/>
      </c>
      <c r="K493">
        <f>IF($J493=0,"",INDEX(ChqKey,477))</f>
        <v/>
      </c>
      <c r="L493">
        <f>IF($K493="","",COUNTIFS($J$17:$J$516,1,$K$17:$K$516,"&lt;"&amp;$K493)+1)</f>
        <v/>
      </c>
    </row>
    <row r="494">
      <c r="A494" s="16">
        <f>IF(IFERROR(MATCH(478,ChqRankU,0),0)=0,"",478)</f>
        <v/>
      </c>
      <c r="B494" s="24">
        <f>IF(IFERROR(MATCH(478,ChqRankU,0),0)=0,"",INDEX(ChqNorm,IFERROR(MATCH(478,ChqRankU,0),0)))</f>
        <v/>
      </c>
      <c r="C494" s="24">
        <f>IF(IFERROR(MATCH(478,ChqRankU,0),0)=0,"",INDEX(ChqNo,IFERROR(MATCH(478,ChqRankU,0),0)))</f>
        <v/>
      </c>
      <c r="D494" s="25">
        <f>IF(IFERROR(MATCH(478,ChqRankU,0),0)=0,"",IF(INDEX(ChqAmt,IFERROR(MATCH(478,ChqRankU,0),0))=0,"",INDEX(ChqAmt,IFERROR(MATCH(478,ChqRankU,0),0))))</f>
        <v/>
      </c>
      <c r="E494" s="17">
        <f>IF(IFERROR(MATCH(478,ChqRankU,0),0)=0,"",INDEX(ChqStatus,IFERROR(MATCH(478,ChqRankU,0),0)))</f>
        <v/>
      </c>
      <c r="F494" s="24">
        <f>IF(IFERROR(MATCH(478,ChqRankU,0),0)=0,"",IF(INDEX(ChqStatus,IFERROR(MATCH(478,ChqRankU,0),0))="پاس نشده","—",IF(INDEX(ChqClr,IFERROR(MATCH(478,ChqRankU,0),0))="","—",INDEX(ChqClr,IFERROR(MATCH(478,ChqRankU,0),0)))))</f>
        <v/>
      </c>
      <c r="I494">
        <f>IF(478&gt;NChq,"",INDEX(ChqNorm,478))</f>
        <v/>
      </c>
      <c r="J494">
        <f>IF($I494="","",IF(AND($I494&gt;=$H$3,$I494&lt;=$H$4,INDEX(ChqStatus,478)="پاس نشده"),1,0))</f>
        <v/>
      </c>
      <c r="K494">
        <f>IF($J494=0,"",INDEX(ChqKey,478))</f>
        <v/>
      </c>
      <c r="L494">
        <f>IF($K494="","",COUNTIFS($J$17:$J$516,1,$K$17:$K$516,"&lt;"&amp;$K494)+1)</f>
        <v/>
      </c>
    </row>
    <row r="495">
      <c r="A495" s="10">
        <f>IF(IFERROR(MATCH(479,ChqRankU,0),0)=0,"",479)</f>
        <v/>
      </c>
      <c r="B495" s="22">
        <f>IF(IFERROR(MATCH(479,ChqRankU,0),0)=0,"",INDEX(ChqNorm,IFERROR(MATCH(479,ChqRankU,0),0)))</f>
        <v/>
      </c>
      <c r="C495" s="22">
        <f>IF(IFERROR(MATCH(479,ChqRankU,0),0)=0,"",INDEX(ChqNo,IFERROR(MATCH(479,ChqRankU,0),0)))</f>
        <v/>
      </c>
      <c r="D495" s="23">
        <f>IF(IFERROR(MATCH(479,ChqRankU,0),0)=0,"",IF(INDEX(ChqAmt,IFERROR(MATCH(479,ChqRankU,0),0))=0,"",INDEX(ChqAmt,IFERROR(MATCH(479,ChqRankU,0),0))))</f>
        <v/>
      </c>
      <c r="E495" s="14">
        <f>IF(IFERROR(MATCH(479,ChqRankU,0),0)=0,"",INDEX(ChqStatus,IFERROR(MATCH(479,ChqRankU,0),0)))</f>
        <v/>
      </c>
      <c r="F495" s="22">
        <f>IF(IFERROR(MATCH(479,ChqRankU,0),0)=0,"",IF(INDEX(ChqStatus,IFERROR(MATCH(479,ChqRankU,0),0))="پاس نشده","—",IF(INDEX(ChqClr,IFERROR(MATCH(479,ChqRankU,0),0))="","—",INDEX(ChqClr,IFERROR(MATCH(479,ChqRankU,0),0)))))</f>
        <v/>
      </c>
      <c r="I495">
        <f>IF(479&gt;NChq,"",INDEX(ChqNorm,479))</f>
        <v/>
      </c>
      <c r="J495">
        <f>IF($I495="","",IF(AND($I495&gt;=$H$3,$I495&lt;=$H$4,INDEX(ChqStatus,479)="پاس نشده"),1,0))</f>
        <v/>
      </c>
      <c r="K495">
        <f>IF($J495=0,"",INDEX(ChqKey,479))</f>
        <v/>
      </c>
      <c r="L495">
        <f>IF($K495="","",COUNTIFS($J$17:$J$516,1,$K$17:$K$516,"&lt;"&amp;$K495)+1)</f>
        <v/>
      </c>
    </row>
    <row r="496">
      <c r="A496" s="16">
        <f>IF(IFERROR(MATCH(480,ChqRankU,0),0)=0,"",480)</f>
        <v/>
      </c>
      <c r="B496" s="24">
        <f>IF(IFERROR(MATCH(480,ChqRankU,0),0)=0,"",INDEX(ChqNorm,IFERROR(MATCH(480,ChqRankU,0),0)))</f>
        <v/>
      </c>
      <c r="C496" s="24">
        <f>IF(IFERROR(MATCH(480,ChqRankU,0),0)=0,"",INDEX(ChqNo,IFERROR(MATCH(480,ChqRankU,0),0)))</f>
        <v/>
      </c>
      <c r="D496" s="25">
        <f>IF(IFERROR(MATCH(480,ChqRankU,0),0)=0,"",IF(INDEX(ChqAmt,IFERROR(MATCH(480,ChqRankU,0),0))=0,"",INDEX(ChqAmt,IFERROR(MATCH(480,ChqRankU,0),0))))</f>
        <v/>
      </c>
      <c r="E496" s="17">
        <f>IF(IFERROR(MATCH(480,ChqRankU,0),0)=0,"",INDEX(ChqStatus,IFERROR(MATCH(480,ChqRankU,0),0)))</f>
        <v/>
      </c>
      <c r="F496" s="24">
        <f>IF(IFERROR(MATCH(480,ChqRankU,0),0)=0,"",IF(INDEX(ChqStatus,IFERROR(MATCH(480,ChqRankU,0),0))="پاس نشده","—",IF(INDEX(ChqClr,IFERROR(MATCH(480,ChqRankU,0),0))="","—",INDEX(ChqClr,IFERROR(MATCH(480,ChqRankU,0),0)))))</f>
        <v/>
      </c>
      <c r="I496">
        <f>IF(480&gt;NChq,"",INDEX(ChqNorm,480))</f>
        <v/>
      </c>
      <c r="J496">
        <f>IF($I496="","",IF(AND($I496&gt;=$H$3,$I496&lt;=$H$4,INDEX(ChqStatus,480)="پاس نشده"),1,0))</f>
        <v/>
      </c>
      <c r="K496">
        <f>IF($J496=0,"",INDEX(ChqKey,480))</f>
        <v/>
      </c>
      <c r="L496">
        <f>IF($K496="","",COUNTIFS($J$17:$J$516,1,$K$17:$K$516,"&lt;"&amp;$K496)+1)</f>
        <v/>
      </c>
    </row>
    <row r="497">
      <c r="A497" s="10">
        <f>IF(IFERROR(MATCH(481,ChqRankU,0),0)=0,"",481)</f>
        <v/>
      </c>
      <c r="B497" s="22">
        <f>IF(IFERROR(MATCH(481,ChqRankU,0),0)=0,"",INDEX(ChqNorm,IFERROR(MATCH(481,ChqRankU,0),0)))</f>
        <v/>
      </c>
      <c r="C497" s="22">
        <f>IF(IFERROR(MATCH(481,ChqRankU,0),0)=0,"",INDEX(ChqNo,IFERROR(MATCH(481,ChqRankU,0),0)))</f>
        <v/>
      </c>
      <c r="D497" s="23">
        <f>IF(IFERROR(MATCH(481,ChqRankU,0),0)=0,"",IF(INDEX(ChqAmt,IFERROR(MATCH(481,ChqRankU,0),0))=0,"",INDEX(ChqAmt,IFERROR(MATCH(481,ChqRankU,0),0))))</f>
        <v/>
      </c>
      <c r="E497" s="14">
        <f>IF(IFERROR(MATCH(481,ChqRankU,0),0)=0,"",INDEX(ChqStatus,IFERROR(MATCH(481,ChqRankU,0),0)))</f>
        <v/>
      </c>
      <c r="F497" s="22">
        <f>IF(IFERROR(MATCH(481,ChqRankU,0),0)=0,"",IF(INDEX(ChqStatus,IFERROR(MATCH(481,ChqRankU,0),0))="پاس نشده","—",IF(INDEX(ChqClr,IFERROR(MATCH(481,ChqRankU,0),0))="","—",INDEX(ChqClr,IFERROR(MATCH(481,ChqRankU,0),0)))))</f>
        <v/>
      </c>
      <c r="I497">
        <f>IF(481&gt;NChq,"",INDEX(ChqNorm,481))</f>
        <v/>
      </c>
      <c r="J497">
        <f>IF($I497="","",IF(AND($I497&gt;=$H$3,$I497&lt;=$H$4,INDEX(ChqStatus,481)="پاس نشده"),1,0))</f>
        <v/>
      </c>
      <c r="K497">
        <f>IF($J497=0,"",INDEX(ChqKey,481))</f>
        <v/>
      </c>
      <c r="L497">
        <f>IF($K497="","",COUNTIFS($J$17:$J$516,1,$K$17:$K$516,"&lt;"&amp;$K497)+1)</f>
        <v/>
      </c>
    </row>
    <row r="498">
      <c r="A498" s="16">
        <f>IF(IFERROR(MATCH(482,ChqRankU,0),0)=0,"",482)</f>
        <v/>
      </c>
      <c r="B498" s="24">
        <f>IF(IFERROR(MATCH(482,ChqRankU,0),0)=0,"",INDEX(ChqNorm,IFERROR(MATCH(482,ChqRankU,0),0)))</f>
        <v/>
      </c>
      <c r="C498" s="24">
        <f>IF(IFERROR(MATCH(482,ChqRankU,0),0)=0,"",INDEX(ChqNo,IFERROR(MATCH(482,ChqRankU,0),0)))</f>
        <v/>
      </c>
      <c r="D498" s="25">
        <f>IF(IFERROR(MATCH(482,ChqRankU,0),0)=0,"",IF(INDEX(ChqAmt,IFERROR(MATCH(482,ChqRankU,0),0))=0,"",INDEX(ChqAmt,IFERROR(MATCH(482,ChqRankU,0),0))))</f>
        <v/>
      </c>
      <c r="E498" s="17">
        <f>IF(IFERROR(MATCH(482,ChqRankU,0),0)=0,"",INDEX(ChqStatus,IFERROR(MATCH(482,ChqRankU,0),0)))</f>
        <v/>
      </c>
      <c r="F498" s="24">
        <f>IF(IFERROR(MATCH(482,ChqRankU,0),0)=0,"",IF(INDEX(ChqStatus,IFERROR(MATCH(482,ChqRankU,0),0))="پاس نشده","—",IF(INDEX(ChqClr,IFERROR(MATCH(482,ChqRankU,0),0))="","—",INDEX(ChqClr,IFERROR(MATCH(482,ChqRankU,0),0)))))</f>
        <v/>
      </c>
      <c r="I498">
        <f>IF(482&gt;NChq,"",INDEX(ChqNorm,482))</f>
        <v/>
      </c>
      <c r="J498">
        <f>IF($I498="","",IF(AND($I498&gt;=$H$3,$I498&lt;=$H$4,INDEX(ChqStatus,482)="پاس نشده"),1,0))</f>
        <v/>
      </c>
      <c r="K498">
        <f>IF($J498=0,"",INDEX(ChqKey,482))</f>
        <v/>
      </c>
      <c r="L498">
        <f>IF($K498="","",COUNTIFS($J$17:$J$516,1,$K$17:$K$516,"&lt;"&amp;$K498)+1)</f>
        <v/>
      </c>
    </row>
    <row r="499">
      <c r="A499" s="10">
        <f>IF(IFERROR(MATCH(483,ChqRankU,0),0)=0,"",483)</f>
        <v/>
      </c>
      <c r="B499" s="22">
        <f>IF(IFERROR(MATCH(483,ChqRankU,0),0)=0,"",INDEX(ChqNorm,IFERROR(MATCH(483,ChqRankU,0),0)))</f>
        <v/>
      </c>
      <c r="C499" s="22">
        <f>IF(IFERROR(MATCH(483,ChqRankU,0),0)=0,"",INDEX(ChqNo,IFERROR(MATCH(483,ChqRankU,0),0)))</f>
        <v/>
      </c>
      <c r="D499" s="23">
        <f>IF(IFERROR(MATCH(483,ChqRankU,0),0)=0,"",IF(INDEX(ChqAmt,IFERROR(MATCH(483,ChqRankU,0),0))=0,"",INDEX(ChqAmt,IFERROR(MATCH(483,ChqRankU,0),0))))</f>
        <v/>
      </c>
      <c r="E499" s="14">
        <f>IF(IFERROR(MATCH(483,ChqRankU,0),0)=0,"",INDEX(ChqStatus,IFERROR(MATCH(483,ChqRankU,0),0)))</f>
        <v/>
      </c>
      <c r="F499" s="22">
        <f>IF(IFERROR(MATCH(483,ChqRankU,0),0)=0,"",IF(INDEX(ChqStatus,IFERROR(MATCH(483,ChqRankU,0),0))="پاس نشده","—",IF(INDEX(ChqClr,IFERROR(MATCH(483,ChqRankU,0),0))="","—",INDEX(ChqClr,IFERROR(MATCH(483,ChqRankU,0),0)))))</f>
        <v/>
      </c>
      <c r="I499">
        <f>IF(483&gt;NChq,"",INDEX(ChqNorm,483))</f>
        <v/>
      </c>
      <c r="J499">
        <f>IF($I499="","",IF(AND($I499&gt;=$H$3,$I499&lt;=$H$4,INDEX(ChqStatus,483)="پاس نشده"),1,0))</f>
        <v/>
      </c>
      <c r="K499">
        <f>IF($J499=0,"",INDEX(ChqKey,483))</f>
        <v/>
      </c>
      <c r="L499">
        <f>IF($K499="","",COUNTIFS($J$17:$J$516,1,$K$17:$K$516,"&lt;"&amp;$K499)+1)</f>
        <v/>
      </c>
    </row>
    <row r="500">
      <c r="A500" s="16">
        <f>IF(IFERROR(MATCH(484,ChqRankU,0),0)=0,"",484)</f>
        <v/>
      </c>
      <c r="B500" s="24">
        <f>IF(IFERROR(MATCH(484,ChqRankU,0),0)=0,"",INDEX(ChqNorm,IFERROR(MATCH(484,ChqRankU,0),0)))</f>
        <v/>
      </c>
      <c r="C500" s="24">
        <f>IF(IFERROR(MATCH(484,ChqRankU,0),0)=0,"",INDEX(ChqNo,IFERROR(MATCH(484,ChqRankU,0),0)))</f>
        <v/>
      </c>
      <c r="D500" s="25">
        <f>IF(IFERROR(MATCH(484,ChqRankU,0),0)=0,"",IF(INDEX(ChqAmt,IFERROR(MATCH(484,ChqRankU,0),0))=0,"",INDEX(ChqAmt,IFERROR(MATCH(484,ChqRankU,0),0))))</f>
        <v/>
      </c>
      <c r="E500" s="17">
        <f>IF(IFERROR(MATCH(484,ChqRankU,0),0)=0,"",INDEX(ChqStatus,IFERROR(MATCH(484,ChqRankU,0),0)))</f>
        <v/>
      </c>
      <c r="F500" s="24">
        <f>IF(IFERROR(MATCH(484,ChqRankU,0),0)=0,"",IF(INDEX(ChqStatus,IFERROR(MATCH(484,ChqRankU,0),0))="پاس نشده","—",IF(INDEX(ChqClr,IFERROR(MATCH(484,ChqRankU,0),0))="","—",INDEX(ChqClr,IFERROR(MATCH(484,ChqRankU,0),0)))))</f>
        <v/>
      </c>
      <c r="I500">
        <f>IF(484&gt;NChq,"",INDEX(ChqNorm,484))</f>
        <v/>
      </c>
      <c r="J500">
        <f>IF($I500="","",IF(AND($I500&gt;=$H$3,$I500&lt;=$H$4,INDEX(ChqStatus,484)="پاس نشده"),1,0))</f>
        <v/>
      </c>
      <c r="K500">
        <f>IF($J500=0,"",INDEX(ChqKey,484))</f>
        <v/>
      </c>
      <c r="L500">
        <f>IF($K500="","",COUNTIFS($J$17:$J$516,1,$K$17:$K$516,"&lt;"&amp;$K500)+1)</f>
        <v/>
      </c>
    </row>
    <row r="501">
      <c r="A501" s="10">
        <f>IF(IFERROR(MATCH(485,ChqRankU,0),0)=0,"",485)</f>
        <v/>
      </c>
      <c r="B501" s="22">
        <f>IF(IFERROR(MATCH(485,ChqRankU,0),0)=0,"",INDEX(ChqNorm,IFERROR(MATCH(485,ChqRankU,0),0)))</f>
        <v/>
      </c>
      <c r="C501" s="22">
        <f>IF(IFERROR(MATCH(485,ChqRankU,0),0)=0,"",INDEX(ChqNo,IFERROR(MATCH(485,ChqRankU,0),0)))</f>
        <v/>
      </c>
      <c r="D501" s="23">
        <f>IF(IFERROR(MATCH(485,ChqRankU,0),0)=0,"",IF(INDEX(ChqAmt,IFERROR(MATCH(485,ChqRankU,0),0))=0,"",INDEX(ChqAmt,IFERROR(MATCH(485,ChqRankU,0),0))))</f>
        <v/>
      </c>
      <c r="E501" s="14">
        <f>IF(IFERROR(MATCH(485,ChqRankU,0),0)=0,"",INDEX(ChqStatus,IFERROR(MATCH(485,ChqRankU,0),0)))</f>
        <v/>
      </c>
      <c r="F501" s="22">
        <f>IF(IFERROR(MATCH(485,ChqRankU,0),0)=0,"",IF(INDEX(ChqStatus,IFERROR(MATCH(485,ChqRankU,0),0))="پاس نشده","—",IF(INDEX(ChqClr,IFERROR(MATCH(485,ChqRankU,0),0))="","—",INDEX(ChqClr,IFERROR(MATCH(485,ChqRankU,0),0)))))</f>
        <v/>
      </c>
      <c r="I501">
        <f>IF(485&gt;NChq,"",INDEX(ChqNorm,485))</f>
        <v/>
      </c>
      <c r="J501">
        <f>IF($I501="","",IF(AND($I501&gt;=$H$3,$I501&lt;=$H$4,INDEX(ChqStatus,485)="پاس نشده"),1,0))</f>
        <v/>
      </c>
      <c r="K501">
        <f>IF($J501=0,"",INDEX(ChqKey,485))</f>
        <v/>
      </c>
      <c r="L501">
        <f>IF($K501="","",COUNTIFS($J$17:$J$516,1,$K$17:$K$516,"&lt;"&amp;$K501)+1)</f>
        <v/>
      </c>
    </row>
    <row r="502">
      <c r="A502" s="16">
        <f>IF(IFERROR(MATCH(486,ChqRankU,0),0)=0,"",486)</f>
        <v/>
      </c>
      <c r="B502" s="24">
        <f>IF(IFERROR(MATCH(486,ChqRankU,0),0)=0,"",INDEX(ChqNorm,IFERROR(MATCH(486,ChqRankU,0),0)))</f>
        <v/>
      </c>
      <c r="C502" s="24">
        <f>IF(IFERROR(MATCH(486,ChqRankU,0),0)=0,"",INDEX(ChqNo,IFERROR(MATCH(486,ChqRankU,0),0)))</f>
        <v/>
      </c>
      <c r="D502" s="25">
        <f>IF(IFERROR(MATCH(486,ChqRankU,0),0)=0,"",IF(INDEX(ChqAmt,IFERROR(MATCH(486,ChqRankU,0),0))=0,"",INDEX(ChqAmt,IFERROR(MATCH(486,ChqRankU,0),0))))</f>
        <v/>
      </c>
      <c r="E502" s="17">
        <f>IF(IFERROR(MATCH(486,ChqRankU,0),0)=0,"",INDEX(ChqStatus,IFERROR(MATCH(486,ChqRankU,0),0)))</f>
        <v/>
      </c>
      <c r="F502" s="24">
        <f>IF(IFERROR(MATCH(486,ChqRankU,0),0)=0,"",IF(INDEX(ChqStatus,IFERROR(MATCH(486,ChqRankU,0),0))="پاس نشده","—",IF(INDEX(ChqClr,IFERROR(MATCH(486,ChqRankU,0),0))="","—",INDEX(ChqClr,IFERROR(MATCH(486,ChqRankU,0),0)))))</f>
        <v/>
      </c>
      <c r="I502">
        <f>IF(486&gt;NChq,"",INDEX(ChqNorm,486))</f>
        <v/>
      </c>
      <c r="J502">
        <f>IF($I502="","",IF(AND($I502&gt;=$H$3,$I502&lt;=$H$4,INDEX(ChqStatus,486)="پاس نشده"),1,0))</f>
        <v/>
      </c>
      <c r="K502">
        <f>IF($J502=0,"",INDEX(ChqKey,486))</f>
        <v/>
      </c>
      <c r="L502">
        <f>IF($K502="","",COUNTIFS($J$17:$J$516,1,$K$17:$K$516,"&lt;"&amp;$K502)+1)</f>
        <v/>
      </c>
    </row>
    <row r="503">
      <c r="A503" s="10">
        <f>IF(IFERROR(MATCH(487,ChqRankU,0),0)=0,"",487)</f>
        <v/>
      </c>
      <c r="B503" s="22">
        <f>IF(IFERROR(MATCH(487,ChqRankU,0),0)=0,"",INDEX(ChqNorm,IFERROR(MATCH(487,ChqRankU,0),0)))</f>
        <v/>
      </c>
      <c r="C503" s="22">
        <f>IF(IFERROR(MATCH(487,ChqRankU,0),0)=0,"",INDEX(ChqNo,IFERROR(MATCH(487,ChqRankU,0),0)))</f>
        <v/>
      </c>
      <c r="D503" s="23">
        <f>IF(IFERROR(MATCH(487,ChqRankU,0),0)=0,"",IF(INDEX(ChqAmt,IFERROR(MATCH(487,ChqRankU,0),0))=0,"",INDEX(ChqAmt,IFERROR(MATCH(487,ChqRankU,0),0))))</f>
        <v/>
      </c>
      <c r="E503" s="14">
        <f>IF(IFERROR(MATCH(487,ChqRankU,0),0)=0,"",INDEX(ChqStatus,IFERROR(MATCH(487,ChqRankU,0),0)))</f>
        <v/>
      </c>
      <c r="F503" s="22">
        <f>IF(IFERROR(MATCH(487,ChqRankU,0),0)=0,"",IF(INDEX(ChqStatus,IFERROR(MATCH(487,ChqRankU,0),0))="پاس نشده","—",IF(INDEX(ChqClr,IFERROR(MATCH(487,ChqRankU,0),0))="","—",INDEX(ChqClr,IFERROR(MATCH(487,ChqRankU,0),0)))))</f>
        <v/>
      </c>
      <c r="I503">
        <f>IF(487&gt;NChq,"",INDEX(ChqNorm,487))</f>
        <v/>
      </c>
      <c r="J503">
        <f>IF($I503="","",IF(AND($I503&gt;=$H$3,$I503&lt;=$H$4,INDEX(ChqStatus,487)="پاس نشده"),1,0))</f>
        <v/>
      </c>
      <c r="K503">
        <f>IF($J503=0,"",INDEX(ChqKey,487))</f>
        <v/>
      </c>
      <c r="L503">
        <f>IF($K503="","",COUNTIFS($J$17:$J$516,1,$K$17:$K$516,"&lt;"&amp;$K503)+1)</f>
        <v/>
      </c>
    </row>
    <row r="504">
      <c r="A504" s="16">
        <f>IF(IFERROR(MATCH(488,ChqRankU,0),0)=0,"",488)</f>
        <v/>
      </c>
      <c r="B504" s="24">
        <f>IF(IFERROR(MATCH(488,ChqRankU,0),0)=0,"",INDEX(ChqNorm,IFERROR(MATCH(488,ChqRankU,0),0)))</f>
        <v/>
      </c>
      <c r="C504" s="24">
        <f>IF(IFERROR(MATCH(488,ChqRankU,0),0)=0,"",INDEX(ChqNo,IFERROR(MATCH(488,ChqRankU,0),0)))</f>
        <v/>
      </c>
      <c r="D504" s="25">
        <f>IF(IFERROR(MATCH(488,ChqRankU,0),0)=0,"",IF(INDEX(ChqAmt,IFERROR(MATCH(488,ChqRankU,0),0))=0,"",INDEX(ChqAmt,IFERROR(MATCH(488,ChqRankU,0),0))))</f>
        <v/>
      </c>
      <c r="E504" s="17">
        <f>IF(IFERROR(MATCH(488,ChqRankU,0),0)=0,"",INDEX(ChqStatus,IFERROR(MATCH(488,ChqRankU,0),0)))</f>
        <v/>
      </c>
      <c r="F504" s="24">
        <f>IF(IFERROR(MATCH(488,ChqRankU,0),0)=0,"",IF(INDEX(ChqStatus,IFERROR(MATCH(488,ChqRankU,0),0))="پاس نشده","—",IF(INDEX(ChqClr,IFERROR(MATCH(488,ChqRankU,0),0))="","—",INDEX(ChqClr,IFERROR(MATCH(488,ChqRankU,0),0)))))</f>
        <v/>
      </c>
      <c r="I504">
        <f>IF(488&gt;NChq,"",INDEX(ChqNorm,488))</f>
        <v/>
      </c>
      <c r="J504">
        <f>IF($I504="","",IF(AND($I504&gt;=$H$3,$I504&lt;=$H$4,INDEX(ChqStatus,488)="پاس نشده"),1,0))</f>
        <v/>
      </c>
      <c r="K504">
        <f>IF($J504=0,"",INDEX(ChqKey,488))</f>
        <v/>
      </c>
      <c r="L504">
        <f>IF($K504="","",COUNTIFS($J$17:$J$516,1,$K$17:$K$516,"&lt;"&amp;$K504)+1)</f>
        <v/>
      </c>
    </row>
    <row r="505">
      <c r="A505" s="10">
        <f>IF(IFERROR(MATCH(489,ChqRankU,0),0)=0,"",489)</f>
        <v/>
      </c>
      <c r="B505" s="22">
        <f>IF(IFERROR(MATCH(489,ChqRankU,0),0)=0,"",INDEX(ChqNorm,IFERROR(MATCH(489,ChqRankU,0),0)))</f>
        <v/>
      </c>
      <c r="C505" s="22">
        <f>IF(IFERROR(MATCH(489,ChqRankU,0),0)=0,"",INDEX(ChqNo,IFERROR(MATCH(489,ChqRankU,0),0)))</f>
        <v/>
      </c>
      <c r="D505" s="23">
        <f>IF(IFERROR(MATCH(489,ChqRankU,0),0)=0,"",IF(INDEX(ChqAmt,IFERROR(MATCH(489,ChqRankU,0),0))=0,"",INDEX(ChqAmt,IFERROR(MATCH(489,ChqRankU,0),0))))</f>
        <v/>
      </c>
      <c r="E505" s="14">
        <f>IF(IFERROR(MATCH(489,ChqRankU,0),0)=0,"",INDEX(ChqStatus,IFERROR(MATCH(489,ChqRankU,0),0)))</f>
        <v/>
      </c>
      <c r="F505" s="22">
        <f>IF(IFERROR(MATCH(489,ChqRankU,0),0)=0,"",IF(INDEX(ChqStatus,IFERROR(MATCH(489,ChqRankU,0),0))="پاس نشده","—",IF(INDEX(ChqClr,IFERROR(MATCH(489,ChqRankU,0),0))="","—",INDEX(ChqClr,IFERROR(MATCH(489,ChqRankU,0),0)))))</f>
        <v/>
      </c>
      <c r="I505">
        <f>IF(489&gt;NChq,"",INDEX(ChqNorm,489))</f>
        <v/>
      </c>
      <c r="J505">
        <f>IF($I505="","",IF(AND($I505&gt;=$H$3,$I505&lt;=$H$4,INDEX(ChqStatus,489)="پاس نشده"),1,0))</f>
        <v/>
      </c>
      <c r="K505">
        <f>IF($J505=0,"",INDEX(ChqKey,489))</f>
        <v/>
      </c>
      <c r="L505">
        <f>IF($K505="","",COUNTIFS($J$17:$J$516,1,$K$17:$K$516,"&lt;"&amp;$K505)+1)</f>
        <v/>
      </c>
    </row>
    <row r="506">
      <c r="A506" s="16">
        <f>IF(IFERROR(MATCH(490,ChqRankU,0),0)=0,"",490)</f>
        <v/>
      </c>
      <c r="B506" s="24">
        <f>IF(IFERROR(MATCH(490,ChqRankU,0),0)=0,"",INDEX(ChqNorm,IFERROR(MATCH(490,ChqRankU,0),0)))</f>
        <v/>
      </c>
      <c r="C506" s="24">
        <f>IF(IFERROR(MATCH(490,ChqRankU,0),0)=0,"",INDEX(ChqNo,IFERROR(MATCH(490,ChqRankU,0),0)))</f>
        <v/>
      </c>
      <c r="D506" s="25">
        <f>IF(IFERROR(MATCH(490,ChqRankU,0),0)=0,"",IF(INDEX(ChqAmt,IFERROR(MATCH(490,ChqRankU,0),0))=0,"",INDEX(ChqAmt,IFERROR(MATCH(490,ChqRankU,0),0))))</f>
        <v/>
      </c>
      <c r="E506" s="17">
        <f>IF(IFERROR(MATCH(490,ChqRankU,0),0)=0,"",INDEX(ChqStatus,IFERROR(MATCH(490,ChqRankU,0),0)))</f>
        <v/>
      </c>
      <c r="F506" s="24">
        <f>IF(IFERROR(MATCH(490,ChqRankU,0),0)=0,"",IF(INDEX(ChqStatus,IFERROR(MATCH(490,ChqRankU,0),0))="پاس نشده","—",IF(INDEX(ChqClr,IFERROR(MATCH(490,ChqRankU,0),0))="","—",INDEX(ChqClr,IFERROR(MATCH(490,ChqRankU,0),0)))))</f>
        <v/>
      </c>
      <c r="I506">
        <f>IF(490&gt;NChq,"",INDEX(ChqNorm,490))</f>
        <v/>
      </c>
      <c r="J506">
        <f>IF($I506="","",IF(AND($I506&gt;=$H$3,$I506&lt;=$H$4,INDEX(ChqStatus,490)="پاس نشده"),1,0))</f>
        <v/>
      </c>
      <c r="K506">
        <f>IF($J506=0,"",INDEX(ChqKey,490))</f>
        <v/>
      </c>
      <c r="L506">
        <f>IF($K506="","",COUNTIFS($J$17:$J$516,1,$K$17:$K$516,"&lt;"&amp;$K506)+1)</f>
        <v/>
      </c>
    </row>
    <row r="507">
      <c r="A507" s="10">
        <f>IF(IFERROR(MATCH(491,ChqRankU,0),0)=0,"",491)</f>
        <v/>
      </c>
      <c r="B507" s="22">
        <f>IF(IFERROR(MATCH(491,ChqRankU,0),0)=0,"",INDEX(ChqNorm,IFERROR(MATCH(491,ChqRankU,0),0)))</f>
        <v/>
      </c>
      <c r="C507" s="22">
        <f>IF(IFERROR(MATCH(491,ChqRankU,0),0)=0,"",INDEX(ChqNo,IFERROR(MATCH(491,ChqRankU,0),0)))</f>
        <v/>
      </c>
      <c r="D507" s="23">
        <f>IF(IFERROR(MATCH(491,ChqRankU,0),0)=0,"",IF(INDEX(ChqAmt,IFERROR(MATCH(491,ChqRankU,0),0))=0,"",INDEX(ChqAmt,IFERROR(MATCH(491,ChqRankU,0),0))))</f>
        <v/>
      </c>
      <c r="E507" s="14">
        <f>IF(IFERROR(MATCH(491,ChqRankU,0),0)=0,"",INDEX(ChqStatus,IFERROR(MATCH(491,ChqRankU,0),0)))</f>
        <v/>
      </c>
      <c r="F507" s="22">
        <f>IF(IFERROR(MATCH(491,ChqRankU,0),0)=0,"",IF(INDEX(ChqStatus,IFERROR(MATCH(491,ChqRankU,0),0))="پاس نشده","—",IF(INDEX(ChqClr,IFERROR(MATCH(491,ChqRankU,0),0))="","—",INDEX(ChqClr,IFERROR(MATCH(491,ChqRankU,0),0)))))</f>
        <v/>
      </c>
      <c r="I507">
        <f>IF(491&gt;NChq,"",INDEX(ChqNorm,491))</f>
        <v/>
      </c>
      <c r="J507">
        <f>IF($I507="","",IF(AND($I507&gt;=$H$3,$I507&lt;=$H$4,INDEX(ChqStatus,491)="پاس نشده"),1,0))</f>
        <v/>
      </c>
      <c r="K507">
        <f>IF($J507=0,"",INDEX(ChqKey,491))</f>
        <v/>
      </c>
      <c r="L507">
        <f>IF($K507="","",COUNTIFS($J$17:$J$516,1,$K$17:$K$516,"&lt;"&amp;$K507)+1)</f>
        <v/>
      </c>
    </row>
    <row r="508">
      <c r="A508" s="16">
        <f>IF(IFERROR(MATCH(492,ChqRankU,0),0)=0,"",492)</f>
        <v/>
      </c>
      <c r="B508" s="24">
        <f>IF(IFERROR(MATCH(492,ChqRankU,0),0)=0,"",INDEX(ChqNorm,IFERROR(MATCH(492,ChqRankU,0),0)))</f>
        <v/>
      </c>
      <c r="C508" s="24">
        <f>IF(IFERROR(MATCH(492,ChqRankU,0),0)=0,"",INDEX(ChqNo,IFERROR(MATCH(492,ChqRankU,0),0)))</f>
        <v/>
      </c>
      <c r="D508" s="25">
        <f>IF(IFERROR(MATCH(492,ChqRankU,0),0)=0,"",IF(INDEX(ChqAmt,IFERROR(MATCH(492,ChqRankU,0),0))=0,"",INDEX(ChqAmt,IFERROR(MATCH(492,ChqRankU,0),0))))</f>
        <v/>
      </c>
      <c r="E508" s="17">
        <f>IF(IFERROR(MATCH(492,ChqRankU,0),0)=0,"",INDEX(ChqStatus,IFERROR(MATCH(492,ChqRankU,0),0)))</f>
        <v/>
      </c>
      <c r="F508" s="24">
        <f>IF(IFERROR(MATCH(492,ChqRankU,0),0)=0,"",IF(INDEX(ChqStatus,IFERROR(MATCH(492,ChqRankU,0),0))="پاس نشده","—",IF(INDEX(ChqClr,IFERROR(MATCH(492,ChqRankU,0),0))="","—",INDEX(ChqClr,IFERROR(MATCH(492,ChqRankU,0),0)))))</f>
        <v/>
      </c>
      <c r="I508">
        <f>IF(492&gt;NChq,"",INDEX(ChqNorm,492))</f>
        <v/>
      </c>
      <c r="J508">
        <f>IF($I508="","",IF(AND($I508&gt;=$H$3,$I508&lt;=$H$4,INDEX(ChqStatus,492)="پاس نشده"),1,0))</f>
        <v/>
      </c>
      <c r="K508">
        <f>IF($J508=0,"",INDEX(ChqKey,492))</f>
        <v/>
      </c>
      <c r="L508">
        <f>IF($K508="","",COUNTIFS($J$17:$J$516,1,$K$17:$K$516,"&lt;"&amp;$K508)+1)</f>
        <v/>
      </c>
    </row>
    <row r="509">
      <c r="A509" s="10">
        <f>IF(IFERROR(MATCH(493,ChqRankU,0),0)=0,"",493)</f>
        <v/>
      </c>
      <c r="B509" s="22">
        <f>IF(IFERROR(MATCH(493,ChqRankU,0),0)=0,"",INDEX(ChqNorm,IFERROR(MATCH(493,ChqRankU,0),0)))</f>
        <v/>
      </c>
      <c r="C509" s="22">
        <f>IF(IFERROR(MATCH(493,ChqRankU,0),0)=0,"",INDEX(ChqNo,IFERROR(MATCH(493,ChqRankU,0),0)))</f>
        <v/>
      </c>
      <c r="D509" s="23">
        <f>IF(IFERROR(MATCH(493,ChqRankU,0),0)=0,"",IF(INDEX(ChqAmt,IFERROR(MATCH(493,ChqRankU,0),0))=0,"",INDEX(ChqAmt,IFERROR(MATCH(493,ChqRankU,0),0))))</f>
        <v/>
      </c>
      <c r="E509" s="14">
        <f>IF(IFERROR(MATCH(493,ChqRankU,0),0)=0,"",INDEX(ChqStatus,IFERROR(MATCH(493,ChqRankU,0),0)))</f>
        <v/>
      </c>
      <c r="F509" s="22">
        <f>IF(IFERROR(MATCH(493,ChqRankU,0),0)=0,"",IF(INDEX(ChqStatus,IFERROR(MATCH(493,ChqRankU,0),0))="پاس نشده","—",IF(INDEX(ChqClr,IFERROR(MATCH(493,ChqRankU,0),0))="","—",INDEX(ChqClr,IFERROR(MATCH(493,ChqRankU,0),0)))))</f>
        <v/>
      </c>
      <c r="I509">
        <f>IF(493&gt;NChq,"",INDEX(ChqNorm,493))</f>
        <v/>
      </c>
      <c r="J509">
        <f>IF($I509="","",IF(AND($I509&gt;=$H$3,$I509&lt;=$H$4,INDEX(ChqStatus,493)="پاس نشده"),1,0))</f>
        <v/>
      </c>
      <c r="K509">
        <f>IF($J509=0,"",INDEX(ChqKey,493))</f>
        <v/>
      </c>
      <c r="L509">
        <f>IF($K509="","",COUNTIFS($J$17:$J$516,1,$K$17:$K$516,"&lt;"&amp;$K509)+1)</f>
        <v/>
      </c>
    </row>
    <row r="510">
      <c r="A510" s="16">
        <f>IF(IFERROR(MATCH(494,ChqRankU,0),0)=0,"",494)</f>
        <v/>
      </c>
      <c r="B510" s="24">
        <f>IF(IFERROR(MATCH(494,ChqRankU,0),0)=0,"",INDEX(ChqNorm,IFERROR(MATCH(494,ChqRankU,0),0)))</f>
        <v/>
      </c>
      <c r="C510" s="24">
        <f>IF(IFERROR(MATCH(494,ChqRankU,0),0)=0,"",INDEX(ChqNo,IFERROR(MATCH(494,ChqRankU,0),0)))</f>
        <v/>
      </c>
      <c r="D510" s="25">
        <f>IF(IFERROR(MATCH(494,ChqRankU,0),0)=0,"",IF(INDEX(ChqAmt,IFERROR(MATCH(494,ChqRankU,0),0))=0,"",INDEX(ChqAmt,IFERROR(MATCH(494,ChqRankU,0),0))))</f>
        <v/>
      </c>
      <c r="E510" s="17">
        <f>IF(IFERROR(MATCH(494,ChqRankU,0),0)=0,"",INDEX(ChqStatus,IFERROR(MATCH(494,ChqRankU,0),0)))</f>
        <v/>
      </c>
      <c r="F510" s="24">
        <f>IF(IFERROR(MATCH(494,ChqRankU,0),0)=0,"",IF(INDEX(ChqStatus,IFERROR(MATCH(494,ChqRankU,0),0))="پاس نشده","—",IF(INDEX(ChqClr,IFERROR(MATCH(494,ChqRankU,0),0))="","—",INDEX(ChqClr,IFERROR(MATCH(494,ChqRankU,0),0)))))</f>
        <v/>
      </c>
      <c r="I510">
        <f>IF(494&gt;NChq,"",INDEX(ChqNorm,494))</f>
        <v/>
      </c>
      <c r="J510">
        <f>IF($I510="","",IF(AND($I510&gt;=$H$3,$I510&lt;=$H$4,INDEX(ChqStatus,494)="پاس نشده"),1,0))</f>
        <v/>
      </c>
      <c r="K510">
        <f>IF($J510=0,"",INDEX(ChqKey,494))</f>
        <v/>
      </c>
      <c r="L510">
        <f>IF($K510="","",COUNTIFS($J$17:$J$516,1,$K$17:$K$516,"&lt;"&amp;$K510)+1)</f>
        <v/>
      </c>
    </row>
    <row r="511">
      <c r="A511" s="10">
        <f>IF(IFERROR(MATCH(495,ChqRankU,0),0)=0,"",495)</f>
        <v/>
      </c>
      <c r="B511" s="22">
        <f>IF(IFERROR(MATCH(495,ChqRankU,0),0)=0,"",INDEX(ChqNorm,IFERROR(MATCH(495,ChqRankU,0),0)))</f>
        <v/>
      </c>
      <c r="C511" s="22">
        <f>IF(IFERROR(MATCH(495,ChqRankU,0),0)=0,"",INDEX(ChqNo,IFERROR(MATCH(495,ChqRankU,0),0)))</f>
        <v/>
      </c>
      <c r="D511" s="23">
        <f>IF(IFERROR(MATCH(495,ChqRankU,0),0)=0,"",IF(INDEX(ChqAmt,IFERROR(MATCH(495,ChqRankU,0),0))=0,"",INDEX(ChqAmt,IFERROR(MATCH(495,ChqRankU,0),0))))</f>
        <v/>
      </c>
      <c r="E511" s="14">
        <f>IF(IFERROR(MATCH(495,ChqRankU,0),0)=0,"",INDEX(ChqStatus,IFERROR(MATCH(495,ChqRankU,0),0)))</f>
        <v/>
      </c>
      <c r="F511" s="22">
        <f>IF(IFERROR(MATCH(495,ChqRankU,0),0)=0,"",IF(INDEX(ChqStatus,IFERROR(MATCH(495,ChqRankU,0),0))="پاس نشده","—",IF(INDEX(ChqClr,IFERROR(MATCH(495,ChqRankU,0),0))="","—",INDEX(ChqClr,IFERROR(MATCH(495,ChqRankU,0),0)))))</f>
        <v/>
      </c>
      <c r="I511">
        <f>IF(495&gt;NChq,"",INDEX(ChqNorm,495))</f>
        <v/>
      </c>
      <c r="J511">
        <f>IF($I511="","",IF(AND($I511&gt;=$H$3,$I511&lt;=$H$4,INDEX(ChqStatus,495)="پاس نشده"),1,0))</f>
        <v/>
      </c>
      <c r="K511">
        <f>IF($J511=0,"",INDEX(ChqKey,495))</f>
        <v/>
      </c>
      <c r="L511">
        <f>IF($K511="","",COUNTIFS($J$17:$J$516,1,$K$17:$K$516,"&lt;"&amp;$K511)+1)</f>
        <v/>
      </c>
    </row>
    <row r="512">
      <c r="A512" s="16">
        <f>IF(IFERROR(MATCH(496,ChqRankU,0),0)=0,"",496)</f>
        <v/>
      </c>
      <c r="B512" s="24">
        <f>IF(IFERROR(MATCH(496,ChqRankU,0),0)=0,"",INDEX(ChqNorm,IFERROR(MATCH(496,ChqRankU,0),0)))</f>
        <v/>
      </c>
      <c r="C512" s="24">
        <f>IF(IFERROR(MATCH(496,ChqRankU,0),0)=0,"",INDEX(ChqNo,IFERROR(MATCH(496,ChqRankU,0),0)))</f>
        <v/>
      </c>
      <c r="D512" s="25">
        <f>IF(IFERROR(MATCH(496,ChqRankU,0),0)=0,"",IF(INDEX(ChqAmt,IFERROR(MATCH(496,ChqRankU,0),0))=0,"",INDEX(ChqAmt,IFERROR(MATCH(496,ChqRankU,0),0))))</f>
        <v/>
      </c>
      <c r="E512" s="17">
        <f>IF(IFERROR(MATCH(496,ChqRankU,0),0)=0,"",INDEX(ChqStatus,IFERROR(MATCH(496,ChqRankU,0),0)))</f>
        <v/>
      </c>
      <c r="F512" s="24">
        <f>IF(IFERROR(MATCH(496,ChqRankU,0),0)=0,"",IF(INDEX(ChqStatus,IFERROR(MATCH(496,ChqRankU,0),0))="پاس نشده","—",IF(INDEX(ChqClr,IFERROR(MATCH(496,ChqRankU,0),0))="","—",INDEX(ChqClr,IFERROR(MATCH(496,ChqRankU,0),0)))))</f>
        <v/>
      </c>
      <c r="I512">
        <f>IF(496&gt;NChq,"",INDEX(ChqNorm,496))</f>
        <v/>
      </c>
      <c r="J512">
        <f>IF($I512="","",IF(AND($I512&gt;=$H$3,$I512&lt;=$H$4,INDEX(ChqStatus,496)="پاس نشده"),1,0))</f>
        <v/>
      </c>
      <c r="K512">
        <f>IF($J512=0,"",INDEX(ChqKey,496))</f>
        <v/>
      </c>
      <c r="L512">
        <f>IF($K512="","",COUNTIFS($J$17:$J$516,1,$K$17:$K$516,"&lt;"&amp;$K512)+1)</f>
        <v/>
      </c>
    </row>
    <row r="513">
      <c r="A513" s="10">
        <f>IF(IFERROR(MATCH(497,ChqRankU,0),0)=0,"",497)</f>
        <v/>
      </c>
      <c r="B513" s="22">
        <f>IF(IFERROR(MATCH(497,ChqRankU,0),0)=0,"",INDEX(ChqNorm,IFERROR(MATCH(497,ChqRankU,0),0)))</f>
        <v/>
      </c>
      <c r="C513" s="22">
        <f>IF(IFERROR(MATCH(497,ChqRankU,0),0)=0,"",INDEX(ChqNo,IFERROR(MATCH(497,ChqRankU,0),0)))</f>
        <v/>
      </c>
      <c r="D513" s="23">
        <f>IF(IFERROR(MATCH(497,ChqRankU,0),0)=0,"",IF(INDEX(ChqAmt,IFERROR(MATCH(497,ChqRankU,0),0))=0,"",INDEX(ChqAmt,IFERROR(MATCH(497,ChqRankU,0),0))))</f>
        <v/>
      </c>
      <c r="E513" s="14">
        <f>IF(IFERROR(MATCH(497,ChqRankU,0),0)=0,"",INDEX(ChqStatus,IFERROR(MATCH(497,ChqRankU,0),0)))</f>
        <v/>
      </c>
      <c r="F513" s="22">
        <f>IF(IFERROR(MATCH(497,ChqRankU,0),0)=0,"",IF(INDEX(ChqStatus,IFERROR(MATCH(497,ChqRankU,0),0))="پاس نشده","—",IF(INDEX(ChqClr,IFERROR(MATCH(497,ChqRankU,0),0))="","—",INDEX(ChqClr,IFERROR(MATCH(497,ChqRankU,0),0)))))</f>
        <v/>
      </c>
      <c r="I513">
        <f>IF(497&gt;NChq,"",INDEX(ChqNorm,497))</f>
        <v/>
      </c>
      <c r="J513">
        <f>IF($I513="","",IF(AND($I513&gt;=$H$3,$I513&lt;=$H$4,INDEX(ChqStatus,497)="پاس نشده"),1,0))</f>
        <v/>
      </c>
      <c r="K513">
        <f>IF($J513=0,"",INDEX(ChqKey,497))</f>
        <v/>
      </c>
      <c r="L513">
        <f>IF($K513="","",COUNTIFS($J$17:$J$516,1,$K$17:$K$516,"&lt;"&amp;$K513)+1)</f>
        <v/>
      </c>
    </row>
    <row r="514">
      <c r="A514" s="16">
        <f>IF(IFERROR(MATCH(498,ChqRankU,0),0)=0,"",498)</f>
        <v/>
      </c>
      <c r="B514" s="24">
        <f>IF(IFERROR(MATCH(498,ChqRankU,0),0)=0,"",INDEX(ChqNorm,IFERROR(MATCH(498,ChqRankU,0),0)))</f>
        <v/>
      </c>
      <c r="C514" s="24">
        <f>IF(IFERROR(MATCH(498,ChqRankU,0),0)=0,"",INDEX(ChqNo,IFERROR(MATCH(498,ChqRankU,0),0)))</f>
        <v/>
      </c>
      <c r="D514" s="25">
        <f>IF(IFERROR(MATCH(498,ChqRankU,0),0)=0,"",IF(INDEX(ChqAmt,IFERROR(MATCH(498,ChqRankU,0),0))=0,"",INDEX(ChqAmt,IFERROR(MATCH(498,ChqRankU,0),0))))</f>
        <v/>
      </c>
      <c r="E514" s="17">
        <f>IF(IFERROR(MATCH(498,ChqRankU,0),0)=0,"",INDEX(ChqStatus,IFERROR(MATCH(498,ChqRankU,0),0)))</f>
        <v/>
      </c>
      <c r="F514" s="24">
        <f>IF(IFERROR(MATCH(498,ChqRankU,0),0)=0,"",IF(INDEX(ChqStatus,IFERROR(MATCH(498,ChqRankU,0),0))="پاس نشده","—",IF(INDEX(ChqClr,IFERROR(MATCH(498,ChqRankU,0),0))="","—",INDEX(ChqClr,IFERROR(MATCH(498,ChqRankU,0),0)))))</f>
        <v/>
      </c>
      <c r="I514">
        <f>IF(498&gt;NChq,"",INDEX(ChqNorm,498))</f>
        <v/>
      </c>
      <c r="J514">
        <f>IF($I514="","",IF(AND($I514&gt;=$H$3,$I514&lt;=$H$4,INDEX(ChqStatus,498)="پاس نشده"),1,0))</f>
        <v/>
      </c>
      <c r="K514">
        <f>IF($J514=0,"",INDEX(ChqKey,498))</f>
        <v/>
      </c>
      <c r="L514">
        <f>IF($K514="","",COUNTIFS($J$17:$J$516,1,$K$17:$K$516,"&lt;"&amp;$K514)+1)</f>
        <v/>
      </c>
    </row>
    <row r="515">
      <c r="A515" s="10">
        <f>IF(IFERROR(MATCH(499,ChqRankU,0),0)=0,"",499)</f>
        <v/>
      </c>
      <c r="B515" s="22">
        <f>IF(IFERROR(MATCH(499,ChqRankU,0),0)=0,"",INDEX(ChqNorm,IFERROR(MATCH(499,ChqRankU,0),0)))</f>
        <v/>
      </c>
      <c r="C515" s="22">
        <f>IF(IFERROR(MATCH(499,ChqRankU,0),0)=0,"",INDEX(ChqNo,IFERROR(MATCH(499,ChqRankU,0),0)))</f>
        <v/>
      </c>
      <c r="D515" s="23">
        <f>IF(IFERROR(MATCH(499,ChqRankU,0),0)=0,"",IF(INDEX(ChqAmt,IFERROR(MATCH(499,ChqRankU,0),0))=0,"",INDEX(ChqAmt,IFERROR(MATCH(499,ChqRankU,0),0))))</f>
        <v/>
      </c>
      <c r="E515" s="14">
        <f>IF(IFERROR(MATCH(499,ChqRankU,0),0)=0,"",INDEX(ChqStatus,IFERROR(MATCH(499,ChqRankU,0),0)))</f>
        <v/>
      </c>
      <c r="F515" s="22">
        <f>IF(IFERROR(MATCH(499,ChqRankU,0),0)=0,"",IF(INDEX(ChqStatus,IFERROR(MATCH(499,ChqRankU,0),0))="پاس نشده","—",IF(INDEX(ChqClr,IFERROR(MATCH(499,ChqRankU,0),0))="","—",INDEX(ChqClr,IFERROR(MATCH(499,ChqRankU,0),0)))))</f>
        <v/>
      </c>
      <c r="I515">
        <f>IF(499&gt;NChq,"",INDEX(ChqNorm,499))</f>
        <v/>
      </c>
      <c r="J515">
        <f>IF($I515="","",IF(AND($I515&gt;=$H$3,$I515&lt;=$H$4,INDEX(ChqStatus,499)="پاس نشده"),1,0))</f>
        <v/>
      </c>
      <c r="K515">
        <f>IF($J515=0,"",INDEX(ChqKey,499))</f>
        <v/>
      </c>
      <c r="L515">
        <f>IF($K515="","",COUNTIFS($J$17:$J$516,1,$K$17:$K$516,"&lt;"&amp;$K515)+1)</f>
        <v/>
      </c>
    </row>
    <row r="516">
      <c r="A516" s="16">
        <f>IF(IFERROR(MATCH(500,ChqRankU,0),0)=0,"",500)</f>
        <v/>
      </c>
      <c r="B516" s="24">
        <f>IF(IFERROR(MATCH(500,ChqRankU,0),0)=0,"",INDEX(ChqNorm,IFERROR(MATCH(500,ChqRankU,0),0)))</f>
        <v/>
      </c>
      <c r="C516" s="24">
        <f>IF(IFERROR(MATCH(500,ChqRankU,0),0)=0,"",INDEX(ChqNo,IFERROR(MATCH(500,ChqRankU,0),0)))</f>
        <v/>
      </c>
      <c r="D516" s="25">
        <f>IF(IFERROR(MATCH(500,ChqRankU,0),0)=0,"",IF(INDEX(ChqAmt,IFERROR(MATCH(500,ChqRankU,0),0))=0,"",INDEX(ChqAmt,IFERROR(MATCH(500,ChqRankU,0),0))))</f>
        <v/>
      </c>
      <c r="E516" s="17">
        <f>IF(IFERROR(MATCH(500,ChqRankU,0),0)=0,"",INDEX(ChqStatus,IFERROR(MATCH(500,ChqRankU,0),0)))</f>
        <v/>
      </c>
      <c r="F516" s="24">
        <f>IF(IFERROR(MATCH(500,ChqRankU,0),0)=0,"",IF(INDEX(ChqStatus,IFERROR(MATCH(500,ChqRankU,0),0))="پاس نشده","—",IF(INDEX(ChqClr,IFERROR(MATCH(500,ChqRankU,0),0))="","—",INDEX(ChqClr,IFERROR(MATCH(500,ChqRankU,0),0)))))</f>
        <v/>
      </c>
      <c r="I516">
        <f>IF(500&gt;NChq,"",INDEX(ChqNorm,500))</f>
        <v/>
      </c>
      <c r="J516">
        <f>IF($I516="","",IF(AND($I516&gt;=$H$3,$I516&lt;=$H$4,INDEX(ChqStatus,500)="پاس نشده"),1,0))</f>
        <v/>
      </c>
      <c r="K516">
        <f>IF($J516=0,"",INDEX(ChqKey,500))</f>
        <v/>
      </c>
      <c r="L516">
        <f>IF($K516="","",COUNTIFS($J$17:$J$516,1,$K$17:$K$516,"&lt;"&amp;$K516)+1)</f>
        <v/>
      </c>
    </row>
  </sheetData>
  <mergeCells count="12">
    <mergeCell ref="A2:F2"/>
    <mergeCell ref="C12:D12"/>
    <mergeCell ref="E12:F12"/>
    <mergeCell ref="C11:D11"/>
    <mergeCell ref="A1:F1"/>
    <mergeCell ref="A11:B11"/>
    <mergeCell ref="E11:F11"/>
    <mergeCell ref="E5:F5"/>
    <mergeCell ref="A3:F3"/>
    <mergeCell ref="C5"/>
    <mergeCell ref="A5"/>
    <mergeCell ref="A12:B12"/>
  </mergeCells>
  <conditionalFormatting sqref="E17:E516">
    <cfRule type="cellIs" priority="1" operator="equal" dxfId="0">
      <formula>"پاس شده"</formula>
    </cfRule>
    <cfRule type="cellIs" priority="2" operator="equal" dxfId="2">
      <formula>"پاس نشده"</formula>
    </cfRule>
  </conditionalFormatting>
  <conditionalFormatting sqref="D17:D516">
    <cfRule type="dataBar" priority="3">
      <dataBar showValue="1">
        <cfvo type="num" val="0"/>
        <cfvo type="max"/>
        <color rgb="00FFB74D"/>
      </dataBar>
    </cfRule>
  </conditionalFormatting>
  <dataValidations count="2">
    <dataValidation sqref="B5" showDropDown="0" showInputMessage="0" showErrorMessage="0" allowBlank="0" errorTitle="قالب تاریخ" error="از تاریخ را با قالب 1405/07/01 وارد کنید." type="custom" errorStyle="stop">
      <formula1>AND(LEN($B$5)=10,MID($B$5,5,1)="/",MID($B$5,8,1)="/")</formula1>
    </dataValidation>
    <dataValidation sqref="D5" showDropDown="0" showInputMessage="0" showErrorMessage="0" allowBlank="0" errorTitle="قالب تاریخ" error="تا تاریخ را با قالب 1405/07/31 وارد کنید." type="custom" errorStyle="stop">
      <formula1>AND(LEN($D$5)=10,MID($D$5,5,1)="/",MID($D$5,8,1)="/")</formula1>
    </dataValidation>
  </dataValidation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چک‌های پاس‌نشده در بازه — به ترتیب تاریخ&amp;R&amp;"Tahoma"&amp;8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90A4AE"/>
    <outlinePr summaryBelow="1" summaryRight="1"/>
    <pageSetUpPr/>
  </sheetPr>
  <dimension ref="A1:Q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5" max="5"/>
    <col width="12" customWidth="1" min="6" max="6"/>
    <col width="16" customWidth="1" min="7" max="7"/>
    <col width="26" customWidth="1" min="8" max="8"/>
    <col width="30" customWidth="1" min="10" max="10"/>
    <col width="12" customWidth="1" min="12" max="12"/>
    <col width="15" customWidth="1" min="13" max="13"/>
    <col width="14" customWidth="1" min="14" max="14"/>
    <col width="14" customWidth="1" min="15" max="15"/>
    <col width="12" customWidth="1" min="16" max="16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7" t="inlineStr">
        <is>
          <t>برگه فنی — آینه‌ی دفتر چک مادر (INFO) و فایل واریز/برداشت (Transactions) برای وضعیت چک‌ها. فرمول‌ها را تغییر ندهید. اگر همه سلول‌ها خالی شدند یعنی لینک به‌روز نشده: Data ← Edit Links ← Update Values.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</row>
    <row r="5">
      <c r="A5" s="28" t="inlineStr">
        <is>
          <t>Cheques · No.</t>
        </is>
      </c>
      <c r="E5" s="28" t="inlineStr">
        <is>
          <t>Acct · Code</t>
        </is>
      </c>
      <c r="F5" s="28" t="inlineStr">
        <is>
          <t>· Nature</t>
        </is>
      </c>
      <c r="G5" s="28" t="inlineStr">
        <is>
          <t>· Sub</t>
        </is>
      </c>
      <c r="H5" s="28" t="inlineStr">
        <is>
          <t>· Name</t>
        </is>
      </c>
      <c r="J5" s="28" t="inlineStr">
        <is>
          <t>Company</t>
        </is>
      </c>
      <c r="L5" s="28" t="inlineStr">
        <is>
          <t>Entry · C</t>
        </is>
      </c>
      <c r="M5" s="28" t="inlineStr">
        <is>
          <t>Entry · J</t>
        </is>
      </c>
      <c r="N5" s="28" t="inlineStr">
        <is>
          <t>Entry · M</t>
        </is>
      </c>
      <c r="O5" s="28" t="inlineStr">
        <is>
          <t>Entry · N</t>
        </is>
      </c>
      <c r="P5" s="28" t="inlineStr">
        <is>
          <t>Entry · S</t>
        </is>
      </c>
    </row>
    <row r="6">
      <c r="A6">
        <f>IF([1]Cheques!$A$7="","",[1]Cheques!$A$7)</f>
        <v/>
      </c>
      <c r="E6">
        <f>IF([1]Accounts!$D$7="","",[1]Accounts!$A$7)</f>
        <v/>
      </c>
      <c r="F6">
        <f>IF([1]Accounts!$D$7="","",[1]Accounts!$B$7)</f>
        <v/>
      </c>
      <c r="G6">
        <f>IF([1]Accounts!$D$7="","",[1]Accounts!$C$7)</f>
        <v/>
      </c>
      <c r="H6">
        <f>IF([1]Accounts!$D$7="","",[1]Accounts!$D$7)</f>
        <v/>
      </c>
      <c r="J6">
        <f>IF([1]Company!$C$5="","",[1]Company!$C$5)</f>
        <v/>
      </c>
      <c r="L6">
        <f>IF([2]Entry!$C$9="","",[2]Entry!$C$9)</f>
        <v/>
      </c>
      <c r="M6">
        <f>IF([2]Entry!$J$9="","",[2]Entry!$J$9)</f>
        <v/>
      </c>
      <c r="N6">
        <f>IF([2]Entry!$M$9="","",[2]Entry!$M$9)</f>
        <v/>
      </c>
      <c r="O6">
        <f>IF([2]Entry!$N$9="","",[2]Entry!$N$9)</f>
        <v/>
      </c>
      <c r="P6">
        <f>IF([2]Entry!$S$9="","",[2]Entry!$S$9)</f>
        <v/>
      </c>
    </row>
    <row r="7">
      <c r="A7">
        <f>IF([1]Cheques!$A$8="","",[1]Cheques!$A$8)</f>
        <v/>
      </c>
      <c r="E7">
        <f>IF([1]Accounts!$D$8="","",[1]Accounts!$A$8)</f>
        <v/>
      </c>
      <c r="F7">
        <f>IF([1]Accounts!$D$8="","",[1]Accounts!$B$8)</f>
        <v/>
      </c>
      <c r="G7">
        <f>IF([1]Accounts!$D$8="","",[1]Accounts!$C$8)</f>
        <v/>
      </c>
      <c r="H7">
        <f>IF([1]Accounts!$D$8="","",[1]Accounts!$D$8)</f>
        <v/>
      </c>
      <c r="J7">
        <f>IF([1]Company!$C$8="","",[1]Company!$C$8)</f>
        <v/>
      </c>
      <c r="L7">
        <f>IF([2]Entry!$C$10="","",[2]Entry!$C$10)</f>
        <v/>
      </c>
      <c r="M7">
        <f>IF([2]Entry!$J$10="","",[2]Entry!$J$10)</f>
        <v/>
      </c>
      <c r="N7">
        <f>IF([2]Entry!$M$10="","",[2]Entry!$M$10)</f>
        <v/>
      </c>
      <c r="O7">
        <f>IF([2]Entry!$N$10="","",[2]Entry!$N$10)</f>
        <v/>
      </c>
      <c r="P7">
        <f>IF([2]Entry!$S$10="","",[2]Entry!$S$10)</f>
        <v/>
      </c>
    </row>
    <row r="8">
      <c r="A8">
        <f>IF([1]Cheques!$A$9="","",[1]Cheques!$A$9)</f>
        <v/>
      </c>
      <c r="E8">
        <f>IF([1]Accounts!$D$9="","",[1]Accounts!$A$9)</f>
        <v/>
      </c>
      <c r="F8">
        <f>IF([1]Accounts!$D$9="","",[1]Accounts!$B$9)</f>
        <v/>
      </c>
      <c r="G8">
        <f>IF([1]Accounts!$D$9="","",[1]Accounts!$C$9)</f>
        <v/>
      </c>
      <c r="H8">
        <f>IF([1]Accounts!$D$9="","",[1]Accounts!$D$9)</f>
        <v/>
      </c>
      <c r="J8">
        <f>IF([1]Company!$C$9="","",[1]Company!$C$9)</f>
        <v/>
      </c>
      <c r="L8">
        <f>IF([2]Entry!$C$11="","",[2]Entry!$C$11)</f>
        <v/>
      </c>
      <c r="M8">
        <f>IF([2]Entry!$J$11="","",[2]Entry!$J$11)</f>
        <v/>
      </c>
      <c r="N8">
        <f>IF([2]Entry!$M$11="","",[2]Entry!$M$11)</f>
        <v/>
      </c>
      <c r="O8">
        <f>IF([2]Entry!$N$11="","",[2]Entry!$N$11)</f>
        <v/>
      </c>
      <c r="P8">
        <f>IF([2]Entry!$S$11="","",[2]Entry!$S$11)</f>
        <v/>
      </c>
    </row>
    <row r="9">
      <c r="A9">
        <f>IF([1]Cheques!$A$10="","",[1]Cheques!$A$10)</f>
        <v/>
      </c>
      <c r="E9">
        <f>IF([1]Accounts!$D$10="","",[1]Accounts!$A$10)</f>
        <v/>
      </c>
      <c r="F9">
        <f>IF([1]Accounts!$D$10="","",[1]Accounts!$B$10)</f>
        <v/>
      </c>
      <c r="G9">
        <f>IF([1]Accounts!$D$10="","",[1]Accounts!$C$10)</f>
        <v/>
      </c>
      <c r="H9">
        <f>IF([1]Accounts!$D$10="","",[1]Accounts!$D$10)</f>
        <v/>
      </c>
      <c r="J9">
        <f>IF([1]Company!$C$7="","",[1]Company!$C$7)</f>
        <v/>
      </c>
      <c r="L9">
        <f>IF([2]Entry!$C$12="","",[2]Entry!$C$12)</f>
        <v/>
      </c>
      <c r="M9">
        <f>IF([2]Entry!$J$12="","",[2]Entry!$J$12)</f>
        <v/>
      </c>
      <c r="N9">
        <f>IF([2]Entry!$M$12="","",[2]Entry!$M$12)</f>
        <v/>
      </c>
      <c r="O9">
        <f>IF([2]Entry!$N$12="","",[2]Entry!$N$12)</f>
        <v/>
      </c>
      <c r="P9">
        <f>IF([2]Entry!$S$12="","",[2]Entry!$S$12)</f>
        <v/>
      </c>
    </row>
    <row r="10">
      <c r="A10">
        <f>IF([1]Cheques!$A$11="","",[1]Cheques!$A$11)</f>
        <v/>
      </c>
      <c r="E10">
        <f>IF([1]Accounts!$D$11="","",[1]Accounts!$A$11)</f>
        <v/>
      </c>
      <c r="F10">
        <f>IF([1]Accounts!$D$11="","",[1]Accounts!$B$11)</f>
        <v/>
      </c>
      <c r="G10">
        <f>IF([1]Accounts!$D$11="","",[1]Accounts!$C$11)</f>
        <v/>
      </c>
      <c r="H10">
        <f>IF([1]Accounts!$D$11="","",[1]Accounts!$D$11)</f>
        <v/>
      </c>
      <c r="L10">
        <f>IF([2]Entry!$C$13="","",[2]Entry!$C$13)</f>
        <v/>
      </c>
      <c r="M10">
        <f>IF([2]Entry!$J$13="","",[2]Entry!$J$13)</f>
        <v/>
      </c>
      <c r="N10">
        <f>IF([2]Entry!$M$13="","",[2]Entry!$M$13)</f>
        <v/>
      </c>
      <c r="O10">
        <f>IF([2]Entry!$N$13="","",[2]Entry!$N$13)</f>
        <v/>
      </c>
      <c r="P10">
        <f>IF([2]Entry!$S$13="","",[2]Entry!$S$13)</f>
        <v/>
      </c>
    </row>
    <row r="11">
      <c r="A11">
        <f>IF([1]Cheques!$A$12="","",[1]Cheques!$A$12)</f>
        <v/>
      </c>
      <c r="E11">
        <f>IF([1]Accounts!$D$12="","",[1]Accounts!$A$12)</f>
        <v/>
      </c>
      <c r="F11">
        <f>IF([1]Accounts!$D$12="","",[1]Accounts!$B$12)</f>
        <v/>
      </c>
      <c r="G11">
        <f>IF([1]Accounts!$D$12="","",[1]Accounts!$C$12)</f>
        <v/>
      </c>
      <c r="H11">
        <f>IF([1]Accounts!$D$12="","",[1]Accounts!$D$12)</f>
        <v/>
      </c>
      <c r="L11">
        <f>IF([2]Entry!$C$14="","",[2]Entry!$C$14)</f>
        <v/>
      </c>
      <c r="M11">
        <f>IF([2]Entry!$J$14="","",[2]Entry!$J$14)</f>
        <v/>
      </c>
      <c r="N11">
        <f>IF([2]Entry!$M$14="","",[2]Entry!$M$14)</f>
        <v/>
      </c>
      <c r="O11">
        <f>IF([2]Entry!$N$14="","",[2]Entry!$N$14)</f>
        <v/>
      </c>
      <c r="P11">
        <f>IF([2]Entry!$S$14="","",[2]Entry!$S$14)</f>
        <v/>
      </c>
    </row>
    <row r="12">
      <c r="A12">
        <f>IF([1]Cheques!$A$13="","",[1]Cheques!$A$13)</f>
        <v/>
      </c>
      <c r="E12">
        <f>IF([1]Accounts!$D$13="","",[1]Accounts!$A$13)</f>
        <v/>
      </c>
      <c r="F12">
        <f>IF([1]Accounts!$D$13="","",[1]Accounts!$B$13)</f>
        <v/>
      </c>
      <c r="G12">
        <f>IF([1]Accounts!$D$13="","",[1]Accounts!$C$13)</f>
        <v/>
      </c>
      <c r="H12">
        <f>IF([1]Accounts!$D$13="","",[1]Accounts!$D$13)</f>
        <v/>
      </c>
      <c r="L12">
        <f>IF([2]Entry!$C$15="","",[2]Entry!$C$15)</f>
        <v/>
      </c>
      <c r="M12">
        <f>IF([2]Entry!$J$15="","",[2]Entry!$J$15)</f>
        <v/>
      </c>
      <c r="N12">
        <f>IF([2]Entry!$M$15="","",[2]Entry!$M$15)</f>
        <v/>
      </c>
      <c r="O12">
        <f>IF([2]Entry!$N$15="","",[2]Entry!$N$15)</f>
        <v/>
      </c>
      <c r="P12">
        <f>IF([2]Entry!$S$15="","",[2]Entry!$S$15)</f>
        <v/>
      </c>
    </row>
    <row r="13">
      <c r="A13">
        <f>IF([1]Cheques!$A$14="","",[1]Cheques!$A$14)</f>
        <v/>
      </c>
      <c r="E13">
        <f>IF([1]Accounts!$D$14="","",[1]Accounts!$A$14)</f>
        <v/>
      </c>
      <c r="F13">
        <f>IF([1]Accounts!$D$14="","",[1]Accounts!$B$14)</f>
        <v/>
      </c>
      <c r="G13">
        <f>IF([1]Accounts!$D$14="","",[1]Accounts!$C$14)</f>
        <v/>
      </c>
      <c r="H13">
        <f>IF([1]Accounts!$D$14="","",[1]Accounts!$D$14)</f>
        <v/>
      </c>
      <c r="L13">
        <f>IF([2]Entry!$C$16="","",[2]Entry!$C$16)</f>
        <v/>
      </c>
      <c r="M13">
        <f>IF([2]Entry!$J$16="","",[2]Entry!$J$16)</f>
        <v/>
      </c>
      <c r="N13">
        <f>IF([2]Entry!$M$16="","",[2]Entry!$M$16)</f>
        <v/>
      </c>
      <c r="O13">
        <f>IF([2]Entry!$N$16="","",[2]Entry!$N$16)</f>
        <v/>
      </c>
      <c r="P13">
        <f>IF([2]Entry!$S$16="","",[2]Entry!$S$16)</f>
        <v/>
      </c>
    </row>
    <row r="14">
      <c r="A14">
        <f>IF([1]Cheques!$A$15="","",[1]Cheques!$A$15)</f>
        <v/>
      </c>
      <c r="E14">
        <f>IF([1]Accounts!$D$15="","",[1]Accounts!$A$15)</f>
        <v/>
      </c>
      <c r="F14">
        <f>IF([1]Accounts!$D$15="","",[1]Accounts!$B$15)</f>
        <v/>
      </c>
      <c r="G14">
        <f>IF([1]Accounts!$D$15="","",[1]Accounts!$C$15)</f>
        <v/>
      </c>
      <c r="H14">
        <f>IF([1]Accounts!$D$15="","",[1]Accounts!$D$15)</f>
        <v/>
      </c>
      <c r="L14">
        <f>IF([2]Entry!$C$17="","",[2]Entry!$C$17)</f>
        <v/>
      </c>
      <c r="M14">
        <f>IF([2]Entry!$J$17="","",[2]Entry!$J$17)</f>
        <v/>
      </c>
      <c r="N14">
        <f>IF([2]Entry!$M$17="","",[2]Entry!$M$17)</f>
        <v/>
      </c>
      <c r="O14">
        <f>IF([2]Entry!$N$17="","",[2]Entry!$N$17)</f>
        <v/>
      </c>
      <c r="P14">
        <f>IF([2]Entry!$S$17="","",[2]Entry!$S$17)</f>
        <v/>
      </c>
    </row>
    <row r="15">
      <c r="A15">
        <f>IF([1]Cheques!$A$16="","",[1]Cheques!$A$16)</f>
        <v/>
      </c>
      <c r="E15">
        <f>IF([1]Accounts!$D$16="","",[1]Accounts!$A$16)</f>
        <v/>
      </c>
      <c r="F15">
        <f>IF([1]Accounts!$D$16="","",[1]Accounts!$B$16)</f>
        <v/>
      </c>
      <c r="G15">
        <f>IF([1]Accounts!$D$16="","",[1]Accounts!$C$16)</f>
        <v/>
      </c>
      <c r="H15">
        <f>IF([1]Accounts!$D$16="","",[1]Accounts!$D$16)</f>
        <v/>
      </c>
      <c r="L15">
        <f>IF([2]Entry!$C$18="","",[2]Entry!$C$18)</f>
        <v/>
      </c>
      <c r="M15">
        <f>IF([2]Entry!$J$18="","",[2]Entry!$J$18)</f>
        <v/>
      </c>
      <c r="N15">
        <f>IF([2]Entry!$M$18="","",[2]Entry!$M$18)</f>
        <v/>
      </c>
      <c r="O15">
        <f>IF([2]Entry!$N$18="","",[2]Entry!$N$18)</f>
        <v/>
      </c>
      <c r="P15">
        <f>IF([2]Entry!$S$18="","",[2]Entry!$S$18)</f>
        <v/>
      </c>
    </row>
    <row r="16">
      <c r="A16">
        <f>IF([1]Cheques!$A$17="","",[1]Cheques!$A$17)</f>
        <v/>
      </c>
      <c r="E16">
        <f>IF([1]Accounts!$D$17="","",[1]Accounts!$A$17)</f>
        <v/>
      </c>
      <c r="F16">
        <f>IF([1]Accounts!$D$17="","",[1]Accounts!$B$17)</f>
        <v/>
      </c>
      <c r="G16">
        <f>IF([1]Accounts!$D$17="","",[1]Accounts!$C$17)</f>
        <v/>
      </c>
      <c r="H16">
        <f>IF([1]Accounts!$D$17="","",[1]Accounts!$D$17)</f>
        <v/>
      </c>
      <c r="L16">
        <f>IF([2]Entry!$C$19="","",[2]Entry!$C$19)</f>
        <v/>
      </c>
      <c r="M16">
        <f>IF([2]Entry!$J$19="","",[2]Entry!$J$19)</f>
        <v/>
      </c>
      <c r="N16">
        <f>IF([2]Entry!$M$19="","",[2]Entry!$M$19)</f>
        <v/>
      </c>
      <c r="O16">
        <f>IF([2]Entry!$N$19="","",[2]Entry!$N$19)</f>
        <v/>
      </c>
      <c r="P16">
        <f>IF([2]Entry!$S$19="","",[2]Entry!$S$19)</f>
        <v/>
      </c>
    </row>
    <row r="17">
      <c r="A17">
        <f>IF([1]Cheques!$A$18="","",[1]Cheques!$A$18)</f>
        <v/>
      </c>
      <c r="E17">
        <f>IF([1]Accounts!$D$18="","",[1]Accounts!$A$18)</f>
        <v/>
      </c>
      <c r="F17">
        <f>IF([1]Accounts!$D$18="","",[1]Accounts!$B$18)</f>
        <v/>
      </c>
      <c r="G17">
        <f>IF([1]Accounts!$D$18="","",[1]Accounts!$C$18)</f>
        <v/>
      </c>
      <c r="H17">
        <f>IF([1]Accounts!$D$18="","",[1]Accounts!$D$18)</f>
        <v/>
      </c>
      <c r="L17">
        <f>IF([2]Entry!$C$20="","",[2]Entry!$C$20)</f>
        <v/>
      </c>
      <c r="M17">
        <f>IF([2]Entry!$J$20="","",[2]Entry!$J$20)</f>
        <v/>
      </c>
      <c r="N17">
        <f>IF([2]Entry!$M$20="","",[2]Entry!$M$20)</f>
        <v/>
      </c>
      <c r="O17">
        <f>IF([2]Entry!$N$20="","",[2]Entry!$N$20)</f>
        <v/>
      </c>
      <c r="P17">
        <f>IF([2]Entry!$S$20="","",[2]Entry!$S$20)</f>
        <v/>
      </c>
    </row>
    <row r="18">
      <c r="A18">
        <f>IF([1]Cheques!$A$19="","",[1]Cheques!$A$19)</f>
        <v/>
      </c>
      <c r="E18">
        <f>IF([1]Accounts!$D$19="","",[1]Accounts!$A$19)</f>
        <v/>
      </c>
      <c r="F18">
        <f>IF([1]Accounts!$D$19="","",[1]Accounts!$B$19)</f>
        <v/>
      </c>
      <c r="G18">
        <f>IF([1]Accounts!$D$19="","",[1]Accounts!$C$19)</f>
        <v/>
      </c>
      <c r="H18">
        <f>IF([1]Accounts!$D$19="","",[1]Accounts!$D$19)</f>
        <v/>
      </c>
      <c r="L18">
        <f>IF([2]Entry!$C$21="","",[2]Entry!$C$21)</f>
        <v/>
      </c>
      <c r="M18">
        <f>IF([2]Entry!$J$21="","",[2]Entry!$J$21)</f>
        <v/>
      </c>
      <c r="N18">
        <f>IF([2]Entry!$M$21="","",[2]Entry!$M$21)</f>
        <v/>
      </c>
      <c r="O18">
        <f>IF([2]Entry!$N$21="","",[2]Entry!$N$21)</f>
        <v/>
      </c>
      <c r="P18">
        <f>IF([2]Entry!$S$21="","",[2]Entry!$S$21)</f>
        <v/>
      </c>
    </row>
    <row r="19">
      <c r="A19">
        <f>IF([1]Cheques!$A$20="","",[1]Cheques!$A$20)</f>
        <v/>
      </c>
      <c r="E19">
        <f>IF([1]Accounts!$D$20="","",[1]Accounts!$A$20)</f>
        <v/>
      </c>
      <c r="F19">
        <f>IF([1]Accounts!$D$20="","",[1]Accounts!$B$20)</f>
        <v/>
      </c>
      <c r="G19">
        <f>IF([1]Accounts!$D$20="","",[1]Accounts!$C$20)</f>
        <v/>
      </c>
      <c r="H19">
        <f>IF([1]Accounts!$D$20="","",[1]Accounts!$D$20)</f>
        <v/>
      </c>
      <c r="L19">
        <f>IF([2]Entry!$C$22="","",[2]Entry!$C$22)</f>
        <v/>
      </c>
      <c r="M19">
        <f>IF([2]Entry!$J$22="","",[2]Entry!$J$22)</f>
        <v/>
      </c>
      <c r="N19">
        <f>IF([2]Entry!$M$22="","",[2]Entry!$M$22)</f>
        <v/>
      </c>
      <c r="O19">
        <f>IF([2]Entry!$N$22="","",[2]Entry!$N$22)</f>
        <v/>
      </c>
      <c r="P19">
        <f>IF([2]Entry!$S$22="","",[2]Entry!$S$22)</f>
        <v/>
      </c>
    </row>
    <row r="20">
      <c r="A20">
        <f>IF([1]Cheques!$A$21="","",[1]Cheques!$A$21)</f>
        <v/>
      </c>
      <c r="E20">
        <f>IF([1]Accounts!$D$21="","",[1]Accounts!$A$21)</f>
        <v/>
      </c>
      <c r="F20">
        <f>IF([1]Accounts!$D$21="","",[1]Accounts!$B$21)</f>
        <v/>
      </c>
      <c r="G20">
        <f>IF([1]Accounts!$D$21="","",[1]Accounts!$C$21)</f>
        <v/>
      </c>
      <c r="H20">
        <f>IF([1]Accounts!$D$21="","",[1]Accounts!$D$21)</f>
        <v/>
      </c>
      <c r="L20">
        <f>IF([2]Entry!$C$23="","",[2]Entry!$C$23)</f>
        <v/>
      </c>
      <c r="M20">
        <f>IF([2]Entry!$J$23="","",[2]Entry!$J$23)</f>
        <v/>
      </c>
      <c r="N20">
        <f>IF([2]Entry!$M$23="","",[2]Entry!$M$23)</f>
        <v/>
      </c>
      <c r="O20">
        <f>IF([2]Entry!$N$23="","",[2]Entry!$N$23)</f>
        <v/>
      </c>
      <c r="P20">
        <f>IF([2]Entry!$S$23="","",[2]Entry!$S$23)</f>
        <v/>
      </c>
    </row>
    <row r="21">
      <c r="A21">
        <f>IF([1]Cheques!$A$22="","",[1]Cheques!$A$22)</f>
        <v/>
      </c>
      <c r="E21">
        <f>IF([1]Accounts!$D$22="","",[1]Accounts!$A$22)</f>
        <v/>
      </c>
      <c r="F21">
        <f>IF([1]Accounts!$D$22="","",[1]Accounts!$B$22)</f>
        <v/>
      </c>
      <c r="G21">
        <f>IF([1]Accounts!$D$22="","",[1]Accounts!$C$22)</f>
        <v/>
      </c>
      <c r="H21">
        <f>IF([1]Accounts!$D$22="","",[1]Accounts!$D$22)</f>
        <v/>
      </c>
      <c r="L21">
        <f>IF([2]Entry!$C$24="","",[2]Entry!$C$24)</f>
        <v/>
      </c>
      <c r="M21">
        <f>IF([2]Entry!$J$24="","",[2]Entry!$J$24)</f>
        <v/>
      </c>
      <c r="N21">
        <f>IF([2]Entry!$M$24="","",[2]Entry!$M$24)</f>
        <v/>
      </c>
      <c r="O21">
        <f>IF([2]Entry!$N$24="","",[2]Entry!$N$24)</f>
        <v/>
      </c>
      <c r="P21">
        <f>IF([2]Entry!$S$24="","",[2]Entry!$S$24)</f>
        <v/>
      </c>
    </row>
    <row r="22">
      <c r="A22">
        <f>IF([1]Cheques!$A$23="","",[1]Cheques!$A$23)</f>
        <v/>
      </c>
      <c r="E22">
        <f>IF([1]Accounts!$D$23="","",[1]Accounts!$A$23)</f>
        <v/>
      </c>
      <c r="F22">
        <f>IF([1]Accounts!$D$23="","",[1]Accounts!$B$23)</f>
        <v/>
      </c>
      <c r="G22">
        <f>IF([1]Accounts!$D$23="","",[1]Accounts!$C$23)</f>
        <v/>
      </c>
      <c r="H22">
        <f>IF([1]Accounts!$D$23="","",[1]Accounts!$D$23)</f>
        <v/>
      </c>
      <c r="L22">
        <f>IF([2]Entry!$C$25="","",[2]Entry!$C$25)</f>
        <v/>
      </c>
      <c r="M22">
        <f>IF([2]Entry!$J$25="","",[2]Entry!$J$25)</f>
        <v/>
      </c>
      <c r="N22">
        <f>IF([2]Entry!$M$25="","",[2]Entry!$M$25)</f>
        <v/>
      </c>
      <c r="O22">
        <f>IF([2]Entry!$N$25="","",[2]Entry!$N$25)</f>
        <v/>
      </c>
      <c r="P22">
        <f>IF([2]Entry!$S$25="","",[2]Entry!$S$25)</f>
        <v/>
      </c>
    </row>
    <row r="23">
      <c r="A23">
        <f>IF([1]Cheques!$A$24="","",[1]Cheques!$A$24)</f>
        <v/>
      </c>
      <c r="E23">
        <f>IF([1]Accounts!$D$24="","",[1]Accounts!$A$24)</f>
        <v/>
      </c>
      <c r="F23">
        <f>IF([1]Accounts!$D$24="","",[1]Accounts!$B$24)</f>
        <v/>
      </c>
      <c r="G23">
        <f>IF([1]Accounts!$D$24="","",[1]Accounts!$C$24)</f>
        <v/>
      </c>
      <c r="H23">
        <f>IF([1]Accounts!$D$24="","",[1]Accounts!$D$24)</f>
        <v/>
      </c>
      <c r="L23">
        <f>IF([2]Entry!$C$26="","",[2]Entry!$C$26)</f>
        <v/>
      </c>
      <c r="M23">
        <f>IF([2]Entry!$J$26="","",[2]Entry!$J$26)</f>
        <v/>
      </c>
      <c r="N23">
        <f>IF([2]Entry!$M$26="","",[2]Entry!$M$26)</f>
        <v/>
      </c>
      <c r="O23">
        <f>IF([2]Entry!$N$26="","",[2]Entry!$N$26)</f>
        <v/>
      </c>
      <c r="P23">
        <f>IF([2]Entry!$S$26="","",[2]Entry!$S$26)</f>
        <v/>
      </c>
    </row>
    <row r="24">
      <c r="A24">
        <f>IF([1]Cheques!$A$25="","",[1]Cheques!$A$25)</f>
        <v/>
      </c>
      <c r="E24">
        <f>IF([1]Accounts!$D$25="","",[1]Accounts!$A$25)</f>
        <v/>
      </c>
      <c r="F24">
        <f>IF([1]Accounts!$D$25="","",[1]Accounts!$B$25)</f>
        <v/>
      </c>
      <c r="G24">
        <f>IF([1]Accounts!$D$25="","",[1]Accounts!$C$25)</f>
        <v/>
      </c>
      <c r="H24">
        <f>IF([1]Accounts!$D$25="","",[1]Accounts!$D$25)</f>
        <v/>
      </c>
      <c r="L24">
        <f>IF([2]Entry!$C$27="","",[2]Entry!$C$27)</f>
        <v/>
      </c>
      <c r="M24">
        <f>IF([2]Entry!$J$27="","",[2]Entry!$J$27)</f>
        <v/>
      </c>
      <c r="N24">
        <f>IF([2]Entry!$M$27="","",[2]Entry!$M$27)</f>
        <v/>
      </c>
      <c r="O24">
        <f>IF([2]Entry!$N$27="","",[2]Entry!$N$27)</f>
        <v/>
      </c>
      <c r="P24">
        <f>IF([2]Entry!$S$27="","",[2]Entry!$S$27)</f>
        <v/>
      </c>
    </row>
    <row r="25">
      <c r="A25">
        <f>IF([1]Cheques!$A$26="","",[1]Cheques!$A$26)</f>
        <v/>
      </c>
      <c r="E25">
        <f>IF([1]Accounts!$D$26="","",[1]Accounts!$A$26)</f>
        <v/>
      </c>
      <c r="F25">
        <f>IF([1]Accounts!$D$26="","",[1]Accounts!$B$26)</f>
        <v/>
      </c>
      <c r="G25">
        <f>IF([1]Accounts!$D$26="","",[1]Accounts!$C$26)</f>
        <v/>
      </c>
      <c r="H25">
        <f>IF([1]Accounts!$D$26="","",[1]Accounts!$D$26)</f>
        <v/>
      </c>
      <c r="L25">
        <f>IF([2]Entry!$C$28="","",[2]Entry!$C$28)</f>
        <v/>
      </c>
      <c r="M25">
        <f>IF([2]Entry!$J$28="","",[2]Entry!$J$28)</f>
        <v/>
      </c>
      <c r="N25">
        <f>IF([2]Entry!$M$28="","",[2]Entry!$M$28)</f>
        <v/>
      </c>
      <c r="O25">
        <f>IF([2]Entry!$N$28="","",[2]Entry!$N$28)</f>
        <v/>
      </c>
      <c r="P25">
        <f>IF([2]Entry!$S$28="","",[2]Entry!$S$28)</f>
        <v/>
      </c>
    </row>
    <row r="26">
      <c r="A26">
        <f>IF([1]Cheques!$A$27="","",[1]Cheques!$A$27)</f>
        <v/>
      </c>
      <c r="E26">
        <f>IF([1]Accounts!$D$27="","",[1]Accounts!$A$27)</f>
        <v/>
      </c>
      <c r="F26">
        <f>IF([1]Accounts!$D$27="","",[1]Accounts!$B$27)</f>
        <v/>
      </c>
      <c r="G26">
        <f>IF([1]Accounts!$D$27="","",[1]Accounts!$C$27)</f>
        <v/>
      </c>
      <c r="H26">
        <f>IF([1]Accounts!$D$27="","",[1]Accounts!$D$27)</f>
        <v/>
      </c>
      <c r="L26">
        <f>IF([2]Entry!$C$29="","",[2]Entry!$C$29)</f>
        <v/>
      </c>
      <c r="M26">
        <f>IF([2]Entry!$J$29="","",[2]Entry!$J$29)</f>
        <v/>
      </c>
      <c r="N26">
        <f>IF([2]Entry!$M$29="","",[2]Entry!$M$29)</f>
        <v/>
      </c>
      <c r="O26">
        <f>IF([2]Entry!$N$29="","",[2]Entry!$N$29)</f>
        <v/>
      </c>
      <c r="P26">
        <f>IF([2]Entry!$S$29="","",[2]Entry!$S$29)</f>
        <v/>
      </c>
    </row>
    <row r="27">
      <c r="A27">
        <f>IF([1]Cheques!$A$28="","",[1]Cheques!$A$28)</f>
        <v/>
      </c>
      <c r="E27">
        <f>IF([1]Accounts!$D$28="","",[1]Accounts!$A$28)</f>
        <v/>
      </c>
      <c r="F27">
        <f>IF([1]Accounts!$D$28="","",[1]Accounts!$B$28)</f>
        <v/>
      </c>
      <c r="G27">
        <f>IF([1]Accounts!$D$28="","",[1]Accounts!$C$28)</f>
        <v/>
      </c>
      <c r="H27">
        <f>IF([1]Accounts!$D$28="","",[1]Accounts!$D$28)</f>
        <v/>
      </c>
      <c r="L27">
        <f>IF([2]Entry!$C$30="","",[2]Entry!$C$30)</f>
        <v/>
      </c>
      <c r="M27">
        <f>IF([2]Entry!$J$30="","",[2]Entry!$J$30)</f>
        <v/>
      </c>
      <c r="N27">
        <f>IF([2]Entry!$M$30="","",[2]Entry!$M$30)</f>
        <v/>
      </c>
      <c r="O27">
        <f>IF([2]Entry!$N$30="","",[2]Entry!$N$30)</f>
        <v/>
      </c>
      <c r="P27">
        <f>IF([2]Entry!$S$30="","",[2]Entry!$S$30)</f>
        <v/>
      </c>
    </row>
    <row r="28">
      <c r="A28">
        <f>IF([1]Cheques!$A$29="","",[1]Cheques!$A$29)</f>
        <v/>
      </c>
      <c r="E28">
        <f>IF([1]Accounts!$D$29="","",[1]Accounts!$A$29)</f>
        <v/>
      </c>
      <c r="F28">
        <f>IF([1]Accounts!$D$29="","",[1]Accounts!$B$29)</f>
        <v/>
      </c>
      <c r="G28">
        <f>IF([1]Accounts!$D$29="","",[1]Accounts!$C$29)</f>
        <v/>
      </c>
      <c r="H28">
        <f>IF([1]Accounts!$D$29="","",[1]Accounts!$D$29)</f>
        <v/>
      </c>
      <c r="L28">
        <f>IF([2]Entry!$C$31="","",[2]Entry!$C$31)</f>
        <v/>
      </c>
      <c r="M28">
        <f>IF([2]Entry!$J$31="","",[2]Entry!$J$31)</f>
        <v/>
      </c>
      <c r="N28">
        <f>IF([2]Entry!$M$31="","",[2]Entry!$M$31)</f>
        <v/>
      </c>
      <c r="O28">
        <f>IF([2]Entry!$N$31="","",[2]Entry!$N$31)</f>
        <v/>
      </c>
      <c r="P28">
        <f>IF([2]Entry!$S$31="","",[2]Entry!$S$31)</f>
        <v/>
      </c>
    </row>
    <row r="29">
      <c r="A29">
        <f>IF([1]Cheques!$A$30="","",[1]Cheques!$A$30)</f>
        <v/>
      </c>
      <c r="E29">
        <f>IF([1]Accounts!$D$30="","",[1]Accounts!$A$30)</f>
        <v/>
      </c>
      <c r="F29">
        <f>IF([1]Accounts!$D$30="","",[1]Accounts!$B$30)</f>
        <v/>
      </c>
      <c r="G29">
        <f>IF([1]Accounts!$D$30="","",[1]Accounts!$C$30)</f>
        <v/>
      </c>
      <c r="H29">
        <f>IF([1]Accounts!$D$30="","",[1]Accounts!$D$30)</f>
        <v/>
      </c>
      <c r="L29">
        <f>IF([2]Entry!$C$32="","",[2]Entry!$C$32)</f>
        <v/>
      </c>
      <c r="M29">
        <f>IF([2]Entry!$J$32="","",[2]Entry!$J$32)</f>
        <v/>
      </c>
      <c r="N29">
        <f>IF([2]Entry!$M$32="","",[2]Entry!$M$32)</f>
        <v/>
      </c>
      <c r="O29">
        <f>IF([2]Entry!$N$32="","",[2]Entry!$N$32)</f>
        <v/>
      </c>
      <c r="P29">
        <f>IF([2]Entry!$S$32="","",[2]Entry!$S$32)</f>
        <v/>
      </c>
    </row>
    <row r="30">
      <c r="A30">
        <f>IF([1]Cheques!$A$31="","",[1]Cheques!$A$31)</f>
        <v/>
      </c>
      <c r="E30">
        <f>IF([1]Accounts!$D$31="","",[1]Accounts!$A$31)</f>
        <v/>
      </c>
      <c r="F30">
        <f>IF([1]Accounts!$D$31="","",[1]Accounts!$B$31)</f>
        <v/>
      </c>
      <c r="G30">
        <f>IF([1]Accounts!$D$31="","",[1]Accounts!$C$31)</f>
        <v/>
      </c>
      <c r="H30">
        <f>IF([1]Accounts!$D$31="","",[1]Accounts!$D$31)</f>
        <v/>
      </c>
      <c r="L30">
        <f>IF([2]Entry!$C$33="","",[2]Entry!$C$33)</f>
        <v/>
      </c>
      <c r="M30">
        <f>IF([2]Entry!$J$33="","",[2]Entry!$J$33)</f>
        <v/>
      </c>
      <c r="N30">
        <f>IF([2]Entry!$M$33="","",[2]Entry!$M$33)</f>
        <v/>
      </c>
      <c r="O30">
        <f>IF([2]Entry!$N$33="","",[2]Entry!$N$33)</f>
        <v/>
      </c>
      <c r="P30">
        <f>IF([2]Entry!$S$33="","",[2]Entry!$S$33)</f>
        <v/>
      </c>
    </row>
    <row r="31">
      <c r="A31">
        <f>IF([1]Cheques!$A$32="","",[1]Cheques!$A$32)</f>
        <v/>
      </c>
      <c r="E31">
        <f>IF([1]Accounts!$D$32="","",[1]Accounts!$A$32)</f>
        <v/>
      </c>
      <c r="F31">
        <f>IF([1]Accounts!$D$32="","",[1]Accounts!$B$32)</f>
        <v/>
      </c>
      <c r="G31">
        <f>IF([1]Accounts!$D$32="","",[1]Accounts!$C$32)</f>
        <v/>
      </c>
      <c r="H31">
        <f>IF([1]Accounts!$D$32="","",[1]Accounts!$D$32)</f>
        <v/>
      </c>
      <c r="L31">
        <f>IF([2]Entry!$C$34="","",[2]Entry!$C$34)</f>
        <v/>
      </c>
      <c r="M31">
        <f>IF([2]Entry!$J$34="","",[2]Entry!$J$34)</f>
        <v/>
      </c>
      <c r="N31">
        <f>IF([2]Entry!$M$34="","",[2]Entry!$M$34)</f>
        <v/>
      </c>
      <c r="O31">
        <f>IF([2]Entry!$N$34="","",[2]Entry!$N$34)</f>
        <v/>
      </c>
      <c r="P31">
        <f>IF([2]Entry!$S$34="","",[2]Entry!$S$34)</f>
        <v/>
      </c>
    </row>
    <row r="32">
      <c r="A32">
        <f>IF([1]Cheques!$A$33="","",[1]Cheques!$A$33)</f>
        <v/>
      </c>
      <c r="E32">
        <f>IF([1]Accounts!$D$33="","",[1]Accounts!$A$33)</f>
        <v/>
      </c>
      <c r="F32">
        <f>IF([1]Accounts!$D$33="","",[1]Accounts!$B$33)</f>
        <v/>
      </c>
      <c r="G32">
        <f>IF([1]Accounts!$D$33="","",[1]Accounts!$C$33)</f>
        <v/>
      </c>
      <c r="H32">
        <f>IF([1]Accounts!$D$33="","",[1]Accounts!$D$33)</f>
        <v/>
      </c>
      <c r="L32">
        <f>IF([2]Entry!$C$35="","",[2]Entry!$C$35)</f>
        <v/>
      </c>
      <c r="M32">
        <f>IF([2]Entry!$J$35="","",[2]Entry!$J$35)</f>
        <v/>
      </c>
      <c r="N32">
        <f>IF([2]Entry!$M$35="","",[2]Entry!$M$35)</f>
        <v/>
      </c>
      <c r="O32">
        <f>IF([2]Entry!$N$35="","",[2]Entry!$N$35)</f>
        <v/>
      </c>
      <c r="P32">
        <f>IF([2]Entry!$S$35="","",[2]Entry!$S$35)</f>
        <v/>
      </c>
    </row>
    <row r="33">
      <c r="A33">
        <f>IF([1]Cheques!$A$34="","",[1]Cheques!$A$34)</f>
        <v/>
      </c>
      <c r="E33">
        <f>IF([1]Accounts!$D$34="","",[1]Accounts!$A$34)</f>
        <v/>
      </c>
      <c r="F33">
        <f>IF([1]Accounts!$D$34="","",[1]Accounts!$B$34)</f>
        <v/>
      </c>
      <c r="G33">
        <f>IF([1]Accounts!$D$34="","",[1]Accounts!$C$34)</f>
        <v/>
      </c>
      <c r="H33">
        <f>IF([1]Accounts!$D$34="","",[1]Accounts!$D$34)</f>
        <v/>
      </c>
      <c r="L33">
        <f>IF([2]Entry!$C$36="","",[2]Entry!$C$36)</f>
        <v/>
      </c>
      <c r="M33">
        <f>IF([2]Entry!$J$36="","",[2]Entry!$J$36)</f>
        <v/>
      </c>
      <c r="N33">
        <f>IF([2]Entry!$M$36="","",[2]Entry!$M$36)</f>
        <v/>
      </c>
      <c r="O33">
        <f>IF([2]Entry!$N$36="","",[2]Entry!$N$36)</f>
        <v/>
      </c>
      <c r="P33">
        <f>IF([2]Entry!$S$36="","",[2]Entry!$S$36)</f>
        <v/>
      </c>
    </row>
    <row r="34">
      <c r="A34">
        <f>IF([1]Cheques!$A$35="","",[1]Cheques!$A$35)</f>
        <v/>
      </c>
      <c r="E34">
        <f>IF([1]Accounts!$D$35="","",[1]Accounts!$A$35)</f>
        <v/>
      </c>
      <c r="F34">
        <f>IF([1]Accounts!$D$35="","",[1]Accounts!$B$35)</f>
        <v/>
      </c>
      <c r="G34">
        <f>IF([1]Accounts!$D$35="","",[1]Accounts!$C$35)</f>
        <v/>
      </c>
      <c r="H34">
        <f>IF([1]Accounts!$D$35="","",[1]Accounts!$D$35)</f>
        <v/>
      </c>
      <c r="L34">
        <f>IF([2]Entry!$C$37="","",[2]Entry!$C$37)</f>
        <v/>
      </c>
      <c r="M34">
        <f>IF([2]Entry!$J$37="","",[2]Entry!$J$37)</f>
        <v/>
      </c>
      <c r="N34">
        <f>IF([2]Entry!$M$37="","",[2]Entry!$M$37)</f>
        <v/>
      </c>
      <c r="O34">
        <f>IF([2]Entry!$N$37="","",[2]Entry!$N$37)</f>
        <v/>
      </c>
      <c r="P34">
        <f>IF([2]Entry!$S$37="","",[2]Entry!$S$37)</f>
        <v/>
      </c>
    </row>
    <row r="35">
      <c r="A35">
        <f>IF([1]Cheques!$A$36="","",[1]Cheques!$A$36)</f>
        <v/>
      </c>
      <c r="E35">
        <f>IF([1]Accounts!$D$36="","",[1]Accounts!$A$36)</f>
        <v/>
      </c>
      <c r="F35">
        <f>IF([1]Accounts!$D$36="","",[1]Accounts!$B$36)</f>
        <v/>
      </c>
      <c r="G35">
        <f>IF([1]Accounts!$D$36="","",[1]Accounts!$C$36)</f>
        <v/>
      </c>
      <c r="H35">
        <f>IF([1]Accounts!$D$36="","",[1]Accounts!$D$36)</f>
        <v/>
      </c>
      <c r="L35">
        <f>IF([2]Entry!$C$38="","",[2]Entry!$C$38)</f>
        <v/>
      </c>
      <c r="M35">
        <f>IF([2]Entry!$J$38="","",[2]Entry!$J$38)</f>
        <v/>
      </c>
      <c r="N35">
        <f>IF([2]Entry!$M$38="","",[2]Entry!$M$38)</f>
        <v/>
      </c>
      <c r="O35">
        <f>IF([2]Entry!$N$38="","",[2]Entry!$N$38)</f>
        <v/>
      </c>
      <c r="P35">
        <f>IF([2]Entry!$S$38="","",[2]Entry!$S$38)</f>
        <v/>
      </c>
    </row>
    <row r="36">
      <c r="A36">
        <f>IF([1]Cheques!$A$37="","",[1]Cheques!$A$37)</f>
        <v/>
      </c>
      <c r="E36">
        <f>IF([1]Accounts!$D$37="","",[1]Accounts!$A$37)</f>
        <v/>
      </c>
      <c r="F36">
        <f>IF([1]Accounts!$D$37="","",[1]Accounts!$B$37)</f>
        <v/>
      </c>
      <c r="G36">
        <f>IF([1]Accounts!$D$37="","",[1]Accounts!$C$37)</f>
        <v/>
      </c>
      <c r="H36">
        <f>IF([1]Accounts!$D$37="","",[1]Accounts!$D$37)</f>
        <v/>
      </c>
      <c r="L36">
        <f>IF([2]Entry!$C$39="","",[2]Entry!$C$39)</f>
        <v/>
      </c>
      <c r="M36">
        <f>IF([2]Entry!$J$39="","",[2]Entry!$J$39)</f>
        <v/>
      </c>
      <c r="N36">
        <f>IF([2]Entry!$M$39="","",[2]Entry!$M$39)</f>
        <v/>
      </c>
      <c r="O36">
        <f>IF([2]Entry!$N$39="","",[2]Entry!$N$39)</f>
        <v/>
      </c>
      <c r="P36">
        <f>IF([2]Entry!$S$39="","",[2]Entry!$S$39)</f>
        <v/>
      </c>
    </row>
    <row r="37">
      <c r="A37">
        <f>IF([1]Cheques!$A$38="","",[1]Cheques!$A$38)</f>
        <v/>
      </c>
      <c r="E37">
        <f>IF([1]Accounts!$D$38="","",[1]Accounts!$A$38)</f>
        <v/>
      </c>
      <c r="F37">
        <f>IF([1]Accounts!$D$38="","",[1]Accounts!$B$38)</f>
        <v/>
      </c>
      <c r="G37">
        <f>IF([1]Accounts!$D$38="","",[1]Accounts!$C$38)</f>
        <v/>
      </c>
      <c r="H37">
        <f>IF([1]Accounts!$D$38="","",[1]Accounts!$D$38)</f>
        <v/>
      </c>
      <c r="L37">
        <f>IF([2]Entry!$C$40="","",[2]Entry!$C$40)</f>
        <v/>
      </c>
      <c r="M37">
        <f>IF([2]Entry!$J$40="","",[2]Entry!$J$40)</f>
        <v/>
      </c>
      <c r="N37">
        <f>IF([2]Entry!$M$40="","",[2]Entry!$M$40)</f>
        <v/>
      </c>
      <c r="O37">
        <f>IF([2]Entry!$N$40="","",[2]Entry!$N$40)</f>
        <v/>
      </c>
      <c r="P37">
        <f>IF([2]Entry!$S$40="","",[2]Entry!$S$40)</f>
        <v/>
      </c>
    </row>
    <row r="38">
      <c r="A38">
        <f>IF([1]Cheques!$A$39="","",[1]Cheques!$A$39)</f>
        <v/>
      </c>
      <c r="E38">
        <f>IF([1]Accounts!$D$39="","",[1]Accounts!$A$39)</f>
        <v/>
      </c>
      <c r="F38">
        <f>IF([1]Accounts!$D$39="","",[1]Accounts!$B$39)</f>
        <v/>
      </c>
      <c r="G38">
        <f>IF([1]Accounts!$D$39="","",[1]Accounts!$C$39)</f>
        <v/>
      </c>
      <c r="H38">
        <f>IF([1]Accounts!$D$39="","",[1]Accounts!$D$39)</f>
        <v/>
      </c>
      <c r="L38">
        <f>IF([2]Entry!$C$41="","",[2]Entry!$C$41)</f>
        <v/>
      </c>
      <c r="M38">
        <f>IF([2]Entry!$J$41="","",[2]Entry!$J$41)</f>
        <v/>
      </c>
      <c r="N38">
        <f>IF([2]Entry!$M$41="","",[2]Entry!$M$41)</f>
        <v/>
      </c>
      <c r="O38">
        <f>IF([2]Entry!$N$41="","",[2]Entry!$N$41)</f>
        <v/>
      </c>
      <c r="P38">
        <f>IF([2]Entry!$S$41="","",[2]Entry!$S$41)</f>
        <v/>
      </c>
    </row>
    <row r="39">
      <c r="A39">
        <f>IF([1]Cheques!$A$40="","",[1]Cheques!$A$40)</f>
        <v/>
      </c>
      <c r="E39">
        <f>IF([1]Accounts!$D$40="","",[1]Accounts!$A$40)</f>
        <v/>
      </c>
      <c r="F39">
        <f>IF([1]Accounts!$D$40="","",[1]Accounts!$B$40)</f>
        <v/>
      </c>
      <c r="G39">
        <f>IF([1]Accounts!$D$40="","",[1]Accounts!$C$40)</f>
        <v/>
      </c>
      <c r="H39">
        <f>IF([1]Accounts!$D$40="","",[1]Accounts!$D$40)</f>
        <v/>
      </c>
      <c r="L39">
        <f>IF([2]Entry!$C$42="","",[2]Entry!$C$42)</f>
        <v/>
      </c>
      <c r="M39">
        <f>IF([2]Entry!$J$42="","",[2]Entry!$J$42)</f>
        <v/>
      </c>
      <c r="N39">
        <f>IF([2]Entry!$M$42="","",[2]Entry!$M$42)</f>
        <v/>
      </c>
      <c r="O39">
        <f>IF([2]Entry!$N$42="","",[2]Entry!$N$42)</f>
        <v/>
      </c>
      <c r="P39">
        <f>IF([2]Entry!$S$42="","",[2]Entry!$S$42)</f>
        <v/>
      </c>
    </row>
    <row r="40">
      <c r="A40">
        <f>IF([1]Cheques!$A$41="","",[1]Cheques!$A$41)</f>
        <v/>
      </c>
      <c r="E40">
        <f>IF([1]Accounts!$D$41="","",[1]Accounts!$A$41)</f>
        <v/>
      </c>
      <c r="F40">
        <f>IF([1]Accounts!$D$41="","",[1]Accounts!$B$41)</f>
        <v/>
      </c>
      <c r="G40">
        <f>IF([1]Accounts!$D$41="","",[1]Accounts!$C$41)</f>
        <v/>
      </c>
      <c r="H40">
        <f>IF([1]Accounts!$D$41="","",[1]Accounts!$D$41)</f>
        <v/>
      </c>
      <c r="L40">
        <f>IF([2]Entry!$C$43="","",[2]Entry!$C$43)</f>
        <v/>
      </c>
      <c r="M40">
        <f>IF([2]Entry!$J$43="","",[2]Entry!$J$43)</f>
        <v/>
      </c>
      <c r="N40">
        <f>IF([2]Entry!$M$43="","",[2]Entry!$M$43)</f>
        <v/>
      </c>
      <c r="O40">
        <f>IF([2]Entry!$N$43="","",[2]Entry!$N$43)</f>
        <v/>
      </c>
      <c r="P40">
        <f>IF([2]Entry!$S$43="","",[2]Entry!$S$43)</f>
        <v/>
      </c>
    </row>
    <row r="41">
      <c r="A41">
        <f>IF([1]Cheques!$A$42="","",[1]Cheques!$A$42)</f>
        <v/>
      </c>
      <c r="E41">
        <f>IF([1]Accounts!$D$42="","",[1]Accounts!$A$42)</f>
        <v/>
      </c>
      <c r="F41">
        <f>IF([1]Accounts!$D$42="","",[1]Accounts!$B$42)</f>
        <v/>
      </c>
      <c r="G41">
        <f>IF([1]Accounts!$D$42="","",[1]Accounts!$C$42)</f>
        <v/>
      </c>
      <c r="H41">
        <f>IF([1]Accounts!$D$42="","",[1]Accounts!$D$42)</f>
        <v/>
      </c>
      <c r="L41">
        <f>IF([2]Entry!$C$44="","",[2]Entry!$C$44)</f>
        <v/>
      </c>
      <c r="M41">
        <f>IF([2]Entry!$J$44="","",[2]Entry!$J$44)</f>
        <v/>
      </c>
      <c r="N41">
        <f>IF([2]Entry!$M$44="","",[2]Entry!$M$44)</f>
        <v/>
      </c>
      <c r="O41">
        <f>IF([2]Entry!$N$44="","",[2]Entry!$N$44)</f>
        <v/>
      </c>
      <c r="P41">
        <f>IF([2]Entry!$S$44="","",[2]Entry!$S$44)</f>
        <v/>
      </c>
    </row>
    <row r="42">
      <c r="A42">
        <f>IF([1]Cheques!$A$43="","",[1]Cheques!$A$43)</f>
        <v/>
      </c>
      <c r="E42">
        <f>IF([1]Accounts!$D$43="","",[1]Accounts!$A$43)</f>
        <v/>
      </c>
      <c r="F42">
        <f>IF([1]Accounts!$D$43="","",[1]Accounts!$B$43)</f>
        <v/>
      </c>
      <c r="G42">
        <f>IF([1]Accounts!$D$43="","",[1]Accounts!$C$43)</f>
        <v/>
      </c>
      <c r="H42">
        <f>IF([1]Accounts!$D$43="","",[1]Accounts!$D$43)</f>
        <v/>
      </c>
      <c r="L42">
        <f>IF([2]Entry!$C$45="","",[2]Entry!$C$45)</f>
        <v/>
      </c>
      <c r="M42">
        <f>IF([2]Entry!$J$45="","",[2]Entry!$J$45)</f>
        <v/>
      </c>
      <c r="N42">
        <f>IF([2]Entry!$M$45="","",[2]Entry!$M$45)</f>
        <v/>
      </c>
      <c r="O42">
        <f>IF([2]Entry!$N$45="","",[2]Entry!$N$45)</f>
        <v/>
      </c>
      <c r="P42">
        <f>IF([2]Entry!$S$45="","",[2]Entry!$S$45)</f>
        <v/>
      </c>
    </row>
    <row r="43">
      <c r="A43">
        <f>IF([1]Cheques!$A$44="","",[1]Cheques!$A$44)</f>
        <v/>
      </c>
      <c r="E43">
        <f>IF([1]Accounts!$D$44="","",[1]Accounts!$A$44)</f>
        <v/>
      </c>
      <c r="F43">
        <f>IF([1]Accounts!$D$44="","",[1]Accounts!$B$44)</f>
        <v/>
      </c>
      <c r="G43">
        <f>IF([1]Accounts!$D$44="","",[1]Accounts!$C$44)</f>
        <v/>
      </c>
      <c r="H43">
        <f>IF([1]Accounts!$D$44="","",[1]Accounts!$D$44)</f>
        <v/>
      </c>
      <c r="L43">
        <f>IF([2]Entry!$C$46="","",[2]Entry!$C$46)</f>
        <v/>
      </c>
      <c r="M43">
        <f>IF([2]Entry!$J$46="","",[2]Entry!$J$46)</f>
        <v/>
      </c>
      <c r="N43">
        <f>IF([2]Entry!$M$46="","",[2]Entry!$M$46)</f>
        <v/>
      </c>
      <c r="O43">
        <f>IF([2]Entry!$N$46="","",[2]Entry!$N$46)</f>
        <v/>
      </c>
      <c r="P43">
        <f>IF([2]Entry!$S$46="","",[2]Entry!$S$46)</f>
        <v/>
      </c>
    </row>
    <row r="44">
      <c r="A44">
        <f>IF([1]Cheques!$A$45="","",[1]Cheques!$A$45)</f>
        <v/>
      </c>
      <c r="E44">
        <f>IF([1]Accounts!$D$45="","",[1]Accounts!$A$45)</f>
        <v/>
      </c>
      <c r="F44">
        <f>IF([1]Accounts!$D$45="","",[1]Accounts!$B$45)</f>
        <v/>
      </c>
      <c r="G44">
        <f>IF([1]Accounts!$D$45="","",[1]Accounts!$C$45)</f>
        <v/>
      </c>
      <c r="H44">
        <f>IF([1]Accounts!$D$45="","",[1]Accounts!$D$45)</f>
        <v/>
      </c>
      <c r="L44">
        <f>IF([2]Entry!$C$47="","",[2]Entry!$C$47)</f>
        <v/>
      </c>
      <c r="M44">
        <f>IF([2]Entry!$J$47="","",[2]Entry!$J$47)</f>
        <v/>
      </c>
      <c r="N44">
        <f>IF([2]Entry!$M$47="","",[2]Entry!$M$47)</f>
        <v/>
      </c>
      <c r="O44">
        <f>IF([2]Entry!$N$47="","",[2]Entry!$N$47)</f>
        <v/>
      </c>
      <c r="P44">
        <f>IF([2]Entry!$S$47="","",[2]Entry!$S$47)</f>
        <v/>
      </c>
    </row>
    <row r="45">
      <c r="A45">
        <f>IF([1]Cheques!$A$46="","",[1]Cheques!$A$46)</f>
        <v/>
      </c>
      <c r="E45">
        <f>IF([1]Accounts!$D$46="","",[1]Accounts!$A$46)</f>
        <v/>
      </c>
      <c r="F45">
        <f>IF([1]Accounts!$D$46="","",[1]Accounts!$B$46)</f>
        <v/>
      </c>
      <c r="G45">
        <f>IF([1]Accounts!$D$46="","",[1]Accounts!$C$46)</f>
        <v/>
      </c>
      <c r="H45">
        <f>IF([1]Accounts!$D$46="","",[1]Accounts!$D$46)</f>
        <v/>
      </c>
      <c r="L45">
        <f>IF([2]Entry!$C$48="","",[2]Entry!$C$48)</f>
        <v/>
      </c>
      <c r="M45">
        <f>IF([2]Entry!$J$48="","",[2]Entry!$J$48)</f>
        <v/>
      </c>
      <c r="N45">
        <f>IF([2]Entry!$M$48="","",[2]Entry!$M$48)</f>
        <v/>
      </c>
      <c r="O45">
        <f>IF([2]Entry!$N$48="","",[2]Entry!$N$48)</f>
        <v/>
      </c>
      <c r="P45">
        <f>IF([2]Entry!$S$48="","",[2]Entry!$S$48)</f>
        <v/>
      </c>
    </row>
    <row r="46">
      <c r="A46">
        <f>IF([1]Cheques!$A$47="","",[1]Cheques!$A$47)</f>
        <v/>
      </c>
      <c r="E46">
        <f>IF([1]Accounts!$D$47="","",[1]Accounts!$A$47)</f>
        <v/>
      </c>
      <c r="F46">
        <f>IF([1]Accounts!$D$47="","",[1]Accounts!$B$47)</f>
        <v/>
      </c>
      <c r="G46">
        <f>IF([1]Accounts!$D$47="","",[1]Accounts!$C$47)</f>
        <v/>
      </c>
      <c r="H46">
        <f>IF([1]Accounts!$D$47="","",[1]Accounts!$D$47)</f>
        <v/>
      </c>
      <c r="L46">
        <f>IF([2]Entry!$C$49="","",[2]Entry!$C$49)</f>
        <v/>
      </c>
      <c r="M46">
        <f>IF([2]Entry!$J$49="","",[2]Entry!$J$49)</f>
        <v/>
      </c>
      <c r="N46">
        <f>IF([2]Entry!$M$49="","",[2]Entry!$M$49)</f>
        <v/>
      </c>
      <c r="O46">
        <f>IF([2]Entry!$N$49="","",[2]Entry!$N$49)</f>
        <v/>
      </c>
      <c r="P46">
        <f>IF([2]Entry!$S$49="","",[2]Entry!$S$49)</f>
        <v/>
      </c>
    </row>
    <row r="47">
      <c r="A47">
        <f>IF([1]Cheques!$A$48="","",[1]Cheques!$A$48)</f>
        <v/>
      </c>
      <c r="E47">
        <f>IF([1]Accounts!$D$48="","",[1]Accounts!$A$48)</f>
        <v/>
      </c>
      <c r="F47">
        <f>IF([1]Accounts!$D$48="","",[1]Accounts!$B$48)</f>
        <v/>
      </c>
      <c r="G47">
        <f>IF([1]Accounts!$D$48="","",[1]Accounts!$C$48)</f>
        <v/>
      </c>
      <c r="H47">
        <f>IF([1]Accounts!$D$48="","",[1]Accounts!$D$48)</f>
        <v/>
      </c>
      <c r="L47">
        <f>IF([2]Entry!$C$50="","",[2]Entry!$C$50)</f>
        <v/>
      </c>
      <c r="M47">
        <f>IF([2]Entry!$J$50="","",[2]Entry!$J$50)</f>
        <v/>
      </c>
      <c r="N47">
        <f>IF([2]Entry!$M$50="","",[2]Entry!$M$50)</f>
        <v/>
      </c>
      <c r="O47">
        <f>IF([2]Entry!$N$50="","",[2]Entry!$N$50)</f>
        <v/>
      </c>
      <c r="P47">
        <f>IF([2]Entry!$S$50="","",[2]Entry!$S$50)</f>
        <v/>
      </c>
    </row>
    <row r="48">
      <c r="A48">
        <f>IF([1]Cheques!$A$49="","",[1]Cheques!$A$49)</f>
        <v/>
      </c>
      <c r="E48">
        <f>IF([1]Accounts!$D$49="","",[1]Accounts!$A$49)</f>
        <v/>
      </c>
      <c r="F48">
        <f>IF([1]Accounts!$D$49="","",[1]Accounts!$B$49)</f>
        <v/>
      </c>
      <c r="G48">
        <f>IF([1]Accounts!$D$49="","",[1]Accounts!$C$49)</f>
        <v/>
      </c>
      <c r="H48">
        <f>IF([1]Accounts!$D$49="","",[1]Accounts!$D$49)</f>
        <v/>
      </c>
      <c r="L48">
        <f>IF([2]Entry!$C$51="","",[2]Entry!$C$51)</f>
        <v/>
      </c>
      <c r="M48">
        <f>IF([2]Entry!$J$51="","",[2]Entry!$J$51)</f>
        <v/>
      </c>
      <c r="N48">
        <f>IF([2]Entry!$M$51="","",[2]Entry!$M$51)</f>
        <v/>
      </c>
      <c r="O48">
        <f>IF([2]Entry!$N$51="","",[2]Entry!$N$51)</f>
        <v/>
      </c>
      <c r="P48">
        <f>IF([2]Entry!$S$51="","",[2]Entry!$S$51)</f>
        <v/>
      </c>
    </row>
    <row r="49">
      <c r="A49">
        <f>IF([1]Cheques!$A$50="","",[1]Cheques!$A$50)</f>
        <v/>
      </c>
      <c r="E49">
        <f>IF([1]Accounts!$D$50="","",[1]Accounts!$A$50)</f>
        <v/>
      </c>
      <c r="F49">
        <f>IF([1]Accounts!$D$50="","",[1]Accounts!$B$50)</f>
        <v/>
      </c>
      <c r="G49">
        <f>IF([1]Accounts!$D$50="","",[1]Accounts!$C$50)</f>
        <v/>
      </c>
      <c r="H49">
        <f>IF([1]Accounts!$D$50="","",[1]Accounts!$D$50)</f>
        <v/>
      </c>
      <c r="L49">
        <f>IF([2]Entry!$C$52="","",[2]Entry!$C$52)</f>
        <v/>
      </c>
      <c r="M49">
        <f>IF([2]Entry!$J$52="","",[2]Entry!$J$52)</f>
        <v/>
      </c>
      <c r="N49">
        <f>IF([2]Entry!$M$52="","",[2]Entry!$M$52)</f>
        <v/>
      </c>
      <c r="O49">
        <f>IF([2]Entry!$N$52="","",[2]Entry!$N$52)</f>
        <v/>
      </c>
      <c r="P49">
        <f>IF([2]Entry!$S$52="","",[2]Entry!$S$52)</f>
        <v/>
      </c>
    </row>
    <row r="50">
      <c r="A50">
        <f>IF([1]Cheques!$A$51="","",[1]Cheques!$A$51)</f>
        <v/>
      </c>
      <c r="E50">
        <f>IF([1]Accounts!$D$51="","",[1]Accounts!$A$51)</f>
        <v/>
      </c>
      <c r="F50">
        <f>IF([1]Accounts!$D$51="","",[1]Accounts!$B$51)</f>
        <v/>
      </c>
      <c r="G50">
        <f>IF([1]Accounts!$D$51="","",[1]Accounts!$C$51)</f>
        <v/>
      </c>
      <c r="H50">
        <f>IF([1]Accounts!$D$51="","",[1]Accounts!$D$51)</f>
        <v/>
      </c>
      <c r="L50">
        <f>IF([2]Entry!$C$53="","",[2]Entry!$C$53)</f>
        <v/>
      </c>
      <c r="M50">
        <f>IF([2]Entry!$J$53="","",[2]Entry!$J$53)</f>
        <v/>
      </c>
      <c r="N50">
        <f>IF([2]Entry!$M$53="","",[2]Entry!$M$53)</f>
        <v/>
      </c>
      <c r="O50">
        <f>IF([2]Entry!$N$53="","",[2]Entry!$N$53)</f>
        <v/>
      </c>
      <c r="P50">
        <f>IF([2]Entry!$S$53="","",[2]Entry!$S$53)</f>
        <v/>
      </c>
    </row>
    <row r="51">
      <c r="A51">
        <f>IF([1]Cheques!$A$52="","",[1]Cheques!$A$52)</f>
        <v/>
      </c>
      <c r="E51">
        <f>IF([1]Accounts!$D$52="","",[1]Accounts!$A$52)</f>
        <v/>
      </c>
      <c r="F51">
        <f>IF([1]Accounts!$D$52="","",[1]Accounts!$B$52)</f>
        <v/>
      </c>
      <c r="G51">
        <f>IF([1]Accounts!$D$52="","",[1]Accounts!$C$52)</f>
        <v/>
      </c>
      <c r="H51">
        <f>IF([1]Accounts!$D$52="","",[1]Accounts!$D$52)</f>
        <v/>
      </c>
      <c r="L51">
        <f>IF([2]Entry!$C$54="","",[2]Entry!$C$54)</f>
        <v/>
      </c>
      <c r="M51">
        <f>IF([2]Entry!$J$54="","",[2]Entry!$J$54)</f>
        <v/>
      </c>
      <c r="N51">
        <f>IF([2]Entry!$M$54="","",[2]Entry!$M$54)</f>
        <v/>
      </c>
      <c r="O51">
        <f>IF([2]Entry!$N$54="","",[2]Entry!$N$54)</f>
        <v/>
      </c>
      <c r="P51">
        <f>IF([2]Entry!$S$54="","",[2]Entry!$S$54)</f>
        <v/>
      </c>
    </row>
    <row r="52">
      <c r="A52">
        <f>IF([1]Cheques!$A$53="","",[1]Cheques!$A$53)</f>
        <v/>
      </c>
      <c r="E52">
        <f>IF([1]Accounts!$D$53="","",[1]Accounts!$A$53)</f>
        <v/>
      </c>
      <c r="F52">
        <f>IF([1]Accounts!$D$53="","",[1]Accounts!$B$53)</f>
        <v/>
      </c>
      <c r="G52">
        <f>IF([1]Accounts!$D$53="","",[1]Accounts!$C$53)</f>
        <v/>
      </c>
      <c r="H52">
        <f>IF([1]Accounts!$D$53="","",[1]Accounts!$D$53)</f>
        <v/>
      </c>
      <c r="L52">
        <f>IF([2]Entry!$C$55="","",[2]Entry!$C$55)</f>
        <v/>
      </c>
      <c r="M52">
        <f>IF([2]Entry!$J$55="","",[2]Entry!$J$55)</f>
        <v/>
      </c>
      <c r="N52">
        <f>IF([2]Entry!$M$55="","",[2]Entry!$M$55)</f>
        <v/>
      </c>
      <c r="O52">
        <f>IF([2]Entry!$N$55="","",[2]Entry!$N$55)</f>
        <v/>
      </c>
      <c r="P52">
        <f>IF([2]Entry!$S$55="","",[2]Entry!$S$55)</f>
        <v/>
      </c>
    </row>
    <row r="53">
      <c r="A53">
        <f>IF([1]Cheques!$A$54="","",[1]Cheques!$A$54)</f>
        <v/>
      </c>
      <c r="E53">
        <f>IF([1]Accounts!$D$54="","",[1]Accounts!$A$54)</f>
        <v/>
      </c>
      <c r="F53">
        <f>IF([1]Accounts!$D$54="","",[1]Accounts!$B$54)</f>
        <v/>
      </c>
      <c r="G53">
        <f>IF([1]Accounts!$D$54="","",[1]Accounts!$C$54)</f>
        <v/>
      </c>
      <c r="H53">
        <f>IF([1]Accounts!$D$54="","",[1]Accounts!$D$54)</f>
        <v/>
      </c>
      <c r="L53">
        <f>IF([2]Entry!$C$56="","",[2]Entry!$C$56)</f>
        <v/>
      </c>
      <c r="M53">
        <f>IF([2]Entry!$J$56="","",[2]Entry!$J$56)</f>
        <v/>
      </c>
      <c r="N53">
        <f>IF([2]Entry!$M$56="","",[2]Entry!$M$56)</f>
        <v/>
      </c>
      <c r="O53">
        <f>IF([2]Entry!$N$56="","",[2]Entry!$N$56)</f>
        <v/>
      </c>
      <c r="P53">
        <f>IF([2]Entry!$S$56="","",[2]Entry!$S$56)</f>
        <v/>
      </c>
    </row>
    <row r="54">
      <c r="A54">
        <f>IF([1]Cheques!$A$55="","",[1]Cheques!$A$55)</f>
        <v/>
      </c>
      <c r="E54">
        <f>IF([1]Accounts!$D$55="","",[1]Accounts!$A$55)</f>
        <v/>
      </c>
      <c r="F54">
        <f>IF([1]Accounts!$D$55="","",[1]Accounts!$B$55)</f>
        <v/>
      </c>
      <c r="G54">
        <f>IF([1]Accounts!$D$55="","",[1]Accounts!$C$55)</f>
        <v/>
      </c>
      <c r="H54">
        <f>IF([1]Accounts!$D$55="","",[1]Accounts!$D$55)</f>
        <v/>
      </c>
      <c r="L54">
        <f>IF([2]Entry!$C$57="","",[2]Entry!$C$57)</f>
        <v/>
      </c>
      <c r="M54">
        <f>IF([2]Entry!$J$57="","",[2]Entry!$J$57)</f>
        <v/>
      </c>
      <c r="N54">
        <f>IF([2]Entry!$M$57="","",[2]Entry!$M$57)</f>
        <v/>
      </c>
      <c r="O54">
        <f>IF([2]Entry!$N$57="","",[2]Entry!$N$57)</f>
        <v/>
      </c>
      <c r="P54">
        <f>IF([2]Entry!$S$57="","",[2]Entry!$S$57)</f>
        <v/>
      </c>
    </row>
    <row r="55">
      <c r="A55">
        <f>IF([1]Cheques!$A$56="","",[1]Cheques!$A$56)</f>
        <v/>
      </c>
      <c r="E55">
        <f>IF([1]Accounts!$D$56="","",[1]Accounts!$A$56)</f>
        <v/>
      </c>
      <c r="F55">
        <f>IF([1]Accounts!$D$56="","",[1]Accounts!$B$56)</f>
        <v/>
      </c>
      <c r="G55">
        <f>IF([1]Accounts!$D$56="","",[1]Accounts!$C$56)</f>
        <v/>
      </c>
      <c r="H55">
        <f>IF([1]Accounts!$D$56="","",[1]Accounts!$D$56)</f>
        <v/>
      </c>
      <c r="L55">
        <f>IF([2]Entry!$C$58="","",[2]Entry!$C$58)</f>
        <v/>
      </c>
      <c r="M55">
        <f>IF([2]Entry!$J$58="","",[2]Entry!$J$58)</f>
        <v/>
      </c>
      <c r="N55">
        <f>IF([2]Entry!$M$58="","",[2]Entry!$M$58)</f>
        <v/>
      </c>
      <c r="O55">
        <f>IF([2]Entry!$N$58="","",[2]Entry!$N$58)</f>
        <v/>
      </c>
      <c r="P55">
        <f>IF([2]Entry!$S$58="","",[2]Entry!$S$58)</f>
        <v/>
      </c>
    </row>
    <row r="56">
      <c r="A56">
        <f>IF([1]Cheques!$A$57="","",[1]Cheques!$A$57)</f>
        <v/>
      </c>
      <c r="E56">
        <f>IF([1]Accounts!$D$57="","",[1]Accounts!$A$57)</f>
        <v/>
      </c>
      <c r="F56">
        <f>IF([1]Accounts!$D$57="","",[1]Accounts!$B$57)</f>
        <v/>
      </c>
      <c r="G56">
        <f>IF([1]Accounts!$D$57="","",[1]Accounts!$C$57)</f>
        <v/>
      </c>
      <c r="H56">
        <f>IF([1]Accounts!$D$57="","",[1]Accounts!$D$57)</f>
        <v/>
      </c>
      <c r="L56">
        <f>IF([2]Entry!$C$59="","",[2]Entry!$C$59)</f>
        <v/>
      </c>
      <c r="M56">
        <f>IF([2]Entry!$J$59="","",[2]Entry!$J$59)</f>
        <v/>
      </c>
      <c r="N56">
        <f>IF([2]Entry!$M$59="","",[2]Entry!$M$59)</f>
        <v/>
      </c>
      <c r="O56">
        <f>IF([2]Entry!$N$59="","",[2]Entry!$N$59)</f>
        <v/>
      </c>
      <c r="P56">
        <f>IF([2]Entry!$S$59="","",[2]Entry!$S$59)</f>
        <v/>
      </c>
    </row>
    <row r="57">
      <c r="A57">
        <f>IF([1]Cheques!$A$58="","",[1]Cheques!$A$58)</f>
        <v/>
      </c>
      <c r="E57">
        <f>IF([1]Accounts!$D$58="","",[1]Accounts!$A$58)</f>
        <v/>
      </c>
      <c r="F57">
        <f>IF([1]Accounts!$D$58="","",[1]Accounts!$B$58)</f>
        <v/>
      </c>
      <c r="G57">
        <f>IF([1]Accounts!$D$58="","",[1]Accounts!$C$58)</f>
        <v/>
      </c>
      <c r="H57">
        <f>IF([1]Accounts!$D$58="","",[1]Accounts!$D$58)</f>
        <v/>
      </c>
      <c r="L57">
        <f>IF([2]Entry!$C$60="","",[2]Entry!$C$60)</f>
        <v/>
      </c>
      <c r="M57">
        <f>IF([2]Entry!$J$60="","",[2]Entry!$J$60)</f>
        <v/>
      </c>
      <c r="N57">
        <f>IF([2]Entry!$M$60="","",[2]Entry!$M$60)</f>
        <v/>
      </c>
      <c r="O57">
        <f>IF([2]Entry!$N$60="","",[2]Entry!$N$60)</f>
        <v/>
      </c>
      <c r="P57">
        <f>IF([2]Entry!$S$60="","",[2]Entry!$S$60)</f>
        <v/>
      </c>
    </row>
    <row r="58">
      <c r="A58">
        <f>IF([1]Cheques!$A$59="","",[1]Cheques!$A$59)</f>
        <v/>
      </c>
      <c r="E58">
        <f>IF([1]Accounts!$D$59="","",[1]Accounts!$A$59)</f>
        <v/>
      </c>
      <c r="F58">
        <f>IF([1]Accounts!$D$59="","",[1]Accounts!$B$59)</f>
        <v/>
      </c>
      <c r="G58">
        <f>IF([1]Accounts!$D$59="","",[1]Accounts!$C$59)</f>
        <v/>
      </c>
      <c r="H58">
        <f>IF([1]Accounts!$D$59="","",[1]Accounts!$D$59)</f>
        <v/>
      </c>
      <c r="L58">
        <f>IF([2]Entry!$C$61="","",[2]Entry!$C$61)</f>
        <v/>
      </c>
      <c r="M58">
        <f>IF([2]Entry!$J$61="","",[2]Entry!$J$61)</f>
        <v/>
      </c>
      <c r="N58">
        <f>IF([2]Entry!$M$61="","",[2]Entry!$M$61)</f>
        <v/>
      </c>
      <c r="O58">
        <f>IF([2]Entry!$N$61="","",[2]Entry!$N$61)</f>
        <v/>
      </c>
      <c r="P58">
        <f>IF([2]Entry!$S$61="","",[2]Entry!$S$61)</f>
        <v/>
      </c>
    </row>
    <row r="59">
      <c r="A59">
        <f>IF([1]Cheques!$A$60="","",[1]Cheques!$A$60)</f>
        <v/>
      </c>
      <c r="E59">
        <f>IF([1]Accounts!$D$60="","",[1]Accounts!$A$60)</f>
        <v/>
      </c>
      <c r="F59">
        <f>IF([1]Accounts!$D$60="","",[1]Accounts!$B$60)</f>
        <v/>
      </c>
      <c r="G59">
        <f>IF([1]Accounts!$D$60="","",[1]Accounts!$C$60)</f>
        <v/>
      </c>
      <c r="H59">
        <f>IF([1]Accounts!$D$60="","",[1]Accounts!$D$60)</f>
        <v/>
      </c>
      <c r="L59">
        <f>IF([2]Entry!$C$62="","",[2]Entry!$C$62)</f>
        <v/>
      </c>
      <c r="M59">
        <f>IF([2]Entry!$J$62="","",[2]Entry!$J$62)</f>
        <v/>
      </c>
      <c r="N59">
        <f>IF([2]Entry!$M$62="","",[2]Entry!$M$62)</f>
        <v/>
      </c>
      <c r="O59">
        <f>IF([2]Entry!$N$62="","",[2]Entry!$N$62)</f>
        <v/>
      </c>
      <c r="P59">
        <f>IF([2]Entry!$S$62="","",[2]Entry!$S$62)</f>
        <v/>
      </c>
    </row>
    <row r="60">
      <c r="A60">
        <f>IF([1]Cheques!$A$61="","",[1]Cheques!$A$61)</f>
        <v/>
      </c>
      <c r="E60">
        <f>IF([1]Accounts!$D$61="","",[1]Accounts!$A$61)</f>
        <v/>
      </c>
      <c r="F60">
        <f>IF([1]Accounts!$D$61="","",[1]Accounts!$B$61)</f>
        <v/>
      </c>
      <c r="G60">
        <f>IF([1]Accounts!$D$61="","",[1]Accounts!$C$61)</f>
        <v/>
      </c>
      <c r="H60">
        <f>IF([1]Accounts!$D$61="","",[1]Accounts!$D$61)</f>
        <v/>
      </c>
      <c r="L60">
        <f>IF([2]Entry!$C$63="","",[2]Entry!$C$63)</f>
        <v/>
      </c>
      <c r="M60">
        <f>IF([2]Entry!$J$63="","",[2]Entry!$J$63)</f>
        <v/>
      </c>
      <c r="N60">
        <f>IF([2]Entry!$M$63="","",[2]Entry!$M$63)</f>
        <v/>
      </c>
      <c r="O60">
        <f>IF([2]Entry!$N$63="","",[2]Entry!$N$63)</f>
        <v/>
      </c>
      <c r="P60">
        <f>IF([2]Entry!$S$63="","",[2]Entry!$S$63)</f>
        <v/>
      </c>
    </row>
    <row r="61">
      <c r="A61">
        <f>IF([1]Cheques!$A$62="","",[1]Cheques!$A$62)</f>
        <v/>
      </c>
      <c r="E61">
        <f>IF([1]Accounts!$D$62="","",[1]Accounts!$A$62)</f>
        <v/>
      </c>
      <c r="F61">
        <f>IF([1]Accounts!$D$62="","",[1]Accounts!$B$62)</f>
        <v/>
      </c>
      <c r="G61">
        <f>IF([1]Accounts!$D$62="","",[1]Accounts!$C$62)</f>
        <v/>
      </c>
      <c r="H61">
        <f>IF([1]Accounts!$D$62="","",[1]Accounts!$D$62)</f>
        <v/>
      </c>
      <c r="L61">
        <f>IF([2]Entry!$C$64="","",[2]Entry!$C$64)</f>
        <v/>
      </c>
      <c r="M61">
        <f>IF([2]Entry!$J$64="","",[2]Entry!$J$64)</f>
        <v/>
      </c>
      <c r="N61">
        <f>IF([2]Entry!$M$64="","",[2]Entry!$M$64)</f>
        <v/>
      </c>
      <c r="O61">
        <f>IF([2]Entry!$N$64="","",[2]Entry!$N$64)</f>
        <v/>
      </c>
      <c r="P61">
        <f>IF([2]Entry!$S$64="","",[2]Entry!$S$64)</f>
        <v/>
      </c>
    </row>
    <row r="62">
      <c r="A62">
        <f>IF([1]Cheques!$A$63="","",[1]Cheques!$A$63)</f>
        <v/>
      </c>
      <c r="E62">
        <f>IF([1]Accounts!$D$63="","",[1]Accounts!$A$63)</f>
        <v/>
      </c>
      <c r="F62">
        <f>IF([1]Accounts!$D$63="","",[1]Accounts!$B$63)</f>
        <v/>
      </c>
      <c r="G62">
        <f>IF([1]Accounts!$D$63="","",[1]Accounts!$C$63)</f>
        <v/>
      </c>
      <c r="H62">
        <f>IF([1]Accounts!$D$63="","",[1]Accounts!$D$63)</f>
        <v/>
      </c>
      <c r="L62">
        <f>IF([2]Entry!$C$65="","",[2]Entry!$C$65)</f>
        <v/>
      </c>
      <c r="M62">
        <f>IF([2]Entry!$J$65="","",[2]Entry!$J$65)</f>
        <v/>
      </c>
      <c r="N62">
        <f>IF([2]Entry!$M$65="","",[2]Entry!$M$65)</f>
        <v/>
      </c>
      <c r="O62">
        <f>IF([2]Entry!$N$65="","",[2]Entry!$N$65)</f>
        <v/>
      </c>
      <c r="P62">
        <f>IF([2]Entry!$S$65="","",[2]Entry!$S$65)</f>
        <v/>
      </c>
    </row>
    <row r="63">
      <c r="A63">
        <f>IF([1]Cheques!$A$64="","",[1]Cheques!$A$64)</f>
        <v/>
      </c>
      <c r="E63">
        <f>IF([1]Accounts!$D$64="","",[1]Accounts!$A$64)</f>
        <v/>
      </c>
      <c r="F63">
        <f>IF([1]Accounts!$D$64="","",[1]Accounts!$B$64)</f>
        <v/>
      </c>
      <c r="G63">
        <f>IF([1]Accounts!$D$64="","",[1]Accounts!$C$64)</f>
        <v/>
      </c>
      <c r="H63">
        <f>IF([1]Accounts!$D$64="","",[1]Accounts!$D$64)</f>
        <v/>
      </c>
      <c r="L63">
        <f>IF([2]Entry!$C$66="","",[2]Entry!$C$66)</f>
        <v/>
      </c>
      <c r="M63">
        <f>IF([2]Entry!$J$66="","",[2]Entry!$J$66)</f>
        <v/>
      </c>
      <c r="N63">
        <f>IF([2]Entry!$M$66="","",[2]Entry!$M$66)</f>
        <v/>
      </c>
      <c r="O63">
        <f>IF([2]Entry!$N$66="","",[2]Entry!$N$66)</f>
        <v/>
      </c>
      <c r="P63">
        <f>IF([2]Entry!$S$66="","",[2]Entry!$S$66)</f>
        <v/>
      </c>
    </row>
    <row r="64">
      <c r="A64">
        <f>IF([1]Cheques!$A$65="","",[1]Cheques!$A$65)</f>
        <v/>
      </c>
      <c r="E64">
        <f>IF([1]Accounts!$D$65="","",[1]Accounts!$A$65)</f>
        <v/>
      </c>
      <c r="F64">
        <f>IF([1]Accounts!$D$65="","",[1]Accounts!$B$65)</f>
        <v/>
      </c>
      <c r="G64">
        <f>IF([1]Accounts!$D$65="","",[1]Accounts!$C$65)</f>
        <v/>
      </c>
      <c r="H64">
        <f>IF([1]Accounts!$D$65="","",[1]Accounts!$D$65)</f>
        <v/>
      </c>
      <c r="L64">
        <f>IF([2]Entry!$C$67="","",[2]Entry!$C$67)</f>
        <v/>
      </c>
      <c r="M64">
        <f>IF([2]Entry!$J$67="","",[2]Entry!$J$67)</f>
        <v/>
      </c>
      <c r="N64">
        <f>IF([2]Entry!$M$67="","",[2]Entry!$M$67)</f>
        <v/>
      </c>
      <c r="O64">
        <f>IF([2]Entry!$N$67="","",[2]Entry!$N$67)</f>
        <v/>
      </c>
      <c r="P64">
        <f>IF([2]Entry!$S$67="","",[2]Entry!$S$67)</f>
        <v/>
      </c>
    </row>
    <row r="65">
      <c r="A65">
        <f>IF([1]Cheques!$A$66="","",[1]Cheques!$A$66)</f>
        <v/>
      </c>
      <c r="E65">
        <f>IF([1]Accounts!$D$66="","",[1]Accounts!$A$66)</f>
        <v/>
      </c>
      <c r="F65">
        <f>IF([1]Accounts!$D$66="","",[1]Accounts!$B$66)</f>
        <v/>
      </c>
      <c r="G65">
        <f>IF([1]Accounts!$D$66="","",[1]Accounts!$C$66)</f>
        <v/>
      </c>
      <c r="H65">
        <f>IF([1]Accounts!$D$66="","",[1]Accounts!$D$66)</f>
        <v/>
      </c>
      <c r="L65">
        <f>IF([2]Entry!$C$68="","",[2]Entry!$C$68)</f>
        <v/>
      </c>
      <c r="M65">
        <f>IF([2]Entry!$J$68="","",[2]Entry!$J$68)</f>
        <v/>
      </c>
      <c r="N65">
        <f>IF([2]Entry!$M$68="","",[2]Entry!$M$68)</f>
        <v/>
      </c>
      <c r="O65">
        <f>IF([2]Entry!$N$68="","",[2]Entry!$N$68)</f>
        <v/>
      </c>
      <c r="P65">
        <f>IF([2]Entry!$S$68="","",[2]Entry!$S$68)</f>
        <v/>
      </c>
    </row>
    <row r="66">
      <c r="A66">
        <f>IF([1]Cheques!$A$67="","",[1]Cheques!$A$67)</f>
        <v/>
      </c>
      <c r="E66">
        <f>IF([1]Accounts!$D$67="","",[1]Accounts!$A$67)</f>
        <v/>
      </c>
      <c r="F66">
        <f>IF([1]Accounts!$D$67="","",[1]Accounts!$B$67)</f>
        <v/>
      </c>
      <c r="G66">
        <f>IF([1]Accounts!$D$67="","",[1]Accounts!$C$67)</f>
        <v/>
      </c>
      <c r="H66">
        <f>IF([1]Accounts!$D$67="","",[1]Accounts!$D$67)</f>
        <v/>
      </c>
      <c r="L66">
        <f>IF([2]Entry!$C$69="","",[2]Entry!$C$69)</f>
        <v/>
      </c>
      <c r="M66">
        <f>IF([2]Entry!$J$69="","",[2]Entry!$J$69)</f>
        <v/>
      </c>
      <c r="N66">
        <f>IF([2]Entry!$M$69="","",[2]Entry!$M$69)</f>
        <v/>
      </c>
      <c r="O66">
        <f>IF([2]Entry!$N$69="","",[2]Entry!$N$69)</f>
        <v/>
      </c>
      <c r="P66">
        <f>IF([2]Entry!$S$69="","",[2]Entry!$S$69)</f>
        <v/>
      </c>
    </row>
    <row r="67">
      <c r="A67">
        <f>IF([1]Cheques!$A$68="","",[1]Cheques!$A$68)</f>
        <v/>
      </c>
      <c r="E67">
        <f>IF([1]Accounts!$D$68="","",[1]Accounts!$A$68)</f>
        <v/>
      </c>
      <c r="F67">
        <f>IF([1]Accounts!$D$68="","",[1]Accounts!$B$68)</f>
        <v/>
      </c>
      <c r="G67">
        <f>IF([1]Accounts!$D$68="","",[1]Accounts!$C$68)</f>
        <v/>
      </c>
      <c r="H67">
        <f>IF([1]Accounts!$D$68="","",[1]Accounts!$D$68)</f>
        <v/>
      </c>
      <c r="L67">
        <f>IF([2]Entry!$C$70="","",[2]Entry!$C$70)</f>
        <v/>
      </c>
      <c r="M67">
        <f>IF([2]Entry!$J$70="","",[2]Entry!$J$70)</f>
        <v/>
      </c>
      <c r="N67">
        <f>IF([2]Entry!$M$70="","",[2]Entry!$M$70)</f>
        <v/>
      </c>
      <c r="O67">
        <f>IF([2]Entry!$N$70="","",[2]Entry!$N$70)</f>
        <v/>
      </c>
      <c r="P67">
        <f>IF([2]Entry!$S$70="","",[2]Entry!$S$70)</f>
        <v/>
      </c>
    </row>
    <row r="68">
      <c r="A68">
        <f>IF([1]Cheques!$A$69="","",[1]Cheques!$A$69)</f>
        <v/>
      </c>
      <c r="E68">
        <f>IF([1]Accounts!$D$69="","",[1]Accounts!$A$69)</f>
        <v/>
      </c>
      <c r="F68">
        <f>IF([1]Accounts!$D$69="","",[1]Accounts!$B$69)</f>
        <v/>
      </c>
      <c r="G68">
        <f>IF([1]Accounts!$D$69="","",[1]Accounts!$C$69)</f>
        <v/>
      </c>
      <c r="H68">
        <f>IF([1]Accounts!$D$69="","",[1]Accounts!$D$69)</f>
        <v/>
      </c>
      <c r="L68">
        <f>IF([2]Entry!$C$71="","",[2]Entry!$C$71)</f>
        <v/>
      </c>
      <c r="M68">
        <f>IF([2]Entry!$J$71="","",[2]Entry!$J$71)</f>
        <v/>
      </c>
      <c r="N68">
        <f>IF([2]Entry!$M$71="","",[2]Entry!$M$71)</f>
        <v/>
      </c>
      <c r="O68">
        <f>IF([2]Entry!$N$71="","",[2]Entry!$N$71)</f>
        <v/>
      </c>
      <c r="P68">
        <f>IF([2]Entry!$S$71="","",[2]Entry!$S$71)</f>
        <v/>
      </c>
    </row>
    <row r="69">
      <c r="A69">
        <f>IF([1]Cheques!$A$70="","",[1]Cheques!$A$70)</f>
        <v/>
      </c>
      <c r="E69">
        <f>IF([1]Accounts!$D$70="","",[1]Accounts!$A$70)</f>
        <v/>
      </c>
      <c r="F69">
        <f>IF([1]Accounts!$D$70="","",[1]Accounts!$B$70)</f>
        <v/>
      </c>
      <c r="G69">
        <f>IF([1]Accounts!$D$70="","",[1]Accounts!$C$70)</f>
        <v/>
      </c>
      <c r="H69">
        <f>IF([1]Accounts!$D$70="","",[1]Accounts!$D$70)</f>
        <v/>
      </c>
      <c r="L69">
        <f>IF([2]Entry!$C$72="","",[2]Entry!$C$72)</f>
        <v/>
      </c>
      <c r="M69">
        <f>IF([2]Entry!$J$72="","",[2]Entry!$J$72)</f>
        <v/>
      </c>
      <c r="N69">
        <f>IF([2]Entry!$M$72="","",[2]Entry!$M$72)</f>
        <v/>
      </c>
      <c r="O69">
        <f>IF([2]Entry!$N$72="","",[2]Entry!$N$72)</f>
        <v/>
      </c>
      <c r="P69">
        <f>IF([2]Entry!$S$72="","",[2]Entry!$S$72)</f>
        <v/>
      </c>
    </row>
    <row r="70">
      <c r="A70">
        <f>IF([1]Cheques!$A$71="","",[1]Cheques!$A$71)</f>
        <v/>
      </c>
      <c r="E70">
        <f>IF([1]Accounts!$D$71="","",[1]Accounts!$A$71)</f>
        <v/>
      </c>
      <c r="F70">
        <f>IF([1]Accounts!$D$71="","",[1]Accounts!$B$71)</f>
        <v/>
      </c>
      <c r="G70">
        <f>IF([1]Accounts!$D$71="","",[1]Accounts!$C$71)</f>
        <v/>
      </c>
      <c r="H70">
        <f>IF([1]Accounts!$D$71="","",[1]Accounts!$D$71)</f>
        <v/>
      </c>
      <c r="L70">
        <f>IF([2]Entry!$C$73="","",[2]Entry!$C$73)</f>
        <v/>
      </c>
      <c r="M70">
        <f>IF([2]Entry!$J$73="","",[2]Entry!$J$73)</f>
        <v/>
      </c>
      <c r="N70">
        <f>IF([2]Entry!$M$73="","",[2]Entry!$M$73)</f>
        <v/>
      </c>
      <c r="O70">
        <f>IF([2]Entry!$N$73="","",[2]Entry!$N$73)</f>
        <v/>
      </c>
      <c r="P70">
        <f>IF([2]Entry!$S$73="","",[2]Entry!$S$73)</f>
        <v/>
      </c>
    </row>
    <row r="71">
      <c r="A71">
        <f>IF([1]Cheques!$A$72="","",[1]Cheques!$A$72)</f>
        <v/>
      </c>
      <c r="E71">
        <f>IF([1]Accounts!$D$72="","",[1]Accounts!$A$72)</f>
        <v/>
      </c>
      <c r="F71">
        <f>IF([1]Accounts!$D$72="","",[1]Accounts!$B$72)</f>
        <v/>
      </c>
      <c r="G71">
        <f>IF([1]Accounts!$D$72="","",[1]Accounts!$C$72)</f>
        <v/>
      </c>
      <c r="H71">
        <f>IF([1]Accounts!$D$72="","",[1]Accounts!$D$72)</f>
        <v/>
      </c>
      <c r="L71">
        <f>IF([2]Entry!$C$74="","",[2]Entry!$C$74)</f>
        <v/>
      </c>
      <c r="M71">
        <f>IF([2]Entry!$J$74="","",[2]Entry!$J$74)</f>
        <v/>
      </c>
      <c r="N71">
        <f>IF([2]Entry!$M$74="","",[2]Entry!$M$74)</f>
        <v/>
      </c>
      <c r="O71">
        <f>IF([2]Entry!$N$74="","",[2]Entry!$N$74)</f>
        <v/>
      </c>
      <c r="P71">
        <f>IF([2]Entry!$S$74="","",[2]Entry!$S$74)</f>
        <v/>
      </c>
    </row>
    <row r="72">
      <c r="A72">
        <f>IF([1]Cheques!$A$73="","",[1]Cheques!$A$73)</f>
        <v/>
      </c>
      <c r="E72">
        <f>IF([1]Accounts!$D$73="","",[1]Accounts!$A$73)</f>
        <v/>
      </c>
      <c r="F72">
        <f>IF([1]Accounts!$D$73="","",[1]Accounts!$B$73)</f>
        <v/>
      </c>
      <c r="G72">
        <f>IF([1]Accounts!$D$73="","",[1]Accounts!$C$73)</f>
        <v/>
      </c>
      <c r="H72">
        <f>IF([1]Accounts!$D$73="","",[1]Accounts!$D$73)</f>
        <v/>
      </c>
      <c r="L72">
        <f>IF([2]Entry!$C$75="","",[2]Entry!$C$75)</f>
        <v/>
      </c>
      <c r="M72">
        <f>IF([2]Entry!$J$75="","",[2]Entry!$J$75)</f>
        <v/>
      </c>
      <c r="N72">
        <f>IF([2]Entry!$M$75="","",[2]Entry!$M$75)</f>
        <v/>
      </c>
      <c r="O72">
        <f>IF([2]Entry!$N$75="","",[2]Entry!$N$75)</f>
        <v/>
      </c>
      <c r="P72">
        <f>IF([2]Entry!$S$75="","",[2]Entry!$S$75)</f>
        <v/>
      </c>
    </row>
    <row r="73">
      <c r="A73">
        <f>IF([1]Cheques!$A$74="","",[1]Cheques!$A$74)</f>
        <v/>
      </c>
      <c r="E73">
        <f>IF([1]Accounts!$D$74="","",[1]Accounts!$A$74)</f>
        <v/>
      </c>
      <c r="F73">
        <f>IF([1]Accounts!$D$74="","",[1]Accounts!$B$74)</f>
        <v/>
      </c>
      <c r="G73">
        <f>IF([1]Accounts!$D$74="","",[1]Accounts!$C$74)</f>
        <v/>
      </c>
      <c r="H73">
        <f>IF([1]Accounts!$D$74="","",[1]Accounts!$D$74)</f>
        <v/>
      </c>
      <c r="L73">
        <f>IF([2]Entry!$C$76="","",[2]Entry!$C$76)</f>
        <v/>
      </c>
      <c r="M73">
        <f>IF([2]Entry!$J$76="","",[2]Entry!$J$76)</f>
        <v/>
      </c>
      <c r="N73">
        <f>IF([2]Entry!$M$76="","",[2]Entry!$M$76)</f>
        <v/>
      </c>
      <c r="O73">
        <f>IF([2]Entry!$N$76="","",[2]Entry!$N$76)</f>
        <v/>
      </c>
      <c r="P73">
        <f>IF([2]Entry!$S$76="","",[2]Entry!$S$76)</f>
        <v/>
      </c>
    </row>
    <row r="74">
      <c r="A74">
        <f>IF([1]Cheques!$A$75="","",[1]Cheques!$A$75)</f>
        <v/>
      </c>
      <c r="E74">
        <f>IF([1]Accounts!$D$75="","",[1]Accounts!$A$75)</f>
        <v/>
      </c>
      <c r="F74">
        <f>IF([1]Accounts!$D$75="","",[1]Accounts!$B$75)</f>
        <v/>
      </c>
      <c r="G74">
        <f>IF([1]Accounts!$D$75="","",[1]Accounts!$C$75)</f>
        <v/>
      </c>
      <c r="H74">
        <f>IF([1]Accounts!$D$75="","",[1]Accounts!$D$75)</f>
        <v/>
      </c>
      <c r="L74">
        <f>IF([2]Entry!$C$77="","",[2]Entry!$C$77)</f>
        <v/>
      </c>
      <c r="M74">
        <f>IF([2]Entry!$J$77="","",[2]Entry!$J$77)</f>
        <v/>
      </c>
      <c r="N74">
        <f>IF([2]Entry!$M$77="","",[2]Entry!$M$77)</f>
        <v/>
      </c>
      <c r="O74">
        <f>IF([2]Entry!$N$77="","",[2]Entry!$N$77)</f>
        <v/>
      </c>
      <c r="P74">
        <f>IF([2]Entry!$S$77="","",[2]Entry!$S$77)</f>
        <v/>
      </c>
    </row>
    <row r="75">
      <c r="A75">
        <f>IF([1]Cheques!$A$76="","",[1]Cheques!$A$76)</f>
        <v/>
      </c>
      <c r="E75">
        <f>IF([1]Accounts!$D$76="","",[1]Accounts!$A$76)</f>
        <v/>
      </c>
      <c r="F75">
        <f>IF([1]Accounts!$D$76="","",[1]Accounts!$B$76)</f>
        <v/>
      </c>
      <c r="G75">
        <f>IF([1]Accounts!$D$76="","",[1]Accounts!$C$76)</f>
        <v/>
      </c>
      <c r="H75">
        <f>IF([1]Accounts!$D$76="","",[1]Accounts!$D$76)</f>
        <v/>
      </c>
      <c r="L75">
        <f>IF([2]Entry!$C$78="","",[2]Entry!$C$78)</f>
        <v/>
      </c>
      <c r="M75">
        <f>IF([2]Entry!$J$78="","",[2]Entry!$J$78)</f>
        <v/>
      </c>
      <c r="N75">
        <f>IF([2]Entry!$M$78="","",[2]Entry!$M$78)</f>
        <v/>
      </c>
      <c r="O75">
        <f>IF([2]Entry!$N$78="","",[2]Entry!$N$78)</f>
        <v/>
      </c>
      <c r="P75">
        <f>IF([2]Entry!$S$78="","",[2]Entry!$S$78)</f>
        <v/>
      </c>
    </row>
    <row r="76">
      <c r="A76">
        <f>IF([1]Cheques!$A$77="","",[1]Cheques!$A$77)</f>
        <v/>
      </c>
      <c r="E76">
        <f>IF([1]Accounts!$D$77="","",[1]Accounts!$A$77)</f>
        <v/>
      </c>
      <c r="F76">
        <f>IF([1]Accounts!$D$77="","",[1]Accounts!$B$77)</f>
        <v/>
      </c>
      <c r="G76">
        <f>IF([1]Accounts!$D$77="","",[1]Accounts!$C$77)</f>
        <v/>
      </c>
      <c r="H76">
        <f>IF([1]Accounts!$D$77="","",[1]Accounts!$D$77)</f>
        <v/>
      </c>
      <c r="L76">
        <f>IF([2]Entry!$C$79="","",[2]Entry!$C$79)</f>
        <v/>
      </c>
      <c r="M76">
        <f>IF([2]Entry!$J$79="","",[2]Entry!$J$79)</f>
        <v/>
      </c>
      <c r="N76">
        <f>IF([2]Entry!$M$79="","",[2]Entry!$M$79)</f>
        <v/>
      </c>
      <c r="O76">
        <f>IF([2]Entry!$N$79="","",[2]Entry!$N$79)</f>
        <v/>
      </c>
      <c r="P76">
        <f>IF([2]Entry!$S$79="","",[2]Entry!$S$79)</f>
        <v/>
      </c>
    </row>
    <row r="77">
      <c r="A77">
        <f>IF([1]Cheques!$A$78="","",[1]Cheques!$A$78)</f>
        <v/>
      </c>
      <c r="E77">
        <f>IF([1]Accounts!$D$78="","",[1]Accounts!$A$78)</f>
        <v/>
      </c>
      <c r="F77">
        <f>IF([1]Accounts!$D$78="","",[1]Accounts!$B$78)</f>
        <v/>
      </c>
      <c r="G77">
        <f>IF([1]Accounts!$D$78="","",[1]Accounts!$C$78)</f>
        <v/>
      </c>
      <c r="H77">
        <f>IF([1]Accounts!$D$78="","",[1]Accounts!$D$78)</f>
        <v/>
      </c>
      <c r="L77">
        <f>IF([2]Entry!$C$80="","",[2]Entry!$C$80)</f>
        <v/>
      </c>
      <c r="M77">
        <f>IF([2]Entry!$J$80="","",[2]Entry!$J$80)</f>
        <v/>
      </c>
      <c r="N77">
        <f>IF([2]Entry!$M$80="","",[2]Entry!$M$80)</f>
        <v/>
      </c>
      <c r="O77">
        <f>IF([2]Entry!$N$80="","",[2]Entry!$N$80)</f>
        <v/>
      </c>
      <c r="P77">
        <f>IF([2]Entry!$S$80="","",[2]Entry!$S$80)</f>
        <v/>
      </c>
    </row>
    <row r="78">
      <c r="A78">
        <f>IF([1]Cheques!$A$79="","",[1]Cheques!$A$79)</f>
        <v/>
      </c>
      <c r="E78">
        <f>IF([1]Accounts!$D$79="","",[1]Accounts!$A$79)</f>
        <v/>
      </c>
      <c r="F78">
        <f>IF([1]Accounts!$D$79="","",[1]Accounts!$B$79)</f>
        <v/>
      </c>
      <c r="G78">
        <f>IF([1]Accounts!$D$79="","",[1]Accounts!$C$79)</f>
        <v/>
      </c>
      <c r="H78">
        <f>IF([1]Accounts!$D$79="","",[1]Accounts!$D$79)</f>
        <v/>
      </c>
      <c r="L78">
        <f>IF([2]Entry!$C$81="","",[2]Entry!$C$81)</f>
        <v/>
      </c>
      <c r="M78">
        <f>IF([2]Entry!$J$81="","",[2]Entry!$J$81)</f>
        <v/>
      </c>
      <c r="N78">
        <f>IF([2]Entry!$M$81="","",[2]Entry!$M$81)</f>
        <v/>
      </c>
      <c r="O78">
        <f>IF([2]Entry!$N$81="","",[2]Entry!$N$81)</f>
        <v/>
      </c>
      <c r="P78">
        <f>IF([2]Entry!$S$81="","",[2]Entry!$S$81)</f>
        <v/>
      </c>
    </row>
    <row r="79">
      <c r="A79">
        <f>IF([1]Cheques!$A$80="","",[1]Cheques!$A$80)</f>
        <v/>
      </c>
      <c r="E79">
        <f>IF([1]Accounts!$D$80="","",[1]Accounts!$A$80)</f>
        <v/>
      </c>
      <c r="F79">
        <f>IF([1]Accounts!$D$80="","",[1]Accounts!$B$80)</f>
        <v/>
      </c>
      <c r="G79">
        <f>IF([1]Accounts!$D$80="","",[1]Accounts!$C$80)</f>
        <v/>
      </c>
      <c r="H79">
        <f>IF([1]Accounts!$D$80="","",[1]Accounts!$D$80)</f>
        <v/>
      </c>
      <c r="L79">
        <f>IF([2]Entry!$C$82="","",[2]Entry!$C$82)</f>
        <v/>
      </c>
      <c r="M79">
        <f>IF([2]Entry!$J$82="","",[2]Entry!$J$82)</f>
        <v/>
      </c>
      <c r="N79">
        <f>IF([2]Entry!$M$82="","",[2]Entry!$M$82)</f>
        <v/>
      </c>
      <c r="O79">
        <f>IF([2]Entry!$N$82="","",[2]Entry!$N$82)</f>
        <v/>
      </c>
      <c r="P79">
        <f>IF([2]Entry!$S$82="","",[2]Entry!$S$82)</f>
        <v/>
      </c>
    </row>
    <row r="80">
      <c r="A80">
        <f>IF([1]Cheques!$A$81="","",[1]Cheques!$A$81)</f>
        <v/>
      </c>
      <c r="E80">
        <f>IF([1]Accounts!$D$81="","",[1]Accounts!$A$81)</f>
        <v/>
      </c>
      <c r="F80">
        <f>IF([1]Accounts!$D$81="","",[1]Accounts!$B$81)</f>
        <v/>
      </c>
      <c r="G80">
        <f>IF([1]Accounts!$D$81="","",[1]Accounts!$C$81)</f>
        <v/>
      </c>
      <c r="H80">
        <f>IF([1]Accounts!$D$81="","",[1]Accounts!$D$81)</f>
        <v/>
      </c>
      <c r="L80">
        <f>IF([2]Entry!$C$83="","",[2]Entry!$C$83)</f>
        <v/>
      </c>
      <c r="M80">
        <f>IF([2]Entry!$J$83="","",[2]Entry!$J$83)</f>
        <v/>
      </c>
      <c r="N80">
        <f>IF([2]Entry!$M$83="","",[2]Entry!$M$83)</f>
        <v/>
      </c>
      <c r="O80">
        <f>IF([2]Entry!$N$83="","",[2]Entry!$N$83)</f>
        <v/>
      </c>
      <c r="P80">
        <f>IF([2]Entry!$S$83="","",[2]Entry!$S$83)</f>
        <v/>
      </c>
    </row>
    <row r="81">
      <c r="A81">
        <f>IF([1]Cheques!$A$82="","",[1]Cheques!$A$82)</f>
        <v/>
      </c>
      <c r="E81">
        <f>IF([1]Accounts!$D$82="","",[1]Accounts!$A$82)</f>
        <v/>
      </c>
      <c r="F81">
        <f>IF([1]Accounts!$D$82="","",[1]Accounts!$B$82)</f>
        <v/>
      </c>
      <c r="G81">
        <f>IF([1]Accounts!$D$82="","",[1]Accounts!$C$82)</f>
        <v/>
      </c>
      <c r="H81">
        <f>IF([1]Accounts!$D$82="","",[1]Accounts!$D$82)</f>
        <v/>
      </c>
      <c r="L81">
        <f>IF([2]Entry!$C$84="","",[2]Entry!$C$84)</f>
        <v/>
      </c>
      <c r="M81">
        <f>IF([2]Entry!$J$84="","",[2]Entry!$J$84)</f>
        <v/>
      </c>
      <c r="N81">
        <f>IF([2]Entry!$M$84="","",[2]Entry!$M$84)</f>
        <v/>
      </c>
      <c r="O81">
        <f>IF([2]Entry!$N$84="","",[2]Entry!$N$84)</f>
        <v/>
      </c>
      <c r="P81">
        <f>IF([2]Entry!$S$84="","",[2]Entry!$S$84)</f>
        <v/>
      </c>
    </row>
    <row r="82">
      <c r="A82">
        <f>IF([1]Cheques!$A$83="","",[1]Cheques!$A$83)</f>
        <v/>
      </c>
      <c r="E82">
        <f>IF([1]Accounts!$D$83="","",[1]Accounts!$A$83)</f>
        <v/>
      </c>
      <c r="F82">
        <f>IF([1]Accounts!$D$83="","",[1]Accounts!$B$83)</f>
        <v/>
      </c>
      <c r="G82">
        <f>IF([1]Accounts!$D$83="","",[1]Accounts!$C$83)</f>
        <v/>
      </c>
      <c r="H82">
        <f>IF([1]Accounts!$D$83="","",[1]Accounts!$D$83)</f>
        <v/>
      </c>
      <c r="L82">
        <f>IF([2]Entry!$C$85="","",[2]Entry!$C$85)</f>
        <v/>
      </c>
      <c r="M82">
        <f>IF([2]Entry!$J$85="","",[2]Entry!$J$85)</f>
        <v/>
      </c>
      <c r="N82">
        <f>IF([2]Entry!$M$85="","",[2]Entry!$M$85)</f>
        <v/>
      </c>
      <c r="O82">
        <f>IF([2]Entry!$N$85="","",[2]Entry!$N$85)</f>
        <v/>
      </c>
      <c r="P82">
        <f>IF([2]Entry!$S$85="","",[2]Entry!$S$85)</f>
        <v/>
      </c>
    </row>
    <row r="83">
      <c r="A83">
        <f>IF([1]Cheques!$A$84="","",[1]Cheques!$A$84)</f>
        <v/>
      </c>
      <c r="E83">
        <f>IF([1]Accounts!$D$84="","",[1]Accounts!$A$84)</f>
        <v/>
      </c>
      <c r="F83">
        <f>IF([1]Accounts!$D$84="","",[1]Accounts!$B$84)</f>
        <v/>
      </c>
      <c r="G83">
        <f>IF([1]Accounts!$D$84="","",[1]Accounts!$C$84)</f>
        <v/>
      </c>
      <c r="H83">
        <f>IF([1]Accounts!$D$84="","",[1]Accounts!$D$84)</f>
        <v/>
      </c>
      <c r="L83">
        <f>IF([2]Entry!$C$86="","",[2]Entry!$C$86)</f>
        <v/>
      </c>
      <c r="M83">
        <f>IF([2]Entry!$J$86="","",[2]Entry!$J$86)</f>
        <v/>
      </c>
      <c r="N83">
        <f>IF([2]Entry!$M$86="","",[2]Entry!$M$86)</f>
        <v/>
      </c>
      <c r="O83">
        <f>IF([2]Entry!$N$86="","",[2]Entry!$N$86)</f>
        <v/>
      </c>
      <c r="P83">
        <f>IF([2]Entry!$S$86="","",[2]Entry!$S$86)</f>
        <v/>
      </c>
    </row>
    <row r="84">
      <c r="A84">
        <f>IF([1]Cheques!$A$85="","",[1]Cheques!$A$85)</f>
        <v/>
      </c>
      <c r="E84">
        <f>IF([1]Accounts!$D$85="","",[1]Accounts!$A$85)</f>
        <v/>
      </c>
      <c r="F84">
        <f>IF([1]Accounts!$D$85="","",[1]Accounts!$B$85)</f>
        <v/>
      </c>
      <c r="G84">
        <f>IF([1]Accounts!$D$85="","",[1]Accounts!$C$85)</f>
        <v/>
      </c>
      <c r="H84">
        <f>IF([1]Accounts!$D$85="","",[1]Accounts!$D$85)</f>
        <v/>
      </c>
      <c r="L84">
        <f>IF([2]Entry!$C$87="","",[2]Entry!$C$87)</f>
        <v/>
      </c>
      <c r="M84">
        <f>IF([2]Entry!$J$87="","",[2]Entry!$J$87)</f>
        <v/>
      </c>
      <c r="N84">
        <f>IF([2]Entry!$M$87="","",[2]Entry!$M$87)</f>
        <v/>
      </c>
      <c r="O84">
        <f>IF([2]Entry!$N$87="","",[2]Entry!$N$87)</f>
        <v/>
      </c>
      <c r="P84">
        <f>IF([2]Entry!$S$87="","",[2]Entry!$S$87)</f>
        <v/>
      </c>
    </row>
    <row r="85">
      <c r="A85">
        <f>IF([1]Cheques!$A$86="","",[1]Cheques!$A$86)</f>
        <v/>
      </c>
      <c r="E85">
        <f>IF([1]Accounts!$D$86="","",[1]Accounts!$A$86)</f>
        <v/>
      </c>
      <c r="F85">
        <f>IF([1]Accounts!$D$86="","",[1]Accounts!$B$86)</f>
        <v/>
      </c>
      <c r="G85">
        <f>IF([1]Accounts!$D$86="","",[1]Accounts!$C$86)</f>
        <v/>
      </c>
      <c r="H85">
        <f>IF([1]Accounts!$D$86="","",[1]Accounts!$D$86)</f>
        <v/>
      </c>
      <c r="L85">
        <f>IF([2]Entry!$C$88="","",[2]Entry!$C$88)</f>
        <v/>
      </c>
      <c r="M85">
        <f>IF([2]Entry!$J$88="","",[2]Entry!$J$88)</f>
        <v/>
      </c>
      <c r="N85">
        <f>IF([2]Entry!$M$88="","",[2]Entry!$M$88)</f>
        <v/>
      </c>
      <c r="O85">
        <f>IF([2]Entry!$N$88="","",[2]Entry!$N$88)</f>
        <v/>
      </c>
      <c r="P85">
        <f>IF([2]Entry!$S$88="","",[2]Entry!$S$88)</f>
        <v/>
      </c>
    </row>
    <row r="86">
      <c r="A86">
        <f>IF([1]Cheques!$A$87="","",[1]Cheques!$A$87)</f>
        <v/>
      </c>
      <c r="E86">
        <f>IF([1]Accounts!$D$87="","",[1]Accounts!$A$87)</f>
        <v/>
      </c>
      <c r="F86">
        <f>IF([1]Accounts!$D$87="","",[1]Accounts!$B$87)</f>
        <v/>
      </c>
      <c r="G86">
        <f>IF([1]Accounts!$D$87="","",[1]Accounts!$C$87)</f>
        <v/>
      </c>
      <c r="H86">
        <f>IF([1]Accounts!$D$87="","",[1]Accounts!$D$87)</f>
        <v/>
      </c>
      <c r="L86">
        <f>IF([2]Entry!$C$89="","",[2]Entry!$C$89)</f>
        <v/>
      </c>
      <c r="M86">
        <f>IF([2]Entry!$J$89="","",[2]Entry!$J$89)</f>
        <v/>
      </c>
      <c r="N86">
        <f>IF([2]Entry!$M$89="","",[2]Entry!$M$89)</f>
        <v/>
      </c>
      <c r="O86">
        <f>IF([2]Entry!$N$89="","",[2]Entry!$N$89)</f>
        <v/>
      </c>
      <c r="P86">
        <f>IF([2]Entry!$S$89="","",[2]Entry!$S$89)</f>
        <v/>
      </c>
    </row>
    <row r="87">
      <c r="A87">
        <f>IF([1]Cheques!$A$88="","",[1]Cheques!$A$88)</f>
        <v/>
      </c>
      <c r="E87">
        <f>IF([1]Accounts!$D$88="","",[1]Accounts!$A$88)</f>
        <v/>
      </c>
      <c r="F87">
        <f>IF([1]Accounts!$D$88="","",[1]Accounts!$B$88)</f>
        <v/>
      </c>
      <c r="G87">
        <f>IF([1]Accounts!$D$88="","",[1]Accounts!$C$88)</f>
        <v/>
      </c>
      <c r="H87">
        <f>IF([1]Accounts!$D$88="","",[1]Accounts!$D$88)</f>
        <v/>
      </c>
      <c r="L87">
        <f>IF([2]Entry!$C$90="","",[2]Entry!$C$90)</f>
        <v/>
      </c>
      <c r="M87">
        <f>IF([2]Entry!$J$90="","",[2]Entry!$J$90)</f>
        <v/>
      </c>
      <c r="N87">
        <f>IF([2]Entry!$M$90="","",[2]Entry!$M$90)</f>
        <v/>
      </c>
      <c r="O87">
        <f>IF([2]Entry!$N$90="","",[2]Entry!$N$90)</f>
        <v/>
      </c>
      <c r="P87">
        <f>IF([2]Entry!$S$90="","",[2]Entry!$S$90)</f>
        <v/>
      </c>
    </row>
    <row r="88">
      <c r="A88">
        <f>IF([1]Cheques!$A$89="","",[1]Cheques!$A$89)</f>
        <v/>
      </c>
      <c r="E88">
        <f>IF([1]Accounts!$D$89="","",[1]Accounts!$A$89)</f>
        <v/>
      </c>
      <c r="F88">
        <f>IF([1]Accounts!$D$89="","",[1]Accounts!$B$89)</f>
        <v/>
      </c>
      <c r="G88">
        <f>IF([1]Accounts!$D$89="","",[1]Accounts!$C$89)</f>
        <v/>
      </c>
      <c r="H88">
        <f>IF([1]Accounts!$D$89="","",[1]Accounts!$D$89)</f>
        <v/>
      </c>
      <c r="L88">
        <f>IF([2]Entry!$C$91="","",[2]Entry!$C$91)</f>
        <v/>
      </c>
      <c r="M88">
        <f>IF([2]Entry!$J$91="","",[2]Entry!$J$91)</f>
        <v/>
      </c>
      <c r="N88">
        <f>IF([2]Entry!$M$91="","",[2]Entry!$M$91)</f>
        <v/>
      </c>
      <c r="O88">
        <f>IF([2]Entry!$N$91="","",[2]Entry!$N$91)</f>
        <v/>
      </c>
      <c r="P88">
        <f>IF([2]Entry!$S$91="","",[2]Entry!$S$91)</f>
        <v/>
      </c>
    </row>
    <row r="89">
      <c r="A89">
        <f>IF([1]Cheques!$A$90="","",[1]Cheques!$A$90)</f>
        <v/>
      </c>
      <c r="E89">
        <f>IF([1]Accounts!$D$90="","",[1]Accounts!$A$90)</f>
        <v/>
      </c>
      <c r="F89">
        <f>IF([1]Accounts!$D$90="","",[1]Accounts!$B$90)</f>
        <v/>
      </c>
      <c r="G89">
        <f>IF([1]Accounts!$D$90="","",[1]Accounts!$C$90)</f>
        <v/>
      </c>
      <c r="H89">
        <f>IF([1]Accounts!$D$90="","",[1]Accounts!$D$90)</f>
        <v/>
      </c>
      <c r="L89">
        <f>IF([2]Entry!$C$92="","",[2]Entry!$C$92)</f>
        <v/>
      </c>
      <c r="M89">
        <f>IF([2]Entry!$J$92="","",[2]Entry!$J$92)</f>
        <v/>
      </c>
      <c r="N89">
        <f>IF([2]Entry!$M$92="","",[2]Entry!$M$92)</f>
        <v/>
      </c>
      <c r="O89">
        <f>IF([2]Entry!$N$92="","",[2]Entry!$N$92)</f>
        <v/>
      </c>
      <c r="P89">
        <f>IF([2]Entry!$S$92="","",[2]Entry!$S$92)</f>
        <v/>
      </c>
    </row>
    <row r="90">
      <c r="A90">
        <f>IF([1]Cheques!$A$91="","",[1]Cheques!$A$91)</f>
        <v/>
      </c>
      <c r="E90">
        <f>IF([1]Accounts!$D$91="","",[1]Accounts!$A$91)</f>
        <v/>
      </c>
      <c r="F90">
        <f>IF([1]Accounts!$D$91="","",[1]Accounts!$B$91)</f>
        <v/>
      </c>
      <c r="G90">
        <f>IF([1]Accounts!$D$91="","",[1]Accounts!$C$91)</f>
        <v/>
      </c>
      <c r="H90">
        <f>IF([1]Accounts!$D$91="","",[1]Accounts!$D$91)</f>
        <v/>
      </c>
      <c r="L90">
        <f>IF([2]Entry!$C$93="","",[2]Entry!$C$93)</f>
        <v/>
      </c>
      <c r="M90">
        <f>IF([2]Entry!$J$93="","",[2]Entry!$J$93)</f>
        <v/>
      </c>
      <c r="N90">
        <f>IF([2]Entry!$M$93="","",[2]Entry!$M$93)</f>
        <v/>
      </c>
      <c r="O90">
        <f>IF([2]Entry!$N$93="","",[2]Entry!$N$93)</f>
        <v/>
      </c>
      <c r="P90">
        <f>IF([2]Entry!$S$93="","",[2]Entry!$S$93)</f>
        <v/>
      </c>
    </row>
    <row r="91">
      <c r="A91">
        <f>IF([1]Cheques!$A$92="","",[1]Cheques!$A$92)</f>
        <v/>
      </c>
      <c r="E91">
        <f>IF([1]Accounts!$D$92="","",[1]Accounts!$A$92)</f>
        <v/>
      </c>
      <c r="F91">
        <f>IF([1]Accounts!$D$92="","",[1]Accounts!$B$92)</f>
        <v/>
      </c>
      <c r="G91">
        <f>IF([1]Accounts!$D$92="","",[1]Accounts!$C$92)</f>
        <v/>
      </c>
      <c r="H91">
        <f>IF([1]Accounts!$D$92="","",[1]Accounts!$D$92)</f>
        <v/>
      </c>
      <c r="L91">
        <f>IF([2]Entry!$C$94="","",[2]Entry!$C$94)</f>
        <v/>
      </c>
      <c r="M91">
        <f>IF([2]Entry!$J$94="","",[2]Entry!$J$94)</f>
        <v/>
      </c>
      <c r="N91">
        <f>IF([2]Entry!$M$94="","",[2]Entry!$M$94)</f>
        <v/>
      </c>
      <c r="O91">
        <f>IF([2]Entry!$N$94="","",[2]Entry!$N$94)</f>
        <v/>
      </c>
      <c r="P91">
        <f>IF([2]Entry!$S$94="","",[2]Entry!$S$94)</f>
        <v/>
      </c>
    </row>
    <row r="92">
      <c r="A92">
        <f>IF([1]Cheques!$A$93="","",[1]Cheques!$A$93)</f>
        <v/>
      </c>
      <c r="E92">
        <f>IF([1]Accounts!$D$93="","",[1]Accounts!$A$93)</f>
        <v/>
      </c>
      <c r="F92">
        <f>IF([1]Accounts!$D$93="","",[1]Accounts!$B$93)</f>
        <v/>
      </c>
      <c r="G92">
        <f>IF([1]Accounts!$D$93="","",[1]Accounts!$C$93)</f>
        <v/>
      </c>
      <c r="H92">
        <f>IF([1]Accounts!$D$93="","",[1]Accounts!$D$93)</f>
        <v/>
      </c>
      <c r="L92">
        <f>IF([2]Entry!$C$95="","",[2]Entry!$C$95)</f>
        <v/>
      </c>
      <c r="M92">
        <f>IF([2]Entry!$J$95="","",[2]Entry!$J$95)</f>
        <v/>
      </c>
      <c r="N92">
        <f>IF([2]Entry!$M$95="","",[2]Entry!$M$95)</f>
        <v/>
      </c>
      <c r="O92">
        <f>IF([2]Entry!$N$95="","",[2]Entry!$N$95)</f>
        <v/>
      </c>
      <c r="P92">
        <f>IF([2]Entry!$S$95="","",[2]Entry!$S$95)</f>
        <v/>
      </c>
    </row>
    <row r="93">
      <c r="A93">
        <f>IF([1]Cheques!$A$94="","",[1]Cheques!$A$94)</f>
        <v/>
      </c>
      <c r="E93">
        <f>IF([1]Accounts!$D$94="","",[1]Accounts!$A$94)</f>
        <v/>
      </c>
      <c r="F93">
        <f>IF([1]Accounts!$D$94="","",[1]Accounts!$B$94)</f>
        <v/>
      </c>
      <c r="G93">
        <f>IF([1]Accounts!$D$94="","",[1]Accounts!$C$94)</f>
        <v/>
      </c>
      <c r="H93">
        <f>IF([1]Accounts!$D$94="","",[1]Accounts!$D$94)</f>
        <v/>
      </c>
      <c r="L93">
        <f>IF([2]Entry!$C$96="","",[2]Entry!$C$96)</f>
        <v/>
      </c>
      <c r="M93">
        <f>IF([2]Entry!$J$96="","",[2]Entry!$J$96)</f>
        <v/>
      </c>
      <c r="N93">
        <f>IF([2]Entry!$M$96="","",[2]Entry!$M$96)</f>
        <v/>
      </c>
      <c r="O93">
        <f>IF([2]Entry!$N$96="","",[2]Entry!$N$96)</f>
        <v/>
      </c>
      <c r="P93">
        <f>IF([2]Entry!$S$96="","",[2]Entry!$S$96)</f>
        <v/>
      </c>
    </row>
    <row r="94">
      <c r="A94">
        <f>IF([1]Cheques!$A$95="","",[1]Cheques!$A$95)</f>
        <v/>
      </c>
      <c r="E94">
        <f>IF([1]Accounts!$D$95="","",[1]Accounts!$A$95)</f>
        <v/>
      </c>
      <c r="F94">
        <f>IF([1]Accounts!$D$95="","",[1]Accounts!$B$95)</f>
        <v/>
      </c>
      <c r="G94">
        <f>IF([1]Accounts!$D$95="","",[1]Accounts!$C$95)</f>
        <v/>
      </c>
      <c r="H94">
        <f>IF([1]Accounts!$D$95="","",[1]Accounts!$D$95)</f>
        <v/>
      </c>
      <c r="L94">
        <f>IF([2]Entry!$C$97="","",[2]Entry!$C$97)</f>
        <v/>
      </c>
      <c r="M94">
        <f>IF([2]Entry!$J$97="","",[2]Entry!$J$97)</f>
        <v/>
      </c>
      <c r="N94">
        <f>IF([2]Entry!$M$97="","",[2]Entry!$M$97)</f>
        <v/>
      </c>
      <c r="O94">
        <f>IF([2]Entry!$N$97="","",[2]Entry!$N$97)</f>
        <v/>
      </c>
      <c r="P94">
        <f>IF([2]Entry!$S$97="","",[2]Entry!$S$97)</f>
        <v/>
      </c>
    </row>
    <row r="95">
      <c r="A95">
        <f>IF([1]Cheques!$A$96="","",[1]Cheques!$A$96)</f>
        <v/>
      </c>
      <c r="E95">
        <f>IF([1]Accounts!$D$96="","",[1]Accounts!$A$96)</f>
        <v/>
      </c>
      <c r="F95">
        <f>IF([1]Accounts!$D$96="","",[1]Accounts!$B$96)</f>
        <v/>
      </c>
      <c r="G95">
        <f>IF([1]Accounts!$D$96="","",[1]Accounts!$C$96)</f>
        <v/>
      </c>
      <c r="H95">
        <f>IF([1]Accounts!$D$96="","",[1]Accounts!$D$96)</f>
        <v/>
      </c>
      <c r="L95">
        <f>IF([2]Entry!$C$98="","",[2]Entry!$C$98)</f>
        <v/>
      </c>
      <c r="M95">
        <f>IF([2]Entry!$J$98="","",[2]Entry!$J$98)</f>
        <v/>
      </c>
      <c r="N95">
        <f>IF([2]Entry!$M$98="","",[2]Entry!$M$98)</f>
        <v/>
      </c>
      <c r="O95">
        <f>IF([2]Entry!$N$98="","",[2]Entry!$N$98)</f>
        <v/>
      </c>
      <c r="P95">
        <f>IF([2]Entry!$S$98="","",[2]Entry!$S$98)</f>
        <v/>
      </c>
    </row>
    <row r="96">
      <c r="A96">
        <f>IF([1]Cheques!$A$97="","",[1]Cheques!$A$97)</f>
        <v/>
      </c>
      <c r="E96">
        <f>IF([1]Accounts!$D$97="","",[1]Accounts!$A$97)</f>
        <v/>
      </c>
      <c r="F96">
        <f>IF([1]Accounts!$D$97="","",[1]Accounts!$B$97)</f>
        <v/>
      </c>
      <c r="G96">
        <f>IF([1]Accounts!$D$97="","",[1]Accounts!$C$97)</f>
        <v/>
      </c>
      <c r="H96">
        <f>IF([1]Accounts!$D$97="","",[1]Accounts!$D$97)</f>
        <v/>
      </c>
      <c r="L96">
        <f>IF([2]Entry!$C$99="","",[2]Entry!$C$99)</f>
        <v/>
      </c>
      <c r="M96">
        <f>IF([2]Entry!$J$99="","",[2]Entry!$J$99)</f>
        <v/>
      </c>
      <c r="N96">
        <f>IF([2]Entry!$M$99="","",[2]Entry!$M$99)</f>
        <v/>
      </c>
      <c r="O96">
        <f>IF([2]Entry!$N$99="","",[2]Entry!$N$99)</f>
        <v/>
      </c>
      <c r="P96">
        <f>IF([2]Entry!$S$99="","",[2]Entry!$S$99)</f>
        <v/>
      </c>
    </row>
    <row r="97">
      <c r="A97">
        <f>IF([1]Cheques!$A$98="","",[1]Cheques!$A$98)</f>
        <v/>
      </c>
      <c r="E97">
        <f>IF([1]Accounts!$D$98="","",[1]Accounts!$A$98)</f>
        <v/>
      </c>
      <c r="F97">
        <f>IF([1]Accounts!$D$98="","",[1]Accounts!$B$98)</f>
        <v/>
      </c>
      <c r="G97">
        <f>IF([1]Accounts!$D$98="","",[1]Accounts!$C$98)</f>
        <v/>
      </c>
      <c r="H97">
        <f>IF([1]Accounts!$D$98="","",[1]Accounts!$D$98)</f>
        <v/>
      </c>
      <c r="L97">
        <f>IF([2]Entry!$C$100="","",[2]Entry!$C$100)</f>
        <v/>
      </c>
      <c r="M97">
        <f>IF([2]Entry!$J$100="","",[2]Entry!$J$100)</f>
        <v/>
      </c>
      <c r="N97">
        <f>IF([2]Entry!$M$100="","",[2]Entry!$M$100)</f>
        <v/>
      </c>
      <c r="O97">
        <f>IF([2]Entry!$N$100="","",[2]Entry!$N$100)</f>
        <v/>
      </c>
      <c r="P97">
        <f>IF([2]Entry!$S$100="","",[2]Entry!$S$100)</f>
        <v/>
      </c>
    </row>
    <row r="98">
      <c r="A98">
        <f>IF([1]Cheques!$A$99="","",[1]Cheques!$A$99)</f>
        <v/>
      </c>
      <c r="E98">
        <f>IF([1]Accounts!$D$99="","",[1]Accounts!$A$99)</f>
        <v/>
      </c>
      <c r="F98">
        <f>IF([1]Accounts!$D$99="","",[1]Accounts!$B$99)</f>
        <v/>
      </c>
      <c r="G98">
        <f>IF([1]Accounts!$D$99="","",[1]Accounts!$C$99)</f>
        <v/>
      </c>
      <c r="H98">
        <f>IF([1]Accounts!$D$99="","",[1]Accounts!$D$99)</f>
        <v/>
      </c>
      <c r="L98">
        <f>IF([2]Entry!$C$101="","",[2]Entry!$C$101)</f>
        <v/>
      </c>
      <c r="M98">
        <f>IF([2]Entry!$J$101="","",[2]Entry!$J$101)</f>
        <v/>
      </c>
      <c r="N98">
        <f>IF([2]Entry!$M$101="","",[2]Entry!$M$101)</f>
        <v/>
      </c>
      <c r="O98">
        <f>IF([2]Entry!$N$101="","",[2]Entry!$N$101)</f>
        <v/>
      </c>
      <c r="P98">
        <f>IF([2]Entry!$S$101="","",[2]Entry!$S$101)</f>
        <v/>
      </c>
    </row>
    <row r="99">
      <c r="A99">
        <f>IF([1]Cheques!$A$100="","",[1]Cheques!$A$100)</f>
        <v/>
      </c>
      <c r="E99">
        <f>IF([1]Accounts!$D$100="","",[1]Accounts!$A$100)</f>
        <v/>
      </c>
      <c r="F99">
        <f>IF([1]Accounts!$D$100="","",[1]Accounts!$B$100)</f>
        <v/>
      </c>
      <c r="G99">
        <f>IF([1]Accounts!$D$100="","",[1]Accounts!$C$100)</f>
        <v/>
      </c>
      <c r="H99">
        <f>IF([1]Accounts!$D$100="","",[1]Accounts!$D$100)</f>
        <v/>
      </c>
      <c r="L99">
        <f>IF([2]Entry!$C$102="","",[2]Entry!$C$102)</f>
        <v/>
      </c>
      <c r="M99">
        <f>IF([2]Entry!$J$102="","",[2]Entry!$J$102)</f>
        <v/>
      </c>
      <c r="N99">
        <f>IF([2]Entry!$M$102="","",[2]Entry!$M$102)</f>
        <v/>
      </c>
      <c r="O99">
        <f>IF([2]Entry!$N$102="","",[2]Entry!$N$102)</f>
        <v/>
      </c>
      <c r="P99">
        <f>IF([2]Entry!$S$102="","",[2]Entry!$S$102)</f>
        <v/>
      </c>
    </row>
    <row r="100">
      <c r="A100">
        <f>IF([1]Cheques!$A$101="","",[1]Cheques!$A$101)</f>
        <v/>
      </c>
      <c r="E100">
        <f>IF([1]Accounts!$D$101="","",[1]Accounts!$A$101)</f>
        <v/>
      </c>
      <c r="F100">
        <f>IF([1]Accounts!$D$101="","",[1]Accounts!$B$101)</f>
        <v/>
      </c>
      <c r="G100">
        <f>IF([1]Accounts!$D$101="","",[1]Accounts!$C$101)</f>
        <v/>
      </c>
      <c r="H100">
        <f>IF([1]Accounts!$D$101="","",[1]Accounts!$D$101)</f>
        <v/>
      </c>
      <c r="L100">
        <f>IF([2]Entry!$C$103="","",[2]Entry!$C$103)</f>
        <v/>
      </c>
      <c r="M100">
        <f>IF([2]Entry!$J$103="","",[2]Entry!$J$103)</f>
        <v/>
      </c>
      <c r="N100">
        <f>IF([2]Entry!$M$103="","",[2]Entry!$M$103)</f>
        <v/>
      </c>
      <c r="O100">
        <f>IF([2]Entry!$N$103="","",[2]Entry!$N$103)</f>
        <v/>
      </c>
      <c r="P100">
        <f>IF([2]Entry!$S$103="","",[2]Entry!$S$103)</f>
        <v/>
      </c>
    </row>
    <row r="101">
      <c r="A101">
        <f>IF([1]Cheques!$A$102="","",[1]Cheques!$A$102)</f>
        <v/>
      </c>
      <c r="E101">
        <f>IF([1]Accounts!$D$102="","",[1]Accounts!$A$102)</f>
        <v/>
      </c>
      <c r="F101">
        <f>IF([1]Accounts!$D$102="","",[1]Accounts!$B$102)</f>
        <v/>
      </c>
      <c r="G101">
        <f>IF([1]Accounts!$D$102="","",[1]Accounts!$C$102)</f>
        <v/>
      </c>
      <c r="H101">
        <f>IF([1]Accounts!$D$102="","",[1]Accounts!$D$102)</f>
        <v/>
      </c>
      <c r="L101">
        <f>IF([2]Entry!$C$104="","",[2]Entry!$C$104)</f>
        <v/>
      </c>
      <c r="M101">
        <f>IF([2]Entry!$J$104="","",[2]Entry!$J$104)</f>
        <v/>
      </c>
      <c r="N101">
        <f>IF([2]Entry!$M$104="","",[2]Entry!$M$104)</f>
        <v/>
      </c>
      <c r="O101">
        <f>IF([2]Entry!$N$104="","",[2]Entry!$N$104)</f>
        <v/>
      </c>
      <c r="P101">
        <f>IF([2]Entry!$S$104="","",[2]Entry!$S$104)</f>
        <v/>
      </c>
    </row>
    <row r="102">
      <c r="A102">
        <f>IF([1]Cheques!$A$103="","",[1]Cheques!$A$103)</f>
        <v/>
      </c>
      <c r="E102">
        <f>IF([1]Accounts!$D$103="","",[1]Accounts!$A$103)</f>
        <v/>
      </c>
      <c r="F102">
        <f>IF([1]Accounts!$D$103="","",[1]Accounts!$B$103)</f>
        <v/>
      </c>
      <c r="G102">
        <f>IF([1]Accounts!$D$103="","",[1]Accounts!$C$103)</f>
        <v/>
      </c>
      <c r="H102">
        <f>IF([1]Accounts!$D$103="","",[1]Accounts!$D$103)</f>
        <v/>
      </c>
      <c r="L102">
        <f>IF([2]Entry!$C$105="","",[2]Entry!$C$105)</f>
        <v/>
      </c>
      <c r="M102">
        <f>IF([2]Entry!$J$105="","",[2]Entry!$J$105)</f>
        <v/>
      </c>
      <c r="N102">
        <f>IF([2]Entry!$M$105="","",[2]Entry!$M$105)</f>
        <v/>
      </c>
      <c r="O102">
        <f>IF([2]Entry!$N$105="","",[2]Entry!$N$105)</f>
        <v/>
      </c>
      <c r="P102">
        <f>IF([2]Entry!$S$105="","",[2]Entry!$S$105)</f>
        <v/>
      </c>
    </row>
    <row r="103">
      <c r="A103">
        <f>IF([1]Cheques!$A$104="","",[1]Cheques!$A$104)</f>
        <v/>
      </c>
      <c r="E103">
        <f>IF([1]Accounts!$D$104="","",[1]Accounts!$A$104)</f>
        <v/>
      </c>
      <c r="F103">
        <f>IF([1]Accounts!$D$104="","",[1]Accounts!$B$104)</f>
        <v/>
      </c>
      <c r="G103">
        <f>IF([1]Accounts!$D$104="","",[1]Accounts!$C$104)</f>
        <v/>
      </c>
      <c r="H103">
        <f>IF([1]Accounts!$D$104="","",[1]Accounts!$D$104)</f>
        <v/>
      </c>
      <c r="L103">
        <f>IF([2]Entry!$C$106="","",[2]Entry!$C$106)</f>
        <v/>
      </c>
      <c r="M103">
        <f>IF([2]Entry!$J$106="","",[2]Entry!$J$106)</f>
        <v/>
      </c>
      <c r="N103">
        <f>IF([2]Entry!$M$106="","",[2]Entry!$M$106)</f>
        <v/>
      </c>
      <c r="O103">
        <f>IF([2]Entry!$N$106="","",[2]Entry!$N$106)</f>
        <v/>
      </c>
      <c r="P103">
        <f>IF([2]Entry!$S$106="","",[2]Entry!$S$106)</f>
        <v/>
      </c>
    </row>
    <row r="104">
      <c r="A104">
        <f>IF([1]Cheques!$A$105="","",[1]Cheques!$A$105)</f>
        <v/>
      </c>
      <c r="E104">
        <f>IF([1]Accounts!$D$105="","",[1]Accounts!$A$105)</f>
        <v/>
      </c>
      <c r="F104">
        <f>IF([1]Accounts!$D$105="","",[1]Accounts!$B$105)</f>
        <v/>
      </c>
      <c r="G104">
        <f>IF([1]Accounts!$D$105="","",[1]Accounts!$C$105)</f>
        <v/>
      </c>
      <c r="H104">
        <f>IF([1]Accounts!$D$105="","",[1]Accounts!$D$105)</f>
        <v/>
      </c>
      <c r="L104">
        <f>IF([2]Entry!$C$107="","",[2]Entry!$C$107)</f>
        <v/>
      </c>
      <c r="M104">
        <f>IF([2]Entry!$J$107="","",[2]Entry!$J$107)</f>
        <v/>
      </c>
      <c r="N104">
        <f>IF([2]Entry!$M$107="","",[2]Entry!$M$107)</f>
        <v/>
      </c>
      <c r="O104">
        <f>IF([2]Entry!$N$107="","",[2]Entry!$N$107)</f>
        <v/>
      </c>
      <c r="P104">
        <f>IF([2]Entry!$S$107="","",[2]Entry!$S$107)</f>
        <v/>
      </c>
    </row>
    <row r="105">
      <c r="A105">
        <f>IF([1]Cheques!$A$106="","",[1]Cheques!$A$106)</f>
        <v/>
      </c>
      <c r="E105">
        <f>IF([1]Accounts!$D$106="","",[1]Accounts!$A$106)</f>
        <v/>
      </c>
      <c r="F105">
        <f>IF([1]Accounts!$D$106="","",[1]Accounts!$B$106)</f>
        <v/>
      </c>
      <c r="G105">
        <f>IF([1]Accounts!$D$106="","",[1]Accounts!$C$106)</f>
        <v/>
      </c>
      <c r="H105">
        <f>IF([1]Accounts!$D$106="","",[1]Accounts!$D$106)</f>
        <v/>
      </c>
      <c r="L105">
        <f>IF([2]Entry!$C$108="","",[2]Entry!$C$108)</f>
        <v/>
      </c>
      <c r="M105">
        <f>IF([2]Entry!$J$108="","",[2]Entry!$J$108)</f>
        <v/>
      </c>
      <c r="N105">
        <f>IF([2]Entry!$M$108="","",[2]Entry!$M$108)</f>
        <v/>
      </c>
      <c r="O105">
        <f>IF([2]Entry!$N$108="","",[2]Entry!$N$108)</f>
        <v/>
      </c>
      <c r="P105">
        <f>IF([2]Entry!$S$108="","",[2]Entry!$S$108)</f>
        <v/>
      </c>
    </row>
    <row r="106">
      <c r="A106">
        <f>IF([1]Cheques!$A$107="","",[1]Cheques!$A$107)</f>
        <v/>
      </c>
      <c r="E106">
        <f>IF([1]Accounts!$D$107="","",[1]Accounts!$A$107)</f>
        <v/>
      </c>
      <c r="F106">
        <f>IF([1]Accounts!$D$107="","",[1]Accounts!$B$107)</f>
        <v/>
      </c>
      <c r="G106">
        <f>IF([1]Accounts!$D$107="","",[1]Accounts!$C$107)</f>
        <v/>
      </c>
      <c r="H106">
        <f>IF([1]Accounts!$D$107="","",[1]Accounts!$D$107)</f>
        <v/>
      </c>
      <c r="L106">
        <f>IF([2]Entry!$C$109="","",[2]Entry!$C$109)</f>
        <v/>
      </c>
      <c r="M106">
        <f>IF([2]Entry!$J$109="","",[2]Entry!$J$109)</f>
        <v/>
      </c>
      <c r="N106">
        <f>IF([2]Entry!$M$109="","",[2]Entry!$M$109)</f>
        <v/>
      </c>
      <c r="O106">
        <f>IF([2]Entry!$N$109="","",[2]Entry!$N$109)</f>
        <v/>
      </c>
      <c r="P106">
        <f>IF([2]Entry!$S$109="","",[2]Entry!$S$109)</f>
        <v/>
      </c>
    </row>
    <row r="107">
      <c r="A107">
        <f>IF([1]Cheques!$A$108="","",[1]Cheques!$A$108)</f>
        <v/>
      </c>
      <c r="E107">
        <f>IF([1]Accounts!$D$108="","",[1]Accounts!$A$108)</f>
        <v/>
      </c>
      <c r="F107">
        <f>IF([1]Accounts!$D$108="","",[1]Accounts!$B$108)</f>
        <v/>
      </c>
      <c r="G107">
        <f>IF([1]Accounts!$D$108="","",[1]Accounts!$C$108)</f>
        <v/>
      </c>
      <c r="H107">
        <f>IF([1]Accounts!$D$108="","",[1]Accounts!$D$108)</f>
        <v/>
      </c>
      <c r="L107">
        <f>IF([2]Entry!$C$110="","",[2]Entry!$C$110)</f>
        <v/>
      </c>
      <c r="M107">
        <f>IF([2]Entry!$J$110="","",[2]Entry!$J$110)</f>
        <v/>
      </c>
      <c r="N107">
        <f>IF([2]Entry!$M$110="","",[2]Entry!$M$110)</f>
        <v/>
      </c>
      <c r="O107">
        <f>IF([2]Entry!$N$110="","",[2]Entry!$N$110)</f>
        <v/>
      </c>
      <c r="P107">
        <f>IF([2]Entry!$S$110="","",[2]Entry!$S$110)</f>
        <v/>
      </c>
    </row>
    <row r="108">
      <c r="A108">
        <f>IF([1]Cheques!$A$109="","",[1]Cheques!$A$109)</f>
        <v/>
      </c>
      <c r="E108">
        <f>IF([1]Accounts!$D$109="","",[1]Accounts!$A$109)</f>
        <v/>
      </c>
      <c r="F108">
        <f>IF([1]Accounts!$D$109="","",[1]Accounts!$B$109)</f>
        <v/>
      </c>
      <c r="G108">
        <f>IF([1]Accounts!$D$109="","",[1]Accounts!$C$109)</f>
        <v/>
      </c>
      <c r="H108">
        <f>IF([1]Accounts!$D$109="","",[1]Accounts!$D$109)</f>
        <v/>
      </c>
      <c r="L108">
        <f>IF([2]Entry!$C$111="","",[2]Entry!$C$111)</f>
        <v/>
      </c>
      <c r="M108">
        <f>IF([2]Entry!$J$111="","",[2]Entry!$J$111)</f>
        <v/>
      </c>
      <c r="N108">
        <f>IF([2]Entry!$M$111="","",[2]Entry!$M$111)</f>
        <v/>
      </c>
      <c r="O108">
        <f>IF([2]Entry!$N$111="","",[2]Entry!$N$111)</f>
        <v/>
      </c>
      <c r="P108">
        <f>IF([2]Entry!$S$111="","",[2]Entry!$S$111)</f>
        <v/>
      </c>
    </row>
    <row r="109">
      <c r="A109">
        <f>IF([1]Cheques!$A$110="","",[1]Cheques!$A$110)</f>
        <v/>
      </c>
      <c r="E109">
        <f>IF([1]Accounts!$D$110="","",[1]Accounts!$A$110)</f>
        <v/>
      </c>
      <c r="F109">
        <f>IF([1]Accounts!$D$110="","",[1]Accounts!$B$110)</f>
        <v/>
      </c>
      <c r="G109">
        <f>IF([1]Accounts!$D$110="","",[1]Accounts!$C$110)</f>
        <v/>
      </c>
      <c r="H109">
        <f>IF([1]Accounts!$D$110="","",[1]Accounts!$D$110)</f>
        <v/>
      </c>
      <c r="L109">
        <f>IF([2]Entry!$C$112="","",[2]Entry!$C$112)</f>
        <v/>
      </c>
      <c r="M109">
        <f>IF([2]Entry!$J$112="","",[2]Entry!$J$112)</f>
        <v/>
      </c>
      <c r="N109">
        <f>IF([2]Entry!$M$112="","",[2]Entry!$M$112)</f>
        <v/>
      </c>
      <c r="O109">
        <f>IF([2]Entry!$N$112="","",[2]Entry!$N$112)</f>
        <v/>
      </c>
      <c r="P109">
        <f>IF([2]Entry!$S$112="","",[2]Entry!$S$112)</f>
        <v/>
      </c>
    </row>
    <row r="110">
      <c r="A110">
        <f>IF([1]Cheques!$A$111="","",[1]Cheques!$A$111)</f>
        <v/>
      </c>
      <c r="E110">
        <f>IF([1]Accounts!$D$111="","",[1]Accounts!$A$111)</f>
        <v/>
      </c>
      <c r="F110">
        <f>IF([1]Accounts!$D$111="","",[1]Accounts!$B$111)</f>
        <v/>
      </c>
      <c r="G110">
        <f>IF([1]Accounts!$D$111="","",[1]Accounts!$C$111)</f>
        <v/>
      </c>
      <c r="H110">
        <f>IF([1]Accounts!$D$111="","",[1]Accounts!$D$111)</f>
        <v/>
      </c>
      <c r="L110">
        <f>IF([2]Entry!$C$113="","",[2]Entry!$C$113)</f>
        <v/>
      </c>
      <c r="M110">
        <f>IF([2]Entry!$J$113="","",[2]Entry!$J$113)</f>
        <v/>
      </c>
      <c r="N110">
        <f>IF([2]Entry!$M$113="","",[2]Entry!$M$113)</f>
        <v/>
      </c>
      <c r="O110">
        <f>IF([2]Entry!$N$113="","",[2]Entry!$N$113)</f>
        <v/>
      </c>
      <c r="P110">
        <f>IF([2]Entry!$S$113="","",[2]Entry!$S$113)</f>
        <v/>
      </c>
    </row>
    <row r="111">
      <c r="A111">
        <f>IF([1]Cheques!$A$112="","",[1]Cheques!$A$112)</f>
        <v/>
      </c>
      <c r="E111">
        <f>IF([1]Accounts!$D$112="","",[1]Accounts!$A$112)</f>
        <v/>
      </c>
      <c r="F111">
        <f>IF([1]Accounts!$D$112="","",[1]Accounts!$B$112)</f>
        <v/>
      </c>
      <c r="G111">
        <f>IF([1]Accounts!$D$112="","",[1]Accounts!$C$112)</f>
        <v/>
      </c>
      <c r="H111">
        <f>IF([1]Accounts!$D$112="","",[1]Accounts!$D$112)</f>
        <v/>
      </c>
      <c r="L111">
        <f>IF([2]Entry!$C$114="","",[2]Entry!$C$114)</f>
        <v/>
      </c>
      <c r="M111">
        <f>IF([2]Entry!$J$114="","",[2]Entry!$J$114)</f>
        <v/>
      </c>
      <c r="N111">
        <f>IF([2]Entry!$M$114="","",[2]Entry!$M$114)</f>
        <v/>
      </c>
      <c r="O111">
        <f>IF([2]Entry!$N$114="","",[2]Entry!$N$114)</f>
        <v/>
      </c>
      <c r="P111">
        <f>IF([2]Entry!$S$114="","",[2]Entry!$S$114)</f>
        <v/>
      </c>
    </row>
    <row r="112">
      <c r="A112">
        <f>IF([1]Cheques!$A$113="","",[1]Cheques!$A$113)</f>
        <v/>
      </c>
      <c r="E112">
        <f>IF([1]Accounts!$D$113="","",[1]Accounts!$A$113)</f>
        <v/>
      </c>
      <c r="F112">
        <f>IF([1]Accounts!$D$113="","",[1]Accounts!$B$113)</f>
        <v/>
      </c>
      <c r="G112">
        <f>IF([1]Accounts!$D$113="","",[1]Accounts!$C$113)</f>
        <v/>
      </c>
      <c r="H112">
        <f>IF([1]Accounts!$D$113="","",[1]Accounts!$D$113)</f>
        <v/>
      </c>
      <c r="L112">
        <f>IF([2]Entry!$C$115="","",[2]Entry!$C$115)</f>
        <v/>
      </c>
      <c r="M112">
        <f>IF([2]Entry!$J$115="","",[2]Entry!$J$115)</f>
        <v/>
      </c>
      <c r="N112">
        <f>IF([2]Entry!$M$115="","",[2]Entry!$M$115)</f>
        <v/>
      </c>
      <c r="O112">
        <f>IF([2]Entry!$N$115="","",[2]Entry!$N$115)</f>
        <v/>
      </c>
      <c r="P112">
        <f>IF([2]Entry!$S$115="","",[2]Entry!$S$115)</f>
        <v/>
      </c>
    </row>
    <row r="113">
      <c r="A113">
        <f>IF([1]Cheques!$A$114="","",[1]Cheques!$A$114)</f>
        <v/>
      </c>
      <c r="E113">
        <f>IF([1]Accounts!$D$114="","",[1]Accounts!$A$114)</f>
        <v/>
      </c>
      <c r="F113">
        <f>IF([1]Accounts!$D$114="","",[1]Accounts!$B$114)</f>
        <v/>
      </c>
      <c r="G113">
        <f>IF([1]Accounts!$D$114="","",[1]Accounts!$C$114)</f>
        <v/>
      </c>
      <c r="H113">
        <f>IF([1]Accounts!$D$114="","",[1]Accounts!$D$114)</f>
        <v/>
      </c>
      <c r="L113">
        <f>IF([2]Entry!$C$116="","",[2]Entry!$C$116)</f>
        <v/>
      </c>
      <c r="M113">
        <f>IF([2]Entry!$J$116="","",[2]Entry!$J$116)</f>
        <v/>
      </c>
      <c r="N113">
        <f>IF([2]Entry!$M$116="","",[2]Entry!$M$116)</f>
        <v/>
      </c>
      <c r="O113">
        <f>IF([2]Entry!$N$116="","",[2]Entry!$N$116)</f>
        <v/>
      </c>
      <c r="P113">
        <f>IF([2]Entry!$S$116="","",[2]Entry!$S$116)</f>
        <v/>
      </c>
    </row>
    <row r="114">
      <c r="A114">
        <f>IF([1]Cheques!$A$115="","",[1]Cheques!$A$115)</f>
        <v/>
      </c>
      <c r="E114">
        <f>IF([1]Accounts!$D$115="","",[1]Accounts!$A$115)</f>
        <v/>
      </c>
      <c r="F114">
        <f>IF([1]Accounts!$D$115="","",[1]Accounts!$B$115)</f>
        <v/>
      </c>
      <c r="G114">
        <f>IF([1]Accounts!$D$115="","",[1]Accounts!$C$115)</f>
        <v/>
      </c>
      <c r="H114">
        <f>IF([1]Accounts!$D$115="","",[1]Accounts!$D$115)</f>
        <v/>
      </c>
      <c r="L114">
        <f>IF([2]Entry!$C$117="","",[2]Entry!$C$117)</f>
        <v/>
      </c>
      <c r="M114">
        <f>IF([2]Entry!$J$117="","",[2]Entry!$J$117)</f>
        <v/>
      </c>
      <c r="N114">
        <f>IF([2]Entry!$M$117="","",[2]Entry!$M$117)</f>
        <v/>
      </c>
      <c r="O114">
        <f>IF([2]Entry!$N$117="","",[2]Entry!$N$117)</f>
        <v/>
      </c>
      <c r="P114">
        <f>IF([2]Entry!$S$117="","",[2]Entry!$S$117)</f>
        <v/>
      </c>
    </row>
    <row r="115">
      <c r="A115">
        <f>IF([1]Cheques!$A$116="","",[1]Cheques!$A$116)</f>
        <v/>
      </c>
      <c r="E115">
        <f>IF([1]Accounts!$D$116="","",[1]Accounts!$A$116)</f>
        <v/>
      </c>
      <c r="F115">
        <f>IF([1]Accounts!$D$116="","",[1]Accounts!$B$116)</f>
        <v/>
      </c>
      <c r="G115">
        <f>IF([1]Accounts!$D$116="","",[1]Accounts!$C$116)</f>
        <v/>
      </c>
      <c r="H115">
        <f>IF([1]Accounts!$D$116="","",[1]Accounts!$D$116)</f>
        <v/>
      </c>
      <c r="L115">
        <f>IF([2]Entry!$C$118="","",[2]Entry!$C$118)</f>
        <v/>
      </c>
      <c r="M115">
        <f>IF([2]Entry!$J$118="","",[2]Entry!$J$118)</f>
        <v/>
      </c>
      <c r="N115">
        <f>IF([2]Entry!$M$118="","",[2]Entry!$M$118)</f>
        <v/>
      </c>
      <c r="O115">
        <f>IF([2]Entry!$N$118="","",[2]Entry!$N$118)</f>
        <v/>
      </c>
      <c r="P115">
        <f>IF([2]Entry!$S$118="","",[2]Entry!$S$118)</f>
        <v/>
      </c>
    </row>
    <row r="116">
      <c r="A116">
        <f>IF([1]Cheques!$A$117="","",[1]Cheques!$A$117)</f>
        <v/>
      </c>
      <c r="E116">
        <f>IF([1]Accounts!$D$117="","",[1]Accounts!$A$117)</f>
        <v/>
      </c>
      <c r="F116">
        <f>IF([1]Accounts!$D$117="","",[1]Accounts!$B$117)</f>
        <v/>
      </c>
      <c r="G116">
        <f>IF([1]Accounts!$D$117="","",[1]Accounts!$C$117)</f>
        <v/>
      </c>
      <c r="H116">
        <f>IF([1]Accounts!$D$117="","",[1]Accounts!$D$117)</f>
        <v/>
      </c>
      <c r="L116">
        <f>IF([2]Entry!$C$119="","",[2]Entry!$C$119)</f>
        <v/>
      </c>
      <c r="M116">
        <f>IF([2]Entry!$J$119="","",[2]Entry!$J$119)</f>
        <v/>
      </c>
      <c r="N116">
        <f>IF([2]Entry!$M$119="","",[2]Entry!$M$119)</f>
        <v/>
      </c>
      <c r="O116">
        <f>IF([2]Entry!$N$119="","",[2]Entry!$N$119)</f>
        <v/>
      </c>
      <c r="P116">
        <f>IF([2]Entry!$S$119="","",[2]Entry!$S$119)</f>
        <v/>
      </c>
    </row>
    <row r="117">
      <c r="A117">
        <f>IF([1]Cheques!$A$118="","",[1]Cheques!$A$118)</f>
        <v/>
      </c>
      <c r="E117">
        <f>IF([1]Accounts!$D$118="","",[1]Accounts!$A$118)</f>
        <v/>
      </c>
      <c r="F117">
        <f>IF([1]Accounts!$D$118="","",[1]Accounts!$B$118)</f>
        <v/>
      </c>
      <c r="G117">
        <f>IF([1]Accounts!$D$118="","",[1]Accounts!$C$118)</f>
        <v/>
      </c>
      <c r="H117">
        <f>IF([1]Accounts!$D$118="","",[1]Accounts!$D$118)</f>
        <v/>
      </c>
      <c r="L117">
        <f>IF([2]Entry!$C$120="","",[2]Entry!$C$120)</f>
        <v/>
      </c>
      <c r="M117">
        <f>IF([2]Entry!$J$120="","",[2]Entry!$J$120)</f>
        <v/>
      </c>
      <c r="N117">
        <f>IF([2]Entry!$M$120="","",[2]Entry!$M$120)</f>
        <v/>
      </c>
      <c r="O117">
        <f>IF([2]Entry!$N$120="","",[2]Entry!$N$120)</f>
        <v/>
      </c>
      <c r="P117">
        <f>IF([2]Entry!$S$120="","",[2]Entry!$S$120)</f>
        <v/>
      </c>
    </row>
    <row r="118">
      <c r="A118">
        <f>IF([1]Cheques!$A$119="","",[1]Cheques!$A$119)</f>
        <v/>
      </c>
      <c r="E118">
        <f>IF([1]Accounts!$D$119="","",[1]Accounts!$A$119)</f>
        <v/>
      </c>
      <c r="F118">
        <f>IF([1]Accounts!$D$119="","",[1]Accounts!$B$119)</f>
        <v/>
      </c>
      <c r="G118">
        <f>IF([1]Accounts!$D$119="","",[1]Accounts!$C$119)</f>
        <v/>
      </c>
      <c r="H118">
        <f>IF([1]Accounts!$D$119="","",[1]Accounts!$D$119)</f>
        <v/>
      </c>
      <c r="L118">
        <f>IF([2]Entry!$C$121="","",[2]Entry!$C$121)</f>
        <v/>
      </c>
      <c r="M118">
        <f>IF([2]Entry!$J$121="","",[2]Entry!$J$121)</f>
        <v/>
      </c>
      <c r="N118">
        <f>IF([2]Entry!$M$121="","",[2]Entry!$M$121)</f>
        <v/>
      </c>
      <c r="O118">
        <f>IF([2]Entry!$N$121="","",[2]Entry!$N$121)</f>
        <v/>
      </c>
      <c r="P118">
        <f>IF([2]Entry!$S$121="","",[2]Entry!$S$121)</f>
        <v/>
      </c>
    </row>
    <row r="119">
      <c r="A119">
        <f>IF([1]Cheques!$A$120="","",[1]Cheques!$A$120)</f>
        <v/>
      </c>
      <c r="E119">
        <f>IF([1]Accounts!$D$120="","",[1]Accounts!$A$120)</f>
        <v/>
      </c>
      <c r="F119">
        <f>IF([1]Accounts!$D$120="","",[1]Accounts!$B$120)</f>
        <v/>
      </c>
      <c r="G119">
        <f>IF([1]Accounts!$D$120="","",[1]Accounts!$C$120)</f>
        <v/>
      </c>
      <c r="H119">
        <f>IF([1]Accounts!$D$120="","",[1]Accounts!$D$120)</f>
        <v/>
      </c>
      <c r="L119">
        <f>IF([2]Entry!$C$122="","",[2]Entry!$C$122)</f>
        <v/>
      </c>
      <c r="M119">
        <f>IF([2]Entry!$J$122="","",[2]Entry!$J$122)</f>
        <v/>
      </c>
      <c r="N119">
        <f>IF([2]Entry!$M$122="","",[2]Entry!$M$122)</f>
        <v/>
      </c>
      <c r="O119">
        <f>IF([2]Entry!$N$122="","",[2]Entry!$N$122)</f>
        <v/>
      </c>
      <c r="P119">
        <f>IF([2]Entry!$S$122="","",[2]Entry!$S$122)</f>
        <v/>
      </c>
    </row>
    <row r="120">
      <c r="A120">
        <f>IF([1]Cheques!$A$121="","",[1]Cheques!$A$121)</f>
        <v/>
      </c>
      <c r="E120">
        <f>IF([1]Accounts!$D$121="","",[1]Accounts!$A$121)</f>
        <v/>
      </c>
      <c r="F120">
        <f>IF([1]Accounts!$D$121="","",[1]Accounts!$B$121)</f>
        <v/>
      </c>
      <c r="G120">
        <f>IF([1]Accounts!$D$121="","",[1]Accounts!$C$121)</f>
        <v/>
      </c>
      <c r="H120">
        <f>IF([1]Accounts!$D$121="","",[1]Accounts!$D$121)</f>
        <v/>
      </c>
      <c r="L120">
        <f>IF([2]Entry!$C$123="","",[2]Entry!$C$123)</f>
        <v/>
      </c>
      <c r="M120">
        <f>IF([2]Entry!$J$123="","",[2]Entry!$J$123)</f>
        <v/>
      </c>
      <c r="N120">
        <f>IF([2]Entry!$M$123="","",[2]Entry!$M$123)</f>
        <v/>
      </c>
      <c r="O120">
        <f>IF([2]Entry!$N$123="","",[2]Entry!$N$123)</f>
        <v/>
      </c>
      <c r="P120">
        <f>IF([2]Entry!$S$123="","",[2]Entry!$S$123)</f>
        <v/>
      </c>
    </row>
    <row r="121">
      <c r="A121">
        <f>IF([1]Cheques!$A$122="","",[1]Cheques!$A$122)</f>
        <v/>
      </c>
      <c r="E121">
        <f>IF([1]Accounts!$D$122="","",[1]Accounts!$A$122)</f>
        <v/>
      </c>
      <c r="F121">
        <f>IF([1]Accounts!$D$122="","",[1]Accounts!$B$122)</f>
        <v/>
      </c>
      <c r="G121">
        <f>IF([1]Accounts!$D$122="","",[1]Accounts!$C$122)</f>
        <v/>
      </c>
      <c r="H121">
        <f>IF([1]Accounts!$D$122="","",[1]Accounts!$D$122)</f>
        <v/>
      </c>
      <c r="L121">
        <f>IF([2]Entry!$C$124="","",[2]Entry!$C$124)</f>
        <v/>
      </c>
      <c r="M121">
        <f>IF([2]Entry!$J$124="","",[2]Entry!$J$124)</f>
        <v/>
      </c>
      <c r="N121">
        <f>IF([2]Entry!$M$124="","",[2]Entry!$M$124)</f>
        <v/>
      </c>
      <c r="O121">
        <f>IF([2]Entry!$N$124="","",[2]Entry!$N$124)</f>
        <v/>
      </c>
      <c r="P121">
        <f>IF([2]Entry!$S$124="","",[2]Entry!$S$124)</f>
        <v/>
      </c>
    </row>
    <row r="122">
      <c r="A122">
        <f>IF([1]Cheques!$A$123="","",[1]Cheques!$A$123)</f>
        <v/>
      </c>
      <c r="E122">
        <f>IF([1]Accounts!$D$123="","",[1]Accounts!$A$123)</f>
        <v/>
      </c>
      <c r="F122">
        <f>IF([1]Accounts!$D$123="","",[1]Accounts!$B$123)</f>
        <v/>
      </c>
      <c r="G122">
        <f>IF([1]Accounts!$D$123="","",[1]Accounts!$C$123)</f>
        <v/>
      </c>
      <c r="H122">
        <f>IF([1]Accounts!$D$123="","",[1]Accounts!$D$123)</f>
        <v/>
      </c>
      <c r="L122">
        <f>IF([2]Entry!$C$125="","",[2]Entry!$C$125)</f>
        <v/>
      </c>
      <c r="M122">
        <f>IF([2]Entry!$J$125="","",[2]Entry!$J$125)</f>
        <v/>
      </c>
      <c r="N122">
        <f>IF([2]Entry!$M$125="","",[2]Entry!$M$125)</f>
        <v/>
      </c>
      <c r="O122">
        <f>IF([2]Entry!$N$125="","",[2]Entry!$N$125)</f>
        <v/>
      </c>
      <c r="P122">
        <f>IF([2]Entry!$S$125="","",[2]Entry!$S$125)</f>
        <v/>
      </c>
    </row>
    <row r="123">
      <c r="A123">
        <f>IF([1]Cheques!$A$124="","",[1]Cheques!$A$124)</f>
        <v/>
      </c>
      <c r="E123">
        <f>IF([1]Accounts!$D$124="","",[1]Accounts!$A$124)</f>
        <v/>
      </c>
      <c r="F123">
        <f>IF([1]Accounts!$D$124="","",[1]Accounts!$B$124)</f>
        <v/>
      </c>
      <c r="G123">
        <f>IF([1]Accounts!$D$124="","",[1]Accounts!$C$124)</f>
        <v/>
      </c>
      <c r="H123">
        <f>IF([1]Accounts!$D$124="","",[1]Accounts!$D$124)</f>
        <v/>
      </c>
      <c r="L123">
        <f>IF([2]Entry!$C$126="","",[2]Entry!$C$126)</f>
        <v/>
      </c>
      <c r="M123">
        <f>IF([2]Entry!$J$126="","",[2]Entry!$J$126)</f>
        <v/>
      </c>
      <c r="N123">
        <f>IF([2]Entry!$M$126="","",[2]Entry!$M$126)</f>
        <v/>
      </c>
      <c r="O123">
        <f>IF([2]Entry!$N$126="","",[2]Entry!$N$126)</f>
        <v/>
      </c>
      <c r="P123">
        <f>IF([2]Entry!$S$126="","",[2]Entry!$S$126)</f>
        <v/>
      </c>
    </row>
    <row r="124">
      <c r="A124">
        <f>IF([1]Cheques!$A$125="","",[1]Cheques!$A$125)</f>
        <v/>
      </c>
      <c r="E124">
        <f>IF([1]Accounts!$D$125="","",[1]Accounts!$A$125)</f>
        <v/>
      </c>
      <c r="F124">
        <f>IF([1]Accounts!$D$125="","",[1]Accounts!$B$125)</f>
        <v/>
      </c>
      <c r="G124">
        <f>IF([1]Accounts!$D$125="","",[1]Accounts!$C$125)</f>
        <v/>
      </c>
      <c r="H124">
        <f>IF([1]Accounts!$D$125="","",[1]Accounts!$D$125)</f>
        <v/>
      </c>
      <c r="L124">
        <f>IF([2]Entry!$C$127="","",[2]Entry!$C$127)</f>
        <v/>
      </c>
      <c r="M124">
        <f>IF([2]Entry!$J$127="","",[2]Entry!$J$127)</f>
        <v/>
      </c>
      <c r="N124">
        <f>IF([2]Entry!$M$127="","",[2]Entry!$M$127)</f>
        <v/>
      </c>
      <c r="O124">
        <f>IF([2]Entry!$N$127="","",[2]Entry!$N$127)</f>
        <v/>
      </c>
      <c r="P124">
        <f>IF([2]Entry!$S$127="","",[2]Entry!$S$127)</f>
        <v/>
      </c>
    </row>
    <row r="125">
      <c r="A125">
        <f>IF([1]Cheques!$A$126="","",[1]Cheques!$A$126)</f>
        <v/>
      </c>
      <c r="E125">
        <f>IF([1]Accounts!$D$126="","",[1]Accounts!$A$126)</f>
        <v/>
      </c>
      <c r="F125">
        <f>IF([1]Accounts!$D$126="","",[1]Accounts!$B$126)</f>
        <v/>
      </c>
      <c r="G125">
        <f>IF([1]Accounts!$D$126="","",[1]Accounts!$C$126)</f>
        <v/>
      </c>
      <c r="H125">
        <f>IF([1]Accounts!$D$126="","",[1]Accounts!$D$126)</f>
        <v/>
      </c>
      <c r="L125">
        <f>IF([2]Entry!$C$128="","",[2]Entry!$C$128)</f>
        <v/>
      </c>
      <c r="M125">
        <f>IF([2]Entry!$J$128="","",[2]Entry!$J$128)</f>
        <v/>
      </c>
      <c r="N125">
        <f>IF([2]Entry!$M$128="","",[2]Entry!$M$128)</f>
        <v/>
      </c>
      <c r="O125">
        <f>IF([2]Entry!$N$128="","",[2]Entry!$N$128)</f>
        <v/>
      </c>
      <c r="P125">
        <f>IF([2]Entry!$S$128="","",[2]Entry!$S$128)</f>
        <v/>
      </c>
    </row>
    <row r="126">
      <c r="A126">
        <f>IF([1]Cheques!$A$127="","",[1]Cheques!$A$127)</f>
        <v/>
      </c>
      <c r="E126">
        <f>IF([1]Accounts!$D$127="","",[1]Accounts!$A$127)</f>
        <v/>
      </c>
      <c r="F126">
        <f>IF([1]Accounts!$D$127="","",[1]Accounts!$B$127)</f>
        <v/>
      </c>
      <c r="G126">
        <f>IF([1]Accounts!$D$127="","",[1]Accounts!$C$127)</f>
        <v/>
      </c>
      <c r="H126">
        <f>IF([1]Accounts!$D$127="","",[1]Accounts!$D$127)</f>
        <v/>
      </c>
      <c r="L126">
        <f>IF([2]Entry!$C$129="","",[2]Entry!$C$129)</f>
        <v/>
      </c>
      <c r="M126">
        <f>IF([2]Entry!$J$129="","",[2]Entry!$J$129)</f>
        <v/>
      </c>
      <c r="N126">
        <f>IF([2]Entry!$M$129="","",[2]Entry!$M$129)</f>
        <v/>
      </c>
      <c r="O126">
        <f>IF([2]Entry!$N$129="","",[2]Entry!$N$129)</f>
        <v/>
      </c>
      <c r="P126">
        <f>IF([2]Entry!$S$129="","",[2]Entry!$S$129)</f>
        <v/>
      </c>
    </row>
    <row r="127">
      <c r="A127">
        <f>IF([1]Cheques!$A$128="","",[1]Cheques!$A$128)</f>
        <v/>
      </c>
      <c r="E127">
        <f>IF([1]Accounts!$D$128="","",[1]Accounts!$A$128)</f>
        <v/>
      </c>
      <c r="F127">
        <f>IF([1]Accounts!$D$128="","",[1]Accounts!$B$128)</f>
        <v/>
      </c>
      <c r="G127">
        <f>IF([1]Accounts!$D$128="","",[1]Accounts!$C$128)</f>
        <v/>
      </c>
      <c r="H127">
        <f>IF([1]Accounts!$D$128="","",[1]Accounts!$D$128)</f>
        <v/>
      </c>
      <c r="L127">
        <f>IF([2]Entry!$C$130="","",[2]Entry!$C$130)</f>
        <v/>
      </c>
      <c r="M127">
        <f>IF([2]Entry!$J$130="","",[2]Entry!$J$130)</f>
        <v/>
      </c>
      <c r="N127">
        <f>IF([2]Entry!$M$130="","",[2]Entry!$M$130)</f>
        <v/>
      </c>
      <c r="O127">
        <f>IF([2]Entry!$N$130="","",[2]Entry!$N$130)</f>
        <v/>
      </c>
      <c r="P127">
        <f>IF([2]Entry!$S$130="","",[2]Entry!$S$130)</f>
        <v/>
      </c>
    </row>
    <row r="128">
      <c r="A128">
        <f>IF([1]Cheques!$A$129="","",[1]Cheques!$A$129)</f>
        <v/>
      </c>
      <c r="E128">
        <f>IF([1]Accounts!$D$129="","",[1]Accounts!$A$129)</f>
        <v/>
      </c>
      <c r="F128">
        <f>IF([1]Accounts!$D$129="","",[1]Accounts!$B$129)</f>
        <v/>
      </c>
      <c r="G128">
        <f>IF([1]Accounts!$D$129="","",[1]Accounts!$C$129)</f>
        <v/>
      </c>
      <c r="H128">
        <f>IF([1]Accounts!$D$129="","",[1]Accounts!$D$129)</f>
        <v/>
      </c>
      <c r="L128">
        <f>IF([2]Entry!$C$131="","",[2]Entry!$C$131)</f>
        <v/>
      </c>
      <c r="M128">
        <f>IF([2]Entry!$J$131="","",[2]Entry!$J$131)</f>
        <v/>
      </c>
      <c r="N128">
        <f>IF([2]Entry!$M$131="","",[2]Entry!$M$131)</f>
        <v/>
      </c>
      <c r="O128">
        <f>IF([2]Entry!$N$131="","",[2]Entry!$N$131)</f>
        <v/>
      </c>
      <c r="P128">
        <f>IF([2]Entry!$S$131="","",[2]Entry!$S$131)</f>
        <v/>
      </c>
    </row>
    <row r="129">
      <c r="A129">
        <f>IF([1]Cheques!$A$130="","",[1]Cheques!$A$130)</f>
        <v/>
      </c>
      <c r="E129">
        <f>IF([1]Accounts!$D$130="","",[1]Accounts!$A$130)</f>
        <v/>
      </c>
      <c r="F129">
        <f>IF([1]Accounts!$D$130="","",[1]Accounts!$B$130)</f>
        <v/>
      </c>
      <c r="G129">
        <f>IF([1]Accounts!$D$130="","",[1]Accounts!$C$130)</f>
        <v/>
      </c>
      <c r="H129">
        <f>IF([1]Accounts!$D$130="","",[1]Accounts!$D$130)</f>
        <v/>
      </c>
      <c r="L129">
        <f>IF([2]Entry!$C$132="","",[2]Entry!$C$132)</f>
        <v/>
      </c>
      <c r="M129">
        <f>IF([2]Entry!$J$132="","",[2]Entry!$J$132)</f>
        <v/>
      </c>
      <c r="N129">
        <f>IF([2]Entry!$M$132="","",[2]Entry!$M$132)</f>
        <v/>
      </c>
      <c r="O129">
        <f>IF([2]Entry!$N$132="","",[2]Entry!$N$132)</f>
        <v/>
      </c>
      <c r="P129">
        <f>IF([2]Entry!$S$132="","",[2]Entry!$S$132)</f>
        <v/>
      </c>
    </row>
    <row r="130">
      <c r="A130">
        <f>IF([1]Cheques!$A$131="","",[1]Cheques!$A$131)</f>
        <v/>
      </c>
      <c r="E130">
        <f>IF([1]Accounts!$D$131="","",[1]Accounts!$A$131)</f>
        <v/>
      </c>
      <c r="F130">
        <f>IF([1]Accounts!$D$131="","",[1]Accounts!$B$131)</f>
        <v/>
      </c>
      <c r="G130">
        <f>IF([1]Accounts!$D$131="","",[1]Accounts!$C$131)</f>
        <v/>
      </c>
      <c r="H130">
        <f>IF([1]Accounts!$D$131="","",[1]Accounts!$D$131)</f>
        <v/>
      </c>
      <c r="L130">
        <f>IF([2]Entry!$C$133="","",[2]Entry!$C$133)</f>
        <v/>
      </c>
      <c r="M130">
        <f>IF([2]Entry!$J$133="","",[2]Entry!$J$133)</f>
        <v/>
      </c>
      <c r="N130">
        <f>IF([2]Entry!$M$133="","",[2]Entry!$M$133)</f>
        <v/>
      </c>
      <c r="O130">
        <f>IF([2]Entry!$N$133="","",[2]Entry!$N$133)</f>
        <v/>
      </c>
      <c r="P130">
        <f>IF([2]Entry!$S$133="","",[2]Entry!$S$133)</f>
        <v/>
      </c>
    </row>
    <row r="131">
      <c r="A131">
        <f>IF([1]Cheques!$A$132="","",[1]Cheques!$A$132)</f>
        <v/>
      </c>
      <c r="E131">
        <f>IF([1]Accounts!$D$132="","",[1]Accounts!$A$132)</f>
        <v/>
      </c>
      <c r="F131">
        <f>IF([1]Accounts!$D$132="","",[1]Accounts!$B$132)</f>
        <v/>
      </c>
      <c r="G131">
        <f>IF([1]Accounts!$D$132="","",[1]Accounts!$C$132)</f>
        <v/>
      </c>
      <c r="H131">
        <f>IF([1]Accounts!$D$132="","",[1]Accounts!$D$132)</f>
        <v/>
      </c>
      <c r="L131">
        <f>IF([2]Entry!$C$134="","",[2]Entry!$C$134)</f>
        <v/>
      </c>
      <c r="M131">
        <f>IF([2]Entry!$J$134="","",[2]Entry!$J$134)</f>
        <v/>
      </c>
      <c r="N131">
        <f>IF([2]Entry!$M$134="","",[2]Entry!$M$134)</f>
        <v/>
      </c>
      <c r="O131">
        <f>IF([2]Entry!$N$134="","",[2]Entry!$N$134)</f>
        <v/>
      </c>
      <c r="P131">
        <f>IF([2]Entry!$S$134="","",[2]Entry!$S$134)</f>
        <v/>
      </c>
    </row>
    <row r="132">
      <c r="A132">
        <f>IF([1]Cheques!$A$133="","",[1]Cheques!$A$133)</f>
        <v/>
      </c>
      <c r="E132">
        <f>IF([1]Accounts!$D$133="","",[1]Accounts!$A$133)</f>
        <v/>
      </c>
      <c r="F132">
        <f>IF([1]Accounts!$D$133="","",[1]Accounts!$B$133)</f>
        <v/>
      </c>
      <c r="G132">
        <f>IF([1]Accounts!$D$133="","",[1]Accounts!$C$133)</f>
        <v/>
      </c>
      <c r="H132">
        <f>IF([1]Accounts!$D$133="","",[1]Accounts!$D$133)</f>
        <v/>
      </c>
      <c r="L132">
        <f>IF([2]Entry!$C$135="","",[2]Entry!$C$135)</f>
        <v/>
      </c>
      <c r="M132">
        <f>IF([2]Entry!$J$135="","",[2]Entry!$J$135)</f>
        <v/>
      </c>
      <c r="N132">
        <f>IF([2]Entry!$M$135="","",[2]Entry!$M$135)</f>
        <v/>
      </c>
      <c r="O132">
        <f>IF([2]Entry!$N$135="","",[2]Entry!$N$135)</f>
        <v/>
      </c>
      <c r="P132">
        <f>IF([2]Entry!$S$135="","",[2]Entry!$S$135)</f>
        <v/>
      </c>
    </row>
    <row r="133">
      <c r="A133">
        <f>IF([1]Cheques!$A$134="","",[1]Cheques!$A$134)</f>
        <v/>
      </c>
      <c r="E133">
        <f>IF([1]Accounts!$D$134="","",[1]Accounts!$A$134)</f>
        <v/>
      </c>
      <c r="F133">
        <f>IF([1]Accounts!$D$134="","",[1]Accounts!$B$134)</f>
        <v/>
      </c>
      <c r="G133">
        <f>IF([1]Accounts!$D$134="","",[1]Accounts!$C$134)</f>
        <v/>
      </c>
      <c r="H133">
        <f>IF([1]Accounts!$D$134="","",[1]Accounts!$D$134)</f>
        <v/>
      </c>
      <c r="L133">
        <f>IF([2]Entry!$C$136="","",[2]Entry!$C$136)</f>
        <v/>
      </c>
      <c r="M133">
        <f>IF([2]Entry!$J$136="","",[2]Entry!$J$136)</f>
        <v/>
      </c>
      <c r="N133">
        <f>IF([2]Entry!$M$136="","",[2]Entry!$M$136)</f>
        <v/>
      </c>
      <c r="O133">
        <f>IF([2]Entry!$N$136="","",[2]Entry!$N$136)</f>
        <v/>
      </c>
      <c r="P133">
        <f>IF([2]Entry!$S$136="","",[2]Entry!$S$136)</f>
        <v/>
      </c>
    </row>
    <row r="134">
      <c r="A134">
        <f>IF([1]Cheques!$A$135="","",[1]Cheques!$A$135)</f>
        <v/>
      </c>
      <c r="E134">
        <f>IF([1]Accounts!$D$135="","",[1]Accounts!$A$135)</f>
        <v/>
      </c>
      <c r="F134">
        <f>IF([1]Accounts!$D$135="","",[1]Accounts!$B$135)</f>
        <v/>
      </c>
      <c r="G134">
        <f>IF([1]Accounts!$D$135="","",[1]Accounts!$C$135)</f>
        <v/>
      </c>
      <c r="H134">
        <f>IF([1]Accounts!$D$135="","",[1]Accounts!$D$135)</f>
        <v/>
      </c>
      <c r="L134">
        <f>IF([2]Entry!$C$137="","",[2]Entry!$C$137)</f>
        <v/>
      </c>
      <c r="M134">
        <f>IF([2]Entry!$J$137="","",[2]Entry!$J$137)</f>
        <v/>
      </c>
      <c r="N134">
        <f>IF([2]Entry!$M$137="","",[2]Entry!$M$137)</f>
        <v/>
      </c>
      <c r="O134">
        <f>IF([2]Entry!$N$137="","",[2]Entry!$N$137)</f>
        <v/>
      </c>
      <c r="P134">
        <f>IF([2]Entry!$S$137="","",[2]Entry!$S$137)</f>
        <v/>
      </c>
    </row>
    <row r="135">
      <c r="A135">
        <f>IF([1]Cheques!$A$136="","",[1]Cheques!$A$136)</f>
        <v/>
      </c>
      <c r="E135">
        <f>IF([1]Accounts!$D$136="","",[1]Accounts!$A$136)</f>
        <v/>
      </c>
      <c r="F135">
        <f>IF([1]Accounts!$D$136="","",[1]Accounts!$B$136)</f>
        <v/>
      </c>
      <c r="G135">
        <f>IF([1]Accounts!$D$136="","",[1]Accounts!$C$136)</f>
        <v/>
      </c>
      <c r="H135">
        <f>IF([1]Accounts!$D$136="","",[1]Accounts!$D$136)</f>
        <v/>
      </c>
      <c r="L135">
        <f>IF([2]Entry!$C$138="","",[2]Entry!$C$138)</f>
        <v/>
      </c>
      <c r="M135">
        <f>IF([2]Entry!$J$138="","",[2]Entry!$J$138)</f>
        <v/>
      </c>
      <c r="N135">
        <f>IF([2]Entry!$M$138="","",[2]Entry!$M$138)</f>
        <v/>
      </c>
      <c r="O135">
        <f>IF([2]Entry!$N$138="","",[2]Entry!$N$138)</f>
        <v/>
      </c>
      <c r="P135">
        <f>IF([2]Entry!$S$138="","",[2]Entry!$S$138)</f>
        <v/>
      </c>
    </row>
    <row r="136">
      <c r="A136">
        <f>IF([1]Cheques!$A$137="","",[1]Cheques!$A$137)</f>
        <v/>
      </c>
      <c r="E136">
        <f>IF([1]Accounts!$D$137="","",[1]Accounts!$A$137)</f>
        <v/>
      </c>
      <c r="F136">
        <f>IF([1]Accounts!$D$137="","",[1]Accounts!$B$137)</f>
        <v/>
      </c>
      <c r="G136">
        <f>IF([1]Accounts!$D$137="","",[1]Accounts!$C$137)</f>
        <v/>
      </c>
      <c r="H136">
        <f>IF([1]Accounts!$D$137="","",[1]Accounts!$D$137)</f>
        <v/>
      </c>
      <c r="L136">
        <f>IF([2]Entry!$C$139="","",[2]Entry!$C$139)</f>
        <v/>
      </c>
      <c r="M136">
        <f>IF([2]Entry!$J$139="","",[2]Entry!$J$139)</f>
        <v/>
      </c>
      <c r="N136">
        <f>IF([2]Entry!$M$139="","",[2]Entry!$M$139)</f>
        <v/>
      </c>
      <c r="O136">
        <f>IF([2]Entry!$N$139="","",[2]Entry!$N$139)</f>
        <v/>
      </c>
      <c r="P136">
        <f>IF([2]Entry!$S$139="","",[2]Entry!$S$139)</f>
        <v/>
      </c>
    </row>
    <row r="137">
      <c r="A137">
        <f>IF([1]Cheques!$A$138="","",[1]Cheques!$A$138)</f>
        <v/>
      </c>
      <c r="E137">
        <f>IF([1]Accounts!$D$138="","",[1]Accounts!$A$138)</f>
        <v/>
      </c>
      <c r="F137">
        <f>IF([1]Accounts!$D$138="","",[1]Accounts!$B$138)</f>
        <v/>
      </c>
      <c r="G137">
        <f>IF([1]Accounts!$D$138="","",[1]Accounts!$C$138)</f>
        <v/>
      </c>
      <c r="H137">
        <f>IF([1]Accounts!$D$138="","",[1]Accounts!$D$138)</f>
        <v/>
      </c>
      <c r="L137">
        <f>IF([2]Entry!$C$140="","",[2]Entry!$C$140)</f>
        <v/>
      </c>
      <c r="M137">
        <f>IF([2]Entry!$J$140="","",[2]Entry!$J$140)</f>
        <v/>
      </c>
      <c r="N137">
        <f>IF([2]Entry!$M$140="","",[2]Entry!$M$140)</f>
        <v/>
      </c>
      <c r="O137">
        <f>IF([2]Entry!$N$140="","",[2]Entry!$N$140)</f>
        <v/>
      </c>
      <c r="P137">
        <f>IF([2]Entry!$S$140="","",[2]Entry!$S$140)</f>
        <v/>
      </c>
    </row>
    <row r="138">
      <c r="A138">
        <f>IF([1]Cheques!$A$139="","",[1]Cheques!$A$139)</f>
        <v/>
      </c>
      <c r="E138">
        <f>IF([1]Accounts!$D$139="","",[1]Accounts!$A$139)</f>
        <v/>
      </c>
      <c r="F138">
        <f>IF([1]Accounts!$D$139="","",[1]Accounts!$B$139)</f>
        <v/>
      </c>
      <c r="G138">
        <f>IF([1]Accounts!$D$139="","",[1]Accounts!$C$139)</f>
        <v/>
      </c>
      <c r="H138">
        <f>IF([1]Accounts!$D$139="","",[1]Accounts!$D$139)</f>
        <v/>
      </c>
      <c r="L138">
        <f>IF([2]Entry!$C$141="","",[2]Entry!$C$141)</f>
        <v/>
      </c>
      <c r="M138">
        <f>IF([2]Entry!$J$141="","",[2]Entry!$J$141)</f>
        <v/>
      </c>
      <c r="N138">
        <f>IF([2]Entry!$M$141="","",[2]Entry!$M$141)</f>
        <v/>
      </c>
      <c r="O138">
        <f>IF([2]Entry!$N$141="","",[2]Entry!$N$141)</f>
        <v/>
      </c>
      <c r="P138">
        <f>IF([2]Entry!$S$141="","",[2]Entry!$S$141)</f>
        <v/>
      </c>
    </row>
    <row r="139">
      <c r="A139">
        <f>IF([1]Cheques!$A$140="","",[1]Cheques!$A$140)</f>
        <v/>
      </c>
      <c r="E139">
        <f>IF([1]Accounts!$D$140="","",[1]Accounts!$A$140)</f>
        <v/>
      </c>
      <c r="F139">
        <f>IF([1]Accounts!$D$140="","",[1]Accounts!$B$140)</f>
        <v/>
      </c>
      <c r="G139">
        <f>IF([1]Accounts!$D$140="","",[1]Accounts!$C$140)</f>
        <v/>
      </c>
      <c r="H139">
        <f>IF([1]Accounts!$D$140="","",[1]Accounts!$D$140)</f>
        <v/>
      </c>
      <c r="L139">
        <f>IF([2]Entry!$C$142="","",[2]Entry!$C$142)</f>
        <v/>
      </c>
      <c r="M139">
        <f>IF([2]Entry!$J$142="","",[2]Entry!$J$142)</f>
        <v/>
      </c>
      <c r="N139">
        <f>IF([2]Entry!$M$142="","",[2]Entry!$M$142)</f>
        <v/>
      </c>
      <c r="O139">
        <f>IF([2]Entry!$N$142="","",[2]Entry!$N$142)</f>
        <v/>
      </c>
      <c r="P139">
        <f>IF([2]Entry!$S$142="","",[2]Entry!$S$142)</f>
        <v/>
      </c>
    </row>
    <row r="140">
      <c r="A140">
        <f>IF([1]Cheques!$A$141="","",[1]Cheques!$A$141)</f>
        <v/>
      </c>
      <c r="E140">
        <f>IF([1]Accounts!$D$141="","",[1]Accounts!$A$141)</f>
        <v/>
      </c>
      <c r="F140">
        <f>IF([1]Accounts!$D$141="","",[1]Accounts!$B$141)</f>
        <v/>
      </c>
      <c r="G140">
        <f>IF([1]Accounts!$D$141="","",[1]Accounts!$C$141)</f>
        <v/>
      </c>
      <c r="H140">
        <f>IF([1]Accounts!$D$141="","",[1]Accounts!$D$141)</f>
        <v/>
      </c>
      <c r="L140">
        <f>IF([2]Entry!$C$143="","",[2]Entry!$C$143)</f>
        <v/>
      </c>
      <c r="M140">
        <f>IF([2]Entry!$J$143="","",[2]Entry!$J$143)</f>
        <v/>
      </c>
      <c r="N140">
        <f>IF([2]Entry!$M$143="","",[2]Entry!$M$143)</f>
        <v/>
      </c>
      <c r="O140">
        <f>IF([2]Entry!$N$143="","",[2]Entry!$N$143)</f>
        <v/>
      </c>
      <c r="P140">
        <f>IF([2]Entry!$S$143="","",[2]Entry!$S$143)</f>
        <v/>
      </c>
    </row>
    <row r="141">
      <c r="A141">
        <f>IF([1]Cheques!$A$142="","",[1]Cheques!$A$142)</f>
        <v/>
      </c>
      <c r="E141">
        <f>IF([1]Accounts!$D$142="","",[1]Accounts!$A$142)</f>
        <v/>
      </c>
      <c r="F141">
        <f>IF([1]Accounts!$D$142="","",[1]Accounts!$B$142)</f>
        <v/>
      </c>
      <c r="G141">
        <f>IF([1]Accounts!$D$142="","",[1]Accounts!$C$142)</f>
        <v/>
      </c>
      <c r="H141">
        <f>IF([1]Accounts!$D$142="","",[1]Accounts!$D$142)</f>
        <v/>
      </c>
      <c r="L141">
        <f>IF([2]Entry!$C$144="","",[2]Entry!$C$144)</f>
        <v/>
      </c>
      <c r="M141">
        <f>IF([2]Entry!$J$144="","",[2]Entry!$J$144)</f>
        <v/>
      </c>
      <c r="N141">
        <f>IF([2]Entry!$M$144="","",[2]Entry!$M$144)</f>
        <v/>
      </c>
      <c r="O141">
        <f>IF([2]Entry!$N$144="","",[2]Entry!$N$144)</f>
        <v/>
      </c>
      <c r="P141">
        <f>IF([2]Entry!$S$144="","",[2]Entry!$S$144)</f>
        <v/>
      </c>
    </row>
    <row r="142">
      <c r="A142">
        <f>IF([1]Cheques!$A$143="","",[1]Cheques!$A$143)</f>
        <v/>
      </c>
      <c r="E142">
        <f>IF([1]Accounts!$D$143="","",[1]Accounts!$A$143)</f>
        <v/>
      </c>
      <c r="F142">
        <f>IF([1]Accounts!$D$143="","",[1]Accounts!$B$143)</f>
        <v/>
      </c>
      <c r="G142">
        <f>IF([1]Accounts!$D$143="","",[1]Accounts!$C$143)</f>
        <v/>
      </c>
      <c r="H142">
        <f>IF([1]Accounts!$D$143="","",[1]Accounts!$D$143)</f>
        <v/>
      </c>
      <c r="L142">
        <f>IF([2]Entry!$C$145="","",[2]Entry!$C$145)</f>
        <v/>
      </c>
      <c r="M142">
        <f>IF([2]Entry!$J$145="","",[2]Entry!$J$145)</f>
        <v/>
      </c>
      <c r="N142">
        <f>IF([2]Entry!$M$145="","",[2]Entry!$M$145)</f>
        <v/>
      </c>
      <c r="O142">
        <f>IF([2]Entry!$N$145="","",[2]Entry!$N$145)</f>
        <v/>
      </c>
      <c r="P142">
        <f>IF([2]Entry!$S$145="","",[2]Entry!$S$145)</f>
        <v/>
      </c>
    </row>
    <row r="143">
      <c r="A143">
        <f>IF([1]Cheques!$A$144="","",[1]Cheques!$A$144)</f>
        <v/>
      </c>
      <c r="E143">
        <f>IF([1]Accounts!$D$144="","",[1]Accounts!$A$144)</f>
        <v/>
      </c>
      <c r="F143">
        <f>IF([1]Accounts!$D$144="","",[1]Accounts!$B$144)</f>
        <v/>
      </c>
      <c r="G143">
        <f>IF([1]Accounts!$D$144="","",[1]Accounts!$C$144)</f>
        <v/>
      </c>
      <c r="H143">
        <f>IF([1]Accounts!$D$144="","",[1]Accounts!$D$144)</f>
        <v/>
      </c>
      <c r="L143">
        <f>IF([2]Entry!$C$146="","",[2]Entry!$C$146)</f>
        <v/>
      </c>
      <c r="M143">
        <f>IF([2]Entry!$J$146="","",[2]Entry!$J$146)</f>
        <v/>
      </c>
      <c r="N143">
        <f>IF([2]Entry!$M$146="","",[2]Entry!$M$146)</f>
        <v/>
      </c>
      <c r="O143">
        <f>IF([2]Entry!$N$146="","",[2]Entry!$N$146)</f>
        <v/>
      </c>
      <c r="P143">
        <f>IF([2]Entry!$S$146="","",[2]Entry!$S$146)</f>
        <v/>
      </c>
    </row>
    <row r="144">
      <c r="A144">
        <f>IF([1]Cheques!$A$145="","",[1]Cheques!$A$145)</f>
        <v/>
      </c>
      <c r="E144">
        <f>IF([1]Accounts!$D$145="","",[1]Accounts!$A$145)</f>
        <v/>
      </c>
      <c r="F144">
        <f>IF([1]Accounts!$D$145="","",[1]Accounts!$B$145)</f>
        <v/>
      </c>
      <c r="G144">
        <f>IF([1]Accounts!$D$145="","",[1]Accounts!$C$145)</f>
        <v/>
      </c>
      <c r="H144">
        <f>IF([1]Accounts!$D$145="","",[1]Accounts!$D$145)</f>
        <v/>
      </c>
      <c r="L144">
        <f>IF([2]Entry!$C$147="","",[2]Entry!$C$147)</f>
        <v/>
      </c>
      <c r="M144">
        <f>IF([2]Entry!$J$147="","",[2]Entry!$J$147)</f>
        <v/>
      </c>
      <c r="N144">
        <f>IF([2]Entry!$M$147="","",[2]Entry!$M$147)</f>
        <v/>
      </c>
      <c r="O144">
        <f>IF([2]Entry!$N$147="","",[2]Entry!$N$147)</f>
        <v/>
      </c>
      <c r="P144">
        <f>IF([2]Entry!$S$147="","",[2]Entry!$S$147)</f>
        <v/>
      </c>
    </row>
    <row r="145">
      <c r="A145">
        <f>IF([1]Cheques!$A$146="","",[1]Cheques!$A$146)</f>
        <v/>
      </c>
      <c r="E145">
        <f>IF([1]Accounts!$D$146="","",[1]Accounts!$A$146)</f>
        <v/>
      </c>
      <c r="F145">
        <f>IF([1]Accounts!$D$146="","",[1]Accounts!$B$146)</f>
        <v/>
      </c>
      <c r="G145">
        <f>IF([1]Accounts!$D$146="","",[1]Accounts!$C$146)</f>
        <v/>
      </c>
      <c r="H145">
        <f>IF([1]Accounts!$D$146="","",[1]Accounts!$D$146)</f>
        <v/>
      </c>
      <c r="L145">
        <f>IF([2]Entry!$C$148="","",[2]Entry!$C$148)</f>
        <v/>
      </c>
      <c r="M145">
        <f>IF([2]Entry!$J$148="","",[2]Entry!$J$148)</f>
        <v/>
      </c>
      <c r="N145">
        <f>IF([2]Entry!$M$148="","",[2]Entry!$M$148)</f>
        <v/>
      </c>
      <c r="O145">
        <f>IF([2]Entry!$N$148="","",[2]Entry!$N$148)</f>
        <v/>
      </c>
      <c r="P145">
        <f>IF([2]Entry!$S$148="","",[2]Entry!$S$148)</f>
        <v/>
      </c>
    </row>
    <row r="146">
      <c r="A146">
        <f>IF([1]Cheques!$A$147="","",[1]Cheques!$A$147)</f>
        <v/>
      </c>
      <c r="E146">
        <f>IF([1]Accounts!$D$147="","",[1]Accounts!$A$147)</f>
        <v/>
      </c>
      <c r="F146">
        <f>IF([1]Accounts!$D$147="","",[1]Accounts!$B$147)</f>
        <v/>
      </c>
      <c r="G146">
        <f>IF([1]Accounts!$D$147="","",[1]Accounts!$C$147)</f>
        <v/>
      </c>
      <c r="H146">
        <f>IF([1]Accounts!$D$147="","",[1]Accounts!$D$147)</f>
        <v/>
      </c>
      <c r="L146">
        <f>IF([2]Entry!$C$149="","",[2]Entry!$C$149)</f>
        <v/>
      </c>
      <c r="M146">
        <f>IF([2]Entry!$J$149="","",[2]Entry!$J$149)</f>
        <v/>
      </c>
      <c r="N146">
        <f>IF([2]Entry!$M$149="","",[2]Entry!$M$149)</f>
        <v/>
      </c>
      <c r="O146">
        <f>IF([2]Entry!$N$149="","",[2]Entry!$N$149)</f>
        <v/>
      </c>
      <c r="P146">
        <f>IF([2]Entry!$S$149="","",[2]Entry!$S$149)</f>
        <v/>
      </c>
    </row>
    <row r="147">
      <c r="A147">
        <f>IF([1]Cheques!$A$148="","",[1]Cheques!$A$148)</f>
        <v/>
      </c>
      <c r="E147">
        <f>IF([1]Accounts!$D$148="","",[1]Accounts!$A$148)</f>
        <v/>
      </c>
      <c r="F147">
        <f>IF([1]Accounts!$D$148="","",[1]Accounts!$B$148)</f>
        <v/>
      </c>
      <c r="G147">
        <f>IF([1]Accounts!$D$148="","",[1]Accounts!$C$148)</f>
        <v/>
      </c>
      <c r="H147">
        <f>IF([1]Accounts!$D$148="","",[1]Accounts!$D$148)</f>
        <v/>
      </c>
      <c r="L147">
        <f>IF([2]Entry!$C$150="","",[2]Entry!$C$150)</f>
        <v/>
      </c>
      <c r="M147">
        <f>IF([2]Entry!$J$150="","",[2]Entry!$J$150)</f>
        <v/>
      </c>
      <c r="N147">
        <f>IF([2]Entry!$M$150="","",[2]Entry!$M$150)</f>
        <v/>
      </c>
      <c r="O147">
        <f>IF([2]Entry!$N$150="","",[2]Entry!$N$150)</f>
        <v/>
      </c>
      <c r="P147">
        <f>IF([2]Entry!$S$150="","",[2]Entry!$S$150)</f>
        <v/>
      </c>
    </row>
    <row r="148">
      <c r="A148">
        <f>IF([1]Cheques!$A$149="","",[1]Cheques!$A$149)</f>
        <v/>
      </c>
      <c r="E148">
        <f>IF([1]Accounts!$D$149="","",[1]Accounts!$A$149)</f>
        <v/>
      </c>
      <c r="F148">
        <f>IF([1]Accounts!$D$149="","",[1]Accounts!$B$149)</f>
        <v/>
      </c>
      <c r="G148">
        <f>IF([1]Accounts!$D$149="","",[1]Accounts!$C$149)</f>
        <v/>
      </c>
      <c r="H148">
        <f>IF([1]Accounts!$D$149="","",[1]Accounts!$D$149)</f>
        <v/>
      </c>
      <c r="L148">
        <f>IF([2]Entry!$C$151="","",[2]Entry!$C$151)</f>
        <v/>
      </c>
      <c r="M148">
        <f>IF([2]Entry!$J$151="","",[2]Entry!$J$151)</f>
        <v/>
      </c>
      <c r="N148">
        <f>IF([2]Entry!$M$151="","",[2]Entry!$M$151)</f>
        <v/>
      </c>
      <c r="O148">
        <f>IF([2]Entry!$N$151="","",[2]Entry!$N$151)</f>
        <v/>
      </c>
      <c r="P148">
        <f>IF([2]Entry!$S$151="","",[2]Entry!$S$151)</f>
        <v/>
      </c>
    </row>
    <row r="149">
      <c r="A149">
        <f>IF([1]Cheques!$A$150="","",[1]Cheques!$A$150)</f>
        <v/>
      </c>
      <c r="E149">
        <f>IF([1]Accounts!$D$150="","",[1]Accounts!$A$150)</f>
        <v/>
      </c>
      <c r="F149">
        <f>IF([1]Accounts!$D$150="","",[1]Accounts!$B$150)</f>
        <v/>
      </c>
      <c r="G149">
        <f>IF([1]Accounts!$D$150="","",[1]Accounts!$C$150)</f>
        <v/>
      </c>
      <c r="H149">
        <f>IF([1]Accounts!$D$150="","",[1]Accounts!$D$150)</f>
        <v/>
      </c>
      <c r="L149">
        <f>IF([2]Entry!$C$152="","",[2]Entry!$C$152)</f>
        <v/>
      </c>
      <c r="M149">
        <f>IF([2]Entry!$J$152="","",[2]Entry!$J$152)</f>
        <v/>
      </c>
      <c r="N149">
        <f>IF([2]Entry!$M$152="","",[2]Entry!$M$152)</f>
        <v/>
      </c>
      <c r="O149">
        <f>IF([2]Entry!$N$152="","",[2]Entry!$N$152)</f>
        <v/>
      </c>
      <c r="P149">
        <f>IF([2]Entry!$S$152="","",[2]Entry!$S$152)</f>
        <v/>
      </c>
    </row>
    <row r="150">
      <c r="A150">
        <f>IF([1]Cheques!$A$151="","",[1]Cheques!$A$151)</f>
        <v/>
      </c>
      <c r="E150">
        <f>IF([1]Accounts!$D$151="","",[1]Accounts!$A$151)</f>
        <v/>
      </c>
      <c r="F150">
        <f>IF([1]Accounts!$D$151="","",[1]Accounts!$B$151)</f>
        <v/>
      </c>
      <c r="G150">
        <f>IF([1]Accounts!$D$151="","",[1]Accounts!$C$151)</f>
        <v/>
      </c>
      <c r="H150">
        <f>IF([1]Accounts!$D$151="","",[1]Accounts!$D$151)</f>
        <v/>
      </c>
      <c r="L150">
        <f>IF([2]Entry!$C$153="","",[2]Entry!$C$153)</f>
        <v/>
      </c>
      <c r="M150">
        <f>IF([2]Entry!$J$153="","",[2]Entry!$J$153)</f>
        <v/>
      </c>
      <c r="N150">
        <f>IF([2]Entry!$M$153="","",[2]Entry!$M$153)</f>
        <v/>
      </c>
      <c r="O150">
        <f>IF([2]Entry!$N$153="","",[2]Entry!$N$153)</f>
        <v/>
      </c>
      <c r="P150">
        <f>IF([2]Entry!$S$153="","",[2]Entry!$S$153)</f>
        <v/>
      </c>
    </row>
    <row r="151">
      <c r="A151">
        <f>IF([1]Cheques!$A$152="","",[1]Cheques!$A$152)</f>
        <v/>
      </c>
      <c r="E151">
        <f>IF([1]Accounts!$D$152="","",[1]Accounts!$A$152)</f>
        <v/>
      </c>
      <c r="F151">
        <f>IF([1]Accounts!$D$152="","",[1]Accounts!$B$152)</f>
        <v/>
      </c>
      <c r="G151">
        <f>IF([1]Accounts!$D$152="","",[1]Accounts!$C$152)</f>
        <v/>
      </c>
      <c r="H151">
        <f>IF([1]Accounts!$D$152="","",[1]Accounts!$D$152)</f>
        <v/>
      </c>
      <c r="L151">
        <f>IF([2]Entry!$C$154="","",[2]Entry!$C$154)</f>
        <v/>
      </c>
      <c r="M151">
        <f>IF([2]Entry!$J$154="","",[2]Entry!$J$154)</f>
        <v/>
      </c>
      <c r="N151">
        <f>IF([2]Entry!$M$154="","",[2]Entry!$M$154)</f>
        <v/>
      </c>
      <c r="O151">
        <f>IF([2]Entry!$N$154="","",[2]Entry!$N$154)</f>
        <v/>
      </c>
      <c r="P151">
        <f>IF([2]Entry!$S$154="","",[2]Entry!$S$154)</f>
        <v/>
      </c>
    </row>
    <row r="152">
      <c r="A152">
        <f>IF([1]Cheques!$A$153="","",[1]Cheques!$A$153)</f>
        <v/>
      </c>
      <c r="E152">
        <f>IF([1]Accounts!$D$153="","",[1]Accounts!$A$153)</f>
        <v/>
      </c>
      <c r="F152">
        <f>IF([1]Accounts!$D$153="","",[1]Accounts!$B$153)</f>
        <v/>
      </c>
      <c r="G152">
        <f>IF([1]Accounts!$D$153="","",[1]Accounts!$C$153)</f>
        <v/>
      </c>
      <c r="H152">
        <f>IF([1]Accounts!$D$153="","",[1]Accounts!$D$153)</f>
        <v/>
      </c>
      <c r="L152">
        <f>IF([2]Entry!$C$155="","",[2]Entry!$C$155)</f>
        <v/>
      </c>
      <c r="M152">
        <f>IF([2]Entry!$J$155="","",[2]Entry!$J$155)</f>
        <v/>
      </c>
      <c r="N152">
        <f>IF([2]Entry!$M$155="","",[2]Entry!$M$155)</f>
        <v/>
      </c>
      <c r="O152">
        <f>IF([2]Entry!$N$155="","",[2]Entry!$N$155)</f>
        <v/>
      </c>
      <c r="P152">
        <f>IF([2]Entry!$S$155="","",[2]Entry!$S$155)</f>
        <v/>
      </c>
    </row>
    <row r="153">
      <c r="A153">
        <f>IF([1]Cheques!$A$154="","",[1]Cheques!$A$154)</f>
        <v/>
      </c>
      <c r="E153">
        <f>IF([1]Accounts!$D$154="","",[1]Accounts!$A$154)</f>
        <v/>
      </c>
      <c r="F153">
        <f>IF([1]Accounts!$D$154="","",[1]Accounts!$B$154)</f>
        <v/>
      </c>
      <c r="G153">
        <f>IF([1]Accounts!$D$154="","",[1]Accounts!$C$154)</f>
        <v/>
      </c>
      <c r="H153">
        <f>IF([1]Accounts!$D$154="","",[1]Accounts!$D$154)</f>
        <v/>
      </c>
      <c r="L153">
        <f>IF([2]Entry!$C$156="","",[2]Entry!$C$156)</f>
        <v/>
      </c>
      <c r="M153">
        <f>IF([2]Entry!$J$156="","",[2]Entry!$J$156)</f>
        <v/>
      </c>
      <c r="N153">
        <f>IF([2]Entry!$M$156="","",[2]Entry!$M$156)</f>
        <v/>
      </c>
      <c r="O153">
        <f>IF([2]Entry!$N$156="","",[2]Entry!$N$156)</f>
        <v/>
      </c>
      <c r="P153">
        <f>IF([2]Entry!$S$156="","",[2]Entry!$S$156)</f>
        <v/>
      </c>
    </row>
    <row r="154">
      <c r="A154">
        <f>IF([1]Cheques!$A$155="","",[1]Cheques!$A$155)</f>
        <v/>
      </c>
      <c r="E154">
        <f>IF([1]Accounts!$D$155="","",[1]Accounts!$A$155)</f>
        <v/>
      </c>
      <c r="F154">
        <f>IF([1]Accounts!$D$155="","",[1]Accounts!$B$155)</f>
        <v/>
      </c>
      <c r="G154">
        <f>IF([1]Accounts!$D$155="","",[1]Accounts!$C$155)</f>
        <v/>
      </c>
      <c r="H154">
        <f>IF([1]Accounts!$D$155="","",[1]Accounts!$D$155)</f>
        <v/>
      </c>
      <c r="L154">
        <f>IF([2]Entry!$C$157="","",[2]Entry!$C$157)</f>
        <v/>
      </c>
      <c r="M154">
        <f>IF([2]Entry!$J$157="","",[2]Entry!$J$157)</f>
        <v/>
      </c>
      <c r="N154">
        <f>IF([2]Entry!$M$157="","",[2]Entry!$M$157)</f>
        <v/>
      </c>
      <c r="O154">
        <f>IF([2]Entry!$N$157="","",[2]Entry!$N$157)</f>
        <v/>
      </c>
      <c r="P154">
        <f>IF([2]Entry!$S$157="","",[2]Entry!$S$157)</f>
        <v/>
      </c>
    </row>
    <row r="155">
      <c r="A155">
        <f>IF([1]Cheques!$A$156="","",[1]Cheques!$A$156)</f>
        <v/>
      </c>
      <c r="E155">
        <f>IF([1]Accounts!$D$156="","",[1]Accounts!$A$156)</f>
        <v/>
      </c>
      <c r="F155">
        <f>IF([1]Accounts!$D$156="","",[1]Accounts!$B$156)</f>
        <v/>
      </c>
      <c r="G155">
        <f>IF([1]Accounts!$D$156="","",[1]Accounts!$C$156)</f>
        <v/>
      </c>
      <c r="H155">
        <f>IF([1]Accounts!$D$156="","",[1]Accounts!$D$156)</f>
        <v/>
      </c>
      <c r="L155">
        <f>IF([2]Entry!$C$158="","",[2]Entry!$C$158)</f>
        <v/>
      </c>
      <c r="M155">
        <f>IF([2]Entry!$J$158="","",[2]Entry!$J$158)</f>
        <v/>
      </c>
      <c r="N155">
        <f>IF([2]Entry!$M$158="","",[2]Entry!$M$158)</f>
        <v/>
      </c>
      <c r="O155">
        <f>IF([2]Entry!$N$158="","",[2]Entry!$N$158)</f>
        <v/>
      </c>
      <c r="P155">
        <f>IF([2]Entry!$S$158="","",[2]Entry!$S$158)</f>
        <v/>
      </c>
    </row>
    <row r="156">
      <c r="A156">
        <f>IF([1]Cheques!$A$157="","",[1]Cheques!$A$157)</f>
        <v/>
      </c>
      <c r="E156">
        <f>IF([1]Accounts!$D$157="","",[1]Accounts!$A$157)</f>
        <v/>
      </c>
      <c r="F156">
        <f>IF([1]Accounts!$D$157="","",[1]Accounts!$B$157)</f>
        <v/>
      </c>
      <c r="G156">
        <f>IF([1]Accounts!$D$157="","",[1]Accounts!$C$157)</f>
        <v/>
      </c>
      <c r="H156">
        <f>IF([1]Accounts!$D$157="","",[1]Accounts!$D$157)</f>
        <v/>
      </c>
      <c r="L156">
        <f>IF([2]Entry!$C$159="","",[2]Entry!$C$159)</f>
        <v/>
      </c>
      <c r="M156">
        <f>IF([2]Entry!$J$159="","",[2]Entry!$J$159)</f>
        <v/>
      </c>
      <c r="N156">
        <f>IF([2]Entry!$M$159="","",[2]Entry!$M$159)</f>
        <v/>
      </c>
      <c r="O156">
        <f>IF([2]Entry!$N$159="","",[2]Entry!$N$159)</f>
        <v/>
      </c>
      <c r="P156">
        <f>IF([2]Entry!$S$159="","",[2]Entry!$S$159)</f>
        <v/>
      </c>
    </row>
    <row r="157">
      <c r="A157">
        <f>IF([1]Cheques!$A$158="","",[1]Cheques!$A$158)</f>
        <v/>
      </c>
      <c r="E157">
        <f>IF([1]Accounts!$D$158="","",[1]Accounts!$A$158)</f>
        <v/>
      </c>
      <c r="F157">
        <f>IF([1]Accounts!$D$158="","",[1]Accounts!$B$158)</f>
        <v/>
      </c>
      <c r="G157">
        <f>IF([1]Accounts!$D$158="","",[1]Accounts!$C$158)</f>
        <v/>
      </c>
      <c r="H157">
        <f>IF([1]Accounts!$D$158="","",[1]Accounts!$D$158)</f>
        <v/>
      </c>
      <c r="L157">
        <f>IF([2]Entry!$C$160="","",[2]Entry!$C$160)</f>
        <v/>
      </c>
      <c r="M157">
        <f>IF([2]Entry!$J$160="","",[2]Entry!$J$160)</f>
        <v/>
      </c>
      <c r="N157">
        <f>IF([2]Entry!$M$160="","",[2]Entry!$M$160)</f>
        <v/>
      </c>
      <c r="O157">
        <f>IF([2]Entry!$N$160="","",[2]Entry!$N$160)</f>
        <v/>
      </c>
      <c r="P157">
        <f>IF([2]Entry!$S$160="","",[2]Entry!$S$160)</f>
        <v/>
      </c>
    </row>
    <row r="158">
      <c r="A158">
        <f>IF([1]Cheques!$A$159="","",[1]Cheques!$A$159)</f>
        <v/>
      </c>
      <c r="E158">
        <f>IF([1]Accounts!$D$159="","",[1]Accounts!$A$159)</f>
        <v/>
      </c>
      <c r="F158">
        <f>IF([1]Accounts!$D$159="","",[1]Accounts!$B$159)</f>
        <v/>
      </c>
      <c r="G158">
        <f>IF([1]Accounts!$D$159="","",[1]Accounts!$C$159)</f>
        <v/>
      </c>
      <c r="H158">
        <f>IF([1]Accounts!$D$159="","",[1]Accounts!$D$159)</f>
        <v/>
      </c>
      <c r="L158">
        <f>IF([2]Entry!$C$161="","",[2]Entry!$C$161)</f>
        <v/>
      </c>
      <c r="M158">
        <f>IF([2]Entry!$J$161="","",[2]Entry!$J$161)</f>
        <v/>
      </c>
      <c r="N158">
        <f>IF([2]Entry!$M$161="","",[2]Entry!$M$161)</f>
        <v/>
      </c>
      <c r="O158">
        <f>IF([2]Entry!$N$161="","",[2]Entry!$N$161)</f>
        <v/>
      </c>
      <c r="P158">
        <f>IF([2]Entry!$S$161="","",[2]Entry!$S$161)</f>
        <v/>
      </c>
    </row>
    <row r="159">
      <c r="A159">
        <f>IF([1]Cheques!$A$160="","",[1]Cheques!$A$160)</f>
        <v/>
      </c>
      <c r="E159">
        <f>IF([1]Accounts!$D$160="","",[1]Accounts!$A$160)</f>
        <v/>
      </c>
      <c r="F159">
        <f>IF([1]Accounts!$D$160="","",[1]Accounts!$B$160)</f>
        <v/>
      </c>
      <c r="G159">
        <f>IF([1]Accounts!$D$160="","",[1]Accounts!$C$160)</f>
        <v/>
      </c>
      <c r="H159">
        <f>IF([1]Accounts!$D$160="","",[1]Accounts!$D$160)</f>
        <v/>
      </c>
      <c r="L159">
        <f>IF([2]Entry!$C$162="","",[2]Entry!$C$162)</f>
        <v/>
      </c>
      <c r="M159">
        <f>IF([2]Entry!$J$162="","",[2]Entry!$J$162)</f>
        <v/>
      </c>
      <c r="N159">
        <f>IF([2]Entry!$M$162="","",[2]Entry!$M$162)</f>
        <v/>
      </c>
      <c r="O159">
        <f>IF([2]Entry!$N$162="","",[2]Entry!$N$162)</f>
        <v/>
      </c>
      <c r="P159">
        <f>IF([2]Entry!$S$162="","",[2]Entry!$S$162)</f>
        <v/>
      </c>
    </row>
    <row r="160">
      <c r="A160">
        <f>IF([1]Cheques!$A$161="","",[1]Cheques!$A$161)</f>
        <v/>
      </c>
      <c r="E160">
        <f>IF([1]Accounts!$D$161="","",[1]Accounts!$A$161)</f>
        <v/>
      </c>
      <c r="F160">
        <f>IF([1]Accounts!$D$161="","",[1]Accounts!$B$161)</f>
        <v/>
      </c>
      <c r="G160">
        <f>IF([1]Accounts!$D$161="","",[1]Accounts!$C$161)</f>
        <v/>
      </c>
      <c r="H160">
        <f>IF([1]Accounts!$D$161="","",[1]Accounts!$D$161)</f>
        <v/>
      </c>
      <c r="L160">
        <f>IF([2]Entry!$C$163="","",[2]Entry!$C$163)</f>
        <v/>
      </c>
      <c r="M160">
        <f>IF([2]Entry!$J$163="","",[2]Entry!$J$163)</f>
        <v/>
      </c>
      <c r="N160">
        <f>IF([2]Entry!$M$163="","",[2]Entry!$M$163)</f>
        <v/>
      </c>
      <c r="O160">
        <f>IF([2]Entry!$N$163="","",[2]Entry!$N$163)</f>
        <v/>
      </c>
      <c r="P160">
        <f>IF([2]Entry!$S$163="","",[2]Entry!$S$163)</f>
        <v/>
      </c>
    </row>
    <row r="161">
      <c r="A161">
        <f>IF([1]Cheques!$A$162="","",[1]Cheques!$A$162)</f>
        <v/>
      </c>
      <c r="E161">
        <f>IF([1]Accounts!$D$162="","",[1]Accounts!$A$162)</f>
        <v/>
      </c>
      <c r="F161">
        <f>IF([1]Accounts!$D$162="","",[1]Accounts!$B$162)</f>
        <v/>
      </c>
      <c r="G161">
        <f>IF([1]Accounts!$D$162="","",[1]Accounts!$C$162)</f>
        <v/>
      </c>
      <c r="H161">
        <f>IF([1]Accounts!$D$162="","",[1]Accounts!$D$162)</f>
        <v/>
      </c>
      <c r="L161">
        <f>IF([2]Entry!$C$164="","",[2]Entry!$C$164)</f>
        <v/>
      </c>
      <c r="M161">
        <f>IF([2]Entry!$J$164="","",[2]Entry!$J$164)</f>
        <v/>
      </c>
      <c r="N161">
        <f>IF([2]Entry!$M$164="","",[2]Entry!$M$164)</f>
        <v/>
      </c>
      <c r="O161">
        <f>IF([2]Entry!$N$164="","",[2]Entry!$N$164)</f>
        <v/>
      </c>
      <c r="P161">
        <f>IF([2]Entry!$S$164="","",[2]Entry!$S$164)</f>
        <v/>
      </c>
    </row>
    <row r="162">
      <c r="A162">
        <f>IF([1]Cheques!$A$163="","",[1]Cheques!$A$163)</f>
        <v/>
      </c>
      <c r="E162">
        <f>IF([1]Accounts!$D$163="","",[1]Accounts!$A$163)</f>
        <v/>
      </c>
      <c r="F162">
        <f>IF([1]Accounts!$D$163="","",[1]Accounts!$B$163)</f>
        <v/>
      </c>
      <c r="G162">
        <f>IF([1]Accounts!$D$163="","",[1]Accounts!$C$163)</f>
        <v/>
      </c>
      <c r="H162">
        <f>IF([1]Accounts!$D$163="","",[1]Accounts!$D$163)</f>
        <v/>
      </c>
      <c r="L162">
        <f>IF([2]Entry!$C$165="","",[2]Entry!$C$165)</f>
        <v/>
      </c>
      <c r="M162">
        <f>IF([2]Entry!$J$165="","",[2]Entry!$J$165)</f>
        <v/>
      </c>
      <c r="N162">
        <f>IF([2]Entry!$M$165="","",[2]Entry!$M$165)</f>
        <v/>
      </c>
      <c r="O162">
        <f>IF([2]Entry!$N$165="","",[2]Entry!$N$165)</f>
        <v/>
      </c>
      <c r="P162">
        <f>IF([2]Entry!$S$165="","",[2]Entry!$S$165)</f>
        <v/>
      </c>
    </row>
    <row r="163">
      <c r="A163">
        <f>IF([1]Cheques!$A$164="","",[1]Cheques!$A$164)</f>
        <v/>
      </c>
      <c r="E163">
        <f>IF([1]Accounts!$D$164="","",[1]Accounts!$A$164)</f>
        <v/>
      </c>
      <c r="F163">
        <f>IF([1]Accounts!$D$164="","",[1]Accounts!$B$164)</f>
        <v/>
      </c>
      <c r="G163">
        <f>IF([1]Accounts!$D$164="","",[1]Accounts!$C$164)</f>
        <v/>
      </c>
      <c r="H163">
        <f>IF([1]Accounts!$D$164="","",[1]Accounts!$D$164)</f>
        <v/>
      </c>
      <c r="L163">
        <f>IF([2]Entry!$C$166="","",[2]Entry!$C$166)</f>
        <v/>
      </c>
      <c r="M163">
        <f>IF([2]Entry!$J$166="","",[2]Entry!$J$166)</f>
        <v/>
      </c>
      <c r="N163">
        <f>IF([2]Entry!$M$166="","",[2]Entry!$M$166)</f>
        <v/>
      </c>
      <c r="O163">
        <f>IF([2]Entry!$N$166="","",[2]Entry!$N$166)</f>
        <v/>
      </c>
      <c r="P163">
        <f>IF([2]Entry!$S$166="","",[2]Entry!$S$166)</f>
        <v/>
      </c>
    </row>
    <row r="164">
      <c r="A164">
        <f>IF([1]Cheques!$A$165="","",[1]Cheques!$A$165)</f>
        <v/>
      </c>
      <c r="E164">
        <f>IF([1]Accounts!$D$165="","",[1]Accounts!$A$165)</f>
        <v/>
      </c>
      <c r="F164">
        <f>IF([1]Accounts!$D$165="","",[1]Accounts!$B$165)</f>
        <v/>
      </c>
      <c r="G164">
        <f>IF([1]Accounts!$D$165="","",[1]Accounts!$C$165)</f>
        <v/>
      </c>
      <c r="H164">
        <f>IF([1]Accounts!$D$165="","",[1]Accounts!$D$165)</f>
        <v/>
      </c>
      <c r="L164">
        <f>IF([2]Entry!$C$167="","",[2]Entry!$C$167)</f>
        <v/>
      </c>
      <c r="M164">
        <f>IF([2]Entry!$J$167="","",[2]Entry!$J$167)</f>
        <v/>
      </c>
      <c r="N164">
        <f>IF([2]Entry!$M$167="","",[2]Entry!$M$167)</f>
        <v/>
      </c>
      <c r="O164">
        <f>IF([2]Entry!$N$167="","",[2]Entry!$N$167)</f>
        <v/>
      </c>
      <c r="P164">
        <f>IF([2]Entry!$S$167="","",[2]Entry!$S$167)</f>
        <v/>
      </c>
    </row>
    <row r="165">
      <c r="A165">
        <f>IF([1]Cheques!$A$166="","",[1]Cheques!$A$166)</f>
        <v/>
      </c>
      <c r="E165">
        <f>IF([1]Accounts!$D$166="","",[1]Accounts!$A$166)</f>
        <v/>
      </c>
      <c r="F165">
        <f>IF([1]Accounts!$D$166="","",[1]Accounts!$B$166)</f>
        <v/>
      </c>
      <c r="G165">
        <f>IF([1]Accounts!$D$166="","",[1]Accounts!$C$166)</f>
        <v/>
      </c>
      <c r="H165">
        <f>IF([1]Accounts!$D$166="","",[1]Accounts!$D$166)</f>
        <v/>
      </c>
      <c r="L165">
        <f>IF([2]Entry!$C$168="","",[2]Entry!$C$168)</f>
        <v/>
      </c>
      <c r="M165">
        <f>IF([2]Entry!$J$168="","",[2]Entry!$J$168)</f>
        <v/>
      </c>
      <c r="N165">
        <f>IF([2]Entry!$M$168="","",[2]Entry!$M$168)</f>
        <v/>
      </c>
      <c r="O165">
        <f>IF([2]Entry!$N$168="","",[2]Entry!$N$168)</f>
        <v/>
      </c>
      <c r="P165">
        <f>IF([2]Entry!$S$168="","",[2]Entry!$S$168)</f>
        <v/>
      </c>
    </row>
    <row r="166">
      <c r="A166">
        <f>IF([1]Cheques!$A$167="","",[1]Cheques!$A$167)</f>
        <v/>
      </c>
      <c r="E166">
        <f>IF([1]Accounts!$D$167="","",[1]Accounts!$A$167)</f>
        <v/>
      </c>
      <c r="F166">
        <f>IF([1]Accounts!$D$167="","",[1]Accounts!$B$167)</f>
        <v/>
      </c>
      <c r="G166">
        <f>IF([1]Accounts!$D$167="","",[1]Accounts!$C$167)</f>
        <v/>
      </c>
      <c r="H166">
        <f>IF([1]Accounts!$D$167="","",[1]Accounts!$D$167)</f>
        <v/>
      </c>
      <c r="L166">
        <f>IF([2]Entry!$C$169="","",[2]Entry!$C$169)</f>
        <v/>
      </c>
      <c r="M166">
        <f>IF([2]Entry!$J$169="","",[2]Entry!$J$169)</f>
        <v/>
      </c>
      <c r="N166">
        <f>IF([2]Entry!$M$169="","",[2]Entry!$M$169)</f>
        <v/>
      </c>
      <c r="O166">
        <f>IF([2]Entry!$N$169="","",[2]Entry!$N$169)</f>
        <v/>
      </c>
      <c r="P166">
        <f>IF([2]Entry!$S$169="","",[2]Entry!$S$169)</f>
        <v/>
      </c>
    </row>
    <row r="167">
      <c r="A167">
        <f>IF([1]Cheques!$A$168="","",[1]Cheques!$A$168)</f>
        <v/>
      </c>
      <c r="E167">
        <f>IF([1]Accounts!$D$168="","",[1]Accounts!$A$168)</f>
        <v/>
      </c>
      <c r="F167">
        <f>IF([1]Accounts!$D$168="","",[1]Accounts!$B$168)</f>
        <v/>
      </c>
      <c r="G167">
        <f>IF([1]Accounts!$D$168="","",[1]Accounts!$C$168)</f>
        <v/>
      </c>
      <c r="H167">
        <f>IF([1]Accounts!$D$168="","",[1]Accounts!$D$168)</f>
        <v/>
      </c>
      <c r="L167">
        <f>IF([2]Entry!$C$170="","",[2]Entry!$C$170)</f>
        <v/>
      </c>
      <c r="M167">
        <f>IF([2]Entry!$J$170="","",[2]Entry!$J$170)</f>
        <v/>
      </c>
      <c r="N167">
        <f>IF([2]Entry!$M$170="","",[2]Entry!$M$170)</f>
        <v/>
      </c>
      <c r="O167">
        <f>IF([2]Entry!$N$170="","",[2]Entry!$N$170)</f>
        <v/>
      </c>
      <c r="P167">
        <f>IF([2]Entry!$S$170="","",[2]Entry!$S$170)</f>
        <v/>
      </c>
    </row>
    <row r="168">
      <c r="A168">
        <f>IF([1]Cheques!$A$169="","",[1]Cheques!$A$169)</f>
        <v/>
      </c>
      <c r="E168">
        <f>IF([1]Accounts!$D$169="","",[1]Accounts!$A$169)</f>
        <v/>
      </c>
      <c r="F168">
        <f>IF([1]Accounts!$D$169="","",[1]Accounts!$B$169)</f>
        <v/>
      </c>
      <c r="G168">
        <f>IF([1]Accounts!$D$169="","",[1]Accounts!$C$169)</f>
        <v/>
      </c>
      <c r="H168">
        <f>IF([1]Accounts!$D$169="","",[1]Accounts!$D$169)</f>
        <v/>
      </c>
      <c r="L168">
        <f>IF([2]Entry!$C$171="","",[2]Entry!$C$171)</f>
        <v/>
      </c>
      <c r="M168">
        <f>IF([2]Entry!$J$171="","",[2]Entry!$J$171)</f>
        <v/>
      </c>
      <c r="N168">
        <f>IF([2]Entry!$M$171="","",[2]Entry!$M$171)</f>
        <v/>
      </c>
      <c r="O168">
        <f>IF([2]Entry!$N$171="","",[2]Entry!$N$171)</f>
        <v/>
      </c>
      <c r="P168">
        <f>IF([2]Entry!$S$171="","",[2]Entry!$S$171)</f>
        <v/>
      </c>
    </row>
    <row r="169">
      <c r="A169">
        <f>IF([1]Cheques!$A$170="","",[1]Cheques!$A$170)</f>
        <v/>
      </c>
      <c r="E169">
        <f>IF([1]Accounts!$D$170="","",[1]Accounts!$A$170)</f>
        <v/>
      </c>
      <c r="F169">
        <f>IF([1]Accounts!$D$170="","",[1]Accounts!$B$170)</f>
        <v/>
      </c>
      <c r="G169">
        <f>IF([1]Accounts!$D$170="","",[1]Accounts!$C$170)</f>
        <v/>
      </c>
      <c r="H169">
        <f>IF([1]Accounts!$D$170="","",[1]Accounts!$D$170)</f>
        <v/>
      </c>
      <c r="L169">
        <f>IF([2]Entry!$C$172="","",[2]Entry!$C$172)</f>
        <v/>
      </c>
      <c r="M169">
        <f>IF([2]Entry!$J$172="","",[2]Entry!$J$172)</f>
        <v/>
      </c>
      <c r="N169">
        <f>IF([2]Entry!$M$172="","",[2]Entry!$M$172)</f>
        <v/>
      </c>
      <c r="O169">
        <f>IF([2]Entry!$N$172="","",[2]Entry!$N$172)</f>
        <v/>
      </c>
      <c r="P169">
        <f>IF([2]Entry!$S$172="","",[2]Entry!$S$172)</f>
        <v/>
      </c>
    </row>
    <row r="170">
      <c r="A170">
        <f>IF([1]Cheques!$A$171="","",[1]Cheques!$A$171)</f>
        <v/>
      </c>
      <c r="E170">
        <f>IF([1]Accounts!$D$171="","",[1]Accounts!$A$171)</f>
        <v/>
      </c>
      <c r="F170">
        <f>IF([1]Accounts!$D$171="","",[1]Accounts!$B$171)</f>
        <v/>
      </c>
      <c r="G170">
        <f>IF([1]Accounts!$D$171="","",[1]Accounts!$C$171)</f>
        <v/>
      </c>
      <c r="H170">
        <f>IF([1]Accounts!$D$171="","",[1]Accounts!$D$171)</f>
        <v/>
      </c>
      <c r="L170">
        <f>IF([2]Entry!$C$173="","",[2]Entry!$C$173)</f>
        <v/>
      </c>
      <c r="M170">
        <f>IF([2]Entry!$J$173="","",[2]Entry!$J$173)</f>
        <v/>
      </c>
      <c r="N170">
        <f>IF([2]Entry!$M$173="","",[2]Entry!$M$173)</f>
        <v/>
      </c>
      <c r="O170">
        <f>IF([2]Entry!$N$173="","",[2]Entry!$N$173)</f>
        <v/>
      </c>
      <c r="P170">
        <f>IF([2]Entry!$S$173="","",[2]Entry!$S$173)</f>
        <v/>
      </c>
    </row>
    <row r="171">
      <c r="A171">
        <f>IF([1]Cheques!$A$172="","",[1]Cheques!$A$172)</f>
        <v/>
      </c>
      <c r="E171">
        <f>IF([1]Accounts!$D$172="","",[1]Accounts!$A$172)</f>
        <v/>
      </c>
      <c r="F171">
        <f>IF([1]Accounts!$D$172="","",[1]Accounts!$B$172)</f>
        <v/>
      </c>
      <c r="G171">
        <f>IF([1]Accounts!$D$172="","",[1]Accounts!$C$172)</f>
        <v/>
      </c>
      <c r="H171">
        <f>IF([1]Accounts!$D$172="","",[1]Accounts!$D$172)</f>
        <v/>
      </c>
      <c r="L171">
        <f>IF([2]Entry!$C$174="","",[2]Entry!$C$174)</f>
        <v/>
      </c>
      <c r="M171">
        <f>IF([2]Entry!$J$174="","",[2]Entry!$J$174)</f>
        <v/>
      </c>
      <c r="N171">
        <f>IF([2]Entry!$M$174="","",[2]Entry!$M$174)</f>
        <v/>
      </c>
      <c r="O171">
        <f>IF([2]Entry!$N$174="","",[2]Entry!$N$174)</f>
        <v/>
      </c>
      <c r="P171">
        <f>IF([2]Entry!$S$174="","",[2]Entry!$S$174)</f>
        <v/>
      </c>
    </row>
    <row r="172">
      <c r="A172">
        <f>IF([1]Cheques!$A$173="","",[1]Cheques!$A$173)</f>
        <v/>
      </c>
      <c r="E172">
        <f>IF([1]Accounts!$D$173="","",[1]Accounts!$A$173)</f>
        <v/>
      </c>
      <c r="F172">
        <f>IF([1]Accounts!$D$173="","",[1]Accounts!$B$173)</f>
        <v/>
      </c>
      <c r="G172">
        <f>IF([1]Accounts!$D$173="","",[1]Accounts!$C$173)</f>
        <v/>
      </c>
      <c r="H172">
        <f>IF([1]Accounts!$D$173="","",[1]Accounts!$D$173)</f>
        <v/>
      </c>
      <c r="L172">
        <f>IF([2]Entry!$C$175="","",[2]Entry!$C$175)</f>
        <v/>
      </c>
      <c r="M172">
        <f>IF([2]Entry!$J$175="","",[2]Entry!$J$175)</f>
        <v/>
      </c>
      <c r="N172">
        <f>IF([2]Entry!$M$175="","",[2]Entry!$M$175)</f>
        <v/>
      </c>
      <c r="O172">
        <f>IF([2]Entry!$N$175="","",[2]Entry!$N$175)</f>
        <v/>
      </c>
      <c r="P172">
        <f>IF([2]Entry!$S$175="","",[2]Entry!$S$175)</f>
        <v/>
      </c>
    </row>
    <row r="173">
      <c r="A173">
        <f>IF([1]Cheques!$A$174="","",[1]Cheques!$A$174)</f>
        <v/>
      </c>
      <c r="E173">
        <f>IF([1]Accounts!$D$174="","",[1]Accounts!$A$174)</f>
        <v/>
      </c>
      <c r="F173">
        <f>IF([1]Accounts!$D$174="","",[1]Accounts!$B$174)</f>
        <v/>
      </c>
      <c r="G173">
        <f>IF([1]Accounts!$D$174="","",[1]Accounts!$C$174)</f>
        <v/>
      </c>
      <c r="H173">
        <f>IF([1]Accounts!$D$174="","",[1]Accounts!$D$174)</f>
        <v/>
      </c>
      <c r="L173">
        <f>IF([2]Entry!$C$176="","",[2]Entry!$C$176)</f>
        <v/>
      </c>
      <c r="M173">
        <f>IF([2]Entry!$J$176="","",[2]Entry!$J$176)</f>
        <v/>
      </c>
      <c r="N173">
        <f>IF([2]Entry!$M$176="","",[2]Entry!$M$176)</f>
        <v/>
      </c>
      <c r="O173">
        <f>IF([2]Entry!$N$176="","",[2]Entry!$N$176)</f>
        <v/>
      </c>
      <c r="P173">
        <f>IF([2]Entry!$S$176="","",[2]Entry!$S$176)</f>
        <v/>
      </c>
    </row>
    <row r="174">
      <c r="A174">
        <f>IF([1]Cheques!$A$175="","",[1]Cheques!$A$175)</f>
        <v/>
      </c>
      <c r="E174">
        <f>IF([1]Accounts!$D$175="","",[1]Accounts!$A$175)</f>
        <v/>
      </c>
      <c r="F174">
        <f>IF([1]Accounts!$D$175="","",[1]Accounts!$B$175)</f>
        <v/>
      </c>
      <c r="G174">
        <f>IF([1]Accounts!$D$175="","",[1]Accounts!$C$175)</f>
        <v/>
      </c>
      <c r="H174">
        <f>IF([1]Accounts!$D$175="","",[1]Accounts!$D$175)</f>
        <v/>
      </c>
      <c r="L174">
        <f>IF([2]Entry!$C$177="","",[2]Entry!$C$177)</f>
        <v/>
      </c>
      <c r="M174">
        <f>IF([2]Entry!$J$177="","",[2]Entry!$J$177)</f>
        <v/>
      </c>
      <c r="N174">
        <f>IF([2]Entry!$M$177="","",[2]Entry!$M$177)</f>
        <v/>
      </c>
      <c r="O174">
        <f>IF([2]Entry!$N$177="","",[2]Entry!$N$177)</f>
        <v/>
      </c>
      <c r="P174">
        <f>IF([2]Entry!$S$177="","",[2]Entry!$S$177)</f>
        <v/>
      </c>
    </row>
    <row r="175">
      <c r="A175">
        <f>IF([1]Cheques!$A$176="","",[1]Cheques!$A$176)</f>
        <v/>
      </c>
      <c r="E175">
        <f>IF([1]Accounts!$D$176="","",[1]Accounts!$A$176)</f>
        <v/>
      </c>
      <c r="F175">
        <f>IF([1]Accounts!$D$176="","",[1]Accounts!$B$176)</f>
        <v/>
      </c>
      <c r="G175">
        <f>IF([1]Accounts!$D$176="","",[1]Accounts!$C$176)</f>
        <v/>
      </c>
      <c r="H175">
        <f>IF([1]Accounts!$D$176="","",[1]Accounts!$D$176)</f>
        <v/>
      </c>
      <c r="L175">
        <f>IF([2]Entry!$C$178="","",[2]Entry!$C$178)</f>
        <v/>
      </c>
      <c r="M175">
        <f>IF([2]Entry!$J$178="","",[2]Entry!$J$178)</f>
        <v/>
      </c>
      <c r="N175">
        <f>IF([2]Entry!$M$178="","",[2]Entry!$M$178)</f>
        <v/>
      </c>
      <c r="O175">
        <f>IF([2]Entry!$N$178="","",[2]Entry!$N$178)</f>
        <v/>
      </c>
      <c r="P175">
        <f>IF([2]Entry!$S$178="","",[2]Entry!$S$178)</f>
        <v/>
      </c>
    </row>
    <row r="176">
      <c r="A176">
        <f>IF([1]Cheques!$A$177="","",[1]Cheques!$A$177)</f>
        <v/>
      </c>
      <c r="E176">
        <f>IF([1]Accounts!$D$177="","",[1]Accounts!$A$177)</f>
        <v/>
      </c>
      <c r="F176">
        <f>IF([1]Accounts!$D$177="","",[1]Accounts!$B$177)</f>
        <v/>
      </c>
      <c r="G176">
        <f>IF([1]Accounts!$D$177="","",[1]Accounts!$C$177)</f>
        <v/>
      </c>
      <c r="H176">
        <f>IF([1]Accounts!$D$177="","",[1]Accounts!$D$177)</f>
        <v/>
      </c>
      <c r="L176">
        <f>IF([2]Entry!$C$179="","",[2]Entry!$C$179)</f>
        <v/>
      </c>
      <c r="M176">
        <f>IF([2]Entry!$J$179="","",[2]Entry!$J$179)</f>
        <v/>
      </c>
      <c r="N176">
        <f>IF([2]Entry!$M$179="","",[2]Entry!$M$179)</f>
        <v/>
      </c>
      <c r="O176">
        <f>IF([2]Entry!$N$179="","",[2]Entry!$N$179)</f>
        <v/>
      </c>
      <c r="P176">
        <f>IF([2]Entry!$S$179="","",[2]Entry!$S$179)</f>
        <v/>
      </c>
    </row>
    <row r="177">
      <c r="A177">
        <f>IF([1]Cheques!$A$178="","",[1]Cheques!$A$178)</f>
        <v/>
      </c>
      <c r="E177">
        <f>IF([1]Accounts!$D$178="","",[1]Accounts!$A$178)</f>
        <v/>
      </c>
      <c r="F177">
        <f>IF([1]Accounts!$D$178="","",[1]Accounts!$B$178)</f>
        <v/>
      </c>
      <c r="G177">
        <f>IF([1]Accounts!$D$178="","",[1]Accounts!$C$178)</f>
        <v/>
      </c>
      <c r="H177">
        <f>IF([1]Accounts!$D$178="","",[1]Accounts!$D$178)</f>
        <v/>
      </c>
      <c r="L177">
        <f>IF([2]Entry!$C$180="","",[2]Entry!$C$180)</f>
        <v/>
      </c>
      <c r="M177">
        <f>IF([2]Entry!$J$180="","",[2]Entry!$J$180)</f>
        <v/>
      </c>
      <c r="N177">
        <f>IF([2]Entry!$M$180="","",[2]Entry!$M$180)</f>
        <v/>
      </c>
      <c r="O177">
        <f>IF([2]Entry!$N$180="","",[2]Entry!$N$180)</f>
        <v/>
      </c>
      <c r="P177">
        <f>IF([2]Entry!$S$180="","",[2]Entry!$S$180)</f>
        <v/>
      </c>
    </row>
    <row r="178">
      <c r="A178">
        <f>IF([1]Cheques!$A$179="","",[1]Cheques!$A$179)</f>
        <v/>
      </c>
      <c r="E178">
        <f>IF([1]Accounts!$D$179="","",[1]Accounts!$A$179)</f>
        <v/>
      </c>
      <c r="F178">
        <f>IF([1]Accounts!$D$179="","",[1]Accounts!$B$179)</f>
        <v/>
      </c>
      <c r="G178">
        <f>IF([1]Accounts!$D$179="","",[1]Accounts!$C$179)</f>
        <v/>
      </c>
      <c r="H178">
        <f>IF([1]Accounts!$D$179="","",[1]Accounts!$D$179)</f>
        <v/>
      </c>
      <c r="L178">
        <f>IF([2]Entry!$C$181="","",[2]Entry!$C$181)</f>
        <v/>
      </c>
      <c r="M178">
        <f>IF([2]Entry!$J$181="","",[2]Entry!$J$181)</f>
        <v/>
      </c>
      <c r="N178">
        <f>IF([2]Entry!$M$181="","",[2]Entry!$M$181)</f>
        <v/>
      </c>
      <c r="O178">
        <f>IF([2]Entry!$N$181="","",[2]Entry!$N$181)</f>
        <v/>
      </c>
      <c r="P178">
        <f>IF([2]Entry!$S$181="","",[2]Entry!$S$181)</f>
        <v/>
      </c>
    </row>
    <row r="179">
      <c r="A179">
        <f>IF([1]Cheques!$A$180="","",[1]Cheques!$A$180)</f>
        <v/>
      </c>
      <c r="E179">
        <f>IF([1]Accounts!$D$180="","",[1]Accounts!$A$180)</f>
        <v/>
      </c>
      <c r="F179">
        <f>IF([1]Accounts!$D$180="","",[1]Accounts!$B$180)</f>
        <v/>
      </c>
      <c r="G179">
        <f>IF([1]Accounts!$D$180="","",[1]Accounts!$C$180)</f>
        <v/>
      </c>
      <c r="H179">
        <f>IF([1]Accounts!$D$180="","",[1]Accounts!$D$180)</f>
        <v/>
      </c>
      <c r="L179">
        <f>IF([2]Entry!$C$182="","",[2]Entry!$C$182)</f>
        <v/>
      </c>
      <c r="M179">
        <f>IF([2]Entry!$J$182="","",[2]Entry!$J$182)</f>
        <v/>
      </c>
      <c r="N179">
        <f>IF([2]Entry!$M$182="","",[2]Entry!$M$182)</f>
        <v/>
      </c>
      <c r="O179">
        <f>IF([2]Entry!$N$182="","",[2]Entry!$N$182)</f>
        <v/>
      </c>
      <c r="P179">
        <f>IF([2]Entry!$S$182="","",[2]Entry!$S$182)</f>
        <v/>
      </c>
    </row>
    <row r="180">
      <c r="A180">
        <f>IF([1]Cheques!$A$181="","",[1]Cheques!$A$181)</f>
        <v/>
      </c>
      <c r="E180">
        <f>IF([1]Accounts!$D$181="","",[1]Accounts!$A$181)</f>
        <v/>
      </c>
      <c r="F180">
        <f>IF([1]Accounts!$D$181="","",[1]Accounts!$B$181)</f>
        <v/>
      </c>
      <c r="G180">
        <f>IF([1]Accounts!$D$181="","",[1]Accounts!$C$181)</f>
        <v/>
      </c>
      <c r="H180">
        <f>IF([1]Accounts!$D$181="","",[1]Accounts!$D$181)</f>
        <v/>
      </c>
      <c r="L180">
        <f>IF([2]Entry!$C$183="","",[2]Entry!$C$183)</f>
        <v/>
      </c>
      <c r="M180">
        <f>IF([2]Entry!$J$183="","",[2]Entry!$J$183)</f>
        <v/>
      </c>
      <c r="N180">
        <f>IF([2]Entry!$M$183="","",[2]Entry!$M$183)</f>
        <v/>
      </c>
      <c r="O180">
        <f>IF([2]Entry!$N$183="","",[2]Entry!$N$183)</f>
        <v/>
      </c>
      <c r="P180">
        <f>IF([2]Entry!$S$183="","",[2]Entry!$S$183)</f>
        <v/>
      </c>
    </row>
    <row r="181">
      <c r="A181">
        <f>IF([1]Cheques!$A$182="","",[1]Cheques!$A$182)</f>
        <v/>
      </c>
      <c r="E181">
        <f>IF([1]Accounts!$D$182="","",[1]Accounts!$A$182)</f>
        <v/>
      </c>
      <c r="F181">
        <f>IF([1]Accounts!$D$182="","",[1]Accounts!$B$182)</f>
        <v/>
      </c>
      <c r="G181">
        <f>IF([1]Accounts!$D$182="","",[1]Accounts!$C$182)</f>
        <v/>
      </c>
      <c r="H181">
        <f>IF([1]Accounts!$D$182="","",[1]Accounts!$D$182)</f>
        <v/>
      </c>
      <c r="L181">
        <f>IF([2]Entry!$C$184="","",[2]Entry!$C$184)</f>
        <v/>
      </c>
      <c r="M181">
        <f>IF([2]Entry!$J$184="","",[2]Entry!$J$184)</f>
        <v/>
      </c>
      <c r="N181">
        <f>IF([2]Entry!$M$184="","",[2]Entry!$M$184)</f>
        <v/>
      </c>
      <c r="O181">
        <f>IF([2]Entry!$N$184="","",[2]Entry!$N$184)</f>
        <v/>
      </c>
      <c r="P181">
        <f>IF([2]Entry!$S$184="","",[2]Entry!$S$184)</f>
        <v/>
      </c>
    </row>
    <row r="182">
      <c r="A182">
        <f>IF([1]Cheques!$A$183="","",[1]Cheques!$A$183)</f>
        <v/>
      </c>
      <c r="E182">
        <f>IF([1]Accounts!$D$183="","",[1]Accounts!$A$183)</f>
        <v/>
      </c>
      <c r="F182">
        <f>IF([1]Accounts!$D$183="","",[1]Accounts!$B$183)</f>
        <v/>
      </c>
      <c r="G182">
        <f>IF([1]Accounts!$D$183="","",[1]Accounts!$C$183)</f>
        <v/>
      </c>
      <c r="H182">
        <f>IF([1]Accounts!$D$183="","",[1]Accounts!$D$183)</f>
        <v/>
      </c>
      <c r="L182">
        <f>IF([2]Entry!$C$185="","",[2]Entry!$C$185)</f>
        <v/>
      </c>
      <c r="M182">
        <f>IF([2]Entry!$J$185="","",[2]Entry!$J$185)</f>
        <v/>
      </c>
      <c r="N182">
        <f>IF([2]Entry!$M$185="","",[2]Entry!$M$185)</f>
        <v/>
      </c>
      <c r="O182">
        <f>IF([2]Entry!$N$185="","",[2]Entry!$N$185)</f>
        <v/>
      </c>
      <c r="P182">
        <f>IF([2]Entry!$S$185="","",[2]Entry!$S$185)</f>
        <v/>
      </c>
    </row>
    <row r="183">
      <c r="A183">
        <f>IF([1]Cheques!$A$184="","",[1]Cheques!$A$184)</f>
        <v/>
      </c>
      <c r="E183">
        <f>IF([1]Accounts!$D$184="","",[1]Accounts!$A$184)</f>
        <v/>
      </c>
      <c r="F183">
        <f>IF([1]Accounts!$D$184="","",[1]Accounts!$B$184)</f>
        <v/>
      </c>
      <c r="G183">
        <f>IF([1]Accounts!$D$184="","",[1]Accounts!$C$184)</f>
        <v/>
      </c>
      <c r="H183">
        <f>IF([1]Accounts!$D$184="","",[1]Accounts!$D$184)</f>
        <v/>
      </c>
      <c r="L183">
        <f>IF([2]Entry!$C$186="","",[2]Entry!$C$186)</f>
        <v/>
      </c>
      <c r="M183">
        <f>IF([2]Entry!$J$186="","",[2]Entry!$J$186)</f>
        <v/>
      </c>
      <c r="N183">
        <f>IF([2]Entry!$M$186="","",[2]Entry!$M$186)</f>
        <v/>
      </c>
      <c r="O183">
        <f>IF([2]Entry!$N$186="","",[2]Entry!$N$186)</f>
        <v/>
      </c>
      <c r="P183">
        <f>IF([2]Entry!$S$186="","",[2]Entry!$S$186)</f>
        <v/>
      </c>
    </row>
    <row r="184">
      <c r="A184">
        <f>IF([1]Cheques!$A$185="","",[1]Cheques!$A$185)</f>
        <v/>
      </c>
      <c r="E184">
        <f>IF([1]Accounts!$D$185="","",[1]Accounts!$A$185)</f>
        <v/>
      </c>
      <c r="F184">
        <f>IF([1]Accounts!$D$185="","",[1]Accounts!$B$185)</f>
        <v/>
      </c>
      <c r="G184">
        <f>IF([1]Accounts!$D$185="","",[1]Accounts!$C$185)</f>
        <v/>
      </c>
      <c r="H184">
        <f>IF([1]Accounts!$D$185="","",[1]Accounts!$D$185)</f>
        <v/>
      </c>
      <c r="L184">
        <f>IF([2]Entry!$C$187="","",[2]Entry!$C$187)</f>
        <v/>
      </c>
      <c r="M184">
        <f>IF([2]Entry!$J$187="","",[2]Entry!$J$187)</f>
        <v/>
      </c>
      <c r="N184">
        <f>IF([2]Entry!$M$187="","",[2]Entry!$M$187)</f>
        <v/>
      </c>
      <c r="O184">
        <f>IF([2]Entry!$N$187="","",[2]Entry!$N$187)</f>
        <v/>
      </c>
      <c r="P184">
        <f>IF([2]Entry!$S$187="","",[2]Entry!$S$187)</f>
        <v/>
      </c>
    </row>
    <row r="185">
      <c r="A185">
        <f>IF([1]Cheques!$A$186="","",[1]Cheques!$A$186)</f>
        <v/>
      </c>
      <c r="E185">
        <f>IF([1]Accounts!$D$186="","",[1]Accounts!$A$186)</f>
        <v/>
      </c>
      <c r="F185">
        <f>IF([1]Accounts!$D$186="","",[1]Accounts!$B$186)</f>
        <v/>
      </c>
      <c r="G185">
        <f>IF([1]Accounts!$D$186="","",[1]Accounts!$C$186)</f>
        <v/>
      </c>
      <c r="H185">
        <f>IF([1]Accounts!$D$186="","",[1]Accounts!$D$186)</f>
        <v/>
      </c>
      <c r="L185">
        <f>IF([2]Entry!$C$188="","",[2]Entry!$C$188)</f>
        <v/>
      </c>
      <c r="M185">
        <f>IF([2]Entry!$J$188="","",[2]Entry!$J$188)</f>
        <v/>
      </c>
      <c r="N185">
        <f>IF([2]Entry!$M$188="","",[2]Entry!$M$188)</f>
        <v/>
      </c>
      <c r="O185">
        <f>IF([2]Entry!$N$188="","",[2]Entry!$N$188)</f>
        <v/>
      </c>
      <c r="P185">
        <f>IF([2]Entry!$S$188="","",[2]Entry!$S$188)</f>
        <v/>
      </c>
    </row>
    <row r="186">
      <c r="A186">
        <f>IF([1]Cheques!$A$187="","",[1]Cheques!$A$187)</f>
        <v/>
      </c>
      <c r="E186">
        <f>IF([1]Accounts!$D$187="","",[1]Accounts!$A$187)</f>
        <v/>
      </c>
      <c r="F186">
        <f>IF([1]Accounts!$D$187="","",[1]Accounts!$B$187)</f>
        <v/>
      </c>
      <c r="G186">
        <f>IF([1]Accounts!$D$187="","",[1]Accounts!$C$187)</f>
        <v/>
      </c>
      <c r="H186">
        <f>IF([1]Accounts!$D$187="","",[1]Accounts!$D$187)</f>
        <v/>
      </c>
      <c r="L186">
        <f>IF([2]Entry!$C$189="","",[2]Entry!$C$189)</f>
        <v/>
      </c>
      <c r="M186">
        <f>IF([2]Entry!$J$189="","",[2]Entry!$J$189)</f>
        <v/>
      </c>
      <c r="N186">
        <f>IF([2]Entry!$M$189="","",[2]Entry!$M$189)</f>
        <v/>
      </c>
      <c r="O186">
        <f>IF([2]Entry!$N$189="","",[2]Entry!$N$189)</f>
        <v/>
      </c>
      <c r="P186">
        <f>IF([2]Entry!$S$189="","",[2]Entry!$S$189)</f>
        <v/>
      </c>
    </row>
    <row r="187">
      <c r="A187">
        <f>IF([1]Cheques!$A$188="","",[1]Cheques!$A$188)</f>
        <v/>
      </c>
      <c r="E187">
        <f>IF([1]Accounts!$D$188="","",[1]Accounts!$A$188)</f>
        <v/>
      </c>
      <c r="F187">
        <f>IF([1]Accounts!$D$188="","",[1]Accounts!$B$188)</f>
        <v/>
      </c>
      <c r="G187">
        <f>IF([1]Accounts!$D$188="","",[1]Accounts!$C$188)</f>
        <v/>
      </c>
      <c r="H187">
        <f>IF([1]Accounts!$D$188="","",[1]Accounts!$D$188)</f>
        <v/>
      </c>
      <c r="L187">
        <f>IF([2]Entry!$C$190="","",[2]Entry!$C$190)</f>
        <v/>
      </c>
      <c r="M187">
        <f>IF([2]Entry!$J$190="","",[2]Entry!$J$190)</f>
        <v/>
      </c>
      <c r="N187">
        <f>IF([2]Entry!$M$190="","",[2]Entry!$M$190)</f>
        <v/>
      </c>
      <c r="O187">
        <f>IF([2]Entry!$N$190="","",[2]Entry!$N$190)</f>
        <v/>
      </c>
      <c r="P187">
        <f>IF([2]Entry!$S$190="","",[2]Entry!$S$190)</f>
        <v/>
      </c>
    </row>
    <row r="188">
      <c r="A188">
        <f>IF([1]Cheques!$A$189="","",[1]Cheques!$A$189)</f>
        <v/>
      </c>
      <c r="E188">
        <f>IF([1]Accounts!$D$189="","",[1]Accounts!$A$189)</f>
        <v/>
      </c>
      <c r="F188">
        <f>IF([1]Accounts!$D$189="","",[1]Accounts!$B$189)</f>
        <v/>
      </c>
      <c r="G188">
        <f>IF([1]Accounts!$D$189="","",[1]Accounts!$C$189)</f>
        <v/>
      </c>
      <c r="H188">
        <f>IF([1]Accounts!$D$189="","",[1]Accounts!$D$189)</f>
        <v/>
      </c>
      <c r="L188">
        <f>IF([2]Entry!$C$191="","",[2]Entry!$C$191)</f>
        <v/>
      </c>
      <c r="M188">
        <f>IF([2]Entry!$J$191="","",[2]Entry!$J$191)</f>
        <v/>
      </c>
      <c r="N188">
        <f>IF([2]Entry!$M$191="","",[2]Entry!$M$191)</f>
        <v/>
      </c>
      <c r="O188">
        <f>IF([2]Entry!$N$191="","",[2]Entry!$N$191)</f>
        <v/>
      </c>
      <c r="P188">
        <f>IF([2]Entry!$S$191="","",[2]Entry!$S$191)</f>
        <v/>
      </c>
    </row>
    <row r="189">
      <c r="A189">
        <f>IF([1]Cheques!$A$190="","",[1]Cheques!$A$190)</f>
        <v/>
      </c>
      <c r="E189">
        <f>IF([1]Accounts!$D$190="","",[1]Accounts!$A$190)</f>
        <v/>
      </c>
      <c r="F189">
        <f>IF([1]Accounts!$D$190="","",[1]Accounts!$B$190)</f>
        <v/>
      </c>
      <c r="G189">
        <f>IF([1]Accounts!$D$190="","",[1]Accounts!$C$190)</f>
        <v/>
      </c>
      <c r="H189">
        <f>IF([1]Accounts!$D$190="","",[1]Accounts!$D$190)</f>
        <v/>
      </c>
      <c r="L189">
        <f>IF([2]Entry!$C$192="","",[2]Entry!$C$192)</f>
        <v/>
      </c>
      <c r="M189">
        <f>IF([2]Entry!$J$192="","",[2]Entry!$J$192)</f>
        <v/>
      </c>
      <c r="N189">
        <f>IF([2]Entry!$M$192="","",[2]Entry!$M$192)</f>
        <v/>
      </c>
      <c r="O189">
        <f>IF([2]Entry!$N$192="","",[2]Entry!$N$192)</f>
        <v/>
      </c>
      <c r="P189">
        <f>IF([2]Entry!$S$192="","",[2]Entry!$S$192)</f>
        <v/>
      </c>
    </row>
    <row r="190">
      <c r="A190">
        <f>IF([1]Cheques!$A$191="","",[1]Cheques!$A$191)</f>
        <v/>
      </c>
      <c r="E190">
        <f>IF([1]Accounts!$D$191="","",[1]Accounts!$A$191)</f>
        <v/>
      </c>
      <c r="F190">
        <f>IF([1]Accounts!$D$191="","",[1]Accounts!$B$191)</f>
        <v/>
      </c>
      <c r="G190">
        <f>IF([1]Accounts!$D$191="","",[1]Accounts!$C$191)</f>
        <v/>
      </c>
      <c r="H190">
        <f>IF([1]Accounts!$D$191="","",[1]Accounts!$D$191)</f>
        <v/>
      </c>
      <c r="L190">
        <f>IF([2]Entry!$C$193="","",[2]Entry!$C$193)</f>
        <v/>
      </c>
      <c r="M190">
        <f>IF([2]Entry!$J$193="","",[2]Entry!$J$193)</f>
        <v/>
      </c>
      <c r="N190">
        <f>IF([2]Entry!$M$193="","",[2]Entry!$M$193)</f>
        <v/>
      </c>
      <c r="O190">
        <f>IF([2]Entry!$N$193="","",[2]Entry!$N$193)</f>
        <v/>
      </c>
      <c r="P190">
        <f>IF([2]Entry!$S$193="","",[2]Entry!$S$193)</f>
        <v/>
      </c>
    </row>
    <row r="191">
      <c r="A191">
        <f>IF([1]Cheques!$A$192="","",[1]Cheques!$A$192)</f>
        <v/>
      </c>
      <c r="E191">
        <f>IF([1]Accounts!$D$192="","",[1]Accounts!$A$192)</f>
        <v/>
      </c>
      <c r="F191">
        <f>IF([1]Accounts!$D$192="","",[1]Accounts!$B$192)</f>
        <v/>
      </c>
      <c r="G191">
        <f>IF([1]Accounts!$D$192="","",[1]Accounts!$C$192)</f>
        <v/>
      </c>
      <c r="H191">
        <f>IF([1]Accounts!$D$192="","",[1]Accounts!$D$192)</f>
        <v/>
      </c>
      <c r="L191">
        <f>IF([2]Entry!$C$194="","",[2]Entry!$C$194)</f>
        <v/>
      </c>
      <c r="M191">
        <f>IF([2]Entry!$J$194="","",[2]Entry!$J$194)</f>
        <v/>
      </c>
      <c r="N191">
        <f>IF([2]Entry!$M$194="","",[2]Entry!$M$194)</f>
        <v/>
      </c>
      <c r="O191">
        <f>IF([2]Entry!$N$194="","",[2]Entry!$N$194)</f>
        <v/>
      </c>
      <c r="P191">
        <f>IF([2]Entry!$S$194="","",[2]Entry!$S$194)</f>
        <v/>
      </c>
    </row>
    <row r="192">
      <c r="A192">
        <f>IF([1]Cheques!$A$193="","",[1]Cheques!$A$193)</f>
        <v/>
      </c>
      <c r="E192">
        <f>IF([1]Accounts!$D$193="","",[1]Accounts!$A$193)</f>
        <v/>
      </c>
      <c r="F192">
        <f>IF([1]Accounts!$D$193="","",[1]Accounts!$B$193)</f>
        <v/>
      </c>
      <c r="G192">
        <f>IF([1]Accounts!$D$193="","",[1]Accounts!$C$193)</f>
        <v/>
      </c>
      <c r="H192">
        <f>IF([1]Accounts!$D$193="","",[1]Accounts!$D$193)</f>
        <v/>
      </c>
      <c r="L192">
        <f>IF([2]Entry!$C$195="","",[2]Entry!$C$195)</f>
        <v/>
      </c>
      <c r="M192">
        <f>IF([2]Entry!$J$195="","",[2]Entry!$J$195)</f>
        <v/>
      </c>
      <c r="N192">
        <f>IF([2]Entry!$M$195="","",[2]Entry!$M$195)</f>
        <v/>
      </c>
      <c r="O192">
        <f>IF([2]Entry!$N$195="","",[2]Entry!$N$195)</f>
        <v/>
      </c>
      <c r="P192">
        <f>IF([2]Entry!$S$195="","",[2]Entry!$S$195)</f>
        <v/>
      </c>
    </row>
    <row r="193">
      <c r="A193">
        <f>IF([1]Cheques!$A$194="","",[1]Cheques!$A$194)</f>
        <v/>
      </c>
      <c r="E193">
        <f>IF([1]Accounts!$D$194="","",[1]Accounts!$A$194)</f>
        <v/>
      </c>
      <c r="F193">
        <f>IF([1]Accounts!$D$194="","",[1]Accounts!$B$194)</f>
        <v/>
      </c>
      <c r="G193">
        <f>IF([1]Accounts!$D$194="","",[1]Accounts!$C$194)</f>
        <v/>
      </c>
      <c r="H193">
        <f>IF([1]Accounts!$D$194="","",[1]Accounts!$D$194)</f>
        <v/>
      </c>
      <c r="L193">
        <f>IF([2]Entry!$C$196="","",[2]Entry!$C$196)</f>
        <v/>
      </c>
      <c r="M193">
        <f>IF([2]Entry!$J$196="","",[2]Entry!$J$196)</f>
        <v/>
      </c>
      <c r="N193">
        <f>IF([2]Entry!$M$196="","",[2]Entry!$M$196)</f>
        <v/>
      </c>
      <c r="O193">
        <f>IF([2]Entry!$N$196="","",[2]Entry!$N$196)</f>
        <v/>
      </c>
      <c r="P193">
        <f>IF([2]Entry!$S$196="","",[2]Entry!$S$196)</f>
        <v/>
      </c>
    </row>
    <row r="194">
      <c r="A194">
        <f>IF([1]Cheques!$A$195="","",[1]Cheques!$A$195)</f>
        <v/>
      </c>
      <c r="E194">
        <f>IF([1]Accounts!$D$195="","",[1]Accounts!$A$195)</f>
        <v/>
      </c>
      <c r="F194">
        <f>IF([1]Accounts!$D$195="","",[1]Accounts!$B$195)</f>
        <v/>
      </c>
      <c r="G194">
        <f>IF([1]Accounts!$D$195="","",[1]Accounts!$C$195)</f>
        <v/>
      </c>
      <c r="H194">
        <f>IF([1]Accounts!$D$195="","",[1]Accounts!$D$195)</f>
        <v/>
      </c>
      <c r="L194">
        <f>IF([2]Entry!$C$197="","",[2]Entry!$C$197)</f>
        <v/>
      </c>
      <c r="M194">
        <f>IF([2]Entry!$J$197="","",[2]Entry!$J$197)</f>
        <v/>
      </c>
      <c r="N194">
        <f>IF([2]Entry!$M$197="","",[2]Entry!$M$197)</f>
        <v/>
      </c>
      <c r="O194">
        <f>IF([2]Entry!$N$197="","",[2]Entry!$N$197)</f>
        <v/>
      </c>
      <c r="P194">
        <f>IF([2]Entry!$S$197="","",[2]Entry!$S$197)</f>
        <v/>
      </c>
    </row>
    <row r="195">
      <c r="A195">
        <f>IF([1]Cheques!$A$196="","",[1]Cheques!$A$196)</f>
        <v/>
      </c>
      <c r="E195">
        <f>IF([1]Accounts!$D$196="","",[1]Accounts!$A$196)</f>
        <v/>
      </c>
      <c r="F195">
        <f>IF([1]Accounts!$D$196="","",[1]Accounts!$B$196)</f>
        <v/>
      </c>
      <c r="G195">
        <f>IF([1]Accounts!$D$196="","",[1]Accounts!$C$196)</f>
        <v/>
      </c>
      <c r="H195">
        <f>IF([1]Accounts!$D$196="","",[1]Accounts!$D$196)</f>
        <v/>
      </c>
      <c r="L195">
        <f>IF([2]Entry!$C$198="","",[2]Entry!$C$198)</f>
        <v/>
      </c>
      <c r="M195">
        <f>IF([2]Entry!$J$198="","",[2]Entry!$J$198)</f>
        <v/>
      </c>
      <c r="N195">
        <f>IF([2]Entry!$M$198="","",[2]Entry!$M$198)</f>
        <v/>
      </c>
      <c r="O195">
        <f>IF([2]Entry!$N$198="","",[2]Entry!$N$198)</f>
        <v/>
      </c>
      <c r="P195">
        <f>IF([2]Entry!$S$198="","",[2]Entry!$S$198)</f>
        <v/>
      </c>
    </row>
    <row r="196">
      <c r="A196">
        <f>IF([1]Cheques!$A$197="","",[1]Cheques!$A$197)</f>
        <v/>
      </c>
      <c r="E196">
        <f>IF([1]Accounts!$D$197="","",[1]Accounts!$A$197)</f>
        <v/>
      </c>
      <c r="F196">
        <f>IF([1]Accounts!$D$197="","",[1]Accounts!$B$197)</f>
        <v/>
      </c>
      <c r="G196">
        <f>IF([1]Accounts!$D$197="","",[1]Accounts!$C$197)</f>
        <v/>
      </c>
      <c r="H196">
        <f>IF([1]Accounts!$D$197="","",[1]Accounts!$D$197)</f>
        <v/>
      </c>
      <c r="L196">
        <f>IF([2]Entry!$C$199="","",[2]Entry!$C$199)</f>
        <v/>
      </c>
      <c r="M196">
        <f>IF([2]Entry!$J$199="","",[2]Entry!$J$199)</f>
        <v/>
      </c>
      <c r="N196">
        <f>IF([2]Entry!$M$199="","",[2]Entry!$M$199)</f>
        <v/>
      </c>
      <c r="O196">
        <f>IF([2]Entry!$N$199="","",[2]Entry!$N$199)</f>
        <v/>
      </c>
      <c r="P196">
        <f>IF([2]Entry!$S$199="","",[2]Entry!$S$199)</f>
        <v/>
      </c>
    </row>
    <row r="197">
      <c r="A197">
        <f>IF([1]Cheques!$A$198="","",[1]Cheques!$A$198)</f>
        <v/>
      </c>
      <c r="E197">
        <f>IF([1]Accounts!$D$198="","",[1]Accounts!$A$198)</f>
        <v/>
      </c>
      <c r="F197">
        <f>IF([1]Accounts!$D$198="","",[1]Accounts!$B$198)</f>
        <v/>
      </c>
      <c r="G197">
        <f>IF([1]Accounts!$D$198="","",[1]Accounts!$C$198)</f>
        <v/>
      </c>
      <c r="H197">
        <f>IF([1]Accounts!$D$198="","",[1]Accounts!$D$198)</f>
        <v/>
      </c>
      <c r="L197">
        <f>IF([2]Entry!$C$200="","",[2]Entry!$C$200)</f>
        <v/>
      </c>
      <c r="M197">
        <f>IF([2]Entry!$J$200="","",[2]Entry!$J$200)</f>
        <v/>
      </c>
      <c r="N197">
        <f>IF([2]Entry!$M$200="","",[2]Entry!$M$200)</f>
        <v/>
      </c>
      <c r="O197">
        <f>IF([2]Entry!$N$200="","",[2]Entry!$N$200)</f>
        <v/>
      </c>
      <c r="P197">
        <f>IF([2]Entry!$S$200="","",[2]Entry!$S$200)</f>
        <v/>
      </c>
    </row>
    <row r="198">
      <c r="A198">
        <f>IF([1]Cheques!$A$199="","",[1]Cheques!$A$199)</f>
        <v/>
      </c>
      <c r="E198">
        <f>IF([1]Accounts!$D$199="","",[1]Accounts!$A$199)</f>
        <v/>
      </c>
      <c r="F198">
        <f>IF([1]Accounts!$D$199="","",[1]Accounts!$B$199)</f>
        <v/>
      </c>
      <c r="G198">
        <f>IF([1]Accounts!$D$199="","",[1]Accounts!$C$199)</f>
        <v/>
      </c>
      <c r="H198">
        <f>IF([1]Accounts!$D$199="","",[1]Accounts!$D$199)</f>
        <v/>
      </c>
      <c r="L198">
        <f>IF([2]Entry!$C$201="","",[2]Entry!$C$201)</f>
        <v/>
      </c>
      <c r="M198">
        <f>IF([2]Entry!$J$201="","",[2]Entry!$J$201)</f>
        <v/>
      </c>
      <c r="N198">
        <f>IF([2]Entry!$M$201="","",[2]Entry!$M$201)</f>
        <v/>
      </c>
      <c r="O198">
        <f>IF([2]Entry!$N$201="","",[2]Entry!$N$201)</f>
        <v/>
      </c>
      <c r="P198">
        <f>IF([2]Entry!$S$201="","",[2]Entry!$S$201)</f>
        <v/>
      </c>
    </row>
    <row r="199">
      <c r="A199">
        <f>IF([1]Cheques!$A$200="","",[1]Cheques!$A$200)</f>
        <v/>
      </c>
      <c r="E199">
        <f>IF([1]Accounts!$D$200="","",[1]Accounts!$A$200)</f>
        <v/>
      </c>
      <c r="F199">
        <f>IF([1]Accounts!$D$200="","",[1]Accounts!$B$200)</f>
        <v/>
      </c>
      <c r="G199">
        <f>IF([1]Accounts!$D$200="","",[1]Accounts!$C$200)</f>
        <v/>
      </c>
      <c r="H199">
        <f>IF([1]Accounts!$D$200="","",[1]Accounts!$D$200)</f>
        <v/>
      </c>
      <c r="L199">
        <f>IF([2]Entry!$C$202="","",[2]Entry!$C$202)</f>
        <v/>
      </c>
      <c r="M199">
        <f>IF([2]Entry!$J$202="","",[2]Entry!$J$202)</f>
        <v/>
      </c>
      <c r="N199">
        <f>IF([2]Entry!$M$202="","",[2]Entry!$M$202)</f>
        <v/>
      </c>
      <c r="O199">
        <f>IF([2]Entry!$N$202="","",[2]Entry!$N$202)</f>
        <v/>
      </c>
      <c r="P199">
        <f>IF([2]Entry!$S$202="","",[2]Entry!$S$202)</f>
        <v/>
      </c>
    </row>
    <row r="200">
      <c r="A200">
        <f>IF([1]Cheques!$A$201="","",[1]Cheques!$A$201)</f>
        <v/>
      </c>
      <c r="E200">
        <f>IF([1]Accounts!$D$201="","",[1]Accounts!$A$201)</f>
        <v/>
      </c>
      <c r="F200">
        <f>IF([1]Accounts!$D$201="","",[1]Accounts!$B$201)</f>
        <v/>
      </c>
      <c r="G200">
        <f>IF([1]Accounts!$D$201="","",[1]Accounts!$C$201)</f>
        <v/>
      </c>
      <c r="H200">
        <f>IF([1]Accounts!$D$201="","",[1]Accounts!$D$201)</f>
        <v/>
      </c>
      <c r="L200">
        <f>IF([2]Entry!$C$203="","",[2]Entry!$C$203)</f>
        <v/>
      </c>
      <c r="M200">
        <f>IF([2]Entry!$J$203="","",[2]Entry!$J$203)</f>
        <v/>
      </c>
      <c r="N200">
        <f>IF([2]Entry!$M$203="","",[2]Entry!$M$203)</f>
        <v/>
      </c>
      <c r="O200">
        <f>IF([2]Entry!$N$203="","",[2]Entry!$N$203)</f>
        <v/>
      </c>
      <c r="P200">
        <f>IF([2]Entry!$S$203="","",[2]Entry!$S$203)</f>
        <v/>
      </c>
    </row>
    <row r="201">
      <c r="A201">
        <f>IF([1]Cheques!$A$202="","",[1]Cheques!$A$202)</f>
        <v/>
      </c>
      <c r="E201">
        <f>IF([1]Accounts!$D$202="","",[1]Accounts!$A$202)</f>
        <v/>
      </c>
      <c r="F201">
        <f>IF([1]Accounts!$D$202="","",[1]Accounts!$B$202)</f>
        <v/>
      </c>
      <c r="G201">
        <f>IF([1]Accounts!$D$202="","",[1]Accounts!$C$202)</f>
        <v/>
      </c>
      <c r="H201">
        <f>IF([1]Accounts!$D$202="","",[1]Accounts!$D$202)</f>
        <v/>
      </c>
      <c r="L201">
        <f>IF([2]Entry!$C$204="","",[2]Entry!$C$204)</f>
        <v/>
      </c>
      <c r="M201">
        <f>IF([2]Entry!$J$204="","",[2]Entry!$J$204)</f>
        <v/>
      </c>
      <c r="N201">
        <f>IF([2]Entry!$M$204="","",[2]Entry!$M$204)</f>
        <v/>
      </c>
      <c r="O201">
        <f>IF([2]Entry!$N$204="","",[2]Entry!$N$204)</f>
        <v/>
      </c>
      <c r="P201">
        <f>IF([2]Entry!$S$204="","",[2]Entry!$S$204)</f>
        <v/>
      </c>
    </row>
    <row r="202">
      <c r="A202">
        <f>IF([1]Cheques!$A$203="","",[1]Cheques!$A$203)</f>
        <v/>
      </c>
      <c r="E202">
        <f>IF([1]Accounts!$D$203="","",[1]Accounts!$A$203)</f>
        <v/>
      </c>
      <c r="F202">
        <f>IF([1]Accounts!$D$203="","",[1]Accounts!$B$203)</f>
        <v/>
      </c>
      <c r="G202">
        <f>IF([1]Accounts!$D$203="","",[1]Accounts!$C$203)</f>
        <v/>
      </c>
      <c r="H202">
        <f>IF([1]Accounts!$D$203="","",[1]Accounts!$D$203)</f>
        <v/>
      </c>
      <c r="L202">
        <f>IF([2]Entry!$C$205="","",[2]Entry!$C$205)</f>
        <v/>
      </c>
      <c r="M202">
        <f>IF([2]Entry!$J$205="","",[2]Entry!$J$205)</f>
        <v/>
      </c>
      <c r="N202">
        <f>IF([2]Entry!$M$205="","",[2]Entry!$M$205)</f>
        <v/>
      </c>
      <c r="O202">
        <f>IF([2]Entry!$N$205="","",[2]Entry!$N$205)</f>
        <v/>
      </c>
      <c r="P202">
        <f>IF([2]Entry!$S$205="","",[2]Entry!$S$205)</f>
        <v/>
      </c>
    </row>
    <row r="203">
      <c r="A203">
        <f>IF([1]Cheques!$A$204="","",[1]Cheques!$A$204)</f>
        <v/>
      </c>
      <c r="E203">
        <f>IF([1]Accounts!$D$204="","",[1]Accounts!$A$204)</f>
        <v/>
      </c>
      <c r="F203">
        <f>IF([1]Accounts!$D$204="","",[1]Accounts!$B$204)</f>
        <v/>
      </c>
      <c r="G203">
        <f>IF([1]Accounts!$D$204="","",[1]Accounts!$C$204)</f>
        <v/>
      </c>
      <c r="H203">
        <f>IF([1]Accounts!$D$204="","",[1]Accounts!$D$204)</f>
        <v/>
      </c>
      <c r="L203">
        <f>IF([2]Entry!$C$206="","",[2]Entry!$C$206)</f>
        <v/>
      </c>
      <c r="M203">
        <f>IF([2]Entry!$J$206="","",[2]Entry!$J$206)</f>
        <v/>
      </c>
      <c r="N203">
        <f>IF([2]Entry!$M$206="","",[2]Entry!$M$206)</f>
        <v/>
      </c>
      <c r="O203">
        <f>IF([2]Entry!$N$206="","",[2]Entry!$N$206)</f>
        <v/>
      </c>
      <c r="P203">
        <f>IF([2]Entry!$S$206="","",[2]Entry!$S$206)</f>
        <v/>
      </c>
    </row>
    <row r="204">
      <c r="A204">
        <f>IF([1]Cheques!$A$205="","",[1]Cheques!$A$205)</f>
        <v/>
      </c>
      <c r="E204">
        <f>IF([1]Accounts!$D$205="","",[1]Accounts!$A$205)</f>
        <v/>
      </c>
      <c r="F204">
        <f>IF([1]Accounts!$D$205="","",[1]Accounts!$B$205)</f>
        <v/>
      </c>
      <c r="G204">
        <f>IF([1]Accounts!$D$205="","",[1]Accounts!$C$205)</f>
        <v/>
      </c>
      <c r="H204">
        <f>IF([1]Accounts!$D$205="","",[1]Accounts!$D$205)</f>
        <v/>
      </c>
      <c r="L204">
        <f>IF([2]Entry!$C$207="","",[2]Entry!$C$207)</f>
        <v/>
      </c>
      <c r="M204">
        <f>IF([2]Entry!$J$207="","",[2]Entry!$J$207)</f>
        <v/>
      </c>
      <c r="N204">
        <f>IF([2]Entry!$M$207="","",[2]Entry!$M$207)</f>
        <v/>
      </c>
      <c r="O204">
        <f>IF([2]Entry!$N$207="","",[2]Entry!$N$207)</f>
        <v/>
      </c>
      <c r="P204">
        <f>IF([2]Entry!$S$207="","",[2]Entry!$S$207)</f>
        <v/>
      </c>
    </row>
    <row r="205">
      <c r="A205">
        <f>IF([1]Cheques!$A$206="","",[1]Cheques!$A$206)</f>
        <v/>
      </c>
      <c r="E205">
        <f>IF([1]Accounts!$D$206="","",[1]Accounts!$A$206)</f>
        <v/>
      </c>
      <c r="F205">
        <f>IF([1]Accounts!$D$206="","",[1]Accounts!$B$206)</f>
        <v/>
      </c>
      <c r="G205">
        <f>IF([1]Accounts!$D$206="","",[1]Accounts!$C$206)</f>
        <v/>
      </c>
      <c r="H205">
        <f>IF([1]Accounts!$D$206="","",[1]Accounts!$D$206)</f>
        <v/>
      </c>
      <c r="L205">
        <f>IF([2]Entry!$C$208="","",[2]Entry!$C$208)</f>
        <v/>
      </c>
      <c r="M205">
        <f>IF([2]Entry!$J$208="","",[2]Entry!$J$208)</f>
        <v/>
      </c>
      <c r="N205">
        <f>IF([2]Entry!$M$208="","",[2]Entry!$M$208)</f>
        <v/>
      </c>
      <c r="O205">
        <f>IF([2]Entry!$N$208="","",[2]Entry!$N$208)</f>
        <v/>
      </c>
      <c r="P205">
        <f>IF([2]Entry!$S$208="","",[2]Entry!$S$208)</f>
        <v/>
      </c>
    </row>
    <row r="206">
      <c r="A206">
        <f>IF([1]Cheques!$A$207="","",[1]Cheques!$A$207)</f>
        <v/>
      </c>
      <c r="E206">
        <f>IF([1]Accounts!$D$207="","",[1]Accounts!$A$207)</f>
        <v/>
      </c>
      <c r="F206">
        <f>IF([1]Accounts!$D$207="","",[1]Accounts!$B$207)</f>
        <v/>
      </c>
      <c r="G206">
        <f>IF([1]Accounts!$D$207="","",[1]Accounts!$C$207)</f>
        <v/>
      </c>
      <c r="H206">
        <f>IF([1]Accounts!$D$207="","",[1]Accounts!$D$207)</f>
        <v/>
      </c>
      <c r="L206">
        <f>IF([2]Entry!$C$209="","",[2]Entry!$C$209)</f>
        <v/>
      </c>
      <c r="M206">
        <f>IF([2]Entry!$J$209="","",[2]Entry!$J$209)</f>
        <v/>
      </c>
      <c r="N206">
        <f>IF([2]Entry!$M$209="","",[2]Entry!$M$209)</f>
        <v/>
      </c>
      <c r="O206">
        <f>IF([2]Entry!$N$209="","",[2]Entry!$N$209)</f>
        <v/>
      </c>
      <c r="P206">
        <f>IF([2]Entry!$S$209="","",[2]Entry!$S$209)</f>
        <v/>
      </c>
    </row>
    <row r="207">
      <c r="A207">
        <f>IF([1]Cheques!$A$208="","",[1]Cheques!$A$208)</f>
        <v/>
      </c>
      <c r="E207">
        <f>IF([1]Accounts!$D$208="","",[1]Accounts!$A$208)</f>
        <v/>
      </c>
      <c r="F207">
        <f>IF([1]Accounts!$D$208="","",[1]Accounts!$B$208)</f>
        <v/>
      </c>
      <c r="G207">
        <f>IF([1]Accounts!$D$208="","",[1]Accounts!$C$208)</f>
        <v/>
      </c>
      <c r="H207">
        <f>IF([1]Accounts!$D$208="","",[1]Accounts!$D$208)</f>
        <v/>
      </c>
      <c r="L207">
        <f>IF([2]Entry!$C$210="","",[2]Entry!$C$210)</f>
        <v/>
      </c>
      <c r="M207">
        <f>IF([2]Entry!$J$210="","",[2]Entry!$J$210)</f>
        <v/>
      </c>
      <c r="N207">
        <f>IF([2]Entry!$M$210="","",[2]Entry!$M$210)</f>
        <v/>
      </c>
      <c r="O207">
        <f>IF([2]Entry!$N$210="","",[2]Entry!$N$210)</f>
        <v/>
      </c>
      <c r="P207">
        <f>IF([2]Entry!$S$210="","",[2]Entry!$S$210)</f>
        <v/>
      </c>
    </row>
    <row r="208">
      <c r="A208">
        <f>IF([1]Cheques!$A$209="","",[1]Cheques!$A$209)</f>
        <v/>
      </c>
      <c r="E208">
        <f>IF([1]Accounts!$D$209="","",[1]Accounts!$A$209)</f>
        <v/>
      </c>
      <c r="F208">
        <f>IF([1]Accounts!$D$209="","",[1]Accounts!$B$209)</f>
        <v/>
      </c>
      <c r="G208">
        <f>IF([1]Accounts!$D$209="","",[1]Accounts!$C$209)</f>
        <v/>
      </c>
      <c r="H208">
        <f>IF([1]Accounts!$D$209="","",[1]Accounts!$D$209)</f>
        <v/>
      </c>
      <c r="L208">
        <f>IF([2]Entry!$C$211="","",[2]Entry!$C$211)</f>
        <v/>
      </c>
      <c r="M208">
        <f>IF([2]Entry!$J$211="","",[2]Entry!$J$211)</f>
        <v/>
      </c>
      <c r="N208">
        <f>IF([2]Entry!$M$211="","",[2]Entry!$M$211)</f>
        <v/>
      </c>
      <c r="O208">
        <f>IF([2]Entry!$N$211="","",[2]Entry!$N$211)</f>
        <v/>
      </c>
      <c r="P208">
        <f>IF([2]Entry!$S$211="","",[2]Entry!$S$211)</f>
        <v/>
      </c>
    </row>
    <row r="209">
      <c r="A209">
        <f>IF([1]Cheques!$A$210="","",[1]Cheques!$A$210)</f>
        <v/>
      </c>
      <c r="E209">
        <f>IF([1]Accounts!$D$210="","",[1]Accounts!$A$210)</f>
        <v/>
      </c>
      <c r="F209">
        <f>IF([1]Accounts!$D$210="","",[1]Accounts!$B$210)</f>
        <v/>
      </c>
      <c r="G209">
        <f>IF([1]Accounts!$D$210="","",[1]Accounts!$C$210)</f>
        <v/>
      </c>
      <c r="H209">
        <f>IF([1]Accounts!$D$210="","",[1]Accounts!$D$210)</f>
        <v/>
      </c>
      <c r="L209">
        <f>IF([2]Entry!$C$212="","",[2]Entry!$C$212)</f>
        <v/>
      </c>
      <c r="M209">
        <f>IF([2]Entry!$J$212="","",[2]Entry!$J$212)</f>
        <v/>
      </c>
      <c r="N209">
        <f>IF([2]Entry!$M$212="","",[2]Entry!$M$212)</f>
        <v/>
      </c>
      <c r="O209">
        <f>IF([2]Entry!$N$212="","",[2]Entry!$N$212)</f>
        <v/>
      </c>
      <c r="P209">
        <f>IF([2]Entry!$S$212="","",[2]Entry!$S$212)</f>
        <v/>
      </c>
    </row>
    <row r="210">
      <c r="A210">
        <f>IF([1]Cheques!$A$211="","",[1]Cheques!$A$211)</f>
        <v/>
      </c>
      <c r="E210">
        <f>IF([1]Accounts!$D$211="","",[1]Accounts!$A$211)</f>
        <v/>
      </c>
      <c r="F210">
        <f>IF([1]Accounts!$D$211="","",[1]Accounts!$B$211)</f>
        <v/>
      </c>
      <c r="G210">
        <f>IF([1]Accounts!$D$211="","",[1]Accounts!$C$211)</f>
        <v/>
      </c>
      <c r="H210">
        <f>IF([1]Accounts!$D$211="","",[1]Accounts!$D$211)</f>
        <v/>
      </c>
      <c r="L210">
        <f>IF([2]Entry!$C$213="","",[2]Entry!$C$213)</f>
        <v/>
      </c>
      <c r="M210">
        <f>IF([2]Entry!$J$213="","",[2]Entry!$J$213)</f>
        <v/>
      </c>
      <c r="N210">
        <f>IF([2]Entry!$M$213="","",[2]Entry!$M$213)</f>
        <v/>
      </c>
      <c r="O210">
        <f>IF([2]Entry!$N$213="","",[2]Entry!$N$213)</f>
        <v/>
      </c>
      <c r="P210">
        <f>IF([2]Entry!$S$213="","",[2]Entry!$S$213)</f>
        <v/>
      </c>
    </row>
    <row r="211">
      <c r="A211">
        <f>IF([1]Cheques!$A$212="","",[1]Cheques!$A$212)</f>
        <v/>
      </c>
      <c r="E211">
        <f>IF([1]Accounts!$D$212="","",[1]Accounts!$A$212)</f>
        <v/>
      </c>
      <c r="F211">
        <f>IF([1]Accounts!$D$212="","",[1]Accounts!$B$212)</f>
        <v/>
      </c>
      <c r="G211">
        <f>IF([1]Accounts!$D$212="","",[1]Accounts!$C$212)</f>
        <v/>
      </c>
      <c r="H211">
        <f>IF([1]Accounts!$D$212="","",[1]Accounts!$D$212)</f>
        <v/>
      </c>
      <c r="L211">
        <f>IF([2]Entry!$C$214="","",[2]Entry!$C$214)</f>
        <v/>
      </c>
      <c r="M211">
        <f>IF([2]Entry!$J$214="","",[2]Entry!$J$214)</f>
        <v/>
      </c>
      <c r="N211">
        <f>IF([2]Entry!$M$214="","",[2]Entry!$M$214)</f>
        <v/>
      </c>
      <c r="O211">
        <f>IF([2]Entry!$N$214="","",[2]Entry!$N$214)</f>
        <v/>
      </c>
      <c r="P211">
        <f>IF([2]Entry!$S$214="","",[2]Entry!$S$214)</f>
        <v/>
      </c>
    </row>
    <row r="212">
      <c r="A212">
        <f>IF([1]Cheques!$A$213="","",[1]Cheques!$A$213)</f>
        <v/>
      </c>
      <c r="E212">
        <f>IF([1]Accounts!$D$213="","",[1]Accounts!$A$213)</f>
        <v/>
      </c>
      <c r="F212">
        <f>IF([1]Accounts!$D$213="","",[1]Accounts!$B$213)</f>
        <v/>
      </c>
      <c r="G212">
        <f>IF([1]Accounts!$D$213="","",[1]Accounts!$C$213)</f>
        <v/>
      </c>
      <c r="H212">
        <f>IF([1]Accounts!$D$213="","",[1]Accounts!$D$213)</f>
        <v/>
      </c>
      <c r="L212">
        <f>IF([2]Entry!$C$215="","",[2]Entry!$C$215)</f>
        <v/>
      </c>
      <c r="M212">
        <f>IF([2]Entry!$J$215="","",[2]Entry!$J$215)</f>
        <v/>
      </c>
      <c r="N212">
        <f>IF([2]Entry!$M$215="","",[2]Entry!$M$215)</f>
        <v/>
      </c>
      <c r="O212">
        <f>IF([2]Entry!$N$215="","",[2]Entry!$N$215)</f>
        <v/>
      </c>
      <c r="P212">
        <f>IF([2]Entry!$S$215="","",[2]Entry!$S$215)</f>
        <v/>
      </c>
    </row>
    <row r="213">
      <c r="A213">
        <f>IF([1]Cheques!$A$214="","",[1]Cheques!$A$214)</f>
        <v/>
      </c>
      <c r="E213">
        <f>IF([1]Accounts!$D$214="","",[1]Accounts!$A$214)</f>
        <v/>
      </c>
      <c r="F213">
        <f>IF([1]Accounts!$D$214="","",[1]Accounts!$B$214)</f>
        <v/>
      </c>
      <c r="G213">
        <f>IF([1]Accounts!$D$214="","",[1]Accounts!$C$214)</f>
        <v/>
      </c>
      <c r="H213">
        <f>IF([1]Accounts!$D$214="","",[1]Accounts!$D$214)</f>
        <v/>
      </c>
      <c r="L213">
        <f>IF([2]Entry!$C$216="","",[2]Entry!$C$216)</f>
        <v/>
      </c>
      <c r="M213">
        <f>IF([2]Entry!$J$216="","",[2]Entry!$J$216)</f>
        <v/>
      </c>
      <c r="N213">
        <f>IF([2]Entry!$M$216="","",[2]Entry!$M$216)</f>
        <v/>
      </c>
      <c r="O213">
        <f>IF([2]Entry!$N$216="","",[2]Entry!$N$216)</f>
        <v/>
      </c>
      <c r="P213">
        <f>IF([2]Entry!$S$216="","",[2]Entry!$S$216)</f>
        <v/>
      </c>
    </row>
    <row r="214">
      <c r="A214">
        <f>IF([1]Cheques!$A$215="","",[1]Cheques!$A$215)</f>
        <v/>
      </c>
      <c r="E214">
        <f>IF([1]Accounts!$D$215="","",[1]Accounts!$A$215)</f>
        <v/>
      </c>
      <c r="F214">
        <f>IF([1]Accounts!$D$215="","",[1]Accounts!$B$215)</f>
        <v/>
      </c>
      <c r="G214">
        <f>IF([1]Accounts!$D$215="","",[1]Accounts!$C$215)</f>
        <v/>
      </c>
      <c r="H214">
        <f>IF([1]Accounts!$D$215="","",[1]Accounts!$D$215)</f>
        <v/>
      </c>
      <c r="L214">
        <f>IF([2]Entry!$C$217="","",[2]Entry!$C$217)</f>
        <v/>
      </c>
      <c r="M214">
        <f>IF([2]Entry!$J$217="","",[2]Entry!$J$217)</f>
        <v/>
      </c>
      <c r="N214">
        <f>IF([2]Entry!$M$217="","",[2]Entry!$M$217)</f>
        <v/>
      </c>
      <c r="O214">
        <f>IF([2]Entry!$N$217="","",[2]Entry!$N$217)</f>
        <v/>
      </c>
      <c r="P214">
        <f>IF([2]Entry!$S$217="","",[2]Entry!$S$217)</f>
        <v/>
      </c>
    </row>
    <row r="215">
      <c r="A215">
        <f>IF([1]Cheques!$A$216="","",[1]Cheques!$A$216)</f>
        <v/>
      </c>
      <c r="E215">
        <f>IF([1]Accounts!$D$216="","",[1]Accounts!$A$216)</f>
        <v/>
      </c>
      <c r="F215">
        <f>IF([1]Accounts!$D$216="","",[1]Accounts!$B$216)</f>
        <v/>
      </c>
      <c r="G215">
        <f>IF([1]Accounts!$D$216="","",[1]Accounts!$C$216)</f>
        <v/>
      </c>
      <c r="H215">
        <f>IF([1]Accounts!$D$216="","",[1]Accounts!$D$216)</f>
        <v/>
      </c>
      <c r="L215">
        <f>IF([2]Entry!$C$218="","",[2]Entry!$C$218)</f>
        <v/>
      </c>
      <c r="M215">
        <f>IF([2]Entry!$J$218="","",[2]Entry!$J$218)</f>
        <v/>
      </c>
      <c r="N215">
        <f>IF([2]Entry!$M$218="","",[2]Entry!$M$218)</f>
        <v/>
      </c>
      <c r="O215">
        <f>IF([2]Entry!$N$218="","",[2]Entry!$N$218)</f>
        <v/>
      </c>
      <c r="P215">
        <f>IF([2]Entry!$S$218="","",[2]Entry!$S$218)</f>
        <v/>
      </c>
    </row>
    <row r="216">
      <c r="A216">
        <f>IF([1]Cheques!$A$217="","",[1]Cheques!$A$217)</f>
        <v/>
      </c>
      <c r="E216">
        <f>IF([1]Accounts!$D$217="","",[1]Accounts!$A$217)</f>
        <v/>
      </c>
      <c r="F216">
        <f>IF([1]Accounts!$D$217="","",[1]Accounts!$B$217)</f>
        <v/>
      </c>
      <c r="G216">
        <f>IF([1]Accounts!$D$217="","",[1]Accounts!$C$217)</f>
        <v/>
      </c>
      <c r="H216">
        <f>IF([1]Accounts!$D$217="","",[1]Accounts!$D$217)</f>
        <v/>
      </c>
      <c r="L216">
        <f>IF([2]Entry!$C$219="","",[2]Entry!$C$219)</f>
        <v/>
      </c>
      <c r="M216">
        <f>IF([2]Entry!$J$219="","",[2]Entry!$J$219)</f>
        <v/>
      </c>
      <c r="N216">
        <f>IF([2]Entry!$M$219="","",[2]Entry!$M$219)</f>
        <v/>
      </c>
      <c r="O216">
        <f>IF([2]Entry!$N$219="","",[2]Entry!$N$219)</f>
        <v/>
      </c>
      <c r="P216">
        <f>IF([2]Entry!$S$219="","",[2]Entry!$S$219)</f>
        <v/>
      </c>
    </row>
    <row r="217">
      <c r="A217">
        <f>IF([1]Cheques!$A$218="","",[1]Cheques!$A$218)</f>
        <v/>
      </c>
      <c r="E217">
        <f>IF([1]Accounts!$D$218="","",[1]Accounts!$A$218)</f>
        <v/>
      </c>
      <c r="F217">
        <f>IF([1]Accounts!$D$218="","",[1]Accounts!$B$218)</f>
        <v/>
      </c>
      <c r="G217">
        <f>IF([1]Accounts!$D$218="","",[1]Accounts!$C$218)</f>
        <v/>
      </c>
      <c r="H217">
        <f>IF([1]Accounts!$D$218="","",[1]Accounts!$D$218)</f>
        <v/>
      </c>
      <c r="L217">
        <f>IF([2]Entry!$C$220="","",[2]Entry!$C$220)</f>
        <v/>
      </c>
      <c r="M217">
        <f>IF([2]Entry!$J$220="","",[2]Entry!$J$220)</f>
        <v/>
      </c>
      <c r="N217">
        <f>IF([2]Entry!$M$220="","",[2]Entry!$M$220)</f>
        <v/>
      </c>
      <c r="O217">
        <f>IF([2]Entry!$N$220="","",[2]Entry!$N$220)</f>
        <v/>
      </c>
      <c r="P217">
        <f>IF([2]Entry!$S$220="","",[2]Entry!$S$220)</f>
        <v/>
      </c>
    </row>
    <row r="218">
      <c r="A218">
        <f>IF([1]Cheques!$A$219="","",[1]Cheques!$A$219)</f>
        <v/>
      </c>
      <c r="E218">
        <f>IF([1]Accounts!$D$219="","",[1]Accounts!$A$219)</f>
        <v/>
      </c>
      <c r="F218">
        <f>IF([1]Accounts!$D$219="","",[1]Accounts!$B$219)</f>
        <v/>
      </c>
      <c r="G218">
        <f>IF([1]Accounts!$D$219="","",[1]Accounts!$C$219)</f>
        <v/>
      </c>
      <c r="H218">
        <f>IF([1]Accounts!$D$219="","",[1]Accounts!$D$219)</f>
        <v/>
      </c>
      <c r="L218">
        <f>IF([2]Entry!$C$221="","",[2]Entry!$C$221)</f>
        <v/>
      </c>
      <c r="M218">
        <f>IF([2]Entry!$J$221="","",[2]Entry!$J$221)</f>
        <v/>
      </c>
      <c r="N218">
        <f>IF([2]Entry!$M$221="","",[2]Entry!$M$221)</f>
        <v/>
      </c>
      <c r="O218">
        <f>IF([2]Entry!$N$221="","",[2]Entry!$N$221)</f>
        <v/>
      </c>
      <c r="P218">
        <f>IF([2]Entry!$S$221="","",[2]Entry!$S$221)</f>
        <v/>
      </c>
    </row>
    <row r="219">
      <c r="A219">
        <f>IF([1]Cheques!$A$220="","",[1]Cheques!$A$220)</f>
        <v/>
      </c>
      <c r="E219">
        <f>IF([1]Accounts!$D$220="","",[1]Accounts!$A$220)</f>
        <v/>
      </c>
      <c r="F219">
        <f>IF([1]Accounts!$D$220="","",[1]Accounts!$B$220)</f>
        <v/>
      </c>
      <c r="G219">
        <f>IF([1]Accounts!$D$220="","",[1]Accounts!$C$220)</f>
        <v/>
      </c>
      <c r="H219">
        <f>IF([1]Accounts!$D$220="","",[1]Accounts!$D$220)</f>
        <v/>
      </c>
      <c r="L219">
        <f>IF([2]Entry!$C$222="","",[2]Entry!$C$222)</f>
        <v/>
      </c>
      <c r="M219">
        <f>IF([2]Entry!$J$222="","",[2]Entry!$J$222)</f>
        <v/>
      </c>
      <c r="N219">
        <f>IF([2]Entry!$M$222="","",[2]Entry!$M$222)</f>
        <v/>
      </c>
      <c r="O219">
        <f>IF([2]Entry!$N$222="","",[2]Entry!$N$222)</f>
        <v/>
      </c>
      <c r="P219">
        <f>IF([2]Entry!$S$222="","",[2]Entry!$S$222)</f>
        <v/>
      </c>
    </row>
    <row r="220">
      <c r="A220">
        <f>IF([1]Cheques!$A$221="","",[1]Cheques!$A$221)</f>
        <v/>
      </c>
      <c r="E220">
        <f>IF([1]Accounts!$D$221="","",[1]Accounts!$A$221)</f>
        <v/>
      </c>
      <c r="F220">
        <f>IF([1]Accounts!$D$221="","",[1]Accounts!$B$221)</f>
        <v/>
      </c>
      <c r="G220">
        <f>IF([1]Accounts!$D$221="","",[1]Accounts!$C$221)</f>
        <v/>
      </c>
      <c r="H220">
        <f>IF([1]Accounts!$D$221="","",[1]Accounts!$D$221)</f>
        <v/>
      </c>
      <c r="L220">
        <f>IF([2]Entry!$C$223="","",[2]Entry!$C$223)</f>
        <v/>
      </c>
      <c r="M220">
        <f>IF([2]Entry!$J$223="","",[2]Entry!$J$223)</f>
        <v/>
      </c>
      <c r="N220">
        <f>IF([2]Entry!$M$223="","",[2]Entry!$M$223)</f>
        <v/>
      </c>
      <c r="O220">
        <f>IF([2]Entry!$N$223="","",[2]Entry!$N$223)</f>
        <v/>
      </c>
      <c r="P220">
        <f>IF([2]Entry!$S$223="","",[2]Entry!$S$223)</f>
        <v/>
      </c>
    </row>
    <row r="221">
      <c r="A221">
        <f>IF([1]Cheques!$A$222="","",[1]Cheques!$A$222)</f>
        <v/>
      </c>
      <c r="E221">
        <f>IF([1]Accounts!$D$222="","",[1]Accounts!$A$222)</f>
        <v/>
      </c>
      <c r="F221">
        <f>IF([1]Accounts!$D$222="","",[1]Accounts!$B$222)</f>
        <v/>
      </c>
      <c r="G221">
        <f>IF([1]Accounts!$D$222="","",[1]Accounts!$C$222)</f>
        <v/>
      </c>
      <c r="H221">
        <f>IF([1]Accounts!$D$222="","",[1]Accounts!$D$222)</f>
        <v/>
      </c>
      <c r="L221">
        <f>IF([2]Entry!$C$224="","",[2]Entry!$C$224)</f>
        <v/>
      </c>
      <c r="M221">
        <f>IF([2]Entry!$J$224="","",[2]Entry!$J$224)</f>
        <v/>
      </c>
      <c r="N221">
        <f>IF([2]Entry!$M$224="","",[2]Entry!$M$224)</f>
        <v/>
      </c>
      <c r="O221">
        <f>IF([2]Entry!$N$224="","",[2]Entry!$N$224)</f>
        <v/>
      </c>
      <c r="P221">
        <f>IF([2]Entry!$S$224="","",[2]Entry!$S$224)</f>
        <v/>
      </c>
    </row>
    <row r="222">
      <c r="A222">
        <f>IF([1]Cheques!$A$223="","",[1]Cheques!$A$223)</f>
        <v/>
      </c>
      <c r="E222">
        <f>IF([1]Accounts!$D$223="","",[1]Accounts!$A$223)</f>
        <v/>
      </c>
      <c r="F222">
        <f>IF([1]Accounts!$D$223="","",[1]Accounts!$B$223)</f>
        <v/>
      </c>
      <c r="G222">
        <f>IF([1]Accounts!$D$223="","",[1]Accounts!$C$223)</f>
        <v/>
      </c>
      <c r="H222">
        <f>IF([1]Accounts!$D$223="","",[1]Accounts!$D$223)</f>
        <v/>
      </c>
      <c r="L222">
        <f>IF([2]Entry!$C$225="","",[2]Entry!$C$225)</f>
        <v/>
      </c>
      <c r="M222">
        <f>IF([2]Entry!$J$225="","",[2]Entry!$J$225)</f>
        <v/>
      </c>
      <c r="N222">
        <f>IF([2]Entry!$M$225="","",[2]Entry!$M$225)</f>
        <v/>
      </c>
      <c r="O222">
        <f>IF([2]Entry!$N$225="","",[2]Entry!$N$225)</f>
        <v/>
      </c>
      <c r="P222">
        <f>IF([2]Entry!$S$225="","",[2]Entry!$S$225)</f>
        <v/>
      </c>
    </row>
    <row r="223">
      <c r="A223">
        <f>IF([1]Cheques!$A$224="","",[1]Cheques!$A$224)</f>
        <v/>
      </c>
      <c r="E223">
        <f>IF([1]Accounts!$D$224="","",[1]Accounts!$A$224)</f>
        <v/>
      </c>
      <c r="F223">
        <f>IF([1]Accounts!$D$224="","",[1]Accounts!$B$224)</f>
        <v/>
      </c>
      <c r="G223">
        <f>IF([1]Accounts!$D$224="","",[1]Accounts!$C$224)</f>
        <v/>
      </c>
      <c r="H223">
        <f>IF([1]Accounts!$D$224="","",[1]Accounts!$D$224)</f>
        <v/>
      </c>
      <c r="L223">
        <f>IF([2]Entry!$C$226="","",[2]Entry!$C$226)</f>
        <v/>
      </c>
      <c r="M223">
        <f>IF([2]Entry!$J$226="","",[2]Entry!$J$226)</f>
        <v/>
      </c>
      <c r="N223">
        <f>IF([2]Entry!$M$226="","",[2]Entry!$M$226)</f>
        <v/>
      </c>
      <c r="O223">
        <f>IF([2]Entry!$N$226="","",[2]Entry!$N$226)</f>
        <v/>
      </c>
      <c r="P223">
        <f>IF([2]Entry!$S$226="","",[2]Entry!$S$226)</f>
        <v/>
      </c>
    </row>
    <row r="224">
      <c r="A224">
        <f>IF([1]Cheques!$A$225="","",[1]Cheques!$A$225)</f>
        <v/>
      </c>
      <c r="E224">
        <f>IF([1]Accounts!$D$225="","",[1]Accounts!$A$225)</f>
        <v/>
      </c>
      <c r="F224">
        <f>IF([1]Accounts!$D$225="","",[1]Accounts!$B$225)</f>
        <v/>
      </c>
      <c r="G224">
        <f>IF([1]Accounts!$D$225="","",[1]Accounts!$C$225)</f>
        <v/>
      </c>
      <c r="H224">
        <f>IF([1]Accounts!$D$225="","",[1]Accounts!$D$225)</f>
        <v/>
      </c>
      <c r="L224">
        <f>IF([2]Entry!$C$227="","",[2]Entry!$C$227)</f>
        <v/>
      </c>
      <c r="M224">
        <f>IF([2]Entry!$J$227="","",[2]Entry!$J$227)</f>
        <v/>
      </c>
      <c r="N224">
        <f>IF([2]Entry!$M$227="","",[2]Entry!$M$227)</f>
        <v/>
      </c>
      <c r="O224">
        <f>IF([2]Entry!$N$227="","",[2]Entry!$N$227)</f>
        <v/>
      </c>
      <c r="P224">
        <f>IF([2]Entry!$S$227="","",[2]Entry!$S$227)</f>
        <v/>
      </c>
    </row>
    <row r="225">
      <c r="A225">
        <f>IF([1]Cheques!$A$226="","",[1]Cheques!$A$226)</f>
        <v/>
      </c>
      <c r="E225">
        <f>IF([1]Accounts!$D$226="","",[1]Accounts!$A$226)</f>
        <v/>
      </c>
      <c r="F225">
        <f>IF([1]Accounts!$D$226="","",[1]Accounts!$B$226)</f>
        <v/>
      </c>
      <c r="G225">
        <f>IF([1]Accounts!$D$226="","",[1]Accounts!$C$226)</f>
        <v/>
      </c>
      <c r="H225">
        <f>IF([1]Accounts!$D$226="","",[1]Accounts!$D$226)</f>
        <v/>
      </c>
      <c r="L225">
        <f>IF([2]Entry!$C$228="","",[2]Entry!$C$228)</f>
        <v/>
      </c>
      <c r="M225">
        <f>IF([2]Entry!$J$228="","",[2]Entry!$J$228)</f>
        <v/>
      </c>
      <c r="N225">
        <f>IF([2]Entry!$M$228="","",[2]Entry!$M$228)</f>
        <v/>
      </c>
      <c r="O225">
        <f>IF([2]Entry!$N$228="","",[2]Entry!$N$228)</f>
        <v/>
      </c>
      <c r="P225">
        <f>IF([2]Entry!$S$228="","",[2]Entry!$S$228)</f>
        <v/>
      </c>
    </row>
    <row r="226">
      <c r="A226">
        <f>IF([1]Cheques!$A$227="","",[1]Cheques!$A$227)</f>
        <v/>
      </c>
      <c r="E226">
        <f>IF([1]Accounts!$D$227="","",[1]Accounts!$A$227)</f>
        <v/>
      </c>
      <c r="F226">
        <f>IF([1]Accounts!$D$227="","",[1]Accounts!$B$227)</f>
        <v/>
      </c>
      <c r="G226">
        <f>IF([1]Accounts!$D$227="","",[1]Accounts!$C$227)</f>
        <v/>
      </c>
      <c r="H226">
        <f>IF([1]Accounts!$D$227="","",[1]Accounts!$D$227)</f>
        <v/>
      </c>
      <c r="L226">
        <f>IF([2]Entry!$C$229="","",[2]Entry!$C$229)</f>
        <v/>
      </c>
      <c r="M226">
        <f>IF([2]Entry!$J$229="","",[2]Entry!$J$229)</f>
        <v/>
      </c>
      <c r="N226">
        <f>IF([2]Entry!$M$229="","",[2]Entry!$M$229)</f>
        <v/>
      </c>
      <c r="O226">
        <f>IF([2]Entry!$N$229="","",[2]Entry!$N$229)</f>
        <v/>
      </c>
      <c r="P226">
        <f>IF([2]Entry!$S$229="","",[2]Entry!$S$229)</f>
        <v/>
      </c>
    </row>
    <row r="227">
      <c r="A227">
        <f>IF([1]Cheques!$A$228="","",[1]Cheques!$A$228)</f>
        <v/>
      </c>
      <c r="E227">
        <f>IF([1]Accounts!$D$228="","",[1]Accounts!$A$228)</f>
        <v/>
      </c>
      <c r="F227">
        <f>IF([1]Accounts!$D$228="","",[1]Accounts!$B$228)</f>
        <v/>
      </c>
      <c r="G227">
        <f>IF([1]Accounts!$D$228="","",[1]Accounts!$C$228)</f>
        <v/>
      </c>
      <c r="H227">
        <f>IF([1]Accounts!$D$228="","",[1]Accounts!$D$228)</f>
        <v/>
      </c>
      <c r="L227">
        <f>IF([2]Entry!$C$230="","",[2]Entry!$C$230)</f>
        <v/>
      </c>
      <c r="M227">
        <f>IF([2]Entry!$J$230="","",[2]Entry!$J$230)</f>
        <v/>
      </c>
      <c r="N227">
        <f>IF([2]Entry!$M$230="","",[2]Entry!$M$230)</f>
        <v/>
      </c>
      <c r="O227">
        <f>IF([2]Entry!$N$230="","",[2]Entry!$N$230)</f>
        <v/>
      </c>
      <c r="P227">
        <f>IF([2]Entry!$S$230="","",[2]Entry!$S$230)</f>
        <v/>
      </c>
    </row>
    <row r="228">
      <c r="A228">
        <f>IF([1]Cheques!$A$229="","",[1]Cheques!$A$229)</f>
        <v/>
      </c>
      <c r="E228">
        <f>IF([1]Accounts!$D$229="","",[1]Accounts!$A$229)</f>
        <v/>
      </c>
      <c r="F228">
        <f>IF([1]Accounts!$D$229="","",[1]Accounts!$B$229)</f>
        <v/>
      </c>
      <c r="G228">
        <f>IF([1]Accounts!$D$229="","",[1]Accounts!$C$229)</f>
        <v/>
      </c>
      <c r="H228">
        <f>IF([1]Accounts!$D$229="","",[1]Accounts!$D$229)</f>
        <v/>
      </c>
      <c r="L228">
        <f>IF([2]Entry!$C$231="","",[2]Entry!$C$231)</f>
        <v/>
      </c>
      <c r="M228">
        <f>IF([2]Entry!$J$231="","",[2]Entry!$J$231)</f>
        <v/>
      </c>
      <c r="N228">
        <f>IF([2]Entry!$M$231="","",[2]Entry!$M$231)</f>
        <v/>
      </c>
      <c r="O228">
        <f>IF([2]Entry!$N$231="","",[2]Entry!$N$231)</f>
        <v/>
      </c>
      <c r="P228">
        <f>IF([2]Entry!$S$231="","",[2]Entry!$S$231)</f>
        <v/>
      </c>
    </row>
    <row r="229">
      <c r="A229">
        <f>IF([1]Cheques!$A$230="","",[1]Cheques!$A$230)</f>
        <v/>
      </c>
      <c r="E229">
        <f>IF([1]Accounts!$D$230="","",[1]Accounts!$A$230)</f>
        <v/>
      </c>
      <c r="F229">
        <f>IF([1]Accounts!$D$230="","",[1]Accounts!$B$230)</f>
        <v/>
      </c>
      <c r="G229">
        <f>IF([1]Accounts!$D$230="","",[1]Accounts!$C$230)</f>
        <v/>
      </c>
      <c r="H229">
        <f>IF([1]Accounts!$D$230="","",[1]Accounts!$D$230)</f>
        <v/>
      </c>
      <c r="L229">
        <f>IF([2]Entry!$C$232="","",[2]Entry!$C$232)</f>
        <v/>
      </c>
      <c r="M229">
        <f>IF([2]Entry!$J$232="","",[2]Entry!$J$232)</f>
        <v/>
      </c>
      <c r="N229">
        <f>IF([2]Entry!$M$232="","",[2]Entry!$M$232)</f>
        <v/>
      </c>
      <c r="O229">
        <f>IF([2]Entry!$N$232="","",[2]Entry!$N$232)</f>
        <v/>
      </c>
      <c r="P229">
        <f>IF([2]Entry!$S$232="","",[2]Entry!$S$232)</f>
        <v/>
      </c>
    </row>
    <row r="230">
      <c r="A230">
        <f>IF([1]Cheques!$A$231="","",[1]Cheques!$A$231)</f>
        <v/>
      </c>
      <c r="E230">
        <f>IF([1]Accounts!$D$231="","",[1]Accounts!$A$231)</f>
        <v/>
      </c>
      <c r="F230">
        <f>IF([1]Accounts!$D$231="","",[1]Accounts!$B$231)</f>
        <v/>
      </c>
      <c r="G230">
        <f>IF([1]Accounts!$D$231="","",[1]Accounts!$C$231)</f>
        <v/>
      </c>
      <c r="H230">
        <f>IF([1]Accounts!$D$231="","",[1]Accounts!$D$231)</f>
        <v/>
      </c>
      <c r="L230">
        <f>IF([2]Entry!$C$233="","",[2]Entry!$C$233)</f>
        <v/>
      </c>
      <c r="M230">
        <f>IF([2]Entry!$J$233="","",[2]Entry!$J$233)</f>
        <v/>
      </c>
      <c r="N230">
        <f>IF([2]Entry!$M$233="","",[2]Entry!$M$233)</f>
        <v/>
      </c>
      <c r="O230">
        <f>IF([2]Entry!$N$233="","",[2]Entry!$N$233)</f>
        <v/>
      </c>
      <c r="P230">
        <f>IF([2]Entry!$S$233="","",[2]Entry!$S$233)</f>
        <v/>
      </c>
    </row>
    <row r="231">
      <c r="A231">
        <f>IF([1]Cheques!$A$232="","",[1]Cheques!$A$232)</f>
        <v/>
      </c>
      <c r="E231">
        <f>IF([1]Accounts!$D$232="","",[1]Accounts!$A$232)</f>
        <v/>
      </c>
      <c r="F231">
        <f>IF([1]Accounts!$D$232="","",[1]Accounts!$B$232)</f>
        <v/>
      </c>
      <c r="G231">
        <f>IF([1]Accounts!$D$232="","",[1]Accounts!$C$232)</f>
        <v/>
      </c>
      <c r="H231">
        <f>IF([1]Accounts!$D$232="","",[1]Accounts!$D$232)</f>
        <v/>
      </c>
      <c r="L231">
        <f>IF([2]Entry!$C$234="","",[2]Entry!$C$234)</f>
        <v/>
      </c>
      <c r="M231">
        <f>IF([2]Entry!$J$234="","",[2]Entry!$J$234)</f>
        <v/>
      </c>
      <c r="N231">
        <f>IF([2]Entry!$M$234="","",[2]Entry!$M$234)</f>
        <v/>
      </c>
      <c r="O231">
        <f>IF([2]Entry!$N$234="","",[2]Entry!$N$234)</f>
        <v/>
      </c>
      <c r="P231">
        <f>IF([2]Entry!$S$234="","",[2]Entry!$S$234)</f>
        <v/>
      </c>
    </row>
    <row r="232">
      <c r="A232">
        <f>IF([1]Cheques!$A$233="","",[1]Cheques!$A$233)</f>
        <v/>
      </c>
      <c r="E232">
        <f>IF([1]Accounts!$D$233="","",[1]Accounts!$A$233)</f>
        <v/>
      </c>
      <c r="F232">
        <f>IF([1]Accounts!$D$233="","",[1]Accounts!$B$233)</f>
        <v/>
      </c>
      <c r="G232">
        <f>IF([1]Accounts!$D$233="","",[1]Accounts!$C$233)</f>
        <v/>
      </c>
      <c r="H232">
        <f>IF([1]Accounts!$D$233="","",[1]Accounts!$D$233)</f>
        <v/>
      </c>
      <c r="L232">
        <f>IF([2]Entry!$C$235="","",[2]Entry!$C$235)</f>
        <v/>
      </c>
      <c r="M232">
        <f>IF([2]Entry!$J$235="","",[2]Entry!$J$235)</f>
        <v/>
      </c>
      <c r="N232">
        <f>IF([2]Entry!$M$235="","",[2]Entry!$M$235)</f>
        <v/>
      </c>
      <c r="O232">
        <f>IF([2]Entry!$N$235="","",[2]Entry!$N$235)</f>
        <v/>
      </c>
      <c r="P232">
        <f>IF([2]Entry!$S$235="","",[2]Entry!$S$235)</f>
        <v/>
      </c>
    </row>
    <row r="233">
      <c r="A233">
        <f>IF([1]Cheques!$A$234="","",[1]Cheques!$A$234)</f>
        <v/>
      </c>
      <c r="E233">
        <f>IF([1]Accounts!$D$234="","",[1]Accounts!$A$234)</f>
        <v/>
      </c>
      <c r="F233">
        <f>IF([1]Accounts!$D$234="","",[1]Accounts!$B$234)</f>
        <v/>
      </c>
      <c r="G233">
        <f>IF([1]Accounts!$D$234="","",[1]Accounts!$C$234)</f>
        <v/>
      </c>
      <c r="H233">
        <f>IF([1]Accounts!$D$234="","",[1]Accounts!$D$234)</f>
        <v/>
      </c>
      <c r="L233">
        <f>IF([2]Entry!$C$236="","",[2]Entry!$C$236)</f>
        <v/>
      </c>
      <c r="M233">
        <f>IF([2]Entry!$J$236="","",[2]Entry!$J$236)</f>
        <v/>
      </c>
      <c r="N233">
        <f>IF([2]Entry!$M$236="","",[2]Entry!$M$236)</f>
        <v/>
      </c>
      <c r="O233">
        <f>IF([2]Entry!$N$236="","",[2]Entry!$N$236)</f>
        <v/>
      </c>
      <c r="P233">
        <f>IF([2]Entry!$S$236="","",[2]Entry!$S$236)</f>
        <v/>
      </c>
    </row>
    <row r="234">
      <c r="A234">
        <f>IF([1]Cheques!$A$235="","",[1]Cheques!$A$235)</f>
        <v/>
      </c>
      <c r="E234">
        <f>IF([1]Accounts!$D$235="","",[1]Accounts!$A$235)</f>
        <v/>
      </c>
      <c r="F234">
        <f>IF([1]Accounts!$D$235="","",[1]Accounts!$B$235)</f>
        <v/>
      </c>
      <c r="G234">
        <f>IF([1]Accounts!$D$235="","",[1]Accounts!$C$235)</f>
        <v/>
      </c>
      <c r="H234">
        <f>IF([1]Accounts!$D$235="","",[1]Accounts!$D$235)</f>
        <v/>
      </c>
      <c r="L234">
        <f>IF([2]Entry!$C$237="","",[2]Entry!$C$237)</f>
        <v/>
      </c>
      <c r="M234">
        <f>IF([2]Entry!$J$237="","",[2]Entry!$J$237)</f>
        <v/>
      </c>
      <c r="N234">
        <f>IF([2]Entry!$M$237="","",[2]Entry!$M$237)</f>
        <v/>
      </c>
      <c r="O234">
        <f>IF([2]Entry!$N$237="","",[2]Entry!$N$237)</f>
        <v/>
      </c>
      <c r="P234">
        <f>IF([2]Entry!$S$237="","",[2]Entry!$S$237)</f>
        <v/>
      </c>
    </row>
    <row r="235">
      <c r="A235">
        <f>IF([1]Cheques!$A$236="","",[1]Cheques!$A$236)</f>
        <v/>
      </c>
      <c r="E235">
        <f>IF([1]Accounts!$D$236="","",[1]Accounts!$A$236)</f>
        <v/>
      </c>
      <c r="F235">
        <f>IF([1]Accounts!$D$236="","",[1]Accounts!$B$236)</f>
        <v/>
      </c>
      <c r="G235">
        <f>IF([1]Accounts!$D$236="","",[1]Accounts!$C$236)</f>
        <v/>
      </c>
      <c r="H235">
        <f>IF([1]Accounts!$D$236="","",[1]Accounts!$D$236)</f>
        <v/>
      </c>
      <c r="L235">
        <f>IF([2]Entry!$C$238="","",[2]Entry!$C$238)</f>
        <v/>
      </c>
      <c r="M235">
        <f>IF([2]Entry!$J$238="","",[2]Entry!$J$238)</f>
        <v/>
      </c>
      <c r="N235">
        <f>IF([2]Entry!$M$238="","",[2]Entry!$M$238)</f>
        <v/>
      </c>
      <c r="O235">
        <f>IF([2]Entry!$N$238="","",[2]Entry!$N$238)</f>
        <v/>
      </c>
      <c r="P235">
        <f>IF([2]Entry!$S$238="","",[2]Entry!$S$238)</f>
        <v/>
      </c>
    </row>
    <row r="236">
      <c r="A236">
        <f>IF([1]Cheques!$A$237="","",[1]Cheques!$A$237)</f>
        <v/>
      </c>
      <c r="E236">
        <f>IF([1]Accounts!$D$237="","",[1]Accounts!$A$237)</f>
        <v/>
      </c>
      <c r="F236">
        <f>IF([1]Accounts!$D$237="","",[1]Accounts!$B$237)</f>
        <v/>
      </c>
      <c r="G236">
        <f>IF([1]Accounts!$D$237="","",[1]Accounts!$C$237)</f>
        <v/>
      </c>
      <c r="H236">
        <f>IF([1]Accounts!$D$237="","",[1]Accounts!$D$237)</f>
        <v/>
      </c>
      <c r="L236">
        <f>IF([2]Entry!$C$239="","",[2]Entry!$C$239)</f>
        <v/>
      </c>
      <c r="M236">
        <f>IF([2]Entry!$J$239="","",[2]Entry!$J$239)</f>
        <v/>
      </c>
      <c r="N236">
        <f>IF([2]Entry!$M$239="","",[2]Entry!$M$239)</f>
        <v/>
      </c>
      <c r="O236">
        <f>IF([2]Entry!$N$239="","",[2]Entry!$N$239)</f>
        <v/>
      </c>
      <c r="P236">
        <f>IF([2]Entry!$S$239="","",[2]Entry!$S$239)</f>
        <v/>
      </c>
    </row>
    <row r="237">
      <c r="A237">
        <f>IF([1]Cheques!$A$238="","",[1]Cheques!$A$238)</f>
        <v/>
      </c>
      <c r="E237">
        <f>IF([1]Accounts!$D$238="","",[1]Accounts!$A$238)</f>
        <v/>
      </c>
      <c r="F237">
        <f>IF([1]Accounts!$D$238="","",[1]Accounts!$B$238)</f>
        <v/>
      </c>
      <c r="G237">
        <f>IF([1]Accounts!$D$238="","",[1]Accounts!$C$238)</f>
        <v/>
      </c>
      <c r="H237">
        <f>IF([1]Accounts!$D$238="","",[1]Accounts!$D$238)</f>
        <v/>
      </c>
      <c r="L237">
        <f>IF([2]Entry!$C$240="","",[2]Entry!$C$240)</f>
        <v/>
      </c>
      <c r="M237">
        <f>IF([2]Entry!$J$240="","",[2]Entry!$J$240)</f>
        <v/>
      </c>
      <c r="N237">
        <f>IF([2]Entry!$M$240="","",[2]Entry!$M$240)</f>
        <v/>
      </c>
      <c r="O237">
        <f>IF([2]Entry!$N$240="","",[2]Entry!$N$240)</f>
        <v/>
      </c>
      <c r="P237">
        <f>IF([2]Entry!$S$240="","",[2]Entry!$S$240)</f>
        <v/>
      </c>
    </row>
    <row r="238">
      <c r="A238">
        <f>IF([1]Cheques!$A$239="","",[1]Cheques!$A$239)</f>
        <v/>
      </c>
      <c r="E238">
        <f>IF([1]Accounts!$D$239="","",[1]Accounts!$A$239)</f>
        <v/>
      </c>
      <c r="F238">
        <f>IF([1]Accounts!$D$239="","",[1]Accounts!$B$239)</f>
        <v/>
      </c>
      <c r="G238">
        <f>IF([1]Accounts!$D$239="","",[1]Accounts!$C$239)</f>
        <v/>
      </c>
      <c r="H238">
        <f>IF([1]Accounts!$D$239="","",[1]Accounts!$D$239)</f>
        <v/>
      </c>
      <c r="L238">
        <f>IF([2]Entry!$C$241="","",[2]Entry!$C$241)</f>
        <v/>
      </c>
      <c r="M238">
        <f>IF([2]Entry!$J$241="","",[2]Entry!$J$241)</f>
        <v/>
      </c>
      <c r="N238">
        <f>IF([2]Entry!$M$241="","",[2]Entry!$M$241)</f>
        <v/>
      </c>
      <c r="O238">
        <f>IF([2]Entry!$N$241="","",[2]Entry!$N$241)</f>
        <v/>
      </c>
      <c r="P238">
        <f>IF([2]Entry!$S$241="","",[2]Entry!$S$241)</f>
        <v/>
      </c>
    </row>
    <row r="239">
      <c r="A239">
        <f>IF([1]Cheques!$A$240="","",[1]Cheques!$A$240)</f>
        <v/>
      </c>
      <c r="E239">
        <f>IF([1]Accounts!$D$240="","",[1]Accounts!$A$240)</f>
        <v/>
      </c>
      <c r="F239">
        <f>IF([1]Accounts!$D$240="","",[1]Accounts!$B$240)</f>
        <v/>
      </c>
      <c r="G239">
        <f>IF([1]Accounts!$D$240="","",[1]Accounts!$C$240)</f>
        <v/>
      </c>
      <c r="H239">
        <f>IF([1]Accounts!$D$240="","",[1]Accounts!$D$240)</f>
        <v/>
      </c>
      <c r="L239">
        <f>IF([2]Entry!$C$242="","",[2]Entry!$C$242)</f>
        <v/>
      </c>
      <c r="M239">
        <f>IF([2]Entry!$J$242="","",[2]Entry!$J$242)</f>
        <v/>
      </c>
      <c r="N239">
        <f>IF([2]Entry!$M$242="","",[2]Entry!$M$242)</f>
        <v/>
      </c>
      <c r="O239">
        <f>IF([2]Entry!$N$242="","",[2]Entry!$N$242)</f>
        <v/>
      </c>
      <c r="P239">
        <f>IF([2]Entry!$S$242="","",[2]Entry!$S$242)</f>
        <v/>
      </c>
    </row>
    <row r="240">
      <c r="A240">
        <f>IF([1]Cheques!$A$241="","",[1]Cheques!$A$241)</f>
        <v/>
      </c>
      <c r="E240">
        <f>IF([1]Accounts!$D$241="","",[1]Accounts!$A$241)</f>
        <v/>
      </c>
      <c r="F240">
        <f>IF([1]Accounts!$D$241="","",[1]Accounts!$B$241)</f>
        <v/>
      </c>
      <c r="G240">
        <f>IF([1]Accounts!$D$241="","",[1]Accounts!$C$241)</f>
        <v/>
      </c>
      <c r="H240">
        <f>IF([1]Accounts!$D$241="","",[1]Accounts!$D$241)</f>
        <v/>
      </c>
      <c r="L240">
        <f>IF([2]Entry!$C$243="","",[2]Entry!$C$243)</f>
        <v/>
      </c>
      <c r="M240">
        <f>IF([2]Entry!$J$243="","",[2]Entry!$J$243)</f>
        <v/>
      </c>
      <c r="N240">
        <f>IF([2]Entry!$M$243="","",[2]Entry!$M$243)</f>
        <v/>
      </c>
      <c r="O240">
        <f>IF([2]Entry!$N$243="","",[2]Entry!$N$243)</f>
        <v/>
      </c>
      <c r="P240">
        <f>IF([2]Entry!$S$243="","",[2]Entry!$S$243)</f>
        <v/>
      </c>
    </row>
    <row r="241">
      <c r="A241">
        <f>IF([1]Cheques!$A$242="","",[1]Cheques!$A$242)</f>
        <v/>
      </c>
      <c r="E241">
        <f>IF([1]Accounts!$D$242="","",[1]Accounts!$A$242)</f>
        <v/>
      </c>
      <c r="F241">
        <f>IF([1]Accounts!$D$242="","",[1]Accounts!$B$242)</f>
        <v/>
      </c>
      <c r="G241">
        <f>IF([1]Accounts!$D$242="","",[1]Accounts!$C$242)</f>
        <v/>
      </c>
      <c r="H241">
        <f>IF([1]Accounts!$D$242="","",[1]Accounts!$D$242)</f>
        <v/>
      </c>
      <c r="L241">
        <f>IF([2]Entry!$C$244="","",[2]Entry!$C$244)</f>
        <v/>
      </c>
      <c r="M241">
        <f>IF([2]Entry!$J$244="","",[2]Entry!$J$244)</f>
        <v/>
      </c>
      <c r="N241">
        <f>IF([2]Entry!$M$244="","",[2]Entry!$M$244)</f>
        <v/>
      </c>
      <c r="O241">
        <f>IF([2]Entry!$N$244="","",[2]Entry!$N$244)</f>
        <v/>
      </c>
      <c r="P241">
        <f>IF([2]Entry!$S$244="","",[2]Entry!$S$244)</f>
        <v/>
      </c>
    </row>
    <row r="242">
      <c r="A242">
        <f>IF([1]Cheques!$A$243="","",[1]Cheques!$A$243)</f>
        <v/>
      </c>
      <c r="E242">
        <f>IF([1]Accounts!$D$243="","",[1]Accounts!$A$243)</f>
        <v/>
      </c>
      <c r="F242">
        <f>IF([1]Accounts!$D$243="","",[1]Accounts!$B$243)</f>
        <v/>
      </c>
      <c r="G242">
        <f>IF([1]Accounts!$D$243="","",[1]Accounts!$C$243)</f>
        <v/>
      </c>
      <c r="H242">
        <f>IF([1]Accounts!$D$243="","",[1]Accounts!$D$243)</f>
        <v/>
      </c>
      <c r="L242">
        <f>IF([2]Entry!$C$245="","",[2]Entry!$C$245)</f>
        <v/>
      </c>
      <c r="M242">
        <f>IF([2]Entry!$J$245="","",[2]Entry!$J$245)</f>
        <v/>
      </c>
      <c r="N242">
        <f>IF([2]Entry!$M$245="","",[2]Entry!$M$245)</f>
        <v/>
      </c>
      <c r="O242">
        <f>IF([2]Entry!$N$245="","",[2]Entry!$N$245)</f>
        <v/>
      </c>
      <c r="P242">
        <f>IF([2]Entry!$S$245="","",[2]Entry!$S$245)</f>
        <v/>
      </c>
    </row>
    <row r="243">
      <c r="A243">
        <f>IF([1]Cheques!$A$244="","",[1]Cheques!$A$244)</f>
        <v/>
      </c>
      <c r="E243">
        <f>IF([1]Accounts!$D$244="","",[1]Accounts!$A$244)</f>
        <v/>
      </c>
      <c r="F243">
        <f>IF([1]Accounts!$D$244="","",[1]Accounts!$B$244)</f>
        <v/>
      </c>
      <c r="G243">
        <f>IF([1]Accounts!$D$244="","",[1]Accounts!$C$244)</f>
        <v/>
      </c>
      <c r="H243">
        <f>IF([1]Accounts!$D$244="","",[1]Accounts!$D$244)</f>
        <v/>
      </c>
      <c r="L243">
        <f>IF([2]Entry!$C$246="","",[2]Entry!$C$246)</f>
        <v/>
      </c>
      <c r="M243">
        <f>IF([2]Entry!$J$246="","",[2]Entry!$J$246)</f>
        <v/>
      </c>
      <c r="N243">
        <f>IF([2]Entry!$M$246="","",[2]Entry!$M$246)</f>
        <v/>
      </c>
      <c r="O243">
        <f>IF([2]Entry!$N$246="","",[2]Entry!$N$246)</f>
        <v/>
      </c>
      <c r="P243">
        <f>IF([2]Entry!$S$246="","",[2]Entry!$S$246)</f>
        <v/>
      </c>
    </row>
    <row r="244">
      <c r="A244">
        <f>IF([1]Cheques!$A$245="","",[1]Cheques!$A$245)</f>
        <v/>
      </c>
      <c r="E244">
        <f>IF([1]Accounts!$D$245="","",[1]Accounts!$A$245)</f>
        <v/>
      </c>
      <c r="F244">
        <f>IF([1]Accounts!$D$245="","",[1]Accounts!$B$245)</f>
        <v/>
      </c>
      <c r="G244">
        <f>IF([1]Accounts!$D$245="","",[1]Accounts!$C$245)</f>
        <v/>
      </c>
      <c r="H244">
        <f>IF([1]Accounts!$D$245="","",[1]Accounts!$D$245)</f>
        <v/>
      </c>
      <c r="L244">
        <f>IF([2]Entry!$C$247="","",[2]Entry!$C$247)</f>
        <v/>
      </c>
      <c r="M244">
        <f>IF([2]Entry!$J$247="","",[2]Entry!$J$247)</f>
        <v/>
      </c>
      <c r="N244">
        <f>IF([2]Entry!$M$247="","",[2]Entry!$M$247)</f>
        <v/>
      </c>
      <c r="O244">
        <f>IF([2]Entry!$N$247="","",[2]Entry!$N$247)</f>
        <v/>
      </c>
      <c r="P244">
        <f>IF([2]Entry!$S$247="","",[2]Entry!$S$247)</f>
        <v/>
      </c>
    </row>
    <row r="245">
      <c r="A245">
        <f>IF([1]Cheques!$A$246="","",[1]Cheques!$A$246)</f>
        <v/>
      </c>
      <c r="E245">
        <f>IF([1]Accounts!$D$246="","",[1]Accounts!$A$246)</f>
        <v/>
      </c>
      <c r="F245">
        <f>IF([1]Accounts!$D$246="","",[1]Accounts!$B$246)</f>
        <v/>
      </c>
      <c r="G245">
        <f>IF([1]Accounts!$D$246="","",[1]Accounts!$C$246)</f>
        <v/>
      </c>
      <c r="H245">
        <f>IF([1]Accounts!$D$246="","",[1]Accounts!$D$246)</f>
        <v/>
      </c>
      <c r="L245">
        <f>IF([2]Entry!$C$248="","",[2]Entry!$C$248)</f>
        <v/>
      </c>
      <c r="M245">
        <f>IF([2]Entry!$J$248="","",[2]Entry!$J$248)</f>
        <v/>
      </c>
      <c r="N245">
        <f>IF([2]Entry!$M$248="","",[2]Entry!$M$248)</f>
        <v/>
      </c>
      <c r="O245">
        <f>IF([2]Entry!$N$248="","",[2]Entry!$N$248)</f>
        <v/>
      </c>
      <c r="P245">
        <f>IF([2]Entry!$S$248="","",[2]Entry!$S$248)</f>
        <v/>
      </c>
    </row>
    <row r="246">
      <c r="A246">
        <f>IF([1]Cheques!$A$247="","",[1]Cheques!$A$247)</f>
        <v/>
      </c>
      <c r="E246">
        <f>IF([1]Accounts!$D$247="","",[1]Accounts!$A$247)</f>
        <v/>
      </c>
      <c r="F246">
        <f>IF([1]Accounts!$D$247="","",[1]Accounts!$B$247)</f>
        <v/>
      </c>
      <c r="G246">
        <f>IF([1]Accounts!$D$247="","",[1]Accounts!$C$247)</f>
        <v/>
      </c>
      <c r="H246">
        <f>IF([1]Accounts!$D$247="","",[1]Accounts!$D$247)</f>
        <v/>
      </c>
      <c r="L246">
        <f>IF([2]Entry!$C$249="","",[2]Entry!$C$249)</f>
        <v/>
      </c>
      <c r="M246">
        <f>IF([2]Entry!$J$249="","",[2]Entry!$J$249)</f>
        <v/>
      </c>
      <c r="N246">
        <f>IF([2]Entry!$M$249="","",[2]Entry!$M$249)</f>
        <v/>
      </c>
      <c r="O246">
        <f>IF([2]Entry!$N$249="","",[2]Entry!$N$249)</f>
        <v/>
      </c>
      <c r="P246">
        <f>IF([2]Entry!$S$249="","",[2]Entry!$S$249)</f>
        <v/>
      </c>
    </row>
    <row r="247">
      <c r="A247">
        <f>IF([1]Cheques!$A$248="","",[1]Cheques!$A$248)</f>
        <v/>
      </c>
      <c r="E247">
        <f>IF([1]Accounts!$D$248="","",[1]Accounts!$A$248)</f>
        <v/>
      </c>
      <c r="F247">
        <f>IF([1]Accounts!$D$248="","",[1]Accounts!$B$248)</f>
        <v/>
      </c>
      <c r="G247">
        <f>IF([1]Accounts!$D$248="","",[1]Accounts!$C$248)</f>
        <v/>
      </c>
      <c r="H247">
        <f>IF([1]Accounts!$D$248="","",[1]Accounts!$D$248)</f>
        <v/>
      </c>
      <c r="L247">
        <f>IF([2]Entry!$C$250="","",[2]Entry!$C$250)</f>
        <v/>
      </c>
      <c r="M247">
        <f>IF([2]Entry!$J$250="","",[2]Entry!$J$250)</f>
        <v/>
      </c>
      <c r="N247">
        <f>IF([2]Entry!$M$250="","",[2]Entry!$M$250)</f>
        <v/>
      </c>
      <c r="O247">
        <f>IF([2]Entry!$N$250="","",[2]Entry!$N$250)</f>
        <v/>
      </c>
      <c r="P247">
        <f>IF([2]Entry!$S$250="","",[2]Entry!$S$250)</f>
        <v/>
      </c>
    </row>
    <row r="248">
      <c r="A248">
        <f>IF([1]Cheques!$A$249="","",[1]Cheques!$A$249)</f>
        <v/>
      </c>
      <c r="E248">
        <f>IF([1]Accounts!$D$249="","",[1]Accounts!$A$249)</f>
        <v/>
      </c>
      <c r="F248">
        <f>IF([1]Accounts!$D$249="","",[1]Accounts!$B$249)</f>
        <v/>
      </c>
      <c r="G248">
        <f>IF([1]Accounts!$D$249="","",[1]Accounts!$C$249)</f>
        <v/>
      </c>
      <c r="H248">
        <f>IF([1]Accounts!$D$249="","",[1]Accounts!$D$249)</f>
        <v/>
      </c>
      <c r="L248">
        <f>IF([2]Entry!$C$251="","",[2]Entry!$C$251)</f>
        <v/>
      </c>
      <c r="M248">
        <f>IF([2]Entry!$J$251="","",[2]Entry!$J$251)</f>
        <v/>
      </c>
      <c r="N248">
        <f>IF([2]Entry!$M$251="","",[2]Entry!$M$251)</f>
        <v/>
      </c>
      <c r="O248">
        <f>IF([2]Entry!$N$251="","",[2]Entry!$N$251)</f>
        <v/>
      </c>
      <c r="P248">
        <f>IF([2]Entry!$S$251="","",[2]Entry!$S$251)</f>
        <v/>
      </c>
    </row>
    <row r="249">
      <c r="A249">
        <f>IF([1]Cheques!$A$250="","",[1]Cheques!$A$250)</f>
        <v/>
      </c>
      <c r="E249">
        <f>IF([1]Accounts!$D$250="","",[1]Accounts!$A$250)</f>
        <v/>
      </c>
      <c r="F249">
        <f>IF([1]Accounts!$D$250="","",[1]Accounts!$B$250)</f>
        <v/>
      </c>
      <c r="G249">
        <f>IF([1]Accounts!$D$250="","",[1]Accounts!$C$250)</f>
        <v/>
      </c>
      <c r="H249">
        <f>IF([1]Accounts!$D$250="","",[1]Accounts!$D$250)</f>
        <v/>
      </c>
      <c r="L249">
        <f>IF([2]Entry!$C$252="","",[2]Entry!$C$252)</f>
        <v/>
      </c>
      <c r="M249">
        <f>IF([2]Entry!$J$252="","",[2]Entry!$J$252)</f>
        <v/>
      </c>
      <c r="N249">
        <f>IF([2]Entry!$M$252="","",[2]Entry!$M$252)</f>
        <v/>
      </c>
      <c r="O249">
        <f>IF([2]Entry!$N$252="","",[2]Entry!$N$252)</f>
        <v/>
      </c>
      <c r="P249">
        <f>IF([2]Entry!$S$252="","",[2]Entry!$S$252)</f>
        <v/>
      </c>
    </row>
    <row r="250">
      <c r="A250">
        <f>IF([1]Cheques!$A$251="","",[1]Cheques!$A$251)</f>
        <v/>
      </c>
      <c r="E250">
        <f>IF([1]Accounts!$D$251="","",[1]Accounts!$A$251)</f>
        <v/>
      </c>
      <c r="F250">
        <f>IF([1]Accounts!$D$251="","",[1]Accounts!$B$251)</f>
        <v/>
      </c>
      <c r="G250">
        <f>IF([1]Accounts!$D$251="","",[1]Accounts!$C$251)</f>
        <v/>
      </c>
      <c r="H250">
        <f>IF([1]Accounts!$D$251="","",[1]Accounts!$D$251)</f>
        <v/>
      </c>
      <c r="L250">
        <f>IF([2]Entry!$C$253="","",[2]Entry!$C$253)</f>
        <v/>
      </c>
      <c r="M250">
        <f>IF([2]Entry!$J$253="","",[2]Entry!$J$253)</f>
        <v/>
      </c>
      <c r="N250">
        <f>IF([2]Entry!$M$253="","",[2]Entry!$M$253)</f>
        <v/>
      </c>
      <c r="O250">
        <f>IF([2]Entry!$N$253="","",[2]Entry!$N$253)</f>
        <v/>
      </c>
      <c r="P250">
        <f>IF([2]Entry!$S$253="","",[2]Entry!$S$253)</f>
        <v/>
      </c>
    </row>
    <row r="251">
      <c r="A251">
        <f>IF([1]Cheques!$A$252="","",[1]Cheques!$A$252)</f>
        <v/>
      </c>
      <c r="E251">
        <f>IF([1]Accounts!$D$252="","",[1]Accounts!$A$252)</f>
        <v/>
      </c>
      <c r="F251">
        <f>IF([1]Accounts!$D$252="","",[1]Accounts!$B$252)</f>
        <v/>
      </c>
      <c r="G251">
        <f>IF([1]Accounts!$D$252="","",[1]Accounts!$C$252)</f>
        <v/>
      </c>
      <c r="H251">
        <f>IF([1]Accounts!$D$252="","",[1]Accounts!$D$252)</f>
        <v/>
      </c>
      <c r="L251">
        <f>IF([2]Entry!$C$254="","",[2]Entry!$C$254)</f>
        <v/>
      </c>
      <c r="M251">
        <f>IF([2]Entry!$J$254="","",[2]Entry!$J$254)</f>
        <v/>
      </c>
      <c r="N251">
        <f>IF([2]Entry!$M$254="","",[2]Entry!$M$254)</f>
        <v/>
      </c>
      <c r="O251">
        <f>IF([2]Entry!$N$254="","",[2]Entry!$N$254)</f>
        <v/>
      </c>
      <c r="P251">
        <f>IF([2]Entry!$S$254="","",[2]Entry!$S$254)</f>
        <v/>
      </c>
    </row>
    <row r="252">
      <c r="A252">
        <f>IF([1]Cheques!$A$253="","",[1]Cheques!$A$253)</f>
        <v/>
      </c>
      <c r="E252">
        <f>IF([1]Accounts!$D$253="","",[1]Accounts!$A$253)</f>
        <v/>
      </c>
      <c r="F252">
        <f>IF([1]Accounts!$D$253="","",[1]Accounts!$B$253)</f>
        <v/>
      </c>
      <c r="G252">
        <f>IF([1]Accounts!$D$253="","",[1]Accounts!$C$253)</f>
        <v/>
      </c>
      <c r="H252">
        <f>IF([1]Accounts!$D$253="","",[1]Accounts!$D$253)</f>
        <v/>
      </c>
      <c r="L252">
        <f>IF([2]Entry!$C$255="","",[2]Entry!$C$255)</f>
        <v/>
      </c>
      <c r="M252">
        <f>IF([2]Entry!$J$255="","",[2]Entry!$J$255)</f>
        <v/>
      </c>
      <c r="N252">
        <f>IF([2]Entry!$M$255="","",[2]Entry!$M$255)</f>
        <v/>
      </c>
      <c r="O252">
        <f>IF([2]Entry!$N$255="","",[2]Entry!$N$255)</f>
        <v/>
      </c>
      <c r="P252">
        <f>IF([2]Entry!$S$255="","",[2]Entry!$S$255)</f>
        <v/>
      </c>
    </row>
    <row r="253">
      <c r="A253">
        <f>IF([1]Cheques!$A$254="","",[1]Cheques!$A$254)</f>
        <v/>
      </c>
      <c r="E253">
        <f>IF([1]Accounts!$D$254="","",[1]Accounts!$A$254)</f>
        <v/>
      </c>
      <c r="F253">
        <f>IF([1]Accounts!$D$254="","",[1]Accounts!$B$254)</f>
        <v/>
      </c>
      <c r="G253">
        <f>IF([1]Accounts!$D$254="","",[1]Accounts!$C$254)</f>
        <v/>
      </c>
      <c r="H253">
        <f>IF([1]Accounts!$D$254="","",[1]Accounts!$D$254)</f>
        <v/>
      </c>
      <c r="L253">
        <f>IF([2]Entry!$C$256="","",[2]Entry!$C$256)</f>
        <v/>
      </c>
      <c r="M253">
        <f>IF([2]Entry!$J$256="","",[2]Entry!$J$256)</f>
        <v/>
      </c>
      <c r="N253">
        <f>IF([2]Entry!$M$256="","",[2]Entry!$M$256)</f>
        <v/>
      </c>
      <c r="O253">
        <f>IF([2]Entry!$N$256="","",[2]Entry!$N$256)</f>
        <v/>
      </c>
      <c r="P253">
        <f>IF([2]Entry!$S$256="","",[2]Entry!$S$256)</f>
        <v/>
      </c>
    </row>
    <row r="254">
      <c r="A254">
        <f>IF([1]Cheques!$A$255="","",[1]Cheques!$A$255)</f>
        <v/>
      </c>
      <c r="E254">
        <f>IF([1]Accounts!$D$255="","",[1]Accounts!$A$255)</f>
        <v/>
      </c>
      <c r="F254">
        <f>IF([1]Accounts!$D$255="","",[1]Accounts!$B$255)</f>
        <v/>
      </c>
      <c r="G254">
        <f>IF([1]Accounts!$D$255="","",[1]Accounts!$C$255)</f>
        <v/>
      </c>
      <c r="H254">
        <f>IF([1]Accounts!$D$255="","",[1]Accounts!$D$255)</f>
        <v/>
      </c>
      <c r="L254">
        <f>IF([2]Entry!$C$257="","",[2]Entry!$C$257)</f>
        <v/>
      </c>
      <c r="M254">
        <f>IF([2]Entry!$J$257="","",[2]Entry!$J$257)</f>
        <v/>
      </c>
      <c r="N254">
        <f>IF([2]Entry!$M$257="","",[2]Entry!$M$257)</f>
        <v/>
      </c>
      <c r="O254">
        <f>IF([2]Entry!$N$257="","",[2]Entry!$N$257)</f>
        <v/>
      </c>
      <c r="P254">
        <f>IF([2]Entry!$S$257="","",[2]Entry!$S$257)</f>
        <v/>
      </c>
    </row>
    <row r="255">
      <c r="A255">
        <f>IF([1]Cheques!$A$256="","",[1]Cheques!$A$256)</f>
        <v/>
      </c>
      <c r="E255">
        <f>IF([1]Accounts!$D$256="","",[1]Accounts!$A$256)</f>
        <v/>
      </c>
      <c r="F255">
        <f>IF([1]Accounts!$D$256="","",[1]Accounts!$B$256)</f>
        <v/>
      </c>
      <c r="G255">
        <f>IF([1]Accounts!$D$256="","",[1]Accounts!$C$256)</f>
        <v/>
      </c>
      <c r="H255">
        <f>IF([1]Accounts!$D$256="","",[1]Accounts!$D$256)</f>
        <v/>
      </c>
      <c r="L255">
        <f>IF([2]Entry!$C$258="","",[2]Entry!$C$258)</f>
        <v/>
      </c>
      <c r="M255">
        <f>IF([2]Entry!$J$258="","",[2]Entry!$J$258)</f>
        <v/>
      </c>
      <c r="N255">
        <f>IF([2]Entry!$M$258="","",[2]Entry!$M$258)</f>
        <v/>
      </c>
      <c r="O255">
        <f>IF([2]Entry!$N$258="","",[2]Entry!$N$258)</f>
        <v/>
      </c>
      <c r="P255">
        <f>IF([2]Entry!$S$258="","",[2]Entry!$S$258)</f>
        <v/>
      </c>
    </row>
    <row r="256">
      <c r="A256">
        <f>IF([1]Cheques!$A$257="","",[1]Cheques!$A$257)</f>
        <v/>
      </c>
      <c r="E256">
        <f>IF([1]Accounts!$D$257="","",[1]Accounts!$A$257)</f>
        <v/>
      </c>
      <c r="F256">
        <f>IF([1]Accounts!$D$257="","",[1]Accounts!$B$257)</f>
        <v/>
      </c>
      <c r="G256">
        <f>IF([1]Accounts!$D$257="","",[1]Accounts!$C$257)</f>
        <v/>
      </c>
      <c r="H256">
        <f>IF([1]Accounts!$D$257="","",[1]Accounts!$D$257)</f>
        <v/>
      </c>
      <c r="L256">
        <f>IF([2]Entry!$C$259="","",[2]Entry!$C$259)</f>
        <v/>
      </c>
      <c r="M256">
        <f>IF([2]Entry!$J$259="","",[2]Entry!$J$259)</f>
        <v/>
      </c>
      <c r="N256">
        <f>IF([2]Entry!$M$259="","",[2]Entry!$M$259)</f>
        <v/>
      </c>
      <c r="O256">
        <f>IF([2]Entry!$N$259="","",[2]Entry!$N$259)</f>
        <v/>
      </c>
      <c r="P256">
        <f>IF([2]Entry!$S$259="","",[2]Entry!$S$259)</f>
        <v/>
      </c>
    </row>
    <row r="257">
      <c r="A257">
        <f>IF([1]Cheques!$A$258="","",[1]Cheques!$A$258)</f>
        <v/>
      </c>
      <c r="E257">
        <f>IF([1]Accounts!$D$258="","",[1]Accounts!$A$258)</f>
        <v/>
      </c>
      <c r="F257">
        <f>IF([1]Accounts!$D$258="","",[1]Accounts!$B$258)</f>
        <v/>
      </c>
      <c r="G257">
        <f>IF([1]Accounts!$D$258="","",[1]Accounts!$C$258)</f>
        <v/>
      </c>
      <c r="H257">
        <f>IF([1]Accounts!$D$258="","",[1]Accounts!$D$258)</f>
        <v/>
      </c>
      <c r="L257">
        <f>IF([2]Entry!$C$260="","",[2]Entry!$C$260)</f>
        <v/>
      </c>
      <c r="M257">
        <f>IF([2]Entry!$J$260="","",[2]Entry!$J$260)</f>
        <v/>
      </c>
      <c r="N257">
        <f>IF([2]Entry!$M$260="","",[2]Entry!$M$260)</f>
        <v/>
      </c>
      <c r="O257">
        <f>IF([2]Entry!$N$260="","",[2]Entry!$N$260)</f>
        <v/>
      </c>
      <c r="P257">
        <f>IF([2]Entry!$S$260="","",[2]Entry!$S$260)</f>
        <v/>
      </c>
    </row>
    <row r="258">
      <c r="A258">
        <f>IF([1]Cheques!$A$259="","",[1]Cheques!$A$259)</f>
        <v/>
      </c>
      <c r="E258">
        <f>IF([1]Accounts!$D$259="","",[1]Accounts!$A$259)</f>
        <v/>
      </c>
      <c r="F258">
        <f>IF([1]Accounts!$D$259="","",[1]Accounts!$B$259)</f>
        <v/>
      </c>
      <c r="G258">
        <f>IF([1]Accounts!$D$259="","",[1]Accounts!$C$259)</f>
        <v/>
      </c>
      <c r="H258">
        <f>IF([1]Accounts!$D$259="","",[1]Accounts!$D$259)</f>
        <v/>
      </c>
      <c r="L258">
        <f>IF([2]Entry!$C$261="","",[2]Entry!$C$261)</f>
        <v/>
      </c>
      <c r="M258">
        <f>IF([2]Entry!$J$261="","",[2]Entry!$J$261)</f>
        <v/>
      </c>
      <c r="N258">
        <f>IF([2]Entry!$M$261="","",[2]Entry!$M$261)</f>
        <v/>
      </c>
      <c r="O258">
        <f>IF([2]Entry!$N$261="","",[2]Entry!$N$261)</f>
        <v/>
      </c>
      <c r="P258">
        <f>IF([2]Entry!$S$261="","",[2]Entry!$S$261)</f>
        <v/>
      </c>
    </row>
    <row r="259">
      <c r="A259">
        <f>IF([1]Cheques!$A$260="","",[1]Cheques!$A$260)</f>
        <v/>
      </c>
      <c r="E259">
        <f>IF([1]Accounts!$D$260="","",[1]Accounts!$A$260)</f>
        <v/>
      </c>
      <c r="F259">
        <f>IF([1]Accounts!$D$260="","",[1]Accounts!$B$260)</f>
        <v/>
      </c>
      <c r="G259">
        <f>IF([1]Accounts!$D$260="","",[1]Accounts!$C$260)</f>
        <v/>
      </c>
      <c r="H259">
        <f>IF([1]Accounts!$D$260="","",[1]Accounts!$D$260)</f>
        <v/>
      </c>
      <c r="L259">
        <f>IF([2]Entry!$C$262="","",[2]Entry!$C$262)</f>
        <v/>
      </c>
      <c r="M259">
        <f>IF([2]Entry!$J$262="","",[2]Entry!$J$262)</f>
        <v/>
      </c>
      <c r="N259">
        <f>IF([2]Entry!$M$262="","",[2]Entry!$M$262)</f>
        <v/>
      </c>
      <c r="O259">
        <f>IF([2]Entry!$N$262="","",[2]Entry!$N$262)</f>
        <v/>
      </c>
      <c r="P259">
        <f>IF([2]Entry!$S$262="","",[2]Entry!$S$262)</f>
        <v/>
      </c>
    </row>
    <row r="260">
      <c r="A260">
        <f>IF([1]Cheques!$A$261="","",[1]Cheques!$A$261)</f>
        <v/>
      </c>
      <c r="E260">
        <f>IF([1]Accounts!$D$261="","",[1]Accounts!$A$261)</f>
        <v/>
      </c>
      <c r="F260">
        <f>IF([1]Accounts!$D$261="","",[1]Accounts!$B$261)</f>
        <v/>
      </c>
      <c r="G260">
        <f>IF([1]Accounts!$D$261="","",[1]Accounts!$C$261)</f>
        <v/>
      </c>
      <c r="H260">
        <f>IF([1]Accounts!$D$261="","",[1]Accounts!$D$261)</f>
        <v/>
      </c>
      <c r="L260">
        <f>IF([2]Entry!$C$263="","",[2]Entry!$C$263)</f>
        <v/>
      </c>
      <c r="M260">
        <f>IF([2]Entry!$J$263="","",[2]Entry!$J$263)</f>
        <v/>
      </c>
      <c r="N260">
        <f>IF([2]Entry!$M$263="","",[2]Entry!$M$263)</f>
        <v/>
      </c>
      <c r="O260">
        <f>IF([2]Entry!$N$263="","",[2]Entry!$N$263)</f>
        <v/>
      </c>
      <c r="P260">
        <f>IF([2]Entry!$S$263="","",[2]Entry!$S$263)</f>
        <v/>
      </c>
    </row>
    <row r="261">
      <c r="A261">
        <f>IF([1]Cheques!$A$262="","",[1]Cheques!$A$262)</f>
        <v/>
      </c>
      <c r="E261">
        <f>IF([1]Accounts!$D$262="","",[1]Accounts!$A$262)</f>
        <v/>
      </c>
      <c r="F261">
        <f>IF([1]Accounts!$D$262="","",[1]Accounts!$B$262)</f>
        <v/>
      </c>
      <c r="G261">
        <f>IF([1]Accounts!$D$262="","",[1]Accounts!$C$262)</f>
        <v/>
      </c>
      <c r="H261">
        <f>IF([1]Accounts!$D$262="","",[1]Accounts!$D$262)</f>
        <v/>
      </c>
      <c r="L261">
        <f>IF([2]Entry!$C$264="","",[2]Entry!$C$264)</f>
        <v/>
      </c>
      <c r="M261">
        <f>IF([2]Entry!$J$264="","",[2]Entry!$J$264)</f>
        <v/>
      </c>
      <c r="N261">
        <f>IF([2]Entry!$M$264="","",[2]Entry!$M$264)</f>
        <v/>
      </c>
      <c r="O261">
        <f>IF([2]Entry!$N$264="","",[2]Entry!$N$264)</f>
        <v/>
      </c>
      <c r="P261">
        <f>IF([2]Entry!$S$264="","",[2]Entry!$S$264)</f>
        <v/>
      </c>
    </row>
    <row r="262">
      <c r="A262">
        <f>IF([1]Cheques!$A$263="","",[1]Cheques!$A$263)</f>
        <v/>
      </c>
      <c r="E262">
        <f>IF([1]Accounts!$D$263="","",[1]Accounts!$A$263)</f>
        <v/>
      </c>
      <c r="F262">
        <f>IF([1]Accounts!$D$263="","",[1]Accounts!$B$263)</f>
        <v/>
      </c>
      <c r="G262">
        <f>IF([1]Accounts!$D$263="","",[1]Accounts!$C$263)</f>
        <v/>
      </c>
      <c r="H262">
        <f>IF([1]Accounts!$D$263="","",[1]Accounts!$D$263)</f>
        <v/>
      </c>
      <c r="L262">
        <f>IF([2]Entry!$C$265="","",[2]Entry!$C$265)</f>
        <v/>
      </c>
      <c r="M262">
        <f>IF([2]Entry!$J$265="","",[2]Entry!$J$265)</f>
        <v/>
      </c>
      <c r="N262">
        <f>IF([2]Entry!$M$265="","",[2]Entry!$M$265)</f>
        <v/>
      </c>
      <c r="O262">
        <f>IF([2]Entry!$N$265="","",[2]Entry!$N$265)</f>
        <v/>
      </c>
      <c r="P262">
        <f>IF([2]Entry!$S$265="","",[2]Entry!$S$265)</f>
        <v/>
      </c>
    </row>
    <row r="263">
      <c r="A263">
        <f>IF([1]Cheques!$A$264="","",[1]Cheques!$A$264)</f>
        <v/>
      </c>
      <c r="E263">
        <f>IF([1]Accounts!$D$264="","",[1]Accounts!$A$264)</f>
        <v/>
      </c>
      <c r="F263">
        <f>IF([1]Accounts!$D$264="","",[1]Accounts!$B$264)</f>
        <v/>
      </c>
      <c r="G263">
        <f>IF([1]Accounts!$D$264="","",[1]Accounts!$C$264)</f>
        <v/>
      </c>
      <c r="H263">
        <f>IF([1]Accounts!$D$264="","",[1]Accounts!$D$264)</f>
        <v/>
      </c>
      <c r="L263">
        <f>IF([2]Entry!$C$266="","",[2]Entry!$C$266)</f>
        <v/>
      </c>
      <c r="M263">
        <f>IF([2]Entry!$J$266="","",[2]Entry!$J$266)</f>
        <v/>
      </c>
      <c r="N263">
        <f>IF([2]Entry!$M$266="","",[2]Entry!$M$266)</f>
        <v/>
      </c>
      <c r="O263">
        <f>IF([2]Entry!$N$266="","",[2]Entry!$N$266)</f>
        <v/>
      </c>
      <c r="P263">
        <f>IF([2]Entry!$S$266="","",[2]Entry!$S$266)</f>
        <v/>
      </c>
    </row>
    <row r="264">
      <c r="A264">
        <f>IF([1]Cheques!$A$265="","",[1]Cheques!$A$265)</f>
        <v/>
      </c>
      <c r="E264">
        <f>IF([1]Accounts!$D$265="","",[1]Accounts!$A$265)</f>
        <v/>
      </c>
      <c r="F264">
        <f>IF([1]Accounts!$D$265="","",[1]Accounts!$B$265)</f>
        <v/>
      </c>
      <c r="G264">
        <f>IF([1]Accounts!$D$265="","",[1]Accounts!$C$265)</f>
        <v/>
      </c>
      <c r="H264">
        <f>IF([1]Accounts!$D$265="","",[1]Accounts!$D$265)</f>
        <v/>
      </c>
      <c r="L264">
        <f>IF([2]Entry!$C$267="","",[2]Entry!$C$267)</f>
        <v/>
      </c>
      <c r="M264">
        <f>IF([2]Entry!$J$267="","",[2]Entry!$J$267)</f>
        <v/>
      </c>
      <c r="N264">
        <f>IF([2]Entry!$M$267="","",[2]Entry!$M$267)</f>
        <v/>
      </c>
      <c r="O264">
        <f>IF([2]Entry!$N$267="","",[2]Entry!$N$267)</f>
        <v/>
      </c>
      <c r="P264">
        <f>IF([2]Entry!$S$267="","",[2]Entry!$S$267)</f>
        <v/>
      </c>
    </row>
    <row r="265">
      <c r="A265">
        <f>IF([1]Cheques!$A$266="","",[1]Cheques!$A$266)</f>
        <v/>
      </c>
      <c r="E265">
        <f>IF([1]Accounts!$D$266="","",[1]Accounts!$A$266)</f>
        <v/>
      </c>
      <c r="F265">
        <f>IF([1]Accounts!$D$266="","",[1]Accounts!$B$266)</f>
        <v/>
      </c>
      <c r="G265">
        <f>IF([1]Accounts!$D$266="","",[1]Accounts!$C$266)</f>
        <v/>
      </c>
      <c r="H265">
        <f>IF([1]Accounts!$D$266="","",[1]Accounts!$D$266)</f>
        <v/>
      </c>
      <c r="L265">
        <f>IF([2]Entry!$C$268="","",[2]Entry!$C$268)</f>
        <v/>
      </c>
      <c r="M265">
        <f>IF([2]Entry!$J$268="","",[2]Entry!$J$268)</f>
        <v/>
      </c>
      <c r="N265">
        <f>IF([2]Entry!$M$268="","",[2]Entry!$M$268)</f>
        <v/>
      </c>
      <c r="O265">
        <f>IF([2]Entry!$N$268="","",[2]Entry!$N$268)</f>
        <v/>
      </c>
      <c r="P265">
        <f>IF([2]Entry!$S$268="","",[2]Entry!$S$268)</f>
        <v/>
      </c>
    </row>
    <row r="266">
      <c r="A266">
        <f>IF([1]Cheques!$A$267="","",[1]Cheques!$A$267)</f>
        <v/>
      </c>
      <c r="E266">
        <f>IF([1]Accounts!$D$267="","",[1]Accounts!$A$267)</f>
        <v/>
      </c>
      <c r="F266">
        <f>IF([1]Accounts!$D$267="","",[1]Accounts!$B$267)</f>
        <v/>
      </c>
      <c r="G266">
        <f>IF([1]Accounts!$D$267="","",[1]Accounts!$C$267)</f>
        <v/>
      </c>
      <c r="H266">
        <f>IF([1]Accounts!$D$267="","",[1]Accounts!$D$267)</f>
        <v/>
      </c>
      <c r="L266">
        <f>IF([2]Entry!$C$269="","",[2]Entry!$C$269)</f>
        <v/>
      </c>
      <c r="M266">
        <f>IF([2]Entry!$J$269="","",[2]Entry!$J$269)</f>
        <v/>
      </c>
      <c r="N266">
        <f>IF([2]Entry!$M$269="","",[2]Entry!$M$269)</f>
        <v/>
      </c>
      <c r="O266">
        <f>IF([2]Entry!$N$269="","",[2]Entry!$N$269)</f>
        <v/>
      </c>
      <c r="P266">
        <f>IF([2]Entry!$S$269="","",[2]Entry!$S$269)</f>
        <v/>
      </c>
    </row>
    <row r="267">
      <c r="A267">
        <f>IF([1]Cheques!$A$268="","",[1]Cheques!$A$268)</f>
        <v/>
      </c>
      <c r="E267">
        <f>IF([1]Accounts!$D$268="","",[1]Accounts!$A$268)</f>
        <v/>
      </c>
      <c r="F267">
        <f>IF([1]Accounts!$D$268="","",[1]Accounts!$B$268)</f>
        <v/>
      </c>
      <c r="G267">
        <f>IF([1]Accounts!$D$268="","",[1]Accounts!$C$268)</f>
        <v/>
      </c>
      <c r="H267">
        <f>IF([1]Accounts!$D$268="","",[1]Accounts!$D$268)</f>
        <v/>
      </c>
      <c r="L267">
        <f>IF([2]Entry!$C$270="","",[2]Entry!$C$270)</f>
        <v/>
      </c>
      <c r="M267">
        <f>IF([2]Entry!$J$270="","",[2]Entry!$J$270)</f>
        <v/>
      </c>
      <c r="N267">
        <f>IF([2]Entry!$M$270="","",[2]Entry!$M$270)</f>
        <v/>
      </c>
      <c r="O267">
        <f>IF([2]Entry!$N$270="","",[2]Entry!$N$270)</f>
        <v/>
      </c>
      <c r="P267">
        <f>IF([2]Entry!$S$270="","",[2]Entry!$S$270)</f>
        <v/>
      </c>
    </row>
    <row r="268">
      <c r="A268">
        <f>IF([1]Cheques!$A$269="","",[1]Cheques!$A$269)</f>
        <v/>
      </c>
      <c r="E268">
        <f>IF([1]Accounts!$D$269="","",[1]Accounts!$A$269)</f>
        <v/>
      </c>
      <c r="F268">
        <f>IF([1]Accounts!$D$269="","",[1]Accounts!$B$269)</f>
        <v/>
      </c>
      <c r="G268">
        <f>IF([1]Accounts!$D$269="","",[1]Accounts!$C$269)</f>
        <v/>
      </c>
      <c r="H268">
        <f>IF([1]Accounts!$D$269="","",[1]Accounts!$D$269)</f>
        <v/>
      </c>
      <c r="L268">
        <f>IF([2]Entry!$C$271="","",[2]Entry!$C$271)</f>
        <v/>
      </c>
      <c r="M268">
        <f>IF([2]Entry!$J$271="","",[2]Entry!$J$271)</f>
        <v/>
      </c>
      <c r="N268">
        <f>IF([2]Entry!$M$271="","",[2]Entry!$M$271)</f>
        <v/>
      </c>
      <c r="O268">
        <f>IF([2]Entry!$N$271="","",[2]Entry!$N$271)</f>
        <v/>
      </c>
      <c r="P268">
        <f>IF([2]Entry!$S$271="","",[2]Entry!$S$271)</f>
        <v/>
      </c>
    </row>
    <row r="269">
      <c r="A269">
        <f>IF([1]Cheques!$A$270="","",[1]Cheques!$A$270)</f>
        <v/>
      </c>
      <c r="E269">
        <f>IF([1]Accounts!$D$270="","",[1]Accounts!$A$270)</f>
        <v/>
      </c>
      <c r="F269">
        <f>IF([1]Accounts!$D$270="","",[1]Accounts!$B$270)</f>
        <v/>
      </c>
      <c r="G269">
        <f>IF([1]Accounts!$D$270="","",[1]Accounts!$C$270)</f>
        <v/>
      </c>
      <c r="H269">
        <f>IF([1]Accounts!$D$270="","",[1]Accounts!$D$270)</f>
        <v/>
      </c>
      <c r="L269">
        <f>IF([2]Entry!$C$272="","",[2]Entry!$C$272)</f>
        <v/>
      </c>
      <c r="M269">
        <f>IF([2]Entry!$J$272="","",[2]Entry!$J$272)</f>
        <v/>
      </c>
      <c r="N269">
        <f>IF([2]Entry!$M$272="","",[2]Entry!$M$272)</f>
        <v/>
      </c>
      <c r="O269">
        <f>IF([2]Entry!$N$272="","",[2]Entry!$N$272)</f>
        <v/>
      </c>
      <c r="P269">
        <f>IF([2]Entry!$S$272="","",[2]Entry!$S$272)</f>
        <v/>
      </c>
    </row>
    <row r="270">
      <c r="A270">
        <f>IF([1]Cheques!$A$271="","",[1]Cheques!$A$271)</f>
        <v/>
      </c>
      <c r="E270">
        <f>IF([1]Accounts!$D$271="","",[1]Accounts!$A$271)</f>
        <v/>
      </c>
      <c r="F270">
        <f>IF([1]Accounts!$D$271="","",[1]Accounts!$B$271)</f>
        <v/>
      </c>
      <c r="G270">
        <f>IF([1]Accounts!$D$271="","",[1]Accounts!$C$271)</f>
        <v/>
      </c>
      <c r="H270">
        <f>IF([1]Accounts!$D$271="","",[1]Accounts!$D$271)</f>
        <v/>
      </c>
      <c r="L270">
        <f>IF([2]Entry!$C$273="","",[2]Entry!$C$273)</f>
        <v/>
      </c>
      <c r="M270">
        <f>IF([2]Entry!$J$273="","",[2]Entry!$J$273)</f>
        <v/>
      </c>
      <c r="N270">
        <f>IF([2]Entry!$M$273="","",[2]Entry!$M$273)</f>
        <v/>
      </c>
      <c r="O270">
        <f>IF([2]Entry!$N$273="","",[2]Entry!$N$273)</f>
        <v/>
      </c>
      <c r="P270">
        <f>IF([2]Entry!$S$273="","",[2]Entry!$S$273)</f>
        <v/>
      </c>
    </row>
    <row r="271">
      <c r="A271">
        <f>IF([1]Cheques!$A$272="","",[1]Cheques!$A$272)</f>
        <v/>
      </c>
      <c r="E271">
        <f>IF([1]Accounts!$D$272="","",[1]Accounts!$A$272)</f>
        <v/>
      </c>
      <c r="F271">
        <f>IF([1]Accounts!$D$272="","",[1]Accounts!$B$272)</f>
        <v/>
      </c>
      <c r="G271">
        <f>IF([1]Accounts!$D$272="","",[1]Accounts!$C$272)</f>
        <v/>
      </c>
      <c r="H271">
        <f>IF([1]Accounts!$D$272="","",[1]Accounts!$D$272)</f>
        <v/>
      </c>
      <c r="L271">
        <f>IF([2]Entry!$C$274="","",[2]Entry!$C$274)</f>
        <v/>
      </c>
      <c r="M271">
        <f>IF([2]Entry!$J$274="","",[2]Entry!$J$274)</f>
        <v/>
      </c>
      <c r="N271">
        <f>IF([2]Entry!$M$274="","",[2]Entry!$M$274)</f>
        <v/>
      </c>
      <c r="O271">
        <f>IF([2]Entry!$N$274="","",[2]Entry!$N$274)</f>
        <v/>
      </c>
      <c r="P271">
        <f>IF([2]Entry!$S$274="","",[2]Entry!$S$274)</f>
        <v/>
      </c>
    </row>
    <row r="272">
      <c r="A272">
        <f>IF([1]Cheques!$A$273="","",[1]Cheques!$A$273)</f>
        <v/>
      </c>
      <c r="E272">
        <f>IF([1]Accounts!$D$273="","",[1]Accounts!$A$273)</f>
        <v/>
      </c>
      <c r="F272">
        <f>IF([1]Accounts!$D$273="","",[1]Accounts!$B$273)</f>
        <v/>
      </c>
      <c r="G272">
        <f>IF([1]Accounts!$D$273="","",[1]Accounts!$C$273)</f>
        <v/>
      </c>
      <c r="H272">
        <f>IF([1]Accounts!$D$273="","",[1]Accounts!$D$273)</f>
        <v/>
      </c>
      <c r="L272">
        <f>IF([2]Entry!$C$275="","",[2]Entry!$C$275)</f>
        <v/>
      </c>
      <c r="M272">
        <f>IF([2]Entry!$J$275="","",[2]Entry!$J$275)</f>
        <v/>
      </c>
      <c r="N272">
        <f>IF([2]Entry!$M$275="","",[2]Entry!$M$275)</f>
        <v/>
      </c>
      <c r="O272">
        <f>IF([2]Entry!$N$275="","",[2]Entry!$N$275)</f>
        <v/>
      </c>
      <c r="P272">
        <f>IF([2]Entry!$S$275="","",[2]Entry!$S$275)</f>
        <v/>
      </c>
    </row>
    <row r="273">
      <c r="A273">
        <f>IF([1]Cheques!$A$274="","",[1]Cheques!$A$274)</f>
        <v/>
      </c>
      <c r="E273">
        <f>IF([1]Accounts!$D$274="","",[1]Accounts!$A$274)</f>
        <v/>
      </c>
      <c r="F273">
        <f>IF([1]Accounts!$D$274="","",[1]Accounts!$B$274)</f>
        <v/>
      </c>
      <c r="G273">
        <f>IF([1]Accounts!$D$274="","",[1]Accounts!$C$274)</f>
        <v/>
      </c>
      <c r="H273">
        <f>IF([1]Accounts!$D$274="","",[1]Accounts!$D$274)</f>
        <v/>
      </c>
      <c r="L273">
        <f>IF([2]Entry!$C$276="","",[2]Entry!$C$276)</f>
        <v/>
      </c>
      <c r="M273">
        <f>IF([2]Entry!$J$276="","",[2]Entry!$J$276)</f>
        <v/>
      </c>
      <c r="N273">
        <f>IF([2]Entry!$M$276="","",[2]Entry!$M$276)</f>
        <v/>
      </c>
      <c r="O273">
        <f>IF([2]Entry!$N$276="","",[2]Entry!$N$276)</f>
        <v/>
      </c>
      <c r="P273">
        <f>IF([2]Entry!$S$276="","",[2]Entry!$S$276)</f>
        <v/>
      </c>
    </row>
    <row r="274">
      <c r="A274">
        <f>IF([1]Cheques!$A$275="","",[1]Cheques!$A$275)</f>
        <v/>
      </c>
      <c r="E274">
        <f>IF([1]Accounts!$D$275="","",[1]Accounts!$A$275)</f>
        <v/>
      </c>
      <c r="F274">
        <f>IF([1]Accounts!$D$275="","",[1]Accounts!$B$275)</f>
        <v/>
      </c>
      <c r="G274">
        <f>IF([1]Accounts!$D$275="","",[1]Accounts!$C$275)</f>
        <v/>
      </c>
      <c r="H274">
        <f>IF([1]Accounts!$D$275="","",[1]Accounts!$D$275)</f>
        <v/>
      </c>
      <c r="L274">
        <f>IF([2]Entry!$C$277="","",[2]Entry!$C$277)</f>
        <v/>
      </c>
      <c r="M274">
        <f>IF([2]Entry!$J$277="","",[2]Entry!$J$277)</f>
        <v/>
      </c>
      <c r="N274">
        <f>IF([2]Entry!$M$277="","",[2]Entry!$M$277)</f>
        <v/>
      </c>
      <c r="O274">
        <f>IF([2]Entry!$N$277="","",[2]Entry!$N$277)</f>
        <v/>
      </c>
      <c r="P274">
        <f>IF([2]Entry!$S$277="","",[2]Entry!$S$277)</f>
        <v/>
      </c>
    </row>
    <row r="275">
      <c r="A275">
        <f>IF([1]Cheques!$A$276="","",[1]Cheques!$A$276)</f>
        <v/>
      </c>
      <c r="E275">
        <f>IF([1]Accounts!$D$276="","",[1]Accounts!$A$276)</f>
        <v/>
      </c>
      <c r="F275">
        <f>IF([1]Accounts!$D$276="","",[1]Accounts!$B$276)</f>
        <v/>
      </c>
      <c r="G275">
        <f>IF([1]Accounts!$D$276="","",[1]Accounts!$C$276)</f>
        <v/>
      </c>
      <c r="H275">
        <f>IF([1]Accounts!$D$276="","",[1]Accounts!$D$276)</f>
        <v/>
      </c>
      <c r="L275">
        <f>IF([2]Entry!$C$278="","",[2]Entry!$C$278)</f>
        <v/>
      </c>
      <c r="M275">
        <f>IF([2]Entry!$J$278="","",[2]Entry!$J$278)</f>
        <v/>
      </c>
      <c r="N275">
        <f>IF([2]Entry!$M$278="","",[2]Entry!$M$278)</f>
        <v/>
      </c>
      <c r="O275">
        <f>IF([2]Entry!$N$278="","",[2]Entry!$N$278)</f>
        <v/>
      </c>
      <c r="P275">
        <f>IF([2]Entry!$S$278="","",[2]Entry!$S$278)</f>
        <v/>
      </c>
    </row>
    <row r="276">
      <c r="A276">
        <f>IF([1]Cheques!$A$277="","",[1]Cheques!$A$277)</f>
        <v/>
      </c>
      <c r="E276">
        <f>IF([1]Accounts!$D$277="","",[1]Accounts!$A$277)</f>
        <v/>
      </c>
      <c r="F276">
        <f>IF([1]Accounts!$D$277="","",[1]Accounts!$B$277)</f>
        <v/>
      </c>
      <c r="G276">
        <f>IF([1]Accounts!$D$277="","",[1]Accounts!$C$277)</f>
        <v/>
      </c>
      <c r="H276">
        <f>IF([1]Accounts!$D$277="","",[1]Accounts!$D$277)</f>
        <v/>
      </c>
      <c r="L276">
        <f>IF([2]Entry!$C$279="","",[2]Entry!$C$279)</f>
        <v/>
      </c>
      <c r="M276">
        <f>IF([2]Entry!$J$279="","",[2]Entry!$J$279)</f>
        <v/>
      </c>
      <c r="N276">
        <f>IF([2]Entry!$M$279="","",[2]Entry!$M$279)</f>
        <v/>
      </c>
      <c r="O276">
        <f>IF([2]Entry!$N$279="","",[2]Entry!$N$279)</f>
        <v/>
      </c>
      <c r="P276">
        <f>IF([2]Entry!$S$279="","",[2]Entry!$S$279)</f>
        <v/>
      </c>
    </row>
    <row r="277">
      <c r="A277">
        <f>IF([1]Cheques!$A$278="","",[1]Cheques!$A$278)</f>
        <v/>
      </c>
      <c r="E277">
        <f>IF([1]Accounts!$D$278="","",[1]Accounts!$A$278)</f>
        <v/>
      </c>
      <c r="F277">
        <f>IF([1]Accounts!$D$278="","",[1]Accounts!$B$278)</f>
        <v/>
      </c>
      <c r="G277">
        <f>IF([1]Accounts!$D$278="","",[1]Accounts!$C$278)</f>
        <v/>
      </c>
      <c r="H277">
        <f>IF([1]Accounts!$D$278="","",[1]Accounts!$D$278)</f>
        <v/>
      </c>
      <c r="L277">
        <f>IF([2]Entry!$C$280="","",[2]Entry!$C$280)</f>
        <v/>
      </c>
      <c r="M277">
        <f>IF([2]Entry!$J$280="","",[2]Entry!$J$280)</f>
        <v/>
      </c>
      <c r="N277">
        <f>IF([2]Entry!$M$280="","",[2]Entry!$M$280)</f>
        <v/>
      </c>
      <c r="O277">
        <f>IF([2]Entry!$N$280="","",[2]Entry!$N$280)</f>
        <v/>
      </c>
      <c r="P277">
        <f>IF([2]Entry!$S$280="","",[2]Entry!$S$280)</f>
        <v/>
      </c>
    </row>
    <row r="278">
      <c r="A278">
        <f>IF([1]Cheques!$A$279="","",[1]Cheques!$A$279)</f>
        <v/>
      </c>
      <c r="E278">
        <f>IF([1]Accounts!$D$279="","",[1]Accounts!$A$279)</f>
        <v/>
      </c>
      <c r="F278">
        <f>IF([1]Accounts!$D$279="","",[1]Accounts!$B$279)</f>
        <v/>
      </c>
      <c r="G278">
        <f>IF([1]Accounts!$D$279="","",[1]Accounts!$C$279)</f>
        <v/>
      </c>
      <c r="H278">
        <f>IF([1]Accounts!$D$279="","",[1]Accounts!$D$279)</f>
        <v/>
      </c>
      <c r="L278">
        <f>IF([2]Entry!$C$281="","",[2]Entry!$C$281)</f>
        <v/>
      </c>
      <c r="M278">
        <f>IF([2]Entry!$J$281="","",[2]Entry!$J$281)</f>
        <v/>
      </c>
      <c r="N278">
        <f>IF([2]Entry!$M$281="","",[2]Entry!$M$281)</f>
        <v/>
      </c>
      <c r="O278">
        <f>IF([2]Entry!$N$281="","",[2]Entry!$N$281)</f>
        <v/>
      </c>
      <c r="P278">
        <f>IF([2]Entry!$S$281="","",[2]Entry!$S$281)</f>
        <v/>
      </c>
    </row>
    <row r="279">
      <c r="A279">
        <f>IF([1]Cheques!$A$280="","",[1]Cheques!$A$280)</f>
        <v/>
      </c>
      <c r="E279">
        <f>IF([1]Accounts!$D$280="","",[1]Accounts!$A$280)</f>
        <v/>
      </c>
      <c r="F279">
        <f>IF([1]Accounts!$D$280="","",[1]Accounts!$B$280)</f>
        <v/>
      </c>
      <c r="G279">
        <f>IF([1]Accounts!$D$280="","",[1]Accounts!$C$280)</f>
        <v/>
      </c>
      <c r="H279">
        <f>IF([1]Accounts!$D$280="","",[1]Accounts!$D$280)</f>
        <v/>
      </c>
      <c r="L279">
        <f>IF([2]Entry!$C$282="","",[2]Entry!$C$282)</f>
        <v/>
      </c>
      <c r="M279">
        <f>IF([2]Entry!$J$282="","",[2]Entry!$J$282)</f>
        <v/>
      </c>
      <c r="N279">
        <f>IF([2]Entry!$M$282="","",[2]Entry!$M$282)</f>
        <v/>
      </c>
      <c r="O279">
        <f>IF([2]Entry!$N$282="","",[2]Entry!$N$282)</f>
        <v/>
      </c>
      <c r="P279">
        <f>IF([2]Entry!$S$282="","",[2]Entry!$S$282)</f>
        <v/>
      </c>
    </row>
    <row r="280">
      <c r="A280">
        <f>IF([1]Cheques!$A$281="","",[1]Cheques!$A$281)</f>
        <v/>
      </c>
      <c r="E280">
        <f>IF([1]Accounts!$D$281="","",[1]Accounts!$A$281)</f>
        <v/>
      </c>
      <c r="F280">
        <f>IF([1]Accounts!$D$281="","",[1]Accounts!$B$281)</f>
        <v/>
      </c>
      <c r="G280">
        <f>IF([1]Accounts!$D$281="","",[1]Accounts!$C$281)</f>
        <v/>
      </c>
      <c r="H280">
        <f>IF([1]Accounts!$D$281="","",[1]Accounts!$D$281)</f>
        <v/>
      </c>
      <c r="L280">
        <f>IF([2]Entry!$C$283="","",[2]Entry!$C$283)</f>
        <v/>
      </c>
      <c r="M280">
        <f>IF([2]Entry!$J$283="","",[2]Entry!$J$283)</f>
        <v/>
      </c>
      <c r="N280">
        <f>IF([2]Entry!$M$283="","",[2]Entry!$M$283)</f>
        <v/>
      </c>
      <c r="O280">
        <f>IF([2]Entry!$N$283="","",[2]Entry!$N$283)</f>
        <v/>
      </c>
      <c r="P280">
        <f>IF([2]Entry!$S$283="","",[2]Entry!$S$283)</f>
        <v/>
      </c>
    </row>
    <row r="281">
      <c r="A281">
        <f>IF([1]Cheques!$A$282="","",[1]Cheques!$A$282)</f>
        <v/>
      </c>
      <c r="E281">
        <f>IF([1]Accounts!$D$282="","",[1]Accounts!$A$282)</f>
        <v/>
      </c>
      <c r="F281">
        <f>IF([1]Accounts!$D$282="","",[1]Accounts!$B$282)</f>
        <v/>
      </c>
      <c r="G281">
        <f>IF([1]Accounts!$D$282="","",[1]Accounts!$C$282)</f>
        <v/>
      </c>
      <c r="H281">
        <f>IF([1]Accounts!$D$282="","",[1]Accounts!$D$282)</f>
        <v/>
      </c>
      <c r="L281">
        <f>IF([2]Entry!$C$284="","",[2]Entry!$C$284)</f>
        <v/>
      </c>
      <c r="M281">
        <f>IF([2]Entry!$J$284="","",[2]Entry!$J$284)</f>
        <v/>
      </c>
      <c r="N281">
        <f>IF([2]Entry!$M$284="","",[2]Entry!$M$284)</f>
        <v/>
      </c>
      <c r="O281">
        <f>IF([2]Entry!$N$284="","",[2]Entry!$N$284)</f>
        <v/>
      </c>
      <c r="P281">
        <f>IF([2]Entry!$S$284="","",[2]Entry!$S$284)</f>
        <v/>
      </c>
    </row>
    <row r="282">
      <c r="A282">
        <f>IF([1]Cheques!$A$283="","",[1]Cheques!$A$283)</f>
        <v/>
      </c>
      <c r="E282">
        <f>IF([1]Accounts!$D$283="","",[1]Accounts!$A$283)</f>
        <v/>
      </c>
      <c r="F282">
        <f>IF([1]Accounts!$D$283="","",[1]Accounts!$B$283)</f>
        <v/>
      </c>
      <c r="G282">
        <f>IF([1]Accounts!$D$283="","",[1]Accounts!$C$283)</f>
        <v/>
      </c>
      <c r="H282">
        <f>IF([1]Accounts!$D$283="","",[1]Accounts!$D$283)</f>
        <v/>
      </c>
      <c r="L282">
        <f>IF([2]Entry!$C$285="","",[2]Entry!$C$285)</f>
        <v/>
      </c>
      <c r="M282">
        <f>IF([2]Entry!$J$285="","",[2]Entry!$J$285)</f>
        <v/>
      </c>
      <c r="N282">
        <f>IF([2]Entry!$M$285="","",[2]Entry!$M$285)</f>
        <v/>
      </c>
      <c r="O282">
        <f>IF([2]Entry!$N$285="","",[2]Entry!$N$285)</f>
        <v/>
      </c>
      <c r="P282">
        <f>IF([2]Entry!$S$285="","",[2]Entry!$S$285)</f>
        <v/>
      </c>
    </row>
    <row r="283">
      <c r="A283">
        <f>IF([1]Cheques!$A$284="","",[1]Cheques!$A$284)</f>
        <v/>
      </c>
      <c r="E283">
        <f>IF([1]Accounts!$D$284="","",[1]Accounts!$A$284)</f>
        <v/>
      </c>
      <c r="F283">
        <f>IF([1]Accounts!$D$284="","",[1]Accounts!$B$284)</f>
        <v/>
      </c>
      <c r="G283">
        <f>IF([1]Accounts!$D$284="","",[1]Accounts!$C$284)</f>
        <v/>
      </c>
      <c r="H283">
        <f>IF([1]Accounts!$D$284="","",[1]Accounts!$D$284)</f>
        <v/>
      </c>
      <c r="L283">
        <f>IF([2]Entry!$C$286="","",[2]Entry!$C$286)</f>
        <v/>
      </c>
      <c r="M283">
        <f>IF([2]Entry!$J$286="","",[2]Entry!$J$286)</f>
        <v/>
      </c>
      <c r="N283">
        <f>IF([2]Entry!$M$286="","",[2]Entry!$M$286)</f>
        <v/>
      </c>
      <c r="O283">
        <f>IF([2]Entry!$N$286="","",[2]Entry!$N$286)</f>
        <v/>
      </c>
      <c r="P283">
        <f>IF([2]Entry!$S$286="","",[2]Entry!$S$286)</f>
        <v/>
      </c>
    </row>
    <row r="284">
      <c r="A284">
        <f>IF([1]Cheques!$A$285="","",[1]Cheques!$A$285)</f>
        <v/>
      </c>
      <c r="E284">
        <f>IF([1]Accounts!$D$285="","",[1]Accounts!$A$285)</f>
        <v/>
      </c>
      <c r="F284">
        <f>IF([1]Accounts!$D$285="","",[1]Accounts!$B$285)</f>
        <v/>
      </c>
      <c r="G284">
        <f>IF([1]Accounts!$D$285="","",[1]Accounts!$C$285)</f>
        <v/>
      </c>
      <c r="H284">
        <f>IF([1]Accounts!$D$285="","",[1]Accounts!$D$285)</f>
        <v/>
      </c>
      <c r="L284">
        <f>IF([2]Entry!$C$287="","",[2]Entry!$C$287)</f>
        <v/>
      </c>
      <c r="M284">
        <f>IF([2]Entry!$J$287="","",[2]Entry!$J$287)</f>
        <v/>
      </c>
      <c r="N284">
        <f>IF([2]Entry!$M$287="","",[2]Entry!$M$287)</f>
        <v/>
      </c>
      <c r="O284">
        <f>IF([2]Entry!$N$287="","",[2]Entry!$N$287)</f>
        <v/>
      </c>
      <c r="P284">
        <f>IF([2]Entry!$S$287="","",[2]Entry!$S$287)</f>
        <v/>
      </c>
    </row>
    <row r="285">
      <c r="A285">
        <f>IF([1]Cheques!$A$286="","",[1]Cheques!$A$286)</f>
        <v/>
      </c>
      <c r="E285">
        <f>IF([1]Accounts!$D$286="","",[1]Accounts!$A$286)</f>
        <v/>
      </c>
      <c r="F285">
        <f>IF([1]Accounts!$D$286="","",[1]Accounts!$B$286)</f>
        <v/>
      </c>
      <c r="G285">
        <f>IF([1]Accounts!$D$286="","",[1]Accounts!$C$286)</f>
        <v/>
      </c>
      <c r="H285">
        <f>IF([1]Accounts!$D$286="","",[1]Accounts!$D$286)</f>
        <v/>
      </c>
      <c r="L285">
        <f>IF([2]Entry!$C$288="","",[2]Entry!$C$288)</f>
        <v/>
      </c>
      <c r="M285">
        <f>IF([2]Entry!$J$288="","",[2]Entry!$J$288)</f>
        <v/>
      </c>
      <c r="N285">
        <f>IF([2]Entry!$M$288="","",[2]Entry!$M$288)</f>
        <v/>
      </c>
      <c r="O285">
        <f>IF([2]Entry!$N$288="","",[2]Entry!$N$288)</f>
        <v/>
      </c>
      <c r="P285">
        <f>IF([2]Entry!$S$288="","",[2]Entry!$S$288)</f>
        <v/>
      </c>
    </row>
    <row r="286">
      <c r="A286">
        <f>IF([1]Cheques!$A$287="","",[1]Cheques!$A$287)</f>
        <v/>
      </c>
      <c r="E286">
        <f>IF([1]Accounts!$D$287="","",[1]Accounts!$A$287)</f>
        <v/>
      </c>
      <c r="F286">
        <f>IF([1]Accounts!$D$287="","",[1]Accounts!$B$287)</f>
        <v/>
      </c>
      <c r="G286">
        <f>IF([1]Accounts!$D$287="","",[1]Accounts!$C$287)</f>
        <v/>
      </c>
      <c r="H286">
        <f>IF([1]Accounts!$D$287="","",[1]Accounts!$D$287)</f>
        <v/>
      </c>
      <c r="L286">
        <f>IF([2]Entry!$C$289="","",[2]Entry!$C$289)</f>
        <v/>
      </c>
      <c r="M286">
        <f>IF([2]Entry!$J$289="","",[2]Entry!$J$289)</f>
        <v/>
      </c>
      <c r="N286">
        <f>IF([2]Entry!$M$289="","",[2]Entry!$M$289)</f>
        <v/>
      </c>
      <c r="O286">
        <f>IF([2]Entry!$N$289="","",[2]Entry!$N$289)</f>
        <v/>
      </c>
      <c r="P286">
        <f>IF([2]Entry!$S$289="","",[2]Entry!$S$289)</f>
        <v/>
      </c>
    </row>
    <row r="287">
      <c r="A287">
        <f>IF([1]Cheques!$A$288="","",[1]Cheques!$A$288)</f>
        <v/>
      </c>
      <c r="E287">
        <f>IF([1]Accounts!$D$288="","",[1]Accounts!$A$288)</f>
        <v/>
      </c>
      <c r="F287">
        <f>IF([1]Accounts!$D$288="","",[1]Accounts!$B$288)</f>
        <v/>
      </c>
      <c r="G287">
        <f>IF([1]Accounts!$D$288="","",[1]Accounts!$C$288)</f>
        <v/>
      </c>
      <c r="H287">
        <f>IF([1]Accounts!$D$288="","",[1]Accounts!$D$288)</f>
        <v/>
      </c>
      <c r="L287">
        <f>IF([2]Entry!$C$290="","",[2]Entry!$C$290)</f>
        <v/>
      </c>
      <c r="M287">
        <f>IF([2]Entry!$J$290="","",[2]Entry!$J$290)</f>
        <v/>
      </c>
      <c r="N287">
        <f>IF([2]Entry!$M$290="","",[2]Entry!$M$290)</f>
        <v/>
      </c>
      <c r="O287">
        <f>IF([2]Entry!$N$290="","",[2]Entry!$N$290)</f>
        <v/>
      </c>
      <c r="P287">
        <f>IF([2]Entry!$S$290="","",[2]Entry!$S$290)</f>
        <v/>
      </c>
    </row>
    <row r="288">
      <c r="A288">
        <f>IF([1]Cheques!$A$289="","",[1]Cheques!$A$289)</f>
        <v/>
      </c>
      <c r="E288">
        <f>IF([1]Accounts!$D$289="","",[1]Accounts!$A$289)</f>
        <v/>
      </c>
      <c r="F288">
        <f>IF([1]Accounts!$D$289="","",[1]Accounts!$B$289)</f>
        <v/>
      </c>
      <c r="G288">
        <f>IF([1]Accounts!$D$289="","",[1]Accounts!$C$289)</f>
        <v/>
      </c>
      <c r="H288">
        <f>IF([1]Accounts!$D$289="","",[1]Accounts!$D$289)</f>
        <v/>
      </c>
      <c r="L288">
        <f>IF([2]Entry!$C$291="","",[2]Entry!$C$291)</f>
        <v/>
      </c>
      <c r="M288">
        <f>IF([2]Entry!$J$291="","",[2]Entry!$J$291)</f>
        <v/>
      </c>
      <c r="N288">
        <f>IF([2]Entry!$M$291="","",[2]Entry!$M$291)</f>
        <v/>
      </c>
      <c r="O288">
        <f>IF([2]Entry!$N$291="","",[2]Entry!$N$291)</f>
        <v/>
      </c>
      <c r="P288">
        <f>IF([2]Entry!$S$291="","",[2]Entry!$S$291)</f>
        <v/>
      </c>
    </row>
    <row r="289">
      <c r="A289">
        <f>IF([1]Cheques!$A$290="","",[1]Cheques!$A$290)</f>
        <v/>
      </c>
      <c r="E289">
        <f>IF([1]Accounts!$D$290="","",[1]Accounts!$A$290)</f>
        <v/>
      </c>
      <c r="F289">
        <f>IF([1]Accounts!$D$290="","",[1]Accounts!$B$290)</f>
        <v/>
      </c>
      <c r="G289">
        <f>IF([1]Accounts!$D$290="","",[1]Accounts!$C$290)</f>
        <v/>
      </c>
      <c r="H289">
        <f>IF([1]Accounts!$D$290="","",[1]Accounts!$D$290)</f>
        <v/>
      </c>
      <c r="L289">
        <f>IF([2]Entry!$C$292="","",[2]Entry!$C$292)</f>
        <v/>
      </c>
      <c r="M289">
        <f>IF([2]Entry!$J$292="","",[2]Entry!$J$292)</f>
        <v/>
      </c>
      <c r="N289">
        <f>IF([2]Entry!$M$292="","",[2]Entry!$M$292)</f>
        <v/>
      </c>
      <c r="O289">
        <f>IF([2]Entry!$N$292="","",[2]Entry!$N$292)</f>
        <v/>
      </c>
      <c r="P289">
        <f>IF([2]Entry!$S$292="","",[2]Entry!$S$292)</f>
        <v/>
      </c>
    </row>
    <row r="290">
      <c r="A290">
        <f>IF([1]Cheques!$A$291="","",[1]Cheques!$A$291)</f>
        <v/>
      </c>
      <c r="E290">
        <f>IF([1]Accounts!$D$291="","",[1]Accounts!$A$291)</f>
        <v/>
      </c>
      <c r="F290">
        <f>IF([1]Accounts!$D$291="","",[1]Accounts!$B$291)</f>
        <v/>
      </c>
      <c r="G290">
        <f>IF([1]Accounts!$D$291="","",[1]Accounts!$C$291)</f>
        <v/>
      </c>
      <c r="H290">
        <f>IF([1]Accounts!$D$291="","",[1]Accounts!$D$291)</f>
        <v/>
      </c>
      <c r="L290">
        <f>IF([2]Entry!$C$293="","",[2]Entry!$C$293)</f>
        <v/>
      </c>
      <c r="M290">
        <f>IF([2]Entry!$J$293="","",[2]Entry!$J$293)</f>
        <v/>
      </c>
      <c r="N290">
        <f>IF([2]Entry!$M$293="","",[2]Entry!$M$293)</f>
        <v/>
      </c>
      <c r="O290">
        <f>IF([2]Entry!$N$293="","",[2]Entry!$N$293)</f>
        <v/>
      </c>
      <c r="P290">
        <f>IF([2]Entry!$S$293="","",[2]Entry!$S$293)</f>
        <v/>
      </c>
    </row>
    <row r="291">
      <c r="A291">
        <f>IF([1]Cheques!$A$292="","",[1]Cheques!$A$292)</f>
        <v/>
      </c>
      <c r="E291">
        <f>IF([1]Accounts!$D$292="","",[1]Accounts!$A$292)</f>
        <v/>
      </c>
      <c r="F291">
        <f>IF([1]Accounts!$D$292="","",[1]Accounts!$B$292)</f>
        <v/>
      </c>
      <c r="G291">
        <f>IF([1]Accounts!$D$292="","",[1]Accounts!$C$292)</f>
        <v/>
      </c>
      <c r="H291">
        <f>IF([1]Accounts!$D$292="","",[1]Accounts!$D$292)</f>
        <v/>
      </c>
      <c r="L291">
        <f>IF([2]Entry!$C$294="","",[2]Entry!$C$294)</f>
        <v/>
      </c>
      <c r="M291">
        <f>IF([2]Entry!$J$294="","",[2]Entry!$J$294)</f>
        <v/>
      </c>
      <c r="N291">
        <f>IF([2]Entry!$M$294="","",[2]Entry!$M$294)</f>
        <v/>
      </c>
      <c r="O291">
        <f>IF([2]Entry!$N$294="","",[2]Entry!$N$294)</f>
        <v/>
      </c>
      <c r="P291">
        <f>IF([2]Entry!$S$294="","",[2]Entry!$S$294)</f>
        <v/>
      </c>
    </row>
    <row r="292">
      <c r="A292">
        <f>IF([1]Cheques!$A$293="","",[1]Cheques!$A$293)</f>
        <v/>
      </c>
      <c r="E292">
        <f>IF([1]Accounts!$D$293="","",[1]Accounts!$A$293)</f>
        <v/>
      </c>
      <c r="F292">
        <f>IF([1]Accounts!$D$293="","",[1]Accounts!$B$293)</f>
        <v/>
      </c>
      <c r="G292">
        <f>IF([1]Accounts!$D$293="","",[1]Accounts!$C$293)</f>
        <v/>
      </c>
      <c r="H292">
        <f>IF([1]Accounts!$D$293="","",[1]Accounts!$D$293)</f>
        <v/>
      </c>
      <c r="L292">
        <f>IF([2]Entry!$C$295="","",[2]Entry!$C$295)</f>
        <v/>
      </c>
      <c r="M292">
        <f>IF([2]Entry!$J$295="","",[2]Entry!$J$295)</f>
        <v/>
      </c>
      <c r="N292">
        <f>IF([2]Entry!$M$295="","",[2]Entry!$M$295)</f>
        <v/>
      </c>
      <c r="O292">
        <f>IF([2]Entry!$N$295="","",[2]Entry!$N$295)</f>
        <v/>
      </c>
      <c r="P292">
        <f>IF([2]Entry!$S$295="","",[2]Entry!$S$295)</f>
        <v/>
      </c>
    </row>
    <row r="293">
      <c r="A293">
        <f>IF([1]Cheques!$A$294="","",[1]Cheques!$A$294)</f>
        <v/>
      </c>
      <c r="E293">
        <f>IF([1]Accounts!$D$294="","",[1]Accounts!$A$294)</f>
        <v/>
      </c>
      <c r="F293">
        <f>IF([1]Accounts!$D$294="","",[1]Accounts!$B$294)</f>
        <v/>
      </c>
      <c r="G293">
        <f>IF([1]Accounts!$D$294="","",[1]Accounts!$C$294)</f>
        <v/>
      </c>
      <c r="H293">
        <f>IF([1]Accounts!$D$294="","",[1]Accounts!$D$294)</f>
        <v/>
      </c>
      <c r="L293">
        <f>IF([2]Entry!$C$296="","",[2]Entry!$C$296)</f>
        <v/>
      </c>
      <c r="M293">
        <f>IF([2]Entry!$J$296="","",[2]Entry!$J$296)</f>
        <v/>
      </c>
      <c r="N293">
        <f>IF([2]Entry!$M$296="","",[2]Entry!$M$296)</f>
        <v/>
      </c>
      <c r="O293">
        <f>IF([2]Entry!$N$296="","",[2]Entry!$N$296)</f>
        <v/>
      </c>
      <c r="P293">
        <f>IF([2]Entry!$S$296="","",[2]Entry!$S$296)</f>
        <v/>
      </c>
    </row>
    <row r="294">
      <c r="A294">
        <f>IF([1]Cheques!$A$295="","",[1]Cheques!$A$295)</f>
        <v/>
      </c>
      <c r="E294">
        <f>IF([1]Accounts!$D$295="","",[1]Accounts!$A$295)</f>
        <v/>
      </c>
      <c r="F294">
        <f>IF([1]Accounts!$D$295="","",[1]Accounts!$B$295)</f>
        <v/>
      </c>
      <c r="G294">
        <f>IF([1]Accounts!$D$295="","",[1]Accounts!$C$295)</f>
        <v/>
      </c>
      <c r="H294">
        <f>IF([1]Accounts!$D$295="","",[1]Accounts!$D$295)</f>
        <v/>
      </c>
      <c r="L294">
        <f>IF([2]Entry!$C$297="","",[2]Entry!$C$297)</f>
        <v/>
      </c>
      <c r="M294">
        <f>IF([2]Entry!$J$297="","",[2]Entry!$J$297)</f>
        <v/>
      </c>
      <c r="N294">
        <f>IF([2]Entry!$M$297="","",[2]Entry!$M$297)</f>
        <v/>
      </c>
      <c r="O294">
        <f>IF([2]Entry!$N$297="","",[2]Entry!$N$297)</f>
        <v/>
      </c>
      <c r="P294">
        <f>IF([2]Entry!$S$297="","",[2]Entry!$S$297)</f>
        <v/>
      </c>
    </row>
    <row r="295">
      <c r="A295">
        <f>IF([1]Cheques!$A$296="","",[1]Cheques!$A$296)</f>
        <v/>
      </c>
      <c r="E295">
        <f>IF([1]Accounts!$D$296="","",[1]Accounts!$A$296)</f>
        <v/>
      </c>
      <c r="F295">
        <f>IF([1]Accounts!$D$296="","",[1]Accounts!$B$296)</f>
        <v/>
      </c>
      <c r="G295">
        <f>IF([1]Accounts!$D$296="","",[1]Accounts!$C$296)</f>
        <v/>
      </c>
      <c r="H295">
        <f>IF([1]Accounts!$D$296="","",[1]Accounts!$D$296)</f>
        <v/>
      </c>
      <c r="L295">
        <f>IF([2]Entry!$C$298="","",[2]Entry!$C$298)</f>
        <v/>
      </c>
      <c r="M295">
        <f>IF([2]Entry!$J$298="","",[2]Entry!$J$298)</f>
        <v/>
      </c>
      <c r="N295">
        <f>IF([2]Entry!$M$298="","",[2]Entry!$M$298)</f>
        <v/>
      </c>
      <c r="O295">
        <f>IF([2]Entry!$N$298="","",[2]Entry!$N$298)</f>
        <v/>
      </c>
      <c r="P295">
        <f>IF([2]Entry!$S$298="","",[2]Entry!$S$298)</f>
        <v/>
      </c>
    </row>
    <row r="296">
      <c r="A296">
        <f>IF([1]Cheques!$A$297="","",[1]Cheques!$A$297)</f>
        <v/>
      </c>
      <c r="E296">
        <f>IF([1]Accounts!$D$297="","",[1]Accounts!$A$297)</f>
        <v/>
      </c>
      <c r="F296">
        <f>IF([1]Accounts!$D$297="","",[1]Accounts!$B$297)</f>
        <v/>
      </c>
      <c r="G296">
        <f>IF([1]Accounts!$D$297="","",[1]Accounts!$C$297)</f>
        <v/>
      </c>
      <c r="H296">
        <f>IF([1]Accounts!$D$297="","",[1]Accounts!$D$297)</f>
        <v/>
      </c>
      <c r="L296">
        <f>IF([2]Entry!$C$299="","",[2]Entry!$C$299)</f>
        <v/>
      </c>
      <c r="M296">
        <f>IF([2]Entry!$J$299="","",[2]Entry!$J$299)</f>
        <v/>
      </c>
      <c r="N296">
        <f>IF([2]Entry!$M$299="","",[2]Entry!$M$299)</f>
        <v/>
      </c>
      <c r="O296">
        <f>IF([2]Entry!$N$299="","",[2]Entry!$N$299)</f>
        <v/>
      </c>
      <c r="P296">
        <f>IF([2]Entry!$S$299="","",[2]Entry!$S$299)</f>
        <v/>
      </c>
    </row>
    <row r="297">
      <c r="A297">
        <f>IF([1]Cheques!$A$298="","",[1]Cheques!$A$298)</f>
        <v/>
      </c>
      <c r="E297">
        <f>IF([1]Accounts!$D$298="","",[1]Accounts!$A$298)</f>
        <v/>
      </c>
      <c r="F297">
        <f>IF([1]Accounts!$D$298="","",[1]Accounts!$B$298)</f>
        <v/>
      </c>
      <c r="G297">
        <f>IF([1]Accounts!$D$298="","",[1]Accounts!$C$298)</f>
        <v/>
      </c>
      <c r="H297">
        <f>IF([1]Accounts!$D$298="","",[1]Accounts!$D$298)</f>
        <v/>
      </c>
      <c r="L297">
        <f>IF([2]Entry!$C$300="","",[2]Entry!$C$300)</f>
        <v/>
      </c>
      <c r="M297">
        <f>IF([2]Entry!$J$300="","",[2]Entry!$J$300)</f>
        <v/>
      </c>
      <c r="N297">
        <f>IF([2]Entry!$M$300="","",[2]Entry!$M$300)</f>
        <v/>
      </c>
      <c r="O297">
        <f>IF([2]Entry!$N$300="","",[2]Entry!$N$300)</f>
        <v/>
      </c>
      <c r="P297">
        <f>IF([2]Entry!$S$300="","",[2]Entry!$S$300)</f>
        <v/>
      </c>
    </row>
    <row r="298">
      <c r="A298">
        <f>IF([1]Cheques!$A$299="","",[1]Cheques!$A$299)</f>
        <v/>
      </c>
      <c r="E298">
        <f>IF([1]Accounts!$D$299="","",[1]Accounts!$A$299)</f>
        <v/>
      </c>
      <c r="F298">
        <f>IF([1]Accounts!$D$299="","",[1]Accounts!$B$299)</f>
        <v/>
      </c>
      <c r="G298">
        <f>IF([1]Accounts!$D$299="","",[1]Accounts!$C$299)</f>
        <v/>
      </c>
      <c r="H298">
        <f>IF([1]Accounts!$D$299="","",[1]Accounts!$D$299)</f>
        <v/>
      </c>
      <c r="L298">
        <f>IF([2]Entry!$C$301="","",[2]Entry!$C$301)</f>
        <v/>
      </c>
      <c r="M298">
        <f>IF([2]Entry!$J$301="","",[2]Entry!$J$301)</f>
        <v/>
      </c>
      <c r="N298">
        <f>IF([2]Entry!$M$301="","",[2]Entry!$M$301)</f>
        <v/>
      </c>
      <c r="O298">
        <f>IF([2]Entry!$N$301="","",[2]Entry!$N$301)</f>
        <v/>
      </c>
      <c r="P298">
        <f>IF([2]Entry!$S$301="","",[2]Entry!$S$301)</f>
        <v/>
      </c>
    </row>
    <row r="299">
      <c r="A299">
        <f>IF([1]Cheques!$A$300="","",[1]Cheques!$A$300)</f>
        <v/>
      </c>
      <c r="E299">
        <f>IF([1]Accounts!$D$300="","",[1]Accounts!$A$300)</f>
        <v/>
      </c>
      <c r="F299">
        <f>IF([1]Accounts!$D$300="","",[1]Accounts!$B$300)</f>
        <v/>
      </c>
      <c r="G299">
        <f>IF([1]Accounts!$D$300="","",[1]Accounts!$C$300)</f>
        <v/>
      </c>
      <c r="H299">
        <f>IF([1]Accounts!$D$300="","",[1]Accounts!$D$300)</f>
        <v/>
      </c>
      <c r="L299">
        <f>IF([2]Entry!$C$302="","",[2]Entry!$C$302)</f>
        <v/>
      </c>
      <c r="M299">
        <f>IF([2]Entry!$J$302="","",[2]Entry!$J$302)</f>
        <v/>
      </c>
      <c r="N299">
        <f>IF([2]Entry!$M$302="","",[2]Entry!$M$302)</f>
        <v/>
      </c>
      <c r="O299">
        <f>IF([2]Entry!$N$302="","",[2]Entry!$N$302)</f>
        <v/>
      </c>
      <c r="P299">
        <f>IF([2]Entry!$S$302="","",[2]Entry!$S$302)</f>
        <v/>
      </c>
    </row>
    <row r="300">
      <c r="A300">
        <f>IF([1]Cheques!$A$301="","",[1]Cheques!$A$301)</f>
        <v/>
      </c>
      <c r="E300">
        <f>IF([1]Accounts!$D$301="","",[1]Accounts!$A$301)</f>
        <v/>
      </c>
      <c r="F300">
        <f>IF([1]Accounts!$D$301="","",[1]Accounts!$B$301)</f>
        <v/>
      </c>
      <c r="G300">
        <f>IF([1]Accounts!$D$301="","",[1]Accounts!$C$301)</f>
        <v/>
      </c>
      <c r="H300">
        <f>IF([1]Accounts!$D$301="","",[1]Accounts!$D$301)</f>
        <v/>
      </c>
      <c r="L300">
        <f>IF([2]Entry!$C$303="","",[2]Entry!$C$303)</f>
        <v/>
      </c>
      <c r="M300">
        <f>IF([2]Entry!$J$303="","",[2]Entry!$J$303)</f>
        <v/>
      </c>
      <c r="N300">
        <f>IF([2]Entry!$M$303="","",[2]Entry!$M$303)</f>
        <v/>
      </c>
      <c r="O300">
        <f>IF([2]Entry!$N$303="","",[2]Entry!$N$303)</f>
        <v/>
      </c>
      <c r="P300">
        <f>IF([2]Entry!$S$303="","",[2]Entry!$S$303)</f>
        <v/>
      </c>
    </row>
    <row r="301">
      <c r="A301">
        <f>IF([1]Cheques!$A$302="","",[1]Cheques!$A$302)</f>
        <v/>
      </c>
      <c r="E301">
        <f>IF([1]Accounts!$D$302="","",[1]Accounts!$A$302)</f>
        <v/>
      </c>
      <c r="F301">
        <f>IF([1]Accounts!$D$302="","",[1]Accounts!$B$302)</f>
        <v/>
      </c>
      <c r="G301">
        <f>IF([1]Accounts!$D$302="","",[1]Accounts!$C$302)</f>
        <v/>
      </c>
      <c r="H301">
        <f>IF([1]Accounts!$D$302="","",[1]Accounts!$D$302)</f>
        <v/>
      </c>
      <c r="L301">
        <f>IF([2]Entry!$C$304="","",[2]Entry!$C$304)</f>
        <v/>
      </c>
      <c r="M301">
        <f>IF([2]Entry!$J$304="","",[2]Entry!$J$304)</f>
        <v/>
      </c>
      <c r="N301">
        <f>IF([2]Entry!$M$304="","",[2]Entry!$M$304)</f>
        <v/>
      </c>
      <c r="O301">
        <f>IF([2]Entry!$N$304="","",[2]Entry!$N$304)</f>
        <v/>
      </c>
      <c r="P301">
        <f>IF([2]Entry!$S$304="","",[2]Entry!$S$304)</f>
        <v/>
      </c>
    </row>
    <row r="302">
      <c r="A302">
        <f>IF([1]Cheques!$A$303="","",[1]Cheques!$A$303)</f>
        <v/>
      </c>
      <c r="E302">
        <f>IF([1]Accounts!$D$303="","",[1]Accounts!$A$303)</f>
        <v/>
      </c>
      <c r="F302">
        <f>IF([1]Accounts!$D$303="","",[1]Accounts!$B$303)</f>
        <v/>
      </c>
      <c r="G302">
        <f>IF([1]Accounts!$D$303="","",[1]Accounts!$C$303)</f>
        <v/>
      </c>
      <c r="H302">
        <f>IF([1]Accounts!$D$303="","",[1]Accounts!$D$303)</f>
        <v/>
      </c>
      <c r="L302">
        <f>IF([2]Entry!$C$305="","",[2]Entry!$C$305)</f>
        <v/>
      </c>
      <c r="M302">
        <f>IF([2]Entry!$J$305="","",[2]Entry!$J$305)</f>
        <v/>
      </c>
      <c r="N302">
        <f>IF([2]Entry!$M$305="","",[2]Entry!$M$305)</f>
        <v/>
      </c>
      <c r="O302">
        <f>IF([2]Entry!$N$305="","",[2]Entry!$N$305)</f>
        <v/>
      </c>
      <c r="P302">
        <f>IF([2]Entry!$S$305="","",[2]Entry!$S$305)</f>
        <v/>
      </c>
    </row>
    <row r="303">
      <c r="A303">
        <f>IF([1]Cheques!$A$304="","",[1]Cheques!$A$304)</f>
        <v/>
      </c>
      <c r="E303">
        <f>IF([1]Accounts!$D$304="","",[1]Accounts!$A$304)</f>
        <v/>
      </c>
      <c r="F303">
        <f>IF([1]Accounts!$D$304="","",[1]Accounts!$B$304)</f>
        <v/>
      </c>
      <c r="G303">
        <f>IF([1]Accounts!$D$304="","",[1]Accounts!$C$304)</f>
        <v/>
      </c>
      <c r="H303">
        <f>IF([1]Accounts!$D$304="","",[1]Accounts!$D$304)</f>
        <v/>
      </c>
      <c r="L303">
        <f>IF([2]Entry!$C$306="","",[2]Entry!$C$306)</f>
        <v/>
      </c>
      <c r="M303">
        <f>IF([2]Entry!$J$306="","",[2]Entry!$J$306)</f>
        <v/>
      </c>
      <c r="N303">
        <f>IF([2]Entry!$M$306="","",[2]Entry!$M$306)</f>
        <v/>
      </c>
      <c r="O303">
        <f>IF([2]Entry!$N$306="","",[2]Entry!$N$306)</f>
        <v/>
      </c>
      <c r="P303">
        <f>IF([2]Entry!$S$306="","",[2]Entry!$S$306)</f>
        <v/>
      </c>
    </row>
    <row r="304">
      <c r="A304">
        <f>IF([1]Cheques!$A$305="","",[1]Cheques!$A$305)</f>
        <v/>
      </c>
      <c r="E304">
        <f>IF([1]Accounts!$D$305="","",[1]Accounts!$A$305)</f>
        <v/>
      </c>
      <c r="F304">
        <f>IF([1]Accounts!$D$305="","",[1]Accounts!$B$305)</f>
        <v/>
      </c>
      <c r="G304">
        <f>IF([1]Accounts!$D$305="","",[1]Accounts!$C$305)</f>
        <v/>
      </c>
      <c r="H304">
        <f>IF([1]Accounts!$D$305="","",[1]Accounts!$D$305)</f>
        <v/>
      </c>
      <c r="L304">
        <f>IF([2]Entry!$C$307="","",[2]Entry!$C$307)</f>
        <v/>
      </c>
      <c r="M304">
        <f>IF([2]Entry!$J$307="","",[2]Entry!$J$307)</f>
        <v/>
      </c>
      <c r="N304">
        <f>IF([2]Entry!$M$307="","",[2]Entry!$M$307)</f>
        <v/>
      </c>
      <c r="O304">
        <f>IF([2]Entry!$N$307="","",[2]Entry!$N$307)</f>
        <v/>
      </c>
      <c r="P304">
        <f>IF([2]Entry!$S$307="","",[2]Entry!$S$307)</f>
        <v/>
      </c>
    </row>
    <row r="305">
      <c r="A305">
        <f>IF([1]Cheques!$A$306="","",[1]Cheques!$A$306)</f>
        <v/>
      </c>
      <c r="E305">
        <f>IF([1]Accounts!$D$306="","",[1]Accounts!$A$306)</f>
        <v/>
      </c>
      <c r="F305">
        <f>IF([1]Accounts!$D$306="","",[1]Accounts!$B$306)</f>
        <v/>
      </c>
      <c r="G305">
        <f>IF([1]Accounts!$D$306="","",[1]Accounts!$C$306)</f>
        <v/>
      </c>
      <c r="H305">
        <f>IF([1]Accounts!$D$306="","",[1]Accounts!$D$306)</f>
        <v/>
      </c>
      <c r="L305">
        <f>IF([2]Entry!$C$308="","",[2]Entry!$C$308)</f>
        <v/>
      </c>
      <c r="M305">
        <f>IF([2]Entry!$J$308="","",[2]Entry!$J$308)</f>
        <v/>
      </c>
      <c r="N305">
        <f>IF([2]Entry!$M$308="","",[2]Entry!$M$308)</f>
        <v/>
      </c>
      <c r="O305">
        <f>IF([2]Entry!$N$308="","",[2]Entry!$N$308)</f>
        <v/>
      </c>
      <c r="P305">
        <f>IF([2]Entry!$S$308="","",[2]Entry!$S$308)</f>
        <v/>
      </c>
    </row>
    <row r="306">
      <c r="A306">
        <f>IF([1]Cheques!$A$307="","",[1]Cheques!$A$307)</f>
        <v/>
      </c>
      <c r="E306">
        <f>IF([1]Accounts!$D$307="","",[1]Accounts!$A$307)</f>
        <v/>
      </c>
      <c r="F306">
        <f>IF([1]Accounts!$D$307="","",[1]Accounts!$B$307)</f>
        <v/>
      </c>
      <c r="G306">
        <f>IF([1]Accounts!$D$307="","",[1]Accounts!$C$307)</f>
        <v/>
      </c>
      <c r="H306">
        <f>IF([1]Accounts!$D$307="","",[1]Accounts!$D$307)</f>
        <v/>
      </c>
      <c r="L306">
        <f>IF([2]Entry!$C$309="","",[2]Entry!$C$309)</f>
        <v/>
      </c>
      <c r="M306">
        <f>IF([2]Entry!$J$309="","",[2]Entry!$J$309)</f>
        <v/>
      </c>
      <c r="N306">
        <f>IF([2]Entry!$M$309="","",[2]Entry!$M$309)</f>
        <v/>
      </c>
      <c r="O306">
        <f>IF([2]Entry!$N$309="","",[2]Entry!$N$309)</f>
        <v/>
      </c>
      <c r="P306">
        <f>IF([2]Entry!$S$309="","",[2]Entry!$S$309)</f>
        <v/>
      </c>
    </row>
    <row r="307">
      <c r="A307">
        <f>IF([1]Cheques!$A$308="","",[1]Cheques!$A$308)</f>
        <v/>
      </c>
      <c r="E307">
        <f>IF([1]Accounts!$D$308="","",[1]Accounts!$A$308)</f>
        <v/>
      </c>
      <c r="F307">
        <f>IF([1]Accounts!$D$308="","",[1]Accounts!$B$308)</f>
        <v/>
      </c>
      <c r="G307">
        <f>IF([1]Accounts!$D$308="","",[1]Accounts!$C$308)</f>
        <v/>
      </c>
      <c r="H307">
        <f>IF([1]Accounts!$D$308="","",[1]Accounts!$D$308)</f>
        <v/>
      </c>
      <c r="L307">
        <f>IF([2]Entry!$C$310="","",[2]Entry!$C$310)</f>
        <v/>
      </c>
      <c r="M307">
        <f>IF([2]Entry!$J$310="","",[2]Entry!$J$310)</f>
        <v/>
      </c>
      <c r="N307">
        <f>IF([2]Entry!$M$310="","",[2]Entry!$M$310)</f>
        <v/>
      </c>
      <c r="O307">
        <f>IF([2]Entry!$N$310="","",[2]Entry!$N$310)</f>
        <v/>
      </c>
      <c r="P307">
        <f>IF([2]Entry!$S$310="","",[2]Entry!$S$310)</f>
        <v/>
      </c>
    </row>
    <row r="308">
      <c r="A308">
        <f>IF([1]Cheques!$A$309="","",[1]Cheques!$A$309)</f>
        <v/>
      </c>
      <c r="E308">
        <f>IF([1]Accounts!$D$309="","",[1]Accounts!$A$309)</f>
        <v/>
      </c>
      <c r="F308">
        <f>IF([1]Accounts!$D$309="","",[1]Accounts!$B$309)</f>
        <v/>
      </c>
      <c r="G308">
        <f>IF([1]Accounts!$D$309="","",[1]Accounts!$C$309)</f>
        <v/>
      </c>
      <c r="H308">
        <f>IF([1]Accounts!$D$309="","",[1]Accounts!$D$309)</f>
        <v/>
      </c>
      <c r="L308">
        <f>IF([2]Entry!$C$311="","",[2]Entry!$C$311)</f>
        <v/>
      </c>
      <c r="M308">
        <f>IF([2]Entry!$J$311="","",[2]Entry!$J$311)</f>
        <v/>
      </c>
      <c r="N308">
        <f>IF([2]Entry!$M$311="","",[2]Entry!$M$311)</f>
        <v/>
      </c>
      <c r="O308">
        <f>IF([2]Entry!$N$311="","",[2]Entry!$N$311)</f>
        <v/>
      </c>
      <c r="P308">
        <f>IF([2]Entry!$S$311="","",[2]Entry!$S$311)</f>
        <v/>
      </c>
    </row>
    <row r="309">
      <c r="A309">
        <f>IF([1]Cheques!$A$310="","",[1]Cheques!$A$310)</f>
        <v/>
      </c>
      <c r="E309">
        <f>IF([1]Accounts!$D$310="","",[1]Accounts!$A$310)</f>
        <v/>
      </c>
      <c r="F309">
        <f>IF([1]Accounts!$D$310="","",[1]Accounts!$B$310)</f>
        <v/>
      </c>
      <c r="G309">
        <f>IF([1]Accounts!$D$310="","",[1]Accounts!$C$310)</f>
        <v/>
      </c>
      <c r="H309">
        <f>IF([1]Accounts!$D$310="","",[1]Accounts!$D$310)</f>
        <v/>
      </c>
      <c r="L309">
        <f>IF([2]Entry!$C$312="","",[2]Entry!$C$312)</f>
        <v/>
      </c>
      <c r="M309">
        <f>IF([2]Entry!$J$312="","",[2]Entry!$J$312)</f>
        <v/>
      </c>
      <c r="N309">
        <f>IF([2]Entry!$M$312="","",[2]Entry!$M$312)</f>
        <v/>
      </c>
      <c r="O309">
        <f>IF([2]Entry!$N$312="","",[2]Entry!$N$312)</f>
        <v/>
      </c>
      <c r="P309">
        <f>IF([2]Entry!$S$312="","",[2]Entry!$S$312)</f>
        <v/>
      </c>
    </row>
    <row r="310">
      <c r="A310">
        <f>IF([1]Cheques!$A$311="","",[1]Cheques!$A$311)</f>
        <v/>
      </c>
      <c r="E310">
        <f>IF([1]Accounts!$D$311="","",[1]Accounts!$A$311)</f>
        <v/>
      </c>
      <c r="F310">
        <f>IF([1]Accounts!$D$311="","",[1]Accounts!$B$311)</f>
        <v/>
      </c>
      <c r="G310">
        <f>IF([1]Accounts!$D$311="","",[1]Accounts!$C$311)</f>
        <v/>
      </c>
      <c r="H310">
        <f>IF([1]Accounts!$D$311="","",[1]Accounts!$D$311)</f>
        <v/>
      </c>
      <c r="L310">
        <f>IF([2]Entry!$C$313="","",[2]Entry!$C$313)</f>
        <v/>
      </c>
      <c r="M310">
        <f>IF([2]Entry!$J$313="","",[2]Entry!$J$313)</f>
        <v/>
      </c>
      <c r="N310">
        <f>IF([2]Entry!$M$313="","",[2]Entry!$M$313)</f>
        <v/>
      </c>
      <c r="O310">
        <f>IF([2]Entry!$N$313="","",[2]Entry!$N$313)</f>
        <v/>
      </c>
      <c r="P310">
        <f>IF([2]Entry!$S$313="","",[2]Entry!$S$313)</f>
        <v/>
      </c>
    </row>
    <row r="311">
      <c r="A311">
        <f>IF([1]Cheques!$A$312="","",[1]Cheques!$A$312)</f>
        <v/>
      </c>
      <c r="E311">
        <f>IF([1]Accounts!$D$312="","",[1]Accounts!$A$312)</f>
        <v/>
      </c>
      <c r="F311">
        <f>IF([1]Accounts!$D$312="","",[1]Accounts!$B$312)</f>
        <v/>
      </c>
      <c r="G311">
        <f>IF([1]Accounts!$D$312="","",[1]Accounts!$C$312)</f>
        <v/>
      </c>
      <c r="H311">
        <f>IF([1]Accounts!$D$312="","",[1]Accounts!$D$312)</f>
        <v/>
      </c>
      <c r="L311">
        <f>IF([2]Entry!$C$314="","",[2]Entry!$C$314)</f>
        <v/>
      </c>
      <c r="M311">
        <f>IF([2]Entry!$J$314="","",[2]Entry!$J$314)</f>
        <v/>
      </c>
      <c r="N311">
        <f>IF([2]Entry!$M$314="","",[2]Entry!$M$314)</f>
        <v/>
      </c>
      <c r="O311">
        <f>IF([2]Entry!$N$314="","",[2]Entry!$N$314)</f>
        <v/>
      </c>
      <c r="P311">
        <f>IF([2]Entry!$S$314="","",[2]Entry!$S$314)</f>
        <v/>
      </c>
    </row>
    <row r="312">
      <c r="A312">
        <f>IF([1]Cheques!$A$313="","",[1]Cheques!$A$313)</f>
        <v/>
      </c>
      <c r="E312">
        <f>IF([1]Accounts!$D$313="","",[1]Accounts!$A$313)</f>
        <v/>
      </c>
      <c r="F312">
        <f>IF([1]Accounts!$D$313="","",[1]Accounts!$B$313)</f>
        <v/>
      </c>
      <c r="G312">
        <f>IF([1]Accounts!$D$313="","",[1]Accounts!$C$313)</f>
        <v/>
      </c>
      <c r="H312">
        <f>IF([1]Accounts!$D$313="","",[1]Accounts!$D$313)</f>
        <v/>
      </c>
      <c r="L312">
        <f>IF([2]Entry!$C$315="","",[2]Entry!$C$315)</f>
        <v/>
      </c>
      <c r="M312">
        <f>IF([2]Entry!$J$315="","",[2]Entry!$J$315)</f>
        <v/>
      </c>
      <c r="N312">
        <f>IF([2]Entry!$M$315="","",[2]Entry!$M$315)</f>
        <v/>
      </c>
      <c r="O312">
        <f>IF([2]Entry!$N$315="","",[2]Entry!$N$315)</f>
        <v/>
      </c>
      <c r="P312">
        <f>IF([2]Entry!$S$315="","",[2]Entry!$S$315)</f>
        <v/>
      </c>
    </row>
    <row r="313">
      <c r="A313">
        <f>IF([1]Cheques!$A$314="","",[1]Cheques!$A$314)</f>
        <v/>
      </c>
      <c r="E313">
        <f>IF([1]Accounts!$D$314="","",[1]Accounts!$A$314)</f>
        <v/>
      </c>
      <c r="F313">
        <f>IF([1]Accounts!$D$314="","",[1]Accounts!$B$314)</f>
        <v/>
      </c>
      <c r="G313">
        <f>IF([1]Accounts!$D$314="","",[1]Accounts!$C$314)</f>
        <v/>
      </c>
      <c r="H313">
        <f>IF([1]Accounts!$D$314="","",[1]Accounts!$D$314)</f>
        <v/>
      </c>
      <c r="L313">
        <f>IF([2]Entry!$C$316="","",[2]Entry!$C$316)</f>
        <v/>
      </c>
      <c r="M313">
        <f>IF([2]Entry!$J$316="","",[2]Entry!$J$316)</f>
        <v/>
      </c>
      <c r="N313">
        <f>IF([2]Entry!$M$316="","",[2]Entry!$M$316)</f>
        <v/>
      </c>
      <c r="O313">
        <f>IF([2]Entry!$N$316="","",[2]Entry!$N$316)</f>
        <v/>
      </c>
      <c r="P313">
        <f>IF([2]Entry!$S$316="","",[2]Entry!$S$316)</f>
        <v/>
      </c>
    </row>
    <row r="314">
      <c r="A314">
        <f>IF([1]Cheques!$A$315="","",[1]Cheques!$A$315)</f>
        <v/>
      </c>
      <c r="E314">
        <f>IF([1]Accounts!$D$315="","",[1]Accounts!$A$315)</f>
        <v/>
      </c>
      <c r="F314">
        <f>IF([1]Accounts!$D$315="","",[1]Accounts!$B$315)</f>
        <v/>
      </c>
      <c r="G314">
        <f>IF([1]Accounts!$D$315="","",[1]Accounts!$C$315)</f>
        <v/>
      </c>
      <c r="H314">
        <f>IF([1]Accounts!$D$315="","",[1]Accounts!$D$315)</f>
        <v/>
      </c>
      <c r="L314">
        <f>IF([2]Entry!$C$317="","",[2]Entry!$C$317)</f>
        <v/>
      </c>
      <c r="M314">
        <f>IF([2]Entry!$J$317="","",[2]Entry!$J$317)</f>
        <v/>
      </c>
      <c r="N314">
        <f>IF([2]Entry!$M$317="","",[2]Entry!$M$317)</f>
        <v/>
      </c>
      <c r="O314">
        <f>IF([2]Entry!$N$317="","",[2]Entry!$N$317)</f>
        <v/>
      </c>
      <c r="P314">
        <f>IF([2]Entry!$S$317="","",[2]Entry!$S$317)</f>
        <v/>
      </c>
    </row>
    <row r="315">
      <c r="A315">
        <f>IF([1]Cheques!$A$316="","",[1]Cheques!$A$316)</f>
        <v/>
      </c>
      <c r="E315">
        <f>IF([1]Accounts!$D$316="","",[1]Accounts!$A$316)</f>
        <v/>
      </c>
      <c r="F315">
        <f>IF([1]Accounts!$D$316="","",[1]Accounts!$B$316)</f>
        <v/>
      </c>
      <c r="G315">
        <f>IF([1]Accounts!$D$316="","",[1]Accounts!$C$316)</f>
        <v/>
      </c>
      <c r="H315">
        <f>IF([1]Accounts!$D$316="","",[1]Accounts!$D$316)</f>
        <v/>
      </c>
      <c r="L315">
        <f>IF([2]Entry!$C$318="","",[2]Entry!$C$318)</f>
        <v/>
      </c>
      <c r="M315">
        <f>IF([2]Entry!$J$318="","",[2]Entry!$J$318)</f>
        <v/>
      </c>
      <c r="N315">
        <f>IF([2]Entry!$M$318="","",[2]Entry!$M$318)</f>
        <v/>
      </c>
      <c r="O315">
        <f>IF([2]Entry!$N$318="","",[2]Entry!$N$318)</f>
        <v/>
      </c>
      <c r="P315">
        <f>IF([2]Entry!$S$318="","",[2]Entry!$S$318)</f>
        <v/>
      </c>
    </row>
    <row r="316">
      <c r="A316">
        <f>IF([1]Cheques!$A$317="","",[1]Cheques!$A$317)</f>
        <v/>
      </c>
      <c r="E316">
        <f>IF([1]Accounts!$D$317="","",[1]Accounts!$A$317)</f>
        <v/>
      </c>
      <c r="F316">
        <f>IF([1]Accounts!$D$317="","",[1]Accounts!$B$317)</f>
        <v/>
      </c>
      <c r="G316">
        <f>IF([1]Accounts!$D$317="","",[1]Accounts!$C$317)</f>
        <v/>
      </c>
      <c r="H316">
        <f>IF([1]Accounts!$D$317="","",[1]Accounts!$D$317)</f>
        <v/>
      </c>
      <c r="L316">
        <f>IF([2]Entry!$C$319="","",[2]Entry!$C$319)</f>
        <v/>
      </c>
      <c r="M316">
        <f>IF([2]Entry!$J$319="","",[2]Entry!$J$319)</f>
        <v/>
      </c>
      <c r="N316">
        <f>IF([2]Entry!$M$319="","",[2]Entry!$M$319)</f>
        <v/>
      </c>
      <c r="O316">
        <f>IF([2]Entry!$N$319="","",[2]Entry!$N$319)</f>
        <v/>
      </c>
      <c r="P316">
        <f>IF([2]Entry!$S$319="","",[2]Entry!$S$319)</f>
        <v/>
      </c>
    </row>
    <row r="317">
      <c r="A317">
        <f>IF([1]Cheques!$A$318="","",[1]Cheques!$A$318)</f>
        <v/>
      </c>
      <c r="E317">
        <f>IF([1]Accounts!$D$318="","",[1]Accounts!$A$318)</f>
        <v/>
      </c>
      <c r="F317">
        <f>IF([1]Accounts!$D$318="","",[1]Accounts!$B$318)</f>
        <v/>
      </c>
      <c r="G317">
        <f>IF([1]Accounts!$D$318="","",[1]Accounts!$C$318)</f>
        <v/>
      </c>
      <c r="H317">
        <f>IF([1]Accounts!$D$318="","",[1]Accounts!$D$318)</f>
        <v/>
      </c>
      <c r="L317">
        <f>IF([2]Entry!$C$320="","",[2]Entry!$C$320)</f>
        <v/>
      </c>
      <c r="M317">
        <f>IF([2]Entry!$J$320="","",[2]Entry!$J$320)</f>
        <v/>
      </c>
      <c r="N317">
        <f>IF([2]Entry!$M$320="","",[2]Entry!$M$320)</f>
        <v/>
      </c>
      <c r="O317">
        <f>IF([2]Entry!$N$320="","",[2]Entry!$N$320)</f>
        <v/>
      </c>
      <c r="P317">
        <f>IF([2]Entry!$S$320="","",[2]Entry!$S$320)</f>
        <v/>
      </c>
    </row>
    <row r="318">
      <c r="A318">
        <f>IF([1]Cheques!$A$319="","",[1]Cheques!$A$319)</f>
        <v/>
      </c>
      <c r="E318">
        <f>IF([1]Accounts!$D$319="","",[1]Accounts!$A$319)</f>
        <v/>
      </c>
      <c r="F318">
        <f>IF([1]Accounts!$D$319="","",[1]Accounts!$B$319)</f>
        <v/>
      </c>
      <c r="G318">
        <f>IF([1]Accounts!$D$319="","",[1]Accounts!$C$319)</f>
        <v/>
      </c>
      <c r="H318">
        <f>IF([1]Accounts!$D$319="","",[1]Accounts!$D$319)</f>
        <v/>
      </c>
      <c r="L318">
        <f>IF([2]Entry!$C$321="","",[2]Entry!$C$321)</f>
        <v/>
      </c>
      <c r="M318">
        <f>IF([2]Entry!$J$321="","",[2]Entry!$J$321)</f>
        <v/>
      </c>
      <c r="N318">
        <f>IF([2]Entry!$M$321="","",[2]Entry!$M$321)</f>
        <v/>
      </c>
      <c r="O318">
        <f>IF([2]Entry!$N$321="","",[2]Entry!$N$321)</f>
        <v/>
      </c>
      <c r="P318">
        <f>IF([2]Entry!$S$321="","",[2]Entry!$S$321)</f>
        <v/>
      </c>
    </row>
    <row r="319">
      <c r="A319">
        <f>IF([1]Cheques!$A$320="","",[1]Cheques!$A$320)</f>
        <v/>
      </c>
      <c r="E319">
        <f>IF([1]Accounts!$D$320="","",[1]Accounts!$A$320)</f>
        <v/>
      </c>
      <c r="F319">
        <f>IF([1]Accounts!$D$320="","",[1]Accounts!$B$320)</f>
        <v/>
      </c>
      <c r="G319">
        <f>IF([1]Accounts!$D$320="","",[1]Accounts!$C$320)</f>
        <v/>
      </c>
      <c r="H319">
        <f>IF([1]Accounts!$D$320="","",[1]Accounts!$D$320)</f>
        <v/>
      </c>
      <c r="L319">
        <f>IF([2]Entry!$C$322="","",[2]Entry!$C$322)</f>
        <v/>
      </c>
      <c r="M319">
        <f>IF([2]Entry!$J$322="","",[2]Entry!$J$322)</f>
        <v/>
      </c>
      <c r="N319">
        <f>IF([2]Entry!$M$322="","",[2]Entry!$M$322)</f>
        <v/>
      </c>
      <c r="O319">
        <f>IF([2]Entry!$N$322="","",[2]Entry!$N$322)</f>
        <v/>
      </c>
      <c r="P319">
        <f>IF([2]Entry!$S$322="","",[2]Entry!$S$322)</f>
        <v/>
      </c>
    </row>
    <row r="320">
      <c r="A320">
        <f>IF([1]Cheques!$A$321="","",[1]Cheques!$A$321)</f>
        <v/>
      </c>
      <c r="E320">
        <f>IF([1]Accounts!$D$321="","",[1]Accounts!$A$321)</f>
        <v/>
      </c>
      <c r="F320">
        <f>IF([1]Accounts!$D$321="","",[1]Accounts!$B$321)</f>
        <v/>
      </c>
      <c r="G320">
        <f>IF([1]Accounts!$D$321="","",[1]Accounts!$C$321)</f>
        <v/>
      </c>
      <c r="H320">
        <f>IF([1]Accounts!$D$321="","",[1]Accounts!$D$321)</f>
        <v/>
      </c>
      <c r="L320">
        <f>IF([2]Entry!$C$323="","",[2]Entry!$C$323)</f>
        <v/>
      </c>
      <c r="M320">
        <f>IF([2]Entry!$J$323="","",[2]Entry!$J$323)</f>
        <v/>
      </c>
      <c r="N320">
        <f>IF([2]Entry!$M$323="","",[2]Entry!$M$323)</f>
        <v/>
      </c>
      <c r="O320">
        <f>IF([2]Entry!$N$323="","",[2]Entry!$N$323)</f>
        <v/>
      </c>
      <c r="P320">
        <f>IF([2]Entry!$S$323="","",[2]Entry!$S$323)</f>
        <v/>
      </c>
    </row>
    <row r="321">
      <c r="A321">
        <f>IF([1]Cheques!$A$322="","",[1]Cheques!$A$322)</f>
        <v/>
      </c>
      <c r="E321">
        <f>IF([1]Accounts!$D$322="","",[1]Accounts!$A$322)</f>
        <v/>
      </c>
      <c r="F321">
        <f>IF([1]Accounts!$D$322="","",[1]Accounts!$B$322)</f>
        <v/>
      </c>
      <c r="G321">
        <f>IF([1]Accounts!$D$322="","",[1]Accounts!$C$322)</f>
        <v/>
      </c>
      <c r="H321">
        <f>IF([1]Accounts!$D$322="","",[1]Accounts!$D$322)</f>
        <v/>
      </c>
      <c r="L321">
        <f>IF([2]Entry!$C$324="","",[2]Entry!$C$324)</f>
        <v/>
      </c>
      <c r="M321">
        <f>IF([2]Entry!$J$324="","",[2]Entry!$J$324)</f>
        <v/>
      </c>
      <c r="N321">
        <f>IF([2]Entry!$M$324="","",[2]Entry!$M$324)</f>
        <v/>
      </c>
      <c r="O321">
        <f>IF([2]Entry!$N$324="","",[2]Entry!$N$324)</f>
        <v/>
      </c>
      <c r="P321">
        <f>IF([2]Entry!$S$324="","",[2]Entry!$S$324)</f>
        <v/>
      </c>
    </row>
    <row r="322">
      <c r="A322">
        <f>IF([1]Cheques!$A$323="","",[1]Cheques!$A$323)</f>
        <v/>
      </c>
      <c r="E322">
        <f>IF([1]Accounts!$D$323="","",[1]Accounts!$A$323)</f>
        <v/>
      </c>
      <c r="F322">
        <f>IF([1]Accounts!$D$323="","",[1]Accounts!$B$323)</f>
        <v/>
      </c>
      <c r="G322">
        <f>IF([1]Accounts!$D$323="","",[1]Accounts!$C$323)</f>
        <v/>
      </c>
      <c r="H322">
        <f>IF([1]Accounts!$D$323="","",[1]Accounts!$D$323)</f>
        <v/>
      </c>
      <c r="L322">
        <f>IF([2]Entry!$C$325="","",[2]Entry!$C$325)</f>
        <v/>
      </c>
      <c r="M322">
        <f>IF([2]Entry!$J$325="","",[2]Entry!$J$325)</f>
        <v/>
      </c>
      <c r="N322">
        <f>IF([2]Entry!$M$325="","",[2]Entry!$M$325)</f>
        <v/>
      </c>
      <c r="O322">
        <f>IF([2]Entry!$N$325="","",[2]Entry!$N$325)</f>
        <v/>
      </c>
      <c r="P322">
        <f>IF([2]Entry!$S$325="","",[2]Entry!$S$325)</f>
        <v/>
      </c>
    </row>
    <row r="323">
      <c r="A323">
        <f>IF([1]Cheques!$A$324="","",[1]Cheques!$A$324)</f>
        <v/>
      </c>
      <c r="E323">
        <f>IF([1]Accounts!$D$324="","",[1]Accounts!$A$324)</f>
        <v/>
      </c>
      <c r="F323">
        <f>IF([1]Accounts!$D$324="","",[1]Accounts!$B$324)</f>
        <v/>
      </c>
      <c r="G323">
        <f>IF([1]Accounts!$D$324="","",[1]Accounts!$C$324)</f>
        <v/>
      </c>
      <c r="H323">
        <f>IF([1]Accounts!$D$324="","",[1]Accounts!$D$324)</f>
        <v/>
      </c>
      <c r="L323">
        <f>IF([2]Entry!$C$326="","",[2]Entry!$C$326)</f>
        <v/>
      </c>
      <c r="M323">
        <f>IF([2]Entry!$J$326="","",[2]Entry!$J$326)</f>
        <v/>
      </c>
      <c r="N323">
        <f>IF([2]Entry!$M$326="","",[2]Entry!$M$326)</f>
        <v/>
      </c>
      <c r="O323">
        <f>IF([2]Entry!$N$326="","",[2]Entry!$N$326)</f>
        <v/>
      </c>
      <c r="P323">
        <f>IF([2]Entry!$S$326="","",[2]Entry!$S$326)</f>
        <v/>
      </c>
    </row>
    <row r="324">
      <c r="A324">
        <f>IF([1]Cheques!$A$325="","",[1]Cheques!$A$325)</f>
        <v/>
      </c>
      <c r="E324">
        <f>IF([1]Accounts!$D$325="","",[1]Accounts!$A$325)</f>
        <v/>
      </c>
      <c r="F324">
        <f>IF([1]Accounts!$D$325="","",[1]Accounts!$B$325)</f>
        <v/>
      </c>
      <c r="G324">
        <f>IF([1]Accounts!$D$325="","",[1]Accounts!$C$325)</f>
        <v/>
      </c>
      <c r="H324">
        <f>IF([1]Accounts!$D$325="","",[1]Accounts!$D$325)</f>
        <v/>
      </c>
      <c r="L324">
        <f>IF([2]Entry!$C$327="","",[2]Entry!$C$327)</f>
        <v/>
      </c>
      <c r="M324">
        <f>IF([2]Entry!$J$327="","",[2]Entry!$J$327)</f>
        <v/>
      </c>
      <c r="N324">
        <f>IF([2]Entry!$M$327="","",[2]Entry!$M$327)</f>
        <v/>
      </c>
      <c r="O324">
        <f>IF([2]Entry!$N$327="","",[2]Entry!$N$327)</f>
        <v/>
      </c>
      <c r="P324">
        <f>IF([2]Entry!$S$327="","",[2]Entry!$S$327)</f>
        <v/>
      </c>
    </row>
    <row r="325">
      <c r="A325">
        <f>IF([1]Cheques!$A$326="","",[1]Cheques!$A$326)</f>
        <v/>
      </c>
      <c r="E325">
        <f>IF([1]Accounts!$D$326="","",[1]Accounts!$A$326)</f>
        <v/>
      </c>
      <c r="F325">
        <f>IF([1]Accounts!$D$326="","",[1]Accounts!$B$326)</f>
        <v/>
      </c>
      <c r="G325">
        <f>IF([1]Accounts!$D$326="","",[1]Accounts!$C$326)</f>
        <v/>
      </c>
      <c r="H325">
        <f>IF([1]Accounts!$D$326="","",[1]Accounts!$D$326)</f>
        <v/>
      </c>
      <c r="L325">
        <f>IF([2]Entry!$C$328="","",[2]Entry!$C$328)</f>
        <v/>
      </c>
      <c r="M325">
        <f>IF([2]Entry!$J$328="","",[2]Entry!$J$328)</f>
        <v/>
      </c>
      <c r="N325">
        <f>IF([2]Entry!$M$328="","",[2]Entry!$M$328)</f>
        <v/>
      </c>
      <c r="O325">
        <f>IF([2]Entry!$N$328="","",[2]Entry!$N$328)</f>
        <v/>
      </c>
      <c r="P325">
        <f>IF([2]Entry!$S$328="","",[2]Entry!$S$328)</f>
        <v/>
      </c>
    </row>
    <row r="326">
      <c r="A326">
        <f>IF([1]Cheques!$A$327="","",[1]Cheques!$A$327)</f>
        <v/>
      </c>
      <c r="E326">
        <f>IF([1]Accounts!$D$327="","",[1]Accounts!$A$327)</f>
        <v/>
      </c>
      <c r="F326">
        <f>IF([1]Accounts!$D$327="","",[1]Accounts!$B$327)</f>
        <v/>
      </c>
      <c r="G326">
        <f>IF([1]Accounts!$D$327="","",[1]Accounts!$C$327)</f>
        <v/>
      </c>
      <c r="H326">
        <f>IF([1]Accounts!$D$327="","",[1]Accounts!$D$327)</f>
        <v/>
      </c>
      <c r="L326">
        <f>IF([2]Entry!$C$329="","",[2]Entry!$C$329)</f>
        <v/>
      </c>
      <c r="M326">
        <f>IF([2]Entry!$J$329="","",[2]Entry!$J$329)</f>
        <v/>
      </c>
      <c r="N326">
        <f>IF([2]Entry!$M$329="","",[2]Entry!$M$329)</f>
        <v/>
      </c>
      <c r="O326">
        <f>IF([2]Entry!$N$329="","",[2]Entry!$N$329)</f>
        <v/>
      </c>
      <c r="P326">
        <f>IF([2]Entry!$S$329="","",[2]Entry!$S$329)</f>
        <v/>
      </c>
    </row>
    <row r="327">
      <c r="A327">
        <f>IF([1]Cheques!$A$328="","",[1]Cheques!$A$328)</f>
        <v/>
      </c>
      <c r="E327">
        <f>IF([1]Accounts!$D$328="","",[1]Accounts!$A$328)</f>
        <v/>
      </c>
      <c r="F327">
        <f>IF([1]Accounts!$D$328="","",[1]Accounts!$B$328)</f>
        <v/>
      </c>
      <c r="G327">
        <f>IF([1]Accounts!$D$328="","",[1]Accounts!$C$328)</f>
        <v/>
      </c>
      <c r="H327">
        <f>IF([1]Accounts!$D$328="","",[1]Accounts!$D$328)</f>
        <v/>
      </c>
      <c r="L327">
        <f>IF([2]Entry!$C$330="","",[2]Entry!$C$330)</f>
        <v/>
      </c>
      <c r="M327">
        <f>IF([2]Entry!$J$330="","",[2]Entry!$J$330)</f>
        <v/>
      </c>
      <c r="N327">
        <f>IF([2]Entry!$M$330="","",[2]Entry!$M$330)</f>
        <v/>
      </c>
      <c r="O327">
        <f>IF([2]Entry!$N$330="","",[2]Entry!$N$330)</f>
        <v/>
      </c>
      <c r="P327">
        <f>IF([2]Entry!$S$330="","",[2]Entry!$S$330)</f>
        <v/>
      </c>
    </row>
    <row r="328">
      <c r="A328">
        <f>IF([1]Cheques!$A$329="","",[1]Cheques!$A$329)</f>
        <v/>
      </c>
      <c r="E328">
        <f>IF([1]Accounts!$D$329="","",[1]Accounts!$A$329)</f>
        <v/>
      </c>
      <c r="F328">
        <f>IF([1]Accounts!$D$329="","",[1]Accounts!$B$329)</f>
        <v/>
      </c>
      <c r="G328">
        <f>IF([1]Accounts!$D$329="","",[1]Accounts!$C$329)</f>
        <v/>
      </c>
      <c r="H328">
        <f>IF([1]Accounts!$D$329="","",[1]Accounts!$D$329)</f>
        <v/>
      </c>
      <c r="L328">
        <f>IF([2]Entry!$C$331="","",[2]Entry!$C$331)</f>
        <v/>
      </c>
      <c r="M328">
        <f>IF([2]Entry!$J$331="","",[2]Entry!$J$331)</f>
        <v/>
      </c>
      <c r="N328">
        <f>IF([2]Entry!$M$331="","",[2]Entry!$M$331)</f>
        <v/>
      </c>
      <c r="O328">
        <f>IF([2]Entry!$N$331="","",[2]Entry!$N$331)</f>
        <v/>
      </c>
      <c r="P328">
        <f>IF([2]Entry!$S$331="","",[2]Entry!$S$331)</f>
        <v/>
      </c>
    </row>
    <row r="329">
      <c r="A329">
        <f>IF([1]Cheques!$A$330="","",[1]Cheques!$A$330)</f>
        <v/>
      </c>
      <c r="E329">
        <f>IF([1]Accounts!$D$330="","",[1]Accounts!$A$330)</f>
        <v/>
      </c>
      <c r="F329">
        <f>IF([1]Accounts!$D$330="","",[1]Accounts!$B$330)</f>
        <v/>
      </c>
      <c r="G329">
        <f>IF([1]Accounts!$D$330="","",[1]Accounts!$C$330)</f>
        <v/>
      </c>
      <c r="H329">
        <f>IF([1]Accounts!$D$330="","",[1]Accounts!$D$330)</f>
        <v/>
      </c>
      <c r="L329">
        <f>IF([2]Entry!$C$332="","",[2]Entry!$C$332)</f>
        <v/>
      </c>
      <c r="M329">
        <f>IF([2]Entry!$J$332="","",[2]Entry!$J$332)</f>
        <v/>
      </c>
      <c r="N329">
        <f>IF([2]Entry!$M$332="","",[2]Entry!$M$332)</f>
        <v/>
      </c>
      <c r="O329">
        <f>IF([2]Entry!$N$332="","",[2]Entry!$N$332)</f>
        <v/>
      </c>
      <c r="P329">
        <f>IF([2]Entry!$S$332="","",[2]Entry!$S$332)</f>
        <v/>
      </c>
    </row>
    <row r="330">
      <c r="A330">
        <f>IF([1]Cheques!$A$331="","",[1]Cheques!$A$331)</f>
        <v/>
      </c>
      <c r="E330">
        <f>IF([1]Accounts!$D$331="","",[1]Accounts!$A$331)</f>
        <v/>
      </c>
      <c r="F330">
        <f>IF([1]Accounts!$D$331="","",[1]Accounts!$B$331)</f>
        <v/>
      </c>
      <c r="G330">
        <f>IF([1]Accounts!$D$331="","",[1]Accounts!$C$331)</f>
        <v/>
      </c>
      <c r="H330">
        <f>IF([1]Accounts!$D$331="","",[1]Accounts!$D$331)</f>
        <v/>
      </c>
      <c r="L330">
        <f>IF([2]Entry!$C$333="","",[2]Entry!$C$333)</f>
        <v/>
      </c>
      <c r="M330">
        <f>IF([2]Entry!$J$333="","",[2]Entry!$J$333)</f>
        <v/>
      </c>
      <c r="N330">
        <f>IF([2]Entry!$M$333="","",[2]Entry!$M$333)</f>
        <v/>
      </c>
      <c r="O330">
        <f>IF([2]Entry!$N$333="","",[2]Entry!$N$333)</f>
        <v/>
      </c>
      <c r="P330">
        <f>IF([2]Entry!$S$333="","",[2]Entry!$S$333)</f>
        <v/>
      </c>
    </row>
    <row r="331">
      <c r="A331">
        <f>IF([1]Cheques!$A$332="","",[1]Cheques!$A$332)</f>
        <v/>
      </c>
      <c r="E331">
        <f>IF([1]Accounts!$D$332="","",[1]Accounts!$A$332)</f>
        <v/>
      </c>
      <c r="F331">
        <f>IF([1]Accounts!$D$332="","",[1]Accounts!$B$332)</f>
        <v/>
      </c>
      <c r="G331">
        <f>IF([1]Accounts!$D$332="","",[1]Accounts!$C$332)</f>
        <v/>
      </c>
      <c r="H331">
        <f>IF([1]Accounts!$D$332="","",[1]Accounts!$D$332)</f>
        <v/>
      </c>
      <c r="L331">
        <f>IF([2]Entry!$C$334="","",[2]Entry!$C$334)</f>
        <v/>
      </c>
      <c r="M331">
        <f>IF([2]Entry!$J$334="","",[2]Entry!$J$334)</f>
        <v/>
      </c>
      <c r="N331">
        <f>IF([2]Entry!$M$334="","",[2]Entry!$M$334)</f>
        <v/>
      </c>
      <c r="O331">
        <f>IF([2]Entry!$N$334="","",[2]Entry!$N$334)</f>
        <v/>
      </c>
      <c r="P331">
        <f>IF([2]Entry!$S$334="","",[2]Entry!$S$334)</f>
        <v/>
      </c>
    </row>
    <row r="332">
      <c r="A332">
        <f>IF([1]Cheques!$A$333="","",[1]Cheques!$A$333)</f>
        <v/>
      </c>
      <c r="E332">
        <f>IF([1]Accounts!$D$333="","",[1]Accounts!$A$333)</f>
        <v/>
      </c>
      <c r="F332">
        <f>IF([1]Accounts!$D$333="","",[1]Accounts!$B$333)</f>
        <v/>
      </c>
      <c r="G332">
        <f>IF([1]Accounts!$D$333="","",[1]Accounts!$C$333)</f>
        <v/>
      </c>
      <c r="H332">
        <f>IF([1]Accounts!$D$333="","",[1]Accounts!$D$333)</f>
        <v/>
      </c>
      <c r="L332">
        <f>IF([2]Entry!$C$335="","",[2]Entry!$C$335)</f>
        <v/>
      </c>
      <c r="M332">
        <f>IF([2]Entry!$J$335="","",[2]Entry!$J$335)</f>
        <v/>
      </c>
      <c r="N332">
        <f>IF([2]Entry!$M$335="","",[2]Entry!$M$335)</f>
        <v/>
      </c>
      <c r="O332">
        <f>IF([2]Entry!$N$335="","",[2]Entry!$N$335)</f>
        <v/>
      </c>
      <c r="P332">
        <f>IF([2]Entry!$S$335="","",[2]Entry!$S$335)</f>
        <v/>
      </c>
    </row>
    <row r="333">
      <c r="A333">
        <f>IF([1]Cheques!$A$334="","",[1]Cheques!$A$334)</f>
        <v/>
      </c>
      <c r="E333">
        <f>IF([1]Accounts!$D$334="","",[1]Accounts!$A$334)</f>
        <v/>
      </c>
      <c r="F333">
        <f>IF([1]Accounts!$D$334="","",[1]Accounts!$B$334)</f>
        <v/>
      </c>
      <c r="G333">
        <f>IF([1]Accounts!$D$334="","",[1]Accounts!$C$334)</f>
        <v/>
      </c>
      <c r="H333">
        <f>IF([1]Accounts!$D$334="","",[1]Accounts!$D$334)</f>
        <v/>
      </c>
      <c r="L333">
        <f>IF([2]Entry!$C$336="","",[2]Entry!$C$336)</f>
        <v/>
      </c>
      <c r="M333">
        <f>IF([2]Entry!$J$336="","",[2]Entry!$J$336)</f>
        <v/>
      </c>
      <c r="N333">
        <f>IF([2]Entry!$M$336="","",[2]Entry!$M$336)</f>
        <v/>
      </c>
      <c r="O333">
        <f>IF([2]Entry!$N$336="","",[2]Entry!$N$336)</f>
        <v/>
      </c>
      <c r="P333">
        <f>IF([2]Entry!$S$336="","",[2]Entry!$S$336)</f>
        <v/>
      </c>
    </row>
    <row r="334">
      <c r="A334">
        <f>IF([1]Cheques!$A$335="","",[1]Cheques!$A$335)</f>
        <v/>
      </c>
      <c r="E334">
        <f>IF([1]Accounts!$D$335="","",[1]Accounts!$A$335)</f>
        <v/>
      </c>
      <c r="F334">
        <f>IF([1]Accounts!$D$335="","",[1]Accounts!$B$335)</f>
        <v/>
      </c>
      <c r="G334">
        <f>IF([1]Accounts!$D$335="","",[1]Accounts!$C$335)</f>
        <v/>
      </c>
      <c r="H334">
        <f>IF([1]Accounts!$D$335="","",[1]Accounts!$D$335)</f>
        <v/>
      </c>
      <c r="L334">
        <f>IF([2]Entry!$C$337="","",[2]Entry!$C$337)</f>
        <v/>
      </c>
      <c r="M334">
        <f>IF([2]Entry!$J$337="","",[2]Entry!$J$337)</f>
        <v/>
      </c>
      <c r="N334">
        <f>IF([2]Entry!$M$337="","",[2]Entry!$M$337)</f>
        <v/>
      </c>
      <c r="O334">
        <f>IF([2]Entry!$N$337="","",[2]Entry!$N$337)</f>
        <v/>
      </c>
      <c r="P334">
        <f>IF([2]Entry!$S$337="","",[2]Entry!$S$337)</f>
        <v/>
      </c>
    </row>
    <row r="335">
      <c r="A335">
        <f>IF([1]Cheques!$A$336="","",[1]Cheques!$A$336)</f>
        <v/>
      </c>
      <c r="E335">
        <f>IF([1]Accounts!$D$336="","",[1]Accounts!$A$336)</f>
        <v/>
      </c>
      <c r="F335">
        <f>IF([1]Accounts!$D$336="","",[1]Accounts!$B$336)</f>
        <v/>
      </c>
      <c r="G335">
        <f>IF([1]Accounts!$D$336="","",[1]Accounts!$C$336)</f>
        <v/>
      </c>
      <c r="H335">
        <f>IF([1]Accounts!$D$336="","",[1]Accounts!$D$336)</f>
        <v/>
      </c>
      <c r="L335">
        <f>IF([2]Entry!$C$338="","",[2]Entry!$C$338)</f>
        <v/>
      </c>
      <c r="M335">
        <f>IF([2]Entry!$J$338="","",[2]Entry!$J$338)</f>
        <v/>
      </c>
      <c r="N335">
        <f>IF([2]Entry!$M$338="","",[2]Entry!$M$338)</f>
        <v/>
      </c>
      <c r="O335">
        <f>IF([2]Entry!$N$338="","",[2]Entry!$N$338)</f>
        <v/>
      </c>
      <c r="P335">
        <f>IF([2]Entry!$S$338="","",[2]Entry!$S$338)</f>
        <v/>
      </c>
    </row>
    <row r="336">
      <c r="A336">
        <f>IF([1]Cheques!$A$337="","",[1]Cheques!$A$337)</f>
        <v/>
      </c>
      <c r="E336">
        <f>IF([1]Accounts!$D$337="","",[1]Accounts!$A$337)</f>
        <v/>
      </c>
      <c r="F336">
        <f>IF([1]Accounts!$D$337="","",[1]Accounts!$B$337)</f>
        <v/>
      </c>
      <c r="G336">
        <f>IF([1]Accounts!$D$337="","",[1]Accounts!$C$337)</f>
        <v/>
      </c>
      <c r="H336">
        <f>IF([1]Accounts!$D$337="","",[1]Accounts!$D$337)</f>
        <v/>
      </c>
      <c r="L336">
        <f>IF([2]Entry!$C$339="","",[2]Entry!$C$339)</f>
        <v/>
      </c>
      <c r="M336">
        <f>IF([2]Entry!$J$339="","",[2]Entry!$J$339)</f>
        <v/>
      </c>
      <c r="N336">
        <f>IF([2]Entry!$M$339="","",[2]Entry!$M$339)</f>
        <v/>
      </c>
      <c r="O336">
        <f>IF([2]Entry!$N$339="","",[2]Entry!$N$339)</f>
        <v/>
      </c>
      <c r="P336">
        <f>IF([2]Entry!$S$339="","",[2]Entry!$S$339)</f>
        <v/>
      </c>
    </row>
    <row r="337">
      <c r="A337">
        <f>IF([1]Cheques!$A$338="","",[1]Cheques!$A$338)</f>
        <v/>
      </c>
      <c r="E337">
        <f>IF([1]Accounts!$D$338="","",[1]Accounts!$A$338)</f>
        <v/>
      </c>
      <c r="F337">
        <f>IF([1]Accounts!$D$338="","",[1]Accounts!$B$338)</f>
        <v/>
      </c>
      <c r="G337">
        <f>IF([1]Accounts!$D$338="","",[1]Accounts!$C$338)</f>
        <v/>
      </c>
      <c r="H337">
        <f>IF([1]Accounts!$D$338="","",[1]Accounts!$D$338)</f>
        <v/>
      </c>
      <c r="L337">
        <f>IF([2]Entry!$C$340="","",[2]Entry!$C$340)</f>
        <v/>
      </c>
      <c r="M337">
        <f>IF([2]Entry!$J$340="","",[2]Entry!$J$340)</f>
        <v/>
      </c>
      <c r="N337">
        <f>IF([2]Entry!$M$340="","",[2]Entry!$M$340)</f>
        <v/>
      </c>
      <c r="O337">
        <f>IF([2]Entry!$N$340="","",[2]Entry!$N$340)</f>
        <v/>
      </c>
      <c r="P337">
        <f>IF([2]Entry!$S$340="","",[2]Entry!$S$340)</f>
        <v/>
      </c>
    </row>
    <row r="338">
      <c r="A338">
        <f>IF([1]Cheques!$A$339="","",[1]Cheques!$A$339)</f>
        <v/>
      </c>
      <c r="E338">
        <f>IF([1]Accounts!$D$339="","",[1]Accounts!$A$339)</f>
        <v/>
      </c>
      <c r="F338">
        <f>IF([1]Accounts!$D$339="","",[1]Accounts!$B$339)</f>
        <v/>
      </c>
      <c r="G338">
        <f>IF([1]Accounts!$D$339="","",[1]Accounts!$C$339)</f>
        <v/>
      </c>
      <c r="H338">
        <f>IF([1]Accounts!$D$339="","",[1]Accounts!$D$339)</f>
        <v/>
      </c>
      <c r="L338">
        <f>IF([2]Entry!$C$341="","",[2]Entry!$C$341)</f>
        <v/>
      </c>
      <c r="M338">
        <f>IF([2]Entry!$J$341="","",[2]Entry!$J$341)</f>
        <v/>
      </c>
      <c r="N338">
        <f>IF([2]Entry!$M$341="","",[2]Entry!$M$341)</f>
        <v/>
      </c>
      <c r="O338">
        <f>IF([2]Entry!$N$341="","",[2]Entry!$N$341)</f>
        <v/>
      </c>
      <c r="P338">
        <f>IF([2]Entry!$S$341="","",[2]Entry!$S$341)</f>
        <v/>
      </c>
    </row>
    <row r="339">
      <c r="A339">
        <f>IF([1]Cheques!$A$340="","",[1]Cheques!$A$340)</f>
        <v/>
      </c>
      <c r="E339">
        <f>IF([1]Accounts!$D$340="","",[1]Accounts!$A$340)</f>
        <v/>
      </c>
      <c r="F339">
        <f>IF([1]Accounts!$D$340="","",[1]Accounts!$B$340)</f>
        <v/>
      </c>
      <c r="G339">
        <f>IF([1]Accounts!$D$340="","",[1]Accounts!$C$340)</f>
        <v/>
      </c>
      <c r="H339">
        <f>IF([1]Accounts!$D$340="","",[1]Accounts!$D$340)</f>
        <v/>
      </c>
      <c r="L339">
        <f>IF([2]Entry!$C$342="","",[2]Entry!$C$342)</f>
        <v/>
      </c>
      <c r="M339">
        <f>IF([2]Entry!$J$342="","",[2]Entry!$J$342)</f>
        <v/>
      </c>
      <c r="N339">
        <f>IF([2]Entry!$M$342="","",[2]Entry!$M$342)</f>
        <v/>
      </c>
      <c r="O339">
        <f>IF([2]Entry!$N$342="","",[2]Entry!$N$342)</f>
        <v/>
      </c>
      <c r="P339">
        <f>IF([2]Entry!$S$342="","",[2]Entry!$S$342)</f>
        <v/>
      </c>
    </row>
    <row r="340">
      <c r="A340">
        <f>IF([1]Cheques!$A$341="","",[1]Cheques!$A$341)</f>
        <v/>
      </c>
      <c r="E340">
        <f>IF([1]Accounts!$D$341="","",[1]Accounts!$A$341)</f>
        <v/>
      </c>
      <c r="F340">
        <f>IF([1]Accounts!$D$341="","",[1]Accounts!$B$341)</f>
        <v/>
      </c>
      <c r="G340">
        <f>IF([1]Accounts!$D$341="","",[1]Accounts!$C$341)</f>
        <v/>
      </c>
      <c r="H340">
        <f>IF([1]Accounts!$D$341="","",[1]Accounts!$D$341)</f>
        <v/>
      </c>
      <c r="L340">
        <f>IF([2]Entry!$C$343="","",[2]Entry!$C$343)</f>
        <v/>
      </c>
      <c r="M340">
        <f>IF([2]Entry!$J$343="","",[2]Entry!$J$343)</f>
        <v/>
      </c>
      <c r="N340">
        <f>IF([2]Entry!$M$343="","",[2]Entry!$M$343)</f>
        <v/>
      </c>
      <c r="O340">
        <f>IF([2]Entry!$N$343="","",[2]Entry!$N$343)</f>
        <v/>
      </c>
      <c r="P340">
        <f>IF([2]Entry!$S$343="","",[2]Entry!$S$343)</f>
        <v/>
      </c>
    </row>
    <row r="341">
      <c r="A341">
        <f>IF([1]Cheques!$A$342="","",[1]Cheques!$A$342)</f>
        <v/>
      </c>
      <c r="E341">
        <f>IF([1]Accounts!$D$342="","",[1]Accounts!$A$342)</f>
        <v/>
      </c>
      <c r="F341">
        <f>IF([1]Accounts!$D$342="","",[1]Accounts!$B$342)</f>
        <v/>
      </c>
      <c r="G341">
        <f>IF([1]Accounts!$D$342="","",[1]Accounts!$C$342)</f>
        <v/>
      </c>
      <c r="H341">
        <f>IF([1]Accounts!$D$342="","",[1]Accounts!$D$342)</f>
        <v/>
      </c>
      <c r="L341">
        <f>IF([2]Entry!$C$344="","",[2]Entry!$C$344)</f>
        <v/>
      </c>
      <c r="M341">
        <f>IF([2]Entry!$J$344="","",[2]Entry!$J$344)</f>
        <v/>
      </c>
      <c r="N341">
        <f>IF([2]Entry!$M$344="","",[2]Entry!$M$344)</f>
        <v/>
      </c>
      <c r="O341">
        <f>IF([2]Entry!$N$344="","",[2]Entry!$N$344)</f>
        <v/>
      </c>
      <c r="P341">
        <f>IF([2]Entry!$S$344="","",[2]Entry!$S$344)</f>
        <v/>
      </c>
    </row>
    <row r="342">
      <c r="A342">
        <f>IF([1]Cheques!$A$343="","",[1]Cheques!$A$343)</f>
        <v/>
      </c>
      <c r="E342">
        <f>IF([1]Accounts!$D$343="","",[1]Accounts!$A$343)</f>
        <v/>
      </c>
      <c r="F342">
        <f>IF([1]Accounts!$D$343="","",[1]Accounts!$B$343)</f>
        <v/>
      </c>
      <c r="G342">
        <f>IF([1]Accounts!$D$343="","",[1]Accounts!$C$343)</f>
        <v/>
      </c>
      <c r="H342">
        <f>IF([1]Accounts!$D$343="","",[1]Accounts!$D$343)</f>
        <v/>
      </c>
      <c r="L342">
        <f>IF([2]Entry!$C$345="","",[2]Entry!$C$345)</f>
        <v/>
      </c>
      <c r="M342">
        <f>IF([2]Entry!$J$345="","",[2]Entry!$J$345)</f>
        <v/>
      </c>
      <c r="N342">
        <f>IF([2]Entry!$M$345="","",[2]Entry!$M$345)</f>
        <v/>
      </c>
      <c r="O342">
        <f>IF([2]Entry!$N$345="","",[2]Entry!$N$345)</f>
        <v/>
      </c>
      <c r="P342">
        <f>IF([2]Entry!$S$345="","",[2]Entry!$S$345)</f>
        <v/>
      </c>
    </row>
    <row r="343">
      <c r="A343">
        <f>IF([1]Cheques!$A$344="","",[1]Cheques!$A$344)</f>
        <v/>
      </c>
      <c r="E343">
        <f>IF([1]Accounts!$D$344="","",[1]Accounts!$A$344)</f>
        <v/>
      </c>
      <c r="F343">
        <f>IF([1]Accounts!$D$344="","",[1]Accounts!$B$344)</f>
        <v/>
      </c>
      <c r="G343">
        <f>IF([1]Accounts!$D$344="","",[1]Accounts!$C$344)</f>
        <v/>
      </c>
      <c r="H343">
        <f>IF([1]Accounts!$D$344="","",[1]Accounts!$D$344)</f>
        <v/>
      </c>
      <c r="L343">
        <f>IF([2]Entry!$C$346="","",[2]Entry!$C$346)</f>
        <v/>
      </c>
      <c r="M343">
        <f>IF([2]Entry!$J$346="","",[2]Entry!$J$346)</f>
        <v/>
      </c>
      <c r="N343">
        <f>IF([2]Entry!$M$346="","",[2]Entry!$M$346)</f>
        <v/>
      </c>
      <c r="O343">
        <f>IF([2]Entry!$N$346="","",[2]Entry!$N$346)</f>
        <v/>
      </c>
      <c r="P343">
        <f>IF([2]Entry!$S$346="","",[2]Entry!$S$346)</f>
        <v/>
      </c>
    </row>
    <row r="344">
      <c r="A344">
        <f>IF([1]Cheques!$A$345="","",[1]Cheques!$A$345)</f>
        <v/>
      </c>
      <c r="E344">
        <f>IF([1]Accounts!$D$345="","",[1]Accounts!$A$345)</f>
        <v/>
      </c>
      <c r="F344">
        <f>IF([1]Accounts!$D$345="","",[1]Accounts!$B$345)</f>
        <v/>
      </c>
      <c r="G344">
        <f>IF([1]Accounts!$D$345="","",[1]Accounts!$C$345)</f>
        <v/>
      </c>
      <c r="H344">
        <f>IF([1]Accounts!$D$345="","",[1]Accounts!$D$345)</f>
        <v/>
      </c>
      <c r="L344">
        <f>IF([2]Entry!$C$347="","",[2]Entry!$C$347)</f>
        <v/>
      </c>
      <c r="M344">
        <f>IF([2]Entry!$J$347="","",[2]Entry!$J$347)</f>
        <v/>
      </c>
      <c r="N344">
        <f>IF([2]Entry!$M$347="","",[2]Entry!$M$347)</f>
        <v/>
      </c>
      <c r="O344">
        <f>IF([2]Entry!$N$347="","",[2]Entry!$N$347)</f>
        <v/>
      </c>
      <c r="P344">
        <f>IF([2]Entry!$S$347="","",[2]Entry!$S$347)</f>
        <v/>
      </c>
    </row>
    <row r="345">
      <c r="A345">
        <f>IF([1]Cheques!$A$346="","",[1]Cheques!$A$346)</f>
        <v/>
      </c>
      <c r="E345">
        <f>IF([1]Accounts!$D$346="","",[1]Accounts!$A$346)</f>
        <v/>
      </c>
      <c r="F345">
        <f>IF([1]Accounts!$D$346="","",[1]Accounts!$B$346)</f>
        <v/>
      </c>
      <c r="G345">
        <f>IF([1]Accounts!$D$346="","",[1]Accounts!$C$346)</f>
        <v/>
      </c>
      <c r="H345">
        <f>IF([1]Accounts!$D$346="","",[1]Accounts!$D$346)</f>
        <v/>
      </c>
      <c r="L345">
        <f>IF([2]Entry!$C$348="","",[2]Entry!$C$348)</f>
        <v/>
      </c>
      <c r="M345">
        <f>IF([2]Entry!$J$348="","",[2]Entry!$J$348)</f>
        <v/>
      </c>
      <c r="N345">
        <f>IF([2]Entry!$M$348="","",[2]Entry!$M$348)</f>
        <v/>
      </c>
      <c r="O345">
        <f>IF([2]Entry!$N$348="","",[2]Entry!$N$348)</f>
        <v/>
      </c>
      <c r="P345">
        <f>IF([2]Entry!$S$348="","",[2]Entry!$S$348)</f>
        <v/>
      </c>
    </row>
    <row r="346">
      <c r="A346">
        <f>IF([1]Cheques!$A$347="","",[1]Cheques!$A$347)</f>
        <v/>
      </c>
      <c r="E346">
        <f>IF([1]Accounts!$D$347="","",[1]Accounts!$A$347)</f>
        <v/>
      </c>
      <c r="F346">
        <f>IF([1]Accounts!$D$347="","",[1]Accounts!$B$347)</f>
        <v/>
      </c>
      <c r="G346">
        <f>IF([1]Accounts!$D$347="","",[1]Accounts!$C$347)</f>
        <v/>
      </c>
      <c r="H346">
        <f>IF([1]Accounts!$D$347="","",[1]Accounts!$D$347)</f>
        <v/>
      </c>
      <c r="L346">
        <f>IF([2]Entry!$C$349="","",[2]Entry!$C$349)</f>
        <v/>
      </c>
      <c r="M346">
        <f>IF([2]Entry!$J$349="","",[2]Entry!$J$349)</f>
        <v/>
      </c>
      <c r="N346">
        <f>IF([2]Entry!$M$349="","",[2]Entry!$M$349)</f>
        <v/>
      </c>
      <c r="O346">
        <f>IF([2]Entry!$N$349="","",[2]Entry!$N$349)</f>
        <v/>
      </c>
      <c r="P346">
        <f>IF([2]Entry!$S$349="","",[2]Entry!$S$349)</f>
        <v/>
      </c>
    </row>
    <row r="347">
      <c r="A347">
        <f>IF([1]Cheques!$A$348="","",[1]Cheques!$A$348)</f>
        <v/>
      </c>
      <c r="E347">
        <f>IF([1]Accounts!$D$348="","",[1]Accounts!$A$348)</f>
        <v/>
      </c>
      <c r="F347">
        <f>IF([1]Accounts!$D$348="","",[1]Accounts!$B$348)</f>
        <v/>
      </c>
      <c r="G347">
        <f>IF([1]Accounts!$D$348="","",[1]Accounts!$C$348)</f>
        <v/>
      </c>
      <c r="H347">
        <f>IF([1]Accounts!$D$348="","",[1]Accounts!$D$348)</f>
        <v/>
      </c>
      <c r="L347">
        <f>IF([2]Entry!$C$350="","",[2]Entry!$C$350)</f>
        <v/>
      </c>
      <c r="M347">
        <f>IF([2]Entry!$J$350="","",[2]Entry!$J$350)</f>
        <v/>
      </c>
      <c r="N347">
        <f>IF([2]Entry!$M$350="","",[2]Entry!$M$350)</f>
        <v/>
      </c>
      <c r="O347">
        <f>IF([2]Entry!$N$350="","",[2]Entry!$N$350)</f>
        <v/>
      </c>
      <c r="P347">
        <f>IF([2]Entry!$S$350="","",[2]Entry!$S$350)</f>
        <v/>
      </c>
    </row>
    <row r="348">
      <c r="A348">
        <f>IF([1]Cheques!$A$349="","",[1]Cheques!$A$349)</f>
        <v/>
      </c>
      <c r="E348">
        <f>IF([1]Accounts!$D$349="","",[1]Accounts!$A$349)</f>
        <v/>
      </c>
      <c r="F348">
        <f>IF([1]Accounts!$D$349="","",[1]Accounts!$B$349)</f>
        <v/>
      </c>
      <c r="G348">
        <f>IF([1]Accounts!$D$349="","",[1]Accounts!$C$349)</f>
        <v/>
      </c>
      <c r="H348">
        <f>IF([1]Accounts!$D$349="","",[1]Accounts!$D$349)</f>
        <v/>
      </c>
      <c r="L348">
        <f>IF([2]Entry!$C$351="","",[2]Entry!$C$351)</f>
        <v/>
      </c>
      <c r="M348">
        <f>IF([2]Entry!$J$351="","",[2]Entry!$J$351)</f>
        <v/>
      </c>
      <c r="N348">
        <f>IF([2]Entry!$M$351="","",[2]Entry!$M$351)</f>
        <v/>
      </c>
      <c r="O348">
        <f>IF([2]Entry!$N$351="","",[2]Entry!$N$351)</f>
        <v/>
      </c>
      <c r="P348">
        <f>IF([2]Entry!$S$351="","",[2]Entry!$S$351)</f>
        <v/>
      </c>
    </row>
    <row r="349">
      <c r="A349">
        <f>IF([1]Cheques!$A$350="","",[1]Cheques!$A$350)</f>
        <v/>
      </c>
      <c r="E349">
        <f>IF([1]Accounts!$D$350="","",[1]Accounts!$A$350)</f>
        <v/>
      </c>
      <c r="F349">
        <f>IF([1]Accounts!$D$350="","",[1]Accounts!$B$350)</f>
        <v/>
      </c>
      <c r="G349">
        <f>IF([1]Accounts!$D$350="","",[1]Accounts!$C$350)</f>
        <v/>
      </c>
      <c r="H349">
        <f>IF([1]Accounts!$D$350="","",[1]Accounts!$D$350)</f>
        <v/>
      </c>
      <c r="L349">
        <f>IF([2]Entry!$C$352="","",[2]Entry!$C$352)</f>
        <v/>
      </c>
      <c r="M349">
        <f>IF([2]Entry!$J$352="","",[2]Entry!$J$352)</f>
        <v/>
      </c>
      <c r="N349">
        <f>IF([2]Entry!$M$352="","",[2]Entry!$M$352)</f>
        <v/>
      </c>
      <c r="O349">
        <f>IF([2]Entry!$N$352="","",[2]Entry!$N$352)</f>
        <v/>
      </c>
      <c r="P349">
        <f>IF([2]Entry!$S$352="","",[2]Entry!$S$352)</f>
        <v/>
      </c>
    </row>
    <row r="350">
      <c r="A350">
        <f>IF([1]Cheques!$A$351="","",[1]Cheques!$A$351)</f>
        <v/>
      </c>
      <c r="E350">
        <f>IF([1]Accounts!$D$351="","",[1]Accounts!$A$351)</f>
        <v/>
      </c>
      <c r="F350">
        <f>IF([1]Accounts!$D$351="","",[1]Accounts!$B$351)</f>
        <v/>
      </c>
      <c r="G350">
        <f>IF([1]Accounts!$D$351="","",[1]Accounts!$C$351)</f>
        <v/>
      </c>
      <c r="H350">
        <f>IF([1]Accounts!$D$351="","",[1]Accounts!$D$351)</f>
        <v/>
      </c>
      <c r="L350">
        <f>IF([2]Entry!$C$353="","",[2]Entry!$C$353)</f>
        <v/>
      </c>
      <c r="M350">
        <f>IF([2]Entry!$J$353="","",[2]Entry!$J$353)</f>
        <v/>
      </c>
      <c r="N350">
        <f>IF([2]Entry!$M$353="","",[2]Entry!$M$353)</f>
        <v/>
      </c>
      <c r="O350">
        <f>IF([2]Entry!$N$353="","",[2]Entry!$N$353)</f>
        <v/>
      </c>
      <c r="P350">
        <f>IF([2]Entry!$S$353="","",[2]Entry!$S$353)</f>
        <v/>
      </c>
    </row>
    <row r="351">
      <c r="A351">
        <f>IF([1]Cheques!$A$352="","",[1]Cheques!$A$352)</f>
        <v/>
      </c>
      <c r="E351">
        <f>IF([1]Accounts!$D$352="","",[1]Accounts!$A$352)</f>
        <v/>
      </c>
      <c r="F351">
        <f>IF([1]Accounts!$D$352="","",[1]Accounts!$B$352)</f>
        <v/>
      </c>
      <c r="G351">
        <f>IF([1]Accounts!$D$352="","",[1]Accounts!$C$352)</f>
        <v/>
      </c>
      <c r="H351">
        <f>IF([1]Accounts!$D$352="","",[1]Accounts!$D$352)</f>
        <v/>
      </c>
      <c r="L351">
        <f>IF([2]Entry!$C$354="","",[2]Entry!$C$354)</f>
        <v/>
      </c>
      <c r="M351">
        <f>IF([2]Entry!$J$354="","",[2]Entry!$J$354)</f>
        <v/>
      </c>
      <c r="N351">
        <f>IF([2]Entry!$M$354="","",[2]Entry!$M$354)</f>
        <v/>
      </c>
      <c r="O351">
        <f>IF([2]Entry!$N$354="","",[2]Entry!$N$354)</f>
        <v/>
      </c>
      <c r="P351">
        <f>IF([2]Entry!$S$354="","",[2]Entry!$S$354)</f>
        <v/>
      </c>
    </row>
    <row r="352">
      <c r="A352">
        <f>IF([1]Cheques!$A$353="","",[1]Cheques!$A$353)</f>
        <v/>
      </c>
      <c r="E352">
        <f>IF([1]Accounts!$D$353="","",[1]Accounts!$A$353)</f>
        <v/>
      </c>
      <c r="F352">
        <f>IF([1]Accounts!$D$353="","",[1]Accounts!$B$353)</f>
        <v/>
      </c>
      <c r="G352">
        <f>IF([1]Accounts!$D$353="","",[1]Accounts!$C$353)</f>
        <v/>
      </c>
      <c r="H352">
        <f>IF([1]Accounts!$D$353="","",[1]Accounts!$D$353)</f>
        <v/>
      </c>
      <c r="L352">
        <f>IF([2]Entry!$C$355="","",[2]Entry!$C$355)</f>
        <v/>
      </c>
      <c r="M352">
        <f>IF([2]Entry!$J$355="","",[2]Entry!$J$355)</f>
        <v/>
      </c>
      <c r="N352">
        <f>IF([2]Entry!$M$355="","",[2]Entry!$M$355)</f>
        <v/>
      </c>
      <c r="O352">
        <f>IF([2]Entry!$N$355="","",[2]Entry!$N$355)</f>
        <v/>
      </c>
      <c r="P352">
        <f>IF([2]Entry!$S$355="","",[2]Entry!$S$355)</f>
        <v/>
      </c>
    </row>
    <row r="353">
      <c r="A353">
        <f>IF([1]Cheques!$A$354="","",[1]Cheques!$A$354)</f>
        <v/>
      </c>
      <c r="E353">
        <f>IF([1]Accounts!$D$354="","",[1]Accounts!$A$354)</f>
        <v/>
      </c>
      <c r="F353">
        <f>IF([1]Accounts!$D$354="","",[1]Accounts!$B$354)</f>
        <v/>
      </c>
      <c r="G353">
        <f>IF([1]Accounts!$D$354="","",[1]Accounts!$C$354)</f>
        <v/>
      </c>
      <c r="H353">
        <f>IF([1]Accounts!$D$354="","",[1]Accounts!$D$354)</f>
        <v/>
      </c>
      <c r="L353">
        <f>IF([2]Entry!$C$356="","",[2]Entry!$C$356)</f>
        <v/>
      </c>
      <c r="M353">
        <f>IF([2]Entry!$J$356="","",[2]Entry!$J$356)</f>
        <v/>
      </c>
      <c r="N353">
        <f>IF([2]Entry!$M$356="","",[2]Entry!$M$356)</f>
        <v/>
      </c>
      <c r="O353">
        <f>IF([2]Entry!$N$356="","",[2]Entry!$N$356)</f>
        <v/>
      </c>
      <c r="P353">
        <f>IF([2]Entry!$S$356="","",[2]Entry!$S$356)</f>
        <v/>
      </c>
    </row>
    <row r="354">
      <c r="A354">
        <f>IF([1]Cheques!$A$355="","",[1]Cheques!$A$355)</f>
        <v/>
      </c>
      <c r="E354">
        <f>IF([1]Accounts!$D$355="","",[1]Accounts!$A$355)</f>
        <v/>
      </c>
      <c r="F354">
        <f>IF([1]Accounts!$D$355="","",[1]Accounts!$B$355)</f>
        <v/>
      </c>
      <c r="G354">
        <f>IF([1]Accounts!$D$355="","",[1]Accounts!$C$355)</f>
        <v/>
      </c>
      <c r="H354">
        <f>IF([1]Accounts!$D$355="","",[1]Accounts!$D$355)</f>
        <v/>
      </c>
      <c r="L354">
        <f>IF([2]Entry!$C$357="","",[2]Entry!$C$357)</f>
        <v/>
      </c>
      <c r="M354">
        <f>IF([2]Entry!$J$357="","",[2]Entry!$J$357)</f>
        <v/>
      </c>
      <c r="N354">
        <f>IF([2]Entry!$M$357="","",[2]Entry!$M$357)</f>
        <v/>
      </c>
      <c r="O354">
        <f>IF([2]Entry!$N$357="","",[2]Entry!$N$357)</f>
        <v/>
      </c>
      <c r="P354">
        <f>IF([2]Entry!$S$357="","",[2]Entry!$S$357)</f>
        <v/>
      </c>
    </row>
    <row r="355">
      <c r="A355">
        <f>IF([1]Cheques!$A$356="","",[1]Cheques!$A$356)</f>
        <v/>
      </c>
      <c r="E355">
        <f>IF([1]Accounts!$D$356="","",[1]Accounts!$A$356)</f>
        <v/>
      </c>
      <c r="F355">
        <f>IF([1]Accounts!$D$356="","",[1]Accounts!$B$356)</f>
        <v/>
      </c>
      <c r="G355">
        <f>IF([1]Accounts!$D$356="","",[1]Accounts!$C$356)</f>
        <v/>
      </c>
      <c r="H355">
        <f>IF([1]Accounts!$D$356="","",[1]Accounts!$D$356)</f>
        <v/>
      </c>
      <c r="L355">
        <f>IF([2]Entry!$C$358="","",[2]Entry!$C$358)</f>
        <v/>
      </c>
      <c r="M355">
        <f>IF([2]Entry!$J$358="","",[2]Entry!$J$358)</f>
        <v/>
      </c>
      <c r="N355">
        <f>IF([2]Entry!$M$358="","",[2]Entry!$M$358)</f>
        <v/>
      </c>
      <c r="O355">
        <f>IF([2]Entry!$N$358="","",[2]Entry!$N$358)</f>
        <v/>
      </c>
      <c r="P355">
        <f>IF([2]Entry!$S$358="","",[2]Entry!$S$358)</f>
        <v/>
      </c>
    </row>
    <row r="356">
      <c r="A356">
        <f>IF([1]Cheques!$A$357="","",[1]Cheques!$A$357)</f>
        <v/>
      </c>
      <c r="E356">
        <f>IF([1]Accounts!$D$357="","",[1]Accounts!$A$357)</f>
        <v/>
      </c>
      <c r="F356">
        <f>IF([1]Accounts!$D$357="","",[1]Accounts!$B$357)</f>
        <v/>
      </c>
      <c r="G356">
        <f>IF([1]Accounts!$D$357="","",[1]Accounts!$C$357)</f>
        <v/>
      </c>
      <c r="H356">
        <f>IF([1]Accounts!$D$357="","",[1]Accounts!$D$357)</f>
        <v/>
      </c>
      <c r="L356">
        <f>IF([2]Entry!$C$359="","",[2]Entry!$C$359)</f>
        <v/>
      </c>
      <c r="M356">
        <f>IF([2]Entry!$J$359="","",[2]Entry!$J$359)</f>
        <v/>
      </c>
      <c r="N356">
        <f>IF([2]Entry!$M$359="","",[2]Entry!$M$359)</f>
        <v/>
      </c>
      <c r="O356">
        <f>IF([2]Entry!$N$359="","",[2]Entry!$N$359)</f>
        <v/>
      </c>
      <c r="P356">
        <f>IF([2]Entry!$S$359="","",[2]Entry!$S$359)</f>
        <v/>
      </c>
    </row>
    <row r="357">
      <c r="A357">
        <f>IF([1]Cheques!$A$358="","",[1]Cheques!$A$358)</f>
        <v/>
      </c>
      <c r="E357">
        <f>IF([1]Accounts!$D$358="","",[1]Accounts!$A$358)</f>
        <v/>
      </c>
      <c r="F357">
        <f>IF([1]Accounts!$D$358="","",[1]Accounts!$B$358)</f>
        <v/>
      </c>
      <c r="G357">
        <f>IF([1]Accounts!$D$358="","",[1]Accounts!$C$358)</f>
        <v/>
      </c>
      <c r="H357">
        <f>IF([1]Accounts!$D$358="","",[1]Accounts!$D$358)</f>
        <v/>
      </c>
      <c r="L357">
        <f>IF([2]Entry!$C$360="","",[2]Entry!$C$360)</f>
        <v/>
      </c>
      <c r="M357">
        <f>IF([2]Entry!$J$360="","",[2]Entry!$J$360)</f>
        <v/>
      </c>
      <c r="N357">
        <f>IF([2]Entry!$M$360="","",[2]Entry!$M$360)</f>
        <v/>
      </c>
      <c r="O357">
        <f>IF([2]Entry!$N$360="","",[2]Entry!$N$360)</f>
        <v/>
      </c>
      <c r="P357">
        <f>IF([2]Entry!$S$360="","",[2]Entry!$S$360)</f>
        <v/>
      </c>
    </row>
    <row r="358">
      <c r="A358">
        <f>IF([1]Cheques!$A$359="","",[1]Cheques!$A$359)</f>
        <v/>
      </c>
      <c r="E358">
        <f>IF([1]Accounts!$D$359="","",[1]Accounts!$A$359)</f>
        <v/>
      </c>
      <c r="F358">
        <f>IF([1]Accounts!$D$359="","",[1]Accounts!$B$359)</f>
        <v/>
      </c>
      <c r="G358">
        <f>IF([1]Accounts!$D$359="","",[1]Accounts!$C$359)</f>
        <v/>
      </c>
      <c r="H358">
        <f>IF([1]Accounts!$D$359="","",[1]Accounts!$D$359)</f>
        <v/>
      </c>
      <c r="L358">
        <f>IF([2]Entry!$C$361="","",[2]Entry!$C$361)</f>
        <v/>
      </c>
      <c r="M358">
        <f>IF([2]Entry!$J$361="","",[2]Entry!$J$361)</f>
        <v/>
      </c>
      <c r="N358">
        <f>IF([2]Entry!$M$361="","",[2]Entry!$M$361)</f>
        <v/>
      </c>
      <c r="O358">
        <f>IF([2]Entry!$N$361="","",[2]Entry!$N$361)</f>
        <v/>
      </c>
      <c r="P358">
        <f>IF([2]Entry!$S$361="","",[2]Entry!$S$361)</f>
        <v/>
      </c>
    </row>
    <row r="359">
      <c r="A359">
        <f>IF([1]Cheques!$A$360="","",[1]Cheques!$A$360)</f>
        <v/>
      </c>
      <c r="E359">
        <f>IF([1]Accounts!$D$360="","",[1]Accounts!$A$360)</f>
        <v/>
      </c>
      <c r="F359">
        <f>IF([1]Accounts!$D$360="","",[1]Accounts!$B$360)</f>
        <v/>
      </c>
      <c r="G359">
        <f>IF([1]Accounts!$D$360="","",[1]Accounts!$C$360)</f>
        <v/>
      </c>
      <c r="H359">
        <f>IF([1]Accounts!$D$360="","",[1]Accounts!$D$360)</f>
        <v/>
      </c>
      <c r="L359">
        <f>IF([2]Entry!$C$362="","",[2]Entry!$C$362)</f>
        <v/>
      </c>
      <c r="M359">
        <f>IF([2]Entry!$J$362="","",[2]Entry!$J$362)</f>
        <v/>
      </c>
      <c r="N359">
        <f>IF([2]Entry!$M$362="","",[2]Entry!$M$362)</f>
        <v/>
      </c>
      <c r="O359">
        <f>IF([2]Entry!$N$362="","",[2]Entry!$N$362)</f>
        <v/>
      </c>
      <c r="P359">
        <f>IF([2]Entry!$S$362="","",[2]Entry!$S$362)</f>
        <v/>
      </c>
    </row>
    <row r="360">
      <c r="A360">
        <f>IF([1]Cheques!$A$361="","",[1]Cheques!$A$361)</f>
        <v/>
      </c>
      <c r="E360">
        <f>IF([1]Accounts!$D$361="","",[1]Accounts!$A$361)</f>
        <v/>
      </c>
      <c r="F360">
        <f>IF([1]Accounts!$D$361="","",[1]Accounts!$B$361)</f>
        <v/>
      </c>
      <c r="G360">
        <f>IF([1]Accounts!$D$361="","",[1]Accounts!$C$361)</f>
        <v/>
      </c>
      <c r="H360">
        <f>IF([1]Accounts!$D$361="","",[1]Accounts!$D$361)</f>
        <v/>
      </c>
      <c r="L360">
        <f>IF([2]Entry!$C$363="","",[2]Entry!$C$363)</f>
        <v/>
      </c>
      <c r="M360">
        <f>IF([2]Entry!$J$363="","",[2]Entry!$J$363)</f>
        <v/>
      </c>
      <c r="N360">
        <f>IF([2]Entry!$M$363="","",[2]Entry!$M$363)</f>
        <v/>
      </c>
      <c r="O360">
        <f>IF([2]Entry!$N$363="","",[2]Entry!$N$363)</f>
        <v/>
      </c>
      <c r="P360">
        <f>IF([2]Entry!$S$363="","",[2]Entry!$S$363)</f>
        <v/>
      </c>
    </row>
    <row r="361">
      <c r="A361">
        <f>IF([1]Cheques!$A$362="","",[1]Cheques!$A$362)</f>
        <v/>
      </c>
      <c r="E361">
        <f>IF([1]Accounts!$D$362="","",[1]Accounts!$A$362)</f>
        <v/>
      </c>
      <c r="F361">
        <f>IF([1]Accounts!$D$362="","",[1]Accounts!$B$362)</f>
        <v/>
      </c>
      <c r="G361">
        <f>IF([1]Accounts!$D$362="","",[1]Accounts!$C$362)</f>
        <v/>
      </c>
      <c r="H361">
        <f>IF([1]Accounts!$D$362="","",[1]Accounts!$D$362)</f>
        <v/>
      </c>
      <c r="L361">
        <f>IF([2]Entry!$C$364="","",[2]Entry!$C$364)</f>
        <v/>
      </c>
      <c r="M361">
        <f>IF([2]Entry!$J$364="","",[2]Entry!$J$364)</f>
        <v/>
      </c>
      <c r="N361">
        <f>IF([2]Entry!$M$364="","",[2]Entry!$M$364)</f>
        <v/>
      </c>
      <c r="O361">
        <f>IF([2]Entry!$N$364="","",[2]Entry!$N$364)</f>
        <v/>
      </c>
      <c r="P361">
        <f>IF([2]Entry!$S$364="","",[2]Entry!$S$364)</f>
        <v/>
      </c>
    </row>
    <row r="362">
      <c r="A362">
        <f>IF([1]Cheques!$A$363="","",[1]Cheques!$A$363)</f>
        <v/>
      </c>
      <c r="E362">
        <f>IF([1]Accounts!$D$363="","",[1]Accounts!$A$363)</f>
        <v/>
      </c>
      <c r="F362">
        <f>IF([1]Accounts!$D$363="","",[1]Accounts!$B$363)</f>
        <v/>
      </c>
      <c r="G362">
        <f>IF([1]Accounts!$D$363="","",[1]Accounts!$C$363)</f>
        <v/>
      </c>
      <c r="H362">
        <f>IF([1]Accounts!$D$363="","",[1]Accounts!$D$363)</f>
        <v/>
      </c>
      <c r="L362">
        <f>IF([2]Entry!$C$365="","",[2]Entry!$C$365)</f>
        <v/>
      </c>
      <c r="M362">
        <f>IF([2]Entry!$J$365="","",[2]Entry!$J$365)</f>
        <v/>
      </c>
      <c r="N362">
        <f>IF([2]Entry!$M$365="","",[2]Entry!$M$365)</f>
        <v/>
      </c>
      <c r="O362">
        <f>IF([2]Entry!$N$365="","",[2]Entry!$N$365)</f>
        <v/>
      </c>
      <c r="P362">
        <f>IF([2]Entry!$S$365="","",[2]Entry!$S$365)</f>
        <v/>
      </c>
    </row>
    <row r="363">
      <c r="A363">
        <f>IF([1]Cheques!$A$364="","",[1]Cheques!$A$364)</f>
        <v/>
      </c>
      <c r="E363">
        <f>IF([1]Accounts!$D$364="","",[1]Accounts!$A$364)</f>
        <v/>
      </c>
      <c r="F363">
        <f>IF([1]Accounts!$D$364="","",[1]Accounts!$B$364)</f>
        <v/>
      </c>
      <c r="G363">
        <f>IF([1]Accounts!$D$364="","",[1]Accounts!$C$364)</f>
        <v/>
      </c>
      <c r="H363">
        <f>IF([1]Accounts!$D$364="","",[1]Accounts!$D$364)</f>
        <v/>
      </c>
      <c r="L363">
        <f>IF([2]Entry!$C$366="","",[2]Entry!$C$366)</f>
        <v/>
      </c>
      <c r="M363">
        <f>IF([2]Entry!$J$366="","",[2]Entry!$J$366)</f>
        <v/>
      </c>
      <c r="N363">
        <f>IF([2]Entry!$M$366="","",[2]Entry!$M$366)</f>
        <v/>
      </c>
      <c r="O363">
        <f>IF([2]Entry!$N$366="","",[2]Entry!$N$366)</f>
        <v/>
      </c>
      <c r="P363">
        <f>IF([2]Entry!$S$366="","",[2]Entry!$S$366)</f>
        <v/>
      </c>
    </row>
    <row r="364">
      <c r="A364">
        <f>IF([1]Cheques!$A$365="","",[1]Cheques!$A$365)</f>
        <v/>
      </c>
      <c r="E364">
        <f>IF([1]Accounts!$D$365="","",[1]Accounts!$A$365)</f>
        <v/>
      </c>
      <c r="F364">
        <f>IF([1]Accounts!$D$365="","",[1]Accounts!$B$365)</f>
        <v/>
      </c>
      <c r="G364">
        <f>IF([1]Accounts!$D$365="","",[1]Accounts!$C$365)</f>
        <v/>
      </c>
      <c r="H364">
        <f>IF([1]Accounts!$D$365="","",[1]Accounts!$D$365)</f>
        <v/>
      </c>
      <c r="L364">
        <f>IF([2]Entry!$C$367="","",[2]Entry!$C$367)</f>
        <v/>
      </c>
      <c r="M364">
        <f>IF([2]Entry!$J$367="","",[2]Entry!$J$367)</f>
        <v/>
      </c>
      <c r="N364">
        <f>IF([2]Entry!$M$367="","",[2]Entry!$M$367)</f>
        <v/>
      </c>
      <c r="O364">
        <f>IF([2]Entry!$N$367="","",[2]Entry!$N$367)</f>
        <v/>
      </c>
      <c r="P364">
        <f>IF([2]Entry!$S$367="","",[2]Entry!$S$367)</f>
        <v/>
      </c>
    </row>
    <row r="365">
      <c r="A365">
        <f>IF([1]Cheques!$A$366="","",[1]Cheques!$A$366)</f>
        <v/>
      </c>
      <c r="E365">
        <f>IF([1]Accounts!$D$366="","",[1]Accounts!$A$366)</f>
        <v/>
      </c>
      <c r="F365">
        <f>IF([1]Accounts!$D$366="","",[1]Accounts!$B$366)</f>
        <v/>
      </c>
      <c r="G365">
        <f>IF([1]Accounts!$D$366="","",[1]Accounts!$C$366)</f>
        <v/>
      </c>
      <c r="H365">
        <f>IF([1]Accounts!$D$366="","",[1]Accounts!$D$366)</f>
        <v/>
      </c>
      <c r="L365">
        <f>IF([2]Entry!$C$368="","",[2]Entry!$C$368)</f>
        <v/>
      </c>
      <c r="M365">
        <f>IF([2]Entry!$J$368="","",[2]Entry!$J$368)</f>
        <v/>
      </c>
      <c r="N365">
        <f>IF([2]Entry!$M$368="","",[2]Entry!$M$368)</f>
        <v/>
      </c>
      <c r="O365">
        <f>IF([2]Entry!$N$368="","",[2]Entry!$N$368)</f>
        <v/>
      </c>
      <c r="P365">
        <f>IF([2]Entry!$S$368="","",[2]Entry!$S$368)</f>
        <v/>
      </c>
    </row>
    <row r="366">
      <c r="A366">
        <f>IF([1]Cheques!$A$367="","",[1]Cheques!$A$367)</f>
        <v/>
      </c>
      <c r="E366">
        <f>IF([1]Accounts!$D$367="","",[1]Accounts!$A$367)</f>
        <v/>
      </c>
      <c r="F366">
        <f>IF([1]Accounts!$D$367="","",[1]Accounts!$B$367)</f>
        <v/>
      </c>
      <c r="G366">
        <f>IF([1]Accounts!$D$367="","",[1]Accounts!$C$367)</f>
        <v/>
      </c>
      <c r="H366">
        <f>IF([1]Accounts!$D$367="","",[1]Accounts!$D$367)</f>
        <v/>
      </c>
      <c r="L366">
        <f>IF([2]Entry!$C$369="","",[2]Entry!$C$369)</f>
        <v/>
      </c>
      <c r="M366">
        <f>IF([2]Entry!$J$369="","",[2]Entry!$J$369)</f>
        <v/>
      </c>
      <c r="N366">
        <f>IF([2]Entry!$M$369="","",[2]Entry!$M$369)</f>
        <v/>
      </c>
      <c r="O366">
        <f>IF([2]Entry!$N$369="","",[2]Entry!$N$369)</f>
        <v/>
      </c>
      <c r="P366">
        <f>IF([2]Entry!$S$369="","",[2]Entry!$S$369)</f>
        <v/>
      </c>
    </row>
    <row r="367">
      <c r="A367">
        <f>IF([1]Cheques!$A$368="","",[1]Cheques!$A$368)</f>
        <v/>
      </c>
      <c r="E367">
        <f>IF([1]Accounts!$D$368="","",[1]Accounts!$A$368)</f>
        <v/>
      </c>
      <c r="F367">
        <f>IF([1]Accounts!$D$368="","",[1]Accounts!$B$368)</f>
        <v/>
      </c>
      <c r="G367">
        <f>IF([1]Accounts!$D$368="","",[1]Accounts!$C$368)</f>
        <v/>
      </c>
      <c r="H367">
        <f>IF([1]Accounts!$D$368="","",[1]Accounts!$D$368)</f>
        <v/>
      </c>
      <c r="L367">
        <f>IF([2]Entry!$C$370="","",[2]Entry!$C$370)</f>
        <v/>
      </c>
      <c r="M367">
        <f>IF([2]Entry!$J$370="","",[2]Entry!$J$370)</f>
        <v/>
      </c>
      <c r="N367">
        <f>IF([2]Entry!$M$370="","",[2]Entry!$M$370)</f>
        <v/>
      </c>
      <c r="O367">
        <f>IF([2]Entry!$N$370="","",[2]Entry!$N$370)</f>
        <v/>
      </c>
      <c r="P367">
        <f>IF([2]Entry!$S$370="","",[2]Entry!$S$370)</f>
        <v/>
      </c>
    </row>
    <row r="368">
      <c r="A368">
        <f>IF([1]Cheques!$A$369="","",[1]Cheques!$A$369)</f>
        <v/>
      </c>
      <c r="E368">
        <f>IF([1]Accounts!$D$369="","",[1]Accounts!$A$369)</f>
        <v/>
      </c>
      <c r="F368">
        <f>IF([1]Accounts!$D$369="","",[1]Accounts!$B$369)</f>
        <v/>
      </c>
      <c r="G368">
        <f>IF([1]Accounts!$D$369="","",[1]Accounts!$C$369)</f>
        <v/>
      </c>
      <c r="H368">
        <f>IF([1]Accounts!$D$369="","",[1]Accounts!$D$369)</f>
        <v/>
      </c>
      <c r="L368">
        <f>IF([2]Entry!$C$371="","",[2]Entry!$C$371)</f>
        <v/>
      </c>
      <c r="M368">
        <f>IF([2]Entry!$J$371="","",[2]Entry!$J$371)</f>
        <v/>
      </c>
      <c r="N368">
        <f>IF([2]Entry!$M$371="","",[2]Entry!$M$371)</f>
        <v/>
      </c>
      <c r="O368">
        <f>IF([2]Entry!$N$371="","",[2]Entry!$N$371)</f>
        <v/>
      </c>
      <c r="P368">
        <f>IF([2]Entry!$S$371="","",[2]Entry!$S$371)</f>
        <v/>
      </c>
    </row>
    <row r="369">
      <c r="A369">
        <f>IF([1]Cheques!$A$370="","",[1]Cheques!$A$370)</f>
        <v/>
      </c>
      <c r="E369">
        <f>IF([1]Accounts!$D$370="","",[1]Accounts!$A$370)</f>
        <v/>
      </c>
      <c r="F369">
        <f>IF([1]Accounts!$D$370="","",[1]Accounts!$B$370)</f>
        <v/>
      </c>
      <c r="G369">
        <f>IF([1]Accounts!$D$370="","",[1]Accounts!$C$370)</f>
        <v/>
      </c>
      <c r="H369">
        <f>IF([1]Accounts!$D$370="","",[1]Accounts!$D$370)</f>
        <v/>
      </c>
      <c r="L369">
        <f>IF([2]Entry!$C$372="","",[2]Entry!$C$372)</f>
        <v/>
      </c>
      <c r="M369">
        <f>IF([2]Entry!$J$372="","",[2]Entry!$J$372)</f>
        <v/>
      </c>
      <c r="N369">
        <f>IF([2]Entry!$M$372="","",[2]Entry!$M$372)</f>
        <v/>
      </c>
      <c r="O369">
        <f>IF([2]Entry!$N$372="","",[2]Entry!$N$372)</f>
        <v/>
      </c>
      <c r="P369">
        <f>IF([2]Entry!$S$372="","",[2]Entry!$S$372)</f>
        <v/>
      </c>
    </row>
    <row r="370">
      <c r="A370">
        <f>IF([1]Cheques!$A$371="","",[1]Cheques!$A$371)</f>
        <v/>
      </c>
      <c r="E370">
        <f>IF([1]Accounts!$D$371="","",[1]Accounts!$A$371)</f>
        <v/>
      </c>
      <c r="F370">
        <f>IF([1]Accounts!$D$371="","",[1]Accounts!$B$371)</f>
        <v/>
      </c>
      <c r="G370">
        <f>IF([1]Accounts!$D$371="","",[1]Accounts!$C$371)</f>
        <v/>
      </c>
      <c r="H370">
        <f>IF([1]Accounts!$D$371="","",[1]Accounts!$D$371)</f>
        <v/>
      </c>
      <c r="L370">
        <f>IF([2]Entry!$C$373="","",[2]Entry!$C$373)</f>
        <v/>
      </c>
      <c r="M370">
        <f>IF([2]Entry!$J$373="","",[2]Entry!$J$373)</f>
        <v/>
      </c>
      <c r="N370">
        <f>IF([2]Entry!$M$373="","",[2]Entry!$M$373)</f>
        <v/>
      </c>
      <c r="O370">
        <f>IF([2]Entry!$N$373="","",[2]Entry!$N$373)</f>
        <v/>
      </c>
      <c r="P370">
        <f>IF([2]Entry!$S$373="","",[2]Entry!$S$373)</f>
        <v/>
      </c>
    </row>
    <row r="371">
      <c r="A371">
        <f>IF([1]Cheques!$A$372="","",[1]Cheques!$A$372)</f>
        <v/>
      </c>
      <c r="E371">
        <f>IF([1]Accounts!$D$372="","",[1]Accounts!$A$372)</f>
        <v/>
      </c>
      <c r="F371">
        <f>IF([1]Accounts!$D$372="","",[1]Accounts!$B$372)</f>
        <v/>
      </c>
      <c r="G371">
        <f>IF([1]Accounts!$D$372="","",[1]Accounts!$C$372)</f>
        <v/>
      </c>
      <c r="H371">
        <f>IF([1]Accounts!$D$372="","",[1]Accounts!$D$372)</f>
        <v/>
      </c>
      <c r="L371">
        <f>IF([2]Entry!$C$374="","",[2]Entry!$C$374)</f>
        <v/>
      </c>
      <c r="M371">
        <f>IF([2]Entry!$J$374="","",[2]Entry!$J$374)</f>
        <v/>
      </c>
      <c r="N371">
        <f>IF([2]Entry!$M$374="","",[2]Entry!$M$374)</f>
        <v/>
      </c>
      <c r="O371">
        <f>IF([2]Entry!$N$374="","",[2]Entry!$N$374)</f>
        <v/>
      </c>
      <c r="P371">
        <f>IF([2]Entry!$S$374="","",[2]Entry!$S$374)</f>
        <v/>
      </c>
    </row>
    <row r="372">
      <c r="A372">
        <f>IF([1]Cheques!$A$373="","",[1]Cheques!$A$373)</f>
        <v/>
      </c>
      <c r="E372">
        <f>IF([1]Accounts!$D$373="","",[1]Accounts!$A$373)</f>
        <v/>
      </c>
      <c r="F372">
        <f>IF([1]Accounts!$D$373="","",[1]Accounts!$B$373)</f>
        <v/>
      </c>
      <c r="G372">
        <f>IF([1]Accounts!$D$373="","",[1]Accounts!$C$373)</f>
        <v/>
      </c>
      <c r="H372">
        <f>IF([1]Accounts!$D$373="","",[1]Accounts!$D$373)</f>
        <v/>
      </c>
      <c r="L372">
        <f>IF([2]Entry!$C$375="","",[2]Entry!$C$375)</f>
        <v/>
      </c>
      <c r="M372">
        <f>IF([2]Entry!$J$375="","",[2]Entry!$J$375)</f>
        <v/>
      </c>
      <c r="N372">
        <f>IF([2]Entry!$M$375="","",[2]Entry!$M$375)</f>
        <v/>
      </c>
      <c r="O372">
        <f>IF([2]Entry!$N$375="","",[2]Entry!$N$375)</f>
        <v/>
      </c>
      <c r="P372">
        <f>IF([2]Entry!$S$375="","",[2]Entry!$S$375)</f>
        <v/>
      </c>
    </row>
    <row r="373">
      <c r="A373">
        <f>IF([1]Cheques!$A$374="","",[1]Cheques!$A$374)</f>
        <v/>
      </c>
      <c r="E373">
        <f>IF([1]Accounts!$D$374="","",[1]Accounts!$A$374)</f>
        <v/>
      </c>
      <c r="F373">
        <f>IF([1]Accounts!$D$374="","",[1]Accounts!$B$374)</f>
        <v/>
      </c>
      <c r="G373">
        <f>IF([1]Accounts!$D$374="","",[1]Accounts!$C$374)</f>
        <v/>
      </c>
      <c r="H373">
        <f>IF([1]Accounts!$D$374="","",[1]Accounts!$D$374)</f>
        <v/>
      </c>
      <c r="L373">
        <f>IF([2]Entry!$C$376="","",[2]Entry!$C$376)</f>
        <v/>
      </c>
      <c r="M373">
        <f>IF([2]Entry!$J$376="","",[2]Entry!$J$376)</f>
        <v/>
      </c>
      <c r="N373">
        <f>IF([2]Entry!$M$376="","",[2]Entry!$M$376)</f>
        <v/>
      </c>
      <c r="O373">
        <f>IF([2]Entry!$N$376="","",[2]Entry!$N$376)</f>
        <v/>
      </c>
      <c r="P373">
        <f>IF([2]Entry!$S$376="","",[2]Entry!$S$376)</f>
        <v/>
      </c>
    </row>
    <row r="374">
      <c r="A374">
        <f>IF([1]Cheques!$A$375="","",[1]Cheques!$A$375)</f>
        <v/>
      </c>
      <c r="E374">
        <f>IF([1]Accounts!$D$375="","",[1]Accounts!$A$375)</f>
        <v/>
      </c>
      <c r="F374">
        <f>IF([1]Accounts!$D$375="","",[1]Accounts!$B$375)</f>
        <v/>
      </c>
      <c r="G374">
        <f>IF([1]Accounts!$D$375="","",[1]Accounts!$C$375)</f>
        <v/>
      </c>
      <c r="H374">
        <f>IF([1]Accounts!$D$375="","",[1]Accounts!$D$375)</f>
        <v/>
      </c>
      <c r="L374">
        <f>IF([2]Entry!$C$377="","",[2]Entry!$C$377)</f>
        <v/>
      </c>
      <c r="M374">
        <f>IF([2]Entry!$J$377="","",[2]Entry!$J$377)</f>
        <v/>
      </c>
      <c r="N374">
        <f>IF([2]Entry!$M$377="","",[2]Entry!$M$377)</f>
        <v/>
      </c>
      <c r="O374">
        <f>IF([2]Entry!$N$377="","",[2]Entry!$N$377)</f>
        <v/>
      </c>
      <c r="P374">
        <f>IF([2]Entry!$S$377="","",[2]Entry!$S$377)</f>
        <v/>
      </c>
    </row>
    <row r="375">
      <c r="A375">
        <f>IF([1]Cheques!$A$376="","",[1]Cheques!$A$376)</f>
        <v/>
      </c>
      <c r="E375">
        <f>IF([1]Accounts!$D$376="","",[1]Accounts!$A$376)</f>
        <v/>
      </c>
      <c r="F375">
        <f>IF([1]Accounts!$D$376="","",[1]Accounts!$B$376)</f>
        <v/>
      </c>
      <c r="G375">
        <f>IF([1]Accounts!$D$376="","",[1]Accounts!$C$376)</f>
        <v/>
      </c>
      <c r="H375">
        <f>IF([1]Accounts!$D$376="","",[1]Accounts!$D$376)</f>
        <v/>
      </c>
      <c r="L375">
        <f>IF([2]Entry!$C$378="","",[2]Entry!$C$378)</f>
        <v/>
      </c>
      <c r="M375">
        <f>IF([2]Entry!$J$378="","",[2]Entry!$J$378)</f>
        <v/>
      </c>
      <c r="N375">
        <f>IF([2]Entry!$M$378="","",[2]Entry!$M$378)</f>
        <v/>
      </c>
      <c r="O375">
        <f>IF([2]Entry!$N$378="","",[2]Entry!$N$378)</f>
        <v/>
      </c>
      <c r="P375">
        <f>IF([2]Entry!$S$378="","",[2]Entry!$S$378)</f>
        <v/>
      </c>
    </row>
    <row r="376">
      <c r="A376">
        <f>IF([1]Cheques!$A$377="","",[1]Cheques!$A$377)</f>
        <v/>
      </c>
      <c r="E376">
        <f>IF([1]Accounts!$D$377="","",[1]Accounts!$A$377)</f>
        <v/>
      </c>
      <c r="F376">
        <f>IF([1]Accounts!$D$377="","",[1]Accounts!$B$377)</f>
        <v/>
      </c>
      <c r="G376">
        <f>IF([1]Accounts!$D$377="","",[1]Accounts!$C$377)</f>
        <v/>
      </c>
      <c r="H376">
        <f>IF([1]Accounts!$D$377="","",[1]Accounts!$D$377)</f>
        <v/>
      </c>
      <c r="L376">
        <f>IF([2]Entry!$C$379="","",[2]Entry!$C$379)</f>
        <v/>
      </c>
      <c r="M376">
        <f>IF([2]Entry!$J$379="","",[2]Entry!$J$379)</f>
        <v/>
      </c>
      <c r="N376">
        <f>IF([2]Entry!$M$379="","",[2]Entry!$M$379)</f>
        <v/>
      </c>
      <c r="O376">
        <f>IF([2]Entry!$N$379="","",[2]Entry!$N$379)</f>
        <v/>
      </c>
      <c r="P376">
        <f>IF([2]Entry!$S$379="","",[2]Entry!$S$379)</f>
        <v/>
      </c>
    </row>
    <row r="377">
      <c r="A377">
        <f>IF([1]Cheques!$A$378="","",[1]Cheques!$A$378)</f>
        <v/>
      </c>
      <c r="E377">
        <f>IF([1]Accounts!$D$378="","",[1]Accounts!$A$378)</f>
        <v/>
      </c>
      <c r="F377">
        <f>IF([1]Accounts!$D$378="","",[1]Accounts!$B$378)</f>
        <v/>
      </c>
      <c r="G377">
        <f>IF([1]Accounts!$D$378="","",[1]Accounts!$C$378)</f>
        <v/>
      </c>
      <c r="H377">
        <f>IF([1]Accounts!$D$378="","",[1]Accounts!$D$378)</f>
        <v/>
      </c>
      <c r="L377">
        <f>IF([2]Entry!$C$380="","",[2]Entry!$C$380)</f>
        <v/>
      </c>
      <c r="M377">
        <f>IF([2]Entry!$J$380="","",[2]Entry!$J$380)</f>
        <v/>
      </c>
      <c r="N377">
        <f>IF([2]Entry!$M$380="","",[2]Entry!$M$380)</f>
        <v/>
      </c>
      <c r="O377">
        <f>IF([2]Entry!$N$380="","",[2]Entry!$N$380)</f>
        <v/>
      </c>
      <c r="P377">
        <f>IF([2]Entry!$S$380="","",[2]Entry!$S$380)</f>
        <v/>
      </c>
    </row>
    <row r="378">
      <c r="A378">
        <f>IF([1]Cheques!$A$379="","",[1]Cheques!$A$379)</f>
        <v/>
      </c>
      <c r="E378">
        <f>IF([1]Accounts!$D$379="","",[1]Accounts!$A$379)</f>
        <v/>
      </c>
      <c r="F378">
        <f>IF([1]Accounts!$D$379="","",[1]Accounts!$B$379)</f>
        <v/>
      </c>
      <c r="G378">
        <f>IF([1]Accounts!$D$379="","",[1]Accounts!$C$379)</f>
        <v/>
      </c>
      <c r="H378">
        <f>IF([1]Accounts!$D$379="","",[1]Accounts!$D$379)</f>
        <v/>
      </c>
      <c r="L378">
        <f>IF([2]Entry!$C$381="","",[2]Entry!$C$381)</f>
        <v/>
      </c>
      <c r="M378">
        <f>IF([2]Entry!$J$381="","",[2]Entry!$J$381)</f>
        <v/>
      </c>
      <c r="N378">
        <f>IF([2]Entry!$M$381="","",[2]Entry!$M$381)</f>
        <v/>
      </c>
      <c r="O378">
        <f>IF([2]Entry!$N$381="","",[2]Entry!$N$381)</f>
        <v/>
      </c>
      <c r="P378">
        <f>IF([2]Entry!$S$381="","",[2]Entry!$S$381)</f>
        <v/>
      </c>
    </row>
    <row r="379">
      <c r="A379">
        <f>IF([1]Cheques!$A$380="","",[1]Cheques!$A$380)</f>
        <v/>
      </c>
      <c r="E379">
        <f>IF([1]Accounts!$D$380="","",[1]Accounts!$A$380)</f>
        <v/>
      </c>
      <c r="F379">
        <f>IF([1]Accounts!$D$380="","",[1]Accounts!$B$380)</f>
        <v/>
      </c>
      <c r="G379">
        <f>IF([1]Accounts!$D$380="","",[1]Accounts!$C$380)</f>
        <v/>
      </c>
      <c r="H379">
        <f>IF([1]Accounts!$D$380="","",[1]Accounts!$D$380)</f>
        <v/>
      </c>
      <c r="L379">
        <f>IF([2]Entry!$C$382="","",[2]Entry!$C$382)</f>
        <v/>
      </c>
      <c r="M379">
        <f>IF([2]Entry!$J$382="","",[2]Entry!$J$382)</f>
        <v/>
      </c>
      <c r="N379">
        <f>IF([2]Entry!$M$382="","",[2]Entry!$M$382)</f>
        <v/>
      </c>
      <c r="O379">
        <f>IF([2]Entry!$N$382="","",[2]Entry!$N$382)</f>
        <v/>
      </c>
      <c r="P379">
        <f>IF([2]Entry!$S$382="","",[2]Entry!$S$382)</f>
        <v/>
      </c>
    </row>
    <row r="380">
      <c r="A380">
        <f>IF([1]Cheques!$A$381="","",[1]Cheques!$A$381)</f>
        <v/>
      </c>
      <c r="E380">
        <f>IF([1]Accounts!$D$381="","",[1]Accounts!$A$381)</f>
        <v/>
      </c>
      <c r="F380">
        <f>IF([1]Accounts!$D$381="","",[1]Accounts!$B$381)</f>
        <v/>
      </c>
      <c r="G380">
        <f>IF([1]Accounts!$D$381="","",[1]Accounts!$C$381)</f>
        <v/>
      </c>
      <c r="H380">
        <f>IF([1]Accounts!$D$381="","",[1]Accounts!$D$381)</f>
        <v/>
      </c>
      <c r="L380">
        <f>IF([2]Entry!$C$383="","",[2]Entry!$C$383)</f>
        <v/>
      </c>
      <c r="M380">
        <f>IF([2]Entry!$J$383="","",[2]Entry!$J$383)</f>
        <v/>
      </c>
      <c r="N380">
        <f>IF([2]Entry!$M$383="","",[2]Entry!$M$383)</f>
        <v/>
      </c>
      <c r="O380">
        <f>IF([2]Entry!$N$383="","",[2]Entry!$N$383)</f>
        <v/>
      </c>
      <c r="P380">
        <f>IF([2]Entry!$S$383="","",[2]Entry!$S$383)</f>
        <v/>
      </c>
    </row>
    <row r="381">
      <c r="A381">
        <f>IF([1]Cheques!$A$382="","",[1]Cheques!$A$382)</f>
        <v/>
      </c>
      <c r="E381">
        <f>IF([1]Accounts!$D$382="","",[1]Accounts!$A$382)</f>
        <v/>
      </c>
      <c r="F381">
        <f>IF([1]Accounts!$D$382="","",[1]Accounts!$B$382)</f>
        <v/>
      </c>
      <c r="G381">
        <f>IF([1]Accounts!$D$382="","",[1]Accounts!$C$382)</f>
        <v/>
      </c>
      <c r="H381">
        <f>IF([1]Accounts!$D$382="","",[1]Accounts!$D$382)</f>
        <v/>
      </c>
      <c r="L381">
        <f>IF([2]Entry!$C$384="","",[2]Entry!$C$384)</f>
        <v/>
      </c>
      <c r="M381">
        <f>IF([2]Entry!$J$384="","",[2]Entry!$J$384)</f>
        <v/>
      </c>
      <c r="N381">
        <f>IF([2]Entry!$M$384="","",[2]Entry!$M$384)</f>
        <v/>
      </c>
      <c r="O381">
        <f>IF([2]Entry!$N$384="","",[2]Entry!$N$384)</f>
        <v/>
      </c>
      <c r="P381">
        <f>IF([2]Entry!$S$384="","",[2]Entry!$S$384)</f>
        <v/>
      </c>
    </row>
    <row r="382">
      <c r="A382">
        <f>IF([1]Cheques!$A$383="","",[1]Cheques!$A$383)</f>
        <v/>
      </c>
      <c r="E382">
        <f>IF([1]Accounts!$D$383="","",[1]Accounts!$A$383)</f>
        <v/>
      </c>
      <c r="F382">
        <f>IF([1]Accounts!$D$383="","",[1]Accounts!$B$383)</f>
        <v/>
      </c>
      <c r="G382">
        <f>IF([1]Accounts!$D$383="","",[1]Accounts!$C$383)</f>
        <v/>
      </c>
      <c r="H382">
        <f>IF([1]Accounts!$D$383="","",[1]Accounts!$D$383)</f>
        <v/>
      </c>
      <c r="L382">
        <f>IF([2]Entry!$C$385="","",[2]Entry!$C$385)</f>
        <v/>
      </c>
      <c r="M382">
        <f>IF([2]Entry!$J$385="","",[2]Entry!$J$385)</f>
        <v/>
      </c>
      <c r="N382">
        <f>IF([2]Entry!$M$385="","",[2]Entry!$M$385)</f>
        <v/>
      </c>
      <c r="O382">
        <f>IF([2]Entry!$N$385="","",[2]Entry!$N$385)</f>
        <v/>
      </c>
      <c r="P382">
        <f>IF([2]Entry!$S$385="","",[2]Entry!$S$385)</f>
        <v/>
      </c>
    </row>
    <row r="383">
      <c r="A383">
        <f>IF([1]Cheques!$A$384="","",[1]Cheques!$A$384)</f>
        <v/>
      </c>
      <c r="E383">
        <f>IF([1]Accounts!$D$384="","",[1]Accounts!$A$384)</f>
        <v/>
      </c>
      <c r="F383">
        <f>IF([1]Accounts!$D$384="","",[1]Accounts!$B$384)</f>
        <v/>
      </c>
      <c r="G383">
        <f>IF([1]Accounts!$D$384="","",[1]Accounts!$C$384)</f>
        <v/>
      </c>
      <c r="H383">
        <f>IF([1]Accounts!$D$384="","",[1]Accounts!$D$384)</f>
        <v/>
      </c>
      <c r="L383">
        <f>IF([2]Entry!$C$386="","",[2]Entry!$C$386)</f>
        <v/>
      </c>
      <c r="M383">
        <f>IF([2]Entry!$J$386="","",[2]Entry!$J$386)</f>
        <v/>
      </c>
      <c r="N383">
        <f>IF([2]Entry!$M$386="","",[2]Entry!$M$386)</f>
        <v/>
      </c>
      <c r="O383">
        <f>IF([2]Entry!$N$386="","",[2]Entry!$N$386)</f>
        <v/>
      </c>
      <c r="P383">
        <f>IF([2]Entry!$S$386="","",[2]Entry!$S$386)</f>
        <v/>
      </c>
    </row>
    <row r="384">
      <c r="A384">
        <f>IF([1]Cheques!$A$385="","",[1]Cheques!$A$385)</f>
        <v/>
      </c>
      <c r="E384">
        <f>IF([1]Accounts!$D$385="","",[1]Accounts!$A$385)</f>
        <v/>
      </c>
      <c r="F384">
        <f>IF([1]Accounts!$D$385="","",[1]Accounts!$B$385)</f>
        <v/>
      </c>
      <c r="G384">
        <f>IF([1]Accounts!$D$385="","",[1]Accounts!$C$385)</f>
        <v/>
      </c>
      <c r="H384">
        <f>IF([1]Accounts!$D$385="","",[1]Accounts!$D$385)</f>
        <v/>
      </c>
      <c r="L384">
        <f>IF([2]Entry!$C$387="","",[2]Entry!$C$387)</f>
        <v/>
      </c>
      <c r="M384">
        <f>IF([2]Entry!$J$387="","",[2]Entry!$J$387)</f>
        <v/>
      </c>
      <c r="N384">
        <f>IF([2]Entry!$M$387="","",[2]Entry!$M$387)</f>
        <v/>
      </c>
      <c r="O384">
        <f>IF([2]Entry!$N$387="","",[2]Entry!$N$387)</f>
        <v/>
      </c>
      <c r="P384">
        <f>IF([2]Entry!$S$387="","",[2]Entry!$S$387)</f>
        <v/>
      </c>
    </row>
    <row r="385">
      <c r="A385">
        <f>IF([1]Cheques!$A$386="","",[1]Cheques!$A$386)</f>
        <v/>
      </c>
      <c r="E385">
        <f>IF([1]Accounts!$D$386="","",[1]Accounts!$A$386)</f>
        <v/>
      </c>
      <c r="F385">
        <f>IF([1]Accounts!$D$386="","",[1]Accounts!$B$386)</f>
        <v/>
      </c>
      <c r="G385">
        <f>IF([1]Accounts!$D$386="","",[1]Accounts!$C$386)</f>
        <v/>
      </c>
      <c r="H385">
        <f>IF([1]Accounts!$D$386="","",[1]Accounts!$D$386)</f>
        <v/>
      </c>
      <c r="L385">
        <f>IF([2]Entry!$C$388="","",[2]Entry!$C$388)</f>
        <v/>
      </c>
      <c r="M385">
        <f>IF([2]Entry!$J$388="","",[2]Entry!$J$388)</f>
        <v/>
      </c>
      <c r="N385">
        <f>IF([2]Entry!$M$388="","",[2]Entry!$M$388)</f>
        <v/>
      </c>
      <c r="O385">
        <f>IF([2]Entry!$N$388="","",[2]Entry!$N$388)</f>
        <v/>
      </c>
      <c r="P385">
        <f>IF([2]Entry!$S$388="","",[2]Entry!$S$388)</f>
        <v/>
      </c>
    </row>
    <row r="386">
      <c r="A386">
        <f>IF([1]Cheques!$A$387="","",[1]Cheques!$A$387)</f>
        <v/>
      </c>
      <c r="E386">
        <f>IF([1]Accounts!$D$387="","",[1]Accounts!$A$387)</f>
        <v/>
      </c>
      <c r="F386">
        <f>IF([1]Accounts!$D$387="","",[1]Accounts!$B$387)</f>
        <v/>
      </c>
      <c r="G386">
        <f>IF([1]Accounts!$D$387="","",[1]Accounts!$C$387)</f>
        <v/>
      </c>
      <c r="H386">
        <f>IF([1]Accounts!$D$387="","",[1]Accounts!$D$387)</f>
        <v/>
      </c>
      <c r="L386">
        <f>IF([2]Entry!$C$389="","",[2]Entry!$C$389)</f>
        <v/>
      </c>
      <c r="M386">
        <f>IF([2]Entry!$J$389="","",[2]Entry!$J$389)</f>
        <v/>
      </c>
      <c r="N386">
        <f>IF([2]Entry!$M$389="","",[2]Entry!$M$389)</f>
        <v/>
      </c>
      <c r="O386">
        <f>IF([2]Entry!$N$389="","",[2]Entry!$N$389)</f>
        <v/>
      </c>
      <c r="P386">
        <f>IF([2]Entry!$S$389="","",[2]Entry!$S$389)</f>
        <v/>
      </c>
    </row>
    <row r="387">
      <c r="A387">
        <f>IF([1]Cheques!$A$388="","",[1]Cheques!$A$388)</f>
        <v/>
      </c>
      <c r="E387">
        <f>IF([1]Accounts!$D$388="","",[1]Accounts!$A$388)</f>
        <v/>
      </c>
      <c r="F387">
        <f>IF([1]Accounts!$D$388="","",[1]Accounts!$B$388)</f>
        <v/>
      </c>
      <c r="G387">
        <f>IF([1]Accounts!$D$388="","",[1]Accounts!$C$388)</f>
        <v/>
      </c>
      <c r="H387">
        <f>IF([1]Accounts!$D$388="","",[1]Accounts!$D$388)</f>
        <v/>
      </c>
      <c r="L387">
        <f>IF([2]Entry!$C$390="","",[2]Entry!$C$390)</f>
        <v/>
      </c>
      <c r="M387">
        <f>IF([2]Entry!$J$390="","",[2]Entry!$J$390)</f>
        <v/>
      </c>
      <c r="N387">
        <f>IF([2]Entry!$M$390="","",[2]Entry!$M$390)</f>
        <v/>
      </c>
      <c r="O387">
        <f>IF([2]Entry!$N$390="","",[2]Entry!$N$390)</f>
        <v/>
      </c>
      <c r="P387">
        <f>IF([2]Entry!$S$390="","",[2]Entry!$S$390)</f>
        <v/>
      </c>
    </row>
    <row r="388">
      <c r="A388">
        <f>IF([1]Cheques!$A$389="","",[1]Cheques!$A$389)</f>
        <v/>
      </c>
      <c r="E388">
        <f>IF([1]Accounts!$D$389="","",[1]Accounts!$A$389)</f>
        <v/>
      </c>
      <c r="F388">
        <f>IF([1]Accounts!$D$389="","",[1]Accounts!$B$389)</f>
        <v/>
      </c>
      <c r="G388">
        <f>IF([1]Accounts!$D$389="","",[1]Accounts!$C$389)</f>
        <v/>
      </c>
      <c r="H388">
        <f>IF([1]Accounts!$D$389="","",[1]Accounts!$D$389)</f>
        <v/>
      </c>
      <c r="L388">
        <f>IF([2]Entry!$C$391="","",[2]Entry!$C$391)</f>
        <v/>
      </c>
      <c r="M388">
        <f>IF([2]Entry!$J$391="","",[2]Entry!$J$391)</f>
        <v/>
      </c>
      <c r="N388">
        <f>IF([2]Entry!$M$391="","",[2]Entry!$M$391)</f>
        <v/>
      </c>
      <c r="O388">
        <f>IF([2]Entry!$N$391="","",[2]Entry!$N$391)</f>
        <v/>
      </c>
      <c r="P388">
        <f>IF([2]Entry!$S$391="","",[2]Entry!$S$391)</f>
        <v/>
      </c>
    </row>
    <row r="389">
      <c r="A389">
        <f>IF([1]Cheques!$A$390="","",[1]Cheques!$A$390)</f>
        <v/>
      </c>
      <c r="E389">
        <f>IF([1]Accounts!$D$390="","",[1]Accounts!$A$390)</f>
        <v/>
      </c>
      <c r="F389">
        <f>IF([1]Accounts!$D$390="","",[1]Accounts!$B$390)</f>
        <v/>
      </c>
      <c r="G389">
        <f>IF([1]Accounts!$D$390="","",[1]Accounts!$C$390)</f>
        <v/>
      </c>
      <c r="H389">
        <f>IF([1]Accounts!$D$390="","",[1]Accounts!$D$390)</f>
        <v/>
      </c>
      <c r="L389">
        <f>IF([2]Entry!$C$392="","",[2]Entry!$C$392)</f>
        <v/>
      </c>
      <c r="M389">
        <f>IF([2]Entry!$J$392="","",[2]Entry!$J$392)</f>
        <v/>
      </c>
      <c r="N389">
        <f>IF([2]Entry!$M$392="","",[2]Entry!$M$392)</f>
        <v/>
      </c>
      <c r="O389">
        <f>IF([2]Entry!$N$392="","",[2]Entry!$N$392)</f>
        <v/>
      </c>
      <c r="P389">
        <f>IF([2]Entry!$S$392="","",[2]Entry!$S$392)</f>
        <v/>
      </c>
    </row>
    <row r="390">
      <c r="A390">
        <f>IF([1]Cheques!$A$391="","",[1]Cheques!$A$391)</f>
        <v/>
      </c>
      <c r="E390">
        <f>IF([1]Accounts!$D$391="","",[1]Accounts!$A$391)</f>
        <v/>
      </c>
      <c r="F390">
        <f>IF([1]Accounts!$D$391="","",[1]Accounts!$B$391)</f>
        <v/>
      </c>
      <c r="G390">
        <f>IF([1]Accounts!$D$391="","",[1]Accounts!$C$391)</f>
        <v/>
      </c>
      <c r="H390">
        <f>IF([1]Accounts!$D$391="","",[1]Accounts!$D$391)</f>
        <v/>
      </c>
      <c r="L390">
        <f>IF([2]Entry!$C$393="","",[2]Entry!$C$393)</f>
        <v/>
      </c>
      <c r="M390">
        <f>IF([2]Entry!$J$393="","",[2]Entry!$J$393)</f>
        <v/>
      </c>
      <c r="N390">
        <f>IF([2]Entry!$M$393="","",[2]Entry!$M$393)</f>
        <v/>
      </c>
      <c r="O390">
        <f>IF([2]Entry!$N$393="","",[2]Entry!$N$393)</f>
        <v/>
      </c>
      <c r="P390">
        <f>IF([2]Entry!$S$393="","",[2]Entry!$S$393)</f>
        <v/>
      </c>
    </row>
    <row r="391">
      <c r="A391">
        <f>IF([1]Cheques!$A$392="","",[1]Cheques!$A$392)</f>
        <v/>
      </c>
      <c r="E391">
        <f>IF([1]Accounts!$D$392="","",[1]Accounts!$A$392)</f>
        <v/>
      </c>
      <c r="F391">
        <f>IF([1]Accounts!$D$392="","",[1]Accounts!$B$392)</f>
        <v/>
      </c>
      <c r="G391">
        <f>IF([1]Accounts!$D$392="","",[1]Accounts!$C$392)</f>
        <v/>
      </c>
      <c r="H391">
        <f>IF([1]Accounts!$D$392="","",[1]Accounts!$D$392)</f>
        <v/>
      </c>
      <c r="L391">
        <f>IF([2]Entry!$C$394="","",[2]Entry!$C$394)</f>
        <v/>
      </c>
      <c r="M391">
        <f>IF([2]Entry!$J$394="","",[2]Entry!$J$394)</f>
        <v/>
      </c>
      <c r="N391">
        <f>IF([2]Entry!$M$394="","",[2]Entry!$M$394)</f>
        <v/>
      </c>
      <c r="O391">
        <f>IF([2]Entry!$N$394="","",[2]Entry!$N$394)</f>
        <v/>
      </c>
      <c r="P391">
        <f>IF([2]Entry!$S$394="","",[2]Entry!$S$394)</f>
        <v/>
      </c>
    </row>
    <row r="392">
      <c r="A392">
        <f>IF([1]Cheques!$A$393="","",[1]Cheques!$A$393)</f>
        <v/>
      </c>
      <c r="E392">
        <f>IF([1]Accounts!$D$393="","",[1]Accounts!$A$393)</f>
        <v/>
      </c>
      <c r="F392">
        <f>IF([1]Accounts!$D$393="","",[1]Accounts!$B$393)</f>
        <v/>
      </c>
      <c r="G392">
        <f>IF([1]Accounts!$D$393="","",[1]Accounts!$C$393)</f>
        <v/>
      </c>
      <c r="H392">
        <f>IF([1]Accounts!$D$393="","",[1]Accounts!$D$393)</f>
        <v/>
      </c>
      <c r="L392">
        <f>IF([2]Entry!$C$395="","",[2]Entry!$C$395)</f>
        <v/>
      </c>
      <c r="M392">
        <f>IF([2]Entry!$J$395="","",[2]Entry!$J$395)</f>
        <v/>
      </c>
      <c r="N392">
        <f>IF([2]Entry!$M$395="","",[2]Entry!$M$395)</f>
        <v/>
      </c>
      <c r="O392">
        <f>IF([2]Entry!$N$395="","",[2]Entry!$N$395)</f>
        <v/>
      </c>
      <c r="P392">
        <f>IF([2]Entry!$S$395="","",[2]Entry!$S$395)</f>
        <v/>
      </c>
    </row>
    <row r="393">
      <c r="A393">
        <f>IF([1]Cheques!$A$394="","",[1]Cheques!$A$394)</f>
        <v/>
      </c>
      <c r="E393">
        <f>IF([1]Accounts!$D$394="","",[1]Accounts!$A$394)</f>
        <v/>
      </c>
      <c r="F393">
        <f>IF([1]Accounts!$D$394="","",[1]Accounts!$B$394)</f>
        <v/>
      </c>
      <c r="G393">
        <f>IF([1]Accounts!$D$394="","",[1]Accounts!$C$394)</f>
        <v/>
      </c>
      <c r="H393">
        <f>IF([1]Accounts!$D$394="","",[1]Accounts!$D$394)</f>
        <v/>
      </c>
      <c r="L393">
        <f>IF([2]Entry!$C$396="","",[2]Entry!$C$396)</f>
        <v/>
      </c>
      <c r="M393">
        <f>IF([2]Entry!$J$396="","",[2]Entry!$J$396)</f>
        <v/>
      </c>
      <c r="N393">
        <f>IF([2]Entry!$M$396="","",[2]Entry!$M$396)</f>
        <v/>
      </c>
      <c r="O393">
        <f>IF([2]Entry!$N$396="","",[2]Entry!$N$396)</f>
        <v/>
      </c>
      <c r="P393">
        <f>IF([2]Entry!$S$396="","",[2]Entry!$S$396)</f>
        <v/>
      </c>
    </row>
    <row r="394">
      <c r="A394">
        <f>IF([1]Cheques!$A$395="","",[1]Cheques!$A$395)</f>
        <v/>
      </c>
      <c r="E394">
        <f>IF([1]Accounts!$D$395="","",[1]Accounts!$A$395)</f>
        <v/>
      </c>
      <c r="F394">
        <f>IF([1]Accounts!$D$395="","",[1]Accounts!$B$395)</f>
        <v/>
      </c>
      <c r="G394">
        <f>IF([1]Accounts!$D$395="","",[1]Accounts!$C$395)</f>
        <v/>
      </c>
      <c r="H394">
        <f>IF([1]Accounts!$D$395="","",[1]Accounts!$D$395)</f>
        <v/>
      </c>
      <c r="L394">
        <f>IF([2]Entry!$C$397="","",[2]Entry!$C$397)</f>
        <v/>
      </c>
      <c r="M394">
        <f>IF([2]Entry!$J$397="","",[2]Entry!$J$397)</f>
        <v/>
      </c>
      <c r="N394">
        <f>IF([2]Entry!$M$397="","",[2]Entry!$M$397)</f>
        <v/>
      </c>
      <c r="O394">
        <f>IF([2]Entry!$N$397="","",[2]Entry!$N$397)</f>
        <v/>
      </c>
      <c r="P394">
        <f>IF([2]Entry!$S$397="","",[2]Entry!$S$397)</f>
        <v/>
      </c>
    </row>
    <row r="395">
      <c r="A395">
        <f>IF([1]Cheques!$A$396="","",[1]Cheques!$A$396)</f>
        <v/>
      </c>
      <c r="E395">
        <f>IF([1]Accounts!$D$396="","",[1]Accounts!$A$396)</f>
        <v/>
      </c>
      <c r="F395">
        <f>IF([1]Accounts!$D$396="","",[1]Accounts!$B$396)</f>
        <v/>
      </c>
      <c r="G395">
        <f>IF([1]Accounts!$D$396="","",[1]Accounts!$C$396)</f>
        <v/>
      </c>
      <c r="H395">
        <f>IF([1]Accounts!$D$396="","",[1]Accounts!$D$396)</f>
        <v/>
      </c>
      <c r="L395">
        <f>IF([2]Entry!$C$398="","",[2]Entry!$C$398)</f>
        <v/>
      </c>
      <c r="M395">
        <f>IF([2]Entry!$J$398="","",[2]Entry!$J$398)</f>
        <v/>
      </c>
      <c r="N395">
        <f>IF([2]Entry!$M$398="","",[2]Entry!$M$398)</f>
        <v/>
      </c>
      <c r="O395">
        <f>IF([2]Entry!$N$398="","",[2]Entry!$N$398)</f>
        <v/>
      </c>
      <c r="P395">
        <f>IF([2]Entry!$S$398="","",[2]Entry!$S$398)</f>
        <v/>
      </c>
    </row>
    <row r="396">
      <c r="A396">
        <f>IF([1]Cheques!$A$397="","",[1]Cheques!$A$397)</f>
        <v/>
      </c>
      <c r="E396">
        <f>IF([1]Accounts!$D$397="","",[1]Accounts!$A$397)</f>
        <v/>
      </c>
      <c r="F396">
        <f>IF([1]Accounts!$D$397="","",[1]Accounts!$B$397)</f>
        <v/>
      </c>
      <c r="G396">
        <f>IF([1]Accounts!$D$397="","",[1]Accounts!$C$397)</f>
        <v/>
      </c>
      <c r="H396">
        <f>IF([1]Accounts!$D$397="","",[1]Accounts!$D$397)</f>
        <v/>
      </c>
      <c r="L396">
        <f>IF([2]Entry!$C$399="","",[2]Entry!$C$399)</f>
        <v/>
      </c>
      <c r="M396">
        <f>IF([2]Entry!$J$399="","",[2]Entry!$J$399)</f>
        <v/>
      </c>
      <c r="N396">
        <f>IF([2]Entry!$M$399="","",[2]Entry!$M$399)</f>
        <v/>
      </c>
      <c r="O396">
        <f>IF([2]Entry!$N$399="","",[2]Entry!$N$399)</f>
        <v/>
      </c>
      <c r="P396">
        <f>IF([2]Entry!$S$399="","",[2]Entry!$S$399)</f>
        <v/>
      </c>
    </row>
    <row r="397">
      <c r="A397">
        <f>IF([1]Cheques!$A$398="","",[1]Cheques!$A$398)</f>
        <v/>
      </c>
      <c r="E397">
        <f>IF([1]Accounts!$D$398="","",[1]Accounts!$A$398)</f>
        <v/>
      </c>
      <c r="F397">
        <f>IF([1]Accounts!$D$398="","",[1]Accounts!$B$398)</f>
        <v/>
      </c>
      <c r="G397">
        <f>IF([1]Accounts!$D$398="","",[1]Accounts!$C$398)</f>
        <v/>
      </c>
      <c r="H397">
        <f>IF([1]Accounts!$D$398="","",[1]Accounts!$D$398)</f>
        <v/>
      </c>
      <c r="L397">
        <f>IF([2]Entry!$C$400="","",[2]Entry!$C$400)</f>
        <v/>
      </c>
      <c r="M397">
        <f>IF([2]Entry!$J$400="","",[2]Entry!$J$400)</f>
        <v/>
      </c>
      <c r="N397">
        <f>IF([2]Entry!$M$400="","",[2]Entry!$M$400)</f>
        <v/>
      </c>
      <c r="O397">
        <f>IF([2]Entry!$N$400="","",[2]Entry!$N$400)</f>
        <v/>
      </c>
      <c r="P397">
        <f>IF([2]Entry!$S$400="","",[2]Entry!$S$400)</f>
        <v/>
      </c>
    </row>
    <row r="398">
      <c r="A398">
        <f>IF([1]Cheques!$A$399="","",[1]Cheques!$A$399)</f>
        <v/>
      </c>
      <c r="E398">
        <f>IF([1]Accounts!$D$399="","",[1]Accounts!$A$399)</f>
        <v/>
      </c>
      <c r="F398">
        <f>IF([1]Accounts!$D$399="","",[1]Accounts!$B$399)</f>
        <v/>
      </c>
      <c r="G398">
        <f>IF([1]Accounts!$D$399="","",[1]Accounts!$C$399)</f>
        <v/>
      </c>
      <c r="H398">
        <f>IF([1]Accounts!$D$399="","",[1]Accounts!$D$399)</f>
        <v/>
      </c>
      <c r="L398">
        <f>IF([2]Entry!$C$401="","",[2]Entry!$C$401)</f>
        <v/>
      </c>
      <c r="M398">
        <f>IF([2]Entry!$J$401="","",[2]Entry!$J$401)</f>
        <v/>
      </c>
      <c r="N398">
        <f>IF([2]Entry!$M$401="","",[2]Entry!$M$401)</f>
        <v/>
      </c>
      <c r="O398">
        <f>IF([2]Entry!$N$401="","",[2]Entry!$N$401)</f>
        <v/>
      </c>
      <c r="P398">
        <f>IF([2]Entry!$S$401="","",[2]Entry!$S$401)</f>
        <v/>
      </c>
    </row>
    <row r="399">
      <c r="A399">
        <f>IF([1]Cheques!$A$400="","",[1]Cheques!$A$400)</f>
        <v/>
      </c>
      <c r="E399">
        <f>IF([1]Accounts!$D$400="","",[1]Accounts!$A$400)</f>
        <v/>
      </c>
      <c r="F399">
        <f>IF([1]Accounts!$D$400="","",[1]Accounts!$B$400)</f>
        <v/>
      </c>
      <c r="G399">
        <f>IF([1]Accounts!$D$400="","",[1]Accounts!$C$400)</f>
        <v/>
      </c>
      <c r="H399">
        <f>IF([1]Accounts!$D$400="","",[1]Accounts!$D$400)</f>
        <v/>
      </c>
      <c r="L399">
        <f>IF([2]Entry!$C$402="","",[2]Entry!$C$402)</f>
        <v/>
      </c>
      <c r="M399">
        <f>IF([2]Entry!$J$402="","",[2]Entry!$J$402)</f>
        <v/>
      </c>
      <c r="N399">
        <f>IF([2]Entry!$M$402="","",[2]Entry!$M$402)</f>
        <v/>
      </c>
      <c r="O399">
        <f>IF([2]Entry!$N$402="","",[2]Entry!$N$402)</f>
        <v/>
      </c>
      <c r="P399">
        <f>IF([2]Entry!$S$402="","",[2]Entry!$S$402)</f>
        <v/>
      </c>
    </row>
    <row r="400">
      <c r="A400">
        <f>IF([1]Cheques!$A$401="","",[1]Cheques!$A$401)</f>
        <v/>
      </c>
      <c r="E400">
        <f>IF([1]Accounts!$D$401="","",[1]Accounts!$A$401)</f>
        <v/>
      </c>
      <c r="F400">
        <f>IF([1]Accounts!$D$401="","",[1]Accounts!$B$401)</f>
        <v/>
      </c>
      <c r="G400">
        <f>IF([1]Accounts!$D$401="","",[1]Accounts!$C$401)</f>
        <v/>
      </c>
      <c r="H400">
        <f>IF([1]Accounts!$D$401="","",[1]Accounts!$D$401)</f>
        <v/>
      </c>
      <c r="L400">
        <f>IF([2]Entry!$C$403="","",[2]Entry!$C$403)</f>
        <v/>
      </c>
      <c r="M400">
        <f>IF([2]Entry!$J$403="","",[2]Entry!$J$403)</f>
        <v/>
      </c>
      <c r="N400">
        <f>IF([2]Entry!$M$403="","",[2]Entry!$M$403)</f>
        <v/>
      </c>
      <c r="O400">
        <f>IF([2]Entry!$N$403="","",[2]Entry!$N$403)</f>
        <v/>
      </c>
      <c r="P400">
        <f>IF([2]Entry!$S$403="","",[2]Entry!$S$403)</f>
        <v/>
      </c>
    </row>
    <row r="401">
      <c r="A401">
        <f>IF([1]Cheques!$A$402="","",[1]Cheques!$A$402)</f>
        <v/>
      </c>
      <c r="E401">
        <f>IF([1]Accounts!$D$402="","",[1]Accounts!$A$402)</f>
        <v/>
      </c>
      <c r="F401">
        <f>IF([1]Accounts!$D$402="","",[1]Accounts!$B$402)</f>
        <v/>
      </c>
      <c r="G401">
        <f>IF([1]Accounts!$D$402="","",[1]Accounts!$C$402)</f>
        <v/>
      </c>
      <c r="H401">
        <f>IF([1]Accounts!$D$402="","",[1]Accounts!$D$402)</f>
        <v/>
      </c>
      <c r="L401">
        <f>IF([2]Entry!$C$404="","",[2]Entry!$C$404)</f>
        <v/>
      </c>
      <c r="M401">
        <f>IF([2]Entry!$J$404="","",[2]Entry!$J$404)</f>
        <v/>
      </c>
      <c r="N401">
        <f>IF([2]Entry!$M$404="","",[2]Entry!$M$404)</f>
        <v/>
      </c>
      <c r="O401">
        <f>IF([2]Entry!$N$404="","",[2]Entry!$N$404)</f>
        <v/>
      </c>
      <c r="P401">
        <f>IF([2]Entry!$S$404="","",[2]Entry!$S$404)</f>
        <v/>
      </c>
    </row>
    <row r="402">
      <c r="A402">
        <f>IF([1]Cheques!$A$403="","",[1]Cheques!$A$403)</f>
        <v/>
      </c>
      <c r="E402">
        <f>IF([1]Accounts!$D$403="","",[1]Accounts!$A$403)</f>
        <v/>
      </c>
      <c r="F402">
        <f>IF([1]Accounts!$D$403="","",[1]Accounts!$B$403)</f>
        <v/>
      </c>
      <c r="G402">
        <f>IF([1]Accounts!$D$403="","",[1]Accounts!$C$403)</f>
        <v/>
      </c>
      <c r="H402">
        <f>IF([1]Accounts!$D$403="","",[1]Accounts!$D$403)</f>
        <v/>
      </c>
      <c r="L402">
        <f>IF([2]Entry!$C$405="","",[2]Entry!$C$405)</f>
        <v/>
      </c>
      <c r="M402">
        <f>IF([2]Entry!$J$405="","",[2]Entry!$J$405)</f>
        <v/>
      </c>
      <c r="N402">
        <f>IF([2]Entry!$M$405="","",[2]Entry!$M$405)</f>
        <v/>
      </c>
      <c r="O402">
        <f>IF([2]Entry!$N$405="","",[2]Entry!$N$405)</f>
        <v/>
      </c>
      <c r="P402">
        <f>IF([2]Entry!$S$405="","",[2]Entry!$S$405)</f>
        <v/>
      </c>
    </row>
    <row r="403">
      <c r="A403">
        <f>IF([1]Cheques!$A$404="","",[1]Cheques!$A$404)</f>
        <v/>
      </c>
      <c r="E403">
        <f>IF([1]Accounts!$D$404="","",[1]Accounts!$A$404)</f>
        <v/>
      </c>
      <c r="F403">
        <f>IF([1]Accounts!$D$404="","",[1]Accounts!$B$404)</f>
        <v/>
      </c>
      <c r="G403">
        <f>IF([1]Accounts!$D$404="","",[1]Accounts!$C$404)</f>
        <v/>
      </c>
      <c r="H403">
        <f>IF([1]Accounts!$D$404="","",[1]Accounts!$D$404)</f>
        <v/>
      </c>
      <c r="L403">
        <f>IF([2]Entry!$C$406="","",[2]Entry!$C$406)</f>
        <v/>
      </c>
      <c r="M403">
        <f>IF([2]Entry!$J$406="","",[2]Entry!$J$406)</f>
        <v/>
      </c>
      <c r="N403">
        <f>IF([2]Entry!$M$406="","",[2]Entry!$M$406)</f>
        <v/>
      </c>
      <c r="O403">
        <f>IF([2]Entry!$N$406="","",[2]Entry!$N$406)</f>
        <v/>
      </c>
      <c r="P403">
        <f>IF([2]Entry!$S$406="","",[2]Entry!$S$406)</f>
        <v/>
      </c>
    </row>
    <row r="404">
      <c r="A404">
        <f>IF([1]Cheques!$A$405="","",[1]Cheques!$A$405)</f>
        <v/>
      </c>
      <c r="E404">
        <f>IF([1]Accounts!$D$405="","",[1]Accounts!$A$405)</f>
        <v/>
      </c>
      <c r="F404">
        <f>IF([1]Accounts!$D$405="","",[1]Accounts!$B$405)</f>
        <v/>
      </c>
      <c r="G404">
        <f>IF([1]Accounts!$D$405="","",[1]Accounts!$C$405)</f>
        <v/>
      </c>
      <c r="H404">
        <f>IF([1]Accounts!$D$405="","",[1]Accounts!$D$405)</f>
        <v/>
      </c>
      <c r="L404">
        <f>IF([2]Entry!$C$407="","",[2]Entry!$C$407)</f>
        <v/>
      </c>
      <c r="M404">
        <f>IF([2]Entry!$J$407="","",[2]Entry!$J$407)</f>
        <v/>
      </c>
      <c r="N404">
        <f>IF([2]Entry!$M$407="","",[2]Entry!$M$407)</f>
        <v/>
      </c>
      <c r="O404">
        <f>IF([2]Entry!$N$407="","",[2]Entry!$N$407)</f>
        <v/>
      </c>
      <c r="P404">
        <f>IF([2]Entry!$S$407="","",[2]Entry!$S$407)</f>
        <v/>
      </c>
    </row>
    <row r="405">
      <c r="A405">
        <f>IF([1]Cheques!$A$406="","",[1]Cheques!$A$406)</f>
        <v/>
      </c>
      <c r="E405">
        <f>IF([1]Accounts!$D$406="","",[1]Accounts!$A$406)</f>
        <v/>
      </c>
      <c r="F405">
        <f>IF([1]Accounts!$D$406="","",[1]Accounts!$B$406)</f>
        <v/>
      </c>
      <c r="G405">
        <f>IF([1]Accounts!$D$406="","",[1]Accounts!$C$406)</f>
        <v/>
      </c>
      <c r="H405">
        <f>IF([1]Accounts!$D$406="","",[1]Accounts!$D$406)</f>
        <v/>
      </c>
      <c r="L405">
        <f>IF([2]Entry!$C$408="","",[2]Entry!$C$408)</f>
        <v/>
      </c>
      <c r="M405">
        <f>IF([2]Entry!$J$408="","",[2]Entry!$J$408)</f>
        <v/>
      </c>
      <c r="N405">
        <f>IF([2]Entry!$M$408="","",[2]Entry!$M$408)</f>
        <v/>
      </c>
      <c r="O405">
        <f>IF([2]Entry!$N$408="","",[2]Entry!$N$408)</f>
        <v/>
      </c>
      <c r="P405">
        <f>IF([2]Entry!$S$408="","",[2]Entry!$S$408)</f>
        <v/>
      </c>
    </row>
    <row r="406">
      <c r="A406">
        <f>IF([1]Cheques!$A$407="","",[1]Cheques!$A$407)</f>
        <v/>
      </c>
      <c r="E406">
        <f>IF([1]Accounts!$D$407="","",[1]Accounts!$A$407)</f>
        <v/>
      </c>
      <c r="F406">
        <f>IF([1]Accounts!$D$407="","",[1]Accounts!$B$407)</f>
        <v/>
      </c>
      <c r="G406">
        <f>IF([1]Accounts!$D$407="","",[1]Accounts!$C$407)</f>
        <v/>
      </c>
      <c r="H406">
        <f>IF([1]Accounts!$D$407="","",[1]Accounts!$D$407)</f>
        <v/>
      </c>
      <c r="L406">
        <f>IF([2]Entry!$C$409="","",[2]Entry!$C$409)</f>
        <v/>
      </c>
      <c r="M406">
        <f>IF([2]Entry!$J$409="","",[2]Entry!$J$409)</f>
        <v/>
      </c>
      <c r="N406">
        <f>IF([2]Entry!$M$409="","",[2]Entry!$M$409)</f>
        <v/>
      </c>
      <c r="O406">
        <f>IF([2]Entry!$N$409="","",[2]Entry!$N$409)</f>
        <v/>
      </c>
      <c r="P406">
        <f>IF([2]Entry!$S$409="","",[2]Entry!$S$409)</f>
        <v/>
      </c>
    </row>
    <row r="407">
      <c r="A407">
        <f>IF([1]Cheques!$A$408="","",[1]Cheques!$A$408)</f>
        <v/>
      </c>
      <c r="E407">
        <f>IF([1]Accounts!$D$408="","",[1]Accounts!$A$408)</f>
        <v/>
      </c>
      <c r="F407">
        <f>IF([1]Accounts!$D$408="","",[1]Accounts!$B$408)</f>
        <v/>
      </c>
      <c r="G407">
        <f>IF([1]Accounts!$D$408="","",[1]Accounts!$C$408)</f>
        <v/>
      </c>
      <c r="H407">
        <f>IF([1]Accounts!$D$408="","",[1]Accounts!$D$408)</f>
        <v/>
      </c>
      <c r="L407">
        <f>IF([2]Entry!$C$410="","",[2]Entry!$C$410)</f>
        <v/>
      </c>
      <c r="M407">
        <f>IF([2]Entry!$J$410="","",[2]Entry!$J$410)</f>
        <v/>
      </c>
      <c r="N407">
        <f>IF([2]Entry!$M$410="","",[2]Entry!$M$410)</f>
        <v/>
      </c>
      <c r="O407">
        <f>IF([2]Entry!$N$410="","",[2]Entry!$N$410)</f>
        <v/>
      </c>
      <c r="P407">
        <f>IF([2]Entry!$S$410="","",[2]Entry!$S$410)</f>
        <v/>
      </c>
    </row>
    <row r="408">
      <c r="A408">
        <f>IF([1]Cheques!$A$409="","",[1]Cheques!$A$409)</f>
        <v/>
      </c>
      <c r="E408">
        <f>IF([1]Accounts!$D$409="","",[1]Accounts!$A$409)</f>
        <v/>
      </c>
      <c r="F408">
        <f>IF([1]Accounts!$D$409="","",[1]Accounts!$B$409)</f>
        <v/>
      </c>
      <c r="G408">
        <f>IF([1]Accounts!$D$409="","",[1]Accounts!$C$409)</f>
        <v/>
      </c>
      <c r="H408">
        <f>IF([1]Accounts!$D$409="","",[1]Accounts!$D$409)</f>
        <v/>
      </c>
      <c r="L408">
        <f>IF([2]Entry!$C$411="","",[2]Entry!$C$411)</f>
        <v/>
      </c>
      <c r="M408">
        <f>IF([2]Entry!$J$411="","",[2]Entry!$J$411)</f>
        <v/>
      </c>
      <c r="N408">
        <f>IF([2]Entry!$M$411="","",[2]Entry!$M$411)</f>
        <v/>
      </c>
      <c r="O408">
        <f>IF([2]Entry!$N$411="","",[2]Entry!$N$411)</f>
        <v/>
      </c>
      <c r="P408">
        <f>IF([2]Entry!$S$411="","",[2]Entry!$S$411)</f>
        <v/>
      </c>
    </row>
    <row r="409">
      <c r="A409">
        <f>IF([1]Cheques!$A$410="","",[1]Cheques!$A$410)</f>
        <v/>
      </c>
      <c r="E409">
        <f>IF([1]Accounts!$D$410="","",[1]Accounts!$A$410)</f>
        <v/>
      </c>
      <c r="F409">
        <f>IF([1]Accounts!$D$410="","",[1]Accounts!$B$410)</f>
        <v/>
      </c>
      <c r="G409">
        <f>IF([1]Accounts!$D$410="","",[1]Accounts!$C$410)</f>
        <v/>
      </c>
      <c r="H409">
        <f>IF([1]Accounts!$D$410="","",[1]Accounts!$D$410)</f>
        <v/>
      </c>
      <c r="L409">
        <f>IF([2]Entry!$C$412="","",[2]Entry!$C$412)</f>
        <v/>
      </c>
      <c r="M409">
        <f>IF([2]Entry!$J$412="","",[2]Entry!$J$412)</f>
        <v/>
      </c>
      <c r="N409">
        <f>IF([2]Entry!$M$412="","",[2]Entry!$M$412)</f>
        <v/>
      </c>
      <c r="O409">
        <f>IF([2]Entry!$N$412="","",[2]Entry!$N$412)</f>
        <v/>
      </c>
      <c r="P409">
        <f>IF([2]Entry!$S$412="","",[2]Entry!$S$412)</f>
        <v/>
      </c>
    </row>
    <row r="410">
      <c r="A410">
        <f>IF([1]Cheques!$A$411="","",[1]Cheques!$A$411)</f>
        <v/>
      </c>
      <c r="E410">
        <f>IF([1]Accounts!$D$411="","",[1]Accounts!$A$411)</f>
        <v/>
      </c>
      <c r="F410">
        <f>IF([1]Accounts!$D$411="","",[1]Accounts!$B$411)</f>
        <v/>
      </c>
      <c r="G410">
        <f>IF([1]Accounts!$D$411="","",[1]Accounts!$C$411)</f>
        <v/>
      </c>
      <c r="H410">
        <f>IF([1]Accounts!$D$411="","",[1]Accounts!$D$411)</f>
        <v/>
      </c>
      <c r="L410">
        <f>IF([2]Entry!$C$413="","",[2]Entry!$C$413)</f>
        <v/>
      </c>
      <c r="M410">
        <f>IF([2]Entry!$J$413="","",[2]Entry!$J$413)</f>
        <v/>
      </c>
      <c r="N410">
        <f>IF([2]Entry!$M$413="","",[2]Entry!$M$413)</f>
        <v/>
      </c>
      <c r="O410">
        <f>IF([2]Entry!$N$413="","",[2]Entry!$N$413)</f>
        <v/>
      </c>
      <c r="P410">
        <f>IF([2]Entry!$S$413="","",[2]Entry!$S$413)</f>
        <v/>
      </c>
    </row>
    <row r="411">
      <c r="A411">
        <f>IF([1]Cheques!$A$412="","",[1]Cheques!$A$412)</f>
        <v/>
      </c>
      <c r="E411">
        <f>IF([1]Accounts!$D$412="","",[1]Accounts!$A$412)</f>
        <v/>
      </c>
      <c r="F411">
        <f>IF([1]Accounts!$D$412="","",[1]Accounts!$B$412)</f>
        <v/>
      </c>
      <c r="G411">
        <f>IF([1]Accounts!$D$412="","",[1]Accounts!$C$412)</f>
        <v/>
      </c>
      <c r="H411">
        <f>IF([1]Accounts!$D$412="","",[1]Accounts!$D$412)</f>
        <v/>
      </c>
      <c r="L411">
        <f>IF([2]Entry!$C$414="","",[2]Entry!$C$414)</f>
        <v/>
      </c>
      <c r="M411">
        <f>IF([2]Entry!$J$414="","",[2]Entry!$J$414)</f>
        <v/>
      </c>
      <c r="N411">
        <f>IF([2]Entry!$M$414="","",[2]Entry!$M$414)</f>
        <v/>
      </c>
      <c r="O411">
        <f>IF([2]Entry!$N$414="","",[2]Entry!$N$414)</f>
        <v/>
      </c>
      <c r="P411">
        <f>IF([2]Entry!$S$414="","",[2]Entry!$S$414)</f>
        <v/>
      </c>
    </row>
    <row r="412">
      <c r="A412">
        <f>IF([1]Cheques!$A$413="","",[1]Cheques!$A$413)</f>
        <v/>
      </c>
      <c r="E412">
        <f>IF([1]Accounts!$D$413="","",[1]Accounts!$A$413)</f>
        <v/>
      </c>
      <c r="F412">
        <f>IF([1]Accounts!$D$413="","",[1]Accounts!$B$413)</f>
        <v/>
      </c>
      <c r="G412">
        <f>IF([1]Accounts!$D$413="","",[1]Accounts!$C$413)</f>
        <v/>
      </c>
      <c r="H412">
        <f>IF([1]Accounts!$D$413="","",[1]Accounts!$D$413)</f>
        <v/>
      </c>
      <c r="L412">
        <f>IF([2]Entry!$C$415="","",[2]Entry!$C$415)</f>
        <v/>
      </c>
      <c r="M412">
        <f>IF([2]Entry!$J$415="","",[2]Entry!$J$415)</f>
        <v/>
      </c>
      <c r="N412">
        <f>IF([2]Entry!$M$415="","",[2]Entry!$M$415)</f>
        <v/>
      </c>
      <c r="O412">
        <f>IF([2]Entry!$N$415="","",[2]Entry!$N$415)</f>
        <v/>
      </c>
      <c r="P412">
        <f>IF([2]Entry!$S$415="","",[2]Entry!$S$415)</f>
        <v/>
      </c>
    </row>
    <row r="413">
      <c r="A413">
        <f>IF([1]Cheques!$A$414="","",[1]Cheques!$A$414)</f>
        <v/>
      </c>
      <c r="E413">
        <f>IF([1]Accounts!$D$414="","",[1]Accounts!$A$414)</f>
        <v/>
      </c>
      <c r="F413">
        <f>IF([1]Accounts!$D$414="","",[1]Accounts!$B$414)</f>
        <v/>
      </c>
      <c r="G413">
        <f>IF([1]Accounts!$D$414="","",[1]Accounts!$C$414)</f>
        <v/>
      </c>
      <c r="H413">
        <f>IF([1]Accounts!$D$414="","",[1]Accounts!$D$414)</f>
        <v/>
      </c>
      <c r="L413">
        <f>IF([2]Entry!$C$416="","",[2]Entry!$C$416)</f>
        <v/>
      </c>
      <c r="M413">
        <f>IF([2]Entry!$J$416="","",[2]Entry!$J$416)</f>
        <v/>
      </c>
      <c r="N413">
        <f>IF([2]Entry!$M$416="","",[2]Entry!$M$416)</f>
        <v/>
      </c>
      <c r="O413">
        <f>IF([2]Entry!$N$416="","",[2]Entry!$N$416)</f>
        <v/>
      </c>
      <c r="P413">
        <f>IF([2]Entry!$S$416="","",[2]Entry!$S$416)</f>
        <v/>
      </c>
    </row>
    <row r="414">
      <c r="A414">
        <f>IF([1]Cheques!$A$415="","",[1]Cheques!$A$415)</f>
        <v/>
      </c>
      <c r="E414">
        <f>IF([1]Accounts!$D$415="","",[1]Accounts!$A$415)</f>
        <v/>
      </c>
      <c r="F414">
        <f>IF([1]Accounts!$D$415="","",[1]Accounts!$B$415)</f>
        <v/>
      </c>
      <c r="G414">
        <f>IF([1]Accounts!$D$415="","",[1]Accounts!$C$415)</f>
        <v/>
      </c>
      <c r="H414">
        <f>IF([1]Accounts!$D$415="","",[1]Accounts!$D$415)</f>
        <v/>
      </c>
      <c r="L414">
        <f>IF([2]Entry!$C$417="","",[2]Entry!$C$417)</f>
        <v/>
      </c>
      <c r="M414">
        <f>IF([2]Entry!$J$417="","",[2]Entry!$J$417)</f>
        <v/>
      </c>
      <c r="N414">
        <f>IF([2]Entry!$M$417="","",[2]Entry!$M$417)</f>
        <v/>
      </c>
      <c r="O414">
        <f>IF([2]Entry!$N$417="","",[2]Entry!$N$417)</f>
        <v/>
      </c>
      <c r="P414">
        <f>IF([2]Entry!$S$417="","",[2]Entry!$S$417)</f>
        <v/>
      </c>
    </row>
    <row r="415">
      <c r="A415">
        <f>IF([1]Cheques!$A$416="","",[1]Cheques!$A$416)</f>
        <v/>
      </c>
      <c r="E415">
        <f>IF([1]Accounts!$D$416="","",[1]Accounts!$A$416)</f>
        <v/>
      </c>
      <c r="F415">
        <f>IF([1]Accounts!$D$416="","",[1]Accounts!$B$416)</f>
        <v/>
      </c>
      <c r="G415">
        <f>IF([1]Accounts!$D$416="","",[1]Accounts!$C$416)</f>
        <v/>
      </c>
      <c r="H415">
        <f>IF([1]Accounts!$D$416="","",[1]Accounts!$D$416)</f>
        <v/>
      </c>
      <c r="L415">
        <f>IF([2]Entry!$C$418="","",[2]Entry!$C$418)</f>
        <v/>
      </c>
      <c r="M415">
        <f>IF([2]Entry!$J$418="","",[2]Entry!$J$418)</f>
        <v/>
      </c>
      <c r="N415">
        <f>IF([2]Entry!$M$418="","",[2]Entry!$M$418)</f>
        <v/>
      </c>
      <c r="O415">
        <f>IF([2]Entry!$N$418="","",[2]Entry!$N$418)</f>
        <v/>
      </c>
      <c r="P415">
        <f>IF([2]Entry!$S$418="","",[2]Entry!$S$418)</f>
        <v/>
      </c>
    </row>
    <row r="416">
      <c r="A416">
        <f>IF([1]Cheques!$A$417="","",[1]Cheques!$A$417)</f>
        <v/>
      </c>
      <c r="E416">
        <f>IF([1]Accounts!$D$417="","",[1]Accounts!$A$417)</f>
        <v/>
      </c>
      <c r="F416">
        <f>IF([1]Accounts!$D$417="","",[1]Accounts!$B$417)</f>
        <v/>
      </c>
      <c r="G416">
        <f>IF([1]Accounts!$D$417="","",[1]Accounts!$C$417)</f>
        <v/>
      </c>
      <c r="H416">
        <f>IF([1]Accounts!$D$417="","",[1]Accounts!$D$417)</f>
        <v/>
      </c>
      <c r="L416">
        <f>IF([2]Entry!$C$419="","",[2]Entry!$C$419)</f>
        <v/>
      </c>
      <c r="M416">
        <f>IF([2]Entry!$J$419="","",[2]Entry!$J$419)</f>
        <v/>
      </c>
      <c r="N416">
        <f>IF([2]Entry!$M$419="","",[2]Entry!$M$419)</f>
        <v/>
      </c>
      <c r="O416">
        <f>IF([2]Entry!$N$419="","",[2]Entry!$N$419)</f>
        <v/>
      </c>
      <c r="P416">
        <f>IF([2]Entry!$S$419="","",[2]Entry!$S$419)</f>
        <v/>
      </c>
    </row>
    <row r="417">
      <c r="A417">
        <f>IF([1]Cheques!$A$418="","",[1]Cheques!$A$418)</f>
        <v/>
      </c>
      <c r="E417">
        <f>IF([1]Accounts!$D$418="","",[1]Accounts!$A$418)</f>
        <v/>
      </c>
      <c r="F417">
        <f>IF([1]Accounts!$D$418="","",[1]Accounts!$B$418)</f>
        <v/>
      </c>
      <c r="G417">
        <f>IF([1]Accounts!$D$418="","",[1]Accounts!$C$418)</f>
        <v/>
      </c>
      <c r="H417">
        <f>IF([1]Accounts!$D$418="","",[1]Accounts!$D$418)</f>
        <v/>
      </c>
      <c r="L417">
        <f>IF([2]Entry!$C$420="","",[2]Entry!$C$420)</f>
        <v/>
      </c>
      <c r="M417">
        <f>IF([2]Entry!$J$420="","",[2]Entry!$J$420)</f>
        <v/>
      </c>
      <c r="N417">
        <f>IF([2]Entry!$M$420="","",[2]Entry!$M$420)</f>
        <v/>
      </c>
      <c r="O417">
        <f>IF([2]Entry!$N$420="","",[2]Entry!$N$420)</f>
        <v/>
      </c>
      <c r="P417">
        <f>IF([2]Entry!$S$420="","",[2]Entry!$S$420)</f>
        <v/>
      </c>
    </row>
    <row r="418">
      <c r="A418">
        <f>IF([1]Cheques!$A$419="","",[1]Cheques!$A$419)</f>
        <v/>
      </c>
      <c r="E418">
        <f>IF([1]Accounts!$D$419="","",[1]Accounts!$A$419)</f>
        <v/>
      </c>
      <c r="F418">
        <f>IF([1]Accounts!$D$419="","",[1]Accounts!$B$419)</f>
        <v/>
      </c>
      <c r="G418">
        <f>IF([1]Accounts!$D$419="","",[1]Accounts!$C$419)</f>
        <v/>
      </c>
      <c r="H418">
        <f>IF([1]Accounts!$D$419="","",[1]Accounts!$D$419)</f>
        <v/>
      </c>
      <c r="L418">
        <f>IF([2]Entry!$C$421="","",[2]Entry!$C$421)</f>
        <v/>
      </c>
      <c r="M418">
        <f>IF([2]Entry!$J$421="","",[2]Entry!$J$421)</f>
        <v/>
      </c>
      <c r="N418">
        <f>IF([2]Entry!$M$421="","",[2]Entry!$M$421)</f>
        <v/>
      </c>
      <c r="O418">
        <f>IF([2]Entry!$N$421="","",[2]Entry!$N$421)</f>
        <v/>
      </c>
      <c r="P418">
        <f>IF([2]Entry!$S$421="","",[2]Entry!$S$421)</f>
        <v/>
      </c>
    </row>
    <row r="419">
      <c r="A419">
        <f>IF([1]Cheques!$A$420="","",[1]Cheques!$A$420)</f>
        <v/>
      </c>
      <c r="E419">
        <f>IF([1]Accounts!$D$420="","",[1]Accounts!$A$420)</f>
        <v/>
      </c>
      <c r="F419">
        <f>IF([1]Accounts!$D$420="","",[1]Accounts!$B$420)</f>
        <v/>
      </c>
      <c r="G419">
        <f>IF([1]Accounts!$D$420="","",[1]Accounts!$C$420)</f>
        <v/>
      </c>
      <c r="H419">
        <f>IF([1]Accounts!$D$420="","",[1]Accounts!$D$420)</f>
        <v/>
      </c>
      <c r="L419">
        <f>IF([2]Entry!$C$422="","",[2]Entry!$C$422)</f>
        <v/>
      </c>
      <c r="M419">
        <f>IF([2]Entry!$J$422="","",[2]Entry!$J$422)</f>
        <v/>
      </c>
      <c r="N419">
        <f>IF([2]Entry!$M$422="","",[2]Entry!$M$422)</f>
        <v/>
      </c>
      <c r="O419">
        <f>IF([2]Entry!$N$422="","",[2]Entry!$N$422)</f>
        <v/>
      </c>
      <c r="P419">
        <f>IF([2]Entry!$S$422="","",[2]Entry!$S$422)</f>
        <v/>
      </c>
    </row>
    <row r="420">
      <c r="A420">
        <f>IF([1]Cheques!$A$421="","",[1]Cheques!$A$421)</f>
        <v/>
      </c>
      <c r="E420">
        <f>IF([1]Accounts!$D$421="","",[1]Accounts!$A$421)</f>
        <v/>
      </c>
      <c r="F420">
        <f>IF([1]Accounts!$D$421="","",[1]Accounts!$B$421)</f>
        <v/>
      </c>
      <c r="G420">
        <f>IF([1]Accounts!$D$421="","",[1]Accounts!$C$421)</f>
        <v/>
      </c>
      <c r="H420">
        <f>IF([1]Accounts!$D$421="","",[1]Accounts!$D$421)</f>
        <v/>
      </c>
      <c r="L420">
        <f>IF([2]Entry!$C$423="","",[2]Entry!$C$423)</f>
        <v/>
      </c>
      <c r="M420">
        <f>IF([2]Entry!$J$423="","",[2]Entry!$J$423)</f>
        <v/>
      </c>
      <c r="N420">
        <f>IF([2]Entry!$M$423="","",[2]Entry!$M$423)</f>
        <v/>
      </c>
      <c r="O420">
        <f>IF([2]Entry!$N$423="","",[2]Entry!$N$423)</f>
        <v/>
      </c>
      <c r="P420">
        <f>IF([2]Entry!$S$423="","",[2]Entry!$S$423)</f>
        <v/>
      </c>
    </row>
    <row r="421">
      <c r="A421">
        <f>IF([1]Cheques!$A$422="","",[1]Cheques!$A$422)</f>
        <v/>
      </c>
      <c r="E421">
        <f>IF([1]Accounts!$D$422="","",[1]Accounts!$A$422)</f>
        <v/>
      </c>
      <c r="F421">
        <f>IF([1]Accounts!$D$422="","",[1]Accounts!$B$422)</f>
        <v/>
      </c>
      <c r="G421">
        <f>IF([1]Accounts!$D$422="","",[1]Accounts!$C$422)</f>
        <v/>
      </c>
      <c r="H421">
        <f>IF([1]Accounts!$D$422="","",[1]Accounts!$D$422)</f>
        <v/>
      </c>
      <c r="L421">
        <f>IF([2]Entry!$C$424="","",[2]Entry!$C$424)</f>
        <v/>
      </c>
      <c r="M421">
        <f>IF([2]Entry!$J$424="","",[2]Entry!$J$424)</f>
        <v/>
      </c>
      <c r="N421">
        <f>IF([2]Entry!$M$424="","",[2]Entry!$M$424)</f>
        <v/>
      </c>
      <c r="O421">
        <f>IF([2]Entry!$N$424="","",[2]Entry!$N$424)</f>
        <v/>
      </c>
      <c r="P421">
        <f>IF([2]Entry!$S$424="","",[2]Entry!$S$424)</f>
        <v/>
      </c>
    </row>
    <row r="422">
      <c r="A422">
        <f>IF([1]Cheques!$A$423="","",[1]Cheques!$A$423)</f>
        <v/>
      </c>
      <c r="E422">
        <f>IF([1]Accounts!$D$423="","",[1]Accounts!$A$423)</f>
        <v/>
      </c>
      <c r="F422">
        <f>IF([1]Accounts!$D$423="","",[1]Accounts!$B$423)</f>
        <v/>
      </c>
      <c r="G422">
        <f>IF([1]Accounts!$D$423="","",[1]Accounts!$C$423)</f>
        <v/>
      </c>
      <c r="H422">
        <f>IF([1]Accounts!$D$423="","",[1]Accounts!$D$423)</f>
        <v/>
      </c>
      <c r="L422">
        <f>IF([2]Entry!$C$425="","",[2]Entry!$C$425)</f>
        <v/>
      </c>
      <c r="M422">
        <f>IF([2]Entry!$J$425="","",[2]Entry!$J$425)</f>
        <v/>
      </c>
      <c r="N422">
        <f>IF([2]Entry!$M$425="","",[2]Entry!$M$425)</f>
        <v/>
      </c>
      <c r="O422">
        <f>IF([2]Entry!$N$425="","",[2]Entry!$N$425)</f>
        <v/>
      </c>
      <c r="P422">
        <f>IF([2]Entry!$S$425="","",[2]Entry!$S$425)</f>
        <v/>
      </c>
    </row>
    <row r="423">
      <c r="A423">
        <f>IF([1]Cheques!$A$424="","",[1]Cheques!$A$424)</f>
        <v/>
      </c>
      <c r="E423">
        <f>IF([1]Accounts!$D$424="","",[1]Accounts!$A$424)</f>
        <v/>
      </c>
      <c r="F423">
        <f>IF([1]Accounts!$D$424="","",[1]Accounts!$B$424)</f>
        <v/>
      </c>
      <c r="G423">
        <f>IF([1]Accounts!$D$424="","",[1]Accounts!$C$424)</f>
        <v/>
      </c>
      <c r="H423">
        <f>IF([1]Accounts!$D$424="","",[1]Accounts!$D$424)</f>
        <v/>
      </c>
      <c r="L423">
        <f>IF([2]Entry!$C$426="","",[2]Entry!$C$426)</f>
        <v/>
      </c>
      <c r="M423">
        <f>IF([2]Entry!$J$426="","",[2]Entry!$J$426)</f>
        <v/>
      </c>
      <c r="N423">
        <f>IF([2]Entry!$M$426="","",[2]Entry!$M$426)</f>
        <v/>
      </c>
      <c r="O423">
        <f>IF([2]Entry!$N$426="","",[2]Entry!$N$426)</f>
        <v/>
      </c>
      <c r="P423">
        <f>IF([2]Entry!$S$426="","",[2]Entry!$S$426)</f>
        <v/>
      </c>
    </row>
    <row r="424">
      <c r="A424">
        <f>IF([1]Cheques!$A$425="","",[1]Cheques!$A$425)</f>
        <v/>
      </c>
      <c r="E424">
        <f>IF([1]Accounts!$D$425="","",[1]Accounts!$A$425)</f>
        <v/>
      </c>
      <c r="F424">
        <f>IF([1]Accounts!$D$425="","",[1]Accounts!$B$425)</f>
        <v/>
      </c>
      <c r="G424">
        <f>IF([1]Accounts!$D$425="","",[1]Accounts!$C$425)</f>
        <v/>
      </c>
      <c r="H424">
        <f>IF([1]Accounts!$D$425="","",[1]Accounts!$D$425)</f>
        <v/>
      </c>
      <c r="L424">
        <f>IF([2]Entry!$C$427="","",[2]Entry!$C$427)</f>
        <v/>
      </c>
      <c r="M424">
        <f>IF([2]Entry!$J$427="","",[2]Entry!$J$427)</f>
        <v/>
      </c>
      <c r="N424">
        <f>IF([2]Entry!$M$427="","",[2]Entry!$M$427)</f>
        <v/>
      </c>
      <c r="O424">
        <f>IF([2]Entry!$N$427="","",[2]Entry!$N$427)</f>
        <v/>
      </c>
      <c r="P424">
        <f>IF([2]Entry!$S$427="","",[2]Entry!$S$427)</f>
        <v/>
      </c>
    </row>
    <row r="425">
      <c r="A425">
        <f>IF([1]Cheques!$A$426="","",[1]Cheques!$A$426)</f>
        <v/>
      </c>
      <c r="E425">
        <f>IF([1]Accounts!$D$426="","",[1]Accounts!$A$426)</f>
        <v/>
      </c>
      <c r="F425">
        <f>IF([1]Accounts!$D$426="","",[1]Accounts!$B$426)</f>
        <v/>
      </c>
      <c r="G425">
        <f>IF([1]Accounts!$D$426="","",[1]Accounts!$C$426)</f>
        <v/>
      </c>
      <c r="H425">
        <f>IF([1]Accounts!$D$426="","",[1]Accounts!$D$426)</f>
        <v/>
      </c>
      <c r="L425">
        <f>IF([2]Entry!$C$428="","",[2]Entry!$C$428)</f>
        <v/>
      </c>
      <c r="M425">
        <f>IF([2]Entry!$J$428="","",[2]Entry!$J$428)</f>
        <v/>
      </c>
      <c r="N425">
        <f>IF([2]Entry!$M$428="","",[2]Entry!$M$428)</f>
        <v/>
      </c>
      <c r="O425">
        <f>IF([2]Entry!$N$428="","",[2]Entry!$N$428)</f>
        <v/>
      </c>
      <c r="P425">
        <f>IF([2]Entry!$S$428="","",[2]Entry!$S$428)</f>
        <v/>
      </c>
    </row>
    <row r="426">
      <c r="A426">
        <f>IF([1]Cheques!$A$427="","",[1]Cheques!$A$427)</f>
        <v/>
      </c>
      <c r="E426">
        <f>IF([1]Accounts!$D$427="","",[1]Accounts!$A$427)</f>
        <v/>
      </c>
      <c r="F426">
        <f>IF([1]Accounts!$D$427="","",[1]Accounts!$B$427)</f>
        <v/>
      </c>
      <c r="G426">
        <f>IF([1]Accounts!$D$427="","",[1]Accounts!$C$427)</f>
        <v/>
      </c>
      <c r="H426">
        <f>IF([1]Accounts!$D$427="","",[1]Accounts!$D$427)</f>
        <v/>
      </c>
      <c r="L426">
        <f>IF([2]Entry!$C$429="","",[2]Entry!$C$429)</f>
        <v/>
      </c>
      <c r="M426">
        <f>IF([2]Entry!$J$429="","",[2]Entry!$J$429)</f>
        <v/>
      </c>
      <c r="N426">
        <f>IF([2]Entry!$M$429="","",[2]Entry!$M$429)</f>
        <v/>
      </c>
      <c r="O426">
        <f>IF([2]Entry!$N$429="","",[2]Entry!$N$429)</f>
        <v/>
      </c>
      <c r="P426">
        <f>IF([2]Entry!$S$429="","",[2]Entry!$S$429)</f>
        <v/>
      </c>
    </row>
    <row r="427">
      <c r="A427">
        <f>IF([1]Cheques!$A$428="","",[1]Cheques!$A$428)</f>
        <v/>
      </c>
      <c r="E427">
        <f>IF([1]Accounts!$D$428="","",[1]Accounts!$A$428)</f>
        <v/>
      </c>
      <c r="F427">
        <f>IF([1]Accounts!$D$428="","",[1]Accounts!$B$428)</f>
        <v/>
      </c>
      <c r="G427">
        <f>IF([1]Accounts!$D$428="","",[1]Accounts!$C$428)</f>
        <v/>
      </c>
      <c r="H427">
        <f>IF([1]Accounts!$D$428="","",[1]Accounts!$D$428)</f>
        <v/>
      </c>
      <c r="L427">
        <f>IF([2]Entry!$C$430="","",[2]Entry!$C$430)</f>
        <v/>
      </c>
      <c r="M427">
        <f>IF([2]Entry!$J$430="","",[2]Entry!$J$430)</f>
        <v/>
      </c>
      <c r="N427">
        <f>IF([2]Entry!$M$430="","",[2]Entry!$M$430)</f>
        <v/>
      </c>
      <c r="O427">
        <f>IF([2]Entry!$N$430="","",[2]Entry!$N$430)</f>
        <v/>
      </c>
      <c r="P427">
        <f>IF([2]Entry!$S$430="","",[2]Entry!$S$430)</f>
        <v/>
      </c>
    </row>
    <row r="428">
      <c r="A428">
        <f>IF([1]Cheques!$A$429="","",[1]Cheques!$A$429)</f>
        <v/>
      </c>
      <c r="E428">
        <f>IF([1]Accounts!$D$429="","",[1]Accounts!$A$429)</f>
        <v/>
      </c>
      <c r="F428">
        <f>IF([1]Accounts!$D$429="","",[1]Accounts!$B$429)</f>
        <v/>
      </c>
      <c r="G428">
        <f>IF([1]Accounts!$D$429="","",[1]Accounts!$C$429)</f>
        <v/>
      </c>
      <c r="H428">
        <f>IF([1]Accounts!$D$429="","",[1]Accounts!$D$429)</f>
        <v/>
      </c>
      <c r="L428">
        <f>IF([2]Entry!$C$431="","",[2]Entry!$C$431)</f>
        <v/>
      </c>
      <c r="M428">
        <f>IF([2]Entry!$J$431="","",[2]Entry!$J$431)</f>
        <v/>
      </c>
      <c r="N428">
        <f>IF([2]Entry!$M$431="","",[2]Entry!$M$431)</f>
        <v/>
      </c>
      <c r="O428">
        <f>IF([2]Entry!$N$431="","",[2]Entry!$N$431)</f>
        <v/>
      </c>
      <c r="P428">
        <f>IF([2]Entry!$S$431="","",[2]Entry!$S$431)</f>
        <v/>
      </c>
    </row>
    <row r="429">
      <c r="A429">
        <f>IF([1]Cheques!$A$430="","",[1]Cheques!$A$430)</f>
        <v/>
      </c>
      <c r="E429">
        <f>IF([1]Accounts!$D$430="","",[1]Accounts!$A$430)</f>
        <v/>
      </c>
      <c r="F429">
        <f>IF([1]Accounts!$D$430="","",[1]Accounts!$B$430)</f>
        <v/>
      </c>
      <c r="G429">
        <f>IF([1]Accounts!$D$430="","",[1]Accounts!$C$430)</f>
        <v/>
      </c>
      <c r="H429">
        <f>IF([1]Accounts!$D$430="","",[1]Accounts!$D$430)</f>
        <v/>
      </c>
      <c r="L429">
        <f>IF([2]Entry!$C$432="","",[2]Entry!$C$432)</f>
        <v/>
      </c>
      <c r="M429">
        <f>IF([2]Entry!$J$432="","",[2]Entry!$J$432)</f>
        <v/>
      </c>
      <c r="N429">
        <f>IF([2]Entry!$M$432="","",[2]Entry!$M$432)</f>
        <v/>
      </c>
      <c r="O429">
        <f>IF([2]Entry!$N$432="","",[2]Entry!$N$432)</f>
        <v/>
      </c>
      <c r="P429">
        <f>IF([2]Entry!$S$432="","",[2]Entry!$S$432)</f>
        <v/>
      </c>
    </row>
    <row r="430">
      <c r="A430">
        <f>IF([1]Cheques!$A$431="","",[1]Cheques!$A$431)</f>
        <v/>
      </c>
      <c r="E430">
        <f>IF([1]Accounts!$D$431="","",[1]Accounts!$A$431)</f>
        <v/>
      </c>
      <c r="F430">
        <f>IF([1]Accounts!$D$431="","",[1]Accounts!$B$431)</f>
        <v/>
      </c>
      <c r="G430">
        <f>IF([1]Accounts!$D$431="","",[1]Accounts!$C$431)</f>
        <v/>
      </c>
      <c r="H430">
        <f>IF([1]Accounts!$D$431="","",[1]Accounts!$D$431)</f>
        <v/>
      </c>
      <c r="L430">
        <f>IF([2]Entry!$C$433="","",[2]Entry!$C$433)</f>
        <v/>
      </c>
      <c r="M430">
        <f>IF([2]Entry!$J$433="","",[2]Entry!$J$433)</f>
        <v/>
      </c>
      <c r="N430">
        <f>IF([2]Entry!$M$433="","",[2]Entry!$M$433)</f>
        <v/>
      </c>
      <c r="O430">
        <f>IF([2]Entry!$N$433="","",[2]Entry!$N$433)</f>
        <v/>
      </c>
      <c r="P430">
        <f>IF([2]Entry!$S$433="","",[2]Entry!$S$433)</f>
        <v/>
      </c>
    </row>
    <row r="431">
      <c r="A431">
        <f>IF([1]Cheques!$A$432="","",[1]Cheques!$A$432)</f>
        <v/>
      </c>
      <c r="E431">
        <f>IF([1]Accounts!$D$432="","",[1]Accounts!$A$432)</f>
        <v/>
      </c>
      <c r="F431">
        <f>IF([1]Accounts!$D$432="","",[1]Accounts!$B$432)</f>
        <v/>
      </c>
      <c r="G431">
        <f>IF([1]Accounts!$D$432="","",[1]Accounts!$C$432)</f>
        <v/>
      </c>
      <c r="H431">
        <f>IF([1]Accounts!$D$432="","",[1]Accounts!$D$432)</f>
        <v/>
      </c>
      <c r="L431">
        <f>IF([2]Entry!$C$434="","",[2]Entry!$C$434)</f>
        <v/>
      </c>
      <c r="M431">
        <f>IF([2]Entry!$J$434="","",[2]Entry!$J$434)</f>
        <v/>
      </c>
      <c r="N431">
        <f>IF([2]Entry!$M$434="","",[2]Entry!$M$434)</f>
        <v/>
      </c>
      <c r="O431">
        <f>IF([2]Entry!$N$434="","",[2]Entry!$N$434)</f>
        <v/>
      </c>
      <c r="P431">
        <f>IF([2]Entry!$S$434="","",[2]Entry!$S$434)</f>
        <v/>
      </c>
    </row>
    <row r="432">
      <c r="A432">
        <f>IF([1]Cheques!$A$433="","",[1]Cheques!$A$433)</f>
        <v/>
      </c>
      <c r="E432">
        <f>IF([1]Accounts!$D$433="","",[1]Accounts!$A$433)</f>
        <v/>
      </c>
      <c r="F432">
        <f>IF([1]Accounts!$D$433="","",[1]Accounts!$B$433)</f>
        <v/>
      </c>
      <c r="G432">
        <f>IF([1]Accounts!$D$433="","",[1]Accounts!$C$433)</f>
        <v/>
      </c>
      <c r="H432">
        <f>IF([1]Accounts!$D$433="","",[1]Accounts!$D$433)</f>
        <v/>
      </c>
      <c r="L432">
        <f>IF([2]Entry!$C$435="","",[2]Entry!$C$435)</f>
        <v/>
      </c>
      <c r="M432">
        <f>IF([2]Entry!$J$435="","",[2]Entry!$J$435)</f>
        <v/>
      </c>
      <c r="N432">
        <f>IF([2]Entry!$M$435="","",[2]Entry!$M$435)</f>
        <v/>
      </c>
      <c r="O432">
        <f>IF([2]Entry!$N$435="","",[2]Entry!$N$435)</f>
        <v/>
      </c>
      <c r="P432">
        <f>IF([2]Entry!$S$435="","",[2]Entry!$S$435)</f>
        <v/>
      </c>
    </row>
    <row r="433">
      <c r="A433">
        <f>IF([1]Cheques!$A$434="","",[1]Cheques!$A$434)</f>
        <v/>
      </c>
      <c r="E433">
        <f>IF([1]Accounts!$D$434="","",[1]Accounts!$A$434)</f>
        <v/>
      </c>
      <c r="F433">
        <f>IF([1]Accounts!$D$434="","",[1]Accounts!$B$434)</f>
        <v/>
      </c>
      <c r="G433">
        <f>IF([1]Accounts!$D$434="","",[1]Accounts!$C$434)</f>
        <v/>
      </c>
      <c r="H433">
        <f>IF([1]Accounts!$D$434="","",[1]Accounts!$D$434)</f>
        <v/>
      </c>
      <c r="L433">
        <f>IF([2]Entry!$C$436="","",[2]Entry!$C$436)</f>
        <v/>
      </c>
      <c r="M433">
        <f>IF([2]Entry!$J$436="","",[2]Entry!$J$436)</f>
        <v/>
      </c>
      <c r="N433">
        <f>IF([2]Entry!$M$436="","",[2]Entry!$M$436)</f>
        <v/>
      </c>
      <c r="O433">
        <f>IF([2]Entry!$N$436="","",[2]Entry!$N$436)</f>
        <v/>
      </c>
      <c r="P433">
        <f>IF([2]Entry!$S$436="","",[2]Entry!$S$436)</f>
        <v/>
      </c>
    </row>
    <row r="434">
      <c r="A434">
        <f>IF([1]Cheques!$A$435="","",[1]Cheques!$A$435)</f>
        <v/>
      </c>
      <c r="E434">
        <f>IF([1]Accounts!$D$435="","",[1]Accounts!$A$435)</f>
        <v/>
      </c>
      <c r="F434">
        <f>IF([1]Accounts!$D$435="","",[1]Accounts!$B$435)</f>
        <v/>
      </c>
      <c r="G434">
        <f>IF([1]Accounts!$D$435="","",[1]Accounts!$C$435)</f>
        <v/>
      </c>
      <c r="H434">
        <f>IF([1]Accounts!$D$435="","",[1]Accounts!$D$435)</f>
        <v/>
      </c>
      <c r="L434">
        <f>IF([2]Entry!$C$437="","",[2]Entry!$C$437)</f>
        <v/>
      </c>
      <c r="M434">
        <f>IF([2]Entry!$J$437="","",[2]Entry!$J$437)</f>
        <v/>
      </c>
      <c r="N434">
        <f>IF([2]Entry!$M$437="","",[2]Entry!$M$437)</f>
        <v/>
      </c>
      <c r="O434">
        <f>IF([2]Entry!$N$437="","",[2]Entry!$N$437)</f>
        <v/>
      </c>
      <c r="P434">
        <f>IF([2]Entry!$S$437="","",[2]Entry!$S$437)</f>
        <v/>
      </c>
    </row>
    <row r="435">
      <c r="A435">
        <f>IF([1]Cheques!$A$436="","",[1]Cheques!$A$436)</f>
        <v/>
      </c>
      <c r="E435">
        <f>IF([1]Accounts!$D$436="","",[1]Accounts!$A$436)</f>
        <v/>
      </c>
      <c r="F435">
        <f>IF([1]Accounts!$D$436="","",[1]Accounts!$B$436)</f>
        <v/>
      </c>
      <c r="G435">
        <f>IF([1]Accounts!$D$436="","",[1]Accounts!$C$436)</f>
        <v/>
      </c>
      <c r="H435">
        <f>IF([1]Accounts!$D$436="","",[1]Accounts!$D$436)</f>
        <v/>
      </c>
      <c r="L435">
        <f>IF([2]Entry!$C$438="","",[2]Entry!$C$438)</f>
        <v/>
      </c>
      <c r="M435">
        <f>IF([2]Entry!$J$438="","",[2]Entry!$J$438)</f>
        <v/>
      </c>
      <c r="N435">
        <f>IF([2]Entry!$M$438="","",[2]Entry!$M$438)</f>
        <v/>
      </c>
      <c r="O435">
        <f>IF([2]Entry!$N$438="","",[2]Entry!$N$438)</f>
        <v/>
      </c>
      <c r="P435">
        <f>IF([2]Entry!$S$438="","",[2]Entry!$S$438)</f>
        <v/>
      </c>
    </row>
    <row r="436">
      <c r="A436">
        <f>IF([1]Cheques!$A$437="","",[1]Cheques!$A$437)</f>
        <v/>
      </c>
      <c r="E436">
        <f>IF([1]Accounts!$D$437="","",[1]Accounts!$A$437)</f>
        <v/>
      </c>
      <c r="F436">
        <f>IF([1]Accounts!$D$437="","",[1]Accounts!$B$437)</f>
        <v/>
      </c>
      <c r="G436">
        <f>IF([1]Accounts!$D$437="","",[1]Accounts!$C$437)</f>
        <v/>
      </c>
      <c r="H436">
        <f>IF([1]Accounts!$D$437="","",[1]Accounts!$D$437)</f>
        <v/>
      </c>
      <c r="L436">
        <f>IF([2]Entry!$C$439="","",[2]Entry!$C$439)</f>
        <v/>
      </c>
      <c r="M436">
        <f>IF([2]Entry!$J$439="","",[2]Entry!$J$439)</f>
        <v/>
      </c>
      <c r="N436">
        <f>IF([2]Entry!$M$439="","",[2]Entry!$M$439)</f>
        <v/>
      </c>
      <c r="O436">
        <f>IF([2]Entry!$N$439="","",[2]Entry!$N$439)</f>
        <v/>
      </c>
      <c r="P436">
        <f>IF([2]Entry!$S$439="","",[2]Entry!$S$439)</f>
        <v/>
      </c>
    </row>
    <row r="437">
      <c r="A437">
        <f>IF([1]Cheques!$A$438="","",[1]Cheques!$A$438)</f>
        <v/>
      </c>
      <c r="E437">
        <f>IF([1]Accounts!$D$438="","",[1]Accounts!$A$438)</f>
        <v/>
      </c>
      <c r="F437">
        <f>IF([1]Accounts!$D$438="","",[1]Accounts!$B$438)</f>
        <v/>
      </c>
      <c r="G437">
        <f>IF([1]Accounts!$D$438="","",[1]Accounts!$C$438)</f>
        <v/>
      </c>
      <c r="H437">
        <f>IF([1]Accounts!$D$438="","",[1]Accounts!$D$438)</f>
        <v/>
      </c>
      <c r="L437">
        <f>IF([2]Entry!$C$440="","",[2]Entry!$C$440)</f>
        <v/>
      </c>
      <c r="M437">
        <f>IF([2]Entry!$J$440="","",[2]Entry!$J$440)</f>
        <v/>
      </c>
      <c r="N437">
        <f>IF([2]Entry!$M$440="","",[2]Entry!$M$440)</f>
        <v/>
      </c>
      <c r="O437">
        <f>IF([2]Entry!$N$440="","",[2]Entry!$N$440)</f>
        <v/>
      </c>
      <c r="P437">
        <f>IF([2]Entry!$S$440="","",[2]Entry!$S$440)</f>
        <v/>
      </c>
    </row>
    <row r="438">
      <c r="A438">
        <f>IF([1]Cheques!$A$439="","",[1]Cheques!$A$439)</f>
        <v/>
      </c>
      <c r="E438">
        <f>IF([1]Accounts!$D$439="","",[1]Accounts!$A$439)</f>
        <v/>
      </c>
      <c r="F438">
        <f>IF([1]Accounts!$D$439="","",[1]Accounts!$B$439)</f>
        <v/>
      </c>
      <c r="G438">
        <f>IF([1]Accounts!$D$439="","",[1]Accounts!$C$439)</f>
        <v/>
      </c>
      <c r="H438">
        <f>IF([1]Accounts!$D$439="","",[1]Accounts!$D$439)</f>
        <v/>
      </c>
      <c r="L438">
        <f>IF([2]Entry!$C$441="","",[2]Entry!$C$441)</f>
        <v/>
      </c>
      <c r="M438">
        <f>IF([2]Entry!$J$441="","",[2]Entry!$J$441)</f>
        <v/>
      </c>
      <c r="N438">
        <f>IF([2]Entry!$M$441="","",[2]Entry!$M$441)</f>
        <v/>
      </c>
      <c r="O438">
        <f>IF([2]Entry!$N$441="","",[2]Entry!$N$441)</f>
        <v/>
      </c>
      <c r="P438">
        <f>IF([2]Entry!$S$441="","",[2]Entry!$S$441)</f>
        <v/>
      </c>
    </row>
    <row r="439">
      <c r="A439">
        <f>IF([1]Cheques!$A$440="","",[1]Cheques!$A$440)</f>
        <v/>
      </c>
      <c r="E439">
        <f>IF([1]Accounts!$D$440="","",[1]Accounts!$A$440)</f>
        <v/>
      </c>
      <c r="F439">
        <f>IF([1]Accounts!$D$440="","",[1]Accounts!$B$440)</f>
        <v/>
      </c>
      <c r="G439">
        <f>IF([1]Accounts!$D$440="","",[1]Accounts!$C$440)</f>
        <v/>
      </c>
      <c r="H439">
        <f>IF([1]Accounts!$D$440="","",[1]Accounts!$D$440)</f>
        <v/>
      </c>
      <c r="L439">
        <f>IF([2]Entry!$C$442="","",[2]Entry!$C$442)</f>
        <v/>
      </c>
      <c r="M439">
        <f>IF([2]Entry!$J$442="","",[2]Entry!$J$442)</f>
        <v/>
      </c>
      <c r="N439">
        <f>IF([2]Entry!$M$442="","",[2]Entry!$M$442)</f>
        <v/>
      </c>
      <c r="O439">
        <f>IF([2]Entry!$N$442="","",[2]Entry!$N$442)</f>
        <v/>
      </c>
      <c r="P439">
        <f>IF([2]Entry!$S$442="","",[2]Entry!$S$442)</f>
        <v/>
      </c>
    </row>
    <row r="440">
      <c r="A440">
        <f>IF([1]Cheques!$A$441="","",[1]Cheques!$A$441)</f>
        <v/>
      </c>
      <c r="E440">
        <f>IF([1]Accounts!$D$441="","",[1]Accounts!$A$441)</f>
        <v/>
      </c>
      <c r="F440">
        <f>IF([1]Accounts!$D$441="","",[1]Accounts!$B$441)</f>
        <v/>
      </c>
      <c r="G440">
        <f>IF([1]Accounts!$D$441="","",[1]Accounts!$C$441)</f>
        <v/>
      </c>
      <c r="H440">
        <f>IF([1]Accounts!$D$441="","",[1]Accounts!$D$441)</f>
        <v/>
      </c>
      <c r="L440">
        <f>IF([2]Entry!$C$443="","",[2]Entry!$C$443)</f>
        <v/>
      </c>
      <c r="M440">
        <f>IF([2]Entry!$J$443="","",[2]Entry!$J$443)</f>
        <v/>
      </c>
      <c r="N440">
        <f>IF([2]Entry!$M$443="","",[2]Entry!$M$443)</f>
        <v/>
      </c>
      <c r="O440">
        <f>IF([2]Entry!$N$443="","",[2]Entry!$N$443)</f>
        <v/>
      </c>
      <c r="P440">
        <f>IF([2]Entry!$S$443="","",[2]Entry!$S$443)</f>
        <v/>
      </c>
    </row>
    <row r="441">
      <c r="A441">
        <f>IF([1]Cheques!$A$442="","",[1]Cheques!$A$442)</f>
        <v/>
      </c>
      <c r="E441">
        <f>IF([1]Accounts!$D$442="","",[1]Accounts!$A$442)</f>
        <v/>
      </c>
      <c r="F441">
        <f>IF([1]Accounts!$D$442="","",[1]Accounts!$B$442)</f>
        <v/>
      </c>
      <c r="G441">
        <f>IF([1]Accounts!$D$442="","",[1]Accounts!$C$442)</f>
        <v/>
      </c>
      <c r="H441">
        <f>IF([1]Accounts!$D$442="","",[1]Accounts!$D$442)</f>
        <v/>
      </c>
      <c r="L441">
        <f>IF([2]Entry!$C$444="","",[2]Entry!$C$444)</f>
        <v/>
      </c>
      <c r="M441">
        <f>IF([2]Entry!$J$444="","",[2]Entry!$J$444)</f>
        <v/>
      </c>
      <c r="N441">
        <f>IF([2]Entry!$M$444="","",[2]Entry!$M$444)</f>
        <v/>
      </c>
      <c r="O441">
        <f>IF([2]Entry!$N$444="","",[2]Entry!$N$444)</f>
        <v/>
      </c>
      <c r="P441">
        <f>IF([2]Entry!$S$444="","",[2]Entry!$S$444)</f>
        <v/>
      </c>
    </row>
    <row r="442">
      <c r="A442">
        <f>IF([1]Cheques!$A$443="","",[1]Cheques!$A$443)</f>
        <v/>
      </c>
      <c r="E442">
        <f>IF([1]Accounts!$D$443="","",[1]Accounts!$A$443)</f>
        <v/>
      </c>
      <c r="F442">
        <f>IF([1]Accounts!$D$443="","",[1]Accounts!$B$443)</f>
        <v/>
      </c>
      <c r="G442">
        <f>IF([1]Accounts!$D$443="","",[1]Accounts!$C$443)</f>
        <v/>
      </c>
      <c r="H442">
        <f>IF([1]Accounts!$D$443="","",[1]Accounts!$D$443)</f>
        <v/>
      </c>
      <c r="L442">
        <f>IF([2]Entry!$C$445="","",[2]Entry!$C$445)</f>
        <v/>
      </c>
      <c r="M442">
        <f>IF([2]Entry!$J$445="","",[2]Entry!$J$445)</f>
        <v/>
      </c>
      <c r="N442">
        <f>IF([2]Entry!$M$445="","",[2]Entry!$M$445)</f>
        <v/>
      </c>
      <c r="O442">
        <f>IF([2]Entry!$N$445="","",[2]Entry!$N$445)</f>
        <v/>
      </c>
      <c r="P442">
        <f>IF([2]Entry!$S$445="","",[2]Entry!$S$445)</f>
        <v/>
      </c>
    </row>
    <row r="443">
      <c r="A443">
        <f>IF([1]Cheques!$A$444="","",[1]Cheques!$A$444)</f>
        <v/>
      </c>
      <c r="E443">
        <f>IF([1]Accounts!$D$444="","",[1]Accounts!$A$444)</f>
        <v/>
      </c>
      <c r="F443">
        <f>IF([1]Accounts!$D$444="","",[1]Accounts!$B$444)</f>
        <v/>
      </c>
      <c r="G443">
        <f>IF([1]Accounts!$D$444="","",[1]Accounts!$C$444)</f>
        <v/>
      </c>
      <c r="H443">
        <f>IF([1]Accounts!$D$444="","",[1]Accounts!$D$444)</f>
        <v/>
      </c>
      <c r="L443">
        <f>IF([2]Entry!$C$446="","",[2]Entry!$C$446)</f>
        <v/>
      </c>
      <c r="M443">
        <f>IF([2]Entry!$J$446="","",[2]Entry!$J$446)</f>
        <v/>
      </c>
      <c r="N443">
        <f>IF([2]Entry!$M$446="","",[2]Entry!$M$446)</f>
        <v/>
      </c>
      <c r="O443">
        <f>IF([2]Entry!$N$446="","",[2]Entry!$N$446)</f>
        <v/>
      </c>
      <c r="P443">
        <f>IF([2]Entry!$S$446="","",[2]Entry!$S$446)</f>
        <v/>
      </c>
    </row>
    <row r="444">
      <c r="A444">
        <f>IF([1]Cheques!$A$445="","",[1]Cheques!$A$445)</f>
        <v/>
      </c>
      <c r="E444">
        <f>IF([1]Accounts!$D$445="","",[1]Accounts!$A$445)</f>
        <v/>
      </c>
      <c r="F444">
        <f>IF([1]Accounts!$D$445="","",[1]Accounts!$B$445)</f>
        <v/>
      </c>
      <c r="G444">
        <f>IF([1]Accounts!$D$445="","",[1]Accounts!$C$445)</f>
        <v/>
      </c>
      <c r="H444">
        <f>IF([1]Accounts!$D$445="","",[1]Accounts!$D$445)</f>
        <v/>
      </c>
      <c r="L444">
        <f>IF([2]Entry!$C$447="","",[2]Entry!$C$447)</f>
        <v/>
      </c>
      <c r="M444">
        <f>IF([2]Entry!$J$447="","",[2]Entry!$J$447)</f>
        <v/>
      </c>
      <c r="N444">
        <f>IF([2]Entry!$M$447="","",[2]Entry!$M$447)</f>
        <v/>
      </c>
      <c r="O444">
        <f>IF([2]Entry!$N$447="","",[2]Entry!$N$447)</f>
        <v/>
      </c>
      <c r="P444">
        <f>IF([2]Entry!$S$447="","",[2]Entry!$S$447)</f>
        <v/>
      </c>
    </row>
    <row r="445">
      <c r="A445">
        <f>IF([1]Cheques!$A$446="","",[1]Cheques!$A$446)</f>
        <v/>
      </c>
      <c r="E445">
        <f>IF([1]Accounts!$D$446="","",[1]Accounts!$A$446)</f>
        <v/>
      </c>
      <c r="F445">
        <f>IF([1]Accounts!$D$446="","",[1]Accounts!$B$446)</f>
        <v/>
      </c>
      <c r="G445">
        <f>IF([1]Accounts!$D$446="","",[1]Accounts!$C$446)</f>
        <v/>
      </c>
      <c r="H445">
        <f>IF([1]Accounts!$D$446="","",[1]Accounts!$D$446)</f>
        <v/>
      </c>
      <c r="L445">
        <f>IF([2]Entry!$C$448="","",[2]Entry!$C$448)</f>
        <v/>
      </c>
      <c r="M445">
        <f>IF([2]Entry!$J$448="","",[2]Entry!$J$448)</f>
        <v/>
      </c>
      <c r="N445">
        <f>IF([2]Entry!$M$448="","",[2]Entry!$M$448)</f>
        <v/>
      </c>
      <c r="O445">
        <f>IF([2]Entry!$N$448="","",[2]Entry!$N$448)</f>
        <v/>
      </c>
      <c r="P445">
        <f>IF([2]Entry!$S$448="","",[2]Entry!$S$448)</f>
        <v/>
      </c>
    </row>
    <row r="446">
      <c r="A446">
        <f>IF([1]Cheques!$A$447="","",[1]Cheques!$A$447)</f>
        <v/>
      </c>
      <c r="E446">
        <f>IF([1]Accounts!$D$447="","",[1]Accounts!$A$447)</f>
        <v/>
      </c>
      <c r="F446">
        <f>IF([1]Accounts!$D$447="","",[1]Accounts!$B$447)</f>
        <v/>
      </c>
      <c r="G446">
        <f>IF([1]Accounts!$D$447="","",[1]Accounts!$C$447)</f>
        <v/>
      </c>
      <c r="H446">
        <f>IF([1]Accounts!$D$447="","",[1]Accounts!$D$447)</f>
        <v/>
      </c>
      <c r="L446">
        <f>IF([2]Entry!$C$449="","",[2]Entry!$C$449)</f>
        <v/>
      </c>
      <c r="M446">
        <f>IF([2]Entry!$J$449="","",[2]Entry!$J$449)</f>
        <v/>
      </c>
      <c r="N446">
        <f>IF([2]Entry!$M$449="","",[2]Entry!$M$449)</f>
        <v/>
      </c>
      <c r="O446">
        <f>IF([2]Entry!$N$449="","",[2]Entry!$N$449)</f>
        <v/>
      </c>
      <c r="P446">
        <f>IF([2]Entry!$S$449="","",[2]Entry!$S$449)</f>
        <v/>
      </c>
    </row>
    <row r="447">
      <c r="A447">
        <f>IF([1]Cheques!$A$448="","",[1]Cheques!$A$448)</f>
        <v/>
      </c>
      <c r="E447">
        <f>IF([1]Accounts!$D$448="","",[1]Accounts!$A$448)</f>
        <v/>
      </c>
      <c r="F447">
        <f>IF([1]Accounts!$D$448="","",[1]Accounts!$B$448)</f>
        <v/>
      </c>
      <c r="G447">
        <f>IF([1]Accounts!$D$448="","",[1]Accounts!$C$448)</f>
        <v/>
      </c>
      <c r="H447">
        <f>IF([1]Accounts!$D$448="","",[1]Accounts!$D$448)</f>
        <v/>
      </c>
      <c r="L447">
        <f>IF([2]Entry!$C$450="","",[2]Entry!$C$450)</f>
        <v/>
      </c>
      <c r="M447">
        <f>IF([2]Entry!$J$450="","",[2]Entry!$J$450)</f>
        <v/>
      </c>
      <c r="N447">
        <f>IF([2]Entry!$M$450="","",[2]Entry!$M$450)</f>
        <v/>
      </c>
      <c r="O447">
        <f>IF([2]Entry!$N$450="","",[2]Entry!$N$450)</f>
        <v/>
      </c>
      <c r="P447">
        <f>IF([2]Entry!$S$450="","",[2]Entry!$S$450)</f>
        <v/>
      </c>
    </row>
    <row r="448">
      <c r="A448">
        <f>IF([1]Cheques!$A$449="","",[1]Cheques!$A$449)</f>
        <v/>
      </c>
      <c r="E448">
        <f>IF([1]Accounts!$D$449="","",[1]Accounts!$A$449)</f>
        <v/>
      </c>
      <c r="F448">
        <f>IF([1]Accounts!$D$449="","",[1]Accounts!$B$449)</f>
        <v/>
      </c>
      <c r="G448">
        <f>IF([1]Accounts!$D$449="","",[1]Accounts!$C$449)</f>
        <v/>
      </c>
      <c r="H448">
        <f>IF([1]Accounts!$D$449="","",[1]Accounts!$D$449)</f>
        <v/>
      </c>
      <c r="L448">
        <f>IF([2]Entry!$C$451="","",[2]Entry!$C$451)</f>
        <v/>
      </c>
      <c r="M448">
        <f>IF([2]Entry!$J$451="","",[2]Entry!$J$451)</f>
        <v/>
      </c>
      <c r="N448">
        <f>IF([2]Entry!$M$451="","",[2]Entry!$M$451)</f>
        <v/>
      </c>
      <c r="O448">
        <f>IF([2]Entry!$N$451="","",[2]Entry!$N$451)</f>
        <v/>
      </c>
      <c r="P448">
        <f>IF([2]Entry!$S$451="","",[2]Entry!$S$451)</f>
        <v/>
      </c>
    </row>
    <row r="449">
      <c r="A449">
        <f>IF([1]Cheques!$A$450="","",[1]Cheques!$A$450)</f>
        <v/>
      </c>
      <c r="E449">
        <f>IF([1]Accounts!$D$450="","",[1]Accounts!$A$450)</f>
        <v/>
      </c>
      <c r="F449">
        <f>IF([1]Accounts!$D$450="","",[1]Accounts!$B$450)</f>
        <v/>
      </c>
      <c r="G449">
        <f>IF([1]Accounts!$D$450="","",[1]Accounts!$C$450)</f>
        <v/>
      </c>
      <c r="H449">
        <f>IF([1]Accounts!$D$450="","",[1]Accounts!$D$450)</f>
        <v/>
      </c>
      <c r="L449">
        <f>IF([2]Entry!$C$452="","",[2]Entry!$C$452)</f>
        <v/>
      </c>
      <c r="M449">
        <f>IF([2]Entry!$J$452="","",[2]Entry!$J$452)</f>
        <v/>
      </c>
      <c r="N449">
        <f>IF([2]Entry!$M$452="","",[2]Entry!$M$452)</f>
        <v/>
      </c>
      <c r="O449">
        <f>IF([2]Entry!$N$452="","",[2]Entry!$N$452)</f>
        <v/>
      </c>
      <c r="P449">
        <f>IF([2]Entry!$S$452="","",[2]Entry!$S$452)</f>
        <v/>
      </c>
    </row>
    <row r="450">
      <c r="A450">
        <f>IF([1]Cheques!$A$451="","",[1]Cheques!$A$451)</f>
        <v/>
      </c>
      <c r="E450">
        <f>IF([1]Accounts!$D$451="","",[1]Accounts!$A$451)</f>
        <v/>
      </c>
      <c r="F450">
        <f>IF([1]Accounts!$D$451="","",[1]Accounts!$B$451)</f>
        <v/>
      </c>
      <c r="G450">
        <f>IF([1]Accounts!$D$451="","",[1]Accounts!$C$451)</f>
        <v/>
      </c>
      <c r="H450">
        <f>IF([1]Accounts!$D$451="","",[1]Accounts!$D$451)</f>
        <v/>
      </c>
      <c r="L450">
        <f>IF([2]Entry!$C$453="","",[2]Entry!$C$453)</f>
        <v/>
      </c>
      <c r="M450">
        <f>IF([2]Entry!$J$453="","",[2]Entry!$J$453)</f>
        <v/>
      </c>
      <c r="N450">
        <f>IF([2]Entry!$M$453="","",[2]Entry!$M$453)</f>
        <v/>
      </c>
      <c r="O450">
        <f>IF([2]Entry!$N$453="","",[2]Entry!$N$453)</f>
        <v/>
      </c>
      <c r="P450">
        <f>IF([2]Entry!$S$453="","",[2]Entry!$S$453)</f>
        <v/>
      </c>
    </row>
    <row r="451">
      <c r="A451">
        <f>IF([1]Cheques!$A$452="","",[1]Cheques!$A$452)</f>
        <v/>
      </c>
      <c r="E451">
        <f>IF([1]Accounts!$D$452="","",[1]Accounts!$A$452)</f>
        <v/>
      </c>
      <c r="F451">
        <f>IF([1]Accounts!$D$452="","",[1]Accounts!$B$452)</f>
        <v/>
      </c>
      <c r="G451">
        <f>IF([1]Accounts!$D$452="","",[1]Accounts!$C$452)</f>
        <v/>
      </c>
      <c r="H451">
        <f>IF([1]Accounts!$D$452="","",[1]Accounts!$D$452)</f>
        <v/>
      </c>
      <c r="L451">
        <f>IF([2]Entry!$C$454="","",[2]Entry!$C$454)</f>
        <v/>
      </c>
      <c r="M451">
        <f>IF([2]Entry!$J$454="","",[2]Entry!$J$454)</f>
        <v/>
      </c>
      <c r="N451">
        <f>IF([2]Entry!$M$454="","",[2]Entry!$M$454)</f>
        <v/>
      </c>
      <c r="O451">
        <f>IF([2]Entry!$N$454="","",[2]Entry!$N$454)</f>
        <v/>
      </c>
      <c r="P451">
        <f>IF([2]Entry!$S$454="","",[2]Entry!$S$454)</f>
        <v/>
      </c>
    </row>
    <row r="452">
      <c r="A452">
        <f>IF([1]Cheques!$A$453="","",[1]Cheques!$A$453)</f>
        <v/>
      </c>
      <c r="E452">
        <f>IF([1]Accounts!$D$453="","",[1]Accounts!$A$453)</f>
        <v/>
      </c>
      <c r="F452">
        <f>IF([1]Accounts!$D$453="","",[1]Accounts!$B$453)</f>
        <v/>
      </c>
      <c r="G452">
        <f>IF([1]Accounts!$D$453="","",[1]Accounts!$C$453)</f>
        <v/>
      </c>
      <c r="H452">
        <f>IF([1]Accounts!$D$453="","",[1]Accounts!$D$453)</f>
        <v/>
      </c>
      <c r="L452">
        <f>IF([2]Entry!$C$455="","",[2]Entry!$C$455)</f>
        <v/>
      </c>
      <c r="M452">
        <f>IF([2]Entry!$J$455="","",[2]Entry!$J$455)</f>
        <v/>
      </c>
      <c r="N452">
        <f>IF([2]Entry!$M$455="","",[2]Entry!$M$455)</f>
        <v/>
      </c>
      <c r="O452">
        <f>IF([2]Entry!$N$455="","",[2]Entry!$N$455)</f>
        <v/>
      </c>
      <c r="P452">
        <f>IF([2]Entry!$S$455="","",[2]Entry!$S$455)</f>
        <v/>
      </c>
    </row>
    <row r="453">
      <c r="A453">
        <f>IF([1]Cheques!$A$454="","",[1]Cheques!$A$454)</f>
        <v/>
      </c>
      <c r="E453">
        <f>IF([1]Accounts!$D$454="","",[1]Accounts!$A$454)</f>
        <v/>
      </c>
      <c r="F453">
        <f>IF([1]Accounts!$D$454="","",[1]Accounts!$B$454)</f>
        <v/>
      </c>
      <c r="G453">
        <f>IF([1]Accounts!$D$454="","",[1]Accounts!$C$454)</f>
        <v/>
      </c>
      <c r="H453">
        <f>IF([1]Accounts!$D$454="","",[1]Accounts!$D$454)</f>
        <v/>
      </c>
      <c r="L453">
        <f>IF([2]Entry!$C$456="","",[2]Entry!$C$456)</f>
        <v/>
      </c>
      <c r="M453">
        <f>IF([2]Entry!$J$456="","",[2]Entry!$J$456)</f>
        <v/>
      </c>
      <c r="N453">
        <f>IF([2]Entry!$M$456="","",[2]Entry!$M$456)</f>
        <v/>
      </c>
      <c r="O453">
        <f>IF([2]Entry!$N$456="","",[2]Entry!$N$456)</f>
        <v/>
      </c>
      <c r="P453">
        <f>IF([2]Entry!$S$456="","",[2]Entry!$S$456)</f>
        <v/>
      </c>
    </row>
    <row r="454">
      <c r="A454">
        <f>IF([1]Cheques!$A$455="","",[1]Cheques!$A$455)</f>
        <v/>
      </c>
      <c r="E454">
        <f>IF([1]Accounts!$D$455="","",[1]Accounts!$A$455)</f>
        <v/>
      </c>
      <c r="F454">
        <f>IF([1]Accounts!$D$455="","",[1]Accounts!$B$455)</f>
        <v/>
      </c>
      <c r="G454">
        <f>IF([1]Accounts!$D$455="","",[1]Accounts!$C$455)</f>
        <v/>
      </c>
      <c r="H454">
        <f>IF([1]Accounts!$D$455="","",[1]Accounts!$D$455)</f>
        <v/>
      </c>
      <c r="L454">
        <f>IF([2]Entry!$C$457="","",[2]Entry!$C$457)</f>
        <v/>
      </c>
      <c r="M454">
        <f>IF([2]Entry!$J$457="","",[2]Entry!$J$457)</f>
        <v/>
      </c>
      <c r="N454">
        <f>IF([2]Entry!$M$457="","",[2]Entry!$M$457)</f>
        <v/>
      </c>
      <c r="O454">
        <f>IF([2]Entry!$N$457="","",[2]Entry!$N$457)</f>
        <v/>
      </c>
      <c r="P454">
        <f>IF([2]Entry!$S$457="","",[2]Entry!$S$457)</f>
        <v/>
      </c>
    </row>
    <row r="455">
      <c r="A455">
        <f>IF([1]Cheques!$A$456="","",[1]Cheques!$A$456)</f>
        <v/>
      </c>
      <c r="E455">
        <f>IF([1]Accounts!$D$456="","",[1]Accounts!$A$456)</f>
        <v/>
      </c>
      <c r="F455">
        <f>IF([1]Accounts!$D$456="","",[1]Accounts!$B$456)</f>
        <v/>
      </c>
      <c r="G455">
        <f>IF([1]Accounts!$D$456="","",[1]Accounts!$C$456)</f>
        <v/>
      </c>
      <c r="H455">
        <f>IF([1]Accounts!$D$456="","",[1]Accounts!$D$456)</f>
        <v/>
      </c>
      <c r="L455">
        <f>IF([2]Entry!$C$458="","",[2]Entry!$C$458)</f>
        <v/>
      </c>
      <c r="M455">
        <f>IF([2]Entry!$J$458="","",[2]Entry!$J$458)</f>
        <v/>
      </c>
      <c r="N455">
        <f>IF([2]Entry!$M$458="","",[2]Entry!$M$458)</f>
        <v/>
      </c>
      <c r="O455">
        <f>IF([2]Entry!$N$458="","",[2]Entry!$N$458)</f>
        <v/>
      </c>
      <c r="P455">
        <f>IF([2]Entry!$S$458="","",[2]Entry!$S$458)</f>
        <v/>
      </c>
    </row>
    <row r="456">
      <c r="A456">
        <f>IF([1]Cheques!$A$457="","",[1]Cheques!$A$457)</f>
        <v/>
      </c>
      <c r="E456">
        <f>IF([1]Accounts!$D$457="","",[1]Accounts!$A$457)</f>
        <v/>
      </c>
      <c r="F456">
        <f>IF([1]Accounts!$D$457="","",[1]Accounts!$B$457)</f>
        <v/>
      </c>
      <c r="G456">
        <f>IF([1]Accounts!$D$457="","",[1]Accounts!$C$457)</f>
        <v/>
      </c>
      <c r="H456">
        <f>IF([1]Accounts!$D$457="","",[1]Accounts!$D$457)</f>
        <v/>
      </c>
      <c r="L456">
        <f>IF([2]Entry!$C$459="","",[2]Entry!$C$459)</f>
        <v/>
      </c>
      <c r="M456">
        <f>IF([2]Entry!$J$459="","",[2]Entry!$J$459)</f>
        <v/>
      </c>
      <c r="N456">
        <f>IF([2]Entry!$M$459="","",[2]Entry!$M$459)</f>
        <v/>
      </c>
      <c r="O456">
        <f>IF([2]Entry!$N$459="","",[2]Entry!$N$459)</f>
        <v/>
      </c>
      <c r="P456">
        <f>IF([2]Entry!$S$459="","",[2]Entry!$S$459)</f>
        <v/>
      </c>
    </row>
    <row r="457">
      <c r="A457">
        <f>IF([1]Cheques!$A$458="","",[1]Cheques!$A$458)</f>
        <v/>
      </c>
      <c r="E457">
        <f>IF([1]Accounts!$D$458="","",[1]Accounts!$A$458)</f>
        <v/>
      </c>
      <c r="F457">
        <f>IF([1]Accounts!$D$458="","",[1]Accounts!$B$458)</f>
        <v/>
      </c>
      <c r="G457">
        <f>IF([1]Accounts!$D$458="","",[1]Accounts!$C$458)</f>
        <v/>
      </c>
      <c r="H457">
        <f>IF([1]Accounts!$D$458="","",[1]Accounts!$D$458)</f>
        <v/>
      </c>
      <c r="L457">
        <f>IF([2]Entry!$C$460="","",[2]Entry!$C$460)</f>
        <v/>
      </c>
      <c r="M457">
        <f>IF([2]Entry!$J$460="","",[2]Entry!$J$460)</f>
        <v/>
      </c>
      <c r="N457">
        <f>IF([2]Entry!$M$460="","",[2]Entry!$M$460)</f>
        <v/>
      </c>
      <c r="O457">
        <f>IF([2]Entry!$N$460="","",[2]Entry!$N$460)</f>
        <v/>
      </c>
      <c r="P457">
        <f>IF([2]Entry!$S$460="","",[2]Entry!$S$460)</f>
        <v/>
      </c>
    </row>
    <row r="458">
      <c r="A458">
        <f>IF([1]Cheques!$A$459="","",[1]Cheques!$A$459)</f>
        <v/>
      </c>
      <c r="E458">
        <f>IF([1]Accounts!$D$459="","",[1]Accounts!$A$459)</f>
        <v/>
      </c>
      <c r="F458">
        <f>IF([1]Accounts!$D$459="","",[1]Accounts!$B$459)</f>
        <v/>
      </c>
      <c r="G458">
        <f>IF([1]Accounts!$D$459="","",[1]Accounts!$C$459)</f>
        <v/>
      </c>
      <c r="H458">
        <f>IF([1]Accounts!$D$459="","",[1]Accounts!$D$459)</f>
        <v/>
      </c>
      <c r="L458">
        <f>IF([2]Entry!$C$461="","",[2]Entry!$C$461)</f>
        <v/>
      </c>
      <c r="M458">
        <f>IF([2]Entry!$J$461="","",[2]Entry!$J$461)</f>
        <v/>
      </c>
      <c r="N458">
        <f>IF([2]Entry!$M$461="","",[2]Entry!$M$461)</f>
        <v/>
      </c>
      <c r="O458">
        <f>IF([2]Entry!$N$461="","",[2]Entry!$N$461)</f>
        <v/>
      </c>
      <c r="P458">
        <f>IF([2]Entry!$S$461="","",[2]Entry!$S$461)</f>
        <v/>
      </c>
    </row>
    <row r="459">
      <c r="A459">
        <f>IF([1]Cheques!$A$460="","",[1]Cheques!$A$460)</f>
        <v/>
      </c>
      <c r="E459">
        <f>IF([1]Accounts!$D$460="","",[1]Accounts!$A$460)</f>
        <v/>
      </c>
      <c r="F459">
        <f>IF([1]Accounts!$D$460="","",[1]Accounts!$B$460)</f>
        <v/>
      </c>
      <c r="G459">
        <f>IF([1]Accounts!$D$460="","",[1]Accounts!$C$460)</f>
        <v/>
      </c>
      <c r="H459">
        <f>IF([1]Accounts!$D$460="","",[1]Accounts!$D$460)</f>
        <v/>
      </c>
      <c r="L459">
        <f>IF([2]Entry!$C$462="","",[2]Entry!$C$462)</f>
        <v/>
      </c>
      <c r="M459">
        <f>IF([2]Entry!$J$462="","",[2]Entry!$J$462)</f>
        <v/>
      </c>
      <c r="N459">
        <f>IF([2]Entry!$M$462="","",[2]Entry!$M$462)</f>
        <v/>
      </c>
      <c r="O459">
        <f>IF([2]Entry!$N$462="","",[2]Entry!$N$462)</f>
        <v/>
      </c>
      <c r="P459">
        <f>IF([2]Entry!$S$462="","",[2]Entry!$S$462)</f>
        <v/>
      </c>
    </row>
    <row r="460">
      <c r="A460">
        <f>IF([1]Cheques!$A$461="","",[1]Cheques!$A$461)</f>
        <v/>
      </c>
      <c r="E460">
        <f>IF([1]Accounts!$D$461="","",[1]Accounts!$A$461)</f>
        <v/>
      </c>
      <c r="F460">
        <f>IF([1]Accounts!$D$461="","",[1]Accounts!$B$461)</f>
        <v/>
      </c>
      <c r="G460">
        <f>IF([1]Accounts!$D$461="","",[1]Accounts!$C$461)</f>
        <v/>
      </c>
      <c r="H460">
        <f>IF([1]Accounts!$D$461="","",[1]Accounts!$D$461)</f>
        <v/>
      </c>
      <c r="L460">
        <f>IF([2]Entry!$C$463="","",[2]Entry!$C$463)</f>
        <v/>
      </c>
      <c r="M460">
        <f>IF([2]Entry!$J$463="","",[2]Entry!$J$463)</f>
        <v/>
      </c>
      <c r="N460">
        <f>IF([2]Entry!$M$463="","",[2]Entry!$M$463)</f>
        <v/>
      </c>
      <c r="O460">
        <f>IF([2]Entry!$N$463="","",[2]Entry!$N$463)</f>
        <v/>
      </c>
      <c r="P460">
        <f>IF([2]Entry!$S$463="","",[2]Entry!$S$463)</f>
        <v/>
      </c>
    </row>
    <row r="461">
      <c r="A461">
        <f>IF([1]Cheques!$A$462="","",[1]Cheques!$A$462)</f>
        <v/>
      </c>
      <c r="E461">
        <f>IF([1]Accounts!$D$462="","",[1]Accounts!$A$462)</f>
        <v/>
      </c>
      <c r="F461">
        <f>IF([1]Accounts!$D$462="","",[1]Accounts!$B$462)</f>
        <v/>
      </c>
      <c r="G461">
        <f>IF([1]Accounts!$D$462="","",[1]Accounts!$C$462)</f>
        <v/>
      </c>
      <c r="H461">
        <f>IF([1]Accounts!$D$462="","",[1]Accounts!$D$462)</f>
        <v/>
      </c>
      <c r="L461">
        <f>IF([2]Entry!$C$464="","",[2]Entry!$C$464)</f>
        <v/>
      </c>
      <c r="M461">
        <f>IF([2]Entry!$J$464="","",[2]Entry!$J$464)</f>
        <v/>
      </c>
      <c r="N461">
        <f>IF([2]Entry!$M$464="","",[2]Entry!$M$464)</f>
        <v/>
      </c>
      <c r="O461">
        <f>IF([2]Entry!$N$464="","",[2]Entry!$N$464)</f>
        <v/>
      </c>
      <c r="P461">
        <f>IF([2]Entry!$S$464="","",[2]Entry!$S$464)</f>
        <v/>
      </c>
    </row>
    <row r="462">
      <c r="A462">
        <f>IF([1]Cheques!$A$463="","",[1]Cheques!$A$463)</f>
        <v/>
      </c>
      <c r="E462">
        <f>IF([1]Accounts!$D$463="","",[1]Accounts!$A$463)</f>
        <v/>
      </c>
      <c r="F462">
        <f>IF([1]Accounts!$D$463="","",[1]Accounts!$B$463)</f>
        <v/>
      </c>
      <c r="G462">
        <f>IF([1]Accounts!$D$463="","",[1]Accounts!$C$463)</f>
        <v/>
      </c>
      <c r="H462">
        <f>IF([1]Accounts!$D$463="","",[1]Accounts!$D$463)</f>
        <v/>
      </c>
      <c r="L462">
        <f>IF([2]Entry!$C$465="","",[2]Entry!$C$465)</f>
        <v/>
      </c>
      <c r="M462">
        <f>IF([2]Entry!$J$465="","",[2]Entry!$J$465)</f>
        <v/>
      </c>
      <c r="N462">
        <f>IF([2]Entry!$M$465="","",[2]Entry!$M$465)</f>
        <v/>
      </c>
      <c r="O462">
        <f>IF([2]Entry!$N$465="","",[2]Entry!$N$465)</f>
        <v/>
      </c>
      <c r="P462">
        <f>IF([2]Entry!$S$465="","",[2]Entry!$S$465)</f>
        <v/>
      </c>
    </row>
    <row r="463">
      <c r="A463">
        <f>IF([1]Cheques!$A$464="","",[1]Cheques!$A$464)</f>
        <v/>
      </c>
      <c r="E463">
        <f>IF([1]Accounts!$D$464="","",[1]Accounts!$A$464)</f>
        <v/>
      </c>
      <c r="F463">
        <f>IF([1]Accounts!$D$464="","",[1]Accounts!$B$464)</f>
        <v/>
      </c>
      <c r="G463">
        <f>IF([1]Accounts!$D$464="","",[1]Accounts!$C$464)</f>
        <v/>
      </c>
      <c r="H463">
        <f>IF([1]Accounts!$D$464="","",[1]Accounts!$D$464)</f>
        <v/>
      </c>
      <c r="L463">
        <f>IF([2]Entry!$C$466="","",[2]Entry!$C$466)</f>
        <v/>
      </c>
      <c r="M463">
        <f>IF([2]Entry!$J$466="","",[2]Entry!$J$466)</f>
        <v/>
      </c>
      <c r="N463">
        <f>IF([2]Entry!$M$466="","",[2]Entry!$M$466)</f>
        <v/>
      </c>
      <c r="O463">
        <f>IF([2]Entry!$N$466="","",[2]Entry!$N$466)</f>
        <v/>
      </c>
      <c r="P463">
        <f>IF([2]Entry!$S$466="","",[2]Entry!$S$466)</f>
        <v/>
      </c>
    </row>
    <row r="464">
      <c r="A464">
        <f>IF([1]Cheques!$A$465="","",[1]Cheques!$A$465)</f>
        <v/>
      </c>
      <c r="E464">
        <f>IF([1]Accounts!$D$465="","",[1]Accounts!$A$465)</f>
        <v/>
      </c>
      <c r="F464">
        <f>IF([1]Accounts!$D$465="","",[1]Accounts!$B$465)</f>
        <v/>
      </c>
      <c r="G464">
        <f>IF([1]Accounts!$D$465="","",[1]Accounts!$C$465)</f>
        <v/>
      </c>
      <c r="H464">
        <f>IF([1]Accounts!$D$465="","",[1]Accounts!$D$465)</f>
        <v/>
      </c>
      <c r="L464">
        <f>IF([2]Entry!$C$467="","",[2]Entry!$C$467)</f>
        <v/>
      </c>
      <c r="M464">
        <f>IF([2]Entry!$J$467="","",[2]Entry!$J$467)</f>
        <v/>
      </c>
      <c r="N464">
        <f>IF([2]Entry!$M$467="","",[2]Entry!$M$467)</f>
        <v/>
      </c>
      <c r="O464">
        <f>IF([2]Entry!$N$467="","",[2]Entry!$N$467)</f>
        <v/>
      </c>
      <c r="P464">
        <f>IF([2]Entry!$S$467="","",[2]Entry!$S$467)</f>
        <v/>
      </c>
    </row>
    <row r="465">
      <c r="A465">
        <f>IF([1]Cheques!$A$466="","",[1]Cheques!$A$466)</f>
        <v/>
      </c>
      <c r="E465">
        <f>IF([1]Accounts!$D$466="","",[1]Accounts!$A$466)</f>
        <v/>
      </c>
      <c r="F465">
        <f>IF([1]Accounts!$D$466="","",[1]Accounts!$B$466)</f>
        <v/>
      </c>
      <c r="G465">
        <f>IF([1]Accounts!$D$466="","",[1]Accounts!$C$466)</f>
        <v/>
      </c>
      <c r="H465">
        <f>IF([1]Accounts!$D$466="","",[1]Accounts!$D$466)</f>
        <v/>
      </c>
      <c r="L465">
        <f>IF([2]Entry!$C$468="","",[2]Entry!$C$468)</f>
        <v/>
      </c>
      <c r="M465">
        <f>IF([2]Entry!$J$468="","",[2]Entry!$J$468)</f>
        <v/>
      </c>
      <c r="N465">
        <f>IF([2]Entry!$M$468="","",[2]Entry!$M$468)</f>
        <v/>
      </c>
      <c r="O465">
        <f>IF([2]Entry!$N$468="","",[2]Entry!$N$468)</f>
        <v/>
      </c>
      <c r="P465">
        <f>IF([2]Entry!$S$468="","",[2]Entry!$S$468)</f>
        <v/>
      </c>
    </row>
    <row r="466">
      <c r="A466">
        <f>IF([1]Cheques!$A$467="","",[1]Cheques!$A$467)</f>
        <v/>
      </c>
      <c r="E466">
        <f>IF([1]Accounts!$D$467="","",[1]Accounts!$A$467)</f>
        <v/>
      </c>
      <c r="F466">
        <f>IF([1]Accounts!$D$467="","",[1]Accounts!$B$467)</f>
        <v/>
      </c>
      <c r="G466">
        <f>IF([1]Accounts!$D$467="","",[1]Accounts!$C$467)</f>
        <v/>
      </c>
      <c r="H466">
        <f>IF([1]Accounts!$D$467="","",[1]Accounts!$D$467)</f>
        <v/>
      </c>
      <c r="L466">
        <f>IF([2]Entry!$C$469="","",[2]Entry!$C$469)</f>
        <v/>
      </c>
      <c r="M466">
        <f>IF([2]Entry!$J$469="","",[2]Entry!$J$469)</f>
        <v/>
      </c>
      <c r="N466">
        <f>IF([2]Entry!$M$469="","",[2]Entry!$M$469)</f>
        <v/>
      </c>
      <c r="O466">
        <f>IF([2]Entry!$N$469="","",[2]Entry!$N$469)</f>
        <v/>
      </c>
      <c r="P466">
        <f>IF([2]Entry!$S$469="","",[2]Entry!$S$469)</f>
        <v/>
      </c>
    </row>
    <row r="467">
      <c r="A467">
        <f>IF([1]Cheques!$A$468="","",[1]Cheques!$A$468)</f>
        <v/>
      </c>
      <c r="E467">
        <f>IF([1]Accounts!$D$468="","",[1]Accounts!$A$468)</f>
        <v/>
      </c>
      <c r="F467">
        <f>IF([1]Accounts!$D$468="","",[1]Accounts!$B$468)</f>
        <v/>
      </c>
      <c r="G467">
        <f>IF([1]Accounts!$D$468="","",[1]Accounts!$C$468)</f>
        <v/>
      </c>
      <c r="H467">
        <f>IF([1]Accounts!$D$468="","",[1]Accounts!$D$468)</f>
        <v/>
      </c>
      <c r="L467">
        <f>IF([2]Entry!$C$470="","",[2]Entry!$C$470)</f>
        <v/>
      </c>
      <c r="M467">
        <f>IF([2]Entry!$J$470="","",[2]Entry!$J$470)</f>
        <v/>
      </c>
      <c r="N467">
        <f>IF([2]Entry!$M$470="","",[2]Entry!$M$470)</f>
        <v/>
      </c>
      <c r="O467">
        <f>IF([2]Entry!$N$470="","",[2]Entry!$N$470)</f>
        <v/>
      </c>
      <c r="P467">
        <f>IF([2]Entry!$S$470="","",[2]Entry!$S$470)</f>
        <v/>
      </c>
    </row>
    <row r="468">
      <c r="A468">
        <f>IF([1]Cheques!$A$469="","",[1]Cheques!$A$469)</f>
        <v/>
      </c>
      <c r="E468">
        <f>IF([1]Accounts!$D$469="","",[1]Accounts!$A$469)</f>
        <v/>
      </c>
      <c r="F468">
        <f>IF([1]Accounts!$D$469="","",[1]Accounts!$B$469)</f>
        <v/>
      </c>
      <c r="G468">
        <f>IF([1]Accounts!$D$469="","",[1]Accounts!$C$469)</f>
        <v/>
      </c>
      <c r="H468">
        <f>IF([1]Accounts!$D$469="","",[1]Accounts!$D$469)</f>
        <v/>
      </c>
      <c r="L468">
        <f>IF([2]Entry!$C$471="","",[2]Entry!$C$471)</f>
        <v/>
      </c>
      <c r="M468">
        <f>IF([2]Entry!$J$471="","",[2]Entry!$J$471)</f>
        <v/>
      </c>
      <c r="N468">
        <f>IF([2]Entry!$M$471="","",[2]Entry!$M$471)</f>
        <v/>
      </c>
      <c r="O468">
        <f>IF([2]Entry!$N$471="","",[2]Entry!$N$471)</f>
        <v/>
      </c>
      <c r="P468">
        <f>IF([2]Entry!$S$471="","",[2]Entry!$S$471)</f>
        <v/>
      </c>
    </row>
    <row r="469">
      <c r="A469">
        <f>IF([1]Cheques!$A$470="","",[1]Cheques!$A$470)</f>
        <v/>
      </c>
      <c r="E469">
        <f>IF([1]Accounts!$D$470="","",[1]Accounts!$A$470)</f>
        <v/>
      </c>
      <c r="F469">
        <f>IF([1]Accounts!$D$470="","",[1]Accounts!$B$470)</f>
        <v/>
      </c>
      <c r="G469">
        <f>IF([1]Accounts!$D$470="","",[1]Accounts!$C$470)</f>
        <v/>
      </c>
      <c r="H469">
        <f>IF([1]Accounts!$D$470="","",[1]Accounts!$D$470)</f>
        <v/>
      </c>
      <c r="L469">
        <f>IF([2]Entry!$C$472="","",[2]Entry!$C$472)</f>
        <v/>
      </c>
      <c r="M469">
        <f>IF([2]Entry!$J$472="","",[2]Entry!$J$472)</f>
        <v/>
      </c>
      <c r="N469">
        <f>IF([2]Entry!$M$472="","",[2]Entry!$M$472)</f>
        <v/>
      </c>
      <c r="O469">
        <f>IF([2]Entry!$N$472="","",[2]Entry!$N$472)</f>
        <v/>
      </c>
      <c r="P469">
        <f>IF([2]Entry!$S$472="","",[2]Entry!$S$472)</f>
        <v/>
      </c>
    </row>
    <row r="470">
      <c r="A470">
        <f>IF([1]Cheques!$A$471="","",[1]Cheques!$A$471)</f>
        <v/>
      </c>
      <c r="E470">
        <f>IF([1]Accounts!$D$471="","",[1]Accounts!$A$471)</f>
        <v/>
      </c>
      <c r="F470">
        <f>IF([1]Accounts!$D$471="","",[1]Accounts!$B$471)</f>
        <v/>
      </c>
      <c r="G470">
        <f>IF([1]Accounts!$D$471="","",[1]Accounts!$C$471)</f>
        <v/>
      </c>
      <c r="H470">
        <f>IF([1]Accounts!$D$471="","",[1]Accounts!$D$471)</f>
        <v/>
      </c>
      <c r="L470">
        <f>IF([2]Entry!$C$473="","",[2]Entry!$C$473)</f>
        <v/>
      </c>
      <c r="M470">
        <f>IF([2]Entry!$J$473="","",[2]Entry!$J$473)</f>
        <v/>
      </c>
      <c r="N470">
        <f>IF([2]Entry!$M$473="","",[2]Entry!$M$473)</f>
        <v/>
      </c>
      <c r="O470">
        <f>IF([2]Entry!$N$473="","",[2]Entry!$N$473)</f>
        <v/>
      </c>
      <c r="P470">
        <f>IF([2]Entry!$S$473="","",[2]Entry!$S$473)</f>
        <v/>
      </c>
    </row>
    <row r="471">
      <c r="A471">
        <f>IF([1]Cheques!$A$472="","",[1]Cheques!$A$472)</f>
        <v/>
      </c>
      <c r="E471">
        <f>IF([1]Accounts!$D$472="","",[1]Accounts!$A$472)</f>
        <v/>
      </c>
      <c r="F471">
        <f>IF([1]Accounts!$D$472="","",[1]Accounts!$B$472)</f>
        <v/>
      </c>
      <c r="G471">
        <f>IF([1]Accounts!$D$472="","",[1]Accounts!$C$472)</f>
        <v/>
      </c>
      <c r="H471">
        <f>IF([1]Accounts!$D$472="","",[1]Accounts!$D$472)</f>
        <v/>
      </c>
      <c r="L471">
        <f>IF([2]Entry!$C$474="","",[2]Entry!$C$474)</f>
        <v/>
      </c>
      <c r="M471">
        <f>IF([2]Entry!$J$474="","",[2]Entry!$J$474)</f>
        <v/>
      </c>
      <c r="N471">
        <f>IF([2]Entry!$M$474="","",[2]Entry!$M$474)</f>
        <v/>
      </c>
      <c r="O471">
        <f>IF([2]Entry!$N$474="","",[2]Entry!$N$474)</f>
        <v/>
      </c>
      <c r="P471">
        <f>IF([2]Entry!$S$474="","",[2]Entry!$S$474)</f>
        <v/>
      </c>
    </row>
    <row r="472">
      <c r="A472">
        <f>IF([1]Cheques!$A$473="","",[1]Cheques!$A$473)</f>
        <v/>
      </c>
      <c r="E472">
        <f>IF([1]Accounts!$D$473="","",[1]Accounts!$A$473)</f>
        <v/>
      </c>
      <c r="F472">
        <f>IF([1]Accounts!$D$473="","",[1]Accounts!$B$473)</f>
        <v/>
      </c>
      <c r="G472">
        <f>IF([1]Accounts!$D$473="","",[1]Accounts!$C$473)</f>
        <v/>
      </c>
      <c r="H472">
        <f>IF([1]Accounts!$D$473="","",[1]Accounts!$D$473)</f>
        <v/>
      </c>
      <c r="L472">
        <f>IF([2]Entry!$C$475="","",[2]Entry!$C$475)</f>
        <v/>
      </c>
      <c r="M472">
        <f>IF([2]Entry!$J$475="","",[2]Entry!$J$475)</f>
        <v/>
      </c>
      <c r="N472">
        <f>IF([2]Entry!$M$475="","",[2]Entry!$M$475)</f>
        <v/>
      </c>
      <c r="O472">
        <f>IF([2]Entry!$N$475="","",[2]Entry!$N$475)</f>
        <v/>
      </c>
      <c r="P472">
        <f>IF([2]Entry!$S$475="","",[2]Entry!$S$475)</f>
        <v/>
      </c>
    </row>
    <row r="473">
      <c r="A473">
        <f>IF([1]Cheques!$A$474="","",[1]Cheques!$A$474)</f>
        <v/>
      </c>
      <c r="E473">
        <f>IF([1]Accounts!$D$474="","",[1]Accounts!$A$474)</f>
        <v/>
      </c>
      <c r="F473">
        <f>IF([1]Accounts!$D$474="","",[1]Accounts!$B$474)</f>
        <v/>
      </c>
      <c r="G473">
        <f>IF([1]Accounts!$D$474="","",[1]Accounts!$C$474)</f>
        <v/>
      </c>
      <c r="H473">
        <f>IF([1]Accounts!$D$474="","",[1]Accounts!$D$474)</f>
        <v/>
      </c>
      <c r="L473">
        <f>IF([2]Entry!$C$476="","",[2]Entry!$C$476)</f>
        <v/>
      </c>
      <c r="M473">
        <f>IF([2]Entry!$J$476="","",[2]Entry!$J$476)</f>
        <v/>
      </c>
      <c r="N473">
        <f>IF([2]Entry!$M$476="","",[2]Entry!$M$476)</f>
        <v/>
      </c>
      <c r="O473">
        <f>IF([2]Entry!$N$476="","",[2]Entry!$N$476)</f>
        <v/>
      </c>
      <c r="P473">
        <f>IF([2]Entry!$S$476="","",[2]Entry!$S$476)</f>
        <v/>
      </c>
    </row>
    <row r="474">
      <c r="A474">
        <f>IF([1]Cheques!$A$475="","",[1]Cheques!$A$475)</f>
        <v/>
      </c>
      <c r="E474">
        <f>IF([1]Accounts!$D$475="","",[1]Accounts!$A$475)</f>
        <v/>
      </c>
      <c r="F474">
        <f>IF([1]Accounts!$D$475="","",[1]Accounts!$B$475)</f>
        <v/>
      </c>
      <c r="G474">
        <f>IF([1]Accounts!$D$475="","",[1]Accounts!$C$475)</f>
        <v/>
      </c>
      <c r="H474">
        <f>IF([1]Accounts!$D$475="","",[1]Accounts!$D$475)</f>
        <v/>
      </c>
      <c r="L474">
        <f>IF([2]Entry!$C$477="","",[2]Entry!$C$477)</f>
        <v/>
      </c>
      <c r="M474">
        <f>IF([2]Entry!$J$477="","",[2]Entry!$J$477)</f>
        <v/>
      </c>
      <c r="N474">
        <f>IF([2]Entry!$M$477="","",[2]Entry!$M$477)</f>
        <v/>
      </c>
      <c r="O474">
        <f>IF([2]Entry!$N$477="","",[2]Entry!$N$477)</f>
        <v/>
      </c>
      <c r="P474">
        <f>IF([2]Entry!$S$477="","",[2]Entry!$S$477)</f>
        <v/>
      </c>
    </row>
    <row r="475">
      <c r="A475">
        <f>IF([1]Cheques!$A$476="","",[1]Cheques!$A$476)</f>
        <v/>
      </c>
      <c r="E475">
        <f>IF([1]Accounts!$D$476="","",[1]Accounts!$A$476)</f>
        <v/>
      </c>
      <c r="F475">
        <f>IF([1]Accounts!$D$476="","",[1]Accounts!$B$476)</f>
        <v/>
      </c>
      <c r="G475">
        <f>IF([1]Accounts!$D$476="","",[1]Accounts!$C$476)</f>
        <v/>
      </c>
      <c r="H475">
        <f>IF([1]Accounts!$D$476="","",[1]Accounts!$D$476)</f>
        <v/>
      </c>
      <c r="L475">
        <f>IF([2]Entry!$C$478="","",[2]Entry!$C$478)</f>
        <v/>
      </c>
      <c r="M475">
        <f>IF([2]Entry!$J$478="","",[2]Entry!$J$478)</f>
        <v/>
      </c>
      <c r="N475">
        <f>IF([2]Entry!$M$478="","",[2]Entry!$M$478)</f>
        <v/>
      </c>
      <c r="O475">
        <f>IF([2]Entry!$N$478="","",[2]Entry!$N$478)</f>
        <v/>
      </c>
      <c r="P475">
        <f>IF([2]Entry!$S$478="","",[2]Entry!$S$478)</f>
        <v/>
      </c>
    </row>
    <row r="476">
      <c r="A476">
        <f>IF([1]Cheques!$A$477="","",[1]Cheques!$A$477)</f>
        <v/>
      </c>
      <c r="E476">
        <f>IF([1]Accounts!$D$477="","",[1]Accounts!$A$477)</f>
        <v/>
      </c>
      <c r="F476">
        <f>IF([1]Accounts!$D$477="","",[1]Accounts!$B$477)</f>
        <v/>
      </c>
      <c r="G476">
        <f>IF([1]Accounts!$D$477="","",[1]Accounts!$C$477)</f>
        <v/>
      </c>
      <c r="H476">
        <f>IF([1]Accounts!$D$477="","",[1]Accounts!$D$477)</f>
        <v/>
      </c>
      <c r="L476">
        <f>IF([2]Entry!$C$479="","",[2]Entry!$C$479)</f>
        <v/>
      </c>
      <c r="M476">
        <f>IF([2]Entry!$J$479="","",[2]Entry!$J$479)</f>
        <v/>
      </c>
      <c r="N476">
        <f>IF([2]Entry!$M$479="","",[2]Entry!$M$479)</f>
        <v/>
      </c>
      <c r="O476">
        <f>IF([2]Entry!$N$479="","",[2]Entry!$N$479)</f>
        <v/>
      </c>
      <c r="P476">
        <f>IF([2]Entry!$S$479="","",[2]Entry!$S$479)</f>
        <v/>
      </c>
    </row>
    <row r="477">
      <c r="A477">
        <f>IF([1]Cheques!$A$478="","",[1]Cheques!$A$478)</f>
        <v/>
      </c>
      <c r="E477">
        <f>IF([1]Accounts!$D$478="","",[1]Accounts!$A$478)</f>
        <v/>
      </c>
      <c r="F477">
        <f>IF([1]Accounts!$D$478="","",[1]Accounts!$B$478)</f>
        <v/>
      </c>
      <c r="G477">
        <f>IF([1]Accounts!$D$478="","",[1]Accounts!$C$478)</f>
        <v/>
      </c>
      <c r="H477">
        <f>IF([1]Accounts!$D$478="","",[1]Accounts!$D$478)</f>
        <v/>
      </c>
      <c r="L477">
        <f>IF([2]Entry!$C$480="","",[2]Entry!$C$480)</f>
        <v/>
      </c>
      <c r="M477">
        <f>IF([2]Entry!$J$480="","",[2]Entry!$J$480)</f>
        <v/>
      </c>
      <c r="N477">
        <f>IF([2]Entry!$M$480="","",[2]Entry!$M$480)</f>
        <v/>
      </c>
      <c r="O477">
        <f>IF([2]Entry!$N$480="","",[2]Entry!$N$480)</f>
        <v/>
      </c>
      <c r="P477">
        <f>IF([2]Entry!$S$480="","",[2]Entry!$S$480)</f>
        <v/>
      </c>
    </row>
    <row r="478">
      <c r="A478">
        <f>IF([1]Cheques!$A$479="","",[1]Cheques!$A$479)</f>
        <v/>
      </c>
      <c r="E478">
        <f>IF([1]Accounts!$D$479="","",[1]Accounts!$A$479)</f>
        <v/>
      </c>
      <c r="F478">
        <f>IF([1]Accounts!$D$479="","",[1]Accounts!$B$479)</f>
        <v/>
      </c>
      <c r="G478">
        <f>IF([1]Accounts!$D$479="","",[1]Accounts!$C$479)</f>
        <v/>
      </c>
      <c r="H478">
        <f>IF([1]Accounts!$D$479="","",[1]Accounts!$D$479)</f>
        <v/>
      </c>
      <c r="L478">
        <f>IF([2]Entry!$C$481="","",[2]Entry!$C$481)</f>
        <v/>
      </c>
      <c r="M478">
        <f>IF([2]Entry!$J$481="","",[2]Entry!$J$481)</f>
        <v/>
      </c>
      <c r="N478">
        <f>IF([2]Entry!$M$481="","",[2]Entry!$M$481)</f>
        <v/>
      </c>
      <c r="O478">
        <f>IF([2]Entry!$N$481="","",[2]Entry!$N$481)</f>
        <v/>
      </c>
      <c r="P478">
        <f>IF([2]Entry!$S$481="","",[2]Entry!$S$481)</f>
        <v/>
      </c>
    </row>
    <row r="479">
      <c r="A479">
        <f>IF([1]Cheques!$A$480="","",[1]Cheques!$A$480)</f>
        <v/>
      </c>
      <c r="E479">
        <f>IF([1]Accounts!$D$480="","",[1]Accounts!$A$480)</f>
        <v/>
      </c>
      <c r="F479">
        <f>IF([1]Accounts!$D$480="","",[1]Accounts!$B$480)</f>
        <v/>
      </c>
      <c r="G479">
        <f>IF([1]Accounts!$D$480="","",[1]Accounts!$C$480)</f>
        <v/>
      </c>
      <c r="H479">
        <f>IF([1]Accounts!$D$480="","",[1]Accounts!$D$480)</f>
        <v/>
      </c>
      <c r="L479">
        <f>IF([2]Entry!$C$482="","",[2]Entry!$C$482)</f>
        <v/>
      </c>
      <c r="M479">
        <f>IF([2]Entry!$J$482="","",[2]Entry!$J$482)</f>
        <v/>
      </c>
      <c r="N479">
        <f>IF([2]Entry!$M$482="","",[2]Entry!$M$482)</f>
        <v/>
      </c>
      <c r="O479">
        <f>IF([2]Entry!$N$482="","",[2]Entry!$N$482)</f>
        <v/>
      </c>
      <c r="P479">
        <f>IF([2]Entry!$S$482="","",[2]Entry!$S$482)</f>
        <v/>
      </c>
    </row>
    <row r="480">
      <c r="A480">
        <f>IF([1]Cheques!$A$481="","",[1]Cheques!$A$481)</f>
        <v/>
      </c>
      <c r="E480">
        <f>IF([1]Accounts!$D$481="","",[1]Accounts!$A$481)</f>
        <v/>
      </c>
      <c r="F480">
        <f>IF([1]Accounts!$D$481="","",[1]Accounts!$B$481)</f>
        <v/>
      </c>
      <c r="G480">
        <f>IF([1]Accounts!$D$481="","",[1]Accounts!$C$481)</f>
        <v/>
      </c>
      <c r="H480">
        <f>IF([1]Accounts!$D$481="","",[1]Accounts!$D$481)</f>
        <v/>
      </c>
      <c r="L480">
        <f>IF([2]Entry!$C$483="","",[2]Entry!$C$483)</f>
        <v/>
      </c>
      <c r="M480">
        <f>IF([2]Entry!$J$483="","",[2]Entry!$J$483)</f>
        <v/>
      </c>
      <c r="N480">
        <f>IF([2]Entry!$M$483="","",[2]Entry!$M$483)</f>
        <v/>
      </c>
      <c r="O480">
        <f>IF([2]Entry!$N$483="","",[2]Entry!$N$483)</f>
        <v/>
      </c>
      <c r="P480">
        <f>IF([2]Entry!$S$483="","",[2]Entry!$S$483)</f>
        <v/>
      </c>
    </row>
    <row r="481">
      <c r="A481">
        <f>IF([1]Cheques!$A$482="","",[1]Cheques!$A$482)</f>
        <v/>
      </c>
      <c r="E481">
        <f>IF([1]Accounts!$D$482="","",[1]Accounts!$A$482)</f>
        <v/>
      </c>
      <c r="F481">
        <f>IF([1]Accounts!$D$482="","",[1]Accounts!$B$482)</f>
        <v/>
      </c>
      <c r="G481">
        <f>IF([1]Accounts!$D$482="","",[1]Accounts!$C$482)</f>
        <v/>
      </c>
      <c r="H481">
        <f>IF([1]Accounts!$D$482="","",[1]Accounts!$D$482)</f>
        <v/>
      </c>
      <c r="L481">
        <f>IF([2]Entry!$C$484="","",[2]Entry!$C$484)</f>
        <v/>
      </c>
      <c r="M481">
        <f>IF([2]Entry!$J$484="","",[2]Entry!$J$484)</f>
        <v/>
      </c>
      <c r="N481">
        <f>IF([2]Entry!$M$484="","",[2]Entry!$M$484)</f>
        <v/>
      </c>
      <c r="O481">
        <f>IF([2]Entry!$N$484="","",[2]Entry!$N$484)</f>
        <v/>
      </c>
      <c r="P481">
        <f>IF([2]Entry!$S$484="","",[2]Entry!$S$484)</f>
        <v/>
      </c>
    </row>
    <row r="482">
      <c r="A482">
        <f>IF([1]Cheques!$A$483="","",[1]Cheques!$A$483)</f>
        <v/>
      </c>
      <c r="E482">
        <f>IF([1]Accounts!$D$483="","",[1]Accounts!$A$483)</f>
        <v/>
      </c>
      <c r="F482">
        <f>IF([1]Accounts!$D$483="","",[1]Accounts!$B$483)</f>
        <v/>
      </c>
      <c r="G482">
        <f>IF([1]Accounts!$D$483="","",[1]Accounts!$C$483)</f>
        <v/>
      </c>
      <c r="H482">
        <f>IF([1]Accounts!$D$483="","",[1]Accounts!$D$483)</f>
        <v/>
      </c>
      <c r="L482">
        <f>IF([2]Entry!$C$485="","",[2]Entry!$C$485)</f>
        <v/>
      </c>
      <c r="M482">
        <f>IF([2]Entry!$J$485="","",[2]Entry!$J$485)</f>
        <v/>
      </c>
      <c r="N482">
        <f>IF([2]Entry!$M$485="","",[2]Entry!$M$485)</f>
        <v/>
      </c>
      <c r="O482">
        <f>IF([2]Entry!$N$485="","",[2]Entry!$N$485)</f>
        <v/>
      </c>
      <c r="P482">
        <f>IF([2]Entry!$S$485="","",[2]Entry!$S$485)</f>
        <v/>
      </c>
    </row>
    <row r="483">
      <c r="A483">
        <f>IF([1]Cheques!$A$484="","",[1]Cheques!$A$484)</f>
        <v/>
      </c>
      <c r="E483">
        <f>IF([1]Accounts!$D$484="","",[1]Accounts!$A$484)</f>
        <v/>
      </c>
      <c r="F483">
        <f>IF([1]Accounts!$D$484="","",[1]Accounts!$B$484)</f>
        <v/>
      </c>
      <c r="G483">
        <f>IF([1]Accounts!$D$484="","",[1]Accounts!$C$484)</f>
        <v/>
      </c>
      <c r="H483">
        <f>IF([1]Accounts!$D$484="","",[1]Accounts!$D$484)</f>
        <v/>
      </c>
      <c r="L483">
        <f>IF([2]Entry!$C$486="","",[2]Entry!$C$486)</f>
        <v/>
      </c>
      <c r="M483">
        <f>IF([2]Entry!$J$486="","",[2]Entry!$J$486)</f>
        <v/>
      </c>
      <c r="N483">
        <f>IF([2]Entry!$M$486="","",[2]Entry!$M$486)</f>
        <v/>
      </c>
      <c r="O483">
        <f>IF([2]Entry!$N$486="","",[2]Entry!$N$486)</f>
        <v/>
      </c>
      <c r="P483">
        <f>IF([2]Entry!$S$486="","",[2]Entry!$S$486)</f>
        <v/>
      </c>
    </row>
    <row r="484">
      <c r="A484">
        <f>IF([1]Cheques!$A$485="","",[1]Cheques!$A$485)</f>
        <v/>
      </c>
      <c r="E484">
        <f>IF([1]Accounts!$D$485="","",[1]Accounts!$A$485)</f>
        <v/>
      </c>
      <c r="F484">
        <f>IF([1]Accounts!$D$485="","",[1]Accounts!$B$485)</f>
        <v/>
      </c>
      <c r="G484">
        <f>IF([1]Accounts!$D$485="","",[1]Accounts!$C$485)</f>
        <v/>
      </c>
      <c r="H484">
        <f>IF([1]Accounts!$D$485="","",[1]Accounts!$D$485)</f>
        <v/>
      </c>
      <c r="L484">
        <f>IF([2]Entry!$C$487="","",[2]Entry!$C$487)</f>
        <v/>
      </c>
      <c r="M484">
        <f>IF([2]Entry!$J$487="","",[2]Entry!$J$487)</f>
        <v/>
      </c>
      <c r="N484">
        <f>IF([2]Entry!$M$487="","",[2]Entry!$M$487)</f>
        <v/>
      </c>
      <c r="O484">
        <f>IF([2]Entry!$N$487="","",[2]Entry!$N$487)</f>
        <v/>
      </c>
      <c r="P484">
        <f>IF([2]Entry!$S$487="","",[2]Entry!$S$487)</f>
        <v/>
      </c>
    </row>
    <row r="485">
      <c r="A485">
        <f>IF([1]Cheques!$A$486="","",[1]Cheques!$A$486)</f>
        <v/>
      </c>
      <c r="E485">
        <f>IF([1]Accounts!$D$486="","",[1]Accounts!$A$486)</f>
        <v/>
      </c>
      <c r="F485">
        <f>IF([1]Accounts!$D$486="","",[1]Accounts!$B$486)</f>
        <v/>
      </c>
      <c r="G485">
        <f>IF([1]Accounts!$D$486="","",[1]Accounts!$C$486)</f>
        <v/>
      </c>
      <c r="H485">
        <f>IF([1]Accounts!$D$486="","",[1]Accounts!$D$486)</f>
        <v/>
      </c>
      <c r="L485">
        <f>IF([2]Entry!$C$488="","",[2]Entry!$C$488)</f>
        <v/>
      </c>
      <c r="M485">
        <f>IF([2]Entry!$J$488="","",[2]Entry!$J$488)</f>
        <v/>
      </c>
      <c r="N485">
        <f>IF([2]Entry!$M$488="","",[2]Entry!$M$488)</f>
        <v/>
      </c>
      <c r="O485">
        <f>IF([2]Entry!$N$488="","",[2]Entry!$N$488)</f>
        <v/>
      </c>
      <c r="P485">
        <f>IF([2]Entry!$S$488="","",[2]Entry!$S$488)</f>
        <v/>
      </c>
    </row>
    <row r="486">
      <c r="A486">
        <f>IF([1]Cheques!$A$487="","",[1]Cheques!$A$487)</f>
        <v/>
      </c>
      <c r="E486">
        <f>IF([1]Accounts!$D$487="","",[1]Accounts!$A$487)</f>
        <v/>
      </c>
      <c r="F486">
        <f>IF([1]Accounts!$D$487="","",[1]Accounts!$B$487)</f>
        <v/>
      </c>
      <c r="G486">
        <f>IF([1]Accounts!$D$487="","",[1]Accounts!$C$487)</f>
        <v/>
      </c>
      <c r="H486">
        <f>IF([1]Accounts!$D$487="","",[1]Accounts!$D$487)</f>
        <v/>
      </c>
      <c r="L486">
        <f>IF([2]Entry!$C$489="","",[2]Entry!$C$489)</f>
        <v/>
      </c>
      <c r="M486">
        <f>IF([2]Entry!$J$489="","",[2]Entry!$J$489)</f>
        <v/>
      </c>
      <c r="N486">
        <f>IF([2]Entry!$M$489="","",[2]Entry!$M$489)</f>
        <v/>
      </c>
      <c r="O486">
        <f>IF([2]Entry!$N$489="","",[2]Entry!$N$489)</f>
        <v/>
      </c>
      <c r="P486">
        <f>IF([2]Entry!$S$489="","",[2]Entry!$S$489)</f>
        <v/>
      </c>
    </row>
    <row r="487">
      <c r="A487">
        <f>IF([1]Cheques!$A$488="","",[1]Cheques!$A$488)</f>
        <v/>
      </c>
      <c r="E487">
        <f>IF([1]Accounts!$D$488="","",[1]Accounts!$A$488)</f>
        <v/>
      </c>
      <c r="F487">
        <f>IF([1]Accounts!$D$488="","",[1]Accounts!$B$488)</f>
        <v/>
      </c>
      <c r="G487">
        <f>IF([1]Accounts!$D$488="","",[1]Accounts!$C$488)</f>
        <v/>
      </c>
      <c r="H487">
        <f>IF([1]Accounts!$D$488="","",[1]Accounts!$D$488)</f>
        <v/>
      </c>
      <c r="L487">
        <f>IF([2]Entry!$C$490="","",[2]Entry!$C$490)</f>
        <v/>
      </c>
      <c r="M487">
        <f>IF([2]Entry!$J$490="","",[2]Entry!$J$490)</f>
        <v/>
      </c>
      <c r="N487">
        <f>IF([2]Entry!$M$490="","",[2]Entry!$M$490)</f>
        <v/>
      </c>
      <c r="O487">
        <f>IF([2]Entry!$N$490="","",[2]Entry!$N$490)</f>
        <v/>
      </c>
      <c r="P487">
        <f>IF([2]Entry!$S$490="","",[2]Entry!$S$490)</f>
        <v/>
      </c>
    </row>
    <row r="488">
      <c r="A488">
        <f>IF([1]Cheques!$A$489="","",[1]Cheques!$A$489)</f>
        <v/>
      </c>
      <c r="E488">
        <f>IF([1]Accounts!$D$489="","",[1]Accounts!$A$489)</f>
        <v/>
      </c>
      <c r="F488">
        <f>IF([1]Accounts!$D$489="","",[1]Accounts!$B$489)</f>
        <v/>
      </c>
      <c r="G488">
        <f>IF([1]Accounts!$D$489="","",[1]Accounts!$C$489)</f>
        <v/>
      </c>
      <c r="H488">
        <f>IF([1]Accounts!$D$489="","",[1]Accounts!$D$489)</f>
        <v/>
      </c>
      <c r="L488">
        <f>IF([2]Entry!$C$491="","",[2]Entry!$C$491)</f>
        <v/>
      </c>
      <c r="M488">
        <f>IF([2]Entry!$J$491="","",[2]Entry!$J$491)</f>
        <v/>
      </c>
      <c r="N488">
        <f>IF([2]Entry!$M$491="","",[2]Entry!$M$491)</f>
        <v/>
      </c>
      <c r="O488">
        <f>IF([2]Entry!$N$491="","",[2]Entry!$N$491)</f>
        <v/>
      </c>
      <c r="P488">
        <f>IF([2]Entry!$S$491="","",[2]Entry!$S$491)</f>
        <v/>
      </c>
    </row>
    <row r="489">
      <c r="A489">
        <f>IF([1]Cheques!$A$490="","",[1]Cheques!$A$490)</f>
        <v/>
      </c>
      <c r="E489">
        <f>IF([1]Accounts!$D$490="","",[1]Accounts!$A$490)</f>
        <v/>
      </c>
      <c r="F489">
        <f>IF([1]Accounts!$D$490="","",[1]Accounts!$B$490)</f>
        <v/>
      </c>
      <c r="G489">
        <f>IF([1]Accounts!$D$490="","",[1]Accounts!$C$490)</f>
        <v/>
      </c>
      <c r="H489">
        <f>IF([1]Accounts!$D$490="","",[1]Accounts!$D$490)</f>
        <v/>
      </c>
      <c r="L489">
        <f>IF([2]Entry!$C$492="","",[2]Entry!$C$492)</f>
        <v/>
      </c>
      <c r="M489">
        <f>IF([2]Entry!$J$492="","",[2]Entry!$J$492)</f>
        <v/>
      </c>
      <c r="N489">
        <f>IF([2]Entry!$M$492="","",[2]Entry!$M$492)</f>
        <v/>
      </c>
      <c r="O489">
        <f>IF([2]Entry!$N$492="","",[2]Entry!$N$492)</f>
        <v/>
      </c>
      <c r="P489">
        <f>IF([2]Entry!$S$492="","",[2]Entry!$S$492)</f>
        <v/>
      </c>
    </row>
    <row r="490">
      <c r="A490">
        <f>IF([1]Cheques!$A$491="","",[1]Cheques!$A$491)</f>
        <v/>
      </c>
      <c r="E490">
        <f>IF([1]Accounts!$D$491="","",[1]Accounts!$A$491)</f>
        <v/>
      </c>
      <c r="F490">
        <f>IF([1]Accounts!$D$491="","",[1]Accounts!$B$491)</f>
        <v/>
      </c>
      <c r="G490">
        <f>IF([1]Accounts!$D$491="","",[1]Accounts!$C$491)</f>
        <v/>
      </c>
      <c r="H490">
        <f>IF([1]Accounts!$D$491="","",[1]Accounts!$D$491)</f>
        <v/>
      </c>
      <c r="L490">
        <f>IF([2]Entry!$C$493="","",[2]Entry!$C$493)</f>
        <v/>
      </c>
      <c r="M490">
        <f>IF([2]Entry!$J$493="","",[2]Entry!$J$493)</f>
        <v/>
      </c>
      <c r="N490">
        <f>IF([2]Entry!$M$493="","",[2]Entry!$M$493)</f>
        <v/>
      </c>
      <c r="O490">
        <f>IF([2]Entry!$N$493="","",[2]Entry!$N$493)</f>
        <v/>
      </c>
      <c r="P490">
        <f>IF([2]Entry!$S$493="","",[2]Entry!$S$493)</f>
        <v/>
      </c>
    </row>
    <row r="491">
      <c r="A491">
        <f>IF([1]Cheques!$A$492="","",[1]Cheques!$A$492)</f>
        <v/>
      </c>
      <c r="E491">
        <f>IF([1]Accounts!$D$492="","",[1]Accounts!$A$492)</f>
        <v/>
      </c>
      <c r="F491">
        <f>IF([1]Accounts!$D$492="","",[1]Accounts!$B$492)</f>
        <v/>
      </c>
      <c r="G491">
        <f>IF([1]Accounts!$D$492="","",[1]Accounts!$C$492)</f>
        <v/>
      </c>
      <c r="H491">
        <f>IF([1]Accounts!$D$492="","",[1]Accounts!$D$492)</f>
        <v/>
      </c>
      <c r="L491">
        <f>IF([2]Entry!$C$494="","",[2]Entry!$C$494)</f>
        <v/>
      </c>
      <c r="M491">
        <f>IF([2]Entry!$J$494="","",[2]Entry!$J$494)</f>
        <v/>
      </c>
      <c r="N491">
        <f>IF([2]Entry!$M$494="","",[2]Entry!$M$494)</f>
        <v/>
      </c>
      <c r="O491">
        <f>IF([2]Entry!$N$494="","",[2]Entry!$N$494)</f>
        <v/>
      </c>
      <c r="P491">
        <f>IF([2]Entry!$S$494="","",[2]Entry!$S$494)</f>
        <v/>
      </c>
    </row>
    <row r="492">
      <c r="A492">
        <f>IF([1]Cheques!$A$493="","",[1]Cheques!$A$493)</f>
        <v/>
      </c>
      <c r="E492">
        <f>IF([1]Accounts!$D$493="","",[1]Accounts!$A$493)</f>
        <v/>
      </c>
      <c r="F492">
        <f>IF([1]Accounts!$D$493="","",[1]Accounts!$B$493)</f>
        <v/>
      </c>
      <c r="G492">
        <f>IF([1]Accounts!$D$493="","",[1]Accounts!$C$493)</f>
        <v/>
      </c>
      <c r="H492">
        <f>IF([1]Accounts!$D$493="","",[1]Accounts!$D$493)</f>
        <v/>
      </c>
      <c r="L492">
        <f>IF([2]Entry!$C$495="","",[2]Entry!$C$495)</f>
        <v/>
      </c>
      <c r="M492">
        <f>IF([2]Entry!$J$495="","",[2]Entry!$J$495)</f>
        <v/>
      </c>
      <c r="N492">
        <f>IF([2]Entry!$M$495="","",[2]Entry!$M$495)</f>
        <v/>
      </c>
      <c r="O492">
        <f>IF([2]Entry!$N$495="","",[2]Entry!$N$495)</f>
        <v/>
      </c>
      <c r="P492">
        <f>IF([2]Entry!$S$495="","",[2]Entry!$S$495)</f>
        <v/>
      </c>
    </row>
    <row r="493">
      <c r="A493">
        <f>IF([1]Cheques!$A$494="","",[1]Cheques!$A$494)</f>
        <v/>
      </c>
      <c r="E493">
        <f>IF([1]Accounts!$D$494="","",[1]Accounts!$A$494)</f>
        <v/>
      </c>
      <c r="F493">
        <f>IF([1]Accounts!$D$494="","",[1]Accounts!$B$494)</f>
        <v/>
      </c>
      <c r="G493">
        <f>IF([1]Accounts!$D$494="","",[1]Accounts!$C$494)</f>
        <v/>
      </c>
      <c r="H493">
        <f>IF([1]Accounts!$D$494="","",[1]Accounts!$D$494)</f>
        <v/>
      </c>
      <c r="L493">
        <f>IF([2]Entry!$C$496="","",[2]Entry!$C$496)</f>
        <v/>
      </c>
      <c r="M493">
        <f>IF([2]Entry!$J$496="","",[2]Entry!$J$496)</f>
        <v/>
      </c>
      <c r="N493">
        <f>IF([2]Entry!$M$496="","",[2]Entry!$M$496)</f>
        <v/>
      </c>
      <c r="O493">
        <f>IF([2]Entry!$N$496="","",[2]Entry!$N$496)</f>
        <v/>
      </c>
      <c r="P493">
        <f>IF([2]Entry!$S$496="","",[2]Entry!$S$496)</f>
        <v/>
      </c>
    </row>
    <row r="494">
      <c r="A494">
        <f>IF([1]Cheques!$A$495="","",[1]Cheques!$A$495)</f>
        <v/>
      </c>
      <c r="E494">
        <f>IF([1]Accounts!$D$495="","",[1]Accounts!$A$495)</f>
        <v/>
      </c>
      <c r="F494">
        <f>IF([1]Accounts!$D$495="","",[1]Accounts!$B$495)</f>
        <v/>
      </c>
      <c r="G494">
        <f>IF([1]Accounts!$D$495="","",[1]Accounts!$C$495)</f>
        <v/>
      </c>
      <c r="H494">
        <f>IF([1]Accounts!$D$495="","",[1]Accounts!$D$495)</f>
        <v/>
      </c>
      <c r="L494">
        <f>IF([2]Entry!$C$497="","",[2]Entry!$C$497)</f>
        <v/>
      </c>
      <c r="M494">
        <f>IF([2]Entry!$J$497="","",[2]Entry!$J$497)</f>
        <v/>
      </c>
      <c r="N494">
        <f>IF([2]Entry!$M$497="","",[2]Entry!$M$497)</f>
        <v/>
      </c>
      <c r="O494">
        <f>IF([2]Entry!$N$497="","",[2]Entry!$N$497)</f>
        <v/>
      </c>
      <c r="P494">
        <f>IF([2]Entry!$S$497="","",[2]Entry!$S$497)</f>
        <v/>
      </c>
    </row>
    <row r="495">
      <c r="A495">
        <f>IF([1]Cheques!$A$496="","",[1]Cheques!$A$496)</f>
        <v/>
      </c>
      <c r="E495">
        <f>IF([1]Accounts!$D$496="","",[1]Accounts!$A$496)</f>
        <v/>
      </c>
      <c r="F495">
        <f>IF([1]Accounts!$D$496="","",[1]Accounts!$B$496)</f>
        <v/>
      </c>
      <c r="G495">
        <f>IF([1]Accounts!$D$496="","",[1]Accounts!$C$496)</f>
        <v/>
      </c>
      <c r="H495">
        <f>IF([1]Accounts!$D$496="","",[1]Accounts!$D$496)</f>
        <v/>
      </c>
      <c r="L495">
        <f>IF([2]Entry!$C$498="","",[2]Entry!$C$498)</f>
        <v/>
      </c>
      <c r="M495">
        <f>IF([2]Entry!$J$498="","",[2]Entry!$J$498)</f>
        <v/>
      </c>
      <c r="N495">
        <f>IF([2]Entry!$M$498="","",[2]Entry!$M$498)</f>
        <v/>
      </c>
      <c r="O495">
        <f>IF([2]Entry!$N$498="","",[2]Entry!$N$498)</f>
        <v/>
      </c>
      <c r="P495">
        <f>IF([2]Entry!$S$498="","",[2]Entry!$S$498)</f>
        <v/>
      </c>
    </row>
    <row r="496">
      <c r="A496">
        <f>IF([1]Cheques!$A$497="","",[1]Cheques!$A$497)</f>
        <v/>
      </c>
      <c r="E496">
        <f>IF([1]Accounts!$D$497="","",[1]Accounts!$A$497)</f>
        <v/>
      </c>
      <c r="F496">
        <f>IF([1]Accounts!$D$497="","",[1]Accounts!$B$497)</f>
        <v/>
      </c>
      <c r="G496">
        <f>IF([1]Accounts!$D$497="","",[1]Accounts!$C$497)</f>
        <v/>
      </c>
      <c r="H496">
        <f>IF([1]Accounts!$D$497="","",[1]Accounts!$D$497)</f>
        <v/>
      </c>
      <c r="L496">
        <f>IF([2]Entry!$C$499="","",[2]Entry!$C$499)</f>
        <v/>
      </c>
      <c r="M496">
        <f>IF([2]Entry!$J$499="","",[2]Entry!$J$499)</f>
        <v/>
      </c>
      <c r="N496">
        <f>IF([2]Entry!$M$499="","",[2]Entry!$M$499)</f>
        <v/>
      </c>
      <c r="O496">
        <f>IF([2]Entry!$N$499="","",[2]Entry!$N$499)</f>
        <v/>
      </c>
      <c r="P496">
        <f>IF([2]Entry!$S$499="","",[2]Entry!$S$499)</f>
        <v/>
      </c>
    </row>
    <row r="497">
      <c r="A497">
        <f>IF([1]Cheques!$A$498="","",[1]Cheques!$A$498)</f>
        <v/>
      </c>
      <c r="E497">
        <f>IF([1]Accounts!$D$498="","",[1]Accounts!$A$498)</f>
        <v/>
      </c>
      <c r="F497">
        <f>IF([1]Accounts!$D$498="","",[1]Accounts!$B$498)</f>
        <v/>
      </c>
      <c r="G497">
        <f>IF([1]Accounts!$D$498="","",[1]Accounts!$C$498)</f>
        <v/>
      </c>
      <c r="H497">
        <f>IF([1]Accounts!$D$498="","",[1]Accounts!$D$498)</f>
        <v/>
      </c>
      <c r="L497">
        <f>IF([2]Entry!$C$500="","",[2]Entry!$C$500)</f>
        <v/>
      </c>
      <c r="M497">
        <f>IF([2]Entry!$J$500="","",[2]Entry!$J$500)</f>
        <v/>
      </c>
      <c r="N497">
        <f>IF([2]Entry!$M$500="","",[2]Entry!$M$500)</f>
        <v/>
      </c>
      <c r="O497">
        <f>IF([2]Entry!$N$500="","",[2]Entry!$N$500)</f>
        <v/>
      </c>
      <c r="P497">
        <f>IF([2]Entry!$S$500="","",[2]Entry!$S$500)</f>
        <v/>
      </c>
    </row>
    <row r="498">
      <c r="A498">
        <f>IF([1]Cheques!$A$499="","",[1]Cheques!$A$499)</f>
        <v/>
      </c>
      <c r="E498">
        <f>IF([1]Accounts!$D$499="","",[1]Accounts!$A$499)</f>
        <v/>
      </c>
      <c r="F498">
        <f>IF([1]Accounts!$D$499="","",[1]Accounts!$B$499)</f>
        <v/>
      </c>
      <c r="G498">
        <f>IF([1]Accounts!$D$499="","",[1]Accounts!$C$499)</f>
        <v/>
      </c>
      <c r="H498">
        <f>IF([1]Accounts!$D$499="","",[1]Accounts!$D$499)</f>
        <v/>
      </c>
      <c r="L498">
        <f>IF([2]Entry!$C$501="","",[2]Entry!$C$501)</f>
        <v/>
      </c>
      <c r="M498">
        <f>IF([2]Entry!$J$501="","",[2]Entry!$J$501)</f>
        <v/>
      </c>
      <c r="N498">
        <f>IF([2]Entry!$M$501="","",[2]Entry!$M$501)</f>
        <v/>
      </c>
      <c r="O498">
        <f>IF([2]Entry!$N$501="","",[2]Entry!$N$501)</f>
        <v/>
      </c>
      <c r="P498">
        <f>IF([2]Entry!$S$501="","",[2]Entry!$S$501)</f>
        <v/>
      </c>
    </row>
    <row r="499">
      <c r="A499">
        <f>IF([1]Cheques!$A$500="","",[1]Cheques!$A$500)</f>
        <v/>
      </c>
      <c r="E499">
        <f>IF([1]Accounts!$D$500="","",[1]Accounts!$A$500)</f>
        <v/>
      </c>
      <c r="F499">
        <f>IF([1]Accounts!$D$500="","",[1]Accounts!$B$500)</f>
        <v/>
      </c>
      <c r="G499">
        <f>IF([1]Accounts!$D$500="","",[1]Accounts!$C$500)</f>
        <v/>
      </c>
      <c r="H499">
        <f>IF([1]Accounts!$D$500="","",[1]Accounts!$D$500)</f>
        <v/>
      </c>
      <c r="L499">
        <f>IF([2]Entry!$C$502="","",[2]Entry!$C$502)</f>
        <v/>
      </c>
      <c r="M499">
        <f>IF([2]Entry!$J$502="","",[2]Entry!$J$502)</f>
        <v/>
      </c>
      <c r="N499">
        <f>IF([2]Entry!$M$502="","",[2]Entry!$M$502)</f>
        <v/>
      </c>
      <c r="O499">
        <f>IF([2]Entry!$N$502="","",[2]Entry!$N$502)</f>
        <v/>
      </c>
      <c r="P499">
        <f>IF([2]Entry!$S$502="","",[2]Entry!$S$502)</f>
        <v/>
      </c>
    </row>
    <row r="500">
      <c r="A500">
        <f>IF([1]Cheques!$A$501="","",[1]Cheques!$A$501)</f>
        <v/>
      </c>
      <c r="E500">
        <f>IF([1]Accounts!$D$501="","",[1]Accounts!$A$501)</f>
        <v/>
      </c>
      <c r="F500">
        <f>IF([1]Accounts!$D$501="","",[1]Accounts!$B$501)</f>
        <v/>
      </c>
      <c r="G500">
        <f>IF([1]Accounts!$D$501="","",[1]Accounts!$C$501)</f>
        <v/>
      </c>
      <c r="H500">
        <f>IF([1]Accounts!$D$501="","",[1]Accounts!$D$501)</f>
        <v/>
      </c>
      <c r="L500">
        <f>IF([2]Entry!$C$503="","",[2]Entry!$C$503)</f>
        <v/>
      </c>
      <c r="M500">
        <f>IF([2]Entry!$J$503="","",[2]Entry!$J$503)</f>
        <v/>
      </c>
      <c r="N500">
        <f>IF([2]Entry!$M$503="","",[2]Entry!$M$503)</f>
        <v/>
      </c>
      <c r="O500">
        <f>IF([2]Entry!$N$503="","",[2]Entry!$N$503)</f>
        <v/>
      </c>
      <c r="P500">
        <f>IF([2]Entry!$S$503="","",[2]Entry!$S$503)</f>
        <v/>
      </c>
    </row>
    <row r="501">
      <c r="A501">
        <f>IF([1]Cheques!$A$502="","",[1]Cheques!$A$502)</f>
        <v/>
      </c>
      <c r="E501">
        <f>IF([1]Accounts!$D$502="","",[1]Accounts!$A$502)</f>
        <v/>
      </c>
      <c r="F501">
        <f>IF([1]Accounts!$D$502="","",[1]Accounts!$B$502)</f>
        <v/>
      </c>
      <c r="G501">
        <f>IF([1]Accounts!$D$502="","",[1]Accounts!$C$502)</f>
        <v/>
      </c>
      <c r="H501">
        <f>IF([1]Accounts!$D$502="","",[1]Accounts!$D$502)</f>
        <v/>
      </c>
      <c r="L501">
        <f>IF([2]Entry!$C$504="","",[2]Entry!$C$504)</f>
        <v/>
      </c>
      <c r="M501">
        <f>IF([2]Entry!$J$504="","",[2]Entry!$J$504)</f>
        <v/>
      </c>
      <c r="N501">
        <f>IF([2]Entry!$M$504="","",[2]Entry!$M$504)</f>
        <v/>
      </c>
      <c r="O501">
        <f>IF([2]Entry!$N$504="","",[2]Entry!$N$504)</f>
        <v/>
      </c>
      <c r="P501">
        <f>IF([2]Entry!$S$504="","",[2]Entry!$S$504)</f>
        <v/>
      </c>
    </row>
    <row r="502">
      <c r="A502">
        <f>IF([1]Cheques!$A$503="","",[1]Cheques!$A$503)</f>
        <v/>
      </c>
      <c r="E502">
        <f>IF([1]Accounts!$D$503="","",[1]Accounts!$A$503)</f>
        <v/>
      </c>
      <c r="F502">
        <f>IF([1]Accounts!$D$503="","",[1]Accounts!$B$503)</f>
        <v/>
      </c>
      <c r="G502">
        <f>IF([1]Accounts!$D$503="","",[1]Accounts!$C$503)</f>
        <v/>
      </c>
      <c r="H502">
        <f>IF([1]Accounts!$D$503="","",[1]Accounts!$D$503)</f>
        <v/>
      </c>
      <c r="L502">
        <f>IF([2]Entry!$C$505="","",[2]Entry!$C$505)</f>
        <v/>
      </c>
      <c r="M502">
        <f>IF([2]Entry!$J$505="","",[2]Entry!$J$505)</f>
        <v/>
      </c>
      <c r="N502">
        <f>IF([2]Entry!$M$505="","",[2]Entry!$M$505)</f>
        <v/>
      </c>
      <c r="O502">
        <f>IF([2]Entry!$N$505="","",[2]Entry!$N$505)</f>
        <v/>
      </c>
      <c r="P502">
        <f>IF([2]Entry!$S$505="","",[2]Entry!$S$505)</f>
        <v/>
      </c>
    </row>
    <row r="503">
      <c r="A503">
        <f>IF([1]Cheques!$A$504="","",[1]Cheques!$A$504)</f>
        <v/>
      </c>
      <c r="E503">
        <f>IF([1]Accounts!$D$504="","",[1]Accounts!$A$504)</f>
        <v/>
      </c>
      <c r="F503">
        <f>IF([1]Accounts!$D$504="","",[1]Accounts!$B$504)</f>
        <v/>
      </c>
      <c r="G503">
        <f>IF([1]Accounts!$D$504="","",[1]Accounts!$C$504)</f>
        <v/>
      </c>
      <c r="H503">
        <f>IF([1]Accounts!$D$504="","",[1]Accounts!$D$504)</f>
        <v/>
      </c>
      <c r="L503">
        <f>IF([2]Entry!$C$506="","",[2]Entry!$C$506)</f>
        <v/>
      </c>
      <c r="M503">
        <f>IF([2]Entry!$J$506="","",[2]Entry!$J$506)</f>
        <v/>
      </c>
      <c r="N503">
        <f>IF([2]Entry!$M$506="","",[2]Entry!$M$506)</f>
        <v/>
      </c>
      <c r="O503">
        <f>IF([2]Entry!$N$506="","",[2]Entry!$N$506)</f>
        <v/>
      </c>
      <c r="P503">
        <f>IF([2]Entry!$S$506="","",[2]Entry!$S$506)</f>
        <v/>
      </c>
    </row>
    <row r="504">
      <c r="A504">
        <f>IF([1]Cheques!$A$505="","",[1]Cheques!$A$505)</f>
        <v/>
      </c>
      <c r="E504">
        <f>IF([1]Accounts!$D$505="","",[1]Accounts!$A$505)</f>
        <v/>
      </c>
      <c r="F504">
        <f>IF([1]Accounts!$D$505="","",[1]Accounts!$B$505)</f>
        <v/>
      </c>
      <c r="G504">
        <f>IF([1]Accounts!$D$505="","",[1]Accounts!$C$505)</f>
        <v/>
      </c>
      <c r="H504">
        <f>IF([1]Accounts!$D$505="","",[1]Accounts!$D$505)</f>
        <v/>
      </c>
      <c r="L504">
        <f>IF([2]Entry!$C$507="","",[2]Entry!$C$507)</f>
        <v/>
      </c>
      <c r="M504">
        <f>IF([2]Entry!$J$507="","",[2]Entry!$J$507)</f>
        <v/>
      </c>
      <c r="N504">
        <f>IF([2]Entry!$M$507="","",[2]Entry!$M$507)</f>
        <v/>
      </c>
      <c r="O504">
        <f>IF([2]Entry!$N$507="","",[2]Entry!$N$507)</f>
        <v/>
      </c>
      <c r="P504">
        <f>IF([2]Entry!$S$507="","",[2]Entry!$S$507)</f>
        <v/>
      </c>
    </row>
    <row r="505">
      <c r="A505">
        <f>IF([1]Cheques!$A$506="","",[1]Cheques!$A$506)</f>
        <v/>
      </c>
      <c r="E505">
        <f>IF([1]Accounts!$D$506="","",[1]Accounts!$A$506)</f>
        <v/>
      </c>
      <c r="F505">
        <f>IF([1]Accounts!$D$506="","",[1]Accounts!$B$506)</f>
        <v/>
      </c>
      <c r="G505">
        <f>IF([1]Accounts!$D$506="","",[1]Accounts!$C$506)</f>
        <v/>
      </c>
      <c r="H505">
        <f>IF([1]Accounts!$D$506="","",[1]Accounts!$D$506)</f>
        <v/>
      </c>
      <c r="L505">
        <f>IF([2]Entry!$C$508="","",[2]Entry!$C$508)</f>
        <v/>
      </c>
      <c r="M505">
        <f>IF([2]Entry!$J$508="","",[2]Entry!$J$508)</f>
        <v/>
      </c>
      <c r="N505">
        <f>IF([2]Entry!$M$508="","",[2]Entry!$M$508)</f>
        <v/>
      </c>
      <c r="O505">
        <f>IF([2]Entry!$N$508="","",[2]Entry!$N$508)</f>
        <v/>
      </c>
      <c r="P505">
        <f>IF([2]Entry!$S$508="","",[2]Entry!$S$508)</f>
        <v/>
      </c>
    </row>
    <row r="506">
      <c r="E506">
        <f>IF([1]Accounts!$D$507="","",[1]Accounts!$A$507)</f>
        <v/>
      </c>
      <c r="F506">
        <f>IF([1]Accounts!$D$507="","",[1]Accounts!$B$507)</f>
        <v/>
      </c>
      <c r="G506">
        <f>IF([1]Accounts!$D$507="","",[1]Accounts!$C$507)</f>
        <v/>
      </c>
      <c r="H506">
        <f>IF([1]Accounts!$D$507="","",[1]Accounts!$D$507)</f>
        <v/>
      </c>
      <c r="L506">
        <f>IF([2]Entry!$C$509="","",[2]Entry!$C$509)</f>
        <v/>
      </c>
      <c r="M506">
        <f>IF([2]Entry!$J$509="","",[2]Entry!$J$509)</f>
        <v/>
      </c>
      <c r="N506">
        <f>IF([2]Entry!$M$509="","",[2]Entry!$M$509)</f>
        <v/>
      </c>
      <c r="O506">
        <f>IF([2]Entry!$N$509="","",[2]Entry!$N$509)</f>
        <v/>
      </c>
      <c r="P506">
        <f>IF([2]Entry!$S$509="","",[2]Entry!$S$509)</f>
        <v/>
      </c>
    </row>
    <row r="507">
      <c r="E507">
        <f>IF([1]Accounts!$D$508="","",[1]Accounts!$A$508)</f>
        <v/>
      </c>
      <c r="F507">
        <f>IF([1]Accounts!$D$508="","",[1]Accounts!$B$508)</f>
        <v/>
      </c>
      <c r="G507">
        <f>IF([1]Accounts!$D$508="","",[1]Accounts!$C$508)</f>
        <v/>
      </c>
      <c r="H507">
        <f>IF([1]Accounts!$D$508="","",[1]Accounts!$D$508)</f>
        <v/>
      </c>
      <c r="L507">
        <f>IF([2]Entry!$C$510="","",[2]Entry!$C$510)</f>
        <v/>
      </c>
      <c r="M507">
        <f>IF([2]Entry!$J$510="","",[2]Entry!$J$510)</f>
        <v/>
      </c>
      <c r="N507">
        <f>IF([2]Entry!$M$510="","",[2]Entry!$M$510)</f>
        <v/>
      </c>
      <c r="O507">
        <f>IF([2]Entry!$N$510="","",[2]Entry!$N$510)</f>
        <v/>
      </c>
      <c r="P507">
        <f>IF([2]Entry!$S$510="","",[2]Entry!$S$510)</f>
        <v/>
      </c>
    </row>
    <row r="508">
      <c r="E508">
        <f>IF([1]Accounts!$D$509="","",[1]Accounts!$A$509)</f>
        <v/>
      </c>
      <c r="F508">
        <f>IF([1]Accounts!$D$509="","",[1]Accounts!$B$509)</f>
        <v/>
      </c>
      <c r="G508">
        <f>IF([1]Accounts!$D$509="","",[1]Accounts!$C$509)</f>
        <v/>
      </c>
      <c r="H508">
        <f>IF([1]Accounts!$D$509="","",[1]Accounts!$D$509)</f>
        <v/>
      </c>
      <c r="L508">
        <f>IF([2]Entry!$C$511="","",[2]Entry!$C$511)</f>
        <v/>
      </c>
      <c r="M508">
        <f>IF([2]Entry!$J$511="","",[2]Entry!$J$511)</f>
        <v/>
      </c>
      <c r="N508">
        <f>IF([2]Entry!$M$511="","",[2]Entry!$M$511)</f>
        <v/>
      </c>
      <c r="O508">
        <f>IF([2]Entry!$N$511="","",[2]Entry!$N$511)</f>
        <v/>
      </c>
      <c r="P508">
        <f>IF([2]Entry!$S$511="","",[2]Entry!$S$511)</f>
        <v/>
      </c>
    </row>
    <row r="509">
      <c r="E509">
        <f>IF([1]Accounts!$D$510="","",[1]Accounts!$A$510)</f>
        <v/>
      </c>
      <c r="F509">
        <f>IF([1]Accounts!$D$510="","",[1]Accounts!$B$510)</f>
        <v/>
      </c>
      <c r="G509">
        <f>IF([1]Accounts!$D$510="","",[1]Accounts!$C$510)</f>
        <v/>
      </c>
      <c r="H509">
        <f>IF([1]Accounts!$D$510="","",[1]Accounts!$D$510)</f>
        <v/>
      </c>
      <c r="L509">
        <f>IF([2]Entry!$C$512="","",[2]Entry!$C$512)</f>
        <v/>
      </c>
      <c r="M509">
        <f>IF([2]Entry!$J$512="","",[2]Entry!$J$512)</f>
        <v/>
      </c>
      <c r="N509">
        <f>IF([2]Entry!$M$512="","",[2]Entry!$M$512)</f>
        <v/>
      </c>
      <c r="O509">
        <f>IF([2]Entry!$N$512="","",[2]Entry!$N$512)</f>
        <v/>
      </c>
      <c r="P509">
        <f>IF([2]Entry!$S$512="","",[2]Entry!$S$512)</f>
        <v/>
      </c>
    </row>
    <row r="510">
      <c r="E510">
        <f>IF([1]Accounts!$D$511="","",[1]Accounts!$A$511)</f>
        <v/>
      </c>
      <c r="F510">
        <f>IF([1]Accounts!$D$511="","",[1]Accounts!$B$511)</f>
        <v/>
      </c>
      <c r="G510">
        <f>IF([1]Accounts!$D$511="","",[1]Accounts!$C$511)</f>
        <v/>
      </c>
      <c r="H510">
        <f>IF([1]Accounts!$D$511="","",[1]Accounts!$D$511)</f>
        <v/>
      </c>
      <c r="L510">
        <f>IF([2]Entry!$C$513="","",[2]Entry!$C$513)</f>
        <v/>
      </c>
      <c r="M510">
        <f>IF([2]Entry!$J$513="","",[2]Entry!$J$513)</f>
        <v/>
      </c>
      <c r="N510">
        <f>IF([2]Entry!$M$513="","",[2]Entry!$M$513)</f>
        <v/>
      </c>
      <c r="O510">
        <f>IF([2]Entry!$N$513="","",[2]Entry!$N$513)</f>
        <v/>
      </c>
      <c r="P510">
        <f>IF([2]Entry!$S$513="","",[2]Entry!$S$513)</f>
        <v/>
      </c>
    </row>
    <row r="511">
      <c r="E511">
        <f>IF([1]Accounts!$D$512="","",[1]Accounts!$A$512)</f>
        <v/>
      </c>
      <c r="F511">
        <f>IF([1]Accounts!$D$512="","",[1]Accounts!$B$512)</f>
        <v/>
      </c>
      <c r="G511">
        <f>IF([1]Accounts!$D$512="","",[1]Accounts!$C$512)</f>
        <v/>
      </c>
      <c r="H511">
        <f>IF([1]Accounts!$D$512="","",[1]Accounts!$D$512)</f>
        <v/>
      </c>
      <c r="L511">
        <f>IF([2]Entry!$C$514="","",[2]Entry!$C$514)</f>
        <v/>
      </c>
      <c r="M511">
        <f>IF([2]Entry!$J$514="","",[2]Entry!$J$514)</f>
        <v/>
      </c>
      <c r="N511">
        <f>IF([2]Entry!$M$514="","",[2]Entry!$M$514)</f>
        <v/>
      </c>
      <c r="O511">
        <f>IF([2]Entry!$N$514="","",[2]Entry!$N$514)</f>
        <v/>
      </c>
      <c r="P511">
        <f>IF([2]Entry!$S$514="","",[2]Entry!$S$514)</f>
        <v/>
      </c>
    </row>
    <row r="512">
      <c r="E512">
        <f>IF([1]Accounts!$D$513="","",[1]Accounts!$A$513)</f>
        <v/>
      </c>
      <c r="F512">
        <f>IF([1]Accounts!$D$513="","",[1]Accounts!$B$513)</f>
        <v/>
      </c>
      <c r="G512">
        <f>IF([1]Accounts!$D$513="","",[1]Accounts!$C$513)</f>
        <v/>
      </c>
      <c r="H512">
        <f>IF([1]Accounts!$D$513="","",[1]Accounts!$D$513)</f>
        <v/>
      </c>
      <c r="L512">
        <f>IF([2]Entry!$C$515="","",[2]Entry!$C$515)</f>
        <v/>
      </c>
      <c r="M512">
        <f>IF([2]Entry!$J$515="","",[2]Entry!$J$515)</f>
        <v/>
      </c>
      <c r="N512">
        <f>IF([2]Entry!$M$515="","",[2]Entry!$M$515)</f>
        <v/>
      </c>
      <c r="O512">
        <f>IF([2]Entry!$N$515="","",[2]Entry!$N$515)</f>
        <v/>
      </c>
      <c r="P512">
        <f>IF([2]Entry!$S$515="","",[2]Entry!$S$515)</f>
        <v/>
      </c>
    </row>
    <row r="513">
      <c r="E513">
        <f>IF([1]Accounts!$D$514="","",[1]Accounts!$A$514)</f>
        <v/>
      </c>
      <c r="F513">
        <f>IF([1]Accounts!$D$514="","",[1]Accounts!$B$514)</f>
        <v/>
      </c>
      <c r="G513">
        <f>IF([1]Accounts!$D$514="","",[1]Accounts!$C$514)</f>
        <v/>
      </c>
      <c r="H513">
        <f>IF([1]Accounts!$D$514="","",[1]Accounts!$D$514)</f>
        <v/>
      </c>
      <c r="L513">
        <f>IF([2]Entry!$C$516="","",[2]Entry!$C$516)</f>
        <v/>
      </c>
      <c r="M513">
        <f>IF([2]Entry!$J$516="","",[2]Entry!$J$516)</f>
        <v/>
      </c>
      <c r="N513">
        <f>IF([2]Entry!$M$516="","",[2]Entry!$M$516)</f>
        <v/>
      </c>
      <c r="O513">
        <f>IF([2]Entry!$N$516="","",[2]Entry!$N$516)</f>
        <v/>
      </c>
      <c r="P513">
        <f>IF([2]Entry!$S$516="","",[2]Entry!$S$516)</f>
        <v/>
      </c>
    </row>
    <row r="514">
      <c r="E514">
        <f>IF([1]Accounts!$D$515="","",[1]Accounts!$A$515)</f>
        <v/>
      </c>
      <c r="F514">
        <f>IF([1]Accounts!$D$515="","",[1]Accounts!$B$515)</f>
        <v/>
      </c>
      <c r="G514">
        <f>IF([1]Accounts!$D$515="","",[1]Accounts!$C$515)</f>
        <v/>
      </c>
      <c r="H514">
        <f>IF([1]Accounts!$D$515="","",[1]Accounts!$D$515)</f>
        <v/>
      </c>
      <c r="L514">
        <f>IF([2]Entry!$C$517="","",[2]Entry!$C$517)</f>
        <v/>
      </c>
      <c r="M514">
        <f>IF([2]Entry!$J$517="","",[2]Entry!$J$517)</f>
        <v/>
      </c>
      <c r="N514">
        <f>IF([2]Entry!$M$517="","",[2]Entry!$M$517)</f>
        <v/>
      </c>
      <c r="O514">
        <f>IF([2]Entry!$N$517="","",[2]Entry!$N$517)</f>
        <v/>
      </c>
      <c r="P514">
        <f>IF([2]Entry!$S$517="","",[2]Entry!$S$517)</f>
        <v/>
      </c>
    </row>
    <row r="515">
      <c r="E515">
        <f>IF([1]Accounts!$D$516="","",[1]Accounts!$A$516)</f>
        <v/>
      </c>
      <c r="F515">
        <f>IF([1]Accounts!$D$516="","",[1]Accounts!$B$516)</f>
        <v/>
      </c>
      <c r="G515">
        <f>IF([1]Accounts!$D$516="","",[1]Accounts!$C$516)</f>
        <v/>
      </c>
      <c r="H515">
        <f>IF([1]Accounts!$D$516="","",[1]Accounts!$D$516)</f>
        <v/>
      </c>
      <c r="L515">
        <f>IF([2]Entry!$C$518="","",[2]Entry!$C$518)</f>
        <v/>
      </c>
      <c r="M515">
        <f>IF([2]Entry!$J$518="","",[2]Entry!$J$518)</f>
        <v/>
      </c>
      <c r="N515">
        <f>IF([2]Entry!$M$518="","",[2]Entry!$M$518)</f>
        <v/>
      </c>
      <c r="O515">
        <f>IF([2]Entry!$N$518="","",[2]Entry!$N$518)</f>
        <v/>
      </c>
      <c r="P515">
        <f>IF([2]Entry!$S$518="","",[2]Entry!$S$518)</f>
        <v/>
      </c>
    </row>
    <row r="516">
      <c r="E516">
        <f>IF([1]Accounts!$D$517="","",[1]Accounts!$A$517)</f>
        <v/>
      </c>
      <c r="F516">
        <f>IF([1]Accounts!$D$517="","",[1]Accounts!$B$517)</f>
        <v/>
      </c>
      <c r="G516">
        <f>IF([1]Accounts!$D$517="","",[1]Accounts!$C$517)</f>
        <v/>
      </c>
      <c r="H516">
        <f>IF([1]Accounts!$D$517="","",[1]Accounts!$D$517)</f>
        <v/>
      </c>
      <c r="L516">
        <f>IF([2]Entry!$C$519="","",[2]Entry!$C$519)</f>
        <v/>
      </c>
      <c r="M516">
        <f>IF([2]Entry!$J$519="","",[2]Entry!$J$519)</f>
        <v/>
      </c>
      <c r="N516">
        <f>IF([2]Entry!$M$519="","",[2]Entry!$M$519)</f>
        <v/>
      </c>
      <c r="O516">
        <f>IF([2]Entry!$N$519="","",[2]Entry!$N$519)</f>
        <v/>
      </c>
      <c r="P516">
        <f>IF([2]Entry!$S$519="","",[2]Entry!$S$519)</f>
        <v/>
      </c>
    </row>
    <row r="517">
      <c r="E517">
        <f>IF([1]Accounts!$D$518="","",[1]Accounts!$A$518)</f>
        <v/>
      </c>
      <c r="F517">
        <f>IF([1]Accounts!$D$518="","",[1]Accounts!$B$518)</f>
        <v/>
      </c>
      <c r="G517">
        <f>IF([1]Accounts!$D$518="","",[1]Accounts!$C$518)</f>
        <v/>
      </c>
      <c r="H517">
        <f>IF([1]Accounts!$D$518="","",[1]Accounts!$D$518)</f>
        <v/>
      </c>
      <c r="L517">
        <f>IF([2]Entry!$C$520="","",[2]Entry!$C$520)</f>
        <v/>
      </c>
      <c r="M517">
        <f>IF([2]Entry!$J$520="","",[2]Entry!$J$520)</f>
        <v/>
      </c>
      <c r="N517">
        <f>IF([2]Entry!$M$520="","",[2]Entry!$M$520)</f>
        <v/>
      </c>
      <c r="O517">
        <f>IF([2]Entry!$N$520="","",[2]Entry!$N$520)</f>
        <v/>
      </c>
      <c r="P517">
        <f>IF([2]Entry!$S$520="","",[2]Entry!$S$520)</f>
        <v/>
      </c>
    </row>
    <row r="518">
      <c r="E518">
        <f>IF([1]Accounts!$D$519="","",[1]Accounts!$A$519)</f>
        <v/>
      </c>
      <c r="F518">
        <f>IF([1]Accounts!$D$519="","",[1]Accounts!$B$519)</f>
        <v/>
      </c>
      <c r="G518">
        <f>IF([1]Accounts!$D$519="","",[1]Accounts!$C$519)</f>
        <v/>
      </c>
      <c r="H518">
        <f>IF([1]Accounts!$D$519="","",[1]Accounts!$D$519)</f>
        <v/>
      </c>
      <c r="L518">
        <f>IF([2]Entry!$C$521="","",[2]Entry!$C$521)</f>
        <v/>
      </c>
      <c r="M518">
        <f>IF([2]Entry!$J$521="","",[2]Entry!$J$521)</f>
        <v/>
      </c>
      <c r="N518">
        <f>IF([2]Entry!$M$521="","",[2]Entry!$M$521)</f>
        <v/>
      </c>
      <c r="O518">
        <f>IF([2]Entry!$N$521="","",[2]Entry!$N$521)</f>
        <v/>
      </c>
      <c r="P518">
        <f>IF([2]Entry!$S$521="","",[2]Entry!$S$521)</f>
        <v/>
      </c>
    </row>
    <row r="519">
      <c r="E519">
        <f>IF([1]Accounts!$D$520="","",[1]Accounts!$A$520)</f>
        <v/>
      </c>
      <c r="F519">
        <f>IF([1]Accounts!$D$520="","",[1]Accounts!$B$520)</f>
        <v/>
      </c>
      <c r="G519">
        <f>IF([1]Accounts!$D$520="","",[1]Accounts!$C$520)</f>
        <v/>
      </c>
      <c r="H519">
        <f>IF([1]Accounts!$D$520="","",[1]Accounts!$D$520)</f>
        <v/>
      </c>
      <c r="L519">
        <f>IF([2]Entry!$C$522="","",[2]Entry!$C$522)</f>
        <v/>
      </c>
      <c r="M519">
        <f>IF([2]Entry!$J$522="","",[2]Entry!$J$522)</f>
        <v/>
      </c>
      <c r="N519">
        <f>IF([2]Entry!$M$522="","",[2]Entry!$M$522)</f>
        <v/>
      </c>
      <c r="O519">
        <f>IF([2]Entry!$N$522="","",[2]Entry!$N$522)</f>
        <v/>
      </c>
      <c r="P519">
        <f>IF([2]Entry!$S$522="","",[2]Entry!$S$522)</f>
        <v/>
      </c>
    </row>
    <row r="520">
      <c r="E520">
        <f>IF([1]Accounts!$D$521="","",[1]Accounts!$A$521)</f>
        <v/>
      </c>
      <c r="F520">
        <f>IF([1]Accounts!$D$521="","",[1]Accounts!$B$521)</f>
        <v/>
      </c>
      <c r="G520">
        <f>IF([1]Accounts!$D$521="","",[1]Accounts!$C$521)</f>
        <v/>
      </c>
      <c r="H520">
        <f>IF([1]Accounts!$D$521="","",[1]Accounts!$D$521)</f>
        <v/>
      </c>
      <c r="L520">
        <f>IF([2]Entry!$C$523="","",[2]Entry!$C$523)</f>
        <v/>
      </c>
      <c r="M520">
        <f>IF([2]Entry!$J$523="","",[2]Entry!$J$523)</f>
        <v/>
      </c>
      <c r="N520">
        <f>IF([2]Entry!$M$523="","",[2]Entry!$M$523)</f>
        <v/>
      </c>
      <c r="O520">
        <f>IF([2]Entry!$N$523="","",[2]Entry!$N$523)</f>
        <v/>
      </c>
      <c r="P520">
        <f>IF([2]Entry!$S$523="","",[2]Entry!$S$523)</f>
        <v/>
      </c>
    </row>
    <row r="521">
      <c r="E521">
        <f>IF([1]Accounts!$D$522="","",[1]Accounts!$A$522)</f>
        <v/>
      </c>
      <c r="F521">
        <f>IF([1]Accounts!$D$522="","",[1]Accounts!$B$522)</f>
        <v/>
      </c>
      <c r="G521">
        <f>IF([1]Accounts!$D$522="","",[1]Accounts!$C$522)</f>
        <v/>
      </c>
      <c r="H521">
        <f>IF([1]Accounts!$D$522="","",[1]Accounts!$D$522)</f>
        <v/>
      </c>
      <c r="L521">
        <f>IF([2]Entry!$C$524="","",[2]Entry!$C$524)</f>
        <v/>
      </c>
      <c r="M521">
        <f>IF([2]Entry!$J$524="","",[2]Entry!$J$524)</f>
        <v/>
      </c>
      <c r="N521">
        <f>IF([2]Entry!$M$524="","",[2]Entry!$M$524)</f>
        <v/>
      </c>
      <c r="O521">
        <f>IF([2]Entry!$N$524="","",[2]Entry!$N$524)</f>
        <v/>
      </c>
      <c r="P521">
        <f>IF([2]Entry!$S$524="","",[2]Entry!$S$524)</f>
        <v/>
      </c>
    </row>
    <row r="522">
      <c r="E522">
        <f>IF([1]Accounts!$D$523="","",[1]Accounts!$A$523)</f>
        <v/>
      </c>
      <c r="F522">
        <f>IF([1]Accounts!$D$523="","",[1]Accounts!$B$523)</f>
        <v/>
      </c>
      <c r="G522">
        <f>IF([1]Accounts!$D$523="","",[1]Accounts!$C$523)</f>
        <v/>
      </c>
      <c r="H522">
        <f>IF([1]Accounts!$D$523="","",[1]Accounts!$D$523)</f>
        <v/>
      </c>
      <c r="L522">
        <f>IF([2]Entry!$C$525="","",[2]Entry!$C$525)</f>
        <v/>
      </c>
      <c r="M522">
        <f>IF([2]Entry!$J$525="","",[2]Entry!$J$525)</f>
        <v/>
      </c>
      <c r="N522">
        <f>IF([2]Entry!$M$525="","",[2]Entry!$M$525)</f>
        <v/>
      </c>
      <c r="O522">
        <f>IF([2]Entry!$N$525="","",[2]Entry!$N$525)</f>
        <v/>
      </c>
      <c r="P522">
        <f>IF([2]Entry!$S$525="","",[2]Entry!$S$525)</f>
        <v/>
      </c>
    </row>
    <row r="523">
      <c r="E523">
        <f>IF([1]Accounts!$D$524="","",[1]Accounts!$A$524)</f>
        <v/>
      </c>
      <c r="F523">
        <f>IF([1]Accounts!$D$524="","",[1]Accounts!$B$524)</f>
        <v/>
      </c>
      <c r="G523">
        <f>IF([1]Accounts!$D$524="","",[1]Accounts!$C$524)</f>
        <v/>
      </c>
      <c r="H523">
        <f>IF([1]Accounts!$D$524="","",[1]Accounts!$D$524)</f>
        <v/>
      </c>
      <c r="L523">
        <f>IF([2]Entry!$C$526="","",[2]Entry!$C$526)</f>
        <v/>
      </c>
      <c r="M523">
        <f>IF([2]Entry!$J$526="","",[2]Entry!$J$526)</f>
        <v/>
      </c>
      <c r="N523">
        <f>IF([2]Entry!$M$526="","",[2]Entry!$M$526)</f>
        <v/>
      </c>
      <c r="O523">
        <f>IF([2]Entry!$N$526="","",[2]Entry!$N$526)</f>
        <v/>
      </c>
      <c r="P523">
        <f>IF([2]Entry!$S$526="","",[2]Entry!$S$526)</f>
        <v/>
      </c>
    </row>
    <row r="524">
      <c r="E524">
        <f>IF([1]Accounts!$D$525="","",[1]Accounts!$A$525)</f>
        <v/>
      </c>
      <c r="F524">
        <f>IF([1]Accounts!$D$525="","",[1]Accounts!$B$525)</f>
        <v/>
      </c>
      <c r="G524">
        <f>IF([1]Accounts!$D$525="","",[1]Accounts!$C$525)</f>
        <v/>
      </c>
      <c r="H524">
        <f>IF([1]Accounts!$D$525="","",[1]Accounts!$D$525)</f>
        <v/>
      </c>
      <c r="L524">
        <f>IF([2]Entry!$C$527="","",[2]Entry!$C$527)</f>
        <v/>
      </c>
      <c r="M524">
        <f>IF([2]Entry!$J$527="","",[2]Entry!$J$527)</f>
        <v/>
      </c>
      <c r="N524">
        <f>IF([2]Entry!$M$527="","",[2]Entry!$M$527)</f>
        <v/>
      </c>
      <c r="O524">
        <f>IF([2]Entry!$N$527="","",[2]Entry!$N$527)</f>
        <v/>
      </c>
      <c r="P524">
        <f>IF([2]Entry!$S$527="","",[2]Entry!$S$527)</f>
        <v/>
      </c>
    </row>
    <row r="525">
      <c r="E525">
        <f>IF([1]Accounts!$D$526="","",[1]Accounts!$A$526)</f>
        <v/>
      </c>
      <c r="F525">
        <f>IF([1]Accounts!$D$526="","",[1]Accounts!$B$526)</f>
        <v/>
      </c>
      <c r="G525">
        <f>IF([1]Accounts!$D$526="","",[1]Accounts!$C$526)</f>
        <v/>
      </c>
      <c r="H525">
        <f>IF([1]Accounts!$D$526="","",[1]Accounts!$D$526)</f>
        <v/>
      </c>
      <c r="L525">
        <f>IF([2]Entry!$C$528="","",[2]Entry!$C$528)</f>
        <v/>
      </c>
      <c r="M525">
        <f>IF([2]Entry!$J$528="","",[2]Entry!$J$528)</f>
        <v/>
      </c>
      <c r="N525">
        <f>IF([2]Entry!$M$528="","",[2]Entry!$M$528)</f>
        <v/>
      </c>
      <c r="O525">
        <f>IF([2]Entry!$N$528="","",[2]Entry!$N$528)</f>
        <v/>
      </c>
      <c r="P525">
        <f>IF([2]Entry!$S$528="","",[2]Entry!$S$528)</f>
        <v/>
      </c>
    </row>
    <row r="526">
      <c r="E526">
        <f>IF([1]Accounts!$D$527="","",[1]Accounts!$A$527)</f>
        <v/>
      </c>
      <c r="F526">
        <f>IF([1]Accounts!$D$527="","",[1]Accounts!$B$527)</f>
        <v/>
      </c>
      <c r="G526">
        <f>IF([1]Accounts!$D$527="","",[1]Accounts!$C$527)</f>
        <v/>
      </c>
      <c r="H526">
        <f>IF([1]Accounts!$D$527="","",[1]Accounts!$D$527)</f>
        <v/>
      </c>
      <c r="L526">
        <f>IF([2]Entry!$C$529="","",[2]Entry!$C$529)</f>
        <v/>
      </c>
      <c r="M526">
        <f>IF([2]Entry!$J$529="","",[2]Entry!$J$529)</f>
        <v/>
      </c>
      <c r="N526">
        <f>IF([2]Entry!$M$529="","",[2]Entry!$M$529)</f>
        <v/>
      </c>
      <c r="O526">
        <f>IF([2]Entry!$N$529="","",[2]Entry!$N$529)</f>
        <v/>
      </c>
      <c r="P526">
        <f>IF([2]Entry!$S$529="","",[2]Entry!$S$529)</f>
        <v/>
      </c>
    </row>
    <row r="527">
      <c r="E527">
        <f>IF([1]Accounts!$D$528="","",[1]Accounts!$A$528)</f>
        <v/>
      </c>
      <c r="F527">
        <f>IF([1]Accounts!$D$528="","",[1]Accounts!$B$528)</f>
        <v/>
      </c>
      <c r="G527">
        <f>IF([1]Accounts!$D$528="","",[1]Accounts!$C$528)</f>
        <v/>
      </c>
      <c r="H527">
        <f>IF([1]Accounts!$D$528="","",[1]Accounts!$D$528)</f>
        <v/>
      </c>
      <c r="L527">
        <f>IF([2]Entry!$C$530="","",[2]Entry!$C$530)</f>
        <v/>
      </c>
      <c r="M527">
        <f>IF([2]Entry!$J$530="","",[2]Entry!$J$530)</f>
        <v/>
      </c>
      <c r="N527">
        <f>IF([2]Entry!$M$530="","",[2]Entry!$M$530)</f>
        <v/>
      </c>
      <c r="O527">
        <f>IF([2]Entry!$N$530="","",[2]Entry!$N$530)</f>
        <v/>
      </c>
      <c r="P527">
        <f>IF([2]Entry!$S$530="","",[2]Entry!$S$530)</f>
        <v/>
      </c>
    </row>
    <row r="528">
      <c r="E528">
        <f>IF([1]Accounts!$D$529="","",[1]Accounts!$A$529)</f>
        <v/>
      </c>
      <c r="F528">
        <f>IF([1]Accounts!$D$529="","",[1]Accounts!$B$529)</f>
        <v/>
      </c>
      <c r="G528">
        <f>IF([1]Accounts!$D$529="","",[1]Accounts!$C$529)</f>
        <v/>
      </c>
      <c r="H528">
        <f>IF([1]Accounts!$D$529="","",[1]Accounts!$D$529)</f>
        <v/>
      </c>
      <c r="L528">
        <f>IF([2]Entry!$C$531="","",[2]Entry!$C$531)</f>
        <v/>
      </c>
      <c r="M528">
        <f>IF([2]Entry!$J$531="","",[2]Entry!$J$531)</f>
        <v/>
      </c>
      <c r="N528">
        <f>IF([2]Entry!$M$531="","",[2]Entry!$M$531)</f>
        <v/>
      </c>
      <c r="O528">
        <f>IF([2]Entry!$N$531="","",[2]Entry!$N$531)</f>
        <v/>
      </c>
      <c r="P528">
        <f>IF([2]Entry!$S$531="","",[2]Entry!$S$531)</f>
        <v/>
      </c>
    </row>
    <row r="529">
      <c r="E529">
        <f>IF([1]Accounts!$D$530="","",[1]Accounts!$A$530)</f>
        <v/>
      </c>
      <c r="F529">
        <f>IF([1]Accounts!$D$530="","",[1]Accounts!$B$530)</f>
        <v/>
      </c>
      <c r="G529">
        <f>IF([1]Accounts!$D$530="","",[1]Accounts!$C$530)</f>
        <v/>
      </c>
      <c r="H529">
        <f>IF([1]Accounts!$D$530="","",[1]Accounts!$D$530)</f>
        <v/>
      </c>
      <c r="L529">
        <f>IF([2]Entry!$C$532="","",[2]Entry!$C$532)</f>
        <v/>
      </c>
      <c r="M529">
        <f>IF([2]Entry!$J$532="","",[2]Entry!$J$532)</f>
        <v/>
      </c>
      <c r="N529">
        <f>IF([2]Entry!$M$532="","",[2]Entry!$M$532)</f>
        <v/>
      </c>
      <c r="O529">
        <f>IF([2]Entry!$N$532="","",[2]Entry!$N$532)</f>
        <v/>
      </c>
      <c r="P529">
        <f>IF([2]Entry!$S$532="","",[2]Entry!$S$532)</f>
        <v/>
      </c>
    </row>
    <row r="530">
      <c r="E530">
        <f>IF([1]Accounts!$D$531="","",[1]Accounts!$A$531)</f>
        <v/>
      </c>
      <c r="F530">
        <f>IF([1]Accounts!$D$531="","",[1]Accounts!$B$531)</f>
        <v/>
      </c>
      <c r="G530">
        <f>IF([1]Accounts!$D$531="","",[1]Accounts!$C$531)</f>
        <v/>
      </c>
      <c r="H530">
        <f>IF([1]Accounts!$D$531="","",[1]Accounts!$D$531)</f>
        <v/>
      </c>
      <c r="L530">
        <f>IF([2]Entry!$C$533="","",[2]Entry!$C$533)</f>
        <v/>
      </c>
      <c r="M530">
        <f>IF([2]Entry!$J$533="","",[2]Entry!$J$533)</f>
        <v/>
      </c>
      <c r="N530">
        <f>IF([2]Entry!$M$533="","",[2]Entry!$M$533)</f>
        <v/>
      </c>
      <c r="O530">
        <f>IF([2]Entry!$N$533="","",[2]Entry!$N$533)</f>
        <v/>
      </c>
      <c r="P530">
        <f>IF([2]Entry!$S$533="","",[2]Entry!$S$533)</f>
        <v/>
      </c>
    </row>
    <row r="531">
      <c r="E531">
        <f>IF([1]Accounts!$D$532="","",[1]Accounts!$A$532)</f>
        <v/>
      </c>
      <c r="F531">
        <f>IF([1]Accounts!$D$532="","",[1]Accounts!$B$532)</f>
        <v/>
      </c>
      <c r="G531">
        <f>IF([1]Accounts!$D$532="","",[1]Accounts!$C$532)</f>
        <v/>
      </c>
      <c r="H531">
        <f>IF([1]Accounts!$D$532="","",[1]Accounts!$D$532)</f>
        <v/>
      </c>
      <c r="L531">
        <f>IF([2]Entry!$C$534="","",[2]Entry!$C$534)</f>
        <v/>
      </c>
      <c r="M531">
        <f>IF([2]Entry!$J$534="","",[2]Entry!$J$534)</f>
        <v/>
      </c>
      <c r="N531">
        <f>IF([2]Entry!$M$534="","",[2]Entry!$M$534)</f>
        <v/>
      </c>
      <c r="O531">
        <f>IF([2]Entry!$N$534="","",[2]Entry!$N$534)</f>
        <v/>
      </c>
      <c r="P531">
        <f>IF([2]Entry!$S$534="","",[2]Entry!$S$534)</f>
        <v/>
      </c>
    </row>
    <row r="532">
      <c r="E532">
        <f>IF([1]Accounts!$D$533="","",[1]Accounts!$A$533)</f>
        <v/>
      </c>
      <c r="F532">
        <f>IF([1]Accounts!$D$533="","",[1]Accounts!$B$533)</f>
        <v/>
      </c>
      <c r="G532">
        <f>IF([1]Accounts!$D$533="","",[1]Accounts!$C$533)</f>
        <v/>
      </c>
      <c r="H532">
        <f>IF([1]Accounts!$D$533="","",[1]Accounts!$D$533)</f>
        <v/>
      </c>
      <c r="L532">
        <f>IF([2]Entry!$C$535="","",[2]Entry!$C$535)</f>
        <v/>
      </c>
      <c r="M532">
        <f>IF([2]Entry!$J$535="","",[2]Entry!$J$535)</f>
        <v/>
      </c>
      <c r="N532">
        <f>IF([2]Entry!$M$535="","",[2]Entry!$M$535)</f>
        <v/>
      </c>
      <c r="O532">
        <f>IF([2]Entry!$N$535="","",[2]Entry!$N$535)</f>
        <v/>
      </c>
      <c r="P532">
        <f>IF([2]Entry!$S$535="","",[2]Entry!$S$535)</f>
        <v/>
      </c>
    </row>
    <row r="533">
      <c r="E533">
        <f>IF([1]Accounts!$D$534="","",[1]Accounts!$A$534)</f>
        <v/>
      </c>
      <c r="F533">
        <f>IF([1]Accounts!$D$534="","",[1]Accounts!$B$534)</f>
        <v/>
      </c>
      <c r="G533">
        <f>IF([1]Accounts!$D$534="","",[1]Accounts!$C$534)</f>
        <v/>
      </c>
      <c r="H533">
        <f>IF([1]Accounts!$D$534="","",[1]Accounts!$D$534)</f>
        <v/>
      </c>
      <c r="L533">
        <f>IF([2]Entry!$C$536="","",[2]Entry!$C$536)</f>
        <v/>
      </c>
      <c r="M533">
        <f>IF([2]Entry!$J$536="","",[2]Entry!$J$536)</f>
        <v/>
      </c>
      <c r="N533">
        <f>IF([2]Entry!$M$536="","",[2]Entry!$M$536)</f>
        <v/>
      </c>
      <c r="O533">
        <f>IF([2]Entry!$N$536="","",[2]Entry!$N$536)</f>
        <v/>
      </c>
      <c r="P533">
        <f>IF([2]Entry!$S$536="","",[2]Entry!$S$536)</f>
        <v/>
      </c>
    </row>
    <row r="534">
      <c r="E534">
        <f>IF([1]Accounts!$D$535="","",[1]Accounts!$A$535)</f>
        <v/>
      </c>
      <c r="F534">
        <f>IF([1]Accounts!$D$535="","",[1]Accounts!$B$535)</f>
        <v/>
      </c>
      <c r="G534">
        <f>IF([1]Accounts!$D$535="","",[1]Accounts!$C$535)</f>
        <v/>
      </c>
      <c r="H534">
        <f>IF([1]Accounts!$D$535="","",[1]Accounts!$D$535)</f>
        <v/>
      </c>
      <c r="L534">
        <f>IF([2]Entry!$C$537="","",[2]Entry!$C$537)</f>
        <v/>
      </c>
      <c r="M534">
        <f>IF([2]Entry!$J$537="","",[2]Entry!$J$537)</f>
        <v/>
      </c>
      <c r="N534">
        <f>IF([2]Entry!$M$537="","",[2]Entry!$M$537)</f>
        <v/>
      </c>
      <c r="O534">
        <f>IF([2]Entry!$N$537="","",[2]Entry!$N$537)</f>
        <v/>
      </c>
      <c r="P534">
        <f>IF([2]Entry!$S$537="","",[2]Entry!$S$537)</f>
        <v/>
      </c>
    </row>
    <row r="535">
      <c r="E535">
        <f>IF([1]Accounts!$D$536="","",[1]Accounts!$A$536)</f>
        <v/>
      </c>
      <c r="F535">
        <f>IF([1]Accounts!$D$536="","",[1]Accounts!$B$536)</f>
        <v/>
      </c>
      <c r="G535">
        <f>IF([1]Accounts!$D$536="","",[1]Accounts!$C$536)</f>
        <v/>
      </c>
      <c r="H535">
        <f>IF([1]Accounts!$D$536="","",[1]Accounts!$D$536)</f>
        <v/>
      </c>
      <c r="L535">
        <f>IF([2]Entry!$C$538="","",[2]Entry!$C$538)</f>
        <v/>
      </c>
      <c r="M535">
        <f>IF([2]Entry!$J$538="","",[2]Entry!$J$538)</f>
        <v/>
      </c>
      <c r="N535">
        <f>IF([2]Entry!$M$538="","",[2]Entry!$M$538)</f>
        <v/>
      </c>
      <c r="O535">
        <f>IF([2]Entry!$N$538="","",[2]Entry!$N$538)</f>
        <v/>
      </c>
      <c r="P535">
        <f>IF([2]Entry!$S$538="","",[2]Entry!$S$538)</f>
        <v/>
      </c>
    </row>
    <row r="536">
      <c r="E536">
        <f>IF([1]Accounts!$D$537="","",[1]Accounts!$A$537)</f>
        <v/>
      </c>
      <c r="F536">
        <f>IF([1]Accounts!$D$537="","",[1]Accounts!$B$537)</f>
        <v/>
      </c>
      <c r="G536">
        <f>IF([1]Accounts!$D$537="","",[1]Accounts!$C$537)</f>
        <v/>
      </c>
      <c r="H536">
        <f>IF([1]Accounts!$D$537="","",[1]Accounts!$D$537)</f>
        <v/>
      </c>
      <c r="L536">
        <f>IF([2]Entry!$C$539="","",[2]Entry!$C$539)</f>
        <v/>
      </c>
      <c r="M536">
        <f>IF([2]Entry!$J$539="","",[2]Entry!$J$539)</f>
        <v/>
      </c>
      <c r="N536">
        <f>IF([2]Entry!$M$539="","",[2]Entry!$M$539)</f>
        <v/>
      </c>
      <c r="O536">
        <f>IF([2]Entry!$N$539="","",[2]Entry!$N$539)</f>
        <v/>
      </c>
      <c r="P536">
        <f>IF([2]Entry!$S$539="","",[2]Entry!$S$539)</f>
        <v/>
      </c>
    </row>
    <row r="537">
      <c r="E537">
        <f>IF([1]Accounts!$D$538="","",[1]Accounts!$A$538)</f>
        <v/>
      </c>
      <c r="F537">
        <f>IF([1]Accounts!$D$538="","",[1]Accounts!$B$538)</f>
        <v/>
      </c>
      <c r="G537">
        <f>IF([1]Accounts!$D$538="","",[1]Accounts!$C$538)</f>
        <v/>
      </c>
      <c r="H537">
        <f>IF([1]Accounts!$D$538="","",[1]Accounts!$D$538)</f>
        <v/>
      </c>
      <c r="L537">
        <f>IF([2]Entry!$C$540="","",[2]Entry!$C$540)</f>
        <v/>
      </c>
      <c r="M537">
        <f>IF([2]Entry!$J$540="","",[2]Entry!$J$540)</f>
        <v/>
      </c>
      <c r="N537">
        <f>IF([2]Entry!$M$540="","",[2]Entry!$M$540)</f>
        <v/>
      </c>
      <c r="O537">
        <f>IF([2]Entry!$N$540="","",[2]Entry!$N$540)</f>
        <v/>
      </c>
      <c r="P537">
        <f>IF([2]Entry!$S$540="","",[2]Entry!$S$540)</f>
        <v/>
      </c>
    </row>
    <row r="538">
      <c r="E538">
        <f>IF([1]Accounts!$D$539="","",[1]Accounts!$A$539)</f>
        <v/>
      </c>
      <c r="F538">
        <f>IF([1]Accounts!$D$539="","",[1]Accounts!$B$539)</f>
        <v/>
      </c>
      <c r="G538">
        <f>IF([1]Accounts!$D$539="","",[1]Accounts!$C$539)</f>
        <v/>
      </c>
      <c r="H538">
        <f>IF([1]Accounts!$D$539="","",[1]Accounts!$D$539)</f>
        <v/>
      </c>
      <c r="L538">
        <f>IF([2]Entry!$C$541="","",[2]Entry!$C$541)</f>
        <v/>
      </c>
      <c r="M538">
        <f>IF([2]Entry!$J$541="","",[2]Entry!$J$541)</f>
        <v/>
      </c>
      <c r="N538">
        <f>IF([2]Entry!$M$541="","",[2]Entry!$M$541)</f>
        <v/>
      </c>
      <c r="O538">
        <f>IF([2]Entry!$N$541="","",[2]Entry!$N$541)</f>
        <v/>
      </c>
      <c r="P538">
        <f>IF([2]Entry!$S$541="","",[2]Entry!$S$541)</f>
        <v/>
      </c>
    </row>
    <row r="539">
      <c r="E539">
        <f>IF([1]Accounts!$D$540="","",[1]Accounts!$A$540)</f>
        <v/>
      </c>
      <c r="F539">
        <f>IF([1]Accounts!$D$540="","",[1]Accounts!$B$540)</f>
        <v/>
      </c>
      <c r="G539">
        <f>IF([1]Accounts!$D$540="","",[1]Accounts!$C$540)</f>
        <v/>
      </c>
      <c r="H539">
        <f>IF([1]Accounts!$D$540="","",[1]Accounts!$D$540)</f>
        <v/>
      </c>
      <c r="L539">
        <f>IF([2]Entry!$C$542="","",[2]Entry!$C$542)</f>
        <v/>
      </c>
      <c r="M539">
        <f>IF([2]Entry!$J$542="","",[2]Entry!$J$542)</f>
        <v/>
      </c>
      <c r="N539">
        <f>IF([2]Entry!$M$542="","",[2]Entry!$M$542)</f>
        <v/>
      </c>
      <c r="O539">
        <f>IF([2]Entry!$N$542="","",[2]Entry!$N$542)</f>
        <v/>
      </c>
      <c r="P539">
        <f>IF([2]Entry!$S$542="","",[2]Entry!$S$542)</f>
        <v/>
      </c>
    </row>
    <row r="540">
      <c r="E540">
        <f>IF([1]Accounts!$D$541="","",[1]Accounts!$A$541)</f>
        <v/>
      </c>
      <c r="F540">
        <f>IF([1]Accounts!$D$541="","",[1]Accounts!$B$541)</f>
        <v/>
      </c>
      <c r="G540">
        <f>IF([1]Accounts!$D$541="","",[1]Accounts!$C$541)</f>
        <v/>
      </c>
      <c r="H540">
        <f>IF([1]Accounts!$D$541="","",[1]Accounts!$D$541)</f>
        <v/>
      </c>
      <c r="L540">
        <f>IF([2]Entry!$C$543="","",[2]Entry!$C$543)</f>
        <v/>
      </c>
      <c r="M540">
        <f>IF([2]Entry!$J$543="","",[2]Entry!$J$543)</f>
        <v/>
      </c>
      <c r="N540">
        <f>IF([2]Entry!$M$543="","",[2]Entry!$M$543)</f>
        <v/>
      </c>
      <c r="O540">
        <f>IF([2]Entry!$N$543="","",[2]Entry!$N$543)</f>
        <v/>
      </c>
      <c r="P540">
        <f>IF([2]Entry!$S$543="","",[2]Entry!$S$543)</f>
        <v/>
      </c>
    </row>
    <row r="541">
      <c r="E541">
        <f>IF([1]Accounts!$D$542="","",[1]Accounts!$A$542)</f>
        <v/>
      </c>
      <c r="F541">
        <f>IF([1]Accounts!$D$542="","",[1]Accounts!$B$542)</f>
        <v/>
      </c>
      <c r="G541">
        <f>IF([1]Accounts!$D$542="","",[1]Accounts!$C$542)</f>
        <v/>
      </c>
      <c r="H541">
        <f>IF([1]Accounts!$D$542="","",[1]Accounts!$D$542)</f>
        <v/>
      </c>
      <c r="L541">
        <f>IF([2]Entry!$C$544="","",[2]Entry!$C$544)</f>
        <v/>
      </c>
      <c r="M541">
        <f>IF([2]Entry!$J$544="","",[2]Entry!$J$544)</f>
        <v/>
      </c>
      <c r="N541">
        <f>IF([2]Entry!$M$544="","",[2]Entry!$M$544)</f>
        <v/>
      </c>
      <c r="O541">
        <f>IF([2]Entry!$N$544="","",[2]Entry!$N$544)</f>
        <v/>
      </c>
      <c r="P541">
        <f>IF([2]Entry!$S$544="","",[2]Entry!$S$544)</f>
        <v/>
      </c>
    </row>
    <row r="542">
      <c r="E542">
        <f>IF([1]Accounts!$D$543="","",[1]Accounts!$A$543)</f>
        <v/>
      </c>
      <c r="F542">
        <f>IF([1]Accounts!$D$543="","",[1]Accounts!$B$543)</f>
        <v/>
      </c>
      <c r="G542">
        <f>IF([1]Accounts!$D$543="","",[1]Accounts!$C$543)</f>
        <v/>
      </c>
      <c r="H542">
        <f>IF([1]Accounts!$D$543="","",[1]Accounts!$D$543)</f>
        <v/>
      </c>
      <c r="L542">
        <f>IF([2]Entry!$C$545="","",[2]Entry!$C$545)</f>
        <v/>
      </c>
      <c r="M542">
        <f>IF([2]Entry!$J$545="","",[2]Entry!$J$545)</f>
        <v/>
      </c>
      <c r="N542">
        <f>IF([2]Entry!$M$545="","",[2]Entry!$M$545)</f>
        <v/>
      </c>
      <c r="O542">
        <f>IF([2]Entry!$N$545="","",[2]Entry!$N$545)</f>
        <v/>
      </c>
      <c r="P542">
        <f>IF([2]Entry!$S$545="","",[2]Entry!$S$545)</f>
        <v/>
      </c>
    </row>
    <row r="543">
      <c r="E543">
        <f>IF([1]Accounts!$D$544="","",[1]Accounts!$A$544)</f>
        <v/>
      </c>
      <c r="F543">
        <f>IF([1]Accounts!$D$544="","",[1]Accounts!$B$544)</f>
        <v/>
      </c>
      <c r="G543">
        <f>IF([1]Accounts!$D$544="","",[1]Accounts!$C$544)</f>
        <v/>
      </c>
      <c r="H543">
        <f>IF([1]Accounts!$D$544="","",[1]Accounts!$D$544)</f>
        <v/>
      </c>
      <c r="L543">
        <f>IF([2]Entry!$C$546="","",[2]Entry!$C$546)</f>
        <v/>
      </c>
      <c r="M543">
        <f>IF([2]Entry!$J$546="","",[2]Entry!$J$546)</f>
        <v/>
      </c>
      <c r="N543">
        <f>IF([2]Entry!$M$546="","",[2]Entry!$M$546)</f>
        <v/>
      </c>
      <c r="O543">
        <f>IF([2]Entry!$N$546="","",[2]Entry!$N$546)</f>
        <v/>
      </c>
      <c r="P543">
        <f>IF([2]Entry!$S$546="","",[2]Entry!$S$546)</f>
        <v/>
      </c>
    </row>
    <row r="544">
      <c r="E544">
        <f>IF([1]Accounts!$D$545="","",[1]Accounts!$A$545)</f>
        <v/>
      </c>
      <c r="F544">
        <f>IF([1]Accounts!$D$545="","",[1]Accounts!$B$545)</f>
        <v/>
      </c>
      <c r="G544">
        <f>IF([1]Accounts!$D$545="","",[1]Accounts!$C$545)</f>
        <v/>
      </c>
      <c r="H544">
        <f>IF([1]Accounts!$D$545="","",[1]Accounts!$D$545)</f>
        <v/>
      </c>
      <c r="L544">
        <f>IF([2]Entry!$C$547="","",[2]Entry!$C$547)</f>
        <v/>
      </c>
      <c r="M544">
        <f>IF([2]Entry!$J$547="","",[2]Entry!$J$547)</f>
        <v/>
      </c>
      <c r="N544">
        <f>IF([2]Entry!$M$547="","",[2]Entry!$M$547)</f>
        <v/>
      </c>
      <c r="O544">
        <f>IF([2]Entry!$N$547="","",[2]Entry!$N$547)</f>
        <v/>
      </c>
      <c r="P544">
        <f>IF([2]Entry!$S$547="","",[2]Entry!$S$547)</f>
        <v/>
      </c>
    </row>
    <row r="545">
      <c r="E545">
        <f>IF([1]Accounts!$D$546="","",[1]Accounts!$A$546)</f>
        <v/>
      </c>
      <c r="F545">
        <f>IF([1]Accounts!$D$546="","",[1]Accounts!$B$546)</f>
        <v/>
      </c>
      <c r="G545">
        <f>IF([1]Accounts!$D$546="","",[1]Accounts!$C$546)</f>
        <v/>
      </c>
      <c r="H545">
        <f>IF([1]Accounts!$D$546="","",[1]Accounts!$D$546)</f>
        <v/>
      </c>
      <c r="L545">
        <f>IF([2]Entry!$C$548="","",[2]Entry!$C$548)</f>
        <v/>
      </c>
      <c r="M545">
        <f>IF([2]Entry!$J$548="","",[2]Entry!$J$548)</f>
        <v/>
      </c>
      <c r="N545">
        <f>IF([2]Entry!$M$548="","",[2]Entry!$M$548)</f>
        <v/>
      </c>
      <c r="O545">
        <f>IF([2]Entry!$N$548="","",[2]Entry!$N$548)</f>
        <v/>
      </c>
      <c r="P545">
        <f>IF([2]Entry!$S$548="","",[2]Entry!$S$548)</f>
        <v/>
      </c>
    </row>
    <row r="546">
      <c r="E546">
        <f>IF([1]Accounts!$D$547="","",[1]Accounts!$A$547)</f>
        <v/>
      </c>
      <c r="F546">
        <f>IF([1]Accounts!$D$547="","",[1]Accounts!$B$547)</f>
        <v/>
      </c>
      <c r="G546">
        <f>IF([1]Accounts!$D$547="","",[1]Accounts!$C$547)</f>
        <v/>
      </c>
      <c r="H546">
        <f>IF([1]Accounts!$D$547="","",[1]Accounts!$D$547)</f>
        <v/>
      </c>
      <c r="L546">
        <f>IF([2]Entry!$C$549="","",[2]Entry!$C$549)</f>
        <v/>
      </c>
      <c r="M546">
        <f>IF([2]Entry!$J$549="","",[2]Entry!$J$549)</f>
        <v/>
      </c>
      <c r="N546">
        <f>IF([2]Entry!$M$549="","",[2]Entry!$M$549)</f>
        <v/>
      </c>
      <c r="O546">
        <f>IF([2]Entry!$N$549="","",[2]Entry!$N$549)</f>
        <v/>
      </c>
      <c r="P546">
        <f>IF([2]Entry!$S$549="","",[2]Entry!$S$549)</f>
        <v/>
      </c>
    </row>
    <row r="547">
      <c r="E547">
        <f>IF([1]Accounts!$D$548="","",[1]Accounts!$A$548)</f>
        <v/>
      </c>
      <c r="F547">
        <f>IF([1]Accounts!$D$548="","",[1]Accounts!$B$548)</f>
        <v/>
      </c>
      <c r="G547">
        <f>IF([1]Accounts!$D$548="","",[1]Accounts!$C$548)</f>
        <v/>
      </c>
      <c r="H547">
        <f>IF([1]Accounts!$D$548="","",[1]Accounts!$D$548)</f>
        <v/>
      </c>
      <c r="L547">
        <f>IF([2]Entry!$C$550="","",[2]Entry!$C$550)</f>
        <v/>
      </c>
      <c r="M547">
        <f>IF([2]Entry!$J$550="","",[2]Entry!$J$550)</f>
        <v/>
      </c>
      <c r="N547">
        <f>IF([2]Entry!$M$550="","",[2]Entry!$M$550)</f>
        <v/>
      </c>
      <c r="O547">
        <f>IF([2]Entry!$N$550="","",[2]Entry!$N$550)</f>
        <v/>
      </c>
      <c r="P547">
        <f>IF([2]Entry!$S$550="","",[2]Entry!$S$550)</f>
        <v/>
      </c>
    </row>
    <row r="548">
      <c r="E548">
        <f>IF([1]Accounts!$D$549="","",[1]Accounts!$A$549)</f>
        <v/>
      </c>
      <c r="F548">
        <f>IF([1]Accounts!$D$549="","",[1]Accounts!$B$549)</f>
        <v/>
      </c>
      <c r="G548">
        <f>IF([1]Accounts!$D$549="","",[1]Accounts!$C$549)</f>
        <v/>
      </c>
      <c r="H548">
        <f>IF([1]Accounts!$D$549="","",[1]Accounts!$D$549)</f>
        <v/>
      </c>
      <c r="L548">
        <f>IF([2]Entry!$C$551="","",[2]Entry!$C$551)</f>
        <v/>
      </c>
      <c r="M548">
        <f>IF([2]Entry!$J$551="","",[2]Entry!$J$551)</f>
        <v/>
      </c>
      <c r="N548">
        <f>IF([2]Entry!$M$551="","",[2]Entry!$M$551)</f>
        <v/>
      </c>
      <c r="O548">
        <f>IF([2]Entry!$N$551="","",[2]Entry!$N$551)</f>
        <v/>
      </c>
      <c r="P548">
        <f>IF([2]Entry!$S$551="","",[2]Entry!$S$551)</f>
        <v/>
      </c>
    </row>
    <row r="549">
      <c r="E549">
        <f>IF([1]Accounts!$D$550="","",[1]Accounts!$A$550)</f>
        <v/>
      </c>
      <c r="F549">
        <f>IF([1]Accounts!$D$550="","",[1]Accounts!$B$550)</f>
        <v/>
      </c>
      <c r="G549">
        <f>IF([1]Accounts!$D$550="","",[1]Accounts!$C$550)</f>
        <v/>
      </c>
      <c r="H549">
        <f>IF([1]Accounts!$D$550="","",[1]Accounts!$D$550)</f>
        <v/>
      </c>
      <c r="L549">
        <f>IF([2]Entry!$C$552="","",[2]Entry!$C$552)</f>
        <v/>
      </c>
      <c r="M549">
        <f>IF([2]Entry!$J$552="","",[2]Entry!$J$552)</f>
        <v/>
      </c>
      <c r="N549">
        <f>IF([2]Entry!$M$552="","",[2]Entry!$M$552)</f>
        <v/>
      </c>
      <c r="O549">
        <f>IF([2]Entry!$N$552="","",[2]Entry!$N$552)</f>
        <v/>
      </c>
      <c r="P549">
        <f>IF([2]Entry!$S$552="","",[2]Entry!$S$552)</f>
        <v/>
      </c>
    </row>
    <row r="550">
      <c r="E550">
        <f>IF([1]Accounts!$D$551="","",[1]Accounts!$A$551)</f>
        <v/>
      </c>
      <c r="F550">
        <f>IF([1]Accounts!$D$551="","",[1]Accounts!$B$551)</f>
        <v/>
      </c>
      <c r="G550">
        <f>IF([1]Accounts!$D$551="","",[1]Accounts!$C$551)</f>
        <v/>
      </c>
      <c r="H550">
        <f>IF([1]Accounts!$D$551="","",[1]Accounts!$D$551)</f>
        <v/>
      </c>
      <c r="L550">
        <f>IF([2]Entry!$C$553="","",[2]Entry!$C$553)</f>
        <v/>
      </c>
      <c r="M550">
        <f>IF([2]Entry!$J$553="","",[2]Entry!$J$553)</f>
        <v/>
      </c>
      <c r="N550">
        <f>IF([2]Entry!$M$553="","",[2]Entry!$M$553)</f>
        <v/>
      </c>
      <c r="O550">
        <f>IF([2]Entry!$N$553="","",[2]Entry!$N$553)</f>
        <v/>
      </c>
      <c r="P550">
        <f>IF([2]Entry!$S$553="","",[2]Entry!$S$553)</f>
        <v/>
      </c>
    </row>
    <row r="551">
      <c r="E551">
        <f>IF([1]Accounts!$D$552="","",[1]Accounts!$A$552)</f>
        <v/>
      </c>
      <c r="F551">
        <f>IF([1]Accounts!$D$552="","",[1]Accounts!$B$552)</f>
        <v/>
      </c>
      <c r="G551">
        <f>IF([1]Accounts!$D$552="","",[1]Accounts!$C$552)</f>
        <v/>
      </c>
      <c r="H551">
        <f>IF([1]Accounts!$D$552="","",[1]Accounts!$D$552)</f>
        <v/>
      </c>
      <c r="L551">
        <f>IF([2]Entry!$C$554="","",[2]Entry!$C$554)</f>
        <v/>
      </c>
      <c r="M551">
        <f>IF([2]Entry!$J$554="","",[2]Entry!$J$554)</f>
        <v/>
      </c>
      <c r="N551">
        <f>IF([2]Entry!$M$554="","",[2]Entry!$M$554)</f>
        <v/>
      </c>
      <c r="O551">
        <f>IF([2]Entry!$N$554="","",[2]Entry!$N$554)</f>
        <v/>
      </c>
      <c r="P551">
        <f>IF([2]Entry!$S$554="","",[2]Entry!$S$554)</f>
        <v/>
      </c>
    </row>
    <row r="552">
      <c r="E552">
        <f>IF([1]Accounts!$D$553="","",[1]Accounts!$A$553)</f>
        <v/>
      </c>
      <c r="F552">
        <f>IF([1]Accounts!$D$553="","",[1]Accounts!$B$553)</f>
        <v/>
      </c>
      <c r="G552">
        <f>IF([1]Accounts!$D$553="","",[1]Accounts!$C$553)</f>
        <v/>
      </c>
      <c r="H552">
        <f>IF([1]Accounts!$D$553="","",[1]Accounts!$D$553)</f>
        <v/>
      </c>
      <c r="L552">
        <f>IF([2]Entry!$C$555="","",[2]Entry!$C$555)</f>
        <v/>
      </c>
      <c r="M552">
        <f>IF([2]Entry!$J$555="","",[2]Entry!$J$555)</f>
        <v/>
      </c>
      <c r="N552">
        <f>IF([2]Entry!$M$555="","",[2]Entry!$M$555)</f>
        <v/>
      </c>
      <c r="O552">
        <f>IF([2]Entry!$N$555="","",[2]Entry!$N$555)</f>
        <v/>
      </c>
      <c r="P552">
        <f>IF([2]Entry!$S$555="","",[2]Entry!$S$555)</f>
        <v/>
      </c>
    </row>
    <row r="553">
      <c r="E553">
        <f>IF([1]Accounts!$D$554="","",[1]Accounts!$A$554)</f>
        <v/>
      </c>
      <c r="F553">
        <f>IF([1]Accounts!$D$554="","",[1]Accounts!$B$554)</f>
        <v/>
      </c>
      <c r="G553">
        <f>IF([1]Accounts!$D$554="","",[1]Accounts!$C$554)</f>
        <v/>
      </c>
      <c r="H553">
        <f>IF([1]Accounts!$D$554="","",[1]Accounts!$D$554)</f>
        <v/>
      </c>
      <c r="L553">
        <f>IF([2]Entry!$C$556="","",[2]Entry!$C$556)</f>
        <v/>
      </c>
      <c r="M553">
        <f>IF([2]Entry!$J$556="","",[2]Entry!$J$556)</f>
        <v/>
      </c>
      <c r="N553">
        <f>IF([2]Entry!$M$556="","",[2]Entry!$M$556)</f>
        <v/>
      </c>
      <c r="O553">
        <f>IF([2]Entry!$N$556="","",[2]Entry!$N$556)</f>
        <v/>
      </c>
      <c r="P553">
        <f>IF([2]Entry!$S$556="","",[2]Entry!$S$556)</f>
        <v/>
      </c>
    </row>
    <row r="554">
      <c r="E554">
        <f>IF([1]Accounts!$D$555="","",[1]Accounts!$A$555)</f>
        <v/>
      </c>
      <c r="F554">
        <f>IF([1]Accounts!$D$555="","",[1]Accounts!$B$555)</f>
        <v/>
      </c>
      <c r="G554">
        <f>IF([1]Accounts!$D$555="","",[1]Accounts!$C$555)</f>
        <v/>
      </c>
      <c r="H554">
        <f>IF([1]Accounts!$D$555="","",[1]Accounts!$D$555)</f>
        <v/>
      </c>
      <c r="L554">
        <f>IF([2]Entry!$C$557="","",[2]Entry!$C$557)</f>
        <v/>
      </c>
      <c r="M554">
        <f>IF([2]Entry!$J$557="","",[2]Entry!$J$557)</f>
        <v/>
      </c>
      <c r="N554">
        <f>IF([2]Entry!$M$557="","",[2]Entry!$M$557)</f>
        <v/>
      </c>
      <c r="O554">
        <f>IF([2]Entry!$N$557="","",[2]Entry!$N$557)</f>
        <v/>
      </c>
      <c r="P554">
        <f>IF([2]Entry!$S$557="","",[2]Entry!$S$557)</f>
        <v/>
      </c>
    </row>
    <row r="555">
      <c r="E555">
        <f>IF([1]Accounts!$D$556="","",[1]Accounts!$A$556)</f>
        <v/>
      </c>
      <c r="F555">
        <f>IF([1]Accounts!$D$556="","",[1]Accounts!$B$556)</f>
        <v/>
      </c>
      <c r="G555">
        <f>IF([1]Accounts!$D$556="","",[1]Accounts!$C$556)</f>
        <v/>
      </c>
      <c r="H555">
        <f>IF([1]Accounts!$D$556="","",[1]Accounts!$D$556)</f>
        <v/>
      </c>
      <c r="L555">
        <f>IF([2]Entry!$C$558="","",[2]Entry!$C$558)</f>
        <v/>
      </c>
      <c r="M555">
        <f>IF([2]Entry!$J$558="","",[2]Entry!$J$558)</f>
        <v/>
      </c>
      <c r="N555">
        <f>IF([2]Entry!$M$558="","",[2]Entry!$M$558)</f>
        <v/>
      </c>
      <c r="O555">
        <f>IF([2]Entry!$N$558="","",[2]Entry!$N$558)</f>
        <v/>
      </c>
      <c r="P555">
        <f>IF([2]Entry!$S$558="","",[2]Entry!$S$558)</f>
        <v/>
      </c>
    </row>
    <row r="556">
      <c r="E556">
        <f>IF([1]Accounts!$D$557="","",[1]Accounts!$A$557)</f>
        <v/>
      </c>
      <c r="F556">
        <f>IF([1]Accounts!$D$557="","",[1]Accounts!$B$557)</f>
        <v/>
      </c>
      <c r="G556">
        <f>IF([1]Accounts!$D$557="","",[1]Accounts!$C$557)</f>
        <v/>
      </c>
      <c r="H556">
        <f>IF([1]Accounts!$D$557="","",[1]Accounts!$D$557)</f>
        <v/>
      </c>
      <c r="L556">
        <f>IF([2]Entry!$C$559="","",[2]Entry!$C$559)</f>
        <v/>
      </c>
      <c r="M556">
        <f>IF([2]Entry!$J$559="","",[2]Entry!$J$559)</f>
        <v/>
      </c>
      <c r="N556">
        <f>IF([2]Entry!$M$559="","",[2]Entry!$M$559)</f>
        <v/>
      </c>
      <c r="O556">
        <f>IF([2]Entry!$N$559="","",[2]Entry!$N$559)</f>
        <v/>
      </c>
      <c r="P556">
        <f>IF([2]Entry!$S$559="","",[2]Entry!$S$559)</f>
        <v/>
      </c>
    </row>
    <row r="557">
      <c r="E557">
        <f>IF([1]Accounts!$D$558="","",[1]Accounts!$A$558)</f>
        <v/>
      </c>
      <c r="F557">
        <f>IF([1]Accounts!$D$558="","",[1]Accounts!$B$558)</f>
        <v/>
      </c>
      <c r="G557">
        <f>IF([1]Accounts!$D$558="","",[1]Accounts!$C$558)</f>
        <v/>
      </c>
      <c r="H557">
        <f>IF([1]Accounts!$D$558="","",[1]Accounts!$D$558)</f>
        <v/>
      </c>
      <c r="L557">
        <f>IF([2]Entry!$C$560="","",[2]Entry!$C$560)</f>
        <v/>
      </c>
      <c r="M557">
        <f>IF([2]Entry!$J$560="","",[2]Entry!$J$560)</f>
        <v/>
      </c>
      <c r="N557">
        <f>IF([2]Entry!$M$560="","",[2]Entry!$M$560)</f>
        <v/>
      </c>
      <c r="O557">
        <f>IF([2]Entry!$N$560="","",[2]Entry!$N$560)</f>
        <v/>
      </c>
      <c r="P557">
        <f>IF([2]Entry!$S$560="","",[2]Entry!$S$560)</f>
        <v/>
      </c>
    </row>
    <row r="558">
      <c r="E558">
        <f>IF([1]Accounts!$D$559="","",[1]Accounts!$A$559)</f>
        <v/>
      </c>
      <c r="F558">
        <f>IF([1]Accounts!$D$559="","",[1]Accounts!$B$559)</f>
        <v/>
      </c>
      <c r="G558">
        <f>IF([1]Accounts!$D$559="","",[1]Accounts!$C$559)</f>
        <v/>
      </c>
      <c r="H558">
        <f>IF([1]Accounts!$D$559="","",[1]Accounts!$D$559)</f>
        <v/>
      </c>
      <c r="L558">
        <f>IF([2]Entry!$C$561="","",[2]Entry!$C$561)</f>
        <v/>
      </c>
      <c r="M558">
        <f>IF([2]Entry!$J$561="","",[2]Entry!$J$561)</f>
        <v/>
      </c>
      <c r="N558">
        <f>IF([2]Entry!$M$561="","",[2]Entry!$M$561)</f>
        <v/>
      </c>
      <c r="O558">
        <f>IF([2]Entry!$N$561="","",[2]Entry!$N$561)</f>
        <v/>
      </c>
      <c r="P558">
        <f>IF([2]Entry!$S$561="","",[2]Entry!$S$561)</f>
        <v/>
      </c>
    </row>
    <row r="559">
      <c r="E559">
        <f>IF([1]Accounts!$D$560="","",[1]Accounts!$A$560)</f>
        <v/>
      </c>
      <c r="F559">
        <f>IF([1]Accounts!$D$560="","",[1]Accounts!$B$560)</f>
        <v/>
      </c>
      <c r="G559">
        <f>IF([1]Accounts!$D$560="","",[1]Accounts!$C$560)</f>
        <v/>
      </c>
      <c r="H559">
        <f>IF([1]Accounts!$D$560="","",[1]Accounts!$D$560)</f>
        <v/>
      </c>
      <c r="L559">
        <f>IF([2]Entry!$C$562="","",[2]Entry!$C$562)</f>
        <v/>
      </c>
      <c r="M559">
        <f>IF([2]Entry!$J$562="","",[2]Entry!$J$562)</f>
        <v/>
      </c>
      <c r="N559">
        <f>IF([2]Entry!$M$562="","",[2]Entry!$M$562)</f>
        <v/>
      </c>
      <c r="O559">
        <f>IF([2]Entry!$N$562="","",[2]Entry!$N$562)</f>
        <v/>
      </c>
      <c r="P559">
        <f>IF([2]Entry!$S$562="","",[2]Entry!$S$562)</f>
        <v/>
      </c>
    </row>
    <row r="560">
      <c r="E560">
        <f>IF([1]Accounts!$D$561="","",[1]Accounts!$A$561)</f>
        <v/>
      </c>
      <c r="F560">
        <f>IF([1]Accounts!$D$561="","",[1]Accounts!$B$561)</f>
        <v/>
      </c>
      <c r="G560">
        <f>IF([1]Accounts!$D$561="","",[1]Accounts!$C$561)</f>
        <v/>
      </c>
      <c r="H560">
        <f>IF([1]Accounts!$D$561="","",[1]Accounts!$D$561)</f>
        <v/>
      </c>
      <c r="L560">
        <f>IF([2]Entry!$C$563="","",[2]Entry!$C$563)</f>
        <v/>
      </c>
      <c r="M560">
        <f>IF([2]Entry!$J$563="","",[2]Entry!$J$563)</f>
        <v/>
      </c>
      <c r="N560">
        <f>IF([2]Entry!$M$563="","",[2]Entry!$M$563)</f>
        <v/>
      </c>
      <c r="O560">
        <f>IF([2]Entry!$N$563="","",[2]Entry!$N$563)</f>
        <v/>
      </c>
      <c r="P560">
        <f>IF([2]Entry!$S$563="","",[2]Entry!$S$563)</f>
        <v/>
      </c>
    </row>
    <row r="561">
      <c r="E561">
        <f>IF([1]Accounts!$D$562="","",[1]Accounts!$A$562)</f>
        <v/>
      </c>
      <c r="F561">
        <f>IF([1]Accounts!$D$562="","",[1]Accounts!$B$562)</f>
        <v/>
      </c>
      <c r="G561">
        <f>IF([1]Accounts!$D$562="","",[1]Accounts!$C$562)</f>
        <v/>
      </c>
      <c r="H561">
        <f>IF([1]Accounts!$D$562="","",[1]Accounts!$D$562)</f>
        <v/>
      </c>
      <c r="L561">
        <f>IF([2]Entry!$C$564="","",[2]Entry!$C$564)</f>
        <v/>
      </c>
      <c r="M561">
        <f>IF([2]Entry!$J$564="","",[2]Entry!$J$564)</f>
        <v/>
      </c>
      <c r="N561">
        <f>IF([2]Entry!$M$564="","",[2]Entry!$M$564)</f>
        <v/>
      </c>
      <c r="O561">
        <f>IF([2]Entry!$N$564="","",[2]Entry!$N$564)</f>
        <v/>
      </c>
      <c r="P561">
        <f>IF([2]Entry!$S$564="","",[2]Entry!$S$564)</f>
        <v/>
      </c>
    </row>
    <row r="562">
      <c r="E562">
        <f>IF([1]Accounts!$D$563="","",[1]Accounts!$A$563)</f>
        <v/>
      </c>
      <c r="F562">
        <f>IF([1]Accounts!$D$563="","",[1]Accounts!$B$563)</f>
        <v/>
      </c>
      <c r="G562">
        <f>IF([1]Accounts!$D$563="","",[1]Accounts!$C$563)</f>
        <v/>
      </c>
      <c r="H562">
        <f>IF([1]Accounts!$D$563="","",[1]Accounts!$D$563)</f>
        <v/>
      </c>
      <c r="L562">
        <f>IF([2]Entry!$C$565="","",[2]Entry!$C$565)</f>
        <v/>
      </c>
      <c r="M562">
        <f>IF([2]Entry!$J$565="","",[2]Entry!$J$565)</f>
        <v/>
      </c>
      <c r="N562">
        <f>IF([2]Entry!$M$565="","",[2]Entry!$M$565)</f>
        <v/>
      </c>
      <c r="O562">
        <f>IF([2]Entry!$N$565="","",[2]Entry!$N$565)</f>
        <v/>
      </c>
      <c r="P562">
        <f>IF([2]Entry!$S$565="","",[2]Entry!$S$565)</f>
        <v/>
      </c>
    </row>
    <row r="563">
      <c r="E563">
        <f>IF([1]Accounts!$D$564="","",[1]Accounts!$A$564)</f>
        <v/>
      </c>
      <c r="F563">
        <f>IF([1]Accounts!$D$564="","",[1]Accounts!$B$564)</f>
        <v/>
      </c>
      <c r="G563">
        <f>IF([1]Accounts!$D$564="","",[1]Accounts!$C$564)</f>
        <v/>
      </c>
      <c r="H563">
        <f>IF([1]Accounts!$D$564="","",[1]Accounts!$D$564)</f>
        <v/>
      </c>
      <c r="L563">
        <f>IF([2]Entry!$C$566="","",[2]Entry!$C$566)</f>
        <v/>
      </c>
      <c r="M563">
        <f>IF([2]Entry!$J$566="","",[2]Entry!$J$566)</f>
        <v/>
      </c>
      <c r="N563">
        <f>IF([2]Entry!$M$566="","",[2]Entry!$M$566)</f>
        <v/>
      </c>
      <c r="O563">
        <f>IF([2]Entry!$N$566="","",[2]Entry!$N$566)</f>
        <v/>
      </c>
      <c r="P563">
        <f>IF([2]Entry!$S$566="","",[2]Entry!$S$566)</f>
        <v/>
      </c>
    </row>
    <row r="564">
      <c r="E564">
        <f>IF([1]Accounts!$D$565="","",[1]Accounts!$A$565)</f>
        <v/>
      </c>
      <c r="F564">
        <f>IF([1]Accounts!$D$565="","",[1]Accounts!$B$565)</f>
        <v/>
      </c>
      <c r="G564">
        <f>IF([1]Accounts!$D$565="","",[1]Accounts!$C$565)</f>
        <v/>
      </c>
      <c r="H564">
        <f>IF([1]Accounts!$D$565="","",[1]Accounts!$D$565)</f>
        <v/>
      </c>
      <c r="L564">
        <f>IF([2]Entry!$C$567="","",[2]Entry!$C$567)</f>
        <v/>
      </c>
      <c r="M564">
        <f>IF([2]Entry!$J$567="","",[2]Entry!$J$567)</f>
        <v/>
      </c>
      <c r="N564">
        <f>IF([2]Entry!$M$567="","",[2]Entry!$M$567)</f>
        <v/>
      </c>
      <c r="O564">
        <f>IF([2]Entry!$N$567="","",[2]Entry!$N$567)</f>
        <v/>
      </c>
      <c r="P564">
        <f>IF([2]Entry!$S$567="","",[2]Entry!$S$567)</f>
        <v/>
      </c>
    </row>
    <row r="565">
      <c r="E565">
        <f>IF([1]Accounts!$D$566="","",[1]Accounts!$A$566)</f>
        <v/>
      </c>
      <c r="F565">
        <f>IF([1]Accounts!$D$566="","",[1]Accounts!$B$566)</f>
        <v/>
      </c>
      <c r="G565">
        <f>IF([1]Accounts!$D$566="","",[1]Accounts!$C$566)</f>
        <v/>
      </c>
      <c r="H565">
        <f>IF([1]Accounts!$D$566="","",[1]Accounts!$D$566)</f>
        <v/>
      </c>
      <c r="L565">
        <f>IF([2]Entry!$C$568="","",[2]Entry!$C$568)</f>
        <v/>
      </c>
      <c r="M565">
        <f>IF([2]Entry!$J$568="","",[2]Entry!$J$568)</f>
        <v/>
      </c>
      <c r="N565">
        <f>IF([2]Entry!$M$568="","",[2]Entry!$M$568)</f>
        <v/>
      </c>
      <c r="O565">
        <f>IF([2]Entry!$N$568="","",[2]Entry!$N$568)</f>
        <v/>
      </c>
      <c r="P565">
        <f>IF([2]Entry!$S$568="","",[2]Entry!$S$568)</f>
        <v/>
      </c>
    </row>
    <row r="566">
      <c r="L566">
        <f>IF([2]Entry!$C$569="","",[2]Entry!$C$569)</f>
        <v/>
      </c>
      <c r="M566">
        <f>IF([2]Entry!$J$569="","",[2]Entry!$J$569)</f>
        <v/>
      </c>
      <c r="N566">
        <f>IF([2]Entry!$M$569="","",[2]Entry!$M$569)</f>
        <v/>
      </c>
      <c r="O566">
        <f>IF([2]Entry!$N$569="","",[2]Entry!$N$569)</f>
        <v/>
      </c>
      <c r="P566">
        <f>IF([2]Entry!$S$569="","",[2]Entry!$S$569)</f>
        <v/>
      </c>
    </row>
    <row r="567">
      <c r="L567">
        <f>IF([2]Entry!$C$570="","",[2]Entry!$C$570)</f>
        <v/>
      </c>
      <c r="M567">
        <f>IF([2]Entry!$J$570="","",[2]Entry!$J$570)</f>
        <v/>
      </c>
      <c r="N567">
        <f>IF([2]Entry!$M$570="","",[2]Entry!$M$570)</f>
        <v/>
      </c>
      <c r="O567">
        <f>IF([2]Entry!$N$570="","",[2]Entry!$N$570)</f>
        <v/>
      </c>
      <c r="P567">
        <f>IF([2]Entry!$S$570="","",[2]Entry!$S$570)</f>
        <v/>
      </c>
    </row>
    <row r="568">
      <c r="L568">
        <f>IF([2]Entry!$C$571="","",[2]Entry!$C$571)</f>
        <v/>
      </c>
      <c r="M568">
        <f>IF([2]Entry!$J$571="","",[2]Entry!$J$571)</f>
        <v/>
      </c>
      <c r="N568">
        <f>IF([2]Entry!$M$571="","",[2]Entry!$M$571)</f>
        <v/>
      </c>
      <c r="O568">
        <f>IF([2]Entry!$N$571="","",[2]Entry!$N$571)</f>
        <v/>
      </c>
      <c r="P568">
        <f>IF([2]Entry!$S$571="","",[2]Entry!$S$571)</f>
        <v/>
      </c>
    </row>
    <row r="569">
      <c r="L569">
        <f>IF([2]Entry!$C$572="","",[2]Entry!$C$572)</f>
        <v/>
      </c>
      <c r="M569">
        <f>IF([2]Entry!$J$572="","",[2]Entry!$J$572)</f>
        <v/>
      </c>
      <c r="N569">
        <f>IF([2]Entry!$M$572="","",[2]Entry!$M$572)</f>
        <v/>
      </c>
      <c r="O569">
        <f>IF([2]Entry!$N$572="","",[2]Entry!$N$572)</f>
        <v/>
      </c>
      <c r="P569">
        <f>IF([2]Entry!$S$572="","",[2]Entry!$S$572)</f>
        <v/>
      </c>
    </row>
    <row r="570">
      <c r="L570">
        <f>IF([2]Entry!$C$573="","",[2]Entry!$C$573)</f>
        <v/>
      </c>
      <c r="M570">
        <f>IF([2]Entry!$J$573="","",[2]Entry!$J$573)</f>
        <v/>
      </c>
      <c r="N570">
        <f>IF([2]Entry!$M$573="","",[2]Entry!$M$573)</f>
        <v/>
      </c>
      <c r="O570">
        <f>IF([2]Entry!$N$573="","",[2]Entry!$N$573)</f>
        <v/>
      </c>
      <c r="P570">
        <f>IF([2]Entry!$S$573="","",[2]Entry!$S$573)</f>
        <v/>
      </c>
    </row>
    <row r="571">
      <c r="L571">
        <f>IF([2]Entry!$C$574="","",[2]Entry!$C$574)</f>
        <v/>
      </c>
      <c r="M571">
        <f>IF([2]Entry!$J$574="","",[2]Entry!$J$574)</f>
        <v/>
      </c>
      <c r="N571">
        <f>IF([2]Entry!$M$574="","",[2]Entry!$M$574)</f>
        <v/>
      </c>
      <c r="O571">
        <f>IF([2]Entry!$N$574="","",[2]Entry!$N$574)</f>
        <v/>
      </c>
      <c r="P571">
        <f>IF([2]Entry!$S$574="","",[2]Entry!$S$574)</f>
        <v/>
      </c>
    </row>
    <row r="572">
      <c r="L572">
        <f>IF([2]Entry!$C$575="","",[2]Entry!$C$575)</f>
        <v/>
      </c>
      <c r="M572">
        <f>IF([2]Entry!$J$575="","",[2]Entry!$J$575)</f>
        <v/>
      </c>
      <c r="N572">
        <f>IF([2]Entry!$M$575="","",[2]Entry!$M$575)</f>
        <v/>
      </c>
      <c r="O572">
        <f>IF([2]Entry!$N$575="","",[2]Entry!$N$575)</f>
        <v/>
      </c>
      <c r="P572">
        <f>IF([2]Entry!$S$575="","",[2]Entry!$S$575)</f>
        <v/>
      </c>
    </row>
    <row r="573">
      <c r="L573">
        <f>IF([2]Entry!$C$576="","",[2]Entry!$C$576)</f>
        <v/>
      </c>
      <c r="M573">
        <f>IF([2]Entry!$J$576="","",[2]Entry!$J$576)</f>
        <v/>
      </c>
      <c r="N573">
        <f>IF([2]Entry!$M$576="","",[2]Entry!$M$576)</f>
        <v/>
      </c>
      <c r="O573">
        <f>IF([2]Entry!$N$576="","",[2]Entry!$N$576)</f>
        <v/>
      </c>
      <c r="P573">
        <f>IF([2]Entry!$S$576="","",[2]Entry!$S$576)</f>
        <v/>
      </c>
    </row>
    <row r="574">
      <c r="L574">
        <f>IF([2]Entry!$C$577="","",[2]Entry!$C$577)</f>
        <v/>
      </c>
      <c r="M574">
        <f>IF([2]Entry!$J$577="","",[2]Entry!$J$577)</f>
        <v/>
      </c>
      <c r="N574">
        <f>IF([2]Entry!$M$577="","",[2]Entry!$M$577)</f>
        <v/>
      </c>
      <c r="O574">
        <f>IF([2]Entry!$N$577="","",[2]Entry!$N$577)</f>
        <v/>
      </c>
      <c r="P574">
        <f>IF([2]Entry!$S$577="","",[2]Entry!$S$577)</f>
        <v/>
      </c>
    </row>
    <row r="575">
      <c r="L575">
        <f>IF([2]Entry!$C$578="","",[2]Entry!$C$578)</f>
        <v/>
      </c>
      <c r="M575">
        <f>IF([2]Entry!$J$578="","",[2]Entry!$J$578)</f>
        <v/>
      </c>
      <c r="N575">
        <f>IF([2]Entry!$M$578="","",[2]Entry!$M$578)</f>
        <v/>
      </c>
      <c r="O575">
        <f>IF([2]Entry!$N$578="","",[2]Entry!$N$578)</f>
        <v/>
      </c>
      <c r="P575">
        <f>IF([2]Entry!$S$578="","",[2]Entry!$S$578)</f>
        <v/>
      </c>
    </row>
    <row r="576">
      <c r="L576">
        <f>IF([2]Entry!$C$579="","",[2]Entry!$C$579)</f>
        <v/>
      </c>
      <c r="M576">
        <f>IF([2]Entry!$J$579="","",[2]Entry!$J$579)</f>
        <v/>
      </c>
      <c r="N576">
        <f>IF([2]Entry!$M$579="","",[2]Entry!$M$579)</f>
        <v/>
      </c>
      <c r="O576">
        <f>IF([2]Entry!$N$579="","",[2]Entry!$N$579)</f>
        <v/>
      </c>
      <c r="P576">
        <f>IF([2]Entry!$S$579="","",[2]Entry!$S$579)</f>
        <v/>
      </c>
    </row>
    <row r="577">
      <c r="L577">
        <f>IF([2]Entry!$C$580="","",[2]Entry!$C$580)</f>
        <v/>
      </c>
      <c r="M577">
        <f>IF([2]Entry!$J$580="","",[2]Entry!$J$580)</f>
        <v/>
      </c>
      <c r="N577">
        <f>IF([2]Entry!$M$580="","",[2]Entry!$M$580)</f>
        <v/>
      </c>
      <c r="O577">
        <f>IF([2]Entry!$N$580="","",[2]Entry!$N$580)</f>
        <v/>
      </c>
      <c r="P577">
        <f>IF([2]Entry!$S$580="","",[2]Entry!$S$580)</f>
        <v/>
      </c>
    </row>
    <row r="578">
      <c r="L578">
        <f>IF([2]Entry!$C$581="","",[2]Entry!$C$581)</f>
        <v/>
      </c>
      <c r="M578">
        <f>IF([2]Entry!$J$581="","",[2]Entry!$J$581)</f>
        <v/>
      </c>
      <c r="N578">
        <f>IF([2]Entry!$M$581="","",[2]Entry!$M$581)</f>
        <v/>
      </c>
      <c r="O578">
        <f>IF([2]Entry!$N$581="","",[2]Entry!$N$581)</f>
        <v/>
      </c>
      <c r="P578">
        <f>IF([2]Entry!$S$581="","",[2]Entry!$S$581)</f>
        <v/>
      </c>
    </row>
    <row r="579">
      <c r="L579">
        <f>IF([2]Entry!$C$582="","",[2]Entry!$C$582)</f>
        <v/>
      </c>
      <c r="M579">
        <f>IF([2]Entry!$J$582="","",[2]Entry!$J$582)</f>
        <v/>
      </c>
      <c r="N579">
        <f>IF([2]Entry!$M$582="","",[2]Entry!$M$582)</f>
        <v/>
      </c>
      <c r="O579">
        <f>IF([2]Entry!$N$582="","",[2]Entry!$N$582)</f>
        <v/>
      </c>
      <c r="P579">
        <f>IF([2]Entry!$S$582="","",[2]Entry!$S$582)</f>
        <v/>
      </c>
    </row>
    <row r="580">
      <c r="L580">
        <f>IF([2]Entry!$C$583="","",[2]Entry!$C$583)</f>
        <v/>
      </c>
      <c r="M580">
        <f>IF([2]Entry!$J$583="","",[2]Entry!$J$583)</f>
        <v/>
      </c>
      <c r="N580">
        <f>IF([2]Entry!$M$583="","",[2]Entry!$M$583)</f>
        <v/>
      </c>
      <c r="O580">
        <f>IF([2]Entry!$N$583="","",[2]Entry!$N$583)</f>
        <v/>
      </c>
      <c r="P580">
        <f>IF([2]Entry!$S$583="","",[2]Entry!$S$583)</f>
        <v/>
      </c>
    </row>
    <row r="581">
      <c r="L581">
        <f>IF([2]Entry!$C$584="","",[2]Entry!$C$584)</f>
        <v/>
      </c>
      <c r="M581">
        <f>IF([2]Entry!$J$584="","",[2]Entry!$J$584)</f>
        <v/>
      </c>
      <c r="N581">
        <f>IF([2]Entry!$M$584="","",[2]Entry!$M$584)</f>
        <v/>
      </c>
      <c r="O581">
        <f>IF([2]Entry!$N$584="","",[2]Entry!$N$584)</f>
        <v/>
      </c>
      <c r="P581">
        <f>IF([2]Entry!$S$584="","",[2]Entry!$S$584)</f>
        <v/>
      </c>
    </row>
    <row r="582">
      <c r="L582">
        <f>IF([2]Entry!$C$585="","",[2]Entry!$C$585)</f>
        <v/>
      </c>
      <c r="M582">
        <f>IF([2]Entry!$J$585="","",[2]Entry!$J$585)</f>
        <v/>
      </c>
      <c r="N582">
        <f>IF([2]Entry!$M$585="","",[2]Entry!$M$585)</f>
        <v/>
      </c>
      <c r="O582">
        <f>IF([2]Entry!$N$585="","",[2]Entry!$N$585)</f>
        <v/>
      </c>
      <c r="P582">
        <f>IF([2]Entry!$S$585="","",[2]Entry!$S$585)</f>
        <v/>
      </c>
    </row>
    <row r="583">
      <c r="L583">
        <f>IF([2]Entry!$C$586="","",[2]Entry!$C$586)</f>
        <v/>
      </c>
      <c r="M583">
        <f>IF([2]Entry!$J$586="","",[2]Entry!$J$586)</f>
        <v/>
      </c>
      <c r="N583">
        <f>IF([2]Entry!$M$586="","",[2]Entry!$M$586)</f>
        <v/>
      </c>
      <c r="O583">
        <f>IF([2]Entry!$N$586="","",[2]Entry!$N$586)</f>
        <v/>
      </c>
      <c r="P583">
        <f>IF([2]Entry!$S$586="","",[2]Entry!$S$586)</f>
        <v/>
      </c>
    </row>
    <row r="584">
      <c r="L584">
        <f>IF([2]Entry!$C$587="","",[2]Entry!$C$587)</f>
        <v/>
      </c>
      <c r="M584">
        <f>IF([2]Entry!$J$587="","",[2]Entry!$J$587)</f>
        <v/>
      </c>
      <c r="N584">
        <f>IF([2]Entry!$M$587="","",[2]Entry!$M$587)</f>
        <v/>
      </c>
      <c r="O584">
        <f>IF([2]Entry!$N$587="","",[2]Entry!$N$587)</f>
        <v/>
      </c>
      <c r="P584">
        <f>IF([2]Entry!$S$587="","",[2]Entry!$S$587)</f>
        <v/>
      </c>
    </row>
    <row r="585">
      <c r="L585">
        <f>IF([2]Entry!$C$588="","",[2]Entry!$C$588)</f>
        <v/>
      </c>
      <c r="M585">
        <f>IF([2]Entry!$J$588="","",[2]Entry!$J$588)</f>
        <v/>
      </c>
      <c r="N585">
        <f>IF([2]Entry!$M$588="","",[2]Entry!$M$588)</f>
        <v/>
      </c>
      <c r="O585">
        <f>IF([2]Entry!$N$588="","",[2]Entry!$N$588)</f>
        <v/>
      </c>
      <c r="P585">
        <f>IF([2]Entry!$S$588="","",[2]Entry!$S$588)</f>
        <v/>
      </c>
    </row>
    <row r="586">
      <c r="L586">
        <f>IF([2]Entry!$C$589="","",[2]Entry!$C$589)</f>
        <v/>
      </c>
      <c r="M586">
        <f>IF([2]Entry!$J$589="","",[2]Entry!$J$589)</f>
        <v/>
      </c>
      <c r="N586">
        <f>IF([2]Entry!$M$589="","",[2]Entry!$M$589)</f>
        <v/>
      </c>
      <c r="O586">
        <f>IF([2]Entry!$N$589="","",[2]Entry!$N$589)</f>
        <v/>
      </c>
      <c r="P586">
        <f>IF([2]Entry!$S$589="","",[2]Entry!$S$589)</f>
        <v/>
      </c>
    </row>
    <row r="587">
      <c r="L587">
        <f>IF([2]Entry!$C$590="","",[2]Entry!$C$590)</f>
        <v/>
      </c>
      <c r="M587">
        <f>IF([2]Entry!$J$590="","",[2]Entry!$J$590)</f>
        <v/>
      </c>
      <c r="N587">
        <f>IF([2]Entry!$M$590="","",[2]Entry!$M$590)</f>
        <v/>
      </c>
      <c r="O587">
        <f>IF([2]Entry!$N$590="","",[2]Entry!$N$590)</f>
        <v/>
      </c>
      <c r="P587">
        <f>IF([2]Entry!$S$590="","",[2]Entry!$S$590)</f>
        <v/>
      </c>
    </row>
    <row r="588">
      <c r="L588">
        <f>IF([2]Entry!$C$591="","",[2]Entry!$C$591)</f>
        <v/>
      </c>
      <c r="M588">
        <f>IF([2]Entry!$J$591="","",[2]Entry!$J$591)</f>
        <v/>
      </c>
      <c r="N588">
        <f>IF([2]Entry!$M$591="","",[2]Entry!$M$591)</f>
        <v/>
      </c>
      <c r="O588">
        <f>IF([2]Entry!$N$591="","",[2]Entry!$N$591)</f>
        <v/>
      </c>
      <c r="P588">
        <f>IF([2]Entry!$S$591="","",[2]Entry!$S$591)</f>
        <v/>
      </c>
    </row>
    <row r="589">
      <c r="L589">
        <f>IF([2]Entry!$C$592="","",[2]Entry!$C$592)</f>
        <v/>
      </c>
      <c r="M589">
        <f>IF([2]Entry!$J$592="","",[2]Entry!$J$592)</f>
        <v/>
      </c>
      <c r="N589">
        <f>IF([2]Entry!$M$592="","",[2]Entry!$M$592)</f>
        <v/>
      </c>
      <c r="O589">
        <f>IF([2]Entry!$N$592="","",[2]Entry!$N$592)</f>
        <v/>
      </c>
      <c r="P589">
        <f>IF([2]Entry!$S$592="","",[2]Entry!$S$592)</f>
        <v/>
      </c>
    </row>
    <row r="590">
      <c r="L590">
        <f>IF([2]Entry!$C$593="","",[2]Entry!$C$593)</f>
        <v/>
      </c>
      <c r="M590">
        <f>IF([2]Entry!$J$593="","",[2]Entry!$J$593)</f>
        <v/>
      </c>
      <c r="N590">
        <f>IF([2]Entry!$M$593="","",[2]Entry!$M$593)</f>
        <v/>
      </c>
      <c r="O590">
        <f>IF([2]Entry!$N$593="","",[2]Entry!$N$593)</f>
        <v/>
      </c>
      <c r="P590">
        <f>IF([2]Entry!$S$593="","",[2]Entry!$S$593)</f>
        <v/>
      </c>
    </row>
    <row r="591">
      <c r="L591">
        <f>IF([2]Entry!$C$594="","",[2]Entry!$C$594)</f>
        <v/>
      </c>
      <c r="M591">
        <f>IF([2]Entry!$J$594="","",[2]Entry!$J$594)</f>
        <v/>
      </c>
      <c r="N591">
        <f>IF([2]Entry!$M$594="","",[2]Entry!$M$594)</f>
        <v/>
      </c>
      <c r="O591">
        <f>IF([2]Entry!$N$594="","",[2]Entry!$N$594)</f>
        <v/>
      </c>
      <c r="P591">
        <f>IF([2]Entry!$S$594="","",[2]Entry!$S$594)</f>
        <v/>
      </c>
    </row>
    <row r="592">
      <c r="L592">
        <f>IF([2]Entry!$C$595="","",[2]Entry!$C$595)</f>
        <v/>
      </c>
      <c r="M592">
        <f>IF([2]Entry!$J$595="","",[2]Entry!$J$595)</f>
        <v/>
      </c>
      <c r="N592">
        <f>IF([2]Entry!$M$595="","",[2]Entry!$M$595)</f>
        <v/>
      </c>
      <c r="O592">
        <f>IF([2]Entry!$N$595="","",[2]Entry!$N$595)</f>
        <v/>
      </c>
      <c r="P592">
        <f>IF([2]Entry!$S$595="","",[2]Entry!$S$595)</f>
        <v/>
      </c>
    </row>
    <row r="593">
      <c r="L593">
        <f>IF([2]Entry!$C$596="","",[2]Entry!$C$596)</f>
        <v/>
      </c>
      <c r="M593">
        <f>IF([2]Entry!$J$596="","",[2]Entry!$J$596)</f>
        <v/>
      </c>
      <c r="N593">
        <f>IF([2]Entry!$M$596="","",[2]Entry!$M$596)</f>
        <v/>
      </c>
      <c r="O593">
        <f>IF([2]Entry!$N$596="","",[2]Entry!$N$596)</f>
        <v/>
      </c>
      <c r="P593">
        <f>IF([2]Entry!$S$596="","",[2]Entry!$S$596)</f>
        <v/>
      </c>
    </row>
    <row r="594">
      <c r="L594">
        <f>IF([2]Entry!$C$597="","",[2]Entry!$C$597)</f>
        <v/>
      </c>
      <c r="M594">
        <f>IF([2]Entry!$J$597="","",[2]Entry!$J$597)</f>
        <v/>
      </c>
      <c r="N594">
        <f>IF([2]Entry!$M$597="","",[2]Entry!$M$597)</f>
        <v/>
      </c>
      <c r="O594">
        <f>IF([2]Entry!$N$597="","",[2]Entry!$N$597)</f>
        <v/>
      </c>
      <c r="P594">
        <f>IF([2]Entry!$S$597="","",[2]Entry!$S$597)</f>
        <v/>
      </c>
    </row>
    <row r="595">
      <c r="L595">
        <f>IF([2]Entry!$C$598="","",[2]Entry!$C$598)</f>
        <v/>
      </c>
      <c r="M595">
        <f>IF([2]Entry!$J$598="","",[2]Entry!$J$598)</f>
        <v/>
      </c>
      <c r="N595">
        <f>IF([2]Entry!$M$598="","",[2]Entry!$M$598)</f>
        <v/>
      </c>
      <c r="O595">
        <f>IF([2]Entry!$N$598="","",[2]Entry!$N$598)</f>
        <v/>
      </c>
      <c r="P595">
        <f>IF([2]Entry!$S$598="","",[2]Entry!$S$598)</f>
        <v/>
      </c>
    </row>
    <row r="596">
      <c r="L596">
        <f>IF([2]Entry!$C$599="","",[2]Entry!$C$599)</f>
        <v/>
      </c>
      <c r="M596">
        <f>IF([2]Entry!$J$599="","",[2]Entry!$J$599)</f>
        <v/>
      </c>
      <c r="N596">
        <f>IF([2]Entry!$M$599="","",[2]Entry!$M$599)</f>
        <v/>
      </c>
      <c r="O596">
        <f>IF([2]Entry!$N$599="","",[2]Entry!$N$599)</f>
        <v/>
      </c>
      <c r="P596">
        <f>IF([2]Entry!$S$599="","",[2]Entry!$S$599)</f>
        <v/>
      </c>
    </row>
    <row r="597">
      <c r="L597">
        <f>IF([2]Entry!$C$600="","",[2]Entry!$C$600)</f>
        <v/>
      </c>
      <c r="M597">
        <f>IF([2]Entry!$J$600="","",[2]Entry!$J$600)</f>
        <v/>
      </c>
      <c r="N597">
        <f>IF([2]Entry!$M$600="","",[2]Entry!$M$600)</f>
        <v/>
      </c>
      <c r="O597">
        <f>IF([2]Entry!$N$600="","",[2]Entry!$N$600)</f>
        <v/>
      </c>
      <c r="P597">
        <f>IF([2]Entry!$S$600="","",[2]Entry!$S$600)</f>
        <v/>
      </c>
    </row>
    <row r="598">
      <c r="L598">
        <f>IF([2]Entry!$C$601="","",[2]Entry!$C$601)</f>
        <v/>
      </c>
      <c r="M598">
        <f>IF([2]Entry!$J$601="","",[2]Entry!$J$601)</f>
        <v/>
      </c>
      <c r="N598">
        <f>IF([2]Entry!$M$601="","",[2]Entry!$M$601)</f>
        <v/>
      </c>
      <c r="O598">
        <f>IF([2]Entry!$N$601="","",[2]Entry!$N$601)</f>
        <v/>
      </c>
      <c r="P598">
        <f>IF([2]Entry!$S$601="","",[2]Entry!$S$601)</f>
        <v/>
      </c>
    </row>
    <row r="599">
      <c r="L599">
        <f>IF([2]Entry!$C$602="","",[2]Entry!$C$602)</f>
        <v/>
      </c>
      <c r="M599">
        <f>IF([2]Entry!$J$602="","",[2]Entry!$J$602)</f>
        <v/>
      </c>
      <c r="N599">
        <f>IF([2]Entry!$M$602="","",[2]Entry!$M$602)</f>
        <v/>
      </c>
      <c r="O599">
        <f>IF([2]Entry!$N$602="","",[2]Entry!$N$602)</f>
        <v/>
      </c>
      <c r="P599">
        <f>IF([2]Entry!$S$602="","",[2]Entry!$S$602)</f>
        <v/>
      </c>
    </row>
    <row r="600">
      <c r="L600">
        <f>IF([2]Entry!$C$603="","",[2]Entry!$C$603)</f>
        <v/>
      </c>
      <c r="M600">
        <f>IF([2]Entry!$J$603="","",[2]Entry!$J$603)</f>
        <v/>
      </c>
      <c r="N600">
        <f>IF([2]Entry!$M$603="","",[2]Entry!$M$603)</f>
        <v/>
      </c>
      <c r="O600">
        <f>IF([2]Entry!$N$603="","",[2]Entry!$N$603)</f>
        <v/>
      </c>
      <c r="P600">
        <f>IF([2]Entry!$S$603="","",[2]Entry!$S$603)</f>
        <v/>
      </c>
    </row>
    <row r="601">
      <c r="L601">
        <f>IF([2]Entry!$C$604="","",[2]Entry!$C$604)</f>
        <v/>
      </c>
      <c r="M601">
        <f>IF([2]Entry!$J$604="","",[2]Entry!$J$604)</f>
        <v/>
      </c>
      <c r="N601">
        <f>IF([2]Entry!$M$604="","",[2]Entry!$M$604)</f>
        <v/>
      </c>
      <c r="O601">
        <f>IF([2]Entry!$N$604="","",[2]Entry!$N$604)</f>
        <v/>
      </c>
      <c r="P601">
        <f>IF([2]Entry!$S$604="","",[2]Entry!$S$604)</f>
        <v/>
      </c>
    </row>
    <row r="602">
      <c r="L602">
        <f>IF([2]Entry!$C$605="","",[2]Entry!$C$605)</f>
        <v/>
      </c>
      <c r="M602">
        <f>IF([2]Entry!$J$605="","",[2]Entry!$J$605)</f>
        <v/>
      </c>
      <c r="N602">
        <f>IF([2]Entry!$M$605="","",[2]Entry!$M$605)</f>
        <v/>
      </c>
      <c r="O602">
        <f>IF([2]Entry!$N$605="","",[2]Entry!$N$605)</f>
        <v/>
      </c>
      <c r="P602">
        <f>IF([2]Entry!$S$605="","",[2]Entry!$S$605)</f>
        <v/>
      </c>
    </row>
    <row r="603">
      <c r="L603">
        <f>IF([2]Entry!$C$606="","",[2]Entry!$C$606)</f>
        <v/>
      </c>
      <c r="M603">
        <f>IF([2]Entry!$J$606="","",[2]Entry!$J$606)</f>
        <v/>
      </c>
      <c r="N603">
        <f>IF([2]Entry!$M$606="","",[2]Entry!$M$606)</f>
        <v/>
      </c>
      <c r="O603">
        <f>IF([2]Entry!$N$606="","",[2]Entry!$N$606)</f>
        <v/>
      </c>
      <c r="P603">
        <f>IF([2]Entry!$S$606="","",[2]Entry!$S$606)</f>
        <v/>
      </c>
    </row>
    <row r="604">
      <c r="L604">
        <f>IF([2]Entry!$C$607="","",[2]Entry!$C$607)</f>
        <v/>
      </c>
      <c r="M604">
        <f>IF([2]Entry!$J$607="","",[2]Entry!$J$607)</f>
        <v/>
      </c>
      <c r="N604">
        <f>IF([2]Entry!$M$607="","",[2]Entry!$M$607)</f>
        <v/>
      </c>
      <c r="O604">
        <f>IF([2]Entry!$N$607="","",[2]Entry!$N$607)</f>
        <v/>
      </c>
      <c r="P604">
        <f>IF([2]Entry!$S$607="","",[2]Entry!$S$607)</f>
        <v/>
      </c>
    </row>
    <row r="605">
      <c r="L605">
        <f>IF([2]Entry!$C$608="","",[2]Entry!$C$608)</f>
        <v/>
      </c>
      <c r="M605">
        <f>IF([2]Entry!$J$608="","",[2]Entry!$J$608)</f>
        <v/>
      </c>
      <c r="N605">
        <f>IF([2]Entry!$M$608="","",[2]Entry!$M$608)</f>
        <v/>
      </c>
      <c r="O605">
        <f>IF([2]Entry!$N$608="","",[2]Entry!$N$608)</f>
        <v/>
      </c>
      <c r="P605">
        <f>IF([2]Entry!$S$608="","",[2]Entry!$S$608)</f>
        <v/>
      </c>
    </row>
    <row r="606">
      <c r="L606">
        <f>IF([2]Entry!$C$609="","",[2]Entry!$C$609)</f>
        <v/>
      </c>
      <c r="M606">
        <f>IF([2]Entry!$J$609="","",[2]Entry!$J$609)</f>
        <v/>
      </c>
      <c r="N606">
        <f>IF([2]Entry!$M$609="","",[2]Entry!$M$609)</f>
        <v/>
      </c>
      <c r="O606">
        <f>IF([2]Entry!$N$609="","",[2]Entry!$N$609)</f>
        <v/>
      </c>
      <c r="P606">
        <f>IF([2]Entry!$S$609="","",[2]Entry!$S$609)</f>
        <v/>
      </c>
    </row>
    <row r="607">
      <c r="L607">
        <f>IF([2]Entry!$C$610="","",[2]Entry!$C$610)</f>
        <v/>
      </c>
      <c r="M607">
        <f>IF([2]Entry!$J$610="","",[2]Entry!$J$610)</f>
        <v/>
      </c>
      <c r="N607">
        <f>IF([2]Entry!$M$610="","",[2]Entry!$M$610)</f>
        <v/>
      </c>
      <c r="O607">
        <f>IF([2]Entry!$N$610="","",[2]Entry!$N$610)</f>
        <v/>
      </c>
      <c r="P607">
        <f>IF([2]Entry!$S$610="","",[2]Entry!$S$610)</f>
        <v/>
      </c>
    </row>
    <row r="608">
      <c r="L608">
        <f>IF([2]Entry!$C$611="","",[2]Entry!$C$611)</f>
        <v/>
      </c>
      <c r="M608">
        <f>IF([2]Entry!$J$611="","",[2]Entry!$J$611)</f>
        <v/>
      </c>
      <c r="N608">
        <f>IF([2]Entry!$M$611="","",[2]Entry!$M$611)</f>
        <v/>
      </c>
      <c r="O608">
        <f>IF([2]Entry!$N$611="","",[2]Entry!$N$611)</f>
        <v/>
      </c>
      <c r="P608">
        <f>IF([2]Entry!$S$611="","",[2]Entry!$S$611)</f>
        <v/>
      </c>
    </row>
    <row r="609">
      <c r="L609">
        <f>IF([2]Entry!$C$612="","",[2]Entry!$C$612)</f>
        <v/>
      </c>
      <c r="M609">
        <f>IF([2]Entry!$J$612="","",[2]Entry!$J$612)</f>
        <v/>
      </c>
      <c r="N609">
        <f>IF([2]Entry!$M$612="","",[2]Entry!$M$612)</f>
        <v/>
      </c>
      <c r="O609">
        <f>IF([2]Entry!$N$612="","",[2]Entry!$N$612)</f>
        <v/>
      </c>
      <c r="P609">
        <f>IF([2]Entry!$S$612="","",[2]Entry!$S$612)</f>
        <v/>
      </c>
    </row>
    <row r="610">
      <c r="L610">
        <f>IF([2]Entry!$C$613="","",[2]Entry!$C$613)</f>
        <v/>
      </c>
      <c r="M610">
        <f>IF([2]Entry!$J$613="","",[2]Entry!$J$613)</f>
        <v/>
      </c>
      <c r="N610">
        <f>IF([2]Entry!$M$613="","",[2]Entry!$M$613)</f>
        <v/>
      </c>
      <c r="O610">
        <f>IF([2]Entry!$N$613="","",[2]Entry!$N$613)</f>
        <v/>
      </c>
      <c r="P610">
        <f>IF([2]Entry!$S$613="","",[2]Entry!$S$613)</f>
        <v/>
      </c>
    </row>
    <row r="611">
      <c r="L611">
        <f>IF([2]Entry!$C$614="","",[2]Entry!$C$614)</f>
        <v/>
      </c>
      <c r="M611">
        <f>IF([2]Entry!$J$614="","",[2]Entry!$J$614)</f>
        <v/>
      </c>
      <c r="N611">
        <f>IF([2]Entry!$M$614="","",[2]Entry!$M$614)</f>
        <v/>
      </c>
      <c r="O611">
        <f>IF([2]Entry!$N$614="","",[2]Entry!$N$614)</f>
        <v/>
      </c>
      <c r="P611">
        <f>IF([2]Entry!$S$614="","",[2]Entry!$S$614)</f>
        <v/>
      </c>
    </row>
    <row r="612">
      <c r="L612">
        <f>IF([2]Entry!$C$615="","",[2]Entry!$C$615)</f>
        <v/>
      </c>
      <c r="M612">
        <f>IF([2]Entry!$J$615="","",[2]Entry!$J$615)</f>
        <v/>
      </c>
      <c r="N612">
        <f>IF([2]Entry!$M$615="","",[2]Entry!$M$615)</f>
        <v/>
      </c>
      <c r="O612">
        <f>IF([2]Entry!$N$615="","",[2]Entry!$N$615)</f>
        <v/>
      </c>
      <c r="P612">
        <f>IF([2]Entry!$S$615="","",[2]Entry!$S$615)</f>
        <v/>
      </c>
    </row>
    <row r="613">
      <c r="L613">
        <f>IF([2]Entry!$C$616="","",[2]Entry!$C$616)</f>
        <v/>
      </c>
      <c r="M613">
        <f>IF([2]Entry!$J$616="","",[2]Entry!$J$616)</f>
        <v/>
      </c>
      <c r="N613">
        <f>IF([2]Entry!$M$616="","",[2]Entry!$M$616)</f>
        <v/>
      </c>
      <c r="O613">
        <f>IF([2]Entry!$N$616="","",[2]Entry!$N$616)</f>
        <v/>
      </c>
      <c r="P613">
        <f>IF([2]Entry!$S$616="","",[2]Entry!$S$616)</f>
        <v/>
      </c>
    </row>
    <row r="614">
      <c r="L614">
        <f>IF([2]Entry!$C$617="","",[2]Entry!$C$617)</f>
        <v/>
      </c>
      <c r="M614">
        <f>IF([2]Entry!$J$617="","",[2]Entry!$J$617)</f>
        <v/>
      </c>
      <c r="N614">
        <f>IF([2]Entry!$M$617="","",[2]Entry!$M$617)</f>
        <v/>
      </c>
      <c r="O614">
        <f>IF([2]Entry!$N$617="","",[2]Entry!$N$617)</f>
        <v/>
      </c>
      <c r="P614">
        <f>IF([2]Entry!$S$617="","",[2]Entry!$S$617)</f>
        <v/>
      </c>
    </row>
    <row r="615">
      <c r="L615">
        <f>IF([2]Entry!$C$618="","",[2]Entry!$C$618)</f>
        <v/>
      </c>
      <c r="M615">
        <f>IF([2]Entry!$J$618="","",[2]Entry!$J$618)</f>
        <v/>
      </c>
      <c r="N615">
        <f>IF([2]Entry!$M$618="","",[2]Entry!$M$618)</f>
        <v/>
      </c>
      <c r="O615">
        <f>IF([2]Entry!$N$618="","",[2]Entry!$N$618)</f>
        <v/>
      </c>
      <c r="P615">
        <f>IF([2]Entry!$S$618="","",[2]Entry!$S$618)</f>
        <v/>
      </c>
    </row>
    <row r="616">
      <c r="L616">
        <f>IF([2]Entry!$C$619="","",[2]Entry!$C$619)</f>
        <v/>
      </c>
      <c r="M616">
        <f>IF([2]Entry!$J$619="","",[2]Entry!$J$619)</f>
        <v/>
      </c>
      <c r="N616">
        <f>IF([2]Entry!$M$619="","",[2]Entry!$M$619)</f>
        <v/>
      </c>
      <c r="O616">
        <f>IF([2]Entry!$N$619="","",[2]Entry!$N$619)</f>
        <v/>
      </c>
      <c r="P616">
        <f>IF([2]Entry!$S$619="","",[2]Entry!$S$619)</f>
        <v/>
      </c>
    </row>
    <row r="617">
      <c r="L617">
        <f>IF([2]Entry!$C$620="","",[2]Entry!$C$620)</f>
        <v/>
      </c>
      <c r="M617">
        <f>IF([2]Entry!$J$620="","",[2]Entry!$J$620)</f>
        <v/>
      </c>
      <c r="N617">
        <f>IF([2]Entry!$M$620="","",[2]Entry!$M$620)</f>
        <v/>
      </c>
      <c r="O617">
        <f>IF([2]Entry!$N$620="","",[2]Entry!$N$620)</f>
        <v/>
      </c>
      <c r="P617">
        <f>IF([2]Entry!$S$620="","",[2]Entry!$S$620)</f>
        <v/>
      </c>
    </row>
    <row r="618">
      <c r="L618">
        <f>IF([2]Entry!$C$621="","",[2]Entry!$C$621)</f>
        <v/>
      </c>
      <c r="M618">
        <f>IF([2]Entry!$J$621="","",[2]Entry!$J$621)</f>
        <v/>
      </c>
      <c r="N618">
        <f>IF([2]Entry!$M$621="","",[2]Entry!$M$621)</f>
        <v/>
      </c>
      <c r="O618">
        <f>IF([2]Entry!$N$621="","",[2]Entry!$N$621)</f>
        <v/>
      </c>
      <c r="P618">
        <f>IF([2]Entry!$S$621="","",[2]Entry!$S$621)</f>
        <v/>
      </c>
    </row>
    <row r="619">
      <c r="L619">
        <f>IF([2]Entry!$C$622="","",[2]Entry!$C$622)</f>
        <v/>
      </c>
      <c r="M619">
        <f>IF([2]Entry!$J$622="","",[2]Entry!$J$622)</f>
        <v/>
      </c>
      <c r="N619">
        <f>IF([2]Entry!$M$622="","",[2]Entry!$M$622)</f>
        <v/>
      </c>
      <c r="O619">
        <f>IF([2]Entry!$N$622="","",[2]Entry!$N$622)</f>
        <v/>
      </c>
      <c r="P619">
        <f>IF([2]Entry!$S$622="","",[2]Entry!$S$622)</f>
        <v/>
      </c>
    </row>
    <row r="620">
      <c r="L620">
        <f>IF([2]Entry!$C$623="","",[2]Entry!$C$623)</f>
        <v/>
      </c>
      <c r="M620">
        <f>IF([2]Entry!$J$623="","",[2]Entry!$J$623)</f>
        <v/>
      </c>
      <c r="N620">
        <f>IF([2]Entry!$M$623="","",[2]Entry!$M$623)</f>
        <v/>
      </c>
      <c r="O620">
        <f>IF([2]Entry!$N$623="","",[2]Entry!$N$623)</f>
        <v/>
      </c>
      <c r="P620">
        <f>IF([2]Entry!$S$623="","",[2]Entry!$S$623)</f>
        <v/>
      </c>
    </row>
    <row r="621">
      <c r="L621">
        <f>IF([2]Entry!$C$624="","",[2]Entry!$C$624)</f>
        <v/>
      </c>
      <c r="M621">
        <f>IF([2]Entry!$J$624="","",[2]Entry!$J$624)</f>
        <v/>
      </c>
      <c r="N621">
        <f>IF([2]Entry!$M$624="","",[2]Entry!$M$624)</f>
        <v/>
      </c>
      <c r="O621">
        <f>IF([2]Entry!$N$624="","",[2]Entry!$N$624)</f>
        <v/>
      </c>
      <c r="P621">
        <f>IF([2]Entry!$S$624="","",[2]Entry!$S$624)</f>
        <v/>
      </c>
    </row>
    <row r="622">
      <c r="L622">
        <f>IF([2]Entry!$C$625="","",[2]Entry!$C$625)</f>
        <v/>
      </c>
      <c r="M622">
        <f>IF([2]Entry!$J$625="","",[2]Entry!$J$625)</f>
        <v/>
      </c>
      <c r="N622">
        <f>IF([2]Entry!$M$625="","",[2]Entry!$M$625)</f>
        <v/>
      </c>
      <c r="O622">
        <f>IF([2]Entry!$N$625="","",[2]Entry!$N$625)</f>
        <v/>
      </c>
      <c r="P622">
        <f>IF([2]Entry!$S$625="","",[2]Entry!$S$625)</f>
        <v/>
      </c>
    </row>
    <row r="623">
      <c r="L623">
        <f>IF([2]Entry!$C$626="","",[2]Entry!$C$626)</f>
        <v/>
      </c>
      <c r="M623">
        <f>IF([2]Entry!$J$626="","",[2]Entry!$J$626)</f>
        <v/>
      </c>
      <c r="N623">
        <f>IF([2]Entry!$M$626="","",[2]Entry!$M$626)</f>
        <v/>
      </c>
      <c r="O623">
        <f>IF([2]Entry!$N$626="","",[2]Entry!$N$626)</f>
        <v/>
      </c>
      <c r="P623">
        <f>IF([2]Entry!$S$626="","",[2]Entry!$S$626)</f>
        <v/>
      </c>
    </row>
    <row r="624">
      <c r="L624">
        <f>IF([2]Entry!$C$627="","",[2]Entry!$C$627)</f>
        <v/>
      </c>
      <c r="M624">
        <f>IF([2]Entry!$J$627="","",[2]Entry!$J$627)</f>
        <v/>
      </c>
      <c r="N624">
        <f>IF([2]Entry!$M$627="","",[2]Entry!$M$627)</f>
        <v/>
      </c>
      <c r="O624">
        <f>IF([2]Entry!$N$627="","",[2]Entry!$N$627)</f>
        <v/>
      </c>
      <c r="P624">
        <f>IF([2]Entry!$S$627="","",[2]Entry!$S$627)</f>
        <v/>
      </c>
    </row>
    <row r="625">
      <c r="L625">
        <f>IF([2]Entry!$C$628="","",[2]Entry!$C$628)</f>
        <v/>
      </c>
      <c r="M625">
        <f>IF([2]Entry!$J$628="","",[2]Entry!$J$628)</f>
        <v/>
      </c>
      <c r="N625">
        <f>IF([2]Entry!$M$628="","",[2]Entry!$M$628)</f>
        <v/>
      </c>
      <c r="O625">
        <f>IF([2]Entry!$N$628="","",[2]Entry!$N$628)</f>
        <v/>
      </c>
      <c r="P625">
        <f>IF([2]Entry!$S$628="","",[2]Entry!$S$628)</f>
        <v/>
      </c>
    </row>
    <row r="626">
      <c r="L626">
        <f>IF([2]Entry!$C$629="","",[2]Entry!$C$629)</f>
        <v/>
      </c>
      <c r="M626">
        <f>IF([2]Entry!$J$629="","",[2]Entry!$J$629)</f>
        <v/>
      </c>
      <c r="N626">
        <f>IF([2]Entry!$M$629="","",[2]Entry!$M$629)</f>
        <v/>
      </c>
      <c r="O626">
        <f>IF([2]Entry!$N$629="","",[2]Entry!$N$629)</f>
        <v/>
      </c>
      <c r="P626">
        <f>IF([2]Entry!$S$629="","",[2]Entry!$S$629)</f>
        <v/>
      </c>
    </row>
    <row r="627">
      <c r="L627">
        <f>IF([2]Entry!$C$630="","",[2]Entry!$C$630)</f>
        <v/>
      </c>
      <c r="M627">
        <f>IF([2]Entry!$J$630="","",[2]Entry!$J$630)</f>
        <v/>
      </c>
      <c r="N627">
        <f>IF([2]Entry!$M$630="","",[2]Entry!$M$630)</f>
        <v/>
      </c>
      <c r="O627">
        <f>IF([2]Entry!$N$630="","",[2]Entry!$N$630)</f>
        <v/>
      </c>
      <c r="P627">
        <f>IF([2]Entry!$S$630="","",[2]Entry!$S$630)</f>
        <v/>
      </c>
    </row>
    <row r="628">
      <c r="L628">
        <f>IF([2]Entry!$C$631="","",[2]Entry!$C$631)</f>
        <v/>
      </c>
      <c r="M628">
        <f>IF([2]Entry!$J$631="","",[2]Entry!$J$631)</f>
        <v/>
      </c>
      <c r="N628">
        <f>IF([2]Entry!$M$631="","",[2]Entry!$M$631)</f>
        <v/>
      </c>
      <c r="O628">
        <f>IF([2]Entry!$N$631="","",[2]Entry!$N$631)</f>
        <v/>
      </c>
      <c r="P628">
        <f>IF([2]Entry!$S$631="","",[2]Entry!$S$631)</f>
        <v/>
      </c>
    </row>
    <row r="629">
      <c r="L629">
        <f>IF([2]Entry!$C$632="","",[2]Entry!$C$632)</f>
        <v/>
      </c>
      <c r="M629">
        <f>IF([2]Entry!$J$632="","",[2]Entry!$J$632)</f>
        <v/>
      </c>
      <c r="N629">
        <f>IF([2]Entry!$M$632="","",[2]Entry!$M$632)</f>
        <v/>
      </c>
      <c r="O629">
        <f>IF([2]Entry!$N$632="","",[2]Entry!$N$632)</f>
        <v/>
      </c>
      <c r="P629">
        <f>IF([2]Entry!$S$632="","",[2]Entry!$S$632)</f>
        <v/>
      </c>
    </row>
    <row r="630">
      <c r="L630">
        <f>IF([2]Entry!$C$633="","",[2]Entry!$C$633)</f>
        <v/>
      </c>
      <c r="M630">
        <f>IF([2]Entry!$J$633="","",[2]Entry!$J$633)</f>
        <v/>
      </c>
      <c r="N630">
        <f>IF([2]Entry!$M$633="","",[2]Entry!$M$633)</f>
        <v/>
      </c>
      <c r="O630">
        <f>IF([2]Entry!$N$633="","",[2]Entry!$N$633)</f>
        <v/>
      </c>
      <c r="P630">
        <f>IF([2]Entry!$S$633="","",[2]Entry!$S$633)</f>
        <v/>
      </c>
    </row>
    <row r="631">
      <c r="L631">
        <f>IF([2]Entry!$C$634="","",[2]Entry!$C$634)</f>
        <v/>
      </c>
      <c r="M631">
        <f>IF([2]Entry!$J$634="","",[2]Entry!$J$634)</f>
        <v/>
      </c>
      <c r="N631">
        <f>IF([2]Entry!$M$634="","",[2]Entry!$M$634)</f>
        <v/>
      </c>
      <c r="O631">
        <f>IF([2]Entry!$N$634="","",[2]Entry!$N$634)</f>
        <v/>
      </c>
      <c r="P631">
        <f>IF([2]Entry!$S$634="","",[2]Entry!$S$634)</f>
        <v/>
      </c>
    </row>
    <row r="632">
      <c r="L632">
        <f>IF([2]Entry!$C$635="","",[2]Entry!$C$635)</f>
        <v/>
      </c>
      <c r="M632">
        <f>IF([2]Entry!$J$635="","",[2]Entry!$J$635)</f>
        <v/>
      </c>
      <c r="N632">
        <f>IF([2]Entry!$M$635="","",[2]Entry!$M$635)</f>
        <v/>
      </c>
      <c r="O632">
        <f>IF([2]Entry!$N$635="","",[2]Entry!$N$635)</f>
        <v/>
      </c>
      <c r="P632">
        <f>IF([2]Entry!$S$635="","",[2]Entry!$S$635)</f>
        <v/>
      </c>
    </row>
    <row r="633">
      <c r="L633">
        <f>IF([2]Entry!$C$636="","",[2]Entry!$C$636)</f>
        <v/>
      </c>
      <c r="M633">
        <f>IF([2]Entry!$J$636="","",[2]Entry!$J$636)</f>
        <v/>
      </c>
      <c r="N633">
        <f>IF([2]Entry!$M$636="","",[2]Entry!$M$636)</f>
        <v/>
      </c>
      <c r="O633">
        <f>IF([2]Entry!$N$636="","",[2]Entry!$N$636)</f>
        <v/>
      </c>
      <c r="P633">
        <f>IF([2]Entry!$S$636="","",[2]Entry!$S$636)</f>
        <v/>
      </c>
    </row>
    <row r="634">
      <c r="L634">
        <f>IF([2]Entry!$C$637="","",[2]Entry!$C$637)</f>
        <v/>
      </c>
      <c r="M634">
        <f>IF([2]Entry!$J$637="","",[2]Entry!$J$637)</f>
        <v/>
      </c>
      <c r="N634">
        <f>IF([2]Entry!$M$637="","",[2]Entry!$M$637)</f>
        <v/>
      </c>
      <c r="O634">
        <f>IF([2]Entry!$N$637="","",[2]Entry!$N$637)</f>
        <v/>
      </c>
      <c r="P634">
        <f>IF([2]Entry!$S$637="","",[2]Entry!$S$637)</f>
        <v/>
      </c>
    </row>
    <row r="635">
      <c r="L635">
        <f>IF([2]Entry!$C$638="","",[2]Entry!$C$638)</f>
        <v/>
      </c>
      <c r="M635">
        <f>IF([2]Entry!$J$638="","",[2]Entry!$J$638)</f>
        <v/>
      </c>
      <c r="N635">
        <f>IF([2]Entry!$M$638="","",[2]Entry!$M$638)</f>
        <v/>
      </c>
      <c r="O635">
        <f>IF([2]Entry!$N$638="","",[2]Entry!$N$638)</f>
        <v/>
      </c>
      <c r="P635">
        <f>IF([2]Entry!$S$638="","",[2]Entry!$S$638)</f>
        <v/>
      </c>
    </row>
    <row r="636">
      <c r="L636">
        <f>IF([2]Entry!$C$639="","",[2]Entry!$C$639)</f>
        <v/>
      </c>
      <c r="M636">
        <f>IF([2]Entry!$J$639="","",[2]Entry!$J$639)</f>
        <v/>
      </c>
      <c r="N636">
        <f>IF([2]Entry!$M$639="","",[2]Entry!$M$639)</f>
        <v/>
      </c>
      <c r="O636">
        <f>IF([2]Entry!$N$639="","",[2]Entry!$N$639)</f>
        <v/>
      </c>
      <c r="P636">
        <f>IF([2]Entry!$S$639="","",[2]Entry!$S$639)</f>
        <v/>
      </c>
    </row>
    <row r="637">
      <c r="L637">
        <f>IF([2]Entry!$C$640="","",[2]Entry!$C$640)</f>
        <v/>
      </c>
      <c r="M637">
        <f>IF([2]Entry!$J$640="","",[2]Entry!$J$640)</f>
        <v/>
      </c>
      <c r="N637">
        <f>IF([2]Entry!$M$640="","",[2]Entry!$M$640)</f>
        <v/>
      </c>
      <c r="O637">
        <f>IF([2]Entry!$N$640="","",[2]Entry!$N$640)</f>
        <v/>
      </c>
      <c r="P637">
        <f>IF([2]Entry!$S$640="","",[2]Entry!$S$640)</f>
        <v/>
      </c>
    </row>
    <row r="638">
      <c r="L638">
        <f>IF([2]Entry!$C$641="","",[2]Entry!$C$641)</f>
        <v/>
      </c>
      <c r="M638">
        <f>IF([2]Entry!$J$641="","",[2]Entry!$J$641)</f>
        <v/>
      </c>
      <c r="N638">
        <f>IF([2]Entry!$M$641="","",[2]Entry!$M$641)</f>
        <v/>
      </c>
      <c r="O638">
        <f>IF([2]Entry!$N$641="","",[2]Entry!$N$641)</f>
        <v/>
      </c>
      <c r="P638">
        <f>IF([2]Entry!$S$641="","",[2]Entry!$S$641)</f>
        <v/>
      </c>
    </row>
    <row r="639">
      <c r="L639">
        <f>IF([2]Entry!$C$642="","",[2]Entry!$C$642)</f>
        <v/>
      </c>
      <c r="M639">
        <f>IF([2]Entry!$J$642="","",[2]Entry!$J$642)</f>
        <v/>
      </c>
      <c r="N639">
        <f>IF([2]Entry!$M$642="","",[2]Entry!$M$642)</f>
        <v/>
      </c>
      <c r="O639">
        <f>IF([2]Entry!$N$642="","",[2]Entry!$N$642)</f>
        <v/>
      </c>
      <c r="P639">
        <f>IF([2]Entry!$S$642="","",[2]Entry!$S$642)</f>
        <v/>
      </c>
    </row>
    <row r="640">
      <c r="L640">
        <f>IF([2]Entry!$C$643="","",[2]Entry!$C$643)</f>
        <v/>
      </c>
      <c r="M640">
        <f>IF([2]Entry!$J$643="","",[2]Entry!$J$643)</f>
        <v/>
      </c>
      <c r="N640">
        <f>IF([2]Entry!$M$643="","",[2]Entry!$M$643)</f>
        <v/>
      </c>
      <c r="O640">
        <f>IF([2]Entry!$N$643="","",[2]Entry!$N$643)</f>
        <v/>
      </c>
      <c r="P640">
        <f>IF([2]Entry!$S$643="","",[2]Entry!$S$643)</f>
        <v/>
      </c>
    </row>
    <row r="641">
      <c r="L641">
        <f>IF([2]Entry!$C$644="","",[2]Entry!$C$644)</f>
        <v/>
      </c>
      <c r="M641">
        <f>IF([2]Entry!$J$644="","",[2]Entry!$J$644)</f>
        <v/>
      </c>
      <c r="N641">
        <f>IF([2]Entry!$M$644="","",[2]Entry!$M$644)</f>
        <v/>
      </c>
      <c r="O641">
        <f>IF([2]Entry!$N$644="","",[2]Entry!$N$644)</f>
        <v/>
      </c>
      <c r="P641">
        <f>IF([2]Entry!$S$644="","",[2]Entry!$S$644)</f>
        <v/>
      </c>
    </row>
    <row r="642">
      <c r="L642">
        <f>IF([2]Entry!$C$645="","",[2]Entry!$C$645)</f>
        <v/>
      </c>
      <c r="M642">
        <f>IF([2]Entry!$J$645="","",[2]Entry!$J$645)</f>
        <v/>
      </c>
      <c r="N642">
        <f>IF([2]Entry!$M$645="","",[2]Entry!$M$645)</f>
        <v/>
      </c>
      <c r="O642">
        <f>IF([2]Entry!$N$645="","",[2]Entry!$N$645)</f>
        <v/>
      </c>
      <c r="P642">
        <f>IF([2]Entry!$S$645="","",[2]Entry!$S$645)</f>
        <v/>
      </c>
    </row>
    <row r="643">
      <c r="L643">
        <f>IF([2]Entry!$C$646="","",[2]Entry!$C$646)</f>
        <v/>
      </c>
      <c r="M643">
        <f>IF([2]Entry!$J$646="","",[2]Entry!$J$646)</f>
        <v/>
      </c>
      <c r="N643">
        <f>IF([2]Entry!$M$646="","",[2]Entry!$M$646)</f>
        <v/>
      </c>
      <c r="O643">
        <f>IF([2]Entry!$N$646="","",[2]Entry!$N$646)</f>
        <v/>
      </c>
      <c r="P643">
        <f>IF([2]Entry!$S$646="","",[2]Entry!$S$646)</f>
        <v/>
      </c>
    </row>
    <row r="644">
      <c r="L644">
        <f>IF([2]Entry!$C$647="","",[2]Entry!$C$647)</f>
        <v/>
      </c>
      <c r="M644">
        <f>IF([2]Entry!$J$647="","",[2]Entry!$J$647)</f>
        <v/>
      </c>
      <c r="N644">
        <f>IF([2]Entry!$M$647="","",[2]Entry!$M$647)</f>
        <v/>
      </c>
      <c r="O644">
        <f>IF([2]Entry!$N$647="","",[2]Entry!$N$647)</f>
        <v/>
      </c>
      <c r="P644">
        <f>IF([2]Entry!$S$647="","",[2]Entry!$S$647)</f>
        <v/>
      </c>
    </row>
    <row r="645">
      <c r="L645">
        <f>IF([2]Entry!$C$648="","",[2]Entry!$C$648)</f>
        <v/>
      </c>
      <c r="M645">
        <f>IF([2]Entry!$J$648="","",[2]Entry!$J$648)</f>
        <v/>
      </c>
      <c r="N645">
        <f>IF([2]Entry!$M$648="","",[2]Entry!$M$648)</f>
        <v/>
      </c>
      <c r="O645">
        <f>IF([2]Entry!$N$648="","",[2]Entry!$N$648)</f>
        <v/>
      </c>
      <c r="P645">
        <f>IF([2]Entry!$S$648="","",[2]Entry!$S$648)</f>
        <v/>
      </c>
    </row>
    <row r="646">
      <c r="L646">
        <f>IF([2]Entry!$C$649="","",[2]Entry!$C$649)</f>
        <v/>
      </c>
      <c r="M646">
        <f>IF([2]Entry!$J$649="","",[2]Entry!$J$649)</f>
        <v/>
      </c>
      <c r="N646">
        <f>IF([2]Entry!$M$649="","",[2]Entry!$M$649)</f>
        <v/>
      </c>
      <c r="O646">
        <f>IF([2]Entry!$N$649="","",[2]Entry!$N$649)</f>
        <v/>
      </c>
      <c r="P646">
        <f>IF([2]Entry!$S$649="","",[2]Entry!$S$649)</f>
        <v/>
      </c>
    </row>
    <row r="647">
      <c r="L647">
        <f>IF([2]Entry!$C$650="","",[2]Entry!$C$650)</f>
        <v/>
      </c>
      <c r="M647">
        <f>IF([2]Entry!$J$650="","",[2]Entry!$J$650)</f>
        <v/>
      </c>
      <c r="N647">
        <f>IF([2]Entry!$M$650="","",[2]Entry!$M$650)</f>
        <v/>
      </c>
      <c r="O647">
        <f>IF([2]Entry!$N$650="","",[2]Entry!$N$650)</f>
        <v/>
      </c>
      <c r="P647">
        <f>IF([2]Entry!$S$650="","",[2]Entry!$S$650)</f>
        <v/>
      </c>
    </row>
    <row r="648">
      <c r="L648">
        <f>IF([2]Entry!$C$651="","",[2]Entry!$C$651)</f>
        <v/>
      </c>
      <c r="M648">
        <f>IF([2]Entry!$J$651="","",[2]Entry!$J$651)</f>
        <v/>
      </c>
      <c r="N648">
        <f>IF([2]Entry!$M$651="","",[2]Entry!$M$651)</f>
        <v/>
      </c>
      <c r="O648">
        <f>IF([2]Entry!$N$651="","",[2]Entry!$N$651)</f>
        <v/>
      </c>
      <c r="P648">
        <f>IF([2]Entry!$S$651="","",[2]Entry!$S$651)</f>
        <v/>
      </c>
    </row>
    <row r="649">
      <c r="L649">
        <f>IF([2]Entry!$C$652="","",[2]Entry!$C$652)</f>
        <v/>
      </c>
      <c r="M649">
        <f>IF([2]Entry!$J$652="","",[2]Entry!$J$652)</f>
        <v/>
      </c>
      <c r="N649">
        <f>IF([2]Entry!$M$652="","",[2]Entry!$M$652)</f>
        <v/>
      </c>
      <c r="O649">
        <f>IF([2]Entry!$N$652="","",[2]Entry!$N$652)</f>
        <v/>
      </c>
      <c r="P649">
        <f>IF([2]Entry!$S$652="","",[2]Entry!$S$652)</f>
        <v/>
      </c>
    </row>
    <row r="650">
      <c r="L650">
        <f>IF([2]Entry!$C$653="","",[2]Entry!$C$653)</f>
        <v/>
      </c>
      <c r="M650">
        <f>IF([2]Entry!$J$653="","",[2]Entry!$J$653)</f>
        <v/>
      </c>
      <c r="N650">
        <f>IF([2]Entry!$M$653="","",[2]Entry!$M$653)</f>
        <v/>
      </c>
      <c r="O650">
        <f>IF([2]Entry!$N$653="","",[2]Entry!$N$653)</f>
        <v/>
      </c>
      <c r="P650">
        <f>IF([2]Entry!$S$653="","",[2]Entry!$S$653)</f>
        <v/>
      </c>
    </row>
    <row r="651">
      <c r="L651">
        <f>IF([2]Entry!$C$654="","",[2]Entry!$C$654)</f>
        <v/>
      </c>
      <c r="M651">
        <f>IF([2]Entry!$J$654="","",[2]Entry!$J$654)</f>
        <v/>
      </c>
      <c r="N651">
        <f>IF([2]Entry!$M$654="","",[2]Entry!$M$654)</f>
        <v/>
      </c>
      <c r="O651">
        <f>IF([2]Entry!$N$654="","",[2]Entry!$N$654)</f>
        <v/>
      </c>
      <c r="P651">
        <f>IF([2]Entry!$S$654="","",[2]Entry!$S$654)</f>
        <v/>
      </c>
    </row>
    <row r="652">
      <c r="L652">
        <f>IF([2]Entry!$C$655="","",[2]Entry!$C$655)</f>
        <v/>
      </c>
      <c r="M652">
        <f>IF([2]Entry!$J$655="","",[2]Entry!$J$655)</f>
        <v/>
      </c>
      <c r="N652">
        <f>IF([2]Entry!$M$655="","",[2]Entry!$M$655)</f>
        <v/>
      </c>
      <c r="O652">
        <f>IF([2]Entry!$N$655="","",[2]Entry!$N$655)</f>
        <v/>
      </c>
      <c r="P652">
        <f>IF([2]Entry!$S$655="","",[2]Entry!$S$655)</f>
        <v/>
      </c>
    </row>
    <row r="653">
      <c r="L653">
        <f>IF([2]Entry!$C$656="","",[2]Entry!$C$656)</f>
        <v/>
      </c>
      <c r="M653">
        <f>IF([2]Entry!$J$656="","",[2]Entry!$J$656)</f>
        <v/>
      </c>
      <c r="N653">
        <f>IF([2]Entry!$M$656="","",[2]Entry!$M$656)</f>
        <v/>
      </c>
      <c r="O653">
        <f>IF([2]Entry!$N$656="","",[2]Entry!$N$656)</f>
        <v/>
      </c>
      <c r="P653">
        <f>IF([2]Entry!$S$656="","",[2]Entry!$S$656)</f>
        <v/>
      </c>
    </row>
    <row r="654">
      <c r="L654">
        <f>IF([2]Entry!$C$657="","",[2]Entry!$C$657)</f>
        <v/>
      </c>
      <c r="M654">
        <f>IF([2]Entry!$J$657="","",[2]Entry!$J$657)</f>
        <v/>
      </c>
      <c r="N654">
        <f>IF([2]Entry!$M$657="","",[2]Entry!$M$657)</f>
        <v/>
      </c>
      <c r="O654">
        <f>IF([2]Entry!$N$657="","",[2]Entry!$N$657)</f>
        <v/>
      </c>
      <c r="P654">
        <f>IF([2]Entry!$S$657="","",[2]Entry!$S$657)</f>
        <v/>
      </c>
    </row>
    <row r="655">
      <c r="L655">
        <f>IF([2]Entry!$C$658="","",[2]Entry!$C$658)</f>
        <v/>
      </c>
      <c r="M655">
        <f>IF([2]Entry!$J$658="","",[2]Entry!$J$658)</f>
        <v/>
      </c>
      <c r="N655">
        <f>IF([2]Entry!$M$658="","",[2]Entry!$M$658)</f>
        <v/>
      </c>
      <c r="O655">
        <f>IF([2]Entry!$N$658="","",[2]Entry!$N$658)</f>
        <v/>
      </c>
      <c r="P655">
        <f>IF([2]Entry!$S$658="","",[2]Entry!$S$658)</f>
        <v/>
      </c>
    </row>
    <row r="656">
      <c r="L656">
        <f>IF([2]Entry!$C$659="","",[2]Entry!$C$659)</f>
        <v/>
      </c>
      <c r="M656">
        <f>IF([2]Entry!$J$659="","",[2]Entry!$J$659)</f>
        <v/>
      </c>
      <c r="N656">
        <f>IF([2]Entry!$M$659="","",[2]Entry!$M$659)</f>
        <v/>
      </c>
      <c r="O656">
        <f>IF([2]Entry!$N$659="","",[2]Entry!$N$659)</f>
        <v/>
      </c>
      <c r="P656">
        <f>IF([2]Entry!$S$659="","",[2]Entry!$S$659)</f>
        <v/>
      </c>
    </row>
    <row r="657">
      <c r="L657">
        <f>IF([2]Entry!$C$660="","",[2]Entry!$C$660)</f>
        <v/>
      </c>
      <c r="M657">
        <f>IF([2]Entry!$J$660="","",[2]Entry!$J$660)</f>
        <v/>
      </c>
      <c r="N657">
        <f>IF([2]Entry!$M$660="","",[2]Entry!$M$660)</f>
        <v/>
      </c>
      <c r="O657">
        <f>IF([2]Entry!$N$660="","",[2]Entry!$N$660)</f>
        <v/>
      </c>
      <c r="P657">
        <f>IF([2]Entry!$S$660="","",[2]Entry!$S$660)</f>
        <v/>
      </c>
    </row>
    <row r="658">
      <c r="L658">
        <f>IF([2]Entry!$C$661="","",[2]Entry!$C$661)</f>
        <v/>
      </c>
      <c r="M658">
        <f>IF([2]Entry!$J$661="","",[2]Entry!$J$661)</f>
        <v/>
      </c>
      <c r="N658">
        <f>IF([2]Entry!$M$661="","",[2]Entry!$M$661)</f>
        <v/>
      </c>
      <c r="O658">
        <f>IF([2]Entry!$N$661="","",[2]Entry!$N$661)</f>
        <v/>
      </c>
      <c r="P658">
        <f>IF([2]Entry!$S$661="","",[2]Entry!$S$661)</f>
        <v/>
      </c>
    </row>
    <row r="659">
      <c r="L659">
        <f>IF([2]Entry!$C$662="","",[2]Entry!$C$662)</f>
        <v/>
      </c>
      <c r="M659">
        <f>IF([2]Entry!$J$662="","",[2]Entry!$J$662)</f>
        <v/>
      </c>
      <c r="N659">
        <f>IF([2]Entry!$M$662="","",[2]Entry!$M$662)</f>
        <v/>
      </c>
      <c r="O659">
        <f>IF([2]Entry!$N$662="","",[2]Entry!$N$662)</f>
        <v/>
      </c>
      <c r="P659">
        <f>IF([2]Entry!$S$662="","",[2]Entry!$S$662)</f>
        <v/>
      </c>
    </row>
    <row r="660">
      <c r="L660">
        <f>IF([2]Entry!$C$663="","",[2]Entry!$C$663)</f>
        <v/>
      </c>
      <c r="M660">
        <f>IF([2]Entry!$J$663="","",[2]Entry!$J$663)</f>
        <v/>
      </c>
      <c r="N660">
        <f>IF([2]Entry!$M$663="","",[2]Entry!$M$663)</f>
        <v/>
      </c>
      <c r="O660">
        <f>IF([2]Entry!$N$663="","",[2]Entry!$N$663)</f>
        <v/>
      </c>
      <c r="P660">
        <f>IF([2]Entry!$S$663="","",[2]Entry!$S$663)</f>
        <v/>
      </c>
    </row>
    <row r="661">
      <c r="L661">
        <f>IF([2]Entry!$C$664="","",[2]Entry!$C$664)</f>
        <v/>
      </c>
      <c r="M661">
        <f>IF([2]Entry!$J$664="","",[2]Entry!$J$664)</f>
        <v/>
      </c>
      <c r="N661">
        <f>IF([2]Entry!$M$664="","",[2]Entry!$M$664)</f>
        <v/>
      </c>
      <c r="O661">
        <f>IF([2]Entry!$N$664="","",[2]Entry!$N$664)</f>
        <v/>
      </c>
      <c r="P661">
        <f>IF([2]Entry!$S$664="","",[2]Entry!$S$664)</f>
        <v/>
      </c>
    </row>
    <row r="662">
      <c r="L662">
        <f>IF([2]Entry!$C$665="","",[2]Entry!$C$665)</f>
        <v/>
      </c>
      <c r="M662">
        <f>IF([2]Entry!$J$665="","",[2]Entry!$J$665)</f>
        <v/>
      </c>
      <c r="N662">
        <f>IF([2]Entry!$M$665="","",[2]Entry!$M$665)</f>
        <v/>
      </c>
      <c r="O662">
        <f>IF([2]Entry!$N$665="","",[2]Entry!$N$665)</f>
        <v/>
      </c>
      <c r="P662">
        <f>IF([2]Entry!$S$665="","",[2]Entry!$S$665)</f>
        <v/>
      </c>
    </row>
    <row r="663">
      <c r="L663">
        <f>IF([2]Entry!$C$666="","",[2]Entry!$C$666)</f>
        <v/>
      </c>
      <c r="M663">
        <f>IF([2]Entry!$J$666="","",[2]Entry!$J$666)</f>
        <v/>
      </c>
      <c r="N663">
        <f>IF([2]Entry!$M$666="","",[2]Entry!$M$666)</f>
        <v/>
      </c>
      <c r="O663">
        <f>IF([2]Entry!$N$666="","",[2]Entry!$N$666)</f>
        <v/>
      </c>
      <c r="P663">
        <f>IF([2]Entry!$S$666="","",[2]Entry!$S$666)</f>
        <v/>
      </c>
    </row>
    <row r="664">
      <c r="L664">
        <f>IF([2]Entry!$C$667="","",[2]Entry!$C$667)</f>
        <v/>
      </c>
      <c r="M664">
        <f>IF([2]Entry!$J$667="","",[2]Entry!$J$667)</f>
        <v/>
      </c>
      <c r="N664">
        <f>IF([2]Entry!$M$667="","",[2]Entry!$M$667)</f>
        <v/>
      </c>
      <c r="O664">
        <f>IF([2]Entry!$N$667="","",[2]Entry!$N$667)</f>
        <v/>
      </c>
      <c r="P664">
        <f>IF([2]Entry!$S$667="","",[2]Entry!$S$667)</f>
        <v/>
      </c>
    </row>
    <row r="665">
      <c r="L665">
        <f>IF([2]Entry!$C$668="","",[2]Entry!$C$668)</f>
        <v/>
      </c>
      <c r="M665">
        <f>IF([2]Entry!$J$668="","",[2]Entry!$J$668)</f>
        <v/>
      </c>
      <c r="N665">
        <f>IF([2]Entry!$M$668="","",[2]Entry!$M$668)</f>
        <v/>
      </c>
      <c r="O665">
        <f>IF([2]Entry!$N$668="","",[2]Entry!$N$668)</f>
        <v/>
      </c>
      <c r="P665">
        <f>IF([2]Entry!$S$668="","",[2]Entry!$S$668)</f>
        <v/>
      </c>
    </row>
    <row r="666">
      <c r="L666">
        <f>IF([2]Entry!$C$669="","",[2]Entry!$C$669)</f>
        <v/>
      </c>
      <c r="M666">
        <f>IF([2]Entry!$J$669="","",[2]Entry!$J$669)</f>
        <v/>
      </c>
      <c r="N666">
        <f>IF([2]Entry!$M$669="","",[2]Entry!$M$669)</f>
        <v/>
      </c>
      <c r="O666">
        <f>IF([2]Entry!$N$669="","",[2]Entry!$N$669)</f>
        <v/>
      </c>
      <c r="P666">
        <f>IF([2]Entry!$S$669="","",[2]Entry!$S$669)</f>
        <v/>
      </c>
    </row>
    <row r="667">
      <c r="L667">
        <f>IF([2]Entry!$C$670="","",[2]Entry!$C$670)</f>
        <v/>
      </c>
      <c r="M667">
        <f>IF([2]Entry!$J$670="","",[2]Entry!$J$670)</f>
        <v/>
      </c>
      <c r="N667">
        <f>IF([2]Entry!$M$670="","",[2]Entry!$M$670)</f>
        <v/>
      </c>
      <c r="O667">
        <f>IF([2]Entry!$N$670="","",[2]Entry!$N$670)</f>
        <v/>
      </c>
      <c r="P667">
        <f>IF([2]Entry!$S$670="","",[2]Entry!$S$670)</f>
        <v/>
      </c>
    </row>
    <row r="668">
      <c r="L668">
        <f>IF([2]Entry!$C$671="","",[2]Entry!$C$671)</f>
        <v/>
      </c>
      <c r="M668">
        <f>IF([2]Entry!$J$671="","",[2]Entry!$J$671)</f>
        <v/>
      </c>
      <c r="N668">
        <f>IF([2]Entry!$M$671="","",[2]Entry!$M$671)</f>
        <v/>
      </c>
      <c r="O668">
        <f>IF([2]Entry!$N$671="","",[2]Entry!$N$671)</f>
        <v/>
      </c>
      <c r="P668">
        <f>IF([2]Entry!$S$671="","",[2]Entry!$S$671)</f>
        <v/>
      </c>
    </row>
    <row r="669">
      <c r="L669">
        <f>IF([2]Entry!$C$672="","",[2]Entry!$C$672)</f>
        <v/>
      </c>
      <c r="M669">
        <f>IF([2]Entry!$J$672="","",[2]Entry!$J$672)</f>
        <v/>
      </c>
      <c r="N669">
        <f>IF([2]Entry!$M$672="","",[2]Entry!$M$672)</f>
        <v/>
      </c>
      <c r="O669">
        <f>IF([2]Entry!$N$672="","",[2]Entry!$N$672)</f>
        <v/>
      </c>
      <c r="P669">
        <f>IF([2]Entry!$S$672="","",[2]Entry!$S$672)</f>
        <v/>
      </c>
    </row>
    <row r="670">
      <c r="L670">
        <f>IF([2]Entry!$C$673="","",[2]Entry!$C$673)</f>
        <v/>
      </c>
      <c r="M670">
        <f>IF([2]Entry!$J$673="","",[2]Entry!$J$673)</f>
        <v/>
      </c>
      <c r="N670">
        <f>IF([2]Entry!$M$673="","",[2]Entry!$M$673)</f>
        <v/>
      </c>
      <c r="O670">
        <f>IF([2]Entry!$N$673="","",[2]Entry!$N$673)</f>
        <v/>
      </c>
      <c r="P670">
        <f>IF([2]Entry!$S$673="","",[2]Entry!$S$673)</f>
        <v/>
      </c>
    </row>
    <row r="671">
      <c r="L671">
        <f>IF([2]Entry!$C$674="","",[2]Entry!$C$674)</f>
        <v/>
      </c>
      <c r="M671">
        <f>IF([2]Entry!$J$674="","",[2]Entry!$J$674)</f>
        <v/>
      </c>
      <c r="N671">
        <f>IF([2]Entry!$M$674="","",[2]Entry!$M$674)</f>
        <v/>
      </c>
      <c r="O671">
        <f>IF([2]Entry!$N$674="","",[2]Entry!$N$674)</f>
        <v/>
      </c>
      <c r="P671">
        <f>IF([2]Entry!$S$674="","",[2]Entry!$S$674)</f>
        <v/>
      </c>
    </row>
    <row r="672">
      <c r="L672">
        <f>IF([2]Entry!$C$675="","",[2]Entry!$C$675)</f>
        <v/>
      </c>
      <c r="M672">
        <f>IF([2]Entry!$J$675="","",[2]Entry!$J$675)</f>
        <v/>
      </c>
      <c r="N672">
        <f>IF([2]Entry!$M$675="","",[2]Entry!$M$675)</f>
        <v/>
      </c>
      <c r="O672">
        <f>IF([2]Entry!$N$675="","",[2]Entry!$N$675)</f>
        <v/>
      </c>
      <c r="P672">
        <f>IF([2]Entry!$S$675="","",[2]Entry!$S$675)</f>
        <v/>
      </c>
    </row>
    <row r="673">
      <c r="L673">
        <f>IF([2]Entry!$C$676="","",[2]Entry!$C$676)</f>
        <v/>
      </c>
      <c r="M673">
        <f>IF([2]Entry!$J$676="","",[2]Entry!$J$676)</f>
        <v/>
      </c>
      <c r="N673">
        <f>IF([2]Entry!$M$676="","",[2]Entry!$M$676)</f>
        <v/>
      </c>
      <c r="O673">
        <f>IF([2]Entry!$N$676="","",[2]Entry!$N$676)</f>
        <v/>
      </c>
      <c r="P673">
        <f>IF([2]Entry!$S$676="","",[2]Entry!$S$676)</f>
        <v/>
      </c>
    </row>
    <row r="674">
      <c r="L674">
        <f>IF([2]Entry!$C$677="","",[2]Entry!$C$677)</f>
        <v/>
      </c>
      <c r="M674">
        <f>IF([2]Entry!$J$677="","",[2]Entry!$J$677)</f>
        <v/>
      </c>
      <c r="N674">
        <f>IF([2]Entry!$M$677="","",[2]Entry!$M$677)</f>
        <v/>
      </c>
      <c r="O674">
        <f>IF([2]Entry!$N$677="","",[2]Entry!$N$677)</f>
        <v/>
      </c>
      <c r="P674">
        <f>IF([2]Entry!$S$677="","",[2]Entry!$S$677)</f>
        <v/>
      </c>
    </row>
    <row r="675">
      <c r="L675">
        <f>IF([2]Entry!$C$678="","",[2]Entry!$C$678)</f>
        <v/>
      </c>
      <c r="M675">
        <f>IF([2]Entry!$J$678="","",[2]Entry!$J$678)</f>
        <v/>
      </c>
      <c r="N675">
        <f>IF([2]Entry!$M$678="","",[2]Entry!$M$678)</f>
        <v/>
      </c>
      <c r="O675">
        <f>IF([2]Entry!$N$678="","",[2]Entry!$N$678)</f>
        <v/>
      </c>
      <c r="P675">
        <f>IF([2]Entry!$S$678="","",[2]Entry!$S$678)</f>
        <v/>
      </c>
    </row>
    <row r="676">
      <c r="L676">
        <f>IF([2]Entry!$C$679="","",[2]Entry!$C$679)</f>
        <v/>
      </c>
      <c r="M676">
        <f>IF([2]Entry!$J$679="","",[2]Entry!$J$679)</f>
        <v/>
      </c>
      <c r="N676">
        <f>IF([2]Entry!$M$679="","",[2]Entry!$M$679)</f>
        <v/>
      </c>
      <c r="O676">
        <f>IF([2]Entry!$N$679="","",[2]Entry!$N$679)</f>
        <v/>
      </c>
      <c r="P676">
        <f>IF([2]Entry!$S$679="","",[2]Entry!$S$679)</f>
        <v/>
      </c>
    </row>
    <row r="677">
      <c r="L677">
        <f>IF([2]Entry!$C$680="","",[2]Entry!$C$680)</f>
        <v/>
      </c>
      <c r="M677">
        <f>IF([2]Entry!$J$680="","",[2]Entry!$J$680)</f>
        <v/>
      </c>
      <c r="N677">
        <f>IF([2]Entry!$M$680="","",[2]Entry!$M$680)</f>
        <v/>
      </c>
      <c r="O677">
        <f>IF([2]Entry!$N$680="","",[2]Entry!$N$680)</f>
        <v/>
      </c>
      <c r="P677">
        <f>IF([2]Entry!$S$680="","",[2]Entry!$S$680)</f>
        <v/>
      </c>
    </row>
    <row r="678">
      <c r="L678">
        <f>IF([2]Entry!$C$681="","",[2]Entry!$C$681)</f>
        <v/>
      </c>
      <c r="M678">
        <f>IF([2]Entry!$J$681="","",[2]Entry!$J$681)</f>
        <v/>
      </c>
      <c r="N678">
        <f>IF([2]Entry!$M$681="","",[2]Entry!$M$681)</f>
        <v/>
      </c>
      <c r="O678">
        <f>IF([2]Entry!$N$681="","",[2]Entry!$N$681)</f>
        <v/>
      </c>
      <c r="P678">
        <f>IF([2]Entry!$S$681="","",[2]Entry!$S$681)</f>
        <v/>
      </c>
    </row>
    <row r="679">
      <c r="L679">
        <f>IF([2]Entry!$C$682="","",[2]Entry!$C$682)</f>
        <v/>
      </c>
      <c r="M679">
        <f>IF([2]Entry!$J$682="","",[2]Entry!$J$682)</f>
        <v/>
      </c>
      <c r="N679">
        <f>IF([2]Entry!$M$682="","",[2]Entry!$M$682)</f>
        <v/>
      </c>
      <c r="O679">
        <f>IF([2]Entry!$N$682="","",[2]Entry!$N$682)</f>
        <v/>
      </c>
      <c r="P679">
        <f>IF([2]Entry!$S$682="","",[2]Entry!$S$682)</f>
        <v/>
      </c>
    </row>
    <row r="680">
      <c r="L680">
        <f>IF([2]Entry!$C$683="","",[2]Entry!$C$683)</f>
        <v/>
      </c>
      <c r="M680">
        <f>IF([2]Entry!$J$683="","",[2]Entry!$J$683)</f>
        <v/>
      </c>
      <c r="N680">
        <f>IF([2]Entry!$M$683="","",[2]Entry!$M$683)</f>
        <v/>
      </c>
      <c r="O680">
        <f>IF([2]Entry!$N$683="","",[2]Entry!$N$683)</f>
        <v/>
      </c>
      <c r="P680">
        <f>IF([2]Entry!$S$683="","",[2]Entry!$S$683)</f>
        <v/>
      </c>
    </row>
    <row r="681">
      <c r="L681">
        <f>IF([2]Entry!$C$684="","",[2]Entry!$C$684)</f>
        <v/>
      </c>
      <c r="M681">
        <f>IF([2]Entry!$J$684="","",[2]Entry!$J$684)</f>
        <v/>
      </c>
      <c r="N681">
        <f>IF([2]Entry!$M$684="","",[2]Entry!$M$684)</f>
        <v/>
      </c>
      <c r="O681">
        <f>IF([2]Entry!$N$684="","",[2]Entry!$N$684)</f>
        <v/>
      </c>
      <c r="P681">
        <f>IF([2]Entry!$S$684="","",[2]Entry!$S$684)</f>
        <v/>
      </c>
    </row>
    <row r="682">
      <c r="L682">
        <f>IF([2]Entry!$C$685="","",[2]Entry!$C$685)</f>
        <v/>
      </c>
      <c r="M682">
        <f>IF([2]Entry!$J$685="","",[2]Entry!$J$685)</f>
        <v/>
      </c>
      <c r="N682">
        <f>IF([2]Entry!$M$685="","",[2]Entry!$M$685)</f>
        <v/>
      </c>
      <c r="O682">
        <f>IF([2]Entry!$N$685="","",[2]Entry!$N$685)</f>
        <v/>
      </c>
      <c r="P682">
        <f>IF([2]Entry!$S$685="","",[2]Entry!$S$685)</f>
        <v/>
      </c>
    </row>
    <row r="683">
      <c r="L683">
        <f>IF([2]Entry!$C$686="","",[2]Entry!$C$686)</f>
        <v/>
      </c>
      <c r="M683">
        <f>IF([2]Entry!$J$686="","",[2]Entry!$J$686)</f>
        <v/>
      </c>
      <c r="N683">
        <f>IF([2]Entry!$M$686="","",[2]Entry!$M$686)</f>
        <v/>
      </c>
      <c r="O683">
        <f>IF([2]Entry!$N$686="","",[2]Entry!$N$686)</f>
        <v/>
      </c>
      <c r="P683">
        <f>IF([2]Entry!$S$686="","",[2]Entry!$S$686)</f>
        <v/>
      </c>
    </row>
    <row r="684">
      <c r="L684">
        <f>IF([2]Entry!$C$687="","",[2]Entry!$C$687)</f>
        <v/>
      </c>
      <c r="M684">
        <f>IF([2]Entry!$J$687="","",[2]Entry!$J$687)</f>
        <v/>
      </c>
      <c r="N684">
        <f>IF([2]Entry!$M$687="","",[2]Entry!$M$687)</f>
        <v/>
      </c>
      <c r="O684">
        <f>IF([2]Entry!$N$687="","",[2]Entry!$N$687)</f>
        <v/>
      </c>
      <c r="P684">
        <f>IF([2]Entry!$S$687="","",[2]Entry!$S$687)</f>
        <v/>
      </c>
    </row>
    <row r="685">
      <c r="L685">
        <f>IF([2]Entry!$C$688="","",[2]Entry!$C$688)</f>
        <v/>
      </c>
      <c r="M685">
        <f>IF([2]Entry!$J$688="","",[2]Entry!$J$688)</f>
        <v/>
      </c>
      <c r="N685">
        <f>IF([2]Entry!$M$688="","",[2]Entry!$M$688)</f>
        <v/>
      </c>
      <c r="O685">
        <f>IF([2]Entry!$N$688="","",[2]Entry!$N$688)</f>
        <v/>
      </c>
      <c r="P685">
        <f>IF([2]Entry!$S$688="","",[2]Entry!$S$688)</f>
        <v/>
      </c>
    </row>
    <row r="686">
      <c r="L686">
        <f>IF([2]Entry!$C$689="","",[2]Entry!$C$689)</f>
        <v/>
      </c>
      <c r="M686">
        <f>IF([2]Entry!$J$689="","",[2]Entry!$J$689)</f>
        <v/>
      </c>
      <c r="N686">
        <f>IF([2]Entry!$M$689="","",[2]Entry!$M$689)</f>
        <v/>
      </c>
      <c r="O686">
        <f>IF([2]Entry!$N$689="","",[2]Entry!$N$689)</f>
        <v/>
      </c>
      <c r="P686">
        <f>IF([2]Entry!$S$689="","",[2]Entry!$S$689)</f>
        <v/>
      </c>
    </row>
    <row r="687">
      <c r="L687">
        <f>IF([2]Entry!$C$690="","",[2]Entry!$C$690)</f>
        <v/>
      </c>
      <c r="M687">
        <f>IF([2]Entry!$J$690="","",[2]Entry!$J$690)</f>
        <v/>
      </c>
      <c r="N687">
        <f>IF([2]Entry!$M$690="","",[2]Entry!$M$690)</f>
        <v/>
      </c>
      <c r="O687">
        <f>IF([2]Entry!$N$690="","",[2]Entry!$N$690)</f>
        <v/>
      </c>
      <c r="P687">
        <f>IF([2]Entry!$S$690="","",[2]Entry!$S$690)</f>
        <v/>
      </c>
    </row>
    <row r="688">
      <c r="L688">
        <f>IF([2]Entry!$C$691="","",[2]Entry!$C$691)</f>
        <v/>
      </c>
      <c r="M688">
        <f>IF([2]Entry!$J$691="","",[2]Entry!$J$691)</f>
        <v/>
      </c>
      <c r="N688">
        <f>IF([2]Entry!$M$691="","",[2]Entry!$M$691)</f>
        <v/>
      </c>
      <c r="O688">
        <f>IF([2]Entry!$N$691="","",[2]Entry!$N$691)</f>
        <v/>
      </c>
      <c r="P688">
        <f>IF([2]Entry!$S$691="","",[2]Entry!$S$691)</f>
        <v/>
      </c>
    </row>
    <row r="689">
      <c r="L689">
        <f>IF([2]Entry!$C$692="","",[2]Entry!$C$692)</f>
        <v/>
      </c>
      <c r="M689">
        <f>IF([2]Entry!$J$692="","",[2]Entry!$J$692)</f>
        <v/>
      </c>
      <c r="N689">
        <f>IF([2]Entry!$M$692="","",[2]Entry!$M$692)</f>
        <v/>
      </c>
      <c r="O689">
        <f>IF([2]Entry!$N$692="","",[2]Entry!$N$692)</f>
        <v/>
      </c>
      <c r="P689">
        <f>IF([2]Entry!$S$692="","",[2]Entry!$S$692)</f>
        <v/>
      </c>
    </row>
    <row r="690">
      <c r="L690">
        <f>IF([2]Entry!$C$693="","",[2]Entry!$C$693)</f>
        <v/>
      </c>
      <c r="M690">
        <f>IF([2]Entry!$J$693="","",[2]Entry!$J$693)</f>
        <v/>
      </c>
      <c r="N690">
        <f>IF([2]Entry!$M$693="","",[2]Entry!$M$693)</f>
        <v/>
      </c>
      <c r="O690">
        <f>IF([2]Entry!$N$693="","",[2]Entry!$N$693)</f>
        <v/>
      </c>
      <c r="P690">
        <f>IF([2]Entry!$S$693="","",[2]Entry!$S$693)</f>
        <v/>
      </c>
    </row>
    <row r="691">
      <c r="L691">
        <f>IF([2]Entry!$C$694="","",[2]Entry!$C$694)</f>
        <v/>
      </c>
      <c r="M691">
        <f>IF([2]Entry!$J$694="","",[2]Entry!$J$694)</f>
        <v/>
      </c>
      <c r="N691">
        <f>IF([2]Entry!$M$694="","",[2]Entry!$M$694)</f>
        <v/>
      </c>
      <c r="O691">
        <f>IF([2]Entry!$N$694="","",[2]Entry!$N$694)</f>
        <v/>
      </c>
      <c r="P691">
        <f>IF([2]Entry!$S$694="","",[2]Entry!$S$694)</f>
        <v/>
      </c>
    </row>
    <row r="692">
      <c r="L692">
        <f>IF([2]Entry!$C$695="","",[2]Entry!$C$695)</f>
        <v/>
      </c>
      <c r="M692">
        <f>IF([2]Entry!$J$695="","",[2]Entry!$J$695)</f>
        <v/>
      </c>
      <c r="N692">
        <f>IF([2]Entry!$M$695="","",[2]Entry!$M$695)</f>
        <v/>
      </c>
      <c r="O692">
        <f>IF([2]Entry!$N$695="","",[2]Entry!$N$695)</f>
        <v/>
      </c>
      <c r="P692">
        <f>IF([2]Entry!$S$695="","",[2]Entry!$S$695)</f>
        <v/>
      </c>
    </row>
    <row r="693">
      <c r="L693">
        <f>IF([2]Entry!$C$696="","",[2]Entry!$C$696)</f>
        <v/>
      </c>
      <c r="M693">
        <f>IF([2]Entry!$J$696="","",[2]Entry!$J$696)</f>
        <v/>
      </c>
      <c r="N693">
        <f>IF([2]Entry!$M$696="","",[2]Entry!$M$696)</f>
        <v/>
      </c>
      <c r="O693">
        <f>IF([2]Entry!$N$696="","",[2]Entry!$N$696)</f>
        <v/>
      </c>
      <c r="P693">
        <f>IF([2]Entry!$S$696="","",[2]Entry!$S$696)</f>
        <v/>
      </c>
    </row>
    <row r="694">
      <c r="L694">
        <f>IF([2]Entry!$C$697="","",[2]Entry!$C$697)</f>
        <v/>
      </c>
      <c r="M694">
        <f>IF([2]Entry!$J$697="","",[2]Entry!$J$697)</f>
        <v/>
      </c>
      <c r="N694">
        <f>IF([2]Entry!$M$697="","",[2]Entry!$M$697)</f>
        <v/>
      </c>
      <c r="O694">
        <f>IF([2]Entry!$N$697="","",[2]Entry!$N$697)</f>
        <v/>
      </c>
      <c r="P694">
        <f>IF([2]Entry!$S$697="","",[2]Entry!$S$697)</f>
        <v/>
      </c>
    </row>
    <row r="695">
      <c r="L695">
        <f>IF([2]Entry!$C$698="","",[2]Entry!$C$698)</f>
        <v/>
      </c>
      <c r="M695">
        <f>IF([2]Entry!$J$698="","",[2]Entry!$J$698)</f>
        <v/>
      </c>
      <c r="N695">
        <f>IF([2]Entry!$M$698="","",[2]Entry!$M$698)</f>
        <v/>
      </c>
      <c r="O695">
        <f>IF([2]Entry!$N$698="","",[2]Entry!$N$698)</f>
        <v/>
      </c>
      <c r="P695">
        <f>IF([2]Entry!$S$698="","",[2]Entry!$S$698)</f>
        <v/>
      </c>
    </row>
    <row r="696">
      <c r="L696">
        <f>IF([2]Entry!$C$699="","",[2]Entry!$C$699)</f>
        <v/>
      </c>
      <c r="M696">
        <f>IF([2]Entry!$J$699="","",[2]Entry!$J$699)</f>
        <v/>
      </c>
      <c r="N696">
        <f>IF([2]Entry!$M$699="","",[2]Entry!$M$699)</f>
        <v/>
      </c>
      <c r="O696">
        <f>IF([2]Entry!$N$699="","",[2]Entry!$N$699)</f>
        <v/>
      </c>
      <c r="P696">
        <f>IF([2]Entry!$S$699="","",[2]Entry!$S$699)</f>
        <v/>
      </c>
    </row>
    <row r="697">
      <c r="L697">
        <f>IF([2]Entry!$C$700="","",[2]Entry!$C$700)</f>
        <v/>
      </c>
      <c r="M697">
        <f>IF([2]Entry!$J$700="","",[2]Entry!$J$700)</f>
        <v/>
      </c>
      <c r="N697">
        <f>IF([2]Entry!$M$700="","",[2]Entry!$M$700)</f>
        <v/>
      </c>
      <c r="O697">
        <f>IF([2]Entry!$N$700="","",[2]Entry!$N$700)</f>
        <v/>
      </c>
      <c r="P697">
        <f>IF([2]Entry!$S$700="","",[2]Entry!$S$700)</f>
        <v/>
      </c>
    </row>
    <row r="698">
      <c r="L698">
        <f>IF([2]Entry!$C$701="","",[2]Entry!$C$701)</f>
        <v/>
      </c>
      <c r="M698">
        <f>IF([2]Entry!$J$701="","",[2]Entry!$J$701)</f>
        <v/>
      </c>
      <c r="N698">
        <f>IF([2]Entry!$M$701="","",[2]Entry!$M$701)</f>
        <v/>
      </c>
      <c r="O698">
        <f>IF([2]Entry!$N$701="","",[2]Entry!$N$701)</f>
        <v/>
      </c>
      <c r="P698">
        <f>IF([2]Entry!$S$701="","",[2]Entry!$S$701)</f>
        <v/>
      </c>
    </row>
    <row r="699">
      <c r="L699">
        <f>IF([2]Entry!$C$702="","",[2]Entry!$C$702)</f>
        <v/>
      </c>
      <c r="M699">
        <f>IF([2]Entry!$J$702="","",[2]Entry!$J$702)</f>
        <v/>
      </c>
      <c r="N699">
        <f>IF([2]Entry!$M$702="","",[2]Entry!$M$702)</f>
        <v/>
      </c>
      <c r="O699">
        <f>IF([2]Entry!$N$702="","",[2]Entry!$N$702)</f>
        <v/>
      </c>
      <c r="P699">
        <f>IF([2]Entry!$S$702="","",[2]Entry!$S$702)</f>
        <v/>
      </c>
    </row>
    <row r="700">
      <c r="L700">
        <f>IF([2]Entry!$C$703="","",[2]Entry!$C$703)</f>
        <v/>
      </c>
      <c r="M700">
        <f>IF([2]Entry!$J$703="","",[2]Entry!$J$703)</f>
        <v/>
      </c>
      <c r="N700">
        <f>IF([2]Entry!$M$703="","",[2]Entry!$M$703)</f>
        <v/>
      </c>
      <c r="O700">
        <f>IF([2]Entry!$N$703="","",[2]Entry!$N$703)</f>
        <v/>
      </c>
      <c r="P700">
        <f>IF([2]Entry!$S$703="","",[2]Entry!$S$703)</f>
        <v/>
      </c>
    </row>
    <row r="701">
      <c r="L701">
        <f>IF([2]Entry!$C$704="","",[2]Entry!$C$704)</f>
        <v/>
      </c>
      <c r="M701">
        <f>IF([2]Entry!$J$704="","",[2]Entry!$J$704)</f>
        <v/>
      </c>
      <c r="N701">
        <f>IF([2]Entry!$M$704="","",[2]Entry!$M$704)</f>
        <v/>
      </c>
      <c r="O701">
        <f>IF([2]Entry!$N$704="","",[2]Entry!$N$704)</f>
        <v/>
      </c>
      <c r="P701">
        <f>IF([2]Entry!$S$704="","",[2]Entry!$S$704)</f>
        <v/>
      </c>
    </row>
    <row r="702">
      <c r="L702">
        <f>IF([2]Entry!$C$705="","",[2]Entry!$C$705)</f>
        <v/>
      </c>
      <c r="M702">
        <f>IF([2]Entry!$J$705="","",[2]Entry!$J$705)</f>
        <v/>
      </c>
      <c r="N702">
        <f>IF([2]Entry!$M$705="","",[2]Entry!$M$705)</f>
        <v/>
      </c>
      <c r="O702">
        <f>IF([2]Entry!$N$705="","",[2]Entry!$N$705)</f>
        <v/>
      </c>
      <c r="P702">
        <f>IF([2]Entry!$S$705="","",[2]Entry!$S$705)</f>
        <v/>
      </c>
    </row>
    <row r="703">
      <c r="L703">
        <f>IF([2]Entry!$C$706="","",[2]Entry!$C$706)</f>
        <v/>
      </c>
      <c r="M703">
        <f>IF([2]Entry!$J$706="","",[2]Entry!$J$706)</f>
        <v/>
      </c>
      <c r="N703">
        <f>IF([2]Entry!$M$706="","",[2]Entry!$M$706)</f>
        <v/>
      </c>
      <c r="O703">
        <f>IF([2]Entry!$N$706="","",[2]Entry!$N$706)</f>
        <v/>
      </c>
      <c r="P703">
        <f>IF([2]Entry!$S$706="","",[2]Entry!$S$706)</f>
        <v/>
      </c>
    </row>
    <row r="704">
      <c r="L704">
        <f>IF([2]Entry!$C$707="","",[2]Entry!$C$707)</f>
        <v/>
      </c>
      <c r="M704">
        <f>IF([2]Entry!$J$707="","",[2]Entry!$J$707)</f>
        <v/>
      </c>
      <c r="N704">
        <f>IF([2]Entry!$M$707="","",[2]Entry!$M$707)</f>
        <v/>
      </c>
      <c r="O704">
        <f>IF([2]Entry!$N$707="","",[2]Entry!$N$707)</f>
        <v/>
      </c>
      <c r="P704">
        <f>IF([2]Entry!$S$707="","",[2]Entry!$S$707)</f>
        <v/>
      </c>
    </row>
    <row r="705">
      <c r="L705">
        <f>IF([2]Entry!$C$708="","",[2]Entry!$C$708)</f>
        <v/>
      </c>
      <c r="M705">
        <f>IF([2]Entry!$J$708="","",[2]Entry!$J$708)</f>
        <v/>
      </c>
      <c r="N705">
        <f>IF([2]Entry!$M$708="","",[2]Entry!$M$708)</f>
        <v/>
      </c>
      <c r="O705">
        <f>IF([2]Entry!$N$708="","",[2]Entry!$N$708)</f>
        <v/>
      </c>
      <c r="P705">
        <f>IF([2]Entry!$S$708="","",[2]Entry!$S$708)</f>
        <v/>
      </c>
    </row>
    <row r="706">
      <c r="L706">
        <f>IF([2]Entry!$C$709="","",[2]Entry!$C$709)</f>
        <v/>
      </c>
      <c r="M706">
        <f>IF([2]Entry!$J$709="","",[2]Entry!$J$709)</f>
        <v/>
      </c>
      <c r="N706">
        <f>IF([2]Entry!$M$709="","",[2]Entry!$M$709)</f>
        <v/>
      </c>
      <c r="O706">
        <f>IF([2]Entry!$N$709="","",[2]Entry!$N$709)</f>
        <v/>
      </c>
      <c r="P706">
        <f>IF([2]Entry!$S$709="","",[2]Entry!$S$709)</f>
        <v/>
      </c>
    </row>
    <row r="707">
      <c r="L707">
        <f>IF([2]Entry!$C$710="","",[2]Entry!$C$710)</f>
        <v/>
      </c>
      <c r="M707">
        <f>IF([2]Entry!$J$710="","",[2]Entry!$J$710)</f>
        <v/>
      </c>
      <c r="N707">
        <f>IF([2]Entry!$M$710="","",[2]Entry!$M$710)</f>
        <v/>
      </c>
      <c r="O707">
        <f>IF([2]Entry!$N$710="","",[2]Entry!$N$710)</f>
        <v/>
      </c>
      <c r="P707">
        <f>IF([2]Entry!$S$710="","",[2]Entry!$S$710)</f>
        <v/>
      </c>
    </row>
    <row r="708">
      <c r="L708">
        <f>IF([2]Entry!$C$711="","",[2]Entry!$C$711)</f>
        <v/>
      </c>
      <c r="M708">
        <f>IF([2]Entry!$J$711="","",[2]Entry!$J$711)</f>
        <v/>
      </c>
      <c r="N708">
        <f>IF([2]Entry!$M$711="","",[2]Entry!$M$711)</f>
        <v/>
      </c>
      <c r="O708">
        <f>IF([2]Entry!$N$711="","",[2]Entry!$N$711)</f>
        <v/>
      </c>
      <c r="P708">
        <f>IF([2]Entry!$S$711="","",[2]Entry!$S$711)</f>
        <v/>
      </c>
    </row>
    <row r="709">
      <c r="L709">
        <f>IF([2]Entry!$C$712="","",[2]Entry!$C$712)</f>
        <v/>
      </c>
      <c r="M709">
        <f>IF([2]Entry!$J$712="","",[2]Entry!$J$712)</f>
        <v/>
      </c>
      <c r="N709">
        <f>IF([2]Entry!$M$712="","",[2]Entry!$M$712)</f>
        <v/>
      </c>
      <c r="O709">
        <f>IF([2]Entry!$N$712="","",[2]Entry!$N$712)</f>
        <v/>
      </c>
      <c r="P709">
        <f>IF([2]Entry!$S$712="","",[2]Entry!$S$712)</f>
        <v/>
      </c>
    </row>
    <row r="710">
      <c r="L710">
        <f>IF([2]Entry!$C$713="","",[2]Entry!$C$713)</f>
        <v/>
      </c>
      <c r="M710">
        <f>IF([2]Entry!$J$713="","",[2]Entry!$J$713)</f>
        <v/>
      </c>
      <c r="N710">
        <f>IF([2]Entry!$M$713="","",[2]Entry!$M$713)</f>
        <v/>
      </c>
      <c r="O710">
        <f>IF([2]Entry!$N$713="","",[2]Entry!$N$713)</f>
        <v/>
      </c>
      <c r="P710">
        <f>IF([2]Entry!$S$713="","",[2]Entry!$S$713)</f>
        <v/>
      </c>
    </row>
    <row r="711">
      <c r="L711">
        <f>IF([2]Entry!$C$714="","",[2]Entry!$C$714)</f>
        <v/>
      </c>
      <c r="M711">
        <f>IF([2]Entry!$J$714="","",[2]Entry!$J$714)</f>
        <v/>
      </c>
      <c r="N711">
        <f>IF([2]Entry!$M$714="","",[2]Entry!$M$714)</f>
        <v/>
      </c>
      <c r="O711">
        <f>IF([2]Entry!$N$714="","",[2]Entry!$N$714)</f>
        <v/>
      </c>
      <c r="P711">
        <f>IF([2]Entry!$S$714="","",[2]Entry!$S$714)</f>
        <v/>
      </c>
    </row>
    <row r="712">
      <c r="L712">
        <f>IF([2]Entry!$C$715="","",[2]Entry!$C$715)</f>
        <v/>
      </c>
      <c r="M712">
        <f>IF([2]Entry!$J$715="","",[2]Entry!$J$715)</f>
        <v/>
      </c>
      <c r="N712">
        <f>IF([2]Entry!$M$715="","",[2]Entry!$M$715)</f>
        <v/>
      </c>
      <c r="O712">
        <f>IF([2]Entry!$N$715="","",[2]Entry!$N$715)</f>
        <v/>
      </c>
      <c r="P712">
        <f>IF([2]Entry!$S$715="","",[2]Entry!$S$715)</f>
        <v/>
      </c>
    </row>
    <row r="713">
      <c r="L713">
        <f>IF([2]Entry!$C$716="","",[2]Entry!$C$716)</f>
        <v/>
      </c>
      <c r="M713">
        <f>IF([2]Entry!$J$716="","",[2]Entry!$J$716)</f>
        <v/>
      </c>
      <c r="N713">
        <f>IF([2]Entry!$M$716="","",[2]Entry!$M$716)</f>
        <v/>
      </c>
      <c r="O713">
        <f>IF([2]Entry!$N$716="","",[2]Entry!$N$716)</f>
        <v/>
      </c>
      <c r="P713">
        <f>IF([2]Entry!$S$716="","",[2]Entry!$S$716)</f>
        <v/>
      </c>
    </row>
    <row r="714">
      <c r="L714">
        <f>IF([2]Entry!$C$717="","",[2]Entry!$C$717)</f>
        <v/>
      </c>
      <c r="M714">
        <f>IF([2]Entry!$J$717="","",[2]Entry!$J$717)</f>
        <v/>
      </c>
      <c r="N714">
        <f>IF([2]Entry!$M$717="","",[2]Entry!$M$717)</f>
        <v/>
      </c>
      <c r="O714">
        <f>IF([2]Entry!$N$717="","",[2]Entry!$N$717)</f>
        <v/>
      </c>
      <c r="P714">
        <f>IF([2]Entry!$S$717="","",[2]Entry!$S$717)</f>
        <v/>
      </c>
    </row>
    <row r="715">
      <c r="L715">
        <f>IF([2]Entry!$C$718="","",[2]Entry!$C$718)</f>
        <v/>
      </c>
      <c r="M715">
        <f>IF([2]Entry!$J$718="","",[2]Entry!$J$718)</f>
        <v/>
      </c>
      <c r="N715">
        <f>IF([2]Entry!$M$718="","",[2]Entry!$M$718)</f>
        <v/>
      </c>
      <c r="O715">
        <f>IF([2]Entry!$N$718="","",[2]Entry!$N$718)</f>
        <v/>
      </c>
      <c r="P715">
        <f>IF([2]Entry!$S$718="","",[2]Entry!$S$718)</f>
        <v/>
      </c>
    </row>
    <row r="716">
      <c r="L716">
        <f>IF([2]Entry!$C$719="","",[2]Entry!$C$719)</f>
        <v/>
      </c>
      <c r="M716">
        <f>IF([2]Entry!$J$719="","",[2]Entry!$J$719)</f>
        <v/>
      </c>
      <c r="N716">
        <f>IF([2]Entry!$M$719="","",[2]Entry!$M$719)</f>
        <v/>
      </c>
      <c r="O716">
        <f>IF([2]Entry!$N$719="","",[2]Entry!$N$719)</f>
        <v/>
      </c>
      <c r="P716">
        <f>IF([2]Entry!$S$719="","",[2]Entry!$S$719)</f>
        <v/>
      </c>
    </row>
    <row r="717">
      <c r="L717">
        <f>IF([2]Entry!$C$720="","",[2]Entry!$C$720)</f>
        <v/>
      </c>
      <c r="M717">
        <f>IF([2]Entry!$J$720="","",[2]Entry!$J$720)</f>
        <v/>
      </c>
      <c r="N717">
        <f>IF([2]Entry!$M$720="","",[2]Entry!$M$720)</f>
        <v/>
      </c>
      <c r="O717">
        <f>IF([2]Entry!$N$720="","",[2]Entry!$N$720)</f>
        <v/>
      </c>
      <c r="P717">
        <f>IF([2]Entry!$S$720="","",[2]Entry!$S$720)</f>
        <v/>
      </c>
    </row>
    <row r="718">
      <c r="L718">
        <f>IF([2]Entry!$C$721="","",[2]Entry!$C$721)</f>
        <v/>
      </c>
      <c r="M718">
        <f>IF([2]Entry!$J$721="","",[2]Entry!$J$721)</f>
        <v/>
      </c>
      <c r="N718">
        <f>IF([2]Entry!$M$721="","",[2]Entry!$M$721)</f>
        <v/>
      </c>
      <c r="O718">
        <f>IF([2]Entry!$N$721="","",[2]Entry!$N$721)</f>
        <v/>
      </c>
      <c r="P718">
        <f>IF([2]Entry!$S$721="","",[2]Entry!$S$721)</f>
        <v/>
      </c>
    </row>
    <row r="719">
      <c r="L719">
        <f>IF([2]Entry!$C$722="","",[2]Entry!$C$722)</f>
        <v/>
      </c>
      <c r="M719">
        <f>IF([2]Entry!$J$722="","",[2]Entry!$J$722)</f>
        <v/>
      </c>
      <c r="N719">
        <f>IF([2]Entry!$M$722="","",[2]Entry!$M$722)</f>
        <v/>
      </c>
      <c r="O719">
        <f>IF([2]Entry!$N$722="","",[2]Entry!$N$722)</f>
        <v/>
      </c>
      <c r="P719">
        <f>IF([2]Entry!$S$722="","",[2]Entry!$S$722)</f>
        <v/>
      </c>
    </row>
    <row r="720">
      <c r="L720">
        <f>IF([2]Entry!$C$723="","",[2]Entry!$C$723)</f>
        <v/>
      </c>
      <c r="M720">
        <f>IF([2]Entry!$J$723="","",[2]Entry!$J$723)</f>
        <v/>
      </c>
      <c r="N720">
        <f>IF([2]Entry!$M$723="","",[2]Entry!$M$723)</f>
        <v/>
      </c>
      <c r="O720">
        <f>IF([2]Entry!$N$723="","",[2]Entry!$N$723)</f>
        <v/>
      </c>
      <c r="P720">
        <f>IF([2]Entry!$S$723="","",[2]Entry!$S$723)</f>
        <v/>
      </c>
    </row>
    <row r="721">
      <c r="L721">
        <f>IF([2]Entry!$C$724="","",[2]Entry!$C$724)</f>
        <v/>
      </c>
      <c r="M721">
        <f>IF([2]Entry!$J$724="","",[2]Entry!$J$724)</f>
        <v/>
      </c>
      <c r="N721">
        <f>IF([2]Entry!$M$724="","",[2]Entry!$M$724)</f>
        <v/>
      </c>
      <c r="O721">
        <f>IF([2]Entry!$N$724="","",[2]Entry!$N$724)</f>
        <v/>
      </c>
      <c r="P721">
        <f>IF([2]Entry!$S$724="","",[2]Entry!$S$724)</f>
        <v/>
      </c>
    </row>
    <row r="722">
      <c r="L722">
        <f>IF([2]Entry!$C$725="","",[2]Entry!$C$725)</f>
        <v/>
      </c>
      <c r="M722">
        <f>IF([2]Entry!$J$725="","",[2]Entry!$J$725)</f>
        <v/>
      </c>
      <c r="N722">
        <f>IF([2]Entry!$M$725="","",[2]Entry!$M$725)</f>
        <v/>
      </c>
      <c r="O722">
        <f>IF([2]Entry!$N$725="","",[2]Entry!$N$725)</f>
        <v/>
      </c>
      <c r="P722">
        <f>IF([2]Entry!$S$725="","",[2]Entry!$S$725)</f>
        <v/>
      </c>
    </row>
    <row r="723">
      <c r="L723">
        <f>IF([2]Entry!$C$726="","",[2]Entry!$C$726)</f>
        <v/>
      </c>
      <c r="M723">
        <f>IF([2]Entry!$J$726="","",[2]Entry!$J$726)</f>
        <v/>
      </c>
      <c r="N723">
        <f>IF([2]Entry!$M$726="","",[2]Entry!$M$726)</f>
        <v/>
      </c>
      <c r="O723">
        <f>IF([2]Entry!$N$726="","",[2]Entry!$N$726)</f>
        <v/>
      </c>
      <c r="P723">
        <f>IF([2]Entry!$S$726="","",[2]Entry!$S$726)</f>
        <v/>
      </c>
    </row>
    <row r="724">
      <c r="L724">
        <f>IF([2]Entry!$C$727="","",[2]Entry!$C$727)</f>
        <v/>
      </c>
      <c r="M724">
        <f>IF([2]Entry!$J$727="","",[2]Entry!$J$727)</f>
        <v/>
      </c>
      <c r="N724">
        <f>IF([2]Entry!$M$727="","",[2]Entry!$M$727)</f>
        <v/>
      </c>
      <c r="O724">
        <f>IF([2]Entry!$N$727="","",[2]Entry!$N$727)</f>
        <v/>
      </c>
      <c r="P724">
        <f>IF([2]Entry!$S$727="","",[2]Entry!$S$727)</f>
        <v/>
      </c>
    </row>
    <row r="725">
      <c r="L725">
        <f>IF([2]Entry!$C$728="","",[2]Entry!$C$728)</f>
        <v/>
      </c>
      <c r="M725">
        <f>IF([2]Entry!$J$728="","",[2]Entry!$J$728)</f>
        <v/>
      </c>
      <c r="N725">
        <f>IF([2]Entry!$M$728="","",[2]Entry!$M$728)</f>
        <v/>
      </c>
      <c r="O725">
        <f>IF([2]Entry!$N$728="","",[2]Entry!$N$728)</f>
        <v/>
      </c>
      <c r="P725">
        <f>IF([2]Entry!$S$728="","",[2]Entry!$S$728)</f>
        <v/>
      </c>
    </row>
    <row r="726">
      <c r="L726">
        <f>IF([2]Entry!$C$729="","",[2]Entry!$C$729)</f>
        <v/>
      </c>
      <c r="M726">
        <f>IF([2]Entry!$J$729="","",[2]Entry!$J$729)</f>
        <v/>
      </c>
      <c r="N726">
        <f>IF([2]Entry!$M$729="","",[2]Entry!$M$729)</f>
        <v/>
      </c>
      <c r="O726">
        <f>IF([2]Entry!$N$729="","",[2]Entry!$N$729)</f>
        <v/>
      </c>
      <c r="P726">
        <f>IF([2]Entry!$S$729="","",[2]Entry!$S$729)</f>
        <v/>
      </c>
    </row>
    <row r="727">
      <c r="L727">
        <f>IF([2]Entry!$C$730="","",[2]Entry!$C$730)</f>
        <v/>
      </c>
      <c r="M727">
        <f>IF([2]Entry!$J$730="","",[2]Entry!$J$730)</f>
        <v/>
      </c>
      <c r="N727">
        <f>IF([2]Entry!$M$730="","",[2]Entry!$M$730)</f>
        <v/>
      </c>
      <c r="O727">
        <f>IF([2]Entry!$N$730="","",[2]Entry!$N$730)</f>
        <v/>
      </c>
      <c r="P727">
        <f>IF([2]Entry!$S$730="","",[2]Entry!$S$730)</f>
        <v/>
      </c>
    </row>
    <row r="728">
      <c r="L728">
        <f>IF([2]Entry!$C$731="","",[2]Entry!$C$731)</f>
        <v/>
      </c>
      <c r="M728">
        <f>IF([2]Entry!$J$731="","",[2]Entry!$J$731)</f>
        <v/>
      </c>
      <c r="N728">
        <f>IF([2]Entry!$M$731="","",[2]Entry!$M$731)</f>
        <v/>
      </c>
      <c r="O728">
        <f>IF([2]Entry!$N$731="","",[2]Entry!$N$731)</f>
        <v/>
      </c>
      <c r="P728">
        <f>IF([2]Entry!$S$731="","",[2]Entry!$S$731)</f>
        <v/>
      </c>
    </row>
    <row r="729">
      <c r="L729">
        <f>IF([2]Entry!$C$732="","",[2]Entry!$C$732)</f>
        <v/>
      </c>
      <c r="M729">
        <f>IF([2]Entry!$J$732="","",[2]Entry!$J$732)</f>
        <v/>
      </c>
      <c r="N729">
        <f>IF([2]Entry!$M$732="","",[2]Entry!$M$732)</f>
        <v/>
      </c>
      <c r="O729">
        <f>IF([2]Entry!$N$732="","",[2]Entry!$N$732)</f>
        <v/>
      </c>
      <c r="P729">
        <f>IF([2]Entry!$S$732="","",[2]Entry!$S$732)</f>
        <v/>
      </c>
    </row>
    <row r="730">
      <c r="L730">
        <f>IF([2]Entry!$C$733="","",[2]Entry!$C$733)</f>
        <v/>
      </c>
      <c r="M730">
        <f>IF([2]Entry!$J$733="","",[2]Entry!$J$733)</f>
        <v/>
      </c>
      <c r="N730">
        <f>IF([2]Entry!$M$733="","",[2]Entry!$M$733)</f>
        <v/>
      </c>
      <c r="O730">
        <f>IF([2]Entry!$N$733="","",[2]Entry!$N$733)</f>
        <v/>
      </c>
      <c r="P730">
        <f>IF([2]Entry!$S$733="","",[2]Entry!$S$733)</f>
        <v/>
      </c>
    </row>
    <row r="731">
      <c r="L731">
        <f>IF([2]Entry!$C$734="","",[2]Entry!$C$734)</f>
        <v/>
      </c>
      <c r="M731">
        <f>IF([2]Entry!$J$734="","",[2]Entry!$J$734)</f>
        <v/>
      </c>
      <c r="N731">
        <f>IF([2]Entry!$M$734="","",[2]Entry!$M$734)</f>
        <v/>
      </c>
      <c r="O731">
        <f>IF([2]Entry!$N$734="","",[2]Entry!$N$734)</f>
        <v/>
      </c>
      <c r="P731">
        <f>IF([2]Entry!$S$734="","",[2]Entry!$S$734)</f>
        <v/>
      </c>
    </row>
    <row r="732">
      <c r="L732">
        <f>IF([2]Entry!$C$735="","",[2]Entry!$C$735)</f>
        <v/>
      </c>
      <c r="M732">
        <f>IF([2]Entry!$J$735="","",[2]Entry!$J$735)</f>
        <v/>
      </c>
      <c r="N732">
        <f>IF([2]Entry!$M$735="","",[2]Entry!$M$735)</f>
        <v/>
      </c>
      <c r="O732">
        <f>IF([2]Entry!$N$735="","",[2]Entry!$N$735)</f>
        <v/>
      </c>
      <c r="P732">
        <f>IF([2]Entry!$S$735="","",[2]Entry!$S$735)</f>
        <v/>
      </c>
    </row>
    <row r="733">
      <c r="L733">
        <f>IF([2]Entry!$C$736="","",[2]Entry!$C$736)</f>
        <v/>
      </c>
      <c r="M733">
        <f>IF([2]Entry!$J$736="","",[2]Entry!$J$736)</f>
        <v/>
      </c>
      <c r="N733">
        <f>IF([2]Entry!$M$736="","",[2]Entry!$M$736)</f>
        <v/>
      </c>
      <c r="O733">
        <f>IF([2]Entry!$N$736="","",[2]Entry!$N$736)</f>
        <v/>
      </c>
      <c r="P733">
        <f>IF([2]Entry!$S$736="","",[2]Entry!$S$736)</f>
        <v/>
      </c>
    </row>
    <row r="734">
      <c r="L734">
        <f>IF([2]Entry!$C$737="","",[2]Entry!$C$737)</f>
        <v/>
      </c>
      <c r="M734">
        <f>IF([2]Entry!$J$737="","",[2]Entry!$J$737)</f>
        <v/>
      </c>
      <c r="N734">
        <f>IF([2]Entry!$M$737="","",[2]Entry!$M$737)</f>
        <v/>
      </c>
      <c r="O734">
        <f>IF([2]Entry!$N$737="","",[2]Entry!$N$737)</f>
        <v/>
      </c>
      <c r="P734">
        <f>IF([2]Entry!$S$737="","",[2]Entry!$S$737)</f>
        <v/>
      </c>
    </row>
    <row r="735">
      <c r="L735">
        <f>IF([2]Entry!$C$738="","",[2]Entry!$C$738)</f>
        <v/>
      </c>
      <c r="M735">
        <f>IF([2]Entry!$J$738="","",[2]Entry!$J$738)</f>
        <v/>
      </c>
      <c r="N735">
        <f>IF([2]Entry!$M$738="","",[2]Entry!$M$738)</f>
        <v/>
      </c>
      <c r="O735">
        <f>IF([2]Entry!$N$738="","",[2]Entry!$N$738)</f>
        <v/>
      </c>
      <c r="P735">
        <f>IF([2]Entry!$S$738="","",[2]Entry!$S$738)</f>
        <v/>
      </c>
    </row>
    <row r="736">
      <c r="L736">
        <f>IF([2]Entry!$C$739="","",[2]Entry!$C$739)</f>
        <v/>
      </c>
      <c r="M736">
        <f>IF([2]Entry!$J$739="","",[2]Entry!$J$739)</f>
        <v/>
      </c>
      <c r="N736">
        <f>IF([2]Entry!$M$739="","",[2]Entry!$M$739)</f>
        <v/>
      </c>
      <c r="O736">
        <f>IF([2]Entry!$N$739="","",[2]Entry!$N$739)</f>
        <v/>
      </c>
      <c r="P736">
        <f>IF([2]Entry!$S$739="","",[2]Entry!$S$739)</f>
        <v/>
      </c>
    </row>
    <row r="737">
      <c r="L737">
        <f>IF([2]Entry!$C$740="","",[2]Entry!$C$740)</f>
        <v/>
      </c>
      <c r="M737">
        <f>IF([2]Entry!$J$740="","",[2]Entry!$J$740)</f>
        <v/>
      </c>
      <c r="N737">
        <f>IF([2]Entry!$M$740="","",[2]Entry!$M$740)</f>
        <v/>
      </c>
      <c r="O737">
        <f>IF([2]Entry!$N$740="","",[2]Entry!$N$740)</f>
        <v/>
      </c>
      <c r="P737">
        <f>IF([2]Entry!$S$740="","",[2]Entry!$S$740)</f>
        <v/>
      </c>
    </row>
    <row r="738">
      <c r="L738">
        <f>IF([2]Entry!$C$741="","",[2]Entry!$C$741)</f>
        <v/>
      </c>
      <c r="M738">
        <f>IF([2]Entry!$J$741="","",[2]Entry!$J$741)</f>
        <v/>
      </c>
      <c r="N738">
        <f>IF([2]Entry!$M$741="","",[2]Entry!$M$741)</f>
        <v/>
      </c>
      <c r="O738">
        <f>IF([2]Entry!$N$741="","",[2]Entry!$N$741)</f>
        <v/>
      </c>
      <c r="P738">
        <f>IF([2]Entry!$S$741="","",[2]Entry!$S$741)</f>
        <v/>
      </c>
    </row>
    <row r="739">
      <c r="L739">
        <f>IF([2]Entry!$C$742="","",[2]Entry!$C$742)</f>
        <v/>
      </c>
      <c r="M739">
        <f>IF([2]Entry!$J$742="","",[2]Entry!$J$742)</f>
        <v/>
      </c>
      <c r="N739">
        <f>IF([2]Entry!$M$742="","",[2]Entry!$M$742)</f>
        <v/>
      </c>
      <c r="O739">
        <f>IF([2]Entry!$N$742="","",[2]Entry!$N$742)</f>
        <v/>
      </c>
      <c r="P739">
        <f>IF([2]Entry!$S$742="","",[2]Entry!$S$742)</f>
        <v/>
      </c>
    </row>
    <row r="740">
      <c r="L740">
        <f>IF([2]Entry!$C$743="","",[2]Entry!$C$743)</f>
        <v/>
      </c>
      <c r="M740">
        <f>IF([2]Entry!$J$743="","",[2]Entry!$J$743)</f>
        <v/>
      </c>
      <c r="N740">
        <f>IF([2]Entry!$M$743="","",[2]Entry!$M$743)</f>
        <v/>
      </c>
      <c r="O740">
        <f>IF([2]Entry!$N$743="","",[2]Entry!$N$743)</f>
        <v/>
      </c>
      <c r="P740">
        <f>IF([2]Entry!$S$743="","",[2]Entry!$S$743)</f>
        <v/>
      </c>
    </row>
    <row r="741">
      <c r="L741">
        <f>IF([2]Entry!$C$744="","",[2]Entry!$C$744)</f>
        <v/>
      </c>
      <c r="M741">
        <f>IF([2]Entry!$J$744="","",[2]Entry!$J$744)</f>
        <v/>
      </c>
      <c r="N741">
        <f>IF([2]Entry!$M$744="","",[2]Entry!$M$744)</f>
        <v/>
      </c>
      <c r="O741">
        <f>IF([2]Entry!$N$744="","",[2]Entry!$N$744)</f>
        <v/>
      </c>
      <c r="P741">
        <f>IF([2]Entry!$S$744="","",[2]Entry!$S$744)</f>
        <v/>
      </c>
    </row>
    <row r="742">
      <c r="L742">
        <f>IF([2]Entry!$C$745="","",[2]Entry!$C$745)</f>
        <v/>
      </c>
      <c r="M742">
        <f>IF([2]Entry!$J$745="","",[2]Entry!$J$745)</f>
        <v/>
      </c>
      <c r="N742">
        <f>IF([2]Entry!$M$745="","",[2]Entry!$M$745)</f>
        <v/>
      </c>
      <c r="O742">
        <f>IF([2]Entry!$N$745="","",[2]Entry!$N$745)</f>
        <v/>
      </c>
      <c r="P742">
        <f>IF([2]Entry!$S$745="","",[2]Entry!$S$745)</f>
        <v/>
      </c>
    </row>
    <row r="743">
      <c r="L743">
        <f>IF([2]Entry!$C$746="","",[2]Entry!$C$746)</f>
        <v/>
      </c>
      <c r="M743">
        <f>IF([2]Entry!$J$746="","",[2]Entry!$J$746)</f>
        <v/>
      </c>
      <c r="N743">
        <f>IF([2]Entry!$M$746="","",[2]Entry!$M$746)</f>
        <v/>
      </c>
      <c r="O743">
        <f>IF([2]Entry!$N$746="","",[2]Entry!$N$746)</f>
        <v/>
      </c>
      <c r="P743">
        <f>IF([2]Entry!$S$746="","",[2]Entry!$S$746)</f>
        <v/>
      </c>
    </row>
    <row r="744">
      <c r="L744">
        <f>IF([2]Entry!$C$747="","",[2]Entry!$C$747)</f>
        <v/>
      </c>
      <c r="M744">
        <f>IF([2]Entry!$J$747="","",[2]Entry!$J$747)</f>
        <v/>
      </c>
      <c r="N744">
        <f>IF([2]Entry!$M$747="","",[2]Entry!$M$747)</f>
        <v/>
      </c>
      <c r="O744">
        <f>IF([2]Entry!$N$747="","",[2]Entry!$N$747)</f>
        <v/>
      </c>
      <c r="P744">
        <f>IF([2]Entry!$S$747="","",[2]Entry!$S$747)</f>
        <v/>
      </c>
    </row>
    <row r="745">
      <c r="L745">
        <f>IF([2]Entry!$C$748="","",[2]Entry!$C$748)</f>
        <v/>
      </c>
      <c r="M745">
        <f>IF([2]Entry!$J$748="","",[2]Entry!$J$748)</f>
        <v/>
      </c>
      <c r="N745">
        <f>IF([2]Entry!$M$748="","",[2]Entry!$M$748)</f>
        <v/>
      </c>
      <c r="O745">
        <f>IF([2]Entry!$N$748="","",[2]Entry!$N$748)</f>
        <v/>
      </c>
      <c r="P745">
        <f>IF([2]Entry!$S$748="","",[2]Entry!$S$748)</f>
        <v/>
      </c>
    </row>
    <row r="746">
      <c r="L746">
        <f>IF([2]Entry!$C$749="","",[2]Entry!$C$749)</f>
        <v/>
      </c>
      <c r="M746">
        <f>IF([2]Entry!$J$749="","",[2]Entry!$J$749)</f>
        <v/>
      </c>
      <c r="N746">
        <f>IF([2]Entry!$M$749="","",[2]Entry!$M$749)</f>
        <v/>
      </c>
      <c r="O746">
        <f>IF([2]Entry!$N$749="","",[2]Entry!$N$749)</f>
        <v/>
      </c>
      <c r="P746">
        <f>IF([2]Entry!$S$749="","",[2]Entry!$S$749)</f>
        <v/>
      </c>
    </row>
    <row r="747">
      <c r="L747">
        <f>IF([2]Entry!$C$750="","",[2]Entry!$C$750)</f>
        <v/>
      </c>
      <c r="M747">
        <f>IF([2]Entry!$J$750="","",[2]Entry!$J$750)</f>
        <v/>
      </c>
      <c r="N747">
        <f>IF([2]Entry!$M$750="","",[2]Entry!$M$750)</f>
        <v/>
      </c>
      <c r="O747">
        <f>IF([2]Entry!$N$750="","",[2]Entry!$N$750)</f>
        <v/>
      </c>
      <c r="P747">
        <f>IF([2]Entry!$S$750="","",[2]Entry!$S$750)</f>
        <v/>
      </c>
    </row>
    <row r="748">
      <c r="L748">
        <f>IF([2]Entry!$C$751="","",[2]Entry!$C$751)</f>
        <v/>
      </c>
      <c r="M748">
        <f>IF([2]Entry!$J$751="","",[2]Entry!$J$751)</f>
        <v/>
      </c>
      <c r="N748">
        <f>IF([2]Entry!$M$751="","",[2]Entry!$M$751)</f>
        <v/>
      </c>
      <c r="O748">
        <f>IF([2]Entry!$N$751="","",[2]Entry!$N$751)</f>
        <v/>
      </c>
      <c r="P748">
        <f>IF([2]Entry!$S$751="","",[2]Entry!$S$751)</f>
        <v/>
      </c>
    </row>
    <row r="749">
      <c r="L749">
        <f>IF([2]Entry!$C$752="","",[2]Entry!$C$752)</f>
        <v/>
      </c>
      <c r="M749">
        <f>IF([2]Entry!$J$752="","",[2]Entry!$J$752)</f>
        <v/>
      </c>
      <c r="N749">
        <f>IF([2]Entry!$M$752="","",[2]Entry!$M$752)</f>
        <v/>
      </c>
      <c r="O749">
        <f>IF([2]Entry!$N$752="","",[2]Entry!$N$752)</f>
        <v/>
      </c>
      <c r="P749">
        <f>IF([2]Entry!$S$752="","",[2]Entry!$S$752)</f>
        <v/>
      </c>
    </row>
    <row r="750">
      <c r="L750">
        <f>IF([2]Entry!$C$753="","",[2]Entry!$C$753)</f>
        <v/>
      </c>
      <c r="M750">
        <f>IF([2]Entry!$J$753="","",[2]Entry!$J$753)</f>
        <v/>
      </c>
      <c r="N750">
        <f>IF([2]Entry!$M$753="","",[2]Entry!$M$753)</f>
        <v/>
      </c>
      <c r="O750">
        <f>IF([2]Entry!$N$753="","",[2]Entry!$N$753)</f>
        <v/>
      </c>
      <c r="P750">
        <f>IF([2]Entry!$S$753="","",[2]Entry!$S$753)</f>
        <v/>
      </c>
    </row>
    <row r="751">
      <c r="L751">
        <f>IF([2]Entry!$C$754="","",[2]Entry!$C$754)</f>
        <v/>
      </c>
      <c r="M751">
        <f>IF([2]Entry!$J$754="","",[2]Entry!$J$754)</f>
        <v/>
      </c>
      <c r="N751">
        <f>IF([2]Entry!$M$754="","",[2]Entry!$M$754)</f>
        <v/>
      </c>
      <c r="O751">
        <f>IF([2]Entry!$N$754="","",[2]Entry!$N$754)</f>
        <v/>
      </c>
      <c r="P751">
        <f>IF([2]Entry!$S$754="","",[2]Entry!$S$754)</f>
        <v/>
      </c>
    </row>
    <row r="752">
      <c r="L752">
        <f>IF([2]Entry!$C$755="","",[2]Entry!$C$755)</f>
        <v/>
      </c>
      <c r="M752">
        <f>IF([2]Entry!$J$755="","",[2]Entry!$J$755)</f>
        <v/>
      </c>
      <c r="N752">
        <f>IF([2]Entry!$M$755="","",[2]Entry!$M$755)</f>
        <v/>
      </c>
      <c r="O752">
        <f>IF([2]Entry!$N$755="","",[2]Entry!$N$755)</f>
        <v/>
      </c>
      <c r="P752">
        <f>IF([2]Entry!$S$755="","",[2]Entry!$S$755)</f>
        <v/>
      </c>
    </row>
    <row r="753">
      <c r="L753">
        <f>IF([2]Entry!$C$756="","",[2]Entry!$C$756)</f>
        <v/>
      </c>
      <c r="M753">
        <f>IF([2]Entry!$J$756="","",[2]Entry!$J$756)</f>
        <v/>
      </c>
      <c r="N753">
        <f>IF([2]Entry!$M$756="","",[2]Entry!$M$756)</f>
        <v/>
      </c>
      <c r="O753">
        <f>IF([2]Entry!$N$756="","",[2]Entry!$N$756)</f>
        <v/>
      </c>
      <c r="P753">
        <f>IF([2]Entry!$S$756="","",[2]Entry!$S$756)</f>
        <v/>
      </c>
    </row>
    <row r="754">
      <c r="L754">
        <f>IF([2]Entry!$C$757="","",[2]Entry!$C$757)</f>
        <v/>
      </c>
      <c r="M754">
        <f>IF([2]Entry!$J$757="","",[2]Entry!$J$757)</f>
        <v/>
      </c>
      <c r="N754">
        <f>IF([2]Entry!$M$757="","",[2]Entry!$M$757)</f>
        <v/>
      </c>
      <c r="O754">
        <f>IF([2]Entry!$N$757="","",[2]Entry!$N$757)</f>
        <v/>
      </c>
      <c r="P754">
        <f>IF([2]Entry!$S$757="","",[2]Entry!$S$757)</f>
        <v/>
      </c>
    </row>
    <row r="755">
      <c r="L755">
        <f>IF([2]Entry!$C$758="","",[2]Entry!$C$758)</f>
        <v/>
      </c>
      <c r="M755">
        <f>IF([2]Entry!$J$758="","",[2]Entry!$J$758)</f>
        <v/>
      </c>
      <c r="N755">
        <f>IF([2]Entry!$M$758="","",[2]Entry!$M$758)</f>
        <v/>
      </c>
      <c r="O755">
        <f>IF([2]Entry!$N$758="","",[2]Entry!$N$758)</f>
        <v/>
      </c>
      <c r="P755">
        <f>IF([2]Entry!$S$758="","",[2]Entry!$S$758)</f>
        <v/>
      </c>
    </row>
    <row r="756">
      <c r="L756">
        <f>IF([2]Entry!$C$759="","",[2]Entry!$C$759)</f>
        <v/>
      </c>
      <c r="M756">
        <f>IF([2]Entry!$J$759="","",[2]Entry!$J$759)</f>
        <v/>
      </c>
      <c r="N756">
        <f>IF([2]Entry!$M$759="","",[2]Entry!$M$759)</f>
        <v/>
      </c>
      <c r="O756">
        <f>IF([2]Entry!$N$759="","",[2]Entry!$N$759)</f>
        <v/>
      </c>
      <c r="P756">
        <f>IF([2]Entry!$S$759="","",[2]Entry!$S$759)</f>
        <v/>
      </c>
    </row>
    <row r="757">
      <c r="L757">
        <f>IF([2]Entry!$C$760="","",[2]Entry!$C$760)</f>
        <v/>
      </c>
      <c r="M757">
        <f>IF([2]Entry!$J$760="","",[2]Entry!$J$760)</f>
        <v/>
      </c>
      <c r="N757">
        <f>IF([2]Entry!$M$760="","",[2]Entry!$M$760)</f>
        <v/>
      </c>
      <c r="O757">
        <f>IF([2]Entry!$N$760="","",[2]Entry!$N$760)</f>
        <v/>
      </c>
      <c r="P757">
        <f>IF([2]Entry!$S$760="","",[2]Entry!$S$760)</f>
        <v/>
      </c>
    </row>
    <row r="758">
      <c r="L758">
        <f>IF([2]Entry!$C$761="","",[2]Entry!$C$761)</f>
        <v/>
      </c>
      <c r="M758">
        <f>IF([2]Entry!$J$761="","",[2]Entry!$J$761)</f>
        <v/>
      </c>
      <c r="N758">
        <f>IF([2]Entry!$M$761="","",[2]Entry!$M$761)</f>
        <v/>
      </c>
      <c r="O758">
        <f>IF([2]Entry!$N$761="","",[2]Entry!$N$761)</f>
        <v/>
      </c>
      <c r="P758">
        <f>IF([2]Entry!$S$761="","",[2]Entry!$S$761)</f>
        <v/>
      </c>
    </row>
    <row r="759">
      <c r="L759">
        <f>IF([2]Entry!$C$762="","",[2]Entry!$C$762)</f>
        <v/>
      </c>
      <c r="M759">
        <f>IF([2]Entry!$J$762="","",[2]Entry!$J$762)</f>
        <v/>
      </c>
      <c r="N759">
        <f>IF([2]Entry!$M$762="","",[2]Entry!$M$762)</f>
        <v/>
      </c>
      <c r="O759">
        <f>IF([2]Entry!$N$762="","",[2]Entry!$N$762)</f>
        <v/>
      </c>
      <c r="P759">
        <f>IF([2]Entry!$S$762="","",[2]Entry!$S$762)</f>
        <v/>
      </c>
    </row>
    <row r="760">
      <c r="L760">
        <f>IF([2]Entry!$C$763="","",[2]Entry!$C$763)</f>
        <v/>
      </c>
      <c r="M760">
        <f>IF([2]Entry!$J$763="","",[2]Entry!$J$763)</f>
        <v/>
      </c>
      <c r="N760">
        <f>IF([2]Entry!$M$763="","",[2]Entry!$M$763)</f>
        <v/>
      </c>
      <c r="O760">
        <f>IF([2]Entry!$N$763="","",[2]Entry!$N$763)</f>
        <v/>
      </c>
      <c r="P760">
        <f>IF([2]Entry!$S$763="","",[2]Entry!$S$763)</f>
        <v/>
      </c>
    </row>
    <row r="761">
      <c r="L761">
        <f>IF([2]Entry!$C$764="","",[2]Entry!$C$764)</f>
        <v/>
      </c>
      <c r="M761">
        <f>IF([2]Entry!$J$764="","",[2]Entry!$J$764)</f>
        <v/>
      </c>
      <c r="N761">
        <f>IF([2]Entry!$M$764="","",[2]Entry!$M$764)</f>
        <v/>
      </c>
      <c r="O761">
        <f>IF([2]Entry!$N$764="","",[2]Entry!$N$764)</f>
        <v/>
      </c>
      <c r="P761">
        <f>IF([2]Entry!$S$764="","",[2]Entry!$S$764)</f>
        <v/>
      </c>
    </row>
    <row r="762">
      <c r="L762">
        <f>IF([2]Entry!$C$765="","",[2]Entry!$C$765)</f>
        <v/>
      </c>
      <c r="M762">
        <f>IF([2]Entry!$J$765="","",[2]Entry!$J$765)</f>
        <v/>
      </c>
      <c r="N762">
        <f>IF([2]Entry!$M$765="","",[2]Entry!$M$765)</f>
        <v/>
      </c>
      <c r="O762">
        <f>IF([2]Entry!$N$765="","",[2]Entry!$N$765)</f>
        <v/>
      </c>
      <c r="P762">
        <f>IF([2]Entry!$S$765="","",[2]Entry!$S$765)</f>
        <v/>
      </c>
    </row>
    <row r="763">
      <c r="L763">
        <f>IF([2]Entry!$C$766="","",[2]Entry!$C$766)</f>
        <v/>
      </c>
      <c r="M763">
        <f>IF([2]Entry!$J$766="","",[2]Entry!$J$766)</f>
        <v/>
      </c>
      <c r="N763">
        <f>IF([2]Entry!$M$766="","",[2]Entry!$M$766)</f>
        <v/>
      </c>
      <c r="O763">
        <f>IF([2]Entry!$N$766="","",[2]Entry!$N$766)</f>
        <v/>
      </c>
      <c r="P763">
        <f>IF([2]Entry!$S$766="","",[2]Entry!$S$766)</f>
        <v/>
      </c>
    </row>
    <row r="764">
      <c r="L764">
        <f>IF([2]Entry!$C$767="","",[2]Entry!$C$767)</f>
        <v/>
      </c>
      <c r="M764">
        <f>IF([2]Entry!$J$767="","",[2]Entry!$J$767)</f>
        <v/>
      </c>
      <c r="N764">
        <f>IF([2]Entry!$M$767="","",[2]Entry!$M$767)</f>
        <v/>
      </c>
      <c r="O764">
        <f>IF([2]Entry!$N$767="","",[2]Entry!$N$767)</f>
        <v/>
      </c>
      <c r="P764">
        <f>IF([2]Entry!$S$767="","",[2]Entry!$S$767)</f>
        <v/>
      </c>
    </row>
    <row r="765">
      <c r="L765">
        <f>IF([2]Entry!$C$768="","",[2]Entry!$C$768)</f>
        <v/>
      </c>
      <c r="M765">
        <f>IF([2]Entry!$J$768="","",[2]Entry!$J$768)</f>
        <v/>
      </c>
      <c r="N765">
        <f>IF([2]Entry!$M$768="","",[2]Entry!$M$768)</f>
        <v/>
      </c>
      <c r="O765">
        <f>IF([2]Entry!$N$768="","",[2]Entry!$N$768)</f>
        <v/>
      </c>
      <c r="P765">
        <f>IF([2]Entry!$S$768="","",[2]Entry!$S$768)</f>
        <v/>
      </c>
    </row>
    <row r="766">
      <c r="L766">
        <f>IF([2]Entry!$C$769="","",[2]Entry!$C$769)</f>
        <v/>
      </c>
      <c r="M766">
        <f>IF([2]Entry!$J$769="","",[2]Entry!$J$769)</f>
        <v/>
      </c>
      <c r="N766">
        <f>IF([2]Entry!$M$769="","",[2]Entry!$M$769)</f>
        <v/>
      </c>
      <c r="O766">
        <f>IF([2]Entry!$N$769="","",[2]Entry!$N$769)</f>
        <v/>
      </c>
      <c r="P766">
        <f>IF([2]Entry!$S$769="","",[2]Entry!$S$769)</f>
        <v/>
      </c>
    </row>
    <row r="767">
      <c r="L767">
        <f>IF([2]Entry!$C$770="","",[2]Entry!$C$770)</f>
        <v/>
      </c>
      <c r="M767">
        <f>IF([2]Entry!$J$770="","",[2]Entry!$J$770)</f>
        <v/>
      </c>
      <c r="N767">
        <f>IF([2]Entry!$M$770="","",[2]Entry!$M$770)</f>
        <v/>
      </c>
      <c r="O767">
        <f>IF([2]Entry!$N$770="","",[2]Entry!$N$770)</f>
        <v/>
      </c>
      <c r="P767">
        <f>IF([2]Entry!$S$770="","",[2]Entry!$S$770)</f>
        <v/>
      </c>
    </row>
    <row r="768">
      <c r="L768">
        <f>IF([2]Entry!$C$771="","",[2]Entry!$C$771)</f>
        <v/>
      </c>
      <c r="M768">
        <f>IF([2]Entry!$J$771="","",[2]Entry!$J$771)</f>
        <v/>
      </c>
      <c r="N768">
        <f>IF([2]Entry!$M$771="","",[2]Entry!$M$771)</f>
        <v/>
      </c>
      <c r="O768">
        <f>IF([2]Entry!$N$771="","",[2]Entry!$N$771)</f>
        <v/>
      </c>
      <c r="P768">
        <f>IF([2]Entry!$S$771="","",[2]Entry!$S$771)</f>
        <v/>
      </c>
    </row>
    <row r="769">
      <c r="L769">
        <f>IF([2]Entry!$C$772="","",[2]Entry!$C$772)</f>
        <v/>
      </c>
      <c r="M769">
        <f>IF([2]Entry!$J$772="","",[2]Entry!$J$772)</f>
        <v/>
      </c>
      <c r="N769">
        <f>IF([2]Entry!$M$772="","",[2]Entry!$M$772)</f>
        <v/>
      </c>
      <c r="O769">
        <f>IF([2]Entry!$N$772="","",[2]Entry!$N$772)</f>
        <v/>
      </c>
      <c r="P769">
        <f>IF([2]Entry!$S$772="","",[2]Entry!$S$772)</f>
        <v/>
      </c>
    </row>
    <row r="770">
      <c r="L770">
        <f>IF([2]Entry!$C$773="","",[2]Entry!$C$773)</f>
        <v/>
      </c>
      <c r="M770">
        <f>IF([2]Entry!$J$773="","",[2]Entry!$J$773)</f>
        <v/>
      </c>
      <c r="N770">
        <f>IF([2]Entry!$M$773="","",[2]Entry!$M$773)</f>
        <v/>
      </c>
      <c r="O770">
        <f>IF([2]Entry!$N$773="","",[2]Entry!$N$773)</f>
        <v/>
      </c>
      <c r="P770">
        <f>IF([2]Entry!$S$773="","",[2]Entry!$S$773)</f>
        <v/>
      </c>
    </row>
    <row r="771">
      <c r="L771">
        <f>IF([2]Entry!$C$774="","",[2]Entry!$C$774)</f>
        <v/>
      </c>
      <c r="M771">
        <f>IF([2]Entry!$J$774="","",[2]Entry!$J$774)</f>
        <v/>
      </c>
      <c r="N771">
        <f>IF([2]Entry!$M$774="","",[2]Entry!$M$774)</f>
        <v/>
      </c>
      <c r="O771">
        <f>IF([2]Entry!$N$774="","",[2]Entry!$N$774)</f>
        <v/>
      </c>
      <c r="P771">
        <f>IF([2]Entry!$S$774="","",[2]Entry!$S$774)</f>
        <v/>
      </c>
    </row>
    <row r="772">
      <c r="L772">
        <f>IF([2]Entry!$C$775="","",[2]Entry!$C$775)</f>
        <v/>
      </c>
      <c r="M772">
        <f>IF([2]Entry!$J$775="","",[2]Entry!$J$775)</f>
        <v/>
      </c>
      <c r="N772">
        <f>IF([2]Entry!$M$775="","",[2]Entry!$M$775)</f>
        <v/>
      </c>
      <c r="O772">
        <f>IF([2]Entry!$N$775="","",[2]Entry!$N$775)</f>
        <v/>
      </c>
      <c r="P772">
        <f>IF([2]Entry!$S$775="","",[2]Entry!$S$775)</f>
        <v/>
      </c>
    </row>
    <row r="773">
      <c r="L773">
        <f>IF([2]Entry!$C$776="","",[2]Entry!$C$776)</f>
        <v/>
      </c>
      <c r="M773">
        <f>IF([2]Entry!$J$776="","",[2]Entry!$J$776)</f>
        <v/>
      </c>
      <c r="N773">
        <f>IF([2]Entry!$M$776="","",[2]Entry!$M$776)</f>
        <v/>
      </c>
      <c r="O773">
        <f>IF([2]Entry!$N$776="","",[2]Entry!$N$776)</f>
        <v/>
      </c>
      <c r="P773">
        <f>IF([2]Entry!$S$776="","",[2]Entry!$S$776)</f>
        <v/>
      </c>
    </row>
    <row r="774">
      <c r="L774">
        <f>IF([2]Entry!$C$777="","",[2]Entry!$C$777)</f>
        <v/>
      </c>
      <c r="M774">
        <f>IF([2]Entry!$J$777="","",[2]Entry!$J$777)</f>
        <v/>
      </c>
      <c r="N774">
        <f>IF([2]Entry!$M$777="","",[2]Entry!$M$777)</f>
        <v/>
      </c>
      <c r="O774">
        <f>IF([2]Entry!$N$777="","",[2]Entry!$N$777)</f>
        <v/>
      </c>
      <c r="P774">
        <f>IF([2]Entry!$S$777="","",[2]Entry!$S$777)</f>
        <v/>
      </c>
    </row>
    <row r="775">
      <c r="L775">
        <f>IF([2]Entry!$C$778="","",[2]Entry!$C$778)</f>
        <v/>
      </c>
      <c r="M775">
        <f>IF([2]Entry!$J$778="","",[2]Entry!$J$778)</f>
        <v/>
      </c>
      <c r="N775">
        <f>IF([2]Entry!$M$778="","",[2]Entry!$M$778)</f>
        <v/>
      </c>
      <c r="O775">
        <f>IF([2]Entry!$N$778="","",[2]Entry!$N$778)</f>
        <v/>
      </c>
      <c r="P775">
        <f>IF([2]Entry!$S$778="","",[2]Entry!$S$778)</f>
        <v/>
      </c>
    </row>
    <row r="776">
      <c r="L776">
        <f>IF([2]Entry!$C$779="","",[2]Entry!$C$779)</f>
        <v/>
      </c>
      <c r="M776">
        <f>IF([2]Entry!$J$779="","",[2]Entry!$J$779)</f>
        <v/>
      </c>
      <c r="N776">
        <f>IF([2]Entry!$M$779="","",[2]Entry!$M$779)</f>
        <v/>
      </c>
      <c r="O776">
        <f>IF([2]Entry!$N$779="","",[2]Entry!$N$779)</f>
        <v/>
      </c>
      <c r="P776">
        <f>IF([2]Entry!$S$779="","",[2]Entry!$S$779)</f>
        <v/>
      </c>
    </row>
    <row r="777">
      <c r="L777">
        <f>IF([2]Entry!$C$780="","",[2]Entry!$C$780)</f>
        <v/>
      </c>
      <c r="M777">
        <f>IF([2]Entry!$J$780="","",[2]Entry!$J$780)</f>
        <v/>
      </c>
      <c r="N777">
        <f>IF([2]Entry!$M$780="","",[2]Entry!$M$780)</f>
        <v/>
      </c>
      <c r="O777">
        <f>IF([2]Entry!$N$780="","",[2]Entry!$N$780)</f>
        <v/>
      </c>
      <c r="P777">
        <f>IF([2]Entry!$S$780="","",[2]Entry!$S$780)</f>
        <v/>
      </c>
    </row>
    <row r="778">
      <c r="L778">
        <f>IF([2]Entry!$C$781="","",[2]Entry!$C$781)</f>
        <v/>
      </c>
      <c r="M778">
        <f>IF([2]Entry!$J$781="","",[2]Entry!$J$781)</f>
        <v/>
      </c>
      <c r="N778">
        <f>IF([2]Entry!$M$781="","",[2]Entry!$M$781)</f>
        <v/>
      </c>
      <c r="O778">
        <f>IF([2]Entry!$N$781="","",[2]Entry!$N$781)</f>
        <v/>
      </c>
      <c r="P778">
        <f>IF([2]Entry!$S$781="","",[2]Entry!$S$781)</f>
        <v/>
      </c>
    </row>
    <row r="779">
      <c r="L779">
        <f>IF([2]Entry!$C$782="","",[2]Entry!$C$782)</f>
        <v/>
      </c>
      <c r="M779">
        <f>IF([2]Entry!$J$782="","",[2]Entry!$J$782)</f>
        <v/>
      </c>
      <c r="N779">
        <f>IF([2]Entry!$M$782="","",[2]Entry!$M$782)</f>
        <v/>
      </c>
      <c r="O779">
        <f>IF([2]Entry!$N$782="","",[2]Entry!$N$782)</f>
        <v/>
      </c>
      <c r="P779">
        <f>IF([2]Entry!$S$782="","",[2]Entry!$S$782)</f>
        <v/>
      </c>
    </row>
    <row r="780">
      <c r="L780">
        <f>IF([2]Entry!$C$783="","",[2]Entry!$C$783)</f>
        <v/>
      </c>
      <c r="M780">
        <f>IF([2]Entry!$J$783="","",[2]Entry!$J$783)</f>
        <v/>
      </c>
      <c r="N780">
        <f>IF([2]Entry!$M$783="","",[2]Entry!$M$783)</f>
        <v/>
      </c>
      <c r="O780">
        <f>IF([2]Entry!$N$783="","",[2]Entry!$N$783)</f>
        <v/>
      </c>
      <c r="P780">
        <f>IF([2]Entry!$S$783="","",[2]Entry!$S$783)</f>
        <v/>
      </c>
    </row>
    <row r="781">
      <c r="L781">
        <f>IF([2]Entry!$C$784="","",[2]Entry!$C$784)</f>
        <v/>
      </c>
      <c r="M781">
        <f>IF([2]Entry!$J$784="","",[2]Entry!$J$784)</f>
        <v/>
      </c>
      <c r="N781">
        <f>IF([2]Entry!$M$784="","",[2]Entry!$M$784)</f>
        <v/>
      </c>
      <c r="O781">
        <f>IF([2]Entry!$N$784="","",[2]Entry!$N$784)</f>
        <v/>
      </c>
      <c r="P781">
        <f>IF([2]Entry!$S$784="","",[2]Entry!$S$784)</f>
        <v/>
      </c>
    </row>
    <row r="782">
      <c r="L782">
        <f>IF([2]Entry!$C$785="","",[2]Entry!$C$785)</f>
        <v/>
      </c>
      <c r="M782">
        <f>IF([2]Entry!$J$785="","",[2]Entry!$J$785)</f>
        <v/>
      </c>
      <c r="N782">
        <f>IF([2]Entry!$M$785="","",[2]Entry!$M$785)</f>
        <v/>
      </c>
      <c r="O782">
        <f>IF([2]Entry!$N$785="","",[2]Entry!$N$785)</f>
        <v/>
      </c>
      <c r="P782">
        <f>IF([2]Entry!$S$785="","",[2]Entry!$S$785)</f>
        <v/>
      </c>
    </row>
    <row r="783">
      <c r="L783">
        <f>IF([2]Entry!$C$786="","",[2]Entry!$C$786)</f>
        <v/>
      </c>
      <c r="M783">
        <f>IF([2]Entry!$J$786="","",[2]Entry!$J$786)</f>
        <v/>
      </c>
      <c r="N783">
        <f>IF([2]Entry!$M$786="","",[2]Entry!$M$786)</f>
        <v/>
      </c>
      <c r="O783">
        <f>IF([2]Entry!$N$786="","",[2]Entry!$N$786)</f>
        <v/>
      </c>
      <c r="P783">
        <f>IF([2]Entry!$S$786="","",[2]Entry!$S$786)</f>
        <v/>
      </c>
    </row>
    <row r="784">
      <c r="L784">
        <f>IF([2]Entry!$C$787="","",[2]Entry!$C$787)</f>
        <v/>
      </c>
      <c r="M784">
        <f>IF([2]Entry!$J$787="","",[2]Entry!$J$787)</f>
        <v/>
      </c>
      <c r="N784">
        <f>IF([2]Entry!$M$787="","",[2]Entry!$M$787)</f>
        <v/>
      </c>
      <c r="O784">
        <f>IF([2]Entry!$N$787="","",[2]Entry!$N$787)</f>
        <v/>
      </c>
      <c r="P784">
        <f>IF([2]Entry!$S$787="","",[2]Entry!$S$787)</f>
        <v/>
      </c>
    </row>
    <row r="785">
      <c r="L785">
        <f>IF([2]Entry!$C$788="","",[2]Entry!$C$788)</f>
        <v/>
      </c>
      <c r="M785">
        <f>IF([2]Entry!$J$788="","",[2]Entry!$J$788)</f>
        <v/>
      </c>
      <c r="N785">
        <f>IF([2]Entry!$M$788="","",[2]Entry!$M$788)</f>
        <v/>
      </c>
      <c r="O785">
        <f>IF([2]Entry!$N$788="","",[2]Entry!$N$788)</f>
        <v/>
      </c>
      <c r="P785">
        <f>IF([2]Entry!$S$788="","",[2]Entry!$S$788)</f>
        <v/>
      </c>
    </row>
    <row r="786">
      <c r="L786">
        <f>IF([2]Entry!$C$789="","",[2]Entry!$C$789)</f>
        <v/>
      </c>
      <c r="M786">
        <f>IF([2]Entry!$J$789="","",[2]Entry!$J$789)</f>
        <v/>
      </c>
      <c r="N786">
        <f>IF([2]Entry!$M$789="","",[2]Entry!$M$789)</f>
        <v/>
      </c>
      <c r="O786">
        <f>IF([2]Entry!$N$789="","",[2]Entry!$N$789)</f>
        <v/>
      </c>
      <c r="P786">
        <f>IF([2]Entry!$S$789="","",[2]Entry!$S$789)</f>
        <v/>
      </c>
    </row>
    <row r="787">
      <c r="L787">
        <f>IF([2]Entry!$C$790="","",[2]Entry!$C$790)</f>
        <v/>
      </c>
      <c r="M787">
        <f>IF([2]Entry!$J$790="","",[2]Entry!$J$790)</f>
        <v/>
      </c>
      <c r="N787">
        <f>IF([2]Entry!$M$790="","",[2]Entry!$M$790)</f>
        <v/>
      </c>
      <c r="O787">
        <f>IF([2]Entry!$N$790="","",[2]Entry!$N$790)</f>
        <v/>
      </c>
      <c r="P787">
        <f>IF([2]Entry!$S$790="","",[2]Entry!$S$790)</f>
        <v/>
      </c>
    </row>
    <row r="788">
      <c r="L788">
        <f>IF([2]Entry!$C$791="","",[2]Entry!$C$791)</f>
        <v/>
      </c>
      <c r="M788">
        <f>IF([2]Entry!$J$791="","",[2]Entry!$J$791)</f>
        <v/>
      </c>
      <c r="N788">
        <f>IF([2]Entry!$M$791="","",[2]Entry!$M$791)</f>
        <v/>
      </c>
      <c r="O788">
        <f>IF([2]Entry!$N$791="","",[2]Entry!$N$791)</f>
        <v/>
      </c>
      <c r="P788">
        <f>IF([2]Entry!$S$791="","",[2]Entry!$S$791)</f>
        <v/>
      </c>
    </row>
    <row r="789">
      <c r="L789">
        <f>IF([2]Entry!$C$792="","",[2]Entry!$C$792)</f>
        <v/>
      </c>
      <c r="M789">
        <f>IF([2]Entry!$J$792="","",[2]Entry!$J$792)</f>
        <v/>
      </c>
      <c r="N789">
        <f>IF([2]Entry!$M$792="","",[2]Entry!$M$792)</f>
        <v/>
      </c>
      <c r="O789">
        <f>IF([2]Entry!$N$792="","",[2]Entry!$N$792)</f>
        <v/>
      </c>
      <c r="P789">
        <f>IF([2]Entry!$S$792="","",[2]Entry!$S$792)</f>
        <v/>
      </c>
    </row>
    <row r="790">
      <c r="L790">
        <f>IF([2]Entry!$C$793="","",[2]Entry!$C$793)</f>
        <v/>
      </c>
      <c r="M790">
        <f>IF([2]Entry!$J$793="","",[2]Entry!$J$793)</f>
        <v/>
      </c>
      <c r="N790">
        <f>IF([2]Entry!$M$793="","",[2]Entry!$M$793)</f>
        <v/>
      </c>
      <c r="O790">
        <f>IF([2]Entry!$N$793="","",[2]Entry!$N$793)</f>
        <v/>
      </c>
      <c r="P790">
        <f>IF([2]Entry!$S$793="","",[2]Entry!$S$793)</f>
        <v/>
      </c>
    </row>
    <row r="791">
      <c r="L791">
        <f>IF([2]Entry!$C$794="","",[2]Entry!$C$794)</f>
        <v/>
      </c>
      <c r="M791">
        <f>IF([2]Entry!$J$794="","",[2]Entry!$J$794)</f>
        <v/>
      </c>
      <c r="N791">
        <f>IF([2]Entry!$M$794="","",[2]Entry!$M$794)</f>
        <v/>
      </c>
      <c r="O791">
        <f>IF([2]Entry!$N$794="","",[2]Entry!$N$794)</f>
        <v/>
      </c>
      <c r="P791">
        <f>IF([2]Entry!$S$794="","",[2]Entry!$S$794)</f>
        <v/>
      </c>
    </row>
    <row r="792">
      <c r="L792">
        <f>IF([2]Entry!$C$795="","",[2]Entry!$C$795)</f>
        <v/>
      </c>
      <c r="M792">
        <f>IF([2]Entry!$J$795="","",[2]Entry!$J$795)</f>
        <v/>
      </c>
      <c r="N792">
        <f>IF([2]Entry!$M$795="","",[2]Entry!$M$795)</f>
        <v/>
      </c>
      <c r="O792">
        <f>IF([2]Entry!$N$795="","",[2]Entry!$N$795)</f>
        <v/>
      </c>
      <c r="P792">
        <f>IF([2]Entry!$S$795="","",[2]Entry!$S$795)</f>
        <v/>
      </c>
    </row>
    <row r="793">
      <c r="L793">
        <f>IF([2]Entry!$C$796="","",[2]Entry!$C$796)</f>
        <v/>
      </c>
      <c r="M793">
        <f>IF([2]Entry!$J$796="","",[2]Entry!$J$796)</f>
        <v/>
      </c>
      <c r="N793">
        <f>IF([2]Entry!$M$796="","",[2]Entry!$M$796)</f>
        <v/>
      </c>
      <c r="O793">
        <f>IF([2]Entry!$N$796="","",[2]Entry!$N$796)</f>
        <v/>
      </c>
      <c r="P793">
        <f>IF([2]Entry!$S$796="","",[2]Entry!$S$796)</f>
        <v/>
      </c>
    </row>
    <row r="794">
      <c r="L794">
        <f>IF([2]Entry!$C$797="","",[2]Entry!$C$797)</f>
        <v/>
      </c>
      <c r="M794">
        <f>IF([2]Entry!$J$797="","",[2]Entry!$J$797)</f>
        <v/>
      </c>
      <c r="N794">
        <f>IF([2]Entry!$M$797="","",[2]Entry!$M$797)</f>
        <v/>
      </c>
      <c r="O794">
        <f>IF([2]Entry!$N$797="","",[2]Entry!$N$797)</f>
        <v/>
      </c>
      <c r="P794">
        <f>IF([2]Entry!$S$797="","",[2]Entry!$S$797)</f>
        <v/>
      </c>
    </row>
    <row r="795">
      <c r="L795">
        <f>IF([2]Entry!$C$798="","",[2]Entry!$C$798)</f>
        <v/>
      </c>
      <c r="M795">
        <f>IF([2]Entry!$J$798="","",[2]Entry!$J$798)</f>
        <v/>
      </c>
      <c r="N795">
        <f>IF([2]Entry!$M$798="","",[2]Entry!$M$798)</f>
        <v/>
      </c>
      <c r="O795">
        <f>IF([2]Entry!$N$798="","",[2]Entry!$N$798)</f>
        <v/>
      </c>
      <c r="P795">
        <f>IF([2]Entry!$S$798="","",[2]Entry!$S$798)</f>
        <v/>
      </c>
    </row>
    <row r="796">
      <c r="L796">
        <f>IF([2]Entry!$C$799="","",[2]Entry!$C$799)</f>
        <v/>
      </c>
      <c r="M796">
        <f>IF([2]Entry!$J$799="","",[2]Entry!$J$799)</f>
        <v/>
      </c>
      <c r="N796">
        <f>IF([2]Entry!$M$799="","",[2]Entry!$M$799)</f>
        <v/>
      </c>
      <c r="O796">
        <f>IF([2]Entry!$N$799="","",[2]Entry!$N$799)</f>
        <v/>
      </c>
      <c r="P796">
        <f>IF([2]Entry!$S$799="","",[2]Entry!$S$799)</f>
        <v/>
      </c>
    </row>
    <row r="797">
      <c r="L797">
        <f>IF([2]Entry!$C$800="","",[2]Entry!$C$800)</f>
        <v/>
      </c>
      <c r="M797">
        <f>IF([2]Entry!$J$800="","",[2]Entry!$J$800)</f>
        <v/>
      </c>
      <c r="N797">
        <f>IF([2]Entry!$M$800="","",[2]Entry!$M$800)</f>
        <v/>
      </c>
      <c r="O797">
        <f>IF([2]Entry!$N$800="","",[2]Entry!$N$800)</f>
        <v/>
      </c>
      <c r="P797">
        <f>IF([2]Entry!$S$800="","",[2]Entry!$S$800)</f>
        <v/>
      </c>
    </row>
    <row r="798">
      <c r="L798">
        <f>IF([2]Entry!$C$801="","",[2]Entry!$C$801)</f>
        <v/>
      </c>
      <c r="M798">
        <f>IF([2]Entry!$J$801="","",[2]Entry!$J$801)</f>
        <v/>
      </c>
      <c r="N798">
        <f>IF([2]Entry!$M$801="","",[2]Entry!$M$801)</f>
        <v/>
      </c>
      <c r="O798">
        <f>IF([2]Entry!$N$801="","",[2]Entry!$N$801)</f>
        <v/>
      </c>
      <c r="P798">
        <f>IF([2]Entry!$S$801="","",[2]Entry!$S$801)</f>
        <v/>
      </c>
    </row>
    <row r="799">
      <c r="L799">
        <f>IF([2]Entry!$C$802="","",[2]Entry!$C$802)</f>
        <v/>
      </c>
      <c r="M799">
        <f>IF([2]Entry!$J$802="","",[2]Entry!$J$802)</f>
        <v/>
      </c>
      <c r="N799">
        <f>IF([2]Entry!$M$802="","",[2]Entry!$M$802)</f>
        <v/>
      </c>
      <c r="O799">
        <f>IF([2]Entry!$N$802="","",[2]Entry!$N$802)</f>
        <v/>
      </c>
      <c r="P799">
        <f>IF([2]Entry!$S$802="","",[2]Entry!$S$802)</f>
        <v/>
      </c>
    </row>
    <row r="800">
      <c r="L800">
        <f>IF([2]Entry!$C$803="","",[2]Entry!$C$803)</f>
        <v/>
      </c>
      <c r="M800">
        <f>IF([2]Entry!$J$803="","",[2]Entry!$J$803)</f>
        <v/>
      </c>
      <c r="N800">
        <f>IF([2]Entry!$M$803="","",[2]Entry!$M$803)</f>
        <v/>
      </c>
      <c r="O800">
        <f>IF([2]Entry!$N$803="","",[2]Entry!$N$803)</f>
        <v/>
      </c>
      <c r="P800">
        <f>IF([2]Entry!$S$803="","",[2]Entry!$S$803)</f>
        <v/>
      </c>
    </row>
    <row r="801">
      <c r="L801">
        <f>IF([2]Entry!$C$804="","",[2]Entry!$C$804)</f>
        <v/>
      </c>
      <c r="M801">
        <f>IF([2]Entry!$J$804="","",[2]Entry!$J$804)</f>
        <v/>
      </c>
      <c r="N801">
        <f>IF([2]Entry!$M$804="","",[2]Entry!$M$804)</f>
        <v/>
      </c>
      <c r="O801">
        <f>IF([2]Entry!$N$804="","",[2]Entry!$N$804)</f>
        <v/>
      </c>
      <c r="P801">
        <f>IF([2]Entry!$S$804="","",[2]Entry!$S$804)</f>
        <v/>
      </c>
    </row>
    <row r="802">
      <c r="L802">
        <f>IF([2]Entry!$C$805="","",[2]Entry!$C$805)</f>
        <v/>
      </c>
      <c r="M802">
        <f>IF([2]Entry!$J$805="","",[2]Entry!$J$805)</f>
        <v/>
      </c>
      <c r="N802">
        <f>IF([2]Entry!$M$805="","",[2]Entry!$M$805)</f>
        <v/>
      </c>
      <c r="O802">
        <f>IF([2]Entry!$N$805="","",[2]Entry!$N$805)</f>
        <v/>
      </c>
      <c r="P802">
        <f>IF([2]Entry!$S$805="","",[2]Entry!$S$805)</f>
        <v/>
      </c>
    </row>
    <row r="803">
      <c r="L803">
        <f>IF([2]Entry!$C$806="","",[2]Entry!$C$806)</f>
        <v/>
      </c>
      <c r="M803">
        <f>IF([2]Entry!$J$806="","",[2]Entry!$J$806)</f>
        <v/>
      </c>
      <c r="N803">
        <f>IF([2]Entry!$M$806="","",[2]Entry!$M$806)</f>
        <v/>
      </c>
      <c r="O803">
        <f>IF([2]Entry!$N$806="","",[2]Entry!$N$806)</f>
        <v/>
      </c>
      <c r="P803">
        <f>IF([2]Entry!$S$806="","",[2]Entry!$S$806)</f>
        <v/>
      </c>
    </row>
    <row r="804">
      <c r="L804">
        <f>IF([2]Entry!$C$807="","",[2]Entry!$C$807)</f>
        <v/>
      </c>
      <c r="M804">
        <f>IF([2]Entry!$J$807="","",[2]Entry!$J$807)</f>
        <v/>
      </c>
      <c r="N804">
        <f>IF([2]Entry!$M$807="","",[2]Entry!$M$807)</f>
        <v/>
      </c>
      <c r="O804">
        <f>IF([2]Entry!$N$807="","",[2]Entry!$N$807)</f>
        <v/>
      </c>
      <c r="P804">
        <f>IF([2]Entry!$S$807="","",[2]Entry!$S$807)</f>
        <v/>
      </c>
    </row>
    <row r="805">
      <c r="L805">
        <f>IF([2]Entry!$C$808="","",[2]Entry!$C$808)</f>
        <v/>
      </c>
      <c r="M805">
        <f>IF([2]Entry!$J$808="","",[2]Entry!$J$808)</f>
        <v/>
      </c>
      <c r="N805">
        <f>IF([2]Entry!$M$808="","",[2]Entry!$M$808)</f>
        <v/>
      </c>
      <c r="O805">
        <f>IF([2]Entry!$N$808="","",[2]Entry!$N$808)</f>
        <v/>
      </c>
      <c r="P805">
        <f>IF([2]Entry!$S$808="","",[2]Entry!$S$808)</f>
        <v/>
      </c>
    </row>
    <row r="806">
      <c r="L806">
        <f>IF([2]Entry!$C$809="","",[2]Entry!$C$809)</f>
        <v/>
      </c>
      <c r="M806">
        <f>IF([2]Entry!$J$809="","",[2]Entry!$J$809)</f>
        <v/>
      </c>
      <c r="N806">
        <f>IF([2]Entry!$M$809="","",[2]Entry!$M$809)</f>
        <v/>
      </c>
      <c r="O806">
        <f>IF([2]Entry!$N$809="","",[2]Entry!$N$809)</f>
        <v/>
      </c>
      <c r="P806">
        <f>IF([2]Entry!$S$809="","",[2]Entry!$S$809)</f>
        <v/>
      </c>
    </row>
    <row r="807">
      <c r="L807">
        <f>IF([2]Entry!$C$810="","",[2]Entry!$C$810)</f>
        <v/>
      </c>
      <c r="M807">
        <f>IF([2]Entry!$J$810="","",[2]Entry!$J$810)</f>
        <v/>
      </c>
      <c r="N807">
        <f>IF([2]Entry!$M$810="","",[2]Entry!$M$810)</f>
        <v/>
      </c>
      <c r="O807">
        <f>IF([2]Entry!$N$810="","",[2]Entry!$N$810)</f>
        <v/>
      </c>
      <c r="P807">
        <f>IF([2]Entry!$S$810="","",[2]Entry!$S$810)</f>
        <v/>
      </c>
    </row>
    <row r="808">
      <c r="L808">
        <f>IF([2]Entry!$C$811="","",[2]Entry!$C$811)</f>
        <v/>
      </c>
      <c r="M808">
        <f>IF([2]Entry!$J$811="","",[2]Entry!$J$811)</f>
        <v/>
      </c>
      <c r="N808">
        <f>IF([2]Entry!$M$811="","",[2]Entry!$M$811)</f>
        <v/>
      </c>
      <c r="O808">
        <f>IF([2]Entry!$N$811="","",[2]Entry!$N$811)</f>
        <v/>
      </c>
      <c r="P808">
        <f>IF([2]Entry!$S$811="","",[2]Entry!$S$811)</f>
        <v/>
      </c>
    </row>
    <row r="809">
      <c r="L809">
        <f>IF([2]Entry!$C$812="","",[2]Entry!$C$812)</f>
        <v/>
      </c>
      <c r="M809">
        <f>IF([2]Entry!$J$812="","",[2]Entry!$J$812)</f>
        <v/>
      </c>
      <c r="N809">
        <f>IF([2]Entry!$M$812="","",[2]Entry!$M$812)</f>
        <v/>
      </c>
      <c r="O809">
        <f>IF([2]Entry!$N$812="","",[2]Entry!$N$812)</f>
        <v/>
      </c>
      <c r="P809">
        <f>IF([2]Entry!$S$812="","",[2]Entry!$S$812)</f>
        <v/>
      </c>
    </row>
    <row r="810">
      <c r="L810">
        <f>IF([2]Entry!$C$813="","",[2]Entry!$C$813)</f>
        <v/>
      </c>
      <c r="M810">
        <f>IF([2]Entry!$J$813="","",[2]Entry!$J$813)</f>
        <v/>
      </c>
      <c r="N810">
        <f>IF([2]Entry!$M$813="","",[2]Entry!$M$813)</f>
        <v/>
      </c>
      <c r="O810">
        <f>IF([2]Entry!$N$813="","",[2]Entry!$N$813)</f>
        <v/>
      </c>
      <c r="P810">
        <f>IF([2]Entry!$S$813="","",[2]Entry!$S$813)</f>
        <v/>
      </c>
    </row>
    <row r="811">
      <c r="L811">
        <f>IF([2]Entry!$C$814="","",[2]Entry!$C$814)</f>
        <v/>
      </c>
      <c r="M811">
        <f>IF([2]Entry!$J$814="","",[2]Entry!$J$814)</f>
        <v/>
      </c>
      <c r="N811">
        <f>IF([2]Entry!$M$814="","",[2]Entry!$M$814)</f>
        <v/>
      </c>
      <c r="O811">
        <f>IF([2]Entry!$N$814="","",[2]Entry!$N$814)</f>
        <v/>
      </c>
      <c r="P811">
        <f>IF([2]Entry!$S$814="","",[2]Entry!$S$814)</f>
        <v/>
      </c>
    </row>
    <row r="812">
      <c r="L812">
        <f>IF([2]Entry!$C$815="","",[2]Entry!$C$815)</f>
        <v/>
      </c>
      <c r="M812">
        <f>IF([2]Entry!$J$815="","",[2]Entry!$J$815)</f>
        <v/>
      </c>
      <c r="N812">
        <f>IF([2]Entry!$M$815="","",[2]Entry!$M$815)</f>
        <v/>
      </c>
      <c r="O812">
        <f>IF([2]Entry!$N$815="","",[2]Entry!$N$815)</f>
        <v/>
      </c>
      <c r="P812">
        <f>IF([2]Entry!$S$815="","",[2]Entry!$S$815)</f>
        <v/>
      </c>
    </row>
    <row r="813">
      <c r="L813">
        <f>IF([2]Entry!$C$816="","",[2]Entry!$C$816)</f>
        <v/>
      </c>
      <c r="M813">
        <f>IF([2]Entry!$J$816="","",[2]Entry!$J$816)</f>
        <v/>
      </c>
      <c r="N813">
        <f>IF([2]Entry!$M$816="","",[2]Entry!$M$816)</f>
        <v/>
      </c>
      <c r="O813">
        <f>IF([2]Entry!$N$816="","",[2]Entry!$N$816)</f>
        <v/>
      </c>
      <c r="P813">
        <f>IF([2]Entry!$S$816="","",[2]Entry!$S$816)</f>
        <v/>
      </c>
    </row>
    <row r="814">
      <c r="L814">
        <f>IF([2]Entry!$C$817="","",[2]Entry!$C$817)</f>
        <v/>
      </c>
      <c r="M814">
        <f>IF([2]Entry!$J$817="","",[2]Entry!$J$817)</f>
        <v/>
      </c>
      <c r="N814">
        <f>IF([2]Entry!$M$817="","",[2]Entry!$M$817)</f>
        <v/>
      </c>
      <c r="O814">
        <f>IF([2]Entry!$N$817="","",[2]Entry!$N$817)</f>
        <v/>
      </c>
      <c r="P814">
        <f>IF([2]Entry!$S$817="","",[2]Entry!$S$817)</f>
        <v/>
      </c>
    </row>
    <row r="815">
      <c r="L815">
        <f>IF([2]Entry!$C$818="","",[2]Entry!$C$818)</f>
        <v/>
      </c>
      <c r="M815">
        <f>IF([2]Entry!$J$818="","",[2]Entry!$J$818)</f>
        <v/>
      </c>
      <c r="N815">
        <f>IF([2]Entry!$M$818="","",[2]Entry!$M$818)</f>
        <v/>
      </c>
      <c r="O815">
        <f>IF([2]Entry!$N$818="","",[2]Entry!$N$818)</f>
        <v/>
      </c>
      <c r="P815">
        <f>IF([2]Entry!$S$818="","",[2]Entry!$S$818)</f>
        <v/>
      </c>
    </row>
    <row r="816">
      <c r="L816">
        <f>IF([2]Entry!$C$819="","",[2]Entry!$C$819)</f>
        <v/>
      </c>
      <c r="M816">
        <f>IF([2]Entry!$J$819="","",[2]Entry!$J$819)</f>
        <v/>
      </c>
      <c r="N816">
        <f>IF([2]Entry!$M$819="","",[2]Entry!$M$819)</f>
        <v/>
      </c>
      <c r="O816">
        <f>IF([2]Entry!$N$819="","",[2]Entry!$N$819)</f>
        <v/>
      </c>
      <c r="P816">
        <f>IF([2]Entry!$S$819="","",[2]Entry!$S$819)</f>
        <v/>
      </c>
    </row>
    <row r="817">
      <c r="L817">
        <f>IF([2]Entry!$C$820="","",[2]Entry!$C$820)</f>
        <v/>
      </c>
      <c r="M817">
        <f>IF([2]Entry!$J$820="","",[2]Entry!$J$820)</f>
        <v/>
      </c>
      <c r="N817">
        <f>IF([2]Entry!$M$820="","",[2]Entry!$M$820)</f>
        <v/>
      </c>
      <c r="O817">
        <f>IF([2]Entry!$N$820="","",[2]Entry!$N$820)</f>
        <v/>
      </c>
      <c r="P817">
        <f>IF([2]Entry!$S$820="","",[2]Entry!$S$820)</f>
        <v/>
      </c>
    </row>
    <row r="818">
      <c r="L818">
        <f>IF([2]Entry!$C$821="","",[2]Entry!$C$821)</f>
        <v/>
      </c>
      <c r="M818">
        <f>IF([2]Entry!$J$821="","",[2]Entry!$J$821)</f>
        <v/>
      </c>
      <c r="N818">
        <f>IF([2]Entry!$M$821="","",[2]Entry!$M$821)</f>
        <v/>
      </c>
      <c r="O818">
        <f>IF([2]Entry!$N$821="","",[2]Entry!$N$821)</f>
        <v/>
      </c>
      <c r="P818">
        <f>IF([2]Entry!$S$821="","",[2]Entry!$S$821)</f>
        <v/>
      </c>
    </row>
    <row r="819">
      <c r="L819">
        <f>IF([2]Entry!$C$822="","",[2]Entry!$C$822)</f>
        <v/>
      </c>
      <c r="M819">
        <f>IF([2]Entry!$J$822="","",[2]Entry!$J$822)</f>
        <v/>
      </c>
      <c r="N819">
        <f>IF([2]Entry!$M$822="","",[2]Entry!$M$822)</f>
        <v/>
      </c>
      <c r="O819">
        <f>IF([2]Entry!$N$822="","",[2]Entry!$N$822)</f>
        <v/>
      </c>
      <c r="P819">
        <f>IF([2]Entry!$S$822="","",[2]Entry!$S$822)</f>
        <v/>
      </c>
    </row>
    <row r="820">
      <c r="L820">
        <f>IF([2]Entry!$C$823="","",[2]Entry!$C$823)</f>
        <v/>
      </c>
      <c r="M820">
        <f>IF([2]Entry!$J$823="","",[2]Entry!$J$823)</f>
        <v/>
      </c>
      <c r="N820">
        <f>IF([2]Entry!$M$823="","",[2]Entry!$M$823)</f>
        <v/>
      </c>
      <c r="O820">
        <f>IF([2]Entry!$N$823="","",[2]Entry!$N$823)</f>
        <v/>
      </c>
      <c r="P820">
        <f>IF([2]Entry!$S$823="","",[2]Entry!$S$823)</f>
        <v/>
      </c>
    </row>
    <row r="821">
      <c r="L821">
        <f>IF([2]Entry!$C$824="","",[2]Entry!$C$824)</f>
        <v/>
      </c>
      <c r="M821">
        <f>IF([2]Entry!$J$824="","",[2]Entry!$J$824)</f>
        <v/>
      </c>
      <c r="N821">
        <f>IF([2]Entry!$M$824="","",[2]Entry!$M$824)</f>
        <v/>
      </c>
      <c r="O821">
        <f>IF([2]Entry!$N$824="","",[2]Entry!$N$824)</f>
        <v/>
      </c>
      <c r="P821">
        <f>IF([2]Entry!$S$824="","",[2]Entry!$S$824)</f>
        <v/>
      </c>
    </row>
    <row r="822">
      <c r="L822">
        <f>IF([2]Entry!$C$825="","",[2]Entry!$C$825)</f>
        <v/>
      </c>
      <c r="M822">
        <f>IF([2]Entry!$J$825="","",[2]Entry!$J$825)</f>
        <v/>
      </c>
      <c r="N822">
        <f>IF([2]Entry!$M$825="","",[2]Entry!$M$825)</f>
        <v/>
      </c>
      <c r="O822">
        <f>IF([2]Entry!$N$825="","",[2]Entry!$N$825)</f>
        <v/>
      </c>
      <c r="P822">
        <f>IF([2]Entry!$S$825="","",[2]Entry!$S$825)</f>
        <v/>
      </c>
    </row>
    <row r="823">
      <c r="L823">
        <f>IF([2]Entry!$C$826="","",[2]Entry!$C$826)</f>
        <v/>
      </c>
      <c r="M823">
        <f>IF([2]Entry!$J$826="","",[2]Entry!$J$826)</f>
        <v/>
      </c>
      <c r="N823">
        <f>IF([2]Entry!$M$826="","",[2]Entry!$M$826)</f>
        <v/>
      </c>
      <c r="O823">
        <f>IF([2]Entry!$N$826="","",[2]Entry!$N$826)</f>
        <v/>
      </c>
      <c r="P823">
        <f>IF([2]Entry!$S$826="","",[2]Entry!$S$826)</f>
        <v/>
      </c>
    </row>
    <row r="824">
      <c r="L824">
        <f>IF([2]Entry!$C$827="","",[2]Entry!$C$827)</f>
        <v/>
      </c>
      <c r="M824">
        <f>IF([2]Entry!$J$827="","",[2]Entry!$J$827)</f>
        <v/>
      </c>
      <c r="N824">
        <f>IF([2]Entry!$M$827="","",[2]Entry!$M$827)</f>
        <v/>
      </c>
      <c r="O824">
        <f>IF([2]Entry!$N$827="","",[2]Entry!$N$827)</f>
        <v/>
      </c>
      <c r="P824">
        <f>IF([2]Entry!$S$827="","",[2]Entry!$S$827)</f>
        <v/>
      </c>
    </row>
    <row r="825">
      <c r="L825">
        <f>IF([2]Entry!$C$828="","",[2]Entry!$C$828)</f>
        <v/>
      </c>
      <c r="M825">
        <f>IF([2]Entry!$J$828="","",[2]Entry!$J$828)</f>
        <v/>
      </c>
      <c r="N825">
        <f>IF([2]Entry!$M$828="","",[2]Entry!$M$828)</f>
        <v/>
      </c>
      <c r="O825">
        <f>IF([2]Entry!$N$828="","",[2]Entry!$N$828)</f>
        <v/>
      </c>
      <c r="P825">
        <f>IF([2]Entry!$S$828="","",[2]Entry!$S$828)</f>
        <v/>
      </c>
    </row>
    <row r="826">
      <c r="L826">
        <f>IF([2]Entry!$C$829="","",[2]Entry!$C$829)</f>
        <v/>
      </c>
      <c r="M826">
        <f>IF([2]Entry!$J$829="","",[2]Entry!$J$829)</f>
        <v/>
      </c>
      <c r="N826">
        <f>IF([2]Entry!$M$829="","",[2]Entry!$M$829)</f>
        <v/>
      </c>
      <c r="O826">
        <f>IF([2]Entry!$N$829="","",[2]Entry!$N$829)</f>
        <v/>
      </c>
      <c r="P826">
        <f>IF([2]Entry!$S$829="","",[2]Entry!$S$829)</f>
        <v/>
      </c>
    </row>
    <row r="827">
      <c r="L827">
        <f>IF([2]Entry!$C$830="","",[2]Entry!$C$830)</f>
        <v/>
      </c>
      <c r="M827">
        <f>IF([2]Entry!$J$830="","",[2]Entry!$J$830)</f>
        <v/>
      </c>
      <c r="N827">
        <f>IF([2]Entry!$M$830="","",[2]Entry!$M$830)</f>
        <v/>
      </c>
      <c r="O827">
        <f>IF([2]Entry!$N$830="","",[2]Entry!$N$830)</f>
        <v/>
      </c>
      <c r="P827">
        <f>IF([2]Entry!$S$830="","",[2]Entry!$S$830)</f>
        <v/>
      </c>
    </row>
    <row r="828">
      <c r="L828">
        <f>IF([2]Entry!$C$831="","",[2]Entry!$C$831)</f>
        <v/>
      </c>
      <c r="M828">
        <f>IF([2]Entry!$J$831="","",[2]Entry!$J$831)</f>
        <v/>
      </c>
      <c r="N828">
        <f>IF([2]Entry!$M$831="","",[2]Entry!$M$831)</f>
        <v/>
      </c>
      <c r="O828">
        <f>IF([2]Entry!$N$831="","",[2]Entry!$N$831)</f>
        <v/>
      </c>
      <c r="P828">
        <f>IF([2]Entry!$S$831="","",[2]Entry!$S$831)</f>
        <v/>
      </c>
    </row>
    <row r="829">
      <c r="L829">
        <f>IF([2]Entry!$C$832="","",[2]Entry!$C$832)</f>
        <v/>
      </c>
      <c r="M829">
        <f>IF([2]Entry!$J$832="","",[2]Entry!$J$832)</f>
        <v/>
      </c>
      <c r="N829">
        <f>IF([2]Entry!$M$832="","",[2]Entry!$M$832)</f>
        <v/>
      </c>
      <c r="O829">
        <f>IF([2]Entry!$N$832="","",[2]Entry!$N$832)</f>
        <v/>
      </c>
      <c r="P829">
        <f>IF([2]Entry!$S$832="","",[2]Entry!$S$832)</f>
        <v/>
      </c>
    </row>
    <row r="830">
      <c r="L830">
        <f>IF([2]Entry!$C$833="","",[2]Entry!$C$833)</f>
        <v/>
      </c>
      <c r="M830">
        <f>IF([2]Entry!$J$833="","",[2]Entry!$J$833)</f>
        <v/>
      </c>
      <c r="N830">
        <f>IF([2]Entry!$M$833="","",[2]Entry!$M$833)</f>
        <v/>
      </c>
      <c r="O830">
        <f>IF([2]Entry!$N$833="","",[2]Entry!$N$833)</f>
        <v/>
      </c>
      <c r="P830">
        <f>IF([2]Entry!$S$833="","",[2]Entry!$S$833)</f>
        <v/>
      </c>
    </row>
    <row r="831">
      <c r="L831">
        <f>IF([2]Entry!$C$834="","",[2]Entry!$C$834)</f>
        <v/>
      </c>
      <c r="M831">
        <f>IF([2]Entry!$J$834="","",[2]Entry!$J$834)</f>
        <v/>
      </c>
      <c r="N831">
        <f>IF([2]Entry!$M$834="","",[2]Entry!$M$834)</f>
        <v/>
      </c>
      <c r="O831">
        <f>IF([2]Entry!$N$834="","",[2]Entry!$N$834)</f>
        <v/>
      </c>
      <c r="P831">
        <f>IF([2]Entry!$S$834="","",[2]Entry!$S$834)</f>
        <v/>
      </c>
    </row>
    <row r="832">
      <c r="L832">
        <f>IF([2]Entry!$C$835="","",[2]Entry!$C$835)</f>
        <v/>
      </c>
      <c r="M832">
        <f>IF([2]Entry!$J$835="","",[2]Entry!$J$835)</f>
        <v/>
      </c>
      <c r="N832">
        <f>IF([2]Entry!$M$835="","",[2]Entry!$M$835)</f>
        <v/>
      </c>
      <c r="O832">
        <f>IF([2]Entry!$N$835="","",[2]Entry!$N$835)</f>
        <v/>
      </c>
      <c r="P832">
        <f>IF([2]Entry!$S$835="","",[2]Entry!$S$835)</f>
        <v/>
      </c>
    </row>
    <row r="833">
      <c r="L833">
        <f>IF([2]Entry!$C$836="","",[2]Entry!$C$836)</f>
        <v/>
      </c>
      <c r="M833">
        <f>IF([2]Entry!$J$836="","",[2]Entry!$J$836)</f>
        <v/>
      </c>
      <c r="N833">
        <f>IF([2]Entry!$M$836="","",[2]Entry!$M$836)</f>
        <v/>
      </c>
      <c r="O833">
        <f>IF([2]Entry!$N$836="","",[2]Entry!$N$836)</f>
        <v/>
      </c>
      <c r="P833">
        <f>IF([2]Entry!$S$836="","",[2]Entry!$S$836)</f>
        <v/>
      </c>
    </row>
    <row r="834">
      <c r="L834">
        <f>IF([2]Entry!$C$837="","",[2]Entry!$C$837)</f>
        <v/>
      </c>
      <c r="M834">
        <f>IF([2]Entry!$J$837="","",[2]Entry!$J$837)</f>
        <v/>
      </c>
      <c r="N834">
        <f>IF([2]Entry!$M$837="","",[2]Entry!$M$837)</f>
        <v/>
      </c>
      <c r="O834">
        <f>IF([2]Entry!$N$837="","",[2]Entry!$N$837)</f>
        <v/>
      </c>
      <c r="P834">
        <f>IF([2]Entry!$S$837="","",[2]Entry!$S$837)</f>
        <v/>
      </c>
    </row>
    <row r="835">
      <c r="L835">
        <f>IF([2]Entry!$C$838="","",[2]Entry!$C$838)</f>
        <v/>
      </c>
      <c r="M835">
        <f>IF([2]Entry!$J$838="","",[2]Entry!$J$838)</f>
        <v/>
      </c>
      <c r="N835">
        <f>IF([2]Entry!$M$838="","",[2]Entry!$M$838)</f>
        <v/>
      </c>
      <c r="O835">
        <f>IF([2]Entry!$N$838="","",[2]Entry!$N$838)</f>
        <v/>
      </c>
      <c r="P835">
        <f>IF([2]Entry!$S$838="","",[2]Entry!$S$838)</f>
        <v/>
      </c>
    </row>
    <row r="836">
      <c r="L836">
        <f>IF([2]Entry!$C$839="","",[2]Entry!$C$839)</f>
        <v/>
      </c>
      <c r="M836">
        <f>IF([2]Entry!$J$839="","",[2]Entry!$J$839)</f>
        <v/>
      </c>
      <c r="N836">
        <f>IF([2]Entry!$M$839="","",[2]Entry!$M$839)</f>
        <v/>
      </c>
      <c r="O836">
        <f>IF([2]Entry!$N$839="","",[2]Entry!$N$839)</f>
        <v/>
      </c>
      <c r="P836">
        <f>IF([2]Entry!$S$839="","",[2]Entry!$S$839)</f>
        <v/>
      </c>
    </row>
    <row r="837">
      <c r="L837">
        <f>IF([2]Entry!$C$840="","",[2]Entry!$C$840)</f>
        <v/>
      </c>
      <c r="M837">
        <f>IF([2]Entry!$J$840="","",[2]Entry!$J$840)</f>
        <v/>
      </c>
      <c r="N837">
        <f>IF([2]Entry!$M$840="","",[2]Entry!$M$840)</f>
        <v/>
      </c>
      <c r="O837">
        <f>IF([2]Entry!$N$840="","",[2]Entry!$N$840)</f>
        <v/>
      </c>
      <c r="P837">
        <f>IF([2]Entry!$S$840="","",[2]Entry!$S$840)</f>
        <v/>
      </c>
    </row>
    <row r="838">
      <c r="L838">
        <f>IF([2]Entry!$C$841="","",[2]Entry!$C$841)</f>
        <v/>
      </c>
      <c r="M838">
        <f>IF([2]Entry!$J$841="","",[2]Entry!$J$841)</f>
        <v/>
      </c>
      <c r="N838">
        <f>IF([2]Entry!$M$841="","",[2]Entry!$M$841)</f>
        <v/>
      </c>
      <c r="O838">
        <f>IF([2]Entry!$N$841="","",[2]Entry!$N$841)</f>
        <v/>
      </c>
      <c r="P838">
        <f>IF([2]Entry!$S$841="","",[2]Entry!$S$841)</f>
        <v/>
      </c>
    </row>
    <row r="839">
      <c r="L839">
        <f>IF([2]Entry!$C$842="","",[2]Entry!$C$842)</f>
        <v/>
      </c>
      <c r="M839">
        <f>IF([2]Entry!$J$842="","",[2]Entry!$J$842)</f>
        <v/>
      </c>
      <c r="N839">
        <f>IF([2]Entry!$M$842="","",[2]Entry!$M$842)</f>
        <v/>
      </c>
      <c r="O839">
        <f>IF([2]Entry!$N$842="","",[2]Entry!$N$842)</f>
        <v/>
      </c>
      <c r="P839">
        <f>IF([2]Entry!$S$842="","",[2]Entry!$S$842)</f>
        <v/>
      </c>
    </row>
    <row r="840">
      <c r="L840">
        <f>IF([2]Entry!$C$843="","",[2]Entry!$C$843)</f>
        <v/>
      </c>
      <c r="M840">
        <f>IF([2]Entry!$J$843="","",[2]Entry!$J$843)</f>
        <v/>
      </c>
      <c r="N840">
        <f>IF([2]Entry!$M$843="","",[2]Entry!$M$843)</f>
        <v/>
      </c>
      <c r="O840">
        <f>IF([2]Entry!$N$843="","",[2]Entry!$N$843)</f>
        <v/>
      </c>
      <c r="P840">
        <f>IF([2]Entry!$S$843="","",[2]Entry!$S$843)</f>
        <v/>
      </c>
    </row>
    <row r="841">
      <c r="L841">
        <f>IF([2]Entry!$C$844="","",[2]Entry!$C$844)</f>
        <v/>
      </c>
      <c r="M841">
        <f>IF([2]Entry!$J$844="","",[2]Entry!$J$844)</f>
        <v/>
      </c>
      <c r="N841">
        <f>IF([2]Entry!$M$844="","",[2]Entry!$M$844)</f>
        <v/>
      </c>
      <c r="O841">
        <f>IF([2]Entry!$N$844="","",[2]Entry!$N$844)</f>
        <v/>
      </c>
      <c r="P841">
        <f>IF([2]Entry!$S$844="","",[2]Entry!$S$844)</f>
        <v/>
      </c>
    </row>
    <row r="842">
      <c r="L842">
        <f>IF([2]Entry!$C$845="","",[2]Entry!$C$845)</f>
        <v/>
      </c>
      <c r="M842">
        <f>IF([2]Entry!$J$845="","",[2]Entry!$J$845)</f>
        <v/>
      </c>
      <c r="N842">
        <f>IF([2]Entry!$M$845="","",[2]Entry!$M$845)</f>
        <v/>
      </c>
      <c r="O842">
        <f>IF([2]Entry!$N$845="","",[2]Entry!$N$845)</f>
        <v/>
      </c>
      <c r="P842">
        <f>IF([2]Entry!$S$845="","",[2]Entry!$S$845)</f>
        <v/>
      </c>
    </row>
    <row r="843">
      <c r="L843">
        <f>IF([2]Entry!$C$846="","",[2]Entry!$C$846)</f>
        <v/>
      </c>
      <c r="M843">
        <f>IF([2]Entry!$J$846="","",[2]Entry!$J$846)</f>
        <v/>
      </c>
      <c r="N843">
        <f>IF([2]Entry!$M$846="","",[2]Entry!$M$846)</f>
        <v/>
      </c>
      <c r="O843">
        <f>IF([2]Entry!$N$846="","",[2]Entry!$N$846)</f>
        <v/>
      </c>
      <c r="P843">
        <f>IF([2]Entry!$S$846="","",[2]Entry!$S$846)</f>
        <v/>
      </c>
    </row>
    <row r="844">
      <c r="L844">
        <f>IF([2]Entry!$C$847="","",[2]Entry!$C$847)</f>
        <v/>
      </c>
      <c r="M844">
        <f>IF([2]Entry!$J$847="","",[2]Entry!$J$847)</f>
        <v/>
      </c>
      <c r="N844">
        <f>IF([2]Entry!$M$847="","",[2]Entry!$M$847)</f>
        <v/>
      </c>
      <c r="O844">
        <f>IF([2]Entry!$N$847="","",[2]Entry!$N$847)</f>
        <v/>
      </c>
      <c r="P844">
        <f>IF([2]Entry!$S$847="","",[2]Entry!$S$847)</f>
        <v/>
      </c>
    </row>
    <row r="845">
      <c r="L845">
        <f>IF([2]Entry!$C$848="","",[2]Entry!$C$848)</f>
        <v/>
      </c>
      <c r="M845">
        <f>IF([2]Entry!$J$848="","",[2]Entry!$J$848)</f>
        <v/>
      </c>
      <c r="N845">
        <f>IF([2]Entry!$M$848="","",[2]Entry!$M$848)</f>
        <v/>
      </c>
      <c r="O845">
        <f>IF([2]Entry!$N$848="","",[2]Entry!$N$848)</f>
        <v/>
      </c>
      <c r="P845">
        <f>IF([2]Entry!$S$848="","",[2]Entry!$S$848)</f>
        <v/>
      </c>
    </row>
    <row r="846">
      <c r="L846">
        <f>IF([2]Entry!$C$849="","",[2]Entry!$C$849)</f>
        <v/>
      </c>
      <c r="M846">
        <f>IF([2]Entry!$J$849="","",[2]Entry!$J$849)</f>
        <v/>
      </c>
      <c r="N846">
        <f>IF([2]Entry!$M$849="","",[2]Entry!$M$849)</f>
        <v/>
      </c>
      <c r="O846">
        <f>IF([2]Entry!$N$849="","",[2]Entry!$N$849)</f>
        <v/>
      </c>
      <c r="P846">
        <f>IF([2]Entry!$S$849="","",[2]Entry!$S$849)</f>
        <v/>
      </c>
    </row>
    <row r="847">
      <c r="L847">
        <f>IF([2]Entry!$C$850="","",[2]Entry!$C$850)</f>
        <v/>
      </c>
      <c r="M847">
        <f>IF([2]Entry!$J$850="","",[2]Entry!$J$850)</f>
        <v/>
      </c>
      <c r="N847">
        <f>IF([2]Entry!$M$850="","",[2]Entry!$M$850)</f>
        <v/>
      </c>
      <c r="O847">
        <f>IF([2]Entry!$N$850="","",[2]Entry!$N$850)</f>
        <v/>
      </c>
      <c r="P847">
        <f>IF([2]Entry!$S$850="","",[2]Entry!$S$850)</f>
        <v/>
      </c>
    </row>
    <row r="848">
      <c r="L848">
        <f>IF([2]Entry!$C$851="","",[2]Entry!$C$851)</f>
        <v/>
      </c>
      <c r="M848">
        <f>IF([2]Entry!$J$851="","",[2]Entry!$J$851)</f>
        <v/>
      </c>
      <c r="N848">
        <f>IF([2]Entry!$M$851="","",[2]Entry!$M$851)</f>
        <v/>
      </c>
      <c r="O848">
        <f>IF([2]Entry!$N$851="","",[2]Entry!$N$851)</f>
        <v/>
      </c>
      <c r="P848">
        <f>IF([2]Entry!$S$851="","",[2]Entry!$S$851)</f>
        <v/>
      </c>
    </row>
    <row r="849">
      <c r="L849">
        <f>IF([2]Entry!$C$852="","",[2]Entry!$C$852)</f>
        <v/>
      </c>
      <c r="M849">
        <f>IF([2]Entry!$J$852="","",[2]Entry!$J$852)</f>
        <v/>
      </c>
      <c r="N849">
        <f>IF([2]Entry!$M$852="","",[2]Entry!$M$852)</f>
        <v/>
      </c>
      <c r="O849">
        <f>IF([2]Entry!$N$852="","",[2]Entry!$N$852)</f>
        <v/>
      </c>
      <c r="P849">
        <f>IF([2]Entry!$S$852="","",[2]Entry!$S$852)</f>
        <v/>
      </c>
    </row>
    <row r="850">
      <c r="L850">
        <f>IF([2]Entry!$C$853="","",[2]Entry!$C$853)</f>
        <v/>
      </c>
      <c r="M850">
        <f>IF([2]Entry!$J$853="","",[2]Entry!$J$853)</f>
        <v/>
      </c>
      <c r="N850">
        <f>IF([2]Entry!$M$853="","",[2]Entry!$M$853)</f>
        <v/>
      </c>
      <c r="O850">
        <f>IF([2]Entry!$N$853="","",[2]Entry!$N$853)</f>
        <v/>
      </c>
      <c r="P850">
        <f>IF([2]Entry!$S$853="","",[2]Entry!$S$853)</f>
        <v/>
      </c>
    </row>
    <row r="851">
      <c r="L851">
        <f>IF([2]Entry!$C$854="","",[2]Entry!$C$854)</f>
        <v/>
      </c>
      <c r="M851">
        <f>IF([2]Entry!$J$854="","",[2]Entry!$J$854)</f>
        <v/>
      </c>
      <c r="N851">
        <f>IF([2]Entry!$M$854="","",[2]Entry!$M$854)</f>
        <v/>
      </c>
      <c r="O851">
        <f>IF([2]Entry!$N$854="","",[2]Entry!$N$854)</f>
        <v/>
      </c>
      <c r="P851">
        <f>IF([2]Entry!$S$854="","",[2]Entry!$S$854)</f>
        <v/>
      </c>
    </row>
    <row r="852">
      <c r="L852">
        <f>IF([2]Entry!$C$855="","",[2]Entry!$C$855)</f>
        <v/>
      </c>
      <c r="M852">
        <f>IF([2]Entry!$J$855="","",[2]Entry!$J$855)</f>
        <v/>
      </c>
      <c r="N852">
        <f>IF([2]Entry!$M$855="","",[2]Entry!$M$855)</f>
        <v/>
      </c>
      <c r="O852">
        <f>IF([2]Entry!$N$855="","",[2]Entry!$N$855)</f>
        <v/>
      </c>
      <c r="P852">
        <f>IF([2]Entry!$S$855="","",[2]Entry!$S$855)</f>
        <v/>
      </c>
    </row>
    <row r="853">
      <c r="L853">
        <f>IF([2]Entry!$C$856="","",[2]Entry!$C$856)</f>
        <v/>
      </c>
      <c r="M853">
        <f>IF([2]Entry!$J$856="","",[2]Entry!$J$856)</f>
        <v/>
      </c>
      <c r="N853">
        <f>IF([2]Entry!$M$856="","",[2]Entry!$M$856)</f>
        <v/>
      </c>
      <c r="O853">
        <f>IF([2]Entry!$N$856="","",[2]Entry!$N$856)</f>
        <v/>
      </c>
      <c r="P853">
        <f>IF([2]Entry!$S$856="","",[2]Entry!$S$856)</f>
        <v/>
      </c>
    </row>
    <row r="854">
      <c r="L854">
        <f>IF([2]Entry!$C$857="","",[2]Entry!$C$857)</f>
        <v/>
      </c>
      <c r="M854">
        <f>IF([2]Entry!$J$857="","",[2]Entry!$J$857)</f>
        <v/>
      </c>
      <c r="N854">
        <f>IF([2]Entry!$M$857="","",[2]Entry!$M$857)</f>
        <v/>
      </c>
      <c r="O854">
        <f>IF([2]Entry!$N$857="","",[2]Entry!$N$857)</f>
        <v/>
      </c>
      <c r="P854">
        <f>IF([2]Entry!$S$857="","",[2]Entry!$S$857)</f>
        <v/>
      </c>
    </row>
    <row r="855">
      <c r="L855">
        <f>IF([2]Entry!$C$858="","",[2]Entry!$C$858)</f>
        <v/>
      </c>
      <c r="M855">
        <f>IF([2]Entry!$J$858="","",[2]Entry!$J$858)</f>
        <v/>
      </c>
      <c r="N855">
        <f>IF([2]Entry!$M$858="","",[2]Entry!$M$858)</f>
        <v/>
      </c>
      <c r="O855">
        <f>IF([2]Entry!$N$858="","",[2]Entry!$N$858)</f>
        <v/>
      </c>
      <c r="P855">
        <f>IF([2]Entry!$S$858="","",[2]Entry!$S$858)</f>
        <v/>
      </c>
    </row>
    <row r="856">
      <c r="L856">
        <f>IF([2]Entry!$C$859="","",[2]Entry!$C$859)</f>
        <v/>
      </c>
      <c r="M856">
        <f>IF([2]Entry!$J$859="","",[2]Entry!$J$859)</f>
        <v/>
      </c>
      <c r="N856">
        <f>IF([2]Entry!$M$859="","",[2]Entry!$M$859)</f>
        <v/>
      </c>
      <c r="O856">
        <f>IF([2]Entry!$N$859="","",[2]Entry!$N$859)</f>
        <v/>
      </c>
      <c r="P856">
        <f>IF([2]Entry!$S$859="","",[2]Entry!$S$859)</f>
        <v/>
      </c>
    </row>
    <row r="857">
      <c r="L857">
        <f>IF([2]Entry!$C$860="","",[2]Entry!$C$860)</f>
        <v/>
      </c>
      <c r="M857">
        <f>IF([2]Entry!$J$860="","",[2]Entry!$J$860)</f>
        <v/>
      </c>
      <c r="N857">
        <f>IF([2]Entry!$M$860="","",[2]Entry!$M$860)</f>
        <v/>
      </c>
      <c r="O857">
        <f>IF([2]Entry!$N$860="","",[2]Entry!$N$860)</f>
        <v/>
      </c>
      <c r="P857">
        <f>IF([2]Entry!$S$860="","",[2]Entry!$S$860)</f>
        <v/>
      </c>
    </row>
    <row r="858">
      <c r="L858">
        <f>IF([2]Entry!$C$861="","",[2]Entry!$C$861)</f>
        <v/>
      </c>
      <c r="M858">
        <f>IF([2]Entry!$J$861="","",[2]Entry!$J$861)</f>
        <v/>
      </c>
      <c r="N858">
        <f>IF([2]Entry!$M$861="","",[2]Entry!$M$861)</f>
        <v/>
      </c>
      <c r="O858">
        <f>IF([2]Entry!$N$861="","",[2]Entry!$N$861)</f>
        <v/>
      </c>
      <c r="P858">
        <f>IF([2]Entry!$S$861="","",[2]Entry!$S$861)</f>
        <v/>
      </c>
    </row>
    <row r="859">
      <c r="L859">
        <f>IF([2]Entry!$C$862="","",[2]Entry!$C$862)</f>
        <v/>
      </c>
      <c r="M859">
        <f>IF([2]Entry!$J$862="","",[2]Entry!$J$862)</f>
        <v/>
      </c>
      <c r="N859">
        <f>IF([2]Entry!$M$862="","",[2]Entry!$M$862)</f>
        <v/>
      </c>
      <c r="O859">
        <f>IF([2]Entry!$N$862="","",[2]Entry!$N$862)</f>
        <v/>
      </c>
      <c r="P859">
        <f>IF([2]Entry!$S$862="","",[2]Entry!$S$862)</f>
        <v/>
      </c>
    </row>
    <row r="860">
      <c r="L860">
        <f>IF([2]Entry!$C$863="","",[2]Entry!$C$863)</f>
        <v/>
      </c>
      <c r="M860">
        <f>IF([2]Entry!$J$863="","",[2]Entry!$J$863)</f>
        <v/>
      </c>
      <c r="N860">
        <f>IF([2]Entry!$M$863="","",[2]Entry!$M$863)</f>
        <v/>
      </c>
      <c r="O860">
        <f>IF([2]Entry!$N$863="","",[2]Entry!$N$863)</f>
        <v/>
      </c>
      <c r="P860">
        <f>IF([2]Entry!$S$863="","",[2]Entry!$S$863)</f>
        <v/>
      </c>
    </row>
    <row r="861">
      <c r="L861">
        <f>IF([2]Entry!$C$864="","",[2]Entry!$C$864)</f>
        <v/>
      </c>
      <c r="M861">
        <f>IF([2]Entry!$J$864="","",[2]Entry!$J$864)</f>
        <v/>
      </c>
      <c r="N861">
        <f>IF([2]Entry!$M$864="","",[2]Entry!$M$864)</f>
        <v/>
      </c>
      <c r="O861">
        <f>IF([2]Entry!$N$864="","",[2]Entry!$N$864)</f>
        <v/>
      </c>
      <c r="P861">
        <f>IF([2]Entry!$S$864="","",[2]Entry!$S$864)</f>
        <v/>
      </c>
    </row>
    <row r="862">
      <c r="L862">
        <f>IF([2]Entry!$C$865="","",[2]Entry!$C$865)</f>
        <v/>
      </c>
      <c r="M862">
        <f>IF([2]Entry!$J$865="","",[2]Entry!$J$865)</f>
        <v/>
      </c>
      <c r="N862">
        <f>IF([2]Entry!$M$865="","",[2]Entry!$M$865)</f>
        <v/>
      </c>
      <c r="O862">
        <f>IF([2]Entry!$N$865="","",[2]Entry!$N$865)</f>
        <v/>
      </c>
      <c r="P862">
        <f>IF([2]Entry!$S$865="","",[2]Entry!$S$865)</f>
        <v/>
      </c>
    </row>
    <row r="863">
      <c r="L863">
        <f>IF([2]Entry!$C$866="","",[2]Entry!$C$866)</f>
        <v/>
      </c>
      <c r="M863">
        <f>IF([2]Entry!$J$866="","",[2]Entry!$J$866)</f>
        <v/>
      </c>
      <c r="N863">
        <f>IF([2]Entry!$M$866="","",[2]Entry!$M$866)</f>
        <v/>
      </c>
      <c r="O863">
        <f>IF([2]Entry!$N$866="","",[2]Entry!$N$866)</f>
        <v/>
      </c>
      <c r="P863">
        <f>IF([2]Entry!$S$866="","",[2]Entry!$S$866)</f>
        <v/>
      </c>
    </row>
    <row r="864">
      <c r="L864">
        <f>IF([2]Entry!$C$867="","",[2]Entry!$C$867)</f>
        <v/>
      </c>
      <c r="M864">
        <f>IF([2]Entry!$J$867="","",[2]Entry!$J$867)</f>
        <v/>
      </c>
      <c r="N864">
        <f>IF([2]Entry!$M$867="","",[2]Entry!$M$867)</f>
        <v/>
      </c>
      <c r="O864">
        <f>IF([2]Entry!$N$867="","",[2]Entry!$N$867)</f>
        <v/>
      </c>
      <c r="P864">
        <f>IF([2]Entry!$S$867="","",[2]Entry!$S$867)</f>
        <v/>
      </c>
    </row>
    <row r="865">
      <c r="L865">
        <f>IF([2]Entry!$C$868="","",[2]Entry!$C$868)</f>
        <v/>
      </c>
      <c r="M865">
        <f>IF([2]Entry!$J$868="","",[2]Entry!$J$868)</f>
        <v/>
      </c>
      <c r="N865">
        <f>IF([2]Entry!$M$868="","",[2]Entry!$M$868)</f>
        <v/>
      </c>
      <c r="O865">
        <f>IF([2]Entry!$N$868="","",[2]Entry!$N$868)</f>
        <v/>
      </c>
      <c r="P865">
        <f>IF([2]Entry!$S$868="","",[2]Entry!$S$868)</f>
        <v/>
      </c>
    </row>
    <row r="866">
      <c r="L866">
        <f>IF([2]Entry!$C$869="","",[2]Entry!$C$869)</f>
        <v/>
      </c>
      <c r="M866">
        <f>IF([2]Entry!$J$869="","",[2]Entry!$J$869)</f>
        <v/>
      </c>
      <c r="N866">
        <f>IF([2]Entry!$M$869="","",[2]Entry!$M$869)</f>
        <v/>
      </c>
      <c r="O866">
        <f>IF([2]Entry!$N$869="","",[2]Entry!$N$869)</f>
        <v/>
      </c>
      <c r="P866">
        <f>IF([2]Entry!$S$869="","",[2]Entry!$S$869)</f>
        <v/>
      </c>
    </row>
    <row r="867">
      <c r="L867">
        <f>IF([2]Entry!$C$870="","",[2]Entry!$C$870)</f>
        <v/>
      </c>
      <c r="M867">
        <f>IF([2]Entry!$J$870="","",[2]Entry!$J$870)</f>
        <v/>
      </c>
      <c r="N867">
        <f>IF([2]Entry!$M$870="","",[2]Entry!$M$870)</f>
        <v/>
      </c>
      <c r="O867">
        <f>IF([2]Entry!$N$870="","",[2]Entry!$N$870)</f>
        <v/>
      </c>
      <c r="P867">
        <f>IF([2]Entry!$S$870="","",[2]Entry!$S$870)</f>
        <v/>
      </c>
    </row>
    <row r="868">
      <c r="L868">
        <f>IF([2]Entry!$C$871="","",[2]Entry!$C$871)</f>
        <v/>
      </c>
      <c r="M868">
        <f>IF([2]Entry!$J$871="","",[2]Entry!$J$871)</f>
        <v/>
      </c>
      <c r="N868">
        <f>IF([2]Entry!$M$871="","",[2]Entry!$M$871)</f>
        <v/>
      </c>
      <c r="O868">
        <f>IF([2]Entry!$N$871="","",[2]Entry!$N$871)</f>
        <v/>
      </c>
      <c r="P868">
        <f>IF([2]Entry!$S$871="","",[2]Entry!$S$871)</f>
        <v/>
      </c>
    </row>
    <row r="869">
      <c r="L869">
        <f>IF([2]Entry!$C$872="","",[2]Entry!$C$872)</f>
        <v/>
      </c>
      <c r="M869">
        <f>IF([2]Entry!$J$872="","",[2]Entry!$J$872)</f>
        <v/>
      </c>
      <c r="N869">
        <f>IF([2]Entry!$M$872="","",[2]Entry!$M$872)</f>
        <v/>
      </c>
      <c r="O869">
        <f>IF([2]Entry!$N$872="","",[2]Entry!$N$872)</f>
        <v/>
      </c>
      <c r="P869">
        <f>IF([2]Entry!$S$872="","",[2]Entry!$S$872)</f>
        <v/>
      </c>
    </row>
    <row r="870">
      <c r="L870">
        <f>IF([2]Entry!$C$873="","",[2]Entry!$C$873)</f>
        <v/>
      </c>
      <c r="M870">
        <f>IF([2]Entry!$J$873="","",[2]Entry!$J$873)</f>
        <v/>
      </c>
      <c r="N870">
        <f>IF([2]Entry!$M$873="","",[2]Entry!$M$873)</f>
        <v/>
      </c>
      <c r="O870">
        <f>IF([2]Entry!$N$873="","",[2]Entry!$N$873)</f>
        <v/>
      </c>
      <c r="P870">
        <f>IF([2]Entry!$S$873="","",[2]Entry!$S$873)</f>
        <v/>
      </c>
    </row>
    <row r="871">
      <c r="L871">
        <f>IF([2]Entry!$C$874="","",[2]Entry!$C$874)</f>
        <v/>
      </c>
      <c r="M871">
        <f>IF([2]Entry!$J$874="","",[2]Entry!$J$874)</f>
        <v/>
      </c>
      <c r="N871">
        <f>IF([2]Entry!$M$874="","",[2]Entry!$M$874)</f>
        <v/>
      </c>
      <c r="O871">
        <f>IF([2]Entry!$N$874="","",[2]Entry!$N$874)</f>
        <v/>
      </c>
      <c r="P871">
        <f>IF([2]Entry!$S$874="","",[2]Entry!$S$874)</f>
        <v/>
      </c>
    </row>
    <row r="872">
      <c r="L872">
        <f>IF([2]Entry!$C$875="","",[2]Entry!$C$875)</f>
        <v/>
      </c>
      <c r="M872">
        <f>IF([2]Entry!$J$875="","",[2]Entry!$J$875)</f>
        <v/>
      </c>
      <c r="N872">
        <f>IF([2]Entry!$M$875="","",[2]Entry!$M$875)</f>
        <v/>
      </c>
      <c r="O872">
        <f>IF([2]Entry!$N$875="","",[2]Entry!$N$875)</f>
        <v/>
      </c>
      <c r="P872">
        <f>IF([2]Entry!$S$875="","",[2]Entry!$S$875)</f>
        <v/>
      </c>
    </row>
    <row r="873">
      <c r="L873">
        <f>IF([2]Entry!$C$876="","",[2]Entry!$C$876)</f>
        <v/>
      </c>
      <c r="M873">
        <f>IF([2]Entry!$J$876="","",[2]Entry!$J$876)</f>
        <v/>
      </c>
      <c r="N873">
        <f>IF([2]Entry!$M$876="","",[2]Entry!$M$876)</f>
        <v/>
      </c>
      <c r="O873">
        <f>IF([2]Entry!$N$876="","",[2]Entry!$N$876)</f>
        <v/>
      </c>
      <c r="P873">
        <f>IF([2]Entry!$S$876="","",[2]Entry!$S$876)</f>
        <v/>
      </c>
    </row>
    <row r="874">
      <c r="L874">
        <f>IF([2]Entry!$C$877="","",[2]Entry!$C$877)</f>
        <v/>
      </c>
      <c r="M874">
        <f>IF([2]Entry!$J$877="","",[2]Entry!$J$877)</f>
        <v/>
      </c>
      <c r="N874">
        <f>IF([2]Entry!$M$877="","",[2]Entry!$M$877)</f>
        <v/>
      </c>
      <c r="O874">
        <f>IF([2]Entry!$N$877="","",[2]Entry!$N$877)</f>
        <v/>
      </c>
      <c r="P874">
        <f>IF([2]Entry!$S$877="","",[2]Entry!$S$877)</f>
        <v/>
      </c>
    </row>
    <row r="875">
      <c r="L875">
        <f>IF([2]Entry!$C$878="","",[2]Entry!$C$878)</f>
        <v/>
      </c>
      <c r="M875">
        <f>IF([2]Entry!$J$878="","",[2]Entry!$J$878)</f>
        <v/>
      </c>
      <c r="N875">
        <f>IF([2]Entry!$M$878="","",[2]Entry!$M$878)</f>
        <v/>
      </c>
      <c r="O875">
        <f>IF([2]Entry!$N$878="","",[2]Entry!$N$878)</f>
        <v/>
      </c>
      <c r="P875">
        <f>IF([2]Entry!$S$878="","",[2]Entry!$S$878)</f>
        <v/>
      </c>
    </row>
    <row r="876">
      <c r="L876">
        <f>IF([2]Entry!$C$879="","",[2]Entry!$C$879)</f>
        <v/>
      </c>
      <c r="M876">
        <f>IF([2]Entry!$J$879="","",[2]Entry!$J$879)</f>
        <v/>
      </c>
      <c r="N876">
        <f>IF([2]Entry!$M$879="","",[2]Entry!$M$879)</f>
        <v/>
      </c>
      <c r="O876">
        <f>IF([2]Entry!$N$879="","",[2]Entry!$N$879)</f>
        <v/>
      </c>
      <c r="P876">
        <f>IF([2]Entry!$S$879="","",[2]Entry!$S$879)</f>
        <v/>
      </c>
    </row>
    <row r="877">
      <c r="L877">
        <f>IF([2]Entry!$C$880="","",[2]Entry!$C$880)</f>
        <v/>
      </c>
      <c r="M877">
        <f>IF([2]Entry!$J$880="","",[2]Entry!$J$880)</f>
        <v/>
      </c>
      <c r="N877">
        <f>IF([2]Entry!$M$880="","",[2]Entry!$M$880)</f>
        <v/>
      </c>
      <c r="O877">
        <f>IF([2]Entry!$N$880="","",[2]Entry!$N$880)</f>
        <v/>
      </c>
      <c r="P877">
        <f>IF([2]Entry!$S$880="","",[2]Entry!$S$880)</f>
        <v/>
      </c>
    </row>
    <row r="878">
      <c r="L878">
        <f>IF([2]Entry!$C$881="","",[2]Entry!$C$881)</f>
        <v/>
      </c>
      <c r="M878">
        <f>IF([2]Entry!$J$881="","",[2]Entry!$J$881)</f>
        <v/>
      </c>
      <c r="N878">
        <f>IF([2]Entry!$M$881="","",[2]Entry!$M$881)</f>
        <v/>
      </c>
      <c r="O878">
        <f>IF([2]Entry!$N$881="","",[2]Entry!$N$881)</f>
        <v/>
      </c>
      <c r="P878">
        <f>IF([2]Entry!$S$881="","",[2]Entry!$S$881)</f>
        <v/>
      </c>
    </row>
    <row r="879">
      <c r="L879">
        <f>IF([2]Entry!$C$882="","",[2]Entry!$C$882)</f>
        <v/>
      </c>
      <c r="M879">
        <f>IF([2]Entry!$J$882="","",[2]Entry!$J$882)</f>
        <v/>
      </c>
      <c r="N879">
        <f>IF([2]Entry!$M$882="","",[2]Entry!$M$882)</f>
        <v/>
      </c>
      <c r="O879">
        <f>IF([2]Entry!$N$882="","",[2]Entry!$N$882)</f>
        <v/>
      </c>
      <c r="P879">
        <f>IF([2]Entry!$S$882="","",[2]Entry!$S$882)</f>
        <v/>
      </c>
    </row>
    <row r="880">
      <c r="L880">
        <f>IF([2]Entry!$C$883="","",[2]Entry!$C$883)</f>
        <v/>
      </c>
      <c r="M880">
        <f>IF([2]Entry!$J$883="","",[2]Entry!$J$883)</f>
        <v/>
      </c>
      <c r="N880">
        <f>IF([2]Entry!$M$883="","",[2]Entry!$M$883)</f>
        <v/>
      </c>
      <c r="O880">
        <f>IF([2]Entry!$N$883="","",[2]Entry!$N$883)</f>
        <v/>
      </c>
      <c r="P880">
        <f>IF([2]Entry!$S$883="","",[2]Entry!$S$883)</f>
        <v/>
      </c>
    </row>
    <row r="881">
      <c r="L881">
        <f>IF([2]Entry!$C$884="","",[2]Entry!$C$884)</f>
        <v/>
      </c>
      <c r="M881">
        <f>IF([2]Entry!$J$884="","",[2]Entry!$J$884)</f>
        <v/>
      </c>
      <c r="N881">
        <f>IF([2]Entry!$M$884="","",[2]Entry!$M$884)</f>
        <v/>
      </c>
      <c r="O881">
        <f>IF([2]Entry!$N$884="","",[2]Entry!$N$884)</f>
        <v/>
      </c>
      <c r="P881">
        <f>IF([2]Entry!$S$884="","",[2]Entry!$S$884)</f>
        <v/>
      </c>
    </row>
    <row r="882">
      <c r="L882">
        <f>IF([2]Entry!$C$885="","",[2]Entry!$C$885)</f>
        <v/>
      </c>
      <c r="M882">
        <f>IF([2]Entry!$J$885="","",[2]Entry!$J$885)</f>
        <v/>
      </c>
      <c r="N882">
        <f>IF([2]Entry!$M$885="","",[2]Entry!$M$885)</f>
        <v/>
      </c>
      <c r="O882">
        <f>IF([2]Entry!$N$885="","",[2]Entry!$N$885)</f>
        <v/>
      </c>
      <c r="P882">
        <f>IF([2]Entry!$S$885="","",[2]Entry!$S$885)</f>
        <v/>
      </c>
    </row>
    <row r="883">
      <c r="L883">
        <f>IF([2]Entry!$C$886="","",[2]Entry!$C$886)</f>
        <v/>
      </c>
      <c r="M883">
        <f>IF([2]Entry!$J$886="","",[2]Entry!$J$886)</f>
        <v/>
      </c>
      <c r="N883">
        <f>IF([2]Entry!$M$886="","",[2]Entry!$M$886)</f>
        <v/>
      </c>
      <c r="O883">
        <f>IF([2]Entry!$N$886="","",[2]Entry!$N$886)</f>
        <v/>
      </c>
      <c r="P883">
        <f>IF([2]Entry!$S$886="","",[2]Entry!$S$886)</f>
        <v/>
      </c>
    </row>
    <row r="884">
      <c r="L884">
        <f>IF([2]Entry!$C$887="","",[2]Entry!$C$887)</f>
        <v/>
      </c>
      <c r="M884">
        <f>IF([2]Entry!$J$887="","",[2]Entry!$J$887)</f>
        <v/>
      </c>
      <c r="N884">
        <f>IF([2]Entry!$M$887="","",[2]Entry!$M$887)</f>
        <v/>
      </c>
      <c r="O884">
        <f>IF([2]Entry!$N$887="","",[2]Entry!$N$887)</f>
        <v/>
      </c>
      <c r="P884">
        <f>IF([2]Entry!$S$887="","",[2]Entry!$S$887)</f>
        <v/>
      </c>
    </row>
    <row r="885">
      <c r="L885">
        <f>IF([2]Entry!$C$888="","",[2]Entry!$C$888)</f>
        <v/>
      </c>
      <c r="M885">
        <f>IF([2]Entry!$J$888="","",[2]Entry!$J$888)</f>
        <v/>
      </c>
      <c r="N885">
        <f>IF([2]Entry!$M$888="","",[2]Entry!$M$888)</f>
        <v/>
      </c>
      <c r="O885">
        <f>IF([2]Entry!$N$888="","",[2]Entry!$N$888)</f>
        <v/>
      </c>
      <c r="P885">
        <f>IF([2]Entry!$S$888="","",[2]Entry!$S$888)</f>
        <v/>
      </c>
    </row>
    <row r="886">
      <c r="L886">
        <f>IF([2]Entry!$C$889="","",[2]Entry!$C$889)</f>
        <v/>
      </c>
      <c r="M886">
        <f>IF([2]Entry!$J$889="","",[2]Entry!$J$889)</f>
        <v/>
      </c>
      <c r="N886">
        <f>IF([2]Entry!$M$889="","",[2]Entry!$M$889)</f>
        <v/>
      </c>
      <c r="O886">
        <f>IF([2]Entry!$N$889="","",[2]Entry!$N$889)</f>
        <v/>
      </c>
      <c r="P886">
        <f>IF([2]Entry!$S$889="","",[2]Entry!$S$889)</f>
        <v/>
      </c>
    </row>
    <row r="887">
      <c r="L887">
        <f>IF([2]Entry!$C$890="","",[2]Entry!$C$890)</f>
        <v/>
      </c>
      <c r="M887">
        <f>IF([2]Entry!$J$890="","",[2]Entry!$J$890)</f>
        <v/>
      </c>
      <c r="N887">
        <f>IF([2]Entry!$M$890="","",[2]Entry!$M$890)</f>
        <v/>
      </c>
      <c r="O887">
        <f>IF([2]Entry!$N$890="","",[2]Entry!$N$890)</f>
        <v/>
      </c>
      <c r="P887">
        <f>IF([2]Entry!$S$890="","",[2]Entry!$S$890)</f>
        <v/>
      </c>
    </row>
    <row r="888">
      <c r="L888">
        <f>IF([2]Entry!$C$891="","",[2]Entry!$C$891)</f>
        <v/>
      </c>
      <c r="M888">
        <f>IF([2]Entry!$J$891="","",[2]Entry!$J$891)</f>
        <v/>
      </c>
      <c r="N888">
        <f>IF([2]Entry!$M$891="","",[2]Entry!$M$891)</f>
        <v/>
      </c>
      <c r="O888">
        <f>IF([2]Entry!$N$891="","",[2]Entry!$N$891)</f>
        <v/>
      </c>
      <c r="P888">
        <f>IF([2]Entry!$S$891="","",[2]Entry!$S$891)</f>
        <v/>
      </c>
    </row>
    <row r="889">
      <c r="L889">
        <f>IF([2]Entry!$C$892="","",[2]Entry!$C$892)</f>
        <v/>
      </c>
      <c r="M889">
        <f>IF([2]Entry!$J$892="","",[2]Entry!$J$892)</f>
        <v/>
      </c>
      <c r="N889">
        <f>IF([2]Entry!$M$892="","",[2]Entry!$M$892)</f>
        <v/>
      </c>
      <c r="O889">
        <f>IF([2]Entry!$N$892="","",[2]Entry!$N$892)</f>
        <v/>
      </c>
      <c r="P889">
        <f>IF([2]Entry!$S$892="","",[2]Entry!$S$892)</f>
        <v/>
      </c>
    </row>
    <row r="890">
      <c r="L890">
        <f>IF([2]Entry!$C$893="","",[2]Entry!$C$893)</f>
        <v/>
      </c>
      <c r="M890">
        <f>IF([2]Entry!$J$893="","",[2]Entry!$J$893)</f>
        <v/>
      </c>
      <c r="N890">
        <f>IF([2]Entry!$M$893="","",[2]Entry!$M$893)</f>
        <v/>
      </c>
      <c r="O890">
        <f>IF([2]Entry!$N$893="","",[2]Entry!$N$893)</f>
        <v/>
      </c>
      <c r="P890">
        <f>IF([2]Entry!$S$893="","",[2]Entry!$S$893)</f>
        <v/>
      </c>
    </row>
    <row r="891">
      <c r="L891">
        <f>IF([2]Entry!$C$894="","",[2]Entry!$C$894)</f>
        <v/>
      </c>
      <c r="M891">
        <f>IF([2]Entry!$J$894="","",[2]Entry!$J$894)</f>
        <v/>
      </c>
      <c r="N891">
        <f>IF([2]Entry!$M$894="","",[2]Entry!$M$894)</f>
        <v/>
      </c>
      <c r="O891">
        <f>IF([2]Entry!$N$894="","",[2]Entry!$N$894)</f>
        <v/>
      </c>
      <c r="P891">
        <f>IF([2]Entry!$S$894="","",[2]Entry!$S$894)</f>
        <v/>
      </c>
    </row>
    <row r="892">
      <c r="L892">
        <f>IF([2]Entry!$C$895="","",[2]Entry!$C$895)</f>
        <v/>
      </c>
      <c r="M892">
        <f>IF([2]Entry!$J$895="","",[2]Entry!$J$895)</f>
        <v/>
      </c>
      <c r="N892">
        <f>IF([2]Entry!$M$895="","",[2]Entry!$M$895)</f>
        <v/>
      </c>
      <c r="O892">
        <f>IF([2]Entry!$N$895="","",[2]Entry!$N$895)</f>
        <v/>
      </c>
      <c r="P892">
        <f>IF([2]Entry!$S$895="","",[2]Entry!$S$895)</f>
        <v/>
      </c>
    </row>
    <row r="893">
      <c r="L893">
        <f>IF([2]Entry!$C$896="","",[2]Entry!$C$896)</f>
        <v/>
      </c>
      <c r="M893">
        <f>IF([2]Entry!$J$896="","",[2]Entry!$J$896)</f>
        <v/>
      </c>
      <c r="N893">
        <f>IF([2]Entry!$M$896="","",[2]Entry!$M$896)</f>
        <v/>
      </c>
      <c r="O893">
        <f>IF([2]Entry!$N$896="","",[2]Entry!$N$896)</f>
        <v/>
      </c>
      <c r="P893">
        <f>IF([2]Entry!$S$896="","",[2]Entry!$S$896)</f>
        <v/>
      </c>
    </row>
    <row r="894">
      <c r="L894">
        <f>IF([2]Entry!$C$897="","",[2]Entry!$C$897)</f>
        <v/>
      </c>
      <c r="M894">
        <f>IF([2]Entry!$J$897="","",[2]Entry!$J$897)</f>
        <v/>
      </c>
      <c r="N894">
        <f>IF([2]Entry!$M$897="","",[2]Entry!$M$897)</f>
        <v/>
      </c>
      <c r="O894">
        <f>IF([2]Entry!$N$897="","",[2]Entry!$N$897)</f>
        <v/>
      </c>
      <c r="P894">
        <f>IF([2]Entry!$S$897="","",[2]Entry!$S$897)</f>
        <v/>
      </c>
    </row>
    <row r="895">
      <c r="L895">
        <f>IF([2]Entry!$C$898="","",[2]Entry!$C$898)</f>
        <v/>
      </c>
      <c r="M895">
        <f>IF([2]Entry!$J$898="","",[2]Entry!$J$898)</f>
        <v/>
      </c>
      <c r="N895">
        <f>IF([2]Entry!$M$898="","",[2]Entry!$M$898)</f>
        <v/>
      </c>
      <c r="O895">
        <f>IF([2]Entry!$N$898="","",[2]Entry!$N$898)</f>
        <v/>
      </c>
      <c r="P895">
        <f>IF([2]Entry!$S$898="","",[2]Entry!$S$898)</f>
        <v/>
      </c>
    </row>
    <row r="896">
      <c r="L896">
        <f>IF([2]Entry!$C$899="","",[2]Entry!$C$899)</f>
        <v/>
      </c>
      <c r="M896">
        <f>IF([2]Entry!$J$899="","",[2]Entry!$J$899)</f>
        <v/>
      </c>
      <c r="N896">
        <f>IF([2]Entry!$M$899="","",[2]Entry!$M$899)</f>
        <v/>
      </c>
      <c r="O896">
        <f>IF([2]Entry!$N$899="","",[2]Entry!$N$899)</f>
        <v/>
      </c>
      <c r="P896">
        <f>IF([2]Entry!$S$899="","",[2]Entry!$S$899)</f>
        <v/>
      </c>
    </row>
    <row r="897">
      <c r="L897">
        <f>IF([2]Entry!$C$900="","",[2]Entry!$C$900)</f>
        <v/>
      </c>
      <c r="M897">
        <f>IF([2]Entry!$J$900="","",[2]Entry!$J$900)</f>
        <v/>
      </c>
      <c r="N897">
        <f>IF([2]Entry!$M$900="","",[2]Entry!$M$900)</f>
        <v/>
      </c>
      <c r="O897">
        <f>IF([2]Entry!$N$900="","",[2]Entry!$N$900)</f>
        <v/>
      </c>
      <c r="P897">
        <f>IF([2]Entry!$S$900="","",[2]Entry!$S$900)</f>
        <v/>
      </c>
    </row>
    <row r="898">
      <c r="L898">
        <f>IF([2]Entry!$C$901="","",[2]Entry!$C$901)</f>
        <v/>
      </c>
      <c r="M898">
        <f>IF([2]Entry!$J$901="","",[2]Entry!$J$901)</f>
        <v/>
      </c>
      <c r="N898">
        <f>IF([2]Entry!$M$901="","",[2]Entry!$M$901)</f>
        <v/>
      </c>
      <c r="O898">
        <f>IF([2]Entry!$N$901="","",[2]Entry!$N$901)</f>
        <v/>
      </c>
      <c r="P898">
        <f>IF([2]Entry!$S$901="","",[2]Entry!$S$901)</f>
        <v/>
      </c>
    </row>
    <row r="899">
      <c r="L899">
        <f>IF([2]Entry!$C$902="","",[2]Entry!$C$902)</f>
        <v/>
      </c>
      <c r="M899">
        <f>IF([2]Entry!$J$902="","",[2]Entry!$J$902)</f>
        <v/>
      </c>
      <c r="N899">
        <f>IF([2]Entry!$M$902="","",[2]Entry!$M$902)</f>
        <v/>
      </c>
      <c r="O899">
        <f>IF([2]Entry!$N$902="","",[2]Entry!$N$902)</f>
        <v/>
      </c>
      <c r="P899">
        <f>IF([2]Entry!$S$902="","",[2]Entry!$S$902)</f>
        <v/>
      </c>
    </row>
    <row r="900">
      <c r="L900">
        <f>IF([2]Entry!$C$903="","",[2]Entry!$C$903)</f>
        <v/>
      </c>
      <c r="M900">
        <f>IF([2]Entry!$J$903="","",[2]Entry!$J$903)</f>
        <v/>
      </c>
      <c r="N900">
        <f>IF([2]Entry!$M$903="","",[2]Entry!$M$903)</f>
        <v/>
      </c>
      <c r="O900">
        <f>IF([2]Entry!$N$903="","",[2]Entry!$N$903)</f>
        <v/>
      </c>
      <c r="P900">
        <f>IF([2]Entry!$S$903="","",[2]Entry!$S$903)</f>
        <v/>
      </c>
    </row>
    <row r="901">
      <c r="L901">
        <f>IF([2]Entry!$C$904="","",[2]Entry!$C$904)</f>
        <v/>
      </c>
      <c r="M901">
        <f>IF([2]Entry!$J$904="","",[2]Entry!$J$904)</f>
        <v/>
      </c>
      <c r="N901">
        <f>IF([2]Entry!$M$904="","",[2]Entry!$M$904)</f>
        <v/>
      </c>
      <c r="O901">
        <f>IF([2]Entry!$N$904="","",[2]Entry!$N$904)</f>
        <v/>
      </c>
      <c r="P901">
        <f>IF([2]Entry!$S$904="","",[2]Entry!$S$904)</f>
        <v/>
      </c>
    </row>
    <row r="902">
      <c r="L902">
        <f>IF([2]Entry!$C$905="","",[2]Entry!$C$905)</f>
        <v/>
      </c>
      <c r="M902">
        <f>IF([2]Entry!$J$905="","",[2]Entry!$J$905)</f>
        <v/>
      </c>
      <c r="N902">
        <f>IF([2]Entry!$M$905="","",[2]Entry!$M$905)</f>
        <v/>
      </c>
      <c r="O902">
        <f>IF([2]Entry!$N$905="","",[2]Entry!$N$905)</f>
        <v/>
      </c>
      <c r="P902">
        <f>IF([2]Entry!$S$905="","",[2]Entry!$S$905)</f>
        <v/>
      </c>
    </row>
    <row r="903">
      <c r="L903">
        <f>IF([2]Entry!$C$906="","",[2]Entry!$C$906)</f>
        <v/>
      </c>
      <c r="M903">
        <f>IF([2]Entry!$J$906="","",[2]Entry!$J$906)</f>
        <v/>
      </c>
      <c r="N903">
        <f>IF([2]Entry!$M$906="","",[2]Entry!$M$906)</f>
        <v/>
      </c>
      <c r="O903">
        <f>IF([2]Entry!$N$906="","",[2]Entry!$N$906)</f>
        <v/>
      </c>
      <c r="P903">
        <f>IF([2]Entry!$S$906="","",[2]Entry!$S$906)</f>
        <v/>
      </c>
    </row>
    <row r="904">
      <c r="L904">
        <f>IF([2]Entry!$C$907="","",[2]Entry!$C$907)</f>
        <v/>
      </c>
      <c r="M904">
        <f>IF([2]Entry!$J$907="","",[2]Entry!$J$907)</f>
        <v/>
      </c>
      <c r="N904">
        <f>IF([2]Entry!$M$907="","",[2]Entry!$M$907)</f>
        <v/>
      </c>
      <c r="O904">
        <f>IF([2]Entry!$N$907="","",[2]Entry!$N$907)</f>
        <v/>
      </c>
      <c r="P904">
        <f>IF([2]Entry!$S$907="","",[2]Entry!$S$907)</f>
        <v/>
      </c>
    </row>
    <row r="905">
      <c r="L905">
        <f>IF([2]Entry!$C$908="","",[2]Entry!$C$908)</f>
        <v/>
      </c>
      <c r="M905">
        <f>IF([2]Entry!$J$908="","",[2]Entry!$J$908)</f>
        <v/>
      </c>
      <c r="N905">
        <f>IF([2]Entry!$M$908="","",[2]Entry!$M$908)</f>
        <v/>
      </c>
      <c r="O905">
        <f>IF([2]Entry!$N$908="","",[2]Entry!$N$908)</f>
        <v/>
      </c>
      <c r="P905">
        <f>IF([2]Entry!$S$908="","",[2]Entry!$S$908)</f>
        <v/>
      </c>
    </row>
    <row r="906">
      <c r="L906">
        <f>IF([2]Entry!$C$909="","",[2]Entry!$C$909)</f>
        <v/>
      </c>
      <c r="M906">
        <f>IF([2]Entry!$J$909="","",[2]Entry!$J$909)</f>
        <v/>
      </c>
      <c r="N906">
        <f>IF([2]Entry!$M$909="","",[2]Entry!$M$909)</f>
        <v/>
      </c>
      <c r="O906">
        <f>IF([2]Entry!$N$909="","",[2]Entry!$N$909)</f>
        <v/>
      </c>
      <c r="P906">
        <f>IF([2]Entry!$S$909="","",[2]Entry!$S$909)</f>
        <v/>
      </c>
    </row>
    <row r="907">
      <c r="L907">
        <f>IF([2]Entry!$C$910="","",[2]Entry!$C$910)</f>
        <v/>
      </c>
      <c r="M907">
        <f>IF([2]Entry!$J$910="","",[2]Entry!$J$910)</f>
        <v/>
      </c>
      <c r="N907">
        <f>IF([2]Entry!$M$910="","",[2]Entry!$M$910)</f>
        <v/>
      </c>
      <c r="O907">
        <f>IF([2]Entry!$N$910="","",[2]Entry!$N$910)</f>
        <v/>
      </c>
      <c r="P907">
        <f>IF([2]Entry!$S$910="","",[2]Entry!$S$910)</f>
        <v/>
      </c>
    </row>
    <row r="908">
      <c r="L908">
        <f>IF([2]Entry!$C$911="","",[2]Entry!$C$911)</f>
        <v/>
      </c>
      <c r="M908">
        <f>IF([2]Entry!$J$911="","",[2]Entry!$J$911)</f>
        <v/>
      </c>
      <c r="N908">
        <f>IF([2]Entry!$M$911="","",[2]Entry!$M$911)</f>
        <v/>
      </c>
      <c r="O908">
        <f>IF([2]Entry!$N$911="","",[2]Entry!$N$911)</f>
        <v/>
      </c>
      <c r="P908">
        <f>IF([2]Entry!$S$911="","",[2]Entry!$S$911)</f>
        <v/>
      </c>
    </row>
    <row r="909">
      <c r="L909">
        <f>IF([2]Entry!$C$912="","",[2]Entry!$C$912)</f>
        <v/>
      </c>
      <c r="M909">
        <f>IF([2]Entry!$J$912="","",[2]Entry!$J$912)</f>
        <v/>
      </c>
      <c r="N909">
        <f>IF([2]Entry!$M$912="","",[2]Entry!$M$912)</f>
        <v/>
      </c>
      <c r="O909">
        <f>IF([2]Entry!$N$912="","",[2]Entry!$N$912)</f>
        <v/>
      </c>
      <c r="P909">
        <f>IF([2]Entry!$S$912="","",[2]Entry!$S$912)</f>
        <v/>
      </c>
    </row>
    <row r="910">
      <c r="L910">
        <f>IF([2]Entry!$C$913="","",[2]Entry!$C$913)</f>
        <v/>
      </c>
      <c r="M910">
        <f>IF([2]Entry!$J$913="","",[2]Entry!$J$913)</f>
        <v/>
      </c>
      <c r="N910">
        <f>IF([2]Entry!$M$913="","",[2]Entry!$M$913)</f>
        <v/>
      </c>
      <c r="O910">
        <f>IF([2]Entry!$N$913="","",[2]Entry!$N$913)</f>
        <v/>
      </c>
      <c r="P910">
        <f>IF([2]Entry!$S$913="","",[2]Entry!$S$913)</f>
        <v/>
      </c>
    </row>
    <row r="911">
      <c r="L911">
        <f>IF([2]Entry!$C$914="","",[2]Entry!$C$914)</f>
        <v/>
      </c>
      <c r="M911">
        <f>IF([2]Entry!$J$914="","",[2]Entry!$J$914)</f>
        <v/>
      </c>
      <c r="N911">
        <f>IF([2]Entry!$M$914="","",[2]Entry!$M$914)</f>
        <v/>
      </c>
      <c r="O911">
        <f>IF([2]Entry!$N$914="","",[2]Entry!$N$914)</f>
        <v/>
      </c>
      <c r="P911">
        <f>IF([2]Entry!$S$914="","",[2]Entry!$S$914)</f>
        <v/>
      </c>
    </row>
    <row r="912">
      <c r="L912">
        <f>IF([2]Entry!$C$915="","",[2]Entry!$C$915)</f>
        <v/>
      </c>
      <c r="M912">
        <f>IF([2]Entry!$J$915="","",[2]Entry!$J$915)</f>
        <v/>
      </c>
      <c r="N912">
        <f>IF([2]Entry!$M$915="","",[2]Entry!$M$915)</f>
        <v/>
      </c>
      <c r="O912">
        <f>IF([2]Entry!$N$915="","",[2]Entry!$N$915)</f>
        <v/>
      </c>
      <c r="P912">
        <f>IF([2]Entry!$S$915="","",[2]Entry!$S$915)</f>
        <v/>
      </c>
    </row>
    <row r="913">
      <c r="L913">
        <f>IF([2]Entry!$C$916="","",[2]Entry!$C$916)</f>
        <v/>
      </c>
      <c r="M913">
        <f>IF([2]Entry!$J$916="","",[2]Entry!$J$916)</f>
        <v/>
      </c>
      <c r="N913">
        <f>IF([2]Entry!$M$916="","",[2]Entry!$M$916)</f>
        <v/>
      </c>
      <c r="O913">
        <f>IF([2]Entry!$N$916="","",[2]Entry!$N$916)</f>
        <v/>
      </c>
      <c r="P913">
        <f>IF([2]Entry!$S$916="","",[2]Entry!$S$916)</f>
        <v/>
      </c>
    </row>
    <row r="914">
      <c r="L914">
        <f>IF([2]Entry!$C$917="","",[2]Entry!$C$917)</f>
        <v/>
      </c>
      <c r="M914">
        <f>IF([2]Entry!$J$917="","",[2]Entry!$J$917)</f>
        <v/>
      </c>
      <c r="N914">
        <f>IF([2]Entry!$M$917="","",[2]Entry!$M$917)</f>
        <v/>
      </c>
      <c r="O914">
        <f>IF([2]Entry!$N$917="","",[2]Entry!$N$917)</f>
        <v/>
      </c>
      <c r="P914">
        <f>IF([2]Entry!$S$917="","",[2]Entry!$S$917)</f>
        <v/>
      </c>
    </row>
    <row r="915">
      <c r="L915">
        <f>IF([2]Entry!$C$918="","",[2]Entry!$C$918)</f>
        <v/>
      </c>
      <c r="M915">
        <f>IF([2]Entry!$J$918="","",[2]Entry!$J$918)</f>
        <v/>
      </c>
      <c r="N915">
        <f>IF([2]Entry!$M$918="","",[2]Entry!$M$918)</f>
        <v/>
      </c>
      <c r="O915">
        <f>IF([2]Entry!$N$918="","",[2]Entry!$N$918)</f>
        <v/>
      </c>
      <c r="P915">
        <f>IF([2]Entry!$S$918="","",[2]Entry!$S$918)</f>
        <v/>
      </c>
    </row>
    <row r="916">
      <c r="L916">
        <f>IF([2]Entry!$C$919="","",[2]Entry!$C$919)</f>
        <v/>
      </c>
      <c r="M916">
        <f>IF([2]Entry!$J$919="","",[2]Entry!$J$919)</f>
        <v/>
      </c>
      <c r="N916">
        <f>IF([2]Entry!$M$919="","",[2]Entry!$M$919)</f>
        <v/>
      </c>
      <c r="O916">
        <f>IF([2]Entry!$N$919="","",[2]Entry!$N$919)</f>
        <v/>
      </c>
      <c r="P916">
        <f>IF([2]Entry!$S$919="","",[2]Entry!$S$919)</f>
        <v/>
      </c>
    </row>
    <row r="917">
      <c r="L917">
        <f>IF([2]Entry!$C$920="","",[2]Entry!$C$920)</f>
        <v/>
      </c>
      <c r="M917">
        <f>IF([2]Entry!$J$920="","",[2]Entry!$J$920)</f>
        <v/>
      </c>
      <c r="N917">
        <f>IF([2]Entry!$M$920="","",[2]Entry!$M$920)</f>
        <v/>
      </c>
      <c r="O917">
        <f>IF([2]Entry!$N$920="","",[2]Entry!$N$920)</f>
        <v/>
      </c>
      <c r="P917">
        <f>IF([2]Entry!$S$920="","",[2]Entry!$S$920)</f>
        <v/>
      </c>
    </row>
    <row r="918">
      <c r="L918">
        <f>IF([2]Entry!$C$921="","",[2]Entry!$C$921)</f>
        <v/>
      </c>
      <c r="M918">
        <f>IF([2]Entry!$J$921="","",[2]Entry!$J$921)</f>
        <v/>
      </c>
      <c r="N918">
        <f>IF([2]Entry!$M$921="","",[2]Entry!$M$921)</f>
        <v/>
      </c>
      <c r="O918">
        <f>IF([2]Entry!$N$921="","",[2]Entry!$N$921)</f>
        <v/>
      </c>
      <c r="P918">
        <f>IF([2]Entry!$S$921="","",[2]Entry!$S$921)</f>
        <v/>
      </c>
    </row>
    <row r="919">
      <c r="L919">
        <f>IF([2]Entry!$C$922="","",[2]Entry!$C$922)</f>
        <v/>
      </c>
      <c r="M919">
        <f>IF([2]Entry!$J$922="","",[2]Entry!$J$922)</f>
        <v/>
      </c>
      <c r="N919">
        <f>IF([2]Entry!$M$922="","",[2]Entry!$M$922)</f>
        <v/>
      </c>
      <c r="O919">
        <f>IF([2]Entry!$N$922="","",[2]Entry!$N$922)</f>
        <v/>
      </c>
      <c r="P919">
        <f>IF([2]Entry!$S$922="","",[2]Entry!$S$922)</f>
        <v/>
      </c>
    </row>
    <row r="920">
      <c r="L920">
        <f>IF([2]Entry!$C$923="","",[2]Entry!$C$923)</f>
        <v/>
      </c>
      <c r="M920">
        <f>IF([2]Entry!$J$923="","",[2]Entry!$J$923)</f>
        <v/>
      </c>
      <c r="N920">
        <f>IF([2]Entry!$M$923="","",[2]Entry!$M$923)</f>
        <v/>
      </c>
      <c r="O920">
        <f>IF([2]Entry!$N$923="","",[2]Entry!$N$923)</f>
        <v/>
      </c>
      <c r="P920">
        <f>IF([2]Entry!$S$923="","",[2]Entry!$S$923)</f>
        <v/>
      </c>
    </row>
    <row r="921">
      <c r="L921">
        <f>IF([2]Entry!$C$924="","",[2]Entry!$C$924)</f>
        <v/>
      </c>
      <c r="M921">
        <f>IF([2]Entry!$J$924="","",[2]Entry!$J$924)</f>
        <v/>
      </c>
      <c r="N921">
        <f>IF([2]Entry!$M$924="","",[2]Entry!$M$924)</f>
        <v/>
      </c>
      <c r="O921">
        <f>IF([2]Entry!$N$924="","",[2]Entry!$N$924)</f>
        <v/>
      </c>
      <c r="P921">
        <f>IF([2]Entry!$S$924="","",[2]Entry!$S$924)</f>
        <v/>
      </c>
    </row>
    <row r="922">
      <c r="L922">
        <f>IF([2]Entry!$C$925="","",[2]Entry!$C$925)</f>
        <v/>
      </c>
      <c r="M922">
        <f>IF([2]Entry!$J$925="","",[2]Entry!$J$925)</f>
        <v/>
      </c>
      <c r="N922">
        <f>IF([2]Entry!$M$925="","",[2]Entry!$M$925)</f>
        <v/>
      </c>
      <c r="O922">
        <f>IF([2]Entry!$N$925="","",[2]Entry!$N$925)</f>
        <v/>
      </c>
      <c r="P922">
        <f>IF([2]Entry!$S$925="","",[2]Entry!$S$925)</f>
        <v/>
      </c>
    </row>
    <row r="923">
      <c r="L923">
        <f>IF([2]Entry!$C$926="","",[2]Entry!$C$926)</f>
        <v/>
      </c>
      <c r="M923">
        <f>IF([2]Entry!$J$926="","",[2]Entry!$J$926)</f>
        <v/>
      </c>
      <c r="N923">
        <f>IF([2]Entry!$M$926="","",[2]Entry!$M$926)</f>
        <v/>
      </c>
      <c r="O923">
        <f>IF([2]Entry!$N$926="","",[2]Entry!$N$926)</f>
        <v/>
      </c>
      <c r="P923">
        <f>IF([2]Entry!$S$926="","",[2]Entry!$S$926)</f>
        <v/>
      </c>
    </row>
    <row r="924">
      <c r="L924">
        <f>IF([2]Entry!$C$927="","",[2]Entry!$C$927)</f>
        <v/>
      </c>
      <c r="M924">
        <f>IF([2]Entry!$J$927="","",[2]Entry!$J$927)</f>
        <v/>
      </c>
      <c r="N924">
        <f>IF([2]Entry!$M$927="","",[2]Entry!$M$927)</f>
        <v/>
      </c>
      <c r="O924">
        <f>IF([2]Entry!$N$927="","",[2]Entry!$N$927)</f>
        <v/>
      </c>
      <c r="P924">
        <f>IF([2]Entry!$S$927="","",[2]Entry!$S$927)</f>
        <v/>
      </c>
    </row>
    <row r="925">
      <c r="L925">
        <f>IF([2]Entry!$C$928="","",[2]Entry!$C$928)</f>
        <v/>
      </c>
      <c r="M925">
        <f>IF([2]Entry!$J$928="","",[2]Entry!$J$928)</f>
        <v/>
      </c>
      <c r="N925">
        <f>IF([2]Entry!$M$928="","",[2]Entry!$M$928)</f>
        <v/>
      </c>
      <c r="O925">
        <f>IF([2]Entry!$N$928="","",[2]Entry!$N$928)</f>
        <v/>
      </c>
      <c r="P925">
        <f>IF([2]Entry!$S$928="","",[2]Entry!$S$928)</f>
        <v/>
      </c>
    </row>
    <row r="926">
      <c r="L926">
        <f>IF([2]Entry!$C$929="","",[2]Entry!$C$929)</f>
        <v/>
      </c>
      <c r="M926">
        <f>IF([2]Entry!$J$929="","",[2]Entry!$J$929)</f>
        <v/>
      </c>
      <c r="N926">
        <f>IF([2]Entry!$M$929="","",[2]Entry!$M$929)</f>
        <v/>
      </c>
      <c r="O926">
        <f>IF([2]Entry!$N$929="","",[2]Entry!$N$929)</f>
        <v/>
      </c>
      <c r="P926">
        <f>IF([2]Entry!$S$929="","",[2]Entry!$S$929)</f>
        <v/>
      </c>
    </row>
    <row r="927">
      <c r="L927">
        <f>IF([2]Entry!$C$930="","",[2]Entry!$C$930)</f>
        <v/>
      </c>
      <c r="M927">
        <f>IF([2]Entry!$J$930="","",[2]Entry!$J$930)</f>
        <v/>
      </c>
      <c r="N927">
        <f>IF([2]Entry!$M$930="","",[2]Entry!$M$930)</f>
        <v/>
      </c>
      <c r="O927">
        <f>IF([2]Entry!$N$930="","",[2]Entry!$N$930)</f>
        <v/>
      </c>
      <c r="P927">
        <f>IF([2]Entry!$S$930="","",[2]Entry!$S$930)</f>
        <v/>
      </c>
    </row>
    <row r="928">
      <c r="L928">
        <f>IF([2]Entry!$C$931="","",[2]Entry!$C$931)</f>
        <v/>
      </c>
      <c r="M928">
        <f>IF([2]Entry!$J$931="","",[2]Entry!$J$931)</f>
        <v/>
      </c>
      <c r="N928">
        <f>IF([2]Entry!$M$931="","",[2]Entry!$M$931)</f>
        <v/>
      </c>
      <c r="O928">
        <f>IF([2]Entry!$N$931="","",[2]Entry!$N$931)</f>
        <v/>
      </c>
      <c r="P928">
        <f>IF([2]Entry!$S$931="","",[2]Entry!$S$931)</f>
        <v/>
      </c>
    </row>
    <row r="929">
      <c r="L929">
        <f>IF([2]Entry!$C$932="","",[2]Entry!$C$932)</f>
        <v/>
      </c>
      <c r="M929">
        <f>IF([2]Entry!$J$932="","",[2]Entry!$J$932)</f>
        <v/>
      </c>
      <c r="N929">
        <f>IF([2]Entry!$M$932="","",[2]Entry!$M$932)</f>
        <v/>
      </c>
      <c r="O929">
        <f>IF([2]Entry!$N$932="","",[2]Entry!$N$932)</f>
        <v/>
      </c>
      <c r="P929">
        <f>IF([2]Entry!$S$932="","",[2]Entry!$S$932)</f>
        <v/>
      </c>
    </row>
    <row r="930">
      <c r="L930">
        <f>IF([2]Entry!$C$933="","",[2]Entry!$C$933)</f>
        <v/>
      </c>
      <c r="M930">
        <f>IF([2]Entry!$J$933="","",[2]Entry!$J$933)</f>
        <v/>
      </c>
      <c r="N930">
        <f>IF([2]Entry!$M$933="","",[2]Entry!$M$933)</f>
        <v/>
      </c>
      <c r="O930">
        <f>IF([2]Entry!$N$933="","",[2]Entry!$N$933)</f>
        <v/>
      </c>
      <c r="P930">
        <f>IF([2]Entry!$S$933="","",[2]Entry!$S$933)</f>
        <v/>
      </c>
    </row>
    <row r="931">
      <c r="L931">
        <f>IF([2]Entry!$C$934="","",[2]Entry!$C$934)</f>
        <v/>
      </c>
      <c r="M931">
        <f>IF([2]Entry!$J$934="","",[2]Entry!$J$934)</f>
        <v/>
      </c>
      <c r="N931">
        <f>IF([2]Entry!$M$934="","",[2]Entry!$M$934)</f>
        <v/>
      </c>
      <c r="O931">
        <f>IF([2]Entry!$N$934="","",[2]Entry!$N$934)</f>
        <v/>
      </c>
      <c r="P931">
        <f>IF([2]Entry!$S$934="","",[2]Entry!$S$934)</f>
        <v/>
      </c>
    </row>
    <row r="932">
      <c r="L932">
        <f>IF([2]Entry!$C$935="","",[2]Entry!$C$935)</f>
        <v/>
      </c>
      <c r="M932">
        <f>IF([2]Entry!$J$935="","",[2]Entry!$J$935)</f>
        <v/>
      </c>
      <c r="N932">
        <f>IF([2]Entry!$M$935="","",[2]Entry!$M$935)</f>
        <v/>
      </c>
      <c r="O932">
        <f>IF([2]Entry!$N$935="","",[2]Entry!$N$935)</f>
        <v/>
      </c>
      <c r="P932">
        <f>IF([2]Entry!$S$935="","",[2]Entry!$S$935)</f>
        <v/>
      </c>
    </row>
    <row r="933">
      <c r="L933">
        <f>IF([2]Entry!$C$936="","",[2]Entry!$C$936)</f>
        <v/>
      </c>
      <c r="M933">
        <f>IF([2]Entry!$J$936="","",[2]Entry!$J$936)</f>
        <v/>
      </c>
      <c r="N933">
        <f>IF([2]Entry!$M$936="","",[2]Entry!$M$936)</f>
        <v/>
      </c>
      <c r="O933">
        <f>IF([2]Entry!$N$936="","",[2]Entry!$N$936)</f>
        <v/>
      </c>
      <c r="P933">
        <f>IF([2]Entry!$S$936="","",[2]Entry!$S$936)</f>
        <v/>
      </c>
    </row>
    <row r="934">
      <c r="L934">
        <f>IF([2]Entry!$C$937="","",[2]Entry!$C$937)</f>
        <v/>
      </c>
      <c r="M934">
        <f>IF([2]Entry!$J$937="","",[2]Entry!$J$937)</f>
        <v/>
      </c>
      <c r="N934">
        <f>IF([2]Entry!$M$937="","",[2]Entry!$M$937)</f>
        <v/>
      </c>
      <c r="O934">
        <f>IF([2]Entry!$N$937="","",[2]Entry!$N$937)</f>
        <v/>
      </c>
      <c r="P934">
        <f>IF([2]Entry!$S$937="","",[2]Entry!$S$937)</f>
        <v/>
      </c>
    </row>
    <row r="935">
      <c r="L935">
        <f>IF([2]Entry!$C$938="","",[2]Entry!$C$938)</f>
        <v/>
      </c>
      <c r="M935">
        <f>IF([2]Entry!$J$938="","",[2]Entry!$J$938)</f>
        <v/>
      </c>
      <c r="N935">
        <f>IF([2]Entry!$M$938="","",[2]Entry!$M$938)</f>
        <v/>
      </c>
      <c r="O935">
        <f>IF([2]Entry!$N$938="","",[2]Entry!$N$938)</f>
        <v/>
      </c>
      <c r="P935">
        <f>IF([2]Entry!$S$938="","",[2]Entry!$S$938)</f>
        <v/>
      </c>
    </row>
    <row r="936">
      <c r="L936">
        <f>IF([2]Entry!$C$939="","",[2]Entry!$C$939)</f>
        <v/>
      </c>
      <c r="M936">
        <f>IF([2]Entry!$J$939="","",[2]Entry!$J$939)</f>
        <v/>
      </c>
      <c r="N936">
        <f>IF([2]Entry!$M$939="","",[2]Entry!$M$939)</f>
        <v/>
      </c>
      <c r="O936">
        <f>IF([2]Entry!$N$939="","",[2]Entry!$N$939)</f>
        <v/>
      </c>
      <c r="P936">
        <f>IF([2]Entry!$S$939="","",[2]Entry!$S$939)</f>
        <v/>
      </c>
    </row>
    <row r="937">
      <c r="L937">
        <f>IF([2]Entry!$C$940="","",[2]Entry!$C$940)</f>
        <v/>
      </c>
      <c r="M937">
        <f>IF([2]Entry!$J$940="","",[2]Entry!$J$940)</f>
        <v/>
      </c>
      <c r="N937">
        <f>IF([2]Entry!$M$940="","",[2]Entry!$M$940)</f>
        <v/>
      </c>
      <c r="O937">
        <f>IF([2]Entry!$N$940="","",[2]Entry!$N$940)</f>
        <v/>
      </c>
      <c r="P937">
        <f>IF([2]Entry!$S$940="","",[2]Entry!$S$940)</f>
        <v/>
      </c>
    </row>
    <row r="938">
      <c r="L938">
        <f>IF([2]Entry!$C$941="","",[2]Entry!$C$941)</f>
        <v/>
      </c>
      <c r="M938">
        <f>IF([2]Entry!$J$941="","",[2]Entry!$J$941)</f>
        <v/>
      </c>
      <c r="N938">
        <f>IF([2]Entry!$M$941="","",[2]Entry!$M$941)</f>
        <v/>
      </c>
      <c r="O938">
        <f>IF([2]Entry!$N$941="","",[2]Entry!$N$941)</f>
        <v/>
      </c>
      <c r="P938">
        <f>IF([2]Entry!$S$941="","",[2]Entry!$S$941)</f>
        <v/>
      </c>
    </row>
    <row r="939">
      <c r="L939">
        <f>IF([2]Entry!$C$942="","",[2]Entry!$C$942)</f>
        <v/>
      </c>
      <c r="M939">
        <f>IF([2]Entry!$J$942="","",[2]Entry!$J$942)</f>
        <v/>
      </c>
      <c r="N939">
        <f>IF([2]Entry!$M$942="","",[2]Entry!$M$942)</f>
        <v/>
      </c>
      <c r="O939">
        <f>IF([2]Entry!$N$942="","",[2]Entry!$N$942)</f>
        <v/>
      </c>
      <c r="P939">
        <f>IF([2]Entry!$S$942="","",[2]Entry!$S$942)</f>
        <v/>
      </c>
    </row>
    <row r="940">
      <c r="L940">
        <f>IF([2]Entry!$C$943="","",[2]Entry!$C$943)</f>
        <v/>
      </c>
      <c r="M940">
        <f>IF([2]Entry!$J$943="","",[2]Entry!$J$943)</f>
        <v/>
      </c>
      <c r="N940">
        <f>IF([2]Entry!$M$943="","",[2]Entry!$M$943)</f>
        <v/>
      </c>
      <c r="O940">
        <f>IF([2]Entry!$N$943="","",[2]Entry!$N$943)</f>
        <v/>
      </c>
      <c r="P940">
        <f>IF([2]Entry!$S$943="","",[2]Entry!$S$943)</f>
        <v/>
      </c>
    </row>
    <row r="941">
      <c r="L941">
        <f>IF([2]Entry!$C$944="","",[2]Entry!$C$944)</f>
        <v/>
      </c>
      <c r="M941">
        <f>IF([2]Entry!$J$944="","",[2]Entry!$J$944)</f>
        <v/>
      </c>
      <c r="N941">
        <f>IF([2]Entry!$M$944="","",[2]Entry!$M$944)</f>
        <v/>
      </c>
      <c r="O941">
        <f>IF([2]Entry!$N$944="","",[2]Entry!$N$944)</f>
        <v/>
      </c>
      <c r="P941">
        <f>IF([2]Entry!$S$944="","",[2]Entry!$S$944)</f>
        <v/>
      </c>
    </row>
    <row r="942">
      <c r="L942">
        <f>IF([2]Entry!$C$945="","",[2]Entry!$C$945)</f>
        <v/>
      </c>
      <c r="M942">
        <f>IF([2]Entry!$J$945="","",[2]Entry!$J$945)</f>
        <v/>
      </c>
      <c r="N942">
        <f>IF([2]Entry!$M$945="","",[2]Entry!$M$945)</f>
        <v/>
      </c>
      <c r="O942">
        <f>IF([2]Entry!$N$945="","",[2]Entry!$N$945)</f>
        <v/>
      </c>
      <c r="P942">
        <f>IF([2]Entry!$S$945="","",[2]Entry!$S$945)</f>
        <v/>
      </c>
    </row>
    <row r="943">
      <c r="L943">
        <f>IF([2]Entry!$C$946="","",[2]Entry!$C$946)</f>
        <v/>
      </c>
      <c r="M943">
        <f>IF([2]Entry!$J$946="","",[2]Entry!$J$946)</f>
        <v/>
      </c>
      <c r="N943">
        <f>IF([2]Entry!$M$946="","",[2]Entry!$M$946)</f>
        <v/>
      </c>
      <c r="O943">
        <f>IF([2]Entry!$N$946="","",[2]Entry!$N$946)</f>
        <v/>
      </c>
      <c r="P943">
        <f>IF([2]Entry!$S$946="","",[2]Entry!$S$946)</f>
        <v/>
      </c>
    </row>
    <row r="944">
      <c r="L944">
        <f>IF([2]Entry!$C$947="","",[2]Entry!$C$947)</f>
        <v/>
      </c>
      <c r="M944">
        <f>IF([2]Entry!$J$947="","",[2]Entry!$J$947)</f>
        <v/>
      </c>
      <c r="N944">
        <f>IF([2]Entry!$M$947="","",[2]Entry!$M$947)</f>
        <v/>
      </c>
      <c r="O944">
        <f>IF([2]Entry!$N$947="","",[2]Entry!$N$947)</f>
        <v/>
      </c>
      <c r="P944">
        <f>IF([2]Entry!$S$947="","",[2]Entry!$S$947)</f>
        <v/>
      </c>
    </row>
    <row r="945">
      <c r="L945">
        <f>IF([2]Entry!$C$948="","",[2]Entry!$C$948)</f>
        <v/>
      </c>
      <c r="M945">
        <f>IF([2]Entry!$J$948="","",[2]Entry!$J$948)</f>
        <v/>
      </c>
      <c r="N945">
        <f>IF([2]Entry!$M$948="","",[2]Entry!$M$948)</f>
        <v/>
      </c>
      <c r="O945">
        <f>IF([2]Entry!$N$948="","",[2]Entry!$N$948)</f>
        <v/>
      </c>
      <c r="P945">
        <f>IF([2]Entry!$S$948="","",[2]Entry!$S$948)</f>
        <v/>
      </c>
    </row>
    <row r="946">
      <c r="L946">
        <f>IF([2]Entry!$C$949="","",[2]Entry!$C$949)</f>
        <v/>
      </c>
      <c r="M946">
        <f>IF([2]Entry!$J$949="","",[2]Entry!$J$949)</f>
        <v/>
      </c>
      <c r="N946">
        <f>IF([2]Entry!$M$949="","",[2]Entry!$M$949)</f>
        <v/>
      </c>
      <c r="O946">
        <f>IF([2]Entry!$N$949="","",[2]Entry!$N$949)</f>
        <v/>
      </c>
      <c r="P946">
        <f>IF([2]Entry!$S$949="","",[2]Entry!$S$949)</f>
        <v/>
      </c>
    </row>
    <row r="947">
      <c r="L947">
        <f>IF([2]Entry!$C$950="","",[2]Entry!$C$950)</f>
        <v/>
      </c>
      <c r="M947">
        <f>IF([2]Entry!$J$950="","",[2]Entry!$J$950)</f>
        <v/>
      </c>
      <c r="N947">
        <f>IF([2]Entry!$M$950="","",[2]Entry!$M$950)</f>
        <v/>
      </c>
      <c r="O947">
        <f>IF([2]Entry!$N$950="","",[2]Entry!$N$950)</f>
        <v/>
      </c>
      <c r="P947">
        <f>IF([2]Entry!$S$950="","",[2]Entry!$S$950)</f>
        <v/>
      </c>
    </row>
    <row r="948">
      <c r="L948">
        <f>IF([2]Entry!$C$951="","",[2]Entry!$C$951)</f>
        <v/>
      </c>
      <c r="M948">
        <f>IF([2]Entry!$J$951="","",[2]Entry!$J$951)</f>
        <v/>
      </c>
      <c r="N948">
        <f>IF([2]Entry!$M$951="","",[2]Entry!$M$951)</f>
        <v/>
      </c>
      <c r="O948">
        <f>IF([2]Entry!$N$951="","",[2]Entry!$N$951)</f>
        <v/>
      </c>
      <c r="P948">
        <f>IF([2]Entry!$S$951="","",[2]Entry!$S$951)</f>
        <v/>
      </c>
    </row>
    <row r="949">
      <c r="L949">
        <f>IF([2]Entry!$C$952="","",[2]Entry!$C$952)</f>
        <v/>
      </c>
      <c r="M949">
        <f>IF([2]Entry!$J$952="","",[2]Entry!$J$952)</f>
        <v/>
      </c>
      <c r="N949">
        <f>IF([2]Entry!$M$952="","",[2]Entry!$M$952)</f>
        <v/>
      </c>
      <c r="O949">
        <f>IF([2]Entry!$N$952="","",[2]Entry!$N$952)</f>
        <v/>
      </c>
      <c r="P949">
        <f>IF([2]Entry!$S$952="","",[2]Entry!$S$952)</f>
        <v/>
      </c>
    </row>
    <row r="950">
      <c r="L950">
        <f>IF([2]Entry!$C$953="","",[2]Entry!$C$953)</f>
        <v/>
      </c>
      <c r="M950">
        <f>IF([2]Entry!$J$953="","",[2]Entry!$J$953)</f>
        <v/>
      </c>
      <c r="N950">
        <f>IF([2]Entry!$M$953="","",[2]Entry!$M$953)</f>
        <v/>
      </c>
      <c r="O950">
        <f>IF([2]Entry!$N$953="","",[2]Entry!$N$953)</f>
        <v/>
      </c>
      <c r="P950">
        <f>IF([2]Entry!$S$953="","",[2]Entry!$S$953)</f>
        <v/>
      </c>
    </row>
    <row r="951">
      <c r="L951">
        <f>IF([2]Entry!$C$954="","",[2]Entry!$C$954)</f>
        <v/>
      </c>
      <c r="M951">
        <f>IF([2]Entry!$J$954="","",[2]Entry!$J$954)</f>
        <v/>
      </c>
      <c r="N951">
        <f>IF([2]Entry!$M$954="","",[2]Entry!$M$954)</f>
        <v/>
      </c>
      <c r="O951">
        <f>IF([2]Entry!$N$954="","",[2]Entry!$N$954)</f>
        <v/>
      </c>
      <c r="P951">
        <f>IF([2]Entry!$S$954="","",[2]Entry!$S$954)</f>
        <v/>
      </c>
    </row>
    <row r="952">
      <c r="L952">
        <f>IF([2]Entry!$C$955="","",[2]Entry!$C$955)</f>
        <v/>
      </c>
      <c r="M952">
        <f>IF([2]Entry!$J$955="","",[2]Entry!$J$955)</f>
        <v/>
      </c>
      <c r="N952">
        <f>IF([2]Entry!$M$955="","",[2]Entry!$M$955)</f>
        <v/>
      </c>
      <c r="O952">
        <f>IF([2]Entry!$N$955="","",[2]Entry!$N$955)</f>
        <v/>
      </c>
      <c r="P952">
        <f>IF([2]Entry!$S$955="","",[2]Entry!$S$955)</f>
        <v/>
      </c>
    </row>
    <row r="953">
      <c r="L953">
        <f>IF([2]Entry!$C$956="","",[2]Entry!$C$956)</f>
        <v/>
      </c>
      <c r="M953">
        <f>IF([2]Entry!$J$956="","",[2]Entry!$J$956)</f>
        <v/>
      </c>
      <c r="N953">
        <f>IF([2]Entry!$M$956="","",[2]Entry!$M$956)</f>
        <v/>
      </c>
      <c r="O953">
        <f>IF([2]Entry!$N$956="","",[2]Entry!$N$956)</f>
        <v/>
      </c>
      <c r="P953">
        <f>IF([2]Entry!$S$956="","",[2]Entry!$S$956)</f>
        <v/>
      </c>
    </row>
    <row r="954">
      <c r="L954">
        <f>IF([2]Entry!$C$957="","",[2]Entry!$C$957)</f>
        <v/>
      </c>
      <c r="M954">
        <f>IF([2]Entry!$J$957="","",[2]Entry!$J$957)</f>
        <v/>
      </c>
      <c r="N954">
        <f>IF([2]Entry!$M$957="","",[2]Entry!$M$957)</f>
        <v/>
      </c>
      <c r="O954">
        <f>IF([2]Entry!$N$957="","",[2]Entry!$N$957)</f>
        <v/>
      </c>
      <c r="P954">
        <f>IF([2]Entry!$S$957="","",[2]Entry!$S$957)</f>
        <v/>
      </c>
    </row>
    <row r="955">
      <c r="L955">
        <f>IF([2]Entry!$C$958="","",[2]Entry!$C$958)</f>
        <v/>
      </c>
      <c r="M955">
        <f>IF([2]Entry!$J$958="","",[2]Entry!$J$958)</f>
        <v/>
      </c>
      <c r="N955">
        <f>IF([2]Entry!$M$958="","",[2]Entry!$M$958)</f>
        <v/>
      </c>
      <c r="O955">
        <f>IF([2]Entry!$N$958="","",[2]Entry!$N$958)</f>
        <v/>
      </c>
      <c r="P955">
        <f>IF([2]Entry!$S$958="","",[2]Entry!$S$958)</f>
        <v/>
      </c>
    </row>
    <row r="956">
      <c r="L956">
        <f>IF([2]Entry!$C$959="","",[2]Entry!$C$959)</f>
        <v/>
      </c>
      <c r="M956">
        <f>IF([2]Entry!$J$959="","",[2]Entry!$J$959)</f>
        <v/>
      </c>
      <c r="N956">
        <f>IF([2]Entry!$M$959="","",[2]Entry!$M$959)</f>
        <v/>
      </c>
      <c r="O956">
        <f>IF([2]Entry!$N$959="","",[2]Entry!$N$959)</f>
        <v/>
      </c>
      <c r="P956">
        <f>IF([2]Entry!$S$959="","",[2]Entry!$S$959)</f>
        <v/>
      </c>
    </row>
    <row r="957">
      <c r="L957">
        <f>IF([2]Entry!$C$960="","",[2]Entry!$C$960)</f>
        <v/>
      </c>
      <c r="M957">
        <f>IF([2]Entry!$J$960="","",[2]Entry!$J$960)</f>
        <v/>
      </c>
      <c r="N957">
        <f>IF([2]Entry!$M$960="","",[2]Entry!$M$960)</f>
        <v/>
      </c>
      <c r="O957">
        <f>IF([2]Entry!$N$960="","",[2]Entry!$N$960)</f>
        <v/>
      </c>
      <c r="P957">
        <f>IF([2]Entry!$S$960="","",[2]Entry!$S$960)</f>
        <v/>
      </c>
    </row>
    <row r="958">
      <c r="L958">
        <f>IF([2]Entry!$C$961="","",[2]Entry!$C$961)</f>
        <v/>
      </c>
      <c r="M958">
        <f>IF([2]Entry!$J$961="","",[2]Entry!$J$961)</f>
        <v/>
      </c>
      <c r="N958">
        <f>IF([2]Entry!$M$961="","",[2]Entry!$M$961)</f>
        <v/>
      </c>
      <c r="O958">
        <f>IF([2]Entry!$N$961="","",[2]Entry!$N$961)</f>
        <v/>
      </c>
      <c r="P958">
        <f>IF([2]Entry!$S$961="","",[2]Entry!$S$961)</f>
        <v/>
      </c>
    </row>
    <row r="959">
      <c r="L959">
        <f>IF([2]Entry!$C$962="","",[2]Entry!$C$962)</f>
        <v/>
      </c>
      <c r="M959">
        <f>IF([2]Entry!$J$962="","",[2]Entry!$J$962)</f>
        <v/>
      </c>
      <c r="N959">
        <f>IF([2]Entry!$M$962="","",[2]Entry!$M$962)</f>
        <v/>
      </c>
      <c r="O959">
        <f>IF([2]Entry!$N$962="","",[2]Entry!$N$962)</f>
        <v/>
      </c>
      <c r="P959">
        <f>IF([2]Entry!$S$962="","",[2]Entry!$S$962)</f>
        <v/>
      </c>
    </row>
    <row r="960">
      <c r="L960">
        <f>IF([2]Entry!$C$963="","",[2]Entry!$C$963)</f>
        <v/>
      </c>
      <c r="M960">
        <f>IF([2]Entry!$J$963="","",[2]Entry!$J$963)</f>
        <v/>
      </c>
      <c r="N960">
        <f>IF([2]Entry!$M$963="","",[2]Entry!$M$963)</f>
        <v/>
      </c>
      <c r="O960">
        <f>IF([2]Entry!$N$963="","",[2]Entry!$N$963)</f>
        <v/>
      </c>
      <c r="P960">
        <f>IF([2]Entry!$S$963="","",[2]Entry!$S$963)</f>
        <v/>
      </c>
    </row>
    <row r="961">
      <c r="L961">
        <f>IF([2]Entry!$C$964="","",[2]Entry!$C$964)</f>
        <v/>
      </c>
      <c r="M961">
        <f>IF([2]Entry!$J$964="","",[2]Entry!$J$964)</f>
        <v/>
      </c>
      <c r="N961">
        <f>IF([2]Entry!$M$964="","",[2]Entry!$M$964)</f>
        <v/>
      </c>
      <c r="O961">
        <f>IF([2]Entry!$N$964="","",[2]Entry!$N$964)</f>
        <v/>
      </c>
      <c r="P961">
        <f>IF([2]Entry!$S$964="","",[2]Entry!$S$964)</f>
        <v/>
      </c>
    </row>
    <row r="962">
      <c r="L962">
        <f>IF([2]Entry!$C$965="","",[2]Entry!$C$965)</f>
        <v/>
      </c>
      <c r="M962">
        <f>IF([2]Entry!$J$965="","",[2]Entry!$J$965)</f>
        <v/>
      </c>
      <c r="N962">
        <f>IF([2]Entry!$M$965="","",[2]Entry!$M$965)</f>
        <v/>
      </c>
      <c r="O962">
        <f>IF([2]Entry!$N$965="","",[2]Entry!$N$965)</f>
        <v/>
      </c>
      <c r="P962">
        <f>IF([2]Entry!$S$965="","",[2]Entry!$S$965)</f>
        <v/>
      </c>
    </row>
    <row r="963">
      <c r="L963">
        <f>IF([2]Entry!$C$966="","",[2]Entry!$C$966)</f>
        <v/>
      </c>
      <c r="M963">
        <f>IF([2]Entry!$J$966="","",[2]Entry!$J$966)</f>
        <v/>
      </c>
      <c r="N963">
        <f>IF([2]Entry!$M$966="","",[2]Entry!$M$966)</f>
        <v/>
      </c>
      <c r="O963">
        <f>IF([2]Entry!$N$966="","",[2]Entry!$N$966)</f>
        <v/>
      </c>
      <c r="P963">
        <f>IF([2]Entry!$S$966="","",[2]Entry!$S$966)</f>
        <v/>
      </c>
    </row>
    <row r="964">
      <c r="L964">
        <f>IF([2]Entry!$C$967="","",[2]Entry!$C$967)</f>
        <v/>
      </c>
      <c r="M964">
        <f>IF([2]Entry!$J$967="","",[2]Entry!$J$967)</f>
        <v/>
      </c>
      <c r="N964">
        <f>IF([2]Entry!$M$967="","",[2]Entry!$M$967)</f>
        <v/>
      </c>
      <c r="O964">
        <f>IF([2]Entry!$N$967="","",[2]Entry!$N$967)</f>
        <v/>
      </c>
      <c r="P964">
        <f>IF([2]Entry!$S$967="","",[2]Entry!$S$967)</f>
        <v/>
      </c>
    </row>
    <row r="965">
      <c r="L965">
        <f>IF([2]Entry!$C$968="","",[2]Entry!$C$968)</f>
        <v/>
      </c>
      <c r="M965">
        <f>IF([2]Entry!$J$968="","",[2]Entry!$J$968)</f>
        <v/>
      </c>
      <c r="N965">
        <f>IF([2]Entry!$M$968="","",[2]Entry!$M$968)</f>
        <v/>
      </c>
      <c r="O965">
        <f>IF([2]Entry!$N$968="","",[2]Entry!$N$968)</f>
        <v/>
      </c>
      <c r="P965">
        <f>IF([2]Entry!$S$968="","",[2]Entry!$S$968)</f>
        <v/>
      </c>
    </row>
    <row r="966">
      <c r="L966">
        <f>IF([2]Entry!$C$969="","",[2]Entry!$C$969)</f>
        <v/>
      </c>
      <c r="M966">
        <f>IF([2]Entry!$J$969="","",[2]Entry!$J$969)</f>
        <v/>
      </c>
      <c r="N966">
        <f>IF([2]Entry!$M$969="","",[2]Entry!$M$969)</f>
        <v/>
      </c>
      <c r="O966">
        <f>IF([2]Entry!$N$969="","",[2]Entry!$N$969)</f>
        <v/>
      </c>
      <c r="P966">
        <f>IF([2]Entry!$S$969="","",[2]Entry!$S$969)</f>
        <v/>
      </c>
    </row>
    <row r="967">
      <c r="L967">
        <f>IF([2]Entry!$C$970="","",[2]Entry!$C$970)</f>
        <v/>
      </c>
      <c r="M967">
        <f>IF([2]Entry!$J$970="","",[2]Entry!$J$970)</f>
        <v/>
      </c>
      <c r="N967">
        <f>IF([2]Entry!$M$970="","",[2]Entry!$M$970)</f>
        <v/>
      </c>
      <c r="O967">
        <f>IF([2]Entry!$N$970="","",[2]Entry!$N$970)</f>
        <v/>
      </c>
      <c r="P967">
        <f>IF([2]Entry!$S$970="","",[2]Entry!$S$970)</f>
        <v/>
      </c>
    </row>
    <row r="968">
      <c r="L968">
        <f>IF([2]Entry!$C$971="","",[2]Entry!$C$971)</f>
        <v/>
      </c>
      <c r="M968">
        <f>IF([2]Entry!$J$971="","",[2]Entry!$J$971)</f>
        <v/>
      </c>
      <c r="N968">
        <f>IF([2]Entry!$M$971="","",[2]Entry!$M$971)</f>
        <v/>
      </c>
      <c r="O968">
        <f>IF([2]Entry!$N$971="","",[2]Entry!$N$971)</f>
        <v/>
      </c>
      <c r="P968">
        <f>IF([2]Entry!$S$971="","",[2]Entry!$S$971)</f>
        <v/>
      </c>
    </row>
    <row r="969">
      <c r="L969">
        <f>IF([2]Entry!$C$972="","",[2]Entry!$C$972)</f>
        <v/>
      </c>
      <c r="M969">
        <f>IF([2]Entry!$J$972="","",[2]Entry!$J$972)</f>
        <v/>
      </c>
      <c r="N969">
        <f>IF([2]Entry!$M$972="","",[2]Entry!$M$972)</f>
        <v/>
      </c>
      <c r="O969">
        <f>IF([2]Entry!$N$972="","",[2]Entry!$N$972)</f>
        <v/>
      </c>
      <c r="P969">
        <f>IF([2]Entry!$S$972="","",[2]Entry!$S$972)</f>
        <v/>
      </c>
    </row>
    <row r="970">
      <c r="L970">
        <f>IF([2]Entry!$C$973="","",[2]Entry!$C$973)</f>
        <v/>
      </c>
      <c r="M970">
        <f>IF([2]Entry!$J$973="","",[2]Entry!$J$973)</f>
        <v/>
      </c>
      <c r="N970">
        <f>IF([2]Entry!$M$973="","",[2]Entry!$M$973)</f>
        <v/>
      </c>
      <c r="O970">
        <f>IF([2]Entry!$N$973="","",[2]Entry!$N$973)</f>
        <v/>
      </c>
      <c r="P970">
        <f>IF([2]Entry!$S$973="","",[2]Entry!$S$973)</f>
        <v/>
      </c>
    </row>
    <row r="971">
      <c r="L971">
        <f>IF([2]Entry!$C$974="","",[2]Entry!$C$974)</f>
        <v/>
      </c>
      <c r="M971">
        <f>IF([2]Entry!$J$974="","",[2]Entry!$J$974)</f>
        <v/>
      </c>
      <c r="N971">
        <f>IF([2]Entry!$M$974="","",[2]Entry!$M$974)</f>
        <v/>
      </c>
      <c r="O971">
        <f>IF([2]Entry!$N$974="","",[2]Entry!$N$974)</f>
        <v/>
      </c>
      <c r="P971">
        <f>IF([2]Entry!$S$974="","",[2]Entry!$S$974)</f>
        <v/>
      </c>
    </row>
    <row r="972">
      <c r="L972">
        <f>IF([2]Entry!$C$975="","",[2]Entry!$C$975)</f>
        <v/>
      </c>
      <c r="M972">
        <f>IF([2]Entry!$J$975="","",[2]Entry!$J$975)</f>
        <v/>
      </c>
      <c r="N972">
        <f>IF([2]Entry!$M$975="","",[2]Entry!$M$975)</f>
        <v/>
      </c>
      <c r="O972">
        <f>IF([2]Entry!$N$975="","",[2]Entry!$N$975)</f>
        <v/>
      </c>
      <c r="P972">
        <f>IF([2]Entry!$S$975="","",[2]Entry!$S$975)</f>
        <v/>
      </c>
    </row>
    <row r="973">
      <c r="L973">
        <f>IF([2]Entry!$C$976="","",[2]Entry!$C$976)</f>
        <v/>
      </c>
      <c r="M973">
        <f>IF([2]Entry!$J$976="","",[2]Entry!$J$976)</f>
        <v/>
      </c>
      <c r="N973">
        <f>IF([2]Entry!$M$976="","",[2]Entry!$M$976)</f>
        <v/>
      </c>
      <c r="O973">
        <f>IF([2]Entry!$N$976="","",[2]Entry!$N$976)</f>
        <v/>
      </c>
      <c r="P973">
        <f>IF([2]Entry!$S$976="","",[2]Entry!$S$976)</f>
        <v/>
      </c>
    </row>
    <row r="974">
      <c r="L974">
        <f>IF([2]Entry!$C$977="","",[2]Entry!$C$977)</f>
        <v/>
      </c>
      <c r="M974">
        <f>IF([2]Entry!$J$977="","",[2]Entry!$J$977)</f>
        <v/>
      </c>
      <c r="N974">
        <f>IF([2]Entry!$M$977="","",[2]Entry!$M$977)</f>
        <v/>
      </c>
      <c r="O974">
        <f>IF([2]Entry!$N$977="","",[2]Entry!$N$977)</f>
        <v/>
      </c>
      <c r="P974">
        <f>IF([2]Entry!$S$977="","",[2]Entry!$S$977)</f>
        <v/>
      </c>
    </row>
    <row r="975">
      <c r="L975">
        <f>IF([2]Entry!$C$978="","",[2]Entry!$C$978)</f>
        <v/>
      </c>
      <c r="M975">
        <f>IF([2]Entry!$J$978="","",[2]Entry!$J$978)</f>
        <v/>
      </c>
      <c r="N975">
        <f>IF([2]Entry!$M$978="","",[2]Entry!$M$978)</f>
        <v/>
      </c>
      <c r="O975">
        <f>IF([2]Entry!$N$978="","",[2]Entry!$N$978)</f>
        <v/>
      </c>
      <c r="P975">
        <f>IF([2]Entry!$S$978="","",[2]Entry!$S$978)</f>
        <v/>
      </c>
    </row>
    <row r="976">
      <c r="L976">
        <f>IF([2]Entry!$C$979="","",[2]Entry!$C$979)</f>
        <v/>
      </c>
      <c r="M976">
        <f>IF([2]Entry!$J$979="","",[2]Entry!$J$979)</f>
        <v/>
      </c>
      <c r="N976">
        <f>IF([2]Entry!$M$979="","",[2]Entry!$M$979)</f>
        <v/>
      </c>
      <c r="O976">
        <f>IF([2]Entry!$N$979="","",[2]Entry!$N$979)</f>
        <v/>
      </c>
      <c r="P976">
        <f>IF([2]Entry!$S$979="","",[2]Entry!$S$979)</f>
        <v/>
      </c>
    </row>
    <row r="977">
      <c r="L977">
        <f>IF([2]Entry!$C$980="","",[2]Entry!$C$980)</f>
        <v/>
      </c>
      <c r="M977">
        <f>IF([2]Entry!$J$980="","",[2]Entry!$J$980)</f>
        <v/>
      </c>
      <c r="N977">
        <f>IF([2]Entry!$M$980="","",[2]Entry!$M$980)</f>
        <v/>
      </c>
      <c r="O977">
        <f>IF([2]Entry!$N$980="","",[2]Entry!$N$980)</f>
        <v/>
      </c>
      <c r="P977">
        <f>IF([2]Entry!$S$980="","",[2]Entry!$S$980)</f>
        <v/>
      </c>
    </row>
    <row r="978">
      <c r="L978">
        <f>IF([2]Entry!$C$981="","",[2]Entry!$C$981)</f>
        <v/>
      </c>
      <c r="M978">
        <f>IF([2]Entry!$J$981="","",[2]Entry!$J$981)</f>
        <v/>
      </c>
      <c r="N978">
        <f>IF([2]Entry!$M$981="","",[2]Entry!$M$981)</f>
        <v/>
      </c>
      <c r="O978">
        <f>IF([2]Entry!$N$981="","",[2]Entry!$N$981)</f>
        <v/>
      </c>
      <c r="P978">
        <f>IF([2]Entry!$S$981="","",[2]Entry!$S$981)</f>
        <v/>
      </c>
    </row>
    <row r="979">
      <c r="L979">
        <f>IF([2]Entry!$C$982="","",[2]Entry!$C$982)</f>
        <v/>
      </c>
      <c r="M979">
        <f>IF([2]Entry!$J$982="","",[2]Entry!$J$982)</f>
        <v/>
      </c>
      <c r="N979">
        <f>IF([2]Entry!$M$982="","",[2]Entry!$M$982)</f>
        <v/>
      </c>
      <c r="O979">
        <f>IF([2]Entry!$N$982="","",[2]Entry!$N$982)</f>
        <v/>
      </c>
      <c r="P979">
        <f>IF([2]Entry!$S$982="","",[2]Entry!$S$982)</f>
        <v/>
      </c>
    </row>
    <row r="980">
      <c r="L980">
        <f>IF([2]Entry!$C$983="","",[2]Entry!$C$983)</f>
        <v/>
      </c>
      <c r="M980">
        <f>IF([2]Entry!$J$983="","",[2]Entry!$J$983)</f>
        <v/>
      </c>
      <c r="N980">
        <f>IF([2]Entry!$M$983="","",[2]Entry!$M$983)</f>
        <v/>
      </c>
      <c r="O980">
        <f>IF([2]Entry!$N$983="","",[2]Entry!$N$983)</f>
        <v/>
      </c>
      <c r="P980">
        <f>IF([2]Entry!$S$983="","",[2]Entry!$S$983)</f>
        <v/>
      </c>
    </row>
    <row r="981">
      <c r="L981">
        <f>IF([2]Entry!$C$984="","",[2]Entry!$C$984)</f>
        <v/>
      </c>
      <c r="M981">
        <f>IF([2]Entry!$J$984="","",[2]Entry!$J$984)</f>
        <v/>
      </c>
      <c r="N981">
        <f>IF([2]Entry!$M$984="","",[2]Entry!$M$984)</f>
        <v/>
      </c>
      <c r="O981">
        <f>IF([2]Entry!$N$984="","",[2]Entry!$N$984)</f>
        <v/>
      </c>
      <c r="P981">
        <f>IF([2]Entry!$S$984="","",[2]Entry!$S$984)</f>
        <v/>
      </c>
    </row>
    <row r="982">
      <c r="L982">
        <f>IF([2]Entry!$C$985="","",[2]Entry!$C$985)</f>
        <v/>
      </c>
      <c r="M982">
        <f>IF([2]Entry!$J$985="","",[2]Entry!$J$985)</f>
        <v/>
      </c>
      <c r="N982">
        <f>IF([2]Entry!$M$985="","",[2]Entry!$M$985)</f>
        <v/>
      </c>
      <c r="O982">
        <f>IF([2]Entry!$N$985="","",[2]Entry!$N$985)</f>
        <v/>
      </c>
      <c r="P982">
        <f>IF([2]Entry!$S$985="","",[2]Entry!$S$985)</f>
        <v/>
      </c>
    </row>
    <row r="983">
      <c r="L983">
        <f>IF([2]Entry!$C$986="","",[2]Entry!$C$986)</f>
        <v/>
      </c>
      <c r="M983">
        <f>IF([2]Entry!$J$986="","",[2]Entry!$J$986)</f>
        <v/>
      </c>
      <c r="N983">
        <f>IF([2]Entry!$M$986="","",[2]Entry!$M$986)</f>
        <v/>
      </c>
      <c r="O983">
        <f>IF([2]Entry!$N$986="","",[2]Entry!$N$986)</f>
        <v/>
      </c>
      <c r="P983">
        <f>IF([2]Entry!$S$986="","",[2]Entry!$S$986)</f>
        <v/>
      </c>
    </row>
    <row r="984">
      <c r="L984">
        <f>IF([2]Entry!$C$987="","",[2]Entry!$C$987)</f>
        <v/>
      </c>
      <c r="M984">
        <f>IF([2]Entry!$J$987="","",[2]Entry!$J$987)</f>
        <v/>
      </c>
      <c r="N984">
        <f>IF([2]Entry!$M$987="","",[2]Entry!$M$987)</f>
        <v/>
      </c>
      <c r="O984">
        <f>IF([2]Entry!$N$987="","",[2]Entry!$N$987)</f>
        <v/>
      </c>
      <c r="P984">
        <f>IF([2]Entry!$S$987="","",[2]Entry!$S$987)</f>
        <v/>
      </c>
    </row>
    <row r="985">
      <c r="L985">
        <f>IF([2]Entry!$C$988="","",[2]Entry!$C$988)</f>
        <v/>
      </c>
      <c r="M985">
        <f>IF([2]Entry!$J$988="","",[2]Entry!$J$988)</f>
        <v/>
      </c>
      <c r="N985">
        <f>IF([2]Entry!$M$988="","",[2]Entry!$M$988)</f>
        <v/>
      </c>
      <c r="O985">
        <f>IF([2]Entry!$N$988="","",[2]Entry!$N$988)</f>
        <v/>
      </c>
      <c r="P985">
        <f>IF([2]Entry!$S$988="","",[2]Entry!$S$988)</f>
        <v/>
      </c>
    </row>
    <row r="986">
      <c r="L986">
        <f>IF([2]Entry!$C$989="","",[2]Entry!$C$989)</f>
        <v/>
      </c>
      <c r="M986">
        <f>IF([2]Entry!$J$989="","",[2]Entry!$J$989)</f>
        <v/>
      </c>
      <c r="N986">
        <f>IF([2]Entry!$M$989="","",[2]Entry!$M$989)</f>
        <v/>
      </c>
      <c r="O986">
        <f>IF([2]Entry!$N$989="","",[2]Entry!$N$989)</f>
        <v/>
      </c>
      <c r="P986">
        <f>IF([2]Entry!$S$989="","",[2]Entry!$S$989)</f>
        <v/>
      </c>
    </row>
    <row r="987">
      <c r="L987">
        <f>IF([2]Entry!$C$990="","",[2]Entry!$C$990)</f>
        <v/>
      </c>
      <c r="M987">
        <f>IF([2]Entry!$J$990="","",[2]Entry!$J$990)</f>
        <v/>
      </c>
      <c r="N987">
        <f>IF([2]Entry!$M$990="","",[2]Entry!$M$990)</f>
        <v/>
      </c>
      <c r="O987">
        <f>IF([2]Entry!$N$990="","",[2]Entry!$N$990)</f>
        <v/>
      </c>
      <c r="P987">
        <f>IF([2]Entry!$S$990="","",[2]Entry!$S$990)</f>
        <v/>
      </c>
    </row>
    <row r="988">
      <c r="L988">
        <f>IF([2]Entry!$C$991="","",[2]Entry!$C$991)</f>
        <v/>
      </c>
      <c r="M988">
        <f>IF([2]Entry!$J$991="","",[2]Entry!$J$991)</f>
        <v/>
      </c>
      <c r="N988">
        <f>IF([2]Entry!$M$991="","",[2]Entry!$M$991)</f>
        <v/>
      </c>
      <c r="O988">
        <f>IF([2]Entry!$N$991="","",[2]Entry!$N$991)</f>
        <v/>
      </c>
      <c r="P988">
        <f>IF([2]Entry!$S$991="","",[2]Entry!$S$991)</f>
        <v/>
      </c>
    </row>
    <row r="989">
      <c r="L989">
        <f>IF([2]Entry!$C$992="","",[2]Entry!$C$992)</f>
        <v/>
      </c>
      <c r="M989">
        <f>IF([2]Entry!$J$992="","",[2]Entry!$J$992)</f>
        <v/>
      </c>
      <c r="N989">
        <f>IF([2]Entry!$M$992="","",[2]Entry!$M$992)</f>
        <v/>
      </c>
      <c r="O989">
        <f>IF([2]Entry!$N$992="","",[2]Entry!$N$992)</f>
        <v/>
      </c>
      <c r="P989">
        <f>IF([2]Entry!$S$992="","",[2]Entry!$S$992)</f>
        <v/>
      </c>
    </row>
    <row r="990">
      <c r="L990">
        <f>IF([2]Entry!$C$993="","",[2]Entry!$C$993)</f>
        <v/>
      </c>
      <c r="M990">
        <f>IF([2]Entry!$J$993="","",[2]Entry!$J$993)</f>
        <v/>
      </c>
      <c r="N990">
        <f>IF([2]Entry!$M$993="","",[2]Entry!$M$993)</f>
        <v/>
      </c>
      <c r="O990">
        <f>IF([2]Entry!$N$993="","",[2]Entry!$N$993)</f>
        <v/>
      </c>
      <c r="P990">
        <f>IF([2]Entry!$S$993="","",[2]Entry!$S$993)</f>
        <v/>
      </c>
    </row>
    <row r="991">
      <c r="L991">
        <f>IF([2]Entry!$C$994="","",[2]Entry!$C$994)</f>
        <v/>
      </c>
      <c r="M991">
        <f>IF([2]Entry!$J$994="","",[2]Entry!$J$994)</f>
        <v/>
      </c>
      <c r="N991">
        <f>IF([2]Entry!$M$994="","",[2]Entry!$M$994)</f>
        <v/>
      </c>
      <c r="O991">
        <f>IF([2]Entry!$N$994="","",[2]Entry!$N$994)</f>
        <v/>
      </c>
      <c r="P991">
        <f>IF([2]Entry!$S$994="","",[2]Entry!$S$994)</f>
        <v/>
      </c>
    </row>
    <row r="992">
      <c r="L992">
        <f>IF([2]Entry!$C$995="","",[2]Entry!$C$995)</f>
        <v/>
      </c>
      <c r="M992">
        <f>IF([2]Entry!$J$995="","",[2]Entry!$J$995)</f>
        <v/>
      </c>
      <c r="N992">
        <f>IF([2]Entry!$M$995="","",[2]Entry!$M$995)</f>
        <v/>
      </c>
      <c r="O992">
        <f>IF([2]Entry!$N$995="","",[2]Entry!$N$995)</f>
        <v/>
      </c>
      <c r="P992">
        <f>IF([2]Entry!$S$995="","",[2]Entry!$S$995)</f>
        <v/>
      </c>
    </row>
    <row r="993">
      <c r="L993">
        <f>IF([2]Entry!$C$996="","",[2]Entry!$C$996)</f>
        <v/>
      </c>
      <c r="M993">
        <f>IF([2]Entry!$J$996="","",[2]Entry!$J$996)</f>
        <v/>
      </c>
      <c r="N993">
        <f>IF([2]Entry!$M$996="","",[2]Entry!$M$996)</f>
        <v/>
      </c>
      <c r="O993">
        <f>IF([2]Entry!$N$996="","",[2]Entry!$N$996)</f>
        <v/>
      </c>
      <c r="P993">
        <f>IF([2]Entry!$S$996="","",[2]Entry!$S$996)</f>
        <v/>
      </c>
    </row>
    <row r="994">
      <c r="L994">
        <f>IF([2]Entry!$C$997="","",[2]Entry!$C$997)</f>
        <v/>
      </c>
      <c r="M994">
        <f>IF([2]Entry!$J$997="","",[2]Entry!$J$997)</f>
        <v/>
      </c>
      <c r="N994">
        <f>IF([2]Entry!$M$997="","",[2]Entry!$M$997)</f>
        <v/>
      </c>
      <c r="O994">
        <f>IF([2]Entry!$N$997="","",[2]Entry!$N$997)</f>
        <v/>
      </c>
      <c r="P994">
        <f>IF([2]Entry!$S$997="","",[2]Entry!$S$997)</f>
        <v/>
      </c>
    </row>
    <row r="995">
      <c r="L995">
        <f>IF([2]Entry!$C$998="","",[2]Entry!$C$998)</f>
        <v/>
      </c>
      <c r="M995">
        <f>IF([2]Entry!$J$998="","",[2]Entry!$J$998)</f>
        <v/>
      </c>
      <c r="N995">
        <f>IF([2]Entry!$M$998="","",[2]Entry!$M$998)</f>
        <v/>
      </c>
      <c r="O995">
        <f>IF([2]Entry!$N$998="","",[2]Entry!$N$998)</f>
        <v/>
      </c>
      <c r="P995">
        <f>IF([2]Entry!$S$998="","",[2]Entry!$S$998)</f>
        <v/>
      </c>
    </row>
    <row r="996">
      <c r="L996">
        <f>IF([2]Entry!$C$999="","",[2]Entry!$C$999)</f>
        <v/>
      </c>
      <c r="M996">
        <f>IF([2]Entry!$J$999="","",[2]Entry!$J$999)</f>
        <v/>
      </c>
      <c r="N996">
        <f>IF([2]Entry!$M$999="","",[2]Entry!$M$999)</f>
        <v/>
      </c>
      <c r="O996">
        <f>IF([2]Entry!$N$999="","",[2]Entry!$N$999)</f>
        <v/>
      </c>
      <c r="P996">
        <f>IF([2]Entry!$S$999="","",[2]Entry!$S$999)</f>
        <v/>
      </c>
    </row>
    <row r="997">
      <c r="L997">
        <f>IF([2]Entry!$C$1000="","",[2]Entry!$C$1000)</f>
        <v/>
      </c>
      <c r="M997">
        <f>IF([2]Entry!$J$1000="","",[2]Entry!$J$1000)</f>
        <v/>
      </c>
      <c r="N997">
        <f>IF([2]Entry!$M$1000="","",[2]Entry!$M$1000)</f>
        <v/>
      </c>
      <c r="O997">
        <f>IF([2]Entry!$N$1000="","",[2]Entry!$N$1000)</f>
        <v/>
      </c>
      <c r="P997">
        <f>IF([2]Entry!$S$1000="","",[2]Entry!$S$1000)</f>
        <v/>
      </c>
    </row>
    <row r="998">
      <c r="L998">
        <f>IF([2]Entry!$C$1001="","",[2]Entry!$C$1001)</f>
        <v/>
      </c>
      <c r="M998">
        <f>IF([2]Entry!$J$1001="","",[2]Entry!$J$1001)</f>
        <v/>
      </c>
      <c r="N998">
        <f>IF([2]Entry!$M$1001="","",[2]Entry!$M$1001)</f>
        <v/>
      </c>
      <c r="O998">
        <f>IF([2]Entry!$N$1001="","",[2]Entry!$N$1001)</f>
        <v/>
      </c>
      <c r="P998">
        <f>IF([2]Entry!$S$1001="","",[2]Entry!$S$1001)</f>
        <v/>
      </c>
    </row>
    <row r="999">
      <c r="L999">
        <f>IF([2]Entry!$C$1002="","",[2]Entry!$C$1002)</f>
        <v/>
      </c>
      <c r="M999">
        <f>IF([2]Entry!$J$1002="","",[2]Entry!$J$1002)</f>
        <v/>
      </c>
      <c r="N999">
        <f>IF([2]Entry!$M$1002="","",[2]Entry!$M$1002)</f>
        <v/>
      </c>
      <c r="O999">
        <f>IF([2]Entry!$N$1002="","",[2]Entry!$N$1002)</f>
        <v/>
      </c>
      <c r="P999">
        <f>IF([2]Entry!$S$1002="","",[2]Entry!$S$1002)</f>
        <v/>
      </c>
    </row>
    <row r="1000">
      <c r="L1000">
        <f>IF([2]Entry!$C$1003="","",[2]Entry!$C$1003)</f>
        <v/>
      </c>
      <c r="M1000">
        <f>IF([2]Entry!$J$1003="","",[2]Entry!$J$1003)</f>
        <v/>
      </c>
      <c r="N1000">
        <f>IF([2]Entry!$M$1003="","",[2]Entry!$M$1003)</f>
        <v/>
      </c>
      <c r="O1000">
        <f>IF([2]Entry!$N$1003="","",[2]Entry!$N$1003)</f>
        <v/>
      </c>
      <c r="P1000">
        <f>IF([2]Entry!$S$1003="","",[2]Entry!$S$1003)</f>
        <v/>
      </c>
    </row>
    <row r="1001">
      <c r="L1001">
        <f>IF([2]Entry!$C$1004="","",[2]Entry!$C$1004)</f>
        <v/>
      </c>
      <c r="M1001">
        <f>IF([2]Entry!$J$1004="","",[2]Entry!$J$1004)</f>
        <v/>
      </c>
      <c r="N1001">
        <f>IF([2]Entry!$M$1004="","",[2]Entry!$M$1004)</f>
        <v/>
      </c>
      <c r="O1001">
        <f>IF([2]Entry!$N$1004="","",[2]Entry!$N$1004)</f>
        <v/>
      </c>
      <c r="P1001">
        <f>IF([2]Entry!$S$1004="","",[2]Entry!$S$1004)</f>
        <v/>
      </c>
    </row>
    <row r="1002">
      <c r="L1002">
        <f>IF([2]Entry!$C$1005="","",[2]Entry!$C$1005)</f>
        <v/>
      </c>
      <c r="M1002">
        <f>IF([2]Entry!$J$1005="","",[2]Entry!$J$1005)</f>
        <v/>
      </c>
      <c r="N1002">
        <f>IF([2]Entry!$M$1005="","",[2]Entry!$M$1005)</f>
        <v/>
      </c>
      <c r="O1002">
        <f>IF([2]Entry!$N$1005="","",[2]Entry!$N$1005)</f>
        <v/>
      </c>
      <c r="P1002">
        <f>IF([2]Entry!$S$1005="","",[2]Entry!$S$1005)</f>
        <v/>
      </c>
    </row>
    <row r="1003">
      <c r="L1003">
        <f>IF([2]Entry!$C$1006="","",[2]Entry!$C$1006)</f>
        <v/>
      </c>
      <c r="M1003">
        <f>IF([2]Entry!$J$1006="","",[2]Entry!$J$1006)</f>
        <v/>
      </c>
      <c r="N1003">
        <f>IF([2]Entry!$M$1006="","",[2]Entry!$M$1006)</f>
        <v/>
      </c>
      <c r="O1003">
        <f>IF([2]Entry!$N$1006="","",[2]Entry!$N$1006)</f>
        <v/>
      </c>
      <c r="P1003">
        <f>IF([2]Entry!$S$1006="","",[2]Entry!$S$1006)</f>
        <v/>
      </c>
    </row>
    <row r="1004">
      <c r="L1004">
        <f>IF([2]Entry!$C$1007="","",[2]Entry!$C$1007)</f>
        <v/>
      </c>
      <c r="M1004">
        <f>IF([2]Entry!$J$1007="","",[2]Entry!$J$1007)</f>
        <v/>
      </c>
      <c r="N1004">
        <f>IF([2]Entry!$M$1007="","",[2]Entry!$M$1007)</f>
        <v/>
      </c>
      <c r="O1004">
        <f>IF([2]Entry!$N$1007="","",[2]Entry!$N$1007)</f>
        <v/>
      </c>
      <c r="P1004">
        <f>IF([2]Entry!$S$1007="","",[2]Entry!$S$1007)</f>
        <v/>
      </c>
    </row>
    <row r="1005">
      <c r="L1005">
        <f>IF([2]Entry!$C$1008="","",[2]Entry!$C$1008)</f>
        <v/>
      </c>
      <c r="M1005">
        <f>IF([2]Entry!$J$1008="","",[2]Entry!$J$1008)</f>
        <v/>
      </c>
      <c r="N1005">
        <f>IF([2]Entry!$M$1008="","",[2]Entry!$M$1008)</f>
        <v/>
      </c>
      <c r="O1005">
        <f>IF([2]Entry!$N$1008="","",[2]Entry!$N$1008)</f>
        <v/>
      </c>
      <c r="P1005">
        <f>IF([2]Entry!$S$1008="","",[2]Entry!$S$1008)</f>
        <v/>
      </c>
    </row>
    <row r="1006">
      <c r="L1006">
        <f>IF([2]Entry!$C$1009="","",[2]Entry!$C$1009)</f>
        <v/>
      </c>
      <c r="M1006">
        <f>IF([2]Entry!$J$1009="","",[2]Entry!$J$1009)</f>
        <v/>
      </c>
      <c r="N1006">
        <f>IF([2]Entry!$M$1009="","",[2]Entry!$M$1009)</f>
        <v/>
      </c>
      <c r="O1006">
        <f>IF([2]Entry!$N$1009="","",[2]Entry!$N$1009)</f>
        <v/>
      </c>
      <c r="P1006">
        <f>IF([2]Entry!$S$1009="","",[2]Entry!$S$1009)</f>
        <v/>
      </c>
    </row>
    <row r="1007">
      <c r="L1007">
        <f>IF([2]Entry!$C$1010="","",[2]Entry!$C$1010)</f>
        <v/>
      </c>
      <c r="M1007">
        <f>IF([2]Entry!$J$1010="","",[2]Entry!$J$1010)</f>
        <v/>
      </c>
      <c r="N1007">
        <f>IF([2]Entry!$M$1010="","",[2]Entry!$M$1010)</f>
        <v/>
      </c>
      <c r="O1007">
        <f>IF([2]Entry!$N$1010="","",[2]Entry!$N$1010)</f>
        <v/>
      </c>
      <c r="P1007">
        <f>IF([2]Entry!$S$1010="","",[2]Entry!$S$1010)</f>
        <v/>
      </c>
    </row>
    <row r="1008">
      <c r="L1008">
        <f>IF([2]Entry!$C$1011="","",[2]Entry!$C$1011)</f>
        <v/>
      </c>
      <c r="M1008">
        <f>IF([2]Entry!$J$1011="","",[2]Entry!$J$1011)</f>
        <v/>
      </c>
      <c r="N1008">
        <f>IF([2]Entry!$M$1011="","",[2]Entry!$M$1011)</f>
        <v/>
      </c>
      <c r="O1008">
        <f>IF([2]Entry!$N$1011="","",[2]Entry!$N$1011)</f>
        <v/>
      </c>
      <c r="P1008">
        <f>IF([2]Entry!$S$1011="","",[2]Entry!$S$1011)</f>
        <v/>
      </c>
    </row>
    <row r="1009">
      <c r="L1009">
        <f>IF([2]Entry!$C$1012="","",[2]Entry!$C$1012)</f>
        <v/>
      </c>
      <c r="M1009">
        <f>IF([2]Entry!$J$1012="","",[2]Entry!$J$1012)</f>
        <v/>
      </c>
      <c r="N1009">
        <f>IF([2]Entry!$M$1012="","",[2]Entry!$M$1012)</f>
        <v/>
      </c>
      <c r="O1009">
        <f>IF([2]Entry!$N$1012="","",[2]Entry!$N$1012)</f>
        <v/>
      </c>
      <c r="P1009">
        <f>IF([2]Entry!$S$1012="","",[2]Entry!$S$1012)</f>
        <v/>
      </c>
    </row>
    <row r="1010">
      <c r="L1010">
        <f>IF([2]Entry!$C$1013="","",[2]Entry!$C$1013)</f>
        <v/>
      </c>
      <c r="M1010">
        <f>IF([2]Entry!$J$1013="","",[2]Entry!$J$1013)</f>
        <v/>
      </c>
      <c r="N1010">
        <f>IF([2]Entry!$M$1013="","",[2]Entry!$M$1013)</f>
        <v/>
      </c>
      <c r="O1010">
        <f>IF([2]Entry!$N$1013="","",[2]Entry!$N$1013)</f>
        <v/>
      </c>
      <c r="P1010">
        <f>IF([2]Entry!$S$1013="","",[2]Entry!$S$1013)</f>
        <v/>
      </c>
    </row>
    <row r="1011">
      <c r="L1011">
        <f>IF([2]Entry!$C$1014="","",[2]Entry!$C$1014)</f>
        <v/>
      </c>
      <c r="M1011">
        <f>IF([2]Entry!$J$1014="","",[2]Entry!$J$1014)</f>
        <v/>
      </c>
      <c r="N1011">
        <f>IF([2]Entry!$M$1014="","",[2]Entry!$M$1014)</f>
        <v/>
      </c>
      <c r="O1011">
        <f>IF([2]Entry!$N$1014="","",[2]Entry!$N$1014)</f>
        <v/>
      </c>
      <c r="P1011">
        <f>IF([2]Entry!$S$1014="","",[2]Entry!$S$1014)</f>
        <v/>
      </c>
    </row>
    <row r="1012">
      <c r="L1012">
        <f>IF([2]Entry!$C$1015="","",[2]Entry!$C$1015)</f>
        <v/>
      </c>
      <c r="M1012">
        <f>IF([2]Entry!$J$1015="","",[2]Entry!$J$1015)</f>
        <v/>
      </c>
      <c r="N1012">
        <f>IF([2]Entry!$M$1015="","",[2]Entry!$M$1015)</f>
        <v/>
      </c>
      <c r="O1012">
        <f>IF([2]Entry!$N$1015="","",[2]Entry!$N$1015)</f>
        <v/>
      </c>
      <c r="P1012">
        <f>IF([2]Entry!$S$1015="","",[2]Entry!$S$1015)</f>
        <v/>
      </c>
    </row>
    <row r="1013">
      <c r="L1013">
        <f>IF([2]Entry!$C$1016="","",[2]Entry!$C$1016)</f>
        <v/>
      </c>
      <c r="M1013">
        <f>IF([2]Entry!$J$1016="","",[2]Entry!$J$1016)</f>
        <v/>
      </c>
      <c r="N1013">
        <f>IF([2]Entry!$M$1016="","",[2]Entry!$M$1016)</f>
        <v/>
      </c>
      <c r="O1013">
        <f>IF([2]Entry!$N$1016="","",[2]Entry!$N$1016)</f>
        <v/>
      </c>
      <c r="P1013">
        <f>IF([2]Entry!$S$1016="","",[2]Entry!$S$1016)</f>
        <v/>
      </c>
    </row>
    <row r="1014">
      <c r="L1014">
        <f>IF([2]Entry!$C$1017="","",[2]Entry!$C$1017)</f>
        <v/>
      </c>
      <c r="M1014">
        <f>IF([2]Entry!$J$1017="","",[2]Entry!$J$1017)</f>
        <v/>
      </c>
      <c r="N1014">
        <f>IF([2]Entry!$M$1017="","",[2]Entry!$M$1017)</f>
        <v/>
      </c>
      <c r="O1014">
        <f>IF([2]Entry!$N$1017="","",[2]Entry!$N$1017)</f>
        <v/>
      </c>
      <c r="P1014">
        <f>IF([2]Entry!$S$1017="","",[2]Entry!$S$1017)</f>
        <v/>
      </c>
    </row>
    <row r="1015">
      <c r="L1015">
        <f>IF([2]Entry!$C$1018="","",[2]Entry!$C$1018)</f>
        <v/>
      </c>
      <c r="M1015">
        <f>IF([2]Entry!$J$1018="","",[2]Entry!$J$1018)</f>
        <v/>
      </c>
      <c r="N1015">
        <f>IF([2]Entry!$M$1018="","",[2]Entry!$M$1018)</f>
        <v/>
      </c>
      <c r="O1015">
        <f>IF([2]Entry!$N$1018="","",[2]Entry!$N$1018)</f>
        <v/>
      </c>
      <c r="P1015">
        <f>IF([2]Entry!$S$1018="","",[2]Entry!$S$1018)</f>
        <v/>
      </c>
    </row>
    <row r="1016">
      <c r="L1016">
        <f>IF([2]Entry!$C$1019="","",[2]Entry!$C$1019)</f>
        <v/>
      </c>
      <c r="M1016">
        <f>IF([2]Entry!$J$1019="","",[2]Entry!$J$1019)</f>
        <v/>
      </c>
      <c r="N1016">
        <f>IF([2]Entry!$M$1019="","",[2]Entry!$M$1019)</f>
        <v/>
      </c>
      <c r="O1016">
        <f>IF([2]Entry!$N$1019="","",[2]Entry!$N$1019)</f>
        <v/>
      </c>
      <c r="P1016">
        <f>IF([2]Entry!$S$1019="","",[2]Entry!$S$1019)</f>
        <v/>
      </c>
    </row>
    <row r="1017">
      <c r="L1017">
        <f>IF([2]Entry!$C$1020="","",[2]Entry!$C$1020)</f>
        <v/>
      </c>
      <c r="M1017">
        <f>IF([2]Entry!$J$1020="","",[2]Entry!$J$1020)</f>
        <v/>
      </c>
      <c r="N1017">
        <f>IF([2]Entry!$M$1020="","",[2]Entry!$M$1020)</f>
        <v/>
      </c>
      <c r="O1017">
        <f>IF([2]Entry!$N$1020="","",[2]Entry!$N$1020)</f>
        <v/>
      </c>
      <c r="P1017">
        <f>IF([2]Entry!$S$1020="","",[2]Entry!$S$1020)</f>
        <v/>
      </c>
    </row>
    <row r="1018">
      <c r="L1018">
        <f>IF([2]Entry!$C$1021="","",[2]Entry!$C$1021)</f>
        <v/>
      </c>
      <c r="M1018">
        <f>IF([2]Entry!$J$1021="","",[2]Entry!$J$1021)</f>
        <v/>
      </c>
      <c r="N1018">
        <f>IF([2]Entry!$M$1021="","",[2]Entry!$M$1021)</f>
        <v/>
      </c>
      <c r="O1018">
        <f>IF([2]Entry!$N$1021="","",[2]Entry!$N$1021)</f>
        <v/>
      </c>
      <c r="P1018">
        <f>IF([2]Entry!$S$1021="","",[2]Entry!$S$1021)</f>
        <v/>
      </c>
    </row>
    <row r="1019">
      <c r="L1019">
        <f>IF([2]Entry!$C$1022="","",[2]Entry!$C$1022)</f>
        <v/>
      </c>
      <c r="M1019">
        <f>IF([2]Entry!$J$1022="","",[2]Entry!$J$1022)</f>
        <v/>
      </c>
      <c r="N1019">
        <f>IF([2]Entry!$M$1022="","",[2]Entry!$M$1022)</f>
        <v/>
      </c>
      <c r="O1019">
        <f>IF([2]Entry!$N$1022="","",[2]Entry!$N$1022)</f>
        <v/>
      </c>
      <c r="P1019">
        <f>IF([2]Entry!$S$1022="","",[2]Entry!$S$1022)</f>
        <v/>
      </c>
    </row>
    <row r="1020">
      <c r="L1020">
        <f>IF([2]Entry!$C$1023="","",[2]Entry!$C$1023)</f>
        <v/>
      </c>
      <c r="M1020">
        <f>IF([2]Entry!$J$1023="","",[2]Entry!$J$1023)</f>
        <v/>
      </c>
      <c r="N1020">
        <f>IF([2]Entry!$M$1023="","",[2]Entry!$M$1023)</f>
        <v/>
      </c>
      <c r="O1020">
        <f>IF([2]Entry!$N$1023="","",[2]Entry!$N$1023)</f>
        <v/>
      </c>
      <c r="P1020">
        <f>IF([2]Entry!$S$1023="","",[2]Entry!$S$1023)</f>
        <v/>
      </c>
    </row>
    <row r="1021">
      <c r="L1021">
        <f>IF([2]Entry!$C$1024="","",[2]Entry!$C$1024)</f>
        <v/>
      </c>
      <c r="M1021">
        <f>IF([2]Entry!$J$1024="","",[2]Entry!$J$1024)</f>
        <v/>
      </c>
      <c r="N1021">
        <f>IF([2]Entry!$M$1024="","",[2]Entry!$M$1024)</f>
        <v/>
      </c>
      <c r="O1021">
        <f>IF([2]Entry!$N$1024="","",[2]Entry!$N$1024)</f>
        <v/>
      </c>
      <c r="P1021">
        <f>IF([2]Entry!$S$1024="","",[2]Entry!$S$1024)</f>
        <v/>
      </c>
    </row>
    <row r="1022">
      <c r="L1022">
        <f>IF([2]Entry!$C$1025="","",[2]Entry!$C$1025)</f>
        <v/>
      </c>
      <c r="M1022">
        <f>IF([2]Entry!$J$1025="","",[2]Entry!$J$1025)</f>
        <v/>
      </c>
      <c r="N1022">
        <f>IF([2]Entry!$M$1025="","",[2]Entry!$M$1025)</f>
        <v/>
      </c>
      <c r="O1022">
        <f>IF([2]Entry!$N$1025="","",[2]Entry!$N$1025)</f>
        <v/>
      </c>
      <c r="P1022">
        <f>IF([2]Entry!$S$1025="","",[2]Entry!$S$1025)</f>
        <v/>
      </c>
    </row>
    <row r="1023">
      <c r="L1023">
        <f>IF([2]Entry!$C$1026="","",[2]Entry!$C$1026)</f>
        <v/>
      </c>
      <c r="M1023">
        <f>IF([2]Entry!$J$1026="","",[2]Entry!$J$1026)</f>
        <v/>
      </c>
      <c r="N1023">
        <f>IF([2]Entry!$M$1026="","",[2]Entry!$M$1026)</f>
        <v/>
      </c>
      <c r="O1023">
        <f>IF([2]Entry!$N$1026="","",[2]Entry!$N$1026)</f>
        <v/>
      </c>
      <c r="P1023">
        <f>IF([2]Entry!$S$1026="","",[2]Entry!$S$1026)</f>
        <v/>
      </c>
    </row>
    <row r="1024">
      <c r="L1024">
        <f>IF([2]Entry!$C$1027="","",[2]Entry!$C$1027)</f>
        <v/>
      </c>
      <c r="M1024">
        <f>IF([2]Entry!$J$1027="","",[2]Entry!$J$1027)</f>
        <v/>
      </c>
      <c r="N1024">
        <f>IF([2]Entry!$M$1027="","",[2]Entry!$M$1027)</f>
        <v/>
      </c>
      <c r="O1024">
        <f>IF([2]Entry!$N$1027="","",[2]Entry!$N$1027)</f>
        <v/>
      </c>
      <c r="P1024">
        <f>IF([2]Entry!$S$1027="","",[2]Entry!$S$1027)</f>
        <v/>
      </c>
    </row>
    <row r="1025">
      <c r="L1025">
        <f>IF([2]Entry!$C$1028="","",[2]Entry!$C$1028)</f>
        <v/>
      </c>
      <c r="M1025">
        <f>IF([2]Entry!$J$1028="","",[2]Entry!$J$1028)</f>
        <v/>
      </c>
      <c r="N1025">
        <f>IF([2]Entry!$M$1028="","",[2]Entry!$M$1028)</f>
        <v/>
      </c>
      <c r="O1025">
        <f>IF([2]Entry!$N$1028="","",[2]Entry!$N$1028)</f>
        <v/>
      </c>
      <c r="P1025">
        <f>IF([2]Entry!$S$1028="","",[2]Entry!$S$1028)</f>
        <v/>
      </c>
    </row>
    <row r="1026">
      <c r="L1026">
        <f>IF([2]Entry!$C$1029="","",[2]Entry!$C$1029)</f>
        <v/>
      </c>
      <c r="M1026">
        <f>IF([2]Entry!$J$1029="","",[2]Entry!$J$1029)</f>
        <v/>
      </c>
      <c r="N1026">
        <f>IF([2]Entry!$M$1029="","",[2]Entry!$M$1029)</f>
        <v/>
      </c>
      <c r="O1026">
        <f>IF([2]Entry!$N$1029="","",[2]Entry!$N$1029)</f>
        <v/>
      </c>
      <c r="P1026">
        <f>IF([2]Entry!$S$1029="","",[2]Entry!$S$1029)</f>
        <v/>
      </c>
    </row>
    <row r="1027">
      <c r="L1027">
        <f>IF([2]Entry!$C$1030="","",[2]Entry!$C$1030)</f>
        <v/>
      </c>
      <c r="M1027">
        <f>IF([2]Entry!$J$1030="","",[2]Entry!$J$1030)</f>
        <v/>
      </c>
      <c r="N1027">
        <f>IF([2]Entry!$M$1030="","",[2]Entry!$M$1030)</f>
        <v/>
      </c>
      <c r="O1027">
        <f>IF([2]Entry!$N$1030="","",[2]Entry!$N$1030)</f>
        <v/>
      </c>
      <c r="P1027">
        <f>IF([2]Entry!$S$1030="","",[2]Entry!$S$1030)</f>
        <v/>
      </c>
    </row>
    <row r="1028">
      <c r="L1028">
        <f>IF([2]Entry!$C$1031="","",[2]Entry!$C$1031)</f>
        <v/>
      </c>
      <c r="M1028">
        <f>IF([2]Entry!$J$1031="","",[2]Entry!$J$1031)</f>
        <v/>
      </c>
      <c r="N1028">
        <f>IF([2]Entry!$M$1031="","",[2]Entry!$M$1031)</f>
        <v/>
      </c>
      <c r="O1028">
        <f>IF([2]Entry!$N$1031="","",[2]Entry!$N$1031)</f>
        <v/>
      </c>
      <c r="P1028">
        <f>IF([2]Entry!$S$1031="","",[2]Entry!$S$1031)</f>
        <v/>
      </c>
    </row>
    <row r="1029">
      <c r="L1029">
        <f>IF([2]Entry!$C$1032="","",[2]Entry!$C$1032)</f>
        <v/>
      </c>
      <c r="M1029">
        <f>IF([2]Entry!$J$1032="","",[2]Entry!$J$1032)</f>
        <v/>
      </c>
      <c r="N1029">
        <f>IF([2]Entry!$M$1032="","",[2]Entry!$M$1032)</f>
        <v/>
      </c>
      <c r="O1029">
        <f>IF([2]Entry!$N$1032="","",[2]Entry!$N$1032)</f>
        <v/>
      </c>
      <c r="P1029">
        <f>IF([2]Entry!$S$1032="","",[2]Entry!$S$1032)</f>
        <v/>
      </c>
    </row>
    <row r="1030">
      <c r="L1030">
        <f>IF([2]Entry!$C$1033="","",[2]Entry!$C$1033)</f>
        <v/>
      </c>
      <c r="M1030">
        <f>IF([2]Entry!$J$1033="","",[2]Entry!$J$1033)</f>
        <v/>
      </c>
      <c r="N1030">
        <f>IF([2]Entry!$M$1033="","",[2]Entry!$M$1033)</f>
        <v/>
      </c>
      <c r="O1030">
        <f>IF([2]Entry!$N$1033="","",[2]Entry!$N$1033)</f>
        <v/>
      </c>
      <c r="P1030">
        <f>IF([2]Entry!$S$1033="","",[2]Entry!$S$1033)</f>
        <v/>
      </c>
    </row>
    <row r="1031">
      <c r="L1031">
        <f>IF([2]Entry!$C$1034="","",[2]Entry!$C$1034)</f>
        <v/>
      </c>
      <c r="M1031">
        <f>IF([2]Entry!$J$1034="","",[2]Entry!$J$1034)</f>
        <v/>
      </c>
      <c r="N1031">
        <f>IF([2]Entry!$M$1034="","",[2]Entry!$M$1034)</f>
        <v/>
      </c>
      <c r="O1031">
        <f>IF([2]Entry!$N$1034="","",[2]Entry!$N$1034)</f>
        <v/>
      </c>
      <c r="P1031">
        <f>IF([2]Entry!$S$1034="","",[2]Entry!$S$1034)</f>
        <v/>
      </c>
    </row>
    <row r="1032">
      <c r="L1032">
        <f>IF([2]Entry!$C$1035="","",[2]Entry!$C$1035)</f>
        <v/>
      </c>
      <c r="M1032">
        <f>IF([2]Entry!$J$1035="","",[2]Entry!$J$1035)</f>
        <v/>
      </c>
      <c r="N1032">
        <f>IF([2]Entry!$M$1035="","",[2]Entry!$M$1035)</f>
        <v/>
      </c>
      <c r="O1032">
        <f>IF([2]Entry!$N$1035="","",[2]Entry!$N$1035)</f>
        <v/>
      </c>
      <c r="P1032">
        <f>IF([2]Entry!$S$1035="","",[2]Entry!$S$1035)</f>
        <v/>
      </c>
    </row>
    <row r="1033">
      <c r="L1033">
        <f>IF([2]Entry!$C$1036="","",[2]Entry!$C$1036)</f>
        <v/>
      </c>
      <c r="M1033">
        <f>IF([2]Entry!$J$1036="","",[2]Entry!$J$1036)</f>
        <v/>
      </c>
      <c r="N1033">
        <f>IF([2]Entry!$M$1036="","",[2]Entry!$M$1036)</f>
        <v/>
      </c>
      <c r="O1033">
        <f>IF([2]Entry!$N$1036="","",[2]Entry!$N$1036)</f>
        <v/>
      </c>
      <c r="P1033">
        <f>IF([2]Entry!$S$1036="","",[2]Entry!$S$1036)</f>
        <v/>
      </c>
    </row>
    <row r="1034">
      <c r="L1034">
        <f>IF([2]Entry!$C$1037="","",[2]Entry!$C$1037)</f>
        <v/>
      </c>
      <c r="M1034">
        <f>IF([2]Entry!$J$1037="","",[2]Entry!$J$1037)</f>
        <v/>
      </c>
      <c r="N1034">
        <f>IF([2]Entry!$M$1037="","",[2]Entry!$M$1037)</f>
        <v/>
      </c>
      <c r="O1034">
        <f>IF([2]Entry!$N$1037="","",[2]Entry!$N$1037)</f>
        <v/>
      </c>
      <c r="P1034">
        <f>IF([2]Entry!$S$1037="","",[2]Entry!$S$1037)</f>
        <v/>
      </c>
    </row>
    <row r="1035">
      <c r="L1035">
        <f>IF([2]Entry!$C$1038="","",[2]Entry!$C$1038)</f>
        <v/>
      </c>
      <c r="M1035">
        <f>IF([2]Entry!$J$1038="","",[2]Entry!$J$1038)</f>
        <v/>
      </c>
      <c r="N1035">
        <f>IF([2]Entry!$M$1038="","",[2]Entry!$M$1038)</f>
        <v/>
      </c>
      <c r="O1035">
        <f>IF([2]Entry!$N$1038="","",[2]Entry!$N$1038)</f>
        <v/>
      </c>
      <c r="P1035">
        <f>IF([2]Entry!$S$1038="","",[2]Entry!$S$1038)</f>
        <v/>
      </c>
    </row>
    <row r="1036">
      <c r="L1036">
        <f>IF([2]Entry!$C$1039="","",[2]Entry!$C$1039)</f>
        <v/>
      </c>
      <c r="M1036">
        <f>IF([2]Entry!$J$1039="","",[2]Entry!$J$1039)</f>
        <v/>
      </c>
      <c r="N1036">
        <f>IF([2]Entry!$M$1039="","",[2]Entry!$M$1039)</f>
        <v/>
      </c>
      <c r="O1036">
        <f>IF([2]Entry!$N$1039="","",[2]Entry!$N$1039)</f>
        <v/>
      </c>
      <c r="P1036">
        <f>IF([2]Entry!$S$1039="","",[2]Entry!$S$1039)</f>
        <v/>
      </c>
    </row>
    <row r="1037">
      <c r="L1037">
        <f>IF([2]Entry!$C$1040="","",[2]Entry!$C$1040)</f>
        <v/>
      </c>
      <c r="M1037">
        <f>IF([2]Entry!$J$1040="","",[2]Entry!$J$1040)</f>
        <v/>
      </c>
      <c r="N1037">
        <f>IF([2]Entry!$M$1040="","",[2]Entry!$M$1040)</f>
        <v/>
      </c>
      <c r="O1037">
        <f>IF([2]Entry!$N$1040="","",[2]Entry!$N$1040)</f>
        <v/>
      </c>
      <c r="P1037">
        <f>IF([2]Entry!$S$1040="","",[2]Entry!$S$1040)</f>
        <v/>
      </c>
    </row>
    <row r="1038">
      <c r="L1038">
        <f>IF([2]Entry!$C$1041="","",[2]Entry!$C$1041)</f>
        <v/>
      </c>
      <c r="M1038">
        <f>IF([2]Entry!$J$1041="","",[2]Entry!$J$1041)</f>
        <v/>
      </c>
      <c r="N1038">
        <f>IF([2]Entry!$M$1041="","",[2]Entry!$M$1041)</f>
        <v/>
      </c>
      <c r="O1038">
        <f>IF([2]Entry!$N$1041="","",[2]Entry!$N$1041)</f>
        <v/>
      </c>
      <c r="P1038">
        <f>IF([2]Entry!$S$1041="","",[2]Entry!$S$1041)</f>
        <v/>
      </c>
    </row>
    <row r="1039">
      <c r="L1039">
        <f>IF([2]Entry!$C$1042="","",[2]Entry!$C$1042)</f>
        <v/>
      </c>
      <c r="M1039">
        <f>IF([2]Entry!$J$1042="","",[2]Entry!$J$1042)</f>
        <v/>
      </c>
      <c r="N1039">
        <f>IF([2]Entry!$M$1042="","",[2]Entry!$M$1042)</f>
        <v/>
      </c>
      <c r="O1039">
        <f>IF([2]Entry!$N$1042="","",[2]Entry!$N$1042)</f>
        <v/>
      </c>
      <c r="P1039">
        <f>IF([2]Entry!$S$1042="","",[2]Entry!$S$1042)</f>
        <v/>
      </c>
    </row>
    <row r="1040">
      <c r="L1040">
        <f>IF([2]Entry!$C$1043="","",[2]Entry!$C$1043)</f>
        <v/>
      </c>
      <c r="M1040">
        <f>IF([2]Entry!$J$1043="","",[2]Entry!$J$1043)</f>
        <v/>
      </c>
      <c r="N1040">
        <f>IF([2]Entry!$M$1043="","",[2]Entry!$M$1043)</f>
        <v/>
      </c>
      <c r="O1040">
        <f>IF([2]Entry!$N$1043="","",[2]Entry!$N$1043)</f>
        <v/>
      </c>
      <c r="P1040">
        <f>IF([2]Entry!$S$1043="","",[2]Entry!$S$1043)</f>
        <v/>
      </c>
    </row>
    <row r="1041">
      <c r="L1041">
        <f>IF([2]Entry!$C$1044="","",[2]Entry!$C$1044)</f>
        <v/>
      </c>
      <c r="M1041">
        <f>IF([2]Entry!$J$1044="","",[2]Entry!$J$1044)</f>
        <v/>
      </c>
      <c r="N1041">
        <f>IF([2]Entry!$M$1044="","",[2]Entry!$M$1044)</f>
        <v/>
      </c>
      <c r="O1041">
        <f>IF([2]Entry!$N$1044="","",[2]Entry!$N$1044)</f>
        <v/>
      </c>
      <c r="P1041">
        <f>IF([2]Entry!$S$1044="","",[2]Entry!$S$1044)</f>
        <v/>
      </c>
    </row>
    <row r="1042">
      <c r="L1042">
        <f>IF([2]Entry!$C$1045="","",[2]Entry!$C$1045)</f>
        <v/>
      </c>
      <c r="M1042">
        <f>IF([2]Entry!$J$1045="","",[2]Entry!$J$1045)</f>
        <v/>
      </c>
      <c r="N1042">
        <f>IF([2]Entry!$M$1045="","",[2]Entry!$M$1045)</f>
        <v/>
      </c>
      <c r="O1042">
        <f>IF([2]Entry!$N$1045="","",[2]Entry!$N$1045)</f>
        <v/>
      </c>
      <c r="P1042">
        <f>IF([2]Entry!$S$1045="","",[2]Entry!$S$1045)</f>
        <v/>
      </c>
    </row>
    <row r="1043">
      <c r="L1043">
        <f>IF([2]Entry!$C$1046="","",[2]Entry!$C$1046)</f>
        <v/>
      </c>
      <c r="M1043">
        <f>IF([2]Entry!$J$1046="","",[2]Entry!$J$1046)</f>
        <v/>
      </c>
      <c r="N1043">
        <f>IF([2]Entry!$M$1046="","",[2]Entry!$M$1046)</f>
        <v/>
      </c>
      <c r="O1043">
        <f>IF([2]Entry!$N$1046="","",[2]Entry!$N$1046)</f>
        <v/>
      </c>
      <c r="P1043">
        <f>IF([2]Entry!$S$1046="","",[2]Entry!$S$1046)</f>
        <v/>
      </c>
    </row>
    <row r="1044">
      <c r="L1044">
        <f>IF([2]Entry!$C$1047="","",[2]Entry!$C$1047)</f>
        <v/>
      </c>
      <c r="M1044">
        <f>IF([2]Entry!$J$1047="","",[2]Entry!$J$1047)</f>
        <v/>
      </c>
      <c r="N1044">
        <f>IF([2]Entry!$M$1047="","",[2]Entry!$M$1047)</f>
        <v/>
      </c>
      <c r="O1044">
        <f>IF([2]Entry!$N$1047="","",[2]Entry!$N$1047)</f>
        <v/>
      </c>
      <c r="P1044">
        <f>IF([2]Entry!$S$1047="","",[2]Entry!$S$1047)</f>
        <v/>
      </c>
    </row>
    <row r="1045">
      <c r="L1045">
        <f>IF([2]Entry!$C$1048="","",[2]Entry!$C$1048)</f>
        <v/>
      </c>
      <c r="M1045">
        <f>IF([2]Entry!$J$1048="","",[2]Entry!$J$1048)</f>
        <v/>
      </c>
      <c r="N1045">
        <f>IF([2]Entry!$M$1048="","",[2]Entry!$M$1048)</f>
        <v/>
      </c>
      <c r="O1045">
        <f>IF([2]Entry!$N$1048="","",[2]Entry!$N$1048)</f>
        <v/>
      </c>
      <c r="P1045">
        <f>IF([2]Entry!$S$1048="","",[2]Entry!$S$1048)</f>
        <v/>
      </c>
    </row>
    <row r="1046">
      <c r="L1046">
        <f>IF([2]Entry!$C$1049="","",[2]Entry!$C$1049)</f>
        <v/>
      </c>
      <c r="M1046">
        <f>IF([2]Entry!$J$1049="","",[2]Entry!$J$1049)</f>
        <v/>
      </c>
      <c r="N1046">
        <f>IF([2]Entry!$M$1049="","",[2]Entry!$M$1049)</f>
        <v/>
      </c>
      <c r="O1046">
        <f>IF([2]Entry!$N$1049="","",[2]Entry!$N$1049)</f>
        <v/>
      </c>
      <c r="P1046">
        <f>IF([2]Entry!$S$1049="","",[2]Entry!$S$1049)</f>
        <v/>
      </c>
    </row>
    <row r="1047">
      <c r="L1047">
        <f>IF([2]Entry!$C$1050="","",[2]Entry!$C$1050)</f>
        <v/>
      </c>
      <c r="M1047">
        <f>IF([2]Entry!$J$1050="","",[2]Entry!$J$1050)</f>
        <v/>
      </c>
      <c r="N1047">
        <f>IF([2]Entry!$M$1050="","",[2]Entry!$M$1050)</f>
        <v/>
      </c>
      <c r="O1047">
        <f>IF([2]Entry!$N$1050="","",[2]Entry!$N$1050)</f>
        <v/>
      </c>
      <c r="P1047">
        <f>IF([2]Entry!$S$1050="","",[2]Entry!$S$1050)</f>
        <v/>
      </c>
    </row>
    <row r="1048">
      <c r="L1048">
        <f>IF([2]Entry!$C$1051="","",[2]Entry!$C$1051)</f>
        <v/>
      </c>
      <c r="M1048">
        <f>IF([2]Entry!$J$1051="","",[2]Entry!$J$1051)</f>
        <v/>
      </c>
      <c r="N1048">
        <f>IF([2]Entry!$M$1051="","",[2]Entry!$M$1051)</f>
        <v/>
      </c>
      <c r="O1048">
        <f>IF([2]Entry!$N$1051="","",[2]Entry!$N$1051)</f>
        <v/>
      </c>
      <c r="P1048">
        <f>IF([2]Entry!$S$1051="","",[2]Entry!$S$1051)</f>
        <v/>
      </c>
    </row>
    <row r="1049">
      <c r="L1049">
        <f>IF([2]Entry!$C$1052="","",[2]Entry!$C$1052)</f>
        <v/>
      </c>
      <c r="M1049">
        <f>IF([2]Entry!$J$1052="","",[2]Entry!$J$1052)</f>
        <v/>
      </c>
      <c r="N1049">
        <f>IF([2]Entry!$M$1052="","",[2]Entry!$M$1052)</f>
        <v/>
      </c>
      <c r="O1049">
        <f>IF([2]Entry!$N$1052="","",[2]Entry!$N$1052)</f>
        <v/>
      </c>
      <c r="P1049">
        <f>IF([2]Entry!$S$1052="","",[2]Entry!$S$1052)</f>
        <v/>
      </c>
    </row>
    <row r="1050">
      <c r="L1050">
        <f>IF([2]Entry!$C$1053="","",[2]Entry!$C$1053)</f>
        <v/>
      </c>
      <c r="M1050">
        <f>IF([2]Entry!$J$1053="","",[2]Entry!$J$1053)</f>
        <v/>
      </c>
      <c r="N1050">
        <f>IF([2]Entry!$M$1053="","",[2]Entry!$M$1053)</f>
        <v/>
      </c>
      <c r="O1050">
        <f>IF([2]Entry!$N$1053="","",[2]Entry!$N$1053)</f>
        <v/>
      </c>
      <c r="P1050">
        <f>IF([2]Entry!$S$1053="","",[2]Entry!$S$1053)</f>
        <v/>
      </c>
    </row>
    <row r="1051">
      <c r="L1051">
        <f>IF([2]Entry!$C$1054="","",[2]Entry!$C$1054)</f>
        <v/>
      </c>
      <c r="M1051">
        <f>IF([2]Entry!$J$1054="","",[2]Entry!$J$1054)</f>
        <v/>
      </c>
      <c r="N1051">
        <f>IF([2]Entry!$M$1054="","",[2]Entry!$M$1054)</f>
        <v/>
      </c>
      <c r="O1051">
        <f>IF([2]Entry!$N$1054="","",[2]Entry!$N$1054)</f>
        <v/>
      </c>
      <c r="P1051">
        <f>IF([2]Entry!$S$1054="","",[2]Entry!$S$1054)</f>
        <v/>
      </c>
    </row>
    <row r="1052">
      <c r="L1052">
        <f>IF([2]Entry!$C$1055="","",[2]Entry!$C$1055)</f>
        <v/>
      </c>
      <c r="M1052">
        <f>IF([2]Entry!$J$1055="","",[2]Entry!$J$1055)</f>
        <v/>
      </c>
      <c r="N1052">
        <f>IF([2]Entry!$M$1055="","",[2]Entry!$M$1055)</f>
        <v/>
      </c>
      <c r="O1052">
        <f>IF([2]Entry!$N$1055="","",[2]Entry!$N$1055)</f>
        <v/>
      </c>
      <c r="P1052">
        <f>IF([2]Entry!$S$1055="","",[2]Entry!$S$1055)</f>
        <v/>
      </c>
    </row>
    <row r="1053">
      <c r="L1053">
        <f>IF([2]Entry!$C$1056="","",[2]Entry!$C$1056)</f>
        <v/>
      </c>
      <c r="M1053">
        <f>IF([2]Entry!$J$1056="","",[2]Entry!$J$1056)</f>
        <v/>
      </c>
      <c r="N1053">
        <f>IF([2]Entry!$M$1056="","",[2]Entry!$M$1056)</f>
        <v/>
      </c>
      <c r="O1053">
        <f>IF([2]Entry!$N$1056="","",[2]Entry!$N$1056)</f>
        <v/>
      </c>
      <c r="P1053">
        <f>IF([2]Entry!$S$1056="","",[2]Entry!$S$1056)</f>
        <v/>
      </c>
    </row>
    <row r="1054">
      <c r="L1054">
        <f>IF([2]Entry!$C$1057="","",[2]Entry!$C$1057)</f>
        <v/>
      </c>
      <c r="M1054">
        <f>IF([2]Entry!$J$1057="","",[2]Entry!$J$1057)</f>
        <v/>
      </c>
      <c r="N1054">
        <f>IF([2]Entry!$M$1057="","",[2]Entry!$M$1057)</f>
        <v/>
      </c>
      <c r="O1054">
        <f>IF([2]Entry!$N$1057="","",[2]Entry!$N$1057)</f>
        <v/>
      </c>
      <c r="P1054">
        <f>IF([2]Entry!$S$1057="","",[2]Entry!$S$1057)</f>
        <v/>
      </c>
    </row>
    <row r="1055">
      <c r="L1055">
        <f>IF([2]Entry!$C$1058="","",[2]Entry!$C$1058)</f>
        <v/>
      </c>
      <c r="M1055">
        <f>IF([2]Entry!$J$1058="","",[2]Entry!$J$1058)</f>
        <v/>
      </c>
      <c r="N1055">
        <f>IF([2]Entry!$M$1058="","",[2]Entry!$M$1058)</f>
        <v/>
      </c>
      <c r="O1055">
        <f>IF([2]Entry!$N$1058="","",[2]Entry!$N$1058)</f>
        <v/>
      </c>
      <c r="P1055">
        <f>IF([2]Entry!$S$1058="","",[2]Entry!$S$1058)</f>
        <v/>
      </c>
    </row>
    <row r="1056">
      <c r="L1056">
        <f>IF([2]Entry!$C$1059="","",[2]Entry!$C$1059)</f>
        <v/>
      </c>
      <c r="M1056">
        <f>IF([2]Entry!$J$1059="","",[2]Entry!$J$1059)</f>
        <v/>
      </c>
      <c r="N1056">
        <f>IF([2]Entry!$M$1059="","",[2]Entry!$M$1059)</f>
        <v/>
      </c>
      <c r="O1056">
        <f>IF([2]Entry!$N$1059="","",[2]Entry!$N$1059)</f>
        <v/>
      </c>
      <c r="P1056">
        <f>IF([2]Entry!$S$1059="","",[2]Entry!$S$1059)</f>
        <v/>
      </c>
    </row>
    <row r="1057">
      <c r="L1057">
        <f>IF([2]Entry!$C$1060="","",[2]Entry!$C$1060)</f>
        <v/>
      </c>
      <c r="M1057">
        <f>IF([2]Entry!$J$1060="","",[2]Entry!$J$1060)</f>
        <v/>
      </c>
      <c r="N1057">
        <f>IF([2]Entry!$M$1060="","",[2]Entry!$M$1060)</f>
        <v/>
      </c>
      <c r="O1057">
        <f>IF([2]Entry!$N$1060="","",[2]Entry!$N$1060)</f>
        <v/>
      </c>
      <c r="P1057">
        <f>IF([2]Entry!$S$1060="","",[2]Entry!$S$1060)</f>
        <v/>
      </c>
    </row>
    <row r="1058">
      <c r="L1058">
        <f>IF([2]Entry!$C$1061="","",[2]Entry!$C$1061)</f>
        <v/>
      </c>
      <c r="M1058">
        <f>IF([2]Entry!$J$1061="","",[2]Entry!$J$1061)</f>
        <v/>
      </c>
      <c r="N1058">
        <f>IF([2]Entry!$M$1061="","",[2]Entry!$M$1061)</f>
        <v/>
      </c>
      <c r="O1058">
        <f>IF([2]Entry!$N$1061="","",[2]Entry!$N$1061)</f>
        <v/>
      </c>
      <c r="P1058">
        <f>IF([2]Entry!$S$1061="","",[2]Entry!$S$1061)</f>
        <v/>
      </c>
    </row>
    <row r="1059">
      <c r="L1059">
        <f>IF([2]Entry!$C$1062="","",[2]Entry!$C$1062)</f>
        <v/>
      </c>
      <c r="M1059">
        <f>IF([2]Entry!$J$1062="","",[2]Entry!$J$1062)</f>
        <v/>
      </c>
      <c r="N1059">
        <f>IF([2]Entry!$M$1062="","",[2]Entry!$M$1062)</f>
        <v/>
      </c>
      <c r="O1059">
        <f>IF([2]Entry!$N$1062="","",[2]Entry!$N$1062)</f>
        <v/>
      </c>
      <c r="P1059">
        <f>IF([2]Entry!$S$1062="","",[2]Entry!$S$1062)</f>
        <v/>
      </c>
    </row>
    <row r="1060">
      <c r="L1060">
        <f>IF([2]Entry!$C$1063="","",[2]Entry!$C$1063)</f>
        <v/>
      </c>
      <c r="M1060">
        <f>IF([2]Entry!$J$1063="","",[2]Entry!$J$1063)</f>
        <v/>
      </c>
      <c r="N1060">
        <f>IF([2]Entry!$M$1063="","",[2]Entry!$M$1063)</f>
        <v/>
      </c>
      <c r="O1060">
        <f>IF([2]Entry!$N$1063="","",[2]Entry!$N$1063)</f>
        <v/>
      </c>
      <c r="P1060">
        <f>IF([2]Entry!$S$1063="","",[2]Entry!$S$1063)</f>
        <v/>
      </c>
    </row>
    <row r="1061">
      <c r="L1061">
        <f>IF([2]Entry!$C$1064="","",[2]Entry!$C$1064)</f>
        <v/>
      </c>
      <c r="M1061">
        <f>IF([2]Entry!$J$1064="","",[2]Entry!$J$1064)</f>
        <v/>
      </c>
      <c r="N1061">
        <f>IF([2]Entry!$M$1064="","",[2]Entry!$M$1064)</f>
        <v/>
      </c>
      <c r="O1061">
        <f>IF([2]Entry!$N$1064="","",[2]Entry!$N$1064)</f>
        <v/>
      </c>
      <c r="P1061">
        <f>IF([2]Entry!$S$1064="","",[2]Entry!$S$1064)</f>
        <v/>
      </c>
    </row>
    <row r="1062">
      <c r="L1062">
        <f>IF([2]Entry!$C$1065="","",[2]Entry!$C$1065)</f>
        <v/>
      </c>
      <c r="M1062">
        <f>IF([2]Entry!$J$1065="","",[2]Entry!$J$1065)</f>
        <v/>
      </c>
      <c r="N1062">
        <f>IF([2]Entry!$M$1065="","",[2]Entry!$M$1065)</f>
        <v/>
      </c>
      <c r="O1062">
        <f>IF([2]Entry!$N$1065="","",[2]Entry!$N$1065)</f>
        <v/>
      </c>
      <c r="P1062">
        <f>IF([2]Entry!$S$1065="","",[2]Entry!$S$1065)</f>
        <v/>
      </c>
    </row>
    <row r="1063">
      <c r="L1063">
        <f>IF([2]Entry!$C$1066="","",[2]Entry!$C$1066)</f>
        <v/>
      </c>
      <c r="M1063">
        <f>IF([2]Entry!$J$1066="","",[2]Entry!$J$1066)</f>
        <v/>
      </c>
      <c r="N1063">
        <f>IF([2]Entry!$M$1066="","",[2]Entry!$M$1066)</f>
        <v/>
      </c>
      <c r="O1063">
        <f>IF([2]Entry!$N$1066="","",[2]Entry!$N$1066)</f>
        <v/>
      </c>
      <c r="P1063">
        <f>IF([2]Entry!$S$1066="","",[2]Entry!$S$1066)</f>
        <v/>
      </c>
    </row>
    <row r="1064">
      <c r="L1064">
        <f>IF([2]Entry!$C$1067="","",[2]Entry!$C$1067)</f>
        <v/>
      </c>
      <c r="M1064">
        <f>IF([2]Entry!$J$1067="","",[2]Entry!$J$1067)</f>
        <v/>
      </c>
      <c r="N1064">
        <f>IF([2]Entry!$M$1067="","",[2]Entry!$M$1067)</f>
        <v/>
      </c>
      <c r="O1064">
        <f>IF([2]Entry!$N$1067="","",[2]Entry!$N$1067)</f>
        <v/>
      </c>
      <c r="P1064">
        <f>IF([2]Entry!$S$1067="","",[2]Entry!$S$1067)</f>
        <v/>
      </c>
    </row>
    <row r="1065">
      <c r="L1065">
        <f>IF([2]Entry!$C$1068="","",[2]Entry!$C$1068)</f>
        <v/>
      </c>
      <c r="M1065">
        <f>IF([2]Entry!$J$1068="","",[2]Entry!$J$1068)</f>
        <v/>
      </c>
      <c r="N1065">
        <f>IF([2]Entry!$M$1068="","",[2]Entry!$M$1068)</f>
        <v/>
      </c>
      <c r="O1065">
        <f>IF([2]Entry!$N$1068="","",[2]Entry!$N$1068)</f>
        <v/>
      </c>
      <c r="P1065">
        <f>IF([2]Entry!$S$1068="","",[2]Entry!$S$1068)</f>
        <v/>
      </c>
    </row>
    <row r="1066">
      <c r="L1066">
        <f>IF([2]Entry!$C$1069="","",[2]Entry!$C$1069)</f>
        <v/>
      </c>
      <c r="M1066">
        <f>IF([2]Entry!$J$1069="","",[2]Entry!$J$1069)</f>
        <v/>
      </c>
      <c r="N1066">
        <f>IF([2]Entry!$M$1069="","",[2]Entry!$M$1069)</f>
        <v/>
      </c>
      <c r="O1066">
        <f>IF([2]Entry!$N$1069="","",[2]Entry!$N$1069)</f>
        <v/>
      </c>
      <c r="P1066">
        <f>IF([2]Entry!$S$1069="","",[2]Entry!$S$1069)</f>
        <v/>
      </c>
    </row>
    <row r="1067">
      <c r="L1067">
        <f>IF([2]Entry!$C$1070="","",[2]Entry!$C$1070)</f>
        <v/>
      </c>
      <c r="M1067">
        <f>IF([2]Entry!$J$1070="","",[2]Entry!$J$1070)</f>
        <v/>
      </c>
      <c r="N1067">
        <f>IF([2]Entry!$M$1070="","",[2]Entry!$M$1070)</f>
        <v/>
      </c>
      <c r="O1067">
        <f>IF([2]Entry!$N$1070="","",[2]Entry!$N$1070)</f>
        <v/>
      </c>
      <c r="P1067">
        <f>IF([2]Entry!$S$1070="","",[2]Entry!$S$1070)</f>
        <v/>
      </c>
    </row>
    <row r="1068">
      <c r="L1068">
        <f>IF([2]Entry!$C$1071="","",[2]Entry!$C$1071)</f>
        <v/>
      </c>
      <c r="M1068">
        <f>IF([2]Entry!$J$1071="","",[2]Entry!$J$1071)</f>
        <v/>
      </c>
      <c r="N1068">
        <f>IF([2]Entry!$M$1071="","",[2]Entry!$M$1071)</f>
        <v/>
      </c>
      <c r="O1068">
        <f>IF([2]Entry!$N$1071="","",[2]Entry!$N$1071)</f>
        <v/>
      </c>
      <c r="P1068">
        <f>IF([2]Entry!$S$1071="","",[2]Entry!$S$1071)</f>
        <v/>
      </c>
    </row>
    <row r="1069">
      <c r="L1069">
        <f>IF([2]Entry!$C$1072="","",[2]Entry!$C$1072)</f>
        <v/>
      </c>
      <c r="M1069">
        <f>IF([2]Entry!$J$1072="","",[2]Entry!$J$1072)</f>
        <v/>
      </c>
      <c r="N1069">
        <f>IF([2]Entry!$M$1072="","",[2]Entry!$M$1072)</f>
        <v/>
      </c>
      <c r="O1069">
        <f>IF([2]Entry!$N$1072="","",[2]Entry!$N$1072)</f>
        <v/>
      </c>
      <c r="P1069">
        <f>IF([2]Entry!$S$1072="","",[2]Entry!$S$1072)</f>
        <v/>
      </c>
    </row>
    <row r="1070">
      <c r="L1070">
        <f>IF([2]Entry!$C$1073="","",[2]Entry!$C$1073)</f>
        <v/>
      </c>
      <c r="M1070">
        <f>IF([2]Entry!$J$1073="","",[2]Entry!$J$1073)</f>
        <v/>
      </c>
      <c r="N1070">
        <f>IF([2]Entry!$M$1073="","",[2]Entry!$M$1073)</f>
        <v/>
      </c>
      <c r="O1070">
        <f>IF([2]Entry!$N$1073="","",[2]Entry!$N$1073)</f>
        <v/>
      </c>
      <c r="P1070">
        <f>IF([2]Entry!$S$1073="","",[2]Entry!$S$1073)</f>
        <v/>
      </c>
    </row>
    <row r="1071">
      <c r="L1071">
        <f>IF([2]Entry!$C$1074="","",[2]Entry!$C$1074)</f>
        <v/>
      </c>
      <c r="M1071">
        <f>IF([2]Entry!$J$1074="","",[2]Entry!$J$1074)</f>
        <v/>
      </c>
      <c r="N1071">
        <f>IF([2]Entry!$M$1074="","",[2]Entry!$M$1074)</f>
        <v/>
      </c>
      <c r="O1071">
        <f>IF([2]Entry!$N$1074="","",[2]Entry!$N$1074)</f>
        <v/>
      </c>
      <c r="P1071">
        <f>IF([2]Entry!$S$1074="","",[2]Entry!$S$1074)</f>
        <v/>
      </c>
    </row>
    <row r="1072">
      <c r="L1072">
        <f>IF([2]Entry!$C$1075="","",[2]Entry!$C$1075)</f>
        <v/>
      </c>
      <c r="M1072">
        <f>IF([2]Entry!$J$1075="","",[2]Entry!$J$1075)</f>
        <v/>
      </c>
      <c r="N1072">
        <f>IF([2]Entry!$M$1075="","",[2]Entry!$M$1075)</f>
        <v/>
      </c>
      <c r="O1072">
        <f>IF([2]Entry!$N$1075="","",[2]Entry!$N$1075)</f>
        <v/>
      </c>
      <c r="P1072">
        <f>IF([2]Entry!$S$1075="","",[2]Entry!$S$1075)</f>
        <v/>
      </c>
    </row>
    <row r="1073">
      <c r="L1073">
        <f>IF([2]Entry!$C$1076="","",[2]Entry!$C$1076)</f>
        <v/>
      </c>
      <c r="M1073">
        <f>IF([2]Entry!$J$1076="","",[2]Entry!$J$1076)</f>
        <v/>
      </c>
      <c r="N1073">
        <f>IF([2]Entry!$M$1076="","",[2]Entry!$M$1076)</f>
        <v/>
      </c>
      <c r="O1073">
        <f>IF([2]Entry!$N$1076="","",[2]Entry!$N$1076)</f>
        <v/>
      </c>
      <c r="P1073">
        <f>IF([2]Entry!$S$1076="","",[2]Entry!$S$1076)</f>
        <v/>
      </c>
    </row>
    <row r="1074">
      <c r="L1074">
        <f>IF([2]Entry!$C$1077="","",[2]Entry!$C$1077)</f>
        <v/>
      </c>
      <c r="M1074">
        <f>IF([2]Entry!$J$1077="","",[2]Entry!$J$1077)</f>
        <v/>
      </c>
      <c r="N1074">
        <f>IF([2]Entry!$M$1077="","",[2]Entry!$M$1077)</f>
        <v/>
      </c>
      <c r="O1074">
        <f>IF([2]Entry!$N$1077="","",[2]Entry!$N$1077)</f>
        <v/>
      </c>
      <c r="P1074">
        <f>IF([2]Entry!$S$1077="","",[2]Entry!$S$1077)</f>
        <v/>
      </c>
    </row>
    <row r="1075">
      <c r="L1075">
        <f>IF([2]Entry!$C$1078="","",[2]Entry!$C$1078)</f>
        <v/>
      </c>
      <c r="M1075">
        <f>IF([2]Entry!$J$1078="","",[2]Entry!$J$1078)</f>
        <v/>
      </c>
      <c r="N1075">
        <f>IF([2]Entry!$M$1078="","",[2]Entry!$M$1078)</f>
        <v/>
      </c>
      <c r="O1075">
        <f>IF([2]Entry!$N$1078="","",[2]Entry!$N$1078)</f>
        <v/>
      </c>
      <c r="P1075">
        <f>IF([2]Entry!$S$1078="","",[2]Entry!$S$1078)</f>
        <v/>
      </c>
    </row>
    <row r="1076">
      <c r="L1076">
        <f>IF([2]Entry!$C$1079="","",[2]Entry!$C$1079)</f>
        <v/>
      </c>
      <c r="M1076">
        <f>IF([2]Entry!$J$1079="","",[2]Entry!$J$1079)</f>
        <v/>
      </c>
      <c r="N1076">
        <f>IF([2]Entry!$M$1079="","",[2]Entry!$M$1079)</f>
        <v/>
      </c>
      <c r="O1076">
        <f>IF([2]Entry!$N$1079="","",[2]Entry!$N$1079)</f>
        <v/>
      </c>
      <c r="P1076">
        <f>IF([2]Entry!$S$1079="","",[2]Entry!$S$1079)</f>
        <v/>
      </c>
    </row>
    <row r="1077">
      <c r="L1077">
        <f>IF([2]Entry!$C$1080="","",[2]Entry!$C$1080)</f>
        <v/>
      </c>
      <c r="M1077">
        <f>IF([2]Entry!$J$1080="","",[2]Entry!$J$1080)</f>
        <v/>
      </c>
      <c r="N1077">
        <f>IF([2]Entry!$M$1080="","",[2]Entry!$M$1080)</f>
        <v/>
      </c>
      <c r="O1077">
        <f>IF([2]Entry!$N$1080="","",[2]Entry!$N$1080)</f>
        <v/>
      </c>
      <c r="P1077">
        <f>IF([2]Entry!$S$1080="","",[2]Entry!$S$1080)</f>
        <v/>
      </c>
    </row>
    <row r="1078">
      <c r="L1078">
        <f>IF([2]Entry!$C$1081="","",[2]Entry!$C$1081)</f>
        <v/>
      </c>
      <c r="M1078">
        <f>IF([2]Entry!$J$1081="","",[2]Entry!$J$1081)</f>
        <v/>
      </c>
      <c r="N1078">
        <f>IF([2]Entry!$M$1081="","",[2]Entry!$M$1081)</f>
        <v/>
      </c>
      <c r="O1078">
        <f>IF([2]Entry!$N$1081="","",[2]Entry!$N$1081)</f>
        <v/>
      </c>
      <c r="P1078">
        <f>IF([2]Entry!$S$1081="","",[2]Entry!$S$1081)</f>
        <v/>
      </c>
    </row>
    <row r="1079">
      <c r="L1079">
        <f>IF([2]Entry!$C$1082="","",[2]Entry!$C$1082)</f>
        <v/>
      </c>
      <c r="M1079">
        <f>IF([2]Entry!$J$1082="","",[2]Entry!$J$1082)</f>
        <v/>
      </c>
      <c r="N1079">
        <f>IF([2]Entry!$M$1082="","",[2]Entry!$M$1082)</f>
        <v/>
      </c>
      <c r="O1079">
        <f>IF([2]Entry!$N$1082="","",[2]Entry!$N$1082)</f>
        <v/>
      </c>
      <c r="P1079">
        <f>IF([2]Entry!$S$1082="","",[2]Entry!$S$1082)</f>
        <v/>
      </c>
    </row>
    <row r="1080">
      <c r="L1080">
        <f>IF([2]Entry!$C$1083="","",[2]Entry!$C$1083)</f>
        <v/>
      </c>
      <c r="M1080">
        <f>IF([2]Entry!$J$1083="","",[2]Entry!$J$1083)</f>
        <v/>
      </c>
      <c r="N1080">
        <f>IF([2]Entry!$M$1083="","",[2]Entry!$M$1083)</f>
        <v/>
      </c>
      <c r="O1080">
        <f>IF([2]Entry!$N$1083="","",[2]Entry!$N$1083)</f>
        <v/>
      </c>
      <c r="P1080">
        <f>IF([2]Entry!$S$1083="","",[2]Entry!$S$1083)</f>
        <v/>
      </c>
    </row>
    <row r="1081">
      <c r="L1081">
        <f>IF([2]Entry!$C$1084="","",[2]Entry!$C$1084)</f>
        <v/>
      </c>
      <c r="M1081">
        <f>IF([2]Entry!$J$1084="","",[2]Entry!$J$1084)</f>
        <v/>
      </c>
      <c r="N1081">
        <f>IF([2]Entry!$M$1084="","",[2]Entry!$M$1084)</f>
        <v/>
      </c>
      <c r="O1081">
        <f>IF([2]Entry!$N$1084="","",[2]Entry!$N$1084)</f>
        <v/>
      </c>
      <c r="P1081">
        <f>IF([2]Entry!$S$1084="","",[2]Entry!$S$1084)</f>
        <v/>
      </c>
    </row>
    <row r="1082">
      <c r="L1082">
        <f>IF([2]Entry!$C$1085="","",[2]Entry!$C$1085)</f>
        <v/>
      </c>
      <c r="M1082">
        <f>IF([2]Entry!$J$1085="","",[2]Entry!$J$1085)</f>
        <v/>
      </c>
      <c r="N1082">
        <f>IF([2]Entry!$M$1085="","",[2]Entry!$M$1085)</f>
        <v/>
      </c>
      <c r="O1082">
        <f>IF([2]Entry!$N$1085="","",[2]Entry!$N$1085)</f>
        <v/>
      </c>
      <c r="P1082">
        <f>IF([2]Entry!$S$1085="","",[2]Entry!$S$1085)</f>
        <v/>
      </c>
    </row>
    <row r="1083">
      <c r="L1083">
        <f>IF([2]Entry!$C$1086="","",[2]Entry!$C$1086)</f>
        <v/>
      </c>
      <c r="M1083">
        <f>IF([2]Entry!$J$1086="","",[2]Entry!$J$1086)</f>
        <v/>
      </c>
      <c r="N1083">
        <f>IF([2]Entry!$M$1086="","",[2]Entry!$M$1086)</f>
        <v/>
      </c>
      <c r="O1083">
        <f>IF([2]Entry!$N$1086="","",[2]Entry!$N$1086)</f>
        <v/>
      </c>
      <c r="P1083">
        <f>IF([2]Entry!$S$1086="","",[2]Entry!$S$1086)</f>
        <v/>
      </c>
    </row>
    <row r="1084">
      <c r="L1084">
        <f>IF([2]Entry!$C$1087="","",[2]Entry!$C$1087)</f>
        <v/>
      </c>
      <c r="M1084">
        <f>IF([2]Entry!$J$1087="","",[2]Entry!$J$1087)</f>
        <v/>
      </c>
      <c r="N1084">
        <f>IF([2]Entry!$M$1087="","",[2]Entry!$M$1087)</f>
        <v/>
      </c>
      <c r="O1084">
        <f>IF([2]Entry!$N$1087="","",[2]Entry!$N$1087)</f>
        <v/>
      </c>
      <c r="P1084">
        <f>IF([2]Entry!$S$1087="","",[2]Entry!$S$1087)</f>
        <v/>
      </c>
    </row>
    <row r="1085">
      <c r="L1085">
        <f>IF([2]Entry!$C$1088="","",[2]Entry!$C$1088)</f>
        <v/>
      </c>
      <c r="M1085">
        <f>IF([2]Entry!$J$1088="","",[2]Entry!$J$1088)</f>
        <v/>
      </c>
      <c r="N1085">
        <f>IF([2]Entry!$M$1088="","",[2]Entry!$M$1088)</f>
        <v/>
      </c>
      <c r="O1085">
        <f>IF([2]Entry!$N$1088="","",[2]Entry!$N$1088)</f>
        <v/>
      </c>
      <c r="P1085">
        <f>IF([2]Entry!$S$1088="","",[2]Entry!$S$1088)</f>
        <v/>
      </c>
    </row>
    <row r="1086">
      <c r="L1086">
        <f>IF([2]Entry!$C$1089="","",[2]Entry!$C$1089)</f>
        <v/>
      </c>
      <c r="M1086">
        <f>IF([2]Entry!$J$1089="","",[2]Entry!$J$1089)</f>
        <v/>
      </c>
      <c r="N1086">
        <f>IF([2]Entry!$M$1089="","",[2]Entry!$M$1089)</f>
        <v/>
      </c>
      <c r="O1086">
        <f>IF([2]Entry!$N$1089="","",[2]Entry!$N$1089)</f>
        <v/>
      </c>
      <c r="P1086">
        <f>IF([2]Entry!$S$1089="","",[2]Entry!$S$1089)</f>
        <v/>
      </c>
    </row>
    <row r="1087">
      <c r="L1087">
        <f>IF([2]Entry!$C$1090="","",[2]Entry!$C$1090)</f>
        <v/>
      </c>
      <c r="M1087">
        <f>IF([2]Entry!$J$1090="","",[2]Entry!$J$1090)</f>
        <v/>
      </c>
      <c r="N1087">
        <f>IF([2]Entry!$M$1090="","",[2]Entry!$M$1090)</f>
        <v/>
      </c>
      <c r="O1087">
        <f>IF([2]Entry!$N$1090="","",[2]Entry!$N$1090)</f>
        <v/>
      </c>
      <c r="P1087">
        <f>IF([2]Entry!$S$1090="","",[2]Entry!$S$1090)</f>
        <v/>
      </c>
    </row>
    <row r="1088">
      <c r="L1088">
        <f>IF([2]Entry!$C$1091="","",[2]Entry!$C$1091)</f>
        <v/>
      </c>
      <c r="M1088">
        <f>IF([2]Entry!$J$1091="","",[2]Entry!$J$1091)</f>
        <v/>
      </c>
      <c r="N1088">
        <f>IF([2]Entry!$M$1091="","",[2]Entry!$M$1091)</f>
        <v/>
      </c>
      <c r="O1088">
        <f>IF([2]Entry!$N$1091="","",[2]Entry!$N$1091)</f>
        <v/>
      </c>
      <c r="P1088">
        <f>IF([2]Entry!$S$1091="","",[2]Entry!$S$1091)</f>
        <v/>
      </c>
    </row>
    <row r="1089">
      <c r="L1089">
        <f>IF([2]Entry!$C$1092="","",[2]Entry!$C$1092)</f>
        <v/>
      </c>
      <c r="M1089">
        <f>IF([2]Entry!$J$1092="","",[2]Entry!$J$1092)</f>
        <v/>
      </c>
      <c r="N1089">
        <f>IF([2]Entry!$M$1092="","",[2]Entry!$M$1092)</f>
        <v/>
      </c>
      <c r="O1089">
        <f>IF([2]Entry!$N$1092="","",[2]Entry!$N$1092)</f>
        <v/>
      </c>
      <c r="P1089">
        <f>IF([2]Entry!$S$1092="","",[2]Entry!$S$1092)</f>
        <v/>
      </c>
    </row>
    <row r="1090">
      <c r="L1090">
        <f>IF([2]Entry!$C$1093="","",[2]Entry!$C$1093)</f>
        <v/>
      </c>
      <c r="M1090">
        <f>IF([2]Entry!$J$1093="","",[2]Entry!$J$1093)</f>
        <v/>
      </c>
      <c r="N1090">
        <f>IF([2]Entry!$M$1093="","",[2]Entry!$M$1093)</f>
        <v/>
      </c>
      <c r="O1090">
        <f>IF([2]Entry!$N$1093="","",[2]Entry!$N$1093)</f>
        <v/>
      </c>
      <c r="P1090">
        <f>IF([2]Entry!$S$1093="","",[2]Entry!$S$1093)</f>
        <v/>
      </c>
    </row>
    <row r="1091">
      <c r="L1091">
        <f>IF([2]Entry!$C$1094="","",[2]Entry!$C$1094)</f>
        <v/>
      </c>
      <c r="M1091">
        <f>IF([2]Entry!$J$1094="","",[2]Entry!$J$1094)</f>
        <v/>
      </c>
      <c r="N1091">
        <f>IF([2]Entry!$M$1094="","",[2]Entry!$M$1094)</f>
        <v/>
      </c>
      <c r="O1091">
        <f>IF([2]Entry!$N$1094="","",[2]Entry!$N$1094)</f>
        <v/>
      </c>
      <c r="P1091">
        <f>IF([2]Entry!$S$1094="","",[2]Entry!$S$1094)</f>
        <v/>
      </c>
    </row>
    <row r="1092">
      <c r="L1092">
        <f>IF([2]Entry!$C$1095="","",[2]Entry!$C$1095)</f>
        <v/>
      </c>
      <c r="M1092">
        <f>IF([2]Entry!$J$1095="","",[2]Entry!$J$1095)</f>
        <v/>
      </c>
      <c r="N1092">
        <f>IF([2]Entry!$M$1095="","",[2]Entry!$M$1095)</f>
        <v/>
      </c>
      <c r="O1092">
        <f>IF([2]Entry!$N$1095="","",[2]Entry!$N$1095)</f>
        <v/>
      </c>
      <c r="P1092">
        <f>IF([2]Entry!$S$1095="","",[2]Entry!$S$1095)</f>
        <v/>
      </c>
    </row>
    <row r="1093">
      <c r="L1093">
        <f>IF([2]Entry!$C$1096="","",[2]Entry!$C$1096)</f>
        <v/>
      </c>
      <c r="M1093">
        <f>IF([2]Entry!$J$1096="","",[2]Entry!$J$1096)</f>
        <v/>
      </c>
      <c r="N1093">
        <f>IF([2]Entry!$M$1096="","",[2]Entry!$M$1096)</f>
        <v/>
      </c>
      <c r="O1093">
        <f>IF([2]Entry!$N$1096="","",[2]Entry!$N$1096)</f>
        <v/>
      </c>
      <c r="P1093">
        <f>IF([2]Entry!$S$1096="","",[2]Entry!$S$1096)</f>
        <v/>
      </c>
    </row>
    <row r="1094">
      <c r="L1094">
        <f>IF([2]Entry!$C$1097="","",[2]Entry!$C$1097)</f>
        <v/>
      </c>
      <c r="M1094">
        <f>IF([2]Entry!$J$1097="","",[2]Entry!$J$1097)</f>
        <v/>
      </c>
      <c r="N1094">
        <f>IF([2]Entry!$M$1097="","",[2]Entry!$M$1097)</f>
        <v/>
      </c>
      <c r="O1094">
        <f>IF([2]Entry!$N$1097="","",[2]Entry!$N$1097)</f>
        <v/>
      </c>
      <c r="P1094">
        <f>IF([2]Entry!$S$1097="","",[2]Entry!$S$1097)</f>
        <v/>
      </c>
    </row>
    <row r="1095">
      <c r="L1095">
        <f>IF([2]Entry!$C$1098="","",[2]Entry!$C$1098)</f>
        <v/>
      </c>
      <c r="M1095">
        <f>IF([2]Entry!$J$1098="","",[2]Entry!$J$1098)</f>
        <v/>
      </c>
      <c r="N1095">
        <f>IF([2]Entry!$M$1098="","",[2]Entry!$M$1098)</f>
        <v/>
      </c>
      <c r="O1095">
        <f>IF([2]Entry!$N$1098="","",[2]Entry!$N$1098)</f>
        <v/>
      </c>
      <c r="P1095">
        <f>IF([2]Entry!$S$1098="","",[2]Entry!$S$1098)</f>
        <v/>
      </c>
    </row>
    <row r="1096">
      <c r="L1096">
        <f>IF([2]Entry!$C$1099="","",[2]Entry!$C$1099)</f>
        <v/>
      </c>
      <c r="M1096">
        <f>IF([2]Entry!$J$1099="","",[2]Entry!$J$1099)</f>
        <v/>
      </c>
      <c r="N1096">
        <f>IF([2]Entry!$M$1099="","",[2]Entry!$M$1099)</f>
        <v/>
      </c>
      <c r="O1096">
        <f>IF([2]Entry!$N$1099="","",[2]Entry!$N$1099)</f>
        <v/>
      </c>
      <c r="P1096">
        <f>IF([2]Entry!$S$1099="","",[2]Entry!$S$1099)</f>
        <v/>
      </c>
    </row>
    <row r="1097">
      <c r="L1097">
        <f>IF([2]Entry!$C$1100="","",[2]Entry!$C$1100)</f>
        <v/>
      </c>
      <c r="M1097">
        <f>IF([2]Entry!$J$1100="","",[2]Entry!$J$1100)</f>
        <v/>
      </c>
      <c r="N1097">
        <f>IF([2]Entry!$M$1100="","",[2]Entry!$M$1100)</f>
        <v/>
      </c>
      <c r="O1097">
        <f>IF([2]Entry!$N$1100="","",[2]Entry!$N$1100)</f>
        <v/>
      </c>
      <c r="P1097">
        <f>IF([2]Entry!$S$1100="","",[2]Entry!$S$1100)</f>
        <v/>
      </c>
    </row>
    <row r="1098">
      <c r="L1098">
        <f>IF([2]Entry!$C$1101="","",[2]Entry!$C$1101)</f>
        <v/>
      </c>
      <c r="M1098">
        <f>IF([2]Entry!$J$1101="","",[2]Entry!$J$1101)</f>
        <v/>
      </c>
      <c r="N1098">
        <f>IF([2]Entry!$M$1101="","",[2]Entry!$M$1101)</f>
        <v/>
      </c>
      <c r="O1098">
        <f>IF([2]Entry!$N$1101="","",[2]Entry!$N$1101)</f>
        <v/>
      </c>
      <c r="P1098">
        <f>IF([2]Entry!$S$1101="","",[2]Entry!$S$1101)</f>
        <v/>
      </c>
    </row>
    <row r="1099">
      <c r="L1099">
        <f>IF([2]Entry!$C$1102="","",[2]Entry!$C$1102)</f>
        <v/>
      </c>
      <c r="M1099">
        <f>IF([2]Entry!$J$1102="","",[2]Entry!$J$1102)</f>
        <v/>
      </c>
      <c r="N1099">
        <f>IF([2]Entry!$M$1102="","",[2]Entry!$M$1102)</f>
        <v/>
      </c>
      <c r="O1099">
        <f>IF([2]Entry!$N$1102="","",[2]Entry!$N$1102)</f>
        <v/>
      </c>
      <c r="P1099">
        <f>IF([2]Entry!$S$1102="","",[2]Entry!$S$1102)</f>
        <v/>
      </c>
    </row>
    <row r="1100">
      <c r="L1100">
        <f>IF([2]Entry!$C$1103="","",[2]Entry!$C$1103)</f>
        <v/>
      </c>
      <c r="M1100">
        <f>IF([2]Entry!$J$1103="","",[2]Entry!$J$1103)</f>
        <v/>
      </c>
      <c r="N1100">
        <f>IF([2]Entry!$M$1103="","",[2]Entry!$M$1103)</f>
        <v/>
      </c>
      <c r="O1100">
        <f>IF([2]Entry!$N$1103="","",[2]Entry!$N$1103)</f>
        <v/>
      </c>
      <c r="P1100">
        <f>IF([2]Entry!$S$1103="","",[2]Entry!$S$1103)</f>
        <v/>
      </c>
    </row>
    <row r="1101">
      <c r="L1101">
        <f>IF([2]Entry!$C$1104="","",[2]Entry!$C$1104)</f>
        <v/>
      </c>
      <c r="M1101">
        <f>IF([2]Entry!$J$1104="","",[2]Entry!$J$1104)</f>
        <v/>
      </c>
      <c r="N1101">
        <f>IF([2]Entry!$M$1104="","",[2]Entry!$M$1104)</f>
        <v/>
      </c>
      <c r="O1101">
        <f>IF([2]Entry!$N$1104="","",[2]Entry!$N$1104)</f>
        <v/>
      </c>
      <c r="P1101">
        <f>IF([2]Entry!$S$1104="","",[2]Entry!$S$1104)</f>
        <v/>
      </c>
    </row>
    <row r="1102">
      <c r="L1102">
        <f>IF([2]Entry!$C$1105="","",[2]Entry!$C$1105)</f>
        <v/>
      </c>
      <c r="M1102">
        <f>IF([2]Entry!$J$1105="","",[2]Entry!$J$1105)</f>
        <v/>
      </c>
      <c r="N1102">
        <f>IF([2]Entry!$M$1105="","",[2]Entry!$M$1105)</f>
        <v/>
      </c>
      <c r="O1102">
        <f>IF([2]Entry!$N$1105="","",[2]Entry!$N$1105)</f>
        <v/>
      </c>
      <c r="P1102">
        <f>IF([2]Entry!$S$1105="","",[2]Entry!$S$1105)</f>
        <v/>
      </c>
    </row>
    <row r="1103">
      <c r="L1103">
        <f>IF([2]Entry!$C$1106="","",[2]Entry!$C$1106)</f>
        <v/>
      </c>
      <c r="M1103">
        <f>IF([2]Entry!$J$1106="","",[2]Entry!$J$1106)</f>
        <v/>
      </c>
      <c r="N1103">
        <f>IF([2]Entry!$M$1106="","",[2]Entry!$M$1106)</f>
        <v/>
      </c>
      <c r="O1103">
        <f>IF([2]Entry!$N$1106="","",[2]Entry!$N$1106)</f>
        <v/>
      </c>
      <c r="P1103">
        <f>IF([2]Entry!$S$1106="","",[2]Entry!$S$1106)</f>
        <v/>
      </c>
    </row>
    <row r="1104">
      <c r="L1104">
        <f>IF([2]Entry!$C$1107="","",[2]Entry!$C$1107)</f>
        <v/>
      </c>
      <c r="M1104">
        <f>IF([2]Entry!$J$1107="","",[2]Entry!$J$1107)</f>
        <v/>
      </c>
      <c r="N1104">
        <f>IF([2]Entry!$M$1107="","",[2]Entry!$M$1107)</f>
        <v/>
      </c>
      <c r="O1104">
        <f>IF([2]Entry!$N$1107="","",[2]Entry!$N$1107)</f>
        <v/>
      </c>
      <c r="P1104">
        <f>IF([2]Entry!$S$1107="","",[2]Entry!$S$1107)</f>
        <v/>
      </c>
    </row>
    <row r="1105">
      <c r="L1105">
        <f>IF([2]Entry!$C$1108="","",[2]Entry!$C$1108)</f>
        <v/>
      </c>
      <c r="M1105">
        <f>IF([2]Entry!$J$1108="","",[2]Entry!$J$1108)</f>
        <v/>
      </c>
      <c r="N1105">
        <f>IF([2]Entry!$M$1108="","",[2]Entry!$M$1108)</f>
        <v/>
      </c>
      <c r="O1105">
        <f>IF([2]Entry!$N$1108="","",[2]Entry!$N$1108)</f>
        <v/>
      </c>
      <c r="P1105">
        <f>IF([2]Entry!$S$1108="","",[2]Entry!$S$1108)</f>
        <v/>
      </c>
    </row>
    <row r="1106">
      <c r="L1106">
        <f>IF([2]Entry!$C$1109="","",[2]Entry!$C$1109)</f>
        <v/>
      </c>
      <c r="M1106">
        <f>IF([2]Entry!$J$1109="","",[2]Entry!$J$1109)</f>
        <v/>
      </c>
      <c r="N1106">
        <f>IF([2]Entry!$M$1109="","",[2]Entry!$M$1109)</f>
        <v/>
      </c>
      <c r="O1106">
        <f>IF([2]Entry!$N$1109="","",[2]Entry!$N$1109)</f>
        <v/>
      </c>
      <c r="P1106">
        <f>IF([2]Entry!$S$1109="","",[2]Entry!$S$1109)</f>
        <v/>
      </c>
    </row>
    <row r="1107">
      <c r="L1107">
        <f>IF([2]Entry!$C$1110="","",[2]Entry!$C$1110)</f>
        <v/>
      </c>
      <c r="M1107">
        <f>IF([2]Entry!$J$1110="","",[2]Entry!$J$1110)</f>
        <v/>
      </c>
      <c r="N1107">
        <f>IF([2]Entry!$M$1110="","",[2]Entry!$M$1110)</f>
        <v/>
      </c>
      <c r="O1107">
        <f>IF([2]Entry!$N$1110="","",[2]Entry!$N$1110)</f>
        <v/>
      </c>
      <c r="P1107">
        <f>IF([2]Entry!$S$1110="","",[2]Entry!$S$1110)</f>
        <v/>
      </c>
    </row>
    <row r="1108">
      <c r="L1108">
        <f>IF([2]Entry!$C$1111="","",[2]Entry!$C$1111)</f>
        <v/>
      </c>
      <c r="M1108">
        <f>IF([2]Entry!$J$1111="","",[2]Entry!$J$1111)</f>
        <v/>
      </c>
      <c r="N1108">
        <f>IF([2]Entry!$M$1111="","",[2]Entry!$M$1111)</f>
        <v/>
      </c>
      <c r="O1108">
        <f>IF([2]Entry!$N$1111="","",[2]Entry!$N$1111)</f>
        <v/>
      </c>
      <c r="P1108">
        <f>IF([2]Entry!$S$1111="","",[2]Entry!$S$1111)</f>
        <v/>
      </c>
    </row>
    <row r="1109">
      <c r="L1109">
        <f>IF([2]Entry!$C$1112="","",[2]Entry!$C$1112)</f>
        <v/>
      </c>
      <c r="M1109">
        <f>IF([2]Entry!$J$1112="","",[2]Entry!$J$1112)</f>
        <v/>
      </c>
      <c r="N1109">
        <f>IF([2]Entry!$M$1112="","",[2]Entry!$M$1112)</f>
        <v/>
      </c>
      <c r="O1109">
        <f>IF([2]Entry!$N$1112="","",[2]Entry!$N$1112)</f>
        <v/>
      </c>
      <c r="P1109">
        <f>IF([2]Entry!$S$1112="","",[2]Entry!$S$1112)</f>
        <v/>
      </c>
    </row>
    <row r="1110">
      <c r="L1110">
        <f>IF([2]Entry!$C$1113="","",[2]Entry!$C$1113)</f>
        <v/>
      </c>
      <c r="M1110">
        <f>IF([2]Entry!$J$1113="","",[2]Entry!$J$1113)</f>
        <v/>
      </c>
      <c r="N1110">
        <f>IF([2]Entry!$M$1113="","",[2]Entry!$M$1113)</f>
        <v/>
      </c>
      <c r="O1110">
        <f>IF([2]Entry!$N$1113="","",[2]Entry!$N$1113)</f>
        <v/>
      </c>
      <c r="P1110">
        <f>IF([2]Entry!$S$1113="","",[2]Entry!$S$1113)</f>
        <v/>
      </c>
    </row>
    <row r="1111">
      <c r="L1111">
        <f>IF([2]Entry!$C$1114="","",[2]Entry!$C$1114)</f>
        <v/>
      </c>
      <c r="M1111">
        <f>IF([2]Entry!$J$1114="","",[2]Entry!$J$1114)</f>
        <v/>
      </c>
      <c r="N1111">
        <f>IF([2]Entry!$M$1114="","",[2]Entry!$M$1114)</f>
        <v/>
      </c>
      <c r="O1111">
        <f>IF([2]Entry!$N$1114="","",[2]Entry!$N$1114)</f>
        <v/>
      </c>
      <c r="P1111">
        <f>IF([2]Entry!$S$1114="","",[2]Entry!$S$1114)</f>
        <v/>
      </c>
    </row>
    <row r="1112">
      <c r="L1112">
        <f>IF([2]Entry!$C$1115="","",[2]Entry!$C$1115)</f>
        <v/>
      </c>
      <c r="M1112">
        <f>IF([2]Entry!$J$1115="","",[2]Entry!$J$1115)</f>
        <v/>
      </c>
      <c r="N1112">
        <f>IF([2]Entry!$M$1115="","",[2]Entry!$M$1115)</f>
        <v/>
      </c>
      <c r="O1112">
        <f>IF([2]Entry!$N$1115="","",[2]Entry!$N$1115)</f>
        <v/>
      </c>
      <c r="P1112">
        <f>IF([2]Entry!$S$1115="","",[2]Entry!$S$1115)</f>
        <v/>
      </c>
    </row>
    <row r="1113">
      <c r="L1113">
        <f>IF([2]Entry!$C$1116="","",[2]Entry!$C$1116)</f>
        <v/>
      </c>
      <c r="M1113">
        <f>IF([2]Entry!$J$1116="","",[2]Entry!$J$1116)</f>
        <v/>
      </c>
      <c r="N1113">
        <f>IF([2]Entry!$M$1116="","",[2]Entry!$M$1116)</f>
        <v/>
      </c>
      <c r="O1113">
        <f>IF([2]Entry!$N$1116="","",[2]Entry!$N$1116)</f>
        <v/>
      </c>
      <c r="P1113">
        <f>IF([2]Entry!$S$1116="","",[2]Entry!$S$1116)</f>
        <v/>
      </c>
    </row>
    <row r="1114">
      <c r="L1114">
        <f>IF([2]Entry!$C$1117="","",[2]Entry!$C$1117)</f>
        <v/>
      </c>
      <c r="M1114">
        <f>IF([2]Entry!$J$1117="","",[2]Entry!$J$1117)</f>
        <v/>
      </c>
      <c r="N1114">
        <f>IF([2]Entry!$M$1117="","",[2]Entry!$M$1117)</f>
        <v/>
      </c>
      <c r="O1114">
        <f>IF([2]Entry!$N$1117="","",[2]Entry!$N$1117)</f>
        <v/>
      </c>
      <c r="P1114">
        <f>IF([2]Entry!$S$1117="","",[2]Entry!$S$1117)</f>
        <v/>
      </c>
    </row>
    <row r="1115">
      <c r="L1115">
        <f>IF([2]Entry!$C$1118="","",[2]Entry!$C$1118)</f>
        <v/>
      </c>
      <c r="M1115">
        <f>IF([2]Entry!$J$1118="","",[2]Entry!$J$1118)</f>
        <v/>
      </c>
      <c r="N1115">
        <f>IF([2]Entry!$M$1118="","",[2]Entry!$M$1118)</f>
        <v/>
      </c>
      <c r="O1115">
        <f>IF([2]Entry!$N$1118="","",[2]Entry!$N$1118)</f>
        <v/>
      </c>
      <c r="P1115">
        <f>IF([2]Entry!$S$1118="","",[2]Entry!$S$1118)</f>
        <v/>
      </c>
    </row>
    <row r="1116">
      <c r="L1116">
        <f>IF([2]Entry!$C$1119="","",[2]Entry!$C$1119)</f>
        <v/>
      </c>
      <c r="M1116">
        <f>IF([2]Entry!$J$1119="","",[2]Entry!$J$1119)</f>
        <v/>
      </c>
      <c r="N1116">
        <f>IF([2]Entry!$M$1119="","",[2]Entry!$M$1119)</f>
        <v/>
      </c>
      <c r="O1116">
        <f>IF([2]Entry!$N$1119="","",[2]Entry!$N$1119)</f>
        <v/>
      </c>
      <c r="P1116">
        <f>IF([2]Entry!$S$1119="","",[2]Entry!$S$1119)</f>
        <v/>
      </c>
    </row>
    <row r="1117">
      <c r="L1117">
        <f>IF([2]Entry!$C$1120="","",[2]Entry!$C$1120)</f>
        <v/>
      </c>
      <c r="M1117">
        <f>IF([2]Entry!$J$1120="","",[2]Entry!$J$1120)</f>
        <v/>
      </c>
      <c r="N1117">
        <f>IF([2]Entry!$M$1120="","",[2]Entry!$M$1120)</f>
        <v/>
      </c>
      <c r="O1117">
        <f>IF([2]Entry!$N$1120="","",[2]Entry!$N$1120)</f>
        <v/>
      </c>
      <c r="P1117">
        <f>IF([2]Entry!$S$1120="","",[2]Entry!$S$1120)</f>
        <v/>
      </c>
    </row>
    <row r="1118">
      <c r="L1118">
        <f>IF([2]Entry!$C$1121="","",[2]Entry!$C$1121)</f>
        <v/>
      </c>
      <c r="M1118">
        <f>IF([2]Entry!$J$1121="","",[2]Entry!$J$1121)</f>
        <v/>
      </c>
      <c r="N1118">
        <f>IF([2]Entry!$M$1121="","",[2]Entry!$M$1121)</f>
        <v/>
      </c>
      <c r="O1118">
        <f>IF([2]Entry!$N$1121="","",[2]Entry!$N$1121)</f>
        <v/>
      </c>
      <c r="P1118">
        <f>IF([2]Entry!$S$1121="","",[2]Entry!$S$1121)</f>
        <v/>
      </c>
    </row>
    <row r="1119">
      <c r="L1119">
        <f>IF([2]Entry!$C$1122="","",[2]Entry!$C$1122)</f>
        <v/>
      </c>
      <c r="M1119">
        <f>IF([2]Entry!$J$1122="","",[2]Entry!$J$1122)</f>
        <v/>
      </c>
      <c r="N1119">
        <f>IF([2]Entry!$M$1122="","",[2]Entry!$M$1122)</f>
        <v/>
      </c>
      <c r="O1119">
        <f>IF([2]Entry!$N$1122="","",[2]Entry!$N$1122)</f>
        <v/>
      </c>
      <c r="P1119">
        <f>IF([2]Entry!$S$1122="","",[2]Entry!$S$1122)</f>
        <v/>
      </c>
    </row>
    <row r="1120">
      <c r="L1120">
        <f>IF([2]Entry!$C$1123="","",[2]Entry!$C$1123)</f>
        <v/>
      </c>
      <c r="M1120">
        <f>IF([2]Entry!$J$1123="","",[2]Entry!$J$1123)</f>
        <v/>
      </c>
      <c r="N1120">
        <f>IF([2]Entry!$M$1123="","",[2]Entry!$M$1123)</f>
        <v/>
      </c>
      <c r="O1120">
        <f>IF([2]Entry!$N$1123="","",[2]Entry!$N$1123)</f>
        <v/>
      </c>
      <c r="P1120">
        <f>IF([2]Entry!$S$1123="","",[2]Entry!$S$1123)</f>
        <v/>
      </c>
    </row>
    <row r="1121">
      <c r="L1121">
        <f>IF([2]Entry!$C$1124="","",[2]Entry!$C$1124)</f>
        <v/>
      </c>
      <c r="M1121">
        <f>IF([2]Entry!$J$1124="","",[2]Entry!$J$1124)</f>
        <v/>
      </c>
      <c r="N1121">
        <f>IF([2]Entry!$M$1124="","",[2]Entry!$M$1124)</f>
        <v/>
      </c>
      <c r="O1121">
        <f>IF([2]Entry!$N$1124="","",[2]Entry!$N$1124)</f>
        <v/>
      </c>
      <c r="P1121">
        <f>IF([2]Entry!$S$1124="","",[2]Entry!$S$1124)</f>
        <v/>
      </c>
    </row>
    <row r="1122">
      <c r="L1122">
        <f>IF([2]Entry!$C$1125="","",[2]Entry!$C$1125)</f>
        <v/>
      </c>
      <c r="M1122">
        <f>IF([2]Entry!$J$1125="","",[2]Entry!$J$1125)</f>
        <v/>
      </c>
      <c r="N1122">
        <f>IF([2]Entry!$M$1125="","",[2]Entry!$M$1125)</f>
        <v/>
      </c>
      <c r="O1122">
        <f>IF([2]Entry!$N$1125="","",[2]Entry!$N$1125)</f>
        <v/>
      </c>
      <c r="P1122">
        <f>IF([2]Entry!$S$1125="","",[2]Entry!$S$1125)</f>
        <v/>
      </c>
    </row>
    <row r="1123">
      <c r="L1123">
        <f>IF([2]Entry!$C$1126="","",[2]Entry!$C$1126)</f>
        <v/>
      </c>
      <c r="M1123">
        <f>IF([2]Entry!$J$1126="","",[2]Entry!$J$1126)</f>
        <v/>
      </c>
      <c r="N1123">
        <f>IF([2]Entry!$M$1126="","",[2]Entry!$M$1126)</f>
        <v/>
      </c>
      <c r="O1123">
        <f>IF([2]Entry!$N$1126="","",[2]Entry!$N$1126)</f>
        <v/>
      </c>
      <c r="P1123">
        <f>IF([2]Entry!$S$1126="","",[2]Entry!$S$1126)</f>
        <v/>
      </c>
    </row>
    <row r="1124">
      <c r="L1124">
        <f>IF([2]Entry!$C$1127="","",[2]Entry!$C$1127)</f>
        <v/>
      </c>
      <c r="M1124">
        <f>IF([2]Entry!$J$1127="","",[2]Entry!$J$1127)</f>
        <v/>
      </c>
      <c r="N1124">
        <f>IF([2]Entry!$M$1127="","",[2]Entry!$M$1127)</f>
        <v/>
      </c>
      <c r="O1124">
        <f>IF([2]Entry!$N$1127="","",[2]Entry!$N$1127)</f>
        <v/>
      </c>
      <c r="P1124">
        <f>IF([2]Entry!$S$1127="","",[2]Entry!$S$1127)</f>
        <v/>
      </c>
    </row>
    <row r="1125">
      <c r="L1125">
        <f>IF([2]Entry!$C$1128="","",[2]Entry!$C$1128)</f>
        <v/>
      </c>
      <c r="M1125">
        <f>IF([2]Entry!$J$1128="","",[2]Entry!$J$1128)</f>
        <v/>
      </c>
      <c r="N1125">
        <f>IF([2]Entry!$M$1128="","",[2]Entry!$M$1128)</f>
        <v/>
      </c>
      <c r="O1125">
        <f>IF([2]Entry!$N$1128="","",[2]Entry!$N$1128)</f>
        <v/>
      </c>
      <c r="P1125">
        <f>IF([2]Entry!$S$1128="","",[2]Entry!$S$1128)</f>
        <v/>
      </c>
    </row>
    <row r="1126">
      <c r="L1126">
        <f>IF([2]Entry!$C$1129="","",[2]Entry!$C$1129)</f>
        <v/>
      </c>
      <c r="M1126">
        <f>IF([2]Entry!$J$1129="","",[2]Entry!$J$1129)</f>
        <v/>
      </c>
      <c r="N1126">
        <f>IF([2]Entry!$M$1129="","",[2]Entry!$M$1129)</f>
        <v/>
      </c>
      <c r="O1126">
        <f>IF([2]Entry!$N$1129="","",[2]Entry!$N$1129)</f>
        <v/>
      </c>
      <c r="P1126">
        <f>IF([2]Entry!$S$1129="","",[2]Entry!$S$1129)</f>
        <v/>
      </c>
    </row>
    <row r="1127">
      <c r="L1127">
        <f>IF([2]Entry!$C$1130="","",[2]Entry!$C$1130)</f>
        <v/>
      </c>
      <c r="M1127">
        <f>IF([2]Entry!$J$1130="","",[2]Entry!$J$1130)</f>
        <v/>
      </c>
      <c r="N1127">
        <f>IF([2]Entry!$M$1130="","",[2]Entry!$M$1130)</f>
        <v/>
      </c>
      <c r="O1127">
        <f>IF([2]Entry!$N$1130="","",[2]Entry!$N$1130)</f>
        <v/>
      </c>
      <c r="P1127">
        <f>IF([2]Entry!$S$1130="","",[2]Entry!$S$1130)</f>
        <v/>
      </c>
    </row>
    <row r="1128">
      <c r="L1128">
        <f>IF([2]Entry!$C$1131="","",[2]Entry!$C$1131)</f>
        <v/>
      </c>
      <c r="M1128">
        <f>IF([2]Entry!$J$1131="","",[2]Entry!$J$1131)</f>
        <v/>
      </c>
      <c r="N1128">
        <f>IF([2]Entry!$M$1131="","",[2]Entry!$M$1131)</f>
        <v/>
      </c>
      <c r="O1128">
        <f>IF([2]Entry!$N$1131="","",[2]Entry!$N$1131)</f>
        <v/>
      </c>
      <c r="P1128">
        <f>IF([2]Entry!$S$1131="","",[2]Entry!$S$1131)</f>
        <v/>
      </c>
    </row>
    <row r="1129">
      <c r="L1129">
        <f>IF([2]Entry!$C$1132="","",[2]Entry!$C$1132)</f>
        <v/>
      </c>
      <c r="M1129">
        <f>IF([2]Entry!$J$1132="","",[2]Entry!$J$1132)</f>
        <v/>
      </c>
      <c r="N1129">
        <f>IF([2]Entry!$M$1132="","",[2]Entry!$M$1132)</f>
        <v/>
      </c>
      <c r="O1129">
        <f>IF([2]Entry!$N$1132="","",[2]Entry!$N$1132)</f>
        <v/>
      </c>
      <c r="P1129">
        <f>IF([2]Entry!$S$1132="","",[2]Entry!$S$1132)</f>
        <v/>
      </c>
    </row>
    <row r="1130">
      <c r="L1130">
        <f>IF([2]Entry!$C$1133="","",[2]Entry!$C$1133)</f>
        <v/>
      </c>
      <c r="M1130">
        <f>IF([2]Entry!$J$1133="","",[2]Entry!$J$1133)</f>
        <v/>
      </c>
      <c r="N1130">
        <f>IF([2]Entry!$M$1133="","",[2]Entry!$M$1133)</f>
        <v/>
      </c>
      <c r="O1130">
        <f>IF([2]Entry!$N$1133="","",[2]Entry!$N$1133)</f>
        <v/>
      </c>
      <c r="P1130">
        <f>IF([2]Entry!$S$1133="","",[2]Entry!$S$1133)</f>
        <v/>
      </c>
    </row>
    <row r="1131">
      <c r="L1131">
        <f>IF([2]Entry!$C$1134="","",[2]Entry!$C$1134)</f>
        <v/>
      </c>
      <c r="M1131">
        <f>IF([2]Entry!$J$1134="","",[2]Entry!$J$1134)</f>
        <v/>
      </c>
      <c r="N1131">
        <f>IF([2]Entry!$M$1134="","",[2]Entry!$M$1134)</f>
        <v/>
      </c>
      <c r="O1131">
        <f>IF([2]Entry!$N$1134="","",[2]Entry!$N$1134)</f>
        <v/>
      </c>
      <c r="P1131">
        <f>IF([2]Entry!$S$1134="","",[2]Entry!$S$1134)</f>
        <v/>
      </c>
    </row>
    <row r="1132">
      <c r="L1132">
        <f>IF([2]Entry!$C$1135="","",[2]Entry!$C$1135)</f>
        <v/>
      </c>
      <c r="M1132">
        <f>IF([2]Entry!$J$1135="","",[2]Entry!$J$1135)</f>
        <v/>
      </c>
      <c r="N1132">
        <f>IF([2]Entry!$M$1135="","",[2]Entry!$M$1135)</f>
        <v/>
      </c>
      <c r="O1132">
        <f>IF([2]Entry!$N$1135="","",[2]Entry!$N$1135)</f>
        <v/>
      </c>
      <c r="P1132">
        <f>IF([2]Entry!$S$1135="","",[2]Entry!$S$1135)</f>
        <v/>
      </c>
    </row>
    <row r="1133">
      <c r="L1133">
        <f>IF([2]Entry!$C$1136="","",[2]Entry!$C$1136)</f>
        <v/>
      </c>
      <c r="M1133">
        <f>IF([2]Entry!$J$1136="","",[2]Entry!$J$1136)</f>
        <v/>
      </c>
      <c r="N1133">
        <f>IF([2]Entry!$M$1136="","",[2]Entry!$M$1136)</f>
        <v/>
      </c>
      <c r="O1133">
        <f>IF([2]Entry!$N$1136="","",[2]Entry!$N$1136)</f>
        <v/>
      </c>
      <c r="P1133">
        <f>IF([2]Entry!$S$1136="","",[2]Entry!$S$1136)</f>
        <v/>
      </c>
    </row>
    <row r="1134">
      <c r="L1134">
        <f>IF([2]Entry!$C$1137="","",[2]Entry!$C$1137)</f>
        <v/>
      </c>
      <c r="M1134">
        <f>IF([2]Entry!$J$1137="","",[2]Entry!$J$1137)</f>
        <v/>
      </c>
      <c r="N1134">
        <f>IF([2]Entry!$M$1137="","",[2]Entry!$M$1137)</f>
        <v/>
      </c>
      <c r="O1134">
        <f>IF([2]Entry!$N$1137="","",[2]Entry!$N$1137)</f>
        <v/>
      </c>
      <c r="P1134">
        <f>IF([2]Entry!$S$1137="","",[2]Entry!$S$1137)</f>
        <v/>
      </c>
    </row>
    <row r="1135">
      <c r="L1135">
        <f>IF([2]Entry!$C$1138="","",[2]Entry!$C$1138)</f>
        <v/>
      </c>
      <c r="M1135">
        <f>IF([2]Entry!$J$1138="","",[2]Entry!$J$1138)</f>
        <v/>
      </c>
      <c r="N1135">
        <f>IF([2]Entry!$M$1138="","",[2]Entry!$M$1138)</f>
        <v/>
      </c>
      <c r="O1135">
        <f>IF([2]Entry!$N$1138="","",[2]Entry!$N$1138)</f>
        <v/>
      </c>
      <c r="P1135">
        <f>IF([2]Entry!$S$1138="","",[2]Entry!$S$1138)</f>
        <v/>
      </c>
    </row>
    <row r="1136">
      <c r="L1136">
        <f>IF([2]Entry!$C$1139="","",[2]Entry!$C$1139)</f>
        <v/>
      </c>
      <c r="M1136">
        <f>IF([2]Entry!$J$1139="","",[2]Entry!$J$1139)</f>
        <v/>
      </c>
      <c r="N1136">
        <f>IF([2]Entry!$M$1139="","",[2]Entry!$M$1139)</f>
        <v/>
      </c>
      <c r="O1136">
        <f>IF([2]Entry!$N$1139="","",[2]Entry!$N$1139)</f>
        <v/>
      </c>
      <c r="P1136">
        <f>IF([2]Entry!$S$1139="","",[2]Entry!$S$1139)</f>
        <v/>
      </c>
    </row>
    <row r="1137">
      <c r="L1137">
        <f>IF([2]Entry!$C$1140="","",[2]Entry!$C$1140)</f>
        <v/>
      </c>
      <c r="M1137">
        <f>IF([2]Entry!$J$1140="","",[2]Entry!$J$1140)</f>
        <v/>
      </c>
      <c r="N1137">
        <f>IF([2]Entry!$M$1140="","",[2]Entry!$M$1140)</f>
        <v/>
      </c>
      <c r="O1137">
        <f>IF([2]Entry!$N$1140="","",[2]Entry!$N$1140)</f>
        <v/>
      </c>
      <c r="P1137">
        <f>IF([2]Entry!$S$1140="","",[2]Entry!$S$1140)</f>
        <v/>
      </c>
    </row>
    <row r="1138">
      <c r="L1138">
        <f>IF([2]Entry!$C$1141="","",[2]Entry!$C$1141)</f>
        <v/>
      </c>
      <c r="M1138">
        <f>IF([2]Entry!$J$1141="","",[2]Entry!$J$1141)</f>
        <v/>
      </c>
      <c r="N1138">
        <f>IF([2]Entry!$M$1141="","",[2]Entry!$M$1141)</f>
        <v/>
      </c>
      <c r="O1138">
        <f>IF([2]Entry!$N$1141="","",[2]Entry!$N$1141)</f>
        <v/>
      </c>
      <c r="P1138">
        <f>IF([2]Entry!$S$1141="","",[2]Entry!$S$1141)</f>
        <v/>
      </c>
    </row>
    <row r="1139">
      <c r="L1139">
        <f>IF([2]Entry!$C$1142="","",[2]Entry!$C$1142)</f>
        <v/>
      </c>
      <c r="M1139">
        <f>IF([2]Entry!$J$1142="","",[2]Entry!$J$1142)</f>
        <v/>
      </c>
      <c r="N1139">
        <f>IF([2]Entry!$M$1142="","",[2]Entry!$M$1142)</f>
        <v/>
      </c>
      <c r="O1139">
        <f>IF([2]Entry!$N$1142="","",[2]Entry!$N$1142)</f>
        <v/>
      </c>
      <c r="P1139">
        <f>IF([2]Entry!$S$1142="","",[2]Entry!$S$1142)</f>
        <v/>
      </c>
    </row>
    <row r="1140">
      <c r="L1140">
        <f>IF([2]Entry!$C$1143="","",[2]Entry!$C$1143)</f>
        <v/>
      </c>
      <c r="M1140">
        <f>IF([2]Entry!$J$1143="","",[2]Entry!$J$1143)</f>
        <v/>
      </c>
      <c r="N1140">
        <f>IF([2]Entry!$M$1143="","",[2]Entry!$M$1143)</f>
        <v/>
      </c>
      <c r="O1140">
        <f>IF([2]Entry!$N$1143="","",[2]Entry!$N$1143)</f>
        <v/>
      </c>
      <c r="P1140">
        <f>IF([2]Entry!$S$1143="","",[2]Entry!$S$1143)</f>
        <v/>
      </c>
    </row>
    <row r="1141">
      <c r="L1141">
        <f>IF([2]Entry!$C$1144="","",[2]Entry!$C$1144)</f>
        <v/>
      </c>
      <c r="M1141">
        <f>IF([2]Entry!$J$1144="","",[2]Entry!$J$1144)</f>
        <v/>
      </c>
      <c r="N1141">
        <f>IF([2]Entry!$M$1144="","",[2]Entry!$M$1144)</f>
        <v/>
      </c>
      <c r="O1141">
        <f>IF([2]Entry!$N$1144="","",[2]Entry!$N$1144)</f>
        <v/>
      </c>
      <c r="P1141">
        <f>IF([2]Entry!$S$1144="","",[2]Entry!$S$1144)</f>
        <v/>
      </c>
    </row>
    <row r="1142">
      <c r="L1142">
        <f>IF([2]Entry!$C$1145="","",[2]Entry!$C$1145)</f>
        <v/>
      </c>
      <c r="M1142">
        <f>IF([2]Entry!$J$1145="","",[2]Entry!$J$1145)</f>
        <v/>
      </c>
      <c r="N1142">
        <f>IF([2]Entry!$M$1145="","",[2]Entry!$M$1145)</f>
        <v/>
      </c>
      <c r="O1142">
        <f>IF([2]Entry!$N$1145="","",[2]Entry!$N$1145)</f>
        <v/>
      </c>
      <c r="P1142">
        <f>IF([2]Entry!$S$1145="","",[2]Entry!$S$1145)</f>
        <v/>
      </c>
    </row>
    <row r="1143">
      <c r="L1143">
        <f>IF([2]Entry!$C$1146="","",[2]Entry!$C$1146)</f>
        <v/>
      </c>
      <c r="M1143">
        <f>IF([2]Entry!$J$1146="","",[2]Entry!$J$1146)</f>
        <v/>
      </c>
      <c r="N1143">
        <f>IF([2]Entry!$M$1146="","",[2]Entry!$M$1146)</f>
        <v/>
      </c>
      <c r="O1143">
        <f>IF([2]Entry!$N$1146="","",[2]Entry!$N$1146)</f>
        <v/>
      </c>
      <c r="P1143">
        <f>IF([2]Entry!$S$1146="","",[2]Entry!$S$1146)</f>
        <v/>
      </c>
    </row>
    <row r="1144">
      <c r="L1144">
        <f>IF([2]Entry!$C$1147="","",[2]Entry!$C$1147)</f>
        <v/>
      </c>
      <c r="M1144">
        <f>IF([2]Entry!$J$1147="","",[2]Entry!$J$1147)</f>
        <v/>
      </c>
      <c r="N1144">
        <f>IF([2]Entry!$M$1147="","",[2]Entry!$M$1147)</f>
        <v/>
      </c>
      <c r="O1144">
        <f>IF([2]Entry!$N$1147="","",[2]Entry!$N$1147)</f>
        <v/>
      </c>
      <c r="P1144">
        <f>IF([2]Entry!$S$1147="","",[2]Entry!$S$1147)</f>
        <v/>
      </c>
    </row>
    <row r="1145">
      <c r="L1145">
        <f>IF([2]Entry!$C$1148="","",[2]Entry!$C$1148)</f>
        <v/>
      </c>
      <c r="M1145">
        <f>IF([2]Entry!$J$1148="","",[2]Entry!$J$1148)</f>
        <v/>
      </c>
      <c r="N1145">
        <f>IF([2]Entry!$M$1148="","",[2]Entry!$M$1148)</f>
        <v/>
      </c>
      <c r="O1145">
        <f>IF([2]Entry!$N$1148="","",[2]Entry!$N$1148)</f>
        <v/>
      </c>
      <c r="P1145">
        <f>IF([2]Entry!$S$1148="","",[2]Entry!$S$1148)</f>
        <v/>
      </c>
    </row>
    <row r="1146">
      <c r="L1146">
        <f>IF([2]Entry!$C$1149="","",[2]Entry!$C$1149)</f>
        <v/>
      </c>
      <c r="M1146">
        <f>IF([2]Entry!$J$1149="","",[2]Entry!$J$1149)</f>
        <v/>
      </c>
      <c r="N1146">
        <f>IF([2]Entry!$M$1149="","",[2]Entry!$M$1149)</f>
        <v/>
      </c>
      <c r="O1146">
        <f>IF([2]Entry!$N$1149="","",[2]Entry!$N$1149)</f>
        <v/>
      </c>
      <c r="P1146">
        <f>IF([2]Entry!$S$1149="","",[2]Entry!$S$1149)</f>
        <v/>
      </c>
    </row>
    <row r="1147">
      <c r="L1147">
        <f>IF([2]Entry!$C$1150="","",[2]Entry!$C$1150)</f>
        <v/>
      </c>
      <c r="M1147">
        <f>IF([2]Entry!$J$1150="","",[2]Entry!$J$1150)</f>
        <v/>
      </c>
      <c r="N1147">
        <f>IF([2]Entry!$M$1150="","",[2]Entry!$M$1150)</f>
        <v/>
      </c>
      <c r="O1147">
        <f>IF([2]Entry!$N$1150="","",[2]Entry!$N$1150)</f>
        <v/>
      </c>
      <c r="P1147">
        <f>IF([2]Entry!$S$1150="","",[2]Entry!$S$1150)</f>
        <v/>
      </c>
    </row>
    <row r="1148">
      <c r="L1148">
        <f>IF([2]Entry!$C$1151="","",[2]Entry!$C$1151)</f>
        <v/>
      </c>
      <c r="M1148">
        <f>IF([2]Entry!$J$1151="","",[2]Entry!$J$1151)</f>
        <v/>
      </c>
      <c r="N1148">
        <f>IF([2]Entry!$M$1151="","",[2]Entry!$M$1151)</f>
        <v/>
      </c>
      <c r="O1148">
        <f>IF([2]Entry!$N$1151="","",[2]Entry!$N$1151)</f>
        <v/>
      </c>
      <c r="P1148">
        <f>IF([2]Entry!$S$1151="","",[2]Entry!$S$1151)</f>
        <v/>
      </c>
    </row>
    <row r="1149">
      <c r="L1149">
        <f>IF([2]Entry!$C$1152="","",[2]Entry!$C$1152)</f>
        <v/>
      </c>
      <c r="M1149">
        <f>IF([2]Entry!$J$1152="","",[2]Entry!$J$1152)</f>
        <v/>
      </c>
      <c r="N1149">
        <f>IF([2]Entry!$M$1152="","",[2]Entry!$M$1152)</f>
        <v/>
      </c>
      <c r="O1149">
        <f>IF([2]Entry!$N$1152="","",[2]Entry!$N$1152)</f>
        <v/>
      </c>
      <c r="P1149">
        <f>IF([2]Entry!$S$1152="","",[2]Entry!$S$1152)</f>
        <v/>
      </c>
    </row>
    <row r="1150">
      <c r="L1150">
        <f>IF([2]Entry!$C$1153="","",[2]Entry!$C$1153)</f>
        <v/>
      </c>
      <c r="M1150">
        <f>IF([2]Entry!$J$1153="","",[2]Entry!$J$1153)</f>
        <v/>
      </c>
      <c r="N1150">
        <f>IF([2]Entry!$M$1153="","",[2]Entry!$M$1153)</f>
        <v/>
      </c>
      <c r="O1150">
        <f>IF([2]Entry!$N$1153="","",[2]Entry!$N$1153)</f>
        <v/>
      </c>
      <c r="P1150">
        <f>IF([2]Entry!$S$1153="","",[2]Entry!$S$1153)</f>
        <v/>
      </c>
    </row>
    <row r="1151">
      <c r="L1151">
        <f>IF([2]Entry!$C$1154="","",[2]Entry!$C$1154)</f>
        <v/>
      </c>
      <c r="M1151">
        <f>IF([2]Entry!$J$1154="","",[2]Entry!$J$1154)</f>
        <v/>
      </c>
      <c r="N1151">
        <f>IF([2]Entry!$M$1154="","",[2]Entry!$M$1154)</f>
        <v/>
      </c>
      <c r="O1151">
        <f>IF([2]Entry!$N$1154="","",[2]Entry!$N$1154)</f>
        <v/>
      </c>
      <c r="P1151">
        <f>IF([2]Entry!$S$1154="","",[2]Entry!$S$1154)</f>
        <v/>
      </c>
    </row>
    <row r="1152">
      <c r="L1152">
        <f>IF([2]Entry!$C$1155="","",[2]Entry!$C$1155)</f>
        <v/>
      </c>
      <c r="M1152">
        <f>IF([2]Entry!$J$1155="","",[2]Entry!$J$1155)</f>
        <v/>
      </c>
      <c r="N1152">
        <f>IF([2]Entry!$M$1155="","",[2]Entry!$M$1155)</f>
        <v/>
      </c>
      <c r="O1152">
        <f>IF([2]Entry!$N$1155="","",[2]Entry!$N$1155)</f>
        <v/>
      </c>
      <c r="P1152">
        <f>IF([2]Entry!$S$1155="","",[2]Entry!$S$1155)</f>
        <v/>
      </c>
    </row>
    <row r="1153">
      <c r="L1153">
        <f>IF([2]Entry!$C$1156="","",[2]Entry!$C$1156)</f>
        <v/>
      </c>
      <c r="M1153">
        <f>IF([2]Entry!$J$1156="","",[2]Entry!$J$1156)</f>
        <v/>
      </c>
      <c r="N1153">
        <f>IF([2]Entry!$M$1156="","",[2]Entry!$M$1156)</f>
        <v/>
      </c>
      <c r="O1153">
        <f>IF([2]Entry!$N$1156="","",[2]Entry!$N$1156)</f>
        <v/>
      </c>
      <c r="P1153">
        <f>IF([2]Entry!$S$1156="","",[2]Entry!$S$1156)</f>
        <v/>
      </c>
    </row>
    <row r="1154">
      <c r="L1154">
        <f>IF([2]Entry!$C$1157="","",[2]Entry!$C$1157)</f>
        <v/>
      </c>
      <c r="M1154">
        <f>IF([2]Entry!$J$1157="","",[2]Entry!$J$1157)</f>
        <v/>
      </c>
      <c r="N1154">
        <f>IF([2]Entry!$M$1157="","",[2]Entry!$M$1157)</f>
        <v/>
      </c>
      <c r="O1154">
        <f>IF([2]Entry!$N$1157="","",[2]Entry!$N$1157)</f>
        <v/>
      </c>
      <c r="P1154">
        <f>IF([2]Entry!$S$1157="","",[2]Entry!$S$1157)</f>
        <v/>
      </c>
    </row>
    <row r="1155">
      <c r="L1155">
        <f>IF([2]Entry!$C$1158="","",[2]Entry!$C$1158)</f>
        <v/>
      </c>
      <c r="M1155">
        <f>IF([2]Entry!$J$1158="","",[2]Entry!$J$1158)</f>
        <v/>
      </c>
      <c r="N1155">
        <f>IF([2]Entry!$M$1158="","",[2]Entry!$M$1158)</f>
        <v/>
      </c>
      <c r="O1155">
        <f>IF([2]Entry!$N$1158="","",[2]Entry!$N$1158)</f>
        <v/>
      </c>
      <c r="P1155">
        <f>IF([2]Entry!$S$1158="","",[2]Entry!$S$1158)</f>
        <v/>
      </c>
    </row>
    <row r="1156">
      <c r="L1156">
        <f>IF([2]Entry!$C$1159="","",[2]Entry!$C$1159)</f>
        <v/>
      </c>
      <c r="M1156">
        <f>IF([2]Entry!$J$1159="","",[2]Entry!$J$1159)</f>
        <v/>
      </c>
      <c r="N1156">
        <f>IF([2]Entry!$M$1159="","",[2]Entry!$M$1159)</f>
        <v/>
      </c>
      <c r="O1156">
        <f>IF([2]Entry!$N$1159="","",[2]Entry!$N$1159)</f>
        <v/>
      </c>
      <c r="P1156">
        <f>IF([2]Entry!$S$1159="","",[2]Entry!$S$1159)</f>
        <v/>
      </c>
    </row>
    <row r="1157">
      <c r="L1157">
        <f>IF([2]Entry!$C$1160="","",[2]Entry!$C$1160)</f>
        <v/>
      </c>
      <c r="M1157">
        <f>IF([2]Entry!$J$1160="","",[2]Entry!$J$1160)</f>
        <v/>
      </c>
      <c r="N1157">
        <f>IF([2]Entry!$M$1160="","",[2]Entry!$M$1160)</f>
        <v/>
      </c>
      <c r="O1157">
        <f>IF([2]Entry!$N$1160="","",[2]Entry!$N$1160)</f>
        <v/>
      </c>
      <c r="P1157">
        <f>IF([2]Entry!$S$1160="","",[2]Entry!$S$1160)</f>
        <v/>
      </c>
    </row>
    <row r="1158">
      <c r="L1158">
        <f>IF([2]Entry!$C$1161="","",[2]Entry!$C$1161)</f>
        <v/>
      </c>
      <c r="M1158">
        <f>IF([2]Entry!$J$1161="","",[2]Entry!$J$1161)</f>
        <v/>
      </c>
      <c r="N1158">
        <f>IF([2]Entry!$M$1161="","",[2]Entry!$M$1161)</f>
        <v/>
      </c>
      <c r="O1158">
        <f>IF([2]Entry!$N$1161="","",[2]Entry!$N$1161)</f>
        <v/>
      </c>
      <c r="P1158">
        <f>IF([2]Entry!$S$1161="","",[2]Entry!$S$1161)</f>
        <v/>
      </c>
    </row>
    <row r="1159">
      <c r="L1159">
        <f>IF([2]Entry!$C$1162="","",[2]Entry!$C$1162)</f>
        <v/>
      </c>
      <c r="M1159">
        <f>IF([2]Entry!$J$1162="","",[2]Entry!$J$1162)</f>
        <v/>
      </c>
      <c r="N1159">
        <f>IF([2]Entry!$M$1162="","",[2]Entry!$M$1162)</f>
        <v/>
      </c>
      <c r="O1159">
        <f>IF([2]Entry!$N$1162="","",[2]Entry!$N$1162)</f>
        <v/>
      </c>
      <c r="P1159">
        <f>IF([2]Entry!$S$1162="","",[2]Entry!$S$1162)</f>
        <v/>
      </c>
    </row>
    <row r="1160">
      <c r="L1160">
        <f>IF([2]Entry!$C$1163="","",[2]Entry!$C$1163)</f>
        <v/>
      </c>
      <c r="M1160">
        <f>IF([2]Entry!$J$1163="","",[2]Entry!$J$1163)</f>
        <v/>
      </c>
      <c r="N1160">
        <f>IF([2]Entry!$M$1163="","",[2]Entry!$M$1163)</f>
        <v/>
      </c>
      <c r="O1160">
        <f>IF([2]Entry!$N$1163="","",[2]Entry!$N$1163)</f>
        <v/>
      </c>
      <c r="P1160">
        <f>IF([2]Entry!$S$1163="","",[2]Entry!$S$1163)</f>
        <v/>
      </c>
    </row>
    <row r="1161">
      <c r="L1161">
        <f>IF([2]Entry!$C$1164="","",[2]Entry!$C$1164)</f>
        <v/>
      </c>
      <c r="M1161">
        <f>IF([2]Entry!$J$1164="","",[2]Entry!$J$1164)</f>
        <v/>
      </c>
      <c r="N1161">
        <f>IF([2]Entry!$M$1164="","",[2]Entry!$M$1164)</f>
        <v/>
      </c>
      <c r="O1161">
        <f>IF([2]Entry!$N$1164="","",[2]Entry!$N$1164)</f>
        <v/>
      </c>
      <c r="P1161">
        <f>IF([2]Entry!$S$1164="","",[2]Entry!$S$1164)</f>
        <v/>
      </c>
    </row>
    <row r="1162">
      <c r="L1162">
        <f>IF([2]Entry!$C$1165="","",[2]Entry!$C$1165)</f>
        <v/>
      </c>
      <c r="M1162">
        <f>IF([2]Entry!$J$1165="","",[2]Entry!$J$1165)</f>
        <v/>
      </c>
      <c r="N1162">
        <f>IF([2]Entry!$M$1165="","",[2]Entry!$M$1165)</f>
        <v/>
      </c>
      <c r="O1162">
        <f>IF([2]Entry!$N$1165="","",[2]Entry!$N$1165)</f>
        <v/>
      </c>
      <c r="P1162">
        <f>IF([2]Entry!$S$1165="","",[2]Entry!$S$1165)</f>
        <v/>
      </c>
    </row>
    <row r="1163">
      <c r="L1163">
        <f>IF([2]Entry!$C$1166="","",[2]Entry!$C$1166)</f>
        <v/>
      </c>
      <c r="M1163">
        <f>IF([2]Entry!$J$1166="","",[2]Entry!$J$1166)</f>
        <v/>
      </c>
      <c r="N1163">
        <f>IF([2]Entry!$M$1166="","",[2]Entry!$M$1166)</f>
        <v/>
      </c>
      <c r="O1163">
        <f>IF([2]Entry!$N$1166="","",[2]Entry!$N$1166)</f>
        <v/>
      </c>
      <c r="P1163">
        <f>IF([2]Entry!$S$1166="","",[2]Entry!$S$1166)</f>
        <v/>
      </c>
    </row>
    <row r="1164">
      <c r="L1164">
        <f>IF([2]Entry!$C$1167="","",[2]Entry!$C$1167)</f>
        <v/>
      </c>
      <c r="M1164">
        <f>IF([2]Entry!$J$1167="","",[2]Entry!$J$1167)</f>
        <v/>
      </c>
      <c r="N1164">
        <f>IF([2]Entry!$M$1167="","",[2]Entry!$M$1167)</f>
        <v/>
      </c>
      <c r="O1164">
        <f>IF([2]Entry!$N$1167="","",[2]Entry!$N$1167)</f>
        <v/>
      </c>
      <c r="P1164">
        <f>IF([2]Entry!$S$1167="","",[2]Entry!$S$1167)</f>
        <v/>
      </c>
    </row>
    <row r="1165">
      <c r="L1165">
        <f>IF([2]Entry!$C$1168="","",[2]Entry!$C$1168)</f>
        <v/>
      </c>
      <c r="M1165">
        <f>IF([2]Entry!$J$1168="","",[2]Entry!$J$1168)</f>
        <v/>
      </c>
      <c r="N1165">
        <f>IF([2]Entry!$M$1168="","",[2]Entry!$M$1168)</f>
        <v/>
      </c>
      <c r="O1165">
        <f>IF([2]Entry!$N$1168="","",[2]Entry!$N$1168)</f>
        <v/>
      </c>
      <c r="P1165">
        <f>IF([2]Entry!$S$1168="","",[2]Entry!$S$1168)</f>
        <v/>
      </c>
    </row>
    <row r="1166">
      <c r="L1166">
        <f>IF([2]Entry!$C$1169="","",[2]Entry!$C$1169)</f>
        <v/>
      </c>
      <c r="M1166">
        <f>IF([2]Entry!$J$1169="","",[2]Entry!$J$1169)</f>
        <v/>
      </c>
      <c r="N1166">
        <f>IF([2]Entry!$M$1169="","",[2]Entry!$M$1169)</f>
        <v/>
      </c>
      <c r="O1166">
        <f>IF([2]Entry!$N$1169="","",[2]Entry!$N$1169)</f>
        <v/>
      </c>
      <c r="P1166">
        <f>IF([2]Entry!$S$1169="","",[2]Entry!$S$1169)</f>
        <v/>
      </c>
    </row>
    <row r="1167">
      <c r="L1167">
        <f>IF([2]Entry!$C$1170="","",[2]Entry!$C$1170)</f>
        <v/>
      </c>
      <c r="M1167">
        <f>IF([2]Entry!$J$1170="","",[2]Entry!$J$1170)</f>
        <v/>
      </c>
      <c r="N1167">
        <f>IF([2]Entry!$M$1170="","",[2]Entry!$M$1170)</f>
        <v/>
      </c>
      <c r="O1167">
        <f>IF([2]Entry!$N$1170="","",[2]Entry!$N$1170)</f>
        <v/>
      </c>
      <c r="P1167">
        <f>IF([2]Entry!$S$1170="","",[2]Entry!$S$1170)</f>
        <v/>
      </c>
    </row>
    <row r="1168">
      <c r="L1168">
        <f>IF([2]Entry!$C$1171="","",[2]Entry!$C$1171)</f>
        <v/>
      </c>
      <c r="M1168">
        <f>IF([2]Entry!$J$1171="","",[2]Entry!$J$1171)</f>
        <v/>
      </c>
      <c r="N1168">
        <f>IF([2]Entry!$M$1171="","",[2]Entry!$M$1171)</f>
        <v/>
      </c>
      <c r="O1168">
        <f>IF([2]Entry!$N$1171="","",[2]Entry!$N$1171)</f>
        <v/>
      </c>
      <c r="P1168">
        <f>IF([2]Entry!$S$1171="","",[2]Entry!$S$1171)</f>
        <v/>
      </c>
    </row>
    <row r="1169">
      <c r="L1169">
        <f>IF([2]Entry!$C$1172="","",[2]Entry!$C$1172)</f>
        <v/>
      </c>
      <c r="M1169">
        <f>IF([2]Entry!$J$1172="","",[2]Entry!$J$1172)</f>
        <v/>
      </c>
      <c r="N1169">
        <f>IF([2]Entry!$M$1172="","",[2]Entry!$M$1172)</f>
        <v/>
      </c>
      <c r="O1169">
        <f>IF([2]Entry!$N$1172="","",[2]Entry!$N$1172)</f>
        <v/>
      </c>
      <c r="P1169">
        <f>IF([2]Entry!$S$1172="","",[2]Entry!$S$1172)</f>
        <v/>
      </c>
    </row>
    <row r="1170">
      <c r="L1170">
        <f>IF([2]Entry!$C$1173="","",[2]Entry!$C$1173)</f>
        <v/>
      </c>
      <c r="M1170">
        <f>IF([2]Entry!$J$1173="","",[2]Entry!$J$1173)</f>
        <v/>
      </c>
      <c r="N1170">
        <f>IF([2]Entry!$M$1173="","",[2]Entry!$M$1173)</f>
        <v/>
      </c>
      <c r="O1170">
        <f>IF([2]Entry!$N$1173="","",[2]Entry!$N$1173)</f>
        <v/>
      </c>
      <c r="P1170">
        <f>IF([2]Entry!$S$1173="","",[2]Entry!$S$1173)</f>
        <v/>
      </c>
    </row>
    <row r="1171">
      <c r="L1171">
        <f>IF([2]Entry!$C$1174="","",[2]Entry!$C$1174)</f>
        <v/>
      </c>
      <c r="M1171">
        <f>IF([2]Entry!$J$1174="","",[2]Entry!$J$1174)</f>
        <v/>
      </c>
      <c r="N1171">
        <f>IF([2]Entry!$M$1174="","",[2]Entry!$M$1174)</f>
        <v/>
      </c>
      <c r="O1171">
        <f>IF([2]Entry!$N$1174="","",[2]Entry!$N$1174)</f>
        <v/>
      </c>
      <c r="P1171">
        <f>IF([2]Entry!$S$1174="","",[2]Entry!$S$1174)</f>
        <v/>
      </c>
    </row>
    <row r="1172">
      <c r="L1172">
        <f>IF([2]Entry!$C$1175="","",[2]Entry!$C$1175)</f>
        <v/>
      </c>
      <c r="M1172">
        <f>IF([2]Entry!$J$1175="","",[2]Entry!$J$1175)</f>
        <v/>
      </c>
      <c r="N1172">
        <f>IF([2]Entry!$M$1175="","",[2]Entry!$M$1175)</f>
        <v/>
      </c>
      <c r="O1172">
        <f>IF([2]Entry!$N$1175="","",[2]Entry!$N$1175)</f>
        <v/>
      </c>
      <c r="P1172">
        <f>IF([2]Entry!$S$1175="","",[2]Entry!$S$1175)</f>
        <v/>
      </c>
    </row>
    <row r="1173">
      <c r="L1173">
        <f>IF([2]Entry!$C$1176="","",[2]Entry!$C$1176)</f>
        <v/>
      </c>
      <c r="M1173">
        <f>IF([2]Entry!$J$1176="","",[2]Entry!$J$1176)</f>
        <v/>
      </c>
      <c r="N1173">
        <f>IF([2]Entry!$M$1176="","",[2]Entry!$M$1176)</f>
        <v/>
      </c>
      <c r="O1173">
        <f>IF([2]Entry!$N$1176="","",[2]Entry!$N$1176)</f>
        <v/>
      </c>
      <c r="P1173">
        <f>IF([2]Entry!$S$1176="","",[2]Entry!$S$1176)</f>
        <v/>
      </c>
    </row>
    <row r="1174">
      <c r="L1174">
        <f>IF([2]Entry!$C$1177="","",[2]Entry!$C$1177)</f>
        <v/>
      </c>
      <c r="M1174">
        <f>IF([2]Entry!$J$1177="","",[2]Entry!$J$1177)</f>
        <v/>
      </c>
      <c r="N1174">
        <f>IF([2]Entry!$M$1177="","",[2]Entry!$M$1177)</f>
        <v/>
      </c>
      <c r="O1174">
        <f>IF([2]Entry!$N$1177="","",[2]Entry!$N$1177)</f>
        <v/>
      </c>
      <c r="P1174">
        <f>IF([2]Entry!$S$1177="","",[2]Entry!$S$1177)</f>
        <v/>
      </c>
    </row>
    <row r="1175">
      <c r="L1175">
        <f>IF([2]Entry!$C$1178="","",[2]Entry!$C$1178)</f>
        <v/>
      </c>
      <c r="M1175">
        <f>IF([2]Entry!$J$1178="","",[2]Entry!$J$1178)</f>
        <v/>
      </c>
      <c r="N1175">
        <f>IF([2]Entry!$M$1178="","",[2]Entry!$M$1178)</f>
        <v/>
      </c>
      <c r="O1175">
        <f>IF([2]Entry!$N$1178="","",[2]Entry!$N$1178)</f>
        <v/>
      </c>
      <c r="P1175">
        <f>IF([2]Entry!$S$1178="","",[2]Entry!$S$1178)</f>
        <v/>
      </c>
    </row>
    <row r="1176">
      <c r="L1176">
        <f>IF([2]Entry!$C$1179="","",[2]Entry!$C$1179)</f>
        <v/>
      </c>
      <c r="M1176">
        <f>IF([2]Entry!$J$1179="","",[2]Entry!$J$1179)</f>
        <v/>
      </c>
      <c r="N1176">
        <f>IF([2]Entry!$M$1179="","",[2]Entry!$M$1179)</f>
        <v/>
      </c>
      <c r="O1176">
        <f>IF([2]Entry!$N$1179="","",[2]Entry!$N$1179)</f>
        <v/>
      </c>
      <c r="P1176">
        <f>IF([2]Entry!$S$1179="","",[2]Entry!$S$1179)</f>
        <v/>
      </c>
    </row>
    <row r="1177">
      <c r="L1177">
        <f>IF([2]Entry!$C$1180="","",[2]Entry!$C$1180)</f>
        <v/>
      </c>
      <c r="M1177">
        <f>IF([2]Entry!$J$1180="","",[2]Entry!$J$1180)</f>
        <v/>
      </c>
      <c r="N1177">
        <f>IF([2]Entry!$M$1180="","",[2]Entry!$M$1180)</f>
        <v/>
      </c>
      <c r="O1177">
        <f>IF([2]Entry!$N$1180="","",[2]Entry!$N$1180)</f>
        <v/>
      </c>
      <c r="P1177">
        <f>IF([2]Entry!$S$1180="","",[2]Entry!$S$1180)</f>
        <v/>
      </c>
    </row>
    <row r="1178">
      <c r="L1178">
        <f>IF([2]Entry!$C$1181="","",[2]Entry!$C$1181)</f>
        <v/>
      </c>
      <c r="M1178">
        <f>IF([2]Entry!$J$1181="","",[2]Entry!$J$1181)</f>
        <v/>
      </c>
      <c r="N1178">
        <f>IF([2]Entry!$M$1181="","",[2]Entry!$M$1181)</f>
        <v/>
      </c>
      <c r="O1178">
        <f>IF([2]Entry!$N$1181="","",[2]Entry!$N$1181)</f>
        <v/>
      </c>
      <c r="P1178">
        <f>IF([2]Entry!$S$1181="","",[2]Entry!$S$1181)</f>
        <v/>
      </c>
    </row>
    <row r="1179">
      <c r="L1179">
        <f>IF([2]Entry!$C$1182="","",[2]Entry!$C$1182)</f>
        <v/>
      </c>
      <c r="M1179">
        <f>IF([2]Entry!$J$1182="","",[2]Entry!$J$1182)</f>
        <v/>
      </c>
      <c r="N1179">
        <f>IF([2]Entry!$M$1182="","",[2]Entry!$M$1182)</f>
        <v/>
      </c>
      <c r="O1179">
        <f>IF([2]Entry!$N$1182="","",[2]Entry!$N$1182)</f>
        <v/>
      </c>
      <c r="P1179">
        <f>IF([2]Entry!$S$1182="","",[2]Entry!$S$1182)</f>
        <v/>
      </c>
    </row>
    <row r="1180">
      <c r="L1180">
        <f>IF([2]Entry!$C$1183="","",[2]Entry!$C$1183)</f>
        <v/>
      </c>
      <c r="M1180">
        <f>IF([2]Entry!$J$1183="","",[2]Entry!$J$1183)</f>
        <v/>
      </c>
      <c r="N1180">
        <f>IF([2]Entry!$M$1183="","",[2]Entry!$M$1183)</f>
        <v/>
      </c>
      <c r="O1180">
        <f>IF([2]Entry!$N$1183="","",[2]Entry!$N$1183)</f>
        <v/>
      </c>
      <c r="P1180">
        <f>IF([2]Entry!$S$1183="","",[2]Entry!$S$1183)</f>
        <v/>
      </c>
    </row>
    <row r="1181">
      <c r="L1181">
        <f>IF([2]Entry!$C$1184="","",[2]Entry!$C$1184)</f>
        <v/>
      </c>
      <c r="M1181">
        <f>IF([2]Entry!$J$1184="","",[2]Entry!$J$1184)</f>
        <v/>
      </c>
      <c r="N1181">
        <f>IF([2]Entry!$M$1184="","",[2]Entry!$M$1184)</f>
        <v/>
      </c>
      <c r="O1181">
        <f>IF([2]Entry!$N$1184="","",[2]Entry!$N$1184)</f>
        <v/>
      </c>
      <c r="P1181">
        <f>IF([2]Entry!$S$1184="","",[2]Entry!$S$1184)</f>
        <v/>
      </c>
    </row>
    <row r="1182">
      <c r="L1182">
        <f>IF([2]Entry!$C$1185="","",[2]Entry!$C$1185)</f>
        <v/>
      </c>
      <c r="M1182">
        <f>IF([2]Entry!$J$1185="","",[2]Entry!$J$1185)</f>
        <v/>
      </c>
      <c r="N1182">
        <f>IF([2]Entry!$M$1185="","",[2]Entry!$M$1185)</f>
        <v/>
      </c>
      <c r="O1182">
        <f>IF([2]Entry!$N$1185="","",[2]Entry!$N$1185)</f>
        <v/>
      </c>
      <c r="P1182">
        <f>IF([2]Entry!$S$1185="","",[2]Entry!$S$1185)</f>
        <v/>
      </c>
    </row>
    <row r="1183">
      <c r="L1183">
        <f>IF([2]Entry!$C$1186="","",[2]Entry!$C$1186)</f>
        <v/>
      </c>
      <c r="M1183">
        <f>IF([2]Entry!$J$1186="","",[2]Entry!$J$1186)</f>
        <v/>
      </c>
      <c r="N1183">
        <f>IF([2]Entry!$M$1186="","",[2]Entry!$M$1186)</f>
        <v/>
      </c>
      <c r="O1183">
        <f>IF([2]Entry!$N$1186="","",[2]Entry!$N$1186)</f>
        <v/>
      </c>
      <c r="P1183">
        <f>IF([2]Entry!$S$1186="","",[2]Entry!$S$1186)</f>
        <v/>
      </c>
    </row>
    <row r="1184">
      <c r="L1184">
        <f>IF([2]Entry!$C$1187="","",[2]Entry!$C$1187)</f>
        <v/>
      </c>
      <c r="M1184">
        <f>IF([2]Entry!$J$1187="","",[2]Entry!$J$1187)</f>
        <v/>
      </c>
      <c r="N1184">
        <f>IF([2]Entry!$M$1187="","",[2]Entry!$M$1187)</f>
        <v/>
      </c>
      <c r="O1184">
        <f>IF([2]Entry!$N$1187="","",[2]Entry!$N$1187)</f>
        <v/>
      </c>
      <c r="P1184">
        <f>IF([2]Entry!$S$1187="","",[2]Entry!$S$1187)</f>
        <v/>
      </c>
    </row>
    <row r="1185">
      <c r="L1185">
        <f>IF([2]Entry!$C$1188="","",[2]Entry!$C$1188)</f>
        <v/>
      </c>
      <c r="M1185">
        <f>IF([2]Entry!$J$1188="","",[2]Entry!$J$1188)</f>
        <v/>
      </c>
      <c r="N1185">
        <f>IF([2]Entry!$M$1188="","",[2]Entry!$M$1188)</f>
        <v/>
      </c>
      <c r="O1185">
        <f>IF([2]Entry!$N$1188="","",[2]Entry!$N$1188)</f>
        <v/>
      </c>
      <c r="P1185">
        <f>IF([2]Entry!$S$1188="","",[2]Entry!$S$1188)</f>
        <v/>
      </c>
    </row>
    <row r="1186">
      <c r="L1186">
        <f>IF([2]Entry!$C$1189="","",[2]Entry!$C$1189)</f>
        <v/>
      </c>
      <c r="M1186">
        <f>IF([2]Entry!$J$1189="","",[2]Entry!$J$1189)</f>
        <v/>
      </c>
      <c r="N1186">
        <f>IF([2]Entry!$M$1189="","",[2]Entry!$M$1189)</f>
        <v/>
      </c>
      <c r="O1186">
        <f>IF([2]Entry!$N$1189="","",[2]Entry!$N$1189)</f>
        <v/>
      </c>
      <c r="P1186">
        <f>IF([2]Entry!$S$1189="","",[2]Entry!$S$1189)</f>
        <v/>
      </c>
    </row>
    <row r="1187">
      <c r="L1187">
        <f>IF([2]Entry!$C$1190="","",[2]Entry!$C$1190)</f>
        <v/>
      </c>
      <c r="M1187">
        <f>IF([2]Entry!$J$1190="","",[2]Entry!$J$1190)</f>
        <v/>
      </c>
      <c r="N1187">
        <f>IF([2]Entry!$M$1190="","",[2]Entry!$M$1190)</f>
        <v/>
      </c>
      <c r="O1187">
        <f>IF([2]Entry!$N$1190="","",[2]Entry!$N$1190)</f>
        <v/>
      </c>
      <c r="P1187">
        <f>IF([2]Entry!$S$1190="","",[2]Entry!$S$1190)</f>
        <v/>
      </c>
    </row>
    <row r="1188">
      <c r="L1188">
        <f>IF([2]Entry!$C$1191="","",[2]Entry!$C$1191)</f>
        <v/>
      </c>
      <c r="M1188">
        <f>IF([2]Entry!$J$1191="","",[2]Entry!$J$1191)</f>
        <v/>
      </c>
      <c r="N1188">
        <f>IF([2]Entry!$M$1191="","",[2]Entry!$M$1191)</f>
        <v/>
      </c>
      <c r="O1188">
        <f>IF([2]Entry!$N$1191="","",[2]Entry!$N$1191)</f>
        <v/>
      </c>
      <c r="P1188">
        <f>IF([2]Entry!$S$1191="","",[2]Entry!$S$1191)</f>
        <v/>
      </c>
    </row>
    <row r="1189">
      <c r="L1189">
        <f>IF([2]Entry!$C$1192="","",[2]Entry!$C$1192)</f>
        <v/>
      </c>
      <c r="M1189">
        <f>IF([2]Entry!$J$1192="","",[2]Entry!$J$1192)</f>
        <v/>
      </c>
      <c r="N1189">
        <f>IF([2]Entry!$M$1192="","",[2]Entry!$M$1192)</f>
        <v/>
      </c>
      <c r="O1189">
        <f>IF([2]Entry!$N$1192="","",[2]Entry!$N$1192)</f>
        <v/>
      </c>
      <c r="P1189">
        <f>IF([2]Entry!$S$1192="","",[2]Entry!$S$1192)</f>
        <v/>
      </c>
    </row>
    <row r="1190">
      <c r="L1190">
        <f>IF([2]Entry!$C$1193="","",[2]Entry!$C$1193)</f>
        <v/>
      </c>
      <c r="M1190">
        <f>IF([2]Entry!$J$1193="","",[2]Entry!$J$1193)</f>
        <v/>
      </c>
      <c r="N1190">
        <f>IF([2]Entry!$M$1193="","",[2]Entry!$M$1193)</f>
        <v/>
      </c>
      <c r="O1190">
        <f>IF([2]Entry!$N$1193="","",[2]Entry!$N$1193)</f>
        <v/>
      </c>
      <c r="P1190">
        <f>IF([2]Entry!$S$1193="","",[2]Entry!$S$1193)</f>
        <v/>
      </c>
    </row>
    <row r="1191">
      <c r="L1191">
        <f>IF([2]Entry!$C$1194="","",[2]Entry!$C$1194)</f>
        <v/>
      </c>
      <c r="M1191">
        <f>IF([2]Entry!$J$1194="","",[2]Entry!$J$1194)</f>
        <v/>
      </c>
      <c r="N1191">
        <f>IF([2]Entry!$M$1194="","",[2]Entry!$M$1194)</f>
        <v/>
      </c>
      <c r="O1191">
        <f>IF([2]Entry!$N$1194="","",[2]Entry!$N$1194)</f>
        <v/>
      </c>
      <c r="P1191">
        <f>IF([2]Entry!$S$1194="","",[2]Entry!$S$1194)</f>
        <v/>
      </c>
    </row>
    <row r="1192">
      <c r="L1192">
        <f>IF([2]Entry!$C$1195="","",[2]Entry!$C$1195)</f>
        <v/>
      </c>
      <c r="M1192">
        <f>IF([2]Entry!$J$1195="","",[2]Entry!$J$1195)</f>
        <v/>
      </c>
      <c r="N1192">
        <f>IF([2]Entry!$M$1195="","",[2]Entry!$M$1195)</f>
        <v/>
      </c>
      <c r="O1192">
        <f>IF([2]Entry!$N$1195="","",[2]Entry!$N$1195)</f>
        <v/>
      </c>
      <c r="P1192">
        <f>IF([2]Entry!$S$1195="","",[2]Entry!$S$1195)</f>
        <v/>
      </c>
    </row>
    <row r="1193">
      <c r="L1193">
        <f>IF([2]Entry!$C$1196="","",[2]Entry!$C$1196)</f>
        <v/>
      </c>
      <c r="M1193">
        <f>IF([2]Entry!$J$1196="","",[2]Entry!$J$1196)</f>
        <v/>
      </c>
      <c r="N1193">
        <f>IF([2]Entry!$M$1196="","",[2]Entry!$M$1196)</f>
        <v/>
      </c>
      <c r="O1193">
        <f>IF([2]Entry!$N$1196="","",[2]Entry!$N$1196)</f>
        <v/>
      </c>
      <c r="P1193">
        <f>IF([2]Entry!$S$1196="","",[2]Entry!$S$1196)</f>
        <v/>
      </c>
    </row>
    <row r="1194">
      <c r="L1194">
        <f>IF([2]Entry!$C$1197="","",[2]Entry!$C$1197)</f>
        <v/>
      </c>
      <c r="M1194">
        <f>IF([2]Entry!$J$1197="","",[2]Entry!$J$1197)</f>
        <v/>
      </c>
      <c r="N1194">
        <f>IF([2]Entry!$M$1197="","",[2]Entry!$M$1197)</f>
        <v/>
      </c>
      <c r="O1194">
        <f>IF([2]Entry!$N$1197="","",[2]Entry!$N$1197)</f>
        <v/>
      </c>
      <c r="P1194">
        <f>IF([2]Entry!$S$1197="","",[2]Entry!$S$1197)</f>
        <v/>
      </c>
    </row>
    <row r="1195">
      <c r="L1195">
        <f>IF([2]Entry!$C$1198="","",[2]Entry!$C$1198)</f>
        <v/>
      </c>
      <c r="M1195">
        <f>IF([2]Entry!$J$1198="","",[2]Entry!$J$1198)</f>
        <v/>
      </c>
      <c r="N1195">
        <f>IF([2]Entry!$M$1198="","",[2]Entry!$M$1198)</f>
        <v/>
      </c>
      <c r="O1195">
        <f>IF([2]Entry!$N$1198="","",[2]Entry!$N$1198)</f>
        <v/>
      </c>
      <c r="P1195">
        <f>IF([2]Entry!$S$1198="","",[2]Entry!$S$1198)</f>
        <v/>
      </c>
    </row>
    <row r="1196">
      <c r="L1196">
        <f>IF([2]Entry!$C$1199="","",[2]Entry!$C$1199)</f>
        <v/>
      </c>
      <c r="M1196">
        <f>IF([2]Entry!$J$1199="","",[2]Entry!$J$1199)</f>
        <v/>
      </c>
      <c r="N1196">
        <f>IF([2]Entry!$M$1199="","",[2]Entry!$M$1199)</f>
        <v/>
      </c>
      <c r="O1196">
        <f>IF([2]Entry!$N$1199="","",[2]Entry!$N$1199)</f>
        <v/>
      </c>
      <c r="P1196">
        <f>IF([2]Entry!$S$1199="","",[2]Entry!$S$1199)</f>
        <v/>
      </c>
    </row>
    <row r="1197">
      <c r="L1197">
        <f>IF([2]Entry!$C$1200="","",[2]Entry!$C$1200)</f>
        <v/>
      </c>
      <c r="M1197">
        <f>IF([2]Entry!$J$1200="","",[2]Entry!$J$1200)</f>
        <v/>
      </c>
      <c r="N1197">
        <f>IF([2]Entry!$M$1200="","",[2]Entry!$M$1200)</f>
        <v/>
      </c>
      <c r="O1197">
        <f>IF([2]Entry!$N$1200="","",[2]Entry!$N$1200)</f>
        <v/>
      </c>
      <c r="P1197">
        <f>IF([2]Entry!$S$1200="","",[2]Entry!$S$1200)</f>
        <v/>
      </c>
    </row>
    <row r="1198">
      <c r="L1198">
        <f>IF([2]Entry!$C$1201="","",[2]Entry!$C$1201)</f>
        <v/>
      </c>
      <c r="M1198">
        <f>IF([2]Entry!$J$1201="","",[2]Entry!$J$1201)</f>
        <v/>
      </c>
      <c r="N1198">
        <f>IF([2]Entry!$M$1201="","",[2]Entry!$M$1201)</f>
        <v/>
      </c>
      <c r="O1198">
        <f>IF([2]Entry!$N$1201="","",[2]Entry!$N$1201)</f>
        <v/>
      </c>
      <c r="P1198">
        <f>IF([2]Entry!$S$1201="","",[2]Entry!$S$1201)</f>
        <v/>
      </c>
    </row>
    <row r="1199">
      <c r="L1199">
        <f>IF([2]Entry!$C$1202="","",[2]Entry!$C$1202)</f>
        <v/>
      </c>
      <c r="M1199">
        <f>IF([2]Entry!$J$1202="","",[2]Entry!$J$1202)</f>
        <v/>
      </c>
      <c r="N1199">
        <f>IF([2]Entry!$M$1202="","",[2]Entry!$M$1202)</f>
        <v/>
      </c>
      <c r="O1199">
        <f>IF([2]Entry!$N$1202="","",[2]Entry!$N$1202)</f>
        <v/>
      </c>
      <c r="P1199">
        <f>IF([2]Entry!$S$1202="","",[2]Entry!$S$1202)</f>
        <v/>
      </c>
    </row>
    <row r="1200">
      <c r="L1200">
        <f>IF([2]Entry!$C$1203="","",[2]Entry!$C$1203)</f>
        <v/>
      </c>
      <c r="M1200">
        <f>IF([2]Entry!$J$1203="","",[2]Entry!$J$1203)</f>
        <v/>
      </c>
      <c r="N1200">
        <f>IF([2]Entry!$M$1203="","",[2]Entry!$M$1203)</f>
        <v/>
      </c>
      <c r="O1200">
        <f>IF([2]Entry!$N$1203="","",[2]Entry!$N$1203)</f>
        <v/>
      </c>
      <c r="P1200">
        <f>IF([2]Entry!$S$1203="","",[2]Entry!$S$1203)</f>
        <v/>
      </c>
    </row>
    <row r="1201">
      <c r="L1201">
        <f>IF([2]Entry!$C$1204="","",[2]Entry!$C$1204)</f>
        <v/>
      </c>
      <c r="M1201">
        <f>IF([2]Entry!$J$1204="","",[2]Entry!$J$1204)</f>
        <v/>
      </c>
      <c r="N1201">
        <f>IF([2]Entry!$M$1204="","",[2]Entry!$M$1204)</f>
        <v/>
      </c>
      <c r="O1201">
        <f>IF([2]Entry!$N$1204="","",[2]Entry!$N$1204)</f>
        <v/>
      </c>
      <c r="P1201">
        <f>IF([2]Entry!$S$1204="","",[2]Entry!$S$1204)</f>
        <v/>
      </c>
    </row>
    <row r="1202">
      <c r="L1202">
        <f>IF([2]Entry!$C$1205="","",[2]Entry!$C$1205)</f>
        <v/>
      </c>
      <c r="M1202">
        <f>IF([2]Entry!$J$1205="","",[2]Entry!$J$1205)</f>
        <v/>
      </c>
      <c r="N1202">
        <f>IF([2]Entry!$M$1205="","",[2]Entry!$M$1205)</f>
        <v/>
      </c>
      <c r="O1202">
        <f>IF([2]Entry!$N$1205="","",[2]Entry!$N$1205)</f>
        <v/>
      </c>
      <c r="P1202">
        <f>IF([2]Entry!$S$1205="","",[2]Entry!$S$1205)</f>
        <v/>
      </c>
    </row>
    <row r="1203">
      <c r="L1203">
        <f>IF([2]Entry!$C$1206="","",[2]Entry!$C$1206)</f>
        <v/>
      </c>
      <c r="M1203">
        <f>IF([2]Entry!$J$1206="","",[2]Entry!$J$1206)</f>
        <v/>
      </c>
      <c r="N1203">
        <f>IF([2]Entry!$M$1206="","",[2]Entry!$M$1206)</f>
        <v/>
      </c>
      <c r="O1203">
        <f>IF([2]Entry!$N$1206="","",[2]Entry!$N$1206)</f>
        <v/>
      </c>
      <c r="P1203">
        <f>IF([2]Entry!$S$1206="","",[2]Entry!$S$1206)</f>
        <v/>
      </c>
    </row>
    <row r="1204">
      <c r="L1204">
        <f>IF([2]Entry!$C$1207="","",[2]Entry!$C$1207)</f>
        <v/>
      </c>
      <c r="M1204">
        <f>IF([2]Entry!$J$1207="","",[2]Entry!$J$1207)</f>
        <v/>
      </c>
      <c r="N1204">
        <f>IF([2]Entry!$M$1207="","",[2]Entry!$M$1207)</f>
        <v/>
      </c>
      <c r="O1204">
        <f>IF([2]Entry!$N$1207="","",[2]Entry!$N$1207)</f>
        <v/>
      </c>
      <c r="P1204">
        <f>IF([2]Entry!$S$1207="","",[2]Entry!$S$1207)</f>
        <v/>
      </c>
    </row>
    <row r="1205">
      <c r="L1205">
        <f>IF([2]Entry!$C$1208="","",[2]Entry!$C$1208)</f>
        <v/>
      </c>
      <c r="M1205">
        <f>IF([2]Entry!$J$1208="","",[2]Entry!$J$1208)</f>
        <v/>
      </c>
      <c r="N1205">
        <f>IF([2]Entry!$M$1208="","",[2]Entry!$M$1208)</f>
        <v/>
      </c>
      <c r="O1205">
        <f>IF([2]Entry!$N$1208="","",[2]Entry!$N$1208)</f>
        <v/>
      </c>
      <c r="P1205">
        <f>IF([2]Entry!$S$1208="","",[2]Entry!$S$1208)</f>
        <v/>
      </c>
    </row>
    <row r="1206">
      <c r="L1206">
        <f>IF([2]Entry!$C$1209="","",[2]Entry!$C$1209)</f>
        <v/>
      </c>
      <c r="M1206">
        <f>IF([2]Entry!$J$1209="","",[2]Entry!$J$1209)</f>
        <v/>
      </c>
      <c r="N1206">
        <f>IF([2]Entry!$M$1209="","",[2]Entry!$M$1209)</f>
        <v/>
      </c>
      <c r="O1206">
        <f>IF([2]Entry!$N$1209="","",[2]Entry!$N$1209)</f>
        <v/>
      </c>
      <c r="P1206">
        <f>IF([2]Entry!$S$1209="","",[2]Entry!$S$1209)</f>
        <v/>
      </c>
    </row>
    <row r="1207">
      <c r="L1207">
        <f>IF([2]Entry!$C$1210="","",[2]Entry!$C$1210)</f>
        <v/>
      </c>
      <c r="M1207">
        <f>IF([2]Entry!$J$1210="","",[2]Entry!$J$1210)</f>
        <v/>
      </c>
      <c r="N1207">
        <f>IF([2]Entry!$M$1210="","",[2]Entry!$M$1210)</f>
        <v/>
      </c>
      <c r="O1207">
        <f>IF([2]Entry!$N$1210="","",[2]Entry!$N$1210)</f>
        <v/>
      </c>
      <c r="P1207">
        <f>IF([2]Entry!$S$1210="","",[2]Entry!$S$1210)</f>
        <v/>
      </c>
    </row>
    <row r="1208">
      <c r="L1208">
        <f>IF([2]Entry!$C$1211="","",[2]Entry!$C$1211)</f>
        <v/>
      </c>
      <c r="M1208">
        <f>IF([2]Entry!$J$1211="","",[2]Entry!$J$1211)</f>
        <v/>
      </c>
      <c r="N1208">
        <f>IF([2]Entry!$M$1211="","",[2]Entry!$M$1211)</f>
        <v/>
      </c>
      <c r="O1208">
        <f>IF([2]Entry!$N$1211="","",[2]Entry!$N$1211)</f>
        <v/>
      </c>
      <c r="P1208">
        <f>IF([2]Entry!$S$1211="","",[2]Entry!$S$1211)</f>
        <v/>
      </c>
    </row>
    <row r="1209">
      <c r="L1209">
        <f>IF([2]Entry!$C$1212="","",[2]Entry!$C$1212)</f>
        <v/>
      </c>
      <c r="M1209">
        <f>IF([2]Entry!$J$1212="","",[2]Entry!$J$1212)</f>
        <v/>
      </c>
      <c r="N1209">
        <f>IF([2]Entry!$M$1212="","",[2]Entry!$M$1212)</f>
        <v/>
      </c>
      <c r="O1209">
        <f>IF([2]Entry!$N$1212="","",[2]Entry!$N$1212)</f>
        <v/>
      </c>
      <c r="P1209">
        <f>IF([2]Entry!$S$1212="","",[2]Entry!$S$1212)</f>
        <v/>
      </c>
    </row>
    <row r="1210">
      <c r="L1210">
        <f>IF([2]Entry!$C$1213="","",[2]Entry!$C$1213)</f>
        <v/>
      </c>
      <c r="M1210">
        <f>IF([2]Entry!$J$1213="","",[2]Entry!$J$1213)</f>
        <v/>
      </c>
      <c r="N1210">
        <f>IF([2]Entry!$M$1213="","",[2]Entry!$M$1213)</f>
        <v/>
      </c>
      <c r="O1210">
        <f>IF([2]Entry!$N$1213="","",[2]Entry!$N$1213)</f>
        <v/>
      </c>
      <c r="P1210">
        <f>IF([2]Entry!$S$1213="","",[2]Entry!$S$1213)</f>
        <v/>
      </c>
    </row>
    <row r="1211">
      <c r="L1211">
        <f>IF([2]Entry!$C$1214="","",[2]Entry!$C$1214)</f>
        <v/>
      </c>
      <c r="M1211">
        <f>IF([2]Entry!$J$1214="","",[2]Entry!$J$1214)</f>
        <v/>
      </c>
      <c r="N1211">
        <f>IF([2]Entry!$M$1214="","",[2]Entry!$M$1214)</f>
        <v/>
      </c>
      <c r="O1211">
        <f>IF([2]Entry!$N$1214="","",[2]Entry!$N$1214)</f>
        <v/>
      </c>
      <c r="P1211">
        <f>IF([2]Entry!$S$1214="","",[2]Entry!$S$1214)</f>
        <v/>
      </c>
    </row>
    <row r="1212">
      <c r="L1212">
        <f>IF([2]Entry!$C$1215="","",[2]Entry!$C$1215)</f>
        <v/>
      </c>
      <c r="M1212">
        <f>IF([2]Entry!$J$1215="","",[2]Entry!$J$1215)</f>
        <v/>
      </c>
      <c r="N1212">
        <f>IF([2]Entry!$M$1215="","",[2]Entry!$M$1215)</f>
        <v/>
      </c>
      <c r="O1212">
        <f>IF([2]Entry!$N$1215="","",[2]Entry!$N$1215)</f>
        <v/>
      </c>
      <c r="P1212">
        <f>IF([2]Entry!$S$1215="","",[2]Entry!$S$1215)</f>
        <v/>
      </c>
    </row>
    <row r="1213">
      <c r="L1213">
        <f>IF([2]Entry!$C$1216="","",[2]Entry!$C$1216)</f>
        <v/>
      </c>
      <c r="M1213">
        <f>IF([2]Entry!$J$1216="","",[2]Entry!$J$1216)</f>
        <v/>
      </c>
      <c r="N1213">
        <f>IF([2]Entry!$M$1216="","",[2]Entry!$M$1216)</f>
        <v/>
      </c>
      <c r="O1213">
        <f>IF([2]Entry!$N$1216="","",[2]Entry!$N$1216)</f>
        <v/>
      </c>
      <c r="P1213">
        <f>IF([2]Entry!$S$1216="","",[2]Entry!$S$1216)</f>
        <v/>
      </c>
    </row>
    <row r="1214">
      <c r="L1214">
        <f>IF([2]Entry!$C$1217="","",[2]Entry!$C$1217)</f>
        <v/>
      </c>
      <c r="M1214">
        <f>IF([2]Entry!$J$1217="","",[2]Entry!$J$1217)</f>
        <v/>
      </c>
      <c r="N1214">
        <f>IF([2]Entry!$M$1217="","",[2]Entry!$M$1217)</f>
        <v/>
      </c>
      <c r="O1214">
        <f>IF([2]Entry!$N$1217="","",[2]Entry!$N$1217)</f>
        <v/>
      </c>
      <c r="P1214">
        <f>IF([2]Entry!$S$1217="","",[2]Entry!$S$1217)</f>
        <v/>
      </c>
    </row>
    <row r="1215">
      <c r="L1215">
        <f>IF([2]Entry!$C$1218="","",[2]Entry!$C$1218)</f>
        <v/>
      </c>
      <c r="M1215">
        <f>IF([2]Entry!$J$1218="","",[2]Entry!$J$1218)</f>
        <v/>
      </c>
      <c r="N1215">
        <f>IF([2]Entry!$M$1218="","",[2]Entry!$M$1218)</f>
        <v/>
      </c>
      <c r="O1215">
        <f>IF([2]Entry!$N$1218="","",[2]Entry!$N$1218)</f>
        <v/>
      </c>
      <c r="P1215">
        <f>IF([2]Entry!$S$1218="","",[2]Entry!$S$1218)</f>
        <v/>
      </c>
    </row>
    <row r="1216">
      <c r="L1216">
        <f>IF([2]Entry!$C$1219="","",[2]Entry!$C$1219)</f>
        <v/>
      </c>
      <c r="M1216">
        <f>IF([2]Entry!$J$1219="","",[2]Entry!$J$1219)</f>
        <v/>
      </c>
      <c r="N1216">
        <f>IF([2]Entry!$M$1219="","",[2]Entry!$M$1219)</f>
        <v/>
      </c>
      <c r="O1216">
        <f>IF([2]Entry!$N$1219="","",[2]Entry!$N$1219)</f>
        <v/>
      </c>
      <c r="P1216">
        <f>IF([2]Entry!$S$1219="","",[2]Entry!$S$1219)</f>
        <v/>
      </c>
    </row>
    <row r="1217">
      <c r="L1217">
        <f>IF([2]Entry!$C$1220="","",[2]Entry!$C$1220)</f>
        <v/>
      </c>
      <c r="M1217">
        <f>IF([2]Entry!$J$1220="","",[2]Entry!$J$1220)</f>
        <v/>
      </c>
      <c r="N1217">
        <f>IF([2]Entry!$M$1220="","",[2]Entry!$M$1220)</f>
        <v/>
      </c>
      <c r="O1217">
        <f>IF([2]Entry!$N$1220="","",[2]Entry!$N$1220)</f>
        <v/>
      </c>
      <c r="P1217">
        <f>IF([2]Entry!$S$1220="","",[2]Entry!$S$1220)</f>
        <v/>
      </c>
    </row>
    <row r="1218">
      <c r="L1218">
        <f>IF([2]Entry!$C$1221="","",[2]Entry!$C$1221)</f>
        <v/>
      </c>
      <c r="M1218">
        <f>IF([2]Entry!$J$1221="","",[2]Entry!$J$1221)</f>
        <v/>
      </c>
      <c r="N1218">
        <f>IF([2]Entry!$M$1221="","",[2]Entry!$M$1221)</f>
        <v/>
      </c>
      <c r="O1218">
        <f>IF([2]Entry!$N$1221="","",[2]Entry!$N$1221)</f>
        <v/>
      </c>
      <c r="P1218">
        <f>IF([2]Entry!$S$1221="","",[2]Entry!$S$1221)</f>
        <v/>
      </c>
    </row>
    <row r="1219">
      <c r="L1219">
        <f>IF([2]Entry!$C$1222="","",[2]Entry!$C$1222)</f>
        <v/>
      </c>
      <c r="M1219">
        <f>IF([2]Entry!$J$1222="","",[2]Entry!$J$1222)</f>
        <v/>
      </c>
      <c r="N1219">
        <f>IF([2]Entry!$M$1222="","",[2]Entry!$M$1222)</f>
        <v/>
      </c>
      <c r="O1219">
        <f>IF([2]Entry!$N$1222="","",[2]Entry!$N$1222)</f>
        <v/>
      </c>
      <c r="P1219">
        <f>IF([2]Entry!$S$1222="","",[2]Entry!$S$1222)</f>
        <v/>
      </c>
    </row>
    <row r="1220">
      <c r="L1220">
        <f>IF([2]Entry!$C$1223="","",[2]Entry!$C$1223)</f>
        <v/>
      </c>
      <c r="M1220">
        <f>IF([2]Entry!$J$1223="","",[2]Entry!$J$1223)</f>
        <v/>
      </c>
      <c r="N1220">
        <f>IF([2]Entry!$M$1223="","",[2]Entry!$M$1223)</f>
        <v/>
      </c>
      <c r="O1220">
        <f>IF([2]Entry!$N$1223="","",[2]Entry!$N$1223)</f>
        <v/>
      </c>
      <c r="P1220">
        <f>IF([2]Entry!$S$1223="","",[2]Entry!$S$1223)</f>
        <v/>
      </c>
    </row>
    <row r="1221">
      <c r="L1221">
        <f>IF([2]Entry!$C$1224="","",[2]Entry!$C$1224)</f>
        <v/>
      </c>
      <c r="M1221">
        <f>IF([2]Entry!$J$1224="","",[2]Entry!$J$1224)</f>
        <v/>
      </c>
      <c r="N1221">
        <f>IF([2]Entry!$M$1224="","",[2]Entry!$M$1224)</f>
        <v/>
      </c>
      <c r="O1221">
        <f>IF([2]Entry!$N$1224="","",[2]Entry!$N$1224)</f>
        <v/>
      </c>
      <c r="P1221">
        <f>IF([2]Entry!$S$1224="","",[2]Entry!$S$1224)</f>
        <v/>
      </c>
    </row>
    <row r="1222">
      <c r="L1222">
        <f>IF([2]Entry!$C$1225="","",[2]Entry!$C$1225)</f>
        <v/>
      </c>
      <c r="M1222">
        <f>IF([2]Entry!$J$1225="","",[2]Entry!$J$1225)</f>
        <v/>
      </c>
      <c r="N1222">
        <f>IF([2]Entry!$M$1225="","",[2]Entry!$M$1225)</f>
        <v/>
      </c>
      <c r="O1222">
        <f>IF([2]Entry!$N$1225="","",[2]Entry!$N$1225)</f>
        <v/>
      </c>
      <c r="P1222">
        <f>IF([2]Entry!$S$1225="","",[2]Entry!$S$1225)</f>
        <v/>
      </c>
    </row>
    <row r="1223">
      <c r="L1223">
        <f>IF([2]Entry!$C$1226="","",[2]Entry!$C$1226)</f>
        <v/>
      </c>
      <c r="M1223">
        <f>IF([2]Entry!$J$1226="","",[2]Entry!$J$1226)</f>
        <v/>
      </c>
      <c r="N1223">
        <f>IF([2]Entry!$M$1226="","",[2]Entry!$M$1226)</f>
        <v/>
      </c>
      <c r="O1223">
        <f>IF([2]Entry!$N$1226="","",[2]Entry!$N$1226)</f>
        <v/>
      </c>
      <c r="P1223">
        <f>IF([2]Entry!$S$1226="","",[2]Entry!$S$1226)</f>
        <v/>
      </c>
    </row>
    <row r="1224">
      <c r="L1224">
        <f>IF([2]Entry!$C$1227="","",[2]Entry!$C$1227)</f>
        <v/>
      </c>
      <c r="M1224">
        <f>IF([2]Entry!$J$1227="","",[2]Entry!$J$1227)</f>
        <v/>
      </c>
      <c r="N1224">
        <f>IF([2]Entry!$M$1227="","",[2]Entry!$M$1227)</f>
        <v/>
      </c>
      <c r="O1224">
        <f>IF([2]Entry!$N$1227="","",[2]Entry!$N$1227)</f>
        <v/>
      </c>
      <c r="P1224">
        <f>IF([2]Entry!$S$1227="","",[2]Entry!$S$1227)</f>
        <v/>
      </c>
    </row>
    <row r="1225">
      <c r="L1225">
        <f>IF([2]Entry!$C$1228="","",[2]Entry!$C$1228)</f>
        <v/>
      </c>
      <c r="M1225">
        <f>IF([2]Entry!$J$1228="","",[2]Entry!$J$1228)</f>
        <v/>
      </c>
      <c r="N1225">
        <f>IF([2]Entry!$M$1228="","",[2]Entry!$M$1228)</f>
        <v/>
      </c>
      <c r="O1225">
        <f>IF([2]Entry!$N$1228="","",[2]Entry!$N$1228)</f>
        <v/>
      </c>
      <c r="P1225">
        <f>IF([2]Entry!$S$1228="","",[2]Entry!$S$1228)</f>
        <v/>
      </c>
    </row>
    <row r="1226">
      <c r="L1226">
        <f>IF([2]Entry!$C$1229="","",[2]Entry!$C$1229)</f>
        <v/>
      </c>
      <c r="M1226">
        <f>IF([2]Entry!$J$1229="","",[2]Entry!$J$1229)</f>
        <v/>
      </c>
      <c r="N1226">
        <f>IF([2]Entry!$M$1229="","",[2]Entry!$M$1229)</f>
        <v/>
      </c>
      <c r="O1226">
        <f>IF([2]Entry!$N$1229="","",[2]Entry!$N$1229)</f>
        <v/>
      </c>
      <c r="P1226">
        <f>IF([2]Entry!$S$1229="","",[2]Entry!$S$1229)</f>
        <v/>
      </c>
    </row>
    <row r="1227">
      <c r="L1227">
        <f>IF([2]Entry!$C$1230="","",[2]Entry!$C$1230)</f>
        <v/>
      </c>
      <c r="M1227">
        <f>IF([2]Entry!$J$1230="","",[2]Entry!$J$1230)</f>
        <v/>
      </c>
      <c r="N1227">
        <f>IF([2]Entry!$M$1230="","",[2]Entry!$M$1230)</f>
        <v/>
      </c>
      <c r="O1227">
        <f>IF([2]Entry!$N$1230="","",[2]Entry!$N$1230)</f>
        <v/>
      </c>
      <c r="P1227">
        <f>IF([2]Entry!$S$1230="","",[2]Entry!$S$1230)</f>
        <v/>
      </c>
    </row>
    <row r="1228">
      <c r="L1228">
        <f>IF([2]Entry!$C$1231="","",[2]Entry!$C$1231)</f>
        <v/>
      </c>
      <c r="M1228">
        <f>IF([2]Entry!$J$1231="","",[2]Entry!$J$1231)</f>
        <v/>
      </c>
      <c r="N1228">
        <f>IF([2]Entry!$M$1231="","",[2]Entry!$M$1231)</f>
        <v/>
      </c>
      <c r="O1228">
        <f>IF([2]Entry!$N$1231="","",[2]Entry!$N$1231)</f>
        <v/>
      </c>
      <c r="P1228">
        <f>IF([2]Entry!$S$1231="","",[2]Entry!$S$1231)</f>
        <v/>
      </c>
    </row>
    <row r="1229">
      <c r="L1229">
        <f>IF([2]Entry!$C$1232="","",[2]Entry!$C$1232)</f>
        <v/>
      </c>
      <c r="M1229">
        <f>IF([2]Entry!$J$1232="","",[2]Entry!$J$1232)</f>
        <v/>
      </c>
      <c r="N1229">
        <f>IF([2]Entry!$M$1232="","",[2]Entry!$M$1232)</f>
        <v/>
      </c>
      <c r="O1229">
        <f>IF([2]Entry!$N$1232="","",[2]Entry!$N$1232)</f>
        <v/>
      </c>
      <c r="P1229">
        <f>IF([2]Entry!$S$1232="","",[2]Entry!$S$1232)</f>
        <v/>
      </c>
    </row>
    <row r="1230">
      <c r="L1230">
        <f>IF([2]Entry!$C$1233="","",[2]Entry!$C$1233)</f>
        <v/>
      </c>
      <c r="M1230">
        <f>IF([2]Entry!$J$1233="","",[2]Entry!$J$1233)</f>
        <v/>
      </c>
      <c r="N1230">
        <f>IF([2]Entry!$M$1233="","",[2]Entry!$M$1233)</f>
        <v/>
      </c>
      <c r="O1230">
        <f>IF([2]Entry!$N$1233="","",[2]Entry!$N$1233)</f>
        <v/>
      </c>
      <c r="P1230">
        <f>IF([2]Entry!$S$1233="","",[2]Entry!$S$1233)</f>
        <v/>
      </c>
    </row>
    <row r="1231">
      <c r="L1231">
        <f>IF([2]Entry!$C$1234="","",[2]Entry!$C$1234)</f>
        <v/>
      </c>
      <c r="M1231">
        <f>IF([2]Entry!$J$1234="","",[2]Entry!$J$1234)</f>
        <v/>
      </c>
      <c r="N1231">
        <f>IF([2]Entry!$M$1234="","",[2]Entry!$M$1234)</f>
        <v/>
      </c>
      <c r="O1231">
        <f>IF([2]Entry!$N$1234="","",[2]Entry!$N$1234)</f>
        <v/>
      </c>
      <c r="P1231">
        <f>IF([2]Entry!$S$1234="","",[2]Entry!$S$1234)</f>
        <v/>
      </c>
    </row>
    <row r="1232">
      <c r="L1232">
        <f>IF([2]Entry!$C$1235="","",[2]Entry!$C$1235)</f>
        <v/>
      </c>
      <c r="M1232">
        <f>IF([2]Entry!$J$1235="","",[2]Entry!$J$1235)</f>
        <v/>
      </c>
      <c r="N1232">
        <f>IF([2]Entry!$M$1235="","",[2]Entry!$M$1235)</f>
        <v/>
      </c>
      <c r="O1232">
        <f>IF([2]Entry!$N$1235="","",[2]Entry!$N$1235)</f>
        <v/>
      </c>
      <c r="P1232">
        <f>IF([2]Entry!$S$1235="","",[2]Entry!$S$1235)</f>
        <v/>
      </c>
    </row>
    <row r="1233">
      <c r="L1233">
        <f>IF([2]Entry!$C$1236="","",[2]Entry!$C$1236)</f>
        <v/>
      </c>
      <c r="M1233">
        <f>IF([2]Entry!$J$1236="","",[2]Entry!$J$1236)</f>
        <v/>
      </c>
      <c r="N1233">
        <f>IF([2]Entry!$M$1236="","",[2]Entry!$M$1236)</f>
        <v/>
      </c>
      <c r="O1233">
        <f>IF([2]Entry!$N$1236="","",[2]Entry!$N$1236)</f>
        <v/>
      </c>
      <c r="P1233">
        <f>IF([2]Entry!$S$1236="","",[2]Entry!$S$1236)</f>
        <v/>
      </c>
    </row>
    <row r="1234">
      <c r="L1234">
        <f>IF([2]Entry!$C$1237="","",[2]Entry!$C$1237)</f>
        <v/>
      </c>
      <c r="M1234">
        <f>IF([2]Entry!$J$1237="","",[2]Entry!$J$1237)</f>
        <v/>
      </c>
      <c r="N1234">
        <f>IF([2]Entry!$M$1237="","",[2]Entry!$M$1237)</f>
        <v/>
      </c>
      <c r="O1234">
        <f>IF([2]Entry!$N$1237="","",[2]Entry!$N$1237)</f>
        <v/>
      </c>
      <c r="P1234">
        <f>IF([2]Entry!$S$1237="","",[2]Entry!$S$1237)</f>
        <v/>
      </c>
    </row>
    <row r="1235">
      <c r="L1235">
        <f>IF([2]Entry!$C$1238="","",[2]Entry!$C$1238)</f>
        <v/>
      </c>
      <c r="M1235">
        <f>IF([2]Entry!$J$1238="","",[2]Entry!$J$1238)</f>
        <v/>
      </c>
      <c r="N1235">
        <f>IF([2]Entry!$M$1238="","",[2]Entry!$M$1238)</f>
        <v/>
      </c>
      <c r="O1235">
        <f>IF([2]Entry!$N$1238="","",[2]Entry!$N$1238)</f>
        <v/>
      </c>
      <c r="P1235">
        <f>IF([2]Entry!$S$1238="","",[2]Entry!$S$1238)</f>
        <v/>
      </c>
    </row>
    <row r="1236">
      <c r="L1236">
        <f>IF([2]Entry!$C$1239="","",[2]Entry!$C$1239)</f>
        <v/>
      </c>
      <c r="M1236">
        <f>IF([2]Entry!$J$1239="","",[2]Entry!$J$1239)</f>
        <v/>
      </c>
      <c r="N1236">
        <f>IF([2]Entry!$M$1239="","",[2]Entry!$M$1239)</f>
        <v/>
      </c>
      <c r="O1236">
        <f>IF([2]Entry!$N$1239="","",[2]Entry!$N$1239)</f>
        <v/>
      </c>
      <c r="P1236">
        <f>IF([2]Entry!$S$1239="","",[2]Entry!$S$1239)</f>
        <v/>
      </c>
    </row>
    <row r="1237">
      <c r="L1237">
        <f>IF([2]Entry!$C$1240="","",[2]Entry!$C$1240)</f>
        <v/>
      </c>
      <c r="M1237">
        <f>IF([2]Entry!$J$1240="","",[2]Entry!$J$1240)</f>
        <v/>
      </c>
      <c r="N1237">
        <f>IF([2]Entry!$M$1240="","",[2]Entry!$M$1240)</f>
        <v/>
      </c>
      <c r="O1237">
        <f>IF([2]Entry!$N$1240="","",[2]Entry!$N$1240)</f>
        <v/>
      </c>
      <c r="P1237">
        <f>IF([2]Entry!$S$1240="","",[2]Entry!$S$1240)</f>
        <v/>
      </c>
    </row>
    <row r="1238">
      <c r="L1238">
        <f>IF([2]Entry!$C$1241="","",[2]Entry!$C$1241)</f>
        <v/>
      </c>
      <c r="M1238">
        <f>IF([2]Entry!$J$1241="","",[2]Entry!$J$1241)</f>
        <v/>
      </c>
      <c r="N1238">
        <f>IF([2]Entry!$M$1241="","",[2]Entry!$M$1241)</f>
        <v/>
      </c>
      <c r="O1238">
        <f>IF([2]Entry!$N$1241="","",[2]Entry!$N$1241)</f>
        <v/>
      </c>
      <c r="P1238">
        <f>IF([2]Entry!$S$1241="","",[2]Entry!$S$1241)</f>
        <v/>
      </c>
    </row>
    <row r="1239">
      <c r="L1239">
        <f>IF([2]Entry!$C$1242="","",[2]Entry!$C$1242)</f>
        <v/>
      </c>
      <c r="M1239">
        <f>IF([2]Entry!$J$1242="","",[2]Entry!$J$1242)</f>
        <v/>
      </c>
      <c r="N1239">
        <f>IF([2]Entry!$M$1242="","",[2]Entry!$M$1242)</f>
        <v/>
      </c>
      <c r="O1239">
        <f>IF([2]Entry!$N$1242="","",[2]Entry!$N$1242)</f>
        <v/>
      </c>
      <c r="P1239">
        <f>IF([2]Entry!$S$1242="","",[2]Entry!$S$1242)</f>
        <v/>
      </c>
    </row>
    <row r="1240">
      <c r="L1240">
        <f>IF([2]Entry!$C$1243="","",[2]Entry!$C$1243)</f>
        <v/>
      </c>
      <c r="M1240">
        <f>IF([2]Entry!$J$1243="","",[2]Entry!$J$1243)</f>
        <v/>
      </c>
      <c r="N1240">
        <f>IF([2]Entry!$M$1243="","",[2]Entry!$M$1243)</f>
        <v/>
      </c>
      <c r="O1240">
        <f>IF([2]Entry!$N$1243="","",[2]Entry!$N$1243)</f>
        <v/>
      </c>
      <c r="P1240">
        <f>IF([2]Entry!$S$1243="","",[2]Entry!$S$1243)</f>
        <v/>
      </c>
    </row>
    <row r="1241">
      <c r="L1241">
        <f>IF([2]Entry!$C$1244="","",[2]Entry!$C$1244)</f>
        <v/>
      </c>
      <c r="M1241">
        <f>IF([2]Entry!$J$1244="","",[2]Entry!$J$1244)</f>
        <v/>
      </c>
      <c r="N1241">
        <f>IF([2]Entry!$M$1244="","",[2]Entry!$M$1244)</f>
        <v/>
      </c>
      <c r="O1241">
        <f>IF([2]Entry!$N$1244="","",[2]Entry!$N$1244)</f>
        <v/>
      </c>
      <c r="P1241">
        <f>IF([2]Entry!$S$1244="","",[2]Entry!$S$1244)</f>
        <v/>
      </c>
    </row>
    <row r="1242">
      <c r="L1242">
        <f>IF([2]Entry!$C$1245="","",[2]Entry!$C$1245)</f>
        <v/>
      </c>
      <c r="M1242">
        <f>IF([2]Entry!$J$1245="","",[2]Entry!$J$1245)</f>
        <v/>
      </c>
      <c r="N1242">
        <f>IF([2]Entry!$M$1245="","",[2]Entry!$M$1245)</f>
        <v/>
      </c>
      <c r="O1242">
        <f>IF([2]Entry!$N$1245="","",[2]Entry!$N$1245)</f>
        <v/>
      </c>
      <c r="P1242">
        <f>IF([2]Entry!$S$1245="","",[2]Entry!$S$1245)</f>
        <v/>
      </c>
    </row>
    <row r="1243">
      <c r="L1243">
        <f>IF([2]Entry!$C$1246="","",[2]Entry!$C$1246)</f>
        <v/>
      </c>
      <c r="M1243">
        <f>IF([2]Entry!$J$1246="","",[2]Entry!$J$1246)</f>
        <v/>
      </c>
      <c r="N1243">
        <f>IF([2]Entry!$M$1246="","",[2]Entry!$M$1246)</f>
        <v/>
      </c>
      <c r="O1243">
        <f>IF([2]Entry!$N$1246="","",[2]Entry!$N$1246)</f>
        <v/>
      </c>
      <c r="P1243">
        <f>IF([2]Entry!$S$1246="","",[2]Entry!$S$1246)</f>
        <v/>
      </c>
    </row>
    <row r="1244">
      <c r="L1244">
        <f>IF([2]Entry!$C$1247="","",[2]Entry!$C$1247)</f>
        <v/>
      </c>
      <c r="M1244">
        <f>IF([2]Entry!$J$1247="","",[2]Entry!$J$1247)</f>
        <v/>
      </c>
      <c r="N1244">
        <f>IF([2]Entry!$M$1247="","",[2]Entry!$M$1247)</f>
        <v/>
      </c>
      <c r="O1244">
        <f>IF([2]Entry!$N$1247="","",[2]Entry!$N$1247)</f>
        <v/>
      </c>
      <c r="P1244">
        <f>IF([2]Entry!$S$1247="","",[2]Entry!$S$1247)</f>
        <v/>
      </c>
    </row>
    <row r="1245">
      <c r="L1245">
        <f>IF([2]Entry!$C$1248="","",[2]Entry!$C$1248)</f>
        <v/>
      </c>
      <c r="M1245">
        <f>IF([2]Entry!$J$1248="","",[2]Entry!$J$1248)</f>
        <v/>
      </c>
      <c r="N1245">
        <f>IF([2]Entry!$M$1248="","",[2]Entry!$M$1248)</f>
        <v/>
      </c>
      <c r="O1245">
        <f>IF([2]Entry!$N$1248="","",[2]Entry!$N$1248)</f>
        <v/>
      </c>
      <c r="P1245">
        <f>IF([2]Entry!$S$1248="","",[2]Entry!$S$1248)</f>
        <v/>
      </c>
    </row>
    <row r="1246">
      <c r="L1246">
        <f>IF([2]Entry!$C$1249="","",[2]Entry!$C$1249)</f>
        <v/>
      </c>
      <c r="M1246">
        <f>IF([2]Entry!$J$1249="","",[2]Entry!$J$1249)</f>
        <v/>
      </c>
      <c r="N1246">
        <f>IF([2]Entry!$M$1249="","",[2]Entry!$M$1249)</f>
        <v/>
      </c>
      <c r="O1246">
        <f>IF([2]Entry!$N$1249="","",[2]Entry!$N$1249)</f>
        <v/>
      </c>
      <c r="P1246">
        <f>IF([2]Entry!$S$1249="","",[2]Entry!$S$1249)</f>
        <v/>
      </c>
    </row>
    <row r="1247">
      <c r="L1247">
        <f>IF([2]Entry!$C$1250="","",[2]Entry!$C$1250)</f>
        <v/>
      </c>
      <c r="M1247">
        <f>IF([2]Entry!$J$1250="","",[2]Entry!$J$1250)</f>
        <v/>
      </c>
      <c r="N1247">
        <f>IF([2]Entry!$M$1250="","",[2]Entry!$M$1250)</f>
        <v/>
      </c>
      <c r="O1247">
        <f>IF([2]Entry!$N$1250="","",[2]Entry!$N$1250)</f>
        <v/>
      </c>
      <c r="P1247">
        <f>IF([2]Entry!$S$1250="","",[2]Entry!$S$1250)</f>
        <v/>
      </c>
    </row>
    <row r="1248">
      <c r="L1248">
        <f>IF([2]Entry!$C$1251="","",[2]Entry!$C$1251)</f>
        <v/>
      </c>
      <c r="M1248">
        <f>IF([2]Entry!$J$1251="","",[2]Entry!$J$1251)</f>
        <v/>
      </c>
      <c r="N1248">
        <f>IF([2]Entry!$M$1251="","",[2]Entry!$M$1251)</f>
        <v/>
      </c>
      <c r="O1248">
        <f>IF([2]Entry!$N$1251="","",[2]Entry!$N$1251)</f>
        <v/>
      </c>
      <c r="P1248">
        <f>IF([2]Entry!$S$1251="","",[2]Entry!$S$1251)</f>
        <v/>
      </c>
    </row>
    <row r="1249">
      <c r="L1249">
        <f>IF([2]Entry!$C$1252="","",[2]Entry!$C$1252)</f>
        <v/>
      </c>
      <c r="M1249">
        <f>IF([2]Entry!$J$1252="","",[2]Entry!$J$1252)</f>
        <v/>
      </c>
      <c r="N1249">
        <f>IF([2]Entry!$M$1252="","",[2]Entry!$M$1252)</f>
        <v/>
      </c>
      <c r="O1249">
        <f>IF([2]Entry!$N$1252="","",[2]Entry!$N$1252)</f>
        <v/>
      </c>
      <c r="P1249">
        <f>IF([2]Entry!$S$1252="","",[2]Entry!$S$1252)</f>
        <v/>
      </c>
    </row>
    <row r="1250">
      <c r="L1250">
        <f>IF([2]Entry!$C$1253="","",[2]Entry!$C$1253)</f>
        <v/>
      </c>
      <c r="M1250">
        <f>IF([2]Entry!$J$1253="","",[2]Entry!$J$1253)</f>
        <v/>
      </c>
      <c r="N1250">
        <f>IF([2]Entry!$M$1253="","",[2]Entry!$M$1253)</f>
        <v/>
      </c>
      <c r="O1250">
        <f>IF([2]Entry!$N$1253="","",[2]Entry!$N$1253)</f>
        <v/>
      </c>
      <c r="P1250">
        <f>IF([2]Entry!$S$1253="","",[2]Entry!$S$1253)</f>
        <v/>
      </c>
    </row>
    <row r="1251">
      <c r="L1251">
        <f>IF([2]Entry!$C$1254="","",[2]Entry!$C$1254)</f>
        <v/>
      </c>
      <c r="M1251">
        <f>IF([2]Entry!$J$1254="","",[2]Entry!$J$1254)</f>
        <v/>
      </c>
      <c r="N1251">
        <f>IF([2]Entry!$M$1254="","",[2]Entry!$M$1254)</f>
        <v/>
      </c>
      <c r="O1251">
        <f>IF([2]Entry!$N$1254="","",[2]Entry!$N$1254)</f>
        <v/>
      </c>
      <c r="P1251">
        <f>IF([2]Entry!$S$1254="","",[2]Entry!$S$1254)</f>
        <v/>
      </c>
    </row>
    <row r="1252">
      <c r="L1252">
        <f>IF([2]Entry!$C$1255="","",[2]Entry!$C$1255)</f>
        <v/>
      </c>
      <c r="M1252">
        <f>IF([2]Entry!$J$1255="","",[2]Entry!$J$1255)</f>
        <v/>
      </c>
      <c r="N1252">
        <f>IF([2]Entry!$M$1255="","",[2]Entry!$M$1255)</f>
        <v/>
      </c>
      <c r="O1252">
        <f>IF([2]Entry!$N$1255="","",[2]Entry!$N$1255)</f>
        <v/>
      </c>
      <c r="P1252">
        <f>IF([2]Entry!$S$1255="","",[2]Entry!$S$1255)</f>
        <v/>
      </c>
    </row>
    <row r="1253">
      <c r="L1253">
        <f>IF([2]Entry!$C$1256="","",[2]Entry!$C$1256)</f>
        <v/>
      </c>
      <c r="M1253">
        <f>IF([2]Entry!$J$1256="","",[2]Entry!$J$1256)</f>
        <v/>
      </c>
      <c r="N1253">
        <f>IF([2]Entry!$M$1256="","",[2]Entry!$M$1256)</f>
        <v/>
      </c>
      <c r="O1253">
        <f>IF([2]Entry!$N$1256="","",[2]Entry!$N$1256)</f>
        <v/>
      </c>
      <c r="P1253">
        <f>IF([2]Entry!$S$1256="","",[2]Entry!$S$1256)</f>
        <v/>
      </c>
    </row>
    <row r="1254">
      <c r="L1254">
        <f>IF([2]Entry!$C$1257="","",[2]Entry!$C$1257)</f>
        <v/>
      </c>
      <c r="M1254">
        <f>IF([2]Entry!$J$1257="","",[2]Entry!$J$1257)</f>
        <v/>
      </c>
      <c r="N1254">
        <f>IF([2]Entry!$M$1257="","",[2]Entry!$M$1257)</f>
        <v/>
      </c>
      <c r="O1254">
        <f>IF([2]Entry!$N$1257="","",[2]Entry!$N$1257)</f>
        <v/>
      </c>
      <c r="P1254">
        <f>IF([2]Entry!$S$1257="","",[2]Entry!$S$1257)</f>
        <v/>
      </c>
    </row>
    <row r="1255">
      <c r="L1255">
        <f>IF([2]Entry!$C$1258="","",[2]Entry!$C$1258)</f>
        <v/>
      </c>
      <c r="M1255">
        <f>IF([2]Entry!$J$1258="","",[2]Entry!$J$1258)</f>
        <v/>
      </c>
      <c r="N1255">
        <f>IF([2]Entry!$M$1258="","",[2]Entry!$M$1258)</f>
        <v/>
      </c>
      <c r="O1255">
        <f>IF([2]Entry!$N$1258="","",[2]Entry!$N$1258)</f>
        <v/>
      </c>
      <c r="P1255">
        <f>IF([2]Entry!$S$1258="","",[2]Entry!$S$1258)</f>
        <v/>
      </c>
    </row>
    <row r="1256">
      <c r="L1256">
        <f>IF([2]Entry!$C$1259="","",[2]Entry!$C$1259)</f>
        <v/>
      </c>
      <c r="M1256">
        <f>IF([2]Entry!$J$1259="","",[2]Entry!$J$1259)</f>
        <v/>
      </c>
      <c r="N1256">
        <f>IF([2]Entry!$M$1259="","",[2]Entry!$M$1259)</f>
        <v/>
      </c>
      <c r="O1256">
        <f>IF([2]Entry!$N$1259="","",[2]Entry!$N$1259)</f>
        <v/>
      </c>
      <c r="P1256">
        <f>IF([2]Entry!$S$1259="","",[2]Entry!$S$1259)</f>
        <v/>
      </c>
    </row>
    <row r="1257">
      <c r="L1257">
        <f>IF([2]Entry!$C$1260="","",[2]Entry!$C$1260)</f>
        <v/>
      </c>
      <c r="M1257">
        <f>IF([2]Entry!$J$1260="","",[2]Entry!$J$1260)</f>
        <v/>
      </c>
      <c r="N1257">
        <f>IF([2]Entry!$M$1260="","",[2]Entry!$M$1260)</f>
        <v/>
      </c>
      <c r="O1257">
        <f>IF([2]Entry!$N$1260="","",[2]Entry!$N$1260)</f>
        <v/>
      </c>
      <c r="P1257">
        <f>IF([2]Entry!$S$1260="","",[2]Entry!$S$1260)</f>
        <v/>
      </c>
    </row>
    <row r="1258">
      <c r="L1258">
        <f>IF([2]Entry!$C$1261="","",[2]Entry!$C$1261)</f>
        <v/>
      </c>
      <c r="M1258">
        <f>IF([2]Entry!$J$1261="","",[2]Entry!$J$1261)</f>
        <v/>
      </c>
      <c r="N1258">
        <f>IF([2]Entry!$M$1261="","",[2]Entry!$M$1261)</f>
        <v/>
      </c>
      <c r="O1258">
        <f>IF([2]Entry!$N$1261="","",[2]Entry!$N$1261)</f>
        <v/>
      </c>
      <c r="P1258">
        <f>IF([2]Entry!$S$1261="","",[2]Entry!$S$1261)</f>
        <v/>
      </c>
    </row>
    <row r="1259">
      <c r="L1259">
        <f>IF([2]Entry!$C$1262="","",[2]Entry!$C$1262)</f>
        <v/>
      </c>
      <c r="M1259">
        <f>IF([2]Entry!$J$1262="","",[2]Entry!$J$1262)</f>
        <v/>
      </c>
      <c r="N1259">
        <f>IF([2]Entry!$M$1262="","",[2]Entry!$M$1262)</f>
        <v/>
      </c>
      <c r="O1259">
        <f>IF([2]Entry!$N$1262="","",[2]Entry!$N$1262)</f>
        <v/>
      </c>
      <c r="P1259">
        <f>IF([2]Entry!$S$1262="","",[2]Entry!$S$1262)</f>
        <v/>
      </c>
    </row>
    <row r="1260">
      <c r="L1260">
        <f>IF([2]Entry!$C$1263="","",[2]Entry!$C$1263)</f>
        <v/>
      </c>
      <c r="M1260">
        <f>IF([2]Entry!$J$1263="","",[2]Entry!$J$1263)</f>
        <v/>
      </c>
      <c r="N1260">
        <f>IF([2]Entry!$M$1263="","",[2]Entry!$M$1263)</f>
        <v/>
      </c>
      <c r="O1260">
        <f>IF([2]Entry!$N$1263="","",[2]Entry!$N$1263)</f>
        <v/>
      </c>
      <c r="P1260">
        <f>IF([2]Entry!$S$1263="","",[2]Entry!$S$1263)</f>
        <v/>
      </c>
    </row>
    <row r="1261">
      <c r="L1261">
        <f>IF([2]Entry!$C$1264="","",[2]Entry!$C$1264)</f>
        <v/>
      </c>
      <c r="M1261">
        <f>IF([2]Entry!$J$1264="","",[2]Entry!$J$1264)</f>
        <v/>
      </c>
      <c r="N1261">
        <f>IF([2]Entry!$M$1264="","",[2]Entry!$M$1264)</f>
        <v/>
      </c>
      <c r="O1261">
        <f>IF([2]Entry!$N$1264="","",[2]Entry!$N$1264)</f>
        <v/>
      </c>
      <c r="P1261">
        <f>IF([2]Entry!$S$1264="","",[2]Entry!$S$1264)</f>
        <v/>
      </c>
    </row>
    <row r="1262">
      <c r="L1262">
        <f>IF([2]Entry!$C$1265="","",[2]Entry!$C$1265)</f>
        <v/>
      </c>
      <c r="M1262">
        <f>IF([2]Entry!$J$1265="","",[2]Entry!$J$1265)</f>
        <v/>
      </c>
      <c r="N1262">
        <f>IF([2]Entry!$M$1265="","",[2]Entry!$M$1265)</f>
        <v/>
      </c>
      <c r="O1262">
        <f>IF([2]Entry!$N$1265="","",[2]Entry!$N$1265)</f>
        <v/>
      </c>
      <c r="P1262">
        <f>IF([2]Entry!$S$1265="","",[2]Entry!$S$1265)</f>
        <v/>
      </c>
    </row>
    <row r="1263">
      <c r="L1263">
        <f>IF([2]Entry!$C$1266="","",[2]Entry!$C$1266)</f>
        <v/>
      </c>
      <c r="M1263">
        <f>IF([2]Entry!$J$1266="","",[2]Entry!$J$1266)</f>
        <v/>
      </c>
      <c r="N1263">
        <f>IF([2]Entry!$M$1266="","",[2]Entry!$M$1266)</f>
        <v/>
      </c>
      <c r="O1263">
        <f>IF([2]Entry!$N$1266="","",[2]Entry!$N$1266)</f>
        <v/>
      </c>
      <c r="P1263">
        <f>IF([2]Entry!$S$1266="","",[2]Entry!$S$1266)</f>
        <v/>
      </c>
    </row>
    <row r="1264">
      <c r="L1264">
        <f>IF([2]Entry!$C$1267="","",[2]Entry!$C$1267)</f>
        <v/>
      </c>
      <c r="M1264">
        <f>IF([2]Entry!$J$1267="","",[2]Entry!$J$1267)</f>
        <v/>
      </c>
      <c r="N1264">
        <f>IF([2]Entry!$M$1267="","",[2]Entry!$M$1267)</f>
        <v/>
      </c>
      <c r="O1264">
        <f>IF([2]Entry!$N$1267="","",[2]Entry!$N$1267)</f>
        <v/>
      </c>
      <c r="P1264">
        <f>IF([2]Entry!$S$1267="","",[2]Entry!$S$1267)</f>
        <v/>
      </c>
    </row>
    <row r="1265">
      <c r="L1265">
        <f>IF([2]Entry!$C$1268="","",[2]Entry!$C$1268)</f>
        <v/>
      </c>
      <c r="M1265">
        <f>IF([2]Entry!$J$1268="","",[2]Entry!$J$1268)</f>
        <v/>
      </c>
      <c r="N1265">
        <f>IF([2]Entry!$M$1268="","",[2]Entry!$M$1268)</f>
        <v/>
      </c>
      <c r="O1265">
        <f>IF([2]Entry!$N$1268="","",[2]Entry!$N$1268)</f>
        <v/>
      </c>
      <c r="P1265">
        <f>IF([2]Entry!$S$1268="","",[2]Entry!$S$1268)</f>
        <v/>
      </c>
    </row>
    <row r="1266">
      <c r="L1266">
        <f>IF([2]Entry!$C$1269="","",[2]Entry!$C$1269)</f>
        <v/>
      </c>
      <c r="M1266">
        <f>IF([2]Entry!$J$1269="","",[2]Entry!$J$1269)</f>
        <v/>
      </c>
      <c r="N1266">
        <f>IF([2]Entry!$M$1269="","",[2]Entry!$M$1269)</f>
        <v/>
      </c>
      <c r="O1266">
        <f>IF([2]Entry!$N$1269="","",[2]Entry!$N$1269)</f>
        <v/>
      </c>
      <c r="P1266">
        <f>IF([2]Entry!$S$1269="","",[2]Entry!$S$1269)</f>
        <v/>
      </c>
    </row>
    <row r="1267">
      <c r="L1267">
        <f>IF([2]Entry!$C$1270="","",[2]Entry!$C$1270)</f>
        <v/>
      </c>
      <c r="M1267">
        <f>IF([2]Entry!$J$1270="","",[2]Entry!$J$1270)</f>
        <v/>
      </c>
      <c r="N1267">
        <f>IF([2]Entry!$M$1270="","",[2]Entry!$M$1270)</f>
        <v/>
      </c>
      <c r="O1267">
        <f>IF([2]Entry!$N$1270="","",[2]Entry!$N$1270)</f>
        <v/>
      </c>
      <c r="P1267">
        <f>IF([2]Entry!$S$1270="","",[2]Entry!$S$1270)</f>
        <v/>
      </c>
    </row>
    <row r="1268">
      <c r="L1268">
        <f>IF([2]Entry!$C$1271="","",[2]Entry!$C$1271)</f>
        <v/>
      </c>
      <c r="M1268">
        <f>IF([2]Entry!$J$1271="","",[2]Entry!$J$1271)</f>
        <v/>
      </c>
      <c r="N1268">
        <f>IF([2]Entry!$M$1271="","",[2]Entry!$M$1271)</f>
        <v/>
      </c>
      <c r="O1268">
        <f>IF([2]Entry!$N$1271="","",[2]Entry!$N$1271)</f>
        <v/>
      </c>
      <c r="P1268">
        <f>IF([2]Entry!$S$1271="","",[2]Entry!$S$1271)</f>
        <v/>
      </c>
    </row>
    <row r="1269">
      <c r="L1269">
        <f>IF([2]Entry!$C$1272="","",[2]Entry!$C$1272)</f>
        <v/>
      </c>
      <c r="M1269">
        <f>IF([2]Entry!$J$1272="","",[2]Entry!$J$1272)</f>
        <v/>
      </c>
      <c r="N1269">
        <f>IF([2]Entry!$M$1272="","",[2]Entry!$M$1272)</f>
        <v/>
      </c>
      <c r="O1269">
        <f>IF([2]Entry!$N$1272="","",[2]Entry!$N$1272)</f>
        <v/>
      </c>
      <c r="P1269">
        <f>IF([2]Entry!$S$1272="","",[2]Entry!$S$1272)</f>
        <v/>
      </c>
    </row>
    <row r="1270">
      <c r="L1270">
        <f>IF([2]Entry!$C$1273="","",[2]Entry!$C$1273)</f>
        <v/>
      </c>
      <c r="M1270">
        <f>IF([2]Entry!$J$1273="","",[2]Entry!$J$1273)</f>
        <v/>
      </c>
      <c r="N1270">
        <f>IF([2]Entry!$M$1273="","",[2]Entry!$M$1273)</f>
        <v/>
      </c>
      <c r="O1270">
        <f>IF([2]Entry!$N$1273="","",[2]Entry!$N$1273)</f>
        <v/>
      </c>
      <c r="P1270">
        <f>IF([2]Entry!$S$1273="","",[2]Entry!$S$1273)</f>
        <v/>
      </c>
    </row>
    <row r="1271">
      <c r="L1271">
        <f>IF([2]Entry!$C$1274="","",[2]Entry!$C$1274)</f>
        <v/>
      </c>
      <c r="M1271">
        <f>IF([2]Entry!$J$1274="","",[2]Entry!$J$1274)</f>
        <v/>
      </c>
      <c r="N1271">
        <f>IF([2]Entry!$M$1274="","",[2]Entry!$M$1274)</f>
        <v/>
      </c>
      <c r="O1271">
        <f>IF([2]Entry!$N$1274="","",[2]Entry!$N$1274)</f>
        <v/>
      </c>
      <c r="P1271">
        <f>IF([2]Entry!$S$1274="","",[2]Entry!$S$1274)</f>
        <v/>
      </c>
    </row>
    <row r="1272">
      <c r="L1272">
        <f>IF([2]Entry!$C$1275="","",[2]Entry!$C$1275)</f>
        <v/>
      </c>
      <c r="M1272">
        <f>IF([2]Entry!$J$1275="","",[2]Entry!$J$1275)</f>
        <v/>
      </c>
      <c r="N1272">
        <f>IF([2]Entry!$M$1275="","",[2]Entry!$M$1275)</f>
        <v/>
      </c>
      <c r="O1272">
        <f>IF([2]Entry!$N$1275="","",[2]Entry!$N$1275)</f>
        <v/>
      </c>
      <c r="P1272">
        <f>IF([2]Entry!$S$1275="","",[2]Entry!$S$1275)</f>
        <v/>
      </c>
    </row>
    <row r="1273">
      <c r="L1273">
        <f>IF([2]Entry!$C$1276="","",[2]Entry!$C$1276)</f>
        <v/>
      </c>
      <c r="M1273">
        <f>IF([2]Entry!$J$1276="","",[2]Entry!$J$1276)</f>
        <v/>
      </c>
      <c r="N1273">
        <f>IF([2]Entry!$M$1276="","",[2]Entry!$M$1276)</f>
        <v/>
      </c>
      <c r="O1273">
        <f>IF([2]Entry!$N$1276="","",[2]Entry!$N$1276)</f>
        <v/>
      </c>
      <c r="P1273">
        <f>IF([2]Entry!$S$1276="","",[2]Entry!$S$1276)</f>
        <v/>
      </c>
    </row>
    <row r="1274">
      <c r="L1274">
        <f>IF([2]Entry!$C$1277="","",[2]Entry!$C$1277)</f>
        <v/>
      </c>
      <c r="M1274">
        <f>IF([2]Entry!$J$1277="","",[2]Entry!$J$1277)</f>
        <v/>
      </c>
      <c r="N1274">
        <f>IF([2]Entry!$M$1277="","",[2]Entry!$M$1277)</f>
        <v/>
      </c>
      <c r="O1274">
        <f>IF([2]Entry!$N$1277="","",[2]Entry!$N$1277)</f>
        <v/>
      </c>
      <c r="P1274">
        <f>IF([2]Entry!$S$1277="","",[2]Entry!$S$1277)</f>
        <v/>
      </c>
    </row>
    <row r="1275">
      <c r="L1275">
        <f>IF([2]Entry!$C$1278="","",[2]Entry!$C$1278)</f>
        <v/>
      </c>
      <c r="M1275">
        <f>IF([2]Entry!$J$1278="","",[2]Entry!$J$1278)</f>
        <v/>
      </c>
      <c r="N1275">
        <f>IF([2]Entry!$M$1278="","",[2]Entry!$M$1278)</f>
        <v/>
      </c>
      <c r="O1275">
        <f>IF([2]Entry!$N$1278="","",[2]Entry!$N$1278)</f>
        <v/>
      </c>
      <c r="P1275">
        <f>IF([2]Entry!$S$1278="","",[2]Entry!$S$1278)</f>
        <v/>
      </c>
    </row>
    <row r="1276">
      <c r="L1276">
        <f>IF([2]Entry!$C$1279="","",[2]Entry!$C$1279)</f>
        <v/>
      </c>
      <c r="M1276">
        <f>IF([2]Entry!$J$1279="","",[2]Entry!$J$1279)</f>
        <v/>
      </c>
      <c r="N1276">
        <f>IF([2]Entry!$M$1279="","",[2]Entry!$M$1279)</f>
        <v/>
      </c>
      <c r="O1276">
        <f>IF([2]Entry!$N$1279="","",[2]Entry!$N$1279)</f>
        <v/>
      </c>
      <c r="P1276">
        <f>IF([2]Entry!$S$1279="","",[2]Entry!$S$1279)</f>
        <v/>
      </c>
    </row>
    <row r="1277">
      <c r="L1277">
        <f>IF([2]Entry!$C$1280="","",[2]Entry!$C$1280)</f>
        <v/>
      </c>
      <c r="M1277">
        <f>IF([2]Entry!$J$1280="","",[2]Entry!$J$1280)</f>
        <v/>
      </c>
      <c r="N1277">
        <f>IF([2]Entry!$M$1280="","",[2]Entry!$M$1280)</f>
        <v/>
      </c>
      <c r="O1277">
        <f>IF([2]Entry!$N$1280="","",[2]Entry!$N$1280)</f>
        <v/>
      </c>
      <c r="P1277">
        <f>IF([2]Entry!$S$1280="","",[2]Entry!$S$1280)</f>
        <v/>
      </c>
    </row>
    <row r="1278">
      <c r="L1278">
        <f>IF([2]Entry!$C$1281="","",[2]Entry!$C$1281)</f>
        <v/>
      </c>
      <c r="M1278">
        <f>IF([2]Entry!$J$1281="","",[2]Entry!$J$1281)</f>
        <v/>
      </c>
      <c r="N1278">
        <f>IF([2]Entry!$M$1281="","",[2]Entry!$M$1281)</f>
        <v/>
      </c>
      <c r="O1278">
        <f>IF([2]Entry!$N$1281="","",[2]Entry!$N$1281)</f>
        <v/>
      </c>
      <c r="P1278">
        <f>IF([2]Entry!$S$1281="","",[2]Entry!$S$1281)</f>
        <v/>
      </c>
    </row>
    <row r="1279">
      <c r="L1279">
        <f>IF([2]Entry!$C$1282="","",[2]Entry!$C$1282)</f>
        <v/>
      </c>
      <c r="M1279">
        <f>IF([2]Entry!$J$1282="","",[2]Entry!$J$1282)</f>
        <v/>
      </c>
      <c r="N1279">
        <f>IF([2]Entry!$M$1282="","",[2]Entry!$M$1282)</f>
        <v/>
      </c>
      <c r="O1279">
        <f>IF([2]Entry!$N$1282="","",[2]Entry!$N$1282)</f>
        <v/>
      </c>
      <c r="P1279">
        <f>IF([2]Entry!$S$1282="","",[2]Entry!$S$1282)</f>
        <v/>
      </c>
    </row>
    <row r="1280">
      <c r="L1280">
        <f>IF([2]Entry!$C$1283="","",[2]Entry!$C$1283)</f>
        <v/>
      </c>
      <c r="M1280">
        <f>IF([2]Entry!$J$1283="","",[2]Entry!$J$1283)</f>
        <v/>
      </c>
      <c r="N1280">
        <f>IF([2]Entry!$M$1283="","",[2]Entry!$M$1283)</f>
        <v/>
      </c>
      <c r="O1280">
        <f>IF([2]Entry!$N$1283="","",[2]Entry!$N$1283)</f>
        <v/>
      </c>
      <c r="P1280">
        <f>IF([2]Entry!$S$1283="","",[2]Entry!$S$1283)</f>
        <v/>
      </c>
    </row>
    <row r="1281">
      <c r="L1281">
        <f>IF([2]Entry!$C$1284="","",[2]Entry!$C$1284)</f>
        <v/>
      </c>
      <c r="M1281">
        <f>IF([2]Entry!$J$1284="","",[2]Entry!$J$1284)</f>
        <v/>
      </c>
      <c r="N1281">
        <f>IF([2]Entry!$M$1284="","",[2]Entry!$M$1284)</f>
        <v/>
      </c>
      <c r="O1281">
        <f>IF([2]Entry!$N$1284="","",[2]Entry!$N$1284)</f>
        <v/>
      </c>
      <c r="P1281">
        <f>IF([2]Entry!$S$1284="","",[2]Entry!$S$1284)</f>
        <v/>
      </c>
    </row>
    <row r="1282">
      <c r="L1282">
        <f>IF([2]Entry!$C$1285="","",[2]Entry!$C$1285)</f>
        <v/>
      </c>
      <c r="M1282">
        <f>IF([2]Entry!$J$1285="","",[2]Entry!$J$1285)</f>
        <v/>
      </c>
      <c r="N1282">
        <f>IF([2]Entry!$M$1285="","",[2]Entry!$M$1285)</f>
        <v/>
      </c>
      <c r="O1282">
        <f>IF([2]Entry!$N$1285="","",[2]Entry!$N$1285)</f>
        <v/>
      </c>
      <c r="P1282">
        <f>IF([2]Entry!$S$1285="","",[2]Entry!$S$1285)</f>
        <v/>
      </c>
    </row>
    <row r="1283">
      <c r="L1283">
        <f>IF([2]Entry!$C$1286="","",[2]Entry!$C$1286)</f>
        <v/>
      </c>
      <c r="M1283">
        <f>IF([2]Entry!$J$1286="","",[2]Entry!$J$1286)</f>
        <v/>
      </c>
      <c r="N1283">
        <f>IF([2]Entry!$M$1286="","",[2]Entry!$M$1286)</f>
        <v/>
      </c>
      <c r="O1283">
        <f>IF([2]Entry!$N$1286="","",[2]Entry!$N$1286)</f>
        <v/>
      </c>
      <c r="P1283">
        <f>IF([2]Entry!$S$1286="","",[2]Entry!$S$1286)</f>
        <v/>
      </c>
    </row>
    <row r="1284">
      <c r="L1284">
        <f>IF([2]Entry!$C$1287="","",[2]Entry!$C$1287)</f>
        <v/>
      </c>
      <c r="M1284">
        <f>IF([2]Entry!$J$1287="","",[2]Entry!$J$1287)</f>
        <v/>
      </c>
      <c r="N1284">
        <f>IF([2]Entry!$M$1287="","",[2]Entry!$M$1287)</f>
        <v/>
      </c>
      <c r="O1284">
        <f>IF([2]Entry!$N$1287="","",[2]Entry!$N$1287)</f>
        <v/>
      </c>
      <c r="P1284">
        <f>IF([2]Entry!$S$1287="","",[2]Entry!$S$1287)</f>
        <v/>
      </c>
    </row>
    <row r="1285">
      <c r="L1285">
        <f>IF([2]Entry!$C$1288="","",[2]Entry!$C$1288)</f>
        <v/>
      </c>
      <c r="M1285">
        <f>IF([2]Entry!$J$1288="","",[2]Entry!$J$1288)</f>
        <v/>
      </c>
      <c r="N1285">
        <f>IF([2]Entry!$M$1288="","",[2]Entry!$M$1288)</f>
        <v/>
      </c>
      <c r="O1285">
        <f>IF([2]Entry!$N$1288="","",[2]Entry!$N$1288)</f>
        <v/>
      </c>
      <c r="P1285">
        <f>IF([2]Entry!$S$1288="","",[2]Entry!$S$1288)</f>
        <v/>
      </c>
    </row>
    <row r="1286">
      <c r="L1286">
        <f>IF([2]Entry!$C$1289="","",[2]Entry!$C$1289)</f>
        <v/>
      </c>
      <c r="M1286">
        <f>IF([2]Entry!$J$1289="","",[2]Entry!$J$1289)</f>
        <v/>
      </c>
      <c r="N1286">
        <f>IF([2]Entry!$M$1289="","",[2]Entry!$M$1289)</f>
        <v/>
      </c>
      <c r="O1286">
        <f>IF([2]Entry!$N$1289="","",[2]Entry!$N$1289)</f>
        <v/>
      </c>
      <c r="P1286">
        <f>IF([2]Entry!$S$1289="","",[2]Entry!$S$1289)</f>
        <v/>
      </c>
    </row>
    <row r="1287">
      <c r="L1287">
        <f>IF([2]Entry!$C$1290="","",[2]Entry!$C$1290)</f>
        <v/>
      </c>
      <c r="M1287">
        <f>IF([2]Entry!$J$1290="","",[2]Entry!$J$1290)</f>
        <v/>
      </c>
      <c r="N1287">
        <f>IF([2]Entry!$M$1290="","",[2]Entry!$M$1290)</f>
        <v/>
      </c>
      <c r="O1287">
        <f>IF([2]Entry!$N$1290="","",[2]Entry!$N$1290)</f>
        <v/>
      </c>
      <c r="P1287">
        <f>IF([2]Entry!$S$1290="","",[2]Entry!$S$1290)</f>
        <v/>
      </c>
    </row>
    <row r="1288">
      <c r="L1288">
        <f>IF([2]Entry!$C$1291="","",[2]Entry!$C$1291)</f>
        <v/>
      </c>
      <c r="M1288">
        <f>IF([2]Entry!$J$1291="","",[2]Entry!$J$1291)</f>
        <v/>
      </c>
      <c r="N1288">
        <f>IF([2]Entry!$M$1291="","",[2]Entry!$M$1291)</f>
        <v/>
      </c>
      <c r="O1288">
        <f>IF([2]Entry!$N$1291="","",[2]Entry!$N$1291)</f>
        <v/>
      </c>
      <c r="P1288">
        <f>IF([2]Entry!$S$1291="","",[2]Entry!$S$1291)</f>
        <v/>
      </c>
    </row>
    <row r="1289">
      <c r="L1289">
        <f>IF([2]Entry!$C$1292="","",[2]Entry!$C$1292)</f>
        <v/>
      </c>
      <c r="M1289">
        <f>IF([2]Entry!$J$1292="","",[2]Entry!$J$1292)</f>
        <v/>
      </c>
      <c r="N1289">
        <f>IF([2]Entry!$M$1292="","",[2]Entry!$M$1292)</f>
        <v/>
      </c>
      <c r="O1289">
        <f>IF([2]Entry!$N$1292="","",[2]Entry!$N$1292)</f>
        <v/>
      </c>
      <c r="P1289">
        <f>IF([2]Entry!$S$1292="","",[2]Entry!$S$1292)</f>
        <v/>
      </c>
    </row>
    <row r="1290">
      <c r="L1290">
        <f>IF([2]Entry!$C$1293="","",[2]Entry!$C$1293)</f>
        <v/>
      </c>
      <c r="M1290">
        <f>IF([2]Entry!$J$1293="","",[2]Entry!$J$1293)</f>
        <v/>
      </c>
      <c r="N1290">
        <f>IF([2]Entry!$M$1293="","",[2]Entry!$M$1293)</f>
        <v/>
      </c>
      <c r="O1290">
        <f>IF([2]Entry!$N$1293="","",[2]Entry!$N$1293)</f>
        <v/>
      </c>
      <c r="P1290">
        <f>IF([2]Entry!$S$1293="","",[2]Entry!$S$1293)</f>
        <v/>
      </c>
    </row>
    <row r="1291">
      <c r="L1291">
        <f>IF([2]Entry!$C$1294="","",[2]Entry!$C$1294)</f>
        <v/>
      </c>
      <c r="M1291">
        <f>IF([2]Entry!$J$1294="","",[2]Entry!$J$1294)</f>
        <v/>
      </c>
      <c r="N1291">
        <f>IF([2]Entry!$M$1294="","",[2]Entry!$M$1294)</f>
        <v/>
      </c>
      <c r="O1291">
        <f>IF([2]Entry!$N$1294="","",[2]Entry!$N$1294)</f>
        <v/>
      </c>
      <c r="P1291">
        <f>IF([2]Entry!$S$1294="","",[2]Entry!$S$1294)</f>
        <v/>
      </c>
    </row>
    <row r="1292">
      <c r="L1292">
        <f>IF([2]Entry!$C$1295="","",[2]Entry!$C$1295)</f>
        <v/>
      </c>
      <c r="M1292">
        <f>IF([2]Entry!$J$1295="","",[2]Entry!$J$1295)</f>
        <v/>
      </c>
      <c r="N1292">
        <f>IF([2]Entry!$M$1295="","",[2]Entry!$M$1295)</f>
        <v/>
      </c>
      <c r="O1292">
        <f>IF([2]Entry!$N$1295="","",[2]Entry!$N$1295)</f>
        <v/>
      </c>
      <c r="P1292">
        <f>IF([2]Entry!$S$1295="","",[2]Entry!$S$1295)</f>
        <v/>
      </c>
    </row>
    <row r="1293">
      <c r="L1293">
        <f>IF([2]Entry!$C$1296="","",[2]Entry!$C$1296)</f>
        <v/>
      </c>
      <c r="M1293">
        <f>IF([2]Entry!$J$1296="","",[2]Entry!$J$1296)</f>
        <v/>
      </c>
      <c r="N1293">
        <f>IF([2]Entry!$M$1296="","",[2]Entry!$M$1296)</f>
        <v/>
      </c>
      <c r="O1293">
        <f>IF([2]Entry!$N$1296="","",[2]Entry!$N$1296)</f>
        <v/>
      </c>
      <c r="P1293">
        <f>IF([2]Entry!$S$1296="","",[2]Entry!$S$1296)</f>
        <v/>
      </c>
    </row>
    <row r="1294">
      <c r="L1294">
        <f>IF([2]Entry!$C$1297="","",[2]Entry!$C$1297)</f>
        <v/>
      </c>
      <c r="M1294">
        <f>IF([2]Entry!$J$1297="","",[2]Entry!$J$1297)</f>
        <v/>
      </c>
      <c r="N1294">
        <f>IF([2]Entry!$M$1297="","",[2]Entry!$M$1297)</f>
        <v/>
      </c>
      <c r="O1294">
        <f>IF([2]Entry!$N$1297="","",[2]Entry!$N$1297)</f>
        <v/>
      </c>
      <c r="P1294">
        <f>IF([2]Entry!$S$1297="","",[2]Entry!$S$1297)</f>
        <v/>
      </c>
    </row>
    <row r="1295">
      <c r="L1295">
        <f>IF([2]Entry!$C$1298="","",[2]Entry!$C$1298)</f>
        <v/>
      </c>
      <c r="M1295">
        <f>IF([2]Entry!$J$1298="","",[2]Entry!$J$1298)</f>
        <v/>
      </c>
      <c r="N1295">
        <f>IF([2]Entry!$M$1298="","",[2]Entry!$M$1298)</f>
        <v/>
      </c>
      <c r="O1295">
        <f>IF([2]Entry!$N$1298="","",[2]Entry!$N$1298)</f>
        <v/>
      </c>
      <c r="P1295">
        <f>IF([2]Entry!$S$1298="","",[2]Entry!$S$1298)</f>
        <v/>
      </c>
    </row>
    <row r="1296">
      <c r="L1296">
        <f>IF([2]Entry!$C$1299="","",[2]Entry!$C$1299)</f>
        <v/>
      </c>
      <c r="M1296">
        <f>IF([2]Entry!$J$1299="","",[2]Entry!$J$1299)</f>
        <v/>
      </c>
      <c r="N1296">
        <f>IF([2]Entry!$M$1299="","",[2]Entry!$M$1299)</f>
        <v/>
      </c>
      <c r="O1296">
        <f>IF([2]Entry!$N$1299="","",[2]Entry!$N$1299)</f>
        <v/>
      </c>
      <c r="P1296">
        <f>IF([2]Entry!$S$1299="","",[2]Entry!$S$1299)</f>
        <v/>
      </c>
    </row>
    <row r="1297">
      <c r="L1297">
        <f>IF([2]Entry!$C$1300="","",[2]Entry!$C$1300)</f>
        <v/>
      </c>
      <c r="M1297">
        <f>IF([2]Entry!$J$1300="","",[2]Entry!$J$1300)</f>
        <v/>
      </c>
      <c r="N1297">
        <f>IF([2]Entry!$M$1300="","",[2]Entry!$M$1300)</f>
        <v/>
      </c>
      <c r="O1297">
        <f>IF([2]Entry!$N$1300="","",[2]Entry!$N$1300)</f>
        <v/>
      </c>
      <c r="P1297">
        <f>IF([2]Entry!$S$1300="","",[2]Entry!$S$1300)</f>
        <v/>
      </c>
    </row>
    <row r="1298">
      <c r="L1298">
        <f>IF([2]Entry!$C$1301="","",[2]Entry!$C$1301)</f>
        <v/>
      </c>
      <c r="M1298">
        <f>IF([2]Entry!$J$1301="","",[2]Entry!$J$1301)</f>
        <v/>
      </c>
      <c r="N1298">
        <f>IF([2]Entry!$M$1301="","",[2]Entry!$M$1301)</f>
        <v/>
      </c>
      <c r="O1298">
        <f>IF([2]Entry!$N$1301="","",[2]Entry!$N$1301)</f>
        <v/>
      </c>
      <c r="P1298">
        <f>IF([2]Entry!$S$1301="","",[2]Entry!$S$1301)</f>
        <v/>
      </c>
    </row>
    <row r="1299">
      <c r="L1299">
        <f>IF([2]Entry!$C$1302="","",[2]Entry!$C$1302)</f>
        <v/>
      </c>
      <c r="M1299">
        <f>IF([2]Entry!$J$1302="","",[2]Entry!$J$1302)</f>
        <v/>
      </c>
      <c r="N1299">
        <f>IF([2]Entry!$M$1302="","",[2]Entry!$M$1302)</f>
        <v/>
      </c>
      <c r="O1299">
        <f>IF([2]Entry!$N$1302="","",[2]Entry!$N$1302)</f>
        <v/>
      </c>
      <c r="P1299">
        <f>IF([2]Entry!$S$1302="","",[2]Entry!$S$1302)</f>
        <v/>
      </c>
    </row>
    <row r="1300">
      <c r="L1300">
        <f>IF([2]Entry!$C$1303="","",[2]Entry!$C$1303)</f>
        <v/>
      </c>
      <c r="M1300">
        <f>IF([2]Entry!$J$1303="","",[2]Entry!$J$1303)</f>
        <v/>
      </c>
      <c r="N1300">
        <f>IF([2]Entry!$M$1303="","",[2]Entry!$M$1303)</f>
        <v/>
      </c>
      <c r="O1300">
        <f>IF([2]Entry!$N$1303="","",[2]Entry!$N$1303)</f>
        <v/>
      </c>
      <c r="P1300">
        <f>IF([2]Entry!$S$1303="","",[2]Entry!$S$1303)</f>
        <v/>
      </c>
    </row>
    <row r="1301">
      <c r="L1301">
        <f>IF([2]Entry!$C$1304="","",[2]Entry!$C$1304)</f>
        <v/>
      </c>
      <c r="M1301">
        <f>IF([2]Entry!$J$1304="","",[2]Entry!$J$1304)</f>
        <v/>
      </c>
      <c r="N1301">
        <f>IF([2]Entry!$M$1304="","",[2]Entry!$M$1304)</f>
        <v/>
      </c>
      <c r="O1301">
        <f>IF([2]Entry!$N$1304="","",[2]Entry!$N$1304)</f>
        <v/>
      </c>
      <c r="P1301">
        <f>IF([2]Entry!$S$1304="","",[2]Entry!$S$1304)</f>
        <v/>
      </c>
    </row>
    <row r="1302">
      <c r="L1302">
        <f>IF([2]Entry!$C$1305="","",[2]Entry!$C$1305)</f>
        <v/>
      </c>
      <c r="M1302">
        <f>IF([2]Entry!$J$1305="","",[2]Entry!$J$1305)</f>
        <v/>
      </c>
      <c r="N1302">
        <f>IF([2]Entry!$M$1305="","",[2]Entry!$M$1305)</f>
        <v/>
      </c>
      <c r="O1302">
        <f>IF([2]Entry!$N$1305="","",[2]Entry!$N$1305)</f>
        <v/>
      </c>
      <c r="P1302">
        <f>IF([2]Entry!$S$1305="","",[2]Entry!$S$1305)</f>
        <v/>
      </c>
    </row>
    <row r="1303">
      <c r="L1303">
        <f>IF([2]Entry!$C$1306="","",[2]Entry!$C$1306)</f>
        <v/>
      </c>
      <c r="M1303">
        <f>IF([2]Entry!$J$1306="","",[2]Entry!$J$1306)</f>
        <v/>
      </c>
      <c r="N1303">
        <f>IF([2]Entry!$M$1306="","",[2]Entry!$M$1306)</f>
        <v/>
      </c>
      <c r="O1303">
        <f>IF([2]Entry!$N$1306="","",[2]Entry!$N$1306)</f>
        <v/>
      </c>
      <c r="P1303">
        <f>IF([2]Entry!$S$1306="","",[2]Entry!$S$1306)</f>
        <v/>
      </c>
    </row>
    <row r="1304">
      <c r="L1304">
        <f>IF([2]Entry!$C$1307="","",[2]Entry!$C$1307)</f>
        <v/>
      </c>
      <c r="M1304">
        <f>IF([2]Entry!$J$1307="","",[2]Entry!$J$1307)</f>
        <v/>
      </c>
      <c r="N1304">
        <f>IF([2]Entry!$M$1307="","",[2]Entry!$M$1307)</f>
        <v/>
      </c>
      <c r="O1304">
        <f>IF([2]Entry!$N$1307="","",[2]Entry!$N$1307)</f>
        <v/>
      </c>
      <c r="P1304">
        <f>IF([2]Entry!$S$1307="","",[2]Entry!$S$1307)</f>
        <v/>
      </c>
    </row>
    <row r="1305">
      <c r="L1305">
        <f>IF([2]Entry!$C$1308="","",[2]Entry!$C$1308)</f>
        <v/>
      </c>
      <c r="M1305">
        <f>IF([2]Entry!$J$1308="","",[2]Entry!$J$1308)</f>
        <v/>
      </c>
      <c r="N1305">
        <f>IF([2]Entry!$M$1308="","",[2]Entry!$M$1308)</f>
        <v/>
      </c>
      <c r="O1305">
        <f>IF([2]Entry!$N$1308="","",[2]Entry!$N$1308)</f>
        <v/>
      </c>
      <c r="P1305">
        <f>IF([2]Entry!$S$1308="","",[2]Entry!$S$1308)</f>
        <v/>
      </c>
    </row>
    <row r="1306">
      <c r="L1306">
        <f>IF([2]Entry!$C$1309="","",[2]Entry!$C$1309)</f>
        <v/>
      </c>
      <c r="M1306">
        <f>IF([2]Entry!$J$1309="","",[2]Entry!$J$1309)</f>
        <v/>
      </c>
      <c r="N1306">
        <f>IF([2]Entry!$M$1309="","",[2]Entry!$M$1309)</f>
        <v/>
      </c>
      <c r="O1306">
        <f>IF([2]Entry!$N$1309="","",[2]Entry!$N$1309)</f>
        <v/>
      </c>
      <c r="P1306">
        <f>IF([2]Entry!$S$1309="","",[2]Entry!$S$1309)</f>
        <v/>
      </c>
    </row>
    <row r="1307">
      <c r="L1307">
        <f>IF([2]Entry!$C$1310="","",[2]Entry!$C$1310)</f>
        <v/>
      </c>
      <c r="M1307">
        <f>IF([2]Entry!$J$1310="","",[2]Entry!$J$1310)</f>
        <v/>
      </c>
      <c r="N1307">
        <f>IF([2]Entry!$M$1310="","",[2]Entry!$M$1310)</f>
        <v/>
      </c>
      <c r="O1307">
        <f>IF([2]Entry!$N$1310="","",[2]Entry!$N$1310)</f>
        <v/>
      </c>
      <c r="P1307">
        <f>IF([2]Entry!$S$1310="","",[2]Entry!$S$1310)</f>
        <v/>
      </c>
    </row>
    <row r="1308">
      <c r="L1308">
        <f>IF([2]Entry!$C$1311="","",[2]Entry!$C$1311)</f>
        <v/>
      </c>
      <c r="M1308">
        <f>IF([2]Entry!$J$1311="","",[2]Entry!$J$1311)</f>
        <v/>
      </c>
      <c r="N1308">
        <f>IF([2]Entry!$M$1311="","",[2]Entry!$M$1311)</f>
        <v/>
      </c>
      <c r="O1308">
        <f>IF([2]Entry!$N$1311="","",[2]Entry!$N$1311)</f>
        <v/>
      </c>
      <c r="P1308">
        <f>IF([2]Entry!$S$1311="","",[2]Entry!$S$1311)</f>
        <v/>
      </c>
    </row>
    <row r="1309">
      <c r="L1309">
        <f>IF([2]Entry!$C$1312="","",[2]Entry!$C$1312)</f>
        <v/>
      </c>
      <c r="M1309">
        <f>IF([2]Entry!$J$1312="","",[2]Entry!$J$1312)</f>
        <v/>
      </c>
      <c r="N1309">
        <f>IF([2]Entry!$M$1312="","",[2]Entry!$M$1312)</f>
        <v/>
      </c>
      <c r="O1309">
        <f>IF([2]Entry!$N$1312="","",[2]Entry!$N$1312)</f>
        <v/>
      </c>
      <c r="P1309">
        <f>IF([2]Entry!$S$1312="","",[2]Entry!$S$1312)</f>
        <v/>
      </c>
    </row>
    <row r="1310">
      <c r="L1310">
        <f>IF([2]Entry!$C$1313="","",[2]Entry!$C$1313)</f>
        <v/>
      </c>
      <c r="M1310">
        <f>IF([2]Entry!$J$1313="","",[2]Entry!$J$1313)</f>
        <v/>
      </c>
      <c r="N1310">
        <f>IF([2]Entry!$M$1313="","",[2]Entry!$M$1313)</f>
        <v/>
      </c>
      <c r="O1310">
        <f>IF([2]Entry!$N$1313="","",[2]Entry!$N$1313)</f>
        <v/>
      </c>
      <c r="P1310">
        <f>IF([2]Entry!$S$1313="","",[2]Entry!$S$1313)</f>
        <v/>
      </c>
    </row>
    <row r="1311">
      <c r="L1311">
        <f>IF([2]Entry!$C$1314="","",[2]Entry!$C$1314)</f>
        <v/>
      </c>
      <c r="M1311">
        <f>IF([2]Entry!$J$1314="","",[2]Entry!$J$1314)</f>
        <v/>
      </c>
      <c r="N1311">
        <f>IF([2]Entry!$M$1314="","",[2]Entry!$M$1314)</f>
        <v/>
      </c>
      <c r="O1311">
        <f>IF([2]Entry!$N$1314="","",[2]Entry!$N$1314)</f>
        <v/>
      </c>
      <c r="P1311">
        <f>IF([2]Entry!$S$1314="","",[2]Entry!$S$1314)</f>
        <v/>
      </c>
    </row>
    <row r="1312">
      <c r="L1312">
        <f>IF([2]Entry!$C$1315="","",[2]Entry!$C$1315)</f>
        <v/>
      </c>
      <c r="M1312">
        <f>IF([2]Entry!$J$1315="","",[2]Entry!$J$1315)</f>
        <v/>
      </c>
      <c r="N1312">
        <f>IF([2]Entry!$M$1315="","",[2]Entry!$M$1315)</f>
        <v/>
      </c>
      <c r="O1312">
        <f>IF([2]Entry!$N$1315="","",[2]Entry!$N$1315)</f>
        <v/>
      </c>
      <c r="P1312">
        <f>IF([2]Entry!$S$1315="","",[2]Entry!$S$1315)</f>
        <v/>
      </c>
    </row>
    <row r="1313">
      <c r="L1313">
        <f>IF([2]Entry!$C$1316="","",[2]Entry!$C$1316)</f>
        <v/>
      </c>
      <c r="M1313">
        <f>IF([2]Entry!$J$1316="","",[2]Entry!$J$1316)</f>
        <v/>
      </c>
      <c r="N1313">
        <f>IF([2]Entry!$M$1316="","",[2]Entry!$M$1316)</f>
        <v/>
      </c>
      <c r="O1313">
        <f>IF([2]Entry!$N$1316="","",[2]Entry!$N$1316)</f>
        <v/>
      </c>
      <c r="P1313">
        <f>IF([2]Entry!$S$1316="","",[2]Entry!$S$1316)</f>
        <v/>
      </c>
    </row>
    <row r="1314">
      <c r="L1314">
        <f>IF([2]Entry!$C$1317="","",[2]Entry!$C$1317)</f>
        <v/>
      </c>
      <c r="M1314">
        <f>IF([2]Entry!$J$1317="","",[2]Entry!$J$1317)</f>
        <v/>
      </c>
      <c r="N1314">
        <f>IF([2]Entry!$M$1317="","",[2]Entry!$M$1317)</f>
        <v/>
      </c>
      <c r="O1314">
        <f>IF([2]Entry!$N$1317="","",[2]Entry!$N$1317)</f>
        <v/>
      </c>
      <c r="P1314">
        <f>IF([2]Entry!$S$1317="","",[2]Entry!$S$1317)</f>
        <v/>
      </c>
    </row>
    <row r="1315">
      <c r="L1315">
        <f>IF([2]Entry!$C$1318="","",[2]Entry!$C$1318)</f>
        <v/>
      </c>
      <c r="M1315">
        <f>IF([2]Entry!$J$1318="","",[2]Entry!$J$1318)</f>
        <v/>
      </c>
      <c r="N1315">
        <f>IF([2]Entry!$M$1318="","",[2]Entry!$M$1318)</f>
        <v/>
      </c>
      <c r="O1315">
        <f>IF([2]Entry!$N$1318="","",[2]Entry!$N$1318)</f>
        <v/>
      </c>
      <c r="P1315">
        <f>IF([2]Entry!$S$1318="","",[2]Entry!$S$1318)</f>
        <v/>
      </c>
    </row>
    <row r="1316">
      <c r="L1316">
        <f>IF([2]Entry!$C$1319="","",[2]Entry!$C$1319)</f>
        <v/>
      </c>
      <c r="M1316">
        <f>IF([2]Entry!$J$1319="","",[2]Entry!$J$1319)</f>
        <v/>
      </c>
      <c r="N1316">
        <f>IF([2]Entry!$M$1319="","",[2]Entry!$M$1319)</f>
        <v/>
      </c>
      <c r="O1316">
        <f>IF([2]Entry!$N$1319="","",[2]Entry!$N$1319)</f>
        <v/>
      </c>
      <c r="P1316">
        <f>IF([2]Entry!$S$1319="","",[2]Entry!$S$1319)</f>
        <v/>
      </c>
    </row>
    <row r="1317">
      <c r="L1317">
        <f>IF([2]Entry!$C$1320="","",[2]Entry!$C$1320)</f>
        <v/>
      </c>
      <c r="M1317">
        <f>IF([2]Entry!$J$1320="","",[2]Entry!$J$1320)</f>
        <v/>
      </c>
      <c r="N1317">
        <f>IF([2]Entry!$M$1320="","",[2]Entry!$M$1320)</f>
        <v/>
      </c>
      <c r="O1317">
        <f>IF([2]Entry!$N$1320="","",[2]Entry!$N$1320)</f>
        <v/>
      </c>
      <c r="P1317">
        <f>IF([2]Entry!$S$1320="","",[2]Entry!$S$1320)</f>
        <v/>
      </c>
    </row>
    <row r="1318">
      <c r="L1318">
        <f>IF([2]Entry!$C$1321="","",[2]Entry!$C$1321)</f>
        <v/>
      </c>
      <c r="M1318">
        <f>IF([2]Entry!$J$1321="","",[2]Entry!$J$1321)</f>
        <v/>
      </c>
      <c r="N1318">
        <f>IF([2]Entry!$M$1321="","",[2]Entry!$M$1321)</f>
        <v/>
      </c>
      <c r="O1318">
        <f>IF([2]Entry!$N$1321="","",[2]Entry!$N$1321)</f>
        <v/>
      </c>
      <c r="P1318">
        <f>IF([2]Entry!$S$1321="","",[2]Entry!$S$1321)</f>
        <v/>
      </c>
    </row>
    <row r="1319">
      <c r="L1319">
        <f>IF([2]Entry!$C$1322="","",[2]Entry!$C$1322)</f>
        <v/>
      </c>
      <c r="M1319">
        <f>IF([2]Entry!$J$1322="","",[2]Entry!$J$1322)</f>
        <v/>
      </c>
      <c r="N1319">
        <f>IF([2]Entry!$M$1322="","",[2]Entry!$M$1322)</f>
        <v/>
      </c>
      <c r="O1319">
        <f>IF([2]Entry!$N$1322="","",[2]Entry!$N$1322)</f>
        <v/>
      </c>
      <c r="P1319">
        <f>IF([2]Entry!$S$1322="","",[2]Entry!$S$1322)</f>
        <v/>
      </c>
    </row>
    <row r="1320">
      <c r="L1320">
        <f>IF([2]Entry!$C$1323="","",[2]Entry!$C$1323)</f>
        <v/>
      </c>
      <c r="M1320">
        <f>IF([2]Entry!$J$1323="","",[2]Entry!$J$1323)</f>
        <v/>
      </c>
      <c r="N1320">
        <f>IF([2]Entry!$M$1323="","",[2]Entry!$M$1323)</f>
        <v/>
      </c>
      <c r="O1320">
        <f>IF([2]Entry!$N$1323="","",[2]Entry!$N$1323)</f>
        <v/>
      </c>
      <c r="P1320">
        <f>IF([2]Entry!$S$1323="","",[2]Entry!$S$1323)</f>
        <v/>
      </c>
    </row>
    <row r="1321">
      <c r="L1321">
        <f>IF([2]Entry!$C$1324="","",[2]Entry!$C$1324)</f>
        <v/>
      </c>
      <c r="M1321">
        <f>IF([2]Entry!$J$1324="","",[2]Entry!$J$1324)</f>
        <v/>
      </c>
      <c r="N1321">
        <f>IF([2]Entry!$M$1324="","",[2]Entry!$M$1324)</f>
        <v/>
      </c>
      <c r="O1321">
        <f>IF([2]Entry!$N$1324="","",[2]Entry!$N$1324)</f>
        <v/>
      </c>
      <c r="P1321">
        <f>IF([2]Entry!$S$1324="","",[2]Entry!$S$1324)</f>
        <v/>
      </c>
    </row>
    <row r="1322">
      <c r="L1322">
        <f>IF([2]Entry!$C$1325="","",[2]Entry!$C$1325)</f>
        <v/>
      </c>
      <c r="M1322">
        <f>IF([2]Entry!$J$1325="","",[2]Entry!$J$1325)</f>
        <v/>
      </c>
      <c r="N1322">
        <f>IF([2]Entry!$M$1325="","",[2]Entry!$M$1325)</f>
        <v/>
      </c>
      <c r="O1322">
        <f>IF([2]Entry!$N$1325="","",[2]Entry!$N$1325)</f>
        <v/>
      </c>
      <c r="P1322">
        <f>IF([2]Entry!$S$1325="","",[2]Entry!$S$1325)</f>
        <v/>
      </c>
    </row>
    <row r="1323">
      <c r="L1323">
        <f>IF([2]Entry!$C$1326="","",[2]Entry!$C$1326)</f>
        <v/>
      </c>
      <c r="M1323">
        <f>IF([2]Entry!$J$1326="","",[2]Entry!$J$1326)</f>
        <v/>
      </c>
      <c r="N1323">
        <f>IF([2]Entry!$M$1326="","",[2]Entry!$M$1326)</f>
        <v/>
      </c>
      <c r="O1323">
        <f>IF([2]Entry!$N$1326="","",[2]Entry!$N$1326)</f>
        <v/>
      </c>
      <c r="P1323">
        <f>IF([2]Entry!$S$1326="","",[2]Entry!$S$1326)</f>
        <v/>
      </c>
    </row>
    <row r="1324">
      <c r="L1324">
        <f>IF([2]Entry!$C$1327="","",[2]Entry!$C$1327)</f>
        <v/>
      </c>
      <c r="M1324">
        <f>IF([2]Entry!$J$1327="","",[2]Entry!$J$1327)</f>
        <v/>
      </c>
      <c r="N1324">
        <f>IF([2]Entry!$M$1327="","",[2]Entry!$M$1327)</f>
        <v/>
      </c>
      <c r="O1324">
        <f>IF([2]Entry!$N$1327="","",[2]Entry!$N$1327)</f>
        <v/>
      </c>
      <c r="P1324">
        <f>IF([2]Entry!$S$1327="","",[2]Entry!$S$1327)</f>
        <v/>
      </c>
    </row>
    <row r="1325">
      <c r="L1325">
        <f>IF([2]Entry!$C$1328="","",[2]Entry!$C$1328)</f>
        <v/>
      </c>
      <c r="M1325">
        <f>IF([2]Entry!$J$1328="","",[2]Entry!$J$1328)</f>
        <v/>
      </c>
      <c r="N1325">
        <f>IF([2]Entry!$M$1328="","",[2]Entry!$M$1328)</f>
        <v/>
      </c>
      <c r="O1325">
        <f>IF([2]Entry!$N$1328="","",[2]Entry!$N$1328)</f>
        <v/>
      </c>
      <c r="P1325">
        <f>IF([2]Entry!$S$1328="","",[2]Entry!$S$1328)</f>
        <v/>
      </c>
    </row>
    <row r="1326">
      <c r="L1326">
        <f>IF([2]Entry!$C$1329="","",[2]Entry!$C$1329)</f>
        <v/>
      </c>
      <c r="M1326">
        <f>IF([2]Entry!$J$1329="","",[2]Entry!$J$1329)</f>
        <v/>
      </c>
      <c r="N1326">
        <f>IF([2]Entry!$M$1329="","",[2]Entry!$M$1329)</f>
        <v/>
      </c>
      <c r="O1326">
        <f>IF([2]Entry!$N$1329="","",[2]Entry!$N$1329)</f>
        <v/>
      </c>
      <c r="P1326">
        <f>IF([2]Entry!$S$1329="","",[2]Entry!$S$1329)</f>
        <v/>
      </c>
    </row>
    <row r="1327">
      <c r="L1327">
        <f>IF([2]Entry!$C$1330="","",[2]Entry!$C$1330)</f>
        <v/>
      </c>
      <c r="M1327">
        <f>IF([2]Entry!$J$1330="","",[2]Entry!$J$1330)</f>
        <v/>
      </c>
      <c r="N1327">
        <f>IF([2]Entry!$M$1330="","",[2]Entry!$M$1330)</f>
        <v/>
      </c>
      <c r="O1327">
        <f>IF([2]Entry!$N$1330="","",[2]Entry!$N$1330)</f>
        <v/>
      </c>
      <c r="P1327">
        <f>IF([2]Entry!$S$1330="","",[2]Entry!$S$1330)</f>
        <v/>
      </c>
    </row>
    <row r="1328">
      <c r="L1328">
        <f>IF([2]Entry!$C$1331="","",[2]Entry!$C$1331)</f>
        <v/>
      </c>
      <c r="M1328">
        <f>IF([2]Entry!$J$1331="","",[2]Entry!$J$1331)</f>
        <v/>
      </c>
      <c r="N1328">
        <f>IF([2]Entry!$M$1331="","",[2]Entry!$M$1331)</f>
        <v/>
      </c>
      <c r="O1328">
        <f>IF([2]Entry!$N$1331="","",[2]Entry!$N$1331)</f>
        <v/>
      </c>
      <c r="P1328">
        <f>IF([2]Entry!$S$1331="","",[2]Entry!$S$1331)</f>
        <v/>
      </c>
    </row>
    <row r="1329">
      <c r="L1329">
        <f>IF([2]Entry!$C$1332="","",[2]Entry!$C$1332)</f>
        <v/>
      </c>
      <c r="M1329">
        <f>IF([2]Entry!$J$1332="","",[2]Entry!$J$1332)</f>
        <v/>
      </c>
      <c r="N1329">
        <f>IF([2]Entry!$M$1332="","",[2]Entry!$M$1332)</f>
        <v/>
      </c>
      <c r="O1329">
        <f>IF([2]Entry!$N$1332="","",[2]Entry!$N$1332)</f>
        <v/>
      </c>
      <c r="P1329">
        <f>IF([2]Entry!$S$1332="","",[2]Entry!$S$1332)</f>
        <v/>
      </c>
    </row>
    <row r="1330">
      <c r="L1330">
        <f>IF([2]Entry!$C$1333="","",[2]Entry!$C$1333)</f>
        <v/>
      </c>
      <c r="M1330">
        <f>IF([2]Entry!$J$1333="","",[2]Entry!$J$1333)</f>
        <v/>
      </c>
      <c r="N1330">
        <f>IF([2]Entry!$M$1333="","",[2]Entry!$M$1333)</f>
        <v/>
      </c>
      <c r="O1330">
        <f>IF([2]Entry!$N$1333="","",[2]Entry!$N$1333)</f>
        <v/>
      </c>
      <c r="P1330">
        <f>IF([2]Entry!$S$1333="","",[2]Entry!$S$1333)</f>
        <v/>
      </c>
    </row>
    <row r="1331">
      <c r="L1331">
        <f>IF([2]Entry!$C$1334="","",[2]Entry!$C$1334)</f>
        <v/>
      </c>
      <c r="M1331">
        <f>IF([2]Entry!$J$1334="","",[2]Entry!$J$1334)</f>
        <v/>
      </c>
      <c r="N1331">
        <f>IF([2]Entry!$M$1334="","",[2]Entry!$M$1334)</f>
        <v/>
      </c>
      <c r="O1331">
        <f>IF([2]Entry!$N$1334="","",[2]Entry!$N$1334)</f>
        <v/>
      </c>
      <c r="P1331">
        <f>IF([2]Entry!$S$1334="","",[2]Entry!$S$1334)</f>
        <v/>
      </c>
    </row>
    <row r="1332">
      <c r="L1332">
        <f>IF([2]Entry!$C$1335="","",[2]Entry!$C$1335)</f>
        <v/>
      </c>
      <c r="M1332">
        <f>IF([2]Entry!$J$1335="","",[2]Entry!$J$1335)</f>
        <v/>
      </c>
      <c r="N1332">
        <f>IF([2]Entry!$M$1335="","",[2]Entry!$M$1335)</f>
        <v/>
      </c>
      <c r="O1332">
        <f>IF([2]Entry!$N$1335="","",[2]Entry!$N$1335)</f>
        <v/>
      </c>
      <c r="P1332">
        <f>IF([2]Entry!$S$1335="","",[2]Entry!$S$1335)</f>
        <v/>
      </c>
    </row>
    <row r="1333">
      <c r="L1333">
        <f>IF([2]Entry!$C$1336="","",[2]Entry!$C$1336)</f>
        <v/>
      </c>
      <c r="M1333">
        <f>IF([2]Entry!$J$1336="","",[2]Entry!$J$1336)</f>
        <v/>
      </c>
      <c r="N1333">
        <f>IF([2]Entry!$M$1336="","",[2]Entry!$M$1336)</f>
        <v/>
      </c>
      <c r="O1333">
        <f>IF([2]Entry!$N$1336="","",[2]Entry!$N$1336)</f>
        <v/>
      </c>
      <c r="P1333">
        <f>IF([2]Entry!$S$1336="","",[2]Entry!$S$1336)</f>
        <v/>
      </c>
    </row>
    <row r="1334">
      <c r="L1334">
        <f>IF([2]Entry!$C$1337="","",[2]Entry!$C$1337)</f>
        <v/>
      </c>
      <c r="M1334">
        <f>IF([2]Entry!$J$1337="","",[2]Entry!$J$1337)</f>
        <v/>
      </c>
      <c r="N1334">
        <f>IF([2]Entry!$M$1337="","",[2]Entry!$M$1337)</f>
        <v/>
      </c>
      <c r="O1334">
        <f>IF([2]Entry!$N$1337="","",[2]Entry!$N$1337)</f>
        <v/>
      </c>
      <c r="P1334">
        <f>IF([2]Entry!$S$1337="","",[2]Entry!$S$1337)</f>
        <v/>
      </c>
    </row>
    <row r="1335">
      <c r="L1335">
        <f>IF([2]Entry!$C$1338="","",[2]Entry!$C$1338)</f>
        <v/>
      </c>
      <c r="M1335">
        <f>IF([2]Entry!$J$1338="","",[2]Entry!$J$1338)</f>
        <v/>
      </c>
      <c r="N1335">
        <f>IF([2]Entry!$M$1338="","",[2]Entry!$M$1338)</f>
        <v/>
      </c>
      <c r="O1335">
        <f>IF([2]Entry!$N$1338="","",[2]Entry!$N$1338)</f>
        <v/>
      </c>
      <c r="P1335">
        <f>IF([2]Entry!$S$1338="","",[2]Entry!$S$1338)</f>
        <v/>
      </c>
    </row>
    <row r="1336">
      <c r="L1336">
        <f>IF([2]Entry!$C$1339="","",[2]Entry!$C$1339)</f>
        <v/>
      </c>
      <c r="M1336">
        <f>IF([2]Entry!$J$1339="","",[2]Entry!$J$1339)</f>
        <v/>
      </c>
      <c r="N1336">
        <f>IF([2]Entry!$M$1339="","",[2]Entry!$M$1339)</f>
        <v/>
      </c>
      <c r="O1336">
        <f>IF([2]Entry!$N$1339="","",[2]Entry!$N$1339)</f>
        <v/>
      </c>
      <c r="P1336">
        <f>IF([2]Entry!$S$1339="","",[2]Entry!$S$1339)</f>
        <v/>
      </c>
    </row>
    <row r="1337">
      <c r="L1337">
        <f>IF([2]Entry!$C$1340="","",[2]Entry!$C$1340)</f>
        <v/>
      </c>
      <c r="M1337">
        <f>IF([2]Entry!$J$1340="","",[2]Entry!$J$1340)</f>
        <v/>
      </c>
      <c r="N1337">
        <f>IF([2]Entry!$M$1340="","",[2]Entry!$M$1340)</f>
        <v/>
      </c>
      <c r="O1337">
        <f>IF([2]Entry!$N$1340="","",[2]Entry!$N$1340)</f>
        <v/>
      </c>
      <c r="P1337">
        <f>IF([2]Entry!$S$1340="","",[2]Entry!$S$1340)</f>
        <v/>
      </c>
    </row>
    <row r="1338">
      <c r="L1338">
        <f>IF([2]Entry!$C$1341="","",[2]Entry!$C$1341)</f>
        <v/>
      </c>
      <c r="M1338">
        <f>IF([2]Entry!$J$1341="","",[2]Entry!$J$1341)</f>
        <v/>
      </c>
      <c r="N1338">
        <f>IF([2]Entry!$M$1341="","",[2]Entry!$M$1341)</f>
        <v/>
      </c>
      <c r="O1338">
        <f>IF([2]Entry!$N$1341="","",[2]Entry!$N$1341)</f>
        <v/>
      </c>
      <c r="P1338">
        <f>IF([2]Entry!$S$1341="","",[2]Entry!$S$1341)</f>
        <v/>
      </c>
    </row>
    <row r="1339">
      <c r="L1339">
        <f>IF([2]Entry!$C$1342="","",[2]Entry!$C$1342)</f>
        <v/>
      </c>
      <c r="M1339">
        <f>IF([2]Entry!$J$1342="","",[2]Entry!$J$1342)</f>
        <v/>
      </c>
      <c r="N1339">
        <f>IF([2]Entry!$M$1342="","",[2]Entry!$M$1342)</f>
        <v/>
      </c>
      <c r="O1339">
        <f>IF([2]Entry!$N$1342="","",[2]Entry!$N$1342)</f>
        <v/>
      </c>
      <c r="P1339">
        <f>IF([2]Entry!$S$1342="","",[2]Entry!$S$1342)</f>
        <v/>
      </c>
    </row>
    <row r="1340">
      <c r="L1340">
        <f>IF([2]Entry!$C$1343="","",[2]Entry!$C$1343)</f>
        <v/>
      </c>
      <c r="M1340">
        <f>IF([2]Entry!$J$1343="","",[2]Entry!$J$1343)</f>
        <v/>
      </c>
      <c r="N1340">
        <f>IF([2]Entry!$M$1343="","",[2]Entry!$M$1343)</f>
        <v/>
      </c>
      <c r="O1340">
        <f>IF([2]Entry!$N$1343="","",[2]Entry!$N$1343)</f>
        <v/>
      </c>
      <c r="P1340">
        <f>IF([2]Entry!$S$1343="","",[2]Entry!$S$1343)</f>
        <v/>
      </c>
    </row>
    <row r="1341">
      <c r="L1341">
        <f>IF([2]Entry!$C$1344="","",[2]Entry!$C$1344)</f>
        <v/>
      </c>
      <c r="M1341">
        <f>IF([2]Entry!$J$1344="","",[2]Entry!$J$1344)</f>
        <v/>
      </c>
      <c r="N1341">
        <f>IF([2]Entry!$M$1344="","",[2]Entry!$M$1344)</f>
        <v/>
      </c>
      <c r="O1341">
        <f>IF([2]Entry!$N$1344="","",[2]Entry!$N$1344)</f>
        <v/>
      </c>
      <c r="P1341">
        <f>IF([2]Entry!$S$1344="","",[2]Entry!$S$1344)</f>
        <v/>
      </c>
    </row>
    <row r="1342">
      <c r="L1342">
        <f>IF([2]Entry!$C$1345="","",[2]Entry!$C$1345)</f>
        <v/>
      </c>
      <c r="M1342">
        <f>IF([2]Entry!$J$1345="","",[2]Entry!$J$1345)</f>
        <v/>
      </c>
      <c r="N1342">
        <f>IF([2]Entry!$M$1345="","",[2]Entry!$M$1345)</f>
        <v/>
      </c>
      <c r="O1342">
        <f>IF([2]Entry!$N$1345="","",[2]Entry!$N$1345)</f>
        <v/>
      </c>
      <c r="P1342">
        <f>IF([2]Entry!$S$1345="","",[2]Entry!$S$1345)</f>
        <v/>
      </c>
    </row>
    <row r="1343">
      <c r="L1343">
        <f>IF([2]Entry!$C$1346="","",[2]Entry!$C$1346)</f>
        <v/>
      </c>
      <c r="M1343">
        <f>IF([2]Entry!$J$1346="","",[2]Entry!$J$1346)</f>
        <v/>
      </c>
      <c r="N1343">
        <f>IF([2]Entry!$M$1346="","",[2]Entry!$M$1346)</f>
        <v/>
      </c>
      <c r="O1343">
        <f>IF([2]Entry!$N$1346="","",[2]Entry!$N$1346)</f>
        <v/>
      </c>
      <c r="P1343">
        <f>IF([2]Entry!$S$1346="","",[2]Entry!$S$1346)</f>
        <v/>
      </c>
    </row>
    <row r="1344">
      <c r="L1344">
        <f>IF([2]Entry!$C$1347="","",[2]Entry!$C$1347)</f>
        <v/>
      </c>
      <c r="M1344">
        <f>IF([2]Entry!$J$1347="","",[2]Entry!$J$1347)</f>
        <v/>
      </c>
      <c r="N1344">
        <f>IF([2]Entry!$M$1347="","",[2]Entry!$M$1347)</f>
        <v/>
      </c>
      <c r="O1344">
        <f>IF([2]Entry!$N$1347="","",[2]Entry!$N$1347)</f>
        <v/>
      </c>
      <c r="P1344">
        <f>IF([2]Entry!$S$1347="","",[2]Entry!$S$1347)</f>
        <v/>
      </c>
    </row>
    <row r="1345">
      <c r="L1345">
        <f>IF([2]Entry!$C$1348="","",[2]Entry!$C$1348)</f>
        <v/>
      </c>
      <c r="M1345">
        <f>IF([2]Entry!$J$1348="","",[2]Entry!$J$1348)</f>
        <v/>
      </c>
      <c r="N1345">
        <f>IF([2]Entry!$M$1348="","",[2]Entry!$M$1348)</f>
        <v/>
      </c>
      <c r="O1345">
        <f>IF([2]Entry!$N$1348="","",[2]Entry!$N$1348)</f>
        <v/>
      </c>
      <c r="P1345">
        <f>IF([2]Entry!$S$1348="","",[2]Entry!$S$1348)</f>
        <v/>
      </c>
    </row>
    <row r="1346">
      <c r="L1346">
        <f>IF([2]Entry!$C$1349="","",[2]Entry!$C$1349)</f>
        <v/>
      </c>
      <c r="M1346">
        <f>IF([2]Entry!$J$1349="","",[2]Entry!$J$1349)</f>
        <v/>
      </c>
      <c r="N1346">
        <f>IF([2]Entry!$M$1349="","",[2]Entry!$M$1349)</f>
        <v/>
      </c>
      <c r="O1346">
        <f>IF([2]Entry!$N$1349="","",[2]Entry!$N$1349)</f>
        <v/>
      </c>
      <c r="P1346">
        <f>IF([2]Entry!$S$1349="","",[2]Entry!$S$1349)</f>
        <v/>
      </c>
    </row>
    <row r="1347">
      <c r="L1347">
        <f>IF([2]Entry!$C$1350="","",[2]Entry!$C$1350)</f>
        <v/>
      </c>
      <c r="M1347">
        <f>IF([2]Entry!$J$1350="","",[2]Entry!$J$1350)</f>
        <v/>
      </c>
      <c r="N1347">
        <f>IF([2]Entry!$M$1350="","",[2]Entry!$M$1350)</f>
        <v/>
      </c>
      <c r="O1347">
        <f>IF([2]Entry!$N$1350="","",[2]Entry!$N$1350)</f>
        <v/>
      </c>
      <c r="P1347">
        <f>IF([2]Entry!$S$1350="","",[2]Entry!$S$1350)</f>
        <v/>
      </c>
    </row>
    <row r="1348">
      <c r="L1348">
        <f>IF([2]Entry!$C$1351="","",[2]Entry!$C$1351)</f>
        <v/>
      </c>
      <c r="M1348">
        <f>IF([2]Entry!$J$1351="","",[2]Entry!$J$1351)</f>
        <v/>
      </c>
      <c r="N1348">
        <f>IF([2]Entry!$M$1351="","",[2]Entry!$M$1351)</f>
        <v/>
      </c>
      <c r="O1348">
        <f>IF([2]Entry!$N$1351="","",[2]Entry!$N$1351)</f>
        <v/>
      </c>
      <c r="P1348">
        <f>IF([2]Entry!$S$1351="","",[2]Entry!$S$1351)</f>
        <v/>
      </c>
    </row>
    <row r="1349">
      <c r="L1349">
        <f>IF([2]Entry!$C$1352="","",[2]Entry!$C$1352)</f>
        <v/>
      </c>
      <c r="M1349">
        <f>IF([2]Entry!$J$1352="","",[2]Entry!$J$1352)</f>
        <v/>
      </c>
      <c r="N1349">
        <f>IF([2]Entry!$M$1352="","",[2]Entry!$M$1352)</f>
        <v/>
      </c>
      <c r="O1349">
        <f>IF([2]Entry!$N$1352="","",[2]Entry!$N$1352)</f>
        <v/>
      </c>
      <c r="P1349">
        <f>IF([2]Entry!$S$1352="","",[2]Entry!$S$1352)</f>
        <v/>
      </c>
    </row>
    <row r="1350">
      <c r="L1350">
        <f>IF([2]Entry!$C$1353="","",[2]Entry!$C$1353)</f>
        <v/>
      </c>
      <c r="M1350">
        <f>IF([2]Entry!$J$1353="","",[2]Entry!$J$1353)</f>
        <v/>
      </c>
      <c r="N1350">
        <f>IF([2]Entry!$M$1353="","",[2]Entry!$M$1353)</f>
        <v/>
      </c>
      <c r="O1350">
        <f>IF([2]Entry!$N$1353="","",[2]Entry!$N$1353)</f>
        <v/>
      </c>
      <c r="P1350">
        <f>IF([2]Entry!$S$1353="","",[2]Entry!$S$1353)</f>
        <v/>
      </c>
    </row>
    <row r="1351">
      <c r="L1351">
        <f>IF([2]Entry!$C$1354="","",[2]Entry!$C$1354)</f>
        <v/>
      </c>
      <c r="M1351">
        <f>IF([2]Entry!$J$1354="","",[2]Entry!$J$1354)</f>
        <v/>
      </c>
      <c r="N1351">
        <f>IF([2]Entry!$M$1354="","",[2]Entry!$M$1354)</f>
        <v/>
      </c>
      <c r="O1351">
        <f>IF([2]Entry!$N$1354="","",[2]Entry!$N$1354)</f>
        <v/>
      </c>
      <c r="P1351">
        <f>IF([2]Entry!$S$1354="","",[2]Entry!$S$1354)</f>
        <v/>
      </c>
    </row>
    <row r="1352">
      <c r="L1352">
        <f>IF([2]Entry!$C$1355="","",[2]Entry!$C$1355)</f>
        <v/>
      </c>
      <c r="M1352">
        <f>IF([2]Entry!$J$1355="","",[2]Entry!$J$1355)</f>
        <v/>
      </c>
      <c r="N1352">
        <f>IF([2]Entry!$M$1355="","",[2]Entry!$M$1355)</f>
        <v/>
      </c>
      <c r="O1352">
        <f>IF([2]Entry!$N$1355="","",[2]Entry!$N$1355)</f>
        <v/>
      </c>
      <c r="P1352">
        <f>IF([2]Entry!$S$1355="","",[2]Entry!$S$1355)</f>
        <v/>
      </c>
    </row>
    <row r="1353">
      <c r="L1353">
        <f>IF([2]Entry!$C$1356="","",[2]Entry!$C$1356)</f>
        <v/>
      </c>
      <c r="M1353">
        <f>IF([2]Entry!$J$1356="","",[2]Entry!$J$1356)</f>
        <v/>
      </c>
      <c r="N1353">
        <f>IF([2]Entry!$M$1356="","",[2]Entry!$M$1356)</f>
        <v/>
      </c>
      <c r="O1353">
        <f>IF([2]Entry!$N$1356="","",[2]Entry!$N$1356)</f>
        <v/>
      </c>
      <c r="P1353">
        <f>IF([2]Entry!$S$1356="","",[2]Entry!$S$1356)</f>
        <v/>
      </c>
    </row>
    <row r="1354">
      <c r="L1354">
        <f>IF([2]Entry!$C$1357="","",[2]Entry!$C$1357)</f>
        <v/>
      </c>
      <c r="M1354">
        <f>IF([2]Entry!$J$1357="","",[2]Entry!$J$1357)</f>
        <v/>
      </c>
      <c r="N1354">
        <f>IF([2]Entry!$M$1357="","",[2]Entry!$M$1357)</f>
        <v/>
      </c>
      <c r="O1354">
        <f>IF([2]Entry!$N$1357="","",[2]Entry!$N$1357)</f>
        <v/>
      </c>
      <c r="P1354">
        <f>IF([2]Entry!$S$1357="","",[2]Entry!$S$1357)</f>
        <v/>
      </c>
    </row>
    <row r="1355">
      <c r="L1355">
        <f>IF([2]Entry!$C$1358="","",[2]Entry!$C$1358)</f>
        <v/>
      </c>
      <c r="M1355">
        <f>IF([2]Entry!$J$1358="","",[2]Entry!$J$1358)</f>
        <v/>
      </c>
      <c r="N1355">
        <f>IF([2]Entry!$M$1358="","",[2]Entry!$M$1358)</f>
        <v/>
      </c>
      <c r="O1355">
        <f>IF([2]Entry!$N$1358="","",[2]Entry!$N$1358)</f>
        <v/>
      </c>
      <c r="P1355">
        <f>IF([2]Entry!$S$1358="","",[2]Entry!$S$1358)</f>
        <v/>
      </c>
    </row>
    <row r="1356">
      <c r="L1356">
        <f>IF([2]Entry!$C$1359="","",[2]Entry!$C$1359)</f>
        <v/>
      </c>
      <c r="M1356">
        <f>IF([2]Entry!$J$1359="","",[2]Entry!$J$1359)</f>
        <v/>
      </c>
      <c r="N1356">
        <f>IF([2]Entry!$M$1359="","",[2]Entry!$M$1359)</f>
        <v/>
      </c>
      <c r="O1356">
        <f>IF([2]Entry!$N$1359="","",[2]Entry!$N$1359)</f>
        <v/>
      </c>
      <c r="P1356">
        <f>IF([2]Entry!$S$1359="","",[2]Entry!$S$1359)</f>
        <v/>
      </c>
    </row>
    <row r="1357">
      <c r="L1357">
        <f>IF([2]Entry!$C$1360="","",[2]Entry!$C$1360)</f>
        <v/>
      </c>
      <c r="M1357">
        <f>IF([2]Entry!$J$1360="","",[2]Entry!$J$1360)</f>
        <v/>
      </c>
      <c r="N1357">
        <f>IF([2]Entry!$M$1360="","",[2]Entry!$M$1360)</f>
        <v/>
      </c>
      <c r="O1357">
        <f>IF([2]Entry!$N$1360="","",[2]Entry!$N$1360)</f>
        <v/>
      </c>
      <c r="P1357">
        <f>IF([2]Entry!$S$1360="","",[2]Entry!$S$1360)</f>
        <v/>
      </c>
    </row>
    <row r="1358">
      <c r="L1358">
        <f>IF([2]Entry!$C$1361="","",[2]Entry!$C$1361)</f>
        <v/>
      </c>
      <c r="M1358">
        <f>IF([2]Entry!$J$1361="","",[2]Entry!$J$1361)</f>
        <v/>
      </c>
      <c r="N1358">
        <f>IF([2]Entry!$M$1361="","",[2]Entry!$M$1361)</f>
        <v/>
      </c>
      <c r="O1358">
        <f>IF([2]Entry!$N$1361="","",[2]Entry!$N$1361)</f>
        <v/>
      </c>
      <c r="P1358">
        <f>IF([2]Entry!$S$1361="","",[2]Entry!$S$1361)</f>
        <v/>
      </c>
    </row>
    <row r="1359">
      <c r="L1359">
        <f>IF([2]Entry!$C$1362="","",[2]Entry!$C$1362)</f>
        <v/>
      </c>
      <c r="M1359">
        <f>IF([2]Entry!$J$1362="","",[2]Entry!$J$1362)</f>
        <v/>
      </c>
      <c r="N1359">
        <f>IF([2]Entry!$M$1362="","",[2]Entry!$M$1362)</f>
        <v/>
      </c>
      <c r="O1359">
        <f>IF([2]Entry!$N$1362="","",[2]Entry!$N$1362)</f>
        <v/>
      </c>
      <c r="P1359">
        <f>IF([2]Entry!$S$1362="","",[2]Entry!$S$1362)</f>
        <v/>
      </c>
    </row>
    <row r="1360">
      <c r="L1360">
        <f>IF([2]Entry!$C$1363="","",[2]Entry!$C$1363)</f>
        <v/>
      </c>
      <c r="M1360">
        <f>IF([2]Entry!$J$1363="","",[2]Entry!$J$1363)</f>
        <v/>
      </c>
      <c r="N1360">
        <f>IF([2]Entry!$M$1363="","",[2]Entry!$M$1363)</f>
        <v/>
      </c>
      <c r="O1360">
        <f>IF([2]Entry!$N$1363="","",[2]Entry!$N$1363)</f>
        <v/>
      </c>
      <c r="P1360">
        <f>IF([2]Entry!$S$1363="","",[2]Entry!$S$1363)</f>
        <v/>
      </c>
    </row>
    <row r="1361">
      <c r="L1361">
        <f>IF([2]Entry!$C$1364="","",[2]Entry!$C$1364)</f>
        <v/>
      </c>
      <c r="M1361">
        <f>IF([2]Entry!$J$1364="","",[2]Entry!$J$1364)</f>
        <v/>
      </c>
      <c r="N1361">
        <f>IF([2]Entry!$M$1364="","",[2]Entry!$M$1364)</f>
        <v/>
      </c>
      <c r="O1361">
        <f>IF([2]Entry!$N$1364="","",[2]Entry!$N$1364)</f>
        <v/>
      </c>
      <c r="P1361">
        <f>IF([2]Entry!$S$1364="","",[2]Entry!$S$1364)</f>
        <v/>
      </c>
    </row>
    <row r="1362">
      <c r="L1362">
        <f>IF([2]Entry!$C$1365="","",[2]Entry!$C$1365)</f>
        <v/>
      </c>
      <c r="M1362">
        <f>IF([2]Entry!$J$1365="","",[2]Entry!$J$1365)</f>
        <v/>
      </c>
      <c r="N1362">
        <f>IF([2]Entry!$M$1365="","",[2]Entry!$M$1365)</f>
        <v/>
      </c>
      <c r="O1362">
        <f>IF([2]Entry!$N$1365="","",[2]Entry!$N$1365)</f>
        <v/>
      </c>
      <c r="P1362">
        <f>IF([2]Entry!$S$1365="","",[2]Entry!$S$1365)</f>
        <v/>
      </c>
    </row>
    <row r="1363">
      <c r="L1363">
        <f>IF([2]Entry!$C$1366="","",[2]Entry!$C$1366)</f>
        <v/>
      </c>
      <c r="M1363">
        <f>IF([2]Entry!$J$1366="","",[2]Entry!$J$1366)</f>
        <v/>
      </c>
      <c r="N1363">
        <f>IF([2]Entry!$M$1366="","",[2]Entry!$M$1366)</f>
        <v/>
      </c>
      <c r="O1363">
        <f>IF([2]Entry!$N$1366="","",[2]Entry!$N$1366)</f>
        <v/>
      </c>
      <c r="P1363">
        <f>IF([2]Entry!$S$1366="","",[2]Entry!$S$1366)</f>
        <v/>
      </c>
    </row>
    <row r="1364">
      <c r="L1364">
        <f>IF([2]Entry!$C$1367="","",[2]Entry!$C$1367)</f>
        <v/>
      </c>
      <c r="M1364">
        <f>IF([2]Entry!$J$1367="","",[2]Entry!$J$1367)</f>
        <v/>
      </c>
      <c r="N1364">
        <f>IF([2]Entry!$M$1367="","",[2]Entry!$M$1367)</f>
        <v/>
      </c>
      <c r="O1364">
        <f>IF([2]Entry!$N$1367="","",[2]Entry!$N$1367)</f>
        <v/>
      </c>
      <c r="P1364">
        <f>IF([2]Entry!$S$1367="","",[2]Entry!$S$1367)</f>
        <v/>
      </c>
    </row>
    <row r="1365">
      <c r="L1365">
        <f>IF([2]Entry!$C$1368="","",[2]Entry!$C$1368)</f>
        <v/>
      </c>
      <c r="M1365">
        <f>IF([2]Entry!$J$1368="","",[2]Entry!$J$1368)</f>
        <v/>
      </c>
      <c r="N1365">
        <f>IF([2]Entry!$M$1368="","",[2]Entry!$M$1368)</f>
        <v/>
      </c>
      <c r="O1365">
        <f>IF([2]Entry!$N$1368="","",[2]Entry!$N$1368)</f>
        <v/>
      </c>
      <c r="P1365">
        <f>IF([2]Entry!$S$1368="","",[2]Entry!$S$1368)</f>
        <v/>
      </c>
    </row>
    <row r="1366">
      <c r="L1366">
        <f>IF([2]Entry!$C$1369="","",[2]Entry!$C$1369)</f>
        <v/>
      </c>
      <c r="M1366">
        <f>IF([2]Entry!$J$1369="","",[2]Entry!$J$1369)</f>
        <v/>
      </c>
      <c r="N1366">
        <f>IF([2]Entry!$M$1369="","",[2]Entry!$M$1369)</f>
        <v/>
      </c>
      <c r="O1366">
        <f>IF([2]Entry!$N$1369="","",[2]Entry!$N$1369)</f>
        <v/>
      </c>
      <c r="P1366">
        <f>IF([2]Entry!$S$1369="","",[2]Entry!$S$1369)</f>
        <v/>
      </c>
    </row>
    <row r="1367">
      <c r="L1367">
        <f>IF([2]Entry!$C$1370="","",[2]Entry!$C$1370)</f>
        <v/>
      </c>
      <c r="M1367">
        <f>IF([2]Entry!$J$1370="","",[2]Entry!$J$1370)</f>
        <v/>
      </c>
      <c r="N1367">
        <f>IF([2]Entry!$M$1370="","",[2]Entry!$M$1370)</f>
        <v/>
      </c>
      <c r="O1367">
        <f>IF([2]Entry!$N$1370="","",[2]Entry!$N$1370)</f>
        <v/>
      </c>
      <c r="P1367">
        <f>IF([2]Entry!$S$1370="","",[2]Entry!$S$1370)</f>
        <v/>
      </c>
    </row>
    <row r="1368">
      <c r="L1368">
        <f>IF([2]Entry!$C$1371="","",[2]Entry!$C$1371)</f>
        <v/>
      </c>
      <c r="M1368">
        <f>IF([2]Entry!$J$1371="","",[2]Entry!$J$1371)</f>
        <v/>
      </c>
      <c r="N1368">
        <f>IF([2]Entry!$M$1371="","",[2]Entry!$M$1371)</f>
        <v/>
      </c>
      <c r="O1368">
        <f>IF([2]Entry!$N$1371="","",[2]Entry!$N$1371)</f>
        <v/>
      </c>
      <c r="P1368">
        <f>IF([2]Entry!$S$1371="","",[2]Entry!$S$1371)</f>
        <v/>
      </c>
    </row>
    <row r="1369">
      <c r="L1369">
        <f>IF([2]Entry!$C$1372="","",[2]Entry!$C$1372)</f>
        <v/>
      </c>
      <c r="M1369">
        <f>IF([2]Entry!$J$1372="","",[2]Entry!$J$1372)</f>
        <v/>
      </c>
      <c r="N1369">
        <f>IF([2]Entry!$M$1372="","",[2]Entry!$M$1372)</f>
        <v/>
      </c>
      <c r="O1369">
        <f>IF([2]Entry!$N$1372="","",[2]Entry!$N$1372)</f>
        <v/>
      </c>
      <c r="P1369">
        <f>IF([2]Entry!$S$1372="","",[2]Entry!$S$1372)</f>
        <v/>
      </c>
    </row>
    <row r="1370">
      <c r="L1370">
        <f>IF([2]Entry!$C$1373="","",[2]Entry!$C$1373)</f>
        <v/>
      </c>
      <c r="M1370">
        <f>IF([2]Entry!$J$1373="","",[2]Entry!$J$1373)</f>
        <v/>
      </c>
      <c r="N1370">
        <f>IF([2]Entry!$M$1373="","",[2]Entry!$M$1373)</f>
        <v/>
      </c>
      <c r="O1370">
        <f>IF([2]Entry!$N$1373="","",[2]Entry!$N$1373)</f>
        <v/>
      </c>
      <c r="P1370">
        <f>IF([2]Entry!$S$1373="","",[2]Entry!$S$1373)</f>
        <v/>
      </c>
    </row>
    <row r="1371">
      <c r="L1371">
        <f>IF([2]Entry!$C$1374="","",[2]Entry!$C$1374)</f>
        <v/>
      </c>
      <c r="M1371">
        <f>IF([2]Entry!$J$1374="","",[2]Entry!$J$1374)</f>
        <v/>
      </c>
      <c r="N1371">
        <f>IF([2]Entry!$M$1374="","",[2]Entry!$M$1374)</f>
        <v/>
      </c>
      <c r="O1371">
        <f>IF([2]Entry!$N$1374="","",[2]Entry!$N$1374)</f>
        <v/>
      </c>
      <c r="P1371">
        <f>IF([2]Entry!$S$1374="","",[2]Entry!$S$1374)</f>
        <v/>
      </c>
    </row>
    <row r="1372">
      <c r="L1372">
        <f>IF([2]Entry!$C$1375="","",[2]Entry!$C$1375)</f>
        <v/>
      </c>
      <c r="M1372">
        <f>IF([2]Entry!$J$1375="","",[2]Entry!$J$1375)</f>
        <v/>
      </c>
      <c r="N1372">
        <f>IF([2]Entry!$M$1375="","",[2]Entry!$M$1375)</f>
        <v/>
      </c>
      <c r="O1372">
        <f>IF([2]Entry!$N$1375="","",[2]Entry!$N$1375)</f>
        <v/>
      </c>
      <c r="P1372">
        <f>IF([2]Entry!$S$1375="","",[2]Entry!$S$1375)</f>
        <v/>
      </c>
    </row>
    <row r="1373">
      <c r="L1373">
        <f>IF([2]Entry!$C$1376="","",[2]Entry!$C$1376)</f>
        <v/>
      </c>
      <c r="M1373">
        <f>IF([2]Entry!$J$1376="","",[2]Entry!$J$1376)</f>
        <v/>
      </c>
      <c r="N1373">
        <f>IF([2]Entry!$M$1376="","",[2]Entry!$M$1376)</f>
        <v/>
      </c>
      <c r="O1373">
        <f>IF([2]Entry!$N$1376="","",[2]Entry!$N$1376)</f>
        <v/>
      </c>
      <c r="P1373">
        <f>IF([2]Entry!$S$1376="","",[2]Entry!$S$1376)</f>
        <v/>
      </c>
    </row>
    <row r="1374">
      <c r="L1374">
        <f>IF([2]Entry!$C$1377="","",[2]Entry!$C$1377)</f>
        <v/>
      </c>
      <c r="M1374">
        <f>IF([2]Entry!$J$1377="","",[2]Entry!$J$1377)</f>
        <v/>
      </c>
      <c r="N1374">
        <f>IF([2]Entry!$M$1377="","",[2]Entry!$M$1377)</f>
        <v/>
      </c>
      <c r="O1374">
        <f>IF([2]Entry!$N$1377="","",[2]Entry!$N$1377)</f>
        <v/>
      </c>
      <c r="P1374">
        <f>IF([2]Entry!$S$1377="","",[2]Entry!$S$1377)</f>
        <v/>
      </c>
    </row>
    <row r="1375">
      <c r="L1375">
        <f>IF([2]Entry!$C$1378="","",[2]Entry!$C$1378)</f>
        <v/>
      </c>
      <c r="M1375">
        <f>IF([2]Entry!$J$1378="","",[2]Entry!$J$1378)</f>
        <v/>
      </c>
      <c r="N1375">
        <f>IF([2]Entry!$M$1378="","",[2]Entry!$M$1378)</f>
        <v/>
      </c>
      <c r="O1375">
        <f>IF([2]Entry!$N$1378="","",[2]Entry!$N$1378)</f>
        <v/>
      </c>
      <c r="P1375">
        <f>IF([2]Entry!$S$1378="","",[2]Entry!$S$1378)</f>
        <v/>
      </c>
    </row>
    <row r="1376">
      <c r="L1376">
        <f>IF([2]Entry!$C$1379="","",[2]Entry!$C$1379)</f>
        <v/>
      </c>
      <c r="M1376">
        <f>IF([2]Entry!$J$1379="","",[2]Entry!$J$1379)</f>
        <v/>
      </c>
      <c r="N1376">
        <f>IF([2]Entry!$M$1379="","",[2]Entry!$M$1379)</f>
        <v/>
      </c>
      <c r="O1376">
        <f>IF([2]Entry!$N$1379="","",[2]Entry!$N$1379)</f>
        <v/>
      </c>
      <c r="P1376">
        <f>IF([2]Entry!$S$1379="","",[2]Entry!$S$1379)</f>
        <v/>
      </c>
    </row>
    <row r="1377">
      <c r="L1377">
        <f>IF([2]Entry!$C$1380="","",[2]Entry!$C$1380)</f>
        <v/>
      </c>
      <c r="M1377">
        <f>IF([2]Entry!$J$1380="","",[2]Entry!$J$1380)</f>
        <v/>
      </c>
      <c r="N1377">
        <f>IF([2]Entry!$M$1380="","",[2]Entry!$M$1380)</f>
        <v/>
      </c>
      <c r="O1377">
        <f>IF([2]Entry!$N$1380="","",[2]Entry!$N$1380)</f>
        <v/>
      </c>
      <c r="P1377">
        <f>IF([2]Entry!$S$1380="","",[2]Entry!$S$1380)</f>
        <v/>
      </c>
    </row>
    <row r="1378">
      <c r="L1378">
        <f>IF([2]Entry!$C$1381="","",[2]Entry!$C$1381)</f>
        <v/>
      </c>
      <c r="M1378">
        <f>IF([2]Entry!$J$1381="","",[2]Entry!$J$1381)</f>
        <v/>
      </c>
      <c r="N1378">
        <f>IF([2]Entry!$M$1381="","",[2]Entry!$M$1381)</f>
        <v/>
      </c>
      <c r="O1378">
        <f>IF([2]Entry!$N$1381="","",[2]Entry!$N$1381)</f>
        <v/>
      </c>
      <c r="P1378">
        <f>IF([2]Entry!$S$1381="","",[2]Entry!$S$1381)</f>
        <v/>
      </c>
    </row>
    <row r="1379">
      <c r="L1379">
        <f>IF([2]Entry!$C$1382="","",[2]Entry!$C$1382)</f>
        <v/>
      </c>
      <c r="M1379">
        <f>IF([2]Entry!$J$1382="","",[2]Entry!$J$1382)</f>
        <v/>
      </c>
      <c r="N1379">
        <f>IF([2]Entry!$M$1382="","",[2]Entry!$M$1382)</f>
        <v/>
      </c>
      <c r="O1379">
        <f>IF([2]Entry!$N$1382="","",[2]Entry!$N$1382)</f>
        <v/>
      </c>
      <c r="P1379">
        <f>IF([2]Entry!$S$1382="","",[2]Entry!$S$1382)</f>
        <v/>
      </c>
    </row>
    <row r="1380">
      <c r="L1380">
        <f>IF([2]Entry!$C$1383="","",[2]Entry!$C$1383)</f>
        <v/>
      </c>
      <c r="M1380">
        <f>IF([2]Entry!$J$1383="","",[2]Entry!$J$1383)</f>
        <v/>
      </c>
      <c r="N1380">
        <f>IF([2]Entry!$M$1383="","",[2]Entry!$M$1383)</f>
        <v/>
      </c>
      <c r="O1380">
        <f>IF([2]Entry!$N$1383="","",[2]Entry!$N$1383)</f>
        <v/>
      </c>
      <c r="P1380">
        <f>IF([2]Entry!$S$1383="","",[2]Entry!$S$1383)</f>
        <v/>
      </c>
    </row>
    <row r="1381">
      <c r="L1381">
        <f>IF([2]Entry!$C$1384="","",[2]Entry!$C$1384)</f>
        <v/>
      </c>
      <c r="M1381">
        <f>IF([2]Entry!$J$1384="","",[2]Entry!$J$1384)</f>
        <v/>
      </c>
      <c r="N1381">
        <f>IF([2]Entry!$M$1384="","",[2]Entry!$M$1384)</f>
        <v/>
      </c>
      <c r="O1381">
        <f>IF([2]Entry!$N$1384="","",[2]Entry!$N$1384)</f>
        <v/>
      </c>
      <c r="P1381">
        <f>IF([2]Entry!$S$1384="","",[2]Entry!$S$1384)</f>
        <v/>
      </c>
    </row>
    <row r="1382">
      <c r="L1382">
        <f>IF([2]Entry!$C$1385="","",[2]Entry!$C$1385)</f>
        <v/>
      </c>
      <c r="M1382">
        <f>IF([2]Entry!$J$1385="","",[2]Entry!$J$1385)</f>
        <v/>
      </c>
      <c r="N1382">
        <f>IF([2]Entry!$M$1385="","",[2]Entry!$M$1385)</f>
        <v/>
      </c>
      <c r="O1382">
        <f>IF([2]Entry!$N$1385="","",[2]Entry!$N$1385)</f>
        <v/>
      </c>
      <c r="P1382">
        <f>IF([2]Entry!$S$1385="","",[2]Entry!$S$1385)</f>
        <v/>
      </c>
    </row>
    <row r="1383">
      <c r="L1383">
        <f>IF([2]Entry!$C$1386="","",[2]Entry!$C$1386)</f>
        <v/>
      </c>
      <c r="M1383">
        <f>IF([2]Entry!$J$1386="","",[2]Entry!$J$1386)</f>
        <v/>
      </c>
      <c r="N1383">
        <f>IF([2]Entry!$M$1386="","",[2]Entry!$M$1386)</f>
        <v/>
      </c>
      <c r="O1383">
        <f>IF([2]Entry!$N$1386="","",[2]Entry!$N$1386)</f>
        <v/>
      </c>
      <c r="P1383">
        <f>IF([2]Entry!$S$1386="","",[2]Entry!$S$1386)</f>
        <v/>
      </c>
    </row>
    <row r="1384">
      <c r="L1384">
        <f>IF([2]Entry!$C$1387="","",[2]Entry!$C$1387)</f>
        <v/>
      </c>
      <c r="M1384">
        <f>IF([2]Entry!$J$1387="","",[2]Entry!$J$1387)</f>
        <v/>
      </c>
      <c r="N1384">
        <f>IF([2]Entry!$M$1387="","",[2]Entry!$M$1387)</f>
        <v/>
      </c>
      <c r="O1384">
        <f>IF([2]Entry!$N$1387="","",[2]Entry!$N$1387)</f>
        <v/>
      </c>
      <c r="P1384">
        <f>IF([2]Entry!$S$1387="","",[2]Entry!$S$1387)</f>
        <v/>
      </c>
    </row>
    <row r="1385">
      <c r="L1385">
        <f>IF([2]Entry!$C$1388="","",[2]Entry!$C$1388)</f>
        <v/>
      </c>
      <c r="M1385">
        <f>IF([2]Entry!$J$1388="","",[2]Entry!$J$1388)</f>
        <v/>
      </c>
      <c r="N1385">
        <f>IF([2]Entry!$M$1388="","",[2]Entry!$M$1388)</f>
        <v/>
      </c>
      <c r="O1385">
        <f>IF([2]Entry!$N$1388="","",[2]Entry!$N$1388)</f>
        <v/>
      </c>
      <c r="P1385">
        <f>IF([2]Entry!$S$1388="","",[2]Entry!$S$1388)</f>
        <v/>
      </c>
    </row>
    <row r="1386">
      <c r="L1386">
        <f>IF([2]Entry!$C$1389="","",[2]Entry!$C$1389)</f>
        <v/>
      </c>
      <c r="M1386">
        <f>IF([2]Entry!$J$1389="","",[2]Entry!$J$1389)</f>
        <v/>
      </c>
      <c r="N1386">
        <f>IF([2]Entry!$M$1389="","",[2]Entry!$M$1389)</f>
        <v/>
      </c>
      <c r="O1386">
        <f>IF([2]Entry!$N$1389="","",[2]Entry!$N$1389)</f>
        <v/>
      </c>
      <c r="P1386">
        <f>IF([2]Entry!$S$1389="","",[2]Entry!$S$1389)</f>
        <v/>
      </c>
    </row>
    <row r="1387">
      <c r="L1387">
        <f>IF([2]Entry!$C$1390="","",[2]Entry!$C$1390)</f>
        <v/>
      </c>
      <c r="M1387">
        <f>IF([2]Entry!$J$1390="","",[2]Entry!$J$1390)</f>
        <v/>
      </c>
      <c r="N1387">
        <f>IF([2]Entry!$M$1390="","",[2]Entry!$M$1390)</f>
        <v/>
      </c>
      <c r="O1387">
        <f>IF([2]Entry!$N$1390="","",[2]Entry!$N$1390)</f>
        <v/>
      </c>
      <c r="P1387">
        <f>IF([2]Entry!$S$1390="","",[2]Entry!$S$1390)</f>
        <v/>
      </c>
    </row>
    <row r="1388">
      <c r="L1388">
        <f>IF([2]Entry!$C$1391="","",[2]Entry!$C$1391)</f>
        <v/>
      </c>
      <c r="M1388">
        <f>IF([2]Entry!$J$1391="","",[2]Entry!$J$1391)</f>
        <v/>
      </c>
      <c r="N1388">
        <f>IF([2]Entry!$M$1391="","",[2]Entry!$M$1391)</f>
        <v/>
      </c>
      <c r="O1388">
        <f>IF([2]Entry!$N$1391="","",[2]Entry!$N$1391)</f>
        <v/>
      </c>
      <c r="P1388">
        <f>IF([2]Entry!$S$1391="","",[2]Entry!$S$1391)</f>
        <v/>
      </c>
    </row>
    <row r="1389">
      <c r="L1389">
        <f>IF([2]Entry!$C$1392="","",[2]Entry!$C$1392)</f>
        <v/>
      </c>
      <c r="M1389">
        <f>IF([2]Entry!$J$1392="","",[2]Entry!$J$1392)</f>
        <v/>
      </c>
      <c r="N1389">
        <f>IF([2]Entry!$M$1392="","",[2]Entry!$M$1392)</f>
        <v/>
      </c>
      <c r="O1389">
        <f>IF([2]Entry!$N$1392="","",[2]Entry!$N$1392)</f>
        <v/>
      </c>
      <c r="P1389">
        <f>IF([2]Entry!$S$1392="","",[2]Entry!$S$1392)</f>
        <v/>
      </c>
    </row>
    <row r="1390">
      <c r="L1390">
        <f>IF([2]Entry!$C$1393="","",[2]Entry!$C$1393)</f>
        <v/>
      </c>
      <c r="M1390">
        <f>IF([2]Entry!$J$1393="","",[2]Entry!$J$1393)</f>
        <v/>
      </c>
      <c r="N1390">
        <f>IF([2]Entry!$M$1393="","",[2]Entry!$M$1393)</f>
        <v/>
      </c>
      <c r="O1390">
        <f>IF([2]Entry!$N$1393="","",[2]Entry!$N$1393)</f>
        <v/>
      </c>
      <c r="P1390">
        <f>IF([2]Entry!$S$1393="","",[2]Entry!$S$1393)</f>
        <v/>
      </c>
    </row>
    <row r="1391">
      <c r="L1391">
        <f>IF([2]Entry!$C$1394="","",[2]Entry!$C$1394)</f>
        <v/>
      </c>
      <c r="M1391">
        <f>IF([2]Entry!$J$1394="","",[2]Entry!$J$1394)</f>
        <v/>
      </c>
      <c r="N1391">
        <f>IF([2]Entry!$M$1394="","",[2]Entry!$M$1394)</f>
        <v/>
      </c>
      <c r="O1391">
        <f>IF([2]Entry!$N$1394="","",[2]Entry!$N$1394)</f>
        <v/>
      </c>
      <c r="P1391">
        <f>IF([2]Entry!$S$1394="","",[2]Entry!$S$1394)</f>
        <v/>
      </c>
    </row>
    <row r="1392">
      <c r="L1392">
        <f>IF([2]Entry!$C$1395="","",[2]Entry!$C$1395)</f>
        <v/>
      </c>
      <c r="M1392">
        <f>IF([2]Entry!$J$1395="","",[2]Entry!$J$1395)</f>
        <v/>
      </c>
      <c r="N1392">
        <f>IF([2]Entry!$M$1395="","",[2]Entry!$M$1395)</f>
        <v/>
      </c>
      <c r="O1392">
        <f>IF([2]Entry!$N$1395="","",[2]Entry!$N$1395)</f>
        <v/>
      </c>
      <c r="P1392">
        <f>IF([2]Entry!$S$1395="","",[2]Entry!$S$1395)</f>
        <v/>
      </c>
    </row>
    <row r="1393">
      <c r="L1393">
        <f>IF([2]Entry!$C$1396="","",[2]Entry!$C$1396)</f>
        <v/>
      </c>
      <c r="M1393">
        <f>IF([2]Entry!$J$1396="","",[2]Entry!$J$1396)</f>
        <v/>
      </c>
      <c r="N1393">
        <f>IF([2]Entry!$M$1396="","",[2]Entry!$M$1396)</f>
        <v/>
      </c>
      <c r="O1393">
        <f>IF([2]Entry!$N$1396="","",[2]Entry!$N$1396)</f>
        <v/>
      </c>
      <c r="P1393">
        <f>IF([2]Entry!$S$1396="","",[2]Entry!$S$1396)</f>
        <v/>
      </c>
    </row>
    <row r="1394">
      <c r="L1394">
        <f>IF([2]Entry!$C$1397="","",[2]Entry!$C$1397)</f>
        <v/>
      </c>
      <c r="M1394">
        <f>IF([2]Entry!$J$1397="","",[2]Entry!$J$1397)</f>
        <v/>
      </c>
      <c r="N1394">
        <f>IF([2]Entry!$M$1397="","",[2]Entry!$M$1397)</f>
        <v/>
      </c>
      <c r="O1394">
        <f>IF([2]Entry!$N$1397="","",[2]Entry!$N$1397)</f>
        <v/>
      </c>
      <c r="P1394">
        <f>IF([2]Entry!$S$1397="","",[2]Entry!$S$1397)</f>
        <v/>
      </c>
    </row>
    <row r="1395">
      <c r="L1395">
        <f>IF([2]Entry!$C$1398="","",[2]Entry!$C$1398)</f>
        <v/>
      </c>
      <c r="M1395">
        <f>IF([2]Entry!$J$1398="","",[2]Entry!$J$1398)</f>
        <v/>
      </c>
      <c r="N1395">
        <f>IF([2]Entry!$M$1398="","",[2]Entry!$M$1398)</f>
        <v/>
      </c>
      <c r="O1395">
        <f>IF([2]Entry!$N$1398="","",[2]Entry!$N$1398)</f>
        <v/>
      </c>
      <c r="P1395">
        <f>IF([2]Entry!$S$1398="","",[2]Entry!$S$1398)</f>
        <v/>
      </c>
    </row>
    <row r="1396">
      <c r="L1396">
        <f>IF([2]Entry!$C$1399="","",[2]Entry!$C$1399)</f>
        <v/>
      </c>
      <c r="M1396">
        <f>IF([2]Entry!$J$1399="","",[2]Entry!$J$1399)</f>
        <v/>
      </c>
      <c r="N1396">
        <f>IF([2]Entry!$M$1399="","",[2]Entry!$M$1399)</f>
        <v/>
      </c>
      <c r="O1396">
        <f>IF([2]Entry!$N$1399="","",[2]Entry!$N$1399)</f>
        <v/>
      </c>
      <c r="P1396">
        <f>IF([2]Entry!$S$1399="","",[2]Entry!$S$1399)</f>
        <v/>
      </c>
    </row>
    <row r="1397">
      <c r="L1397">
        <f>IF([2]Entry!$C$1400="","",[2]Entry!$C$1400)</f>
        <v/>
      </c>
      <c r="M1397">
        <f>IF([2]Entry!$J$1400="","",[2]Entry!$J$1400)</f>
        <v/>
      </c>
      <c r="N1397">
        <f>IF([2]Entry!$M$1400="","",[2]Entry!$M$1400)</f>
        <v/>
      </c>
      <c r="O1397">
        <f>IF([2]Entry!$N$1400="","",[2]Entry!$N$1400)</f>
        <v/>
      </c>
      <c r="P1397">
        <f>IF([2]Entry!$S$1400="","",[2]Entry!$S$1400)</f>
        <v/>
      </c>
    </row>
    <row r="1398">
      <c r="L1398">
        <f>IF([2]Entry!$C$1401="","",[2]Entry!$C$1401)</f>
        <v/>
      </c>
      <c r="M1398">
        <f>IF([2]Entry!$J$1401="","",[2]Entry!$J$1401)</f>
        <v/>
      </c>
      <c r="N1398">
        <f>IF([2]Entry!$M$1401="","",[2]Entry!$M$1401)</f>
        <v/>
      </c>
      <c r="O1398">
        <f>IF([2]Entry!$N$1401="","",[2]Entry!$N$1401)</f>
        <v/>
      </c>
      <c r="P1398">
        <f>IF([2]Entry!$S$1401="","",[2]Entry!$S$1401)</f>
        <v/>
      </c>
    </row>
    <row r="1399">
      <c r="L1399">
        <f>IF([2]Entry!$C$1402="","",[2]Entry!$C$1402)</f>
        <v/>
      </c>
      <c r="M1399">
        <f>IF([2]Entry!$J$1402="","",[2]Entry!$J$1402)</f>
        <v/>
      </c>
      <c r="N1399">
        <f>IF([2]Entry!$M$1402="","",[2]Entry!$M$1402)</f>
        <v/>
      </c>
      <c r="O1399">
        <f>IF([2]Entry!$N$1402="","",[2]Entry!$N$1402)</f>
        <v/>
      </c>
      <c r="P1399">
        <f>IF([2]Entry!$S$1402="","",[2]Entry!$S$1402)</f>
        <v/>
      </c>
    </row>
    <row r="1400">
      <c r="L1400">
        <f>IF([2]Entry!$C$1403="","",[2]Entry!$C$1403)</f>
        <v/>
      </c>
      <c r="M1400">
        <f>IF([2]Entry!$J$1403="","",[2]Entry!$J$1403)</f>
        <v/>
      </c>
      <c r="N1400">
        <f>IF([2]Entry!$M$1403="","",[2]Entry!$M$1403)</f>
        <v/>
      </c>
      <c r="O1400">
        <f>IF([2]Entry!$N$1403="","",[2]Entry!$N$1403)</f>
        <v/>
      </c>
      <c r="P1400">
        <f>IF([2]Entry!$S$1403="","",[2]Entry!$S$1403)</f>
        <v/>
      </c>
    </row>
    <row r="1401">
      <c r="L1401">
        <f>IF([2]Entry!$C$1404="","",[2]Entry!$C$1404)</f>
        <v/>
      </c>
      <c r="M1401">
        <f>IF([2]Entry!$J$1404="","",[2]Entry!$J$1404)</f>
        <v/>
      </c>
      <c r="N1401">
        <f>IF([2]Entry!$M$1404="","",[2]Entry!$M$1404)</f>
        <v/>
      </c>
      <c r="O1401">
        <f>IF([2]Entry!$N$1404="","",[2]Entry!$N$1404)</f>
        <v/>
      </c>
      <c r="P1401">
        <f>IF([2]Entry!$S$1404="","",[2]Entry!$S$1404)</f>
        <v/>
      </c>
    </row>
    <row r="1402">
      <c r="L1402">
        <f>IF([2]Entry!$C$1405="","",[2]Entry!$C$1405)</f>
        <v/>
      </c>
      <c r="M1402">
        <f>IF([2]Entry!$J$1405="","",[2]Entry!$J$1405)</f>
        <v/>
      </c>
      <c r="N1402">
        <f>IF([2]Entry!$M$1405="","",[2]Entry!$M$1405)</f>
        <v/>
      </c>
      <c r="O1402">
        <f>IF([2]Entry!$N$1405="","",[2]Entry!$N$1405)</f>
        <v/>
      </c>
      <c r="P1402">
        <f>IF([2]Entry!$S$1405="","",[2]Entry!$S$1405)</f>
        <v/>
      </c>
    </row>
    <row r="1403">
      <c r="L1403">
        <f>IF([2]Entry!$C$1406="","",[2]Entry!$C$1406)</f>
        <v/>
      </c>
      <c r="M1403">
        <f>IF([2]Entry!$J$1406="","",[2]Entry!$J$1406)</f>
        <v/>
      </c>
      <c r="N1403">
        <f>IF([2]Entry!$M$1406="","",[2]Entry!$M$1406)</f>
        <v/>
      </c>
      <c r="O1403">
        <f>IF([2]Entry!$N$1406="","",[2]Entry!$N$1406)</f>
        <v/>
      </c>
      <c r="P1403">
        <f>IF([2]Entry!$S$1406="","",[2]Entry!$S$1406)</f>
        <v/>
      </c>
    </row>
    <row r="1404">
      <c r="L1404">
        <f>IF([2]Entry!$C$1407="","",[2]Entry!$C$1407)</f>
        <v/>
      </c>
      <c r="M1404">
        <f>IF([2]Entry!$J$1407="","",[2]Entry!$J$1407)</f>
        <v/>
      </c>
      <c r="N1404">
        <f>IF([2]Entry!$M$1407="","",[2]Entry!$M$1407)</f>
        <v/>
      </c>
      <c r="O1404">
        <f>IF([2]Entry!$N$1407="","",[2]Entry!$N$1407)</f>
        <v/>
      </c>
      <c r="P1404">
        <f>IF([2]Entry!$S$1407="","",[2]Entry!$S$1407)</f>
        <v/>
      </c>
    </row>
    <row r="1405">
      <c r="L1405">
        <f>IF([2]Entry!$C$1408="","",[2]Entry!$C$1408)</f>
        <v/>
      </c>
      <c r="M1405">
        <f>IF([2]Entry!$J$1408="","",[2]Entry!$J$1408)</f>
        <v/>
      </c>
      <c r="N1405">
        <f>IF([2]Entry!$M$1408="","",[2]Entry!$M$1408)</f>
        <v/>
      </c>
      <c r="O1405">
        <f>IF([2]Entry!$N$1408="","",[2]Entry!$N$1408)</f>
        <v/>
      </c>
      <c r="P1405">
        <f>IF([2]Entry!$S$1408="","",[2]Entry!$S$1408)</f>
        <v/>
      </c>
    </row>
    <row r="1406">
      <c r="L1406">
        <f>IF([2]Entry!$C$1409="","",[2]Entry!$C$1409)</f>
        <v/>
      </c>
      <c r="M1406">
        <f>IF([2]Entry!$J$1409="","",[2]Entry!$J$1409)</f>
        <v/>
      </c>
      <c r="N1406">
        <f>IF([2]Entry!$M$1409="","",[2]Entry!$M$1409)</f>
        <v/>
      </c>
      <c r="O1406">
        <f>IF([2]Entry!$N$1409="","",[2]Entry!$N$1409)</f>
        <v/>
      </c>
      <c r="P1406">
        <f>IF([2]Entry!$S$1409="","",[2]Entry!$S$1409)</f>
        <v/>
      </c>
    </row>
    <row r="1407">
      <c r="L1407">
        <f>IF([2]Entry!$C$1410="","",[2]Entry!$C$1410)</f>
        <v/>
      </c>
      <c r="M1407">
        <f>IF([2]Entry!$J$1410="","",[2]Entry!$J$1410)</f>
        <v/>
      </c>
      <c r="N1407">
        <f>IF([2]Entry!$M$1410="","",[2]Entry!$M$1410)</f>
        <v/>
      </c>
      <c r="O1407">
        <f>IF([2]Entry!$N$1410="","",[2]Entry!$N$1410)</f>
        <v/>
      </c>
      <c r="P1407">
        <f>IF([2]Entry!$S$1410="","",[2]Entry!$S$1410)</f>
        <v/>
      </c>
    </row>
    <row r="1408">
      <c r="L1408">
        <f>IF([2]Entry!$C$1411="","",[2]Entry!$C$1411)</f>
        <v/>
      </c>
      <c r="M1408">
        <f>IF([2]Entry!$J$1411="","",[2]Entry!$J$1411)</f>
        <v/>
      </c>
      <c r="N1408">
        <f>IF([2]Entry!$M$1411="","",[2]Entry!$M$1411)</f>
        <v/>
      </c>
      <c r="O1408">
        <f>IF([2]Entry!$N$1411="","",[2]Entry!$N$1411)</f>
        <v/>
      </c>
      <c r="P1408">
        <f>IF([2]Entry!$S$1411="","",[2]Entry!$S$1411)</f>
        <v/>
      </c>
    </row>
    <row r="1409">
      <c r="L1409">
        <f>IF([2]Entry!$C$1412="","",[2]Entry!$C$1412)</f>
        <v/>
      </c>
      <c r="M1409">
        <f>IF([2]Entry!$J$1412="","",[2]Entry!$J$1412)</f>
        <v/>
      </c>
      <c r="N1409">
        <f>IF([2]Entry!$M$1412="","",[2]Entry!$M$1412)</f>
        <v/>
      </c>
      <c r="O1409">
        <f>IF([2]Entry!$N$1412="","",[2]Entry!$N$1412)</f>
        <v/>
      </c>
      <c r="P1409">
        <f>IF([2]Entry!$S$1412="","",[2]Entry!$S$1412)</f>
        <v/>
      </c>
    </row>
    <row r="1410">
      <c r="L1410">
        <f>IF([2]Entry!$C$1413="","",[2]Entry!$C$1413)</f>
        <v/>
      </c>
      <c r="M1410">
        <f>IF([2]Entry!$J$1413="","",[2]Entry!$J$1413)</f>
        <v/>
      </c>
      <c r="N1410">
        <f>IF([2]Entry!$M$1413="","",[2]Entry!$M$1413)</f>
        <v/>
      </c>
      <c r="O1410">
        <f>IF([2]Entry!$N$1413="","",[2]Entry!$N$1413)</f>
        <v/>
      </c>
      <c r="P1410">
        <f>IF([2]Entry!$S$1413="","",[2]Entry!$S$1413)</f>
        <v/>
      </c>
    </row>
    <row r="1411">
      <c r="L1411">
        <f>IF([2]Entry!$C$1414="","",[2]Entry!$C$1414)</f>
        <v/>
      </c>
      <c r="M1411">
        <f>IF([2]Entry!$J$1414="","",[2]Entry!$J$1414)</f>
        <v/>
      </c>
      <c r="N1411">
        <f>IF([2]Entry!$M$1414="","",[2]Entry!$M$1414)</f>
        <v/>
      </c>
      <c r="O1411">
        <f>IF([2]Entry!$N$1414="","",[2]Entry!$N$1414)</f>
        <v/>
      </c>
      <c r="P1411">
        <f>IF([2]Entry!$S$1414="","",[2]Entry!$S$1414)</f>
        <v/>
      </c>
    </row>
    <row r="1412">
      <c r="L1412">
        <f>IF([2]Entry!$C$1415="","",[2]Entry!$C$1415)</f>
        <v/>
      </c>
      <c r="M1412">
        <f>IF([2]Entry!$J$1415="","",[2]Entry!$J$1415)</f>
        <v/>
      </c>
      <c r="N1412">
        <f>IF([2]Entry!$M$1415="","",[2]Entry!$M$1415)</f>
        <v/>
      </c>
      <c r="O1412">
        <f>IF([2]Entry!$N$1415="","",[2]Entry!$N$1415)</f>
        <v/>
      </c>
      <c r="P1412">
        <f>IF([2]Entry!$S$1415="","",[2]Entry!$S$1415)</f>
        <v/>
      </c>
    </row>
    <row r="1413">
      <c r="L1413">
        <f>IF([2]Entry!$C$1416="","",[2]Entry!$C$1416)</f>
        <v/>
      </c>
      <c r="M1413">
        <f>IF([2]Entry!$J$1416="","",[2]Entry!$J$1416)</f>
        <v/>
      </c>
      <c r="N1413">
        <f>IF([2]Entry!$M$1416="","",[2]Entry!$M$1416)</f>
        <v/>
      </c>
      <c r="O1413">
        <f>IF([2]Entry!$N$1416="","",[2]Entry!$N$1416)</f>
        <v/>
      </c>
      <c r="P1413">
        <f>IF([2]Entry!$S$1416="","",[2]Entry!$S$1416)</f>
        <v/>
      </c>
    </row>
    <row r="1414">
      <c r="L1414">
        <f>IF([2]Entry!$C$1417="","",[2]Entry!$C$1417)</f>
        <v/>
      </c>
      <c r="M1414">
        <f>IF([2]Entry!$J$1417="","",[2]Entry!$J$1417)</f>
        <v/>
      </c>
      <c r="N1414">
        <f>IF([2]Entry!$M$1417="","",[2]Entry!$M$1417)</f>
        <v/>
      </c>
      <c r="O1414">
        <f>IF([2]Entry!$N$1417="","",[2]Entry!$N$1417)</f>
        <v/>
      </c>
      <c r="P1414">
        <f>IF([2]Entry!$S$1417="","",[2]Entry!$S$1417)</f>
        <v/>
      </c>
    </row>
    <row r="1415">
      <c r="L1415">
        <f>IF([2]Entry!$C$1418="","",[2]Entry!$C$1418)</f>
        <v/>
      </c>
      <c r="M1415">
        <f>IF([2]Entry!$J$1418="","",[2]Entry!$J$1418)</f>
        <v/>
      </c>
      <c r="N1415">
        <f>IF([2]Entry!$M$1418="","",[2]Entry!$M$1418)</f>
        <v/>
      </c>
      <c r="O1415">
        <f>IF([2]Entry!$N$1418="","",[2]Entry!$N$1418)</f>
        <v/>
      </c>
      <c r="P1415">
        <f>IF([2]Entry!$S$1418="","",[2]Entry!$S$1418)</f>
        <v/>
      </c>
    </row>
    <row r="1416">
      <c r="L1416">
        <f>IF([2]Entry!$C$1419="","",[2]Entry!$C$1419)</f>
        <v/>
      </c>
      <c r="M1416">
        <f>IF([2]Entry!$J$1419="","",[2]Entry!$J$1419)</f>
        <v/>
      </c>
      <c r="N1416">
        <f>IF([2]Entry!$M$1419="","",[2]Entry!$M$1419)</f>
        <v/>
      </c>
      <c r="O1416">
        <f>IF([2]Entry!$N$1419="","",[2]Entry!$N$1419)</f>
        <v/>
      </c>
      <c r="P1416">
        <f>IF([2]Entry!$S$1419="","",[2]Entry!$S$1419)</f>
        <v/>
      </c>
    </row>
    <row r="1417">
      <c r="L1417">
        <f>IF([2]Entry!$C$1420="","",[2]Entry!$C$1420)</f>
        <v/>
      </c>
      <c r="M1417">
        <f>IF([2]Entry!$J$1420="","",[2]Entry!$J$1420)</f>
        <v/>
      </c>
      <c r="N1417">
        <f>IF([2]Entry!$M$1420="","",[2]Entry!$M$1420)</f>
        <v/>
      </c>
      <c r="O1417">
        <f>IF([2]Entry!$N$1420="","",[2]Entry!$N$1420)</f>
        <v/>
      </c>
      <c r="P1417">
        <f>IF([2]Entry!$S$1420="","",[2]Entry!$S$1420)</f>
        <v/>
      </c>
    </row>
    <row r="1418">
      <c r="L1418">
        <f>IF([2]Entry!$C$1421="","",[2]Entry!$C$1421)</f>
        <v/>
      </c>
      <c r="M1418">
        <f>IF([2]Entry!$J$1421="","",[2]Entry!$J$1421)</f>
        <v/>
      </c>
      <c r="N1418">
        <f>IF([2]Entry!$M$1421="","",[2]Entry!$M$1421)</f>
        <v/>
      </c>
      <c r="O1418">
        <f>IF([2]Entry!$N$1421="","",[2]Entry!$N$1421)</f>
        <v/>
      </c>
      <c r="P1418">
        <f>IF([2]Entry!$S$1421="","",[2]Entry!$S$1421)</f>
        <v/>
      </c>
    </row>
    <row r="1419">
      <c r="L1419">
        <f>IF([2]Entry!$C$1422="","",[2]Entry!$C$1422)</f>
        <v/>
      </c>
      <c r="M1419">
        <f>IF([2]Entry!$J$1422="","",[2]Entry!$J$1422)</f>
        <v/>
      </c>
      <c r="N1419">
        <f>IF([2]Entry!$M$1422="","",[2]Entry!$M$1422)</f>
        <v/>
      </c>
      <c r="O1419">
        <f>IF([2]Entry!$N$1422="","",[2]Entry!$N$1422)</f>
        <v/>
      </c>
      <c r="P1419">
        <f>IF([2]Entry!$S$1422="","",[2]Entry!$S$1422)</f>
        <v/>
      </c>
    </row>
    <row r="1420">
      <c r="L1420">
        <f>IF([2]Entry!$C$1423="","",[2]Entry!$C$1423)</f>
        <v/>
      </c>
      <c r="M1420">
        <f>IF([2]Entry!$J$1423="","",[2]Entry!$J$1423)</f>
        <v/>
      </c>
      <c r="N1420">
        <f>IF([2]Entry!$M$1423="","",[2]Entry!$M$1423)</f>
        <v/>
      </c>
      <c r="O1420">
        <f>IF([2]Entry!$N$1423="","",[2]Entry!$N$1423)</f>
        <v/>
      </c>
      <c r="P1420">
        <f>IF([2]Entry!$S$1423="","",[2]Entry!$S$1423)</f>
        <v/>
      </c>
    </row>
    <row r="1421">
      <c r="L1421">
        <f>IF([2]Entry!$C$1424="","",[2]Entry!$C$1424)</f>
        <v/>
      </c>
      <c r="M1421">
        <f>IF([2]Entry!$J$1424="","",[2]Entry!$J$1424)</f>
        <v/>
      </c>
      <c r="N1421">
        <f>IF([2]Entry!$M$1424="","",[2]Entry!$M$1424)</f>
        <v/>
      </c>
      <c r="O1421">
        <f>IF([2]Entry!$N$1424="","",[2]Entry!$N$1424)</f>
        <v/>
      </c>
      <c r="P1421">
        <f>IF([2]Entry!$S$1424="","",[2]Entry!$S$1424)</f>
        <v/>
      </c>
    </row>
    <row r="1422">
      <c r="L1422">
        <f>IF([2]Entry!$C$1425="","",[2]Entry!$C$1425)</f>
        <v/>
      </c>
      <c r="M1422">
        <f>IF([2]Entry!$J$1425="","",[2]Entry!$J$1425)</f>
        <v/>
      </c>
      <c r="N1422">
        <f>IF([2]Entry!$M$1425="","",[2]Entry!$M$1425)</f>
        <v/>
      </c>
      <c r="O1422">
        <f>IF([2]Entry!$N$1425="","",[2]Entry!$N$1425)</f>
        <v/>
      </c>
      <c r="P1422">
        <f>IF([2]Entry!$S$1425="","",[2]Entry!$S$1425)</f>
        <v/>
      </c>
    </row>
    <row r="1423">
      <c r="L1423">
        <f>IF([2]Entry!$C$1426="","",[2]Entry!$C$1426)</f>
        <v/>
      </c>
      <c r="M1423">
        <f>IF([2]Entry!$J$1426="","",[2]Entry!$J$1426)</f>
        <v/>
      </c>
      <c r="N1423">
        <f>IF([2]Entry!$M$1426="","",[2]Entry!$M$1426)</f>
        <v/>
      </c>
      <c r="O1423">
        <f>IF([2]Entry!$N$1426="","",[2]Entry!$N$1426)</f>
        <v/>
      </c>
      <c r="P1423">
        <f>IF([2]Entry!$S$1426="","",[2]Entry!$S$1426)</f>
        <v/>
      </c>
    </row>
    <row r="1424">
      <c r="L1424">
        <f>IF([2]Entry!$C$1427="","",[2]Entry!$C$1427)</f>
        <v/>
      </c>
      <c r="M1424">
        <f>IF([2]Entry!$J$1427="","",[2]Entry!$J$1427)</f>
        <v/>
      </c>
      <c r="N1424">
        <f>IF([2]Entry!$M$1427="","",[2]Entry!$M$1427)</f>
        <v/>
      </c>
      <c r="O1424">
        <f>IF([2]Entry!$N$1427="","",[2]Entry!$N$1427)</f>
        <v/>
      </c>
      <c r="P1424">
        <f>IF([2]Entry!$S$1427="","",[2]Entry!$S$1427)</f>
        <v/>
      </c>
    </row>
    <row r="1425">
      <c r="L1425">
        <f>IF([2]Entry!$C$1428="","",[2]Entry!$C$1428)</f>
        <v/>
      </c>
      <c r="M1425">
        <f>IF([2]Entry!$J$1428="","",[2]Entry!$J$1428)</f>
        <v/>
      </c>
      <c r="N1425">
        <f>IF([2]Entry!$M$1428="","",[2]Entry!$M$1428)</f>
        <v/>
      </c>
      <c r="O1425">
        <f>IF([2]Entry!$N$1428="","",[2]Entry!$N$1428)</f>
        <v/>
      </c>
      <c r="P1425">
        <f>IF([2]Entry!$S$1428="","",[2]Entry!$S$1428)</f>
        <v/>
      </c>
    </row>
    <row r="1426">
      <c r="L1426">
        <f>IF([2]Entry!$C$1429="","",[2]Entry!$C$1429)</f>
        <v/>
      </c>
      <c r="M1426">
        <f>IF([2]Entry!$J$1429="","",[2]Entry!$J$1429)</f>
        <v/>
      </c>
      <c r="N1426">
        <f>IF([2]Entry!$M$1429="","",[2]Entry!$M$1429)</f>
        <v/>
      </c>
      <c r="O1426">
        <f>IF([2]Entry!$N$1429="","",[2]Entry!$N$1429)</f>
        <v/>
      </c>
      <c r="P1426">
        <f>IF([2]Entry!$S$1429="","",[2]Entry!$S$1429)</f>
        <v/>
      </c>
    </row>
    <row r="1427">
      <c r="L1427">
        <f>IF([2]Entry!$C$1430="","",[2]Entry!$C$1430)</f>
        <v/>
      </c>
      <c r="M1427">
        <f>IF([2]Entry!$J$1430="","",[2]Entry!$J$1430)</f>
        <v/>
      </c>
      <c r="N1427">
        <f>IF([2]Entry!$M$1430="","",[2]Entry!$M$1430)</f>
        <v/>
      </c>
      <c r="O1427">
        <f>IF([2]Entry!$N$1430="","",[2]Entry!$N$1430)</f>
        <v/>
      </c>
      <c r="P1427">
        <f>IF([2]Entry!$S$1430="","",[2]Entry!$S$1430)</f>
        <v/>
      </c>
    </row>
    <row r="1428">
      <c r="L1428">
        <f>IF([2]Entry!$C$1431="","",[2]Entry!$C$1431)</f>
        <v/>
      </c>
      <c r="M1428">
        <f>IF([2]Entry!$J$1431="","",[2]Entry!$J$1431)</f>
        <v/>
      </c>
      <c r="N1428">
        <f>IF([2]Entry!$M$1431="","",[2]Entry!$M$1431)</f>
        <v/>
      </c>
      <c r="O1428">
        <f>IF([2]Entry!$N$1431="","",[2]Entry!$N$1431)</f>
        <v/>
      </c>
      <c r="P1428">
        <f>IF([2]Entry!$S$1431="","",[2]Entry!$S$1431)</f>
        <v/>
      </c>
    </row>
    <row r="1429">
      <c r="L1429">
        <f>IF([2]Entry!$C$1432="","",[2]Entry!$C$1432)</f>
        <v/>
      </c>
      <c r="M1429">
        <f>IF([2]Entry!$J$1432="","",[2]Entry!$J$1432)</f>
        <v/>
      </c>
      <c r="N1429">
        <f>IF([2]Entry!$M$1432="","",[2]Entry!$M$1432)</f>
        <v/>
      </c>
      <c r="O1429">
        <f>IF([2]Entry!$N$1432="","",[2]Entry!$N$1432)</f>
        <v/>
      </c>
      <c r="P1429">
        <f>IF([2]Entry!$S$1432="","",[2]Entry!$S$1432)</f>
        <v/>
      </c>
    </row>
    <row r="1430">
      <c r="L1430">
        <f>IF([2]Entry!$C$1433="","",[2]Entry!$C$1433)</f>
        <v/>
      </c>
      <c r="M1430">
        <f>IF([2]Entry!$J$1433="","",[2]Entry!$J$1433)</f>
        <v/>
      </c>
      <c r="N1430">
        <f>IF([2]Entry!$M$1433="","",[2]Entry!$M$1433)</f>
        <v/>
      </c>
      <c r="O1430">
        <f>IF([2]Entry!$N$1433="","",[2]Entry!$N$1433)</f>
        <v/>
      </c>
      <c r="P1430">
        <f>IF([2]Entry!$S$1433="","",[2]Entry!$S$1433)</f>
        <v/>
      </c>
    </row>
    <row r="1431">
      <c r="L1431">
        <f>IF([2]Entry!$C$1434="","",[2]Entry!$C$1434)</f>
        <v/>
      </c>
      <c r="M1431">
        <f>IF([2]Entry!$J$1434="","",[2]Entry!$J$1434)</f>
        <v/>
      </c>
      <c r="N1431">
        <f>IF([2]Entry!$M$1434="","",[2]Entry!$M$1434)</f>
        <v/>
      </c>
      <c r="O1431">
        <f>IF([2]Entry!$N$1434="","",[2]Entry!$N$1434)</f>
        <v/>
      </c>
      <c r="P1431">
        <f>IF([2]Entry!$S$1434="","",[2]Entry!$S$1434)</f>
        <v/>
      </c>
    </row>
    <row r="1432">
      <c r="L1432">
        <f>IF([2]Entry!$C$1435="","",[2]Entry!$C$1435)</f>
        <v/>
      </c>
      <c r="M1432">
        <f>IF([2]Entry!$J$1435="","",[2]Entry!$J$1435)</f>
        <v/>
      </c>
      <c r="N1432">
        <f>IF([2]Entry!$M$1435="","",[2]Entry!$M$1435)</f>
        <v/>
      </c>
      <c r="O1432">
        <f>IF([2]Entry!$N$1435="","",[2]Entry!$N$1435)</f>
        <v/>
      </c>
      <c r="P1432">
        <f>IF([2]Entry!$S$1435="","",[2]Entry!$S$1435)</f>
        <v/>
      </c>
    </row>
    <row r="1433">
      <c r="L1433">
        <f>IF([2]Entry!$C$1436="","",[2]Entry!$C$1436)</f>
        <v/>
      </c>
      <c r="M1433">
        <f>IF([2]Entry!$J$1436="","",[2]Entry!$J$1436)</f>
        <v/>
      </c>
      <c r="N1433">
        <f>IF([2]Entry!$M$1436="","",[2]Entry!$M$1436)</f>
        <v/>
      </c>
      <c r="O1433">
        <f>IF([2]Entry!$N$1436="","",[2]Entry!$N$1436)</f>
        <v/>
      </c>
      <c r="P1433">
        <f>IF([2]Entry!$S$1436="","",[2]Entry!$S$1436)</f>
        <v/>
      </c>
    </row>
    <row r="1434">
      <c r="L1434">
        <f>IF([2]Entry!$C$1437="","",[2]Entry!$C$1437)</f>
        <v/>
      </c>
      <c r="M1434">
        <f>IF([2]Entry!$J$1437="","",[2]Entry!$J$1437)</f>
        <v/>
      </c>
      <c r="N1434">
        <f>IF([2]Entry!$M$1437="","",[2]Entry!$M$1437)</f>
        <v/>
      </c>
      <c r="O1434">
        <f>IF([2]Entry!$N$1437="","",[2]Entry!$N$1437)</f>
        <v/>
      </c>
      <c r="P1434">
        <f>IF([2]Entry!$S$1437="","",[2]Entry!$S$1437)</f>
        <v/>
      </c>
    </row>
    <row r="1435">
      <c r="L1435">
        <f>IF([2]Entry!$C$1438="","",[2]Entry!$C$1438)</f>
        <v/>
      </c>
      <c r="M1435">
        <f>IF([2]Entry!$J$1438="","",[2]Entry!$J$1438)</f>
        <v/>
      </c>
      <c r="N1435">
        <f>IF([2]Entry!$M$1438="","",[2]Entry!$M$1438)</f>
        <v/>
      </c>
      <c r="O1435">
        <f>IF([2]Entry!$N$1438="","",[2]Entry!$N$1438)</f>
        <v/>
      </c>
      <c r="P1435">
        <f>IF([2]Entry!$S$1438="","",[2]Entry!$S$1438)</f>
        <v/>
      </c>
    </row>
    <row r="1436">
      <c r="L1436">
        <f>IF([2]Entry!$C$1439="","",[2]Entry!$C$1439)</f>
        <v/>
      </c>
      <c r="M1436">
        <f>IF([2]Entry!$J$1439="","",[2]Entry!$J$1439)</f>
        <v/>
      </c>
      <c r="N1436">
        <f>IF([2]Entry!$M$1439="","",[2]Entry!$M$1439)</f>
        <v/>
      </c>
      <c r="O1436">
        <f>IF([2]Entry!$N$1439="","",[2]Entry!$N$1439)</f>
        <v/>
      </c>
      <c r="P1436">
        <f>IF([2]Entry!$S$1439="","",[2]Entry!$S$1439)</f>
        <v/>
      </c>
    </row>
    <row r="1437">
      <c r="L1437">
        <f>IF([2]Entry!$C$1440="","",[2]Entry!$C$1440)</f>
        <v/>
      </c>
      <c r="M1437">
        <f>IF([2]Entry!$J$1440="","",[2]Entry!$J$1440)</f>
        <v/>
      </c>
      <c r="N1437">
        <f>IF([2]Entry!$M$1440="","",[2]Entry!$M$1440)</f>
        <v/>
      </c>
      <c r="O1437">
        <f>IF([2]Entry!$N$1440="","",[2]Entry!$N$1440)</f>
        <v/>
      </c>
      <c r="P1437">
        <f>IF([2]Entry!$S$1440="","",[2]Entry!$S$1440)</f>
        <v/>
      </c>
    </row>
    <row r="1438">
      <c r="L1438">
        <f>IF([2]Entry!$C$1441="","",[2]Entry!$C$1441)</f>
        <v/>
      </c>
      <c r="M1438">
        <f>IF([2]Entry!$J$1441="","",[2]Entry!$J$1441)</f>
        <v/>
      </c>
      <c r="N1438">
        <f>IF([2]Entry!$M$1441="","",[2]Entry!$M$1441)</f>
        <v/>
      </c>
      <c r="O1438">
        <f>IF([2]Entry!$N$1441="","",[2]Entry!$N$1441)</f>
        <v/>
      </c>
      <c r="P1438">
        <f>IF([2]Entry!$S$1441="","",[2]Entry!$S$1441)</f>
        <v/>
      </c>
    </row>
    <row r="1439">
      <c r="L1439">
        <f>IF([2]Entry!$C$1442="","",[2]Entry!$C$1442)</f>
        <v/>
      </c>
      <c r="M1439">
        <f>IF([2]Entry!$J$1442="","",[2]Entry!$J$1442)</f>
        <v/>
      </c>
      <c r="N1439">
        <f>IF([2]Entry!$M$1442="","",[2]Entry!$M$1442)</f>
        <v/>
      </c>
      <c r="O1439">
        <f>IF([2]Entry!$N$1442="","",[2]Entry!$N$1442)</f>
        <v/>
      </c>
      <c r="P1439">
        <f>IF([2]Entry!$S$1442="","",[2]Entry!$S$1442)</f>
        <v/>
      </c>
    </row>
    <row r="1440">
      <c r="L1440">
        <f>IF([2]Entry!$C$1443="","",[2]Entry!$C$1443)</f>
        <v/>
      </c>
      <c r="M1440">
        <f>IF([2]Entry!$J$1443="","",[2]Entry!$J$1443)</f>
        <v/>
      </c>
      <c r="N1440">
        <f>IF([2]Entry!$M$1443="","",[2]Entry!$M$1443)</f>
        <v/>
      </c>
      <c r="O1440">
        <f>IF([2]Entry!$N$1443="","",[2]Entry!$N$1443)</f>
        <v/>
      </c>
      <c r="P1440">
        <f>IF([2]Entry!$S$1443="","",[2]Entry!$S$1443)</f>
        <v/>
      </c>
    </row>
    <row r="1441">
      <c r="L1441">
        <f>IF([2]Entry!$C$1444="","",[2]Entry!$C$1444)</f>
        <v/>
      </c>
      <c r="M1441">
        <f>IF([2]Entry!$J$1444="","",[2]Entry!$J$1444)</f>
        <v/>
      </c>
      <c r="N1441">
        <f>IF([2]Entry!$M$1444="","",[2]Entry!$M$1444)</f>
        <v/>
      </c>
      <c r="O1441">
        <f>IF([2]Entry!$N$1444="","",[2]Entry!$N$1444)</f>
        <v/>
      </c>
      <c r="P1441">
        <f>IF([2]Entry!$S$1444="","",[2]Entry!$S$1444)</f>
        <v/>
      </c>
    </row>
    <row r="1442">
      <c r="L1442">
        <f>IF([2]Entry!$C$1445="","",[2]Entry!$C$1445)</f>
        <v/>
      </c>
      <c r="M1442">
        <f>IF([2]Entry!$J$1445="","",[2]Entry!$J$1445)</f>
        <v/>
      </c>
      <c r="N1442">
        <f>IF([2]Entry!$M$1445="","",[2]Entry!$M$1445)</f>
        <v/>
      </c>
      <c r="O1442">
        <f>IF([2]Entry!$N$1445="","",[2]Entry!$N$1445)</f>
        <v/>
      </c>
      <c r="P1442">
        <f>IF([2]Entry!$S$1445="","",[2]Entry!$S$1445)</f>
        <v/>
      </c>
    </row>
    <row r="1443">
      <c r="L1443">
        <f>IF([2]Entry!$C$1446="","",[2]Entry!$C$1446)</f>
        <v/>
      </c>
      <c r="M1443">
        <f>IF([2]Entry!$J$1446="","",[2]Entry!$J$1446)</f>
        <v/>
      </c>
      <c r="N1443">
        <f>IF([2]Entry!$M$1446="","",[2]Entry!$M$1446)</f>
        <v/>
      </c>
      <c r="O1443">
        <f>IF([2]Entry!$N$1446="","",[2]Entry!$N$1446)</f>
        <v/>
      </c>
      <c r="P1443">
        <f>IF([2]Entry!$S$1446="","",[2]Entry!$S$1446)</f>
        <v/>
      </c>
    </row>
    <row r="1444">
      <c r="L1444">
        <f>IF([2]Entry!$C$1447="","",[2]Entry!$C$1447)</f>
        <v/>
      </c>
      <c r="M1444">
        <f>IF([2]Entry!$J$1447="","",[2]Entry!$J$1447)</f>
        <v/>
      </c>
      <c r="N1444">
        <f>IF([2]Entry!$M$1447="","",[2]Entry!$M$1447)</f>
        <v/>
      </c>
      <c r="O1444">
        <f>IF([2]Entry!$N$1447="","",[2]Entry!$N$1447)</f>
        <v/>
      </c>
      <c r="P1444">
        <f>IF([2]Entry!$S$1447="","",[2]Entry!$S$1447)</f>
        <v/>
      </c>
    </row>
    <row r="1445">
      <c r="L1445">
        <f>IF([2]Entry!$C$1448="","",[2]Entry!$C$1448)</f>
        <v/>
      </c>
      <c r="M1445">
        <f>IF([2]Entry!$J$1448="","",[2]Entry!$J$1448)</f>
        <v/>
      </c>
      <c r="N1445">
        <f>IF([2]Entry!$M$1448="","",[2]Entry!$M$1448)</f>
        <v/>
      </c>
      <c r="O1445">
        <f>IF([2]Entry!$N$1448="","",[2]Entry!$N$1448)</f>
        <v/>
      </c>
      <c r="P1445">
        <f>IF([2]Entry!$S$1448="","",[2]Entry!$S$1448)</f>
        <v/>
      </c>
    </row>
    <row r="1446">
      <c r="L1446">
        <f>IF([2]Entry!$C$1449="","",[2]Entry!$C$1449)</f>
        <v/>
      </c>
      <c r="M1446">
        <f>IF([2]Entry!$J$1449="","",[2]Entry!$J$1449)</f>
        <v/>
      </c>
      <c r="N1446">
        <f>IF([2]Entry!$M$1449="","",[2]Entry!$M$1449)</f>
        <v/>
      </c>
      <c r="O1446">
        <f>IF([2]Entry!$N$1449="","",[2]Entry!$N$1449)</f>
        <v/>
      </c>
      <c r="P1446">
        <f>IF([2]Entry!$S$1449="","",[2]Entry!$S$1449)</f>
        <v/>
      </c>
    </row>
    <row r="1447">
      <c r="L1447">
        <f>IF([2]Entry!$C$1450="","",[2]Entry!$C$1450)</f>
        <v/>
      </c>
      <c r="M1447">
        <f>IF([2]Entry!$J$1450="","",[2]Entry!$J$1450)</f>
        <v/>
      </c>
      <c r="N1447">
        <f>IF([2]Entry!$M$1450="","",[2]Entry!$M$1450)</f>
        <v/>
      </c>
      <c r="O1447">
        <f>IF([2]Entry!$N$1450="","",[2]Entry!$N$1450)</f>
        <v/>
      </c>
      <c r="P1447">
        <f>IF([2]Entry!$S$1450="","",[2]Entry!$S$1450)</f>
        <v/>
      </c>
    </row>
    <row r="1448">
      <c r="L1448">
        <f>IF([2]Entry!$C$1451="","",[2]Entry!$C$1451)</f>
        <v/>
      </c>
      <c r="M1448">
        <f>IF([2]Entry!$J$1451="","",[2]Entry!$J$1451)</f>
        <v/>
      </c>
      <c r="N1448">
        <f>IF([2]Entry!$M$1451="","",[2]Entry!$M$1451)</f>
        <v/>
      </c>
      <c r="O1448">
        <f>IF([2]Entry!$N$1451="","",[2]Entry!$N$1451)</f>
        <v/>
      </c>
      <c r="P1448">
        <f>IF([2]Entry!$S$1451="","",[2]Entry!$S$1451)</f>
        <v/>
      </c>
    </row>
    <row r="1449">
      <c r="L1449">
        <f>IF([2]Entry!$C$1452="","",[2]Entry!$C$1452)</f>
        <v/>
      </c>
      <c r="M1449">
        <f>IF([2]Entry!$J$1452="","",[2]Entry!$J$1452)</f>
        <v/>
      </c>
      <c r="N1449">
        <f>IF([2]Entry!$M$1452="","",[2]Entry!$M$1452)</f>
        <v/>
      </c>
      <c r="O1449">
        <f>IF([2]Entry!$N$1452="","",[2]Entry!$N$1452)</f>
        <v/>
      </c>
      <c r="P1449">
        <f>IF([2]Entry!$S$1452="","",[2]Entry!$S$1452)</f>
        <v/>
      </c>
    </row>
    <row r="1450">
      <c r="L1450">
        <f>IF([2]Entry!$C$1453="","",[2]Entry!$C$1453)</f>
        <v/>
      </c>
      <c r="M1450">
        <f>IF([2]Entry!$J$1453="","",[2]Entry!$J$1453)</f>
        <v/>
      </c>
      <c r="N1450">
        <f>IF([2]Entry!$M$1453="","",[2]Entry!$M$1453)</f>
        <v/>
      </c>
      <c r="O1450">
        <f>IF([2]Entry!$N$1453="","",[2]Entry!$N$1453)</f>
        <v/>
      </c>
      <c r="P1450">
        <f>IF([2]Entry!$S$1453="","",[2]Entry!$S$1453)</f>
        <v/>
      </c>
    </row>
    <row r="1451">
      <c r="L1451">
        <f>IF([2]Entry!$C$1454="","",[2]Entry!$C$1454)</f>
        <v/>
      </c>
      <c r="M1451">
        <f>IF([2]Entry!$J$1454="","",[2]Entry!$J$1454)</f>
        <v/>
      </c>
      <c r="N1451">
        <f>IF([2]Entry!$M$1454="","",[2]Entry!$M$1454)</f>
        <v/>
      </c>
      <c r="O1451">
        <f>IF([2]Entry!$N$1454="","",[2]Entry!$N$1454)</f>
        <v/>
      </c>
      <c r="P1451">
        <f>IF([2]Entry!$S$1454="","",[2]Entry!$S$1454)</f>
        <v/>
      </c>
    </row>
    <row r="1452">
      <c r="L1452">
        <f>IF([2]Entry!$C$1455="","",[2]Entry!$C$1455)</f>
        <v/>
      </c>
      <c r="M1452">
        <f>IF([2]Entry!$J$1455="","",[2]Entry!$J$1455)</f>
        <v/>
      </c>
      <c r="N1452">
        <f>IF([2]Entry!$M$1455="","",[2]Entry!$M$1455)</f>
        <v/>
      </c>
      <c r="O1452">
        <f>IF([2]Entry!$N$1455="","",[2]Entry!$N$1455)</f>
        <v/>
      </c>
      <c r="P1452">
        <f>IF([2]Entry!$S$1455="","",[2]Entry!$S$1455)</f>
        <v/>
      </c>
    </row>
    <row r="1453">
      <c r="L1453">
        <f>IF([2]Entry!$C$1456="","",[2]Entry!$C$1456)</f>
        <v/>
      </c>
      <c r="M1453">
        <f>IF([2]Entry!$J$1456="","",[2]Entry!$J$1456)</f>
        <v/>
      </c>
      <c r="N1453">
        <f>IF([2]Entry!$M$1456="","",[2]Entry!$M$1456)</f>
        <v/>
      </c>
      <c r="O1453">
        <f>IF([2]Entry!$N$1456="","",[2]Entry!$N$1456)</f>
        <v/>
      </c>
      <c r="P1453">
        <f>IF([2]Entry!$S$1456="","",[2]Entry!$S$1456)</f>
        <v/>
      </c>
    </row>
    <row r="1454">
      <c r="L1454">
        <f>IF([2]Entry!$C$1457="","",[2]Entry!$C$1457)</f>
        <v/>
      </c>
      <c r="M1454">
        <f>IF([2]Entry!$J$1457="","",[2]Entry!$J$1457)</f>
        <v/>
      </c>
      <c r="N1454">
        <f>IF([2]Entry!$M$1457="","",[2]Entry!$M$1457)</f>
        <v/>
      </c>
      <c r="O1454">
        <f>IF([2]Entry!$N$1457="","",[2]Entry!$N$1457)</f>
        <v/>
      </c>
      <c r="P1454">
        <f>IF([2]Entry!$S$1457="","",[2]Entry!$S$1457)</f>
        <v/>
      </c>
    </row>
    <row r="1455">
      <c r="L1455">
        <f>IF([2]Entry!$C$1458="","",[2]Entry!$C$1458)</f>
        <v/>
      </c>
      <c r="M1455">
        <f>IF([2]Entry!$J$1458="","",[2]Entry!$J$1458)</f>
        <v/>
      </c>
      <c r="N1455">
        <f>IF([2]Entry!$M$1458="","",[2]Entry!$M$1458)</f>
        <v/>
      </c>
      <c r="O1455">
        <f>IF([2]Entry!$N$1458="","",[2]Entry!$N$1458)</f>
        <v/>
      </c>
      <c r="P1455">
        <f>IF([2]Entry!$S$1458="","",[2]Entry!$S$1458)</f>
        <v/>
      </c>
    </row>
    <row r="1456">
      <c r="L1456">
        <f>IF([2]Entry!$C$1459="","",[2]Entry!$C$1459)</f>
        <v/>
      </c>
      <c r="M1456">
        <f>IF([2]Entry!$J$1459="","",[2]Entry!$J$1459)</f>
        <v/>
      </c>
      <c r="N1456">
        <f>IF([2]Entry!$M$1459="","",[2]Entry!$M$1459)</f>
        <v/>
      </c>
      <c r="O1456">
        <f>IF([2]Entry!$N$1459="","",[2]Entry!$N$1459)</f>
        <v/>
      </c>
      <c r="P1456">
        <f>IF([2]Entry!$S$1459="","",[2]Entry!$S$1459)</f>
        <v/>
      </c>
    </row>
    <row r="1457">
      <c r="L1457">
        <f>IF([2]Entry!$C$1460="","",[2]Entry!$C$1460)</f>
        <v/>
      </c>
      <c r="M1457">
        <f>IF([2]Entry!$J$1460="","",[2]Entry!$J$1460)</f>
        <v/>
      </c>
      <c r="N1457">
        <f>IF([2]Entry!$M$1460="","",[2]Entry!$M$1460)</f>
        <v/>
      </c>
      <c r="O1457">
        <f>IF([2]Entry!$N$1460="","",[2]Entry!$N$1460)</f>
        <v/>
      </c>
      <c r="P1457">
        <f>IF([2]Entry!$S$1460="","",[2]Entry!$S$1460)</f>
        <v/>
      </c>
    </row>
    <row r="1458">
      <c r="L1458">
        <f>IF([2]Entry!$C$1461="","",[2]Entry!$C$1461)</f>
        <v/>
      </c>
      <c r="M1458">
        <f>IF([2]Entry!$J$1461="","",[2]Entry!$J$1461)</f>
        <v/>
      </c>
      <c r="N1458">
        <f>IF([2]Entry!$M$1461="","",[2]Entry!$M$1461)</f>
        <v/>
      </c>
      <c r="O1458">
        <f>IF([2]Entry!$N$1461="","",[2]Entry!$N$1461)</f>
        <v/>
      </c>
      <c r="P1458">
        <f>IF([2]Entry!$S$1461="","",[2]Entry!$S$1461)</f>
        <v/>
      </c>
    </row>
    <row r="1459">
      <c r="L1459">
        <f>IF([2]Entry!$C$1462="","",[2]Entry!$C$1462)</f>
        <v/>
      </c>
      <c r="M1459">
        <f>IF([2]Entry!$J$1462="","",[2]Entry!$J$1462)</f>
        <v/>
      </c>
      <c r="N1459">
        <f>IF([2]Entry!$M$1462="","",[2]Entry!$M$1462)</f>
        <v/>
      </c>
      <c r="O1459">
        <f>IF([2]Entry!$N$1462="","",[2]Entry!$N$1462)</f>
        <v/>
      </c>
      <c r="P1459">
        <f>IF([2]Entry!$S$1462="","",[2]Entry!$S$1462)</f>
        <v/>
      </c>
    </row>
    <row r="1460">
      <c r="L1460">
        <f>IF([2]Entry!$C$1463="","",[2]Entry!$C$1463)</f>
        <v/>
      </c>
      <c r="M1460">
        <f>IF([2]Entry!$J$1463="","",[2]Entry!$J$1463)</f>
        <v/>
      </c>
      <c r="N1460">
        <f>IF([2]Entry!$M$1463="","",[2]Entry!$M$1463)</f>
        <v/>
      </c>
      <c r="O1460">
        <f>IF([2]Entry!$N$1463="","",[2]Entry!$N$1463)</f>
        <v/>
      </c>
      <c r="P1460">
        <f>IF([2]Entry!$S$1463="","",[2]Entry!$S$1463)</f>
        <v/>
      </c>
    </row>
    <row r="1461">
      <c r="L1461">
        <f>IF([2]Entry!$C$1464="","",[2]Entry!$C$1464)</f>
        <v/>
      </c>
      <c r="M1461">
        <f>IF([2]Entry!$J$1464="","",[2]Entry!$J$1464)</f>
        <v/>
      </c>
      <c r="N1461">
        <f>IF([2]Entry!$M$1464="","",[2]Entry!$M$1464)</f>
        <v/>
      </c>
      <c r="O1461">
        <f>IF([2]Entry!$N$1464="","",[2]Entry!$N$1464)</f>
        <v/>
      </c>
      <c r="P1461">
        <f>IF([2]Entry!$S$1464="","",[2]Entry!$S$1464)</f>
        <v/>
      </c>
    </row>
    <row r="1462">
      <c r="L1462">
        <f>IF([2]Entry!$C$1465="","",[2]Entry!$C$1465)</f>
        <v/>
      </c>
      <c r="M1462">
        <f>IF([2]Entry!$J$1465="","",[2]Entry!$J$1465)</f>
        <v/>
      </c>
      <c r="N1462">
        <f>IF([2]Entry!$M$1465="","",[2]Entry!$M$1465)</f>
        <v/>
      </c>
      <c r="O1462">
        <f>IF([2]Entry!$N$1465="","",[2]Entry!$N$1465)</f>
        <v/>
      </c>
      <c r="P1462">
        <f>IF([2]Entry!$S$1465="","",[2]Entry!$S$1465)</f>
        <v/>
      </c>
    </row>
    <row r="1463">
      <c r="L1463">
        <f>IF([2]Entry!$C$1466="","",[2]Entry!$C$1466)</f>
        <v/>
      </c>
      <c r="M1463">
        <f>IF([2]Entry!$J$1466="","",[2]Entry!$J$1466)</f>
        <v/>
      </c>
      <c r="N1463">
        <f>IF([2]Entry!$M$1466="","",[2]Entry!$M$1466)</f>
        <v/>
      </c>
      <c r="O1463">
        <f>IF([2]Entry!$N$1466="","",[2]Entry!$N$1466)</f>
        <v/>
      </c>
      <c r="P1463">
        <f>IF([2]Entry!$S$1466="","",[2]Entry!$S$1466)</f>
        <v/>
      </c>
    </row>
    <row r="1464">
      <c r="L1464">
        <f>IF([2]Entry!$C$1467="","",[2]Entry!$C$1467)</f>
        <v/>
      </c>
      <c r="M1464">
        <f>IF([2]Entry!$J$1467="","",[2]Entry!$J$1467)</f>
        <v/>
      </c>
      <c r="N1464">
        <f>IF([2]Entry!$M$1467="","",[2]Entry!$M$1467)</f>
        <v/>
      </c>
      <c r="O1464">
        <f>IF([2]Entry!$N$1467="","",[2]Entry!$N$1467)</f>
        <v/>
      </c>
      <c r="P1464">
        <f>IF([2]Entry!$S$1467="","",[2]Entry!$S$1467)</f>
        <v/>
      </c>
    </row>
    <row r="1465">
      <c r="L1465">
        <f>IF([2]Entry!$C$1468="","",[2]Entry!$C$1468)</f>
        <v/>
      </c>
      <c r="M1465">
        <f>IF([2]Entry!$J$1468="","",[2]Entry!$J$1468)</f>
        <v/>
      </c>
      <c r="N1465">
        <f>IF([2]Entry!$M$1468="","",[2]Entry!$M$1468)</f>
        <v/>
      </c>
      <c r="O1465">
        <f>IF([2]Entry!$N$1468="","",[2]Entry!$N$1468)</f>
        <v/>
      </c>
      <c r="P1465">
        <f>IF([2]Entry!$S$1468="","",[2]Entry!$S$1468)</f>
        <v/>
      </c>
    </row>
    <row r="1466">
      <c r="L1466">
        <f>IF([2]Entry!$C$1469="","",[2]Entry!$C$1469)</f>
        <v/>
      </c>
      <c r="M1466">
        <f>IF([2]Entry!$J$1469="","",[2]Entry!$J$1469)</f>
        <v/>
      </c>
      <c r="N1466">
        <f>IF([2]Entry!$M$1469="","",[2]Entry!$M$1469)</f>
        <v/>
      </c>
      <c r="O1466">
        <f>IF([2]Entry!$N$1469="","",[2]Entry!$N$1469)</f>
        <v/>
      </c>
      <c r="P1466">
        <f>IF([2]Entry!$S$1469="","",[2]Entry!$S$1469)</f>
        <v/>
      </c>
    </row>
    <row r="1467">
      <c r="L1467">
        <f>IF([2]Entry!$C$1470="","",[2]Entry!$C$1470)</f>
        <v/>
      </c>
      <c r="M1467">
        <f>IF([2]Entry!$J$1470="","",[2]Entry!$J$1470)</f>
        <v/>
      </c>
      <c r="N1467">
        <f>IF([2]Entry!$M$1470="","",[2]Entry!$M$1470)</f>
        <v/>
      </c>
      <c r="O1467">
        <f>IF([2]Entry!$N$1470="","",[2]Entry!$N$1470)</f>
        <v/>
      </c>
      <c r="P1467">
        <f>IF([2]Entry!$S$1470="","",[2]Entry!$S$1470)</f>
        <v/>
      </c>
    </row>
    <row r="1468">
      <c r="L1468">
        <f>IF([2]Entry!$C$1471="","",[2]Entry!$C$1471)</f>
        <v/>
      </c>
      <c r="M1468">
        <f>IF([2]Entry!$J$1471="","",[2]Entry!$J$1471)</f>
        <v/>
      </c>
      <c r="N1468">
        <f>IF([2]Entry!$M$1471="","",[2]Entry!$M$1471)</f>
        <v/>
      </c>
      <c r="O1468">
        <f>IF([2]Entry!$N$1471="","",[2]Entry!$N$1471)</f>
        <v/>
      </c>
      <c r="P1468">
        <f>IF([2]Entry!$S$1471="","",[2]Entry!$S$1471)</f>
        <v/>
      </c>
    </row>
    <row r="1469">
      <c r="L1469">
        <f>IF([2]Entry!$C$1472="","",[2]Entry!$C$1472)</f>
        <v/>
      </c>
      <c r="M1469">
        <f>IF([2]Entry!$J$1472="","",[2]Entry!$J$1472)</f>
        <v/>
      </c>
      <c r="N1469">
        <f>IF([2]Entry!$M$1472="","",[2]Entry!$M$1472)</f>
        <v/>
      </c>
      <c r="O1469">
        <f>IF([2]Entry!$N$1472="","",[2]Entry!$N$1472)</f>
        <v/>
      </c>
      <c r="P1469">
        <f>IF([2]Entry!$S$1472="","",[2]Entry!$S$1472)</f>
        <v/>
      </c>
    </row>
    <row r="1470">
      <c r="L1470">
        <f>IF([2]Entry!$C$1473="","",[2]Entry!$C$1473)</f>
        <v/>
      </c>
      <c r="M1470">
        <f>IF([2]Entry!$J$1473="","",[2]Entry!$J$1473)</f>
        <v/>
      </c>
      <c r="N1470">
        <f>IF([2]Entry!$M$1473="","",[2]Entry!$M$1473)</f>
        <v/>
      </c>
      <c r="O1470">
        <f>IF([2]Entry!$N$1473="","",[2]Entry!$N$1473)</f>
        <v/>
      </c>
      <c r="P1470">
        <f>IF([2]Entry!$S$1473="","",[2]Entry!$S$1473)</f>
        <v/>
      </c>
    </row>
    <row r="1471">
      <c r="L1471">
        <f>IF([2]Entry!$C$1474="","",[2]Entry!$C$1474)</f>
        <v/>
      </c>
      <c r="M1471">
        <f>IF([2]Entry!$J$1474="","",[2]Entry!$J$1474)</f>
        <v/>
      </c>
      <c r="N1471">
        <f>IF([2]Entry!$M$1474="","",[2]Entry!$M$1474)</f>
        <v/>
      </c>
      <c r="O1471">
        <f>IF([2]Entry!$N$1474="","",[2]Entry!$N$1474)</f>
        <v/>
      </c>
      <c r="P1471">
        <f>IF([2]Entry!$S$1474="","",[2]Entry!$S$1474)</f>
        <v/>
      </c>
    </row>
    <row r="1472">
      <c r="L1472">
        <f>IF([2]Entry!$C$1475="","",[2]Entry!$C$1475)</f>
        <v/>
      </c>
      <c r="M1472">
        <f>IF([2]Entry!$J$1475="","",[2]Entry!$J$1475)</f>
        <v/>
      </c>
      <c r="N1472">
        <f>IF([2]Entry!$M$1475="","",[2]Entry!$M$1475)</f>
        <v/>
      </c>
      <c r="O1472">
        <f>IF([2]Entry!$N$1475="","",[2]Entry!$N$1475)</f>
        <v/>
      </c>
      <c r="P1472">
        <f>IF([2]Entry!$S$1475="","",[2]Entry!$S$1475)</f>
        <v/>
      </c>
    </row>
    <row r="1473">
      <c r="L1473">
        <f>IF([2]Entry!$C$1476="","",[2]Entry!$C$1476)</f>
        <v/>
      </c>
      <c r="M1473">
        <f>IF([2]Entry!$J$1476="","",[2]Entry!$J$1476)</f>
        <v/>
      </c>
      <c r="N1473">
        <f>IF([2]Entry!$M$1476="","",[2]Entry!$M$1476)</f>
        <v/>
      </c>
      <c r="O1473">
        <f>IF([2]Entry!$N$1476="","",[2]Entry!$N$1476)</f>
        <v/>
      </c>
      <c r="P1473">
        <f>IF([2]Entry!$S$1476="","",[2]Entry!$S$1476)</f>
        <v/>
      </c>
    </row>
    <row r="1474">
      <c r="L1474">
        <f>IF([2]Entry!$C$1477="","",[2]Entry!$C$1477)</f>
        <v/>
      </c>
      <c r="M1474">
        <f>IF([2]Entry!$J$1477="","",[2]Entry!$J$1477)</f>
        <v/>
      </c>
      <c r="N1474">
        <f>IF([2]Entry!$M$1477="","",[2]Entry!$M$1477)</f>
        <v/>
      </c>
      <c r="O1474">
        <f>IF([2]Entry!$N$1477="","",[2]Entry!$N$1477)</f>
        <v/>
      </c>
      <c r="P1474">
        <f>IF([2]Entry!$S$1477="","",[2]Entry!$S$1477)</f>
        <v/>
      </c>
    </row>
    <row r="1475">
      <c r="L1475">
        <f>IF([2]Entry!$C$1478="","",[2]Entry!$C$1478)</f>
        <v/>
      </c>
      <c r="M1475">
        <f>IF([2]Entry!$J$1478="","",[2]Entry!$J$1478)</f>
        <v/>
      </c>
      <c r="N1475">
        <f>IF([2]Entry!$M$1478="","",[2]Entry!$M$1478)</f>
        <v/>
      </c>
      <c r="O1475">
        <f>IF([2]Entry!$N$1478="","",[2]Entry!$N$1478)</f>
        <v/>
      </c>
      <c r="P1475">
        <f>IF([2]Entry!$S$1478="","",[2]Entry!$S$1478)</f>
        <v/>
      </c>
    </row>
    <row r="1476">
      <c r="L1476">
        <f>IF([2]Entry!$C$1479="","",[2]Entry!$C$1479)</f>
        <v/>
      </c>
      <c r="M1476">
        <f>IF([2]Entry!$J$1479="","",[2]Entry!$J$1479)</f>
        <v/>
      </c>
      <c r="N1476">
        <f>IF([2]Entry!$M$1479="","",[2]Entry!$M$1479)</f>
        <v/>
      </c>
      <c r="O1476">
        <f>IF([2]Entry!$N$1479="","",[2]Entry!$N$1479)</f>
        <v/>
      </c>
      <c r="P1476">
        <f>IF([2]Entry!$S$1479="","",[2]Entry!$S$1479)</f>
        <v/>
      </c>
    </row>
    <row r="1477">
      <c r="L1477">
        <f>IF([2]Entry!$C$1480="","",[2]Entry!$C$1480)</f>
        <v/>
      </c>
      <c r="M1477">
        <f>IF([2]Entry!$J$1480="","",[2]Entry!$J$1480)</f>
        <v/>
      </c>
      <c r="N1477">
        <f>IF([2]Entry!$M$1480="","",[2]Entry!$M$1480)</f>
        <v/>
      </c>
      <c r="O1477">
        <f>IF([2]Entry!$N$1480="","",[2]Entry!$N$1480)</f>
        <v/>
      </c>
      <c r="P1477">
        <f>IF([2]Entry!$S$1480="","",[2]Entry!$S$1480)</f>
        <v/>
      </c>
    </row>
    <row r="1478">
      <c r="L1478">
        <f>IF([2]Entry!$C$1481="","",[2]Entry!$C$1481)</f>
        <v/>
      </c>
      <c r="M1478">
        <f>IF([2]Entry!$J$1481="","",[2]Entry!$J$1481)</f>
        <v/>
      </c>
      <c r="N1478">
        <f>IF([2]Entry!$M$1481="","",[2]Entry!$M$1481)</f>
        <v/>
      </c>
      <c r="O1478">
        <f>IF([2]Entry!$N$1481="","",[2]Entry!$N$1481)</f>
        <v/>
      </c>
      <c r="P1478">
        <f>IF([2]Entry!$S$1481="","",[2]Entry!$S$1481)</f>
        <v/>
      </c>
    </row>
    <row r="1479">
      <c r="L1479">
        <f>IF([2]Entry!$C$1482="","",[2]Entry!$C$1482)</f>
        <v/>
      </c>
      <c r="M1479">
        <f>IF([2]Entry!$J$1482="","",[2]Entry!$J$1482)</f>
        <v/>
      </c>
      <c r="N1479">
        <f>IF([2]Entry!$M$1482="","",[2]Entry!$M$1482)</f>
        <v/>
      </c>
      <c r="O1479">
        <f>IF([2]Entry!$N$1482="","",[2]Entry!$N$1482)</f>
        <v/>
      </c>
      <c r="P1479">
        <f>IF([2]Entry!$S$1482="","",[2]Entry!$S$1482)</f>
        <v/>
      </c>
    </row>
    <row r="1480">
      <c r="L1480">
        <f>IF([2]Entry!$C$1483="","",[2]Entry!$C$1483)</f>
        <v/>
      </c>
      <c r="M1480">
        <f>IF([2]Entry!$J$1483="","",[2]Entry!$J$1483)</f>
        <v/>
      </c>
      <c r="N1480">
        <f>IF([2]Entry!$M$1483="","",[2]Entry!$M$1483)</f>
        <v/>
      </c>
      <c r="O1480">
        <f>IF([2]Entry!$N$1483="","",[2]Entry!$N$1483)</f>
        <v/>
      </c>
      <c r="P1480">
        <f>IF([2]Entry!$S$1483="","",[2]Entry!$S$1483)</f>
        <v/>
      </c>
    </row>
    <row r="1481">
      <c r="L1481">
        <f>IF([2]Entry!$C$1484="","",[2]Entry!$C$1484)</f>
        <v/>
      </c>
      <c r="M1481">
        <f>IF([2]Entry!$J$1484="","",[2]Entry!$J$1484)</f>
        <v/>
      </c>
      <c r="N1481">
        <f>IF([2]Entry!$M$1484="","",[2]Entry!$M$1484)</f>
        <v/>
      </c>
      <c r="O1481">
        <f>IF([2]Entry!$N$1484="","",[2]Entry!$N$1484)</f>
        <v/>
      </c>
      <c r="P1481">
        <f>IF([2]Entry!$S$1484="","",[2]Entry!$S$1484)</f>
        <v/>
      </c>
    </row>
    <row r="1482">
      <c r="L1482">
        <f>IF([2]Entry!$C$1485="","",[2]Entry!$C$1485)</f>
        <v/>
      </c>
      <c r="M1482">
        <f>IF([2]Entry!$J$1485="","",[2]Entry!$J$1485)</f>
        <v/>
      </c>
      <c r="N1482">
        <f>IF([2]Entry!$M$1485="","",[2]Entry!$M$1485)</f>
        <v/>
      </c>
      <c r="O1482">
        <f>IF([2]Entry!$N$1485="","",[2]Entry!$N$1485)</f>
        <v/>
      </c>
      <c r="P1482">
        <f>IF([2]Entry!$S$1485="","",[2]Entry!$S$1485)</f>
        <v/>
      </c>
    </row>
    <row r="1483">
      <c r="L1483">
        <f>IF([2]Entry!$C$1486="","",[2]Entry!$C$1486)</f>
        <v/>
      </c>
      <c r="M1483">
        <f>IF([2]Entry!$J$1486="","",[2]Entry!$J$1486)</f>
        <v/>
      </c>
      <c r="N1483">
        <f>IF([2]Entry!$M$1486="","",[2]Entry!$M$1486)</f>
        <v/>
      </c>
      <c r="O1483">
        <f>IF([2]Entry!$N$1486="","",[2]Entry!$N$1486)</f>
        <v/>
      </c>
      <c r="P1483">
        <f>IF([2]Entry!$S$1486="","",[2]Entry!$S$1486)</f>
        <v/>
      </c>
    </row>
    <row r="1484">
      <c r="L1484">
        <f>IF([2]Entry!$C$1487="","",[2]Entry!$C$1487)</f>
        <v/>
      </c>
      <c r="M1484">
        <f>IF([2]Entry!$J$1487="","",[2]Entry!$J$1487)</f>
        <v/>
      </c>
      <c r="N1484">
        <f>IF([2]Entry!$M$1487="","",[2]Entry!$M$1487)</f>
        <v/>
      </c>
      <c r="O1484">
        <f>IF([2]Entry!$N$1487="","",[2]Entry!$N$1487)</f>
        <v/>
      </c>
      <c r="P1484">
        <f>IF([2]Entry!$S$1487="","",[2]Entry!$S$1487)</f>
        <v/>
      </c>
    </row>
    <row r="1485">
      <c r="L1485">
        <f>IF([2]Entry!$C$1488="","",[2]Entry!$C$1488)</f>
        <v/>
      </c>
      <c r="M1485">
        <f>IF([2]Entry!$J$1488="","",[2]Entry!$J$1488)</f>
        <v/>
      </c>
      <c r="N1485">
        <f>IF([2]Entry!$M$1488="","",[2]Entry!$M$1488)</f>
        <v/>
      </c>
      <c r="O1485">
        <f>IF([2]Entry!$N$1488="","",[2]Entry!$N$1488)</f>
        <v/>
      </c>
      <c r="P1485">
        <f>IF([2]Entry!$S$1488="","",[2]Entry!$S$1488)</f>
        <v/>
      </c>
    </row>
    <row r="1486">
      <c r="L1486">
        <f>IF([2]Entry!$C$1489="","",[2]Entry!$C$1489)</f>
        <v/>
      </c>
      <c r="M1486">
        <f>IF([2]Entry!$J$1489="","",[2]Entry!$J$1489)</f>
        <v/>
      </c>
      <c r="N1486">
        <f>IF([2]Entry!$M$1489="","",[2]Entry!$M$1489)</f>
        <v/>
      </c>
      <c r="O1486">
        <f>IF([2]Entry!$N$1489="","",[2]Entry!$N$1489)</f>
        <v/>
      </c>
      <c r="P1486">
        <f>IF([2]Entry!$S$1489="","",[2]Entry!$S$1489)</f>
        <v/>
      </c>
    </row>
    <row r="1487">
      <c r="L1487">
        <f>IF([2]Entry!$C$1490="","",[2]Entry!$C$1490)</f>
        <v/>
      </c>
      <c r="M1487">
        <f>IF([2]Entry!$J$1490="","",[2]Entry!$J$1490)</f>
        <v/>
      </c>
      <c r="N1487">
        <f>IF([2]Entry!$M$1490="","",[2]Entry!$M$1490)</f>
        <v/>
      </c>
      <c r="O1487">
        <f>IF([2]Entry!$N$1490="","",[2]Entry!$N$1490)</f>
        <v/>
      </c>
      <c r="P1487">
        <f>IF([2]Entry!$S$1490="","",[2]Entry!$S$1490)</f>
        <v/>
      </c>
    </row>
    <row r="1488">
      <c r="L1488">
        <f>IF([2]Entry!$C$1491="","",[2]Entry!$C$1491)</f>
        <v/>
      </c>
      <c r="M1488">
        <f>IF([2]Entry!$J$1491="","",[2]Entry!$J$1491)</f>
        <v/>
      </c>
      <c r="N1488">
        <f>IF([2]Entry!$M$1491="","",[2]Entry!$M$1491)</f>
        <v/>
      </c>
      <c r="O1488">
        <f>IF([2]Entry!$N$1491="","",[2]Entry!$N$1491)</f>
        <v/>
      </c>
      <c r="P1488">
        <f>IF([2]Entry!$S$1491="","",[2]Entry!$S$1491)</f>
        <v/>
      </c>
    </row>
    <row r="1489">
      <c r="L1489">
        <f>IF([2]Entry!$C$1492="","",[2]Entry!$C$1492)</f>
        <v/>
      </c>
      <c r="M1489">
        <f>IF([2]Entry!$J$1492="","",[2]Entry!$J$1492)</f>
        <v/>
      </c>
      <c r="N1489">
        <f>IF([2]Entry!$M$1492="","",[2]Entry!$M$1492)</f>
        <v/>
      </c>
      <c r="O1489">
        <f>IF([2]Entry!$N$1492="","",[2]Entry!$N$1492)</f>
        <v/>
      </c>
      <c r="P1489">
        <f>IF([2]Entry!$S$1492="","",[2]Entry!$S$1492)</f>
        <v/>
      </c>
    </row>
    <row r="1490">
      <c r="L1490">
        <f>IF([2]Entry!$C$1493="","",[2]Entry!$C$1493)</f>
        <v/>
      </c>
      <c r="M1490">
        <f>IF([2]Entry!$J$1493="","",[2]Entry!$J$1493)</f>
        <v/>
      </c>
      <c r="N1490">
        <f>IF([2]Entry!$M$1493="","",[2]Entry!$M$1493)</f>
        <v/>
      </c>
      <c r="O1490">
        <f>IF([2]Entry!$N$1493="","",[2]Entry!$N$1493)</f>
        <v/>
      </c>
      <c r="P1490">
        <f>IF([2]Entry!$S$1493="","",[2]Entry!$S$1493)</f>
        <v/>
      </c>
    </row>
    <row r="1491">
      <c r="L1491">
        <f>IF([2]Entry!$C$1494="","",[2]Entry!$C$1494)</f>
        <v/>
      </c>
      <c r="M1491">
        <f>IF([2]Entry!$J$1494="","",[2]Entry!$J$1494)</f>
        <v/>
      </c>
      <c r="N1491">
        <f>IF([2]Entry!$M$1494="","",[2]Entry!$M$1494)</f>
        <v/>
      </c>
      <c r="O1491">
        <f>IF([2]Entry!$N$1494="","",[2]Entry!$N$1494)</f>
        <v/>
      </c>
      <c r="P1491">
        <f>IF([2]Entry!$S$1494="","",[2]Entry!$S$1494)</f>
        <v/>
      </c>
    </row>
    <row r="1492">
      <c r="L1492">
        <f>IF([2]Entry!$C$1495="","",[2]Entry!$C$1495)</f>
        <v/>
      </c>
      <c r="M1492">
        <f>IF([2]Entry!$J$1495="","",[2]Entry!$J$1495)</f>
        <v/>
      </c>
      <c r="N1492">
        <f>IF([2]Entry!$M$1495="","",[2]Entry!$M$1495)</f>
        <v/>
      </c>
      <c r="O1492">
        <f>IF([2]Entry!$N$1495="","",[2]Entry!$N$1495)</f>
        <v/>
      </c>
      <c r="P1492">
        <f>IF([2]Entry!$S$1495="","",[2]Entry!$S$1495)</f>
        <v/>
      </c>
    </row>
    <row r="1493">
      <c r="L1493">
        <f>IF([2]Entry!$C$1496="","",[2]Entry!$C$1496)</f>
        <v/>
      </c>
      <c r="M1493">
        <f>IF([2]Entry!$J$1496="","",[2]Entry!$J$1496)</f>
        <v/>
      </c>
      <c r="N1493">
        <f>IF([2]Entry!$M$1496="","",[2]Entry!$M$1496)</f>
        <v/>
      </c>
      <c r="O1493">
        <f>IF([2]Entry!$N$1496="","",[2]Entry!$N$1496)</f>
        <v/>
      </c>
      <c r="P1493">
        <f>IF([2]Entry!$S$1496="","",[2]Entry!$S$1496)</f>
        <v/>
      </c>
    </row>
    <row r="1494">
      <c r="L1494">
        <f>IF([2]Entry!$C$1497="","",[2]Entry!$C$1497)</f>
        <v/>
      </c>
      <c r="M1494">
        <f>IF([2]Entry!$J$1497="","",[2]Entry!$J$1497)</f>
        <v/>
      </c>
      <c r="N1494">
        <f>IF([2]Entry!$M$1497="","",[2]Entry!$M$1497)</f>
        <v/>
      </c>
      <c r="O1494">
        <f>IF([2]Entry!$N$1497="","",[2]Entry!$N$1497)</f>
        <v/>
      </c>
      <c r="P1494">
        <f>IF([2]Entry!$S$1497="","",[2]Entry!$S$1497)</f>
        <v/>
      </c>
    </row>
    <row r="1495">
      <c r="L1495">
        <f>IF([2]Entry!$C$1498="","",[2]Entry!$C$1498)</f>
        <v/>
      </c>
      <c r="M1495">
        <f>IF([2]Entry!$J$1498="","",[2]Entry!$J$1498)</f>
        <v/>
      </c>
      <c r="N1495">
        <f>IF([2]Entry!$M$1498="","",[2]Entry!$M$1498)</f>
        <v/>
      </c>
      <c r="O1495">
        <f>IF([2]Entry!$N$1498="","",[2]Entry!$N$1498)</f>
        <v/>
      </c>
      <c r="P1495">
        <f>IF([2]Entry!$S$1498="","",[2]Entry!$S$1498)</f>
        <v/>
      </c>
    </row>
    <row r="1496">
      <c r="L1496">
        <f>IF([2]Entry!$C$1499="","",[2]Entry!$C$1499)</f>
        <v/>
      </c>
      <c r="M1496">
        <f>IF([2]Entry!$J$1499="","",[2]Entry!$J$1499)</f>
        <v/>
      </c>
      <c r="N1496">
        <f>IF([2]Entry!$M$1499="","",[2]Entry!$M$1499)</f>
        <v/>
      </c>
      <c r="O1496">
        <f>IF([2]Entry!$N$1499="","",[2]Entry!$N$1499)</f>
        <v/>
      </c>
      <c r="P1496">
        <f>IF([2]Entry!$S$1499="","",[2]Entry!$S$1499)</f>
        <v/>
      </c>
    </row>
    <row r="1497">
      <c r="L1497">
        <f>IF([2]Entry!$C$1500="","",[2]Entry!$C$1500)</f>
        <v/>
      </c>
      <c r="M1497">
        <f>IF([2]Entry!$J$1500="","",[2]Entry!$J$1500)</f>
        <v/>
      </c>
      <c r="N1497">
        <f>IF([2]Entry!$M$1500="","",[2]Entry!$M$1500)</f>
        <v/>
      </c>
      <c r="O1497">
        <f>IF([2]Entry!$N$1500="","",[2]Entry!$N$1500)</f>
        <v/>
      </c>
      <c r="P1497">
        <f>IF([2]Entry!$S$1500="","",[2]Entry!$S$1500)</f>
        <v/>
      </c>
    </row>
    <row r="1498">
      <c r="L1498">
        <f>IF([2]Entry!$C$1501="","",[2]Entry!$C$1501)</f>
        <v/>
      </c>
      <c r="M1498">
        <f>IF([2]Entry!$J$1501="","",[2]Entry!$J$1501)</f>
        <v/>
      </c>
      <c r="N1498">
        <f>IF([2]Entry!$M$1501="","",[2]Entry!$M$1501)</f>
        <v/>
      </c>
      <c r="O1498">
        <f>IF([2]Entry!$N$1501="","",[2]Entry!$N$1501)</f>
        <v/>
      </c>
      <c r="P1498">
        <f>IF([2]Entry!$S$1501="","",[2]Entry!$S$1501)</f>
        <v/>
      </c>
    </row>
    <row r="1499">
      <c r="L1499">
        <f>IF([2]Entry!$C$1502="","",[2]Entry!$C$1502)</f>
        <v/>
      </c>
      <c r="M1499">
        <f>IF([2]Entry!$J$1502="","",[2]Entry!$J$1502)</f>
        <v/>
      </c>
      <c r="N1499">
        <f>IF([2]Entry!$M$1502="","",[2]Entry!$M$1502)</f>
        <v/>
      </c>
      <c r="O1499">
        <f>IF([2]Entry!$N$1502="","",[2]Entry!$N$1502)</f>
        <v/>
      </c>
      <c r="P1499">
        <f>IF([2]Entry!$S$1502="","",[2]Entry!$S$1502)</f>
        <v/>
      </c>
    </row>
    <row r="1500">
      <c r="L1500">
        <f>IF([2]Entry!$C$1503="","",[2]Entry!$C$1503)</f>
        <v/>
      </c>
      <c r="M1500">
        <f>IF([2]Entry!$J$1503="","",[2]Entry!$J$1503)</f>
        <v/>
      </c>
      <c r="N1500">
        <f>IF([2]Entry!$M$1503="","",[2]Entry!$M$1503)</f>
        <v/>
      </c>
      <c r="O1500">
        <f>IF([2]Entry!$N$1503="","",[2]Entry!$N$1503)</f>
        <v/>
      </c>
      <c r="P1500">
        <f>IF([2]Entry!$S$1503="","",[2]Entry!$S$1503)</f>
        <v/>
      </c>
    </row>
    <row r="1501">
      <c r="L1501">
        <f>IF([2]Entry!$C$1504="","",[2]Entry!$C$1504)</f>
        <v/>
      </c>
      <c r="M1501">
        <f>IF([2]Entry!$J$1504="","",[2]Entry!$J$1504)</f>
        <v/>
      </c>
      <c r="N1501">
        <f>IF([2]Entry!$M$1504="","",[2]Entry!$M$1504)</f>
        <v/>
      </c>
      <c r="O1501">
        <f>IF([2]Entry!$N$1504="","",[2]Entry!$N$1504)</f>
        <v/>
      </c>
      <c r="P1501">
        <f>IF([2]Entry!$S$1504="","",[2]Entry!$S$1504)</f>
        <v/>
      </c>
    </row>
    <row r="1502">
      <c r="L1502">
        <f>IF([2]Entry!$C$1505="","",[2]Entry!$C$1505)</f>
        <v/>
      </c>
      <c r="M1502">
        <f>IF([2]Entry!$J$1505="","",[2]Entry!$J$1505)</f>
        <v/>
      </c>
      <c r="N1502">
        <f>IF([2]Entry!$M$1505="","",[2]Entry!$M$1505)</f>
        <v/>
      </c>
      <c r="O1502">
        <f>IF([2]Entry!$N$1505="","",[2]Entry!$N$1505)</f>
        <v/>
      </c>
      <c r="P1502">
        <f>IF([2]Entry!$S$1505="","",[2]Entry!$S$1505)</f>
        <v/>
      </c>
    </row>
    <row r="1503">
      <c r="L1503">
        <f>IF([2]Entry!$C$1506="","",[2]Entry!$C$1506)</f>
        <v/>
      </c>
      <c r="M1503">
        <f>IF([2]Entry!$J$1506="","",[2]Entry!$J$1506)</f>
        <v/>
      </c>
      <c r="N1503">
        <f>IF([2]Entry!$M$1506="","",[2]Entry!$M$1506)</f>
        <v/>
      </c>
      <c r="O1503">
        <f>IF([2]Entry!$N$1506="","",[2]Entry!$N$1506)</f>
        <v/>
      </c>
      <c r="P1503">
        <f>IF([2]Entry!$S$1506="","",[2]Entry!$S$1506)</f>
        <v/>
      </c>
    </row>
    <row r="1504">
      <c r="L1504">
        <f>IF([2]Entry!$C$1507="","",[2]Entry!$C$1507)</f>
        <v/>
      </c>
      <c r="M1504">
        <f>IF([2]Entry!$J$1507="","",[2]Entry!$J$1507)</f>
        <v/>
      </c>
      <c r="N1504">
        <f>IF([2]Entry!$M$1507="","",[2]Entry!$M$1507)</f>
        <v/>
      </c>
      <c r="O1504">
        <f>IF([2]Entry!$N$1507="","",[2]Entry!$N$1507)</f>
        <v/>
      </c>
      <c r="P1504">
        <f>IF([2]Entry!$S$1507="","",[2]Entry!$S$1507)</f>
        <v/>
      </c>
    </row>
    <row r="1505">
      <c r="L1505">
        <f>IF([2]Entry!$C$1508="","",[2]Entry!$C$1508)</f>
        <v/>
      </c>
      <c r="M1505">
        <f>IF([2]Entry!$J$1508="","",[2]Entry!$J$1508)</f>
        <v/>
      </c>
      <c r="N1505">
        <f>IF([2]Entry!$M$1508="","",[2]Entry!$M$1508)</f>
        <v/>
      </c>
      <c r="O1505">
        <f>IF([2]Entry!$N$1508="","",[2]Entry!$N$1508)</f>
        <v/>
      </c>
      <c r="P1505">
        <f>IF([2]Entry!$S$1508="","",[2]Entry!$S$1508)</f>
        <v/>
      </c>
    </row>
    <row r="1506">
      <c r="L1506">
        <f>IF([2]Entry!$C$1509="","",[2]Entry!$C$1509)</f>
        <v/>
      </c>
      <c r="M1506">
        <f>IF([2]Entry!$J$1509="","",[2]Entry!$J$1509)</f>
        <v/>
      </c>
      <c r="N1506">
        <f>IF([2]Entry!$M$1509="","",[2]Entry!$M$1509)</f>
        <v/>
      </c>
      <c r="O1506">
        <f>IF([2]Entry!$N$1509="","",[2]Entry!$N$1509)</f>
        <v/>
      </c>
      <c r="P1506">
        <f>IF([2]Entry!$S$1509="","",[2]Entry!$S$1509)</f>
        <v/>
      </c>
    </row>
    <row r="1507">
      <c r="L1507">
        <f>IF([2]Entry!$C$1510="","",[2]Entry!$C$1510)</f>
        <v/>
      </c>
      <c r="M1507">
        <f>IF([2]Entry!$J$1510="","",[2]Entry!$J$1510)</f>
        <v/>
      </c>
      <c r="N1507">
        <f>IF([2]Entry!$M$1510="","",[2]Entry!$M$1510)</f>
        <v/>
      </c>
      <c r="O1507">
        <f>IF([2]Entry!$N$1510="","",[2]Entry!$N$1510)</f>
        <v/>
      </c>
      <c r="P1507">
        <f>IF([2]Entry!$S$1510="","",[2]Entry!$S$1510)</f>
        <v/>
      </c>
    </row>
    <row r="1508">
      <c r="L1508">
        <f>IF([2]Entry!$C$1511="","",[2]Entry!$C$1511)</f>
        <v/>
      </c>
      <c r="M1508">
        <f>IF([2]Entry!$J$1511="","",[2]Entry!$J$1511)</f>
        <v/>
      </c>
      <c r="N1508">
        <f>IF([2]Entry!$M$1511="","",[2]Entry!$M$1511)</f>
        <v/>
      </c>
      <c r="O1508">
        <f>IF([2]Entry!$N$1511="","",[2]Entry!$N$1511)</f>
        <v/>
      </c>
      <c r="P1508">
        <f>IF([2]Entry!$S$1511="","",[2]Entry!$S$1511)</f>
        <v/>
      </c>
    </row>
    <row r="1509">
      <c r="L1509">
        <f>IF([2]Entry!$C$1512="","",[2]Entry!$C$1512)</f>
        <v/>
      </c>
      <c r="M1509">
        <f>IF([2]Entry!$J$1512="","",[2]Entry!$J$1512)</f>
        <v/>
      </c>
      <c r="N1509">
        <f>IF([2]Entry!$M$1512="","",[2]Entry!$M$1512)</f>
        <v/>
      </c>
      <c r="O1509">
        <f>IF([2]Entry!$N$1512="","",[2]Entry!$N$1512)</f>
        <v/>
      </c>
      <c r="P1509">
        <f>IF([2]Entry!$S$1512="","",[2]Entry!$S$1512)</f>
        <v/>
      </c>
    </row>
    <row r="1510">
      <c r="L1510">
        <f>IF([2]Entry!$C$1513="","",[2]Entry!$C$1513)</f>
        <v/>
      </c>
      <c r="M1510">
        <f>IF([2]Entry!$J$1513="","",[2]Entry!$J$1513)</f>
        <v/>
      </c>
      <c r="N1510">
        <f>IF([2]Entry!$M$1513="","",[2]Entry!$M$1513)</f>
        <v/>
      </c>
      <c r="O1510">
        <f>IF([2]Entry!$N$1513="","",[2]Entry!$N$1513)</f>
        <v/>
      </c>
      <c r="P1510">
        <f>IF([2]Entry!$S$1513="","",[2]Entry!$S$1513)</f>
        <v/>
      </c>
    </row>
    <row r="1511">
      <c r="L1511">
        <f>IF([2]Entry!$C$1514="","",[2]Entry!$C$1514)</f>
        <v/>
      </c>
      <c r="M1511">
        <f>IF([2]Entry!$J$1514="","",[2]Entry!$J$1514)</f>
        <v/>
      </c>
      <c r="N1511">
        <f>IF([2]Entry!$M$1514="","",[2]Entry!$M$1514)</f>
        <v/>
      </c>
      <c r="O1511">
        <f>IF([2]Entry!$N$1514="","",[2]Entry!$N$1514)</f>
        <v/>
      </c>
      <c r="P1511">
        <f>IF([2]Entry!$S$1514="","",[2]Entry!$S$1514)</f>
        <v/>
      </c>
    </row>
    <row r="1512">
      <c r="L1512">
        <f>IF([2]Entry!$C$1515="","",[2]Entry!$C$1515)</f>
        <v/>
      </c>
      <c r="M1512">
        <f>IF([2]Entry!$J$1515="","",[2]Entry!$J$1515)</f>
        <v/>
      </c>
      <c r="N1512">
        <f>IF([2]Entry!$M$1515="","",[2]Entry!$M$1515)</f>
        <v/>
      </c>
      <c r="O1512">
        <f>IF([2]Entry!$N$1515="","",[2]Entry!$N$1515)</f>
        <v/>
      </c>
      <c r="P1512">
        <f>IF([2]Entry!$S$1515="","",[2]Entry!$S$1515)</f>
        <v/>
      </c>
    </row>
    <row r="1513">
      <c r="L1513">
        <f>IF([2]Entry!$C$1516="","",[2]Entry!$C$1516)</f>
        <v/>
      </c>
      <c r="M1513">
        <f>IF([2]Entry!$J$1516="","",[2]Entry!$J$1516)</f>
        <v/>
      </c>
      <c r="N1513">
        <f>IF([2]Entry!$M$1516="","",[2]Entry!$M$1516)</f>
        <v/>
      </c>
      <c r="O1513">
        <f>IF([2]Entry!$N$1516="","",[2]Entry!$N$1516)</f>
        <v/>
      </c>
      <c r="P1513">
        <f>IF([2]Entry!$S$1516="","",[2]Entry!$S$1516)</f>
        <v/>
      </c>
    </row>
    <row r="1514">
      <c r="L1514">
        <f>IF([2]Entry!$C$1517="","",[2]Entry!$C$1517)</f>
        <v/>
      </c>
      <c r="M1514">
        <f>IF([2]Entry!$J$1517="","",[2]Entry!$J$1517)</f>
        <v/>
      </c>
      <c r="N1514">
        <f>IF([2]Entry!$M$1517="","",[2]Entry!$M$1517)</f>
        <v/>
      </c>
      <c r="O1514">
        <f>IF([2]Entry!$N$1517="","",[2]Entry!$N$1517)</f>
        <v/>
      </c>
      <c r="P1514">
        <f>IF([2]Entry!$S$1517="","",[2]Entry!$S$1517)</f>
        <v/>
      </c>
    </row>
    <row r="1515">
      <c r="L1515">
        <f>IF([2]Entry!$C$1518="","",[2]Entry!$C$1518)</f>
        <v/>
      </c>
      <c r="M1515">
        <f>IF([2]Entry!$J$1518="","",[2]Entry!$J$1518)</f>
        <v/>
      </c>
      <c r="N1515">
        <f>IF([2]Entry!$M$1518="","",[2]Entry!$M$1518)</f>
        <v/>
      </c>
      <c r="O1515">
        <f>IF([2]Entry!$N$1518="","",[2]Entry!$N$1518)</f>
        <v/>
      </c>
      <c r="P1515">
        <f>IF([2]Entry!$S$1518="","",[2]Entry!$S$1518)</f>
        <v/>
      </c>
    </row>
    <row r="1516">
      <c r="L1516">
        <f>IF([2]Entry!$C$1519="","",[2]Entry!$C$1519)</f>
        <v/>
      </c>
      <c r="M1516">
        <f>IF([2]Entry!$J$1519="","",[2]Entry!$J$1519)</f>
        <v/>
      </c>
      <c r="N1516">
        <f>IF([2]Entry!$M$1519="","",[2]Entry!$M$1519)</f>
        <v/>
      </c>
      <c r="O1516">
        <f>IF([2]Entry!$N$1519="","",[2]Entry!$N$1519)</f>
        <v/>
      </c>
      <c r="P1516">
        <f>IF([2]Entry!$S$1519="","",[2]Entry!$S$1519)</f>
        <v/>
      </c>
    </row>
    <row r="1517">
      <c r="L1517">
        <f>IF([2]Entry!$C$1520="","",[2]Entry!$C$1520)</f>
        <v/>
      </c>
      <c r="M1517">
        <f>IF([2]Entry!$J$1520="","",[2]Entry!$J$1520)</f>
        <v/>
      </c>
      <c r="N1517">
        <f>IF([2]Entry!$M$1520="","",[2]Entry!$M$1520)</f>
        <v/>
      </c>
      <c r="O1517">
        <f>IF([2]Entry!$N$1520="","",[2]Entry!$N$1520)</f>
        <v/>
      </c>
      <c r="P1517">
        <f>IF([2]Entry!$S$1520="","",[2]Entry!$S$1520)</f>
        <v/>
      </c>
    </row>
    <row r="1518">
      <c r="L1518">
        <f>IF([2]Entry!$C$1521="","",[2]Entry!$C$1521)</f>
        <v/>
      </c>
      <c r="M1518">
        <f>IF([2]Entry!$J$1521="","",[2]Entry!$J$1521)</f>
        <v/>
      </c>
      <c r="N1518">
        <f>IF([2]Entry!$M$1521="","",[2]Entry!$M$1521)</f>
        <v/>
      </c>
      <c r="O1518">
        <f>IF([2]Entry!$N$1521="","",[2]Entry!$N$1521)</f>
        <v/>
      </c>
      <c r="P1518">
        <f>IF([2]Entry!$S$1521="","",[2]Entry!$S$1521)</f>
        <v/>
      </c>
    </row>
    <row r="1519">
      <c r="L1519">
        <f>IF([2]Entry!$C$1522="","",[2]Entry!$C$1522)</f>
        <v/>
      </c>
      <c r="M1519">
        <f>IF([2]Entry!$J$1522="","",[2]Entry!$J$1522)</f>
        <v/>
      </c>
      <c r="N1519">
        <f>IF([2]Entry!$M$1522="","",[2]Entry!$M$1522)</f>
        <v/>
      </c>
      <c r="O1519">
        <f>IF([2]Entry!$N$1522="","",[2]Entry!$N$1522)</f>
        <v/>
      </c>
      <c r="P1519">
        <f>IF([2]Entry!$S$1522="","",[2]Entry!$S$1522)</f>
        <v/>
      </c>
    </row>
    <row r="1520">
      <c r="L1520">
        <f>IF([2]Entry!$C$1523="","",[2]Entry!$C$1523)</f>
        <v/>
      </c>
      <c r="M1520">
        <f>IF([2]Entry!$J$1523="","",[2]Entry!$J$1523)</f>
        <v/>
      </c>
      <c r="N1520">
        <f>IF([2]Entry!$M$1523="","",[2]Entry!$M$1523)</f>
        <v/>
      </c>
      <c r="O1520">
        <f>IF([2]Entry!$N$1523="","",[2]Entry!$N$1523)</f>
        <v/>
      </c>
      <c r="P1520">
        <f>IF([2]Entry!$S$1523="","",[2]Entry!$S$1523)</f>
        <v/>
      </c>
    </row>
    <row r="1521">
      <c r="L1521">
        <f>IF([2]Entry!$C$1524="","",[2]Entry!$C$1524)</f>
        <v/>
      </c>
      <c r="M1521">
        <f>IF([2]Entry!$J$1524="","",[2]Entry!$J$1524)</f>
        <v/>
      </c>
      <c r="N1521">
        <f>IF([2]Entry!$M$1524="","",[2]Entry!$M$1524)</f>
        <v/>
      </c>
      <c r="O1521">
        <f>IF([2]Entry!$N$1524="","",[2]Entry!$N$1524)</f>
        <v/>
      </c>
      <c r="P1521">
        <f>IF([2]Entry!$S$1524="","",[2]Entry!$S$1524)</f>
        <v/>
      </c>
    </row>
    <row r="1522">
      <c r="L1522">
        <f>IF([2]Entry!$C$1525="","",[2]Entry!$C$1525)</f>
        <v/>
      </c>
      <c r="M1522">
        <f>IF([2]Entry!$J$1525="","",[2]Entry!$J$1525)</f>
        <v/>
      </c>
      <c r="N1522">
        <f>IF([2]Entry!$M$1525="","",[2]Entry!$M$1525)</f>
        <v/>
      </c>
      <c r="O1522">
        <f>IF([2]Entry!$N$1525="","",[2]Entry!$N$1525)</f>
        <v/>
      </c>
      <c r="P1522">
        <f>IF([2]Entry!$S$1525="","",[2]Entry!$S$1525)</f>
        <v/>
      </c>
    </row>
    <row r="1523">
      <c r="L1523">
        <f>IF([2]Entry!$C$1526="","",[2]Entry!$C$1526)</f>
        <v/>
      </c>
      <c r="M1523">
        <f>IF([2]Entry!$J$1526="","",[2]Entry!$J$1526)</f>
        <v/>
      </c>
      <c r="N1523">
        <f>IF([2]Entry!$M$1526="","",[2]Entry!$M$1526)</f>
        <v/>
      </c>
      <c r="O1523">
        <f>IF([2]Entry!$N$1526="","",[2]Entry!$N$1526)</f>
        <v/>
      </c>
      <c r="P1523">
        <f>IF([2]Entry!$S$1526="","",[2]Entry!$S$1526)</f>
        <v/>
      </c>
    </row>
    <row r="1524">
      <c r="L1524">
        <f>IF([2]Entry!$C$1527="","",[2]Entry!$C$1527)</f>
        <v/>
      </c>
      <c r="M1524">
        <f>IF([2]Entry!$J$1527="","",[2]Entry!$J$1527)</f>
        <v/>
      </c>
      <c r="N1524">
        <f>IF([2]Entry!$M$1527="","",[2]Entry!$M$1527)</f>
        <v/>
      </c>
      <c r="O1524">
        <f>IF([2]Entry!$N$1527="","",[2]Entry!$N$1527)</f>
        <v/>
      </c>
      <c r="P1524">
        <f>IF([2]Entry!$S$1527="","",[2]Entry!$S$1527)</f>
        <v/>
      </c>
    </row>
    <row r="1525">
      <c r="L1525">
        <f>IF([2]Entry!$C$1528="","",[2]Entry!$C$1528)</f>
        <v/>
      </c>
      <c r="M1525">
        <f>IF([2]Entry!$J$1528="","",[2]Entry!$J$1528)</f>
        <v/>
      </c>
      <c r="N1525">
        <f>IF([2]Entry!$M$1528="","",[2]Entry!$M$1528)</f>
        <v/>
      </c>
      <c r="O1525">
        <f>IF([2]Entry!$N$1528="","",[2]Entry!$N$1528)</f>
        <v/>
      </c>
      <c r="P1525">
        <f>IF([2]Entry!$S$1528="","",[2]Entry!$S$1528)</f>
        <v/>
      </c>
    </row>
    <row r="1526">
      <c r="L1526">
        <f>IF([2]Entry!$C$1529="","",[2]Entry!$C$1529)</f>
        <v/>
      </c>
      <c r="M1526">
        <f>IF([2]Entry!$J$1529="","",[2]Entry!$J$1529)</f>
        <v/>
      </c>
      <c r="N1526">
        <f>IF([2]Entry!$M$1529="","",[2]Entry!$M$1529)</f>
        <v/>
      </c>
      <c r="O1526">
        <f>IF([2]Entry!$N$1529="","",[2]Entry!$N$1529)</f>
        <v/>
      </c>
      <c r="P1526">
        <f>IF([2]Entry!$S$1529="","",[2]Entry!$S$1529)</f>
        <v/>
      </c>
    </row>
    <row r="1527">
      <c r="L1527">
        <f>IF([2]Entry!$C$1530="","",[2]Entry!$C$1530)</f>
        <v/>
      </c>
      <c r="M1527">
        <f>IF([2]Entry!$J$1530="","",[2]Entry!$J$1530)</f>
        <v/>
      </c>
      <c r="N1527">
        <f>IF([2]Entry!$M$1530="","",[2]Entry!$M$1530)</f>
        <v/>
      </c>
      <c r="O1527">
        <f>IF([2]Entry!$N$1530="","",[2]Entry!$N$1530)</f>
        <v/>
      </c>
      <c r="P1527">
        <f>IF([2]Entry!$S$1530="","",[2]Entry!$S$1530)</f>
        <v/>
      </c>
    </row>
    <row r="1528">
      <c r="L1528">
        <f>IF([2]Entry!$C$1531="","",[2]Entry!$C$1531)</f>
        <v/>
      </c>
      <c r="M1528">
        <f>IF([2]Entry!$J$1531="","",[2]Entry!$J$1531)</f>
        <v/>
      </c>
      <c r="N1528">
        <f>IF([2]Entry!$M$1531="","",[2]Entry!$M$1531)</f>
        <v/>
      </c>
      <c r="O1528">
        <f>IF([2]Entry!$N$1531="","",[2]Entry!$N$1531)</f>
        <v/>
      </c>
      <c r="P1528">
        <f>IF([2]Entry!$S$1531="","",[2]Entry!$S$1531)</f>
        <v/>
      </c>
    </row>
    <row r="1529">
      <c r="L1529">
        <f>IF([2]Entry!$C$1532="","",[2]Entry!$C$1532)</f>
        <v/>
      </c>
      <c r="M1529">
        <f>IF([2]Entry!$J$1532="","",[2]Entry!$J$1532)</f>
        <v/>
      </c>
      <c r="N1529">
        <f>IF([2]Entry!$M$1532="","",[2]Entry!$M$1532)</f>
        <v/>
      </c>
      <c r="O1529">
        <f>IF([2]Entry!$N$1532="","",[2]Entry!$N$1532)</f>
        <v/>
      </c>
      <c r="P1529">
        <f>IF([2]Entry!$S$1532="","",[2]Entry!$S$1532)</f>
        <v/>
      </c>
    </row>
    <row r="1530">
      <c r="L1530">
        <f>IF([2]Entry!$C$1533="","",[2]Entry!$C$1533)</f>
        <v/>
      </c>
      <c r="M1530">
        <f>IF([2]Entry!$J$1533="","",[2]Entry!$J$1533)</f>
        <v/>
      </c>
      <c r="N1530">
        <f>IF([2]Entry!$M$1533="","",[2]Entry!$M$1533)</f>
        <v/>
      </c>
      <c r="O1530">
        <f>IF([2]Entry!$N$1533="","",[2]Entry!$N$1533)</f>
        <v/>
      </c>
      <c r="P1530">
        <f>IF([2]Entry!$S$1533="","",[2]Entry!$S$1533)</f>
        <v/>
      </c>
    </row>
    <row r="1531">
      <c r="L1531">
        <f>IF([2]Entry!$C$1534="","",[2]Entry!$C$1534)</f>
        <v/>
      </c>
      <c r="M1531">
        <f>IF([2]Entry!$J$1534="","",[2]Entry!$J$1534)</f>
        <v/>
      </c>
      <c r="N1531">
        <f>IF([2]Entry!$M$1534="","",[2]Entry!$M$1534)</f>
        <v/>
      </c>
      <c r="O1531">
        <f>IF([2]Entry!$N$1534="","",[2]Entry!$N$1534)</f>
        <v/>
      </c>
      <c r="P1531">
        <f>IF([2]Entry!$S$1534="","",[2]Entry!$S$1534)</f>
        <v/>
      </c>
    </row>
    <row r="1532">
      <c r="L1532">
        <f>IF([2]Entry!$C$1535="","",[2]Entry!$C$1535)</f>
        <v/>
      </c>
      <c r="M1532">
        <f>IF([2]Entry!$J$1535="","",[2]Entry!$J$1535)</f>
        <v/>
      </c>
      <c r="N1532">
        <f>IF([2]Entry!$M$1535="","",[2]Entry!$M$1535)</f>
        <v/>
      </c>
      <c r="O1532">
        <f>IF([2]Entry!$N$1535="","",[2]Entry!$N$1535)</f>
        <v/>
      </c>
      <c r="P1532">
        <f>IF([2]Entry!$S$1535="","",[2]Entry!$S$1535)</f>
        <v/>
      </c>
    </row>
    <row r="1533">
      <c r="L1533">
        <f>IF([2]Entry!$C$1536="","",[2]Entry!$C$1536)</f>
        <v/>
      </c>
      <c r="M1533">
        <f>IF([2]Entry!$J$1536="","",[2]Entry!$J$1536)</f>
        <v/>
      </c>
      <c r="N1533">
        <f>IF([2]Entry!$M$1536="","",[2]Entry!$M$1536)</f>
        <v/>
      </c>
      <c r="O1533">
        <f>IF([2]Entry!$N$1536="","",[2]Entry!$N$1536)</f>
        <v/>
      </c>
      <c r="P1533">
        <f>IF([2]Entry!$S$1536="","",[2]Entry!$S$1536)</f>
        <v/>
      </c>
    </row>
    <row r="1534">
      <c r="L1534">
        <f>IF([2]Entry!$C$1537="","",[2]Entry!$C$1537)</f>
        <v/>
      </c>
      <c r="M1534">
        <f>IF([2]Entry!$J$1537="","",[2]Entry!$J$1537)</f>
        <v/>
      </c>
      <c r="N1534">
        <f>IF([2]Entry!$M$1537="","",[2]Entry!$M$1537)</f>
        <v/>
      </c>
      <c r="O1534">
        <f>IF([2]Entry!$N$1537="","",[2]Entry!$N$1537)</f>
        <v/>
      </c>
      <c r="P1534">
        <f>IF([2]Entry!$S$1537="","",[2]Entry!$S$1537)</f>
        <v/>
      </c>
    </row>
    <row r="1535">
      <c r="L1535">
        <f>IF([2]Entry!$C$1538="","",[2]Entry!$C$1538)</f>
        <v/>
      </c>
      <c r="M1535">
        <f>IF([2]Entry!$J$1538="","",[2]Entry!$J$1538)</f>
        <v/>
      </c>
      <c r="N1535">
        <f>IF([2]Entry!$M$1538="","",[2]Entry!$M$1538)</f>
        <v/>
      </c>
      <c r="O1535">
        <f>IF([2]Entry!$N$1538="","",[2]Entry!$N$1538)</f>
        <v/>
      </c>
      <c r="P1535">
        <f>IF([2]Entry!$S$1538="","",[2]Entry!$S$1538)</f>
        <v/>
      </c>
    </row>
    <row r="1536">
      <c r="L1536">
        <f>IF([2]Entry!$C$1539="","",[2]Entry!$C$1539)</f>
        <v/>
      </c>
      <c r="M1536">
        <f>IF([2]Entry!$J$1539="","",[2]Entry!$J$1539)</f>
        <v/>
      </c>
      <c r="N1536">
        <f>IF([2]Entry!$M$1539="","",[2]Entry!$M$1539)</f>
        <v/>
      </c>
      <c r="O1536">
        <f>IF([2]Entry!$N$1539="","",[2]Entry!$N$1539)</f>
        <v/>
      </c>
      <c r="P1536">
        <f>IF([2]Entry!$S$1539="","",[2]Entry!$S$1539)</f>
        <v/>
      </c>
    </row>
    <row r="1537">
      <c r="L1537">
        <f>IF([2]Entry!$C$1540="","",[2]Entry!$C$1540)</f>
        <v/>
      </c>
      <c r="M1537">
        <f>IF([2]Entry!$J$1540="","",[2]Entry!$J$1540)</f>
        <v/>
      </c>
      <c r="N1537">
        <f>IF([2]Entry!$M$1540="","",[2]Entry!$M$1540)</f>
        <v/>
      </c>
      <c r="O1537">
        <f>IF([2]Entry!$N$1540="","",[2]Entry!$N$1540)</f>
        <v/>
      </c>
      <c r="P1537">
        <f>IF([2]Entry!$S$1540="","",[2]Entry!$S$1540)</f>
        <v/>
      </c>
    </row>
    <row r="1538">
      <c r="L1538">
        <f>IF([2]Entry!$C$1541="","",[2]Entry!$C$1541)</f>
        <v/>
      </c>
      <c r="M1538">
        <f>IF([2]Entry!$J$1541="","",[2]Entry!$J$1541)</f>
        <v/>
      </c>
      <c r="N1538">
        <f>IF([2]Entry!$M$1541="","",[2]Entry!$M$1541)</f>
        <v/>
      </c>
      <c r="O1538">
        <f>IF([2]Entry!$N$1541="","",[2]Entry!$N$1541)</f>
        <v/>
      </c>
      <c r="P1538">
        <f>IF([2]Entry!$S$1541="","",[2]Entry!$S$1541)</f>
        <v/>
      </c>
    </row>
    <row r="1539">
      <c r="L1539">
        <f>IF([2]Entry!$C$1542="","",[2]Entry!$C$1542)</f>
        <v/>
      </c>
      <c r="M1539">
        <f>IF([2]Entry!$J$1542="","",[2]Entry!$J$1542)</f>
        <v/>
      </c>
      <c r="N1539">
        <f>IF([2]Entry!$M$1542="","",[2]Entry!$M$1542)</f>
        <v/>
      </c>
      <c r="O1539">
        <f>IF([2]Entry!$N$1542="","",[2]Entry!$N$1542)</f>
        <v/>
      </c>
      <c r="P1539">
        <f>IF([2]Entry!$S$1542="","",[2]Entry!$S$1542)</f>
        <v/>
      </c>
    </row>
    <row r="1540">
      <c r="L1540">
        <f>IF([2]Entry!$C$1543="","",[2]Entry!$C$1543)</f>
        <v/>
      </c>
      <c r="M1540">
        <f>IF([2]Entry!$J$1543="","",[2]Entry!$J$1543)</f>
        <v/>
      </c>
      <c r="N1540">
        <f>IF([2]Entry!$M$1543="","",[2]Entry!$M$1543)</f>
        <v/>
      </c>
      <c r="O1540">
        <f>IF([2]Entry!$N$1543="","",[2]Entry!$N$1543)</f>
        <v/>
      </c>
      <c r="P1540">
        <f>IF([2]Entry!$S$1543="","",[2]Entry!$S$1543)</f>
        <v/>
      </c>
    </row>
    <row r="1541">
      <c r="L1541">
        <f>IF([2]Entry!$C$1544="","",[2]Entry!$C$1544)</f>
        <v/>
      </c>
      <c r="M1541">
        <f>IF([2]Entry!$J$1544="","",[2]Entry!$J$1544)</f>
        <v/>
      </c>
      <c r="N1541">
        <f>IF([2]Entry!$M$1544="","",[2]Entry!$M$1544)</f>
        <v/>
      </c>
      <c r="O1541">
        <f>IF([2]Entry!$N$1544="","",[2]Entry!$N$1544)</f>
        <v/>
      </c>
      <c r="P1541">
        <f>IF([2]Entry!$S$1544="","",[2]Entry!$S$1544)</f>
        <v/>
      </c>
    </row>
    <row r="1542">
      <c r="L1542">
        <f>IF([2]Entry!$C$1545="","",[2]Entry!$C$1545)</f>
        <v/>
      </c>
      <c r="M1542">
        <f>IF([2]Entry!$J$1545="","",[2]Entry!$J$1545)</f>
        <v/>
      </c>
      <c r="N1542">
        <f>IF([2]Entry!$M$1545="","",[2]Entry!$M$1545)</f>
        <v/>
      </c>
      <c r="O1542">
        <f>IF([2]Entry!$N$1545="","",[2]Entry!$N$1545)</f>
        <v/>
      </c>
      <c r="P1542">
        <f>IF([2]Entry!$S$1545="","",[2]Entry!$S$1545)</f>
        <v/>
      </c>
    </row>
    <row r="1543">
      <c r="L1543">
        <f>IF([2]Entry!$C$1546="","",[2]Entry!$C$1546)</f>
        <v/>
      </c>
      <c r="M1543">
        <f>IF([2]Entry!$J$1546="","",[2]Entry!$J$1546)</f>
        <v/>
      </c>
      <c r="N1543">
        <f>IF([2]Entry!$M$1546="","",[2]Entry!$M$1546)</f>
        <v/>
      </c>
      <c r="O1543">
        <f>IF([2]Entry!$N$1546="","",[2]Entry!$N$1546)</f>
        <v/>
      </c>
      <c r="P1543">
        <f>IF([2]Entry!$S$1546="","",[2]Entry!$S$1546)</f>
        <v/>
      </c>
    </row>
    <row r="1544">
      <c r="L1544">
        <f>IF([2]Entry!$C$1547="","",[2]Entry!$C$1547)</f>
        <v/>
      </c>
      <c r="M1544">
        <f>IF([2]Entry!$J$1547="","",[2]Entry!$J$1547)</f>
        <v/>
      </c>
      <c r="N1544">
        <f>IF([2]Entry!$M$1547="","",[2]Entry!$M$1547)</f>
        <v/>
      </c>
      <c r="O1544">
        <f>IF([2]Entry!$N$1547="","",[2]Entry!$N$1547)</f>
        <v/>
      </c>
      <c r="P1544">
        <f>IF([2]Entry!$S$1547="","",[2]Entry!$S$1547)</f>
        <v/>
      </c>
    </row>
    <row r="1545">
      <c r="L1545">
        <f>IF([2]Entry!$C$1548="","",[2]Entry!$C$1548)</f>
        <v/>
      </c>
      <c r="M1545">
        <f>IF([2]Entry!$J$1548="","",[2]Entry!$J$1548)</f>
        <v/>
      </c>
      <c r="N1545">
        <f>IF([2]Entry!$M$1548="","",[2]Entry!$M$1548)</f>
        <v/>
      </c>
      <c r="O1545">
        <f>IF([2]Entry!$N$1548="","",[2]Entry!$N$1548)</f>
        <v/>
      </c>
      <c r="P1545">
        <f>IF([2]Entry!$S$1548="","",[2]Entry!$S$1548)</f>
        <v/>
      </c>
    </row>
    <row r="1546">
      <c r="L1546">
        <f>IF([2]Entry!$C$1549="","",[2]Entry!$C$1549)</f>
        <v/>
      </c>
      <c r="M1546">
        <f>IF([2]Entry!$J$1549="","",[2]Entry!$J$1549)</f>
        <v/>
      </c>
      <c r="N1546">
        <f>IF([2]Entry!$M$1549="","",[2]Entry!$M$1549)</f>
        <v/>
      </c>
      <c r="O1546">
        <f>IF([2]Entry!$N$1549="","",[2]Entry!$N$1549)</f>
        <v/>
      </c>
      <c r="P1546">
        <f>IF([2]Entry!$S$1549="","",[2]Entry!$S$1549)</f>
        <v/>
      </c>
    </row>
    <row r="1547">
      <c r="L1547">
        <f>IF([2]Entry!$C$1550="","",[2]Entry!$C$1550)</f>
        <v/>
      </c>
      <c r="M1547">
        <f>IF([2]Entry!$J$1550="","",[2]Entry!$J$1550)</f>
        <v/>
      </c>
      <c r="N1547">
        <f>IF([2]Entry!$M$1550="","",[2]Entry!$M$1550)</f>
        <v/>
      </c>
      <c r="O1547">
        <f>IF([2]Entry!$N$1550="","",[2]Entry!$N$1550)</f>
        <v/>
      </c>
      <c r="P1547">
        <f>IF([2]Entry!$S$1550="","",[2]Entry!$S$1550)</f>
        <v/>
      </c>
    </row>
    <row r="1548">
      <c r="L1548">
        <f>IF([2]Entry!$C$1551="","",[2]Entry!$C$1551)</f>
        <v/>
      </c>
      <c r="M1548">
        <f>IF([2]Entry!$J$1551="","",[2]Entry!$J$1551)</f>
        <v/>
      </c>
      <c r="N1548">
        <f>IF([2]Entry!$M$1551="","",[2]Entry!$M$1551)</f>
        <v/>
      </c>
      <c r="O1548">
        <f>IF([2]Entry!$N$1551="","",[2]Entry!$N$1551)</f>
        <v/>
      </c>
      <c r="P1548">
        <f>IF([2]Entry!$S$1551="","",[2]Entry!$S$1551)</f>
        <v/>
      </c>
    </row>
    <row r="1549">
      <c r="L1549">
        <f>IF([2]Entry!$C$1552="","",[2]Entry!$C$1552)</f>
        <v/>
      </c>
      <c r="M1549">
        <f>IF([2]Entry!$J$1552="","",[2]Entry!$J$1552)</f>
        <v/>
      </c>
      <c r="N1549">
        <f>IF([2]Entry!$M$1552="","",[2]Entry!$M$1552)</f>
        <v/>
      </c>
      <c r="O1549">
        <f>IF([2]Entry!$N$1552="","",[2]Entry!$N$1552)</f>
        <v/>
      </c>
      <c r="P1549">
        <f>IF([2]Entry!$S$1552="","",[2]Entry!$S$1552)</f>
        <v/>
      </c>
    </row>
    <row r="1550">
      <c r="L1550">
        <f>IF([2]Entry!$C$1553="","",[2]Entry!$C$1553)</f>
        <v/>
      </c>
      <c r="M1550">
        <f>IF([2]Entry!$J$1553="","",[2]Entry!$J$1553)</f>
        <v/>
      </c>
      <c r="N1550">
        <f>IF([2]Entry!$M$1553="","",[2]Entry!$M$1553)</f>
        <v/>
      </c>
      <c r="O1550">
        <f>IF([2]Entry!$N$1553="","",[2]Entry!$N$1553)</f>
        <v/>
      </c>
      <c r="P1550">
        <f>IF([2]Entry!$S$1553="","",[2]Entry!$S$1553)</f>
        <v/>
      </c>
    </row>
    <row r="1551">
      <c r="L1551">
        <f>IF([2]Entry!$C$1554="","",[2]Entry!$C$1554)</f>
        <v/>
      </c>
      <c r="M1551">
        <f>IF([2]Entry!$J$1554="","",[2]Entry!$J$1554)</f>
        <v/>
      </c>
      <c r="N1551">
        <f>IF([2]Entry!$M$1554="","",[2]Entry!$M$1554)</f>
        <v/>
      </c>
      <c r="O1551">
        <f>IF([2]Entry!$N$1554="","",[2]Entry!$N$1554)</f>
        <v/>
      </c>
      <c r="P1551">
        <f>IF([2]Entry!$S$1554="","",[2]Entry!$S$1554)</f>
        <v/>
      </c>
    </row>
    <row r="1552">
      <c r="L1552">
        <f>IF([2]Entry!$C$1555="","",[2]Entry!$C$1555)</f>
        <v/>
      </c>
      <c r="M1552">
        <f>IF([2]Entry!$J$1555="","",[2]Entry!$J$1555)</f>
        <v/>
      </c>
      <c r="N1552">
        <f>IF([2]Entry!$M$1555="","",[2]Entry!$M$1555)</f>
        <v/>
      </c>
      <c r="O1552">
        <f>IF([2]Entry!$N$1555="","",[2]Entry!$N$1555)</f>
        <v/>
      </c>
      <c r="P1552">
        <f>IF([2]Entry!$S$1555="","",[2]Entry!$S$1555)</f>
        <v/>
      </c>
    </row>
    <row r="1553">
      <c r="L1553">
        <f>IF([2]Entry!$C$1556="","",[2]Entry!$C$1556)</f>
        <v/>
      </c>
      <c r="M1553">
        <f>IF([2]Entry!$J$1556="","",[2]Entry!$J$1556)</f>
        <v/>
      </c>
      <c r="N1553">
        <f>IF([2]Entry!$M$1556="","",[2]Entry!$M$1556)</f>
        <v/>
      </c>
      <c r="O1553">
        <f>IF([2]Entry!$N$1556="","",[2]Entry!$N$1556)</f>
        <v/>
      </c>
      <c r="P1553">
        <f>IF([2]Entry!$S$1556="","",[2]Entry!$S$1556)</f>
        <v/>
      </c>
    </row>
    <row r="1554">
      <c r="L1554">
        <f>IF([2]Entry!$C$1557="","",[2]Entry!$C$1557)</f>
        <v/>
      </c>
      <c r="M1554">
        <f>IF([2]Entry!$J$1557="","",[2]Entry!$J$1557)</f>
        <v/>
      </c>
      <c r="N1554">
        <f>IF([2]Entry!$M$1557="","",[2]Entry!$M$1557)</f>
        <v/>
      </c>
      <c r="O1554">
        <f>IF([2]Entry!$N$1557="","",[2]Entry!$N$1557)</f>
        <v/>
      </c>
      <c r="P1554">
        <f>IF([2]Entry!$S$1557="","",[2]Entry!$S$1557)</f>
        <v/>
      </c>
    </row>
    <row r="1555">
      <c r="L1555">
        <f>IF([2]Entry!$C$1558="","",[2]Entry!$C$1558)</f>
        <v/>
      </c>
      <c r="M1555">
        <f>IF([2]Entry!$J$1558="","",[2]Entry!$J$1558)</f>
        <v/>
      </c>
      <c r="N1555">
        <f>IF([2]Entry!$M$1558="","",[2]Entry!$M$1558)</f>
        <v/>
      </c>
      <c r="O1555">
        <f>IF([2]Entry!$N$1558="","",[2]Entry!$N$1558)</f>
        <v/>
      </c>
      <c r="P1555">
        <f>IF([2]Entry!$S$1558="","",[2]Entry!$S$1558)</f>
        <v/>
      </c>
    </row>
    <row r="1556">
      <c r="L1556">
        <f>IF([2]Entry!$C$1559="","",[2]Entry!$C$1559)</f>
        <v/>
      </c>
      <c r="M1556">
        <f>IF([2]Entry!$J$1559="","",[2]Entry!$J$1559)</f>
        <v/>
      </c>
      <c r="N1556">
        <f>IF([2]Entry!$M$1559="","",[2]Entry!$M$1559)</f>
        <v/>
      </c>
      <c r="O1556">
        <f>IF([2]Entry!$N$1559="","",[2]Entry!$N$1559)</f>
        <v/>
      </c>
      <c r="P1556">
        <f>IF([2]Entry!$S$1559="","",[2]Entry!$S$1559)</f>
        <v/>
      </c>
    </row>
    <row r="1557">
      <c r="L1557">
        <f>IF([2]Entry!$C$1560="","",[2]Entry!$C$1560)</f>
        <v/>
      </c>
      <c r="M1557">
        <f>IF([2]Entry!$J$1560="","",[2]Entry!$J$1560)</f>
        <v/>
      </c>
      <c r="N1557">
        <f>IF([2]Entry!$M$1560="","",[2]Entry!$M$1560)</f>
        <v/>
      </c>
      <c r="O1557">
        <f>IF([2]Entry!$N$1560="","",[2]Entry!$N$1560)</f>
        <v/>
      </c>
      <c r="P1557">
        <f>IF([2]Entry!$S$1560="","",[2]Entry!$S$1560)</f>
        <v/>
      </c>
    </row>
    <row r="1558">
      <c r="L1558">
        <f>IF([2]Entry!$C$1561="","",[2]Entry!$C$1561)</f>
        <v/>
      </c>
      <c r="M1558">
        <f>IF([2]Entry!$J$1561="","",[2]Entry!$J$1561)</f>
        <v/>
      </c>
      <c r="N1558">
        <f>IF([2]Entry!$M$1561="","",[2]Entry!$M$1561)</f>
        <v/>
      </c>
      <c r="O1558">
        <f>IF([2]Entry!$N$1561="","",[2]Entry!$N$1561)</f>
        <v/>
      </c>
      <c r="P1558">
        <f>IF([2]Entry!$S$1561="","",[2]Entry!$S$1561)</f>
        <v/>
      </c>
    </row>
    <row r="1559">
      <c r="L1559">
        <f>IF([2]Entry!$C$1562="","",[2]Entry!$C$1562)</f>
        <v/>
      </c>
      <c r="M1559">
        <f>IF([2]Entry!$J$1562="","",[2]Entry!$J$1562)</f>
        <v/>
      </c>
      <c r="N1559">
        <f>IF([2]Entry!$M$1562="","",[2]Entry!$M$1562)</f>
        <v/>
      </c>
      <c r="O1559">
        <f>IF([2]Entry!$N$1562="","",[2]Entry!$N$1562)</f>
        <v/>
      </c>
      <c r="P1559">
        <f>IF([2]Entry!$S$1562="","",[2]Entry!$S$1562)</f>
        <v/>
      </c>
    </row>
    <row r="1560">
      <c r="L1560">
        <f>IF([2]Entry!$C$1563="","",[2]Entry!$C$1563)</f>
        <v/>
      </c>
      <c r="M1560">
        <f>IF([2]Entry!$J$1563="","",[2]Entry!$J$1563)</f>
        <v/>
      </c>
      <c r="N1560">
        <f>IF([2]Entry!$M$1563="","",[2]Entry!$M$1563)</f>
        <v/>
      </c>
      <c r="O1560">
        <f>IF([2]Entry!$N$1563="","",[2]Entry!$N$1563)</f>
        <v/>
      </c>
      <c r="P1560">
        <f>IF([2]Entry!$S$1563="","",[2]Entry!$S$1563)</f>
        <v/>
      </c>
    </row>
    <row r="1561">
      <c r="L1561">
        <f>IF([2]Entry!$C$1564="","",[2]Entry!$C$1564)</f>
        <v/>
      </c>
      <c r="M1561">
        <f>IF([2]Entry!$J$1564="","",[2]Entry!$J$1564)</f>
        <v/>
      </c>
      <c r="N1561">
        <f>IF([2]Entry!$M$1564="","",[2]Entry!$M$1564)</f>
        <v/>
      </c>
      <c r="O1561">
        <f>IF([2]Entry!$N$1564="","",[2]Entry!$N$1564)</f>
        <v/>
      </c>
      <c r="P1561">
        <f>IF([2]Entry!$S$1564="","",[2]Entry!$S$1564)</f>
        <v/>
      </c>
    </row>
    <row r="1562">
      <c r="L1562">
        <f>IF([2]Entry!$C$1565="","",[2]Entry!$C$1565)</f>
        <v/>
      </c>
      <c r="M1562">
        <f>IF([2]Entry!$J$1565="","",[2]Entry!$J$1565)</f>
        <v/>
      </c>
      <c r="N1562">
        <f>IF([2]Entry!$M$1565="","",[2]Entry!$M$1565)</f>
        <v/>
      </c>
      <c r="O1562">
        <f>IF([2]Entry!$N$1565="","",[2]Entry!$N$1565)</f>
        <v/>
      </c>
      <c r="P1562">
        <f>IF([2]Entry!$S$1565="","",[2]Entry!$S$1565)</f>
        <v/>
      </c>
    </row>
    <row r="1563">
      <c r="L1563">
        <f>IF([2]Entry!$C$1566="","",[2]Entry!$C$1566)</f>
        <v/>
      </c>
      <c r="M1563">
        <f>IF([2]Entry!$J$1566="","",[2]Entry!$J$1566)</f>
        <v/>
      </c>
      <c r="N1563">
        <f>IF([2]Entry!$M$1566="","",[2]Entry!$M$1566)</f>
        <v/>
      </c>
      <c r="O1563">
        <f>IF([2]Entry!$N$1566="","",[2]Entry!$N$1566)</f>
        <v/>
      </c>
      <c r="P1563">
        <f>IF([2]Entry!$S$1566="","",[2]Entry!$S$1566)</f>
        <v/>
      </c>
    </row>
    <row r="1564">
      <c r="L1564">
        <f>IF([2]Entry!$C$1567="","",[2]Entry!$C$1567)</f>
        <v/>
      </c>
      <c r="M1564">
        <f>IF([2]Entry!$J$1567="","",[2]Entry!$J$1567)</f>
        <v/>
      </c>
      <c r="N1564">
        <f>IF([2]Entry!$M$1567="","",[2]Entry!$M$1567)</f>
        <v/>
      </c>
      <c r="O1564">
        <f>IF([2]Entry!$N$1567="","",[2]Entry!$N$1567)</f>
        <v/>
      </c>
      <c r="P1564">
        <f>IF([2]Entry!$S$1567="","",[2]Entry!$S$1567)</f>
        <v/>
      </c>
    </row>
    <row r="1565">
      <c r="L1565">
        <f>IF([2]Entry!$C$1568="","",[2]Entry!$C$1568)</f>
        <v/>
      </c>
      <c r="M1565">
        <f>IF([2]Entry!$J$1568="","",[2]Entry!$J$1568)</f>
        <v/>
      </c>
      <c r="N1565">
        <f>IF([2]Entry!$M$1568="","",[2]Entry!$M$1568)</f>
        <v/>
      </c>
      <c r="O1565">
        <f>IF([2]Entry!$N$1568="","",[2]Entry!$N$1568)</f>
        <v/>
      </c>
      <c r="P1565">
        <f>IF([2]Entry!$S$1568="","",[2]Entry!$S$1568)</f>
        <v/>
      </c>
    </row>
    <row r="1566">
      <c r="L1566">
        <f>IF([2]Entry!$C$1569="","",[2]Entry!$C$1569)</f>
        <v/>
      </c>
      <c r="M1566">
        <f>IF([2]Entry!$J$1569="","",[2]Entry!$J$1569)</f>
        <v/>
      </c>
      <c r="N1566">
        <f>IF([2]Entry!$M$1569="","",[2]Entry!$M$1569)</f>
        <v/>
      </c>
      <c r="O1566">
        <f>IF([2]Entry!$N$1569="","",[2]Entry!$N$1569)</f>
        <v/>
      </c>
      <c r="P1566">
        <f>IF([2]Entry!$S$1569="","",[2]Entry!$S$1569)</f>
        <v/>
      </c>
    </row>
    <row r="1567">
      <c r="L1567">
        <f>IF([2]Entry!$C$1570="","",[2]Entry!$C$1570)</f>
        <v/>
      </c>
      <c r="M1567">
        <f>IF([2]Entry!$J$1570="","",[2]Entry!$J$1570)</f>
        <v/>
      </c>
      <c r="N1567">
        <f>IF([2]Entry!$M$1570="","",[2]Entry!$M$1570)</f>
        <v/>
      </c>
      <c r="O1567">
        <f>IF([2]Entry!$N$1570="","",[2]Entry!$N$1570)</f>
        <v/>
      </c>
      <c r="P1567">
        <f>IF([2]Entry!$S$1570="","",[2]Entry!$S$1570)</f>
        <v/>
      </c>
    </row>
    <row r="1568">
      <c r="L1568">
        <f>IF([2]Entry!$C$1571="","",[2]Entry!$C$1571)</f>
        <v/>
      </c>
      <c r="M1568">
        <f>IF([2]Entry!$J$1571="","",[2]Entry!$J$1571)</f>
        <v/>
      </c>
      <c r="N1568">
        <f>IF([2]Entry!$M$1571="","",[2]Entry!$M$1571)</f>
        <v/>
      </c>
      <c r="O1568">
        <f>IF([2]Entry!$N$1571="","",[2]Entry!$N$1571)</f>
        <v/>
      </c>
      <c r="P1568">
        <f>IF([2]Entry!$S$1571="","",[2]Entry!$S$1571)</f>
        <v/>
      </c>
    </row>
    <row r="1569">
      <c r="L1569">
        <f>IF([2]Entry!$C$1572="","",[2]Entry!$C$1572)</f>
        <v/>
      </c>
      <c r="M1569">
        <f>IF([2]Entry!$J$1572="","",[2]Entry!$J$1572)</f>
        <v/>
      </c>
      <c r="N1569">
        <f>IF([2]Entry!$M$1572="","",[2]Entry!$M$1572)</f>
        <v/>
      </c>
      <c r="O1569">
        <f>IF([2]Entry!$N$1572="","",[2]Entry!$N$1572)</f>
        <v/>
      </c>
      <c r="P1569">
        <f>IF([2]Entry!$S$1572="","",[2]Entry!$S$1572)</f>
        <v/>
      </c>
    </row>
    <row r="1570">
      <c r="L1570">
        <f>IF([2]Entry!$C$1573="","",[2]Entry!$C$1573)</f>
        <v/>
      </c>
      <c r="M1570">
        <f>IF([2]Entry!$J$1573="","",[2]Entry!$J$1573)</f>
        <v/>
      </c>
      <c r="N1570">
        <f>IF([2]Entry!$M$1573="","",[2]Entry!$M$1573)</f>
        <v/>
      </c>
      <c r="O1570">
        <f>IF([2]Entry!$N$1573="","",[2]Entry!$N$1573)</f>
        <v/>
      </c>
      <c r="P1570">
        <f>IF([2]Entry!$S$1573="","",[2]Entry!$S$1573)</f>
        <v/>
      </c>
    </row>
    <row r="1571">
      <c r="L1571">
        <f>IF([2]Entry!$C$1574="","",[2]Entry!$C$1574)</f>
        <v/>
      </c>
      <c r="M1571">
        <f>IF([2]Entry!$J$1574="","",[2]Entry!$J$1574)</f>
        <v/>
      </c>
      <c r="N1571">
        <f>IF([2]Entry!$M$1574="","",[2]Entry!$M$1574)</f>
        <v/>
      </c>
      <c r="O1571">
        <f>IF([2]Entry!$N$1574="","",[2]Entry!$N$1574)</f>
        <v/>
      </c>
      <c r="P1571">
        <f>IF([2]Entry!$S$1574="","",[2]Entry!$S$1574)</f>
        <v/>
      </c>
    </row>
    <row r="1572">
      <c r="L1572">
        <f>IF([2]Entry!$C$1575="","",[2]Entry!$C$1575)</f>
        <v/>
      </c>
      <c r="M1572">
        <f>IF([2]Entry!$J$1575="","",[2]Entry!$J$1575)</f>
        <v/>
      </c>
      <c r="N1572">
        <f>IF([2]Entry!$M$1575="","",[2]Entry!$M$1575)</f>
        <v/>
      </c>
      <c r="O1572">
        <f>IF([2]Entry!$N$1575="","",[2]Entry!$N$1575)</f>
        <v/>
      </c>
      <c r="P1572">
        <f>IF([2]Entry!$S$1575="","",[2]Entry!$S$1575)</f>
        <v/>
      </c>
    </row>
    <row r="1573">
      <c r="L1573">
        <f>IF([2]Entry!$C$1576="","",[2]Entry!$C$1576)</f>
        <v/>
      </c>
      <c r="M1573">
        <f>IF([2]Entry!$J$1576="","",[2]Entry!$J$1576)</f>
        <v/>
      </c>
      <c r="N1573">
        <f>IF([2]Entry!$M$1576="","",[2]Entry!$M$1576)</f>
        <v/>
      </c>
      <c r="O1573">
        <f>IF([2]Entry!$N$1576="","",[2]Entry!$N$1576)</f>
        <v/>
      </c>
      <c r="P1573">
        <f>IF([2]Entry!$S$1576="","",[2]Entry!$S$1576)</f>
        <v/>
      </c>
    </row>
    <row r="1574">
      <c r="L1574">
        <f>IF([2]Entry!$C$1577="","",[2]Entry!$C$1577)</f>
        <v/>
      </c>
      <c r="M1574">
        <f>IF([2]Entry!$J$1577="","",[2]Entry!$J$1577)</f>
        <v/>
      </c>
      <c r="N1574">
        <f>IF([2]Entry!$M$1577="","",[2]Entry!$M$1577)</f>
        <v/>
      </c>
      <c r="O1574">
        <f>IF([2]Entry!$N$1577="","",[2]Entry!$N$1577)</f>
        <v/>
      </c>
      <c r="P1574">
        <f>IF([2]Entry!$S$1577="","",[2]Entry!$S$1577)</f>
        <v/>
      </c>
    </row>
    <row r="1575">
      <c r="L1575">
        <f>IF([2]Entry!$C$1578="","",[2]Entry!$C$1578)</f>
        <v/>
      </c>
      <c r="M1575">
        <f>IF([2]Entry!$J$1578="","",[2]Entry!$J$1578)</f>
        <v/>
      </c>
      <c r="N1575">
        <f>IF([2]Entry!$M$1578="","",[2]Entry!$M$1578)</f>
        <v/>
      </c>
      <c r="O1575">
        <f>IF([2]Entry!$N$1578="","",[2]Entry!$N$1578)</f>
        <v/>
      </c>
      <c r="P1575">
        <f>IF([2]Entry!$S$1578="","",[2]Entry!$S$1578)</f>
        <v/>
      </c>
    </row>
    <row r="1576">
      <c r="L1576">
        <f>IF([2]Entry!$C$1579="","",[2]Entry!$C$1579)</f>
        <v/>
      </c>
      <c r="M1576">
        <f>IF([2]Entry!$J$1579="","",[2]Entry!$J$1579)</f>
        <v/>
      </c>
      <c r="N1576">
        <f>IF([2]Entry!$M$1579="","",[2]Entry!$M$1579)</f>
        <v/>
      </c>
      <c r="O1576">
        <f>IF([2]Entry!$N$1579="","",[2]Entry!$N$1579)</f>
        <v/>
      </c>
      <c r="P1576">
        <f>IF([2]Entry!$S$1579="","",[2]Entry!$S$1579)</f>
        <v/>
      </c>
    </row>
    <row r="1577">
      <c r="L1577">
        <f>IF([2]Entry!$C$1580="","",[2]Entry!$C$1580)</f>
        <v/>
      </c>
      <c r="M1577">
        <f>IF([2]Entry!$J$1580="","",[2]Entry!$J$1580)</f>
        <v/>
      </c>
      <c r="N1577">
        <f>IF([2]Entry!$M$1580="","",[2]Entry!$M$1580)</f>
        <v/>
      </c>
      <c r="O1577">
        <f>IF([2]Entry!$N$1580="","",[2]Entry!$N$1580)</f>
        <v/>
      </c>
      <c r="P1577">
        <f>IF([2]Entry!$S$1580="","",[2]Entry!$S$1580)</f>
        <v/>
      </c>
    </row>
    <row r="1578">
      <c r="L1578">
        <f>IF([2]Entry!$C$1581="","",[2]Entry!$C$1581)</f>
        <v/>
      </c>
      <c r="M1578">
        <f>IF([2]Entry!$J$1581="","",[2]Entry!$J$1581)</f>
        <v/>
      </c>
      <c r="N1578">
        <f>IF([2]Entry!$M$1581="","",[2]Entry!$M$1581)</f>
        <v/>
      </c>
      <c r="O1578">
        <f>IF([2]Entry!$N$1581="","",[2]Entry!$N$1581)</f>
        <v/>
      </c>
      <c r="P1578">
        <f>IF([2]Entry!$S$1581="","",[2]Entry!$S$1581)</f>
        <v/>
      </c>
    </row>
    <row r="1579">
      <c r="L1579">
        <f>IF([2]Entry!$C$1582="","",[2]Entry!$C$1582)</f>
        <v/>
      </c>
      <c r="M1579">
        <f>IF([2]Entry!$J$1582="","",[2]Entry!$J$1582)</f>
        <v/>
      </c>
      <c r="N1579">
        <f>IF([2]Entry!$M$1582="","",[2]Entry!$M$1582)</f>
        <v/>
      </c>
      <c r="O1579">
        <f>IF([2]Entry!$N$1582="","",[2]Entry!$N$1582)</f>
        <v/>
      </c>
      <c r="P1579">
        <f>IF([2]Entry!$S$1582="","",[2]Entry!$S$1582)</f>
        <v/>
      </c>
    </row>
    <row r="1580">
      <c r="L1580">
        <f>IF([2]Entry!$C$1583="","",[2]Entry!$C$1583)</f>
        <v/>
      </c>
      <c r="M1580">
        <f>IF([2]Entry!$J$1583="","",[2]Entry!$J$1583)</f>
        <v/>
      </c>
      <c r="N1580">
        <f>IF([2]Entry!$M$1583="","",[2]Entry!$M$1583)</f>
        <v/>
      </c>
      <c r="O1580">
        <f>IF([2]Entry!$N$1583="","",[2]Entry!$N$1583)</f>
        <v/>
      </c>
      <c r="P1580">
        <f>IF([2]Entry!$S$1583="","",[2]Entry!$S$1583)</f>
        <v/>
      </c>
    </row>
    <row r="1581">
      <c r="L1581">
        <f>IF([2]Entry!$C$1584="","",[2]Entry!$C$1584)</f>
        <v/>
      </c>
      <c r="M1581">
        <f>IF([2]Entry!$J$1584="","",[2]Entry!$J$1584)</f>
        <v/>
      </c>
      <c r="N1581">
        <f>IF([2]Entry!$M$1584="","",[2]Entry!$M$1584)</f>
        <v/>
      </c>
      <c r="O1581">
        <f>IF([2]Entry!$N$1584="","",[2]Entry!$N$1584)</f>
        <v/>
      </c>
      <c r="P1581">
        <f>IF([2]Entry!$S$1584="","",[2]Entry!$S$1584)</f>
        <v/>
      </c>
    </row>
    <row r="1582">
      <c r="L1582">
        <f>IF([2]Entry!$C$1585="","",[2]Entry!$C$1585)</f>
        <v/>
      </c>
      <c r="M1582">
        <f>IF([2]Entry!$J$1585="","",[2]Entry!$J$1585)</f>
        <v/>
      </c>
      <c r="N1582">
        <f>IF([2]Entry!$M$1585="","",[2]Entry!$M$1585)</f>
        <v/>
      </c>
      <c r="O1582">
        <f>IF([2]Entry!$N$1585="","",[2]Entry!$N$1585)</f>
        <v/>
      </c>
      <c r="P1582">
        <f>IF([2]Entry!$S$1585="","",[2]Entry!$S$1585)</f>
        <v/>
      </c>
    </row>
    <row r="1583">
      <c r="L1583">
        <f>IF([2]Entry!$C$1586="","",[2]Entry!$C$1586)</f>
        <v/>
      </c>
      <c r="M1583">
        <f>IF([2]Entry!$J$1586="","",[2]Entry!$J$1586)</f>
        <v/>
      </c>
      <c r="N1583">
        <f>IF([2]Entry!$M$1586="","",[2]Entry!$M$1586)</f>
        <v/>
      </c>
      <c r="O1583">
        <f>IF([2]Entry!$N$1586="","",[2]Entry!$N$1586)</f>
        <v/>
      </c>
      <c r="P1583">
        <f>IF([2]Entry!$S$1586="","",[2]Entry!$S$1586)</f>
        <v/>
      </c>
    </row>
    <row r="1584">
      <c r="L1584">
        <f>IF([2]Entry!$C$1587="","",[2]Entry!$C$1587)</f>
        <v/>
      </c>
      <c r="M1584">
        <f>IF([2]Entry!$J$1587="","",[2]Entry!$J$1587)</f>
        <v/>
      </c>
      <c r="N1584">
        <f>IF([2]Entry!$M$1587="","",[2]Entry!$M$1587)</f>
        <v/>
      </c>
      <c r="O1584">
        <f>IF([2]Entry!$N$1587="","",[2]Entry!$N$1587)</f>
        <v/>
      </c>
      <c r="P1584">
        <f>IF([2]Entry!$S$1587="","",[2]Entry!$S$1587)</f>
        <v/>
      </c>
    </row>
    <row r="1585">
      <c r="L1585">
        <f>IF([2]Entry!$C$1588="","",[2]Entry!$C$1588)</f>
        <v/>
      </c>
      <c r="M1585">
        <f>IF([2]Entry!$J$1588="","",[2]Entry!$J$1588)</f>
        <v/>
      </c>
      <c r="N1585">
        <f>IF([2]Entry!$M$1588="","",[2]Entry!$M$1588)</f>
        <v/>
      </c>
      <c r="O1585">
        <f>IF([2]Entry!$N$1588="","",[2]Entry!$N$1588)</f>
        <v/>
      </c>
      <c r="P1585">
        <f>IF([2]Entry!$S$1588="","",[2]Entry!$S$1588)</f>
        <v/>
      </c>
    </row>
    <row r="1586">
      <c r="L1586">
        <f>IF([2]Entry!$C$1589="","",[2]Entry!$C$1589)</f>
        <v/>
      </c>
      <c r="M1586">
        <f>IF([2]Entry!$J$1589="","",[2]Entry!$J$1589)</f>
        <v/>
      </c>
      <c r="N1586">
        <f>IF([2]Entry!$M$1589="","",[2]Entry!$M$1589)</f>
        <v/>
      </c>
      <c r="O1586">
        <f>IF([2]Entry!$N$1589="","",[2]Entry!$N$1589)</f>
        <v/>
      </c>
      <c r="P1586">
        <f>IF([2]Entry!$S$1589="","",[2]Entry!$S$1589)</f>
        <v/>
      </c>
    </row>
    <row r="1587">
      <c r="L1587">
        <f>IF([2]Entry!$C$1590="","",[2]Entry!$C$1590)</f>
        <v/>
      </c>
      <c r="M1587">
        <f>IF([2]Entry!$J$1590="","",[2]Entry!$J$1590)</f>
        <v/>
      </c>
      <c r="N1587">
        <f>IF([2]Entry!$M$1590="","",[2]Entry!$M$1590)</f>
        <v/>
      </c>
      <c r="O1587">
        <f>IF([2]Entry!$N$1590="","",[2]Entry!$N$1590)</f>
        <v/>
      </c>
      <c r="P1587">
        <f>IF([2]Entry!$S$1590="","",[2]Entry!$S$1590)</f>
        <v/>
      </c>
    </row>
    <row r="1588">
      <c r="L1588">
        <f>IF([2]Entry!$C$1591="","",[2]Entry!$C$1591)</f>
        <v/>
      </c>
      <c r="M1588">
        <f>IF([2]Entry!$J$1591="","",[2]Entry!$J$1591)</f>
        <v/>
      </c>
      <c r="N1588">
        <f>IF([2]Entry!$M$1591="","",[2]Entry!$M$1591)</f>
        <v/>
      </c>
      <c r="O1588">
        <f>IF([2]Entry!$N$1591="","",[2]Entry!$N$1591)</f>
        <v/>
      </c>
      <c r="P1588">
        <f>IF([2]Entry!$S$1591="","",[2]Entry!$S$1591)</f>
        <v/>
      </c>
    </row>
    <row r="1589">
      <c r="L1589">
        <f>IF([2]Entry!$C$1592="","",[2]Entry!$C$1592)</f>
        <v/>
      </c>
      <c r="M1589">
        <f>IF([2]Entry!$J$1592="","",[2]Entry!$J$1592)</f>
        <v/>
      </c>
      <c r="N1589">
        <f>IF([2]Entry!$M$1592="","",[2]Entry!$M$1592)</f>
        <v/>
      </c>
      <c r="O1589">
        <f>IF([2]Entry!$N$1592="","",[2]Entry!$N$1592)</f>
        <v/>
      </c>
      <c r="P1589">
        <f>IF([2]Entry!$S$1592="","",[2]Entry!$S$1592)</f>
        <v/>
      </c>
    </row>
    <row r="1590">
      <c r="L1590">
        <f>IF([2]Entry!$C$1593="","",[2]Entry!$C$1593)</f>
        <v/>
      </c>
      <c r="M1590">
        <f>IF([2]Entry!$J$1593="","",[2]Entry!$J$1593)</f>
        <v/>
      </c>
      <c r="N1590">
        <f>IF([2]Entry!$M$1593="","",[2]Entry!$M$1593)</f>
        <v/>
      </c>
      <c r="O1590">
        <f>IF([2]Entry!$N$1593="","",[2]Entry!$N$1593)</f>
        <v/>
      </c>
      <c r="P1590">
        <f>IF([2]Entry!$S$1593="","",[2]Entry!$S$1593)</f>
        <v/>
      </c>
    </row>
    <row r="1591">
      <c r="L1591">
        <f>IF([2]Entry!$C$1594="","",[2]Entry!$C$1594)</f>
        <v/>
      </c>
      <c r="M1591">
        <f>IF([2]Entry!$J$1594="","",[2]Entry!$J$1594)</f>
        <v/>
      </c>
      <c r="N1591">
        <f>IF([2]Entry!$M$1594="","",[2]Entry!$M$1594)</f>
        <v/>
      </c>
      <c r="O1591">
        <f>IF([2]Entry!$N$1594="","",[2]Entry!$N$1594)</f>
        <v/>
      </c>
      <c r="P1591">
        <f>IF([2]Entry!$S$1594="","",[2]Entry!$S$1594)</f>
        <v/>
      </c>
    </row>
    <row r="1592">
      <c r="L1592">
        <f>IF([2]Entry!$C$1595="","",[2]Entry!$C$1595)</f>
        <v/>
      </c>
      <c r="M1592">
        <f>IF([2]Entry!$J$1595="","",[2]Entry!$J$1595)</f>
        <v/>
      </c>
      <c r="N1592">
        <f>IF([2]Entry!$M$1595="","",[2]Entry!$M$1595)</f>
        <v/>
      </c>
      <c r="O1592">
        <f>IF([2]Entry!$N$1595="","",[2]Entry!$N$1595)</f>
        <v/>
      </c>
      <c r="P1592">
        <f>IF([2]Entry!$S$1595="","",[2]Entry!$S$1595)</f>
        <v/>
      </c>
    </row>
    <row r="1593">
      <c r="L1593">
        <f>IF([2]Entry!$C$1596="","",[2]Entry!$C$1596)</f>
        <v/>
      </c>
      <c r="M1593">
        <f>IF([2]Entry!$J$1596="","",[2]Entry!$J$1596)</f>
        <v/>
      </c>
      <c r="N1593">
        <f>IF([2]Entry!$M$1596="","",[2]Entry!$M$1596)</f>
        <v/>
      </c>
      <c r="O1593">
        <f>IF([2]Entry!$N$1596="","",[2]Entry!$N$1596)</f>
        <v/>
      </c>
      <c r="P1593">
        <f>IF([2]Entry!$S$1596="","",[2]Entry!$S$1596)</f>
        <v/>
      </c>
    </row>
    <row r="1594">
      <c r="L1594">
        <f>IF([2]Entry!$C$1597="","",[2]Entry!$C$1597)</f>
        <v/>
      </c>
      <c r="M1594">
        <f>IF([2]Entry!$J$1597="","",[2]Entry!$J$1597)</f>
        <v/>
      </c>
      <c r="N1594">
        <f>IF([2]Entry!$M$1597="","",[2]Entry!$M$1597)</f>
        <v/>
      </c>
      <c r="O1594">
        <f>IF([2]Entry!$N$1597="","",[2]Entry!$N$1597)</f>
        <v/>
      </c>
      <c r="P1594">
        <f>IF([2]Entry!$S$1597="","",[2]Entry!$S$1597)</f>
        <v/>
      </c>
    </row>
    <row r="1595">
      <c r="L1595">
        <f>IF([2]Entry!$C$1598="","",[2]Entry!$C$1598)</f>
        <v/>
      </c>
      <c r="M1595">
        <f>IF([2]Entry!$J$1598="","",[2]Entry!$J$1598)</f>
        <v/>
      </c>
      <c r="N1595">
        <f>IF([2]Entry!$M$1598="","",[2]Entry!$M$1598)</f>
        <v/>
      </c>
      <c r="O1595">
        <f>IF([2]Entry!$N$1598="","",[2]Entry!$N$1598)</f>
        <v/>
      </c>
      <c r="P1595">
        <f>IF([2]Entry!$S$1598="","",[2]Entry!$S$1598)</f>
        <v/>
      </c>
    </row>
    <row r="1596">
      <c r="L1596">
        <f>IF([2]Entry!$C$1599="","",[2]Entry!$C$1599)</f>
        <v/>
      </c>
      <c r="M1596">
        <f>IF([2]Entry!$J$1599="","",[2]Entry!$J$1599)</f>
        <v/>
      </c>
      <c r="N1596">
        <f>IF([2]Entry!$M$1599="","",[2]Entry!$M$1599)</f>
        <v/>
      </c>
      <c r="O1596">
        <f>IF([2]Entry!$N$1599="","",[2]Entry!$N$1599)</f>
        <v/>
      </c>
      <c r="P1596">
        <f>IF([2]Entry!$S$1599="","",[2]Entry!$S$1599)</f>
        <v/>
      </c>
    </row>
    <row r="1597">
      <c r="L1597">
        <f>IF([2]Entry!$C$1600="","",[2]Entry!$C$1600)</f>
        <v/>
      </c>
      <c r="M1597">
        <f>IF([2]Entry!$J$1600="","",[2]Entry!$J$1600)</f>
        <v/>
      </c>
      <c r="N1597">
        <f>IF([2]Entry!$M$1600="","",[2]Entry!$M$1600)</f>
        <v/>
      </c>
      <c r="O1597">
        <f>IF([2]Entry!$N$1600="","",[2]Entry!$N$1600)</f>
        <v/>
      </c>
      <c r="P1597">
        <f>IF([2]Entry!$S$1600="","",[2]Entry!$S$1600)</f>
        <v/>
      </c>
    </row>
    <row r="1598">
      <c r="L1598">
        <f>IF([2]Entry!$C$1601="","",[2]Entry!$C$1601)</f>
        <v/>
      </c>
      <c r="M1598">
        <f>IF([2]Entry!$J$1601="","",[2]Entry!$J$1601)</f>
        <v/>
      </c>
      <c r="N1598">
        <f>IF([2]Entry!$M$1601="","",[2]Entry!$M$1601)</f>
        <v/>
      </c>
      <c r="O1598">
        <f>IF([2]Entry!$N$1601="","",[2]Entry!$N$1601)</f>
        <v/>
      </c>
      <c r="P1598">
        <f>IF([2]Entry!$S$1601="","",[2]Entry!$S$1601)</f>
        <v/>
      </c>
    </row>
    <row r="1599">
      <c r="L1599">
        <f>IF([2]Entry!$C$1602="","",[2]Entry!$C$1602)</f>
        <v/>
      </c>
      <c r="M1599">
        <f>IF([2]Entry!$J$1602="","",[2]Entry!$J$1602)</f>
        <v/>
      </c>
      <c r="N1599">
        <f>IF([2]Entry!$M$1602="","",[2]Entry!$M$1602)</f>
        <v/>
      </c>
      <c r="O1599">
        <f>IF([2]Entry!$N$1602="","",[2]Entry!$N$1602)</f>
        <v/>
      </c>
      <c r="P1599">
        <f>IF([2]Entry!$S$1602="","",[2]Entry!$S$1602)</f>
        <v/>
      </c>
    </row>
    <row r="1600">
      <c r="L1600">
        <f>IF([2]Entry!$C$1603="","",[2]Entry!$C$1603)</f>
        <v/>
      </c>
      <c r="M1600">
        <f>IF([2]Entry!$J$1603="","",[2]Entry!$J$1603)</f>
        <v/>
      </c>
      <c r="N1600">
        <f>IF([2]Entry!$M$1603="","",[2]Entry!$M$1603)</f>
        <v/>
      </c>
      <c r="O1600">
        <f>IF([2]Entry!$N$1603="","",[2]Entry!$N$1603)</f>
        <v/>
      </c>
      <c r="P1600">
        <f>IF([2]Entry!$S$1603="","",[2]Entry!$S$1603)</f>
        <v/>
      </c>
    </row>
    <row r="1601">
      <c r="L1601">
        <f>IF([2]Entry!$C$1604="","",[2]Entry!$C$1604)</f>
        <v/>
      </c>
      <c r="M1601">
        <f>IF([2]Entry!$J$1604="","",[2]Entry!$J$1604)</f>
        <v/>
      </c>
      <c r="N1601">
        <f>IF([2]Entry!$M$1604="","",[2]Entry!$M$1604)</f>
        <v/>
      </c>
      <c r="O1601">
        <f>IF([2]Entry!$N$1604="","",[2]Entry!$N$1604)</f>
        <v/>
      </c>
      <c r="P1601">
        <f>IF([2]Entry!$S$1604="","",[2]Entry!$S$1604)</f>
        <v/>
      </c>
    </row>
    <row r="1602">
      <c r="L1602">
        <f>IF([2]Entry!$C$1605="","",[2]Entry!$C$1605)</f>
        <v/>
      </c>
      <c r="M1602">
        <f>IF([2]Entry!$J$1605="","",[2]Entry!$J$1605)</f>
        <v/>
      </c>
      <c r="N1602">
        <f>IF([2]Entry!$M$1605="","",[2]Entry!$M$1605)</f>
        <v/>
      </c>
      <c r="O1602">
        <f>IF([2]Entry!$N$1605="","",[2]Entry!$N$1605)</f>
        <v/>
      </c>
      <c r="P1602">
        <f>IF([2]Entry!$S$1605="","",[2]Entry!$S$1605)</f>
        <v/>
      </c>
    </row>
    <row r="1603">
      <c r="L1603">
        <f>IF([2]Entry!$C$1606="","",[2]Entry!$C$1606)</f>
        <v/>
      </c>
      <c r="M1603">
        <f>IF([2]Entry!$J$1606="","",[2]Entry!$J$1606)</f>
        <v/>
      </c>
      <c r="N1603">
        <f>IF([2]Entry!$M$1606="","",[2]Entry!$M$1606)</f>
        <v/>
      </c>
      <c r="O1603">
        <f>IF([2]Entry!$N$1606="","",[2]Entry!$N$1606)</f>
        <v/>
      </c>
      <c r="P1603">
        <f>IF([2]Entry!$S$1606="","",[2]Entry!$S$1606)</f>
        <v/>
      </c>
    </row>
    <row r="1604">
      <c r="L1604">
        <f>IF([2]Entry!$C$1607="","",[2]Entry!$C$1607)</f>
        <v/>
      </c>
      <c r="M1604">
        <f>IF([2]Entry!$J$1607="","",[2]Entry!$J$1607)</f>
        <v/>
      </c>
      <c r="N1604">
        <f>IF([2]Entry!$M$1607="","",[2]Entry!$M$1607)</f>
        <v/>
      </c>
      <c r="O1604">
        <f>IF([2]Entry!$N$1607="","",[2]Entry!$N$1607)</f>
        <v/>
      </c>
      <c r="P1604">
        <f>IF([2]Entry!$S$1607="","",[2]Entry!$S$1607)</f>
        <v/>
      </c>
    </row>
    <row r="1605">
      <c r="L1605">
        <f>IF([2]Entry!$C$1608="","",[2]Entry!$C$1608)</f>
        <v/>
      </c>
      <c r="M1605">
        <f>IF([2]Entry!$J$1608="","",[2]Entry!$J$1608)</f>
        <v/>
      </c>
      <c r="N1605">
        <f>IF([2]Entry!$M$1608="","",[2]Entry!$M$1608)</f>
        <v/>
      </c>
      <c r="O1605">
        <f>IF([2]Entry!$N$1608="","",[2]Entry!$N$1608)</f>
        <v/>
      </c>
      <c r="P1605">
        <f>IF([2]Entry!$S$1608="","",[2]Entry!$S$1608)</f>
        <v/>
      </c>
    </row>
    <row r="1606">
      <c r="L1606">
        <f>IF([2]Entry!$C$1609="","",[2]Entry!$C$1609)</f>
        <v/>
      </c>
      <c r="M1606">
        <f>IF([2]Entry!$J$1609="","",[2]Entry!$J$1609)</f>
        <v/>
      </c>
      <c r="N1606">
        <f>IF([2]Entry!$M$1609="","",[2]Entry!$M$1609)</f>
        <v/>
      </c>
      <c r="O1606">
        <f>IF([2]Entry!$N$1609="","",[2]Entry!$N$1609)</f>
        <v/>
      </c>
      <c r="P1606">
        <f>IF([2]Entry!$S$1609="","",[2]Entry!$S$1609)</f>
        <v/>
      </c>
    </row>
    <row r="1607">
      <c r="L1607">
        <f>IF([2]Entry!$C$1610="","",[2]Entry!$C$1610)</f>
        <v/>
      </c>
      <c r="M1607">
        <f>IF([2]Entry!$J$1610="","",[2]Entry!$J$1610)</f>
        <v/>
      </c>
      <c r="N1607">
        <f>IF([2]Entry!$M$1610="","",[2]Entry!$M$1610)</f>
        <v/>
      </c>
      <c r="O1607">
        <f>IF([2]Entry!$N$1610="","",[2]Entry!$N$1610)</f>
        <v/>
      </c>
      <c r="P1607">
        <f>IF([2]Entry!$S$1610="","",[2]Entry!$S$1610)</f>
        <v/>
      </c>
    </row>
    <row r="1608">
      <c r="L1608">
        <f>IF([2]Entry!$C$1611="","",[2]Entry!$C$1611)</f>
        <v/>
      </c>
      <c r="M1608">
        <f>IF([2]Entry!$J$1611="","",[2]Entry!$J$1611)</f>
        <v/>
      </c>
      <c r="N1608">
        <f>IF([2]Entry!$M$1611="","",[2]Entry!$M$1611)</f>
        <v/>
      </c>
      <c r="O1608">
        <f>IF([2]Entry!$N$1611="","",[2]Entry!$N$1611)</f>
        <v/>
      </c>
      <c r="P1608">
        <f>IF([2]Entry!$S$1611="","",[2]Entry!$S$1611)</f>
        <v/>
      </c>
    </row>
    <row r="1609">
      <c r="L1609">
        <f>IF([2]Entry!$C$1612="","",[2]Entry!$C$1612)</f>
        <v/>
      </c>
      <c r="M1609">
        <f>IF([2]Entry!$J$1612="","",[2]Entry!$J$1612)</f>
        <v/>
      </c>
      <c r="N1609">
        <f>IF([2]Entry!$M$1612="","",[2]Entry!$M$1612)</f>
        <v/>
      </c>
      <c r="O1609">
        <f>IF([2]Entry!$N$1612="","",[2]Entry!$N$1612)</f>
        <v/>
      </c>
      <c r="P1609">
        <f>IF([2]Entry!$S$1612="","",[2]Entry!$S$1612)</f>
        <v/>
      </c>
    </row>
    <row r="1610">
      <c r="L1610">
        <f>IF([2]Entry!$C$1613="","",[2]Entry!$C$1613)</f>
        <v/>
      </c>
      <c r="M1610">
        <f>IF([2]Entry!$J$1613="","",[2]Entry!$J$1613)</f>
        <v/>
      </c>
      <c r="N1610">
        <f>IF([2]Entry!$M$1613="","",[2]Entry!$M$1613)</f>
        <v/>
      </c>
      <c r="O1610">
        <f>IF([2]Entry!$N$1613="","",[2]Entry!$N$1613)</f>
        <v/>
      </c>
      <c r="P1610">
        <f>IF([2]Entry!$S$1613="","",[2]Entry!$S$1613)</f>
        <v/>
      </c>
    </row>
    <row r="1611">
      <c r="L1611">
        <f>IF([2]Entry!$C$1614="","",[2]Entry!$C$1614)</f>
        <v/>
      </c>
      <c r="M1611">
        <f>IF([2]Entry!$J$1614="","",[2]Entry!$J$1614)</f>
        <v/>
      </c>
      <c r="N1611">
        <f>IF([2]Entry!$M$1614="","",[2]Entry!$M$1614)</f>
        <v/>
      </c>
      <c r="O1611">
        <f>IF([2]Entry!$N$1614="","",[2]Entry!$N$1614)</f>
        <v/>
      </c>
      <c r="P1611">
        <f>IF([2]Entry!$S$1614="","",[2]Entry!$S$1614)</f>
        <v/>
      </c>
    </row>
    <row r="1612">
      <c r="L1612">
        <f>IF([2]Entry!$C$1615="","",[2]Entry!$C$1615)</f>
        <v/>
      </c>
      <c r="M1612">
        <f>IF([2]Entry!$J$1615="","",[2]Entry!$J$1615)</f>
        <v/>
      </c>
      <c r="N1612">
        <f>IF([2]Entry!$M$1615="","",[2]Entry!$M$1615)</f>
        <v/>
      </c>
      <c r="O1612">
        <f>IF([2]Entry!$N$1615="","",[2]Entry!$N$1615)</f>
        <v/>
      </c>
      <c r="P1612">
        <f>IF([2]Entry!$S$1615="","",[2]Entry!$S$1615)</f>
        <v/>
      </c>
    </row>
    <row r="1613">
      <c r="L1613">
        <f>IF([2]Entry!$C$1616="","",[2]Entry!$C$1616)</f>
        <v/>
      </c>
      <c r="M1613">
        <f>IF([2]Entry!$J$1616="","",[2]Entry!$J$1616)</f>
        <v/>
      </c>
      <c r="N1613">
        <f>IF([2]Entry!$M$1616="","",[2]Entry!$M$1616)</f>
        <v/>
      </c>
      <c r="O1613">
        <f>IF([2]Entry!$N$1616="","",[2]Entry!$N$1616)</f>
        <v/>
      </c>
      <c r="P1613">
        <f>IF([2]Entry!$S$1616="","",[2]Entry!$S$1616)</f>
        <v/>
      </c>
    </row>
    <row r="1614">
      <c r="L1614">
        <f>IF([2]Entry!$C$1617="","",[2]Entry!$C$1617)</f>
        <v/>
      </c>
      <c r="M1614">
        <f>IF([2]Entry!$J$1617="","",[2]Entry!$J$1617)</f>
        <v/>
      </c>
      <c r="N1614">
        <f>IF([2]Entry!$M$1617="","",[2]Entry!$M$1617)</f>
        <v/>
      </c>
      <c r="O1614">
        <f>IF([2]Entry!$N$1617="","",[2]Entry!$N$1617)</f>
        <v/>
      </c>
      <c r="P1614">
        <f>IF([2]Entry!$S$1617="","",[2]Entry!$S$1617)</f>
        <v/>
      </c>
    </row>
    <row r="1615">
      <c r="L1615">
        <f>IF([2]Entry!$C$1618="","",[2]Entry!$C$1618)</f>
        <v/>
      </c>
      <c r="M1615">
        <f>IF([2]Entry!$J$1618="","",[2]Entry!$J$1618)</f>
        <v/>
      </c>
      <c r="N1615">
        <f>IF([2]Entry!$M$1618="","",[2]Entry!$M$1618)</f>
        <v/>
      </c>
      <c r="O1615">
        <f>IF([2]Entry!$N$1618="","",[2]Entry!$N$1618)</f>
        <v/>
      </c>
      <c r="P1615">
        <f>IF([2]Entry!$S$1618="","",[2]Entry!$S$1618)</f>
        <v/>
      </c>
    </row>
    <row r="1616">
      <c r="L1616">
        <f>IF([2]Entry!$C$1619="","",[2]Entry!$C$1619)</f>
        <v/>
      </c>
      <c r="M1616">
        <f>IF([2]Entry!$J$1619="","",[2]Entry!$J$1619)</f>
        <v/>
      </c>
      <c r="N1616">
        <f>IF([2]Entry!$M$1619="","",[2]Entry!$M$1619)</f>
        <v/>
      </c>
      <c r="O1616">
        <f>IF([2]Entry!$N$1619="","",[2]Entry!$N$1619)</f>
        <v/>
      </c>
      <c r="P1616">
        <f>IF([2]Entry!$S$1619="","",[2]Entry!$S$1619)</f>
        <v/>
      </c>
    </row>
    <row r="1617">
      <c r="L1617">
        <f>IF([2]Entry!$C$1620="","",[2]Entry!$C$1620)</f>
        <v/>
      </c>
      <c r="M1617">
        <f>IF([2]Entry!$J$1620="","",[2]Entry!$J$1620)</f>
        <v/>
      </c>
      <c r="N1617">
        <f>IF([2]Entry!$M$1620="","",[2]Entry!$M$1620)</f>
        <v/>
      </c>
      <c r="O1617">
        <f>IF([2]Entry!$N$1620="","",[2]Entry!$N$1620)</f>
        <v/>
      </c>
      <c r="P1617">
        <f>IF([2]Entry!$S$1620="","",[2]Entry!$S$1620)</f>
        <v/>
      </c>
    </row>
    <row r="1618">
      <c r="L1618">
        <f>IF([2]Entry!$C$1621="","",[2]Entry!$C$1621)</f>
        <v/>
      </c>
      <c r="M1618">
        <f>IF([2]Entry!$J$1621="","",[2]Entry!$J$1621)</f>
        <v/>
      </c>
      <c r="N1618">
        <f>IF([2]Entry!$M$1621="","",[2]Entry!$M$1621)</f>
        <v/>
      </c>
      <c r="O1618">
        <f>IF([2]Entry!$N$1621="","",[2]Entry!$N$1621)</f>
        <v/>
      </c>
      <c r="P1618">
        <f>IF([2]Entry!$S$1621="","",[2]Entry!$S$1621)</f>
        <v/>
      </c>
    </row>
    <row r="1619">
      <c r="L1619">
        <f>IF([2]Entry!$C$1622="","",[2]Entry!$C$1622)</f>
        <v/>
      </c>
      <c r="M1619">
        <f>IF([2]Entry!$J$1622="","",[2]Entry!$J$1622)</f>
        <v/>
      </c>
      <c r="N1619">
        <f>IF([2]Entry!$M$1622="","",[2]Entry!$M$1622)</f>
        <v/>
      </c>
      <c r="O1619">
        <f>IF([2]Entry!$N$1622="","",[2]Entry!$N$1622)</f>
        <v/>
      </c>
      <c r="P1619">
        <f>IF([2]Entry!$S$1622="","",[2]Entry!$S$1622)</f>
        <v/>
      </c>
    </row>
    <row r="1620">
      <c r="L1620">
        <f>IF([2]Entry!$C$1623="","",[2]Entry!$C$1623)</f>
        <v/>
      </c>
      <c r="M1620">
        <f>IF([2]Entry!$J$1623="","",[2]Entry!$J$1623)</f>
        <v/>
      </c>
      <c r="N1620">
        <f>IF([2]Entry!$M$1623="","",[2]Entry!$M$1623)</f>
        <v/>
      </c>
      <c r="O1620">
        <f>IF([2]Entry!$N$1623="","",[2]Entry!$N$1623)</f>
        <v/>
      </c>
      <c r="P1620">
        <f>IF([2]Entry!$S$1623="","",[2]Entry!$S$1623)</f>
        <v/>
      </c>
    </row>
    <row r="1621">
      <c r="L1621">
        <f>IF([2]Entry!$C$1624="","",[2]Entry!$C$1624)</f>
        <v/>
      </c>
      <c r="M1621">
        <f>IF([2]Entry!$J$1624="","",[2]Entry!$J$1624)</f>
        <v/>
      </c>
      <c r="N1621">
        <f>IF([2]Entry!$M$1624="","",[2]Entry!$M$1624)</f>
        <v/>
      </c>
      <c r="O1621">
        <f>IF([2]Entry!$N$1624="","",[2]Entry!$N$1624)</f>
        <v/>
      </c>
      <c r="P1621">
        <f>IF([2]Entry!$S$1624="","",[2]Entry!$S$1624)</f>
        <v/>
      </c>
    </row>
    <row r="1622">
      <c r="L1622">
        <f>IF([2]Entry!$C$1625="","",[2]Entry!$C$1625)</f>
        <v/>
      </c>
      <c r="M1622">
        <f>IF([2]Entry!$J$1625="","",[2]Entry!$J$1625)</f>
        <v/>
      </c>
      <c r="N1622">
        <f>IF([2]Entry!$M$1625="","",[2]Entry!$M$1625)</f>
        <v/>
      </c>
      <c r="O1622">
        <f>IF([2]Entry!$N$1625="","",[2]Entry!$N$1625)</f>
        <v/>
      </c>
      <c r="P1622">
        <f>IF([2]Entry!$S$1625="","",[2]Entry!$S$1625)</f>
        <v/>
      </c>
    </row>
    <row r="1623">
      <c r="L1623">
        <f>IF([2]Entry!$C$1626="","",[2]Entry!$C$1626)</f>
        <v/>
      </c>
      <c r="M1623">
        <f>IF([2]Entry!$J$1626="","",[2]Entry!$J$1626)</f>
        <v/>
      </c>
      <c r="N1623">
        <f>IF([2]Entry!$M$1626="","",[2]Entry!$M$1626)</f>
        <v/>
      </c>
      <c r="O1623">
        <f>IF([2]Entry!$N$1626="","",[2]Entry!$N$1626)</f>
        <v/>
      </c>
      <c r="P1623">
        <f>IF([2]Entry!$S$1626="","",[2]Entry!$S$1626)</f>
        <v/>
      </c>
    </row>
    <row r="1624">
      <c r="L1624">
        <f>IF([2]Entry!$C$1627="","",[2]Entry!$C$1627)</f>
        <v/>
      </c>
      <c r="M1624">
        <f>IF([2]Entry!$J$1627="","",[2]Entry!$J$1627)</f>
        <v/>
      </c>
      <c r="N1624">
        <f>IF([2]Entry!$M$1627="","",[2]Entry!$M$1627)</f>
        <v/>
      </c>
      <c r="O1624">
        <f>IF([2]Entry!$N$1627="","",[2]Entry!$N$1627)</f>
        <v/>
      </c>
      <c r="P1624">
        <f>IF([2]Entry!$S$1627="","",[2]Entry!$S$1627)</f>
        <v/>
      </c>
    </row>
    <row r="1625">
      <c r="L1625">
        <f>IF([2]Entry!$C$1628="","",[2]Entry!$C$1628)</f>
        <v/>
      </c>
      <c r="M1625">
        <f>IF([2]Entry!$J$1628="","",[2]Entry!$J$1628)</f>
        <v/>
      </c>
      <c r="N1625">
        <f>IF([2]Entry!$M$1628="","",[2]Entry!$M$1628)</f>
        <v/>
      </c>
      <c r="O1625">
        <f>IF([2]Entry!$N$1628="","",[2]Entry!$N$1628)</f>
        <v/>
      </c>
      <c r="P1625">
        <f>IF([2]Entry!$S$1628="","",[2]Entry!$S$1628)</f>
        <v/>
      </c>
    </row>
    <row r="1626">
      <c r="L1626">
        <f>IF([2]Entry!$C$1629="","",[2]Entry!$C$1629)</f>
        <v/>
      </c>
      <c r="M1626">
        <f>IF([2]Entry!$J$1629="","",[2]Entry!$J$1629)</f>
        <v/>
      </c>
      <c r="N1626">
        <f>IF([2]Entry!$M$1629="","",[2]Entry!$M$1629)</f>
        <v/>
      </c>
      <c r="O1626">
        <f>IF([2]Entry!$N$1629="","",[2]Entry!$N$1629)</f>
        <v/>
      </c>
      <c r="P1626">
        <f>IF([2]Entry!$S$1629="","",[2]Entry!$S$1629)</f>
        <v/>
      </c>
    </row>
    <row r="1627">
      <c r="L1627">
        <f>IF([2]Entry!$C$1630="","",[2]Entry!$C$1630)</f>
        <v/>
      </c>
      <c r="M1627">
        <f>IF([2]Entry!$J$1630="","",[2]Entry!$J$1630)</f>
        <v/>
      </c>
      <c r="N1627">
        <f>IF([2]Entry!$M$1630="","",[2]Entry!$M$1630)</f>
        <v/>
      </c>
      <c r="O1627">
        <f>IF([2]Entry!$N$1630="","",[2]Entry!$N$1630)</f>
        <v/>
      </c>
      <c r="P1627">
        <f>IF([2]Entry!$S$1630="","",[2]Entry!$S$1630)</f>
        <v/>
      </c>
    </row>
    <row r="1628">
      <c r="L1628">
        <f>IF([2]Entry!$C$1631="","",[2]Entry!$C$1631)</f>
        <v/>
      </c>
      <c r="M1628">
        <f>IF([2]Entry!$J$1631="","",[2]Entry!$J$1631)</f>
        <v/>
      </c>
      <c r="N1628">
        <f>IF([2]Entry!$M$1631="","",[2]Entry!$M$1631)</f>
        <v/>
      </c>
      <c r="O1628">
        <f>IF([2]Entry!$N$1631="","",[2]Entry!$N$1631)</f>
        <v/>
      </c>
      <c r="P1628">
        <f>IF([2]Entry!$S$1631="","",[2]Entry!$S$1631)</f>
        <v/>
      </c>
    </row>
    <row r="1629">
      <c r="L1629">
        <f>IF([2]Entry!$C$1632="","",[2]Entry!$C$1632)</f>
        <v/>
      </c>
      <c r="M1629">
        <f>IF([2]Entry!$J$1632="","",[2]Entry!$J$1632)</f>
        <v/>
      </c>
      <c r="N1629">
        <f>IF([2]Entry!$M$1632="","",[2]Entry!$M$1632)</f>
        <v/>
      </c>
      <c r="O1629">
        <f>IF([2]Entry!$N$1632="","",[2]Entry!$N$1632)</f>
        <v/>
      </c>
      <c r="P1629">
        <f>IF([2]Entry!$S$1632="","",[2]Entry!$S$1632)</f>
        <v/>
      </c>
    </row>
    <row r="1630">
      <c r="L1630">
        <f>IF([2]Entry!$C$1633="","",[2]Entry!$C$1633)</f>
        <v/>
      </c>
      <c r="M1630">
        <f>IF([2]Entry!$J$1633="","",[2]Entry!$J$1633)</f>
        <v/>
      </c>
      <c r="N1630">
        <f>IF([2]Entry!$M$1633="","",[2]Entry!$M$1633)</f>
        <v/>
      </c>
      <c r="O1630">
        <f>IF([2]Entry!$N$1633="","",[2]Entry!$N$1633)</f>
        <v/>
      </c>
      <c r="P1630">
        <f>IF([2]Entry!$S$1633="","",[2]Entry!$S$1633)</f>
        <v/>
      </c>
    </row>
    <row r="1631">
      <c r="L1631">
        <f>IF([2]Entry!$C$1634="","",[2]Entry!$C$1634)</f>
        <v/>
      </c>
      <c r="M1631">
        <f>IF([2]Entry!$J$1634="","",[2]Entry!$J$1634)</f>
        <v/>
      </c>
      <c r="N1631">
        <f>IF([2]Entry!$M$1634="","",[2]Entry!$M$1634)</f>
        <v/>
      </c>
      <c r="O1631">
        <f>IF([2]Entry!$N$1634="","",[2]Entry!$N$1634)</f>
        <v/>
      </c>
      <c r="P1631">
        <f>IF([2]Entry!$S$1634="","",[2]Entry!$S$1634)</f>
        <v/>
      </c>
    </row>
    <row r="1632">
      <c r="L1632">
        <f>IF([2]Entry!$C$1635="","",[2]Entry!$C$1635)</f>
        <v/>
      </c>
      <c r="M1632">
        <f>IF([2]Entry!$J$1635="","",[2]Entry!$J$1635)</f>
        <v/>
      </c>
      <c r="N1632">
        <f>IF([2]Entry!$M$1635="","",[2]Entry!$M$1635)</f>
        <v/>
      </c>
      <c r="O1632">
        <f>IF([2]Entry!$N$1635="","",[2]Entry!$N$1635)</f>
        <v/>
      </c>
      <c r="P1632">
        <f>IF([2]Entry!$S$1635="","",[2]Entry!$S$1635)</f>
        <v/>
      </c>
    </row>
    <row r="1633">
      <c r="L1633">
        <f>IF([2]Entry!$C$1636="","",[2]Entry!$C$1636)</f>
        <v/>
      </c>
      <c r="M1633">
        <f>IF([2]Entry!$J$1636="","",[2]Entry!$J$1636)</f>
        <v/>
      </c>
      <c r="N1633">
        <f>IF([2]Entry!$M$1636="","",[2]Entry!$M$1636)</f>
        <v/>
      </c>
      <c r="O1633">
        <f>IF([2]Entry!$N$1636="","",[2]Entry!$N$1636)</f>
        <v/>
      </c>
      <c r="P1633">
        <f>IF([2]Entry!$S$1636="","",[2]Entry!$S$1636)</f>
        <v/>
      </c>
    </row>
    <row r="1634">
      <c r="L1634">
        <f>IF([2]Entry!$C$1637="","",[2]Entry!$C$1637)</f>
        <v/>
      </c>
      <c r="M1634">
        <f>IF([2]Entry!$J$1637="","",[2]Entry!$J$1637)</f>
        <v/>
      </c>
      <c r="N1634">
        <f>IF([2]Entry!$M$1637="","",[2]Entry!$M$1637)</f>
        <v/>
      </c>
      <c r="O1634">
        <f>IF([2]Entry!$N$1637="","",[2]Entry!$N$1637)</f>
        <v/>
      </c>
      <c r="P1634">
        <f>IF([2]Entry!$S$1637="","",[2]Entry!$S$1637)</f>
        <v/>
      </c>
    </row>
    <row r="1635">
      <c r="L1635">
        <f>IF([2]Entry!$C$1638="","",[2]Entry!$C$1638)</f>
        <v/>
      </c>
      <c r="M1635">
        <f>IF([2]Entry!$J$1638="","",[2]Entry!$J$1638)</f>
        <v/>
      </c>
      <c r="N1635">
        <f>IF([2]Entry!$M$1638="","",[2]Entry!$M$1638)</f>
        <v/>
      </c>
      <c r="O1635">
        <f>IF([2]Entry!$N$1638="","",[2]Entry!$N$1638)</f>
        <v/>
      </c>
      <c r="P1635">
        <f>IF([2]Entry!$S$1638="","",[2]Entry!$S$1638)</f>
        <v/>
      </c>
    </row>
    <row r="1636">
      <c r="L1636">
        <f>IF([2]Entry!$C$1639="","",[2]Entry!$C$1639)</f>
        <v/>
      </c>
      <c r="M1636">
        <f>IF([2]Entry!$J$1639="","",[2]Entry!$J$1639)</f>
        <v/>
      </c>
      <c r="N1636">
        <f>IF([2]Entry!$M$1639="","",[2]Entry!$M$1639)</f>
        <v/>
      </c>
      <c r="O1636">
        <f>IF([2]Entry!$N$1639="","",[2]Entry!$N$1639)</f>
        <v/>
      </c>
      <c r="P1636">
        <f>IF([2]Entry!$S$1639="","",[2]Entry!$S$1639)</f>
        <v/>
      </c>
    </row>
    <row r="1637">
      <c r="L1637">
        <f>IF([2]Entry!$C$1640="","",[2]Entry!$C$1640)</f>
        <v/>
      </c>
      <c r="M1637">
        <f>IF([2]Entry!$J$1640="","",[2]Entry!$J$1640)</f>
        <v/>
      </c>
      <c r="N1637">
        <f>IF([2]Entry!$M$1640="","",[2]Entry!$M$1640)</f>
        <v/>
      </c>
      <c r="O1637">
        <f>IF([2]Entry!$N$1640="","",[2]Entry!$N$1640)</f>
        <v/>
      </c>
      <c r="P1637">
        <f>IF([2]Entry!$S$1640="","",[2]Entry!$S$1640)</f>
        <v/>
      </c>
    </row>
    <row r="1638">
      <c r="L1638">
        <f>IF([2]Entry!$C$1641="","",[2]Entry!$C$1641)</f>
        <v/>
      </c>
      <c r="M1638">
        <f>IF([2]Entry!$J$1641="","",[2]Entry!$J$1641)</f>
        <v/>
      </c>
      <c r="N1638">
        <f>IF([2]Entry!$M$1641="","",[2]Entry!$M$1641)</f>
        <v/>
      </c>
      <c r="O1638">
        <f>IF([2]Entry!$N$1641="","",[2]Entry!$N$1641)</f>
        <v/>
      </c>
      <c r="P1638">
        <f>IF([2]Entry!$S$1641="","",[2]Entry!$S$1641)</f>
        <v/>
      </c>
    </row>
    <row r="1639">
      <c r="L1639">
        <f>IF([2]Entry!$C$1642="","",[2]Entry!$C$1642)</f>
        <v/>
      </c>
      <c r="M1639">
        <f>IF([2]Entry!$J$1642="","",[2]Entry!$J$1642)</f>
        <v/>
      </c>
      <c r="N1639">
        <f>IF([2]Entry!$M$1642="","",[2]Entry!$M$1642)</f>
        <v/>
      </c>
      <c r="O1639">
        <f>IF([2]Entry!$N$1642="","",[2]Entry!$N$1642)</f>
        <v/>
      </c>
      <c r="P1639">
        <f>IF([2]Entry!$S$1642="","",[2]Entry!$S$1642)</f>
        <v/>
      </c>
    </row>
    <row r="1640">
      <c r="L1640">
        <f>IF([2]Entry!$C$1643="","",[2]Entry!$C$1643)</f>
        <v/>
      </c>
      <c r="M1640">
        <f>IF([2]Entry!$J$1643="","",[2]Entry!$J$1643)</f>
        <v/>
      </c>
      <c r="N1640">
        <f>IF([2]Entry!$M$1643="","",[2]Entry!$M$1643)</f>
        <v/>
      </c>
      <c r="O1640">
        <f>IF([2]Entry!$N$1643="","",[2]Entry!$N$1643)</f>
        <v/>
      </c>
      <c r="P1640">
        <f>IF([2]Entry!$S$1643="","",[2]Entry!$S$1643)</f>
        <v/>
      </c>
    </row>
    <row r="1641">
      <c r="L1641">
        <f>IF([2]Entry!$C$1644="","",[2]Entry!$C$1644)</f>
        <v/>
      </c>
      <c r="M1641">
        <f>IF([2]Entry!$J$1644="","",[2]Entry!$J$1644)</f>
        <v/>
      </c>
      <c r="N1641">
        <f>IF([2]Entry!$M$1644="","",[2]Entry!$M$1644)</f>
        <v/>
      </c>
      <c r="O1641">
        <f>IF([2]Entry!$N$1644="","",[2]Entry!$N$1644)</f>
        <v/>
      </c>
      <c r="P1641">
        <f>IF([2]Entry!$S$1644="","",[2]Entry!$S$1644)</f>
        <v/>
      </c>
    </row>
    <row r="1642">
      <c r="L1642">
        <f>IF([2]Entry!$C$1645="","",[2]Entry!$C$1645)</f>
        <v/>
      </c>
      <c r="M1642">
        <f>IF([2]Entry!$J$1645="","",[2]Entry!$J$1645)</f>
        <v/>
      </c>
      <c r="N1642">
        <f>IF([2]Entry!$M$1645="","",[2]Entry!$M$1645)</f>
        <v/>
      </c>
      <c r="O1642">
        <f>IF([2]Entry!$N$1645="","",[2]Entry!$N$1645)</f>
        <v/>
      </c>
      <c r="P1642">
        <f>IF([2]Entry!$S$1645="","",[2]Entry!$S$1645)</f>
        <v/>
      </c>
    </row>
    <row r="1643">
      <c r="L1643">
        <f>IF([2]Entry!$C$1646="","",[2]Entry!$C$1646)</f>
        <v/>
      </c>
      <c r="M1643">
        <f>IF([2]Entry!$J$1646="","",[2]Entry!$J$1646)</f>
        <v/>
      </c>
      <c r="N1643">
        <f>IF([2]Entry!$M$1646="","",[2]Entry!$M$1646)</f>
        <v/>
      </c>
      <c r="O1643">
        <f>IF([2]Entry!$N$1646="","",[2]Entry!$N$1646)</f>
        <v/>
      </c>
      <c r="P1643">
        <f>IF([2]Entry!$S$1646="","",[2]Entry!$S$1646)</f>
        <v/>
      </c>
    </row>
    <row r="1644">
      <c r="L1644">
        <f>IF([2]Entry!$C$1647="","",[2]Entry!$C$1647)</f>
        <v/>
      </c>
      <c r="M1644">
        <f>IF([2]Entry!$J$1647="","",[2]Entry!$J$1647)</f>
        <v/>
      </c>
      <c r="N1644">
        <f>IF([2]Entry!$M$1647="","",[2]Entry!$M$1647)</f>
        <v/>
      </c>
      <c r="O1644">
        <f>IF([2]Entry!$N$1647="","",[2]Entry!$N$1647)</f>
        <v/>
      </c>
      <c r="P1644">
        <f>IF([2]Entry!$S$1647="","",[2]Entry!$S$1647)</f>
        <v/>
      </c>
    </row>
    <row r="1645">
      <c r="L1645">
        <f>IF([2]Entry!$C$1648="","",[2]Entry!$C$1648)</f>
        <v/>
      </c>
      <c r="M1645">
        <f>IF([2]Entry!$J$1648="","",[2]Entry!$J$1648)</f>
        <v/>
      </c>
      <c r="N1645">
        <f>IF([2]Entry!$M$1648="","",[2]Entry!$M$1648)</f>
        <v/>
      </c>
      <c r="O1645">
        <f>IF([2]Entry!$N$1648="","",[2]Entry!$N$1648)</f>
        <v/>
      </c>
      <c r="P1645">
        <f>IF([2]Entry!$S$1648="","",[2]Entry!$S$1648)</f>
        <v/>
      </c>
    </row>
    <row r="1646">
      <c r="L1646">
        <f>IF([2]Entry!$C$1649="","",[2]Entry!$C$1649)</f>
        <v/>
      </c>
      <c r="M1646">
        <f>IF([2]Entry!$J$1649="","",[2]Entry!$J$1649)</f>
        <v/>
      </c>
      <c r="N1646">
        <f>IF([2]Entry!$M$1649="","",[2]Entry!$M$1649)</f>
        <v/>
      </c>
      <c r="O1646">
        <f>IF([2]Entry!$N$1649="","",[2]Entry!$N$1649)</f>
        <v/>
      </c>
      <c r="P1646">
        <f>IF([2]Entry!$S$1649="","",[2]Entry!$S$1649)</f>
        <v/>
      </c>
    </row>
    <row r="1647">
      <c r="L1647">
        <f>IF([2]Entry!$C$1650="","",[2]Entry!$C$1650)</f>
        <v/>
      </c>
      <c r="M1647">
        <f>IF([2]Entry!$J$1650="","",[2]Entry!$J$1650)</f>
        <v/>
      </c>
      <c r="N1647">
        <f>IF([2]Entry!$M$1650="","",[2]Entry!$M$1650)</f>
        <v/>
      </c>
      <c r="O1647">
        <f>IF([2]Entry!$N$1650="","",[2]Entry!$N$1650)</f>
        <v/>
      </c>
      <c r="P1647">
        <f>IF([2]Entry!$S$1650="","",[2]Entry!$S$1650)</f>
        <v/>
      </c>
    </row>
    <row r="1648">
      <c r="L1648">
        <f>IF([2]Entry!$C$1651="","",[2]Entry!$C$1651)</f>
        <v/>
      </c>
      <c r="M1648">
        <f>IF([2]Entry!$J$1651="","",[2]Entry!$J$1651)</f>
        <v/>
      </c>
      <c r="N1648">
        <f>IF([2]Entry!$M$1651="","",[2]Entry!$M$1651)</f>
        <v/>
      </c>
      <c r="O1648">
        <f>IF([2]Entry!$N$1651="","",[2]Entry!$N$1651)</f>
        <v/>
      </c>
      <c r="P1648">
        <f>IF([2]Entry!$S$1651="","",[2]Entry!$S$1651)</f>
        <v/>
      </c>
    </row>
    <row r="1649">
      <c r="L1649">
        <f>IF([2]Entry!$C$1652="","",[2]Entry!$C$1652)</f>
        <v/>
      </c>
      <c r="M1649">
        <f>IF([2]Entry!$J$1652="","",[2]Entry!$J$1652)</f>
        <v/>
      </c>
      <c r="N1649">
        <f>IF([2]Entry!$M$1652="","",[2]Entry!$M$1652)</f>
        <v/>
      </c>
      <c r="O1649">
        <f>IF([2]Entry!$N$1652="","",[2]Entry!$N$1652)</f>
        <v/>
      </c>
      <c r="P1649">
        <f>IF([2]Entry!$S$1652="","",[2]Entry!$S$1652)</f>
        <v/>
      </c>
    </row>
    <row r="1650">
      <c r="L1650">
        <f>IF([2]Entry!$C$1653="","",[2]Entry!$C$1653)</f>
        <v/>
      </c>
      <c r="M1650">
        <f>IF([2]Entry!$J$1653="","",[2]Entry!$J$1653)</f>
        <v/>
      </c>
      <c r="N1650">
        <f>IF([2]Entry!$M$1653="","",[2]Entry!$M$1653)</f>
        <v/>
      </c>
      <c r="O1650">
        <f>IF([2]Entry!$N$1653="","",[2]Entry!$N$1653)</f>
        <v/>
      </c>
      <c r="P1650">
        <f>IF([2]Entry!$S$1653="","",[2]Entry!$S$1653)</f>
        <v/>
      </c>
    </row>
    <row r="1651">
      <c r="L1651">
        <f>IF([2]Entry!$C$1654="","",[2]Entry!$C$1654)</f>
        <v/>
      </c>
      <c r="M1651">
        <f>IF([2]Entry!$J$1654="","",[2]Entry!$J$1654)</f>
        <v/>
      </c>
      <c r="N1651">
        <f>IF([2]Entry!$M$1654="","",[2]Entry!$M$1654)</f>
        <v/>
      </c>
      <c r="O1651">
        <f>IF([2]Entry!$N$1654="","",[2]Entry!$N$1654)</f>
        <v/>
      </c>
      <c r="P1651">
        <f>IF([2]Entry!$S$1654="","",[2]Entry!$S$1654)</f>
        <v/>
      </c>
    </row>
    <row r="1652">
      <c r="L1652">
        <f>IF([2]Entry!$C$1655="","",[2]Entry!$C$1655)</f>
        <v/>
      </c>
      <c r="M1652">
        <f>IF([2]Entry!$J$1655="","",[2]Entry!$J$1655)</f>
        <v/>
      </c>
      <c r="N1652">
        <f>IF([2]Entry!$M$1655="","",[2]Entry!$M$1655)</f>
        <v/>
      </c>
      <c r="O1652">
        <f>IF([2]Entry!$N$1655="","",[2]Entry!$N$1655)</f>
        <v/>
      </c>
      <c r="P1652">
        <f>IF([2]Entry!$S$1655="","",[2]Entry!$S$1655)</f>
        <v/>
      </c>
    </row>
    <row r="1653">
      <c r="L1653">
        <f>IF([2]Entry!$C$1656="","",[2]Entry!$C$1656)</f>
        <v/>
      </c>
      <c r="M1653">
        <f>IF([2]Entry!$J$1656="","",[2]Entry!$J$1656)</f>
        <v/>
      </c>
      <c r="N1653">
        <f>IF([2]Entry!$M$1656="","",[2]Entry!$M$1656)</f>
        <v/>
      </c>
      <c r="O1653">
        <f>IF([2]Entry!$N$1656="","",[2]Entry!$N$1656)</f>
        <v/>
      </c>
      <c r="P1653">
        <f>IF([2]Entry!$S$1656="","",[2]Entry!$S$1656)</f>
        <v/>
      </c>
    </row>
    <row r="1654">
      <c r="L1654">
        <f>IF([2]Entry!$C$1657="","",[2]Entry!$C$1657)</f>
        <v/>
      </c>
      <c r="M1654">
        <f>IF([2]Entry!$J$1657="","",[2]Entry!$J$1657)</f>
        <v/>
      </c>
      <c r="N1654">
        <f>IF([2]Entry!$M$1657="","",[2]Entry!$M$1657)</f>
        <v/>
      </c>
      <c r="O1654">
        <f>IF([2]Entry!$N$1657="","",[2]Entry!$N$1657)</f>
        <v/>
      </c>
      <c r="P1654">
        <f>IF([2]Entry!$S$1657="","",[2]Entry!$S$1657)</f>
        <v/>
      </c>
    </row>
    <row r="1655">
      <c r="L1655">
        <f>IF([2]Entry!$C$1658="","",[2]Entry!$C$1658)</f>
        <v/>
      </c>
      <c r="M1655">
        <f>IF([2]Entry!$J$1658="","",[2]Entry!$J$1658)</f>
        <v/>
      </c>
      <c r="N1655">
        <f>IF([2]Entry!$M$1658="","",[2]Entry!$M$1658)</f>
        <v/>
      </c>
      <c r="O1655">
        <f>IF([2]Entry!$N$1658="","",[2]Entry!$N$1658)</f>
        <v/>
      </c>
      <c r="P1655">
        <f>IF([2]Entry!$S$1658="","",[2]Entry!$S$1658)</f>
        <v/>
      </c>
    </row>
    <row r="1656">
      <c r="L1656">
        <f>IF([2]Entry!$C$1659="","",[2]Entry!$C$1659)</f>
        <v/>
      </c>
      <c r="M1656">
        <f>IF([2]Entry!$J$1659="","",[2]Entry!$J$1659)</f>
        <v/>
      </c>
      <c r="N1656">
        <f>IF([2]Entry!$M$1659="","",[2]Entry!$M$1659)</f>
        <v/>
      </c>
      <c r="O1656">
        <f>IF([2]Entry!$N$1659="","",[2]Entry!$N$1659)</f>
        <v/>
      </c>
      <c r="P1656">
        <f>IF([2]Entry!$S$1659="","",[2]Entry!$S$1659)</f>
        <v/>
      </c>
    </row>
    <row r="1657">
      <c r="L1657">
        <f>IF([2]Entry!$C$1660="","",[2]Entry!$C$1660)</f>
        <v/>
      </c>
      <c r="M1657">
        <f>IF([2]Entry!$J$1660="","",[2]Entry!$J$1660)</f>
        <v/>
      </c>
      <c r="N1657">
        <f>IF([2]Entry!$M$1660="","",[2]Entry!$M$1660)</f>
        <v/>
      </c>
      <c r="O1657">
        <f>IF([2]Entry!$N$1660="","",[2]Entry!$N$1660)</f>
        <v/>
      </c>
      <c r="P1657">
        <f>IF([2]Entry!$S$1660="","",[2]Entry!$S$1660)</f>
        <v/>
      </c>
    </row>
    <row r="1658">
      <c r="L1658">
        <f>IF([2]Entry!$C$1661="","",[2]Entry!$C$1661)</f>
        <v/>
      </c>
      <c r="M1658">
        <f>IF([2]Entry!$J$1661="","",[2]Entry!$J$1661)</f>
        <v/>
      </c>
      <c r="N1658">
        <f>IF([2]Entry!$M$1661="","",[2]Entry!$M$1661)</f>
        <v/>
      </c>
      <c r="O1658">
        <f>IF([2]Entry!$N$1661="","",[2]Entry!$N$1661)</f>
        <v/>
      </c>
      <c r="P1658">
        <f>IF([2]Entry!$S$1661="","",[2]Entry!$S$1661)</f>
        <v/>
      </c>
    </row>
    <row r="1659">
      <c r="L1659">
        <f>IF([2]Entry!$C$1662="","",[2]Entry!$C$1662)</f>
        <v/>
      </c>
      <c r="M1659">
        <f>IF([2]Entry!$J$1662="","",[2]Entry!$J$1662)</f>
        <v/>
      </c>
      <c r="N1659">
        <f>IF([2]Entry!$M$1662="","",[2]Entry!$M$1662)</f>
        <v/>
      </c>
      <c r="O1659">
        <f>IF([2]Entry!$N$1662="","",[2]Entry!$N$1662)</f>
        <v/>
      </c>
      <c r="P1659">
        <f>IF([2]Entry!$S$1662="","",[2]Entry!$S$1662)</f>
        <v/>
      </c>
    </row>
    <row r="1660">
      <c r="L1660">
        <f>IF([2]Entry!$C$1663="","",[2]Entry!$C$1663)</f>
        <v/>
      </c>
      <c r="M1660">
        <f>IF([2]Entry!$J$1663="","",[2]Entry!$J$1663)</f>
        <v/>
      </c>
      <c r="N1660">
        <f>IF([2]Entry!$M$1663="","",[2]Entry!$M$1663)</f>
        <v/>
      </c>
      <c r="O1660">
        <f>IF([2]Entry!$N$1663="","",[2]Entry!$N$1663)</f>
        <v/>
      </c>
      <c r="P1660">
        <f>IF([2]Entry!$S$1663="","",[2]Entry!$S$1663)</f>
        <v/>
      </c>
    </row>
    <row r="1661">
      <c r="L1661">
        <f>IF([2]Entry!$C$1664="","",[2]Entry!$C$1664)</f>
        <v/>
      </c>
      <c r="M1661">
        <f>IF([2]Entry!$J$1664="","",[2]Entry!$J$1664)</f>
        <v/>
      </c>
      <c r="N1661">
        <f>IF([2]Entry!$M$1664="","",[2]Entry!$M$1664)</f>
        <v/>
      </c>
      <c r="O1661">
        <f>IF([2]Entry!$N$1664="","",[2]Entry!$N$1664)</f>
        <v/>
      </c>
      <c r="P1661">
        <f>IF([2]Entry!$S$1664="","",[2]Entry!$S$1664)</f>
        <v/>
      </c>
    </row>
    <row r="1662">
      <c r="L1662">
        <f>IF([2]Entry!$C$1665="","",[2]Entry!$C$1665)</f>
        <v/>
      </c>
      <c r="M1662">
        <f>IF([2]Entry!$J$1665="","",[2]Entry!$J$1665)</f>
        <v/>
      </c>
      <c r="N1662">
        <f>IF([2]Entry!$M$1665="","",[2]Entry!$M$1665)</f>
        <v/>
      </c>
      <c r="O1662">
        <f>IF([2]Entry!$N$1665="","",[2]Entry!$N$1665)</f>
        <v/>
      </c>
      <c r="P1662">
        <f>IF([2]Entry!$S$1665="","",[2]Entry!$S$1665)</f>
        <v/>
      </c>
    </row>
    <row r="1663">
      <c r="L1663">
        <f>IF([2]Entry!$C$1666="","",[2]Entry!$C$1666)</f>
        <v/>
      </c>
      <c r="M1663">
        <f>IF([2]Entry!$J$1666="","",[2]Entry!$J$1666)</f>
        <v/>
      </c>
      <c r="N1663">
        <f>IF([2]Entry!$M$1666="","",[2]Entry!$M$1666)</f>
        <v/>
      </c>
      <c r="O1663">
        <f>IF([2]Entry!$N$1666="","",[2]Entry!$N$1666)</f>
        <v/>
      </c>
      <c r="P1663">
        <f>IF([2]Entry!$S$1666="","",[2]Entry!$S$1666)</f>
        <v/>
      </c>
    </row>
    <row r="1664">
      <c r="L1664">
        <f>IF([2]Entry!$C$1667="","",[2]Entry!$C$1667)</f>
        <v/>
      </c>
      <c r="M1664">
        <f>IF([2]Entry!$J$1667="","",[2]Entry!$J$1667)</f>
        <v/>
      </c>
      <c r="N1664">
        <f>IF([2]Entry!$M$1667="","",[2]Entry!$M$1667)</f>
        <v/>
      </c>
      <c r="O1664">
        <f>IF([2]Entry!$N$1667="","",[2]Entry!$N$1667)</f>
        <v/>
      </c>
      <c r="P1664">
        <f>IF([2]Entry!$S$1667="","",[2]Entry!$S$1667)</f>
        <v/>
      </c>
    </row>
    <row r="1665">
      <c r="L1665">
        <f>IF([2]Entry!$C$1668="","",[2]Entry!$C$1668)</f>
        <v/>
      </c>
      <c r="M1665">
        <f>IF([2]Entry!$J$1668="","",[2]Entry!$J$1668)</f>
        <v/>
      </c>
      <c r="N1665">
        <f>IF([2]Entry!$M$1668="","",[2]Entry!$M$1668)</f>
        <v/>
      </c>
      <c r="O1665">
        <f>IF([2]Entry!$N$1668="","",[2]Entry!$N$1668)</f>
        <v/>
      </c>
      <c r="P1665">
        <f>IF([2]Entry!$S$1668="","",[2]Entry!$S$1668)</f>
        <v/>
      </c>
    </row>
    <row r="1666">
      <c r="L1666">
        <f>IF([2]Entry!$C$1669="","",[2]Entry!$C$1669)</f>
        <v/>
      </c>
      <c r="M1666">
        <f>IF([2]Entry!$J$1669="","",[2]Entry!$J$1669)</f>
        <v/>
      </c>
      <c r="N1666">
        <f>IF([2]Entry!$M$1669="","",[2]Entry!$M$1669)</f>
        <v/>
      </c>
      <c r="O1666">
        <f>IF([2]Entry!$N$1669="","",[2]Entry!$N$1669)</f>
        <v/>
      </c>
      <c r="P1666">
        <f>IF([2]Entry!$S$1669="","",[2]Entry!$S$1669)</f>
        <v/>
      </c>
    </row>
    <row r="1667">
      <c r="L1667">
        <f>IF([2]Entry!$C$1670="","",[2]Entry!$C$1670)</f>
        <v/>
      </c>
      <c r="M1667">
        <f>IF([2]Entry!$J$1670="","",[2]Entry!$J$1670)</f>
        <v/>
      </c>
      <c r="N1667">
        <f>IF([2]Entry!$M$1670="","",[2]Entry!$M$1670)</f>
        <v/>
      </c>
      <c r="O1667">
        <f>IF([2]Entry!$N$1670="","",[2]Entry!$N$1670)</f>
        <v/>
      </c>
      <c r="P1667">
        <f>IF([2]Entry!$S$1670="","",[2]Entry!$S$1670)</f>
        <v/>
      </c>
    </row>
    <row r="1668">
      <c r="L1668">
        <f>IF([2]Entry!$C$1671="","",[2]Entry!$C$1671)</f>
        <v/>
      </c>
      <c r="M1668">
        <f>IF([2]Entry!$J$1671="","",[2]Entry!$J$1671)</f>
        <v/>
      </c>
      <c r="N1668">
        <f>IF([2]Entry!$M$1671="","",[2]Entry!$M$1671)</f>
        <v/>
      </c>
      <c r="O1668">
        <f>IF([2]Entry!$N$1671="","",[2]Entry!$N$1671)</f>
        <v/>
      </c>
      <c r="P1668">
        <f>IF([2]Entry!$S$1671="","",[2]Entry!$S$1671)</f>
        <v/>
      </c>
    </row>
    <row r="1669">
      <c r="L1669">
        <f>IF([2]Entry!$C$1672="","",[2]Entry!$C$1672)</f>
        <v/>
      </c>
      <c r="M1669">
        <f>IF([2]Entry!$J$1672="","",[2]Entry!$J$1672)</f>
        <v/>
      </c>
      <c r="N1669">
        <f>IF([2]Entry!$M$1672="","",[2]Entry!$M$1672)</f>
        <v/>
      </c>
      <c r="O1669">
        <f>IF([2]Entry!$N$1672="","",[2]Entry!$N$1672)</f>
        <v/>
      </c>
      <c r="P1669">
        <f>IF([2]Entry!$S$1672="","",[2]Entry!$S$1672)</f>
        <v/>
      </c>
    </row>
    <row r="1670">
      <c r="L1670">
        <f>IF([2]Entry!$C$1673="","",[2]Entry!$C$1673)</f>
        <v/>
      </c>
      <c r="M1670">
        <f>IF([2]Entry!$J$1673="","",[2]Entry!$J$1673)</f>
        <v/>
      </c>
      <c r="N1670">
        <f>IF([2]Entry!$M$1673="","",[2]Entry!$M$1673)</f>
        <v/>
      </c>
      <c r="O1670">
        <f>IF([2]Entry!$N$1673="","",[2]Entry!$N$1673)</f>
        <v/>
      </c>
      <c r="P1670">
        <f>IF([2]Entry!$S$1673="","",[2]Entry!$S$1673)</f>
        <v/>
      </c>
    </row>
    <row r="1671">
      <c r="L1671">
        <f>IF([2]Entry!$C$1674="","",[2]Entry!$C$1674)</f>
        <v/>
      </c>
      <c r="M1671">
        <f>IF([2]Entry!$J$1674="","",[2]Entry!$J$1674)</f>
        <v/>
      </c>
      <c r="N1671">
        <f>IF([2]Entry!$M$1674="","",[2]Entry!$M$1674)</f>
        <v/>
      </c>
      <c r="O1671">
        <f>IF([2]Entry!$N$1674="","",[2]Entry!$N$1674)</f>
        <v/>
      </c>
      <c r="P1671">
        <f>IF([2]Entry!$S$1674="","",[2]Entry!$S$1674)</f>
        <v/>
      </c>
    </row>
    <row r="1672">
      <c r="L1672">
        <f>IF([2]Entry!$C$1675="","",[2]Entry!$C$1675)</f>
        <v/>
      </c>
      <c r="M1672">
        <f>IF([2]Entry!$J$1675="","",[2]Entry!$J$1675)</f>
        <v/>
      </c>
      <c r="N1672">
        <f>IF([2]Entry!$M$1675="","",[2]Entry!$M$1675)</f>
        <v/>
      </c>
      <c r="O1672">
        <f>IF([2]Entry!$N$1675="","",[2]Entry!$N$1675)</f>
        <v/>
      </c>
      <c r="P1672">
        <f>IF([2]Entry!$S$1675="","",[2]Entry!$S$1675)</f>
        <v/>
      </c>
    </row>
    <row r="1673">
      <c r="L1673">
        <f>IF([2]Entry!$C$1676="","",[2]Entry!$C$1676)</f>
        <v/>
      </c>
      <c r="M1673">
        <f>IF([2]Entry!$J$1676="","",[2]Entry!$J$1676)</f>
        <v/>
      </c>
      <c r="N1673">
        <f>IF([2]Entry!$M$1676="","",[2]Entry!$M$1676)</f>
        <v/>
      </c>
      <c r="O1673">
        <f>IF([2]Entry!$N$1676="","",[2]Entry!$N$1676)</f>
        <v/>
      </c>
      <c r="P1673">
        <f>IF([2]Entry!$S$1676="","",[2]Entry!$S$1676)</f>
        <v/>
      </c>
    </row>
    <row r="1674">
      <c r="L1674">
        <f>IF([2]Entry!$C$1677="","",[2]Entry!$C$1677)</f>
        <v/>
      </c>
      <c r="M1674">
        <f>IF([2]Entry!$J$1677="","",[2]Entry!$J$1677)</f>
        <v/>
      </c>
      <c r="N1674">
        <f>IF([2]Entry!$M$1677="","",[2]Entry!$M$1677)</f>
        <v/>
      </c>
      <c r="O1674">
        <f>IF([2]Entry!$N$1677="","",[2]Entry!$N$1677)</f>
        <v/>
      </c>
      <c r="P1674">
        <f>IF([2]Entry!$S$1677="","",[2]Entry!$S$1677)</f>
        <v/>
      </c>
    </row>
    <row r="1675">
      <c r="L1675">
        <f>IF([2]Entry!$C$1678="","",[2]Entry!$C$1678)</f>
        <v/>
      </c>
      <c r="M1675">
        <f>IF([2]Entry!$J$1678="","",[2]Entry!$J$1678)</f>
        <v/>
      </c>
      <c r="N1675">
        <f>IF([2]Entry!$M$1678="","",[2]Entry!$M$1678)</f>
        <v/>
      </c>
      <c r="O1675">
        <f>IF([2]Entry!$N$1678="","",[2]Entry!$N$1678)</f>
        <v/>
      </c>
      <c r="P1675">
        <f>IF([2]Entry!$S$1678="","",[2]Entry!$S$1678)</f>
        <v/>
      </c>
    </row>
    <row r="1676">
      <c r="L1676">
        <f>IF([2]Entry!$C$1679="","",[2]Entry!$C$1679)</f>
        <v/>
      </c>
      <c r="M1676">
        <f>IF([2]Entry!$J$1679="","",[2]Entry!$J$1679)</f>
        <v/>
      </c>
      <c r="N1676">
        <f>IF([2]Entry!$M$1679="","",[2]Entry!$M$1679)</f>
        <v/>
      </c>
      <c r="O1676">
        <f>IF([2]Entry!$N$1679="","",[2]Entry!$N$1679)</f>
        <v/>
      </c>
      <c r="P1676">
        <f>IF([2]Entry!$S$1679="","",[2]Entry!$S$1679)</f>
        <v/>
      </c>
    </row>
    <row r="1677">
      <c r="L1677">
        <f>IF([2]Entry!$C$1680="","",[2]Entry!$C$1680)</f>
        <v/>
      </c>
      <c r="M1677">
        <f>IF([2]Entry!$J$1680="","",[2]Entry!$J$1680)</f>
        <v/>
      </c>
      <c r="N1677">
        <f>IF([2]Entry!$M$1680="","",[2]Entry!$M$1680)</f>
        <v/>
      </c>
      <c r="O1677">
        <f>IF([2]Entry!$N$1680="","",[2]Entry!$N$1680)</f>
        <v/>
      </c>
      <c r="P1677">
        <f>IF([2]Entry!$S$1680="","",[2]Entry!$S$1680)</f>
        <v/>
      </c>
    </row>
    <row r="1678">
      <c r="L1678">
        <f>IF([2]Entry!$C$1681="","",[2]Entry!$C$1681)</f>
        <v/>
      </c>
      <c r="M1678">
        <f>IF([2]Entry!$J$1681="","",[2]Entry!$J$1681)</f>
        <v/>
      </c>
      <c r="N1678">
        <f>IF([2]Entry!$M$1681="","",[2]Entry!$M$1681)</f>
        <v/>
      </c>
      <c r="O1678">
        <f>IF([2]Entry!$N$1681="","",[2]Entry!$N$1681)</f>
        <v/>
      </c>
      <c r="P1678">
        <f>IF([2]Entry!$S$1681="","",[2]Entry!$S$1681)</f>
        <v/>
      </c>
    </row>
    <row r="1679">
      <c r="L1679">
        <f>IF([2]Entry!$C$1682="","",[2]Entry!$C$1682)</f>
        <v/>
      </c>
      <c r="M1679">
        <f>IF([2]Entry!$J$1682="","",[2]Entry!$J$1682)</f>
        <v/>
      </c>
      <c r="N1679">
        <f>IF([2]Entry!$M$1682="","",[2]Entry!$M$1682)</f>
        <v/>
      </c>
      <c r="O1679">
        <f>IF([2]Entry!$N$1682="","",[2]Entry!$N$1682)</f>
        <v/>
      </c>
      <c r="P1679">
        <f>IF([2]Entry!$S$1682="","",[2]Entry!$S$1682)</f>
        <v/>
      </c>
    </row>
    <row r="1680">
      <c r="L1680">
        <f>IF([2]Entry!$C$1683="","",[2]Entry!$C$1683)</f>
        <v/>
      </c>
      <c r="M1680">
        <f>IF([2]Entry!$J$1683="","",[2]Entry!$J$1683)</f>
        <v/>
      </c>
      <c r="N1680">
        <f>IF([2]Entry!$M$1683="","",[2]Entry!$M$1683)</f>
        <v/>
      </c>
      <c r="O1680">
        <f>IF([2]Entry!$N$1683="","",[2]Entry!$N$1683)</f>
        <v/>
      </c>
      <c r="P1680">
        <f>IF([2]Entry!$S$1683="","",[2]Entry!$S$1683)</f>
        <v/>
      </c>
    </row>
    <row r="1681">
      <c r="L1681">
        <f>IF([2]Entry!$C$1684="","",[2]Entry!$C$1684)</f>
        <v/>
      </c>
      <c r="M1681">
        <f>IF([2]Entry!$J$1684="","",[2]Entry!$J$1684)</f>
        <v/>
      </c>
      <c r="N1681">
        <f>IF([2]Entry!$M$1684="","",[2]Entry!$M$1684)</f>
        <v/>
      </c>
      <c r="O1681">
        <f>IF([2]Entry!$N$1684="","",[2]Entry!$N$1684)</f>
        <v/>
      </c>
      <c r="P1681">
        <f>IF([2]Entry!$S$1684="","",[2]Entry!$S$1684)</f>
        <v/>
      </c>
    </row>
    <row r="1682">
      <c r="L1682">
        <f>IF([2]Entry!$C$1685="","",[2]Entry!$C$1685)</f>
        <v/>
      </c>
      <c r="M1682">
        <f>IF([2]Entry!$J$1685="","",[2]Entry!$J$1685)</f>
        <v/>
      </c>
      <c r="N1682">
        <f>IF([2]Entry!$M$1685="","",[2]Entry!$M$1685)</f>
        <v/>
      </c>
      <c r="O1682">
        <f>IF([2]Entry!$N$1685="","",[2]Entry!$N$1685)</f>
        <v/>
      </c>
      <c r="P1682">
        <f>IF([2]Entry!$S$1685="","",[2]Entry!$S$1685)</f>
        <v/>
      </c>
    </row>
    <row r="1683">
      <c r="L1683">
        <f>IF([2]Entry!$C$1686="","",[2]Entry!$C$1686)</f>
        <v/>
      </c>
      <c r="M1683">
        <f>IF([2]Entry!$J$1686="","",[2]Entry!$J$1686)</f>
        <v/>
      </c>
      <c r="N1683">
        <f>IF([2]Entry!$M$1686="","",[2]Entry!$M$1686)</f>
        <v/>
      </c>
      <c r="O1683">
        <f>IF([2]Entry!$N$1686="","",[2]Entry!$N$1686)</f>
        <v/>
      </c>
      <c r="P1683">
        <f>IF([2]Entry!$S$1686="","",[2]Entry!$S$1686)</f>
        <v/>
      </c>
    </row>
    <row r="1684">
      <c r="L1684">
        <f>IF([2]Entry!$C$1687="","",[2]Entry!$C$1687)</f>
        <v/>
      </c>
      <c r="M1684">
        <f>IF([2]Entry!$J$1687="","",[2]Entry!$J$1687)</f>
        <v/>
      </c>
      <c r="N1684">
        <f>IF([2]Entry!$M$1687="","",[2]Entry!$M$1687)</f>
        <v/>
      </c>
      <c r="O1684">
        <f>IF([2]Entry!$N$1687="","",[2]Entry!$N$1687)</f>
        <v/>
      </c>
      <c r="P1684">
        <f>IF([2]Entry!$S$1687="","",[2]Entry!$S$1687)</f>
        <v/>
      </c>
    </row>
    <row r="1685">
      <c r="L1685">
        <f>IF([2]Entry!$C$1688="","",[2]Entry!$C$1688)</f>
        <v/>
      </c>
      <c r="M1685">
        <f>IF([2]Entry!$J$1688="","",[2]Entry!$J$1688)</f>
        <v/>
      </c>
      <c r="N1685">
        <f>IF([2]Entry!$M$1688="","",[2]Entry!$M$1688)</f>
        <v/>
      </c>
      <c r="O1685">
        <f>IF([2]Entry!$N$1688="","",[2]Entry!$N$1688)</f>
        <v/>
      </c>
      <c r="P1685">
        <f>IF([2]Entry!$S$1688="","",[2]Entry!$S$1688)</f>
        <v/>
      </c>
    </row>
    <row r="1686">
      <c r="L1686">
        <f>IF([2]Entry!$C$1689="","",[2]Entry!$C$1689)</f>
        <v/>
      </c>
      <c r="M1686">
        <f>IF([2]Entry!$J$1689="","",[2]Entry!$J$1689)</f>
        <v/>
      </c>
      <c r="N1686">
        <f>IF([2]Entry!$M$1689="","",[2]Entry!$M$1689)</f>
        <v/>
      </c>
      <c r="O1686">
        <f>IF([2]Entry!$N$1689="","",[2]Entry!$N$1689)</f>
        <v/>
      </c>
      <c r="P1686">
        <f>IF([2]Entry!$S$1689="","",[2]Entry!$S$1689)</f>
        <v/>
      </c>
    </row>
    <row r="1687">
      <c r="L1687">
        <f>IF([2]Entry!$C$1690="","",[2]Entry!$C$1690)</f>
        <v/>
      </c>
      <c r="M1687">
        <f>IF([2]Entry!$J$1690="","",[2]Entry!$J$1690)</f>
        <v/>
      </c>
      <c r="N1687">
        <f>IF([2]Entry!$M$1690="","",[2]Entry!$M$1690)</f>
        <v/>
      </c>
      <c r="O1687">
        <f>IF([2]Entry!$N$1690="","",[2]Entry!$N$1690)</f>
        <v/>
      </c>
      <c r="P1687">
        <f>IF([2]Entry!$S$1690="","",[2]Entry!$S$1690)</f>
        <v/>
      </c>
    </row>
    <row r="1688">
      <c r="L1688">
        <f>IF([2]Entry!$C$1691="","",[2]Entry!$C$1691)</f>
        <v/>
      </c>
      <c r="M1688">
        <f>IF([2]Entry!$J$1691="","",[2]Entry!$J$1691)</f>
        <v/>
      </c>
      <c r="N1688">
        <f>IF([2]Entry!$M$1691="","",[2]Entry!$M$1691)</f>
        <v/>
      </c>
      <c r="O1688">
        <f>IF([2]Entry!$N$1691="","",[2]Entry!$N$1691)</f>
        <v/>
      </c>
      <c r="P1688">
        <f>IF([2]Entry!$S$1691="","",[2]Entry!$S$1691)</f>
        <v/>
      </c>
    </row>
    <row r="1689">
      <c r="L1689">
        <f>IF([2]Entry!$C$1692="","",[2]Entry!$C$1692)</f>
        <v/>
      </c>
      <c r="M1689">
        <f>IF([2]Entry!$J$1692="","",[2]Entry!$J$1692)</f>
        <v/>
      </c>
      <c r="N1689">
        <f>IF([2]Entry!$M$1692="","",[2]Entry!$M$1692)</f>
        <v/>
      </c>
      <c r="O1689">
        <f>IF([2]Entry!$N$1692="","",[2]Entry!$N$1692)</f>
        <v/>
      </c>
      <c r="P1689">
        <f>IF([2]Entry!$S$1692="","",[2]Entry!$S$1692)</f>
        <v/>
      </c>
    </row>
    <row r="1690">
      <c r="L1690">
        <f>IF([2]Entry!$C$1693="","",[2]Entry!$C$1693)</f>
        <v/>
      </c>
      <c r="M1690">
        <f>IF([2]Entry!$J$1693="","",[2]Entry!$J$1693)</f>
        <v/>
      </c>
      <c r="N1690">
        <f>IF([2]Entry!$M$1693="","",[2]Entry!$M$1693)</f>
        <v/>
      </c>
      <c r="O1690">
        <f>IF([2]Entry!$N$1693="","",[2]Entry!$N$1693)</f>
        <v/>
      </c>
      <c r="P1690">
        <f>IF([2]Entry!$S$1693="","",[2]Entry!$S$1693)</f>
        <v/>
      </c>
    </row>
    <row r="1691">
      <c r="L1691">
        <f>IF([2]Entry!$C$1694="","",[2]Entry!$C$1694)</f>
        <v/>
      </c>
      <c r="M1691">
        <f>IF([2]Entry!$J$1694="","",[2]Entry!$J$1694)</f>
        <v/>
      </c>
      <c r="N1691">
        <f>IF([2]Entry!$M$1694="","",[2]Entry!$M$1694)</f>
        <v/>
      </c>
      <c r="O1691">
        <f>IF([2]Entry!$N$1694="","",[2]Entry!$N$1694)</f>
        <v/>
      </c>
      <c r="P1691">
        <f>IF([2]Entry!$S$1694="","",[2]Entry!$S$1694)</f>
        <v/>
      </c>
    </row>
    <row r="1692">
      <c r="L1692">
        <f>IF([2]Entry!$C$1695="","",[2]Entry!$C$1695)</f>
        <v/>
      </c>
      <c r="M1692">
        <f>IF([2]Entry!$J$1695="","",[2]Entry!$J$1695)</f>
        <v/>
      </c>
      <c r="N1692">
        <f>IF([2]Entry!$M$1695="","",[2]Entry!$M$1695)</f>
        <v/>
      </c>
      <c r="O1692">
        <f>IF([2]Entry!$N$1695="","",[2]Entry!$N$1695)</f>
        <v/>
      </c>
      <c r="P1692">
        <f>IF([2]Entry!$S$1695="","",[2]Entry!$S$1695)</f>
        <v/>
      </c>
    </row>
    <row r="1693">
      <c r="L1693">
        <f>IF([2]Entry!$C$1696="","",[2]Entry!$C$1696)</f>
        <v/>
      </c>
      <c r="M1693">
        <f>IF([2]Entry!$J$1696="","",[2]Entry!$J$1696)</f>
        <v/>
      </c>
      <c r="N1693">
        <f>IF([2]Entry!$M$1696="","",[2]Entry!$M$1696)</f>
        <v/>
      </c>
      <c r="O1693">
        <f>IF([2]Entry!$N$1696="","",[2]Entry!$N$1696)</f>
        <v/>
      </c>
      <c r="P1693">
        <f>IF([2]Entry!$S$1696="","",[2]Entry!$S$1696)</f>
        <v/>
      </c>
    </row>
    <row r="1694">
      <c r="L1694">
        <f>IF([2]Entry!$C$1697="","",[2]Entry!$C$1697)</f>
        <v/>
      </c>
      <c r="M1694">
        <f>IF([2]Entry!$J$1697="","",[2]Entry!$J$1697)</f>
        <v/>
      </c>
      <c r="N1694">
        <f>IF([2]Entry!$M$1697="","",[2]Entry!$M$1697)</f>
        <v/>
      </c>
      <c r="O1694">
        <f>IF([2]Entry!$N$1697="","",[2]Entry!$N$1697)</f>
        <v/>
      </c>
      <c r="P1694">
        <f>IF([2]Entry!$S$1697="","",[2]Entry!$S$1697)</f>
        <v/>
      </c>
    </row>
    <row r="1695">
      <c r="L1695">
        <f>IF([2]Entry!$C$1698="","",[2]Entry!$C$1698)</f>
        <v/>
      </c>
      <c r="M1695">
        <f>IF([2]Entry!$J$1698="","",[2]Entry!$J$1698)</f>
        <v/>
      </c>
      <c r="N1695">
        <f>IF([2]Entry!$M$1698="","",[2]Entry!$M$1698)</f>
        <v/>
      </c>
      <c r="O1695">
        <f>IF([2]Entry!$N$1698="","",[2]Entry!$N$1698)</f>
        <v/>
      </c>
      <c r="P1695">
        <f>IF([2]Entry!$S$1698="","",[2]Entry!$S$1698)</f>
        <v/>
      </c>
    </row>
    <row r="1696">
      <c r="L1696">
        <f>IF([2]Entry!$C$1699="","",[2]Entry!$C$1699)</f>
        <v/>
      </c>
      <c r="M1696">
        <f>IF([2]Entry!$J$1699="","",[2]Entry!$J$1699)</f>
        <v/>
      </c>
      <c r="N1696">
        <f>IF([2]Entry!$M$1699="","",[2]Entry!$M$1699)</f>
        <v/>
      </c>
      <c r="O1696">
        <f>IF([2]Entry!$N$1699="","",[2]Entry!$N$1699)</f>
        <v/>
      </c>
      <c r="P1696">
        <f>IF([2]Entry!$S$1699="","",[2]Entry!$S$1699)</f>
        <v/>
      </c>
    </row>
    <row r="1697">
      <c r="L1697">
        <f>IF([2]Entry!$C$1700="","",[2]Entry!$C$1700)</f>
        <v/>
      </c>
      <c r="M1697">
        <f>IF([2]Entry!$J$1700="","",[2]Entry!$J$1700)</f>
        <v/>
      </c>
      <c r="N1697">
        <f>IF([2]Entry!$M$1700="","",[2]Entry!$M$1700)</f>
        <v/>
      </c>
      <c r="O1697">
        <f>IF([2]Entry!$N$1700="","",[2]Entry!$N$1700)</f>
        <v/>
      </c>
      <c r="P1697">
        <f>IF([2]Entry!$S$1700="","",[2]Entry!$S$1700)</f>
        <v/>
      </c>
    </row>
    <row r="1698">
      <c r="L1698">
        <f>IF([2]Entry!$C$1701="","",[2]Entry!$C$1701)</f>
        <v/>
      </c>
      <c r="M1698">
        <f>IF([2]Entry!$J$1701="","",[2]Entry!$J$1701)</f>
        <v/>
      </c>
      <c r="N1698">
        <f>IF([2]Entry!$M$1701="","",[2]Entry!$M$1701)</f>
        <v/>
      </c>
      <c r="O1698">
        <f>IF([2]Entry!$N$1701="","",[2]Entry!$N$1701)</f>
        <v/>
      </c>
      <c r="P1698">
        <f>IF([2]Entry!$S$1701="","",[2]Entry!$S$1701)</f>
        <v/>
      </c>
    </row>
    <row r="1699">
      <c r="L1699">
        <f>IF([2]Entry!$C$1702="","",[2]Entry!$C$1702)</f>
        <v/>
      </c>
      <c r="M1699">
        <f>IF([2]Entry!$J$1702="","",[2]Entry!$J$1702)</f>
        <v/>
      </c>
      <c r="N1699">
        <f>IF([2]Entry!$M$1702="","",[2]Entry!$M$1702)</f>
        <v/>
      </c>
      <c r="O1699">
        <f>IF([2]Entry!$N$1702="","",[2]Entry!$N$1702)</f>
        <v/>
      </c>
      <c r="P1699">
        <f>IF([2]Entry!$S$1702="","",[2]Entry!$S$1702)</f>
        <v/>
      </c>
    </row>
    <row r="1700">
      <c r="L1700">
        <f>IF([2]Entry!$C$1703="","",[2]Entry!$C$1703)</f>
        <v/>
      </c>
      <c r="M1700">
        <f>IF([2]Entry!$J$1703="","",[2]Entry!$J$1703)</f>
        <v/>
      </c>
      <c r="N1700">
        <f>IF([2]Entry!$M$1703="","",[2]Entry!$M$1703)</f>
        <v/>
      </c>
      <c r="O1700">
        <f>IF([2]Entry!$N$1703="","",[2]Entry!$N$1703)</f>
        <v/>
      </c>
      <c r="P1700">
        <f>IF([2]Entry!$S$1703="","",[2]Entry!$S$1703)</f>
        <v/>
      </c>
    </row>
    <row r="1701">
      <c r="L1701">
        <f>IF([2]Entry!$C$1704="","",[2]Entry!$C$1704)</f>
        <v/>
      </c>
      <c r="M1701">
        <f>IF([2]Entry!$J$1704="","",[2]Entry!$J$1704)</f>
        <v/>
      </c>
      <c r="N1701">
        <f>IF([2]Entry!$M$1704="","",[2]Entry!$M$1704)</f>
        <v/>
      </c>
      <c r="O1701">
        <f>IF([2]Entry!$N$1704="","",[2]Entry!$N$1704)</f>
        <v/>
      </c>
      <c r="P1701">
        <f>IF([2]Entry!$S$1704="","",[2]Entry!$S$1704)</f>
        <v/>
      </c>
    </row>
    <row r="1702">
      <c r="L1702">
        <f>IF([2]Entry!$C$1705="","",[2]Entry!$C$1705)</f>
        <v/>
      </c>
      <c r="M1702">
        <f>IF([2]Entry!$J$1705="","",[2]Entry!$J$1705)</f>
        <v/>
      </c>
      <c r="N1702">
        <f>IF([2]Entry!$M$1705="","",[2]Entry!$M$1705)</f>
        <v/>
      </c>
      <c r="O1702">
        <f>IF([2]Entry!$N$1705="","",[2]Entry!$N$1705)</f>
        <v/>
      </c>
      <c r="P1702">
        <f>IF([2]Entry!$S$1705="","",[2]Entry!$S$1705)</f>
        <v/>
      </c>
    </row>
    <row r="1703">
      <c r="L1703">
        <f>IF([2]Entry!$C$1706="","",[2]Entry!$C$1706)</f>
        <v/>
      </c>
      <c r="M1703">
        <f>IF([2]Entry!$J$1706="","",[2]Entry!$J$1706)</f>
        <v/>
      </c>
      <c r="N1703">
        <f>IF([2]Entry!$M$1706="","",[2]Entry!$M$1706)</f>
        <v/>
      </c>
      <c r="O1703">
        <f>IF([2]Entry!$N$1706="","",[2]Entry!$N$1706)</f>
        <v/>
      </c>
      <c r="P1703">
        <f>IF([2]Entry!$S$1706="","",[2]Entry!$S$1706)</f>
        <v/>
      </c>
    </row>
    <row r="1704">
      <c r="L1704">
        <f>IF([2]Entry!$C$1707="","",[2]Entry!$C$1707)</f>
        <v/>
      </c>
      <c r="M1704">
        <f>IF([2]Entry!$J$1707="","",[2]Entry!$J$1707)</f>
        <v/>
      </c>
      <c r="N1704">
        <f>IF([2]Entry!$M$1707="","",[2]Entry!$M$1707)</f>
        <v/>
      </c>
      <c r="O1704">
        <f>IF([2]Entry!$N$1707="","",[2]Entry!$N$1707)</f>
        <v/>
      </c>
      <c r="P1704">
        <f>IF([2]Entry!$S$1707="","",[2]Entry!$S$1707)</f>
        <v/>
      </c>
    </row>
    <row r="1705">
      <c r="L1705">
        <f>IF([2]Entry!$C$1708="","",[2]Entry!$C$1708)</f>
        <v/>
      </c>
      <c r="M1705">
        <f>IF([2]Entry!$J$1708="","",[2]Entry!$J$1708)</f>
        <v/>
      </c>
      <c r="N1705">
        <f>IF([2]Entry!$M$1708="","",[2]Entry!$M$1708)</f>
        <v/>
      </c>
      <c r="O1705">
        <f>IF([2]Entry!$N$1708="","",[2]Entry!$N$1708)</f>
        <v/>
      </c>
      <c r="P1705">
        <f>IF([2]Entry!$S$1708="","",[2]Entry!$S$1708)</f>
        <v/>
      </c>
    </row>
    <row r="1706">
      <c r="L1706">
        <f>IF([2]Entry!$C$1709="","",[2]Entry!$C$1709)</f>
        <v/>
      </c>
      <c r="M1706">
        <f>IF([2]Entry!$J$1709="","",[2]Entry!$J$1709)</f>
        <v/>
      </c>
      <c r="N1706">
        <f>IF([2]Entry!$M$1709="","",[2]Entry!$M$1709)</f>
        <v/>
      </c>
      <c r="O1706">
        <f>IF([2]Entry!$N$1709="","",[2]Entry!$N$1709)</f>
        <v/>
      </c>
      <c r="P1706">
        <f>IF([2]Entry!$S$1709="","",[2]Entry!$S$1709)</f>
        <v/>
      </c>
    </row>
    <row r="1707">
      <c r="L1707">
        <f>IF([2]Entry!$C$1710="","",[2]Entry!$C$1710)</f>
        <v/>
      </c>
      <c r="M1707">
        <f>IF([2]Entry!$J$1710="","",[2]Entry!$J$1710)</f>
        <v/>
      </c>
      <c r="N1707">
        <f>IF([2]Entry!$M$1710="","",[2]Entry!$M$1710)</f>
        <v/>
      </c>
      <c r="O1707">
        <f>IF([2]Entry!$N$1710="","",[2]Entry!$N$1710)</f>
        <v/>
      </c>
      <c r="P1707">
        <f>IF([2]Entry!$S$1710="","",[2]Entry!$S$1710)</f>
        <v/>
      </c>
    </row>
    <row r="1708">
      <c r="L1708">
        <f>IF([2]Entry!$C$1711="","",[2]Entry!$C$1711)</f>
        <v/>
      </c>
      <c r="M1708">
        <f>IF([2]Entry!$J$1711="","",[2]Entry!$J$1711)</f>
        <v/>
      </c>
      <c r="N1708">
        <f>IF([2]Entry!$M$1711="","",[2]Entry!$M$1711)</f>
        <v/>
      </c>
      <c r="O1708">
        <f>IF([2]Entry!$N$1711="","",[2]Entry!$N$1711)</f>
        <v/>
      </c>
      <c r="P1708">
        <f>IF([2]Entry!$S$1711="","",[2]Entry!$S$1711)</f>
        <v/>
      </c>
    </row>
    <row r="1709">
      <c r="L1709">
        <f>IF([2]Entry!$C$1712="","",[2]Entry!$C$1712)</f>
        <v/>
      </c>
      <c r="M1709">
        <f>IF([2]Entry!$J$1712="","",[2]Entry!$J$1712)</f>
        <v/>
      </c>
      <c r="N1709">
        <f>IF([2]Entry!$M$1712="","",[2]Entry!$M$1712)</f>
        <v/>
      </c>
      <c r="O1709">
        <f>IF([2]Entry!$N$1712="","",[2]Entry!$N$1712)</f>
        <v/>
      </c>
      <c r="P1709">
        <f>IF([2]Entry!$S$1712="","",[2]Entry!$S$1712)</f>
        <v/>
      </c>
    </row>
    <row r="1710">
      <c r="L1710">
        <f>IF([2]Entry!$C$1713="","",[2]Entry!$C$1713)</f>
        <v/>
      </c>
      <c r="M1710">
        <f>IF([2]Entry!$J$1713="","",[2]Entry!$J$1713)</f>
        <v/>
      </c>
      <c r="N1710">
        <f>IF([2]Entry!$M$1713="","",[2]Entry!$M$1713)</f>
        <v/>
      </c>
      <c r="O1710">
        <f>IF([2]Entry!$N$1713="","",[2]Entry!$N$1713)</f>
        <v/>
      </c>
      <c r="P1710">
        <f>IF([2]Entry!$S$1713="","",[2]Entry!$S$1713)</f>
        <v/>
      </c>
    </row>
    <row r="1711">
      <c r="L1711">
        <f>IF([2]Entry!$C$1714="","",[2]Entry!$C$1714)</f>
        <v/>
      </c>
      <c r="M1711">
        <f>IF([2]Entry!$J$1714="","",[2]Entry!$J$1714)</f>
        <v/>
      </c>
      <c r="N1711">
        <f>IF([2]Entry!$M$1714="","",[2]Entry!$M$1714)</f>
        <v/>
      </c>
      <c r="O1711">
        <f>IF([2]Entry!$N$1714="","",[2]Entry!$N$1714)</f>
        <v/>
      </c>
      <c r="P1711">
        <f>IF([2]Entry!$S$1714="","",[2]Entry!$S$1714)</f>
        <v/>
      </c>
    </row>
    <row r="1712">
      <c r="L1712">
        <f>IF([2]Entry!$C$1715="","",[2]Entry!$C$1715)</f>
        <v/>
      </c>
      <c r="M1712">
        <f>IF([2]Entry!$J$1715="","",[2]Entry!$J$1715)</f>
        <v/>
      </c>
      <c r="N1712">
        <f>IF([2]Entry!$M$1715="","",[2]Entry!$M$1715)</f>
        <v/>
      </c>
      <c r="O1712">
        <f>IF([2]Entry!$N$1715="","",[2]Entry!$N$1715)</f>
        <v/>
      </c>
      <c r="P1712">
        <f>IF([2]Entry!$S$1715="","",[2]Entry!$S$1715)</f>
        <v/>
      </c>
    </row>
    <row r="1713">
      <c r="L1713">
        <f>IF([2]Entry!$C$1716="","",[2]Entry!$C$1716)</f>
        <v/>
      </c>
      <c r="M1713">
        <f>IF([2]Entry!$J$1716="","",[2]Entry!$J$1716)</f>
        <v/>
      </c>
      <c r="N1713">
        <f>IF([2]Entry!$M$1716="","",[2]Entry!$M$1716)</f>
        <v/>
      </c>
      <c r="O1713">
        <f>IF([2]Entry!$N$1716="","",[2]Entry!$N$1716)</f>
        <v/>
      </c>
      <c r="P1713">
        <f>IF([2]Entry!$S$1716="","",[2]Entry!$S$1716)</f>
        <v/>
      </c>
    </row>
    <row r="1714">
      <c r="L1714">
        <f>IF([2]Entry!$C$1717="","",[2]Entry!$C$1717)</f>
        <v/>
      </c>
      <c r="M1714">
        <f>IF([2]Entry!$J$1717="","",[2]Entry!$J$1717)</f>
        <v/>
      </c>
      <c r="N1714">
        <f>IF([2]Entry!$M$1717="","",[2]Entry!$M$1717)</f>
        <v/>
      </c>
      <c r="O1714">
        <f>IF([2]Entry!$N$1717="","",[2]Entry!$N$1717)</f>
        <v/>
      </c>
      <c r="P1714">
        <f>IF([2]Entry!$S$1717="","",[2]Entry!$S$1717)</f>
        <v/>
      </c>
    </row>
    <row r="1715">
      <c r="L1715">
        <f>IF([2]Entry!$C$1718="","",[2]Entry!$C$1718)</f>
        <v/>
      </c>
      <c r="M1715">
        <f>IF([2]Entry!$J$1718="","",[2]Entry!$J$1718)</f>
        <v/>
      </c>
      <c r="N1715">
        <f>IF([2]Entry!$M$1718="","",[2]Entry!$M$1718)</f>
        <v/>
      </c>
      <c r="O1715">
        <f>IF([2]Entry!$N$1718="","",[2]Entry!$N$1718)</f>
        <v/>
      </c>
      <c r="P1715">
        <f>IF([2]Entry!$S$1718="","",[2]Entry!$S$1718)</f>
        <v/>
      </c>
    </row>
    <row r="1716">
      <c r="L1716">
        <f>IF([2]Entry!$C$1719="","",[2]Entry!$C$1719)</f>
        <v/>
      </c>
      <c r="M1716">
        <f>IF([2]Entry!$J$1719="","",[2]Entry!$J$1719)</f>
        <v/>
      </c>
      <c r="N1716">
        <f>IF([2]Entry!$M$1719="","",[2]Entry!$M$1719)</f>
        <v/>
      </c>
      <c r="O1716">
        <f>IF([2]Entry!$N$1719="","",[2]Entry!$N$1719)</f>
        <v/>
      </c>
      <c r="P1716">
        <f>IF([2]Entry!$S$1719="","",[2]Entry!$S$1719)</f>
        <v/>
      </c>
    </row>
    <row r="1717">
      <c r="L1717">
        <f>IF([2]Entry!$C$1720="","",[2]Entry!$C$1720)</f>
        <v/>
      </c>
      <c r="M1717">
        <f>IF([2]Entry!$J$1720="","",[2]Entry!$J$1720)</f>
        <v/>
      </c>
      <c r="N1717">
        <f>IF([2]Entry!$M$1720="","",[2]Entry!$M$1720)</f>
        <v/>
      </c>
      <c r="O1717">
        <f>IF([2]Entry!$N$1720="","",[2]Entry!$N$1720)</f>
        <v/>
      </c>
      <c r="P1717">
        <f>IF([2]Entry!$S$1720="","",[2]Entry!$S$1720)</f>
        <v/>
      </c>
    </row>
    <row r="1718">
      <c r="L1718">
        <f>IF([2]Entry!$C$1721="","",[2]Entry!$C$1721)</f>
        <v/>
      </c>
      <c r="M1718">
        <f>IF([2]Entry!$J$1721="","",[2]Entry!$J$1721)</f>
        <v/>
      </c>
      <c r="N1718">
        <f>IF([2]Entry!$M$1721="","",[2]Entry!$M$1721)</f>
        <v/>
      </c>
      <c r="O1718">
        <f>IF([2]Entry!$N$1721="","",[2]Entry!$N$1721)</f>
        <v/>
      </c>
      <c r="P1718">
        <f>IF([2]Entry!$S$1721="","",[2]Entry!$S$1721)</f>
        <v/>
      </c>
    </row>
    <row r="1719">
      <c r="L1719">
        <f>IF([2]Entry!$C$1722="","",[2]Entry!$C$1722)</f>
        <v/>
      </c>
      <c r="M1719">
        <f>IF([2]Entry!$J$1722="","",[2]Entry!$J$1722)</f>
        <v/>
      </c>
      <c r="N1719">
        <f>IF([2]Entry!$M$1722="","",[2]Entry!$M$1722)</f>
        <v/>
      </c>
      <c r="O1719">
        <f>IF([2]Entry!$N$1722="","",[2]Entry!$N$1722)</f>
        <v/>
      </c>
      <c r="P1719">
        <f>IF([2]Entry!$S$1722="","",[2]Entry!$S$1722)</f>
        <v/>
      </c>
    </row>
    <row r="1720">
      <c r="L1720">
        <f>IF([2]Entry!$C$1723="","",[2]Entry!$C$1723)</f>
        <v/>
      </c>
      <c r="M1720">
        <f>IF([2]Entry!$J$1723="","",[2]Entry!$J$1723)</f>
        <v/>
      </c>
      <c r="N1720">
        <f>IF([2]Entry!$M$1723="","",[2]Entry!$M$1723)</f>
        <v/>
      </c>
      <c r="O1720">
        <f>IF([2]Entry!$N$1723="","",[2]Entry!$N$1723)</f>
        <v/>
      </c>
      <c r="P1720">
        <f>IF([2]Entry!$S$1723="","",[2]Entry!$S$1723)</f>
        <v/>
      </c>
    </row>
    <row r="1721">
      <c r="L1721">
        <f>IF([2]Entry!$C$1724="","",[2]Entry!$C$1724)</f>
        <v/>
      </c>
      <c r="M1721">
        <f>IF([2]Entry!$J$1724="","",[2]Entry!$J$1724)</f>
        <v/>
      </c>
      <c r="N1721">
        <f>IF([2]Entry!$M$1724="","",[2]Entry!$M$1724)</f>
        <v/>
      </c>
      <c r="O1721">
        <f>IF([2]Entry!$N$1724="","",[2]Entry!$N$1724)</f>
        <v/>
      </c>
      <c r="P1721">
        <f>IF([2]Entry!$S$1724="","",[2]Entry!$S$1724)</f>
        <v/>
      </c>
    </row>
    <row r="1722">
      <c r="L1722">
        <f>IF([2]Entry!$C$1725="","",[2]Entry!$C$1725)</f>
        <v/>
      </c>
      <c r="M1722">
        <f>IF([2]Entry!$J$1725="","",[2]Entry!$J$1725)</f>
        <v/>
      </c>
      <c r="N1722">
        <f>IF([2]Entry!$M$1725="","",[2]Entry!$M$1725)</f>
        <v/>
      </c>
      <c r="O1722">
        <f>IF([2]Entry!$N$1725="","",[2]Entry!$N$1725)</f>
        <v/>
      </c>
      <c r="P1722">
        <f>IF([2]Entry!$S$1725="","",[2]Entry!$S$1725)</f>
        <v/>
      </c>
    </row>
    <row r="1723">
      <c r="L1723">
        <f>IF([2]Entry!$C$1726="","",[2]Entry!$C$1726)</f>
        <v/>
      </c>
      <c r="M1723">
        <f>IF([2]Entry!$J$1726="","",[2]Entry!$J$1726)</f>
        <v/>
      </c>
      <c r="N1723">
        <f>IF([2]Entry!$M$1726="","",[2]Entry!$M$1726)</f>
        <v/>
      </c>
      <c r="O1723">
        <f>IF([2]Entry!$N$1726="","",[2]Entry!$N$1726)</f>
        <v/>
      </c>
      <c r="P1723">
        <f>IF([2]Entry!$S$1726="","",[2]Entry!$S$1726)</f>
        <v/>
      </c>
    </row>
    <row r="1724">
      <c r="L1724">
        <f>IF([2]Entry!$C$1727="","",[2]Entry!$C$1727)</f>
        <v/>
      </c>
      <c r="M1724">
        <f>IF([2]Entry!$J$1727="","",[2]Entry!$J$1727)</f>
        <v/>
      </c>
      <c r="N1724">
        <f>IF([2]Entry!$M$1727="","",[2]Entry!$M$1727)</f>
        <v/>
      </c>
      <c r="O1724">
        <f>IF([2]Entry!$N$1727="","",[2]Entry!$N$1727)</f>
        <v/>
      </c>
      <c r="P1724">
        <f>IF([2]Entry!$S$1727="","",[2]Entry!$S$1727)</f>
        <v/>
      </c>
    </row>
    <row r="1725">
      <c r="L1725">
        <f>IF([2]Entry!$C$1728="","",[2]Entry!$C$1728)</f>
        <v/>
      </c>
      <c r="M1725">
        <f>IF([2]Entry!$J$1728="","",[2]Entry!$J$1728)</f>
        <v/>
      </c>
      <c r="N1725">
        <f>IF([2]Entry!$M$1728="","",[2]Entry!$M$1728)</f>
        <v/>
      </c>
      <c r="O1725">
        <f>IF([2]Entry!$N$1728="","",[2]Entry!$N$1728)</f>
        <v/>
      </c>
      <c r="P1725">
        <f>IF([2]Entry!$S$1728="","",[2]Entry!$S$1728)</f>
        <v/>
      </c>
    </row>
    <row r="1726">
      <c r="L1726">
        <f>IF([2]Entry!$C$1729="","",[2]Entry!$C$1729)</f>
        <v/>
      </c>
      <c r="M1726">
        <f>IF([2]Entry!$J$1729="","",[2]Entry!$J$1729)</f>
        <v/>
      </c>
      <c r="N1726">
        <f>IF([2]Entry!$M$1729="","",[2]Entry!$M$1729)</f>
        <v/>
      </c>
      <c r="O1726">
        <f>IF([2]Entry!$N$1729="","",[2]Entry!$N$1729)</f>
        <v/>
      </c>
      <c r="P1726">
        <f>IF([2]Entry!$S$1729="","",[2]Entry!$S$1729)</f>
        <v/>
      </c>
    </row>
    <row r="1727">
      <c r="L1727">
        <f>IF([2]Entry!$C$1730="","",[2]Entry!$C$1730)</f>
        <v/>
      </c>
      <c r="M1727">
        <f>IF([2]Entry!$J$1730="","",[2]Entry!$J$1730)</f>
        <v/>
      </c>
      <c r="N1727">
        <f>IF([2]Entry!$M$1730="","",[2]Entry!$M$1730)</f>
        <v/>
      </c>
      <c r="O1727">
        <f>IF([2]Entry!$N$1730="","",[2]Entry!$N$1730)</f>
        <v/>
      </c>
      <c r="P1727">
        <f>IF([2]Entry!$S$1730="","",[2]Entry!$S$1730)</f>
        <v/>
      </c>
    </row>
    <row r="1728">
      <c r="L1728">
        <f>IF([2]Entry!$C$1731="","",[2]Entry!$C$1731)</f>
        <v/>
      </c>
      <c r="M1728">
        <f>IF([2]Entry!$J$1731="","",[2]Entry!$J$1731)</f>
        <v/>
      </c>
      <c r="N1728">
        <f>IF([2]Entry!$M$1731="","",[2]Entry!$M$1731)</f>
        <v/>
      </c>
      <c r="O1728">
        <f>IF([2]Entry!$N$1731="","",[2]Entry!$N$1731)</f>
        <v/>
      </c>
      <c r="P1728">
        <f>IF([2]Entry!$S$1731="","",[2]Entry!$S$1731)</f>
        <v/>
      </c>
    </row>
    <row r="1729">
      <c r="L1729">
        <f>IF([2]Entry!$C$1732="","",[2]Entry!$C$1732)</f>
        <v/>
      </c>
      <c r="M1729">
        <f>IF([2]Entry!$J$1732="","",[2]Entry!$J$1732)</f>
        <v/>
      </c>
      <c r="N1729">
        <f>IF([2]Entry!$M$1732="","",[2]Entry!$M$1732)</f>
        <v/>
      </c>
      <c r="O1729">
        <f>IF([2]Entry!$N$1732="","",[2]Entry!$N$1732)</f>
        <v/>
      </c>
      <c r="P1729">
        <f>IF([2]Entry!$S$1732="","",[2]Entry!$S$1732)</f>
        <v/>
      </c>
    </row>
    <row r="1730">
      <c r="L1730">
        <f>IF([2]Entry!$C$1733="","",[2]Entry!$C$1733)</f>
        <v/>
      </c>
      <c r="M1730">
        <f>IF([2]Entry!$J$1733="","",[2]Entry!$J$1733)</f>
        <v/>
      </c>
      <c r="N1730">
        <f>IF([2]Entry!$M$1733="","",[2]Entry!$M$1733)</f>
        <v/>
      </c>
      <c r="O1730">
        <f>IF([2]Entry!$N$1733="","",[2]Entry!$N$1733)</f>
        <v/>
      </c>
      <c r="P1730">
        <f>IF([2]Entry!$S$1733="","",[2]Entry!$S$1733)</f>
        <v/>
      </c>
    </row>
    <row r="1731">
      <c r="L1731">
        <f>IF([2]Entry!$C$1734="","",[2]Entry!$C$1734)</f>
        <v/>
      </c>
      <c r="M1731">
        <f>IF([2]Entry!$J$1734="","",[2]Entry!$J$1734)</f>
        <v/>
      </c>
      <c r="N1731">
        <f>IF([2]Entry!$M$1734="","",[2]Entry!$M$1734)</f>
        <v/>
      </c>
      <c r="O1731">
        <f>IF([2]Entry!$N$1734="","",[2]Entry!$N$1734)</f>
        <v/>
      </c>
      <c r="P1731">
        <f>IF([2]Entry!$S$1734="","",[2]Entry!$S$1734)</f>
        <v/>
      </c>
    </row>
    <row r="1732">
      <c r="L1732">
        <f>IF([2]Entry!$C$1735="","",[2]Entry!$C$1735)</f>
        <v/>
      </c>
      <c r="M1732">
        <f>IF([2]Entry!$J$1735="","",[2]Entry!$J$1735)</f>
        <v/>
      </c>
      <c r="N1732">
        <f>IF([2]Entry!$M$1735="","",[2]Entry!$M$1735)</f>
        <v/>
      </c>
      <c r="O1732">
        <f>IF([2]Entry!$N$1735="","",[2]Entry!$N$1735)</f>
        <v/>
      </c>
      <c r="P1732">
        <f>IF([2]Entry!$S$1735="","",[2]Entry!$S$1735)</f>
        <v/>
      </c>
    </row>
    <row r="1733">
      <c r="L1733">
        <f>IF([2]Entry!$C$1736="","",[2]Entry!$C$1736)</f>
        <v/>
      </c>
      <c r="M1733">
        <f>IF([2]Entry!$J$1736="","",[2]Entry!$J$1736)</f>
        <v/>
      </c>
      <c r="N1733">
        <f>IF([2]Entry!$M$1736="","",[2]Entry!$M$1736)</f>
        <v/>
      </c>
      <c r="O1733">
        <f>IF([2]Entry!$N$1736="","",[2]Entry!$N$1736)</f>
        <v/>
      </c>
      <c r="P1733">
        <f>IF([2]Entry!$S$1736="","",[2]Entry!$S$1736)</f>
        <v/>
      </c>
    </row>
    <row r="1734">
      <c r="L1734">
        <f>IF([2]Entry!$C$1737="","",[2]Entry!$C$1737)</f>
        <v/>
      </c>
      <c r="M1734">
        <f>IF([2]Entry!$J$1737="","",[2]Entry!$J$1737)</f>
        <v/>
      </c>
      <c r="N1734">
        <f>IF([2]Entry!$M$1737="","",[2]Entry!$M$1737)</f>
        <v/>
      </c>
      <c r="O1734">
        <f>IF([2]Entry!$N$1737="","",[2]Entry!$N$1737)</f>
        <v/>
      </c>
      <c r="P1734">
        <f>IF([2]Entry!$S$1737="","",[2]Entry!$S$1737)</f>
        <v/>
      </c>
    </row>
    <row r="1735">
      <c r="L1735">
        <f>IF([2]Entry!$C$1738="","",[2]Entry!$C$1738)</f>
        <v/>
      </c>
      <c r="M1735">
        <f>IF([2]Entry!$J$1738="","",[2]Entry!$J$1738)</f>
        <v/>
      </c>
      <c r="N1735">
        <f>IF([2]Entry!$M$1738="","",[2]Entry!$M$1738)</f>
        <v/>
      </c>
      <c r="O1735">
        <f>IF([2]Entry!$N$1738="","",[2]Entry!$N$1738)</f>
        <v/>
      </c>
      <c r="P1735">
        <f>IF([2]Entry!$S$1738="","",[2]Entry!$S$1738)</f>
        <v/>
      </c>
    </row>
    <row r="1736">
      <c r="L1736">
        <f>IF([2]Entry!$C$1739="","",[2]Entry!$C$1739)</f>
        <v/>
      </c>
      <c r="M1736">
        <f>IF([2]Entry!$J$1739="","",[2]Entry!$J$1739)</f>
        <v/>
      </c>
      <c r="N1736">
        <f>IF([2]Entry!$M$1739="","",[2]Entry!$M$1739)</f>
        <v/>
      </c>
      <c r="O1736">
        <f>IF([2]Entry!$N$1739="","",[2]Entry!$N$1739)</f>
        <v/>
      </c>
      <c r="P1736">
        <f>IF([2]Entry!$S$1739="","",[2]Entry!$S$1739)</f>
        <v/>
      </c>
    </row>
    <row r="1737">
      <c r="L1737">
        <f>IF([2]Entry!$C$1740="","",[2]Entry!$C$1740)</f>
        <v/>
      </c>
      <c r="M1737">
        <f>IF([2]Entry!$J$1740="","",[2]Entry!$J$1740)</f>
        <v/>
      </c>
      <c r="N1737">
        <f>IF([2]Entry!$M$1740="","",[2]Entry!$M$1740)</f>
        <v/>
      </c>
      <c r="O1737">
        <f>IF([2]Entry!$N$1740="","",[2]Entry!$N$1740)</f>
        <v/>
      </c>
      <c r="P1737">
        <f>IF([2]Entry!$S$1740="","",[2]Entry!$S$1740)</f>
        <v/>
      </c>
    </row>
    <row r="1738">
      <c r="L1738">
        <f>IF([2]Entry!$C$1741="","",[2]Entry!$C$1741)</f>
        <v/>
      </c>
      <c r="M1738">
        <f>IF([2]Entry!$J$1741="","",[2]Entry!$J$1741)</f>
        <v/>
      </c>
      <c r="N1738">
        <f>IF([2]Entry!$M$1741="","",[2]Entry!$M$1741)</f>
        <v/>
      </c>
      <c r="O1738">
        <f>IF([2]Entry!$N$1741="","",[2]Entry!$N$1741)</f>
        <v/>
      </c>
      <c r="P1738">
        <f>IF([2]Entry!$S$1741="","",[2]Entry!$S$1741)</f>
        <v/>
      </c>
    </row>
    <row r="1739">
      <c r="L1739">
        <f>IF([2]Entry!$C$1742="","",[2]Entry!$C$1742)</f>
        <v/>
      </c>
      <c r="M1739">
        <f>IF([2]Entry!$J$1742="","",[2]Entry!$J$1742)</f>
        <v/>
      </c>
      <c r="N1739">
        <f>IF([2]Entry!$M$1742="","",[2]Entry!$M$1742)</f>
        <v/>
      </c>
      <c r="O1739">
        <f>IF([2]Entry!$N$1742="","",[2]Entry!$N$1742)</f>
        <v/>
      </c>
      <c r="P1739">
        <f>IF([2]Entry!$S$1742="","",[2]Entry!$S$1742)</f>
        <v/>
      </c>
    </row>
    <row r="1740">
      <c r="L1740">
        <f>IF([2]Entry!$C$1743="","",[2]Entry!$C$1743)</f>
        <v/>
      </c>
      <c r="M1740">
        <f>IF([2]Entry!$J$1743="","",[2]Entry!$J$1743)</f>
        <v/>
      </c>
      <c r="N1740">
        <f>IF([2]Entry!$M$1743="","",[2]Entry!$M$1743)</f>
        <v/>
      </c>
      <c r="O1740">
        <f>IF([2]Entry!$N$1743="","",[2]Entry!$N$1743)</f>
        <v/>
      </c>
      <c r="P1740">
        <f>IF([2]Entry!$S$1743="","",[2]Entry!$S$1743)</f>
        <v/>
      </c>
    </row>
    <row r="1741">
      <c r="L1741">
        <f>IF([2]Entry!$C$1744="","",[2]Entry!$C$1744)</f>
        <v/>
      </c>
      <c r="M1741">
        <f>IF([2]Entry!$J$1744="","",[2]Entry!$J$1744)</f>
        <v/>
      </c>
      <c r="N1741">
        <f>IF([2]Entry!$M$1744="","",[2]Entry!$M$1744)</f>
        <v/>
      </c>
      <c r="O1741">
        <f>IF([2]Entry!$N$1744="","",[2]Entry!$N$1744)</f>
        <v/>
      </c>
      <c r="P1741">
        <f>IF([2]Entry!$S$1744="","",[2]Entry!$S$1744)</f>
        <v/>
      </c>
    </row>
    <row r="1742">
      <c r="L1742">
        <f>IF([2]Entry!$C$1745="","",[2]Entry!$C$1745)</f>
        <v/>
      </c>
      <c r="M1742">
        <f>IF([2]Entry!$J$1745="","",[2]Entry!$J$1745)</f>
        <v/>
      </c>
      <c r="N1742">
        <f>IF([2]Entry!$M$1745="","",[2]Entry!$M$1745)</f>
        <v/>
      </c>
      <c r="O1742">
        <f>IF([2]Entry!$N$1745="","",[2]Entry!$N$1745)</f>
        <v/>
      </c>
      <c r="P1742">
        <f>IF([2]Entry!$S$1745="","",[2]Entry!$S$1745)</f>
        <v/>
      </c>
    </row>
    <row r="1743">
      <c r="L1743">
        <f>IF([2]Entry!$C$1746="","",[2]Entry!$C$1746)</f>
        <v/>
      </c>
      <c r="M1743">
        <f>IF([2]Entry!$J$1746="","",[2]Entry!$J$1746)</f>
        <v/>
      </c>
      <c r="N1743">
        <f>IF([2]Entry!$M$1746="","",[2]Entry!$M$1746)</f>
        <v/>
      </c>
      <c r="O1743">
        <f>IF([2]Entry!$N$1746="","",[2]Entry!$N$1746)</f>
        <v/>
      </c>
      <c r="P1743">
        <f>IF([2]Entry!$S$1746="","",[2]Entry!$S$1746)</f>
        <v/>
      </c>
    </row>
    <row r="1744">
      <c r="L1744">
        <f>IF([2]Entry!$C$1747="","",[2]Entry!$C$1747)</f>
        <v/>
      </c>
      <c r="M1744">
        <f>IF([2]Entry!$J$1747="","",[2]Entry!$J$1747)</f>
        <v/>
      </c>
      <c r="N1744">
        <f>IF([2]Entry!$M$1747="","",[2]Entry!$M$1747)</f>
        <v/>
      </c>
      <c r="O1744">
        <f>IF([2]Entry!$N$1747="","",[2]Entry!$N$1747)</f>
        <v/>
      </c>
      <c r="P1744">
        <f>IF([2]Entry!$S$1747="","",[2]Entry!$S$1747)</f>
        <v/>
      </c>
    </row>
    <row r="1745">
      <c r="L1745">
        <f>IF([2]Entry!$C$1748="","",[2]Entry!$C$1748)</f>
        <v/>
      </c>
      <c r="M1745">
        <f>IF([2]Entry!$J$1748="","",[2]Entry!$J$1748)</f>
        <v/>
      </c>
      <c r="N1745">
        <f>IF([2]Entry!$M$1748="","",[2]Entry!$M$1748)</f>
        <v/>
      </c>
      <c r="O1745">
        <f>IF([2]Entry!$N$1748="","",[2]Entry!$N$1748)</f>
        <v/>
      </c>
      <c r="P1745">
        <f>IF([2]Entry!$S$1748="","",[2]Entry!$S$1748)</f>
        <v/>
      </c>
    </row>
    <row r="1746">
      <c r="L1746">
        <f>IF([2]Entry!$C$1749="","",[2]Entry!$C$1749)</f>
        <v/>
      </c>
      <c r="M1746">
        <f>IF([2]Entry!$J$1749="","",[2]Entry!$J$1749)</f>
        <v/>
      </c>
      <c r="N1746">
        <f>IF([2]Entry!$M$1749="","",[2]Entry!$M$1749)</f>
        <v/>
      </c>
      <c r="O1746">
        <f>IF([2]Entry!$N$1749="","",[2]Entry!$N$1749)</f>
        <v/>
      </c>
      <c r="P1746">
        <f>IF([2]Entry!$S$1749="","",[2]Entry!$S$1749)</f>
        <v/>
      </c>
    </row>
    <row r="1747">
      <c r="L1747">
        <f>IF([2]Entry!$C$1750="","",[2]Entry!$C$1750)</f>
        <v/>
      </c>
      <c r="M1747">
        <f>IF([2]Entry!$J$1750="","",[2]Entry!$J$1750)</f>
        <v/>
      </c>
      <c r="N1747">
        <f>IF([2]Entry!$M$1750="","",[2]Entry!$M$1750)</f>
        <v/>
      </c>
      <c r="O1747">
        <f>IF([2]Entry!$N$1750="","",[2]Entry!$N$1750)</f>
        <v/>
      </c>
      <c r="P1747">
        <f>IF([2]Entry!$S$1750="","",[2]Entry!$S$1750)</f>
        <v/>
      </c>
    </row>
    <row r="1748">
      <c r="L1748">
        <f>IF([2]Entry!$C$1751="","",[2]Entry!$C$1751)</f>
        <v/>
      </c>
      <c r="M1748">
        <f>IF([2]Entry!$J$1751="","",[2]Entry!$J$1751)</f>
        <v/>
      </c>
      <c r="N1748">
        <f>IF([2]Entry!$M$1751="","",[2]Entry!$M$1751)</f>
        <v/>
      </c>
      <c r="O1748">
        <f>IF([2]Entry!$N$1751="","",[2]Entry!$N$1751)</f>
        <v/>
      </c>
      <c r="P1748">
        <f>IF([2]Entry!$S$1751="","",[2]Entry!$S$1751)</f>
        <v/>
      </c>
    </row>
    <row r="1749">
      <c r="L1749">
        <f>IF([2]Entry!$C$1752="","",[2]Entry!$C$1752)</f>
        <v/>
      </c>
      <c r="M1749">
        <f>IF([2]Entry!$J$1752="","",[2]Entry!$J$1752)</f>
        <v/>
      </c>
      <c r="N1749">
        <f>IF([2]Entry!$M$1752="","",[2]Entry!$M$1752)</f>
        <v/>
      </c>
      <c r="O1749">
        <f>IF([2]Entry!$N$1752="","",[2]Entry!$N$1752)</f>
        <v/>
      </c>
      <c r="P1749">
        <f>IF([2]Entry!$S$1752="","",[2]Entry!$S$1752)</f>
        <v/>
      </c>
    </row>
    <row r="1750">
      <c r="L1750">
        <f>IF([2]Entry!$C$1753="","",[2]Entry!$C$1753)</f>
        <v/>
      </c>
      <c r="M1750">
        <f>IF([2]Entry!$J$1753="","",[2]Entry!$J$1753)</f>
        <v/>
      </c>
      <c r="N1750">
        <f>IF([2]Entry!$M$1753="","",[2]Entry!$M$1753)</f>
        <v/>
      </c>
      <c r="O1750">
        <f>IF([2]Entry!$N$1753="","",[2]Entry!$N$1753)</f>
        <v/>
      </c>
      <c r="P1750">
        <f>IF([2]Entry!$S$1753="","",[2]Entry!$S$1753)</f>
        <v/>
      </c>
    </row>
    <row r="1751">
      <c r="L1751">
        <f>IF([2]Entry!$C$1754="","",[2]Entry!$C$1754)</f>
        <v/>
      </c>
      <c r="M1751">
        <f>IF([2]Entry!$J$1754="","",[2]Entry!$J$1754)</f>
        <v/>
      </c>
      <c r="N1751">
        <f>IF([2]Entry!$M$1754="","",[2]Entry!$M$1754)</f>
        <v/>
      </c>
      <c r="O1751">
        <f>IF([2]Entry!$N$1754="","",[2]Entry!$N$1754)</f>
        <v/>
      </c>
      <c r="P1751">
        <f>IF([2]Entry!$S$1754="","",[2]Entry!$S$1754)</f>
        <v/>
      </c>
    </row>
    <row r="1752">
      <c r="L1752">
        <f>IF([2]Entry!$C$1755="","",[2]Entry!$C$1755)</f>
        <v/>
      </c>
      <c r="M1752">
        <f>IF([2]Entry!$J$1755="","",[2]Entry!$J$1755)</f>
        <v/>
      </c>
      <c r="N1752">
        <f>IF([2]Entry!$M$1755="","",[2]Entry!$M$1755)</f>
        <v/>
      </c>
      <c r="O1752">
        <f>IF([2]Entry!$N$1755="","",[2]Entry!$N$1755)</f>
        <v/>
      </c>
      <c r="P1752">
        <f>IF([2]Entry!$S$1755="","",[2]Entry!$S$1755)</f>
        <v/>
      </c>
    </row>
    <row r="1753">
      <c r="L1753">
        <f>IF([2]Entry!$C$1756="","",[2]Entry!$C$1756)</f>
        <v/>
      </c>
      <c r="M1753">
        <f>IF([2]Entry!$J$1756="","",[2]Entry!$J$1756)</f>
        <v/>
      </c>
      <c r="N1753">
        <f>IF([2]Entry!$M$1756="","",[2]Entry!$M$1756)</f>
        <v/>
      </c>
      <c r="O1753">
        <f>IF([2]Entry!$N$1756="","",[2]Entry!$N$1756)</f>
        <v/>
      </c>
      <c r="P1753">
        <f>IF([2]Entry!$S$1756="","",[2]Entry!$S$1756)</f>
        <v/>
      </c>
    </row>
    <row r="1754">
      <c r="L1754">
        <f>IF([2]Entry!$C$1757="","",[2]Entry!$C$1757)</f>
        <v/>
      </c>
      <c r="M1754">
        <f>IF([2]Entry!$J$1757="","",[2]Entry!$J$1757)</f>
        <v/>
      </c>
      <c r="N1754">
        <f>IF([2]Entry!$M$1757="","",[2]Entry!$M$1757)</f>
        <v/>
      </c>
      <c r="O1754">
        <f>IF([2]Entry!$N$1757="","",[2]Entry!$N$1757)</f>
        <v/>
      </c>
      <c r="P1754">
        <f>IF([2]Entry!$S$1757="","",[2]Entry!$S$1757)</f>
        <v/>
      </c>
    </row>
    <row r="1755">
      <c r="L1755">
        <f>IF([2]Entry!$C$1758="","",[2]Entry!$C$1758)</f>
        <v/>
      </c>
      <c r="M1755">
        <f>IF([2]Entry!$J$1758="","",[2]Entry!$J$1758)</f>
        <v/>
      </c>
      <c r="N1755">
        <f>IF([2]Entry!$M$1758="","",[2]Entry!$M$1758)</f>
        <v/>
      </c>
      <c r="O1755">
        <f>IF([2]Entry!$N$1758="","",[2]Entry!$N$1758)</f>
        <v/>
      </c>
      <c r="P1755">
        <f>IF([2]Entry!$S$1758="","",[2]Entry!$S$1758)</f>
        <v/>
      </c>
    </row>
    <row r="1756">
      <c r="L1756">
        <f>IF([2]Entry!$C$1759="","",[2]Entry!$C$1759)</f>
        <v/>
      </c>
      <c r="M1756">
        <f>IF([2]Entry!$J$1759="","",[2]Entry!$J$1759)</f>
        <v/>
      </c>
      <c r="N1756">
        <f>IF([2]Entry!$M$1759="","",[2]Entry!$M$1759)</f>
        <v/>
      </c>
      <c r="O1756">
        <f>IF([2]Entry!$N$1759="","",[2]Entry!$N$1759)</f>
        <v/>
      </c>
      <c r="P1756">
        <f>IF([2]Entry!$S$1759="","",[2]Entry!$S$1759)</f>
        <v/>
      </c>
    </row>
    <row r="1757">
      <c r="L1757">
        <f>IF([2]Entry!$C$1760="","",[2]Entry!$C$1760)</f>
        <v/>
      </c>
      <c r="M1757">
        <f>IF([2]Entry!$J$1760="","",[2]Entry!$J$1760)</f>
        <v/>
      </c>
      <c r="N1757">
        <f>IF([2]Entry!$M$1760="","",[2]Entry!$M$1760)</f>
        <v/>
      </c>
      <c r="O1757">
        <f>IF([2]Entry!$N$1760="","",[2]Entry!$N$1760)</f>
        <v/>
      </c>
      <c r="P1757">
        <f>IF([2]Entry!$S$1760="","",[2]Entry!$S$1760)</f>
        <v/>
      </c>
    </row>
    <row r="1758">
      <c r="L1758">
        <f>IF([2]Entry!$C$1761="","",[2]Entry!$C$1761)</f>
        <v/>
      </c>
      <c r="M1758">
        <f>IF([2]Entry!$J$1761="","",[2]Entry!$J$1761)</f>
        <v/>
      </c>
      <c r="N1758">
        <f>IF([2]Entry!$M$1761="","",[2]Entry!$M$1761)</f>
        <v/>
      </c>
      <c r="O1758">
        <f>IF([2]Entry!$N$1761="","",[2]Entry!$N$1761)</f>
        <v/>
      </c>
      <c r="P1758">
        <f>IF([2]Entry!$S$1761="","",[2]Entry!$S$1761)</f>
        <v/>
      </c>
    </row>
    <row r="1759">
      <c r="L1759">
        <f>IF([2]Entry!$C$1762="","",[2]Entry!$C$1762)</f>
        <v/>
      </c>
      <c r="M1759">
        <f>IF([2]Entry!$J$1762="","",[2]Entry!$J$1762)</f>
        <v/>
      </c>
      <c r="N1759">
        <f>IF([2]Entry!$M$1762="","",[2]Entry!$M$1762)</f>
        <v/>
      </c>
      <c r="O1759">
        <f>IF([2]Entry!$N$1762="","",[2]Entry!$N$1762)</f>
        <v/>
      </c>
      <c r="P1759">
        <f>IF([2]Entry!$S$1762="","",[2]Entry!$S$1762)</f>
        <v/>
      </c>
    </row>
    <row r="1760">
      <c r="L1760">
        <f>IF([2]Entry!$C$1763="","",[2]Entry!$C$1763)</f>
        <v/>
      </c>
      <c r="M1760">
        <f>IF([2]Entry!$J$1763="","",[2]Entry!$J$1763)</f>
        <v/>
      </c>
      <c r="N1760">
        <f>IF([2]Entry!$M$1763="","",[2]Entry!$M$1763)</f>
        <v/>
      </c>
      <c r="O1760">
        <f>IF([2]Entry!$N$1763="","",[2]Entry!$N$1763)</f>
        <v/>
      </c>
      <c r="P1760">
        <f>IF([2]Entry!$S$1763="","",[2]Entry!$S$1763)</f>
        <v/>
      </c>
    </row>
    <row r="1761">
      <c r="L1761">
        <f>IF([2]Entry!$C$1764="","",[2]Entry!$C$1764)</f>
        <v/>
      </c>
      <c r="M1761">
        <f>IF([2]Entry!$J$1764="","",[2]Entry!$J$1764)</f>
        <v/>
      </c>
      <c r="N1761">
        <f>IF([2]Entry!$M$1764="","",[2]Entry!$M$1764)</f>
        <v/>
      </c>
      <c r="O1761">
        <f>IF([2]Entry!$N$1764="","",[2]Entry!$N$1764)</f>
        <v/>
      </c>
      <c r="P1761">
        <f>IF([2]Entry!$S$1764="","",[2]Entry!$S$1764)</f>
        <v/>
      </c>
    </row>
    <row r="1762">
      <c r="L1762">
        <f>IF([2]Entry!$C$1765="","",[2]Entry!$C$1765)</f>
        <v/>
      </c>
      <c r="M1762">
        <f>IF([2]Entry!$J$1765="","",[2]Entry!$J$1765)</f>
        <v/>
      </c>
      <c r="N1762">
        <f>IF([2]Entry!$M$1765="","",[2]Entry!$M$1765)</f>
        <v/>
      </c>
      <c r="O1762">
        <f>IF([2]Entry!$N$1765="","",[2]Entry!$N$1765)</f>
        <v/>
      </c>
      <c r="P1762">
        <f>IF([2]Entry!$S$1765="","",[2]Entry!$S$1765)</f>
        <v/>
      </c>
    </row>
    <row r="1763">
      <c r="L1763">
        <f>IF([2]Entry!$C$1766="","",[2]Entry!$C$1766)</f>
        <v/>
      </c>
      <c r="M1763">
        <f>IF([2]Entry!$J$1766="","",[2]Entry!$J$1766)</f>
        <v/>
      </c>
      <c r="N1763">
        <f>IF([2]Entry!$M$1766="","",[2]Entry!$M$1766)</f>
        <v/>
      </c>
      <c r="O1763">
        <f>IF([2]Entry!$N$1766="","",[2]Entry!$N$1766)</f>
        <v/>
      </c>
      <c r="P1763">
        <f>IF([2]Entry!$S$1766="","",[2]Entry!$S$1766)</f>
        <v/>
      </c>
    </row>
    <row r="1764">
      <c r="L1764">
        <f>IF([2]Entry!$C$1767="","",[2]Entry!$C$1767)</f>
        <v/>
      </c>
      <c r="M1764">
        <f>IF([2]Entry!$J$1767="","",[2]Entry!$J$1767)</f>
        <v/>
      </c>
      <c r="N1764">
        <f>IF([2]Entry!$M$1767="","",[2]Entry!$M$1767)</f>
        <v/>
      </c>
      <c r="O1764">
        <f>IF([2]Entry!$N$1767="","",[2]Entry!$N$1767)</f>
        <v/>
      </c>
      <c r="P1764">
        <f>IF([2]Entry!$S$1767="","",[2]Entry!$S$1767)</f>
        <v/>
      </c>
    </row>
    <row r="1765">
      <c r="L1765">
        <f>IF([2]Entry!$C$1768="","",[2]Entry!$C$1768)</f>
        <v/>
      </c>
      <c r="M1765">
        <f>IF([2]Entry!$J$1768="","",[2]Entry!$J$1768)</f>
        <v/>
      </c>
      <c r="N1765">
        <f>IF([2]Entry!$M$1768="","",[2]Entry!$M$1768)</f>
        <v/>
      </c>
      <c r="O1765">
        <f>IF([2]Entry!$N$1768="","",[2]Entry!$N$1768)</f>
        <v/>
      </c>
      <c r="P1765">
        <f>IF([2]Entry!$S$1768="","",[2]Entry!$S$1768)</f>
        <v/>
      </c>
    </row>
    <row r="1766">
      <c r="L1766">
        <f>IF([2]Entry!$C$1769="","",[2]Entry!$C$1769)</f>
        <v/>
      </c>
      <c r="M1766">
        <f>IF([2]Entry!$J$1769="","",[2]Entry!$J$1769)</f>
        <v/>
      </c>
      <c r="N1766">
        <f>IF([2]Entry!$M$1769="","",[2]Entry!$M$1769)</f>
        <v/>
      </c>
      <c r="O1766">
        <f>IF([2]Entry!$N$1769="","",[2]Entry!$N$1769)</f>
        <v/>
      </c>
      <c r="P1766">
        <f>IF([2]Entry!$S$1769="","",[2]Entry!$S$1769)</f>
        <v/>
      </c>
    </row>
    <row r="1767">
      <c r="L1767">
        <f>IF([2]Entry!$C$1770="","",[2]Entry!$C$1770)</f>
        <v/>
      </c>
      <c r="M1767">
        <f>IF([2]Entry!$J$1770="","",[2]Entry!$J$1770)</f>
        <v/>
      </c>
      <c r="N1767">
        <f>IF([2]Entry!$M$1770="","",[2]Entry!$M$1770)</f>
        <v/>
      </c>
      <c r="O1767">
        <f>IF([2]Entry!$N$1770="","",[2]Entry!$N$1770)</f>
        <v/>
      </c>
      <c r="P1767">
        <f>IF([2]Entry!$S$1770="","",[2]Entry!$S$1770)</f>
        <v/>
      </c>
    </row>
    <row r="1768">
      <c r="L1768">
        <f>IF([2]Entry!$C$1771="","",[2]Entry!$C$1771)</f>
        <v/>
      </c>
      <c r="M1768">
        <f>IF([2]Entry!$J$1771="","",[2]Entry!$J$1771)</f>
        <v/>
      </c>
      <c r="N1768">
        <f>IF([2]Entry!$M$1771="","",[2]Entry!$M$1771)</f>
        <v/>
      </c>
      <c r="O1768">
        <f>IF([2]Entry!$N$1771="","",[2]Entry!$N$1771)</f>
        <v/>
      </c>
      <c r="P1768">
        <f>IF([2]Entry!$S$1771="","",[2]Entry!$S$1771)</f>
        <v/>
      </c>
    </row>
    <row r="1769">
      <c r="L1769">
        <f>IF([2]Entry!$C$1772="","",[2]Entry!$C$1772)</f>
        <v/>
      </c>
      <c r="M1769">
        <f>IF([2]Entry!$J$1772="","",[2]Entry!$J$1772)</f>
        <v/>
      </c>
      <c r="N1769">
        <f>IF([2]Entry!$M$1772="","",[2]Entry!$M$1772)</f>
        <v/>
      </c>
      <c r="O1769">
        <f>IF([2]Entry!$N$1772="","",[2]Entry!$N$1772)</f>
        <v/>
      </c>
      <c r="P1769">
        <f>IF([2]Entry!$S$1772="","",[2]Entry!$S$1772)</f>
        <v/>
      </c>
    </row>
    <row r="1770">
      <c r="L1770">
        <f>IF([2]Entry!$C$1773="","",[2]Entry!$C$1773)</f>
        <v/>
      </c>
      <c r="M1770">
        <f>IF([2]Entry!$J$1773="","",[2]Entry!$J$1773)</f>
        <v/>
      </c>
      <c r="N1770">
        <f>IF([2]Entry!$M$1773="","",[2]Entry!$M$1773)</f>
        <v/>
      </c>
      <c r="O1770">
        <f>IF([2]Entry!$N$1773="","",[2]Entry!$N$1773)</f>
        <v/>
      </c>
      <c r="P1770">
        <f>IF([2]Entry!$S$1773="","",[2]Entry!$S$1773)</f>
        <v/>
      </c>
    </row>
    <row r="1771">
      <c r="L1771">
        <f>IF([2]Entry!$C$1774="","",[2]Entry!$C$1774)</f>
        <v/>
      </c>
      <c r="M1771">
        <f>IF([2]Entry!$J$1774="","",[2]Entry!$J$1774)</f>
        <v/>
      </c>
      <c r="N1771">
        <f>IF([2]Entry!$M$1774="","",[2]Entry!$M$1774)</f>
        <v/>
      </c>
      <c r="O1771">
        <f>IF([2]Entry!$N$1774="","",[2]Entry!$N$1774)</f>
        <v/>
      </c>
      <c r="P1771">
        <f>IF([2]Entry!$S$1774="","",[2]Entry!$S$1774)</f>
        <v/>
      </c>
    </row>
    <row r="1772">
      <c r="L1772">
        <f>IF([2]Entry!$C$1775="","",[2]Entry!$C$1775)</f>
        <v/>
      </c>
      <c r="M1772">
        <f>IF([2]Entry!$J$1775="","",[2]Entry!$J$1775)</f>
        <v/>
      </c>
      <c r="N1772">
        <f>IF([2]Entry!$M$1775="","",[2]Entry!$M$1775)</f>
        <v/>
      </c>
      <c r="O1772">
        <f>IF([2]Entry!$N$1775="","",[2]Entry!$N$1775)</f>
        <v/>
      </c>
      <c r="P1772">
        <f>IF([2]Entry!$S$1775="","",[2]Entry!$S$1775)</f>
        <v/>
      </c>
    </row>
    <row r="1773">
      <c r="L1773">
        <f>IF([2]Entry!$C$1776="","",[2]Entry!$C$1776)</f>
        <v/>
      </c>
      <c r="M1773">
        <f>IF([2]Entry!$J$1776="","",[2]Entry!$J$1776)</f>
        <v/>
      </c>
      <c r="N1773">
        <f>IF([2]Entry!$M$1776="","",[2]Entry!$M$1776)</f>
        <v/>
      </c>
      <c r="O1773">
        <f>IF([2]Entry!$N$1776="","",[2]Entry!$N$1776)</f>
        <v/>
      </c>
      <c r="P1773">
        <f>IF([2]Entry!$S$1776="","",[2]Entry!$S$1776)</f>
        <v/>
      </c>
    </row>
    <row r="1774">
      <c r="L1774">
        <f>IF([2]Entry!$C$1777="","",[2]Entry!$C$1777)</f>
        <v/>
      </c>
      <c r="M1774">
        <f>IF([2]Entry!$J$1777="","",[2]Entry!$J$1777)</f>
        <v/>
      </c>
      <c r="N1774">
        <f>IF([2]Entry!$M$1777="","",[2]Entry!$M$1777)</f>
        <v/>
      </c>
      <c r="O1774">
        <f>IF([2]Entry!$N$1777="","",[2]Entry!$N$1777)</f>
        <v/>
      </c>
      <c r="P1774">
        <f>IF([2]Entry!$S$1777="","",[2]Entry!$S$1777)</f>
        <v/>
      </c>
    </row>
    <row r="1775">
      <c r="L1775">
        <f>IF([2]Entry!$C$1778="","",[2]Entry!$C$1778)</f>
        <v/>
      </c>
      <c r="M1775">
        <f>IF([2]Entry!$J$1778="","",[2]Entry!$J$1778)</f>
        <v/>
      </c>
      <c r="N1775">
        <f>IF([2]Entry!$M$1778="","",[2]Entry!$M$1778)</f>
        <v/>
      </c>
      <c r="O1775">
        <f>IF([2]Entry!$N$1778="","",[2]Entry!$N$1778)</f>
        <v/>
      </c>
      <c r="P1775">
        <f>IF([2]Entry!$S$1778="","",[2]Entry!$S$1778)</f>
        <v/>
      </c>
    </row>
    <row r="1776">
      <c r="L1776">
        <f>IF([2]Entry!$C$1779="","",[2]Entry!$C$1779)</f>
        <v/>
      </c>
      <c r="M1776">
        <f>IF([2]Entry!$J$1779="","",[2]Entry!$J$1779)</f>
        <v/>
      </c>
      <c r="N1776">
        <f>IF([2]Entry!$M$1779="","",[2]Entry!$M$1779)</f>
        <v/>
      </c>
      <c r="O1776">
        <f>IF([2]Entry!$N$1779="","",[2]Entry!$N$1779)</f>
        <v/>
      </c>
      <c r="P1776">
        <f>IF([2]Entry!$S$1779="","",[2]Entry!$S$1779)</f>
        <v/>
      </c>
    </row>
    <row r="1777">
      <c r="L1777">
        <f>IF([2]Entry!$C$1780="","",[2]Entry!$C$1780)</f>
        <v/>
      </c>
      <c r="M1777">
        <f>IF([2]Entry!$J$1780="","",[2]Entry!$J$1780)</f>
        <v/>
      </c>
      <c r="N1777">
        <f>IF([2]Entry!$M$1780="","",[2]Entry!$M$1780)</f>
        <v/>
      </c>
      <c r="O1777">
        <f>IF([2]Entry!$N$1780="","",[2]Entry!$N$1780)</f>
        <v/>
      </c>
      <c r="P1777">
        <f>IF([2]Entry!$S$1780="","",[2]Entry!$S$1780)</f>
        <v/>
      </c>
    </row>
    <row r="1778">
      <c r="L1778">
        <f>IF([2]Entry!$C$1781="","",[2]Entry!$C$1781)</f>
        <v/>
      </c>
      <c r="M1778">
        <f>IF([2]Entry!$J$1781="","",[2]Entry!$J$1781)</f>
        <v/>
      </c>
      <c r="N1778">
        <f>IF([2]Entry!$M$1781="","",[2]Entry!$M$1781)</f>
        <v/>
      </c>
      <c r="O1778">
        <f>IF([2]Entry!$N$1781="","",[2]Entry!$N$1781)</f>
        <v/>
      </c>
      <c r="P1778">
        <f>IF([2]Entry!$S$1781="","",[2]Entry!$S$1781)</f>
        <v/>
      </c>
    </row>
    <row r="1779">
      <c r="L1779">
        <f>IF([2]Entry!$C$1782="","",[2]Entry!$C$1782)</f>
        <v/>
      </c>
      <c r="M1779">
        <f>IF([2]Entry!$J$1782="","",[2]Entry!$J$1782)</f>
        <v/>
      </c>
      <c r="N1779">
        <f>IF([2]Entry!$M$1782="","",[2]Entry!$M$1782)</f>
        <v/>
      </c>
      <c r="O1779">
        <f>IF([2]Entry!$N$1782="","",[2]Entry!$N$1782)</f>
        <v/>
      </c>
      <c r="P1779">
        <f>IF([2]Entry!$S$1782="","",[2]Entry!$S$1782)</f>
        <v/>
      </c>
    </row>
    <row r="1780">
      <c r="L1780">
        <f>IF([2]Entry!$C$1783="","",[2]Entry!$C$1783)</f>
        <v/>
      </c>
      <c r="M1780">
        <f>IF([2]Entry!$J$1783="","",[2]Entry!$J$1783)</f>
        <v/>
      </c>
      <c r="N1780">
        <f>IF([2]Entry!$M$1783="","",[2]Entry!$M$1783)</f>
        <v/>
      </c>
      <c r="O1780">
        <f>IF([2]Entry!$N$1783="","",[2]Entry!$N$1783)</f>
        <v/>
      </c>
      <c r="P1780">
        <f>IF([2]Entry!$S$1783="","",[2]Entry!$S$1783)</f>
        <v/>
      </c>
    </row>
    <row r="1781">
      <c r="L1781">
        <f>IF([2]Entry!$C$1784="","",[2]Entry!$C$1784)</f>
        <v/>
      </c>
      <c r="M1781">
        <f>IF([2]Entry!$J$1784="","",[2]Entry!$J$1784)</f>
        <v/>
      </c>
      <c r="N1781">
        <f>IF([2]Entry!$M$1784="","",[2]Entry!$M$1784)</f>
        <v/>
      </c>
      <c r="O1781">
        <f>IF([2]Entry!$N$1784="","",[2]Entry!$N$1784)</f>
        <v/>
      </c>
      <c r="P1781">
        <f>IF([2]Entry!$S$1784="","",[2]Entry!$S$1784)</f>
        <v/>
      </c>
    </row>
    <row r="1782">
      <c r="L1782">
        <f>IF([2]Entry!$C$1785="","",[2]Entry!$C$1785)</f>
        <v/>
      </c>
      <c r="M1782">
        <f>IF([2]Entry!$J$1785="","",[2]Entry!$J$1785)</f>
        <v/>
      </c>
      <c r="N1782">
        <f>IF([2]Entry!$M$1785="","",[2]Entry!$M$1785)</f>
        <v/>
      </c>
      <c r="O1782">
        <f>IF([2]Entry!$N$1785="","",[2]Entry!$N$1785)</f>
        <v/>
      </c>
      <c r="P1782">
        <f>IF([2]Entry!$S$1785="","",[2]Entry!$S$1785)</f>
        <v/>
      </c>
    </row>
    <row r="1783">
      <c r="L1783">
        <f>IF([2]Entry!$C$1786="","",[2]Entry!$C$1786)</f>
        <v/>
      </c>
      <c r="M1783">
        <f>IF([2]Entry!$J$1786="","",[2]Entry!$J$1786)</f>
        <v/>
      </c>
      <c r="N1783">
        <f>IF([2]Entry!$M$1786="","",[2]Entry!$M$1786)</f>
        <v/>
      </c>
      <c r="O1783">
        <f>IF([2]Entry!$N$1786="","",[2]Entry!$N$1786)</f>
        <v/>
      </c>
      <c r="P1783">
        <f>IF([2]Entry!$S$1786="","",[2]Entry!$S$1786)</f>
        <v/>
      </c>
    </row>
    <row r="1784">
      <c r="L1784">
        <f>IF([2]Entry!$C$1787="","",[2]Entry!$C$1787)</f>
        <v/>
      </c>
      <c r="M1784">
        <f>IF([2]Entry!$J$1787="","",[2]Entry!$J$1787)</f>
        <v/>
      </c>
      <c r="N1784">
        <f>IF([2]Entry!$M$1787="","",[2]Entry!$M$1787)</f>
        <v/>
      </c>
      <c r="O1784">
        <f>IF([2]Entry!$N$1787="","",[2]Entry!$N$1787)</f>
        <v/>
      </c>
      <c r="P1784">
        <f>IF([2]Entry!$S$1787="","",[2]Entry!$S$1787)</f>
        <v/>
      </c>
    </row>
    <row r="1785">
      <c r="L1785">
        <f>IF([2]Entry!$C$1788="","",[2]Entry!$C$1788)</f>
        <v/>
      </c>
      <c r="M1785">
        <f>IF([2]Entry!$J$1788="","",[2]Entry!$J$1788)</f>
        <v/>
      </c>
      <c r="N1785">
        <f>IF([2]Entry!$M$1788="","",[2]Entry!$M$1788)</f>
        <v/>
      </c>
      <c r="O1785">
        <f>IF([2]Entry!$N$1788="","",[2]Entry!$N$1788)</f>
        <v/>
      </c>
      <c r="P1785">
        <f>IF([2]Entry!$S$1788="","",[2]Entry!$S$1788)</f>
        <v/>
      </c>
    </row>
    <row r="1786">
      <c r="L1786">
        <f>IF([2]Entry!$C$1789="","",[2]Entry!$C$1789)</f>
        <v/>
      </c>
      <c r="M1786">
        <f>IF([2]Entry!$J$1789="","",[2]Entry!$J$1789)</f>
        <v/>
      </c>
      <c r="N1786">
        <f>IF([2]Entry!$M$1789="","",[2]Entry!$M$1789)</f>
        <v/>
      </c>
      <c r="O1786">
        <f>IF([2]Entry!$N$1789="","",[2]Entry!$N$1789)</f>
        <v/>
      </c>
      <c r="P1786">
        <f>IF([2]Entry!$S$1789="","",[2]Entry!$S$1789)</f>
        <v/>
      </c>
    </row>
    <row r="1787">
      <c r="L1787">
        <f>IF([2]Entry!$C$1790="","",[2]Entry!$C$1790)</f>
        <v/>
      </c>
      <c r="M1787">
        <f>IF([2]Entry!$J$1790="","",[2]Entry!$J$1790)</f>
        <v/>
      </c>
      <c r="N1787">
        <f>IF([2]Entry!$M$1790="","",[2]Entry!$M$1790)</f>
        <v/>
      </c>
      <c r="O1787">
        <f>IF([2]Entry!$N$1790="","",[2]Entry!$N$1790)</f>
        <v/>
      </c>
      <c r="P1787">
        <f>IF([2]Entry!$S$1790="","",[2]Entry!$S$1790)</f>
        <v/>
      </c>
    </row>
    <row r="1788">
      <c r="L1788">
        <f>IF([2]Entry!$C$1791="","",[2]Entry!$C$1791)</f>
        <v/>
      </c>
      <c r="M1788">
        <f>IF([2]Entry!$J$1791="","",[2]Entry!$J$1791)</f>
        <v/>
      </c>
      <c r="N1788">
        <f>IF([2]Entry!$M$1791="","",[2]Entry!$M$1791)</f>
        <v/>
      </c>
      <c r="O1788">
        <f>IF([2]Entry!$N$1791="","",[2]Entry!$N$1791)</f>
        <v/>
      </c>
      <c r="P1788">
        <f>IF([2]Entry!$S$1791="","",[2]Entry!$S$1791)</f>
        <v/>
      </c>
    </row>
    <row r="1789">
      <c r="L1789">
        <f>IF([2]Entry!$C$1792="","",[2]Entry!$C$1792)</f>
        <v/>
      </c>
      <c r="M1789">
        <f>IF([2]Entry!$J$1792="","",[2]Entry!$J$1792)</f>
        <v/>
      </c>
      <c r="N1789">
        <f>IF([2]Entry!$M$1792="","",[2]Entry!$M$1792)</f>
        <v/>
      </c>
      <c r="O1789">
        <f>IF([2]Entry!$N$1792="","",[2]Entry!$N$1792)</f>
        <v/>
      </c>
      <c r="P1789">
        <f>IF([2]Entry!$S$1792="","",[2]Entry!$S$1792)</f>
        <v/>
      </c>
    </row>
    <row r="1790">
      <c r="L1790">
        <f>IF([2]Entry!$C$1793="","",[2]Entry!$C$1793)</f>
        <v/>
      </c>
      <c r="M1790">
        <f>IF([2]Entry!$J$1793="","",[2]Entry!$J$1793)</f>
        <v/>
      </c>
      <c r="N1790">
        <f>IF([2]Entry!$M$1793="","",[2]Entry!$M$1793)</f>
        <v/>
      </c>
      <c r="O1790">
        <f>IF([2]Entry!$N$1793="","",[2]Entry!$N$1793)</f>
        <v/>
      </c>
      <c r="P1790">
        <f>IF([2]Entry!$S$1793="","",[2]Entry!$S$1793)</f>
        <v/>
      </c>
    </row>
    <row r="1791">
      <c r="L1791">
        <f>IF([2]Entry!$C$1794="","",[2]Entry!$C$1794)</f>
        <v/>
      </c>
      <c r="M1791">
        <f>IF([2]Entry!$J$1794="","",[2]Entry!$J$1794)</f>
        <v/>
      </c>
      <c r="N1791">
        <f>IF([2]Entry!$M$1794="","",[2]Entry!$M$1794)</f>
        <v/>
      </c>
      <c r="O1791">
        <f>IF([2]Entry!$N$1794="","",[2]Entry!$N$1794)</f>
        <v/>
      </c>
      <c r="P1791">
        <f>IF([2]Entry!$S$1794="","",[2]Entry!$S$1794)</f>
        <v/>
      </c>
    </row>
    <row r="1792">
      <c r="L1792">
        <f>IF([2]Entry!$C$1795="","",[2]Entry!$C$1795)</f>
        <v/>
      </c>
      <c r="M1792">
        <f>IF([2]Entry!$J$1795="","",[2]Entry!$J$1795)</f>
        <v/>
      </c>
      <c r="N1792">
        <f>IF([2]Entry!$M$1795="","",[2]Entry!$M$1795)</f>
        <v/>
      </c>
      <c r="O1792">
        <f>IF([2]Entry!$N$1795="","",[2]Entry!$N$1795)</f>
        <v/>
      </c>
      <c r="P1792">
        <f>IF([2]Entry!$S$1795="","",[2]Entry!$S$1795)</f>
        <v/>
      </c>
    </row>
    <row r="1793">
      <c r="L1793">
        <f>IF([2]Entry!$C$1796="","",[2]Entry!$C$1796)</f>
        <v/>
      </c>
      <c r="M1793">
        <f>IF([2]Entry!$J$1796="","",[2]Entry!$J$1796)</f>
        <v/>
      </c>
      <c r="N1793">
        <f>IF([2]Entry!$M$1796="","",[2]Entry!$M$1796)</f>
        <v/>
      </c>
      <c r="O1793">
        <f>IF([2]Entry!$N$1796="","",[2]Entry!$N$1796)</f>
        <v/>
      </c>
      <c r="P1793">
        <f>IF([2]Entry!$S$1796="","",[2]Entry!$S$1796)</f>
        <v/>
      </c>
    </row>
    <row r="1794">
      <c r="L1794">
        <f>IF([2]Entry!$C$1797="","",[2]Entry!$C$1797)</f>
        <v/>
      </c>
      <c r="M1794">
        <f>IF([2]Entry!$J$1797="","",[2]Entry!$J$1797)</f>
        <v/>
      </c>
      <c r="N1794">
        <f>IF([2]Entry!$M$1797="","",[2]Entry!$M$1797)</f>
        <v/>
      </c>
      <c r="O1794">
        <f>IF([2]Entry!$N$1797="","",[2]Entry!$N$1797)</f>
        <v/>
      </c>
      <c r="P1794">
        <f>IF([2]Entry!$S$1797="","",[2]Entry!$S$1797)</f>
        <v/>
      </c>
    </row>
    <row r="1795">
      <c r="L1795">
        <f>IF([2]Entry!$C$1798="","",[2]Entry!$C$1798)</f>
        <v/>
      </c>
      <c r="M1795">
        <f>IF([2]Entry!$J$1798="","",[2]Entry!$J$1798)</f>
        <v/>
      </c>
      <c r="N1795">
        <f>IF([2]Entry!$M$1798="","",[2]Entry!$M$1798)</f>
        <v/>
      </c>
      <c r="O1795">
        <f>IF([2]Entry!$N$1798="","",[2]Entry!$N$1798)</f>
        <v/>
      </c>
      <c r="P1795">
        <f>IF([2]Entry!$S$1798="","",[2]Entry!$S$1798)</f>
        <v/>
      </c>
    </row>
    <row r="1796">
      <c r="L1796">
        <f>IF([2]Entry!$C$1799="","",[2]Entry!$C$1799)</f>
        <v/>
      </c>
      <c r="M1796">
        <f>IF([2]Entry!$J$1799="","",[2]Entry!$J$1799)</f>
        <v/>
      </c>
      <c r="N1796">
        <f>IF([2]Entry!$M$1799="","",[2]Entry!$M$1799)</f>
        <v/>
      </c>
      <c r="O1796">
        <f>IF([2]Entry!$N$1799="","",[2]Entry!$N$1799)</f>
        <v/>
      </c>
      <c r="P1796">
        <f>IF([2]Entry!$S$1799="","",[2]Entry!$S$1799)</f>
        <v/>
      </c>
    </row>
    <row r="1797">
      <c r="L1797">
        <f>IF([2]Entry!$C$1800="","",[2]Entry!$C$1800)</f>
        <v/>
      </c>
      <c r="M1797">
        <f>IF([2]Entry!$J$1800="","",[2]Entry!$J$1800)</f>
        <v/>
      </c>
      <c r="N1797">
        <f>IF([2]Entry!$M$1800="","",[2]Entry!$M$1800)</f>
        <v/>
      </c>
      <c r="O1797">
        <f>IF([2]Entry!$N$1800="","",[2]Entry!$N$1800)</f>
        <v/>
      </c>
      <c r="P1797">
        <f>IF([2]Entry!$S$1800="","",[2]Entry!$S$1800)</f>
        <v/>
      </c>
    </row>
    <row r="1798">
      <c r="L1798">
        <f>IF([2]Entry!$C$1801="","",[2]Entry!$C$1801)</f>
        <v/>
      </c>
      <c r="M1798">
        <f>IF([2]Entry!$J$1801="","",[2]Entry!$J$1801)</f>
        <v/>
      </c>
      <c r="N1798">
        <f>IF([2]Entry!$M$1801="","",[2]Entry!$M$1801)</f>
        <v/>
      </c>
      <c r="O1798">
        <f>IF([2]Entry!$N$1801="","",[2]Entry!$N$1801)</f>
        <v/>
      </c>
      <c r="P1798">
        <f>IF([2]Entry!$S$1801="","",[2]Entry!$S$1801)</f>
        <v/>
      </c>
    </row>
    <row r="1799">
      <c r="L1799">
        <f>IF([2]Entry!$C$1802="","",[2]Entry!$C$1802)</f>
        <v/>
      </c>
      <c r="M1799">
        <f>IF([2]Entry!$J$1802="","",[2]Entry!$J$1802)</f>
        <v/>
      </c>
      <c r="N1799">
        <f>IF([2]Entry!$M$1802="","",[2]Entry!$M$1802)</f>
        <v/>
      </c>
      <c r="O1799">
        <f>IF([2]Entry!$N$1802="","",[2]Entry!$N$1802)</f>
        <v/>
      </c>
      <c r="P1799">
        <f>IF([2]Entry!$S$1802="","",[2]Entry!$S$1802)</f>
        <v/>
      </c>
    </row>
    <row r="1800">
      <c r="L1800">
        <f>IF([2]Entry!$C$1803="","",[2]Entry!$C$1803)</f>
        <v/>
      </c>
      <c r="M1800">
        <f>IF([2]Entry!$J$1803="","",[2]Entry!$J$1803)</f>
        <v/>
      </c>
      <c r="N1800">
        <f>IF([2]Entry!$M$1803="","",[2]Entry!$M$1803)</f>
        <v/>
      </c>
      <c r="O1800">
        <f>IF([2]Entry!$N$1803="","",[2]Entry!$N$1803)</f>
        <v/>
      </c>
      <c r="P1800">
        <f>IF([2]Entry!$S$1803="","",[2]Entry!$S$1803)</f>
        <v/>
      </c>
    </row>
    <row r="1801">
      <c r="L1801">
        <f>IF([2]Entry!$C$1804="","",[2]Entry!$C$1804)</f>
        <v/>
      </c>
      <c r="M1801">
        <f>IF([2]Entry!$J$1804="","",[2]Entry!$J$1804)</f>
        <v/>
      </c>
      <c r="N1801">
        <f>IF([2]Entry!$M$1804="","",[2]Entry!$M$1804)</f>
        <v/>
      </c>
      <c r="O1801">
        <f>IF([2]Entry!$N$1804="","",[2]Entry!$N$1804)</f>
        <v/>
      </c>
      <c r="P1801">
        <f>IF([2]Entry!$S$1804="","",[2]Entry!$S$1804)</f>
        <v/>
      </c>
    </row>
    <row r="1802">
      <c r="L1802">
        <f>IF([2]Entry!$C$1805="","",[2]Entry!$C$1805)</f>
        <v/>
      </c>
      <c r="M1802">
        <f>IF([2]Entry!$J$1805="","",[2]Entry!$J$1805)</f>
        <v/>
      </c>
      <c r="N1802">
        <f>IF([2]Entry!$M$1805="","",[2]Entry!$M$1805)</f>
        <v/>
      </c>
      <c r="O1802">
        <f>IF([2]Entry!$N$1805="","",[2]Entry!$N$1805)</f>
        <v/>
      </c>
      <c r="P1802">
        <f>IF([2]Entry!$S$1805="","",[2]Entry!$S$1805)</f>
        <v/>
      </c>
    </row>
    <row r="1803">
      <c r="L1803">
        <f>IF([2]Entry!$C$1806="","",[2]Entry!$C$1806)</f>
        <v/>
      </c>
      <c r="M1803">
        <f>IF([2]Entry!$J$1806="","",[2]Entry!$J$1806)</f>
        <v/>
      </c>
      <c r="N1803">
        <f>IF([2]Entry!$M$1806="","",[2]Entry!$M$1806)</f>
        <v/>
      </c>
      <c r="O1803">
        <f>IF([2]Entry!$N$1806="","",[2]Entry!$N$1806)</f>
        <v/>
      </c>
      <c r="P1803">
        <f>IF([2]Entry!$S$1806="","",[2]Entry!$S$1806)</f>
        <v/>
      </c>
    </row>
    <row r="1804">
      <c r="L1804">
        <f>IF([2]Entry!$C$1807="","",[2]Entry!$C$1807)</f>
        <v/>
      </c>
      <c r="M1804">
        <f>IF([2]Entry!$J$1807="","",[2]Entry!$J$1807)</f>
        <v/>
      </c>
      <c r="N1804">
        <f>IF([2]Entry!$M$1807="","",[2]Entry!$M$1807)</f>
        <v/>
      </c>
      <c r="O1804">
        <f>IF([2]Entry!$N$1807="","",[2]Entry!$N$1807)</f>
        <v/>
      </c>
      <c r="P1804">
        <f>IF([2]Entry!$S$1807="","",[2]Entry!$S$1807)</f>
        <v/>
      </c>
    </row>
    <row r="1805">
      <c r="L1805">
        <f>IF([2]Entry!$C$1808="","",[2]Entry!$C$1808)</f>
        <v/>
      </c>
      <c r="M1805">
        <f>IF([2]Entry!$J$1808="","",[2]Entry!$J$1808)</f>
        <v/>
      </c>
      <c r="N1805">
        <f>IF([2]Entry!$M$1808="","",[2]Entry!$M$1808)</f>
        <v/>
      </c>
      <c r="O1805">
        <f>IF([2]Entry!$N$1808="","",[2]Entry!$N$1808)</f>
        <v/>
      </c>
      <c r="P1805">
        <f>IF([2]Entry!$S$1808="","",[2]Entry!$S$1808)</f>
        <v/>
      </c>
    </row>
    <row r="1806">
      <c r="L1806">
        <f>IF([2]Entry!$C$1809="","",[2]Entry!$C$1809)</f>
        <v/>
      </c>
      <c r="M1806">
        <f>IF([2]Entry!$J$1809="","",[2]Entry!$J$1809)</f>
        <v/>
      </c>
      <c r="N1806">
        <f>IF([2]Entry!$M$1809="","",[2]Entry!$M$1809)</f>
        <v/>
      </c>
      <c r="O1806">
        <f>IF([2]Entry!$N$1809="","",[2]Entry!$N$1809)</f>
        <v/>
      </c>
      <c r="P1806">
        <f>IF([2]Entry!$S$1809="","",[2]Entry!$S$1809)</f>
        <v/>
      </c>
    </row>
    <row r="1807">
      <c r="L1807">
        <f>IF([2]Entry!$C$1810="","",[2]Entry!$C$1810)</f>
        <v/>
      </c>
      <c r="M1807">
        <f>IF([2]Entry!$J$1810="","",[2]Entry!$J$1810)</f>
        <v/>
      </c>
      <c r="N1807">
        <f>IF([2]Entry!$M$1810="","",[2]Entry!$M$1810)</f>
        <v/>
      </c>
      <c r="O1807">
        <f>IF([2]Entry!$N$1810="","",[2]Entry!$N$1810)</f>
        <v/>
      </c>
      <c r="P1807">
        <f>IF([2]Entry!$S$1810="","",[2]Entry!$S$1810)</f>
        <v/>
      </c>
    </row>
    <row r="1808">
      <c r="L1808">
        <f>IF([2]Entry!$C$1811="","",[2]Entry!$C$1811)</f>
        <v/>
      </c>
      <c r="M1808">
        <f>IF([2]Entry!$J$1811="","",[2]Entry!$J$1811)</f>
        <v/>
      </c>
      <c r="N1808">
        <f>IF([2]Entry!$M$1811="","",[2]Entry!$M$1811)</f>
        <v/>
      </c>
      <c r="O1808">
        <f>IF([2]Entry!$N$1811="","",[2]Entry!$N$1811)</f>
        <v/>
      </c>
      <c r="P1808">
        <f>IF([2]Entry!$S$1811="","",[2]Entry!$S$1811)</f>
        <v/>
      </c>
    </row>
    <row r="1809">
      <c r="L1809">
        <f>IF([2]Entry!$C$1812="","",[2]Entry!$C$1812)</f>
        <v/>
      </c>
      <c r="M1809">
        <f>IF([2]Entry!$J$1812="","",[2]Entry!$J$1812)</f>
        <v/>
      </c>
      <c r="N1809">
        <f>IF([2]Entry!$M$1812="","",[2]Entry!$M$1812)</f>
        <v/>
      </c>
      <c r="O1809">
        <f>IF([2]Entry!$N$1812="","",[2]Entry!$N$1812)</f>
        <v/>
      </c>
      <c r="P1809">
        <f>IF([2]Entry!$S$1812="","",[2]Entry!$S$1812)</f>
        <v/>
      </c>
    </row>
    <row r="1810">
      <c r="L1810">
        <f>IF([2]Entry!$C$1813="","",[2]Entry!$C$1813)</f>
        <v/>
      </c>
      <c r="M1810">
        <f>IF([2]Entry!$J$1813="","",[2]Entry!$J$1813)</f>
        <v/>
      </c>
      <c r="N1810">
        <f>IF([2]Entry!$M$1813="","",[2]Entry!$M$1813)</f>
        <v/>
      </c>
      <c r="O1810">
        <f>IF([2]Entry!$N$1813="","",[2]Entry!$N$1813)</f>
        <v/>
      </c>
      <c r="P1810">
        <f>IF([2]Entry!$S$1813="","",[2]Entry!$S$1813)</f>
        <v/>
      </c>
    </row>
    <row r="1811">
      <c r="L1811">
        <f>IF([2]Entry!$C$1814="","",[2]Entry!$C$1814)</f>
        <v/>
      </c>
      <c r="M1811">
        <f>IF([2]Entry!$J$1814="","",[2]Entry!$J$1814)</f>
        <v/>
      </c>
      <c r="N1811">
        <f>IF([2]Entry!$M$1814="","",[2]Entry!$M$1814)</f>
        <v/>
      </c>
      <c r="O1811">
        <f>IF([2]Entry!$N$1814="","",[2]Entry!$N$1814)</f>
        <v/>
      </c>
      <c r="P1811">
        <f>IF([2]Entry!$S$1814="","",[2]Entry!$S$1814)</f>
        <v/>
      </c>
    </row>
    <row r="1812">
      <c r="L1812">
        <f>IF([2]Entry!$C$1815="","",[2]Entry!$C$1815)</f>
        <v/>
      </c>
      <c r="M1812">
        <f>IF([2]Entry!$J$1815="","",[2]Entry!$J$1815)</f>
        <v/>
      </c>
      <c r="N1812">
        <f>IF([2]Entry!$M$1815="","",[2]Entry!$M$1815)</f>
        <v/>
      </c>
      <c r="O1812">
        <f>IF([2]Entry!$N$1815="","",[2]Entry!$N$1815)</f>
        <v/>
      </c>
      <c r="P1812">
        <f>IF([2]Entry!$S$1815="","",[2]Entry!$S$1815)</f>
        <v/>
      </c>
    </row>
    <row r="1813">
      <c r="L1813">
        <f>IF([2]Entry!$C$1816="","",[2]Entry!$C$1816)</f>
        <v/>
      </c>
      <c r="M1813">
        <f>IF([2]Entry!$J$1816="","",[2]Entry!$J$1816)</f>
        <v/>
      </c>
      <c r="N1813">
        <f>IF([2]Entry!$M$1816="","",[2]Entry!$M$1816)</f>
        <v/>
      </c>
      <c r="O1813">
        <f>IF([2]Entry!$N$1816="","",[2]Entry!$N$1816)</f>
        <v/>
      </c>
      <c r="P1813">
        <f>IF([2]Entry!$S$1816="","",[2]Entry!$S$1816)</f>
        <v/>
      </c>
    </row>
    <row r="1814">
      <c r="L1814">
        <f>IF([2]Entry!$C$1817="","",[2]Entry!$C$1817)</f>
        <v/>
      </c>
      <c r="M1814">
        <f>IF([2]Entry!$J$1817="","",[2]Entry!$J$1817)</f>
        <v/>
      </c>
      <c r="N1814">
        <f>IF([2]Entry!$M$1817="","",[2]Entry!$M$1817)</f>
        <v/>
      </c>
      <c r="O1814">
        <f>IF([2]Entry!$N$1817="","",[2]Entry!$N$1817)</f>
        <v/>
      </c>
      <c r="P1814">
        <f>IF([2]Entry!$S$1817="","",[2]Entry!$S$1817)</f>
        <v/>
      </c>
    </row>
    <row r="1815">
      <c r="L1815">
        <f>IF([2]Entry!$C$1818="","",[2]Entry!$C$1818)</f>
        <v/>
      </c>
      <c r="M1815">
        <f>IF([2]Entry!$J$1818="","",[2]Entry!$J$1818)</f>
        <v/>
      </c>
      <c r="N1815">
        <f>IF([2]Entry!$M$1818="","",[2]Entry!$M$1818)</f>
        <v/>
      </c>
      <c r="O1815">
        <f>IF([2]Entry!$N$1818="","",[2]Entry!$N$1818)</f>
        <v/>
      </c>
      <c r="P1815">
        <f>IF([2]Entry!$S$1818="","",[2]Entry!$S$1818)</f>
        <v/>
      </c>
    </row>
    <row r="1816">
      <c r="L1816">
        <f>IF([2]Entry!$C$1819="","",[2]Entry!$C$1819)</f>
        <v/>
      </c>
      <c r="M1816">
        <f>IF([2]Entry!$J$1819="","",[2]Entry!$J$1819)</f>
        <v/>
      </c>
      <c r="N1816">
        <f>IF([2]Entry!$M$1819="","",[2]Entry!$M$1819)</f>
        <v/>
      </c>
      <c r="O1816">
        <f>IF([2]Entry!$N$1819="","",[2]Entry!$N$1819)</f>
        <v/>
      </c>
      <c r="P1816">
        <f>IF([2]Entry!$S$1819="","",[2]Entry!$S$1819)</f>
        <v/>
      </c>
    </row>
    <row r="1817">
      <c r="L1817">
        <f>IF([2]Entry!$C$1820="","",[2]Entry!$C$1820)</f>
        <v/>
      </c>
      <c r="M1817">
        <f>IF([2]Entry!$J$1820="","",[2]Entry!$J$1820)</f>
        <v/>
      </c>
      <c r="N1817">
        <f>IF([2]Entry!$M$1820="","",[2]Entry!$M$1820)</f>
        <v/>
      </c>
      <c r="O1817">
        <f>IF([2]Entry!$N$1820="","",[2]Entry!$N$1820)</f>
        <v/>
      </c>
      <c r="P1817">
        <f>IF([2]Entry!$S$1820="","",[2]Entry!$S$1820)</f>
        <v/>
      </c>
    </row>
    <row r="1818">
      <c r="L1818">
        <f>IF([2]Entry!$C$1821="","",[2]Entry!$C$1821)</f>
        <v/>
      </c>
      <c r="M1818">
        <f>IF([2]Entry!$J$1821="","",[2]Entry!$J$1821)</f>
        <v/>
      </c>
      <c r="N1818">
        <f>IF([2]Entry!$M$1821="","",[2]Entry!$M$1821)</f>
        <v/>
      </c>
      <c r="O1818">
        <f>IF([2]Entry!$N$1821="","",[2]Entry!$N$1821)</f>
        <v/>
      </c>
      <c r="P1818">
        <f>IF([2]Entry!$S$1821="","",[2]Entry!$S$1821)</f>
        <v/>
      </c>
    </row>
    <row r="1819">
      <c r="L1819">
        <f>IF([2]Entry!$C$1822="","",[2]Entry!$C$1822)</f>
        <v/>
      </c>
      <c r="M1819">
        <f>IF([2]Entry!$J$1822="","",[2]Entry!$J$1822)</f>
        <v/>
      </c>
      <c r="N1819">
        <f>IF([2]Entry!$M$1822="","",[2]Entry!$M$1822)</f>
        <v/>
      </c>
      <c r="O1819">
        <f>IF([2]Entry!$N$1822="","",[2]Entry!$N$1822)</f>
        <v/>
      </c>
      <c r="P1819">
        <f>IF([2]Entry!$S$1822="","",[2]Entry!$S$1822)</f>
        <v/>
      </c>
    </row>
    <row r="1820">
      <c r="L1820">
        <f>IF([2]Entry!$C$1823="","",[2]Entry!$C$1823)</f>
        <v/>
      </c>
      <c r="M1820">
        <f>IF([2]Entry!$J$1823="","",[2]Entry!$J$1823)</f>
        <v/>
      </c>
      <c r="N1820">
        <f>IF([2]Entry!$M$1823="","",[2]Entry!$M$1823)</f>
        <v/>
      </c>
      <c r="O1820">
        <f>IF([2]Entry!$N$1823="","",[2]Entry!$N$1823)</f>
        <v/>
      </c>
      <c r="P1820">
        <f>IF([2]Entry!$S$1823="","",[2]Entry!$S$1823)</f>
        <v/>
      </c>
    </row>
    <row r="1821">
      <c r="L1821">
        <f>IF([2]Entry!$C$1824="","",[2]Entry!$C$1824)</f>
        <v/>
      </c>
      <c r="M1821">
        <f>IF([2]Entry!$J$1824="","",[2]Entry!$J$1824)</f>
        <v/>
      </c>
      <c r="N1821">
        <f>IF([2]Entry!$M$1824="","",[2]Entry!$M$1824)</f>
        <v/>
      </c>
      <c r="O1821">
        <f>IF([2]Entry!$N$1824="","",[2]Entry!$N$1824)</f>
        <v/>
      </c>
      <c r="P1821">
        <f>IF([2]Entry!$S$1824="","",[2]Entry!$S$1824)</f>
        <v/>
      </c>
    </row>
    <row r="1822">
      <c r="L1822">
        <f>IF([2]Entry!$C$1825="","",[2]Entry!$C$1825)</f>
        <v/>
      </c>
      <c r="M1822">
        <f>IF([2]Entry!$J$1825="","",[2]Entry!$J$1825)</f>
        <v/>
      </c>
      <c r="N1822">
        <f>IF([2]Entry!$M$1825="","",[2]Entry!$M$1825)</f>
        <v/>
      </c>
      <c r="O1822">
        <f>IF([2]Entry!$N$1825="","",[2]Entry!$N$1825)</f>
        <v/>
      </c>
      <c r="P1822">
        <f>IF([2]Entry!$S$1825="","",[2]Entry!$S$1825)</f>
        <v/>
      </c>
    </row>
    <row r="1823">
      <c r="L1823">
        <f>IF([2]Entry!$C$1826="","",[2]Entry!$C$1826)</f>
        <v/>
      </c>
      <c r="M1823">
        <f>IF([2]Entry!$J$1826="","",[2]Entry!$J$1826)</f>
        <v/>
      </c>
      <c r="N1823">
        <f>IF([2]Entry!$M$1826="","",[2]Entry!$M$1826)</f>
        <v/>
      </c>
      <c r="O1823">
        <f>IF([2]Entry!$N$1826="","",[2]Entry!$N$1826)</f>
        <v/>
      </c>
      <c r="P1823">
        <f>IF([2]Entry!$S$1826="","",[2]Entry!$S$1826)</f>
        <v/>
      </c>
    </row>
    <row r="1824">
      <c r="L1824">
        <f>IF([2]Entry!$C$1827="","",[2]Entry!$C$1827)</f>
        <v/>
      </c>
      <c r="M1824">
        <f>IF([2]Entry!$J$1827="","",[2]Entry!$J$1827)</f>
        <v/>
      </c>
      <c r="N1824">
        <f>IF([2]Entry!$M$1827="","",[2]Entry!$M$1827)</f>
        <v/>
      </c>
      <c r="O1824">
        <f>IF([2]Entry!$N$1827="","",[2]Entry!$N$1827)</f>
        <v/>
      </c>
      <c r="P1824">
        <f>IF([2]Entry!$S$1827="","",[2]Entry!$S$1827)</f>
        <v/>
      </c>
    </row>
    <row r="1825">
      <c r="L1825">
        <f>IF([2]Entry!$C$1828="","",[2]Entry!$C$1828)</f>
        <v/>
      </c>
      <c r="M1825">
        <f>IF([2]Entry!$J$1828="","",[2]Entry!$J$1828)</f>
        <v/>
      </c>
      <c r="N1825">
        <f>IF([2]Entry!$M$1828="","",[2]Entry!$M$1828)</f>
        <v/>
      </c>
      <c r="O1825">
        <f>IF([2]Entry!$N$1828="","",[2]Entry!$N$1828)</f>
        <v/>
      </c>
      <c r="P1825">
        <f>IF([2]Entry!$S$1828="","",[2]Entry!$S$1828)</f>
        <v/>
      </c>
    </row>
    <row r="1826">
      <c r="L1826">
        <f>IF([2]Entry!$C$1829="","",[2]Entry!$C$1829)</f>
        <v/>
      </c>
      <c r="M1826">
        <f>IF([2]Entry!$J$1829="","",[2]Entry!$J$1829)</f>
        <v/>
      </c>
      <c r="N1826">
        <f>IF([2]Entry!$M$1829="","",[2]Entry!$M$1829)</f>
        <v/>
      </c>
      <c r="O1826">
        <f>IF([2]Entry!$N$1829="","",[2]Entry!$N$1829)</f>
        <v/>
      </c>
      <c r="P1826">
        <f>IF([2]Entry!$S$1829="","",[2]Entry!$S$1829)</f>
        <v/>
      </c>
    </row>
    <row r="1827">
      <c r="L1827">
        <f>IF([2]Entry!$C$1830="","",[2]Entry!$C$1830)</f>
        <v/>
      </c>
      <c r="M1827">
        <f>IF([2]Entry!$J$1830="","",[2]Entry!$J$1830)</f>
        <v/>
      </c>
      <c r="N1827">
        <f>IF([2]Entry!$M$1830="","",[2]Entry!$M$1830)</f>
        <v/>
      </c>
      <c r="O1827">
        <f>IF([2]Entry!$N$1830="","",[2]Entry!$N$1830)</f>
        <v/>
      </c>
      <c r="P1827">
        <f>IF([2]Entry!$S$1830="","",[2]Entry!$S$1830)</f>
        <v/>
      </c>
    </row>
    <row r="1828">
      <c r="L1828">
        <f>IF([2]Entry!$C$1831="","",[2]Entry!$C$1831)</f>
        <v/>
      </c>
      <c r="M1828">
        <f>IF([2]Entry!$J$1831="","",[2]Entry!$J$1831)</f>
        <v/>
      </c>
      <c r="N1828">
        <f>IF([2]Entry!$M$1831="","",[2]Entry!$M$1831)</f>
        <v/>
      </c>
      <c r="O1828">
        <f>IF([2]Entry!$N$1831="","",[2]Entry!$N$1831)</f>
        <v/>
      </c>
      <c r="P1828">
        <f>IF([2]Entry!$S$1831="","",[2]Entry!$S$1831)</f>
        <v/>
      </c>
    </row>
    <row r="1829">
      <c r="L1829">
        <f>IF([2]Entry!$C$1832="","",[2]Entry!$C$1832)</f>
        <v/>
      </c>
      <c r="M1829">
        <f>IF([2]Entry!$J$1832="","",[2]Entry!$J$1832)</f>
        <v/>
      </c>
      <c r="N1829">
        <f>IF([2]Entry!$M$1832="","",[2]Entry!$M$1832)</f>
        <v/>
      </c>
      <c r="O1829">
        <f>IF([2]Entry!$N$1832="","",[2]Entry!$N$1832)</f>
        <v/>
      </c>
      <c r="P1829">
        <f>IF([2]Entry!$S$1832="","",[2]Entry!$S$1832)</f>
        <v/>
      </c>
    </row>
    <row r="1830">
      <c r="L1830">
        <f>IF([2]Entry!$C$1833="","",[2]Entry!$C$1833)</f>
        <v/>
      </c>
      <c r="M1830">
        <f>IF([2]Entry!$J$1833="","",[2]Entry!$J$1833)</f>
        <v/>
      </c>
      <c r="N1830">
        <f>IF([2]Entry!$M$1833="","",[2]Entry!$M$1833)</f>
        <v/>
      </c>
      <c r="O1830">
        <f>IF([2]Entry!$N$1833="","",[2]Entry!$N$1833)</f>
        <v/>
      </c>
      <c r="P1830">
        <f>IF([2]Entry!$S$1833="","",[2]Entry!$S$1833)</f>
        <v/>
      </c>
    </row>
    <row r="1831">
      <c r="L1831">
        <f>IF([2]Entry!$C$1834="","",[2]Entry!$C$1834)</f>
        <v/>
      </c>
      <c r="M1831">
        <f>IF([2]Entry!$J$1834="","",[2]Entry!$J$1834)</f>
        <v/>
      </c>
      <c r="N1831">
        <f>IF([2]Entry!$M$1834="","",[2]Entry!$M$1834)</f>
        <v/>
      </c>
      <c r="O1831">
        <f>IF([2]Entry!$N$1834="","",[2]Entry!$N$1834)</f>
        <v/>
      </c>
      <c r="P1831">
        <f>IF([2]Entry!$S$1834="","",[2]Entry!$S$1834)</f>
        <v/>
      </c>
    </row>
    <row r="1832">
      <c r="L1832">
        <f>IF([2]Entry!$C$1835="","",[2]Entry!$C$1835)</f>
        <v/>
      </c>
      <c r="M1832">
        <f>IF([2]Entry!$J$1835="","",[2]Entry!$J$1835)</f>
        <v/>
      </c>
      <c r="N1832">
        <f>IF([2]Entry!$M$1835="","",[2]Entry!$M$1835)</f>
        <v/>
      </c>
      <c r="O1832">
        <f>IF([2]Entry!$N$1835="","",[2]Entry!$N$1835)</f>
        <v/>
      </c>
      <c r="P1832">
        <f>IF([2]Entry!$S$1835="","",[2]Entry!$S$1835)</f>
        <v/>
      </c>
    </row>
    <row r="1833">
      <c r="L1833">
        <f>IF([2]Entry!$C$1836="","",[2]Entry!$C$1836)</f>
        <v/>
      </c>
      <c r="M1833">
        <f>IF([2]Entry!$J$1836="","",[2]Entry!$J$1836)</f>
        <v/>
      </c>
      <c r="N1833">
        <f>IF([2]Entry!$M$1836="","",[2]Entry!$M$1836)</f>
        <v/>
      </c>
      <c r="O1833">
        <f>IF([2]Entry!$N$1836="","",[2]Entry!$N$1836)</f>
        <v/>
      </c>
      <c r="P1833">
        <f>IF([2]Entry!$S$1836="","",[2]Entry!$S$1836)</f>
        <v/>
      </c>
    </row>
    <row r="1834">
      <c r="L1834">
        <f>IF([2]Entry!$C$1837="","",[2]Entry!$C$1837)</f>
        <v/>
      </c>
      <c r="M1834">
        <f>IF([2]Entry!$J$1837="","",[2]Entry!$J$1837)</f>
        <v/>
      </c>
      <c r="N1834">
        <f>IF([2]Entry!$M$1837="","",[2]Entry!$M$1837)</f>
        <v/>
      </c>
      <c r="O1834">
        <f>IF([2]Entry!$N$1837="","",[2]Entry!$N$1837)</f>
        <v/>
      </c>
      <c r="P1834">
        <f>IF([2]Entry!$S$1837="","",[2]Entry!$S$1837)</f>
        <v/>
      </c>
    </row>
    <row r="1835">
      <c r="L1835">
        <f>IF([2]Entry!$C$1838="","",[2]Entry!$C$1838)</f>
        <v/>
      </c>
      <c r="M1835">
        <f>IF([2]Entry!$J$1838="","",[2]Entry!$J$1838)</f>
        <v/>
      </c>
      <c r="N1835">
        <f>IF([2]Entry!$M$1838="","",[2]Entry!$M$1838)</f>
        <v/>
      </c>
      <c r="O1835">
        <f>IF([2]Entry!$N$1838="","",[2]Entry!$N$1838)</f>
        <v/>
      </c>
      <c r="P1835">
        <f>IF([2]Entry!$S$1838="","",[2]Entry!$S$1838)</f>
        <v/>
      </c>
    </row>
    <row r="1836">
      <c r="L1836">
        <f>IF([2]Entry!$C$1839="","",[2]Entry!$C$1839)</f>
        <v/>
      </c>
      <c r="M1836">
        <f>IF([2]Entry!$J$1839="","",[2]Entry!$J$1839)</f>
        <v/>
      </c>
      <c r="N1836">
        <f>IF([2]Entry!$M$1839="","",[2]Entry!$M$1839)</f>
        <v/>
      </c>
      <c r="O1836">
        <f>IF([2]Entry!$N$1839="","",[2]Entry!$N$1839)</f>
        <v/>
      </c>
      <c r="P1836">
        <f>IF([2]Entry!$S$1839="","",[2]Entry!$S$1839)</f>
        <v/>
      </c>
    </row>
    <row r="1837">
      <c r="L1837">
        <f>IF([2]Entry!$C$1840="","",[2]Entry!$C$1840)</f>
        <v/>
      </c>
      <c r="M1837">
        <f>IF([2]Entry!$J$1840="","",[2]Entry!$J$1840)</f>
        <v/>
      </c>
      <c r="N1837">
        <f>IF([2]Entry!$M$1840="","",[2]Entry!$M$1840)</f>
        <v/>
      </c>
      <c r="O1837">
        <f>IF([2]Entry!$N$1840="","",[2]Entry!$N$1840)</f>
        <v/>
      </c>
      <c r="P1837">
        <f>IF([2]Entry!$S$1840="","",[2]Entry!$S$1840)</f>
        <v/>
      </c>
    </row>
    <row r="1838">
      <c r="L1838">
        <f>IF([2]Entry!$C$1841="","",[2]Entry!$C$1841)</f>
        <v/>
      </c>
      <c r="M1838">
        <f>IF([2]Entry!$J$1841="","",[2]Entry!$J$1841)</f>
        <v/>
      </c>
      <c r="N1838">
        <f>IF([2]Entry!$M$1841="","",[2]Entry!$M$1841)</f>
        <v/>
      </c>
      <c r="O1838">
        <f>IF([2]Entry!$N$1841="","",[2]Entry!$N$1841)</f>
        <v/>
      </c>
      <c r="P1838">
        <f>IF([2]Entry!$S$1841="","",[2]Entry!$S$1841)</f>
        <v/>
      </c>
    </row>
    <row r="1839">
      <c r="L1839">
        <f>IF([2]Entry!$C$1842="","",[2]Entry!$C$1842)</f>
        <v/>
      </c>
      <c r="M1839">
        <f>IF([2]Entry!$J$1842="","",[2]Entry!$J$1842)</f>
        <v/>
      </c>
      <c r="N1839">
        <f>IF([2]Entry!$M$1842="","",[2]Entry!$M$1842)</f>
        <v/>
      </c>
      <c r="O1839">
        <f>IF([2]Entry!$N$1842="","",[2]Entry!$N$1842)</f>
        <v/>
      </c>
      <c r="P1839">
        <f>IF([2]Entry!$S$1842="","",[2]Entry!$S$1842)</f>
        <v/>
      </c>
    </row>
    <row r="1840">
      <c r="L1840">
        <f>IF([2]Entry!$C$1843="","",[2]Entry!$C$1843)</f>
        <v/>
      </c>
      <c r="M1840">
        <f>IF([2]Entry!$J$1843="","",[2]Entry!$J$1843)</f>
        <v/>
      </c>
      <c r="N1840">
        <f>IF([2]Entry!$M$1843="","",[2]Entry!$M$1843)</f>
        <v/>
      </c>
      <c r="O1840">
        <f>IF([2]Entry!$N$1843="","",[2]Entry!$N$1843)</f>
        <v/>
      </c>
      <c r="P1840">
        <f>IF([2]Entry!$S$1843="","",[2]Entry!$S$1843)</f>
        <v/>
      </c>
    </row>
    <row r="1841">
      <c r="L1841">
        <f>IF([2]Entry!$C$1844="","",[2]Entry!$C$1844)</f>
        <v/>
      </c>
      <c r="M1841">
        <f>IF([2]Entry!$J$1844="","",[2]Entry!$J$1844)</f>
        <v/>
      </c>
      <c r="N1841">
        <f>IF([2]Entry!$M$1844="","",[2]Entry!$M$1844)</f>
        <v/>
      </c>
      <c r="O1841">
        <f>IF([2]Entry!$N$1844="","",[2]Entry!$N$1844)</f>
        <v/>
      </c>
      <c r="P1841">
        <f>IF([2]Entry!$S$1844="","",[2]Entry!$S$1844)</f>
        <v/>
      </c>
    </row>
    <row r="1842">
      <c r="L1842">
        <f>IF([2]Entry!$C$1845="","",[2]Entry!$C$1845)</f>
        <v/>
      </c>
      <c r="M1842">
        <f>IF([2]Entry!$J$1845="","",[2]Entry!$J$1845)</f>
        <v/>
      </c>
      <c r="N1842">
        <f>IF([2]Entry!$M$1845="","",[2]Entry!$M$1845)</f>
        <v/>
      </c>
      <c r="O1842">
        <f>IF([2]Entry!$N$1845="","",[2]Entry!$N$1845)</f>
        <v/>
      </c>
      <c r="P1842">
        <f>IF([2]Entry!$S$1845="","",[2]Entry!$S$1845)</f>
        <v/>
      </c>
    </row>
    <row r="1843">
      <c r="L1843">
        <f>IF([2]Entry!$C$1846="","",[2]Entry!$C$1846)</f>
        <v/>
      </c>
      <c r="M1843">
        <f>IF([2]Entry!$J$1846="","",[2]Entry!$J$1846)</f>
        <v/>
      </c>
      <c r="N1843">
        <f>IF([2]Entry!$M$1846="","",[2]Entry!$M$1846)</f>
        <v/>
      </c>
      <c r="O1843">
        <f>IF([2]Entry!$N$1846="","",[2]Entry!$N$1846)</f>
        <v/>
      </c>
      <c r="P1843">
        <f>IF([2]Entry!$S$1846="","",[2]Entry!$S$1846)</f>
        <v/>
      </c>
    </row>
    <row r="1844">
      <c r="L1844">
        <f>IF([2]Entry!$C$1847="","",[2]Entry!$C$1847)</f>
        <v/>
      </c>
      <c r="M1844">
        <f>IF([2]Entry!$J$1847="","",[2]Entry!$J$1847)</f>
        <v/>
      </c>
      <c r="N1844">
        <f>IF([2]Entry!$M$1847="","",[2]Entry!$M$1847)</f>
        <v/>
      </c>
      <c r="O1844">
        <f>IF([2]Entry!$N$1847="","",[2]Entry!$N$1847)</f>
        <v/>
      </c>
      <c r="P1844">
        <f>IF([2]Entry!$S$1847="","",[2]Entry!$S$1847)</f>
        <v/>
      </c>
    </row>
    <row r="1845">
      <c r="L1845">
        <f>IF([2]Entry!$C$1848="","",[2]Entry!$C$1848)</f>
        <v/>
      </c>
      <c r="M1845">
        <f>IF([2]Entry!$J$1848="","",[2]Entry!$J$1848)</f>
        <v/>
      </c>
      <c r="N1845">
        <f>IF([2]Entry!$M$1848="","",[2]Entry!$M$1848)</f>
        <v/>
      </c>
      <c r="O1845">
        <f>IF([2]Entry!$N$1848="","",[2]Entry!$N$1848)</f>
        <v/>
      </c>
      <c r="P1845">
        <f>IF([2]Entry!$S$1848="","",[2]Entry!$S$1848)</f>
        <v/>
      </c>
    </row>
    <row r="1846">
      <c r="L1846">
        <f>IF([2]Entry!$C$1849="","",[2]Entry!$C$1849)</f>
        <v/>
      </c>
      <c r="M1846">
        <f>IF([2]Entry!$J$1849="","",[2]Entry!$J$1849)</f>
        <v/>
      </c>
      <c r="N1846">
        <f>IF([2]Entry!$M$1849="","",[2]Entry!$M$1849)</f>
        <v/>
      </c>
      <c r="O1846">
        <f>IF([2]Entry!$N$1849="","",[2]Entry!$N$1849)</f>
        <v/>
      </c>
      <c r="P1846">
        <f>IF([2]Entry!$S$1849="","",[2]Entry!$S$1849)</f>
        <v/>
      </c>
    </row>
    <row r="1847">
      <c r="L1847">
        <f>IF([2]Entry!$C$1850="","",[2]Entry!$C$1850)</f>
        <v/>
      </c>
      <c r="M1847">
        <f>IF([2]Entry!$J$1850="","",[2]Entry!$J$1850)</f>
        <v/>
      </c>
      <c r="N1847">
        <f>IF([2]Entry!$M$1850="","",[2]Entry!$M$1850)</f>
        <v/>
      </c>
      <c r="O1847">
        <f>IF([2]Entry!$N$1850="","",[2]Entry!$N$1850)</f>
        <v/>
      </c>
      <c r="P1847">
        <f>IF([2]Entry!$S$1850="","",[2]Entry!$S$1850)</f>
        <v/>
      </c>
    </row>
    <row r="1848">
      <c r="L1848">
        <f>IF([2]Entry!$C$1851="","",[2]Entry!$C$1851)</f>
        <v/>
      </c>
      <c r="M1848">
        <f>IF([2]Entry!$J$1851="","",[2]Entry!$J$1851)</f>
        <v/>
      </c>
      <c r="N1848">
        <f>IF([2]Entry!$M$1851="","",[2]Entry!$M$1851)</f>
        <v/>
      </c>
      <c r="O1848">
        <f>IF([2]Entry!$N$1851="","",[2]Entry!$N$1851)</f>
        <v/>
      </c>
      <c r="P1848">
        <f>IF([2]Entry!$S$1851="","",[2]Entry!$S$1851)</f>
        <v/>
      </c>
    </row>
    <row r="1849">
      <c r="L1849">
        <f>IF([2]Entry!$C$1852="","",[2]Entry!$C$1852)</f>
        <v/>
      </c>
      <c r="M1849">
        <f>IF([2]Entry!$J$1852="","",[2]Entry!$J$1852)</f>
        <v/>
      </c>
      <c r="N1849">
        <f>IF([2]Entry!$M$1852="","",[2]Entry!$M$1852)</f>
        <v/>
      </c>
      <c r="O1849">
        <f>IF([2]Entry!$N$1852="","",[2]Entry!$N$1852)</f>
        <v/>
      </c>
      <c r="P1849">
        <f>IF([2]Entry!$S$1852="","",[2]Entry!$S$1852)</f>
        <v/>
      </c>
    </row>
    <row r="1850">
      <c r="L1850">
        <f>IF([2]Entry!$C$1853="","",[2]Entry!$C$1853)</f>
        <v/>
      </c>
      <c r="M1850">
        <f>IF([2]Entry!$J$1853="","",[2]Entry!$J$1853)</f>
        <v/>
      </c>
      <c r="N1850">
        <f>IF([2]Entry!$M$1853="","",[2]Entry!$M$1853)</f>
        <v/>
      </c>
      <c r="O1850">
        <f>IF([2]Entry!$N$1853="","",[2]Entry!$N$1853)</f>
        <v/>
      </c>
      <c r="P1850">
        <f>IF([2]Entry!$S$1853="","",[2]Entry!$S$1853)</f>
        <v/>
      </c>
    </row>
    <row r="1851">
      <c r="L1851">
        <f>IF([2]Entry!$C$1854="","",[2]Entry!$C$1854)</f>
        <v/>
      </c>
      <c r="M1851">
        <f>IF([2]Entry!$J$1854="","",[2]Entry!$J$1854)</f>
        <v/>
      </c>
      <c r="N1851">
        <f>IF([2]Entry!$M$1854="","",[2]Entry!$M$1854)</f>
        <v/>
      </c>
      <c r="O1851">
        <f>IF([2]Entry!$N$1854="","",[2]Entry!$N$1854)</f>
        <v/>
      </c>
      <c r="P1851">
        <f>IF([2]Entry!$S$1854="","",[2]Entry!$S$1854)</f>
        <v/>
      </c>
    </row>
    <row r="1852">
      <c r="L1852">
        <f>IF([2]Entry!$C$1855="","",[2]Entry!$C$1855)</f>
        <v/>
      </c>
      <c r="M1852">
        <f>IF([2]Entry!$J$1855="","",[2]Entry!$J$1855)</f>
        <v/>
      </c>
      <c r="N1852">
        <f>IF([2]Entry!$M$1855="","",[2]Entry!$M$1855)</f>
        <v/>
      </c>
      <c r="O1852">
        <f>IF([2]Entry!$N$1855="","",[2]Entry!$N$1855)</f>
        <v/>
      </c>
      <c r="P1852">
        <f>IF([2]Entry!$S$1855="","",[2]Entry!$S$1855)</f>
        <v/>
      </c>
    </row>
    <row r="1853">
      <c r="L1853">
        <f>IF([2]Entry!$C$1856="","",[2]Entry!$C$1856)</f>
        <v/>
      </c>
      <c r="M1853">
        <f>IF([2]Entry!$J$1856="","",[2]Entry!$J$1856)</f>
        <v/>
      </c>
      <c r="N1853">
        <f>IF([2]Entry!$M$1856="","",[2]Entry!$M$1856)</f>
        <v/>
      </c>
      <c r="O1853">
        <f>IF([2]Entry!$N$1856="","",[2]Entry!$N$1856)</f>
        <v/>
      </c>
      <c r="P1853">
        <f>IF([2]Entry!$S$1856="","",[2]Entry!$S$1856)</f>
        <v/>
      </c>
    </row>
    <row r="1854">
      <c r="L1854">
        <f>IF([2]Entry!$C$1857="","",[2]Entry!$C$1857)</f>
        <v/>
      </c>
      <c r="M1854">
        <f>IF([2]Entry!$J$1857="","",[2]Entry!$J$1857)</f>
        <v/>
      </c>
      <c r="N1854">
        <f>IF([2]Entry!$M$1857="","",[2]Entry!$M$1857)</f>
        <v/>
      </c>
      <c r="O1854">
        <f>IF([2]Entry!$N$1857="","",[2]Entry!$N$1857)</f>
        <v/>
      </c>
      <c r="P1854">
        <f>IF([2]Entry!$S$1857="","",[2]Entry!$S$1857)</f>
        <v/>
      </c>
    </row>
    <row r="1855">
      <c r="L1855">
        <f>IF([2]Entry!$C$1858="","",[2]Entry!$C$1858)</f>
        <v/>
      </c>
      <c r="M1855">
        <f>IF([2]Entry!$J$1858="","",[2]Entry!$J$1858)</f>
        <v/>
      </c>
      <c r="N1855">
        <f>IF([2]Entry!$M$1858="","",[2]Entry!$M$1858)</f>
        <v/>
      </c>
      <c r="O1855">
        <f>IF([2]Entry!$N$1858="","",[2]Entry!$N$1858)</f>
        <v/>
      </c>
      <c r="P1855">
        <f>IF([2]Entry!$S$1858="","",[2]Entry!$S$1858)</f>
        <v/>
      </c>
    </row>
    <row r="1856">
      <c r="L1856">
        <f>IF([2]Entry!$C$1859="","",[2]Entry!$C$1859)</f>
        <v/>
      </c>
      <c r="M1856">
        <f>IF([2]Entry!$J$1859="","",[2]Entry!$J$1859)</f>
        <v/>
      </c>
      <c r="N1856">
        <f>IF([2]Entry!$M$1859="","",[2]Entry!$M$1859)</f>
        <v/>
      </c>
      <c r="O1856">
        <f>IF([2]Entry!$N$1859="","",[2]Entry!$N$1859)</f>
        <v/>
      </c>
      <c r="P1856">
        <f>IF([2]Entry!$S$1859="","",[2]Entry!$S$1859)</f>
        <v/>
      </c>
    </row>
    <row r="1857">
      <c r="L1857">
        <f>IF([2]Entry!$C$1860="","",[2]Entry!$C$1860)</f>
        <v/>
      </c>
      <c r="M1857">
        <f>IF([2]Entry!$J$1860="","",[2]Entry!$J$1860)</f>
        <v/>
      </c>
      <c r="N1857">
        <f>IF([2]Entry!$M$1860="","",[2]Entry!$M$1860)</f>
        <v/>
      </c>
      <c r="O1857">
        <f>IF([2]Entry!$N$1860="","",[2]Entry!$N$1860)</f>
        <v/>
      </c>
      <c r="P1857">
        <f>IF([2]Entry!$S$1860="","",[2]Entry!$S$1860)</f>
        <v/>
      </c>
    </row>
    <row r="1858">
      <c r="L1858">
        <f>IF([2]Entry!$C$1861="","",[2]Entry!$C$1861)</f>
        <v/>
      </c>
      <c r="M1858">
        <f>IF([2]Entry!$J$1861="","",[2]Entry!$J$1861)</f>
        <v/>
      </c>
      <c r="N1858">
        <f>IF([2]Entry!$M$1861="","",[2]Entry!$M$1861)</f>
        <v/>
      </c>
      <c r="O1858">
        <f>IF([2]Entry!$N$1861="","",[2]Entry!$N$1861)</f>
        <v/>
      </c>
      <c r="P1858">
        <f>IF([2]Entry!$S$1861="","",[2]Entry!$S$1861)</f>
        <v/>
      </c>
    </row>
    <row r="1859">
      <c r="L1859">
        <f>IF([2]Entry!$C$1862="","",[2]Entry!$C$1862)</f>
        <v/>
      </c>
      <c r="M1859">
        <f>IF([2]Entry!$J$1862="","",[2]Entry!$J$1862)</f>
        <v/>
      </c>
      <c r="N1859">
        <f>IF([2]Entry!$M$1862="","",[2]Entry!$M$1862)</f>
        <v/>
      </c>
      <c r="O1859">
        <f>IF([2]Entry!$N$1862="","",[2]Entry!$N$1862)</f>
        <v/>
      </c>
      <c r="P1859">
        <f>IF([2]Entry!$S$1862="","",[2]Entry!$S$1862)</f>
        <v/>
      </c>
    </row>
    <row r="1860">
      <c r="L1860">
        <f>IF([2]Entry!$C$1863="","",[2]Entry!$C$1863)</f>
        <v/>
      </c>
      <c r="M1860">
        <f>IF([2]Entry!$J$1863="","",[2]Entry!$J$1863)</f>
        <v/>
      </c>
      <c r="N1860">
        <f>IF([2]Entry!$M$1863="","",[2]Entry!$M$1863)</f>
        <v/>
      </c>
      <c r="O1860">
        <f>IF([2]Entry!$N$1863="","",[2]Entry!$N$1863)</f>
        <v/>
      </c>
      <c r="P1860">
        <f>IF([2]Entry!$S$1863="","",[2]Entry!$S$1863)</f>
        <v/>
      </c>
    </row>
    <row r="1861">
      <c r="L1861">
        <f>IF([2]Entry!$C$1864="","",[2]Entry!$C$1864)</f>
        <v/>
      </c>
      <c r="M1861">
        <f>IF([2]Entry!$J$1864="","",[2]Entry!$J$1864)</f>
        <v/>
      </c>
      <c r="N1861">
        <f>IF([2]Entry!$M$1864="","",[2]Entry!$M$1864)</f>
        <v/>
      </c>
      <c r="O1861">
        <f>IF([2]Entry!$N$1864="","",[2]Entry!$N$1864)</f>
        <v/>
      </c>
      <c r="P1861">
        <f>IF([2]Entry!$S$1864="","",[2]Entry!$S$1864)</f>
        <v/>
      </c>
    </row>
    <row r="1862">
      <c r="L1862">
        <f>IF([2]Entry!$C$1865="","",[2]Entry!$C$1865)</f>
        <v/>
      </c>
      <c r="M1862">
        <f>IF([2]Entry!$J$1865="","",[2]Entry!$J$1865)</f>
        <v/>
      </c>
      <c r="N1862">
        <f>IF([2]Entry!$M$1865="","",[2]Entry!$M$1865)</f>
        <v/>
      </c>
      <c r="O1862">
        <f>IF([2]Entry!$N$1865="","",[2]Entry!$N$1865)</f>
        <v/>
      </c>
      <c r="P1862">
        <f>IF([2]Entry!$S$1865="","",[2]Entry!$S$1865)</f>
        <v/>
      </c>
    </row>
    <row r="1863">
      <c r="L1863">
        <f>IF([2]Entry!$C$1866="","",[2]Entry!$C$1866)</f>
        <v/>
      </c>
      <c r="M1863">
        <f>IF([2]Entry!$J$1866="","",[2]Entry!$J$1866)</f>
        <v/>
      </c>
      <c r="N1863">
        <f>IF([2]Entry!$M$1866="","",[2]Entry!$M$1866)</f>
        <v/>
      </c>
      <c r="O1863">
        <f>IF([2]Entry!$N$1866="","",[2]Entry!$N$1866)</f>
        <v/>
      </c>
      <c r="P1863">
        <f>IF([2]Entry!$S$1866="","",[2]Entry!$S$1866)</f>
        <v/>
      </c>
    </row>
    <row r="1864">
      <c r="L1864">
        <f>IF([2]Entry!$C$1867="","",[2]Entry!$C$1867)</f>
        <v/>
      </c>
      <c r="M1864">
        <f>IF([2]Entry!$J$1867="","",[2]Entry!$J$1867)</f>
        <v/>
      </c>
      <c r="N1864">
        <f>IF([2]Entry!$M$1867="","",[2]Entry!$M$1867)</f>
        <v/>
      </c>
      <c r="O1864">
        <f>IF([2]Entry!$N$1867="","",[2]Entry!$N$1867)</f>
        <v/>
      </c>
      <c r="P1864">
        <f>IF([2]Entry!$S$1867="","",[2]Entry!$S$1867)</f>
        <v/>
      </c>
    </row>
    <row r="1865">
      <c r="L1865">
        <f>IF([2]Entry!$C$1868="","",[2]Entry!$C$1868)</f>
        <v/>
      </c>
      <c r="M1865">
        <f>IF([2]Entry!$J$1868="","",[2]Entry!$J$1868)</f>
        <v/>
      </c>
      <c r="N1865">
        <f>IF([2]Entry!$M$1868="","",[2]Entry!$M$1868)</f>
        <v/>
      </c>
      <c r="O1865">
        <f>IF([2]Entry!$N$1868="","",[2]Entry!$N$1868)</f>
        <v/>
      </c>
      <c r="P1865">
        <f>IF([2]Entry!$S$1868="","",[2]Entry!$S$1868)</f>
        <v/>
      </c>
    </row>
    <row r="1866">
      <c r="L1866">
        <f>IF([2]Entry!$C$1869="","",[2]Entry!$C$1869)</f>
        <v/>
      </c>
      <c r="M1866">
        <f>IF([2]Entry!$J$1869="","",[2]Entry!$J$1869)</f>
        <v/>
      </c>
      <c r="N1866">
        <f>IF([2]Entry!$M$1869="","",[2]Entry!$M$1869)</f>
        <v/>
      </c>
      <c r="O1866">
        <f>IF([2]Entry!$N$1869="","",[2]Entry!$N$1869)</f>
        <v/>
      </c>
      <c r="P1866">
        <f>IF([2]Entry!$S$1869="","",[2]Entry!$S$1869)</f>
        <v/>
      </c>
    </row>
    <row r="1867">
      <c r="L1867">
        <f>IF([2]Entry!$C$1870="","",[2]Entry!$C$1870)</f>
        <v/>
      </c>
      <c r="M1867">
        <f>IF([2]Entry!$J$1870="","",[2]Entry!$J$1870)</f>
        <v/>
      </c>
      <c r="N1867">
        <f>IF([2]Entry!$M$1870="","",[2]Entry!$M$1870)</f>
        <v/>
      </c>
      <c r="O1867">
        <f>IF([2]Entry!$N$1870="","",[2]Entry!$N$1870)</f>
        <v/>
      </c>
      <c r="P1867">
        <f>IF([2]Entry!$S$1870="","",[2]Entry!$S$1870)</f>
        <v/>
      </c>
    </row>
    <row r="1868">
      <c r="L1868">
        <f>IF([2]Entry!$C$1871="","",[2]Entry!$C$1871)</f>
        <v/>
      </c>
      <c r="M1868">
        <f>IF([2]Entry!$J$1871="","",[2]Entry!$J$1871)</f>
        <v/>
      </c>
      <c r="N1868">
        <f>IF([2]Entry!$M$1871="","",[2]Entry!$M$1871)</f>
        <v/>
      </c>
      <c r="O1868">
        <f>IF([2]Entry!$N$1871="","",[2]Entry!$N$1871)</f>
        <v/>
      </c>
      <c r="P1868">
        <f>IF([2]Entry!$S$1871="","",[2]Entry!$S$1871)</f>
        <v/>
      </c>
    </row>
    <row r="1869">
      <c r="L1869">
        <f>IF([2]Entry!$C$1872="","",[2]Entry!$C$1872)</f>
        <v/>
      </c>
      <c r="M1869">
        <f>IF([2]Entry!$J$1872="","",[2]Entry!$J$1872)</f>
        <v/>
      </c>
      <c r="N1869">
        <f>IF([2]Entry!$M$1872="","",[2]Entry!$M$1872)</f>
        <v/>
      </c>
      <c r="O1869">
        <f>IF([2]Entry!$N$1872="","",[2]Entry!$N$1872)</f>
        <v/>
      </c>
      <c r="P1869">
        <f>IF([2]Entry!$S$1872="","",[2]Entry!$S$1872)</f>
        <v/>
      </c>
    </row>
    <row r="1870">
      <c r="L1870">
        <f>IF([2]Entry!$C$1873="","",[2]Entry!$C$1873)</f>
        <v/>
      </c>
      <c r="M1870">
        <f>IF([2]Entry!$J$1873="","",[2]Entry!$J$1873)</f>
        <v/>
      </c>
      <c r="N1870">
        <f>IF([2]Entry!$M$1873="","",[2]Entry!$M$1873)</f>
        <v/>
      </c>
      <c r="O1870">
        <f>IF([2]Entry!$N$1873="","",[2]Entry!$N$1873)</f>
        <v/>
      </c>
      <c r="P1870">
        <f>IF([2]Entry!$S$1873="","",[2]Entry!$S$1873)</f>
        <v/>
      </c>
    </row>
    <row r="1871">
      <c r="L1871">
        <f>IF([2]Entry!$C$1874="","",[2]Entry!$C$1874)</f>
        <v/>
      </c>
      <c r="M1871">
        <f>IF([2]Entry!$J$1874="","",[2]Entry!$J$1874)</f>
        <v/>
      </c>
      <c r="N1871">
        <f>IF([2]Entry!$M$1874="","",[2]Entry!$M$1874)</f>
        <v/>
      </c>
      <c r="O1871">
        <f>IF([2]Entry!$N$1874="","",[2]Entry!$N$1874)</f>
        <v/>
      </c>
      <c r="P1871">
        <f>IF([2]Entry!$S$1874="","",[2]Entry!$S$1874)</f>
        <v/>
      </c>
    </row>
    <row r="1872">
      <c r="L1872">
        <f>IF([2]Entry!$C$1875="","",[2]Entry!$C$1875)</f>
        <v/>
      </c>
      <c r="M1872">
        <f>IF([2]Entry!$J$1875="","",[2]Entry!$J$1875)</f>
        <v/>
      </c>
      <c r="N1872">
        <f>IF([2]Entry!$M$1875="","",[2]Entry!$M$1875)</f>
        <v/>
      </c>
      <c r="O1872">
        <f>IF([2]Entry!$N$1875="","",[2]Entry!$N$1875)</f>
        <v/>
      </c>
      <c r="P1872">
        <f>IF([2]Entry!$S$1875="","",[2]Entry!$S$1875)</f>
        <v/>
      </c>
    </row>
    <row r="1873">
      <c r="L1873">
        <f>IF([2]Entry!$C$1876="","",[2]Entry!$C$1876)</f>
        <v/>
      </c>
      <c r="M1873">
        <f>IF([2]Entry!$J$1876="","",[2]Entry!$J$1876)</f>
        <v/>
      </c>
      <c r="N1873">
        <f>IF([2]Entry!$M$1876="","",[2]Entry!$M$1876)</f>
        <v/>
      </c>
      <c r="O1873">
        <f>IF([2]Entry!$N$1876="","",[2]Entry!$N$1876)</f>
        <v/>
      </c>
      <c r="P1873">
        <f>IF([2]Entry!$S$1876="","",[2]Entry!$S$1876)</f>
        <v/>
      </c>
    </row>
    <row r="1874">
      <c r="L1874">
        <f>IF([2]Entry!$C$1877="","",[2]Entry!$C$1877)</f>
        <v/>
      </c>
      <c r="M1874">
        <f>IF([2]Entry!$J$1877="","",[2]Entry!$J$1877)</f>
        <v/>
      </c>
      <c r="N1874">
        <f>IF([2]Entry!$M$1877="","",[2]Entry!$M$1877)</f>
        <v/>
      </c>
      <c r="O1874">
        <f>IF([2]Entry!$N$1877="","",[2]Entry!$N$1877)</f>
        <v/>
      </c>
      <c r="P1874">
        <f>IF([2]Entry!$S$1877="","",[2]Entry!$S$1877)</f>
        <v/>
      </c>
    </row>
    <row r="1875">
      <c r="L1875">
        <f>IF([2]Entry!$C$1878="","",[2]Entry!$C$1878)</f>
        <v/>
      </c>
      <c r="M1875">
        <f>IF([2]Entry!$J$1878="","",[2]Entry!$J$1878)</f>
        <v/>
      </c>
      <c r="N1875">
        <f>IF([2]Entry!$M$1878="","",[2]Entry!$M$1878)</f>
        <v/>
      </c>
      <c r="O1875">
        <f>IF([2]Entry!$N$1878="","",[2]Entry!$N$1878)</f>
        <v/>
      </c>
      <c r="P1875">
        <f>IF([2]Entry!$S$1878="","",[2]Entry!$S$1878)</f>
        <v/>
      </c>
    </row>
    <row r="1876">
      <c r="L1876">
        <f>IF([2]Entry!$C$1879="","",[2]Entry!$C$1879)</f>
        <v/>
      </c>
      <c r="M1876">
        <f>IF([2]Entry!$J$1879="","",[2]Entry!$J$1879)</f>
        <v/>
      </c>
      <c r="N1876">
        <f>IF([2]Entry!$M$1879="","",[2]Entry!$M$1879)</f>
        <v/>
      </c>
      <c r="O1876">
        <f>IF([2]Entry!$N$1879="","",[2]Entry!$N$1879)</f>
        <v/>
      </c>
      <c r="P1876">
        <f>IF([2]Entry!$S$1879="","",[2]Entry!$S$1879)</f>
        <v/>
      </c>
    </row>
    <row r="1877">
      <c r="L1877">
        <f>IF([2]Entry!$C$1880="","",[2]Entry!$C$1880)</f>
        <v/>
      </c>
      <c r="M1877">
        <f>IF([2]Entry!$J$1880="","",[2]Entry!$J$1880)</f>
        <v/>
      </c>
      <c r="N1877">
        <f>IF([2]Entry!$M$1880="","",[2]Entry!$M$1880)</f>
        <v/>
      </c>
      <c r="O1877">
        <f>IF([2]Entry!$N$1880="","",[2]Entry!$N$1880)</f>
        <v/>
      </c>
      <c r="P1877">
        <f>IF([2]Entry!$S$1880="","",[2]Entry!$S$1880)</f>
        <v/>
      </c>
    </row>
    <row r="1878">
      <c r="L1878">
        <f>IF([2]Entry!$C$1881="","",[2]Entry!$C$1881)</f>
        <v/>
      </c>
      <c r="M1878">
        <f>IF([2]Entry!$J$1881="","",[2]Entry!$J$1881)</f>
        <v/>
      </c>
      <c r="N1878">
        <f>IF([2]Entry!$M$1881="","",[2]Entry!$M$1881)</f>
        <v/>
      </c>
      <c r="O1878">
        <f>IF([2]Entry!$N$1881="","",[2]Entry!$N$1881)</f>
        <v/>
      </c>
      <c r="P1878">
        <f>IF([2]Entry!$S$1881="","",[2]Entry!$S$1881)</f>
        <v/>
      </c>
    </row>
    <row r="1879">
      <c r="L1879">
        <f>IF([2]Entry!$C$1882="","",[2]Entry!$C$1882)</f>
        <v/>
      </c>
      <c r="M1879">
        <f>IF([2]Entry!$J$1882="","",[2]Entry!$J$1882)</f>
        <v/>
      </c>
      <c r="N1879">
        <f>IF([2]Entry!$M$1882="","",[2]Entry!$M$1882)</f>
        <v/>
      </c>
      <c r="O1879">
        <f>IF([2]Entry!$N$1882="","",[2]Entry!$N$1882)</f>
        <v/>
      </c>
      <c r="P1879">
        <f>IF([2]Entry!$S$1882="","",[2]Entry!$S$1882)</f>
        <v/>
      </c>
    </row>
    <row r="1880">
      <c r="L1880">
        <f>IF([2]Entry!$C$1883="","",[2]Entry!$C$1883)</f>
        <v/>
      </c>
      <c r="M1880">
        <f>IF([2]Entry!$J$1883="","",[2]Entry!$J$1883)</f>
        <v/>
      </c>
      <c r="N1880">
        <f>IF([2]Entry!$M$1883="","",[2]Entry!$M$1883)</f>
        <v/>
      </c>
      <c r="O1880">
        <f>IF([2]Entry!$N$1883="","",[2]Entry!$N$1883)</f>
        <v/>
      </c>
      <c r="P1880">
        <f>IF([2]Entry!$S$1883="","",[2]Entry!$S$1883)</f>
        <v/>
      </c>
    </row>
    <row r="1881">
      <c r="L1881">
        <f>IF([2]Entry!$C$1884="","",[2]Entry!$C$1884)</f>
        <v/>
      </c>
      <c r="M1881">
        <f>IF([2]Entry!$J$1884="","",[2]Entry!$J$1884)</f>
        <v/>
      </c>
      <c r="N1881">
        <f>IF([2]Entry!$M$1884="","",[2]Entry!$M$1884)</f>
        <v/>
      </c>
      <c r="O1881">
        <f>IF([2]Entry!$N$1884="","",[2]Entry!$N$1884)</f>
        <v/>
      </c>
      <c r="P1881">
        <f>IF([2]Entry!$S$1884="","",[2]Entry!$S$1884)</f>
        <v/>
      </c>
    </row>
    <row r="1882">
      <c r="L1882">
        <f>IF([2]Entry!$C$1885="","",[2]Entry!$C$1885)</f>
        <v/>
      </c>
      <c r="M1882">
        <f>IF([2]Entry!$J$1885="","",[2]Entry!$J$1885)</f>
        <v/>
      </c>
      <c r="N1882">
        <f>IF([2]Entry!$M$1885="","",[2]Entry!$M$1885)</f>
        <v/>
      </c>
      <c r="O1882">
        <f>IF([2]Entry!$N$1885="","",[2]Entry!$N$1885)</f>
        <v/>
      </c>
      <c r="P1882">
        <f>IF([2]Entry!$S$1885="","",[2]Entry!$S$1885)</f>
        <v/>
      </c>
    </row>
    <row r="1883">
      <c r="L1883">
        <f>IF([2]Entry!$C$1886="","",[2]Entry!$C$1886)</f>
        <v/>
      </c>
      <c r="M1883">
        <f>IF([2]Entry!$J$1886="","",[2]Entry!$J$1886)</f>
        <v/>
      </c>
      <c r="N1883">
        <f>IF([2]Entry!$M$1886="","",[2]Entry!$M$1886)</f>
        <v/>
      </c>
      <c r="O1883">
        <f>IF([2]Entry!$N$1886="","",[2]Entry!$N$1886)</f>
        <v/>
      </c>
      <c r="P1883">
        <f>IF([2]Entry!$S$1886="","",[2]Entry!$S$1886)</f>
        <v/>
      </c>
    </row>
    <row r="1884">
      <c r="L1884">
        <f>IF([2]Entry!$C$1887="","",[2]Entry!$C$1887)</f>
        <v/>
      </c>
      <c r="M1884">
        <f>IF([2]Entry!$J$1887="","",[2]Entry!$J$1887)</f>
        <v/>
      </c>
      <c r="N1884">
        <f>IF([2]Entry!$M$1887="","",[2]Entry!$M$1887)</f>
        <v/>
      </c>
      <c r="O1884">
        <f>IF([2]Entry!$N$1887="","",[2]Entry!$N$1887)</f>
        <v/>
      </c>
      <c r="P1884">
        <f>IF([2]Entry!$S$1887="","",[2]Entry!$S$1887)</f>
        <v/>
      </c>
    </row>
    <row r="1885">
      <c r="L1885">
        <f>IF([2]Entry!$C$1888="","",[2]Entry!$C$1888)</f>
        <v/>
      </c>
      <c r="M1885">
        <f>IF([2]Entry!$J$1888="","",[2]Entry!$J$1888)</f>
        <v/>
      </c>
      <c r="N1885">
        <f>IF([2]Entry!$M$1888="","",[2]Entry!$M$1888)</f>
        <v/>
      </c>
      <c r="O1885">
        <f>IF([2]Entry!$N$1888="","",[2]Entry!$N$1888)</f>
        <v/>
      </c>
      <c r="P1885">
        <f>IF([2]Entry!$S$1888="","",[2]Entry!$S$1888)</f>
        <v/>
      </c>
    </row>
    <row r="1886">
      <c r="L1886">
        <f>IF([2]Entry!$C$1889="","",[2]Entry!$C$1889)</f>
        <v/>
      </c>
      <c r="M1886">
        <f>IF([2]Entry!$J$1889="","",[2]Entry!$J$1889)</f>
        <v/>
      </c>
      <c r="N1886">
        <f>IF([2]Entry!$M$1889="","",[2]Entry!$M$1889)</f>
        <v/>
      </c>
      <c r="O1886">
        <f>IF([2]Entry!$N$1889="","",[2]Entry!$N$1889)</f>
        <v/>
      </c>
      <c r="P1886">
        <f>IF([2]Entry!$S$1889="","",[2]Entry!$S$1889)</f>
        <v/>
      </c>
    </row>
    <row r="1887">
      <c r="L1887">
        <f>IF([2]Entry!$C$1890="","",[2]Entry!$C$1890)</f>
        <v/>
      </c>
      <c r="M1887">
        <f>IF([2]Entry!$J$1890="","",[2]Entry!$J$1890)</f>
        <v/>
      </c>
      <c r="N1887">
        <f>IF([2]Entry!$M$1890="","",[2]Entry!$M$1890)</f>
        <v/>
      </c>
      <c r="O1887">
        <f>IF([2]Entry!$N$1890="","",[2]Entry!$N$1890)</f>
        <v/>
      </c>
      <c r="P1887">
        <f>IF([2]Entry!$S$1890="","",[2]Entry!$S$1890)</f>
        <v/>
      </c>
    </row>
    <row r="1888">
      <c r="L1888">
        <f>IF([2]Entry!$C$1891="","",[2]Entry!$C$1891)</f>
        <v/>
      </c>
      <c r="M1888">
        <f>IF([2]Entry!$J$1891="","",[2]Entry!$J$1891)</f>
        <v/>
      </c>
      <c r="N1888">
        <f>IF([2]Entry!$M$1891="","",[2]Entry!$M$1891)</f>
        <v/>
      </c>
      <c r="O1888">
        <f>IF([2]Entry!$N$1891="","",[2]Entry!$N$1891)</f>
        <v/>
      </c>
      <c r="P1888">
        <f>IF([2]Entry!$S$1891="","",[2]Entry!$S$1891)</f>
        <v/>
      </c>
    </row>
    <row r="1889">
      <c r="L1889">
        <f>IF([2]Entry!$C$1892="","",[2]Entry!$C$1892)</f>
        <v/>
      </c>
      <c r="M1889">
        <f>IF([2]Entry!$J$1892="","",[2]Entry!$J$1892)</f>
        <v/>
      </c>
      <c r="N1889">
        <f>IF([2]Entry!$M$1892="","",[2]Entry!$M$1892)</f>
        <v/>
      </c>
      <c r="O1889">
        <f>IF([2]Entry!$N$1892="","",[2]Entry!$N$1892)</f>
        <v/>
      </c>
      <c r="P1889">
        <f>IF([2]Entry!$S$1892="","",[2]Entry!$S$1892)</f>
        <v/>
      </c>
    </row>
    <row r="1890">
      <c r="L1890">
        <f>IF([2]Entry!$C$1893="","",[2]Entry!$C$1893)</f>
        <v/>
      </c>
      <c r="M1890">
        <f>IF([2]Entry!$J$1893="","",[2]Entry!$J$1893)</f>
        <v/>
      </c>
      <c r="N1890">
        <f>IF([2]Entry!$M$1893="","",[2]Entry!$M$1893)</f>
        <v/>
      </c>
      <c r="O1890">
        <f>IF([2]Entry!$N$1893="","",[2]Entry!$N$1893)</f>
        <v/>
      </c>
      <c r="P1890">
        <f>IF([2]Entry!$S$1893="","",[2]Entry!$S$1893)</f>
        <v/>
      </c>
    </row>
    <row r="1891">
      <c r="L1891">
        <f>IF([2]Entry!$C$1894="","",[2]Entry!$C$1894)</f>
        <v/>
      </c>
      <c r="M1891">
        <f>IF([2]Entry!$J$1894="","",[2]Entry!$J$1894)</f>
        <v/>
      </c>
      <c r="N1891">
        <f>IF([2]Entry!$M$1894="","",[2]Entry!$M$1894)</f>
        <v/>
      </c>
      <c r="O1891">
        <f>IF([2]Entry!$N$1894="","",[2]Entry!$N$1894)</f>
        <v/>
      </c>
      <c r="P1891">
        <f>IF([2]Entry!$S$1894="","",[2]Entry!$S$1894)</f>
        <v/>
      </c>
    </row>
    <row r="1892">
      <c r="L1892">
        <f>IF([2]Entry!$C$1895="","",[2]Entry!$C$1895)</f>
        <v/>
      </c>
      <c r="M1892">
        <f>IF([2]Entry!$J$1895="","",[2]Entry!$J$1895)</f>
        <v/>
      </c>
      <c r="N1892">
        <f>IF([2]Entry!$M$1895="","",[2]Entry!$M$1895)</f>
        <v/>
      </c>
      <c r="O1892">
        <f>IF([2]Entry!$N$1895="","",[2]Entry!$N$1895)</f>
        <v/>
      </c>
      <c r="P1892">
        <f>IF([2]Entry!$S$1895="","",[2]Entry!$S$1895)</f>
        <v/>
      </c>
    </row>
    <row r="1893">
      <c r="L1893">
        <f>IF([2]Entry!$C$1896="","",[2]Entry!$C$1896)</f>
        <v/>
      </c>
      <c r="M1893">
        <f>IF([2]Entry!$J$1896="","",[2]Entry!$J$1896)</f>
        <v/>
      </c>
      <c r="N1893">
        <f>IF([2]Entry!$M$1896="","",[2]Entry!$M$1896)</f>
        <v/>
      </c>
      <c r="O1893">
        <f>IF([2]Entry!$N$1896="","",[2]Entry!$N$1896)</f>
        <v/>
      </c>
      <c r="P1893">
        <f>IF([2]Entry!$S$1896="","",[2]Entry!$S$1896)</f>
        <v/>
      </c>
    </row>
    <row r="1894">
      <c r="L1894">
        <f>IF([2]Entry!$C$1897="","",[2]Entry!$C$1897)</f>
        <v/>
      </c>
      <c r="M1894">
        <f>IF([2]Entry!$J$1897="","",[2]Entry!$J$1897)</f>
        <v/>
      </c>
      <c r="N1894">
        <f>IF([2]Entry!$M$1897="","",[2]Entry!$M$1897)</f>
        <v/>
      </c>
      <c r="O1894">
        <f>IF([2]Entry!$N$1897="","",[2]Entry!$N$1897)</f>
        <v/>
      </c>
      <c r="P1894">
        <f>IF([2]Entry!$S$1897="","",[2]Entry!$S$1897)</f>
        <v/>
      </c>
    </row>
    <row r="1895">
      <c r="L1895">
        <f>IF([2]Entry!$C$1898="","",[2]Entry!$C$1898)</f>
        <v/>
      </c>
      <c r="M1895">
        <f>IF([2]Entry!$J$1898="","",[2]Entry!$J$1898)</f>
        <v/>
      </c>
      <c r="N1895">
        <f>IF([2]Entry!$M$1898="","",[2]Entry!$M$1898)</f>
        <v/>
      </c>
      <c r="O1895">
        <f>IF([2]Entry!$N$1898="","",[2]Entry!$N$1898)</f>
        <v/>
      </c>
      <c r="P1895">
        <f>IF([2]Entry!$S$1898="","",[2]Entry!$S$1898)</f>
        <v/>
      </c>
    </row>
    <row r="1896">
      <c r="L1896">
        <f>IF([2]Entry!$C$1899="","",[2]Entry!$C$1899)</f>
        <v/>
      </c>
      <c r="M1896">
        <f>IF([2]Entry!$J$1899="","",[2]Entry!$J$1899)</f>
        <v/>
      </c>
      <c r="N1896">
        <f>IF([2]Entry!$M$1899="","",[2]Entry!$M$1899)</f>
        <v/>
      </c>
      <c r="O1896">
        <f>IF([2]Entry!$N$1899="","",[2]Entry!$N$1899)</f>
        <v/>
      </c>
      <c r="P1896">
        <f>IF([2]Entry!$S$1899="","",[2]Entry!$S$1899)</f>
        <v/>
      </c>
    </row>
    <row r="1897">
      <c r="L1897">
        <f>IF([2]Entry!$C$1900="","",[2]Entry!$C$1900)</f>
        <v/>
      </c>
      <c r="M1897">
        <f>IF([2]Entry!$J$1900="","",[2]Entry!$J$1900)</f>
        <v/>
      </c>
      <c r="N1897">
        <f>IF([2]Entry!$M$1900="","",[2]Entry!$M$1900)</f>
        <v/>
      </c>
      <c r="O1897">
        <f>IF([2]Entry!$N$1900="","",[2]Entry!$N$1900)</f>
        <v/>
      </c>
      <c r="P1897">
        <f>IF([2]Entry!$S$1900="","",[2]Entry!$S$1900)</f>
        <v/>
      </c>
    </row>
    <row r="1898">
      <c r="L1898">
        <f>IF([2]Entry!$C$1901="","",[2]Entry!$C$1901)</f>
        <v/>
      </c>
      <c r="M1898">
        <f>IF([2]Entry!$J$1901="","",[2]Entry!$J$1901)</f>
        <v/>
      </c>
      <c r="N1898">
        <f>IF([2]Entry!$M$1901="","",[2]Entry!$M$1901)</f>
        <v/>
      </c>
      <c r="O1898">
        <f>IF([2]Entry!$N$1901="","",[2]Entry!$N$1901)</f>
        <v/>
      </c>
      <c r="P1898">
        <f>IF([2]Entry!$S$1901="","",[2]Entry!$S$1901)</f>
        <v/>
      </c>
    </row>
    <row r="1899">
      <c r="L1899">
        <f>IF([2]Entry!$C$1902="","",[2]Entry!$C$1902)</f>
        <v/>
      </c>
      <c r="M1899">
        <f>IF([2]Entry!$J$1902="","",[2]Entry!$J$1902)</f>
        <v/>
      </c>
      <c r="N1899">
        <f>IF([2]Entry!$M$1902="","",[2]Entry!$M$1902)</f>
        <v/>
      </c>
      <c r="O1899">
        <f>IF([2]Entry!$N$1902="","",[2]Entry!$N$1902)</f>
        <v/>
      </c>
      <c r="P1899">
        <f>IF([2]Entry!$S$1902="","",[2]Entry!$S$1902)</f>
        <v/>
      </c>
    </row>
    <row r="1900">
      <c r="L1900">
        <f>IF([2]Entry!$C$1903="","",[2]Entry!$C$1903)</f>
        <v/>
      </c>
      <c r="M1900">
        <f>IF([2]Entry!$J$1903="","",[2]Entry!$J$1903)</f>
        <v/>
      </c>
      <c r="N1900">
        <f>IF([2]Entry!$M$1903="","",[2]Entry!$M$1903)</f>
        <v/>
      </c>
      <c r="O1900">
        <f>IF([2]Entry!$N$1903="","",[2]Entry!$N$1903)</f>
        <v/>
      </c>
      <c r="P1900">
        <f>IF([2]Entry!$S$1903="","",[2]Entry!$S$1903)</f>
        <v/>
      </c>
    </row>
    <row r="1901">
      <c r="L1901">
        <f>IF([2]Entry!$C$1904="","",[2]Entry!$C$1904)</f>
        <v/>
      </c>
      <c r="M1901">
        <f>IF([2]Entry!$J$1904="","",[2]Entry!$J$1904)</f>
        <v/>
      </c>
      <c r="N1901">
        <f>IF([2]Entry!$M$1904="","",[2]Entry!$M$1904)</f>
        <v/>
      </c>
      <c r="O1901">
        <f>IF([2]Entry!$N$1904="","",[2]Entry!$N$1904)</f>
        <v/>
      </c>
      <c r="P1901">
        <f>IF([2]Entry!$S$1904="","",[2]Entry!$S$1904)</f>
        <v/>
      </c>
    </row>
    <row r="1902">
      <c r="L1902">
        <f>IF([2]Entry!$C$1905="","",[2]Entry!$C$1905)</f>
        <v/>
      </c>
      <c r="M1902">
        <f>IF([2]Entry!$J$1905="","",[2]Entry!$J$1905)</f>
        <v/>
      </c>
      <c r="N1902">
        <f>IF([2]Entry!$M$1905="","",[2]Entry!$M$1905)</f>
        <v/>
      </c>
      <c r="O1902">
        <f>IF([2]Entry!$N$1905="","",[2]Entry!$N$1905)</f>
        <v/>
      </c>
      <c r="P1902">
        <f>IF([2]Entry!$S$1905="","",[2]Entry!$S$1905)</f>
        <v/>
      </c>
    </row>
    <row r="1903">
      <c r="L1903">
        <f>IF([2]Entry!$C$1906="","",[2]Entry!$C$1906)</f>
        <v/>
      </c>
      <c r="M1903">
        <f>IF([2]Entry!$J$1906="","",[2]Entry!$J$1906)</f>
        <v/>
      </c>
      <c r="N1903">
        <f>IF([2]Entry!$M$1906="","",[2]Entry!$M$1906)</f>
        <v/>
      </c>
      <c r="O1903">
        <f>IF([2]Entry!$N$1906="","",[2]Entry!$N$1906)</f>
        <v/>
      </c>
      <c r="P1903">
        <f>IF([2]Entry!$S$1906="","",[2]Entry!$S$1906)</f>
        <v/>
      </c>
    </row>
    <row r="1904">
      <c r="L1904">
        <f>IF([2]Entry!$C$1907="","",[2]Entry!$C$1907)</f>
        <v/>
      </c>
      <c r="M1904">
        <f>IF([2]Entry!$J$1907="","",[2]Entry!$J$1907)</f>
        <v/>
      </c>
      <c r="N1904">
        <f>IF([2]Entry!$M$1907="","",[2]Entry!$M$1907)</f>
        <v/>
      </c>
      <c r="O1904">
        <f>IF([2]Entry!$N$1907="","",[2]Entry!$N$1907)</f>
        <v/>
      </c>
      <c r="P1904">
        <f>IF([2]Entry!$S$1907="","",[2]Entry!$S$1907)</f>
        <v/>
      </c>
    </row>
    <row r="1905">
      <c r="L1905">
        <f>IF([2]Entry!$C$1908="","",[2]Entry!$C$1908)</f>
        <v/>
      </c>
      <c r="M1905">
        <f>IF([2]Entry!$J$1908="","",[2]Entry!$J$1908)</f>
        <v/>
      </c>
      <c r="N1905">
        <f>IF([2]Entry!$M$1908="","",[2]Entry!$M$1908)</f>
        <v/>
      </c>
      <c r="O1905">
        <f>IF([2]Entry!$N$1908="","",[2]Entry!$N$1908)</f>
        <v/>
      </c>
      <c r="P1905">
        <f>IF([2]Entry!$S$1908="","",[2]Entry!$S$1908)</f>
        <v/>
      </c>
    </row>
    <row r="1906">
      <c r="L1906">
        <f>IF([2]Entry!$C$1909="","",[2]Entry!$C$1909)</f>
        <v/>
      </c>
      <c r="M1906">
        <f>IF([2]Entry!$J$1909="","",[2]Entry!$J$1909)</f>
        <v/>
      </c>
      <c r="N1906">
        <f>IF([2]Entry!$M$1909="","",[2]Entry!$M$1909)</f>
        <v/>
      </c>
      <c r="O1906">
        <f>IF([2]Entry!$N$1909="","",[2]Entry!$N$1909)</f>
        <v/>
      </c>
      <c r="P1906">
        <f>IF([2]Entry!$S$1909="","",[2]Entry!$S$1909)</f>
        <v/>
      </c>
    </row>
    <row r="1907">
      <c r="L1907">
        <f>IF([2]Entry!$C$1910="","",[2]Entry!$C$1910)</f>
        <v/>
      </c>
      <c r="M1907">
        <f>IF([2]Entry!$J$1910="","",[2]Entry!$J$1910)</f>
        <v/>
      </c>
      <c r="N1907">
        <f>IF([2]Entry!$M$1910="","",[2]Entry!$M$1910)</f>
        <v/>
      </c>
      <c r="O1907">
        <f>IF([2]Entry!$N$1910="","",[2]Entry!$N$1910)</f>
        <v/>
      </c>
      <c r="P1907">
        <f>IF([2]Entry!$S$1910="","",[2]Entry!$S$1910)</f>
        <v/>
      </c>
    </row>
    <row r="1908">
      <c r="L1908">
        <f>IF([2]Entry!$C$1911="","",[2]Entry!$C$1911)</f>
        <v/>
      </c>
      <c r="M1908">
        <f>IF([2]Entry!$J$1911="","",[2]Entry!$J$1911)</f>
        <v/>
      </c>
      <c r="N1908">
        <f>IF([2]Entry!$M$1911="","",[2]Entry!$M$1911)</f>
        <v/>
      </c>
      <c r="O1908">
        <f>IF([2]Entry!$N$1911="","",[2]Entry!$N$1911)</f>
        <v/>
      </c>
      <c r="P1908">
        <f>IF([2]Entry!$S$1911="","",[2]Entry!$S$1911)</f>
        <v/>
      </c>
    </row>
    <row r="1909">
      <c r="L1909">
        <f>IF([2]Entry!$C$1912="","",[2]Entry!$C$1912)</f>
        <v/>
      </c>
      <c r="M1909">
        <f>IF([2]Entry!$J$1912="","",[2]Entry!$J$1912)</f>
        <v/>
      </c>
      <c r="N1909">
        <f>IF([2]Entry!$M$1912="","",[2]Entry!$M$1912)</f>
        <v/>
      </c>
      <c r="O1909">
        <f>IF([2]Entry!$N$1912="","",[2]Entry!$N$1912)</f>
        <v/>
      </c>
      <c r="P1909">
        <f>IF([2]Entry!$S$1912="","",[2]Entry!$S$1912)</f>
        <v/>
      </c>
    </row>
    <row r="1910">
      <c r="L1910">
        <f>IF([2]Entry!$C$1913="","",[2]Entry!$C$1913)</f>
        <v/>
      </c>
      <c r="M1910">
        <f>IF([2]Entry!$J$1913="","",[2]Entry!$J$1913)</f>
        <v/>
      </c>
      <c r="N1910">
        <f>IF([2]Entry!$M$1913="","",[2]Entry!$M$1913)</f>
        <v/>
      </c>
      <c r="O1910">
        <f>IF([2]Entry!$N$1913="","",[2]Entry!$N$1913)</f>
        <v/>
      </c>
      <c r="P1910">
        <f>IF([2]Entry!$S$1913="","",[2]Entry!$S$1913)</f>
        <v/>
      </c>
    </row>
    <row r="1911">
      <c r="L1911">
        <f>IF([2]Entry!$C$1914="","",[2]Entry!$C$1914)</f>
        <v/>
      </c>
      <c r="M1911">
        <f>IF([2]Entry!$J$1914="","",[2]Entry!$J$1914)</f>
        <v/>
      </c>
      <c r="N1911">
        <f>IF([2]Entry!$M$1914="","",[2]Entry!$M$1914)</f>
        <v/>
      </c>
      <c r="O1911">
        <f>IF([2]Entry!$N$1914="","",[2]Entry!$N$1914)</f>
        <v/>
      </c>
      <c r="P1911">
        <f>IF([2]Entry!$S$1914="","",[2]Entry!$S$1914)</f>
        <v/>
      </c>
    </row>
    <row r="1912">
      <c r="L1912">
        <f>IF([2]Entry!$C$1915="","",[2]Entry!$C$1915)</f>
        <v/>
      </c>
      <c r="M1912">
        <f>IF([2]Entry!$J$1915="","",[2]Entry!$J$1915)</f>
        <v/>
      </c>
      <c r="N1912">
        <f>IF([2]Entry!$M$1915="","",[2]Entry!$M$1915)</f>
        <v/>
      </c>
      <c r="O1912">
        <f>IF([2]Entry!$N$1915="","",[2]Entry!$N$1915)</f>
        <v/>
      </c>
      <c r="P1912">
        <f>IF([2]Entry!$S$1915="","",[2]Entry!$S$1915)</f>
        <v/>
      </c>
    </row>
    <row r="1913">
      <c r="L1913">
        <f>IF([2]Entry!$C$1916="","",[2]Entry!$C$1916)</f>
        <v/>
      </c>
      <c r="M1913">
        <f>IF([2]Entry!$J$1916="","",[2]Entry!$J$1916)</f>
        <v/>
      </c>
      <c r="N1913">
        <f>IF([2]Entry!$M$1916="","",[2]Entry!$M$1916)</f>
        <v/>
      </c>
      <c r="O1913">
        <f>IF([2]Entry!$N$1916="","",[2]Entry!$N$1916)</f>
        <v/>
      </c>
      <c r="P1913">
        <f>IF([2]Entry!$S$1916="","",[2]Entry!$S$1916)</f>
        <v/>
      </c>
    </row>
    <row r="1914">
      <c r="L1914">
        <f>IF([2]Entry!$C$1917="","",[2]Entry!$C$1917)</f>
        <v/>
      </c>
      <c r="M1914">
        <f>IF([2]Entry!$J$1917="","",[2]Entry!$J$1917)</f>
        <v/>
      </c>
      <c r="N1914">
        <f>IF([2]Entry!$M$1917="","",[2]Entry!$M$1917)</f>
        <v/>
      </c>
      <c r="O1914">
        <f>IF([2]Entry!$N$1917="","",[2]Entry!$N$1917)</f>
        <v/>
      </c>
      <c r="P1914">
        <f>IF([2]Entry!$S$1917="","",[2]Entry!$S$1917)</f>
        <v/>
      </c>
    </row>
    <row r="1915">
      <c r="L1915">
        <f>IF([2]Entry!$C$1918="","",[2]Entry!$C$1918)</f>
        <v/>
      </c>
      <c r="M1915">
        <f>IF([2]Entry!$J$1918="","",[2]Entry!$J$1918)</f>
        <v/>
      </c>
      <c r="N1915">
        <f>IF([2]Entry!$M$1918="","",[2]Entry!$M$1918)</f>
        <v/>
      </c>
      <c r="O1915">
        <f>IF([2]Entry!$N$1918="","",[2]Entry!$N$1918)</f>
        <v/>
      </c>
      <c r="P1915">
        <f>IF([2]Entry!$S$1918="","",[2]Entry!$S$1918)</f>
        <v/>
      </c>
    </row>
    <row r="1916">
      <c r="L1916">
        <f>IF([2]Entry!$C$1919="","",[2]Entry!$C$1919)</f>
        <v/>
      </c>
      <c r="M1916">
        <f>IF([2]Entry!$J$1919="","",[2]Entry!$J$1919)</f>
        <v/>
      </c>
      <c r="N1916">
        <f>IF([2]Entry!$M$1919="","",[2]Entry!$M$1919)</f>
        <v/>
      </c>
      <c r="O1916">
        <f>IF([2]Entry!$N$1919="","",[2]Entry!$N$1919)</f>
        <v/>
      </c>
      <c r="P1916">
        <f>IF([2]Entry!$S$1919="","",[2]Entry!$S$1919)</f>
        <v/>
      </c>
    </row>
    <row r="1917">
      <c r="L1917">
        <f>IF([2]Entry!$C$1920="","",[2]Entry!$C$1920)</f>
        <v/>
      </c>
      <c r="M1917">
        <f>IF([2]Entry!$J$1920="","",[2]Entry!$J$1920)</f>
        <v/>
      </c>
      <c r="N1917">
        <f>IF([2]Entry!$M$1920="","",[2]Entry!$M$1920)</f>
        <v/>
      </c>
      <c r="O1917">
        <f>IF([2]Entry!$N$1920="","",[2]Entry!$N$1920)</f>
        <v/>
      </c>
      <c r="P1917">
        <f>IF([2]Entry!$S$1920="","",[2]Entry!$S$1920)</f>
        <v/>
      </c>
    </row>
    <row r="1918">
      <c r="L1918">
        <f>IF([2]Entry!$C$1921="","",[2]Entry!$C$1921)</f>
        <v/>
      </c>
      <c r="M1918">
        <f>IF([2]Entry!$J$1921="","",[2]Entry!$J$1921)</f>
        <v/>
      </c>
      <c r="N1918">
        <f>IF([2]Entry!$M$1921="","",[2]Entry!$M$1921)</f>
        <v/>
      </c>
      <c r="O1918">
        <f>IF([2]Entry!$N$1921="","",[2]Entry!$N$1921)</f>
        <v/>
      </c>
      <c r="P1918">
        <f>IF([2]Entry!$S$1921="","",[2]Entry!$S$1921)</f>
        <v/>
      </c>
    </row>
    <row r="1919">
      <c r="L1919">
        <f>IF([2]Entry!$C$1922="","",[2]Entry!$C$1922)</f>
        <v/>
      </c>
      <c r="M1919">
        <f>IF([2]Entry!$J$1922="","",[2]Entry!$J$1922)</f>
        <v/>
      </c>
      <c r="N1919">
        <f>IF([2]Entry!$M$1922="","",[2]Entry!$M$1922)</f>
        <v/>
      </c>
      <c r="O1919">
        <f>IF([2]Entry!$N$1922="","",[2]Entry!$N$1922)</f>
        <v/>
      </c>
      <c r="P1919">
        <f>IF([2]Entry!$S$1922="","",[2]Entry!$S$1922)</f>
        <v/>
      </c>
    </row>
    <row r="1920">
      <c r="L1920">
        <f>IF([2]Entry!$C$1923="","",[2]Entry!$C$1923)</f>
        <v/>
      </c>
      <c r="M1920">
        <f>IF([2]Entry!$J$1923="","",[2]Entry!$J$1923)</f>
        <v/>
      </c>
      <c r="N1920">
        <f>IF([2]Entry!$M$1923="","",[2]Entry!$M$1923)</f>
        <v/>
      </c>
      <c r="O1920">
        <f>IF([2]Entry!$N$1923="","",[2]Entry!$N$1923)</f>
        <v/>
      </c>
      <c r="P1920">
        <f>IF([2]Entry!$S$1923="","",[2]Entry!$S$1923)</f>
        <v/>
      </c>
    </row>
    <row r="1921">
      <c r="L1921">
        <f>IF([2]Entry!$C$1924="","",[2]Entry!$C$1924)</f>
        <v/>
      </c>
      <c r="M1921">
        <f>IF([2]Entry!$J$1924="","",[2]Entry!$J$1924)</f>
        <v/>
      </c>
      <c r="N1921">
        <f>IF([2]Entry!$M$1924="","",[2]Entry!$M$1924)</f>
        <v/>
      </c>
      <c r="O1921">
        <f>IF([2]Entry!$N$1924="","",[2]Entry!$N$1924)</f>
        <v/>
      </c>
      <c r="P1921">
        <f>IF([2]Entry!$S$1924="","",[2]Entry!$S$1924)</f>
        <v/>
      </c>
    </row>
    <row r="1922">
      <c r="L1922">
        <f>IF([2]Entry!$C$1925="","",[2]Entry!$C$1925)</f>
        <v/>
      </c>
      <c r="M1922">
        <f>IF([2]Entry!$J$1925="","",[2]Entry!$J$1925)</f>
        <v/>
      </c>
      <c r="N1922">
        <f>IF([2]Entry!$M$1925="","",[2]Entry!$M$1925)</f>
        <v/>
      </c>
      <c r="O1922">
        <f>IF([2]Entry!$N$1925="","",[2]Entry!$N$1925)</f>
        <v/>
      </c>
      <c r="P1922">
        <f>IF([2]Entry!$S$1925="","",[2]Entry!$S$1925)</f>
        <v/>
      </c>
    </row>
    <row r="1923">
      <c r="L1923">
        <f>IF([2]Entry!$C$1926="","",[2]Entry!$C$1926)</f>
        <v/>
      </c>
      <c r="M1923">
        <f>IF([2]Entry!$J$1926="","",[2]Entry!$J$1926)</f>
        <v/>
      </c>
      <c r="N1923">
        <f>IF([2]Entry!$M$1926="","",[2]Entry!$M$1926)</f>
        <v/>
      </c>
      <c r="O1923">
        <f>IF([2]Entry!$N$1926="","",[2]Entry!$N$1926)</f>
        <v/>
      </c>
      <c r="P1923">
        <f>IF([2]Entry!$S$1926="","",[2]Entry!$S$1926)</f>
        <v/>
      </c>
    </row>
    <row r="1924">
      <c r="L1924">
        <f>IF([2]Entry!$C$1927="","",[2]Entry!$C$1927)</f>
        <v/>
      </c>
      <c r="M1924">
        <f>IF([2]Entry!$J$1927="","",[2]Entry!$J$1927)</f>
        <v/>
      </c>
      <c r="N1924">
        <f>IF([2]Entry!$M$1927="","",[2]Entry!$M$1927)</f>
        <v/>
      </c>
      <c r="O1924">
        <f>IF([2]Entry!$N$1927="","",[2]Entry!$N$1927)</f>
        <v/>
      </c>
      <c r="P1924">
        <f>IF([2]Entry!$S$1927="","",[2]Entry!$S$1927)</f>
        <v/>
      </c>
    </row>
    <row r="1925">
      <c r="L1925">
        <f>IF([2]Entry!$C$1928="","",[2]Entry!$C$1928)</f>
        <v/>
      </c>
      <c r="M1925">
        <f>IF([2]Entry!$J$1928="","",[2]Entry!$J$1928)</f>
        <v/>
      </c>
      <c r="N1925">
        <f>IF([2]Entry!$M$1928="","",[2]Entry!$M$1928)</f>
        <v/>
      </c>
      <c r="O1925">
        <f>IF([2]Entry!$N$1928="","",[2]Entry!$N$1928)</f>
        <v/>
      </c>
      <c r="P1925">
        <f>IF([2]Entry!$S$1928="","",[2]Entry!$S$1928)</f>
        <v/>
      </c>
    </row>
    <row r="1926">
      <c r="L1926">
        <f>IF([2]Entry!$C$1929="","",[2]Entry!$C$1929)</f>
        <v/>
      </c>
      <c r="M1926">
        <f>IF([2]Entry!$J$1929="","",[2]Entry!$J$1929)</f>
        <v/>
      </c>
      <c r="N1926">
        <f>IF([2]Entry!$M$1929="","",[2]Entry!$M$1929)</f>
        <v/>
      </c>
      <c r="O1926">
        <f>IF([2]Entry!$N$1929="","",[2]Entry!$N$1929)</f>
        <v/>
      </c>
      <c r="P1926">
        <f>IF([2]Entry!$S$1929="","",[2]Entry!$S$1929)</f>
        <v/>
      </c>
    </row>
    <row r="1927">
      <c r="L1927">
        <f>IF([2]Entry!$C$1930="","",[2]Entry!$C$1930)</f>
        <v/>
      </c>
      <c r="M1927">
        <f>IF([2]Entry!$J$1930="","",[2]Entry!$J$1930)</f>
        <v/>
      </c>
      <c r="N1927">
        <f>IF([2]Entry!$M$1930="","",[2]Entry!$M$1930)</f>
        <v/>
      </c>
      <c r="O1927">
        <f>IF([2]Entry!$N$1930="","",[2]Entry!$N$1930)</f>
        <v/>
      </c>
      <c r="P1927">
        <f>IF([2]Entry!$S$1930="","",[2]Entry!$S$1930)</f>
        <v/>
      </c>
    </row>
    <row r="1928">
      <c r="L1928">
        <f>IF([2]Entry!$C$1931="","",[2]Entry!$C$1931)</f>
        <v/>
      </c>
      <c r="M1928">
        <f>IF([2]Entry!$J$1931="","",[2]Entry!$J$1931)</f>
        <v/>
      </c>
      <c r="N1928">
        <f>IF([2]Entry!$M$1931="","",[2]Entry!$M$1931)</f>
        <v/>
      </c>
      <c r="O1928">
        <f>IF([2]Entry!$N$1931="","",[2]Entry!$N$1931)</f>
        <v/>
      </c>
      <c r="P1928">
        <f>IF([2]Entry!$S$1931="","",[2]Entry!$S$1931)</f>
        <v/>
      </c>
    </row>
    <row r="1929">
      <c r="L1929">
        <f>IF([2]Entry!$C$1932="","",[2]Entry!$C$1932)</f>
        <v/>
      </c>
      <c r="M1929">
        <f>IF([2]Entry!$J$1932="","",[2]Entry!$J$1932)</f>
        <v/>
      </c>
      <c r="N1929">
        <f>IF([2]Entry!$M$1932="","",[2]Entry!$M$1932)</f>
        <v/>
      </c>
      <c r="O1929">
        <f>IF([2]Entry!$N$1932="","",[2]Entry!$N$1932)</f>
        <v/>
      </c>
      <c r="P1929">
        <f>IF([2]Entry!$S$1932="","",[2]Entry!$S$1932)</f>
        <v/>
      </c>
    </row>
    <row r="1930">
      <c r="L1930">
        <f>IF([2]Entry!$C$1933="","",[2]Entry!$C$1933)</f>
        <v/>
      </c>
      <c r="M1930">
        <f>IF([2]Entry!$J$1933="","",[2]Entry!$J$1933)</f>
        <v/>
      </c>
      <c r="N1930">
        <f>IF([2]Entry!$M$1933="","",[2]Entry!$M$1933)</f>
        <v/>
      </c>
      <c r="O1930">
        <f>IF([2]Entry!$N$1933="","",[2]Entry!$N$1933)</f>
        <v/>
      </c>
      <c r="P1930">
        <f>IF([2]Entry!$S$1933="","",[2]Entry!$S$1933)</f>
        <v/>
      </c>
    </row>
    <row r="1931">
      <c r="L1931">
        <f>IF([2]Entry!$C$1934="","",[2]Entry!$C$1934)</f>
        <v/>
      </c>
      <c r="M1931">
        <f>IF([2]Entry!$J$1934="","",[2]Entry!$J$1934)</f>
        <v/>
      </c>
      <c r="N1931">
        <f>IF([2]Entry!$M$1934="","",[2]Entry!$M$1934)</f>
        <v/>
      </c>
      <c r="O1931">
        <f>IF([2]Entry!$N$1934="","",[2]Entry!$N$1934)</f>
        <v/>
      </c>
      <c r="P1931">
        <f>IF([2]Entry!$S$1934="","",[2]Entry!$S$1934)</f>
        <v/>
      </c>
    </row>
    <row r="1932">
      <c r="L1932">
        <f>IF([2]Entry!$C$1935="","",[2]Entry!$C$1935)</f>
        <v/>
      </c>
      <c r="M1932">
        <f>IF([2]Entry!$J$1935="","",[2]Entry!$J$1935)</f>
        <v/>
      </c>
      <c r="N1932">
        <f>IF([2]Entry!$M$1935="","",[2]Entry!$M$1935)</f>
        <v/>
      </c>
      <c r="O1932">
        <f>IF([2]Entry!$N$1935="","",[2]Entry!$N$1935)</f>
        <v/>
      </c>
      <c r="P1932">
        <f>IF([2]Entry!$S$1935="","",[2]Entry!$S$1935)</f>
        <v/>
      </c>
    </row>
    <row r="1933">
      <c r="L1933">
        <f>IF([2]Entry!$C$1936="","",[2]Entry!$C$1936)</f>
        <v/>
      </c>
      <c r="M1933">
        <f>IF([2]Entry!$J$1936="","",[2]Entry!$J$1936)</f>
        <v/>
      </c>
      <c r="N1933">
        <f>IF([2]Entry!$M$1936="","",[2]Entry!$M$1936)</f>
        <v/>
      </c>
      <c r="O1933">
        <f>IF([2]Entry!$N$1936="","",[2]Entry!$N$1936)</f>
        <v/>
      </c>
      <c r="P1933">
        <f>IF([2]Entry!$S$1936="","",[2]Entry!$S$1936)</f>
        <v/>
      </c>
    </row>
    <row r="1934">
      <c r="L1934">
        <f>IF([2]Entry!$C$1937="","",[2]Entry!$C$1937)</f>
        <v/>
      </c>
      <c r="M1934">
        <f>IF([2]Entry!$J$1937="","",[2]Entry!$J$1937)</f>
        <v/>
      </c>
      <c r="N1934">
        <f>IF([2]Entry!$M$1937="","",[2]Entry!$M$1937)</f>
        <v/>
      </c>
      <c r="O1934">
        <f>IF([2]Entry!$N$1937="","",[2]Entry!$N$1937)</f>
        <v/>
      </c>
      <c r="P1934">
        <f>IF([2]Entry!$S$1937="","",[2]Entry!$S$1937)</f>
        <v/>
      </c>
    </row>
    <row r="1935">
      <c r="L1935">
        <f>IF([2]Entry!$C$1938="","",[2]Entry!$C$1938)</f>
        <v/>
      </c>
      <c r="M1935">
        <f>IF([2]Entry!$J$1938="","",[2]Entry!$J$1938)</f>
        <v/>
      </c>
      <c r="N1935">
        <f>IF([2]Entry!$M$1938="","",[2]Entry!$M$1938)</f>
        <v/>
      </c>
      <c r="O1935">
        <f>IF([2]Entry!$N$1938="","",[2]Entry!$N$1938)</f>
        <v/>
      </c>
      <c r="P1935">
        <f>IF([2]Entry!$S$1938="","",[2]Entry!$S$1938)</f>
        <v/>
      </c>
    </row>
    <row r="1936">
      <c r="L1936">
        <f>IF([2]Entry!$C$1939="","",[2]Entry!$C$1939)</f>
        <v/>
      </c>
      <c r="M1936">
        <f>IF([2]Entry!$J$1939="","",[2]Entry!$J$1939)</f>
        <v/>
      </c>
      <c r="N1936">
        <f>IF([2]Entry!$M$1939="","",[2]Entry!$M$1939)</f>
        <v/>
      </c>
      <c r="O1936">
        <f>IF([2]Entry!$N$1939="","",[2]Entry!$N$1939)</f>
        <v/>
      </c>
      <c r="P1936">
        <f>IF([2]Entry!$S$1939="","",[2]Entry!$S$1939)</f>
        <v/>
      </c>
    </row>
    <row r="1937">
      <c r="L1937">
        <f>IF([2]Entry!$C$1940="","",[2]Entry!$C$1940)</f>
        <v/>
      </c>
      <c r="M1937">
        <f>IF([2]Entry!$J$1940="","",[2]Entry!$J$1940)</f>
        <v/>
      </c>
      <c r="N1937">
        <f>IF([2]Entry!$M$1940="","",[2]Entry!$M$1940)</f>
        <v/>
      </c>
      <c r="O1937">
        <f>IF([2]Entry!$N$1940="","",[2]Entry!$N$1940)</f>
        <v/>
      </c>
      <c r="P1937">
        <f>IF([2]Entry!$S$1940="","",[2]Entry!$S$1940)</f>
        <v/>
      </c>
    </row>
    <row r="1938">
      <c r="L1938">
        <f>IF([2]Entry!$C$1941="","",[2]Entry!$C$1941)</f>
        <v/>
      </c>
      <c r="M1938">
        <f>IF([2]Entry!$J$1941="","",[2]Entry!$J$1941)</f>
        <v/>
      </c>
      <c r="N1938">
        <f>IF([2]Entry!$M$1941="","",[2]Entry!$M$1941)</f>
        <v/>
      </c>
      <c r="O1938">
        <f>IF([2]Entry!$N$1941="","",[2]Entry!$N$1941)</f>
        <v/>
      </c>
      <c r="P1938">
        <f>IF([2]Entry!$S$1941="","",[2]Entry!$S$1941)</f>
        <v/>
      </c>
    </row>
    <row r="1939">
      <c r="L1939">
        <f>IF([2]Entry!$C$1942="","",[2]Entry!$C$1942)</f>
        <v/>
      </c>
      <c r="M1939">
        <f>IF([2]Entry!$J$1942="","",[2]Entry!$J$1942)</f>
        <v/>
      </c>
      <c r="N1939">
        <f>IF([2]Entry!$M$1942="","",[2]Entry!$M$1942)</f>
        <v/>
      </c>
      <c r="O1939">
        <f>IF([2]Entry!$N$1942="","",[2]Entry!$N$1942)</f>
        <v/>
      </c>
      <c r="P1939">
        <f>IF([2]Entry!$S$1942="","",[2]Entry!$S$1942)</f>
        <v/>
      </c>
    </row>
    <row r="1940">
      <c r="L1940">
        <f>IF([2]Entry!$C$1943="","",[2]Entry!$C$1943)</f>
        <v/>
      </c>
      <c r="M1940">
        <f>IF([2]Entry!$J$1943="","",[2]Entry!$J$1943)</f>
        <v/>
      </c>
      <c r="N1940">
        <f>IF([2]Entry!$M$1943="","",[2]Entry!$M$1943)</f>
        <v/>
      </c>
      <c r="O1940">
        <f>IF([2]Entry!$N$1943="","",[2]Entry!$N$1943)</f>
        <v/>
      </c>
      <c r="P1940">
        <f>IF([2]Entry!$S$1943="","",[2]Entry!$S$1943)</f>
        <v/>
      </c>
    </row>
    <row r="1941">
      <c r="L1941">
        <f>IF([2]Entry!$C$1944="","",[2]Entry!$C$1944)</f>
        <v/>
      </c>
      <c r="M1941">
        <f>IF([2]Entry!$J$1944="","",[2]Entry!$J$1944)</f>
        <v/>
      </c>
      <c r="N1941">
        <f>IF([2]Entry!$M$1944="","",[2]Entry!$M$1944)</f>
        <v/>
      </c>
      <c r="O1941">
        <f>IF([2]Entry!$N$1944="","",[2]Entry!$N$1944)</f>
        <v/>
      </c>
      <c r="P1941">
        <f>IF([2]Entry!$S$1944="","",[2]Entry!$S$1944)</f>
        <v/>
      </c>
    </row>
    <row r="1942">
      <c r="L1942">
        <f>IF([2]Entry!$C$1945="","",[2]Entry!$C$1945)</f>
        <v/>
      </c>
      <c r="M1942">
        <f>IF([2]Entry!$J$1945="","",[2]Entry!$J$1945)</f>
        <v/>
      </c>
      <c r="N1942">
        <f>IF([2]Entry!$M$1945="","",[2]Entry!$M$1945)</f>
        <v/>
      </c>
      <c r="O1942">
        <f>IF([2]Entry!$N$1945="","",[2]Entry!$N$1945)</f>
        <v/>
      </c>
      <c r="P1942">
        <f>IF([2]Entry!$S$1945="","",[2]Entry!$S$1945)</f>
        <v/>
      </c>
    </row>
    <row r="1943">
      <c r="L1943">
        <f>IF([2]Entry!$C$1946="","",[2]Entry!$C$1946)</f>
        <v/>
      </c>
      <c r="M1943">
        <f>IF([2]Entry!$J$1946="","",[2]Entry!$J$1946)</f>
        <v/>
      </c>
      <c r="N1943">
        <f>IF([2]Entry!$M$1946="","",[2]Entry!$M$1946)</f>
        <v/>
      </c>
      <c r="O1943">
        <f>IF([2]Entry!$N$1946="","",[2]Entry!$N$1946)</f>
        <v/>
      </c>
      <c r="P1943">
        <f>IF([2]Entry!$S$1946="","",[2]Entry!$S$1946)</f>
        <v/>
      </c>
    </row>
    <row r="1944">
      <c r="L1944">
        <f>IF([2]Entry!$C$1947="","",[2]Entry!$C$1947)</f>
        <v/>
      </c>
      <c r="M1944">
        <f>IF([2]Entry!$J$1947="","",[2]Entry!$J$1947)</f>
        <v/>
      </c>
      <c r="N1944">
        <f>IF([2]Entry!$M$1947="","",[2]Entry!$M$1947)</f>
        <v/>
      </c>
      <c r="O1944">
        <f>IF([2]Entry!$N$1947="","",[2]Entry!$N$1947)</f>
        <v/>
      </c>
      <c r="P1944">
        <f>IF([2]Entry!$S$1947="","",[2]Entry!$S$1947)</f>
        <v/>
      </c>
    </row>
    <row r="1945">
      <c r="L1945">
        <f>IF([2]Entry!$C$1948="","",[2]Entry!$C$1948)</f>
        <v/>
      </c>
      <c r="M1945">
        <f>IF([2]Entry!$J$1948="","",[2]Entry!$J$1948)</f>
        <v/>
      </c>
      <c r="N1945">
        <f>IF([2]Entry!$M$1948="","",[2]Entry!$M$1948)</f>
        <v/>
      </c>
      <c r="O1945">
        <f>IF([2]Entry!$N$1948="","",[2]Entry!$N$1948)</f>
        <v/>
      </c>
      <c r="P1945">
        <f>IF([2]Entry!$S$1948="","",[2]Entry!$S$1948)</f>
        <v/>
      </c>
    </row>
    <row r="1946">
      <c r="L1946">
        <f>IF([2]Entry!$C$1949="","",[2]Entry!$C$1949)</f>
        <v/>
      </c>
      <c r="M1946">
        <f>IF([2]Entry!$J$1949="","",[2]Entry!$J$1949)</f>
        <v/>
      </c>
      <c r="N1946">
        <f>IF([2]Entry!$M$1949="","",[2]Entry!$M$1949)</f>
        <v/>
      </c>
      <c r="O1946">
        <f>IF([2]Entry!$N$1949="","",[2]Entry!$N$1949)</f>
        <v/>
      </c>
      <c r="P1946">
        <f>IF([2]Entry!$S$1949="","",[2]Entry!$S$1949)</f>
        <v/>
      </c>
    </row>
    <row r="1947">
      <c r="L1947">
        <f>IF([2]Entry!$C$1950="","",[2]Entry!$C$1950)</f>
        <v/>
      </c>
      <c r="M1947">
        <f>IF([2]Entry!$J$1950="","",[2]Entry!$J$1950)</f>
        <v/>
      </c>
      <c r="N1947">
        <f>IF([2]Entry!$M$1950="","",[2]Entry!$M$1950)</f>
        <v/>
      </c>
      <c r="O1947">
        <f>IF([2]Entry!$N$1950="","",[2]Entry!$N$1950)</f>
        <v/>
      </c>
      <c r="P1947">
        <f>IF([2]Entry!$S$1950="","",[2]Entry!$S$1950)</f>
        <v/>
      </c>
    </row>
    <row r="1948">
      <c r="L1948">
        <f>IF([2]Entry!$C$1951="","",[2]Entry!$C$1951)</f>
        <v/>
      </c>
      <c r="M1948">
        <f>IF([2]Entry!$J$1951="","",[2]Entry!$J$1951)</f>
        <v/>
      </c>
      <c r="N1948">
        <f>IF([2]Entry!$M$1951="","",[2]Entry!$M$1951)</f>
        <v/>
      </c>
      <c r="O1948">
        <f>IF([2]Entry!$N$1951="","",[2]Entry!$N$1951)</f>
        <v/>
      </c>
      <c r="P1948">
        <f>IF([2]Entry!$S$1951="","",[2]Entry!$S$1951)</f>
        <v/>
      </c>
    </row>
    <row r="1949">
      <c r="L1949">
        <f>IF([2]Entry!$C$1952="","",[2]Entry!$C$1952)</f>
        <v/>
      </c>
      <c r="M1949">
        <f>IF([2]Entry!$J$1952="","",[2]Entry!$J$1952)</f>
        <v/>
      </c>
      <c r="N1949">
        <f>IF([2]Entry!$M$1952="","",[2]Entry!$M$1952)</f>
        <v/>
      </c>
      <c r="O1949">
        <f>IF([2]Entry!$N$1952="","",[2]Entry!$N$1952)</f>
        <v/>
      </c>
      <c r="P1949">
        <f>IF([2]Entry!$S$1952="","",[2]Entry!$S$1952)</f>
        <v/>
      </c>
    </row>
    <row r="1950">
      <c r="L1950">
        <f>IF([2]Entry!$C$1953="","",[2]Entry!$C$1953)</f>
        <v/>
      </c>
      <c r="M1950">
        <f>IF([2]Entry!$J$1953="","",[2]Entry!$J$1953)</f>
        <v/>
      </c>
      <c r="N1950">
        <f>IF([2]Entry!$M$1953="","",[2]Entry!$M$1953)</f>
        <v/>
      </c>
      <c r="O1950">
        <f>IF([2]Entry!$N$1953="","",[2]Entry!$N$1953)</f>
        <v/>
      </c>
      <c r="P1950">
        <f>IF([2]Entry!$S$1953="","",[2]Entry!$S$1953)</f>
        <v/>
      </c>
    </row>
    <row r="1951">
      <c r="L1951">
        <f>IF([2]Entry!$C$1954="","",[2]Entry!$C$1954)</f>
        <v/>
      </c>
      <c r="M1951">
        <f>IF([2]Entry!$J$1954="","",[2]Entry!$J$1954)</f>
        <v/>
      </c>
      <c r="N1951">
        <f>IF([2]Entry!$M$1954="","",[2]Entry!$M$1954)</f>
        <v/>
      </c>
      <c r="O1951">
        <f>IF([2]Entry!$N$1954="","",[2]Entry!$N$1954)</f>
        <v/>
      </c>
      <c r="P1951">
        <f>IF([2]Entry!$S$1954="","",[2]Entry!$S$1954)</f>
        <v/>
      </c>
    </row>
    <row r="1952">
      <c r="L1952">
        <f>IF([2]Entry!$C$1955="","",[2]Entry!$C$1955)</f>
        <v/>
      </c>
      <c r="M1952">
        <f>IF([2]Entry!$J$1955="","",[2]Entry!$J$1955)</f>
        <v/>
      </c>
      <c r="N1952">
        <f>IF([2]Entry!$M$1955="","",[2]Entry!$M$1955)</f>
        <v/>
      </c>
      <c r="O1952">
        <f>IF([2]Entry!$N$1955="","",[2]Entry!$N$1955)</f>
        <v/>
      </c>
      <c r="P1952">
        <f>IF([2]Entry!$S$1955="","",[2]Entry!$S$1955)</f>
        <v/>
      </c>
    </row>
    <row r="1953">
      <c r="L1953">
        <f>IF([2]Entry!$C$1956="","",[2]Entry!$C$1956)</f>
        <v/>
      </c>
      <c r="M1953">
        <f>IF([2]Entry!$J$1956="","",[2]Entry!$J$1956)</f>
        <v/>
      </c>
      <c r="N1953">
        <f>IF([2]Entry!$M$1956="","",[2]Entry!$M$1956)</f>
        <v/>
      </c>
      <c r="O1953">
        <f>IF([2]Entry!$N$1956="","",[2]Entry!$N$1956)</f>
        <v/>
      </c>
      <c r="P1953">
        <f>IF([2]Entry!$S$1956="","",[2]Entry!$S$1956)</f>
        <v/>
      </c>
    </row>
    <row r="1954">
      <c r="L1954">
        <f>IF([2]Entry!$C$1957="","",[2]Entry!$C$1957)</f>
        <v/>
      </c>
      <c r="M1954">
        <f>IF([2]Entry!$J$1957="","",[2]Entry!$J$1957)</f>
        <v/>
      </c>
      <c r="N1954">
        <f>IF([2]Entry!$M$1957="","",[2]Entry!$M$1957)</f>
        <v/>
      </c>
      <c r="O1954">
        <f>IF([2]Entry!$N$1957="","",[2]Entry!$N$1957)</f>
        <v/>
      </c>
      <c r="P1954">
        <f>IF([2]Entry!$S$1957="","",[2]Entry!$S$1957)</f>
        <v/>
      </c>
    </row>
    <row r="1955">
      <c r="L1955">
        <f>IF([2]Entry!$C$1958="","",[2]Entry!$C$1958)</f>
        <v/>
      </c>
      <c r="M1955">
        <f>IF([2]Entry!$J$1958="","",[2]Entry!$J$1958)</f>
        <v/>
      </c>
      <c r="N1955">
        <f>IF([2]Entry!$M$1958="","",[2]Entry!$M$1958)</f>
        <v/>
      </c>
      <c r="O1955">
        <f>IF([2]Entry!$N$1958="","",[2]Entry!$N$1958)</f>
        <v/>
      </c>
      <c r="P1955">
        <f>IF([2]Entry!$S$1958="","",[2]Entry!$S$1958)</f>
        <v/>
      </c>
    </row>
    <row r="1956">
      <c r="L1956">
        <f>IF([2]Entry!$C$1959="","",[2]Entry!$C$1959)</f>
        <v/>
      </c>
      <c r="M1956">
        <f>IF([2]Entry!$J$1959="","",[2]Entry!$J$1959)</f>
        <v/>
      </c>
      <c r="N1956">
        <f>IF([2]Entry!$M$1959="","",[2]Entry!$M$1959)</f>
        <v/>
      </c>
      <c r="O1956">
        <f>IF([2]Entry!$N$1959="","",[2]Entry!$N$1959)</f>
        <v/>
      </c>
      <c r="P1956">
        <f>IF([2]Entry!$S$1959="","",[2]Entry!$S$1959)</f>
        <v/>
      </c>
    </row>
    <row r="1957">
      <c r="L1957">
        <f>IF([2]Entry!$C$1960="","",[2]Entry!$C$1960)</f>
        <v/>
      </c>
      <c r="M1957">
        <f>IF([2]Entry!$J$1960="","",[2]Entry!$J$1960)</f>
        <v/>
      </c>
      <c r="N1957">
        <f>IF([2]Entry!$M$1960="","",[2]Entry!$M$1960)</f>
        <v/>
      </c>
      <c r="O1957">
        <f>IF([2]Entry!$N$1960="","",[2]Entry!$N$1960)</f>
        <v/>
      </c>
      <c r="P1957">
        <f>IF([2]Entry!$S$1960="","",[2]Entry!$S$1960)</f>
        <v/>
      </c>
    </row>
    <row r="1958">
      <c r="L1958">
        <f>IF([2]Entry!$C$1961="","",[2]Entry!$C$1961)</f>
        <v/>
      </c>
      <c r="M1958">
        <f>IF([2]Entry!$J$1961="","",[2]Entry!$J$1961)</f>
        <v/>
      </c>
      <c r="N1958">
        <f>IF([2]Entry!$M$1961="","",[2]Entry!$M$1961)</f>
        <v/>
      </c>
      <c r="O1958">
        <f>IF([2]Entry!$N$1961="","",[2]Entry!$N$1961)</f>
        <v/>
      </c>
      <c r="P1958">
        <f>IF([2]Entry!$S$1961="","",[2]Entry!$S$1961)</f>
        <v/>
      </c>
    </row>
    <row r="1959">
      <c r="L1959">
        <f>IF([2]Entry!$C$1962="","",[2]Entry!$C$1962)</f>
        <v/>
      </c>
      <c r="M1959">
        <f>IF([2]Entry!$J$1962="","",[2]Entry!$J$1962)</f>
        <v/>
      </c>
      <c r="N1959">
        <f>IF([2]Entry!$M$1962="","",[2]Entry!$M$1962)</f>
        <v/>
      </c>
      <c r="O1959">
        <f>IF([2]Entry!$N$1962="","",[2]Entry!$N$1962)</f>
        <v/>
      </c>
      <c r="P1959">
        <f>IF([2]Entry!$S$1962="","",[2]Entry!$S$1962)</f>
        <v/>
      </c>
    </row>
    <row r="1960">
      <c r="L1960">
        <f>IF([2]Entry!$C$1963="","",[2]Entry!$C$1963)</f>
        <v/>
      </c>
      <c r="M1960">
        <f>IF([2]Entry!$J$1963="","",[2]Entry!$J$1963)</f>
        <v/>
      </c>
      <c r="N1960">
        <f>IF([2]Entry!$M$1963="","",[2]Entry!$M$1963)</f>
        <v/>
      </c>
      <c r="O1960">
        <f>IF([2]Entry!$N$1963="","",[2]Entry!$N$1963)</f>
        <v/>
      </c>
      <c r="P1960">
        <f>IF([2]Entry!$S$1963="","",[2]Entry!$S$1963)</f>
        <v/>
      </c>
    </row>
    <row r="1961">
      <c r="L1961">
        <f>IF([2]Entry!$C$1964="","",[2]Entry!$C$1964)</f>
        <v/>
      </c>
      <c r="M1961">
        <f>IF([2]Entry!$J$1964="","",[2]Entry!$J$1964)</f>
        <v/>
      </c>
      <c r="N1961">
        <f>IF([2]Entry!$M$1964="","",[2]Entry!$M$1964)</f>
        <v/>
      </c>
      <c r="O1961">
        <f>IF([2]Entry!$N$1964="","",[2]Entry!$N$1964)</f>
        <v/>
      </c>
      <c r="P1961">
        <f>IF([2]Entry!$S$1964="","",[2]Entry!$S$1964)</f>
        <v/>
      </c>
    </row>
    <row r="1962">
      <c r="L1962">
        <f>IF([2]Entry!$C$1965="","",[2]Entry!$C$1965)</f>
        <v/>
      </c>
      <c r="M1962">
        <f>IF([2]Entry!$J$1965="","",[2]Entry!$J$1965)</f>
        <v/>
      </c>
      <c r="N1962">
        <f>IF([2]Entry!$M$1965="","",[2]Entry!$M$1965)</f>
        <v/>
      </c>
      <c r="O1962">
        <f>IF([2]Entry!$N$1965="","",[2]Entry!$N$1965)</f>
        <v/>
      </c>
      <c r="P1962">
        <f>IF([2]Entry!$S$1965="","",[2]Entry!$S$1965)</f>
        <v/>
      </c>
    </row>
    <row r="1963">
      <c r="L1963">
        <f>IF([2]Entry!$C$1966="","",[2]Entry!$C$1966)</f>
        <v/>
      </c>
      <c r="M1963">
        <f>IF([2]Entry!$J$1966="","",[2]Entry!$J$1966)</f>
        <v/>
      </c>
      <c r="N1963">
        <f>IF([2]Entry!$M$1966="","",[2]Entry!$M$1966)</f>
        <v/>
      </c>
      <c r="O1963">
        <f>IF([2]Entry!$N$1966="","",[2]Entry!$N$1966)</f>
        <v/>
      </c>
      <c r="P1963">
        <f>IF([2]Entry!$S$1966="","",[2]Entry!$S$1966)</f>
        <v/>
      </c>
    </row>
    <row r="1964">
      <c r="L1964">
        <f>IF([2]Entry!$C$1967="","",[2]Entry!$C$1967)</f>
        <v/>
      </c>
      <c r="M1964">
        <f>IF([2]Entry!$J$1967="","",[2]Entry!$J$1967)</f>
        <v/>
      </c>
      <c r="N1964">
        <f>IF([2]Entry!$M$1967="","",[2]Entry!$M$1967)</f>
        <v/>
      </c>
      <c r="O1964">
        <f>IF([2]Entry!$N$1967="","",[2]Entry!$N$1967)</f>
        <v/>
      </c>
      <c r="P1964">
        <f>IF([2]Entry!$S$1967="","",[2]Entry!$S$1967)</f>
        <v/>
      </c>
    </row>
    <row r="1965">
      <c r="L1965">
        <f>IF([2]Entry!$C$1968="","",[2]Entry!$C$1968)</f>
        <v/>
      </c>
      <c r="M1965">
        <f>IF([2]Entry!$J$1968="","",[2]Entry!$J$1968)</f>
        <v/>
      </c>
      <c r="N1965">
        <f>IF([2]Entry!$M$1968="","",[2]Entry!$M$1968)</f>
        <v/>
      </c>
      <c r="O1965">
        <f>IF([2]Entry!$N$1968="","",[2]Entry!$N$1968)</f>
        <v/>
      </c>
      <c r="P1965">
        <f>IF([2]Entry!$S$1968="","",[2]Entry!$S$1968)</f>
        <v/>
      </c>
    </row>
    <row r="1966">
      <c r="L1966">
        <f>IF([2]Entry!$C$1969="","",[2]Entry!$C$1969)</f>
        <v/>
      </c>
      <c r="M1966">
        <f>IF([2]Entry!$J$1969="","",[2]Entry!$J$1969)</f>
        <v/>
      </c>
      <c r="N1966">
        <f>IF([2]Entry!$M$1969="","",[2]Entry!$M$1969)</f>
        <v/>
      </c>
      <c r="O1966">
        <f>IF([2]Entry!$N$1969="","",[2]Entry!$N$1969)</f>
        <v/>
      </c>
      <c r="P1966">
        <f>IF([2]Entry!$S$1969="","",[2]Entry!$S$1969)</f>
        <v/>
      </c>
    </row>
    <row r="1967">
      <c r="L1967">
        <f>IF([2]Entry!$C$1970="","",[2]Entry!$C$1970)</f>
        <v/>
      </c>
      <c r="M1967">
        <f>IF([2]Entry!$J$1970="","",[2]Entry!$J$1970)</f>
        <v/>
      </c>
      <c r="N1967">
        <f>IF([2]Entry!$M$1970="","",[2]Entry!$M$1970)</f>
        <v/>
      </c>
      <c r="O1967">
        <f>IF([2]Entry!$N$1970="","",[2]Entry!$N$1970)</f>
        <v/>
      </c>
      <c r="P1967">
        <f>IF([2]Entry!$S$1970="","",[2]Entry!$S$1970)</f>
        <v/>
      </c>
    </row>
    <row r="1968">
      <c r="L1968">
        <f>IF([2]Entry!$C$1971="","",[2]Entry!$C$1971)</f>
        <v/>
      </c>
      <c r="M1968">
        <f>IF([2]Entry!$J$1971="","",[2]Entry!$J$1971)</f>
        <v/>
      </c>
      <c r="N1968">
        <f>IF([2]Entry!$M$1971="","",[2]Entry!$M$1971)</f>
        <v/>
      </c>
      <c r="O1968">
        <f>IF([2]Entry!$N$1971="","",[2]Entry!$N$1971)</f>
        <v/>
      </c>
      <c r="P1968">
        <f>IF([2]Entry!$S$1971="","",[2]Entry!$S$1971)</f>
        <v/>
      </c>
    </row>
    <row r="1969">
      <c r="L1969">
        <f>IF([2]Entry!$C$1972="","",[2]Entry!$C$1972)</f>
        <v/>
      </c>
      <c r="M1969">
        <f>IF([2]Entry!$J$1972="","",[2]Entry!$J$1972)</f>
        <v/>
      </c>
      <c r="N1969">
        <f>IF([2]Entry!$M$1972="","",[2]Entry!$M$1972)</f>
        <v/>
      </c>
      <c r="O1969">
        <f>IF([2]Entry!$N$1972="","",[2]Entry!$N$1972)</f>
        <v/>
      </c>
      <c r="P1969">
        <f>IF([2]Entry!$S$1972="","",[2]Entry!$S$1972)</f>
        <v/>
      </c>
    </row>
    <row r="1970">
      <c r="L1970">
        <f>IF([2]Entry!$C$1973="","",[2]Entry!$C$1973)</f>
        <v/>
      </c>
      <c r="M1970">
        <f>IF([2]Entry!$J$1973="","",[2]Entry!$J$1973)</f>
        <v/>
      </c>
      <c r="N1970">
        <f>IF([2]Entry!$M$1973="","",[2]Entry!$M$1973)</f>
        <v/>
      </c>
      <c r="O1970">
        <f>IF([2]Entry!$N$1973="","",[2]Entry!$N$1973)</f>
        <v/>
      </c>
      <c r="P1970">
        <f>IF([2]Entry!$S$1973="","",[2]Entry!$S$1973)</f>
        <v/>
      </c>
    </row>
    <row r="1971">
      <c r="L1971">
        <f>IF([2]Entry!$C$1974="","",[2]Entry!$C$1974)</f>
        <v/>
      </c>
      <c r="M1971">
        <f>IF([2]Entry!$J$1974="","",[2]Entry!$J$1974)</f>
        <v/>
      </c>
      <c r="N1971">
        <f>IF([2]Entry!$M$1974="","",[2]Entry!$M$1974)</f>
        <v/>
      </c>
      <c r="O1971">
        <f>IF([2]Entry!$N$1974="","",[2]Entry!$N$1974)</f>
        <v/>
      </c>
      <c r="P1971">
        <f>IF([2]Entry!$S$1974="","",[2]Entry!$S$1974)</f>
        <v/>
      </c>
    </row>
    <row r="1972">
      <c r="L1972">
        <f>IF([2]Entry!$C$1975="","",[2]Entry!$C$1975)</f>
        <v/>
      </c>
      <c r="M1972">
        <f>IF([2]Entry!$J$1975="","",[2]Entry!$J$1975)</f>
        <v/>
      </c>
      <c r="N1972">
        <f>IF([2]Entry!$M$1975="","",[2]Entry!$M$1975)</f>
        <v/>
      </c>
      <c r="O1972">
        <f>IF([2]Entry!$N$1975="","",[2]Entry!$N$1975)</f>
        <v/>
      </c>
      <c r="P1972">
        <f>IF([2]Entry!$S$1975="","",[2]Entry!$S$1975)</f>
        <v/>
      </c>
    </row>
    <row r="1973">
      <c r="L1973">
        <f>IF([2]Entry!$C$1976="","",[2]Entry!$C$1976)</f>
        <v/>
      </c>
      <c r="M1973">
        <f>IF([2]Entry!$J$1976="","",[2]Entry!$J$1976)</f>
        <v/>
      </c>
      <c r="N1973">
        <f>IF([2]Entry!$M$1976="","",[2]Entry!$M$1976)</f>
        <v/>
      </c>
      <c r="O1973">
        <f>IF([2]Entry!$N$1976="","",[2]Entry!$N$1976)</f>
        <v/>
      </c>
      <c r="P1973">
        <f>IF([2]Entry!$S$1976="","",[2]Entry!$S$1976)</f>
        <v/>
      </c>
    </row>
    <row r="1974">
      <c r="L1974">
        <f>IF([2]Entry!$C$1977="","",[2]Entry!$C$1977)</f>
        <v/>
      </c>
      <c r="M1974">
        <f>IF([2]Entry!$J$1977="","",[2]Entry!$J$1977)</f>
        <v/>
      </c>
      <c r="N1974">
        <f>IF([2]Entry!$M$1977="","",[2]Entry!$M$1977)</f>
        <v/>
      </c>
      <c r="O1974">
        <f>IF([2]Entry!$N$1977="","",[2]Entry!$N$1977)</f>
        <v/>
      </c>
      <c r="P1974">
        <f>IF([2]Entry!$S$1977="","",[2]Entry!$S$1977)</f>
        <v/>
      </c>
    </row>
    <row r="1975">
      <c r="L1975">
        <f>IF([2]Entry!$C$1978="","",[2]Entry!$C$1978)</f>
        <v/>
      </c>
      <c r="M1975">
        <f>IF([2]Entry!$J$1978="","",[2]Entry!$J$1978)</f>
        <v/>
      </c>
      <c r="N1975">
        <f>IF([2]Entry!$M$1978="","",[2]Entry!$M$1978)</f>
        <v/>
      </c>
      <c r="O1975">
        <f>IF([2]Entry!$N$1978="","",[2]Entry!$N$1978)</f>
        <v/>
      </c>
      <c r="P1975">
        <f>IF([2]Entry!$S$1978="","",[2]Entry!$S$1978)</f>
        <v/>
      </c>
    </row>
    <row r="1976">
      <c r="L1976">
        <f>IF([2]Entry!$C$1979="","",[2]Entry!$C$1979)</f>
        <v/>
      </c>
      <c r="M1976">
        <f>IF([2]Entry!$J$1979="","",[2]Entry!$J$1979)</f>
        <v/>
      </c>
      <c r="N1976">
        <f>IF([2]Entry!$M$1979="","",[2]Entry!$M$1979)</f>
        <v/>
      </c>
      <c r="O1976">
        <f>IF([2]Entry!$N$1979="","",[2]Entry!$N$1979)</f>
        <v/>
      </c>
      <c r="P1976">
        <f>IF([2]Entry!$S$1979="","",[2]Entry!$S$1979)</f>
        <v/>
      </c>
    </row>
    <row r="1977">
      <c r="L1977">
        <f>IF([2]Entry!$C$1980="","",[2]Entry!$C$1980)</f>
        <v/>
      </c>
      <c r="M1977">
        <f>IF([2]Entry!$J$1980="","",[2]Entry!$J$1980)</f>
        <v/>
      </c>
      <c r="N1977">
        <f>IF([2]Entry!$M$1980="","",[2]Entry!$M$1980)</f>
        <v/>
      </c>
      <c r="O1977">
        <f>IF([2]Entry!$N$1980="","",[2]Entry!$N$1980)</f>
        <v/>
      </c>
      <c r="P1977">
        <f>IF([2]Entry!$S$1980="","",[2]Entry!$S$1980)</f>
        <v/>
      </c>
    </row>
    <row r="1978">
      <c r="L1978">
        <f>IF([2]Entry!$C$1981="","",[2]Entry!$C$1981)</f>
        <v/>
      </c>
      <c r="M1978">
        <f>IF([2]Entry!$J$1981="","",[2]Entry!$J$1981)</f>
        <v/>
      </c>
      <c r="N1978">
        <f>IF([2]Entry!$M$1981="","",[2]Entry!$M$1981)</f>
        <v/>
      </c>
      <c r="O1978">
        <f>IF([2]Entry!$N$1981="","",[2]Entry!$N$1981)</f>
        <v/>
      </c>
      <c r="P1978">
        <f>IF([2]Entry!$S$1981="","",[2]Entry!$S$1981)</f>
        <v/>
      </c>
    </row>
    <row r="1979">
      <c r="L1979">
        <f>IF([2]Entry!$C$1982="","",[2]Entry!$C$1982)</f>
        <v/>
      </c>
      <c r="M1979">
        <f>IF([2]Entry!$J$1982="","",[2]Entry!$J$1982)</f>
        <v/>
      </c>
      <c r="N1979">
        <f>IF([2]Entry!$M$1982="","",[2]Entry!$M$1982)</f>
        <v/>
      </c>
      <c r="O1979">
        <f>IF([2]Entry!$N$1982="","",[2]Entry!$N$1982)</f>
        <v/>
      </c>
      <c r="P1979">
        <f>IF([2]Entry!$S$1982="","",[2]Entry!$S$1982)</f>
        <v/>
      </c>
    </row>
    <row r="1980">
      <c r="L1980">
        <f>IF([2]Entry!$C$1983="","",[2]Entry!$C$1983)</f>
        <v/>
      </c>
      <c r="M1980">
        <f>IF([2]Entry!$J$1983="","",[2]Entry!$J$1983)</f>
        <v/>
      </c>
      <c r="N1980">
        <f>IF([2]Entry!$M$1983="","",[2]Entry!$M$1983)</f>
        <v/>
      </c>
      <c r="O1980">
        <f>IF([2]Entry!$N$1983="","",[2]Entry!$N$1983)</f>
        <v/>
      </c>
      <c r="P1980">
        <f>IF([2]Entry!$S$1983="","",[2]Entry!$S$1983)</f>
        <v/>
      </c>
    </row>
    <row r="1981">
      <c r="L1981">
        <f>IF([2]Entry!$C$1984="","",[2]Entry!$C$1984)</f>
        <v/>
      </c>
      <c r="M1981">
        <f>IF([2]Entry!$J$1984="","",[2]Entry!$J$1984)</f>
        <v/>
      </c>
      <c r="N1981">
        <f>IF([2]Entry!$M$1984="","",[2]Entry!$M$1984)</f>
        <v/>
      </c>
      <c r="O1981">
        <f>IF([2]Entry!$N$1984="","",[2]Entry!$N$1984)</f>
        <v/>
      </c>
      <c r="P1981">
        <f>IF([2]Entry!$S$1984="","",[2]Entry!$S$1984)</f>
        <v/>
      </c>
    </row>
    <row r="1982">
      <c r="L1982">
        <f>IF([2]Entry!$C$1985="","",[2]Entry!$C$1985)</f>
        <v/>
      </c>
      <c r="M1982">
        <f>IF([2]Entry!$J$1985="","",[2]Entry!$J$1985)</f>
        <v/>
      </c>
      <c r="N1982">
        <f>IF([2]Entry!$M$1985="","",[2]Entry!$M$1985)</f>
        <v/>
      </c>
      <c r="O1982">
        <f>IF([2]Entry!$N$1985="","",[2]Entry!$N$1985)</f>
        <v/>
      </c>
      <c r="P1982">
        <f>IF([2]Entry!$S$1985="","",[2]Entry!$S$1985)</f>
        <v/>
      </c>
    </row>
    <row r="1983">
      <c r="L1983">
        <f>IF([2]Entry!$C$1986="","",[2]Entry!$C$1986)</f>
        <v/>
      </c>
      <c r="M1983">
        <f>IF([2]Entry!$J$1986="","",[2]Entry!$J$1986)</f>
        <v/>
      </c>
      <c r="N1983">
        <f>IF([2]Entry!$M$1986="","",[2]Entry!$M$1986)</f>
        <v/>
      </c>
      <c r="O1983">
        <f>IF([2]Entry!$N$1986="","",[2]Entry!$N$1986)</f>
        <v/>
      </c>
      <c r="P1983">
        <f>IF([2]Entry!$S$1986="","",[2]Entry!$S$1986)</f>
        <v/>
      </c>
    </row>
    <row r="1984">
      <c r="L1984">
        <f>IF([2]Entry!$C$1987="","",[2]Entry!$C$1987)</f>
        <v/>
      </c>
      <c r="M1984">
        <f>IF([2]Entry!$J$1987="","",[2]Entry!$J$1987)</f>
        <v/>
      </c>
      <c r="N1984">
        <f>IF([2]Entry!$M$1987="","",[2]Entry!$M$1987)</f>
        <v/>
      </c>
      <c r="O1984">
        <f>IF([2]Entry!$N$1987="","",[2]Entry!$N$1987)</f>
        <v/>
      </c>
      <c r="P1984">
        <f>IF([2]Entry!$S$1987="","",[2]Entry!$S$1987)</f>
        <v/>
      </c>
    </row>
    <row r="1985">
      <c r="L1985">
        <f>IF([2]Entry!$C$1988="","",[2]Entry!$C$1988)</f>
        <v/>
      </c>
      <c r="M1985">
        <f>IF([2]Entry!$J$1988="","",[2]Entry!$J$1988)</f>
        <v/>
      </c>
      <c r="N1985">
        <f>IF([2]Entry!$M$1988="","",[2]Entry!$M$1988)</f>
        <v/>
      </c>
      <c r="O1985">
        <f>IF([2]Entry!$N$1988="","",[2]Entry!$N$1988)</f>
        <v/>
      </c>
      <c r="P1985">
        <f>IF([2]Entry!$S$1988="","",[2]Entry!$S$1988)</f>
        <v/>
      </c>
    </row>
    <row r="1986">
      <c r="L1986">
        <f>IF([2]Entry!$C$1989="","",[2]Entry!$C$1989)</f>
        <v/>
      </c>
      <c r="M1986">
        <f>IF([2]Entry!$J$1989="","",[2]Entry!$J$1989)</f>
        <v/>
      </c>
      <c r="N1986">
        <f>IF([2]Entry!$M$1989="","",[2]Entry!$M$1989)</f>
        <v/>
      </c>
      <c r="O1986">
        <f>IF([2]Entry!$N$1989="","",[2]Entry!$N$1989)</f>
        <v/>
      </c>
      <c r="P1986">
        <f>IF([2]Entry!$S$1989="","",[2]Entry!$S$1989)</f>
        <v/>
      </c>
    </row>
    <row r="1987">
      <c r="L1987">
        <f>IF([2]Entry!$C$1990="","",[2]Entry!$C$1990)</f>
        <v/>
      </c>
      <c r="M1987">
        <f>IF([2]Entry!$J$1990="","",[2]Entry!$J$1990)</f>
        <v/>
      </c>
      <c r="N1987">
        <f>IF([2]Entry!$M$1990="","",[2]Entry!$M$1990)</f>
        <v/>
      </c>
      <c r="O1987">
        <f>IF([2]Entry!$N$1990="","",[2]Entry!$N$1990)</f>
        <v/>
      </c>
      <c r="P1987">
        <f>IF([2]Entry!$S$1990="","",[2]Entry!$S$1990)</f>
        <v/>
      </c>
    </row>
    <row r="1988">
      <c r="L1988">
        <f>IF([2]Entry!$C$1991="","",[2]Entry!$C$1991)</f>
        <v/>
      </c>
      <c r="M1988">
        <f>IF([2]Entry!$J$1991="","",[2]Entry!$J$1991)</f>
        <v/>
      </c>
      <c r="N1988">
        <f>IF([2]Entry!$M$1991="","",[2]Entry!$M$1991)</f>
        <v/>
      </c>
      <c r="O1988">
        <f>IF([2]Entry!$N$1991="","",[2]Entry!$N$1991)</f>
        <v/>
      </c>
      <c r="P1988">
        <f>IF([2]Entry!$S$1991="","",[2]Entry!$S$1991)</f>
        <v/>
      </c>
    </row>
    <row r="1989">
      <c r="L1989">
        <f>IF([2]Entry!$C$1992="","",[2]Entry!$C$1992)</f>
        <v/>
      </c>
      <c r="M1989">
        <f>IF([2]Entry!$J$1992="","",[2]Entry!$J$1992)</f>
        <v/>
      </c>
      <c r="N1989">
        <f>IF([2]Entry!$M$1992="","",[2]Entry!$M$1992)</f>
        <v/>
      </c>
      <c r="O1989">
        <f>IF([2]Entry!$N$1992="","",[2]Entry!$N$1992)</f>
        <v/>
      </c>
      <c r="P1989">
        <f>IF([2]Entry!$S$1992="","",[2]Entry!$S$1992)</f>
        <v/>
      </c>
    </row>
    <row r="1990">
      <c r="L1990">
        <f>IF([2]Entry!$C$1993="","",[2]Entry!$C$1993)</f>
        <v/>
      </c>
      <c r="M1990">
        <f>IF([2]Entry!$J$1993="","",[2]Entry!$J$1993)</f>
        <v/>
      </c>
      <c r="N1990">
        <f>IF([2]Entry!$M$1993="","",[2]Entry!$M$1993)</f>
        <v/>
      </c>
      <c r="O1990">
        <f>IF([2]Entry!$N$1993="","",[2]Entry!$N$1993)</f>
        <v/>
      </c>
      <c r="P1990">
        <f>IF([2]Entry!$S$1993="","",[2]Entry!$S$1993)</f>
        <v/>
      </c>
    </row>
    <row r="1991">
      <c r="L1991">
        <f>IF([2]Entry!$C$1994="","",[2]Entry!$C$1994)</f>
        <v/>
      </c>
      <c r="M1991">
        <f>IF([2]Entry!$J$1994="","",[2]Entry!$J$1994)</f>
        <v/>
      </c>
      <c r="N1991">
        <f>IF([2]Entry!$M$1994="","",[2]Entry!$M$1994)</f>
        <v/>
      </c>
      <c r="O1991">
        <f>IF([2]Entry!$N$1994="","",[2]Entry!$N$1994)</f>
        <v/>
      </c>
      <c r="P1991">
        <f>IF([2]Entry!$S$1994="","",[2]Entry!$S$1994)</f>
        <v/>
      </c>
    </row>
    <row r="1992">
      <c r="L1992">
        <f>IF([2]Entry!$C$1995="","",[2]Entry!$C$1995)</f>
        <v/>
      </c>
      <c r="M1992">
        <f>IF([2]Entry!$J$1995="","",[2]Entry!$J$1995)</f>
        <v/>
      </c>
      <c r="N1992">
        <f>IF([2]Entry!$M$1995="","",[2]Entry!$M$1995)</f>
        <v/>
      </c>
      <c r="O1992">
        <f>IF([2]Entry!$N$1995="","",[2]Entry!$N$1995)</f>
        <v/>
      </c>
      <c r="P1992">
        <f>IF([2]Entry!$S$1995="","",[2]Entry!$S$1995)</f>
        <v/>
      </c>
    </row>
    <row r="1993">
      <c r="L1993">
        <f>IF([2]Entry!$C$1996="","",[2]Entry!$C$1996)</f>
        <v/>
      </c>
      <c r="M1993">
        <f>IF([2]Entry!$J$1996="","",[2]Entry!$J$1996)</f>
        <v/>
      </c>
      <c r="N1993">
        <f>IF([2]Entry!$M$1996="","",[2]Entry!$M$1996)</f>
        <v/>
      </c>
      <c r="O1993">
        <f>IF([2]Entry!$N$1996="","",[2]Entry!$N$1996)</f>
        <v/>
      </c>
      <c r="P1993">
        <f>IF([2]Entry!$S$1996="","",[2]Entry!$S$1996)</f>
        <v/>
      </c>
    </row>
    <row r="1994">
      <c r="L1994">
        <f>IF([2]Entry!$C$1997="","",[2]Entry!$C$1997)</f>
        <v/>
      </c>
      <c r="M1994">
        <f>IF([2]Entry!$J$1997="","",[2]Entry!$J$1997)</f>
        <v/>
      </c>
      <c r="N1994">
        <f>IF([2]Entry!$M$1997="","",[2]Entry!$M$1997)</f>
        <v/>
      </c>
      <c r="O1994">
        <f>IF([2]Entry!$N$1997="","",[2]Entry!$N$1997)</f>
        <v/>
      </c>
      <c r="P1994">
        <f>IF([2]Entry!$S$1997="","",[2]Entry!$S$1997)</f>
        <v/>
      </c>
    </row>
    <row r="1995">
      <c r="L1995">
        <f>IF([2]Entry!$C$1998="","",[2]Entry!$C$1998)</f>
        <v/>
      </c>
      <c r="M1995">
        <f>IF([2]Entry!$J$1998="","",[2]Entry!$J$1998)</f>
        <v/>
      </c>
      <c r="N1995">
        <f>IF([2]Entry!$M$1998="","",[2]Entry!$M$1998)</f>
        <v/>
      </c>
      <c r="O1995">
        <f>IF([2]Entry!$N$1998="","",[2]Entry!$N$1998)</f>
        <v/>
      </c>
      <c r="P1995">
        <f>IF([2]Entry!$S$1998="","",[2]Entry!$S$1998)</f>
        <v/>
      </c>
    </row>
    <row r="1996">
      <c r="L1996">
        <f>IF([2]Entry!$C$1999="","",[2]Entry!$C$1999)</f>
        <v/>
      </c>
      <c r="M1996">
        <f>IF([2]Entry!$J$1999="","",[2]Entry!$J$1999)</f>
        <v/>
      </c>
      <c r="N1996">
        <f>IF([2]Entry!$M$1999="","",[2]Entry!$M$1999)</f>
        <v/>
      </c>
      <c r="O1996">
        <f>IF([2]Entry!$N$1999="","",[2]Entry!$N$1999)</f>
        <v/>
      </c>
      <c r="P1996">
        <f>IF([2]Entry!$S$1999="","",[2]Entry!$S$1999)</f>
        <v/>
      </c>
    </row>
    <row r="1997">
      <c r="L1997">
        <f>IF([2]Entry!$C$2000="","",[2]Entry!$C$2000)</f>
        <v/>
      </c>
      <c r="M1997">
        <f>IF([2]Entry!$J$2000="","",[2]Entry!$J$2000)</f>
        <v/>
      </c>
      <c r="N1997">
        <f>IF([2]Entry!$M$2000="","",[2]Entry!$M$2000)</f>
        <v/>
      </c>
      <c r="O1997">
        <f>IF([2]Entry!$N$2000="","",[2]Entry!$N$2000)</f>
        <v/>
      </c>
      <c r="P1997">
        <f>IF([2]Entry!$S$2000="","",[2]Entry!$S$2000)</f>
        <v/>
      </c>
    </row>
    <row r="1998">
      <c r="L1998">
        <f>IF([2]Entry!$C$2001="","",[2]Entry!$C$2001)</f>
        <v/>
      </c>
      <c r="M1998">
        <f>IF([2]Entry!$J$2001="","",[2]Entry!$J$2001)</f>
        <v/>
      </c>
      <c r="N1998">
        <f>IF([2]Entry!$M$2001="","",[2]Entry!$M$2001)</f>
        <v/>
      </c>
      <c r="O1998">
        <f>IF([2]Entry!$N$2001="","",[2]Entry!$N$2001)</f>
        <v/>
      </c>
      <c r="P1998">
        <f>IF([2]Entry!$S$2001="","",[2]Entry!$S$2001)</f>
        <v/>
      </c>
    </row>
    <row r="1999">
      <c r="L1999">
        <f>IF([2]Entry!$C$2002="","",[2]Entry!$C$2002)</f>
        <v/>
      </c>
      <c r="M1999">
        <f>IF([2]Entry!$J$2002="","",[2]Entry!$J$2002)</f>
        <v/>
      </c>
      <c r="N1999">
        <f>IF([2]Entry!$M$2002="","",[2]Entry!$M$2002)</f>
        <v/>
      </c>
      <c r="O1999">
        <f>IF([2]Entry!$N$2002="","",[2]Entry!$N$2002)</f>
        <v/>
      </c>
      <c r="P1999">
        <f>IF([2]Entry!$S$2002="","",[2]Entry!$S$2002)</f>
        <v/>
      </c>
    </row>
    <row r="2000">
      <c r="L2000">
        <f>IF([2]Entry!$C$2003="","",[2]Entry!$C$2003)</f>
        <v/>
      </c>
      <c r="M2000">
        <f>IF([2]Entry!$J$2003="","",[2]Entry!$J$2003)</f>
        <v/>
      </c>
      <c r="N2000">
        <f>IF([2]Entry!$M$2003="","",[2]Entry!$M$2003)</f>
        <v/>
      </c>
      <c r="O2000">
        <f>IF([2]Entry!$N$2003="","",[2]Entry!$N$2003)</f>
        <v/>
      </c>
      <c r="P2000">
        <f>IF([2]Entry!$S$2003="","",[2]Entry!$S$2003)</f>
        <v/>
      </c>
    </row>
    <row r="2001">
      <c r="L2001">
        <f>IF([2]Entry!$C$2004="","",[2]Entry!$C$2004)</f>
        <v/>
      </c>
      <c r="M2001">
        <f>IF([2]Entry!$J$2004="","",[2]Entry!$J$2004)</f>
        <v/>
      </c>
      <c r="N2001">
        <f>IF([2]Entry!$M$2004="","",[2]Entry!$M$2004)</f>
        <v/>
      </c>
      <c r="O2001">
        <f>IF([2]Entry!$N$2004="","",[2]Entry!$N$2004)</f>
        <v/>
      </c>
      <c r="P2001">
        <f>IF([2]Entry!$S$2004="","",[2]Entry!$S$2004)</f>
        <v/>
      </c>
    </row>
    <row r="2002">
      <c r="L2002">
        <f>IF([2]Entry!$C$2005="","",[2]Entry!$C$2005)</f>
        <v/>
      </c>
      <c r="M2002">
        <f>IF([2]Entry!$J$2005="","",[2]Entry!$J$2005)</f>
        <v/>
      </c>
      <c r="N2002">
        <f>IF([2]Entry!$M$2005="","",[2]Entry!$M$2005)</f>
        <v/>
      </c>
      <c r="O2002">
        <f>IF([2]Entry!$N$2005="","",[2]Entry!$N$2005)</f>
        <v/>
      </c>
      <c r="P2002">
        <f>IF([2]Entry!$S$2005="","",[2]Entry!$S$2005)</f>
        <v/>
      </c>
    </row>
    <row r="2003">
      <c r="L2003">
        <f>IF([2]Entry!$C$2006="","",[2]Entry!$C$2006)</f>
        <v/>
      </c>
      <c r="M2003">
        <f>IF([2]Entry!$J$2006="","",[2]Entry!$J$2006)</f>
        <v/>
      </c>
      <c r="N2003">
        <f>IF([2]Entry!$M$2006="","",[2]Entry!$M$2006)</f>
        <v/>
      </c>
      <c r="O2003">
        <f>IF([2]Entry!$N$2006="","",[2]Entry!$N$2006)</f>
        <v/>
      </c>
      <c r="P2003">
        <f>IF([2]Entry!$S$2006="","",[2]Entry!$S$2006)</f>
        <v/>
      </c>
    </row>
    <row r="2004">
      <c r="L2004">
        <f>IF([2]Entry!$C$2007="","",[2]Entry!$C$2007)</f>
        <v/>
      </c>
      <c r="M2004">
        <f>IF([2]Entry!$J$2007="","",[2]Entry!$J$2007)</f>
        <v/>
      </c>
      <c r="N2004">
        <f>IF([2]Entry!$M$2007="","",[2]Entry!$M$2007)</f>
        <v/>
      </c>
      <c r="O2004">
        <f>IF([2]Entry!$N$2007="","",[2]Entry!$N$2007)</f>
        <v/>
      </c>
      <c r="P2004">
        <f>IF([2]Entry!$S$2007="","",[2]Entry!$S$2007)</f>
        <v/>
      </c>
    </row>
    <row r="2005">
      <c r="L2005">
        <f>IF([2]Entry!$C$2008="","",[2]Entry!$C$2008)</f>
        <v/>
      </c>
      <c r="M2005">
        <f>IF([2]Entry!$J$2008="","",[2]Entry!$J$2008)</f>
        <v/>
      </c>
      <c r="N2005">
        <f>IF([2]Entry!$M$2008="","",[2]Entry!$M$2008)</f>
        <v/>
      </c>
      <c r="O2005">
        <f>IF([2]Entry!$N$2008="","",[2]Entry!$N$2008)</f>
        <v/>
      </c>
      <c r="P2005">
        <f>IF([2]Entry!$S$2008="","",[2]Entry!$S$2008)</f>
        <v/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0A4AE"/>
    <outlinePr summaryBelow="1" summaryRight="1"/>
    <pageSetUpPr/>
  </sheetPr>
  <dimension ref="A1:O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5" max="5"/>
    <col width="13" customWidth="1" min="6" max="6"/>
    <col width="11" customWidth="1" min="8" max="8"/>
    <col width="12" customWidth="1" min="9" max="9"/>
    <col width="15" customWidth="1" min="11" max="11"/>
    <col width="12" customWidth="1" min="13" max="13"/>
    <col width="12" customWidth="1" min="14" max="14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9" t="inlineStr">
        <is>
          <t>برگه فنی — موتور چک‌ها (نرمال‌سازی تاریخ، وضعیت پاس/پاس‌نشده و کلید مرتب‌سازی). فرمول‌ها را تغییر ندهید.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</row>
    <row r="5">
      <c r="A5" s="30" t="inlineStr">
        <is>
          <t>A·چک</t>
        </is>
      </c>
      <c r="B5" s="30" t="inlineStr">
        <is>
          <t>A·Y</t>
        </is>
      </c>
      <c r="C5" s="30" t="inlineStr">
        <is>
          <t>A·M</t>
        </is>
      </c>
      <c r="D5" s="30" t="inlineStr">
        <is>
          <t>A·D</t>
        </is>
      </c>
      <c r="E5" s="30" t="inlineStr">
        <is>
          <t>A·تاریخ</t>
        </is>
      </c>
      <c r="F5" s="30" t="inlineStr">
        <is>
          <t>A·مبلغ</t>
        </is>
      </c>
      <c r="G5" s="30" t="inlineStr">
        <is>
          <t>A·ذی‌نفع</t>
        </is>
      </c>
      <c r="H5" s="30" t="inlineStr">
        <is>
          <t>A·وضعیت</t>
        </is>
      </c>
      <c r="I5" s="30" t="inlineStr">
        <is>
          <t>A·تاریخ‌پاس</t>
        </is>
      </c>
      <c r="J5" s="30" t="inlineStr">
        <is>
          <t>A·توضیح</t>
        </is>
      </c>
      <c r="K5" s="30" t="inlineStr">
        <is>
          <t>A·کلید</t>
        </is>
      </c>
      <c r="M5" s="31" t="inlineStr">
        <is>
          <t>B·چک‌پاس</t>
        </is>
      </c>
      <c r="N5" s="31" t="inlineStr">
        <is>
          <t>B·تاریخ‌پاس</t>
        </is>
      </c>
    </row>
    <row r="6">
      <c r="A6">
        <f>IF(Issues!$B9="","",Issues!$B9)</f>
        <v/>
      </c>
      <c r="B6">
        <f>IF($A6="","",IF(ISNUMBER(Issues!$C9),IF(AND(Issues!$C9&gt;=10000101,Issues!$C9&lt;=99991231),INT(Issues!$C9/10000),""),IFERROR(VALUE(TRIM(LEFT(Issues!$C9,FIND("/",Issues!$C9)-1))),"")))</f>
        <v/>
      </c>
      <c r="C6">
        <f>IF(OR($A6="",$B6=""),"",IF(ISNUMBER(Issues!$C9),INT(MOD(Issues!$C9,10000)/100),IFERROR(VALUE(TRIM(LEFT(MID(Issues!$C9,FIND("/",Issues!$C9)+1,20),FIND("/",MID(Issues!$C9,FIND("/",Issues!$C9)+1,20))-1))),"")))</f>
        <v/>
      </c>
      <c r="D6">
        <f>IF(OR($A6="",$B6=""),"",IF(ISNUMBER(Issues!$C9),MOD(Issues!$C9,100),IFERROR(VALUE(TRIM(MID(MID(Issues!$C9,FIND("/",Issues!$C9)+1,20),FIND("/",MID(Issues!$C9,FIND("/",Issues!$C9)+1,20))+1,20))),"")))</f>
        <v/>
      </c>
      <c r="E6">
        <f>IF($A6="","",IF(OR($B6="",$C6="",$D6="",$B6&lt;1300,$B6&gt;1500,$C6&lt;1,$C6&gt;12,$D6&lt;1,$D6&gt;31),"نامعتبر",RIGHT("0000"&amp;$B6,4)&amp;"/"&amp;RIGHT("00"&amp;$C6,2)&amp;"/"&amp;RIGHT("00"&amp;$D6,2)))</f>
        <v/>
      </c>
      <c r="F6">
        <f>IF($A6="","",IF(Issues!$D9="",0,Issues!$D9))</f>
        <v/>
      </c>
      <c r="G6">
        <f>IF($A6="","",Issues!$E9)</f>
        <v/>
      </c>
      <c r="H6">
        <f>IF($A6="","",IF(COUNTIFS(ETxnType,"پاس چک",ETxnChk,$A6)&gt;0,"پاس شده","پاس نشده"))</f>
        <v/>
      </c>
      <c r="I6">
        <f>IF($A6="","",IFERROR(INDEX(BClrDate,MATCH($A6,BClrChk,0)),""))</f>
        <v/>
      </c>
      <c r="J6">
        <f>IF($A6="","",Issues!$G9)</f>
        <v/>
      </c>
      <c r="K6">
        <f>IF(OR($E6="",$E6="نامعتبر"),"",LEFT($E6,4)&amp;MID($E6,6,2)&amp;RIGHT($E6,2)&amp;"|"&amp;RIGHT("00000"&amp;1,5))</f>
        <v/>
      </c>
      <c r="M6">
        <f>IF(Sync!$M6&lt;&gt;"پاس چک","",IF(Sync!$P6="","",Sync!$P6))</f>
        <v/>
      </c>
      <c r="N6">
        <f>IF($M6="","",IF(ISNUMBER(Sync!$L6),IF(AND(Sync!$L6&gt;=10000101,Sync!$L6&lt;=99991231),RIGHT("0000"&amp;INT(Sync!$L6/10000),4)&amp;"/"&amp;RIGHT("00"&amp;INT(MOD(Sync!$L6,10000)/100),2)&amp;"/"&amp;RIGHT("00"&amp;MOD(Sync!$L6,100),2),""),IFERROR(RIGHT("0000"&amp;VALUE(TRIM(LEFT(Sync!$L6,FIND("/",Sync!$L6)-1))),4)&amp;"/"&amp;RIGHT("00"&amp;VALUE(TRIM(LEFT(MID(Sync!$L6,FIND("/",Sync!$L6)+1,20),FIND("/",MID(Sync!$L6,FIND("/",Sync!$L6)+1,20))-1))),2)&amp;"/"&amp;RIGHT("00"&amp;VALUE(TRIM(MID(MID(Sync!$L6,FIND("/",Sync!$L6)+1,20),FIND("/",MID(Sync!$L6,FIND("/",Sync!$L6)+1,20))+1,20))),2),"")))</f>
        <v/>
      </c>
    </row>
    <row r="7">
      <c r="A7">
        <f>IF(Issues!$B10="","",Issues!$B10)</f>
        <v/>
      </c>
      <c r="B7">
        <f>IF($A7="","",IF(ISNUMBER(Issues!$C10),IF(AND(Issues!$C10&gt;=10000101,Issues!$C10&lt;=99991231),INT(Issues!$C10/10000),""),IFERROR(VALUE(TRIM(LEFT(Issues!$C10,FIND("/",Issues!$C10)-1))),"")))</f>
        <v/>
      </c>
      <c r="C7">
        <f>IF(OR($A7="",$B7=""),"",IF(ISNUMBER(Issues!$C10),INT(MOD(Issues!$C10,10000)/100),IFERROR(VALUE(TRIM(LEFT(MID(Issues!$C10,FIND("/",Issues!$C10)+1,20),FIND("/",MID(Issues!$C10,FIND("/",Issues!$C10)+1,20))-1))),"")))</f>
        <v/>
      </c>
      <c r="D7">
        <f>IF(OR($A7="",$B7=""),"",IF(ISNUMBER(Issues!$C10),MOD(Issues!$C10,100),IFERROR(VALUE(TRIM(MID(MID(Issues!$C10,FIND("/",Issues!$C10)+1,20),FIND("/",MID(Issues!$C10,FIND("/",Issues!$C10)+1,20))+1,20))),"")))</f>
        <v/>
      </c>
      <c r="E7">
        <f>IF($A7="","",IF(OR($B7="",$C7="",$D7="",$B7&lt;1300,$B7&gt;1500,$C7&lt;1,$C7&gt;12,$D7&lt;1,$D7&gt;31),"نامعتبر",RIGHT("0000"&amp;$B7,4)&amp;"/"&amp;RIGHT("00"&amp;$C7,2)&amp;"/"&amp;RIGHT("00"&amp;$D7,2)))</f>
        <v/>
      </c>
      <c r="F7">
        <f>IF($A7="","",IF(Issues!$D10="",0,Issues!$D10))</f>
        <v/>
      </c>
      <c r="G7">
        <f>IF($A7="","",Issues!$E10)</f>
        <v/>
      </c>
      <c r="H7">
        <f>IF($A7="","",IF(COUNTIFS(ETxnType,"پاس چک",ETxnChk,$A7)&gt;0,"پاس شده","پاس نشده"))</f>
        <v/>
      </c>
      <c r="I7">
        <f>IF($A7="","",IFERROR(INDEX(BClrDate,MATCH($A7,BClrChk,0)),""))</f>
        <v/>
      </c>
      <c r="J7">
        <f>IF($A7="","",Issues!$G10)</f>
        <v/>
      </c>
      <c r="K7">
        <f>IF(OR($E7="",$E7="نامعتبر"),"",LEFT($E7,4)&amp;MID($E7,6,2)&amp;RIGHT($E7,2)&amp;"|"&amp;RIGHT("00000"&amp;2,5))</f>
        <v/>
      </c>
      <c r="M7">
        <f>IF(Sync!$M7&lt;&gt;"پاس چک","",IF(Sync!$P7="","",Sync!$P7))</f>
        <v/>
      </c>
      <c r="N7">
        <f>IF($M7="","",IF(ISNUMBER(Sync!$L7),IF(AND(Sync!$L7&gt;=10000101,Sync!$L7&lt;=99991231),RIGHT("0000"&amp;INT(Sync!$L7/10000),4)&amp;"/"&amp;RIGHT("00"&amp;INT(MOD(Sync!$L7,10000)/100),2)&amp;"/"&amp;RIGHT("00"&amp;MOD(Sync!$L7,100),2),""),IFERROR(RIGHT("0000"&amp;VALUE(TRIM(LEFT(Sync!$L7,FIND("/",Sync!$L7)-1))),4)&amp;"/"&amp;RIGHT("00"&amp;VALUE(TRIM(LEFT(MID(Sync!$L7,FIND("/",Sync!$L7)+1,20),FIND("/",MID(Sync!$L7,FIND("/",Sync!$L7)+1,20))-1))),2)&amp;"/"&amp;RIGHT("00"&amp;VALUE(TRIM(MID(MID(Sync!$L7,FIND("/",Sync!$L7)+1,20),FIND("/",MID(Sync!$L7,FIND("/",Sync!$L7)+1,20))+1,20))),2),"")))</f>
        <v/>
      </c>
    </row>
    <row r="8">
      <c r="A8">
        <f>IF(Issues!$B11="","",Issues!$B11)</f>
        <v/>
      </c>
      <c r="B8">
        <f>IF($A8="","",IF(ISNUMBER(Issues!$C11),IF(AND(Issues!$C11&gt;=10000101,Issues!$C11&lt;=99991231),INT(Issues!$C11/10000),""),IFERROR(VALUE(TRIM(LEFT(Issues!$C11,FIND("/",Issues!$C11)-1))),"")))</f>
        <v/>
      </c>
      <c r="C8">
        <f>IF(OR($A8="",$B8=""),"",IF(ISNUMBER(Issues!$C11),INT(MOD(Issues!$C11,10000)/100),IFERROR(VALUE(TRIM(LEFT(MID(Issues!$C11,FIND("/",Issues!$C11)+1,20),FIND("/",MID(Issues!$C11,FIND("/",Issues!$C11)+1,20))-1))),"")))</f>
        <v/>
      </c>
      <c r="D8">
        <f>IF(OR($A8="",$B8=""),"",IF(ISNUMBER(Issues!$C11),MOD(Issues!$C11,100),IFERROR(VALUE(TRIM(MID(MID(Issues!$C11,FIND("/",Issues!$C11)+1,20),FIND("/",MID(Issues!$C11,FIND("/",Issues!$C11)+1,20))+1,20))),"")))</f>
        <v/>
      </c>
      <c r="E8">
        <f>IF($A8="","",IF(OR($B8="",$C8="",$D8="",$B8&lt;1300,$B8&gt;1500,$C8&lt;1,$C8&gt;12,$D8&lt;1,$D8&gt;31),"نامعتبر",RIGHT("0000"&amp;$B8,4)&amp;"/"&amp;RIGHT("00"&amp;$C8,2)&amp;"/"&amp;RIGHT("00"&amp;$D8,2)))</f>
        <v/>
      </c>
      <c r="F8">
        <f>IF($A8="","",IF(Issues!$D11="",0,Issues!$D11))</f>
        <v/>
      </c>
      <c r="G8">
        <f>IF($A8="","",Issues!$E11)</f>
        <v/>
      </c>
      <c r="H8">
        <f>IF($A8="","",IF(COUNTIFS(ETxnType,"پاس چک",ETxnChk,$A8)&gt;0,"پاس شده","پاس نشده"))</f>
        <v/>
      </c>
      <c r="I8">
        <f>IF($A8="","",IFERROR(INDEX(BClrDate,MATCH($A8,BClrChk,0)),""))</f>
        <v/>
      </c>
      <c r="J8">
        <f>IF($A8="","",Issues!$G11)</f>
        <v/>
      </c>
      <c r="K8">
        <f>IF(OR($E8="",$E8="نامعتبر"),"",LEFT($E8,4)&amp;MID($E8,6,2)&amp;RIGHT($E8,2)&amp;"|"&amp;RIGHT("00000"&amp;3,5))</f>
        <v/>
      </c>
      <c r="M8">
        <f>IF(Sync!$M8&lt;&gt;"پاس چک","",IF(Sync!$P8="","",Sync!$P8))</f>
        <v/>
      </c>
      <c r="N8">
        <f>IF($M8="","",IF(ISNUMBER(Sync!$L8),IF(AND(Sync!$L8&gt;=10000101,Sync!$L8&lt;=99991231),RIGHT("0000"&amp;INT(Sync!$L8/10000),4)&amp;"/"&amp;RIGHT("00"&amp;INT(MOD(Sync!$L8,10000)/100),2)&amp;"/"&amp;RIGHT("00"&amp;MOD(Sync!$L8,100),2),""),IFERROR(RIGHT("0000"&amp;VALUE(TRIM(LEFT(Sync!$L8,FIND("/",Sync!$L8)-1))),4)&amp;"/"&amp;RIGHT("00"&amp;VALUE(TRIM(LEFT(MID(Sync!$L8,FIND("/",Sync!$L8)+1,20),FIND("/",MID(Sync!$L8,FIND("/",Sync!$L8)+1,20))-1))),2)&amp;"/"&amp;RIGHT("00"&amp;VALUE(TRIM(MID(MID(Sync!$L8,FIND("/",Sync!$L8)+1,20),FIND("/",MID(Sync!$L8,FIND("/",Sync!$L8)+1,20))+1,20))),2),"")))</f>
        <v/>
      </c>
    </row>
    <row r="9">
      <c r="A9">
        <f>IF(Issues!$B12="","",Issues!$B12)</f>
        <v/>
      </c>
      <c r="B9">
        <f>IF($A9="","",IF(ISNUMBER(Issues!$C12),IF(AND(Issues!$C12&gt;=10000101,Issues!$C12&lt;=99991231),INT(Issues!$C12/10000),""),IFERROR(VALUE(TRIM(LEFT(Issues!$C12,FIND("/",Issues!$C12)-1))),"")))</f>
        <v/>
      </c>
      <c r="C9">
        <f>IF(OR($A9="",$B9=""),"",IF(ISNUMBER(Issues!$C12),INT(MOD(Issues!$C12,10000)/100),IFERROR(VALUE(TRIM(LEFT(MID(Issues!$C12,FIND("/",Issues!$C12)+1,20),FIND("/",MID(Issues!$C12,FIND("/",Issues!$C12)+1,20))-1))),"")))</f>
        <v/>
      </c>
      <c r="D9">
        <f>IF(OR($A9="",$B9=""),"",IF(ISNUMBER(Issues!$C12),MOD(Issues!$C12,100),IFERROR(VALUE(TRIM(MID(MID(Issues!$C12,FIND("/",Issues!$C12)+1,20),FIND("/",MID(Issues!$C12,FIND("/",Issues!$C12)+1,20))+1,20))),"")))</f>
        <v/>
      </c>
      <c r="E9">
        <f>IF($A9="","",IF(OR($B9="",$C9="",$D9="",$B9&lt;1300,$B9&gt;1500,$C9&lt;1,$C9&gt;12,$D9&lt;1,$D9&gt;31),"نامعتبر",RIGHT("0000"&amp;$B9,4)&amp;"/"&amp;RIGHT("00"&amp;$C9,2)&amp;"/"&amp;RIGHT("00"&amp;$D9,2)))</f>
        <v/>
      </c>
      <c r="F9">
        <f>IF($A9="","",IF(Issues!$D12="",0,Issues!$D12))</f>
        <v/>
      </c>
      <c r="G9">
        <f>IF($A9="","",Issues!$E12)</f>
        <v/>
      </c>
      <c r="H9">
        <f>IF($A9="","",IF(COUNTIFS(ETxnType,"پاس چک",ETxnChk,$A9)&gt;0,"پاس شده","پاس نشده"))</f>
        <v/>
      </c>
      <c r="I9">
        <f>IF($A9="","",IFERROR(INDEX(BClrDate,MATCH($A9,BClrChk,0)),""))</f>
        <v/>
      </c>
      <c r="J9">
        <f>IF($A9="","",Issues!$G12)</f>
        <v/>
      </c>
      <c r="K9">
        <f>IF(OR($E9="",$E9="نامعتبر"),"",LEFT($E9,4)&amp;MID($E9,6,2)&amp;RIGHT($E9,2)&amp;"|"&amp;RIGHT("00000"&amp;4,5))</f>
        <v/>
      </c>
      <c r="M9">
        <f>IF(Sync!$M9&lt;&gt;"پاس چک","",IF(Sync!$P9="","",Sync!$P9))</f>
        <v/>
      </c>
      <c r="N9">
        <f>IF($M9="","",IF(ISNUMBER(Sync!$L9),IF(AND(Sync!$L9&gt;=10000101,Sync!$L9&lt;=99991231),RIGHT("0000"&amp;INT(Sync!$L9/10000),4)&amp;"/"&amp;RIGHT("00"&amp;INT(MOD(Sync!$L9,10000)/100),2)&amp;"/"&amp;RIGHT("00"&amp;MOD(Sync!$L9,100),2),""),IFERROR(RIGHT("0000"&amp;VALUE(TRIM(LEFT(Sync!$L9,FIND("/",Sync!$L9)-1))),4)&amp;"/"&amp;RIGHT("00"&amp;VALUE(TRIM(LEFT(MID(Sync!$L9,FIND("/",Sync!$L9)+1,20),FIND("/",MID(Sync!$L9,FIND("/",Sync!$L9)+1,20))-1))),2)&amp;"/"&amp;RIGHT("00"&amp;VALUE(TRIM(MID(MID(Sync!$L9,FIND("/",Sync!$L9)+1,20),FIND("/",MID(Sync!$L9,FIND("/",Sync!$L9)+1,20))+1,20))),2),"")))</f>
        <v/>
      </c>
    </row>
    <row r="10">
      <c r="A10">
        <f>IF(Issues!$B13="","",Issues!$B13)</f>
        <v/>
      </c>
      <c r="B10">
        <f>IF($A10="","",IF(ISNUMBER(Issues!$C13),IF(AND(Issues!$C13&gt;=10000101,Issues!$C13&lt;=99991231),INT(Issues!$C13/10000),""),IFERROR(VALUE(TRIM(LEFT(Issues!$C13,FIND("/",Issues!$C13)-1))),"")))</f>
        <v/>
      </c>
      <c r="C10">
        <f>IF(OR($A10="",$B10=""),"",IF(ISNUMBER(Issues!$C13),INT(MOD(Issues!$C13,10000)/100),IFERROR(VALUE(TRIM(LEFT(MID(Issues!$C13,FIND("/",Issues!$C13)+1,20),FIND("/",MID(Issues!$C13,FIND("/",Issues!$C13)+1,20))-1))),"")))</f>
        <v/>
      </c>
      <c r="D10">
        <f>IF(OR($A10="",$B10=""),"",IF(ISNUMBER(Issues!$C13),MOD(Issues!$C13,100),IFERROR(VALUE(TRIM(MID(MID(Issues!$C13,FIND("/",Issues!$C13)+1,20),FIND("/",MID(Issues!$C13,FIND("/",Issues!$C13)+1,20))+1,20))),"")))</f>
        <v/>
      </c>
      <c r="E10">
        <f>IF($A10="","",IF(OR($B10="",$C10="",$D10="",$B10&lt;1300,$B10&gt;1500,$C10&lt;1,$C10&gt;12,$D10&lt;1,$D10&gt;31),"نامعتبر",RIGHT("0000"&amp;$B10,4)&amp;"/"&amp;RIGHT("00"&amp;$C10,2)&amp;"/"&amp;RIGHT("00"&amp;$D10,2)))</f>
        <v/>
      </c>
      <c r="F10">
        <f>IF($A10="","",IF(Issues!$D13="",0,Issues!$D13))</f>
        <v/>
      </c>
      <c r="G10">
        <f>IF($A10="","",Issues!$E13)</f>
        <v/>
      </c>
      <c r="H10">
        <f>IF($A10="","",IF(COUNTIFS(ETxnType,"پاس چک",ETxnChk,$A10)&gt;0,"پاس شده","پاس نشده"))</f>
        <v/>
      </c>
      <c r="I10">
        <f>IF($A10="","",IFERROR(INDEX(BClrDate,MATCH($A10,BClrChk,0)),""))</f>
        <v/>
      </c>
      <c r="J10">
        <f>IF($A10="","",Issues!$G13)</f>
        <v/>
      </c>
      <c r="K10">
        <f>IF(OR($E10="",$E10="نامعتبر"),"",LEFT($E10,4)&amp;MID($E10,6,2)&amp;RIGHT($E10,2)&amp;"|"&amp;RIGHT("00000"&amp;5,5))</f>
        <v/>
      </c>
      <c r="M10">
        <f>IF(Sync!$M10&lt;&gt;"پاس چک","",IF(Sync!$P10="","",Sync!$P10))</f>
        <v/>
      </c>
      <c r="N10">
        <f>IF($M10="","",IF(ISNUMBER(Sync!$L10),IF(AND(Sync!$L10&gt;=10000101,Sync!$L10&lt;=99991231),RIGHT("0000"&amp;INT(Sync!$L10/10000),4)&amp;"/"&amp;RIGHT("00"&amp;INT(MOD(Sync!$L10,10000)/100),2)&amp;"/"&amp;RIGHT("00"&amp;MOD(Sync!$L10,100),2),""),IFERROR(RIGHT("0000"&amp;VALUE(TRIM(LEFT(Sync!$L10,FIND("/",Sync!$L10)-1))),4)&amp;"/"&amp;RIGHT("00"&amp;VALUE(TRIM(LEFT(MID(Sync!$L10,FIND("/",Sync!$L10)+1,20),FIND("/",MID(Sync!$L10,FIND("/",Sync!$L10)+1,20))-1))),2)&amp;"/"&amp;RIGHT("00"&amp;VALUE(TRIM(MID(MID(Sync!$L10,FIND("/",Sync!$L10)+1,20),FIND("/",MID(Sync!$L10,FIND("/",Sync!$L10)+1,20))+1,20))),2),"")))</f>
        <v/>
      </c>
    </row>
    <row r="11">
      <c r="A11">
        <f>IF(Issues!$B14="","",Issues!$B14)</f>
        <v/>
      </c>
      <c r="B11">
        <f>IF($A11="","",IF(ISNUMBER(Issues!$C14),IF(AND(Issues!$C14&gt;=10000101,Issues!$C14&lt;=99991231),INT(Issues!$C14/10000),""),IFERROR(VALUE(TRIM(LEFT(Issues!$C14,FIND("/",Issues!$C14)-1))),"")))</f>
        <v/>
      </c>
      <c r="C11">
        <f>IF(OR($A11="",$B11=""),"",IF(ISNUMBER(Issues!$C14),INT(MOD(Issues!$C14,10000)/100),IFERROR(VALUE(TRIM(LEFT(MID(Issues!$C14,FIND("/",Issues!$C14)+1,20),FIND("/",MID(Issues!$C14,FIND("/",Issues!$C14)+1,20))-1))),"")))</f>
        <v/>
      </c>
      <c r="D11">
        <f>IF(OR($A11="",$B11=""),"",IF(ISNUMBER(Issues!$C14),MOD(Issues!$C14,100),IFERROR(VALUE(TRIM(MID(MID(Issues!$C14,FIND("/",Issues!$C14)+1,20),FIND("/",MID(Issues!$C14,FIND("/",Issues!$C14)+1,20))+1,20))),"")))</f>
        <v/>
      </c>
      <c r="E11">
        <f>IF($A11="","",IF(OR($B11="",$C11="",$D11="",$B11&lt;1300,$B11&gt;1500,$C11&lt;1,$C11&gt;12,$D11&lt;1,$D11&gt;31),"نامعتبر",RIGHT("0000"&amp;$B11,4)&amp;"/"&amp;RIGHT("00"&amp;$C11,2)&amp;"/"&amp;RIGHT("00"&amp;$D11,2)))</f>
        <v/>
      </c>
      <c r="F11">
        <f>IF($A11="","",IF(Issues!$D14="",0,Issues!$D14))</f>
        <v/>
      </c>
      <c r="G11">
        <f>IF($A11="","",Issues!$E14)</f>
        <v/>
      </c>
      <c r="H11">
        <f>IF($A11="","",IF(COUNTIFS(ETxnType,"پاس چک",ETxnChk,$A11)&gt;0,"پاس شده","پاس نشده"))</f>
        <v/>
      </c>
      <c r="I11">
        <f>IF($A11="","",IFERROR(INDEX(BClrDate,MATCH($A11,BClrChk,0)),""))</f>
        <v/>
      </c>
      <c r="J11">
        <f>IF($A11="","",Issues!$G14)</f>
        <v/>
      </c>
      <c r="K11">
        <f>IF(OR($E11="",$E11="نامعتبر"),"",LEFT($E11,4)&amp;MID($E11,6,2)&amp;RIGHT($E11,2)&amp;"|"&amp;RIGHT("00000"&amp;6,5))</f>
        <v/>
      </c>
      <c r="M11">
        <f>IF(Sync!$M11&lt;&gt;"پاس چک","",IF(Sync!$P11="","",Sync!$P11))</f>
        <v/>
      </c>
      <c r="N11">
        <f>IF($M11="","",IF(ISNUMBER(Sync!$L11),IF(AND(Sync!$L11&gt;=10000101,Sync!$L11&lt;=99991231),RIGHT("0000"&amp;INT(Sync!$L11/10000),4)&amp;"/"&amp;RIGHT("00"&amp;INT(MOD(Sync!$L11,10000)/100),2)&amp;"/"&amp;RIGHT("00"&amp;MOD(Sync!$L11,100),2),""),IFERROR(RIGHT("0000"&amp;VALUE(TRIM(LEFT(Sync!$L11,FIND("/",Sync!$L11)-1))),4)&amp;"/"&amp;RIGHT("00"&amp;VALUE(TRIM(LEFT(MID(Sync!$L11,FIND("/",Sync!$L11)+1,20),FIND("/",MID(Sync!$L11,FIND("/",Sync!$L11)+1,20))-1))),2)&amp;"/"&amp;RIGHT("00"&amp;VALUE(TRIM(MID(MID(Sync!$L11,FIND("/",Sync!$L11)+1,20),FIND("/",MID(Sync!$L11,FIND("/",Sync!$L11)+1,20))+1,20))),2),"")))</f>
        <v/>
      </c>
    </row>
    <row r="12">
      <c r="A12">
        <f>IF(Issues!$B15="","",Issues!$B15)</f>
        <v/>
      </c>
      <c r="B12">
        <f>IF($A12="","",IF(ISNUMBER(Issues!$C15),IF(AND(Issues!$C15&gt;=10000101,Issues!$C15&lt;=99991231),INT(Issues!$C15/10000),""),IFERROR(VALUE(TRIM(LEFT(Issues!$C15,FIND("/",Issues!$C15)-1))),"")))</f>
        <v/>
      </c>
      <c r="C12">
        <f>IF(OR($A12="",$B12=""),"",IF(ISNUMBER(Issues!$C15),INT(MOD(Issues!$C15,10000)/100),IFERROR(VALUE(TRIM(LEFT(MID(Issues!$C15,FIND("/",Issues!$C15)+1,20),FIND("/",MID(Issues!$C15,FIND("/",Issues!$C15)+1,20))-1))),"")))</f>
        <v/>
      </c>
      <c r="D12">
        <f>IF(OR($A12="",$B12=""),"",IF(ISNUMBER(Issues!$C15),MOD(Issues!$C15,100),IFERROR(VALUE(TRIM(MID(MID(Issues!$C15,FIND("/",Issues!$C15)+1,20),FIND("/",MID(Issues!$C15,FIND("/",Issues!$C15)+1,20))+1,20))),"")))</f>
        <v/>
      </c>
      <c r="E12">
        <f>IF($A12="","",IF(OR($B12="",$C12="",$D12="",$B12&lt;1300,$B12&gt;1500,$C12&lt;1,$C12&gt;12,$D12&lt;1,$D12&gt;31),"نامعتبر",RIGHT("0000"&amp;$B12,4)&amp;"/"&amp;RIGHT("00"&amp;$C12,2)&amp;"/"&amp;RIGHT("00"&amp;$D12,2)))</f>
        <v/>
      </c>
      <c r="F12">
        <f>IF($A12="","",IF(Issues!$D15="",0,Issues!$D15))</f>
        <v/>
      </c>
      <c r="G12">
        <f>IF($A12="","",Issues!$E15)</f>
        <v/>
      </c>
      <c r="H12">
        <f>IF($A12="","",IF(COUNTIFS(ETxnType,"پاس چک",ETxnChk,$A12)&gt;0,"پاس شده","پاس نشده"))</f>
        <v/>
      </c>
      <c r="I12">
        <f>IF($A12="","",IFERROR(INDEX(BClrDate,MATCH($A12,BClrChk,0)),""))</f>
        <v/>
      </c>
      <c r="J12">
        <f>IF($A12="","",Issues!$G15)</f>
        <v/>
      </c>
      <c r="K12">
        <f>IF(OR($E12="",$E12="نامعتبر"),"",LEFT($E12,4)&amp;MID($E12,6,2)&amp;RIGHT($E12,2)&amp;"|"&amp;RIGHT("00000"&amp;7,5))</f>
        <v/>
      </c>
      <c r="M12">
        <f>IF(Sync!$M12&lt;&gt;"پاس چک","",IF(Sync!$P12="","",Sync!$P12))</f>
        <v/>
      </c>
      <c r="N12">
        <f>IF($M12="","",IF(ISNUMBER(Sync!$L12),IF(AND(Sync!$L12&gt;=10000101,Sync!$L12&lt;=99991231),RIGHT("0000"&amp;INT(Sync!$L12/10000),4)&amp;"/"&amp;RIGHT("00"&amp;INT(MOD(Sync!$L12,10000)/100),2)&amp;"/"&amp;RIGHT("00"&amp;MOD(Sync!$L12,100),2),""),IFERROR(RIGHT("0000"&amp;VALUE(TRIM(LEFT(Sync!$L12,FIND("/",Sync!$L12)-1))),4)&amp;"/"&amp;RIGHT("00"&amp;VALUE(TRIM(LEFT(MID(Sync!$L12,FIND("/",Sync!$L12)+1,20),FIND("/",MID(Sync!$L12,FIND("/",Sync!$L12)+1,20))-1))),2)&amp;"/"&amp;RIGHT("00"&amp;VALUE(TRIM(MID(MID(Sync!$L12,FIND("/",Sync!$L12)+1,20),FIND("/",MID(Sync!$L12,FIND("/",Sync!$L12)+1,20))+1,20))),2),"")))</f>
        <v/>
      </c>
    </row>
    <row r="13">
      <c r="A13">
        <f>IF(Issues!$B16="","",Issues!$B16)</f>
        <v/>
      </c>
      <c r="B13">
        <f>IF($A13="","",IF(ISNUMBER(Issues!$C16),IF(AND(Issues!$C16&gt;=10000101,Issues!$C16&lt;=99991231),INT(Issues!$C16/10000),""),IFERROR(VALUE(TRIM(LEFT(Issues!$C16,FIND("/",Issues!$C16)-1))),"")))</f>
        <v/>
      </c>
      <c r="C13">
        <f>IF(OR($A13="",$B13=""),"",IF(ISNUMBER(Issues!$C16),INT(MOD(Issues!$C16,10000)/100),IFERROR(VALUE(TRIM(LEFT(MID(Issues!$C16,FIND("/",Issues!$C16)+1,20),FIND("/",MID(Issues!$C16,FIND("/",Issues!$C16)+1,20))-1))),"")))</f>
        <v/>
      </c>
      <c r="D13">
        <f>IF(OR($A13="",$B13=""),"",IF(ISNUMBER(Issues!$C16),MOD(Issues!$C16,100),IFERROR(VALUE(TRIM(MID(MID(Issues!$C16,FIND("/",Issues!$C16)+1,20),FIND("/",MID(Issues!$C16,FIND("/",Issues!$C16)+1,20))+1,20))),"")))</f>
        <v/>
      </c>
      <c r="E13">
        <f>IF($A13="","",IF(OR($B13="",$C13="",$D13="",$B13&lt;1300,$B13&gt;1500,$C13&lt;1,$C13&gt;12,$D13&lt;1,$D13&gt;31),"نامعتبر",RIGHT("0000"&amp;$B13,4)&amp;"/"&amp;RIGHT("00"&amp;$C13,2)&amp;"/"&amp;RIGHT("00"&amp;$D13,2)))</f>
        <v/>
      </c>
      <c r="F13">
        <f>IF($A13="","",IF(Issues!$D16="",0,Issues!$D16))</f>
        <v/>
      </c>
      <c r="G13">
        <f>IF($A13="","",Issues!$E16)</f>
        <v/>
      </c>
      <c r="H13">
        <f>IF($A13="","",IF(COUNTIFS(ETxnType,"پاس چک",ETxnChk,$A13)&gt;0,"پاس شده","پاس نشده"))</f>
        <v/>
      </c>
      <c r="I13">
        <f>IF($A13="","",IFERROR(INDEX(BClrDate,MATCH($A13,BClrChk,0)),""))</f>
        <v/>
      </c>
      <c r="J13">
        <f>IF($A13="","",Issues!$G16)</f>
        <v/>
      </c>
      <c r="K13">
        <f>IF(OR($E13="",$E13="نامعتبر"),"",LEFT($E13,4)&amp;MID($E13,6,2)&amp;RIGHT($E13,2)&amp;"|"&amp;RIGHT("00000"&amp;8,5))</f>
        <v/>
      </c>
      <c r="M13">
        <f>IF(Sync!$M13&lt;&gt;"پاس چک","",IF(Sync!$P13="","",Sync!$P13))</f>
        <v/>
      </c>
      <c r="N13">
        <f>IF($M13="","",IF(ISNUMBER(Sync!$L13),IF(AND(Sync!$L13&gt;=10000101,Sync!$L13&lt;=99991231),RIGHT("0000"&amp;INT(Sync!$L13/10000),4)&amp;"/"&amp;RIGHT("00"&amp;INT(MOD(Sync!$L13,10000)/100),2)&amp;"/"&amp;RIGHT("00"&amp;MOD(Sync!$L13,100),2),""),IFERROR(RIGHT("0000"&amp;VALUE(TRIM(LEFT(Sync!$L13,FIND("/",Sync!$L13)-1))),4)&amp;"/"&amp;RIGHT("00"&amp;VALUE(TRIM(LEFT(MID(Sync!$L13,FIND("/",Sync!$L13)+1,20),FIND("/",MID(Sync!$L13,FIND("/",Sync!$L13)+1,20))-1))),2)&amp;"/"&amp;RIGHT("00"&amp;VALUE(TRIM(MID(MID(Sync!$L13,FIND("/",Sync!$L13)+1,20),FIND("/",MID(Sync!$L13,FIND("/",Sync!$L13)+1,20))+1,20))),2),"")))</f>
        <v/>
      </c>
    </row>
    <row r="14">
      <c r="A14">
        <f>IF(Issues!$B17="","",Issues!$B17)</f>
        <v/>
      </c>
      <c r="B14">
        <f>IF($A14="","",IF(ISNUMBER(Issues!$C17),IF(AND(Issues!$C17&gt;=10000101,Issues!$C17&lt;=99991231),INT(Issues!$C17/10000),""),IFERROR(VALUE(TRIM(LEFT(Issues!$C17,FIND("/",Issues!$C17)-1))),"")))</f>
        <v/>
      </c>
      <c r="C14">
        <f>IF(OR($A14="",$B14=""),"",IF(ISNUMBER(Issues!$C17),INT(MOD(Issues!$C17,10000)/100),IFERROR(VALUE(TRIM(LEFT(MID(Issues!$C17,FIND("/",Issues!$C17)+1,20),FIND("/",MID(Issues!$C17,FIND("/",Issues!$C17)+1,20))-1))),"")))</f>
        <v/>
      </c>
      <c r="D14">
        <f>IF(OR($A14="",$B14=""),"",IF(ISNUMBER(Issues!$C17),MOD(Issues!$C17,100),IFERROR(VALUE(TRIM(MID(MID(Issues!$C17,FIND("/",Issues!$C17)+1,20),FIND("/",MID(Issues!$C17,FIND("/",Issues!$C17)+1,20))+1,20))),"")))</f>
        <v/>
      </c>
      <c r="E14">
        <f>IF($A14="","",IF(OR($B14="",$C14="",$D14="",$B14&lt;1300,$B14&gt;1500,$C14&lt;1,$C14&gt;12,$D14&lt;1,$D14&gt;31),"نامعتبر",RIGHT("0000"&amp;$B14,4)&amp;"/"&amp;RIGHT("00"&amp;$C14,2)&amp;"/"&amp;RIGHT("00"&amp;$D14,2)))</f>
        <v/>
      </c>
      <c r="F14">
        <f>IF($A14="","",IF(Issues!$D17="",0,Issues!$D17))</f>
        <v/>
      </c>
      <c r="G14">
        <f>IF($A14="","",Issues!$E17)</f>
        <v/>
      </c>
      <c r="H14">
        <f>IF($A14="","",IF(COUNTIFS(ETxnType,"پاس چک",ETxnChk,$A14)&gt;0,"پاس شده","پاس نشده"))</f>
        <v/>
      </c>
      <c r="I14">
        <f>IF($A14="","",IFERROR(INDEX(BClrDate,MATCH($A14,BClrChk,0)),""))</f>
        <v/>
      </c>
      <c r="J14">
        <f>IF($A14="","",Issues!$G17)</f>
        <v/>
      </c>
      <c r="K14">
        <f>IF(OR($E14="",$E14="نامعتبر"),"",LEFT($E14,4)&amp;MID($E14,6,2)&amp;RIGHT($E14,2)&amp;"|"&amp;RIGHT("00000"&amp;9,5))</f>
        <v/>
      </c>
      <c r="M14">
        <f>IF(Sync!$M14&lt;&gt;"پاس چک","",IF(Sync!$P14="","",Sync!$P14))</f>
        <v/>
      </c>
      <c r="N14">
        <f>IF($M14="","",IF(ISNUMBER(Sync!$L14),IF(AND(Sync!$L14&gt;=10000101,Sync!$L14&lt;=99991231),RIGHT("0000"&amp;INT(Sync!$L14/10000),4)&amp;"/"&amp;RIGHT("00"&amp;INT(MOD(Sync!$L14,10000)/100),2)&amp;"/"&amp;RIGHT("00"&amp;MOD(Sync!$L14,100),2),""),IFERROR(RIGHT("0000"&amp;VALUE(TRIM(LEFT(Sync!$L14,FIND("/",Sync!$L14)-1))),4)&amp;"/"&amp;RIGHT("00"&amp;VALUE(TRIM(LEFT(MID(Sync!$L14,FIND("/",Sync!$L14)+1,20),FIND("/",MID(Sync!$L14,FIND("/",Sync!$L14)+1,20))-1))),2)&amp;"/"&amp;RIGHT("00"&amp;VALUE(TRIM(MID(MID(Sync!$L14,FIND("/",Sync!$L14)+1,20),FIND("/",MID(Sync!$L14,FIND("/",Sync!$L14)+1,20))+1,20))),2),"")))</f>
        <v/>
      </c>
    </row>
    <row r="15">
      <c r="A15">
        <f>IF(Issues!$B18="","",Issues!$B18)</f>
        <v/>
      </c>
      <c r="B15">
        <f>IF($A15="","",IF(ISNUMBER(Issues!$C18),IF(AND(Issues!$C18&gt;=10000101,Issues!$C18&lt;=99991231),INT(Issues!$C18/10000),""),IFERROR(VALUE(TRIM(LEFT(Issues!$C18,FIND("/",Issues!$C18)-1))),"")))</f>
        <v/>
      </c>
      <c r="C15">
        <f>IF(OR($A15="",$B15=""),"",IF(ISNUMBER(Issues!$C18),INT(MOD(Issues!$C18,10000)/100),IFERROR(VALUE(TRIM(LEFT(MID(Issues!$C18,FIND("/",Issues!$C18)+1,20),FIND("/",MID(Issues!$C18,FIND("/",Issues!$C18)+1,20))-1))),"")))</f>
        <v/>
      </c>
      <c r="D15">
        <f>IF(OR($A15="",$B15=""),"",IF(ISNUMBER(Issues!$C18),MOD(Issues!$C18,100),IFERROR(VALUE(TRIM(MID(MID(Issues!$C18,FIND("/",Issues!$C18)+1,20),FIND("/",MID(Issues!$C18,FIND("/",Issues!$C18)+1,20))+1,20))),"")))</f>
        <v/>
      </c>
      <c r="E15">
        <f>IF($A15="","",IF(OR($B15="",$C15="",$D15="",$B15&lt;1300,$B15&gt;1500,$C15&lt;1,$C15&gt;12,$D15&lt;1,$D15&gt;31),"نامعتبر",RIGHT("0000"&amp;$B15,4)&amp;"/"&amp;RIGHT("00"&amp;$C15,2)&amp;"/"&amp;RIGHT("00"&amp;$D15,2)))</f>
        <v/>
      </c>
      <c r="F15">
        <f>IF($A15="","",IF(Issues!$D18="",0,Issues!$D18))</f>
        <v/>
      </c>
      <c r="G15">
        <f>IF($A15="","",Issues!$E18)</f>
        <v/>
      </c>
      <c r="H15">
        <f>IF($A15="","",IF(COUNTIFS(ETxnType,"پاس چک",ETxnChk,$A15)&gt;0,"پاس شده","پاس نشده"))</f>
        <v/>
      </c>
      <c r="I15">
        <f>IF($A15="","",IFERROR(INDEX(BClrDate,MATCH($A15,BClrChk,0)),""))</f>
        <v/>
      </c>
      <c r="J15">
        <f>IF($A15="","",Issues!$G18)</f>
        <v/>
      </c>
      <c r="K15">
        <f>IF(OR($E15="",$E15="نامعتبر"),"",LEFT($E15,4)&amp;MID($E15,6,2)&amp;RIGHT($E15,2)&amp;"|"&amp;RIGHT("00000"&amp;10,5))</f>
        <v/>
      </c>
      <c r="M15">
        <f>IF(Sync!$M15&lt;&gt;"پاس چک","",IF(Sync!$P15="","",Sync!$P15))</f>
        <v/>
      </c>
      <c r="N15">
        <f>IF($M15="","",IF(ISNUMBER(Sync!$L15),IF(AND(Sync!$L15&gt;=10000101,Sync!$L15&lt;=99991231),RIGHT("0000"&amp;INT(Sync!$L15/10000),4)&amp;"/"&amp;RIGHT("00"&amp;INT(MOD(Sync!$L15,10000)/100),2)&amp;"/"&amp;RIGHT("00"&amp;MOD(Sync!$L15,100),2),""),IFERROR(RIGHT("0000"&amp;VALUE(TRIM(LEFT(Sync!$L15,FIND("/",Sync!$L15)-1))),4)&amp;"/"&amp;RIGHT("00"&amp;VALUE(TRIM(LEFT(MID(Sync!$L15,FIND("/",Sync!$L15)+1,20),FIND("/",MID(Sync!$L15,FIND("/",Sync!$L15)+1,20))-1))),2)&amp;"/"&amp;RIGHT("00"&amp;VALUE(TRIM(MID(MID(Sync!$L15,FIND("/",Sync!$L15)+1,20),FIND("/",MID(Sync!$L15,FIND("/",Sync!$L15)+1,20))+1,20))),2),"")))</f>
        <v/>
      </c>
    </row>
    <row r="16">
      <c r="A16">
        <f>IF(Issues!$B19="","",Issues!$B19)</f>
        <v/>
      </c>
      <c r="B16">
        <f>IF($A16="","",IF(ISNUMBER(Issues!$C19),IF(AND(Issues!$C19&gt;=10000101,Issues!$C19&lt;=99991231),INT(Issues!$C19/10000),""),IFERROR(VALUE(TRIM(LEFT(Issues!$C19,FIND("/",Issues!$C19)-1))),"")))</f>
        <v/>
      </c>
      <c r="C16">
        <f>IF(OR($A16="",$B16=""),"",IF(ISNUMBER(Issues!$C19),INT(MOD(Issues!$C19,10000)/100),IFERROR(VALUE(TRIM(LEFT(MID(Issues!$C19,FIND("/",Issues!$C19)+1,20),FIND("/",MID(Issues!$C19,FIND("/",Issues!$C19)+1,20))-1))),"")))</f>
        <v/>
      </c>
      <c r="D16">
        <f>IF(OR($A16="",$B16=""),"",IF(ISNUMBER(Issues!$C19),MOD(Issues!$C19,100),IFERROR(VALUE(TRIM(MID(MID(Issues!$C19,FIND("/",Issues!$C19)+1,20),FIND("/",MID(Issues!$C19,FIND("/",Issues!$C19)+1,20))+1,20))),"")))</f>
        <v/>
      </c>
      <c r="E16">
        <f>IF($A16="","",IF(OR($B16="",$C16="",$D16="",$B16&lt;1300,$B16&gt;1500,$C16&lt;1,$C16&gt;12,$D16&lt;1,$D16&gt;31),"نامعتبر",RIGHT("0000"&amp;$B16,4)&amp;"/"&amp;RIGHT("00"&amp;$C16,2)&amp;"/"&amp;RIGHT("00"&amp;$D16,2)))</f>
        <v/>
      </c>
      <c r="F16">
        <f>IF($A16="","",IF(Issues!$D19="",0,Issues!$D19))</f>
        <v/>
      </c>
      <c r="G16">
        <f>IF($A16="","",Issues!$E19)</f>
        <v/>
      </c>
      <c r="H16">
        <f>IF($A16="","",IF(COUNTIFS(ETxnType,"پاس چک",ETxnChk,$A16)&gt;0,"پاس شده","پاس نشده"))</f>
        <v/>
      </c>
      <c r="I16">
        <f>IF($A16="","",IFERROR(INDEX(BClrDate,MATCH($A16,BClrChk,0)),""))</f>
        <v/>
      </c>
      <c r="J16">
        <f>IF($A16="","",Issues!$G19)</f>
        <v/>
      </c>
      <c r="K16">
        <f>IF(OR($E16="",$E16="نامعتبر"),"",LEFT($E16,4)&amp;MID($E16,6,2)&amp;RIGHT($E16,2)&amp;"|"&amp;RIGHT("00000"&amp;11,5))</f>
        <v/>
      </c>
      <c r="M16">
        <f>IF(Sync!$M16&lt;&gt;"پاس چک","",IF(Sync!$P16="","",Sync!$P16))</f>
        <v/>
      </c>
      <c r="N16">
        <f>IF($M16="","",IF(ISNUMBER(Sync!$L16),IF(AND(Sync!$L16&gt;=10000101,Sync!$L16&lt;=99991231),RIGHT("0000"&amp;INT(Sync!$L16/10000),4)&amp;"/"&amp;RIGHT("00"&amp;INT(MOD(Sync!$L16,10000)/100),2)&amp;"/"&amp;RIGHT("00"&amp;MOD(Sync!$L16,100),2),""),IFERROR(RIGHT("0000"&amp;VALUE(TRIM(LEFT(Sync!$L16,FIND("/",Sync!$L16)-1))),4)&amp;"/"&amp;RIGHT("00"&amp;VALUE(TRIM(LEFT(MID(Sync!$L16,FIND("/",Sync!$L16)+1,20),FIND("/",MID(Sync!$L16,FIND("/",Sync!$L16)+1,20))-1))),2)&amp;"/"&amp;RIGHT("00"&amp;VALUE(TRIM(MID(MID(Sync!$L16,FIND("/",Sync!$L16)+1,20),FIND("/",MID(Sync!$L16,FIND("/",Sync!$L16)+1,20))+1,20))),2),"")))</f>
        <v/>
      </c>
    </row>
    <row r="17">
      <c r="A17">
        <f>IF(Issues!$B20="","",Issues!$B20)</f>
        <v/>
      </c>
      <c r="B17">
        <f>IF($A17="","",IF(ISNUMBER(Issues!$C20),IF(AND(Issues!$C20&gt;=10000101,Issues!$C20&lt;=99991231),INT(Issues!$C20/10000),""),IFERROR(VALUE(TRIM(LEFT(Issues!$C20,FIND("/",Issues!$C20)-1))),"")))</f>
        <v/>
      </c>
      <c r="C17">
        <f>IF(OR($A17="",$B17=""),"",IF(ISNUMBER(Issues!$C20),INT(MOD(Issues!$C20,10000)/100),IFERROR(VALUE(TRIM(LEFT(MID(Issues!$C20,FIND("/",Issues!$C20)+1,20),FIND("/",MID(Issues!$C20,FIND("/",Issues!$C20)+1,20))-1))),"")))</f>
        <v/>
      </c>
      <c r="D17">
        <f>IF(OR($A17="",$B17=""),"",IF(ISNUMBER(Issues!$C20),MOD(Issues!$C20,100),IFERROR(VALUE(TRIM(MID(MID(Issues!$C20,FIND("/",Issues!$C20)+1,20),FIND("/",MID(Issues!$C20,FIND("/",Issues!$C20)+1,20))+1,20))),"")))</f>
        <v/>
      </c>
      <c r="E17">
        <f>IF($A17="","",IF(OR($B17="",$C17="",$D17="",$B17&lt;1300,$B17&gt;1500,$C17&lt;1,$C17&gt;12,$D17&lt;1,$D17&gt;31),"نامعتبر",RIGHT("0000"&amp;$B17,4)&amp;"/"&amp;RIGHT("00"&amp;$C17,2)&amp;"/"&amp;RIGHT("00"&amp;$D17,2)))</f>
        <v/>
      </c>
      <c r="F17">
        <f>IF($A17="","",IF(Issues!$D20="",0,Issues!$D20))</f>
        <v/>
      </c>
      <c r="G17">
        <f>IF($A17="","",Issues!$E20)</f>
        <v/>
      </c>
      <c r="H17">
        <f>IF($A17="","",IF(COUNTIFS(ETxnType,"پاس چک",ETxnChk,$A17)&gt;0,"پاس شده","پاس نشده"))</f>
        <v/>
      </c>
      <c r="I17">
        <f>IF($A17="","",IFERROR(INDEX(BClrDate,MATCH($A17,BClrChk,0)),""))</f>
        <v/>
      </c>
      <c r="J17">
        <f>IF($A17="","",Issues!$G20)</f>
        <v/>
      </c>
      <c r="K17">
        <f>IF(OR($E17="",$E17="نامعتبر"),"",LEFT($E17,4)&amp;MID($E17,6,2)&amp;RIGHT($E17,2)&amp;"|"&amp;RIGHT("00000"&amp;12,5))</f>
        <v/>
      </c>
      <c r="M17">
        <f>IF(Sync!$M17&lt;&gt;"پاس چک","",IF(Sync!$P17="","",Sync!$P17))</f>
        <v/>
      </c>
      <c r="N17">
        <f>IF($M17="","",IF(ISNUMBER(Sync!$L17),IF(AND(Sync!$L17&gt;=10000101,Sync!$L17&lt;=99991231),RIGHT("0000"&amp;INT(Sync!$L17/10000),4)&amp;"/"&amp;RIGHT("00"&amp;INT(MOD(Sync!$L17,10000)/100),2)&amp;"/"&amp;RIGHT("00"&amp;MOD(Sync!$L17,100),2),""),IFERROR(RIGHT("0000"&amp;VALUE(TRIM(LEFT(Sync!$L17,FIND("/",Sync!$L17)-1))),4)&amp;"/"&amp;RIGHT("00"&amp;VALUE(TRIM(LEFT(MID(Sync!$L17,FIND("/",Sync!$L17)+1,20),FIND("/",MID(Sync!$L17,FIND("/",Sync!$L17)+1,20))-1))),2)&amp;"/"&amp;RIGHT("00"&amp;VALUE(TRIM(MID(MID(Sync!$L17,FIND("/",Sync!$L17)+1,20),FIND("/",MID(Sync!$L17,FIND("/",Sync!$L17)+1,20))+1,20))),2),"")))</f>
        <v/>
      </c>
    </row>
    <row r="18">
      <c r="A18">
        <f>IF(Issues!$B21="","",Issues!$B21)</f>
        <v/>
      </c>
      <c r="B18">
        <f>IF($A18="","",IF(ISNUMBER(Issues!$C21),IF(AND(Issues!$C21&gt;=10000101,Issues!$C21&lt;=99991231),INT(Issues!$C21/10000),""),IFERROR(VALUE(TRIM(LEFT(Issues!$C21,FIND("/",Issues!$C21)-1))),"")))</f>
        <v/>
      </c>
      <c r="C18">
        <f>IF(OR($A18="",$B18=""),"",IF(ISNUMBER(Issues!$C21),INT(MOD(Issues!$C21,10000)/100),IFERROR(VALUE(TRIM(LEFT(MID(Issues!$C21,FIND("/",Issues!$C21)+1,20),FIND("/",MID(Issues!$C21,FIND("/",Issues!$C21)+1,20))-1))),"")))</f>
        <v/>
      </c>
      <c r="D18">
        <f>IF(OR($A18="",$B18=""),"",IF(ISNUMBER(Issues!$C21),MOD(Issues!$C21,100),IFERROR(VALUE(TRIM(MID(MID(Issues!$C21,FIND("/",Issues!$C21)+1,20),FIND("/",MID(Issues!$C21,FIND("/",Issues!$C21)+1,20))+1,20))),"")))</f>
        <v/>
      </c>
      <c r="E18">
        <f>IF($A18="","",IF(OR($B18="",$C18="",$D18="",$B18&lt;1300,$B18&gt;1500,$C18&lt;1,$C18&gt;12,$D18&lt;1,$D18&gt;31),"نامعتبر",RIGHT("0000"&amp;$B18,4)&amp;"/"&amp;RIGHT("00"&amp;$C18,2)&amp;"/"&amp;RIGHT("00"&amp;$D18,2)))</f>
        <v/>
      </c>
      <c r="F18">
        <f>IF($A18="","",IF(Issues!$D21="",0,Issues!$D21))</f>
        <v/>
      </c>
      <c r="G18">
        <f>IF($A18="","",Issues!$E21)</f>
        <v/>
      </c>
      <c r="H18">
        <f>IF($A18="","",IF(COUNTIFS(ETxnType,"پاس چک",ETxnChk,$A18)&gt;0,"پاس شده","پاس نشده"))</f>
        <v/>
      </c>
      <c r="I18">
        <f>IF($A18="","",IFERROR(INDEX(BClrDate,MATCH($A18,BClrChk,0)),""))</f>
        <v/>
      </c>
      <c r="J18">
        <f>IF($A18="","",Issues!$G21)</f>
        <v/>
      </c>
      <c r="K18">
        <f>IF(OR($E18="",$E18="نامعتبر"),"",LEFT($E18,4)&amp;MID($E18,6,2)&amp;RIGHT($E18,2)&amp;"|"&amp;RIGHT("00000"&amp;13,5))</f>
        <v/>
      </c>
      <c r="M18">
        <f>IF(Sync!$M18&lt;&gt;"پاس چک","",IF(Sync!$P18="","",Sync!$P18))</f>
        <v/>
      </c>
      <c r="N18">
        <f>IF($M18="","",IF(ISNUMBER(Sync!$L18),IF(AND(Sync!$L18&gt;=10000101,Sync!$L18&lt;=99991231),RIGHT("0000"&amp;INT(Sync!$L18/10000),4)&amp;"/"&amp;RIGHT("00"&amp;INT(MOD(Sync!$L18,10000)/100),2)&amp;"/"&amp;RIGHT("00"&amp;MOD(Sync!$L18,100),2),""),IFERROR(RIGHT("0000"&amp;VALUE(TRIM(LEFT(Sync!$L18,FIND("/",Sync!$L18)-1))),4)&amp;"/"&amp;RIGHT("00"&amp;VALUE(TRIM(LEFT(MID(Sync!$L18,FIND("/",Sync!$L18)+1,20),FIND("/",MID(Sync!$L18,FIND("/",Sync!$L18)+1,20))-1))),2)&amp;"/"&amp;RIGHT("00"&amp;VALUE(TRIM(MID(MID(Sync!$L18,FIND("/",Sync!$L18)+1,20),FIND("/",MID(Sync!$L18,FIND("/",Sync!$L18)+1,20))+1,20))),2),"")))</f>
        <v/>
      </c>
    </row>
    <row r="19">
      <c r="A19">
        <f>IF(Issues!$B22="","",Issues!$B22)</f>
        <v/>
      </c>
      <c r="B19">
        <f>IF($A19="","",IF(ISNUMBER(Issues!$C22),IF(AND(Issues!$C22&gt;=10000101,Issues!$C22&lt;=99991231),INT(Issues!$C22/10000),""),IFERROR(VALUE(TRIM(LEFT(Issues!$C22,FIND("/",Issues!$C22)-1))),"")))</f>
        <v/>
      </c>
      <c r="C19">
        <f>IF(OR($A19="",$B19=""),"",IF(ISNUMBER(Issues!$C22),INT(MOD(Issues!$C22,10000)/100),IFERROR(VALUE(TRIM(LEFT(MID(Issues!$C22,FIND("/",Issues!$C22)+1,20),FIND("/",MID(Issues!$C22,FIND("/",Issues!$C22)+1,20))-1))),"")))</f>
        <v/>
      </c>
      <c r="D19">
        <f>IF(OR($A19="",$B19=""),"",IF(ISNUMBER(Issues!$C22),MOD(Issues!$C22,100),IFERROR(VALUE(TRIM(MID(MID(Issues!$C22,FIND("/",Issues!$C22)+1,20),FIND("/",MID(Issues!$C22,FIND("/",Issues!$C22)+1,20))+1,20))),"")))</f>
        <v/>
      </c>
      <c r="E19">
        <f>IF($A19="","",IF(OR($B19="",$C19="",$D19="",$B19&lt;1300,$B19&gt;1500,$C19&lt;1,$C19&gt;12,$D19&lt;1,$D19&gt;31),"نامعتبر",RIGHT("0000"&amp;$B19,4)&amp;"/"&amp;RIGHT("00"&amp;$C19,2)&amp;"/"&amp;RIGHT("00"&amp;$D19,2)))</f>
        <v/>
      </c>
      <c r="F19">
        <f>IF($A19="","",IF(Issues!$D22="",0,Issues!$D22))</f>
        <v/>
      </c>
      <c r="G19">
        <f>IF($A19="","",Issues!$E22)</f>
        <v/>
      </c>
      <c r="H19">
        <f>IF($A19="","",IF(COUNTIFS(ETxnType,"پاس چک",ETxnChk,$A19)&gt;0,"پاس شده","پاس نشده"))</f>
        <v/>
      </c>
      <c r="I19">
        <f>IF($A19="","",IFERROR(INDEX(BClrDate,MATCH($A19,BClrChk,0)),""))</f>
        <v/>
      </c>
      <c r="J19">
        <f>IF($A19="","",Issues!$G22)</f>
        <v/>
      </c>
      <c r="K19">
        <f>IF(OR($E19="",$E19="نامعتبر"),"",LEFT($E19,4)&amp;MID($E19,6,2)&amp;RIGHT($E19,2)&amp;"|"&amp;RIGHT("00000"&amp;14,5))</f>
        <v/>
      </c>
      <c r="M19">
        <f>IF(Sync!$M19&lt;&gt;"پاس چک","",IF(Sync!$P19="","",Sync!$P19))</f>
        <v/>
      </c>
      <c r="N19">
        <f>IF($M19="","",IF(ISNUMBER(Sync!$L19),IF(AND(Sync!$L19&gt;=10000101,Sync!$L19&lt;=99991231),RIGHT("0000"&amp;INT(Sync!$L19/10000),4)&amp;"/"&amp;RIGHT("00"&amp;INT(MOD(Sync!$L19,10000)/100),2)&amp;"/"&amp;RIGHT("00"&amp;MOD(Sync!$L19,100),2),""),IFERROR(RIGHT("0000"&amp;VALUE(TRIM(LEFT(Sync!$L19,FIND("/",Sync!$L19)-1))),4)&amp;"/"&amp;RIGHT("00"&amp;VALUE(TRIM(LEFT(MID(Sync!$L19,FIND("/",Sync!$L19)+1,20),FIND("/",MID(Sync!$L19,FIND("/",Sync!$L19)+1,20))-1))),2)&amp;"/"&amp;RIGHT("00"&amp;VALUE(TRIM(MID(MID(Sync!$L19,FIND("/",Sync!$L19)+1,20),FIND("/",MID(Sync!$L19,FIND("/",Sync!$L19)+1,20))+1,20))),2),"")))</f>
        <v/>
      </c>
    </row>
    <row r="20">
      <c r="A20">
        <f>IF(Issues!$B23="","",Issues!$B23)</f>
        <v/>
      </c>
      <c r="B20">
        <f>IF($A20="","",IF(ISNUMBER(Issues!$C23),IF(AND(Issues!$C23&gt;=10000101,Issues!$C23&lt;=99991231),INT(Issues!$C23/10000),""),IFERROR(VALUE(TRIM(LEFT(Issues!$C23,FIND("/",Issues!$C23)-1))),"")))</f>
        <v/>
      </c>
      <c r="C20">
        <f>IF(OR($A20="",$B20=""),"",IF(ISNUMBER(Issues!$C23),INT(MOD(Issues!$C23,10000)/100),IFERROR(VALUE(TRIM(LEFT(MID(Issues!$C23,FIND("/",Issues!$C23)+1,20),FIND("/",MID(Issues!$C23,FIND("/",Issues!$C23)+1,20))-1))),"")))</f>
        <v/>
      </c>
      <c r="D20">
        <f>IF(OR($A20="",$B20=""),"",IF(ISNUMBER(Issues!$C23),MOD(Issues!$C23,100),IFERROR(VALUE(TRIM(MID(MID(Issues!$C23,FIND("/",Issues!$C23)+1,20),FIND("/",MID(Issues!$C23,FIND("/",Issues!$C23)+1,20))+1,20))),"")))</f>
        <v/>
      </c>
      <c r="E20">
        <f>IF($A20="","",IF(OR($B20="",$C20="",$D20="",$B20&lt;1300,$B20&gt;1500,$C20&lt;1,$C20&gt;12,$D20&lt;1,$D20&gt;31),"نامعتبر",RIGHT("0000"&amp;$B20,4)&amp;"/"&amp;RIGHT("00"&amp;$C20,2)&amp;"/"&amp;RIGHT("00"&amp;$D20,2)))</f>
        <v/>
      </c>
      <c r="F20">
        <f>IF($A20="","",IF(Issues!$D23="",0,Issues!$D23))</f>
        <v/>
      </c>
      <c r="G20">
        <f>IF($A20="","",Issues!$E23)</f>
        <v/>
      </c>
      <c r="H20">
        <f>IF($A20="","",IF(COUNTIFS(ETxnType,"پاس چک",ETxnChk,$A20)&gt;0,"پاس شده","پاس نشده"))</f>
        <v/>
      </c>
      <c r="I20">
        <f>IF($A20="","",IFERROR(INDEX(BClrDate,MATCH($A20,BClrChk,0)),""))</f>
        <v/>
      </c>
      <c r="J20">
        <f>IF($A20="","",Issues!$G23)</f>
        <v/>
      </c>
      <c r="K20">
        <f>IF(OR($E20="",$E20="نامعتبر"),"",LEFT($E20,4)&amp;MID($E20,6,2)&amp;RIGHT($E20,2)&amp;"|"&amp;RIGHT("00000"&amp;15,5))</f>
        <v/>
      </c>
      <c r="M20">
        <f>IF(Sync!$M20&lt;&gt;"پاس چک","",IF(Sync!$P20="","",Sync!$P20))</f>
        <v/>
      </c>
      <c r="N20">
        <f>IF($M20="","",IF(ISNUMBER(Sync!$L20),IF(AND(Sync!$L20&gt;=10000101,Sync!$L20&lt;=99991231),RIGHT("0000"&amp;INT(Sync!$L20/10000),4)&amp;"/"&amp;RIGHT("00"&amp;INT(MOD(Sync!$L20,10000)/100),2)&amp;"/"&amp;RIGHT("00"&amp;MOD(Sync!$L20,100),2),""),IFERROR(RIGHT("0000"&amp;VALUE(TRIM(LEFT(Sync!$L20,FIND("/",Sync!$L20)-1))),4)&amp;"/"&amp;RIGHT("00"&amp;VALUE(TRIM(LEFT(MID(Sync!$L20,FIND("/",Sync!$L20)+1,20),FIND("/",MID(Sync!$L20,FIND("/",Sync!$L20)+1,20))-1))),2)&amp;"/"&amp;RIGHT("00"&amp;VALUE(TRIM(MID(MID(Sync!$L20,FIND("/",Sync!$L20)+1,20),FIND("/",MID(Sync!$L20,FIND("/",Sync!$L20)+1,20))+1,20))),2),"")))</f>
        <v/>
      </c>
    </row>
    <row r="21">
      <c r="A21">
        <f>IF(Issues!$B24="","",Issues!$B24)</f>
        <v/>
      </c>
      <c r="B21">
        <f>IF($A21="","",IF(ISNUMBER(Issues!$C24),IF(AND(Issues!$C24&gt;=10000101,Issues!$C24&lt;=99991231),INT(Issues!$C24/10000),""),IFERROR(VALUE(TRIM(LEFT(Issues!$C24,FIND("/",Issues!$C24)-1))),"")))</f>
        <v/>
      </c>
      <c r="C21">
        <f>IF(OR($A21="",$B21=""),"",IF(ISNUMBER(Issues!$C24),INT(MOD(Issues!$C24,10000)/100),IFERROR(VALUE(TRIM(LEFT(MID(Issues!$C24,FIND("/",Issues!$C24)+1,20),FIND("/",MID(Issues!$C24,FIND("/",Issues!$C24)+1,20))-1))),"")))</f>
        <v/>
      </c>
      <c r="D21">
        <f>IF(OR($A21="",$B21=""),"",IF(ISNUMBER(Issues!$C24),MOD(Issues!$C24,100),IFERROR(VALUE(TRIM(MID(MID(Issues!$C24,FIND("/",Issues!$C24)+1,20),FIND("/",MID(Issues!$C24,FIND("/",Issues!$C24)+1,20))+1,20))),"")))</f>
        <v/>
      </c>
      <c r="E21">
        <f>IF($A21="","",IF(OR($B21="",$C21="",$D21="",$B21&lt;1300,$B21&gt;1500,$C21&lt;1,$C21&gt;12,$D21&lt;1,$D21&gt;31),"نامعتبر",RIGHT("0000"&amp;$B21,4)&amp;"/"&amp;RIGHT("00"&amp;$C21,2)&amp;"/"&amp;RIGHT("00"&amp;$D21,2)))</f>
        <v/>
      </c>
      <c r="F21">
        <f>IF($A21="","",IF(Issues!$D24="",0,Issues!$D24))</f>
        <v/>
      </c>
      <c r="G21">
        <f>IF($A21="","",Issues!$E24)</f>
        <v/>
      </c>
      <c r="H21">
        <f>IF($A21="","",IF(COUNTIFS(ETxnType,"پاس چک",ETxnChk,$A21)&gt;0,"پاس شده","پاس نشده"))</f>
        <v/>
      </c>
      <c r="I21">
        <f>IF($A21="","",IFERROR(INDEX(BClrDate,MATCH($A21,BClrChk,0)),""))</f>
        <v/>
      </c>
      <c r="J21">
        <f>IF($A21="","",Issues!$G24)</f>
        <v/>
      </c>
      <c r="K21">
        <f>IF(OR($E21="",$E21="نامعتبر"),"",LEFT($E21,4)&amp;MID($E21,6,2)&amp;RIGHT($E21,2)&amp;"|"&amp;RIGHT("00000"&amp;16,5))</f>
        <v/>
      </c>
      <c r="M21">
        <f>IF(Sync!$M21&lt;&gt;"پاس چک","",IF(Sync!$P21="","",Sync!$P21))</f>
        <v/>
      </c>
      <c r="N21">
        <f>IF($M21="","",IF(ISNUMBER(Sync!$L21),IF(AND(Sync!$L21&gt;=10000101,Sync!$L21&lt;=99991231),RIGHT("0000"&amp;INT(Sync!$L21/10000),4)&amp;"/"&amp;RIGHT("00"&amp;INT(MOD(Sync!$L21,10000)/100),2)&amp;"/"&amp;RIGHT("00"&amp;MOD(Sync!$L21,100),2),""),IFERROR(RIGHT("0000"&amp;VALUE(TRIM(LEFT(Sync!$L21,FIND("/",Sync!$L21)-1))),4)&amp;"/"&amp;RIGHT("00"&amp;VALUE(TRIM(LEFT(MID(Sync!$L21,FIND("/",Sync!$L21)+1,20),FIND("/",MID(Sync!$L21,FIND("/",Sync!$L21)+1,20))-1))),2)&amp;"/"&amp;RIGHT("00"&amp;VALUE(TRIM(MID(MID(Sync!$L21,FIND("/",Sync!$L21)+1,20),FIND("/",MID(Sync!$L21,FIND("/",Sync!$L21)+1,20))+1,20))),2),"")))</f>
        <v/>
      </c>
    </row>
    <row r="22">
      <c r="A22">
        <f>IF(Issues!$B25="","",Issues!$B25)</f>
        <v/>
      </c>
      <c r="B22">
        <f>IF($A22="","",IF(ISNUMBER(Issues!$C25),IF(AND(Issues!$C25&gt;=10000101,Issues!$C25&lt;=99991231),INT(Issues!$C25/10000),""),IFERROR(VALUE(TRIM(LEFT(Issues!$C25,FIND("/",Issues!$C25)-1))),"")))</f>
        <v/>
      </c>
      <c r="C22">
        <f>IF(OR($A22="",$B22=""),"",IF(ISNUMBER(Issues!$C25),INT(MOD(Issues!$C25,10000)/100),IFERROR(VALUE(TRIM(LEFT(MID(Issues!$C25,FIND("/",Issues!$C25)+1,20),FIND("/",MID(Issues!$C25,FIND("/",Issues!$C25)+1,20))-1))),"")))</f>
        <v/>
      </c>
      <c r="D22">
        <f>IF(OR($A22="",$B22=""),"",IF(ISNUMBER(Issues!$C25),MOD(Issues!$C25,100),IFERROR(VALUE(TRIM(MID(MID(Issues!$C25,FIND("/",Issues!$C25)+1,20),FIND("/",MID(Issues!$C25,FIND("/",Issues!$C25)+1,20))+1,20))),"")))</f>
        <v/>
      </c>
      <c r="E22">
        <f>IF($A22="","",IF(OR($B22="",$C22="",$D22="",$B22&lt;1300,$B22&gt;1500,$C22&lt;1,$C22&gt;12,$D22&lt;1,$D22&gt;31),"نامعتبر",RIGHT("0000"&amp;$B22,4)&amp;"/"&amp;RIGHT("00"&amp;$C22,2)&amp;"/"&amp;RIGHT("00"&amp;$D22,2)))</f>
        <v/>
      </c>
      <c r="F22">
        <f>IF($A22="","",IF(Issues!$D25="",0,Issues!$D25))</f>
        <v/>
      </c>
      <c r="G22">
        <f>IF($A22="","",Issues!$E25)</f>
        <v/>
      </c>
      <c r="H22">
        <f>IF($A22="","",IF(COUNTIFS(ETxnType,"پاس چک",ETxnChk,$A22)&gt;0,"پاس شده","پاس نشده"))</f>
        <v/>
      </c>
      <c r="I22">
        <f>IF($A22="","",IFERROR(INDEX(BClrDate,MATCH($A22,BClrChk,0)),""))</f>
        <v/>
      </c>
      <c r="J22">
        <f>IF($A22="","",Issues!$G25)</f>
        <v/>
      </c>
      <c r="K22">
        <f>IF(OR($E22="",$E22="نامعتبر"),"",LEFT($E22,4)&amp;MID($E22,6,2)&amp;RIGHT($E22,2)&amp;"|"&amp;RIGHT("00000"&amp;17,5))</f>
        <v/>
      </c>
      <c r="M22">
        <f>IF(Sync!$M22&lt;&gt;"پاس چک","",IF(Sync!$P22="","",Sync!$P22))</f>
        <v/>
      </c>
      <c r="N22">
        <f>IF($M22="","",IF(ISNUMBER(Sync!$L22),IF(AND(Sync!$L22&gt;=10000101,Sync!$L22&lt;=99991231),RIGHT("0000"&amp;INT(Sync!$L22/10000),4)&amp;"/"&amp;RIGHT("00"&amp;INT(MOD(Sync!$L22,10000)/100),2)&amp;"/"&amp;RIGHT("00"&amp;MOD(Sync!$L22,100),2),""),IFERROR(RIGHT("0000"&amp;VALUE(TRIM(LEFT(Sync!$L22,FIND("/",Sync!$L22)-1))),4)&amp;"/"&amp;RIGHT("00"&amp;VALUE(TRIM(LEFT(MID(Sync!$L22,FIND("/",Sync!$L22)+1,20),FIND("/",MID(Sync!$L22,FIND("/",Sync!$L22)+1,20))-1))),2)&amp;"/"&amp;RIGHT("00"&amp;VALUE(TRIM(MID(MID(Sync!$L22,FIND("/",Sync!$L22)+1,20),FIND("/",MID(Sync!$L22,FIND("/",Sync!$L22)+1,20))+1,20))),2),"")))</f>
        <v/>
      </c>
    </row>
    <row r="23">
      <c r="A23">
        <f>IF(Issues!$B26="","",Issues!$B26)</f>
        <v/>
      </c>
      <c r="B23">
        <f>IF($A23="","",IF(ISNUMBER(Issues!$C26),IF(AND(Issues!$C26&gt;=10000101,Issues!$C26&lt;=99991231),INT(Issues!$C26/10000),""),IFERROR(VALUE(TRIM(LEFT(Issues!$C26,FIND("/",Issues!$C26)-1))),"")))</f>
        <v/>
      </c>
      <c r="C23">
        <f>IF(OR($A23="",$B23=""),"",IF(ISNUMBER(Issues!$C26),INT(MOD(Issues!$C26,10000)/100),IFERROR(VALUE(TRIM(LEFT(MID(Issues!$C26,FIND("/",Issues!$C26)+1,20),FIND("/",MID(Issues!$C26,FIND("/",Issues!$C26)+1,20))-1))),"")))</f>
        <v/>
      </c>
      <c r="D23">
        <f>IF(OR($A23="",$B23=""),"",IF(ISNUMBER(Issues!$C26),MOD(Issues!$C26,100),IFERROR(VALUE(TRIM(MID(MID(Issues!$C26,FIND("/",Issues!$C26)+1,20),FIND("/",MID(Issues!$C26,FIND("/",Issues!$C26)+1,20))+1,20))),"")))</f>
        <v/>
      </c>
      <c r="E23">
        <f>IF($A23="","",IF(OR($B23="",$C23="",$D23="",$B23&lt;1300,$B23&gt;1500,$C23&lt;1,$C23&gt;12,$D23&lt;1,$D23&gt;31),"نامعتبر",RIGHT("0000"&amp;$B23,4)&amp;"/"&amp;RIGHT("00"&amp;$C23,2)&amp;"/"&amp;RIGHT("00"&amp;$D23,2)))</f>
        <v/>
      </c>
      <c r="F23">
        <f>IF($A23="","",IF(Issues!$D26="",0,Issues!$D26))</f>
        <v/>
      </c>
      <c r="G23">
        <f>IF($A23="","",Issues!$E26)</f>
        <v/>
      </c>
      <c r="H23">
        <f>IF($A23="","",IF(COUNTIFS(ETxnType,"پاس چک",ETxnChk,$A23)&gt;0,"پاس شده","پاس نشده"))</f>
        <v/>
      </c>
      <c r="I23">
        <f>IF($A23="","",IFERROR(INDEX(BClrDate,MATCH($A23,BClrChk,0)),""))</f>
        <v/>
      </c>
      <c r="J23">
        <f>IF($A23="","",Issues!$G26)</f>
        <v/>
      </c>
      <c r="K23">
        <f>IF(OR($E23="",$E23="نامعتبر"),"",LEFT($E23,4)&amp;MID($E23,6,2)&amp;RIGHT($E23,2)&amp;"|"&amp;RIGHT("00000"&amp;18,5))</f>
        <v/>
      </c>
      <c r="M23">
        <f>IF(Sync!$M23&lt;&gt;"پاس چک","",IF(Sync!$P23="","",Sync!$P23))</f>
        <v/>
      </c>
      <c r="N23">
        <f>IF($M23="","",IF(ISNUMBER(Sync!$L23),IF(AND(Sync!$L23&gt;=10000101,Sync!$L23&lt;=99991231),RIGHT("0000"&amp;INT(Sync!$L23/10000),4)&amp;"/"&amp;RIGHT("00"&amp;INT(MOD(Sync!$L23,10000)/100),2)&amp;"/"&amp;RIGHT("00"&amp;MOD(Sync!$L23,100),2),""),IFERROR(RIGHT("0000"&amp;VALUE(TRIM(LEFT(Sync!$L23,FIND("/",Sync!$L23)-1))),4)&amp;"/"&amp;RIGHT("00"&amp;VALUE(TRIM(LEFT(MID(Sync!$L23,FIND("/",Sync!$L23)+1,20),FIND("/",MID(Sync!$L23,FIND("/",Sync!$L23)+1,20))-1))),2)&amp;"/"&amp;RIGHT("00"&amp;VALUE(TRIM(MID(MID(Sync!$L23,FIND("/",Sync!$L23)+1,20),FIND("/",MID(Sync!$L23,FIND("/",Sync!$L23)+1,20))+1,20))),2),"")))</f>
        <v/>
      </c>
    </row>
    <row r="24">
      <c r="A24">
        <f>IF(Issues!$B27="","",Issues!$B27)</f>
        <v/>
      </c>
      <c r="B24">
        <f>IF($A24="","",IF(ISNUMBER(Issues!$C27),IF(AND(Issues!$C27&gt;=10000101,Issues!$C27&lt;=99991231),INT(Issues!$C27/10000),""),IFERROR(VALUE(TRIM(LEFT(Issues!$C27,FIND("/",Issues!$C27)-1))),"")))</f>
        <v/>
      </c>
      <c r="C24">
        <f>IF(OR($A24="",$B24=""),"",IF(ISNUMBER(Issues!$C27),INT(MOD(Issues!$C27,10000)/100),IFERROR(VALUE(TRIM(LEFT(MID(Issues!$C27,FIND("/",Issues!$C27)+1,20),FIND("/",MID(Issues!$C27,FIND("/",Issues!$C27)+1,20))-1))),"")))</f>
        <v/>
      </c>
      <c r="D24">
        <f>IF(OR($A24="",$B24=""),"",IF(ISNUMBER(Issues!$C27),MOD(Issues!$C27,100),IFERROR(VALUE(TRIM(MID(MID(Issues!$C27,FIND("/",Issues!$C27)+1,20),FIND("/",MID(Issues!$C27,FIND("/",Issues!$C27)+1,20))+1,20))),"")))</f>
        <v/>
      </c>
      <c r="E24">
        <f>IF($A24="","",IF(OR($B24="",$C24="",$D24="",$B24&lt;1300,$B24&gt;1500,$C24&lt;1,$C24&gt;12,$D24&lt;1,$D24&gt;31),"نامعتبر",RIGHT("0000"&amp;$B24,4)&amp;"/"&amp;RIGHT("00"&amp;$C24,2)&amp;"/"&amp;RIGHT("00"&amp;$D24,2)))</f>
        <v/>
      </c>
      <c r="F24">
        <f>IF($A24="","",IF(Issues!$D27="",0,Issues!$D27))</f>
        <v/>
      </c>
      <c r="G24">
        <f>IF($A24="","",Issues!$E27)</f>
        <v/>
      </c>
      <c r="H24">
        <f>IF($A24="","",IF(COUNTIFS(ETxnType,"پاس چک",ETxnChk,$A24)&gt;0,"پاس شده","پاس نشده"))</f>
        <v/>
      </c>
      <c r="I24">
        <f>IF($A24="","",IFERROR(INDEX(BClrDate,MATCH($A24,BClrChk,0)),""))</f>
        <v/>
      </c>
      <c r="J24">
        <f>IF($A24="","",Issues!$G27)</f>
        <v/>
      </c>
      <c r="K24">
        <f>IF(OR($E24="",$E24="نامعتبر"),"",LEFT($E24,4)&amp;MID($E24,6,2)&amp;RIGHT($E24,2)&amp;"|"&amp;RIGHT("00000"&amp;19,5))</f>
        <v/>
      </c>
      <c r="M24">
        <f>IF(Sync!$M24&lt;&gt;"پاس چک","",IF(Sync!$P24="","",Sync!$P24))</f>
        <v/>
      </c>
      <c r="N24">
        <f>IF($M24="","",IF(ISNUMBER(Sync!$L24),IF(AND(Sync!$L24&gt;=10000101,Sync!$L24&lt;=99991231),RIGHT("0000"&amp;INT(Sync!$L24/10000),4)&amp;"/"&amp;RIGHT("00"&amp;INT(MOD(Sync!$L24,10000)/100),2)&amp;"/"&amp;RIGHT("00"&amp;MOD(Sync!$L24,100),2),""),IFERROR(RIGHT("0000"&amp;VALUE(TRIM(LEFT(Sync!$L24,FIND("/",Sync!$L24)-1))),4)&amp;"/"&amp;RIGHT("00"&amp;VALUE(TRIM(LEFT(MID(Sync!$L24,FIND("/",Sync!$L24)+1,20),FIND("/",MID(Sync!$L24,FIND("/",Sync!$L24)+1,20))-1))),2)&amp;"/"&amp;RIGHT("00"&amp;VALUE(TRIM(MID(MID(Sync!$L24,FIND("/",Sync!$L24)+1,20),FIND("/",MID(Sync!$L24,FIND("/",Sync!$L24)+1,20))+1,20))),2),"")))</f>
        <v/>
      </c>
    </row>
    <row r="25">
      <c r="A25">
        <f>IF(Issues!$B28="","",Issues!$B28)</f>
        <v/>
      </c>
      <c r="B25">
        <f>IF($A25="","",IF(ISNUMBER(Issues!$C28),IF(AND(Issues!$C28&gt;=10000101,Issues!$C28&lt;=99991231),INT(Issues!$C28/10000),""),IFERROR(VALUE(TRIM(LEFT(Issues!$C28,FIND("/",Issues!$C28)-1))),"")))</f>
        <v/>
      </c>
      <c r="C25">
        <f>IF(OR($A25="",$B25=""),"",IF(ISNUMBER(Issues!$C28),INT(MOD(Issues!$C28,10000)/100),IFERROR(VALUE(TRIM(LEFT(MID(Issues!$C28,FIND("/",Issues!$C28)+1,20),FIND("/",MID(Issues!$C28,FIND("/",Issues!$C28)+1,20))-1))),"")))</f>
        <v/>
      </c>
      <c r="D25">
        <f>IF(OR($A25="",$B25=""),"",IF(ISNUMBER(Issues!$C28),MOD(Issues!$C28,100),IFERROR(VALUE(TRIM(MID(MID(Issues!$C28,FIND("/",Issues!$C28)+1,20),FIND("/",MID(Issues!$C28,FIND("/",Issues!$C28)+1,20))+1,20))),"")))</f>
        <v/>
      </c>
      <c r="E25">
        <f>IF($A25="","",IF(OR($B25="",$C25="",$D25="",$B25&lt;1300,$B25&gt;1500,$C25&lt;1,$C25&gt;12,$D25&lt;1,$D25&gt;31),"نامعتبر",RIGHT("0000"&amp;$B25,4)&amp;"/"&amp;RIGHT("00"&amp;$C25,2)&amp;"/"&amp;RIGHT("00"&amp;$D25,2)))</f>
        <v/>
      </c>
      <c r="F25">
        <f>IF($A25="","",IF(Issues!$D28="",0,Issues!$D28))</f>
        <v/>
      </c>
      <c r="G25">
        <f>IF($A25="","",Issues!$E28)</f>
        <v/>
      </c>
      <c r="H25">
        <f>IF($A25="","",IF(COUNTIFS(ETxnType,"پاس چک",ETxnChk,$A25)&gt;0,"پاس شده","پاس نشده"))</f>
        <v/>
      </c>
      <c r="I25">
        <f>IF($A25="","",IFERROR(INDEX(BClrDate,MATCH($A25,BClrChk,0)),""))</f>
        <v/>
      </c>
      <c r="J25">
        <f>IF($A25="","",Issues!$G28)</f>
        <v/>
      </c>
      <c r="K25">
        <f>IF(OR($E25="",$E25="نامعتبر"),"",LEFT($E25,4)&amp;MID($E25,6,2)&amp;RIGHT($E25,2)&amp;"|"&amp;RIGHT("00000"&amp;20,5))</f>
        <v/>
      </c>
      <c r="M25">
        <f>IF(Sync!$M25&lt;&gt;"پاس چک","",IF(Sync!$P25="","",Sync!$P25))</f>
        <v/>
      </c>
      <c r="N25">
        <f>IF($M25="","",IF(ISNUMBER(Sync!$L25),IF(AND(Sync!$L25&gt;=10000101,Sync!$L25&lt;=99991231),RIGHT("0000"&amp;INT(Sync!$L25/10000),4)&amp;"/"&amp;RIGHT("00"&amp;INT(MOD(Sync!$L25,10000)/100),2)&amp;"/"&amp;RIGHT("00"&amp;MOD(Sync!$L25,100),2),""),IFERROR(RIGHT("0000"&amp;VALUE(TRIM(LEFT(Sync!$L25,FIND("/",Sync!$L25)-1))),4)&amp;"/"&amp;RIGHT("00"&amp;VALUE(TRIM(LEFT(MID(Sync!$L25,FIND("/",Sync!$L25)+1,20),FIND("/",MID(Sync!$L25,FIND("/",Sync!$L25)+1,20))-1))),2)&amp;"/"&amp;RIGHT("00"&amp;VALUE(TRIM(MID(MID(Sync!$L25,FIND("/",Sync!$L25)+1,20),FIND("/",MID(Sync!$L25,FIND("/",Sync!$L25)+1,20))+1,20))),2),"")))</f>
        <v/>
      </c>
    </row>
    <row r="26">
      <c r="A26">
        <f>IF(Issues!$B29="","",Issues!$B29)</f>
        <v/>
      </c>
      <c r="B26">
        <f>IF($A26="","",IF(ISNUMBER(Issues!$C29),IF(AND(Issues!$C29&gt;=10000101,Issues!$C29&lt;=99991231),INT(Issues!$C29/10000),""),IFERROR(VALUE(TRIM(LEFT(Issues!$C29,FIND("/",Issues!$C29)-1))),"")))</f>
        <v/>
      </c>
      <c r="C26">
        <f>IF(OR($A26="",$B26=""),"",IF(ISNUMBER(Issues!$C29),INT(MOD(Issues!$C29,10000)/100),IFERROR(VALUE(TRIM(LEFT(MID(Issues!$C29,FIND("/",Issues!$C29)+1,20),FIND("/",MID(Issues!$C29,FIND("/",Issues!$C29)+1,20))-1))),"")))</f>
        <v/>
      </c>
      <c r="D26">
        <f>IF(OR($A26="",$B26=""),"",IF(ISNUMBER(Issues!$C29),MOD(Issues!$C29,100),IFERROR(VALUE(TRIM(MID(MID(Issues!$C29,FIND("/",Issues!$C29)+1,20),FIND("/",MID(Issues!$C29,FIND("/",Issues!$C29)+1,20))+1,20))),"")))</f>
        <v/>
      </c>
      <c r="E26">
        <f>IF($A26="","",IF(OR($B26="",$C26="",$D26="",$B26&lt;1300,$B26&gt;1500,$C26&lt;1,$C26&gt;12,$D26&lt;1,$D26&gt;31),"نامعتبر",RIGHT("0000"&amp;$B26,4)&amp;"/"&amp;RIGHT("00"&amp;$C26,2)&amp;"/"&amp;RIGHT("00"&amp;$D26,2)))</f>
        <v/>
      </c>
      <c r="F26">
        <f>IF($A26="","",IF(Issues!$D29="",0,Issues!$D29))</f>
        <v/>
      </c>
      <c r="G26">
        <f>IF($A26="","",Issues!$E29)</f>
        <v/>
      </c>
      <c r="H26">
        <f>IF($A26="","",IF(COUNTIFS(ETxnType,"پاس چک",ETxnChk,$A26)&gt;0,"پاس شده","پاس نشده"))</f>
        <v/>
      </c>
      <c r="I26">
        <f>IF($A26="","",IFERROR(INDEX(BClrDate,MATCH($A26,BClrChk,0)),""))</f>
        <v/>
      </c>
      <c r="J26">
        <f>IF($A26="","",Issues!$G29)</f>
        <v/>
      </c>
      <c r="K26">
        <f>IF(OR($E26="",$E26="نامعتبر"),"",LEFT($E26,4)&amp;MID($E26,6,2)&amp;RIGHT($E26,2)&amp;"|"&amp;RIGHT("00000"&amp;21,5))</f>
        <v/>
      </c>
      <c r="M26">
        <f>IF(Sync!$M26&lt;&gt;"پاس چک","",IF(Sync!$P26="","",Sync!$P26))</f>
        <v/>
      </c>
      <c r="N26">
        <f>IF($M26="","",IF(ISNUMBER(Sync!$L26),IF(AND(Sync!$L26&gt;=10000101,Sync!$L26&lt;=99991231),RIGHT("0000"&amp;INT(Sync!$L26/10000),4)&amp;"/"&amp;RIGHT("00"&amp;INT(MOD(Sync!$L26,10000)/100),2)&amp;"/"&amp;RIGHT("00"&amp;MOD(Sync!$L26,100),2),""),IFERROR(RIGHT("0000"&amp;VALUE(TRIM(LEFT(Sync!$L26,FIND("/",Sync!$L26)-1))),4)&amp;"/"&amp;RIGHT("00"&amp;VALUE(TRIM(LEFT(MID(Sync!$L26,FIND("/",Sync!$L26)+1,20),FIND("/",MID(Sync!$L26,FIND("/",Sync!$L26)+1,20))-1))),2)&amp;"/"&amp;RIGHT("00"&amp;VALUE(TRIM(MID(MID(Sync!$L26,FIND("/",Sync!$L26)+1,20),FIND("/",MID(Sync!$L26,FIND("/",Sync!$L26)+1,20))+1,20))),2),"")))</f>
        <v/>
      </c>
    </row>
    <row r="27">
      <c r="A27">
        <f>IF(Issues!$B30="","",Issues!$B30)</f>
        <v/>
      </c>
      <c r="B27">
        <f>IF($A27="","",IF(ISNUMBER(Issues!$C30),IF(AND(Issues!$C30&gt;=10000101,Issues!$C30&lt;=99991231),INT(Issues!$C30/10000),""),IFERROR(VALUE(TRIM(LEFT(Issues!$C30,FIND("/",Issues!$C30)-1))),"")))</f>
        <v/>
      </c>
      <c r="C27">
        <f>IF(OR($A27="",$B27=""),"",IF(ISNUMBER(Issues!$C30),INT(MOD(Issues!$C30,10000)/100),IFERROR(VALUE(TRIM(LEFT(MID(Issues!$C30,FIND("/",Issues!$C30)+1,20),FIND("/",MID(Issues!$C30,FIND("/",Issues!$C30)+1,20))-1))),"")))</f>
        <v/>
      </c>
      <c r="D27">
        <f>IF(OR($A27="",$B27=""),"",IF(ISNUMBER(Issues!$C30),MOD(Issues!$C30,100),IFERROR(VALUE(TRIM(MID(MID(Issues!$C30,FIND("/",Issues!$C30)+1,20),FIND("/",MID(Issues!$C30,FIND("/",Issues!$C30)+1,20))+1,20))),"")))</f>
        <v/>
      </c>
      <c r="E27">
        <f>IF($A27="","",IF(OR($B27="",$C27="",$D27="",$B27&lt;1300,$B27&gt;1500,$C27&lt;1,$C27&gt;12,$D27&lt;1,$D27&gt;31),"نامعتبر",RIGHT("0000"&amp;$B27,4)&amp;"/"&amp;RIGHT("00"&amp;$C27,2)&amp;"/"&amp;RIGHT("00"&amp;$D27,2)))</f>
        <v/>
      </c>
      <c r="F27">
        <f>IF($A27="","",IF(Issues!$D30="",0,Issues!$D30))</f>
        <v/>
      </c>
      <c r="G27">
        <f>IF($A27="","",Issues!$E30)</f>
        <v/>
      </c>
      <c r="H27">
        <f>IF($A27="","",IF(COUNTIFS(ETxnType,"پاس چک",ETxnChk,$A27)&gt;0,"پاس شده","پاس نشده"))</f>
        <v/>
      </c>
      <c r="I27">
        <f>IF($A27="","",IFERROR(INDEX(BClrDate,MATCH($A27,BClrChk,0)),""))</f>
        <v/>
      </c>
      <c r="J27">
        <f>IF($A27="","",Issues!$G30)</f>
        <v/>
      </c>
      <c r="K27">
        <f>IF(OR($E27="",$E27="نامعتبر"),"",LEFT($E27,4)&amp;MID($E27,6,2)&amp;RIGHT($E27,2)&amp;"|"&amp;RIGHT("00000"&amp;22,5))</f>
        <v/>
      </c>
      <c r="M27">
        <f>IF(Sync!$M27&lt;&gt;"پاس چک","",IF(Sync!$P27="","",Sync!$P27))</f>
        <v/>
      </c>
      <c r="N27">
        <f>IF($M27="","",IF(ISNUMBER(Sync!$L27),IF(AND(Sync!$L27&gt;=10000101,Sync!$L27&lt;=99991231),RIGHT("0000"&amp;INT(Sync!$L27/10000),4)&amp;"/"&amp;RIGHT("00"&amp;INT(MOD(Sync!$L27,10000)/100),2)&amp;"/"&amp;RIGHT("00"&amp;MOD(Sync!$L27,100),2),""),IFERROR(RIGHT("0000"&amp;VALUE(TRIM(LEFT(Sync!$L27,FIND("/",Sync!$L27)-1))),4)&amp;"/"&amp;RIGHT("00"&amp;VALUE(TRIM(LEFT(MID(Sync!$L27,FIND("/",Sync!$L27)+1,20),FIND("/",MID(Sync!$L27,FIND("/",Sync!$L27)+1,20))-1))),2)&amp;"/"&amp;RIGHT("00"&amp;VALUE(TRIM(MID(MID(Sync!$L27,FIND("/",Sync!$L27)+1,20),FIND("/",MID(Sync!$L27,FIND("/",Sync!$L27)+1,20))+1,20))),2),"")))</f>
        <v/>
      </c>
    </row>
    <row r="28">
      <c r="A28">
        <f>IF(Issues!$B31="","",Issues!$B31)</f>
        <v/>
      </c>
      <c r="B28">
        <f>IF($A28="","",IF(ISNUMBER(Issues!$C31),IF(AND(Issues!$C31&gt;=10000101,Issues!$C31&lt;=99991231),INT(Issues!$C31/10000),""),IFERROR(VALUE(TRIM(LEFT(Issues!$C31,FIND("/",Issues!$C31)-1))),"")))</f>
        <v/>
      </c>
      <c r="C28">
        <f>IF(OR($A28="",$B28=""),"",IF(ISNUMBER(Issues!$C31),INT(MOD(Issues!$C31,10000)/100),IFERROR(VALUE(TRIM(LEFT(MID(Issues!$C31,FIND("/",Issues!$C31)+1,20),FIND("/",MID(Issues!$C31,FIND("/",Issues!$C31)+1,20))-1))),"")))</f>
        <v/>
      </c>
      <c r="D28">
        <f>IF(OR($A28="",$B28=""),"",IF(ISNUMBER(Issues!$C31),MOD(Issues!$C31,100),IFERROR(VALUE(TRIM(MID(MID(Issues!$C31,FIND("/",Issues!$C31)+1,20),FIND("/",MID(Issues!$C31,FIND("/",Issues!$C31)+1,20))+1,20))),"")))</f>
        <v/>
      </c>
      <c r="E28">
        <f>IF($A28="","",IF(OR($B28="",$C28="",$D28="",$B28&lt;1300,$B28&gt;1500,$C28&lt;1,$C28&gt;12,$D28&lt;1,$D28&gt;31),"نامعتبر",RIGHT("0000"&amp;$B28,4)&amp;"/"&amp;RIGHT("00"&amp;$C28,2)&amp;"/"&amp;RIGHT("00"&amp;$D28,2)))</f>
        <v/>
      </c>
      <c r="F28">
        <f>IF($A28="","",IF(Issues!$D31="",0,Issues!$D31))</f>
        <v/>
      </c>
      <c r="G28">
        <f>IF($A28="","",Issues!$E31)</f>
        <v/>
      </c>
      <c r="H28">
        <f>IF($A28="","",IF(COUNTIFS(ETxnType,"پاس چک",ETxnChk,$A28)&gt;0,"پاس شده","پاس نشده"))</f>
        <v/>
      </c>
      <c r="I28">
        <f>IF($A28="","",IFERROR(INDEX(BClrDate,MATCH($A28,BClrChk,0)),""))</f>
        <v/>
      </c>
      <c r="J28">
        <f>IF($A28="","",Issues!$G31)</f>
        <v/>
      </c>
      <c r="K28">
        <f>IF(OR($E28="",$E28="نامعتبر"),"",LEFT($E28,4)&amp;MID($E28,6,2)&amp;RIGHT($E28,2)&amp;"|"&amp;RIGHT("00000"&amp;23,5))</f>
        <v/>
      </c>
      <c r="M28">
        <f>IF(Sync!$M28&lt;&gt;"پاس چک","",IF(Sync!$P28="","",Sync!$P28))</f>
        <v/>
      </c>
      <c r="N28">
        <f>IF($M28="","",IF(ISNUMBER(Sync!$L28),IF(AND(Sync!$L28&gt;=10000101,Sync!$L28&lt;=99991231),RIGHT("0000"&amp;INT(Sync!$L28/10000),4)&amp;"/"&amp;RIGHT("00"&amp;INT(MOD(Sync!$L28,10000)/100),2)&amp;"/"&amp;RIGHT("00"&amp;MOD(Sync!$L28,100),2),""),IFERROR(RIGHT("0000"&amp;VALUE(TRIM(LEFT(Sync!$L28,FIND("/",Sync!$L28)-1))),4)&amp;"/"&amp;RIGHT("00"&amp;VALUE(TRIM(LEFT(MID(Sync!$L28,FIND("/",Sync!$L28)+1,20),FIND("/",MID(Sync!$L28,FIND("/",Sync!$L28)+1,20))-1))),2)&amp;"/"&amp;RIGHT("00"&amp;VALUE(TRIM(MID(MID(Sync!$L28,FIND("/",Sync!$L28)+1,20),FIND("/",MID(Sync!$L28,FIND("/",Sync!$L28)+1,20))+1,20))),2),"")))</f>
        <v/>
      </c>
    </row>
    <row r="29">
      <c r="A29">
        <f>IF(Issues!$B32="","",Issues!$B32)</f>
        <v/>
      </c>
      <c r="B29">
        <f>IF($A29="","",IF(ISNUMBER(Issues!$C32),IF(AND(Issues!$C32&gt;=10000101,Issues!$C32&lt;=99991231),INT(Issues!$C32/10000),""),IFERROR(VALUE(TRIM(LEFT(Issues!$C32,FIND("/",Issues!$C32)-1))),"")))</f>
        <v/>
      </c>
      <c r="C29">
        <f>IF(OR($A29="",$B29=""),"",IF(ISNUMBER(Issues!$C32),INT(MOD(Issues!$C32,10000)/100),IFERROR(VALUE(TRIM(LEFT(MID(Issues!$C32,FIND("/",Issues!$C32)+1,20),FIND("/",MID(Issues!$C32,FIND("/",Issues!$C32)+1,20))-1))),"")))</f>
        <v/>
      </c>
      <c r="D29">
        <f>IF(OR($A29="",$B29=""),"",IF(ISNUMBER(Issues!$C32),MOD(Issues!$C32,100),IFERROR(VALUE(TRIM(MID(MID(Issues!$C32,FIND("/",Issues!$C32)+1,20),FIND("/",MID(Issues!$C32,FIND("/",Issues!$C32)+1,20))+1,20))),"")))</f>
        <v/>
      </c>
      <c r="E29">
        <f>IF($A29="","",IF(OR($B29="",$C29="",$D29="",$B29&lt;1300,$B29&gt;1500,$C29&lt;1,$C29&gt;12,$D29&lt;1,$D29&gt;31),"نامعتبر",RIGHT("0000"&amp;$B29,4)&amp;"/"&amp;RIGHT("00"&amp;$C29,2)&amp;"/"&amp;RIGHT("00"&amp;$D29,2)))</f>
        <v/>
      </c>
      <c r="F29">
        <f>IF($A29="","",IF(Issues!$D32="",0,Issues!$D32))</f>
        <v/>
      </c>
      <c r="G29">
        <f>IF($A29="","",Issues!$E32)</f>
        <v/>
      </c>
      <c r="H29">
        <f>IF($A29="","",IF(COUNTIFS(ETxnType,"پاس چک",ETxnChk,$A29)&gt;0,"پاس شده","پاس نشده"))</f>
        <v/>
      </c>
      <c r="I29">
        <f>IF($A29="","",IFERROR(INDEX(BClrDate,MATCH($A29,BClrChk,0)),""))</f>
        <v/>
      </c>
      <c r="J29">
        <f>IF($A29="","",Issues!$G32)</f>
        <v/>
      </c>
      <c r="K29">
        <f>IF(OR($E29="",$E29="نامعتبر"),"",LEFT($E29,4)&amp;MID($E29,6,2)&amp;RIGHT($E29,2)&amp;"|"&amp;RIGHT("00000"&amp;24,5))</f>
        <v/>
      </c>
      <c r="M29">
        <f>IF(Sync!$M29&lt;&gt;"پاس چک","",IF(Sync!$P29="","",Sync!$P29))</f>
        <v/>
      </c>
      <c r="N29">
        <f>IF($M29="","",IF(ISNUMBER(Sync!$L29),IF(AND(Sync!$L29&gt;=10000101,Sync!$L29&lt;=99991231),RIGHT("0000"&amp;INT(Sync!$L29/10000),4)&amp;"/"&amp;RIGHT("00"&amp;INT(MOD(Sync!$L29,10000)/100),2)&amp;"/"&amp;RIGHT("00"&amp;MOD(Sync!$L29,100),2),""),IFERROR(RIGHT("0000"&amp;VALUE(TRIM(LEFT(Sync!$L29,FIND("/",Sync!$L29)-1))),4)&amp;"/"&amp;RIGHT("00"&amp;VALUE(TRIM(LEFT(MID(Sync!$L29,FIND("/",Sync!$L29)+1,20),FIND("/",MID(Sync!$L29,FIND("/",Sync!$L29)+1,20))-1))),2)&amp;"/"&amp;RIGHT("00"&amp;VALUE(TRIM(MID(MID(Sync!$L29,FIND("/",Sync!$L29)+1,20),FIND("/",MID(Sync!$L29,FIND("/",Sync!$L29)+1,20))+1,20))),2),"")))</f>
        <v/>
      </c>
    </row>
    <row r="30">
      <c r="A30">
        <f>IF(Issues!$B33="","",Issues!$B33)</f>
        <v/>
      </c>
      <c r="B30">
        <f>IF($A30="","",IF(ISNUMBER(Issues!$C33),IF(AND(Issues!$C33&gt;=10000101,Issues!$C33&lt;=99991231),INT(Issues!$C33/10000),""),IFERROR(VALUE(TRIM(LEFT(Issues!$C33,FIND("/",Issues!$C33)-1))),"")))</f>
        <v/>
      </c>
      <c r="C30">
        <f>IF(OR($A30="",$B30=""),"",IF(ISNUMBER(Issues!$C33),INT(MOD(Issues!$C33,10000)/100),IFERROR(VALUE(TRIM(LEFT(MID(Issues!$C33,FIND("/",Issues!$C33)+1,20),FIND("/",MID(Issues!$C33,FIND("/",Issues!$C33)+1,20))-1))),"")))</f>
        <v/>
      </c>
      <c r="D30">
        <f>IF(OR($A30="",$B30=""),"",IF(ISNUMBER(Issues!$C33),MOD(Issues!$C33,100),IFERROR(VALUE(TRIM(MID(MID(Issues!$C33,FIND("/",Issues!$C33)+1,20),FIND("/",MID(Issues!$C33,FIND("/",Issues!$C33)+1,20))+1,20))),"")))</f>
        <v/>
      </c>
      <c r="E30">
        <f>IF($A30="","",IF(OR($B30="",$C30="",$D30="",$B30&lt;1300,$B30&gt;1500,$C30&lt;1,$C30&gt;12,$D30&lt;1,$D30&gt;31),"نامعتبر",RIGHT("0000"&amp;$B30,4)&amp;"/"&amp;RIGHT("00"&amp;$C30,2)&amp;"/"&amp;RIGHT("00"&amp;$D30,2)))</f>
        <v/>
      </c>
      <c r="F30">
        <f>IF($A30="","",IF(Issues!$D33="",0,Issues!$D33))</f>
        <v/>
      </c>
      <c r="G30">
        <f>IF($A30="","",Issues!$E33)</f>
        <v/>
      </c>
      <c r="H30">
        <f>IF($A30="","",IF(COUNTIFS(ETxnType,"پاس چک",ETxnChk,$A30)&gt;0,"پاس شده","پاس نشده"))</f>
        <v/>
      </c>
      <c r="I30">
        <f>IF($A30="","",IFERROR(INDEX(BClrDate,MATCH($A30,BClrChk,0)),""))</f>
        <v/>
      </c>
      <c r="J30">
        <f>IF($A30="","",Issues!$G33)</f>
        <v/>
      </c>
      <c r="K30">
        <f>IF(OR($E30="",$E30="نامعتبر"),"",LEFT($E30,4)&amp;MID($E30,6,2)&amp;RIGHT($E30,2)&amp;"|"&amp;RIGHT("00000"&amp;25,5))</f>
        <v/>
      </c>
      <c r="M30">
        <f>IF(Sync!$M30&lt;&gt;"پاس چک","",IF(Sync!$P30="","",Sync!$P30))</f>
        <v/>
      </c>
      <c r="N30">
        <f>IF($M30="","",IF(ISNUMBER(Sync!$L30),IF(AND(Sync!$L30&gt;=10000101,Sync!$L30&lt;=99991231),RIGHT("0000"&amp;INT(Sync!$L30/10000),4)&amp;"/"&amp;RIGHT("00"&amp;INT(MOD(Sync!$L30,10000)/100),2)&amp;"/"&amp;RIGHT("00"&amp;MOD(Sync!$L30,100),2),""),IFERROR(RIGHT("0000"&amp;VALUE(TRIM(LEFT(Sync!$L30,FIND("/",Sync!$L30)-1))),4)&amp;"/"&amp;RIGHT("00"&amp;VALUE(TRIM(LEFT(MID(Sync!$L30,FIND("/",Sync!$L30)+1,20),FIND("/",MID(Sync!$L30,FIND("/",Sync!$L30)+1,20))-1))),2)&amp;"/"&amp;RIGHT("00"&amp;VALUE(TRIM(MID(MID(Sync!$L30,FIND("/",Sync!$L30)+1,20),FIND("/",MID(Sync!$L30,FIND("/",Sync!$L30)+1,20))+1,20))),2),"")))</f>
        <v/>
      </c>
    </row>
    <row r="31">
      <c r="A31">
        <f>IF(Issues!$B34="","",Issues!$B34)</f>
        <v/>
      </c>
      <c r="B31">
        <f>IF($A31="","",IF(ISNUMBER(Issues!$C34),IF(AND(Issues!$C34&gt;=10000101,Issues!$C34&lt;=99991231),INT(Issues!$C34/10000),""),IFERROR(VALUE(TRIM(LEFT(Issues!$C34,FIND("/",Issues!$C34)-1))),"")))</f>
        <v/>
      </c>
      <c r="C31">
        <f>IF(OR($A31="",$B31=""),"",IF(ISNUMBER(Issues!$C34),INT(MOD(Issues!$C34,10000)/100),IFERROR(VALUE(TRIM(LEFT(MID(Issues!$C34,FIND("/",Issues!$C34)+1,20),FIND("/",MID(Issues!$C34,FIND("/",Issues!$C34)+1,20))-1))),"")))</f>
        <v/>
      </c>
      <c r="D31">
        <f>IF(OR($A31="",$B31=""),"",IF(ISNUMBER(Issues!$C34),MOD(Issues!$C34,100),IFERROR(VALUE(TRIM(MID(MID(Issues!$C34,FIND("/",Issues!$C34)+1,20),FIND("/",MID(Issues!$C34,FIND("/",Issues!$C34)+1,20))+1,20))),"")))</f>
        <v/>
      </c>
      <c r="E31">
        <f>IF($A31="","",IF(OR($B31="",$C31="",$D31="",$B31&lt;1300,$B31&gt;1500,$C31&lt;1,$C31&gt;12,$D31&lt;1,$D31&gt;31),"نامعتبر",RIGHT("0000"&amp;$B31,4)&amp;"/"&amp;RIGHT("00"&amp;$C31,2)&amp;"/"&amp;RIGHT("00"&amp;$D31,2)))</f>
        <v/>
      </c>
      <c r="F31">
        <f>IF($A31="","",IF(Issues!$D34="",0,Issues!$D34))</f>
        <v/>
      </c>
      <c r="G31">
        <f>IF($A31="","",Issues!$E34)</f>
        <v/>
      </c>
      <c r="H31">
        <f>IF($A31="","",IF(COUNTIFS(ETxnType,"پاس چک",ETxnChk,$A31)&gt;0,"پاس شده","پاس نشده"))</f>
        <v/>
      </c>
      <c r="I31">
        <f>IF($A31="","",IFERROR(INDEX(BClrDate,MATCH($A31,BClrChk,0)),""))</f>
        <v/>
      </c>
      <c r="J31">
        <f>IF($A31="","",Issues!$G34)</f>
        <v/>
      </c>
      <c r="K31">
        <f>IF(OR($E31="",$E31="نامعتبر"),"",LEFT($E31,4)&amp;MID($E31,6,2)&amp;RIGHT($E31,2)&amp;"|"&amp;RIGHT("00000"&amp;26,5))</f>
        <v/>
      </c>
      <c r="M31">
        <f>IF(Sync!$M31&lt;&gt;"پاس چک","",IF(Sync!$P31="","",Sync!$P31))</f>
        <v/>
      </c>
      <c r="N31">
        <f>IF($M31="","",IF(ISNUMBER(Sync!$L31),IF(AND(Sync!$L31&gt;=10000101,Sync!$L31&lt;=99991231),RIGHT("0000"&amp;INT(Sync!$L31/10000),4)&amp;"/"&amp;RIGHT("00"&amp;INT(MOD(Sync!$L31,10000)/100),2)&amp;"/"&amp;RIGHT("00"&amp;MOD(Sync!$L31,100),2),""),IFERROR(RIGHT("0000"&amp;VALUE(TRIM(LEFT(Sync!$L31,FIND("/",Sync!$L31)-1))),4)&amp;"/"&amp;RIGHT("00"&amp;VALUE(TRIM(LEFT(MID(Sync!$L31,FIND("/",Sync!$L31)+1,20),FIND("/",MID(Sync!$L31,FIND("/",Sync!$L31)+1,20))-1))),2)&amp;"/"&amp;RIGHT("00"&amp;VALUE(TRIM(MID(MID(Sync!$L31,FIND("/",Sync!$L31)+1,20),FIND("/",MID(Sync!$L31,FIND("/",Sync!$L31)+1,20))+1,20))),2),"")))</f>
        <v/>
      </c>
    </row>
    <row r="32">
      <c r="A32">
        <f>IF(Issues!$B35="","",Issues!$B35)</f>
        <v/>
      </c>
      <c r="B32">
        <f>IF($A32="","",IF(ISNUMBER(Issues!$C35),IF(AND(Issues!$C35&gt;=10000101,Issues!$C35&lt;=99991231),INT(Issues!$C35/10000),""),IFERROR(VALUE(TRIM(LEFT(Issues!$C35,FIND("/",Issues!$C35)-1))),"")))</f>
        <v/>
      </c>
      <c r="C32">
        <f>IF(OR($A32="",$B32=""),"",IF(ISNUMBER(Issues!$C35),INT(MOD(Issues!$C35,10000)/100),IFERROR(VALUE(TRIM(LEFT(MID(Issues!$C35,FIND("/",Issues!$C35)+1,20),FIND("/",MID(Issues!$C35,FIND("/",Issues!$C35)+1,20))-1))),"")))</f>
        <v/>
      </c>
      <c r="D32">
        <f>IF(OR($A32="",$B32=""),"",IF(ISNUMBER(Issues!$C35),MOD(Issues!$C35,100),IFERROR(VALUE(TRIM(MID(MID(Issues!$C35,FIND("/",Issues!$C35)+1,20),FIND("/",MID(Issues!$C35,FIND("/",Issues!$C35)+1,20))+1,20))),"")))</f>
        <v/>
      </c>
      <c r="E32">
        <f>IF($A32="","",IF(OR($B32="",$C32="",$D32="",$B32&lt;1300,$B32&gt;1500,$C32&lt;1,$C32&gt;12,$D32&lt;1,$D32&gt;31),"نامعتبر",RIGHT("0000"&amp;$B32,4)&amp;"/"&amp;RIGHT("00"&amp;$C32,2)&amp;"/"&amp;RIGHT("00"&amp;$D32,2)))</f>
        <v/>
      </c>
      <c r="F32">
        <f>IF($A32="","",IF(Issues!$D35="",0,Issues!$D35))</f>
        <v/>
      </c>
      <c r="G32">
        <f>IF($A32="","",Issues!$E35)</f>
        <v/>
      </c>
      <c r="H32">
        <f>IF($A32="","",IF(COUNTIFS(ETxnType,"پاس چک",ETxnChk,$A32)&gt;0,"پاس شده","پاس نشده"))</f>
        <v/>
      </c>
      <c r="I32">
        <f>IF($A32="","",IFERROR(INDEX(BClrDate,MATCH($A32,BClrChk,0)),""))</f>
        <v/>
      </c>
      <c r="J32">
        <f>IF($A32="","",Issues!$G35)</f>
        <v/>
      </c>
      <c r="K32">
        <f>IF(OR($E32="",$E32="نامعتبر"),"",LEFT($E32,4)&amp;MID($E32,6,2)&amp;RIGHT($E32,2)&amp;"|"&amp;RIGHT("00000"&amp;27,5))</f>
        <v/>
      </c>
      <c r="M32">
        <f>IF(Sync!$M32&lt;&gt;"پاس چک","",IF(Sync!$P32="","",Sync!$P32))</f>
        <v/>
      </c>
      <c r="N32">
        <f>IF($M32="","",IF(ISNUMBER(Sync!$L32),IF(AND(Sync!$L32&gt;=10000101,Sync!$L32&lt;=99991231),RIGHT("0000"&amp;INT(Sync!$L32/10000),4)&amp;"/"&amp;RIGHT("00"&amp;INT(MOD(Sync!$L32,10000)/100),2)&amp;"/"&amp;RIGHT("00"&amp;MOD(Sync!$L32,100),2),""),IFERROR(RIGHT("0000"&amp;VALUE(TRIM(LEFT(Sync!$L32,FIND("/",Sync!$L32)-1))),4)&amp;"/"&amp;RIGHT("00"&amp;VALUE(TRIM(LEFT(MID(Sync!$L32,FIND("/",Sync!$L32)+1,20),FIND("/",MID(Sync!$L32,FIND("/",Sync!$L32)+1,20))-1))),2)&amp;"/"&amp;RIGHT("00"&amp;VALUE(TRIM(MID(MID(Sync!$L32,FIND("/",Sync!$L32)+1,20),FIND("/",MID(Sync!$L32,FIND("/",Sync!$L32)+1,20))+1,20))),2),"")))</f>
        <v/>
      </c>
    </row>
    <row r="33">
      <c r="A33">
        <f>IF(Issues!$B36="","",Issues!$B36)</f>
        <v/>
      </c>
      <c r="B33">
        <f>IF($A33="","",IF(ISNUMBER(Issues!$C36),IF(AND(Issues!$C36&gt;=10000101,Issues!$C36&lt;=99991231),INT(Issues!$C36/10000),""),IFERROR(VALUE(TRIM(LEFT(Issues!$C36,FIND("/",Issues!$C36)-1))),"")))</f>
        <v/>
      </c>
      <c r="C33">
        <f>IF(OR($A33="",$B33=""),"",IF(ISNUMBER(Issues!$C36),INT(MOD(Issues!$C36,10000)/100),IFERROR(VALUE(TRIM(LEFT(MID(Issues!$C36,FIND("/",Issues!$C36)+1,20),FIND("/",MID(Issues!$C36,FIND("/",Issues!$C36)+1,20))-1))),"")))</f>
        <v/>
      </c>
      <c r="D33">
        <f>IF(OR($A33="",$B33=""),"",IF(ISNUMBER(Issues!$C36),MOD(Issues!$C36,100),IFERROR(VALUE(TRIM(MID(MID(Issues!$C36,FIND("/",Issues!$C36)+1,20),FIND("/",MID(Issues!$C36,FIND("/",Issues!$C36)+1,20))+1,20))),"")))</f>
        <v/>
      </c>
      <c r="E33">
        <f>IF($A33="","",IF(OR($B33="",$C33="",$D33="",$B33&lt;1300,$B33&gt;1500,$C33&lt;1,$C33&gt;12,$D33&lt;1,$D33&gt;31),"نامعتبر",RIGHT("0000"&amp;$B33,4)&amp;"/"&amp;RIGHT("00"&amp;$C33,2)&amp;"/"&amp;RIGHT("00"&amp;$D33,2)))</f>
        <v/>
      </c>
      <c r="F33">
        <f>IF($A33="","",IF(Issues!$D36="",0,Issues!$D36))</f>
        <v/>
      </c>
      <c r="G33">
        <f>IF($A33="","",Issues!$E36)</f>
        <v/>
      </c>
      <c r="H33">
        <f>IF($A33="","",IF(COUNTIFS(ETxnType,"پاس چک",ETxnChk,$A33)&gt;0,"پاس شده","پاس نشده"))</f>
        <v/>
      </c>
      <c r="I33">
        <f>IF($A33="","",IFERROR(INDEX(BClrDate,MATCH($A33,BClrChk,0)),""))</f>
        <v/>
      </c>
      <c r="J33">
        <f>IF($A33="","",Issues!$G36)</f>
        <v/>
      </c>
      <c r="K33">
        <f>IF(OR($E33="",$E33="نامعتبر"),"",LEFT($E33,4)&amp;MID($E33,6,2)&amp;RIGHT($E33,2)&amp;"|"&amp;RIGHT("00000"&amp;28,5))</f>
        <v/>
      </c>
      <c r="M33">
        <f>IF(Sync!$M33&lt;&gt;"پاس چک","",IF(Sync!$P33="","",Sync!$P33))</f>
        <v/>
      </c>
      <c r="N33">
        <f>IF($M33="","",IF(ISNUMBER(Sync!$L33),IF(AND(Sync!$L33&gt;=10000101,Sync!$L33&lt;=99991231),RIGHT("0000"&amp;INT(Sync!$L33/10000),4)&amp;"/"&amp;RIGHT("00"&amp;INT(MOD(Sync!$L33,10000)/100),2)&amp;"/"&amp;RIGHT("00"&amp;MOD(Sync!$L33,100),2),""),IFERROR(RIGHT("0000"&amp;VALUE(TRIM(LEFT(Sync!$L33,FIND("/",Sync!$L33)-1))),4)&amp;"/"&amp;RIGHT("00"&amp;VALUE(TRIM(LEFT(MID(Sync!$L33,FIND("/",Sync!$L33)+1,20),FIND("/",MID(Sync!$L33,FIND("/",Sync!$L33)+1,20))-1))),2)&amp;"/"&amp;RIGHT("00"&amp;VALUE(TRIM(MID(MID(Sync!$L33,FIND("/",Sync!$L33)+1,20),FIND("/",MID(Sync!$L33,FIND("/",Sync!$L33)+1,20))+1,20))),2),"")))</f>
        <v/>
      </c>
    </row>
    <row r="34">
      <c r="A34">
        <f>IF(Issues!$B37="","",Issues!$B37)</f>
        <v/>
      </c>
      <c r="B34">
        <f>IF($A34="","",IF(ISNUMBER(Issues!$C37),IF(AND(Issues!$C37&gt;=10000101,Issues!$C37&lt;=99991231),INT(Issues!$C37/10000),""),IFERROR(VALUE(TRIM(LEFT(Issues!$C37,FIND("/",Issues!$C37)-1))),"")))</f>
        <v/>
      </c>
      <c r="C34">
        <f>IF(OR($A34="",$B34=""),"",IF(ISNUMBER(Issues!$C37),INT(MOD(Issues!$C37,10000)/100),IFERROR(VALUE(TRIM(LEFT(MID(Issues!$C37,FIND("/",Issues!$C37)+1,20),FIND("/",MID(Issues!$C37,FIND("/",Issues!$C37)+1,20))-1))),"")))</f>
        <v/>
      </c>
      <c r="D34">
        <f>IF(OR($A34="",$B34=""),"",IF(ISNUMBER(Issues!$C37),MOD(Issues!$C37,100),IFERROR(VALUE(TRIM(MID(MID(Issues!$C37,FIND("/",Issues!$C37)+1,20),FIND("/",MID(Issues!$C37,FIND("/",Issues!$C37)+1,20))+1,20))),"")))</f>
        <v/>
      </c>
      <c r="E34">
        <f>IF($A34="","",IF(OR($B34="",$C34="",$D34="",$B34&lt;1300,$B34&gt;1500,$C34&lt;1,$C34&gt;12,$D34&lt;1,$D34&gt;31),"نامعتبر",RIGHT("0000"&amp;$B34,4)&amp;"/"&amp;RIGHT("00"&amp;$C34,2)&amp;"/"&amp;RIGHT("00"&amp;$D34,2)))</f>
        <v/>
      </c>
      <c r="F34">
        <f>IF($A34="","",IF(Issues!$D37="",0,Issues!$D37))</f>
        <v/>
      </c>
      <c r="G34">
        <f>IF($A34="","",Issues!$E37)</f>
        <v/>
      </c>
      <c r="H34">
        <f>IF($A34="","",IF(COUNTIFS(ETxnType,"پاس چک",ETxnChk,$A34)&gt;0,"پاس شده","پاس نشده"))</f>
        <v/>
      </c>
      <c r="I34">
        <f>IF($A34="","",IFERROR(INDEX(BClrDate,MATCH($A34,BClrChk,0)),""))</f>
        <v/>
      </c>
      <c r="J34">
        <f>IF($A34="","",Issues!$G37)</f>
        <v/>
      </c>
      <c r="K34">
        <f>IF(OR($E34="",$E34="نامعتبر"),"",LEFT($E34,4)&amp;MID($E34,6,2)&amp;RIGHT($E34,2)&amp;"|"&amp;RIGHT("00000"&amp;29,5))</f>
        <v/>
      </c>
      <c r="M34">
        <f>IF(Sync!$M34&lt;&gt;"پاس چک","",IF(Sync!$P34="","",Sync!$P34))</f>
        <v/>
      </c>
      <c r="N34">
        <f>IF($M34="","",IF(ISNUMBER(Sync!$L34),IF(AND(Sync!$L34&gt;=10000101,Sync!$L34&lt;=99991231),RIGHT("0000"&amp;INT(Sync!$L34/10000),4)&amp;"/"&amp;RIGHT("00"&amp;INT(MOD(Sync!$L34,10000)/100),2)&amp;"/"&amp;RIGHT("00"&amp;MOD(Sync!$L34,100),2),""),IFERROR(RIGHT("0000"&amp;VALUE(TRIM(LEFT(Sync!$L34,FIND("/",Sync!$L34)-1))),4)&amp;"/"&amp;RIGHT("00"&amp;VALUE(TRIM(LEFT(MID(Sync!$L34,FIND("/",Sync!$L34)+1,20),FIND("/",MID(Sync!$L34,FIND("/",Sync!$L34)+1,20))-1))),2)&amp;"/"&amp;RIGHT("00"&amp;VALUE(TRIM(MID(MID(Sync!$L34,FIND("/",Sync!$L34)+1,20),FIND("/",MID(Sync!$L34,FIND("/",Sync!$L34)+1,20))+1,20))),2),"")))</f>
        <v/>
      </c>
    </row>
    <row r="35">
      <c r="A35">
        <f>IF(Issues!$B38="","",Issues!$B38)</f>
        <v/>
      </c>
      <c r="B35">
        <f>IF($A35="","",IF(ISNUMBER(Issues!$C38),IF(AND(Issues!$C38&gt;=10000101,Issues!$C38&lt;=99991231),INT(Issues!$C38/10000),""),IFERROR(VALUE(TRIM(LEFT(Issues!$C38,FIND("/",Issues!$C38)-1))),"")))</f>
        <v/>
      </c>
      <c r="C35">
        <f>IF(OR($A35="",$B35=""),"",IF(ISNUMBER(Issues!$C38),INT(MOD(Issues!$C38,10000)/100),IFERROR(VALUE(TRIM(LEFT(MID(Issues!$C38,FIND("/",Issues!$C38)+1,20),FIND("/",MID(Issues!$C38,FIND("/",Issues!$C38)+1,20))-1))),"")))</f>
        <v/>
      </c>
      <c r="D35">
        <f>IF(OR($A35="",$B35=""),"",IF(ISNUMBER(Issues!$C38),MOD(Issues!$C38,100),IFERROR(VALUE(TRIM(MID(MID(Issues!$C38,FIND("/",Issues!$C38)+1,20),FIND("/",MID(Issues!$C38,FIND("/",Issues!$C38)+1,20))+1,20))),"")))</f>
        <v/>
      </c>
      <c r="E35">
        <f>IF($A35="","",IF(OR($B35="",$C35="",$D35="",$B35&lt;1300,$B35&gt;1500,$C35&lt;1,$C35&gt;12,$D35&lt;1,$D35&gt;31),"نامعتبر",RIGHT("0000"&amp;$B35,4)&amp;"/"&amp;RIGHT("00"&amp;$C35,2)&amp;"/"&amp;RIGHT("00"&amp;$D35,2)))</f>
        <v/>
      </c>
      <c r="F35">
        <f>IF($A35="","",IF(Issues!$D38="",0,Issues!$D38))</f>
        <v/>
      </c>
      <c r="G35">
        <f>IF($A35="","",Issues!$E38)</f>
        <v/>
      </c>
      <c r="H35">
        <f>IF($A35="","",IF(COUNTIFS(ETxnType,"پاس چک",ETxnChk,$A35)&gt;0,"پاس شده","پاس نشده"))</f>
        <v/>
      </c>
      <c r="I35">
        <f>IF($A35="","",IFERROR(INDEX(BClrDate,MATCH($A35,BClrChk,0)),""))</f>
        <v/>
      </c>
      <c r="J35">
        <f>IF($A35="","",Issues!$G38)</f>
        <v/>
      </c>
      <c r="K35">
        <f>IF(OR($E35="",$E35="نامعتبر"),"",LEFT($E35,4)&amp;MID($E35,6,2)&amp;RIGHT($E35,2)&amp;"|"&amp;RIGHT("00000"&amp;30,5))</f>
        <v/>
      </c>
      <c r="M35">
        <f>IF(Sync!$M35&lt;&gt;"پاس چک","",IF(Sync!$P35="","",Sync!$P35))</f>
        <v/>
      </c>
      <c r="N35">
        <f>IF($M35="","",IF(ISNUMBER(Sync!$L35),IF(AND(Sync!$L35&gt;=10000101,Sync!$L35&lt;=99991231),RIGHT("0000"&amp;INT(Sync!$L35/10000),4)&amp;"/"&amp;RIGHT("00"&amp;INT(MOD(Sync!$L35,10000)/100),2)&amp;"/"&amp;RIGHT("00"&amp;MOD(Sync!$L35,100),2),""),IFERROR(RIGHT("0000"&amp;VALUE(TRIM(LEFT(Sync!$L35,FIND("/",Sync!$L35)-1))),4)&amp;"/"&amp;RIGHT("00"&amp;VALUE(TRIM(LEFT(MID(Sync!$L35,FIND("/",Sync!$L35)+1,20),FIND("/",MID(Sync!$L35,FIND("/",Sync!$L35)+1,20))-1))),2)&amp;"/"&amp;RIGHT("00"&amp;VALUE(TRIM(MID(MID(Sync!$L35,FIND("/",Sync!$L35)+1,20),FIND("/",MID(Sync!$L35,FIND("/",Sync!$L35)+1,20))+1,20))),2),"")))</f>
        <v/>
      </c>
    </row>
    <row r="36">
      <c r="A36">
        <f>IF(Issues!$B39="","",Issues!$B39)</f>
        <v/>
      </c>
      <c r="B36">
        <f>IF($A36="","",IF(ISNUMBER(Issues!$C39),IF(AND(Issues!$C39&gt;=10000101,Issues!$C39&lt;=99991231),INT(Issues!$C39/10000),""),IFERROR(VALUE(TRIM(LEFT(Issues!$C39,FIND("/",Issues!$C39)-1))),"")))</f>
        <v/>
      </c>
      <c r="C36">
        <f>IF(OR($A36="",$B36=""),"",IF(ISNUMBER(Issues!$C39),INT(MOD(Issues!$C39,10000)/100),IFERROR(VALUE(TRIM(LEFT(MID(Issues!$C39,FIND("/",Issues!$C39)+1,20),FIND("/",MID(Issues!$C39,FIND("/",Issues!$C39)+1,20))-1))),"")))</f>
        <v/>
      </c>
      <c r="D36">
        <f>IF(OR($A36="",$B36=""),"",IF(ISNUMBER(Issues!$C39),MOD(Issues!$C39,100),IFERROR(VALUE(TRIM(MID(MID(Issues!$C39,FIND("/",Issues!$C39)+1,20),FIND("/",MID(Issues!$C39,FIND("/",Issues!$C39)+1,20))+1,20))),"")))</f>
        <v/>
      </c>
      <c r="E36">
        <f>IF($A36="","",IF(OR($B36="",$C36="",$D36="",$B36&lt;1300,$B36&gt;1500,$C36&lt;1,$C36&gt;12,$D36&lt;1,$D36&gt;31),"نامعتبر",RIGHT("0000"&amp;$B36,4)&amp;"/"&amp;RIGHT("00"&amp;$C36,2)&amp;"/"&amp;RIGHT("00"&amp;$D36,2)))</f>
        <v/>
      </c>
      <c r="F36">
        <f>IF($A36="","",IF(Issues!$D39="",0,Issues!$D39))</f>
        <v/>
      </c>
      <c r="G36">
        <f>IF($A36="","",Issues!$E39)</f>
        <v/>
      </c>
      <c r="H36">
        <f>IF($A36="","",IF(COUNTIFS(ETxnType,"پاس چک",ETxnChk,$A36)&gt;0,"پاس شده","پاس نشده"))</f>
        <v/>
      </c>
      <c r="I36">
        <f>IF($A36="","",IFERROR(INDEX(BClrDate,MATCH($A36,BClrChk,0)),""))</f>
        <v/>
      </c>
      <c r="J36">
        <f>IF($A36="","",Issues!$G39)</f>
        <v/>
      </c>
      <c r="K36">
        <f>IF(OR($E36="",$E36="نامعتبر"),"",LEFT($E36,4)&amp;MID($E36,6,2)&amp;RIGHT($E36,2)&amp;"|"&amp;RIGHT("00000"&amp;31,5))</f>
        <v/>
      </c>
      <c r="M36">
        <f>IF(Sync!$M36&lt;&gt;"پاس چک","",IF(Sync!$P36="","",Sync!$P36))</f>
        <v/>
      </c>
      <c r="N36">
        <f>IF($M36="","",IF(ISNUMBER(Sync!$L36),IF(AND(Sync!$L36&gt;=10000101,Sync!$L36&lt;=99991231),RIGHT("0000"&amp;INT(Sync!$L36/10000),4)&amp;"/"&amp;RIGHT("00"&amp;INT(MOD(Sync!$L36,10000)/100),2)&amp;"/"&amp;RIGHT("00"&amp;MOD(Sync!$L36,100),2),""),IFERROR(RIGHT("0000"&amp;VALUE(TRIM(LEFT(Sync!$L36,FIND("/",Sync!$L36)-1))),4)&amp;"/"&amp;RIGHT("00"&amp;VALUE(TRIM(LEFT(MID(Sync!$L36,FIND("/",Sync!$L36)+1,20),FIND("/",MID(Sync!$L36,FIND("/",Sync!$L36)+1,20))-1))),2)&amp;"/"&amp;RIGHT("00"&amp;VALUE(TRIM(MID(MID(Sync!$L36,FIND("/",Sync!$L36)+1,20),FIND("/",MID(Sync!$L36,FIND("/",Sync!$L36)+1,20))+1,20))),2),"")))</f>
        <v/>
      </c>
    </row>
    <row r="37">
      <c r="A37">
        <f>IF(Issues!$B40="","",Issues!$B40)</f>
        <v/>
      </c>
      <c r="B37">
        <f>IF($A37="","",IF(ISNUMBER(Issues!$C40),IF(AND(Issues!$C40&gt;=10000101,Issues!$C40&lt;=99991231),INT(Issues!$C40/10000),""),IFERROR(VALUE(TRIM(LEFT(Issues!$C40,FIND("/",Issues!$C40)-1))),"")))</f>
        <v/>
      </c>
      <c r="C37">
        <f>IF(OR($A37="",$B37=""),"",IF(ISNUMBER(Issues!$C40),INT(MOD(Issues!$C40,10000)/100),IFERROR(VALUE(TRIM(LEFT(MID(Issues!$C40,FIND("/",Issues!$C40)+1,20),FIND("/",MID(Issues!$C40,FIND("/",Issues!$C40)+1,20))-1))),"")))</f>
        <v/>
      </c>
      <c r="D37">
        <f>IF(OR($A37="",$B37=""),"",IF(ISNUMBER(Issues!$C40),MOD(Issues!$C40,100),IFERROR(VALUE(TRIM(MID(MID(Issues!$C40,FIND("/",Issues!$C40)+1,20),FIND("/",MID(Issues!$C40,FIND("/",Issues!$C40)+1,20))+1,20))),"")))</f>
        <v/>
      </c>
      <c r="E37">
        <f>IF($A37="","",IF(OR($B37="",$C37="",$D37="",$B37&lt;1300,$B37&gt;1500,$C37&lt;1,$C37&gt;12,$D37&lt;1,$D37&gt;31),"نامعتبر",RIGHT("0000"&amp;$B37,4)&amp;"/"&amp;RIGHT("00"&amp;$C37,2)&amp;"/"&amp;RIGHT("00"&amp;$D37,2)))</f>
        <v/>
      </c>
      <c r="F37">
        <f>IF($A37="","",IF(Issues!$D40="",0,Issues!$D40))</f>
        <v/>
      </c>
      <c r="G37">
        <f>IF($A37="","",Issues!$E40)</f>
        <v/>
      </c>
      <c r="H37">
        <f>IF($A37="","",IF(COUNTIFS(ETxnType,"پاس چک",ETxnChk,$A37)&gt;0,"پاس شده","پاس نشده"))</f>
        <v/>
      </c>
      <c r="I37">
        <f>IF($A37="","",IFERROR(INDEX(BClrDate,MATCH($A37,BClrChk,0)),""))</f>
        <v/>
      </c>
      <c r="J37">
        <f>IF($A37="","",Issues!$G40)</f>
        <v/>
      </c>
      <c r="K37">
        <f>IF(OR($E37="",$E37="نامعتبر"),"",LEFT($E37,4)&amp;MID($E37,6,2)&amp;RIGHT($E37,2)&amp;"|"&amp;RIGHT("00000"&amp;32,5))</f>
        <v/>
      </c>
      <c r="M37">
        <f>IF(Sync!$M37&lt;&gt;"پاس چک","",IF(Sync!$P37="","",Sync!$P37))</f>
        <v/>
      </c>
      <c r="N37">
        <f>IF($M37="","",IF(ISNUMBER(Sync!$L37),IF(AND(Sync!$L37&gt;=10000101,Sync!$L37&lt;=99991231),RIGHT("0000"&amp;INT(Sync!$L37/10000),4)&amp;"/"&amp;RIGHT("00"&amp;INT(MOD(Sync!$L37,10000)/100),2)&amp;"/"&amp;RIGHT("00"&amp;MOD(Sync!$L37,100),2),""),IFERROR(RIGHT("0000"&amp;VALUE(TRIM(LEFT(Sync!$L37,FIND("/",Sync!$L37)-1))),4)&amp;"/"&amp;RIGHT("00"&amp;VALUE(TRIM(LEFT(MID(Sync!$L37,FIND("/",Sync!$L37)+1,20),FIND("/",MID(Sync!$L37,FIND("/",Sync!$L37)+1,20))-1))),2)&amp;"/"&amp;RIGHT("00"&amp;VALUE(TRIM(MID(MID(Sync!$L37,FIND("/",Sync!$L37)+1,20),FIND("/",MID(Sync!$L37,FIND("/",Sync!$L37)+1,20))+1,20))),2),"")))</f>
        <v/>
      </c>
    </row>
    <row r="38">
      <c r="A38">
        <f>IF(Issues!$B41="","",Issues!$B41)</f>
        <v/>
      </c>
      <c r="B38">
        <f>IF($A38="","",IF(ISNUMBER(Issues!$C41),IF(AND(Issues!$C41&gt;=10000101,Issues!$C41&lt;=99991231),INT(Issues!$C41/10000),""),IFERROR(VALUE(TRIM(LEFT(Issues!$C41,FIND("/",Issues!$C41)-1))),"")))</f>
        <v/>
      </c>
      <c r="C38">
        <f>IF(OR($A38="",$B38=""),"",IF(ISNUMBER(Issues!$C41),INT(MOD(Issues!$C41,10000)/100),IFERROR(VALUE(TRIM(LEFT(MID(Issues!$C41,FIND("/",Issues!$C41)+1,20),FIND("/",MID(Issues!$C41,FIND("/",Issues!$C41)+1,20))-1))),"")))</f>
        <v/>
      </c>
      <c r="D38">
        <f>IF(OR($A38="",$B38=""),"",IF(ISNUMBER(Issues!$C41),MOD(Issues!$C41,100),IFERROR(VALUE(TRIM(MID(MID(Issues!$C41,FIND("/",Issues!$C41)+1,20),FIND("/",MID(Issues!$C41,FIND("/",Issues!$C41)+1,20))+1,20))),"")))</f>
        <v/>
      </c>
      <c r="E38">
        <f>IF($A38="","",IF(OR($B38="",$C38="",$D38="",$B38&lt;1300,$B38&gt;1500,$C38&lt;1,$C38&gt;12,$D38&lt;1,$D38&gt;31),"نامعتبر",RIGHT("0000"&amp;$B38,4)&amp;"/"&amp;RIGHT("00"&amp;$C38,2)&amp;"/"&amp;RIGHT("00"&amp;$D38,2)))</f>
        <v/>
      </c>
      <c r="F38">
        <f>IF($A38="","",IF(Issues!$D41="",0,Issues!$D41))</f>
        <v/>
      </c>
      <c r="G38">
        <f>IF($A38="","",Issues!$E41)</f>
        <v/>
      </c>
      <c r="H38">
        <f>IF($A38="","",IF(COUNTIFS(ETxnType,"پاس چک",ETxnChk,$A38)&gt;0,"پاس شده","پاس نشده"))</f>
        <v/>
      </c>
      <c r="I38">
        <f>IF($A38="","",IFERROR(INDEX(BClrDate,MATCH($A38,BClrChk,0)),""))</f>
        <v/>
      </c>
      <c r="J38">
        <f>IF($A38="","",Issues!$G41)</f>
        <v/>
      </c>
      <c r="K38">
        <f>IF(OR($E38="",$E38="نامعتبر"),"",LEFT($E38,4)&amp;MID($E38,6,2)&amp;RIGHT($E38,2)&amp;"|"&amp;RIGHT("00000"&amp;33,5))</f>
        <v/>
      </c>
      <c r="M38">
        <f>IF(Sync!$M38&lt;&gt;"پاس چک","",IF(Sync!$P38="","",Sync!$P38))</f>
        <v/>
      </c>
      <c r="N38">
        <f>IF($M38="","",IF(ISNUMBER(Sync!$L38),IF(AND(Sync!$L38&gt;=10000101,Sync!$L38&lt;=99991231),RIGHT("0000"&amp;INT(Sync!$L38/10000),4)&amp;"/"&amp;RIGHT("00"&amp;INT(MOD(Sync!$L38,10000)/100),2)&amp;"/"&amp;RIGHT("00"&amp;MOD(Sync!$L38,100),2),""),IFERROR(RIGHT("0000"&amp;VALUE(TRIM(LEFT(Sync!$L38,FIND("/",Sync!$L38)-1))),4)&amp;"/"&amp;RIGHT("00"&amp;VALUE(TRIM(LEFT(MID(Sync!$L38,FIND("/",Sync!$L38)+1,20),FIND("/",MID(Sync!$L38,FIND("/",Sync!$L38)+1,20))-1))),2)&amp;"/"&amp;RIGHT("00"&amp;VALUE(TRIM(MID(MID(Sync!$L38,FIND("/",Sync!$L38)+1,20),FIND("/",MID(Sync!$L38,FIND("/",Sync!$L38)+1,20))+1,20))),2),"")))</f>
        <v/>
      </c>
    </row>
    <row r="39">
      <c r="A39">
        <f>IF(Issues!$B42="","",Issues!$B42)</f>
        <v/>
      </c>
      <c r="B39">
        <f>IF($A39="","",IF(ISNUMBER(Issues!$C42),IF(AND(Issues!$C42&gt;=10000101,Issues!$C42&lt;=99991231),INT(Issues!$C42/10000),""),IFERROR(VALUE(TRIM(LEFT(Issues!$C42,FIND("/",Issues!$C42)-1))),"")))</f>
        <v/>
      </c>
      <c r="C39">
        <f>IF(OR($A39="",$B39=""),"",IF(ISNUMBER(Issues!$C42),INT(MOD(Issues!$C42,10000)/100),IFERROR(VALUE(TRIM(LEFT(MID(Issues!$C42,FIND("/",Issues!$C42)+1,20),FIND("/",MID(Issues!$C42,FIND("/",Issues!$C42)+1,20))-1))),"")))</f>
        <v/>
      </c>
      <c r="D39">
        <f>IF(OR($A39="",$B39=""),"",IF(ISNUMBER(Issues!$C42),MOD(Issues!$C42,100),IFERROR(VALUE(TRIM(MID(MID(Issues!$C42,FIND("/",Issues!$C42)+1,20),FIND("/",MID(Issues!$C42,FIND("/",Issues!$C42)+1,20))+1,20))),"")))</f>
        <v/>
      </c>
      <c r="E39">
        <f>IF($A39="","",IF(OR($B39="",$C39="",$D39="",$B39&lt;1300,$B39&gt;1500,$C39&lt;1,$C39&gt;12,$D39&lt;1,$D39&gt;31),"نامعتبر",RIGHT("0000"&amp;$B39,4)&amp;"/"&amp;RIGHT("00"&amp;$C39,2)&amp;"/"&amp;RIGHT("00"&amp;$D39,2)))</f>
        <v/>
      </c>
      <c r="F39">
        <f>IF($A39="","",IF(Issues!$D42="",0,Issues!$D42))</f>
        <v/>
      </c>
      <c r="G39">
        <f>IF($A39="","",Issues!$E42)</f>
        <v/>
      </c>
      <c r="H39">
        <f>IF($A39="","",IF(COUNTIFS(ETxnType,"پاس چک",ETxnChk,$A39)&gt;0,"پاس شده","پاس نشده"))</f>
        <v/>
      </c>
      <c r="I39">
        <f>IF($A39="","",IFERROR(INDEX(BClrDate,MATCH($A39,BClrChk,0)),""))</f>
        <v/>
      </c>
      <c r="J39">
        <f>IF($A39="","",Issues!$G42)</f>
        <v/>
      </c>
      <c r="K39">
        <f>IF(OR($E39="",$E39="نامعتبر"),"",LEFT($E39,4)&amp;MID($E39,6,2)&amp;RIGHT($E39,2)&amp;"|"&amp;RIGHT("00000"&amp;34,5))</f>
        <v/>
      </c>
      <c r="M39">
        <f>IF(Sync!$M39&lt;&gt;"پاس چک","",IF(Sync!$P39="","",Sync!$P39))</f>
        <v/>
      </c>
      <c r="N39">
        <f>IF($M39="","",IF(ISNUMBER(Sync!$L39),IF(AND(Sync!$L39&gt;=10000101,Sync!$L39&lt;=99991231),RIGHT("0000"&amp;INT(Sync!$L39/10000),4)&amp;"/"&amp;RIGHT("00"&amp;INT(MOD(Sync!$L39,10000)/100),2)&amp;"/"&amp;RIGHT("00"&amp;MOD(Sync!$L39,100),2),""),IFERROR(RIGHT("0000"&amp;VALUE(TRIM(LEFT(Sync!$L39,FIND("/",Sync!$L39)-1))),4)&amp;"/"&amp;RIGHT("00"&amp;VALUE(TRIM(LEFT(MID(Sync!$L39,FIND("/",Sync!$L39)+1,20),FIND("/",MID(Sync!$L39,FIND("/",Sync!$L39)+1,20))-1))),2)&amp;"/"&amp;RIGHT("00"&amp;VALUE(TRIM(MID(MID(Sync!$L39,FIND("/",Sync!$L39)+1,20),FIND("/",MID(Sync!$L39,FIND("/",Sync!$L39)+1,20))+1,20))),2),"")))</f>
        <v/>
      </c>
    </row>
    <row r="40">
      <c r="A40">
        <f>IF(Issues!$B43="","",Issues!$B43)</f>
        <v/>
      </c>
      <c r="B40">
        <f>IF($A40="","",IF(ISNUMBER(Issues!$C43),IF(AND(Issues!$C43&gt;=10000101,Issues!$C43&lt;=99991231),INT(Issues!$C43/10000),""),IFERROR(VALUE(TRIM(LEFT(Issues!$C43,FIND("/",Issues!$C43)-1))),"")))</f>
        <v/>
      </c>
      <c r="C40">
        <f>IF(OR($A40="",$B40=""),"",IF(ISNUMBER(Issues!$C43),INT(MOD(Issues!$C43,10000)/100),IFERROR(VALUE(TRIM(LEFT(MID(Issues!$C43,FIND("/",Issues!$C43)+1,20),FIND("/",MID(Issues!$C43,FIND("/",Issues!$C43)+1,20))-1))),"")))</f>
        <v/>
      </c>
      <c r="D40">
        <f>IF(OR($A40="",$B40=""),"",IF(ISNUMBER(Issues!$C43),MOD(Issues!$C43,100),IFERROR(VALUE(TRIM(MID(MID(Issues!$C43,FIND("/",Issues!$C43)+1,20),FIND("/",MID(Issues!$C43,FIND("/",Issues!$C43)+1,20))+1,20))),"")))</f>
        <v/>
      </c>
      <c r="E40">
        <f>IF($A40="","",IF(OR($B40="",$C40="",$D40="",$B40&lt;1300,$B40&gt;1500,$C40&lt;1,$C40&gt;12,$D40&lt;1,$D40&gt;31),"نامعتبر",RIGHT("0000"&amp;$B40,4)&amp;"/"&amp;RIGHT("00"&amp;$C40,2)&amp;"/"&amp;RIGHT("00"&amp;$D40,2)))</f>
        <v/>
      </c>
      <c r="F40">
        <f>IF($A40="","",IF(Issues!$D43="",0,Issues!$D43))</f>
        <v/>
      </c>
      <c r="G40">
        <f>IF($A40="","",Issues!$E43)</f>
        <v/>
      </c>
      <c r="H40">
        <f>IF($A40="","",IF(COUNTIFS(ETxnType,"پاس چک",ETxnChk,$A40)&gt;0,"پاس شده","پاس نشده"))</f>
        <v/>
      </c>
      <c r="I40">
        <f>IF($A40="","",IFERROR(INDEX(BClrDate,MATCH($A40,BClrChk,0)),""))</f>
        <v/>
      </c>
      <c r="J40">
        <f>IF($A40="","",Issues!$G43)</f>
        <v/>
      </c>
      <c r="K40">
        <f>IF(OR($E40="",$E40="نامعتبر"),"",LEFT($E40,4)&amp;MID($E40,6,2)&amp;RIGHT($E40,2)&amp;"|"&amp;RIGHT("00000"&amp;35,5))</f>
        <v/>
      </c>
      <c r="M40">
        <f>IF(Sync!$M40&lt;&gt;"پاس چک","",IF(Sync!$P40="","",Sync!$P40))</f>
        <v/>
      </c>
      <c r="N40">
        <f>IF($M40="","",IF(ISNUMBER(Sync!$L40),IF(AND(Sync!$L40&gt;=10000101,Sync!$L40&lt;=99991231),RIGHT("0000"&amp;INT(Sync!$L40/10000),4)&amp;"/"&amp;RIGHT("00"&amp;INT(MOD(Sync!$L40,10000)/100),2)&amp;"/"&amp;RIGHT("00"&amp;MOD(Sync!$L40,100),2),""),IFERROR(RIGHT("0000"&amp;VALUE(TRIM(LEFT(Sync!$L40,FIND("/",Sync!$L40)-1))),4)&amp;"/"&amp;RIGHT("00"&amp;VALUE(TRIM(LEFT(MID(Sync!$L40,FIND("/",Sync!$L40)+1,20),FIND("/",MID(Sync!$L40,FIND("/",Sync!$L40)+1,20))-1))),2)&amp;"/"&amp;RIGHT("00"&amp;VALUE(TRIM(MID(MID(Sync!$L40,FIND("/",Sync!$L40)+1,20),FIND("/",MID(Sync!$L40,FIND("/",Sync!$L40)+1,20))+1,20))),2),"")))</f>
        <v/>
      </c>
    </row>
    <row r="41">
      <c r="A41">
        <f>IF(Issues!$B44="","",Issues!$B44)</f>
        <v/>
      </c>
      <c r="B41">
        <f>IF($A41="","",IF(ISNUMBER(Issues!$C44),IF(AND(Issues!$C44&gt;=10000101,Issues!$C44&lt;=99991231),INT(Issues!$C44/10000),""),IFERROR(VALUE(TRIM(LEFT(Issues!$C44,FIND("/",Issues!$C44)-1))),"")))</f>
        <v/>
      </c>
      <c r="C41">
        <f>IF(OR($A41="",$B41=""),"",IF(ISNUMBER(Issues!$C44),INT(MOD(Issues!$C44,10000)/100),IFERROR(VALUE(TRIM(LEFT(MID(Issues!$C44,FIND("/",Issues!$C44)+1,20),FIND("/",MID(Issues!$C44,FIND("/",Issues!$C44)+1,20))-1))),"")))</f>
        <v/>
      </c>
      <c r="D41">
        <f>IF(OR($A41="",$B41=""),"",IF(ISNUMBER(Issues!$C44),MOD(Issues!$C44,100),IFERROR(VALUE(TRIM(MID(MID(Issues!$C44,FIND("/",Issues!$C44)+1,20),FIND("/",MID(Issues!$C44,FIND("/",Issues!$C44)+1,20))+1,20))),"")))</f>
        <v/>
      </c>
      <c r="E41">
        <f>IF($A41="","",IF(OR($B41="",$C41="",$D41="",$B41&lt;1300,$B41&gt;1500,$C41&lt;1,$C41&gt;12,$D41&lt;1,$D41&gt;31),"نامعتبر",RIGHT("0000"&amp;$B41,4)&amp;"/"&amp;RIGHT("00"&amp;$C41,2)&amp;"/"&amp;RIGHT("00"&amp;$D41,2)))</f>
        <v/>
      </c>
      <c r="F41">
        <f>IF($A41="","",IF(Issues!$D44="",0,Issues!$D44))</f>
        <v/>
      </c>
      <c r="G41">
        <f>IF($A41="","",Issues!$E44)</f>
        <v/>
      </c>
      <c r="H41">
        <f>IF($A41="","",IF(COUNTIFS(ETxnType,"پاس چک",ETxnChk,$A41)&gt;0,"پاس شده","پاس نشده"))</f>
        <v/>
      </c>
      <c r="I41">
        <f>IF($A41="","",IFERROR(INDEX(BClrDate,MATCH($A41,BClrChk,0)),""))</f>
        <v/>
      </c>
      <c r="J41">
        <f>IF($A41="","",Issues!$G44)</f>
        <v/>
      </c>
      <c r="K41">
        <f>IF(OR($E41="",$E41="نامعتبر"),"",LEFT($E41,4)&amp;MID($E41,6,2)&amp;RIGHT($E41,2)&amp;"|"&amp;RIGHT("00000"&amp;36,5))</f>
        <v/>
      </c>
      <c r="M41">
        <f>IF(Sync!$M41&lt;&gt;"پاس چک","",IF(Sync!$P41="","",Sync!$P41))</f>
        <v/>
      </c>
      <c r="N41">
        <f>IF($M41="","",IF(ISNUMBER(Sync!$L41),IF(AND(Sync!$L41&gt;=10000101,Sync!$L41&lt;=99991231),RIGHT("0000"&amp;INT(Sync!$L41/10000),4)&amp;"/"&amp;RIGHT("00"&amp;INT(MOD(Sync!$L41,10000)/100),2)&amp;"/"&amp;RIGHT("00"&amp;MOD(Sync!$L41,100),2),""),IFERROR(RIGHT("0000"&amp;VALUE(TRIM(LEFT(Sync!$L41,FIND("/",Sync!$L41)-1))),4)&amp;"/"&amp;RIGHT("00"&amp;VALUE(TRIM(LEFT(MID(Sync!$L41,FIND("/",Sync!$L41)+1,20),FIND("/",MID(Sync!$L41,FIND("/",Sync!$L41)+1,20))-1))),2)&amp;"/"&amp;RIGHT("00"&amp;VALUE(TRIM(MID(MID(Sync!$L41,FIND("/",Sync!$L41)+1,20),FIND("/",MID(Sync!$L41,FIND("/",Sync!$L41)+1,20))+1,20))),2),"")))</f>
        <v/>
      </c>
    </row>
    <row r="42">
      <c r="A42">
        <f>IF(Issues!$B45="","",Issues!$B45)</f>
        <v/>
      </c>
      <c r="B42">
        <f>IF($A42="","",IF(ISNUMBER(Issues!$C45),IF(AND(Issues!$C45&gt;=10000101,Issues!$C45&lt;=99991231),INT(Issues!$C45/10000),""),IFERROR(VALUE(TRIM(LEFT(Issues!$C45,FIND("/",Issues!$C45)-1))),"")))</f>
        <v/>
      </c>
      <c r="C42">
        <f>IF(OR($A42="",$B42=""),"",IF(ISNUMBER(Issues!$C45),INT(MOD(Issues!$C45,10000)/100),IFERROR(VALUE(TRIM(LEFT(MID(Issues!$C45,FIND("/",Issues!$C45)+1,20),FIND("/",MID(Issues!$C45,FIND("/",Issues!$C45)+1,20))-1))),"")))</f>
        <v/>
      </c>
      <c r="D42">
        <f>IF(OR($A42="",$B42=""),"",IF(ISNUMBER(Issues!$C45),MOD(Issues!$C45,100),IFERROR(VALUE(TRIM(MID(MID(Issues!$C45,FIND("/",Issues!$C45)+1,20),FIND("/",MID(Issues!$C45,FIND("/",Issues!$C45)+1,20))+1,20))),"")))</f>
        <v/>
      </c>
      <c r="E42">
        <f>IF($A42="","",IF(OR($B42="",$C42="",$D42="",$B42&lt;1300,$B42&gt;1500,$C42&lt;1,$C42&gt;12,$D42&lt;1,$D42&gt;31),"نامعتبر",RIGHT("0000"&amp;$B42,4)&amp;"/"&amp;RIGHT("00"&amp;$C42,2)&amp;"/"&amp;RIGHT("00"&amp;$D42,2)))</f>
        <v/>
      </c>
      <c r="F42">
        <f>IF($A42="","",IF(Issues!$D45="",0,Issues!$D45))</f>
        <v/>
      </c>
      <c r="G42">
        <f>IF($A42="","",Issues!$E45)</f>
        <v/>
      </c>
      <c r="H42">
        <f>IF($A42="","",IF(COUNTIFS(ETxnType,"پاس چک",ETxnChk,$A42)&gt;0,"پاس شده","پاس نشده"))</f>
        <v/>
      </c>
      <c r="I42">
        <f>IF($A42="","",IFERROR(INDEX(BClrDate,MATCH($A42,BClrChk,0)),""))</f>
        <v/>
      </c>
      <c r="J42">
        <f>IF($A42="","",Issues!$G45)</f>
        <v/>
      </c>
      <c r="K42">
        <f>IF(OR($E42="",$E42="نامعتبر"),"",LEFT($E42,4)&amp;MID($E42,6,2)&amp;RIGHT($E42,2)&amp;"|"&amp;RIGHT("00000"&amp;37,5))</f>
        <v/>
      </c>
      <c r="M42">
        <f>IF(Sync!$M42&lt;&gt;"پاس چک","",IF(Sync!$P42="","",Sync!$P42))</f>
        <v/>
      </c>
      <c r="N42">
        <f>IF($M42="","",IF(ISNUMBER(Sync!$L42),IF(AND(Sync!$L42&gt;=10000101,Sync!$L42&lt;=99991231),RIGHT("0000"&amp;INT(Sync!$L42/10000),4)&amp;"/"&amp;RIGHT("00"&amp;INT(MOD(Sync!$L42,10000)/100),2)&amp;"/"&amp;RIGHT("00"&amp;MOD(Sync!$L42,100),2),""),IFERROR(RIGHT("0000"&amp;VALUE(TRIM(LEFT(Sync!$L42,FIND("/",Sync!$L42)-1))),4)&amp;"/"&amp;RIGHT("00"&amp;VALUE(TRIM(LEFT(MID(Sync!$L42,FIND("/",Sync!$L42)+1,20),FIND("/",MID(Sync!$L42,FIND("/",Sync!$L42)+1,20))-1))),2)&amp;"/"&amp;RIGHT("00"&amp;VALUE(TRIM(MID(MID(Sync!$L42,FIND("/",Sync!$L42)+1,20),FIND("/",MID(Sync!$L42,FIND("/",Sync!$L42)+1,20))+1,20))),2),"")))</f>
        <v/>
      </c>
    </row>
    <row r="43">
      <c r="A43">
        <f>IF(Issues!$B46="","",Issues!$B46)</f>
        <v/>
      </c>
      <c r="B43">
        <f>IF($A43="","",IF(ISNUMBER(Issues!$C46),IF(AND(Issues!$C46&gt;=10000101,Issues!$C46&lt;=99991231),INT(Issues!$C46/10000),""),IFERROR(VALUE(TRIM(LEFT(Issues!$C46,FIND("/",Issues!$C46)-1))),"")))</f>
        <v/>
      </c>
      <c r="C43">
        <f>IF(OR($A43="",$B43=""),"",IF(ISNUMBER(Issues!$C46),INT(MOD(Issues!$C46,10000)/100),IFERROR(VALUE(TRIM(LEFT(MID(Issues!$C46,FIND("/",Issues!$C46)+1,20),FIND("/",MID(Issues!$C46,FIND("/",Issues!$C46)+1,20))-1))),"")))</f>
        <v/>
      </c>
      <c r="D43">
        <f>IF(OR($A43="",$B43=""),"",IF(ISNUMBER(Issues!$C46),MOD(Issues!$C46,100),IFERROR(VALUE(TRIM(MID(MID(Issues!$C46,FIND("/",Issues!$C46)+1,20),FIND("/",MID(Issues!$C46,FIND("/",Issues!$C46)+1,20))+1,20))),"")))</f>
        <v/>
      </c>
      <c r="E43">
        <f>IF($A43="","",IF(OR($B43="",$C43="",$D43="",$B43&lt;1300,$B43&gt;1500,$C43&lt;1,$C43&gt;12,$D43&lt;1,$D43&gt;31),"نامعتبر",RIGHT("0000"&amp;$B43,4)&amp;"/"&amp;RIGHT("00"&amp;$C43,2)&amp;"/"&amp;RIGHT("00"&amp;$D43,2)))</f>
        <v/>
      </c>
      <c r="F43">
        <f>IF($A43="","",IF(Issues!$D46="",0,Issues!$D46))</f>
        <v/>
      </c>
      <c r="G43">
        <f>IF($A43="","",Issues!$E46)</f>
        <v/>
      </c>
      <c r="H43">
        <f>IF($A43="","",IF(COUNTIFS(ETxnType,"پاس چک",ETxnChk,$A43)&gt;0,"پاس شده","پاس نشده"))</f>
        <v/>
      </c>
      <c r="I43">
        <f>IF($A43="","",IFERROR(INDEX(BClrDate,MATCH($A43,BClrChk,0)),""))</f>
        <v/>
      </c>
      <c r="J43">
        <f>IF($A43="","",Issues!$G46)</f>
        <v/>
      </c>
      <c r="K43">
        <f>IF(OR($E43="",$E43="نامعتبر"),"",LEFT($E43,4)&amp;MID($E43,6,2)&amp;RIGHT($E43,2)&amp;"|"&amp;RIGHT("00000"&amp;38,5))</f>
        <v/>
      </c>
      <c r="M43">
        <f>IF(Sync!$M43&lt;&gt;"پاس چک","",IF(Sync!$P43="","",Sync!$P43))</f>
        <v/>
      </c>
      <c r="N43">
        <f>IF($M43="","",IF(ISNUMBER(Sync!$L43),IF(AND(Sync!$L43&gt;=10000101,Sync!$L43&lt;=99991231),RIGHT("0000"&amp;INT(Sync!$L43/10000),4)&amp;"/"&amp;RIGHT("00"&amp;INT(MOD(Sync!$L43,10000)/100),2)&amp;"/"&amp;RIGHT("00"&amp;MOD(Sync!$L43,100),2),""),IFERROR(RIGHT("0000"&amp;VALUE(TRIM(LEFT(Sync!$L43,FIND("/",Sync!$L43)-1))),4)&amp;"/"&amp;RIGHT("00"&amp;VALUE(TRIM(LEFT(MID(Sync!$L43,FIND("/",Sync!$L43)+1,20),FIND("/",MID(Sync!$L43,FIND("/",Sync!$L43)+1,20))-1))),2)&amp;"/"&amp;RIGHT("00"&amp;VALUE(TRIM(MID(MID(Sync!$L43,FIND("/",Sync!$L43)+1,20),FIND("/",MID(Sync!$L43,FIND("/",Sync!$L43)+1,20))+1,20))),2),"")))</f>
        <v/>
      </c>
    </row>
    <row r="44">
      <c r="A44">
        <f>IF(Issues!$B47="","",Issues!$B47)</f>
        <v/>
      </c>
      <c r="B44">
        <f>IF($A44="","",IF(ISNUMBER(Issues!$C47),IF(AND(Issues!$C47&gt;=10000101,Issues!$C47&lt;=99991231),INT(Issues!$C47/10000),""),IFERROR(VALUE(TRIM(LEFT(Issues!$C47,FIND("/",Issues!$C47)-1))),"")))</f>
        <v/>
      </c>
      <c r="C44">
        <f>IF(OR($A44="",$B44=""),"",IF(ISNUMBER(Issues!$C47),INT(MOD(Issues!$C47,10000)/100),IFERROR(VALUE(TRIM(LEFT(MID(Issues!$C47,FIND("/",Issues!$C47)+1,20),FIND("/",MID(Issues!$C47,FIND("/",Issues!$C47)+1,20))-1))),"")))</f>
        <v/>
      </c>
      <c r="D44">
        <f>IF(OR($A44="",$B44=""),"",IF(ISNUMBER(Issues!$C47),MOD(Issues!$C47,100),IFERROR(VALUE(TRIM(MID(MID(Issues!$C47,FIND("/",Issues!$C47)+1,20),FIND("/",MID(Issues!$C47,FIND("/",Issues!$C47)+1,20))+1,20))),"")))</f>
        <v/>
      </c>
      <c r="E44">
        <f>IF($A44="","",IF(OR($B44="",$C44="",$D44="",$B44&lt;1300,$B44&gt;1500,$C44&lt;1,$C44&gt;12,$D44&lt;1,$D44&gt;31),"نامعتبر",RIGHT("0000"&amp;$B44,4)&amp;"/"&amp;RIGHT("00"&amp;$C44,2)&amp;"/"&amp;RIGHT("00"&amp;$D44,2)))</f>
        <v/>
      </c>
      <c r="F44">
        <f>IF($A44="","",IF(Issues!$D47="",0,Issues!$D47))</f>
        <v/>
      </c>
      <c r="G44">
        <f>IF($A44="","",Issues!$E47)</f>
        <v/>
      </c>
      <c r="H44">
        <f>IF($A44="","",IF(COUNTIFS(ETxnType,"پاس چک",ETxnChk,$A44)&gt;0,"پاس شده","پاس نشده"))</f>
        <v/>
      </c>
      <c r="I44">
        <f>IF($A44="","",IFERROR(INDEX(BClrDate,MATCH($A44,BClrChk,0)),""))</f>
        <v/>
      </c>
      <c r="J44">
        <f>IF($A44="","",Issues!$G47)</f>
        <v/>
      </c>
      <c r="K44">
        <f>IF(OR($E44="",$E44="نامعتبر"),"",LEFT($E44,4)&amp;MID($E44,6,2)&amp;RIGHT($E44,2)&amp;"|"&amp;RIGHT("00000"&amp;39,5))</f>
        <v/>
      </c>
      <c r="M44">
        <f>IF(Sync!$M44&lt;&gt;"پاس چک","",IF(Sync!$P44="","",Sync!$P44))</f>
        <v/>
      </c>
      <c r="N44">
        <f>IF($M44="","",IF(ISNUMBER(Sync!$L44),IF(AND(Sync!$L44&gt;=10000101,Sync!$L44&lt;=99991231),RIGHT("0000"&amp;INT(Sync!$L44/10000),4)&amp;"/"&amp;RIGHT("00"&amp;INT(MOD(Sync!$L44,10000)/100),2)&amp;"/"&amp;RIGHT("00"&amp;MOD(Sync!$L44,100),2),""),IFERROR(RIGHT("0000"&amp;VALUE(TRIM(LEFT(Sync!$L44,FIND("/",Sync!$L44)-1))),4)&amp;"/"&amp;RIGHT("00"&amp;VALUE(TRIM(LEFT(MID(Sync!$L44,FIND("/",Sync!$L44)+1,20),FIND("/",MID(Sync!$L44,FIND("/",Sync!$L44)+1,20))-1))),2)&amp;"/"&amp;RIGHT("00"&amp;VALUE(TRIM(MID(MID(Sync!$L44,FIND("/",Sync!$L44)+1,20),FIND("/",MID(Sync!$L44,FIND("/",Sync!$L44)+1,20))+1,20))),2),"")))</f>
        <v/>
      </c>
    </row>
    <row r="45">
      <c r="A45">
        <f>IF(Issues!$B48="","",Issues!$B48)</f>
        <v/>
      </c>
      <c r="B45">
        <f>IF($A45="","",IF(ISNUMBER(Issues!$C48),IF(AND(Issues!$C48&gt;=10000101,Issues!$C48&lt;=99991231),INT(Issues!$C48/10000),""),IFERROR(VALUE(TRIM(LEFT(Issues!$C48,FIND("/",Issues!$C48)-1))),"")))</f>
        <v/>
      </c>
      <c r="C45">
        <f>IF(OR($A45="",$B45=""),"",IF(ISNUMBER(Issues!$C48),INT(MOD(Issues!$C48,10000)/100),IFERROR(VALUE(TRIM(LEFT(MID(Issues!$C48,FIND("/",Issues!$C48)+1,20),FIND("/",MID(Issues!$C48,FIND("/",Issues!$C48)+1,20))-1))),"")))</f>
        <v/>
      </c>
      <c r="D45">
        <f>IF(OR($A45="",$B45=""),"",IF(ISNUMBER(Issues!$C48),MOD(Issues!$C48,100),IFERROR(VALUE(TRIM(MID(MID(Issues!$C48,FIND("/",Issues!$C48)+1,20),FIND("/",MID(Issues!$C48,FIND("/",Issues!$C48)+1,20))+1,20))),"")))</f>
        <v/>
      </c>
      <c r="E45">
        <f>IF($A45="","",IF(OR($B45="",$C45="",$D45="",$B45&lt;1300,$B45&gt;1500,$C45&lt;1,$C45&gt;12,$D45&lt;1,$D45&gt;31),"نامعتبر",RIGHT("0000"&amp;$B45,4)&amp;"/"&amp;RIGHT("00"&amp;$C45,2)&amp;"/"&amp;RIGHT("00"&amp;$D45,2)))</f>
        <v/>
      </c>
      <c r="F45">
        <f>IF($A45="","",IF(Issues!$D48="",0,Issues!$D48))</f>
        <v/>
      </c>
      <c r="G45">
        <f>IF($A45="","",Issues!$E48)</f>
        <v/>
      </c>
      <c r="H45">
        <f>IF($A45="","",IF(COUNTIFS(ETxnType,"پاس چک",ETxnChk,$A45)&gt;0,"پاس شده","پاس نشده"))</f>
        <v/>
      </c>
      <c r="I45">
        <f>IF($A45="","",IFERROR(INDEX(BClrDate,MATCH($A45,BClrChk,0)),""))</f>
        <v/>
      </c>
      <c r="J45">
        <f>IF($A45="","",Issues!$G48)</f>
        <v/>
      </c>
      <c r="K45">
        <f>IF(OR($E45="",$E45="نامعتبر"),"",LEFT($E45,4)&amp;MID($E45,6,2)&amp;RIGHT($E45,2)&amp;"|"&amp;RIGHT("00000"&amp;40,5))</f>
        <v/>
      </c>
      <c r="M45">
        <f>IF(Sync!$M45&lt;&gt;"پاس چک","",IF(Sync!$P45="","",Sync!$P45))</f>
        <v/>
      </c>
      <c r="N45">
        <f>IF($M45="","",IF(ISNUMBER(Sync!$L45),IF(AND(Sync!$L45&gt;=10000101,Sync!$L45&lt;=99991231),RIGHT("0000"&amp;INT(Sync!$L45/10000),4)&amp;"/"&amp;RIGHT("00"&amp;INT(MOD(Sync!$L45,10000)/100),2)&amp;"/"&amp;RIGHT("00"&amp;MOD(Sync!$L45,100),2),""),IFERROR(RIGHT("0000"&amp;VALUE(TRIM(LEFT(Sync!$L45,FIND("/",Sync!$L45)-1))),4)&amp;"/"&amp;RIGHT("00"&amp;VALUE(TRIM(LEFT(MID(Sync!$L45,FIND("/",Sync!$L45)+1,20),FIND("/",MID(Sync!$L45,FIND("/",Sync!$L45)+1,20))-1))),2)&amp;"/"&amp;RIGHT("00"&amp;VALUE(TRIM(MID(MID(Sync!$L45,FIND("/",Sync!$L45)+1,20),FIND("/",MID(Sync!$L45,FIND("/",Sync!$L45)+1,20))+1,20))),2),"")))</f>
        <v/>
      </c>
    </row>
    <row r="46">
      <c r="A46">
        <f>IF(Issues!$B49="","",Issues!$B49)</f>
        <v/>
      </c>
      <c r="B46">
        <f>IF($A46="","",IF(ISNUMBER(Issues!$C49),IF(AND(Issues!$C49&gt;=10000101,Issues!$C49&lt;=99991231),INT(Issues!$C49/10000),""),IFERROR(VALUE(TRIM(LEFT(Issues!$C49,FIND("/",Issues!$C49)-1))),"")))</f>
        <v/>
      </c>
      <c r="C46">
        <f>IF(OR($A46="",$B46=""),"",IF(ISNUMBER(Issues!$C49),INT(MOD(Issues!$C49,10000)/100),IFERROR(VALUE(TRIM(LEFT(MID(Issues!$C49,FIND("/",Issues!$C49)+1,20),FIND("/",MID(Issues!$C49,FIND("/",Issues!$C49)+1,20))-1))),"")))</f>
        <v/>
      </c>
      <c r="D46">
        <f>IF(OR($A46="",$B46=""),"",IF(ISNUMBER(Issues!$C49),MOD(Issues!$C49,100),IFERROR(VALUE(TRIM(MID(MID(Issues!$C49,FIND("/",Issues!$C49)+1,20),FIND("/",MID(Issues!$C49,FIND("/",Issues!$C49)+1,20))+1,20))),"")))</f>
        <v/>
      </c>
      <c r="E46">
        <f>IF($A46="","",IF(OR($B46="",$C46="",$D46="",$B46&lt;1300,$B46&gt;1500,$C46&lt;1,$C46&gt;12,$D46&lt;1,$D46&gt;31),"نامعتبر",RIGHT("0000"&amp;$B46,4)&amp;"/"&amp;RIGHT("00"&amp;$C46,2)&amp;"/"&amp;RIGHT("00"&amp;$D46,2)))</f>
        <v/>
      </c>
      <c r="F46">
        <f>IF($A46="","",IF(Issues!$D49="",0,Issues!$D49))</f>
        <v/>
      </c>
      <c r="G46">
        <f>IF($A46="","",Issues!$E49)</f>
        <v/>
      </c>
      <c r="H46">
        <f>IF($A46="","",IF(COUNTIFS(ETxnType,"پاس چک",ETxnChk,$A46)&gt;0,"پاس شده","پاس نشده"))</f>
        <v/>
      </c>
      <c r="I46">
        <f>IF($A46="","",IFERROR(INDEX(BClrDate,MATCH($A46,BClrChk,0)),""))</f>
        <v/>
      </c>
      <c r="J46">
        <f>IF($A46="","",Issues!$G49)</f>
        <v/>
      </c>
      <c r="K46">
        <f>IF(OR($E46="",$E46="نامعتبر"),"",LEFT($E46,4)&amp;MID($E46,6,2)&amp;RIGHT($E46,2)&amp;"|"&amp;RIGHT("00000"&amp;41,5))</f>
        <v/>
      </c>
      <c r="M46">
        <f>IF(Sync!$M46&lt;&gt;"پاس چک","",IF(Sync!$P46="","",Sync!$P46))</f>
        <v/>
      </c>
      <c r="N46">
        <f>IF($M46="","",IF(ISNUMBER(Sync!$L46),IF(AND(Sync!$L46&gt;=10000101,Sync!$L46&lt;=99991231),RIGHT("0000"&amp;INT(Sync!$L46/10000),4)&amp;"/"&amp;RIGHT("00"&amp;INT(MOD(Sync!$L46,10000)/100),2)&amp;"/"&amp;RIGHT("00"&amp;MOD(Sync!$L46,100),2),""),IFERROR(RIGHT("0000"&amp;VALUE(TRIM(LEFT(Sync!$L46,FIND("/",Sync!$L46)-1))),4)&amp;"/"&amp;RIGHT("00"&amp;VALUE(TRIM(LEFT(MID(Sync!$L46,FIND("/",Sync!$L46)+1,20),FIND("/",MID(Sync!$L46,FIND("/",Sync!$L46)+1,20))-1))),2)&amp;"/"&amp;RIGHT("00"&amp;VALUE(TRIM(MID(MID(Sync!$L46,FIND("/",Sync!$L46)+1,20),FIND("/",MID(Sync!$L46,FIND("/",Sync!$L46)+1,20))+1,20))),2),"")))</f>
        <v/>
      </c>
    </row>
    <row r="47">
      <c r="A47">
        <f>IF(Issues!$B50="","",Issues!$B50)</f>
        <v/>
      </c>
      <c r="B47">
        <f>IF($A47="","",IF(ISNUMBER(Issues!$C50),IF(AND(Issues!$C50&gt;=10000101,Issues!$C50&lt;=99991231),INT(Issues!$C50/10000),""),IFERROR(VALUE(TRIM(LEFT(Issues!$C50,FIND("/",Issues!$C50)-1))),"")))</f>
        <v/>
      </c>
      <c r="C47">
        <f>IF(OR($A47="",$B47=""),"",IF(ISNUMBER(Issues!$C50),INT(MOD(Issues!$C50,10000)/100),IFERROR(VALUE(TRIM(LEFT(MID(Issues!$C50,FIND("/",Issues!$C50)+1,20),FIND("/",MID(Issues!$C50,FIND("/",Issues!$C50)+1,20))-1))),"")))</f>
        <v/>
      </c>
      <c r="D47">
        <f>IF(OR($A47="",$B47=""),"",IF(ISNUMBER(Issues!$C50),MOD(Issues!$C50,100),IFERROR(VALUE(TRIM(MID(MID(Issues!$C50,FIND("/",Issues!$C50)+1,20),FIND("/",MID(Issues!$C50,FIND("/",Issues!$C50)+1,20))+1,20))),"")))</f>
        <v/>
      </c>
      <c r="E47">
        <f>IF($A47="","",IF(OR($B47="",$C47="",$D47="",$B47&lt;1300,$B47&gt;1500,$C47&lt;1,$C47&gt;12,$D47&lt;1,$D47&gt;31),"نامعتبر",RIGHT("0000"&amp;$B47,4)&amp;"/"&amp;RIGHT("00"&amp;$C47,2)&amp;"/"&amp;RIGHT("00"&amp;$D47,2)))</f>
        <v/>
      </c>
      <c r="F47">
        <f>IF($A47="","",IF(Issues!$D50="",0,Issues!$D50))</f>
        <v/>
      </c>
      <c r="G47">
        <f>IF($A47="","",Issues!$E50)</f>
        <v/>
      </c>
      <c r="H47">
        <f>IF($A47="","",IF(COUNTIFS(ETxnType,"پاس چک",ETxnChk,$A47)&gt;0,"پاس شده","پاس نشده"))</f>
        <v/>
      </c>
      <c r="I47">
        <f>IF($A47="","",IFERROR(INDEX(BClrDate,MATCH($A47,BClrChk,0)),""))</f>
        <v/>
      </c>
      <c r="J47">
        <f>IF($A47="","",Issues!$G50)</f>
        <v/>
      </c>
      <c r="K47">
        <f>IF(OR($E47="",$E47="نامعتبر"),"",LEFT($E47,4)&amp;MID($E47,6,2)&amp;RIGHT($E47,2)&amp;"|"&amp;RIGHT("00000"&amp;42,5))</f>
        <v/>
      </c>
      <c r="M47">
        <f>IF(Sync!$M47&lt;&gt;"پاس چک","",IF(Sync!$P47="","",Sync!$P47))</f>
        <v/>
      </c>
      <c r="N47">
        <f>IF($M47="","",IF(ISNUMBER(Sync!$L47),IF(AND(Sync!$L47&gt;=10000101,Sync!$L47&lt;=99991231),RIGHT("0000"&amp;INT(Sync!$L47/10000),4)&amp;"/"&amp;RIGHT("00"&amp;INT(MOD(Sync!$L47,10000)/100),2)&amp;"/"&amp;RIGHT("00"&amp;MOD(Sync!$L47,100),2),""),IFERROR(RIGHT("0000"&amp;VALUE(TRIM(LEFT(Sync!$L47,FIND("/",Sync!$L47)-1))),4)&amp;"/"&amp;RIGHT("00"&amp;VALUE(TRIM(LEFT(MID(Sync!$L47,FIND("/",Sync!$L47)+1,20),FIND("/",MID(Sync!$L47,FIND("/",Sync!$L47)+1,20))-1))),2)&amp;"/"&amp;RIGHT("00"&amp;VALUE(TRIM(MID(MID(Sync!$L47,FIND("/",Sync!$L47)+1,20),FIND("/",MID(Sync!$L47,FIND("/",Sync!$L47)+1,20))+1,20))),2),"")))</f>
        <v/>
      </c>
    </row>
    <row r="48">
      <c r="A48">
        <f>IF(Issues!$B51="","",Issues!$B51)</f>
        <v/>
      </c>
      <c r="B48">
        <f>IF($A48="","",IF(ISNUMBER(Issues!$C51),IF(AND(Issues!$C51&gt;=10000101,Issues!$C51&lt;=99991231),INT(Issues!$C51/10000),""),IFERROR(VALUE(TRIM(LEFT(Issues!$C51,FIND("/",Issues!$C51)-1))),"")))</f>
        <v/>
      </c>
      <c r="C48">
        <f>IF(OR($A48="",$B48=""),"",IF(ISNUMBER(Issues!$C51),INT(MOD(Issues!$C51,10000)/100),IFERROR(VALUE(TRIM(LEFT(MID(Issues!$C51,FIND("/",Issues!$C51)+1,20),FIND("/",MID(Issues!$C51,FIND("/",Issues!$C51)+1,20))-1))),"")))</f>
        <v/>
      </c>
      <c r="D48">
        <f>IF(OR($A48="",$B48=""),"",IF(ISNUMBER(Issues!$C51),MOD(Issues!$C51,100),IFERROR(VALUE(TRIM(MID(MID(Issues!$C51,FIND("/",Issues!$C51)+1,20),FIND("/",MID(Issues!$C51,FIND("/",Issues!$C51)+1,20))+1,20))),"")))</f>
        <v/>
      </c>
      <c r="E48">
        <f>IF($A48="","",IF(OR($B48="",$C48="",$D48="",$B48&lt;1300,$B48&gt;1500,$C48&lt;1,$C48&gt;12,$D48&lt;1,$D48&gt;31),"نامعتبر",RIGHT("0000"&amp;$B48,4)&amp;"/"&amp;RIGHT("00"&amp;$C48,2)&amp;"/"&amp;RIGHT("00"&amp;$D48,2)))</f>
        <v/>
      </c>
      <c r="F48">
        <f>IF($A48="","",IF(Issues!$D51="",0,Issues!$D51))</f>
        <v/>
      </c>
      <c r="G48">
        <f>IF($A48="","",Issues!$E51)</f>
        <v/>
      </c>
      <c r="H48">
        <f>IF($A48="","",IF(COUNTIFS(ETxnType,"پاس چک",ETxnChk,$A48)&gt;0,"پاس شده","پاس نشده"))</f>
        <v/>
      </c>
      <c r="I48">
        <f>IF($A48="","",IFERROR(INDEX(BClrDate,MATCH($A48,BClrChk,0)),""))</f>
        <v/>
      </c>
      <c r="J48">
        <f>IF($A48="","",Issues!$G51)</f>
        <v/>
      </c>
      <c r="K48">
        <f>IF(OR($E48="",$E48="نامعتبر"),"",LEFT($E48,4)&amp;MID($E48,6,2)&amp;RIGHT($E48,2)&amp;"|"&amp;RIGHT("00000"&amp;43,5))</f>
        <v/>
      </c>
      <c r="M48">
        <f>IF(Sync!$M48&lt;&gt;"پاس چک","",IF(Sync!$P48="","",Sync!$P48))</f>
        <v/>
      </c>
      <c r="N48">
        <f>IF($M48="","",IF(ISNUMBER(Sync!$L48),IF(AND(Sync!$L48&gt;=10000101,Sync!$L48&lt;=99991231),RIGHT("0000"&amp;INT(Sync!$L48/10000),4)&amp;"/"&amp;RIGHT("00"&amp;INT(MOD(Sync!$L48,10000)/100),2)&amp;"/"&amp;RIGHT("00"&amp;MOD(Sync!$L48,100),2),""),IFERROR(RIGHT("0000"&amp;VALUE(TRIM(LEFT(Sync!$L48,FIND("/",Sync!$L48)-1))),4)&amp;"/"&amp;RIGHT("00"&amp;VALUE(TRIM(LEFT(MID(Sync!$L48,FIND("/",Sync!$L48)+1,20),FIND("/",MID(Sync!$L48,FIND("/",Sync!$L48)+1,20))-1))),2)&amp;"/"&amp;RIGHT("00"&amp;VALUE(TRIM(MID(MID(Sync!$L48,FIND("/",Sync!$L48)+1,20),FIND("/",MID(Sync!$L48,FIND("/",Sync!$L48)+1,20))+1,20))),2),"")))</f>
        <v/>
      </c>
    </row>
    <row r="49">
      <c r="A49">
        <f>IF(Issues!$B52="","",Issues!$B52)</f>
        <v/>
      </c>
      <c r="B49">
        <f>IF($A49="","",IF(ISNUMBER(Issues!$C52),IF(AND(Issues!$C52&gt;=10000101,Issues!$C52&lt;=99991231),INT(Issues!$C52/10000),""),IFERROR(VALUE(TRIM(LEFT(Issues!$C52,FIND("/",Issues!$C52)-1))),"")))</f>
        <v/>
      </c>
      <c r="C49">
        <f>IF(OR($A49="",$B49=""),"",IF(ISNUMBER(Issues!$C52),INT(MOD(Issues!$C52,10000)/100),IFERROR(VALUE(TRIM(LEFT(MID(Issues!$C52,FIND("/",Issues!$C52)+1,20),FIND("/",MID(Issues!$C52,FIND("/",Issues!$C52)+1,20))-1))),"")))</f>
        <v/>
      </c>
      <c r="D49">
        <f>IF(OR($A49="",$B49=""),"",IF(ISNUMBER(Issues!$C52),MOD(Issues!$C52,100),IFERROR(VALUE(TRIM(MID(MID(Issues!$C52,FIND("/",Issues!$C52)+1,20),FIND("/",MID(Issues!$C52,FIND("/",Issues!$C52)+1,20))+1,20))),"")))</f>
        <v/>
      </c>
      <c r="E49">
        <f>IF($A49="","",IF(OR($B49="",$C49="",$D49="",$B49&lt;1300,$B49&gt;1500,$C49&lt;1,$C49&gt;12,$D49&lt;1,$D49&gt;31),"نامعتبر",RIGHT("0000"&amp;$B49,4)&amp;"/"&amp;RIGHT("00"&amp;$C49,2)&amp;"/"&amp;RIGHT("00"&amp;$D49,2)))</f>
        <v/>
      </c>
      <c r="F49">
        <f>IF($A49="","",IF(Issues!$D52="",0,Issues!$D52))</f>
        <v/>
      </c>
      <c r="G49">
        <f>IF($A49="","",Issues!$E52)</f>
        <v/>
      </c>
      <c r="H49">
        <f>IF($A49="","",IF(COUNTIFS(ETxnType,"پاس چک",ETxnChk,$A49)&gt;0,"پاس شده","پاس نشده"))</f>
        <v/>
      </c>
      <c r="I49">
        <f>IF($A49="","",IFERROR(INDEX(BClrDate,MATCH($A49,BClrChk,0)),""))</f>
        <v/>
      </c>
      <c r="J49">
        <f>IF($A49="","",Issues!$G52)</f>
        <v/>
      </c>
      <c r="K49">
        <f>IF(OR($E49="",$E49="نامعتبر"),"",LEFT($E49,4)&amp;MID($E49,6,2)&amp;RIGHT($E49,2)&amp;"|"&amp;RIGHT("00000"&amp;44,5))</f>
        <v/>
      </c>
      <c r="M49">
        <f>IF(Sync!$M49&lt;&gt;"پاس چک","",IF(Sync!$P49="","",Sync!$P49))</f>
        <v/>
      </c>
      <c r="N49">
        <f>IF($M49="","",IF(ISNUMBER(Sync!$L49),IF(AND(Sync!$L49&gt;=10000101,Sync!$L49&lt;=99991231),RIGHT("0000"&amp;INT(Sync!$L49/10000),4)&amp;"/"&amp;RIGHT("00"&amp;INT(MOD(Sync!$L49,10000)/100),2)&amp;"/"&amp;RIGHT("00"&amp;MOD(Sync!$L49,100),2),""),IFERROR(RIGHT("0000"&amp;VALUE(TRIM(LEFT(Sync!$L49,FIND("/",Sync!$L49)-1))),4)&amp;"/"&amp;RIGHT("00"&amp;VALUE(TRIM(LEFT(MID(Sync!$L49,FIND("/",Sync!$L49)+1,20),FIND("/",MID(Sync!$L49,FIND("/",Sync!$L49)+1,20))-1))),2)&amp;"/"&amp;RIGHT("00"&amp;VALUE(TRIM(MID(MID(Sync!$L49,FIND("/",Sync!$L49)+1,20),FIND("/",MID(Sync!$L49,FIND("/",Sync!$L49)+1,20))+1,20))),2),"")))</f>
        <v/>
      </c>
    </row>
    <row r="50">
      <c r="A50">
        <f>IF(Issues!$B53="","",Issues!$B53)</f>
        <v/>
      </c>
      <c r="B50">
        <f>IF($A50="","",IF(ISNUMBER(Issues!$C53),IF(AND(Issues!$C53&gt;=10000101,Issues!$C53&lt;=99991231),INT(Issues!$C53/10000),""),IFERROR(VALUE(TRIM(LEFT(Issues!$C53,FIND("/",Issues!$C53)-1))),"")))</f>
        <v/>
      </c>
      <c r="C50">
        <f>IF(OR($A50="",$B50=""),"",IF(ISNUMBER(Issues!$C53),INT(MOD(Issues!$C53,10000)/100),IFERROR(VALUE(TRIM(LEFT(MID(Issues!$C53,FIND("/",Issues!$C53)+1,20),FIND("/",MID(Issues!$C53,FIND("/",Issues!$C53)+1,20))-1))),"")))</f>
        <v/>
      </c>
      <c r="D50">
        <f>IF(OR($A50="",$B50=""),"",IF(ISNUMBER(Issues!$C53),MOD(Issues!$C53,100),IFERROR(VALUE(TRIM(MID(MID(Issues!$C53,FIND("/",Issues!$C53)+1,20),FIND("/",MID(Issues!$C53,FIND("/",Issues!$C53)+1,20))+1,20))),"")))</f>
        <v/>
      </c>
      <c r="E50">
        <f>IF($A50="","",IF(OR($B50="",$C50="",$D50="",$B50&lt;1300,$B50&gt;1500,$C50&lt;1,$C50&gt;12,$D50&lt;1,$D50&gt;31),"نامعتبر",RIGHT("0000"&amp;$B50,4)&amp;"/"&amp;RIGHT("00"&amp;$C50,2)&amp;"/"&amp;RIGHT("00"&amp;$D50,2)))</f>
        <v/>
      </c>
      <c r="F50">
        <f>IF($A50="","",IF(Issues!$D53="",0,Issues!$D53))</f>
        <v/>
      </c>
      <c r="G50">
        <f>IF($A50="","",Issues!$E53)</f>
        <v/>
      </c>
      <c r="H50">
        <f>IF($A50="","",IF(COUNTIFS(ETxnType,"پاس چک",ETxnChk,$A50)&gt;0,"پاس شده","پاس نشده"))</f>
        <v/>
      </c>
      <c r="I50">
        <f>IF($A50="","",IFERROR(INDEX(BClrDate,MATCH($A50,BClrChk,0)),""))</f>
        <v/>
      </c>
      <c r="J50">
        <f>IF($A50="","",Issues!$G53)</f>
        <v/>
      </c>
      <c r="K50">
        <f>IF(OR($E50="",$E50="نامعتبر"),"",LEFT($E50,4)&amp;MID($E50,6,2)&amp;RIGHT($E50,2)&amp;"|"&amp;RIGHT("00000"&amp;45,5))</f>
        <v/>
      </c>
      <c r="M50">
        <f>IF(Sync!$M50&lt;&gt;"پاس چک","",IF(Sync!$P50="","",Sync!$P50))</f>
        <v/>
      </c>
      <c r="N50">
        <f>IF($M50="","",IF(ISNUMBER(Sync!$L50),IF(AND(Sync!$L50&gt;=10000101,Sync!$L50&lt;=99991231),RIGHT("0000"&amp;INT(Sync!$L50/10000),4)&amp;"/"&amp;RIGHT("00"&amp;INT(MOD(Sync!$L50,10000)/100),2)&amp;"/"&amp;RIGHT("00"&amp;MOD(Sync!$L50,100),2),""),IFERROR(RIGHT("0000"&amp;VALUE(TRIM(LEFT(Sync!$L50,FIND("/",Sync!$L50)-1))),4)&amp;"/"&amp;RIGHT("00"&amp;VALUE(TRIM(LEFT(MID(Sync!$L50,FIND("/",Sync!$L50)+1,20),FIND("/",MID(Sync!$L50,FIND("/",Sync!$L50)+1,20))-1))),2)&amp;"/"&amp;RIGHT("00"&amp;VALUE(TRIM(MID(MID(Sync!$L50,FIND("/",Sync!$L50)+1,20),FIND("/",MID(Sync!$L50,FIND("/",Sync!$L50)+1,20))+1,20))),2),"")))</f>
        <v/>
      </c>
    </row>
    <row r="51">
      <c r="A51">
        <f>IF(Issues!$B54="","",Issues!$B54)</f>
        <v/>
      </c>
      <c r="B51">
        <f>IF($A51="","",IF(ISNUMBER(Issues!$C54),IF(AND(Issues!$C54&gt;=10000101,Issues!$C54&lt;=99991231),INT(Issues!$C54/10000),""),IFERROR(VALUE(TRIM(LEFT(Issues!$C54,FIND("/",Issues!$C54)-1))),"")))</f>
        <v/>
      </c>
      <c r="C51">
        <f>IF(OR($A51="",$B51=""),"",IF(ISNUMBER(Issues!$C54),INT(MOD(Issues!$C54,10000)/100),IFERROR(VALUE(TRIM(LEFT(MID(Issues!$C54,FIND("/",Issues!$C54)+1,20),FIND("/",MID(Issues!$C54,FIND("/",Issues!$C54)+1,20))-1))),"")))</f>
        <v/>
      </c>
      <c r="D51">
        <f>IF(OR($A51="",$B51=""),"",IF(ISNUMBER(Issues!$C54),MOD(Issues!$C54,100),IFERROR(VALUE(TRIM(MID(MID(Issues!$C54,FIND("/",Issues!$C54)+1,20),FIND("/",MID(Issues!$C54,FIND("/",Issues!$C54)+1,20))+1,20))),"")))</f>
        <v/>
      </c>
      <c r="E51">
        <f>IF($A51="","",IF(OR($B51="",$C51="",$D51="",$B51&lt;1300,$B51&gt;1500,$C51&lt;1,$C51&gt;12,$D51&lt;1,$D51&gt;31),"نامعتبر",RIGHT("0000"&amp;$B51,4)&amp;"/"&amp;RIGHT("00"&amp;$C51,2)&amp;"/"&amp;RIGHT("00"&amp;$D51,2)))</f>
        <v/>
      </c>
      <c r="F51">
        <f>IF($A51="","",IF(Issues!$D54="",0,Issues!$D54))</f>
        <v/>
      </c>
      <c r="G51">
        <f>IF($A51="","",Issues!$E54)</f>
        <v/>
      </c>
      <c r="H51">
        <f>IF($A51="","",IF(COUNTIFS(ETxnType,"پاس چک",ETxnChk,$A51)&gt;0,"پاس شده","پاس نشده"))</f>
        <v/>
      </c>
      <c r="I51">
        <f>IF($A51="","",IFERROR(INDEX(BClrDate,MATCH($A51,BClrChk,0)),""))</f>
        <v/>
      </c>
      <c r="J51">
        <f>IF($A51="","",Issues!$G54)</f>
        <v/>
      </c>
      <c r="K51">
        <f>IF(OR($E51="",$E51="نامعتبر"),"",LEFT($E51,4)&amp;MID($E51,6,2)&amp;RIGHT($E51,2)&amp;"|"&amp;RIGHT("00000"&amp;46,5))</f>
        <v/>
      </c>
      <c r="M51">
        <f>IF(Sync!$M51&lt;&gt;"پاس چک","",IF(Sync!$P51="","",Sync!$P51))</f>
        <v/>
      </c>
      <c r="N51">
        <f>IF($M51="","",IF(ISNUMBER(Sync!$L51),IF(AND(Sync!$L51&gt;=10000101,Sync!$L51&lt;=99991231),RIGHT("0000"&amp;INT(Sync!$L51/10000),4)&amp;"/"&amp;RIGHT("00"&amp;INT(MOD(Sync!$L51,10000)/100),2)&amp;"/"&amp;RIGHT("00"&amp;MOD(Sync!$L51,100),2),""),IFERROR(RIGHT("0000"&amp;VALUE(TRIM(LEFT(Sync!$L51,FIND("/",Sync!$L51)-1))),4)&amp;"/"&amp;RIGHT("00"&amp;VALUE(TRIM(LEFT(MID(Sync!$L51,FIND("/",Sync!$L51)+1,20),FIND("/",MID(Sync!$L51,FIND("/",Sync!$L51)+1,20))-1))),2)&amp;"/"&amp;RIGHT("00"&amp;VALUE(TRIM(MID(MID(Sync!$L51,FIND("/",Sync!$L51)+1,20),FIND("/",MID(Sync!$L51,FIND("/",Sync!$L51)+1,20))+1,20))),2),"")))</f>
        <v/>
      </c>
    </row>
    <row r="52">
      <c r="A52">
        <f>IF(Issues!$B55="","",Issues!$B55)</f>
        <v/>
      </c>
      <c r="B52">
        <f>IF($A52="","",IF(ISNUMBER(Issues!$C55),IF(AND(Issues!$C55&gt;=10000101,Issues!$C55&lt;=99991231),INT(Issues!$C55/10000),""),IFERROR(VALUE(TRIM(LEFT(Issues!$C55,FIND("/",Issues!$C55)-1))),"")))</f>
        <v/>
      </c>
      <c r="C52">
        <f>IF(OR($A52="",$B52=""),"",IF(ISNUMBER(Issues!$C55),INT(MOD(Issues!$C55,10000)/100),IFERROR(VALUE(TRIM(LEFT(MID(Issues!$C55,FIND("/",Issues!$C55)+1,20),FIND("/",MID(Issues!$C55,FIND("/",Issues!$C55)+1,20))-1))),"")))</f>
        <v/>
      </c>
      <c r="D52">
        <f>IF(OR($A52="",$B52=""),"",IF(ISNUMBER(Issues!$C55),MOD(Issues!$C55,100),IFERROR(VALUE(TRIM(MID(MID(Issues!$C55,FIND("/",Issues!$C55)+1,20),FIND("/",MID(Issues!$C55,FIND("/",Issues!$C55)+1,20))+1,20))),"")))</f>
        <v/>
      </c>
      <c r="E52">
        <f>IF($A52="","",IF(OR($B52="",$C52="",$D52="",$B52&lt;1300,$B52&gt;1500,$C52&lt;1,$C52&gt;12,$D52&lt;1,$D52&gt;31),"نامعتبر",RIGHT("0000"&amp;$B52,4)&amp;"/"&amp;RIGHT("00"&amp;$C52,2)&amp;"/"&amp;RIGHT("00"&amp;$D52,2)))</f>
        <v/>
      </c>
      <c r="F52">
        <f>IF($A52="","",IF(Issues!$D55="",0,Issues!$D55))</f>
        <v/>
      </c>
      <c r="G52">
        <f>IF($A52="","",Issues!$E55)</f>
        <v/>
      </c>
      <c r="H52">
        <f>IF($A52="","",IF(COUNTIFS(ETxnType,"پاس چک",ETxnChk,$A52)&gt;0,"پاس شده","پاس نشده"))</f>
        <v/>
      </c>
      <c r="I52">
        <f>IF($A52="","",IFERROR(INDEX(BClrDate,MATCH($A52,BClrChk,0)),""))</f>
        <v/>
      </c>
      <c r="J52">
        <f>IF($A52="","",Issues!$G55)</f>
        <v/>
      </c>
      <c r="K52">
        <f>IF(OR($E52="",$E52="نامعتبر"),"",LEFT($E52,4)&amp;MID($E52,6,2)&amp;RIGHT($E52,2)&amp;"|"&amp;RIGHT("00000"&amp;47,5))</f>
        <v/>
      </c>
      <c r="M52">
        <f>IF(Sync!$M52&lt;&gt;"پاس چک","",IF(Sync!$P52="","",Sync!$P52))</f>
        <v/>
      </c>
      <c r="N52">
        <f>IF($M52="","",IF(ISNUMBER(Sync!$L52),IF(AND(Sync!$L52&gt;=10000101,Sync!$L52&lt;=99991231),RIGHT("0000"&amp;INT(Sync!$L52/10000),4)&amp;"/"&amp;RIGHT("00"&amp;INT(MOD(Sync!$L52,10000)/100),2)&amp;"/"&amp;RIGHT("00"&amp;MOD(Sync!$L52,100),2),""),IFERROR(RIGHT("0000"&amp;VALUE(TRIM(LEFT(Sync!$L52,FIND("/",Sync!$L52)-1))),4)&amp;"/"&amp;RIGHT("00"&amp;VALUE(TRIM(LEFT(MID(Sync!$L52,FIND("/",Sync!$L52)+1,20),FIND("/",MID(Sync!$L52,FIND("/",Sync!$L52)+1,20))-1))),2)&amp;"/"&amp;RIGHT("00"&amp;VALUE(TRIM(MID(MID(Sync!$L52,FIND("/",Sync!$L52)+1,20),FIND("/",MID(Sync!$L52,FIND("/",Sync!$L52)+1,20))+1,20))),2),"")))</f>
        <v/>
      </c>
    </row>
    <row r="53">
      <c r="A53">
        <f>IF(Issues!$B56="","",Issues!$B56)</f>
        <v/>
      </c>
      <c r="B53">
        <f>IF($A53="","",IF(ISNUMBER(Issues!$C56),IF(AND(Issues!$C56&gt;=10000101,Issues!$C56&lt;=99991231),INT(Issues!$C56/10000),""),IFERROR(VALUE(TRIM(LEFT(Issues!$C56,FIND("/",Issues!$C56)-1))),"")))</f>
        <v/>
      </c>
      <c r="C53">
        <f>IF(OR($A53="",$B53=""),"",IF(ISNUMBER(Issues!$C56),INT(MOD(Issues!$C56,10000)/100),IFERROR(VALUE(TRIM(LEFT(MID(Issues!$C56,FIND("/",Issues!$C56)+1,20),FIND("/",MID(Issues!$C56,FIND("/",Issues!$C56)+1,20))-1))),"")))</f>
        <v/>
      </c>
      <c r="D53">
        <f>IF(OR($A53="",$B53=""),"",IF(ISNUMBER(Issues!$C56),MOD(Issues!$C56,100),IFERROR(VALUE(TRIM(MID(MID(Issues!$C56,FIND("/",Issues!$C56)+1,20),FIND("/",MID(Issues!$C56,FIND("/",Issues!$C56)+1,20))+1,20))),"")))</f>
        <v/>
      </c>
      <c r="E53">
        <f>IF($A53="","",IF(OR($B53="",$C53="",$D53="",$B53&lt;1300,$B53&gt;1500,$C53&lt;1,$C53&gt;12,$D53&lt;1,$D53&gt;31),"نامعتبر",RIGHT("0000"&amp;$B53,4)&amp;"/"&amp;RIGHT("00"&amp;$C53,2)&amp;"/"&amp;RIGHT("00"&amp;$D53,2)))</f>
        <v/>
      </c>
      <c r="F53">
        <f>IF($A53="","",IF(Issues!$D56="",0,Issues!$D56))</f>
        <v/>
      </c>
      <c r="G53">
        <f>IF($A53="","",Issues!$E56)</f>
        <v/>
      </c>
      <c r="H53">
        <f>IF($A53="","",IF(COUNTIFS(ETxnType,"پاس چک",ETxnChk,$A53)&gt;0,"پاس شده","پاس نشده"))</f>
        <v/>
      </c>
      <c r="I53">
        <f>IF($A53="","",IFERROR(INDEX(BClrDate,MATCH($A53,BClrChk,0)),""))</f>
        <v/>
      </c>
      <c r="J53">
        <f>IF($A53="","",Issues!$G56)</f>
        <v/>
      </c>
      <c r="K53">
        <f>IF(OR($E53="",$E53="نامعتبر"),"",LEFT($E53,4)&amp;MID($E53,6,2)&amp;RIGHT($E53,2)&amp;"|"&amp;RIGHT("00000"&amp;48,5))</f>
        <v/>
      </c>
      <c r="M53">
        <f>IF(Sync!$M53&lt;&gt;"پاس چک","",IF(Sync!$P53="","",Sync!$P53))</f>
        <v/>
      </c>
      <c r="N53">
        <f>IF($M53="","",IF(ISNUMBER(Sync!$L53),IF(AND(Sync!$L53&gt;=10000101,Sync!$L53&lt;=99991231),RIGHT("0000"&amp;INT(Sync!$L53/10000),4)&amp;"/"&amp;RIGHT("00"&amp;INT(MOD(Sync!$L53,10000)/100),2)&amp;"/"&amp;RIGHT("00"&amp;MOD(Sync!$L53,100),2),""),IFERROR(RIGHT("0000"&amp;VALUE(TRIM(LEFT(Sync!$L53,FIND("/",Sync!$L53)-1))),4)&amp;"/"&amp;RIGHT("00"&amp;VALUE(TRIM(LEFT(MID(Sync!$L53,FIND("/",Sync!$L53)+1,20),FIND("/",MID(Sync!$L53,FIND("/",Sync!$L53)+1,20))-1))),2)&amp;"/"&amp;RIGHT("00"&amp;VALUE(TRIM(MID(MID(Sync!$L53,FIND("/",Sync!$L53)+1,20),FIND("/",MID(Sync!$L53,FIND("/",Sync!$L53)+1,20))+1,20))),2),"")))</f>
        <v/>
      </c>
    </row>
    <row r="54">
      <c r="A54">
        <f>IF(Issues!$B57="","",Issues!$B57)</f>
        <v/>
      </c>
      <c r="B54">
        <f>IF($A54="","",IF(ISNUMBER(Issues!$C57),IF(AND(Issues!$C57&gt;=10000101,Issues!$C57&lt;=99991231),INT(Issues!$C57/10000),""),IFERROR(VALUE(TRIM(LEFT(Issues!$C57,FIND("/",Issues!$C57)-1))),"")))</f>
        <v/>
      </c>
      <c r="C54">
        <f>IF(OR($A54="",$B54=""),"",IF(ISNUMBER(Issues!$C57),INT(MOD(Issues!$C57,10000)/100),IFERROR(VALUE(TRIM(LEFT(MID(Issues!$C57,FIND("/",Issues!$C57)+1,20),FIND("/",MID(Issues!$C57,FIND("/",Issues!$C57)+1,20))-1))),"")))</f>
        <v/>
      </c>
      <c r="D54">
        <f>IF(OR($A54="",$B54=""),"",IF(ISNUMBER(Issues!$C57),MOD(Issues!$C57,100),IFERROR(VALUE(TRIM(MID(MID(Issues!$C57,FIND("/",Issues!$C57)+1,20),FIND("/",MID(Issues!$C57,FIND("/",Issues!$C57)+1,20))+1,20))),"")))</f>
        <v/>
      </c>
      <c r="E54">
        <f>IF($A54="","",IF(OR($B54="",$C54="",$D54="",$B54&lt;1300,$B54&gt;1500,$C54&lt;1,$C54&gt;12,$D54&lt;1,$D54&gt;31),"نامعتبر",RIGHT("0000"&amp;$B54,4)&amp;"/"&amp;RIGHT("00"&amp;$C54,2)&amp;"/"&amp;RIGHT("00"&amp;$D54,2)))</f>
        <v/>
      </c>
      <c r="F54">
        <f>IF($A54="","",IF(Issues!$D57="",0,Issues!$D57))</f>
        <v/>
      </c>
      <c r="G54">
        <f>IF($A54="","",Issues!$E57)</f>
        <v/>
      </c>
      <c r="H54">
        <f>IF($A54="","",IF(COUNTIFS(ETxnType,"پاس چک",ETxnChk,$A54)&gt;0,"پاس شده","پاس نشده"))</f>
        <v/>
      </c>
      <c r="I54">
        <f>IF($A54="","",IFERROR(INDEX(BClrDate,MATCH($A54,BClrChk,0)),""))</f>
        <v/>
      </c>
      <c r="J54">
        <f>IF($A54="","",Issues!$G57)</f>
        <v/>
      </c>
      <c r="K54">
        <f>IF(OR($E54="",$E54="نامعتبر"),"",LEFT($E54,4)&amp;MID($E54,6,2)&amp;RIGHT($E54,2)&amp;"|"&amp;RIGHT("00000"&amp;49,5))</f>
        <v/>
      </c>
      <c r="M54">
        <f>IF(Sync!$M54&lt;&gt;"پاس چک","",IF(Sync!$P54="","",Sync!$P54))</f>
        <v/>
      </c>
      <c r="N54">
        <f>IF($M54="","",IF(ISNUMBER(Sync!$L54),IF(AND(Sync!$L54&gt;=10000101,Sync!$L54&lt;=99991231),RIGHT("0000"&amp;INT(Sync!$L54/10000),4)&amp;"/"&amp;RIGHT("00"&amp;INT(MOD(Sync!$L54,10000)/100),2)&amp;"/"&amp;RIGHT("00"&amp;MOD(Sync!$L54,100),2),""),IFERROR(RIGHT("0000"&amp;VALUE(TRIM(LEFT(Sync!$L54,FIND("/",Sync!$L54)-1))),4)&amp;"/"&amp;RIGHT("00"&amp;VALUE(TRIM(LEFT(MID(Sync!$L54,FIND("/",Sync!$L54)+1,20),FIND("/",MID(Sync!$L54,FIND("/",Sync!$L54)+1,20))-1))),2)&amp;"/"&amp;RIGHT("00"&amp;VALUE(TRIM(MID(MID(Sync!$L54,FIND("/",Sync!$L54)+1,20),FIND("/",MID(Sync!$L54,FIND("/",Sync!$L54)+1,20))+1,20))),2),"")))</f>
        <v/>
      </c>
    </row>
    <row r="55">
      <c r="A55">
        <f>IF(Issues!$B58="","",Issues!$B58)</f>
        <v/>
      </c>
      <c r="B55">
        <f>IF($A55="","",IF(ISNUMBER(Issues!$C58),IF(AND(Issues!$C58&gt;=10000101,Issues!$C58&lt;=99991231),INT(Issues!$C58/10000),""),IFERROR(VALUE(TRIM(LEFT(Issues!$C58,FIND("/",Issues!$C58)-1))),"")))</f>
        <v/>
      </c>
      <c r="C55">
        <f>IF(OR($A55="",$B55=""),"",IF(ISNUMBER(Issues!$C58),INT(MOD(Issues!$C58,10000)/100),IFERROR(VALUE(TRIM(LEFT(MID(Issues!$C58,FIND("/",Issues!$C58)+1,20),FIND("/",MID(Issues!$C58,FIND("/",Issues!$C58)+1,20))-1))),"")))</f>
        <v/>
      </c>
      <c r="D55">
        <f>IF(OR($A55="",$B55=""),"",IF(ISNUMBER(Issues!$C58),MOD(Issues!$C58,100),IFERROR(VALUE(TRIM(MID(MID(Issues!$C58,FIND("/",Issues!$C58)+1,20),FIND("/",MID(Issues!$C58,FIND("/",Issues!$C58)+1,20))+1,20))),"")))</f>
        <v/>
      </c>
      <c r="E55">
        <f>IF($A55="","",IF(OR($B55="",$C55="",$D55="",$B55&lt;1300,$B55&gt;1500,$C55&lt;1,$C55&gt;12,$D55&lt;1,$D55&gt;31),"نامعتبر",RIGHT("0000"&amp;$B55,4)&amp;"/"&amp;RIGHT("00"&amp;$C55,2)&amp;"/"&amp;RIGHT("00"&amp;$D55,2)))</f>
        <v/>
      </c>
      <c r="F55">
        <f>IF($A55="","",IF(Issues!$D58="",0,Issues!$D58))</f>
        <v/>
      </c>
      <c r="G55">
        <f>IF($A55="","",Issues!$E58)</f>
        <v/>
      </c>
      <c r="H55">
        <f>IF($A55="","",IF(COUNTIFS(ETxnType,"پاس چک",ETxnChk,$A55)&gt;0,"پاس شده","پاس نشده"))</f>
        <v/>
      </c>
      <c r="I55">
        <f>IF($A55="","",IFERROR(INDEX(BClrDate,MATCH($A55,BClrChk,0)),""))</f>
        <v/>
      </c>
      <c r="J55">
        <f>IF($A55="","",Issues!$G58)</f>
        <v/>
      </c>
      <c r="K55">
        <f>IF(OR($E55="",$E55="نامعتبر"),"",LEFT($E55,4)&amp;MID($E55,6,2)&amp;RIGHT($E55,2)&amp;"|"&amp;RIGHT("00000"&amp;50,5))</f>
        <v/>
      </c>
      <c r="M55">
        <f>IF(Sync!$M55&lt;&gt;"پاس چک","",IF(Sync!$P55="","",Sync!$P55))</f>
        <v/>
      </c>
      <c r="N55">
        <f>IF($M55="","",IF(ISNUMBER(Sync!$L55),IF(AND(Sync!$L55&gt;=10000101,Sync!$L55&lt;=99991231),RIGHT("0000"&amp;INT(Sync!$L55/10000),4)&amp;"/"&amp;RIGHT("00"&amp;INT(MOD(Sync!$L55,10000)/100),2)&amp;"/"&amp;RIGHT("00"&amp;MOD(Sync!$L55,100),2),""),IFERROR(RIGHT("0000"&amp;VALUE(TRIM(LEFT(Sync!$L55,FIND("/",Sync!$L55)-1))),4)&amp;"/"&amp;RIGHT("00"&amp;VALUE(TRIM(LEFT(MID(Sync!$L55,FIND("/",Sync!$L55)+1,20),FIND("/",MID(Sync!$L55,FIND("/",Sync!$L55)+1,20))-1))),2)&amp;"/"&amp;RIGHT("00"&amp;VALUE(TRIM(MID(MID(Sync!$L55,FIND("/",Sync!$L55)+1,20),FIND("/",MID(Sync!$L55,FIND("/",Sync!$L55)+1,20))+1,20))),2),"")))</f>
        <v/>
      </c>
    </row>
    <row r="56">
      <c r="A56">
        <f>IF(Issues!$B59="","",Issues!$B59)</f>
        <v/>
      </c>
      <c r="B56">
        <f>IF($A56="","",IF(ISNUMBER(Issues!$C59),IF(AND(Issues!$C59&gt;=10000101,Issues!$C59&lt;=99991231),INT(Issues!$C59/10000),""),IFERROR(VALUE(TRIM(LEFT(Issues!$C59,FIND("/",Issues!$C59)-1))),"")))</f>
        <v/>
      </c>
      <c r="C56">
        <f>IF(OR($A56="",$B56=""),"",IF(ISNUMBER(Issues!$C59),INT(MOD(Issues!$C59,10000)/100),IFERROR(VALUE(TRIM(LEFT(MID(Issues!$C59,FIND("/",Issues!$C59)+1,20),FIND("/",MID(Issues!$C59,FIND("/",Issues!$C59)+1,20))-1))),"")))</f>
        <v/>
      </c>
      <c r="D56">
        <f>IF(OR($A56="",$B56=""),"",IF(ISNUMBER(Issues!$C59),MOD(Issues!$C59,100),IFERROR(VALUE(TRIM(MID(MID(Issues!$C59,FIND("/",Issues!$C59)+1,20),FIND("/",MID(Issues!$C59,FIND("/",Issues!$C59)+1,20))+1,20))),"")))</f>
        <v/>
      </c>
      <c r="E56">
        <f>IF($A56="","",IF(OR($B56="",$C56="",$D56="",$B56&lt;1300,$B56&gt;1500,$C56&lt;1,$C56&gt;12,$D56&lt;1,$D56&gt;31),"نامعتبر",RIGHT("0000"&amp;$B56,4)&amp;"/"&amp;RIGHT("00"&amp;$C56,2)&amp;"/"&amp;RIGHT("00"&amp;$D56,2)))</f>
        <v/>
      </c>
      <c r="F56">
        <f>IF($A56="","",IF(Issues!$D59="",0,Issues!$D59))</f>
        <v/>
      </c>
      <c r="G56">
        <f>IF($A56="","",Issues!$E59)</f>
        <v/>
      </c>
      <c r="H56">
        <f>IF($A56="","",IF(COUNTIFS(ETxnType,"پاس چک",ETxnChk,$A56)&gt;0,"پاس شده","پاس نشده"))</f>
        <v/>
      </c>
      <c r="I56">
        <f>IF($A56="","",IFERROR(INDEX(BClrDate,MATCH($A56,BClrChk,0)),""))</f>
        <v/>
      </c>
      <c r="J56">
        <f>IF($A56="","",Issues!$G59)</f>
        <v/>
      </c>
      <c r="K56">
        <f>IF(OR($E56="",$E56="نامعتبر"),"",LEFT($E56,4)&amp;MID($E56,6,2)&amp;RIGHT($E56,2)&amp;"|"&amp;RIGHT("00000"&amp;51,5))</f>
        <v/>
      </c>
      <c r="M56">
        <f>IF(Sync!$M56&lt;&gt;"پاس چک","",IF(Sync!$P56="","",Sync!$P56))</f>
        <v/>
      </c>
      <c r="N56">
        <f>IF($M56="","",IF(ISNUMBER(Sync!$L56),IF(AND(Sync!$L56&gt;=10000101,Sync!$L56&lt;=99991231),RIGHT("0000"&amp;INT(Sync!$L56/10000),4)&amp;"/"&amp;RIGHT("00"&amp;INT(MOD(Sync!$L56,10000)/100),2)&amp;"/"&amp;RIGHT("00"&amp;MOD(Sync!$L56,100),2),""),IFERROR(RIGHT("0000"&amp;VALUE(TRIM(LEFT(Sync!$L56,FIND("/",Sync!$L56)-1))),4)&amp;"/"&amp;RIGHT("00"&amp;VALUE(TRIM(LEFT(MID(Sync!$L56,FIND("/",Sync!$L56)+1,20),FIND("/",MID(Sync!$L56,FIND("/",Sync!$L56)+1,20))-1))),2)&amp;"/"&amp;RIGHT("00"&amp;VALUE(TRIM(MID(MID(Sync!$L56,FIND("/",Sync!$L56)+1,20),FIND("/",MID(Sync!$L56,FIND("/",Sync!$L56)+1,20))+1,20))),2),"")))</f>
        <v/>
      </c>
    </row>
    <row r="57">
      <c r="A57">
        <f>IF(Issues!$B60="","",Issues!$B60)</f>
        <v/>
      </c>
      <c r="B57">
        <f>IF($A57="","",IF(ISNUMBER(Issues!$C60),IF(AND(Issues!$C60&gt;=10000101,Issues!$C60&lt;=99991231),INT(Issues!$C60/10000),""),IFERROR(VALUE(TRIM(LEFT(Issues!$C60,FIND("/",Issues!$C60)-1))),"")))</f>
        <v/>
      </c>
      <c r="C57">
        <f>IF(OR($A57="",$B57=""),"",IF(ISNUMBER(Issues!$C60),INT(MOD(Issues!$C60,10000)/100),IFERROR(VALUE(TRIM(LEFT(MID(Issues!$C60,FIND("/",Issues!$C60)+1,20),FIND("/",MID(Issues!$C60,FIND("/",Issues!$C60)+1,20))-1))),"")))</f>
        <v/>
      </c>
      <c r="D57">
        <f>IF(OR($A57="",$B57=""),"",IF(ISNUMBER(Issues!$C60),MOD(Issues!$C60,100),IFERROR(VALUE(TRIM(MID(MID(Issues!$C60,FIND("/",Issues!$C60)+1,20),FIND("/",MID(Issues!$C60,FIND("/",Issues!$C60)+1,20))+1,20))),"")))</f>
        <v/>
      </c>
      <c r="E57">
        <f>IF($A57="","",IF(OR($B57="",$C57="",$D57="",$B57&lt;1300,$B57&gt;1500,$C57&lt;1,$C57&gt;12,$D57&lt;1,$D57&gt;31),"نامعتبر",RIGHT("0000"&amp;$B57,4)&amp;"/"&amp;RIGHT("00"&amp;$C57,2)&amp;"/"&amp;RIGHT("00"&amp;$D57,2)))</f>
        <v/>
      </c>
      <c r="F57">
        <f>IF($A57="","",IF(Issues!$D60="",0,Issues!$D60))</f>
        <v/>
      </c>
      <c r="G57">
        <f>IF($A57="","",Issues!$E60)</f>
        <v/>
      </c>
      <c r="H57">
        <f>IF($A57="","",IF(COUNTIFS(ETxnType,"پاس چک",ETxnChk,$A57)&gt;0,"پاس شده","پاس نشده"))</f>
        <v/>
      </c>
      <c r="I57">
        <f>IF($A57="","",IFERROR(INDEX(BClrDate,MATCH($A57,BClrChk,0)),""))</f>
        <v/>
      </c>
      <c r="J57">
        <f>IF($A57="","",Issues!$G60)</f>
        <v/>
      </c>
      <c r="K57">
        <f>IF(OR($E57="",$E57="نامعتبر"),"",LEFT($E57,4)&amp;MID($E57,6,2)&amp;RIGHT($E57,2)&amp;"|"&amp;RIGHT("00000"&amp;52,5))</f>
        <v/>
      </c>
      <c r="M57">
        <f>IF(Sync!$M57&lt;&gt;"پاس چک","",IF(Sync!$P57="","",Sync!$P57))</f>
        <v/>
      </c>
      <c r="N57">
        <f>IF($M57="","",IF(ISNUMBER(Sync!$L57),IF(AND(Sync!$L57&gt;=10000101,Sync!$L57&lt;=99991231),RIGHT("0000"&amp;INT(Sync!$L57/10000),4)&amp;"/"&amp;RIGHT("00"&amp;INT(MOD(Sync!$L57,10000)/100),2)&amp;"/"&amp;RIGHT("00"&amp;MOD(Sync!$L57,100),2),""),IFERROR(RIGHT("0000"&amp;VALUE(TRIM(LEFT(Sync!$L57,FIND("/",Sync!$L57)-1))),4)&amp;"/"&amp;RIGHT("00"&amp;VALUE(TRIM(LEFT(MID(Sync!$L57,FIND("/",Sync!$L57)+1,20),FIND("/",MID(Sync!$L57,FIND("/",Sync!$L57)+1,20))-1))),2)&amp;"/"&amp;RIGHT("00"&amp;VALUE(TRIM(MID(MID(Sync!$L57,FIND("/",Sync!$L57)+1,20),FIND("/",MID(Sync!$L57,FIND("/",Sync!$L57)+1,20))+1,20))),2),"")))</f>
        <v/>
      </c>
    </row>
    <row r="58">
      <c r="A58">
        <f>IF(Issues!$B61="","",Issues!$B61)</f>
        <v/>
      </c>
      <c r="B58">
        <f>IF($A58="","",IF(ISNUMBER(Issues!$C61),IF(AND(Issues!$C61&gt;=10000101,Issues!$C61&lt;=99991231),INT(Issues!$C61/10000),""),IFERROR(VALUE(TRIM(LEFT(Issues!$C61,FIND("/",Issues!$C61)-1))),"")))</f>
        <v/>
      </c>
      <c r="C58">
        <f>IF(OR($A58="",$B58=""),"",IF(ISNUMBER(Issues!$C61),INT(MOD(Issues!$C61,10000)/100),IFERROR(VALUE(TRIM(LEFT(MID(Issues!$C61,FIND("/",Issues!$C61)+1,20),FIND("/",MID(Issues!$C61,FIND("/",Issues!$C61)+1,20))-1))),"")))</f>
        <v/>
      </c>
      <c r="D58">
        <f>IF(OR($A58="",$B58=""),"",IF(ISNUMBER(Issues!$C61),MOD(Issues!$C61,100),IFERROR(VALUE(TRIM(MID(MID(Issues!$C61,FIND("/",Issues!$C61)+1,20),FIND("/",MID(Issues!$C61,FIND("/",Issues!$C61)+1,20))+1,20))),"")))</f>
        <v/>
      </c>
      <c r="E58">
        <f>IF($A58="","",IF(OR($B58="",$C58="",$D58="",$B58&lt;1300,$B58&gt;1500,$C58&lt;1,$C58&gt;12,$D58&lt;1,$D58&gt;31),"نامعتبر",RIGHT("0000"&amp;$B58,4)&amp;"/"&amp;RIGHT("00"&amp;$C58,2)&amp;"/"&amp;RIGHT("00"&amp;$D58,2)))</f>
        <v/>
      </c>
      <c r="F58">
        <f>IF($A58="","",IF(Issues!$D61="",0,Issues!$D61))</f>
        <v/>
      </c>
      <c r="G58">
        <f>IF($A58="","",Issues!$E61)</f>
        <v/>
      </c>
      <c r="H58">
        <f>IF($A58="","",IF(COUNTIFS(ETxnType,"پاس چک",ETxnChk,$A58)&gt;0,"پاس شده","پاس نشده"))</f>
        <v/>
      </c>
      <c r="I58">
        <f>IF($A58="","",IFERROR(INDEX(BClrDate,MATCH($A58,BClrChk,0)),""))</f>
        <v/>
      </c>
      <c r="J58">
        <f>IF($A58="","",Issues!$G61)</f>
        <v/>
      </c>
      <c r="K58">
        <f>IF(OR($E58="",$E58="نامعتبر"),"",LEFT($E58,4)&amp;MID($E58,6,2)&amp;RIGHT($E58,2)&amp;"|"&amp;RIGHT("00000"&amp;53,5))</f>
        <v/>
      </c>
      <c r="M58">
        <f>IF(Sync!$M58&lt;&gt;"پاس چک","",IF(Sync!$P58="","",Sync!$P58))</f>
        <v/>
      </c>
      <c r="N58">
        <f>IF($M58="","",IF(ISNUMBER(Sync!$L58),IF(AND(Sync!$L58&gt;=10000101,Sync!$L58&lt;=99991231),RIGHT("0000"&amp;INT(Sync!$L58/10000),4)&amp;"/"&amp;RIGHT("00"&amp;INT(MOD(Sync!$L58,10000)/100),2)&amp;"/"&amp;RIGHT("00"&amp;MOD(Sync!$L58,100),2),""),IFERROR(RIGHT("0000"&amp;VALUE(TRIM(LEFT(Sync!$L58,FIND("/",Sync!$L58)-1))),4)&amp;"/"&amp;RIGHT("00"&amp;VALUE(TRIM(LEFT(MID(Sync!$L58,FIND("/",Sync!$L58)+1,20),FIND("/",MID(Sync!$L58,FIND("/",Sync!$L58)+1,20))-1))),2)&amp;"/"&amp;RIGHT("00"&amp;VALUE(TRIM(MID(MID(Sync!$L58,FIND("/",Sync!$L58)+1,20),FIND("/",MID(Sync!$L58,FIND("/",Sync!$L58)+1,20))+1,20))),2),"")))</f>
        <v/>
      </c>
    </row>
    <row r="59">
      <c r="A59">
        <f>IF(Issues!$B62="","",Issues!$B62)</f>
        <v/>
      </c>
      <c r="B59">
        <f>IF($A59="","",IF(ISNUMBER(Issues!$C62),IF(AND(Issues!$C62&gt;=10000101,Issues!$C62&lt;=99991231),INT(Issues!$C62/10000),""),IFERROR(VALUE(TRIM(LEFT(Issues!$C62,FIND("/",Issues!$C62)-1))),"")))</f>
        <v/>
      </c>
      <c r="C59">
        <f>IF(OR($A59="",$B59=""),"",IF(ISNUMBER(Issues!$C62),INT(MOD(Issues!$C62,10000)/100),IFERROR(VALUE(TRIM(LEFT(MID(Issues!$C62,FIND("/",Issues!$C62)+1,20),FIND("/",MID(Issues!$C62,FIND("/",Issues!$C62)+1,20))-1))),"")))</f>
        <v/>
      </c>
      <c r="D59">
        <f>IF(OR($A59="",$B59=""),"",IF(ISNUMBER(Issues!$C62),MOD(Issues!$C62,100),IFERROR(VALUE(TRIM(MID(MID(Issues!$C62,FIND("/",Issues!$C62)+1,20),FIND("/",MID(Issues!$C62,FIND("/",Issues!$C62)+1,20))+1,20))),"")))</f>
        <v/>
      </c>
      <c r="E59">
        <f>IF($A59="","",IF(OR($B59="",$C59="",$D59="",$B59&lt;1300,$B59&gt;1500,$C59&lt;1,$C59&gt;12,$D59&lt;1,$D59&gt;31),"نامعتبر",RIGHT("0000"&amp;$B59,4)&amp;"/"&amp;RIGHT("00"&amp;$C59,2)&amp;"/"&amp;RIGHT("00"&amp;$D59,2)))</f>
        <v/>
      </c>
      <c r="F59">
        <f>IF($A59="","",IF(Issues!$D62="",0,Issues!$D62))</f>
        <v/>
      </c>
      <c r="G59">
        <f>IF($A59="","",Issues!$E62)</f>
        <v/>
      </c>
      <c r="H59">
        <f>IF($A59="","",IF(COUNTIFS(ETxnType,"پاس چک",ETxnChk,$A59)&gt;0,"پاس شده","پاس نشده"))</f>
        <v/>
      </c>
      <c r="I59">
        <f>IF($A59="","",IFERROR(INDEX(BClrDate,MATCH($A59,BClrChk,0)),""))</f>
        <v/>
      </c>
      <c r="J59">
        <f>IF($A59="","",Issues!$G62)</f>
        <v/>
      </c>
      <c r="K59">
        <f>IF(OR($E59="",$E59="نامعتبر"),"",LEFT($E59,4)&amp;MID($E59,6,2)&amp;RIGHT($E59,2)&amp;"|"&amp;RIGHT("00000"&amp;54,5))</f>
        <v/>
      </c>
      <c r="M59">
        <f>IF(Sync!$M59&lt;&gt;"پاس چک","",IF(Sync!$P59="","",Sync!$P59))</f>
        <v/>
      </c>
      <c r="N59">
        <f>IF($M59="","",IF(ISNUMBER(Sync!$L59),IF(AND(Sync!$L59&gt;=10000101,Sync!$L59&lt;=99991231),RIGHT("0000"&amp;INT(Sync!$L59/10000),4)&amp;"/"&amp;RIGHT("00"&amp;INT(MOD(Sync!$L59,10000)/100),2)&amp;"/"&amp;RIGHT("00"&amp;MOD(Sync!$L59,100),2),""),IFERROR(RIGHT("0000"&amp;VALUE(TRIM(LEFT(Sync!$L59,FIND("/",Sync!$L59)-1))),4)&amp;"/"&amp;RIGHT("00"&amp;VALUE(TRIM(LEFT(MID(Sync!$L59,FIND("/",Sync!$L59)+1,20),FIND("/",MID(Sync!$L59,FIND("/",Sync!$L59)+1,20))-1))),2)&amp;"/"&amp;RIGHT("00"&amp;VALUE(TRIM(MID(MID(Sync!$L59,FIND("/",Sync!$L59)+1,20),FIND("/",MID(Sync!$L59,FIND("/",Sync!$L59)+1,20))+1,20))),2),"")))</f>
        <v/>
      </c>
    </row>
    <row r="60">
      <c r="A60">
        <f>IF(Issues!$B63="","",Issues!$B63)</f>
        <v/>
      </c>
      <c r="B60">
        <f>IF($A60="","",IF(ISNUMBER(Issues!$C63),IF(AND(Issues!$C63&gt;=10000101,Issues!$C63&lt;=99991231),INT(Issues!$C63/10000),""),IFERROR(VALUE(TRIM(LEFT(Issues!$C63,FIND("/",Issues!$C63)-1))),"")))</f>
        <v/>
      </c>
      <c r="C60">
        <f>IF(OR($A60="",$B60=""),"",IF(ISNUMBER(Issues!$C63),INT(MOD(Issues!$C63,10000)/100),IFERROR(VALUE(TRIM(LEFT(MID(Issues!$C63,FIND("/",Issues!$C63)+1,20),FIND("/",MID(Issues!$C63,FIND("/",Issues!$C63)+1,20))-1))),"")))</f>
        <v/>
      </c>
      <c r="D60">
        <f>IF(OR($A60="",$B60=""),"",IF(ISNUMBER(Issues!$C63),MOD(Issues!$C63,100),IFERROR(VALUE(TRIM(MID(MID(Issues!$C63,FIND("/",Issues!$C63)+1,20),FIND("/",MID(Issues!$C63,FIND("/",Issues!$C63)+1,20))+1,20))),"")))</f>
        <v/>
      </c>
      <c r="E60">
        <f>IF($A60="","",IF(OR($B60="",$C60="",$D60="",$B60&lt;1300,$B60&gt;1500,$C60&lt;1,$C60&gt;12,$D60&lt;1,$D60&gt;31),"نامعتبر",RIGHT("0000"&amp;$B60,4)&amp;"/"&amp;RIGHT("00"&amp;$C60,2)&amp;"/"&amp;RIGHT("00"&amp;$D60,2)))</f>
        <v/>
      </c>
      <c r="F60">
        <f>IF($A60="","",IF(Issues!$D63="",0,Issues!$D63))</f>
        <v/>
      </c>
      <c r="G60">
        <f>IF($A60="","",Issues!$E63)</f>
        <v/>
      </c>
      <c r="H60">
        <f>IF($A60="","",IF(COUNTIFS(ETxnType,"پاس چک",ETxnChk,$A60)&gt;0,"پاس شده","پاس نشده"))</f>
        <v/>
      </c>
      <c r="I60">
        <f>IF($A60="","",IFERROR(INDEX(BClrDate,MATCH($A60,BClrChk,0)),""))</f>
        <v/>
      </c>
      <c r="J60">
        <f>IF($A60="","",Issues!$G63)</f>
        <v/>
      </c>
      <c r="K60">
        <f>IF(OR($E60="",$E60="نامعتبر"),"",LEFT($E60,4)&amp;MID($E60,6,2)&amp;RIGHT($E60,2)&amp;"|"&amp;RIGHT("00000"&amp;55,5))</f>
        <v/>
      </c>
      <c r="M60">
        <f>IF(Sync!$M60&lt;&gt;"پاس چک","",IF(Sync!$P60="","",Sync!$P60))</f>
        <v/>
      </c>
      <c r="N60">
        <f>IF($M60="","",IF(ISNUMBER(Sync!$L60),IF(AND(Sync!$L60&gt;=10000101,Sync!$L60&lt;=99991231),RIGHT("0000"&amp;INT(Sync!$L60/10000),4)&amp;"/"&amp;RIGHT("00"&amp;INT(MOD(Sync!$L60,10000)/100),2)&amp;"/"&amp;RIGHT("00"&amp;MOD(Sync!$L60,100),2),""),IFERROR(RIGHT("0000"&amp;VALUE(TRIM(LEFT(Sync!$L60,FIND("/",Sync!$L60)-1))),4)&amp;"/"&amp;RIGHT("00"&amp;VALUE(TRIM(LEFT(MID(Sync!$L60,FIND("/",Sync!$L60)+1,20),FIND("/",MID(Sync!$L60,FIND("/",Sync!$L60)+1,20))-1))),2)&amp;"/"&amp;RIGHT("00"&amp;VALUE(TRIM(MID(MID(Sync!$L60,FIND("/",Sync!$L60)+1,20),FIND("/",MID(Sync!$L60,FIND("/",Sync!$L60)+1,20))+1,20))),2),"")))</f>
        <v/>
      </c>
    </row>
    <row r="61">
      <c r="A61">
        <f>IF(Issues!$B64="","",Issues!$B64)</f>
        <v/>
      </c>
      <c r="B61">
        <f>IF($A61="","",IF(ISNUMBER(Issues!$C64),IF(AND(Issues!$C64&gt;=10000101,Issues!$C64&lt;=99991231),INT(Issues!$C64/10000),""),IFERROR(VALUE(TRIM(LEFT(Issues!$C64,FIND("/",Issues!$C64)-1))),"")))</f>
        <v/>
      </c>
      <c r="C61">
        <f>IF(OR($A61="",$B61=""),"",IF(ISNUMBER(Issues!$C64),INT(MOD(Issues!$C64,10000)/100),IFERROR(VALUE(TRIM(LEFT(MID(Issues!$C64,FIND("/",Issues!$C64)+1,20),FIND("/",MID(Issues!$C64,FIND("/",Issues!$C64)+1,20))-1))),"")))</f>
        <v/>
      </c>
      <c r="D61">
        <f>IF(OR($A61="",$B61=""),"",IF(ISNUMBER(Issues!$C64),MOD(Issues!$C64,100),IFERROR(VALUE(TRIM(MID(MID(Issues!$C64,FIND("/",Issues!$C64)+1,20),FIND("/",MID(Issues!$C64,FIND("/",Issues!$C64)+1,20))+1,20))),"")))</f>
        <v/>
      </c>
      <c r="E61">
        <f>IF($A61="","",IF(OR($B61="",$C61="",$D61="",$B61&lt;1300,$B61&gt;1500,$C61&lt;1,$C61&gt;12,$D61&lt;1,$D61&gt;31),"نامعتبر",RIGHT("0000"&amp;$B61,4)&amp;"/"&amp;RIGHT("00"&amp;$C61,2)&amp;"/"&amp;RIGHT("00"&amp;$D61,2)))</f>
        <v/>
      </c>
      <c r="F61">
        <f>IF($A61="","",IF(Issues!$D64="",0,Issues!$D64))</f>
        <v/>
      </c>
      <c r="G61">
        <f>IF($A61="","",Issues!$E64)</f>
        <v/>
      </c>
      <c r="H61">
        <f>IF($A61="","",IF(COUNTIFS(ETxnType,"پاس چک",ETxnChk,$A61)&gt;0,"پاس شده","پاس نشده"))</f>
        <v/>
      </c>
      <c r="I61">
        <f>IF($A61="","",IFERROR(INDEX(BClrDate,MATCH($A61,BClrChk,0)),""))</f>
        <v/>
      </c>
      <c r="J61">
        <f>IF($A61="","",Issues!$G64)</f>
        <v/>
      </c>
      <c r="K61">
        <f>IF(OR($E61="",$E61="نامعتبر"),"",LEFT($E61,4)&amp;MID($E61,6,2)&amp;RIGHT($E61,2)&amp;"|"&amp;RIGHT("00000"&amp;56,5))</f>
        <v/>
      </c>
      <c r="M61">
        <f>IF(Sync!$M61&lt;&gt;"پاس چک","",IF(Sync!$P61="","",Sync!$P61))</f>
        <v/>
      </c>
      <c r="N61">
        <f>IF($M61="","",IF(ISNUMBER(Sync!$L61),IF(AND(Sync!$L61&gt;=10000101,Sync!$L61&lt;=99991231),RIGHT("0000"&amp;INT(Sync!$L61/10000),4)&amp;"/"&amp;RIGHT("00"&amp;INT(MOD(Sync!$L61,10000)/100),2)&amp;"/"&amp;RIGHT("00"&amp;MOD(Sync!$L61,100),2),""),IFERROR(RIGHT("0000"&amp;VALUE(TRIM(LEFT(Sync!$L61,FIND("/",Sync!$L61)-1))),4)&amp;"/"&amp;RIGHT("00"&amp;VALUE(TRIM(LEFT(MID(Sync!$L61,FIND("/",Sync!$L61)+1,20),FIND("/",MID(Sync!$L61,FIND("/",Sync!$L61)+1,20))-1))),2)&amp;"/"&amp;RIGHT("00"&amp;VALUE(TRIM(MID(MID(Sync!$L61,FIND("/",Sync!$L61)+1,20),FIND("/",MID(Sync!$L61,FIND("/",Sync!$L61)+1,20))+1,20))),2),"")))</f>
        <v/>
      </c>
    </row>
    <row r="62">
      <c r="A62">
        <f>IF(Issues!$B65="","",Issues!$B65)</f>
        <v/>
      </c>
      <c r="B62">
        <f>IF($A62="","",IF(ISNUMBER(Issues!$C65),IF(AND(Issues!$C65&gt;=10000101,Issues!$C65&lt;=99991231),INT(Issues!$C65/10000),""),IFERROR(VALUE(TRIM(LEFT(Issues!$C65,FIND("/",Issues!$C65)-1))),"")))</f>
        <v/>
      </c>
      <c r="C62">
        <f>IF(OR($A62="",$B62=""),"",IF(ISNUMBER(Issues!$C65),INT(MOD(Issues!$C65,10000)/100),IFERROR(VALUE(TRIM(LEFT(MID(Issues!$C65,FIND("/",Issues!$C65)+1,20),FIND("/",MID(Issues!$C65,FIND("/",Issues!$C65)+1,20))-1))),"")))</f>
        <v/>
      </c>
      <c r="D62">
        <f>IF(OR($A62="",$B62=""),"",IF(ISNUMBER(Issues!$C65),MOD(Issues!$C65,100),IFERROR(VALUE(TRIM(MID(MID(Issues!$C65,FIND("/",Issues!$C65)+1,20),FIND("/",MID(Issues!$C65,FIND("/",Issues!$C65)+1,20))+1,20))),"")))</f>
        <v/>
      </c>
      <c r="E62">
        <f>IF($A62="","",IF(OR($B62="",$C62="",$D62="",$B62&lt;1300,$B62&gt;1500,$C62&lt;1,$C62&gt;12,$D62&lt;1,$D62&gt;31),"نامعتبر",RIGHT("0000"&amp;$B62,4)&amp;"/"&amp;RIGHT("00"&amp;$C62,2)&amp;"/"&amp;RIGHT("00"&amp;$D62,2)))</f>
        <v/>
      </c>
      <c r="F62">
        <f>IF($A62="","",IF(Issues!$D65="",0,Issues!$D65))</f>
        <v/>
      </c>
      <c r="G62">
        <f>IF($A62="","",Issues!$E65)</f>
        <v/>
      </c>
      <c r="H62">
        <f>IF($A62="","",IF(COUNTIFS(ETxnType,"پاس چک",ETxnChk,$A62)&gt;0,"پاس شده","پاس نشده"))</f>
        <v/>
      </c>
      <c r="I62">
        <f>IF($A62="","",IFERROR(INDEX(BClrDate,MATCH($A62,BClrChk,0)),""))</f>
        <v/>
      </c>
      <c r="J62">
        <f>IF($A62="","",Issues!$G65)</f>
        <v/>
      </c>
      <c r="K62">
        <f>IF(OR($E62="",$E62="نامعتبر"),"",LEFT($E62,4)&amp;MID($E62,6,2)&amp;RIGHT($E62,2)&amp;"|"&amp;RIGHT("00000"&amp;57,5))</f>
        <v/>
      </c>
      <c r="M62">
        <f>IF(Sync!$M62&lt;&gt;"پاس چک","",IF(Sync!$P62="","",Sync!$P62))</f>
        <v/>
      </c>
      <c r="N62">
        <f>IF($M62="","",IF(ISNUMBER(Sync!$L62),IF(AND(Sync!$L62&gt;=10000101,Sync!$L62&lt;=99991231),RIGHT("0000"&amp;INT(Sync!$L62/10000),4)&amp;"/"&amp;RIGHT("00"&amp;INT(MOD(Sync!$L62,10000)/100),2)&amp;"/"&amp;RIGHT("00"&amp;MOD(Sync!$L62,100),2),""),IFERROR(RIGHT("0000"&amp;VALUE(TRIM(LEFT(Sync!$L62,FIND("/",Sync!$L62)-1))),4)&amp;"/"&amp;RIGHT("00"&amp;VALUE(TRIM(LEFT(MID(Sync!$L62,FIND("/",Sync!$L62)+1,20),FIND("/",MID(Sync!$L62,FIND("/",Sync!$L62)+1,20))-1))),2)&amp;"/"&amp;RIGHT("00"&amp;VALUE(TRIM(MID(MID(Sync!$L62,FIND("/",Sync!$L62)+1,20),FIND("/",MID(Sync!$L62,FIND("/",Sync!$L62)+1,20))+1,20))),2),"")))</f>
        <v/>
      </c>
    </row>
    <row r="63">
      <c r="A63">
        <f>IF(Issues!$B66="","",Issues!$B66)</f>
        <v/>
      </c>
      <c r="B63">
        <f>IF($A63="","",IF(ISNUMBER(Issues!$C66),IF(AND(Issues!$C66&gt;=10000101,Issues!$C66&lt;=99991231),INT(Issues!$C66/10000),""),IFERROR(VALUE(TRIM(LEFT(Issues!$C66,FIND("/",Issues!$C66)-1))),"")))</f>
        <v/>
      </c>
      <c r="C63">
        <f>IF(OR($A63="",$B63=""),"",IF(ISNUMBER(Issues!$C66),INT(MOD(Issues!$C66,10000)/100),IFERROR(VALUE(TRIM(LEFT(MID(Issues!$C66,FIND("/",Issues!$C66)+1,20),FIND("/",MID(Issues!$C66,FIND("/",Issues!$C66)+1,20))-1))),"")))</f>
        <v/>
      </c>
      <c r="D63">
        <f>IF(OR($A63="",$B63=""),"",IF(ISNUMBER(Issues!$C66),MOD(Issues!$C66,100),IFERROR(VALUE(TRIM(MID(MID(Issues!$C66,FIND("/",Issues!$C66)+1,20),FIND("/",MID(Issues!$C66,FIND("/",Issues!$C66)+1,20))+1,20))),"")))</f>
        <v/>
      </c>
      <c r="E63">
        <f>IF($A63="","",IF(OR($B63="",$C63="",$D63="",$B63&lt;1300,$B63&gt;1500,$C63&lt;1,$C63&gt;12,$D63&lt;1,$D63&gt;31),"نامعتبر",RIGHT("0000"&amp;$B63,4)&amp;"/"&amp;RIGHT("00"&amp;$C63,2)&amp;"/"&amp;RIGHT("00"&amp;$D63,2)))</f>
        <v/>
      </c>
      <c r="F63">
        <f>IF($A63="","",IF(Issues!$D66="",0,Issues!$D66))</f>
        <v/>
      </c>
      <c r="G63">
        <f>IF($A63="","",Issues!$E66)</f>
        <v/>
      </c>
      <c r="H63">
        <f>IF($A63="","",IF(COUNTIFS(ETxnType,"پاس چک",ETxnChk,$A63)&gt;0,"پاس شده","پاس نشده"))</f>
        <v/>
      </c>
      <c r="I63">
        <f>IF($A63="","",IFERROR(INDEX(BClrDate,MATCH($A63,BClrChk,0)),""))</f>
        <v/>
      </c>
      <c r="J63">
        <f>IF($A63="","",Issues!$G66)</f>
        <v/>
      </c>
      <c r="K63">
        <f>IF(OR($E63="",$E63="نامعتبر"),"",LEFT($E63,4)&amp;MID($E63,6,2)&amp;RIGHT($E63,2)&amp;"|"&amp;RIGHT("00000"&amp;58,5))</f>
        <v/>
      </c>
      <c r="M63">
        <f>IF(Sync!$M63&lt;&gt;"پاس چک","",IF(Sync!$P63="","",Sync!$P63))</f>
        <v/>
      </c>
      <c r="N63">
        <f>IF($M63="","",IF(ISNUMBER(Sync!$L63),IF(AND(Sync!$L63&gt;=10000101,Sync!$L63&lt;=99991231),RIGHT("0000"&amp;INT(Sync!$L63/10000),4)&amp;"/"&amp;RIGHT("00"&amp;INT(MOD(Sync!$L63,10000)/100),2)&amp;"/"&amp;RIGHT("00"&amp;MOD(Sync!$L63,100),2),""),IFERROR(RIGHT("0000"&amp;VALUE(TRIM(LEFT(Sync!$L63,FIND("/",Sync!$L63)-1))),4)&amp;"/"&amp;RIGHT("00"&amp;VALUE(TRIM(LEFT(MID(Sync!$L63,FIND("/",Sync!$L63)+1,20),FIND("/",MID(Sync!$L63,FIND("/",Sync!$L63)+1,20))-1))),2)&amp;"/"&amp;RIGHT("00"&amp;VALUE(TRIM(MID(MID(Sync!$L63,FIND("/",Sync!$L63)+1,20),FIND("/",MID(Sync!$L63,FIND("/",Sync!$L63)+1,20))+1,20))),2),"")))</f>
        <v/>
      </c>
    </row>
    <row r="64">
      <c r="A64">
        <f>IF(Issues!$B67="","",Issues!$B67)</f>
        <v/>
      </c>
      <c r="B64">
        <f>IF($A64="","",IF(ISNUMBER(Issues!$C67),IF(AND(Issues!$C67&gt;=10000101,Issues!$C67&lt;=99991231),INT(Issues!$C67/10000),""),IFERROR(VALUE(TRIM(LEFT(Issues!$C67,FIND("/",Issues!$C67)-1))),"")))</f>
        <v/>
      </c>
      <c r="C64">
        <f>IF(OR($A64="",$B64=""),"",IF(ISNUMBER(Issues!$C67),INT(MOD(Issues!$C67,10000)/100),IFERROR(VALUE(TRIM(LEFT(MID(Issues!$C67,FIND("/",Issues!$C67)+1,20),FIND("/",MID(Issues!$C67,FIND("/",Issues!$C67)+1,20))-1))),"")))</f>
        <v/>
      </c>
      <c r="D64">
        <f>IF(OR($A64="",$B64=""),"",IF(ISNUMBER(Issues!$C67),MOD(Issues!$C67,100),IFERROR(VALUE(TRIM(MID(MID(Issues!$C67,FIND("/",Issues!$C67)+1,20),FIND("/",MID(Issues!$C67,FIND("/",Issues!$C67)+1,20))+1,20))),"")))</f>
        <v/>
      </c>
      <c r="E64">
        <f>IF($A64="","",IF(OR($B64="",$C64="",$D64="",$B64&lt;1300,$B64&gt;1500,$C64&lt;1,$C64&gt;12,$D64&lt;1,$D64&gt;31),"نامعتبر",RIGHT("0000"&amp;$B64,4)&amp;"/"&amp;RIGHT("00"&amp;$C64,2)&amp;"/"&amp;RIGHT("00"&amp;$D64,2)))</f>
        <v/>
      </c>
      <c r="F64">
        <f>IF($A64="","",IF(Issues!$D67="",0,Issues!$D67))</f>
        <v/>
      </c>
      <c r="G64">
        <f>IF($A64="","",Issues!$E67)</f>
        <v/>
      </c>
      <c r="H64">
        <f>IF($A64="","",IF(COUNTIFS(ETxnType,"پاس چک",ETxnChk,$A64)&gt;0,"پاس شده","پاس نشده"))</f>
        <v/>
      </c>
      <c r="I64">
        <f>IF($A64="","",IFERROR(INDEX(BClrDate,MATCH($A64,BClrChk,0)),""))</f>
        <v/>
      </c>
      <c r="J64">
        <f>IF($A64="","",Issues!$G67)</f>
        <v/>
      </c>
      <c r="K64">
        <f>IF(OR($E64="",$E64="نامعتبر"),"",LEFT($E64,4)&amp;MID($E64,6,2)&amp;RIGHT($E64,2)&amp;"|"&amp;RIGHT("00000"&amp;59,5))</f>
        <v/>
      </c>
      <c r="M64">
        <f>IF(Sync!$M64&lt;&gt;"پاس چک","",IF(Sync!$P64="","",Sync!$P64))</f>
        <v/>
      </c>
      <c r="N64">
        <f>IF($M64="","",IF(ISNUMBER(Sync!$L64),IF(AND(Sync!$L64&gt;=10000101,Sync!$L64&lt;=99991231),RIGHT("0000"&amp;INT(Sync!$L64/10000),4)&amp;"/"&amp;RIGHT("00"&amp;INT(MOD(Sync!$L64,10000)/100),2)&amp;"/"&amp;RIGHT("00"&amp;MOD(Sync!$L64,100),2),""),IFERROR(RIGHT("0000"&amp;VALUE(TRIM(LEFT(Sync!$L64,FIND("/",Sync!$L64)-1))),4)&amp;"/"&amp;RIGHT("00"&amp;VALUE(TRIM(LEFT(MID(Sync!$L64,FIND("/",Sync!$L64)+1,20),FIND("/",MID(Sync!$L64,FIND("/",Sync!$L64)+1,20))-1))),2)&amp;"/"&amp;RIGHT("00"&amp;VALUE(TRIM(MID(MID(Sync!$L64,FIND("/",Sync!$L64)+1,20),FIND("/",MID(Sync!$L64,FIND("/",Sync!$L64)+1,20))+1,20))),2),"")))</f>
        <v/>
      </c>
    </row>
    <row r="65">
      <c r="A65">
        <f>IF(Issues!$B68="","",Issues!$B68)</f>
        <v/>
      </c>
      <c r="B65">
        <f>IF($A65="","",IF(ISNUMBER(Issues!$C68),IF(AND(Issues!$C68&gt;=10000101,Issues!$C68&lt;=99991231),INT(Issues!$C68/10000),""),IFERROR(VALUE(TRIM(LEFT(Issues!$C68,FIND("/",Issues!$C68)-1))),"")))</f>
        <v/>
      </c>
      <c r="C65">
        <f>IF(OR($A65="",$B65=""),"",IF(ISNUMBER(Issues!$C68),INT(MOD(Issues!$C68,10000)/100),IFERROR(VALUE(TRIM(LEFT(MID(Issues!$C68,FIND("/",Issues!$C68)+1,20),FIND("/",MID(Issues!$C68,FIND("/",Issues!$C68)+1,20))-1))),"")))</f>
        <v/>
      </c>
      <c r="D65">
        <f>IF(OR($A65="",$B65=""),"",IF(ISNUMBER(Issues!$C68),MOD(Issues!$C68,100),IFERROR(VALUE(TRIM(MID(MID(Issues!$C68,FIND("/",Issues!$C68)+1,20),FIND("/",MID(Issues!$C68,FIND("/",Issues!$C68)+1,20))+1,20))),"")))</f>
        <v/>
      </c>
      <c r="E65">
        <f>IF($A65="","",IF(OR($B65="",$C65="",$D65="",$B65&lt;1300,$B65&gt;1500,$C65&lt;1,$C65&gt;12,$D65&lt;1,$D65&gt;31),"نامعتبر",RIGHT("0000"&amp;$B65,4)&amp;"/"&amp;RIGHT("00"&amp;$C65,2)&amp;"/"&amp;RIGHT("00"&amp;$D65,2)))</f>
        <v/>
      </c>
      <c r="F65">
        <f>IF($A65="","",IF(Issues!$D68="",0,Issues!$D68))</f>
        <v/>
      </c>
      <c r="G65">
        <f>IF($A65="","",Issues!$E68)</f>
        <v/>
      </c>
      <c r="H65">
        <f>IF($A65="","",IF(COUNTIFS(ETxnType,"پاس چک",ETxnChk,$A65)&gt;0,"پاس شده","پاس نشده"))</f>
        <v/>
      </c>
      <c r="I65">
        <f>IF($A65="","",IFERROR(INDEX(BClrDate,MATCH($A65,BClrChk,0)),""))</f>
        <v/>
      </c>
      <c r="J65">
        <f>IF($A65="","",Issues!$G68)</f>
        <v/>
      </c>
      <c r="K65">
        <f>IF(OR($E65="",$E65="نامعتبر"),"",LEFT($E65,4)&amp;MID($E65,6,2)&amp;RIGHT($E65,2)&amp;"|"&amp;RIGHT("00000"&amp;60,5))</f>
        <v/>
      </c>
      <c r="M65">
        <f>IF(Sync!$M65&lt;&gt;"پاس چک","",IF(Sync!$P65="","",Sync!$P65))</f>
        <v/>
      </c>
      <c r="N65">
        <f>IF($M65="","",IF(ISNUMBER(Sync!$L65),IF(AND(Sync!$L65&gt;=10000101,Sync!$L65&lt;=99991231),RIGHT("0000"&amp;INT(Sync!$L65/10000),4)&amp;"/"&amp;RIGHT("00"&amp;INT(MOD(Sync!$L65,10000)/100),2)&amp;"/"&amp;RIGHT("00"&amp;MOD(Sync!$L65,100),2),""),IFERROR(RIGHT("0000"&amp;VALUE(TRIM(LEFT(Sync!$L65,FIND("/",Sync!$L65)-1))),4)&amp;"/"&amp;RIGHT("00"&amp;VALUE(TRIM(LEFT(MID(Sync!$L65,FIND("/",Sync!$L65)+1,20),FIND("/",MID(Sync!$L65,FIND("/",Sync!$L65)+1,20))-1))),2)&amp;"/"&amp;RIGHT("00"&amp;VALUE(TRIM(MID(MID(Sync!$L65,FIND("/",Sync!$L65)+1,20),FIND("/",MID(Sync!$L65,FIND("/",Sync!$L65)+1,20))+1,20))),2),"")))</f>
        <v/>
      </c>
    </row>
    <row r="66">
      <c r="A66">
        <f>IF(Issues!$B69="","",Issues!$B69)</f>
        <v/>
      </c>
      <c r="B66">
        <f>IF($A66="","",IF(ISNUMBER(Issues!$C69),IF(AND(Issues!$C69&gt;=10000101,Issues!$C69&lt;=99991231),INT(Issues!$C69/10000),""),IFERROR(VALUE(TRIM(LEFT(Issues!$C69,FIND("/",Issues!$C69)-1))),"")))</f>
        <v/>
      </c>
      <c r="C66">
        <f>IF(OR($A66="",$B66=""),"",IF(ISNUMBER(Issues!$C69),INT(MOD(Issues!$C69,10000)/100),IFERROR(VALUE(TRIM(LEFT(MID(Issues!$C69,FIND("/",Issues!$C69)+1,20),FIND("/",MID(Issues!$C69,FIND("/",Issues!$C69)+1,20))-1))),"")))</f>
        <v/>
      </c>
      <c r="D66">
        <f>IF(OR($A66="",$B66=""),"",IF(ISNUMBER(Issues!$C69),MOD(Issues!$C69,100),IFERROR(VALUE(TRIM(MID(MID(Issues!$C69,FIND("/",Issues!$C69)+1,20),FIND("/",MID(Issues!$C69,FIND("/",Issues!$C69)+1,20))+1,20))),"")))</f>
        <v/>
      </c>
      <c r="E66">
        <f>IF($A66="","",IF(OR($B66="",$C66="",$D66="",$B66&lt;1300,$B66&gt;1500,$C66&lt;1,$C66&gt;12,$D66&lt;1,$D66&gt;31),"نامعتبر",RIGHT("0000"&amp;$B66,4)&amp;"/"&amp;RIGHT("00"&amp;$C66,2)&amp;"/"&amp;RIGHT("00"&amp;$D66,2)))</f>
        <v/>
      </c>
      <c r="F66">
        <f>IF($A66="","",IF(Issues!$D69="",0,Issues!$D69))</f>
        <v/>
      </c>
      <c r="G66">
        <f>IF($A66="","",Issues!$E69)</f>
        <v/>
      </c>
      <c r="H66">
        <f>IF($A66="","",IF(COUNTIFS(ETxnType,"پاس چک",ETxnChk,$A66)&gt;0,"پاس شده","پاس نشده"))</f>
        <v/>
      </c>
      <c r="I66">
        <f>IF($A66="","",IFERROR(INDEX(BClrDate,MATCH($A66,BClrChk,0)),""))</f>
        <v/>
      </c>
      <c r="J66">
        <f>IF($A66="","",Issues!$G69)</f>
        <v/>
      </c>
      <c r="K66">
        <f>IF(OR($E66="",$E66="نامعتبر"),"",LEFT($E66,4)&amp;MID($E66,6,2)&amp;RIGHT($E66,2)&amp;"|"&amp;RIGHT("00000"&amp;61,5))</f>
        <v/>
      </c>
      <c r="M66">
        <f>IF(Sync!$M66&lt;&gt;"پاس چک","",IF(Sync!$P66="","",Sync!$P66))</f>
        <v/>
      </c>
      <c r="N66">
        <f>IF($M66="","",IF(ISNUMBER(Sync!$L66),IF(AND(Sync!$L66&gt;=10000101,Sync!$L66&lt;=99991231),RIGHT("0000"&amp;INT(Sync!$L66/10000),4)&amp;"/"&amp;RIGHT("00"&amp;INT(MOD(Sync!$L66,10000)/100),2)&amp;"/"&amp;RIGHT("00"&amp;MOD(Sync!$L66,100),2),""),IFERROR(RIGHT("0000"&amp;VALUE(TRIM(LEFT(Sync!$L66,FIND("/",Sync!$L66)-1))),4)&amp;"/"&amp;RIGHT("00"&amp;VALUE(TRIM(LEFT(MID(Sync!$L66,FIND("/",Sync!$L66)+1,20),FIND("/",MID(Sync!$L66,FIND("/",Sync!$L66)+1,20))-1))),2)&amp;"/"&amp;RIGHT("00"&amp;VALUE(TRIM(MID(MID(Sync!$L66,FIND("/",Sync!$L66)+1,20),FIND("/",MID(Sync!$L66,FIND("/",Sync!$L66)+1,20))+1,20))),2),"")))</f>
        <v/>
      </c>
    </row>
    <row r="67">
      <c r="A67">
        <f>IF(Issues!$B70="","",Issues!$B70)</f>
        <v/>
      </c>
      <c r="B67">
        <f>IF($A67="","",IF(ISNUMBER(Issues!$C70),IF(AND(Issues!$C70&gt;=10000101,Issues!$C70&lt;=99991231),INT(Issues!$C70/10000),""),IFERROR(VALUE(TRIM(LEFT(Issues!$C70,FIND("/",Issues!$C70)-1))),"")))</f>
        <v/>
      </c>
      <c r="C67">
        <f>IF(OR($A67="",$B67=""),"",IF(ISNUMBER(Issues!$C70),INT(MOD(Issues!$C70,10000)/100),IFERROR(VALUE(TRIM(LEFT(MID(Issues!$C70,FIND("/",Issues!$C70)+1,20),FIND("/",MID(Issues!$C70,FIND("/",Issues!$C70)+1,20))-1))),"")))</f>
        <v/>
      </c>
      <c r="D67">
        <f>IF(OR($A67="",$B67=""),"",IF(ISNUMBER(Issues!$C70),MOD(Issues!$C70,100),IFERROR(VALUE(TRIM(MID(MID(Issues!$C70,FIND("/",Issues!$C70)+1,20),FIND("/",MID(Issues!$C70,FIND("/",Issues!$C70)+1,20))+1,20))),"")))</f>
        <v/>
      </c>
      <c r="E67">
        <f>IF($A67="","",IF(OR($B67="",$C67="",$D67="",$B67&lt;1300,$B67&gt;1500,$C67&lt;1,$C67&gt;12,$D67&lt;1,$D67&gt;31),"نامعتبر",RIGHT("0000"&amp;$B67,4)&amp;"/"&amp;RIGHT("00"&amp;$C67,2)&amp;"/"&amp;RIGHT("00"&amp;$D67,2)))</f>
        <v/>
      </c>
      <c r="F67">
        <f>IF($A67="","",IF(Issues!$D70="",0,Issues!$D70))</f>
        <v/>
      </c>
      <c r="G67">
        <f>IF($A67="","",Issues!$E70)</f>
        <v/>
      </c>
      <c r="H67">
        <f>IF($A67="","",IF(COUNTIFS(ETxnType,"پاس چک",ETxnChk,$A67)&gt;0,"پاس شده","پاس نشده"))</f>
        <v/>
      </c>
      <c r="I67">
        <f>IF($A67="","",IFERROR(INDEX(BClrDate,MATCH($A67,BClrChk,0)),""))</f>
        <v/>
      </c>
      <c r="J67">
        <f>IF($A67="","",Issues!$G70)</f>
        <v/>
      </c>
      <c r="K67">
        <f>IF(OR($E67="",$E67="نامعتبر"),"",LEFT($E67,4)&amp;MID($E67,6,2)&amp;RIGHT($E67,2)&amp;"|"&amp;RIGHT("00000"&amp;62,5))</f>
        <v/>
      </c>
      <c r="M67">
        <f>IF(Sync!$M67&lt;&gt;"پاس چک","",IF(Sync!$P67="","",Sync!$P67))</f>
        <v/>
      </c>
      <c r="N67">
        <f>IF($M67="","",IF(ISNUMBER(Sync!$L67),IF(AND(Sync!$L67&gt;=10000101,Sync!$L67&lt;=99991231),RIGHT("0000"&amp;INT(Sync!$L67/10000),4)&amp;"/"&amp;RIGHT("00"&amp;INT(MOD(Sync!$L67,10000)/100),2)&amp;"/"&amp;RIGHT("00"&amp;MOD(Sync!$L67,100),2),""),IFERROR(RIGHT("0000"&amp;VALUE(TRIM(LEFT(Sync!$L67,FIND("/",Sync!$L67)-1))),4)&amp;"/"&amp;RIGHT("00"&amp;VALUE(TRIM(LEFT(MID(Sync!$L67,FIND("/",Sync!$L67)+1,20),FIND("/",MID(Sync!$L67,FIND("/",Sync!$L67)+1,20))-1))),2)&amp;"/"&amp;RIGHT("00"&amp;VALUE(TRIM(MID(MID(Sync!$L67,FIND("/",Sync!$L67)+1,20),FIND("/",MID(Sync!$L67,FIND("/",Sync!$L67)+1,20))+1,20))),2),"")))</f>
        <v/>
      </c>
    </row>
    <row r="68">
      <c r="A68">
        <f>IF(Issues!$B71="","",Issues!$B71)</f>
        <v/>
      </c>
      <c r="B68">
        <f>IF($A68="","",IF(ISNUMBER(Issues!$C71),IF(AND(Issues!$C71&gt;=10000101,Issues!$C71&lt;=99991231),INT(Issues!$C71/10000),""),IFERROR(VALUE(TRIM(LEFT(Issues!$C71,FIND("/",Issues!$C71)-1))),"")))</f>
        <v/>
      </c>
      <c r="C68">
        <f>IF(OR($A68="",$B68=""),"",IF(ISNUMBER(Issues!$C71),INT(MOD(Issues!$C71,10000)/100),IFERROR(VALUE(TRIM(LEFT(MID(Issues!$C71,FIND("/",Issues!$C71)+1,20),FIND("/",MID(Issues!$C71,FIND("/",Issues!$C71)+1,20))-1))),"")))</f>
        <v/>
      </c>
      <c r="D68">
        <f>IF(OR($A68="",$B68=""),"",IF(ISNUMBER(Issues!$C71),MOD(Issues!$C71,100),IFERROR(VALUE(TRIM(MID(MID(Issues!$C71,FIND("/",Issues!$C71)+1,20),FIND("/",MID(Issues!$C71,FIND("/",Issues!$C71)+1,20))+1,20))),"")))</f>
        <v/>
      </c>
      <c r="E68">
        <f>IF($A68="","",IF(OR($B68="",$C68="",$D68="",$B68&lt;1300,$B68&gt;1500,$C68&lt;1,$C68&gt;12,$D68&lt;1,$D68&gt;31),"نامعتبر",RIGHT("0000"&amp;$B68,4)&amp;"/"&amp;RIGHT("00"&amp;$C68,2)&amp;"/"&amp;RIGHT("00"&amp;$D68,2)))</f>
        <v/>
      </c>
      <c r="F68">
        <f>IF($A68="","",IF(Issues!$D71="",0,Issues!$D71))</f>
        <v/>
      </c>
      <c r="G68">
        <f>IF($A68="","",Issues!$E71)</f>
        <v/>
      </c>
      <c r="H68">
        <f>IF($A68="","",IF(COUNTIFS(ETxnType,"پاس چک",ETxnChk,$A68)&gt;0,"پاس شده","پاس نشده"))</f>
        <v/>
      </c>
      <c r="I68">
        <f>IF($A68="","",IFERROR(INDEX(BClrDate,MATCH($A68,BClrChk,0)),""))</f>
        <v/>
      </c>
      <c r="J68">
        <f>IF($A68="","",Issues!$G71)</f>
        <v/>
      </c>
      <c r="K68">
        <f>IF(OR($E68="",$E68="نامعتبر"),"",LEFT($E68,4)&amp;MID($E68,6,2)&amp;RIGHT($E68,2)&amp;"|"&amp;RIGHT("00000"&amp;63,5))</f>
        <v/>
      </c>
      <c r="M68">
        <f>IF(Sync!$M68&lt;&gt;"پاس چک","",IF(Sync!$P68="","",Sync!$P68))</f>
        <v/>
      </c>
      <c r="N68">
        <f>IF($M68="","",IF(ISNUMBER(Sync!$L68),IF(AND(Sync!$L68&gt;=10000101,Sync!$L68&lt;=99991231),RIGHT("0000"&amp;INT(Sync!$L68/10000),4)&amp;"/"&amp;RIGHT("00"&amp;INT(MOD(Sync!$L68,10000)/100),2)&amp;"/"&amp;RIGHT("00"&amp;MOD(Sync!$L68,100),2),""),IFERROR(RIGHT("0000"&amp;VALUE(TRIM(LEFT(Sync!$L68,FIND("/",Sync!$L68)-1))),4)&amp;"/"&amp;RIGHT("00"&amp;VALUE(TRIM(LEFT(MID(Sync!$L68,FIND("/",Sync!$L68)+1,20),FIND("/",MID(Sync!$L68,FIND("/",Sync!$L68)+1,20))-1))),2)&amp;"/"&amp;RIGHT("00"&amp;VALUE(TRIM(MID(MID(Sync!$L68,FIND("/",Sync!$L68)+1,20),FIND("/",MID(Sync!$L68,FIND("/",Sync!$L68)+1,20))+1,20))),2),"")))</f>
        <v/>
      </c>
    </row>
    <row r="69">
      <c r="A69">
        <f>IF(Issues!$B72="","",Issues!$B72)</f>
        <v/>
      </c>
      <c r="B69">
        <f>IF($A69="","",IF(ISNUMBER(Issues!$C72),IF(AND(Issues!$C72&gt;=10000101,Issues!$C72&lt;=99991231),INT(Issues!$C72/10000),""),IFERROR(VALUE(TRIM(LEFT(Issues!$C72,FIND("/",Issues!$C72)-1))),"")))</f>
        <v/>
      </c>
      <c r="C69">
        <f>IF(OR($A69="",$B69=""),"",IF(ISNUMBER(Issues!$C72),INT(MOD(Issues!$C72,10000)/100),IFERROR(VALUE(TRIM(LEFT(MID(Issues!$C72,FIND("/",Issues!$C72)+1,20),FIND("/",MID(Issues!$C72,FIND("/",Issues!$C72)+1,20))-1))),"")))</f>
        <v/>
      </c>
      <c r="D69">
        <f>IF(OR($A69="",$B69=""),"",IF(ISNUMBER(Issues!$C72),MOD(Issues!$C72,100),IFERROR(VALUE(TRIM(MID(MID(Issues!$C72,FIND("/",Issues!$C72)+1,20),FIND("/",MID(Issues!$C72,FIND("/",Issues!$C72)+1,20))+1,20))),"")))</f>
        <v/>
      </c>
      <c r="E69">
        <f>IF($A69="","",IF(OR($B69="",$C69="",$D69="",$B69&lt;1300,$B69&gt;1500,$C69&lt;1,$C69&gt;12,$D69&lt;1,$D69&gt;31),"نامعتبر",RIGHT("0000"&amp;$B69,4)&amp;"/"&amp;RIGHT("00"&amp;$C69,2)&amp;"/"&amp;RIGHT("00"&amp;$D69,2)))</f>
        <v/>
      </c>
      <c r="F69">
        <f>IF($A69="","",IF(Issues!$D72="",0,Issues!$D72))</f>
        <v/>
      </c>
      <c r="G69">
        <f>IF($A69="","",Issues!$E72)</f>
        <v/>
      </c>
      <c r="H69">
        <f>IF($A69="","",IF(COUNTIFS(ETxnType,"پاس چک",ETxnChk,$A69)&gt;0,"پاس شده","پاس نشده"))</f>
        <v/>
      </c>
      <c r="I69">
        <f>IF($A69="","",IFERROR(INDEX(BClrDate,MATCH($A69,BClrChk,0)),""))</f>
        <v/>
      </c>
      <c r="J69">
        <f>IF($A69="","",Issues!$G72)</f>
        <v/>
      </c>
      <c r="K69">
        <f>IF(OR($E69="",$E69="نامعتبر"),"",LEFT($E69,4)&amp;MID($E69,6,2)&amp;RIGHT($E69,2)&amp;"|"&amp;RIGHT("00000"&amp;64,5))</f>
        <v/>
      </c>
      <c r="M69">
        <f>IF(Sync!$M69&lt;&gt;"پاس چک","",IF(Sync!$P69="","",Sync!$P69))</f>
        <v/>
      </c>
      <c r="N69">
        <f>IF($M69="","",IF(ISNUMBER(Sync!$L69),IF(AND(Sync!$L69&gt;=10000101,Sync!$L69&lt;=99991231),RIGHT("0000"&amp;INT(Sync!$L69/10000),4)&amp;"/"&amp;RIGHT("00"&amp;INT(MOD(Sync!$L69,10000)/100),2)&amp;"/"&amp;RIGHT("00"&amp;MOD(Sync!$L69,100),2),""),IFERROR(RIGHT("0000"&amp;VALUE(TRIM(LEFT(Sync!$L69,FIND("/",Sync!$L69)-1))),4)&amp;"/"&amp;RIGHT("00"&amp;VALUE(TRIM(LEFT(MID(Sync!$L69,FIND("/",Sync!$L69)+1,20),FIND("/",MID(Sync!$L69,FIND("/",Sync!$L69)+1,20))-1))),2)&amp;"/"&amp;RIGHT("00"&amp;VALUE(TRIM(MID(MID(Sync!$L69,FIND("/",Sync!$L69)+1,20),FIND("/",MID(Sync!$L69,FIND("/",Sync!$L69)+1,20))+1,20))),2),"")))</f>
        <v/>
      </c>
    </row>
    <row r="70">
      <c r="A70">
        <f>IF(Issues!$B73="","",Issues!$B73)</f>
        <v/>
      </c>
      <c r="B70">
        <f>IF($A70="","",IF(ISNUMBER(Issues!$C73),IF(AND(Issues!$C73&gt;=10000101,Issues!$C73&lt;=99991231),INT(Issues!$C73/10000),""),IFERROR(VALUE(TRIM(LEFT(Issues!$C73,FIND("/",Issues!$C73)-1))),"")))</f>
        <v/>
      </c>
      <c r="C70">
        <f>IF(OR($A70="",$B70=""),"",IF(ISNUMBER(Issues!$C73),INT(MOD(Issues!$C73,10000)/100),IFERROR(VALUE(TRIM(LEFT(MID(Issues!$C73,FIND("/",Issues!$C73)+1,20),FIND("/",MID(Issues!$C73,FIND("/",Issues!$C73)+1,20))-1))),"")))</f>
        <v/>
      </c>
      <c r="D70">
        <f>IF(OR($A70="",$B70=""),"",IF(ISNUMBER(Issues!$C73),MOD(Issues!$C73,100),IFERROR(VALUE(TRIM(MID(MID(Issues!$C73,FIND("/",Issues!$C73)+1,20),FIND("/",MID(Issues!$C73,FIND("/",Issues!$C73)+1,20))+1,20))),"")))</f>
        <v/>
      </c>
      <c r="E70">
        <f>IF($A70="","",IF(OR($B70="",$C70="",$D70="",$B70&lt;1300,$B70&gt;1500,$C70&lt;1,$C70&gt;12,$D70&lt;1,$D70&gt;31),"نامعتبر",RIGHT("0000"&amp;$B70,4)&amp;"/"&amp;RIGHT("00"&amp;$C70,2)&amp;"/"&amp;RIGHT("00"&amp;$D70,2)))</f>
        <v/>
      </c>
      <c r="F70">
        <f>IF($A70="","",IF(Issues!$D73="",0,Issues!$D73))</f>
        <v/>
      </c>
      <c r="G70">
        <f>IF($A70="","",Issues!$E73)</f>
        <v/>
      </c>
      <c r="H70">
        <f>IF($A70="","",IF(COUNTIFS(ETxnType,"پاس چک",ETxnChk,$A70)&gt;0,"پاس شده","پاس نشده"))</f>
        <v/>
      </c>
      <c r="I70">
        <f>IF($A70="","",IFERROR(INDEX(BClrDate,MATCH($A70,BClrChk,0)),""))</f>
        <v/>
      </c>
      <c r="J70">
        <f>IF($A70="","",Issues!$G73)</f>
        <v/>
      </c>
      <c r="K70">
        <f>IF(OR($E70="",$E70="نامعتبر"),"",LEFT($E70,4)&amp;MID($E70,6,2)&amp;RIGHT($E70,2)&amp;"|"&amp;RIGHT("00000"&amp;65,5))</f>
        <v/>
      </c>
      <c r="M70">
        <f>IF(Sync!$M70&lt;&gt;"پاس چک","",IF(Sync!$P70="","",Sync!$P70))</f>
        <v/>
      </c>
      <c r="N70">
        <f>IF($M70="","",IF(ISNUMBER(Sync!$L70),IF(AND(Sync!$L70&gt;=10000101,Sync!$L70&lt;=99991231),RIGHT("0000"&amp;INT(Sync!$L70/10000),4)&amp;"/"&amp;RIGHT("00"&amp;INT(MOD(Sync!$L70,10000)/100),2)&amp;"/"&amp;RIGHT("00"&amp;MOD(Sync!$L70,100),2),""),IFERROR(RIGHT("0000"&amp;VALUE(TRIM(LEFT(Sync!$L70,FIND("/",Sync!$L70)-1))),4)&amp;"/"&amp;RIGHT("00"&amp;VALUE(TRIM(LEFT(MID(Sync!$L70,FIND("/",Sync!$L70)+1,20),FIND("/",MID(Sync!$L70,FIND("/",Sync!$L70)+1,20))-1))),2)&amp;"/"&amp;RIGHT("00"&amp;VALUE(TRIM(MID(MID(Sync!$L70,FIND("/",Sync!$L70)+1,20),FIND("/",MID(Sync!$L70,FIND("/",Sync!$L70)+1,20))+1,20))),2),"")))</f>
        <v/>
      </c>
    </row>
    <row r="71">
      <c r="A71">
        <f>IF(Issues!$B74="","",Issues!$B74)</f>
        <v/>
      </c>
      <c r="B71">
        <f>IF($A71="","",IF(ISNUMBER(Issues!$C74),IF(AND(Issues!$C74&gt;=10000101,Issues!$C74&lt;=99991231),INT(Issues!$C74/10000),""),IFERROR(VALUE(TRIM(LEFT(Issues!$C74,FIND("/",Issues!$C74)-1))),"")))</f>
        <v/>
      </c>
      <c r="C71">
        <f>IF(OR($A71="",$B71=""),"",IF(ISNUMBER(Issues!$C74),INT(MOD(Issues!$C74,10000)/100),IFERROR(VALUE(TRIM(LEFT(MID(Issues!$C74,FIND("/",Issues!$C74)+1,20),FIND("/",MID(Issues!$C74,FIND("/",Issues!$C74)+1,20))-1))),"")))</f>
        <v/>
      </c>
      <c r="D71">
        <f>IF(OR($A71="",$B71=""),"",IF(ISNUMBER(Issues!$C74),MOD(Issues!$C74,100),IFERROR(VALUE(TRIM(MID(MID(Issues!$C74,FIND("/",Issues!$C74)+1,20),FIND("/",MID(Issues!$C74,FIND("/",Issues!$C74)+1,20))+1,20))),"")))</f>
        <v/>
      </c>
      <c r="E71">
        <f>IF($A71="","",IF(OR($B71="",$C71="",$D71="",$B71&lt;1300,$B71&gt;1500,$C71&lt;1,$C71&gt;12,$D71&lt;1,$D71&gt;31),"نامعتبر",RIGHT("0000"&amp;$B71,4)&amp;"/"&amp;RIGHT("00"&amp;$C71,2)&amp;"/"&amp;RIGHT("00"&amp;$D71,2)))</f>
        <v/>
      </c>
      <c r="F71">
        <f>IF($A71="","",IF(Issues!$D74="",0,Issues!$D74))</f>
        <v/>
      </c>
      <c r="G71">
        <f>IF($A71="","",Issues!$E74)</f>
        <v/>
      </c>
      <c r="H71">
        <f>IF($A71="","",IF(COUNTIFS(ETxnType,"پاس چک",ETxnChk,$A71)&gt;0,"پاس شده","پاس نشده"))</f>
        <v/>
      </c>
      <c r="I71">
        <f>IF($A71="","",IFERROR(INDEX(BClrDate,MATCH($A71,BClrChk,0)),""))</f>
        <v/>
      </c>
      <c r="J71">
        <f>IF($A71="","",Issues!$G74)</f>
        <v/>
      </c>
      <c r="K71">
        <f>IF(OR($E71="",$E71="نامعتبر"),"",LEFT($E71,4)&amp;MID($E71,6,2)&amp;RIGHT($E71,2)&amp;"|"&amp;RIGHT("00000"&amp;66,5))</f>
        <v/>
      </c>
      <c r="M71">
        <f>IF(Sync!$M71&lt;&gt;"پاس چک","",IF(Sync!$P71="","",Sync!$P71))</f>
        <v/>
      </c>
      <c r="N71">
        <f>IF($M71="","",IF(ISNUMBER(Sync!$L71),IF(AND(Sync!$L71&gt;=10000101,Sync!$L71&lt;=99991231),RIGHT("0000"&amp;INT(Sync!$L71/10000),4)&amp;"/"&amp;RIGHT("00"&amp;INT(MOD(Sync!$L71,10000)/100),2)&amp;"/"&amp;RIGHT("00"&amp;MOD(Sync!$L71,100),2),""),IFERROR(RIGHT("0000"&amp;VALUE(TRIM(LEFT(Sync!$L71,FIND("/",Sync!$L71)-1))),4)&amp;"/"&amp;RIGHT("00"&amp;VALUE(TRIM(LEFT(MID(Sync!$L71,FIND("/",Sync!$L71)+1,20),FIND("/",MID(Sync!$L71,FIND("/",Sync!$L71)+1,20))-1))),2)&amp;"/"&amp;RIGHT("00"&amp;VALUE(TRIM(MID(MID(Sync!$L71,FIND("/",Sync!$L71)+1,20),FIND("/",MID(Sync!$L71,FIND("/",Sync!$L71)+1,20))+1,20))),2),"")))</f>
        <v/>
      </c>
    </row>
    <row r="72">
      <c r="A72">
        <f>IF(Issues!$B75="","",Issues!$B75)</f>
        <v/>
      </c>
      <c r="B72">
        <f>IF($A72="","",IF(ISNUMBER(Issues!$C75),IF(AND(Issues!$C75&gt;=10000101,Issues!$C75&lt;=99991231),INT(Issues!$C75/10000),""),IFERROR(VALUE(TRIM(LEFT(Issues!$C75,FIND("/",Issues!$C75)-1))),"")))</f>
        <v/>
      </c>
      <c r="C72">
        <f>IF(OR($A72="",$B72=""),"",IF(ISNUMBER(Issues!$C75),INT(MOD(Issues!$C75,10000)/100),IFERROR(VALUE(TRIM(LEFT(MID(Issues!$C75,FIND("/",Issues!$C75)+1,20),FIND("/",MID(Issues!$C75,FIND("/",Issues!$C75)+1,20))-1))),"")))</f>
        <v/>
      </c>
      <c r="D72">
        <f>IF(OR($A72="",$B72=""),"",IF(ISNUMBER(Issues!$C75),MOD(Issues!$C75,100),IFERROR(VALUE(TRIM(MID(MID(Issues!$C75,FIND("/",Issues!$C75)+1,20),FIND("/",MID(Issues!$C75,FIND("/",Issues!$C75)+1,20))+1,20))),"")))</f>
        <v/>
      </c>
      <c r="E72">
        <f>IF($A72="","",IF(OR($B72="",$C72="",$D72="",$B72&lt;1300,$B72&gt;1500,$C72&lt;1,$C72&gt;12,$D72&lt;1,$D72&gt;31),"نامعتبر",RIGHT("0000"&amp;$B72,4)&amp;"/"&amp;RIGHT("00"&amp;$C72,2)&amp;"/"&amp;RIGHT("00"&amp;$D72,2)))</f>
        <v/>
      </c>
      <c r="F72">
        <f>IF($A72="","",IF(Issues!$D75="",0,Issues!$D75))</f>
        <v/>
      </c>
      <c r="G72">
        <f>IF($A72="","",Issues!$E75)</f>
        <v/>
      </c>
      <c r="H72">
        <f>IF($A72="","",IF(COUNTIFS(ETxnType,"پاس چک",ETxnChk,$A72)&gt;0,"پاس شده","پاس نشده"))</f>
        <v/>
      </c>
      <c r="I72">
        <f>IF($A72="","",IFERROR(INDEX(BClrDate,MATCH($A72,BClrChk,0)),""))</f>
        <v/>
      </c>
      <c r="J72">
        <f>IF($A72="","",Issues!$G75)</f>
        <v/>
      </c>
      <c r="K72">
        <f>IF(OR($E72="",$E72="نامعتبر"),"",LEFT($E72,4)&amp;MID($E72,6,2)&amp;RIGHT($E72,2)&amp;"|"&amp;RIGHT("00000"&amp;67,5))</f>
        <v/>
      </c>
      <c r="M72">
        <f>IF(Sync!$M72&lt;&gt;"پاس چک","",IF(Sync!$P72="","",Sync!$P72))</f>
        <v/>
      </c>
      <c r="N72">
        <f>IF($M72="","",IF(ISNUMBER(Sync!$L72),IF(AND(Sync!$L72&gt;=10000101,Sync!$L72&lt;=99991231),RIGHT("0000"&amp;INT(Sync!$L72/10000),4)&amp;"/"&amp;RIGHT("00"&amp;INT(MOD(Sync!$L72,10000)/100),2)&amp;"/"&amp;RIGHT("00"&amp;MOD(Sync!$L72,100),2),""),IFERROR(RIGHT("0000"&amp;VALUE(TRIM(LEFT(Sync!$L72,FIND("/",Sync!$L72)-1))),4)&amp;"/"&amp;RIGHT("00"&amp;VALUE(TRIM(LEFT(MID(Sync!$L72,FIND("/",Sync!$L72)+1,20),FIND("/",MID(Sync!$L72,FIND("/",Sync!$L72)+1,20))-1))),2)&amp;"/"&amp;RIGHT("00"&amp;VALUE(TRIM(MID(MID(Sync!$L72,FIND("/",Sync!$L72)+1,20),FIND("/",MID(Sync!$L72,FIND("/",Sync!$L72)+1,20))+1,20))),2),"")))</f>
        <v/>
      </c>
    </row>
    <row r="73">
      <c r="A73">
        <f>IF(Issues!$B76="","",Issues!$B76)</f>
        <v/>
      </c>
      <c r="B73">
        <f>IF($A73="","",IF(ISNUMBER(Issues!$C76),IF(AND(Issues!$C76&gt;=10000101,Issues!$C76&lt;=99991231),INT(Issues!$C76/10000),""),IFERROR(VALUE(TRIM(LEFT(Issues!$C76,FIND("/",Issues!$C76)-1))),"")))</f>
        <v/>
      </c>
      <c r="C73">
        <f>IF(OR($A73="",$B73=""),"",IF(ISNUMBER(Issues!$C76),INT(MOD(Issues!$C76,10000)/100),IFERROR(VALUE(TRIM(LEFT(MID(Issues!$C76,FIND("/",Issues!$C76)+1,20),FIND("/",MID(Issues!$C76,FIND("/",Issues!$C76)+1,20))-1))),"")))</f>
        <v/>
      </c>
      <c r="D73">
        <f>IF(OR($A73="",$B73=""),"",IF(ISNUMBER(Issues!$C76),MOD(Issues!$C76,100),IFERROR(VALUE(TRIM(MID(MID(Issues!$C76,FIND("/",Issues!$C76)+1,20),FIND("/",MID(Issues!$C76,FIND("/",Issues!$C76)+1,20))+1,20))),"")))</f>
        <v/>
      </c>
      <c r="E73">
        <f>IF($A73="","",IF(OR($B73="",$C73="",$D73="",$B73&lt;1300,$B73&gt;1500,$C73&lt;1,$C73&gt;12,$D73&lt;1,$D73&gt;31),"نامعتبر",RIGHT("0000"&amp;$B73,4)&amp;"/"&amp;RIGHT("00"&amp;$C73,2)&amp;"/"&amp;RIGHT("00"&amp;$D73,2)))</f>
        <v/>
      </c>
      <c r="F73">
        <f>IF($A73="","",IF(Issues!$D76="",0,Issues!$D76))</f>
        <v/>
      </c>
      <c r="G73">
        <f>IF($A73="","",Issues!$E76)</f>
        <v/>
      </c>
      <c r="H73">
        <f>IF($A73="","",IF(COUNTIFS(ETxnType,"پاس چک",ETxnChk,$A73)&gt;0,"پاس شده","پاس نشده"))</f>
        <v/>
      </c>
      <c r="I73">
        <f>IF($A73="","",IFERROR(INDEX(BClrDate,MATCH($A73,BClrChk,0)),""))</f>
        <v/>
      </c>
      <c r="J73">
        <f>IF($A73="","",Issues!$G76)</f>
        <v/>
      </c>
      <c r="K73">
        <f>IF(OR($E73="",$E73="نامعتبر"),"",LEFT($E73,4)&amp;MID($E73,6,2)&amp;RIGHT($E73,2)&amp;"|"&amp;RIGHT("00000"&amp;68,5))</f>
        <v/>
      </c>
      <c r="M73">
        <f>IF(Sync!$M73&lt;&gt;"پاس چک","",IF(Sync!$P73="","",Sync!$P73))</f>
        <v/>
      </c>
      <c r="N73">
        <f>IF($M73="","",IF(ISNUMBER(Sync!$L73),IF(AND(Sync!$L73&gt;=10000101,Sync!$L73&lt;=99991231),RIGHT("0000"&amp;INT(Sync!$L73/10000),4)&amp;"/"&amp;RIGHT("00"&amp;INT(MOD(Sync!$L73,10000)/100),2)&amp;"/"&amp;RIGHT("00"&amp;MOD(Sync!$L73,100),2),""),IFERROR(RIGHT("0000"&amp;VALUE(TRIM(LEFT(Sync!$L73,FIND("/",Sync!$L73)-1))),4)&amp;"/"&amp;RIGHT("00"&amp;VALUE(TRIM(LEFT(MID(Sync!$L73,FIND("/",Sync!$L73)+1,20),FIND("/",MID(Sync!$L73,FIND("/",Sync!$L73)+1,20))-1))),2)&amp;"/"&amp;RIGHT("00"&amp;VALUE(TRIM(MID(MID(Sync!$L73,FIND("/",Sync!$L73)+1,20),FIND("/",MID(Sync!$L73,FIND("/",Sync!$L73)+1,20))+1,20))),2),"")))</f>
        <v/>
      </c>
    </row>
    <row r="74">
      <c r="A74">
        <f>IF(Issues!$B77="","",Issues!$B77)</f>
        <v/>
      </c>
      <c r="B74">
        <f>IF($A74="","",IF(ISNUMBER(Issues!$C77),IF(AND(Issues!$C77&gt;=10000101,Issues!$C77&lt;=99991231),INT(Issues!$C77/10000),""),IFERROR(VALUE(TRIM(LEFT(Issues!$C77,FIND("/",Issues!$C77)-1))),"")))</f>
        <v/>
      </c>
      <c r="C74">
        <f>IF(OR($A74="",$B74=""),"",IF(ISNUMBER(Issues!$C77),INT(MOD(Issues!$C77,10000)/100),IFERROR(VALUE(TRIM(LEFT(MID(Issues!$C77,FIND("/",Issues!$C77)+1,20),FIND("/",MID(Issues!$C77,FIND("/",Issues!$C77)+1,20))-1))),"")))</f>
        <v/>
      </c>
      <c r="D74">
        <f>IF(OR($A74="",$B74=""),"",IF(ISNUMBER(Issues!$C77),MOD(Issues!$C77,100),IFERROR(VALUE(TRIM(MID(MID(Issues!$C77,FIND("/",Issues!$C77)+1,20),FIND("/",MID(Issues!$C77,FIND("/",Issues!$C77)+1,20))+1,20))),"")))</f>
        <v/>
      </c>
      <c r="E74">
        <f>IF($A74="","",IF(OR($B74="",$C74="",$D74="",$B74&lt;1300,$B74&gt;1500,$C74&lt;1,$C74&gt;12,$D74&lt;1,$D74&gt;31),"نامعتبر",RIGHT("0000"&amp;$B74,4)&amp;"/"&amp;RIGHT("00"&amp;$C74,2)&amp;"/"&amp;RIGHT("00"&amp;$D74,2)))</f>
        <v/>
      </c>
      <c r="F74">
        <f>IF($A74="","",IF(Issues!$D77="",0,Issues!$D77))</f>
        <v/>
      </c>
      <c r="G74">
        <f>IF($A74="","",Issues!$E77)</f>
        <v/>
      </c>
      <c r="H74">
        <f>IF($A74="","",IF(COUNTIFS(ETxnType,"پاس چک",ETxnChk,$A74)&gt;0,"پاس شده","پاس نشده"))</f>
        <v/>
      </c>
      <c r="I74">
        <f>IF($A74="","",IFERROR(INDEX(BClrDate,MATCH($A74,BClrChk,0)),""))</f>
        <v/>
      </c>
      <c r="J74">
        <f>IF($A74="","",Issues!$G77)</f>
        <v/>
      </c>
      <c r="K74">
        <f>IF(OR($E74="",$E74="نامعتبر"),"",LEFT($E74,4)&amp;MID($E74,6,2)&amp;RIGHT($E74,2)&amp;"|"&amp;RIGHT("00000"&amp;69,5))</f>
        <v/>
      </c>
      <c r="M74">
        <f>IF(Sync!$M74&lt;&gt;"پاس چک","",IF(Sync!$P74="","",Sync!$P74))</f>
        <v/>
      </c>
      <c r="N74">
        <f>IF($M74="","",IF(ISNUMBER(Sync!$L74),IF(AND(Sync!$L74&gt;=10000101,Sync!$L74&lt;=99991231),RIGHT("0000"&amp;INT(Sync!$L74/10000),4)&amp;"/"&amp;RIGHT("00"&amp;INT(MOD(Sync!$L74,10000)/100),2)&amp;"/"&amp;RIGHT("00"&amp;MOD(Sync!$L74,100),2),""),IFERROR(RIGHT("0000"&amp;VALUE(TRIM(LEFT(Sync!$L74,FIND("/",Sync!$L74)-1))),4)&amp;"/"&amp;RIGHT("00"&amp;VALUE(TRIM(LEFT(MID(Sync!$L74,FIND("/",Sync!$L74)+1,20),FIND("/",MID(Sync!$L74,FIND("/",Sync!$L74)+1,20))-1))),2)&amp;"/"&amp;RIGHT("00"&amp;VALUE(TRIM(MID(MID(Sync!$L74,FIND("/",Sync!$L74)+1,20),FIND("/",MID(Sync!$L74,FIND("/",Sync!$L74)+1,20))+1,20))),2),"")))</f>
        <v/>
      </c>
    </row>
    <row r="75">
      <c r="A75">
        <f>IF(Issues!$B78="","",Issues!$B78)</f>
        <v/>
      </c>
      <c r="B75">
        <f>IF($A75="","",IF(ISNUMBER(Issues!$C78),IF(AND(Issues!$C78&gt;=10000101,Issues!$C78&lt;=99991231),INT(Issues!$C78/10000),""),IFERROR(VALUE(TRIM(LEFT(Issues!$C78,FIND("/",Issues!$C78)-1))),"")))</f>
        <v/>
      </c>
      <c r="C75">
        <f>IF(OR($A75="",$B75=""),"",IF(ISNUMBER(Issues!$C78),INT(MOD(Issues!$C78,10000)/100),IFERROR(VALUE(TRIM(LEFT(MID(Issues!$C78,FIND("/",Issues!$C78)+1,20),FIND("/",MID(Issues!$C78,FIND("/",Issues!$C78)+1,20))-1))),"")))</f>
        <v/>
      </c>
      <c r="D75">
        <f>IF(OR($A75="",$B75=""),"",IF(ISNUMBER(Issues!$C78),MOD(Issues!$C78,100),IFERROR(VALUE(TRIM(MID(MID(Issues!$C78,FIND("/",Issues!$C78)+1,20),FIND("/",MID(Issues!$C78,FIND("/",Issues!$C78)+1,20))+1,20))),"")))</f>
        <v/>
      </c>
      <c r="E75">
        <f>IF($A75="","",IF(OR($B75="",$C75="",$D75="",$B75&lt;1300,$B75&gt;1500,$C75&lt;1,$C75&gt;12,$D75&lt;1,$D75&gt;31),"نامعتبر",RIGHT("0000"&amp;$B75,4)&amp;"/"&amp;RIGHT("00"&amp;$C75,2)&amp;"/"&amp;RIGHT("00"&amp;$D75,2)))</f>
        <v/>
      </c>
      <c r="F75">
        <f>IF($A75="","",IF(Issues!$D78="",0,Issues!$D78))</f>
        <v/>
      </c>
      <c r="G75">
        <f>IF($A75="","",Issues!$E78)</f>
        <v/>
      </c>
      <c r="H75">
        <f>IF($A75="","",IF(COUNTIFS(ETxnType,"پاس چک",ETxnChk,$A75)&gt;0,"پاس شده","پاس نشده"))</f>
        <v/>
      </c>
      <c r="I75">
        <f>IF($A75="","",IFERROR(INDEX(BClrDate,MATCH($A75,BClrChk,0)),""))</f>
        <v/>
      </c>
      <c r="J75">
        <f>IF($A75="","",Issues!$G78)</f>
        <v/>
      </c>
      <c r="K75">
        <f>IF(OR($E75="",$E75="نامعتبر"),"",LEFT($E75,4)&amp;MID($E75,6,2)&amp;RIGHT($E75,2)&amp;"|"&amp;RIGHT("00000"&amp;70,5))</f>
        <v/>
      </c>
      <c r="M75">
        <f>IF(Sync!$M75&lt;&gt;"پاس چک","",IF(Sync!$P75="","",Sync!$P75))</f>
        <v/>
      </c>
      <c r="N75">
        <f>IF($M75="","",IF(ISNUMBER(Sync!$L75),IF(AND(Sync!$L75&gt;=10000101,Sync!$L75&lt;=99991231),RIGHT("0000"&amp;INT(Sync!$L75/10000),4)&amp;"/"&amp;RIGHT("00"&amp;INT(MOD(Sync!$L75,10000)/100),2)&amp;"/"&amp;RIGHT("00"&amp;MOD(Sync!$L75,100),2),""),IFERROR(RIGHT("0000"&amp;VALUE(TRIM(LEFT(Sync!$L75,FIND("/",Sync!$L75)-1))),4)&amp;"/"&amp;RIGHT("00"&amp;VALUE(TRIM(LEFT(MID(Sync!$L75,FIND("/",Sync!$L75)+1,20),FIND("/",MID(Sync!$L75,FIND("/",Sync!$L75)+1,20))-1))),2)&amp;"/"&amp;RIGHT("00"&amp;VALUE(TRIM(MID(MID(Sync!$L75,FIND("/",Sync!$L75)+1,20),FIND("/",MID(Sync!$L75,FIND("/",Sync!$L75)+1,20))+1,20))),2),"")))</f>
        <v/>
      </c>
    </row>
    <row r="76">
      <c r="A76">
        <f>IF(Issues!$B79="","",Issues!$B79)</f>
        <v/>
      </c>
      <c r="B76">
        <f>IF($A76="","",IF(ISNUMBER(Issues!$C79),IF(AND(Issues!$C79&gt;=10000101,Issues!$C79&lt;=99991231),INT(Issues!$C79/10000),""),IFERROR(VALUE(TRIM(LEFT(Issues!$C79,FIND("/",Issues!$C79)-1))),"")))</f>
        <v/>
      </c>
      <c r="C76">
        <f>IF(OR($A76="",$B76=""),"",IF(ISNUMBER(Issues!$C79),INT(MOD(Issues!$C79,10000)/100),IFERROR(VALUE(TRIM(LEFT(MID(Issues!$C79,FIND("/",Issues!$C79)+1,20),FIND("/",MID(Issues!$C79,FIND("/",Issues!$C79)+1,20))-1))),"")))</f>
        <v/>
      </c>
      <c r="D76">
        <f>IF(OR($A76="",$B76=""),"",IF(ISNUMBER(Issues!$C79),MOD(Issues!$C79,100),IFERROR(VALUE(TRIM(MID(MID(Issues!$C79,FIND("/",Issues!$C79)+1,20),FIND("/",MID(Issues!$C79,FIND("/",Issues!$C79)+1,20))+1,20))),"")))</f>
        <v/>
      </c>
      <c r="E76">
        <f>IF($A76="","",IF(OR($B76="",$C76="",$D76="",$B76&lt;1300,$B76&gt;1500,$C76&lt;1,$C76&gt;12,$D76&lt;1,$D76&gt;31),"نامعتبر",RIGHT("0000"&amp;$B76,4)&amp;"/"&amp;RIGHT("00"&amp;$C76,2)&amp;"/"&amp;RIGHT("00"&amp;$D76,2)))</f>
        <v/>
      </c>
      <c r="F76">
        <f>IF($A76="","",IF(Issues!$D79="",0,Issues!$D79))</f>
        <v/>
      </c>
      <c r="G76">
        <f>IF($A76="","",Issues!$E79)</f>
        <v/>
      </c>
      <c r="H76">
        <f>IF($A76="","",IF(COUNTIFS(ETxnType,"پاس چک",ETxnChk,$A76)&gt;0,"پاس شده","پاس نشده"))</f>
        <v/>
      </c>
      <c r="I76">
        <f>IF($A76="","",IFERROR(INDEX(BClrDate,MATCH($A76,BClrChk,0)),""))</f>
        <v/>
      </c>
      <c r="J76">
        <f>IF($A76="","",Issues!$G79)</f>
        <v/>
      </c>
      <c r="K76">
        <f>IF(OR($E76="",$E76="نامعتبر"),"",LEFT($E76,4)&amp;MID($E76,6,2)&amp;RIGHT($E76,2)&amp;"|"&amp;RIGHT("00000"&amp;71,5))</f>
        <v/>
      </c>
      <c r="M76">
        <f>IF(Sync!$M76&lt;&gt;"پاس چک","",IF(Sync!$P76="","",Sync!$P76))</f>
        <v/>
      </c>
      <c r="N76">
        <f>IF($M76="","",IF(ISNUMBER(Sync!$L76),IF(AND(Sync!$L76&gt;=10000101,Sync!$L76&lt;=99991231),RIGHT("0000"&amp;INT(Sync!$L76/10000),4)&amp;"/"&amp;RIGHT("00"&amp;INT(MOD(Sync!$L76,10000)/100),2)&amp;"/"&amp;RIGHT("00"&amp;MOD(Sync!$L76,100),2),""),IFERROR(RIGHT("0000"&amp;VALUE(TRIM(LEFT(Sync!$L76,FIND("/",Sync!$L76)-1))),4)&amp;"/"&amp;RIGHT("00"&amp;VALUE(TRIM(LEFT(MID(Sync!$L76,FIND("/",Sync!$L76)+1,20),FIND("/",MID(Sync!$L76,FIND("/",Sync!$L76)+1,20))-1))),2)&amp;"/"&amp;RIGHT("00"&amp;VALUE(TRIM(MID(MID(Sync!$L76,FIND("/",Sync!$L76)+1,20),FIND("/",MID(Sync!$L76,FIND("/",Sync!$L76)+1,20))+1,20))),2),"")))</f>
        <v/>
      </c>
    </row>
    <row r="77">
      <c r="A77">
        <f>IF(Issues!$B80="","",Issues!$B80)</f>
        <v/>
      </c>
      <c r="B77">
        <f>IF($A77="","",IF(ISNUMBER(Issues!$C80),IF(AND(Issues!$C80&gt;=10000101,Issues!$C80&lt;=99991231),INT(Issues!$C80/10000),""),IFERROR(VALUE(TRIM(LEFT(Issues!$C80,FIND("/",Issues!$C80)-1))),"")))</f>
        <v/>
      </c>
      <c r="C77">
        <f>IF(OR($A77="",$B77=""),"",IF(ISNUMBER(Issues!$C80),INT(MOD(Issues!$C80,10000)/100),IFERROR(VALUE(TRIM(LEFT(MID(Issues!$C80,FIND("/",Issues!$C80)+1,20),FIND("/",MID(Issues!$C80,FIND("/",Issues!$C80)+1,20))-1))),"")))</f>
        <v/>
      </c>
      <c r="D77">
        <f>IF(OR($A77="",$B77=""),"",IF(ISNUMBER(Issues!$C80),MOD(Issues!$C80,100),IFERROR(VALUE(TRIM(MID(MID(Issues!$C80,FIND("/",Issues!$C80)+1,20),FIND("/",MID(Issues!$C80,FIND("/",Issues!$C80)+1,20))+1,20))),"")))</f>
        <v/>
      </c>
      <c r="E77">
        <f>IF($A77="","",IF(OR($B77="",$C77="",$D77="",$B77&lt;1300,$B77&gt;1500,$C77&lt;1,$C77&gt;12,$D77&lt;1,$D77&gt;31),"نامعتبر",RIGHT("0000"&amp;$B77,4)&amp;"/"&amp;RIGHT("00"&amp;$C77,2)&amp;"/"&amp;RIGHT("00"&amp;$D77,2)))</f>
        <v/>
      </c>
      <c r="F77">
        <f>IF($A77="","",IF(Issues!$D80="",0,Issues!$D80))</f>
        <v/>
      </c>
      <c r="G77">
        <f>IF($A77="","",Issues!$E80)</f>
        <v/>
      </c>
      <c r="H77">
        <f>IF($A77="","",IF(COUNTIFS(ETxnType,"پاس چک",ETxnChk,$A77)&gt;0,"پاس شده","پاس نشده"))</f>
        <v/>
      </c>
      <c r="I77">
        <f>IF($A77="","",IFERROR(INDEX(BClrDate,MATCH($A77,BClrChk,0)),""))</f>
        <v/>
      </c>
      <c r="J77">
        <f>IF($A77="","",Issues!$G80)</f>
        <v/>
      </c>
      <c r="K77">
        <f>IF(OR($E77="",$E77="نامعتبر"),"",LEFT($E77,4)&amp;MID($E77,6,2)&amp;RIGHT($E77,2)&amp;"|"&amp;RIGHT("00000"&amp;72,5))</f>
        <v/>
      </c>
      <c r="M77">
        <f>IF(Sync!$M77&lt;&gt;"پاس چک","",IF(Sync!$P77="","",Sync!$P77))</f>
        <v/>
      </c>
      <c r="N77">
        <f>IF($M77="","",IF(ISNUMBER(Sync!$L77),IF(AND(Sync!$L77&gt;=10000101,Sync!$L77&lt;=99991231),RIGHT("0000"&amp;INT(Sync!$L77/10000),4)&amp;"/"&amp;RIGHT("00"&amp;INT(MOD(Sync!$L77,10000)/100),2)&amp;"/"&amp;RIGHT("00"&amp;MOD(Sync!$L77,100),2),""),IFERROR(RIGHT("0000"&amp;VALUE(TRIM(LEFT(Sync!$L77,FIND("/",Sync!$L77)-1))),4)&amp;"/"&amp;RIGHT("00"&amp;VALUE(TRIM(LEFT(MID(Sync!$L77,FIND("/",Sync!$L77)+1,20),FIND("/",MID(Sync!$L77,FIND("/",Sync!$L77)+1,20))-1))),2)&amp;"/"&amp;RIGHT("00"&amp;VALUE(TRIM(MID(MID(Sync!$L77,FIND("/",Sync!$L77)+1,20),FIND("/",MID(Sync!$L77,FIND("/",Sync!$L77)+1,20))+1,20))),2),"")))</f>
        <v/>
      </c>
    </row>
    <row r="78">
      <c r="A78">
        <f>IF(Issues!$B81="","",Issues!$B81)</f>
        <v/>
      </c>
      <c r="B78">
        <f>IF($A78="","",IF(ISNUMBER(Issues!$C81),IF(AND(Issues!$C81&gt;=10000101,Issues!$C81&lt;=99991231),INT(Issues!$C81/10000),""),IFERROR(VALUE(TRIM(LEFT(Issues!$C81,FIND("/",Issues!$C81)-1))),"")))</f>
        <v/>
      </c>
      <c r="C78">
        <f>IF(OR($A78="",$B78=""),"",IF(ISNUMBER(Issues!$C81),INT(MOD(Issues!$C81,10000)/100),IFERROR(VALUE(TRIM(LEFT(MID(Issues!$C81,FIND("/",Issues!$C81)+1,20),FIND("/",MID(Issues!$C81,FIND("/",Issues!$C81)+1,20))-1))),"")))</f>
        <v/>
      </c>
      <c r="D78">
        <f>IF(OR($A78="",$B78=""),"",IF(ISNUMBER(Issues!$C81),MOD(Issues!$C81,100),IFERROR(VALUE(TRIM(MID(MID(Issues!$C81,FIND("/",Issues!$C81)+1,20),FIND("/",MID(Issues!$C81,FIND("/",Issues!$C81)+1,20))+1,20))),"")))</f>
        <v/>
      </c>
      <c r="E78">
        <f>IF($A78="","",IF(OR($B78="",$C78="",$D78="",$B78&lt;1300,$B78&gt;1500,$C78&lt;1,$C78&gt;12,$D78&lt;1,$D78&gt;31),"نامعتبر",RIGHT("0000"&amp;$B78,4)&amp;"/"&amp;RIGHT("00"&amp;$C78,2)&amp;"/"&amp;RIGHT("00"&amp;$D78,2)))</f>
        <v/>
      </c>
      <c r="F78">
        <f>IF($A78="","",IF(Issues!$D81="",0,Issues!$D81))</f>
        <v/>
      </c>
      <c r="G78">
        <f>IF($A78="","",Issues!$E81)</f>
        <v/>
      </c>
      <c r="H78">
        <f>IF($A78="","",IF(COUNTIFS(ETxnType,"پاس چک",ETxnChk,$A78)&gt;0,"پاس شده","پاس نشده"))</f>
        <v/>
      </c>
      <c r="I78">
        <f>IF($A78="","",IFERROR(INDEX(BClrDate,MATCH($A78,BClrChk,0)),""))</f>
        <v/>
      </c>
      <c r="J78">
        <f>IF($A78="","",Issues!$G81)</f>
        <v/>
      </c>
      <c r="K78">
        <f>IF(OR($E78="",$E78="نامعتبر"),"",LEFT($E78,4)&amp;MID($E78,6,2)&amp;RIGHT($E78,2)&amp;"|"&amp;RIGHT("00000"&amp;73,5))</f>
        <v/>
      </c>
      <c r="M78">
        <f>IF(Sync!$M78&lt;&gt;"پاس چک","",IF(Sync!$P78="","",Sync!$P78))</f>
        <v/>
      </c>
      <c r="N78">
        <f>IF($M78="","",IF(ISNUMBER(Sync!$L78),IF(AND(Sync!$L78&gt;=10000101,Sync!$L78&lt;=99991231),RIGHT("0000"&amp;INT(Sync!$L78/10000),4)&amp;"/"&amp;RIGHT("00"&amp;INT(MOD(Sync!$L78,10000)/100),2)&amp;"/"&amp;RIGHT("00"&amp;MOD(Sync!$L78,100),2),""),IFERROR(RIGHT("0000"&amp;VALUE(TRIM(LEFT(Sync!$L78,FIND("/",Sync!$L78)-1))),4)&amp;"/"&amp;RIGHT("00"&amp;VALUE(TRIM(LEFT(MID(Sync!$L78,FIND("/",Sync!$L78)+1,20),FIND("/",MID(Sync!$L78,FIND("/",Sync!$L78)+1,20))-1))),2)&amp;"/"&amp;RIGHT("00"&amp;VALUE(TRIM(MID(MID(Sync!$L78,FIND("/",Sync!$L78)+1,20),FIND("/",MID(Sync!$L78,FIND("/",Sync!$L78)+1,20))+1,20))),2),"")))</f>
        <v/>
      </c>
    </row>
    <row r="79">
      <c r="A79">
        <f>IF(Issues!$B82="","",Issues!$B82)</f>
        <v/>
      </c>
      <c r="B79">
        <f>IF($A79="","",IF(ISNUMBER(Issues!$C82),IF(AND(Issues!$C82&gt;=10000101,Issues!$C82&lt;=99991231),INT(Issues!$C82/10000),""),IFERROR(VALUE(TRIM(LEFT(Issues!$C82,FIND("/",Issues!$C82)-1))),"")))</f>
        <v/>
      </c>
      <c r="C79">
        <f>IF(OR($A79="",$B79=""),"",IF(ISNUMBER(Issues!$C82),INT(MOD(Issues!$C82,10000)/100),IFERROR(VALUE(TRIM(LEFT(MID(Issues!$C82,FIND("/",Issues!$C82)+1,20),FIND("/",MID(Issues!$C82,FIND("/",Issues!$C82)+1,20))-1))),"")))</f>
        <v/>
      </c>
      <c r="D79">
        <f>IF(OR($A79="",$B79=""),"",IF(ISNUMBER(Issues!$C82),MOD(Issues!$C82,100),IFERROR(VALUE(TRIM(MID(MID(Issues!$C82,FIND("/",Issues!$C82)+1,20),FIND("/",MID(Issues!$C82,FIND("/",Issues!$C82)+1,20))+1,20))),"")))</f>
        <v/>
      </c>
      <c r="E79">
        <f>IF($A79="","",IF(OR($B79="",$C79="",$D79="",$B79&lt;1300,$B79&gt;1500,$C79&lt;1,$C79&gt;12,$D79&lt;1,$D79&gt;31),"نامعتبر",RIGHT("0000"&amp;$B79,4)&amp;"/"&amp;RIGHT("00"&amp;$C79,2)&amp;"/"&amp;RIGHT("00"&amp;$D79,2)))</f>
        <v/>
      </c>
      <c r="F79">
        <f>IF($A79="","",IF(Issues!$D82="",0,Issues!$D82))</f>
        <v/>
      </c>
      <c r="G79">
        <f>IF($A79="","",Issues!$E82)</f>
        <v/>
      </c>
      <c r="H79">
        <f>IF($A79="","",IF(COUNTIFS(ETxnType,"پاس چک",ETxnChk,$A79)&gt;0,"پاس شده","پاس نشده"))</f>
        <v/>
      </c>
      <c r="I79">
        <f>IF($A79="","",IFERROR(INDEX(BClrDate,MATCH($A79,BClrChk,0)),""))</f>
        <v/>
      </c>
      <c r="J79">
        <f>IF($A79="","",Issues!$G82)</f>
        <v/>
      </c>
      <c r="K79">
        <f>IF(OR($E79="",$E79="نامعتبر"),"",LEFT($E79,4)&amp;MID($E79,6,2)&amp;RIGHT($E79,2)&amp;"|"&amp;RIGHT("00000"&amp;74,5))</f>
        <v/>
      </c>
      <c r="M79">
        <f>IF(Sync!$M79&lt;&gt;"پاس چک","",IF(Sync!$P79="","",Sync!$P79))</f>
        <v/>
      </c>
      <c r="N79">
        <f>IF($M79="","",IF(ISNUMBER(Sync!$L79),IF(AND(Sync!$L79&gt;=10000101,Sync!$L79&lt;=99991231),RIGHT("0000"&amp;INT(Sync!$L79/10000),4)&amp;"/"&amp;RIGHT("00"&amp;INT(MOD(Sync!$L79,10000)/100),2)&amp;"/"&amp;RIGHT("00"&amp;MOD(Sync!$L79,100),2),""),IFERROR(RIGHT("0000"&amp;VALUE(TRIM(LEFT(Sync!$L79,FIND("/",Sync!$L79)-1))),4)&amp;"/"&amp;RIGHT("00"&amp;VALUE(TRIM(LEFT(MID(Sync!$L79,FIND("/",Sync!$L79)+1,20),FIND("/",MID(Sync!$L79,FIND("/",Sync!$L79)+1,20))-1))),2)&amp;"/"&amp;RIGHT("00"&amp;VALUE(TRIM(MID(MID(Sync!$L79,FIND("/",Sync!$L79)+1,20),FIND("/",MID(Sync!$L79,FIND("/",Sync!$L79)+1,20))+1,20))),2),"")))</f>
        <v/>
      </c>
    </row>
    <row r="80">
      <c r="A80">
        <f>IF(Issues!$B83="","",Issues!$B83)</f>
        <v/>
      </c>
      <c r="B80">
        <f>IF($A80="","",IF(ISNUMBER(Issues!$C83),IF(AND(Issues!$C83&gt;=10000101,Issues!$C83&lt;=99991231),INT(Issues!$C83/10000),""),IFERROR(VALUE(TRIM(LEFT(Issues!$C83,FIND("/",Issues!$C83)-1))),"")))</f>
        <v/>
      </c>
      <c r="C80">
        <f>IF(OR($A80="",$B80=""),"",IF(ISNUMBER(Issues!$C83),INT(MOD(Issues!$C83,10000)/100),IFERROR(VALUE(TRIM(LEFT(MID(Issues!$C83,FIND("/",Issues!$C83)+1,20),FIND("/",MID(Issues!$C83,FIND("/",Issues!$C83)+1,20))-1))),"")))</f>
        <v/>
      </c>
      <c r="D80">
        <f>IF(OR($A80="",$B80=""),"",IF(ISNUMBER(Issues!$C83),MOD(Issues!$C83,100),IFERROR(VALUE(TRIM(MID(MID(Issues!$C83,FIND("/",Issues!$C83)+1,20),FIND("/",MID(Issues!$C83,FIND("/",Issues!$C83)+1,20))+1,20))),"")))</f>
        <v/>
      </c>
      <c r="E80">
        <f>IF($A80="","",IF(OR($B80="",$C80="",$D80="",$B80&lt;1300,$B80&gt;1500,$C80&lt;1,$C80&gt;12,$D80&lt;1,$D80&gt;31),"نامعتبر",RIGHT("0000"&amp;$B80,4)&amp;"/"&amp;RIGHT("00"&amp;$C80,2)&amp;"/"&amp;RIGHT("00"&amp;$D80,2)))</f>
        <v/>
      </c>
      <c r="F80">
        <f>IF($A80="","",IF(Issues!$D83="",0,Issues!$D83))</f>
        <v/>
      </c>
      <c r="G80">
        <f>IF($A80="","",Issues!$E83)</f>
        <v/>
      </c>
      <c r="H80">
        <f>IF($A80="","",IF(COUNTIFS(ETxnType,"پاس چک",ETxnChk,$A80)&gt;0,"پاس شده","پاس نشده"))</f>
        <v/>
      </c>
      <c r="I80">
        <f>IF($A80="","",IFERROR(INDEX(BClrDate,MATCH($A80,BClrChk,0)),""))</f>
        <v/>
      </c>
      <c r="J80">
        <f>IF($A80="","",Issues!$G83)</f>
        <v/>
      </c>
      <c r="K80">
        <f>IF(OR($E80="",$E80="نامعتبر"),"",LEFT($E80,4)&amp;MID($E80,6,2)&amp;RIGHT($E80,2)&amp;"|"&amp;RIGHT("00000"&amp;75,5))</f>
        <v/>
      </c>
      <c r="M80">
        <f>IF(Sync!$M80&lt;&gt;"پاس چک","",IF(Sync!$P80="","",Sync!$P80))</f>
        <v/>
      </c>
      <c r="N80">
        <f>IF($M80="","",IF(ISNUMBER(Sync!$L80),IF(AND(Sync!$L80&gt;=10000101,Sync!$L80&lt;=99991231),RIGHT("0000"&amp;INT(Sync!$L80/10000),4)&amp;"/"&amp;RIGHT("00"&amp;INT(MOD(Sync!$L80,10000)/100),2)&amp;"/"&amp;RIGHT("00"&amp;MOD(Sync!$L80,100),2),""),IFERROR(RIGHT("0000"&amp;VALUE(TRIM(LEFT(Sync!$L80,FIND("/",Sync!$L80)-1))),4)&amp;"/"&amp;RIGHT("00"&amp;VALUE(TRIM(LEFT(MID(Sync!$L80,FIND("/",Sync!$L80)+1,20),FIND("/",MID(Sync!$L80,FIND("/",Sync!$L80)+1,20))-1))),2)&amp;"/"&amp;RIGHT("00"&amp;VALUE(TRIM(MID(MID(Sync!$L80,FIND("/",Sync!$L80)+1,20),FIND("/",MID(Sync!$L80,FIND("/",Sync!$L80)+1,20))+1,20))),2),"")))</f>
        <v/>
      </c>
    </row>
    <row r="81">
      <c r="A81">
        <f>IF(Issues!$B84="","",Issues!$B84)</f>
        <v/>
      </c>
      <c r="B81">
        <f>IF($A81="","",IF(ISNUMBER(Issues!$C84),IF(AND(Issues!$C84&gt;=10000101,Issues!$C84&lt;=99991231),INT(Issues!$C84/10000),""),IFERROR(VALUE(TRIM(LEFT(Issues!$C84,FIND("/",Issues!$C84)-1))),"")))</f>
        <v/>
      </c>
      <c r="C81">
        <f>IF(OR($A81="",$B81=""),"",IF(ISNUMBER(Issues!$C84),INT(MOD(Issues!$C84,10000)/100),IFERROR(VALUE(TRIM(LEFT(MID(Issues!$C84,FIND("/",Issues!$C84)+1,20),FIND("/",MID(Issues!$C84,FIND("/",Issues!$C84)+1,20))-1))),"")))</f>
        <v/>
      </c>
      <c r="D81">
        <f>IF(OR($A81="",$B81=""),"",IF(ISNUMBER(Issues!$C84),MOD(Issues!$C84,100),IFERROR(VALUE(TRIM(MID(MID(Issues!$C84,FIND("/",Issues!$C84)+1,20),FIND("/",MID(Issues!$C84,FIND("/",Issues!$C84)+1,20))+1,20))),"")))</f>
        <v/>
      </c>
      <c r="E81">
        <f>IF($A81="","",IF(OR($B81="",$C81="",$D81="",$B81&lt;1300,$B81&gt;1500,$C81&lt;1,$C81&gt;12,$D81&lt;1,$D81&gt;31),"نامعتبر",RIGHT("0000"&amp;$B81,4)&amp;"/"&amp;RIGHT("00"&amp;$C81,2)&amp;"/"&amp;RIGHT("00"&amp;$D81,2)))</f>
        <v/>
      </c>
      <c r="F81">
        <f>IF($A81="","",IF(Issues!$D84="",0,Issues!$D84))</f>
        <v/>
      </c>
      <c r="G81">
        <f>IF($A81="","",Issues!$E84)</f>
        <v/>
      </c>
      <c r="H81">
        <f>IF($A81="","",IF(COUNTIFS(ETxnType,"پاس چک",ETxnChk,$A81)&gt;0,"پاس شده","پاس نشده"))</f>
        <v/>
      </c>
      <c r="I81">
        <f>IF($A81="","",IFERROR(INDEX(BClrDate,MATCH($A81,BClrChk,0)),""))</f>
        <v/>
      </c>
      <c r="J81">
        <f>IF($A81="","",Issues!$G84)</f>
        <v/>
      </c>
      <c r="K81">
        <f>IF(OR($E81="",$E81="نامعتبر"),"",LEFT($E81,4)&amp;MID($E81,6,2)&amp;RIGHT($E81,2)&amp;"|"&amp;RIGHT("00000"&amp;76,5))</f>
        <v/>
      </c>
      <c r="M81">
        <f>IF(Sync!$M81&lt;&gt;"پاس چک","",IF(Sync!$P81="","",Sync!$P81))</f>
        <v/>
      </c>
      <c r="N81">
        <f>IF($M81="","",IF(ISNUMBER(Sync!$L81),IF(AND(Sync!$L81&gt;=10000101,Sync!$L81&lt;=99991231),RIGHT("0000"&amp;INT(Sync!$L81/10000),4)&amp;"/"&amp;RIGHT("00"&amp;INT(MOD(Sync!$L81,10000)/100),2)&amp;"/"&amp;RIGHT("00"&amp;MOD(Sync!$L81,100),2),""),IFERROR(RIGHT("0000"&amp;VALUE(TRIM(LEFT(Sync!$L81,FIND("/",Sync!$L81)-1))),4)&amp;"/"&amp;RIGHT("00"&amp;VALUE(TRIM(LEFT(MID(Sync!$L81,FIND("/",Sync!$L81)+1,20),FIND("/",MID(Sync!$L81,FIND("/",Sync!$L81)+1,20))-1))),2)&amp;"/"&amp;RIGHT("00"&amp;VALUE(TRIM(MID(MID(Sync!$L81,FIND("/",Sync!$L81)+1,20),FIND("/",MID(Sync!$L81,FIND("/",Sync!$L81)+1,20))+1,20))),2),"")))</f>
        <v/>
      </c>
    </row>
    <row r="82">
      <c r="A82">
        <f>IF(Issues!$B85="","",Issues!$B85)</f>
        <v/>
      </c>
      <c r="B82">
        <f>IF($A82="","",IF(ISNUMBER(Issues!$C85),IF(AND(Issues!$C85&gt;=10000101,Issues!$C85&lt;=99991231),INT(Issues!$C85/10000),""),IFERROR(VALUE(TRIM(LEFT(Issues!$C85,FIND("/",Issues!$C85)-1))),"")))</f>
        <v/>
      </c>
      <c r="C82">
        <f>IF(OR($A82="",$B82=""),"",IF(ISNUMBER(Issues!$C85),INT(MOD(Issues!$C85,10000)/100),IFERROR(VALUE(TRIM(LEFT(MID(Issues!$C85,FIND("/",Issues!$C85)+1,20),FIND("/",MID(Issues!$C85,FIND("/",Issues!$C85)+1,20))-1))),"")))</f>
        <v/>
      </c>
      <c r="D82">
        <f>IF(OR($A82="",$B82=""),"",IF(ISNUMBER(Issues!$C85),MOD(Issues!$C85,100),IFERROR(VALUE(TRIM(MID(MID(Issues!$C85,FIND("/",Issues!$C85)+1,20),FIND("/",MID(Issues!$C85,FIND("/",Issues!$C85)+1,20))+1,20))),"")))</f>
        <v/>
      </c>
      <c r="E82">
        <f>IF($A82="","",IF(OR($B82="",$C82="",$D82="",$B82&lt;1300,$B82&gt;1500,$C82&lt;1,$C82&gt;12,$D82&lt;1,$D82&gt;31),"نامعتبر",RIGHT("0000"&amp;$B82,4)&amp;"/"&amp;RIGHT("00"&amp;$C82,2)&amp;"/"&amp;RIGHT("00"&amp;$D82,2)))</f>
        <v/>
      </c>
      <c r="F82">
        <f>IF($A82="","",IF(Issues!$D85="",0,Issues!$D85))</f>
        <v/>
      </c>
      <c r="G82">
        <f>IF($A82="","",Issues!$E85)</f>
        <v/>
      </c>
      <c r="H82">
        <f>IF($A82="","",IF(COUNTIFS(ETxnType,"پاس چک",ETxnChk,$A82)&gt;0,"پاس شده","پاس نشده"))</f>
        <v/>
      </c>
      <c r="I82">
        <f>IF($A82="","",IFERROR(INDEX(BClrDate,MATCH($A82,BClrChk,0)),""))</f>
        <v/>
      </c>
      <c r="J82">
        <f>IF($A82="","",Issues!$G85)</f>
        <v/>
      </c>
      <c r="K82">
        <f>IF(OR($E82="",$E82="نامعتبر"),"",LEFT($E82,4)&amp;MID($E82,6,2)&amp;RIGHT($E82,2)&amp;"|"&amp;RIGHT("00000"&amp;77,5))</f>
        <v/>
      </c>
      <c r="M82">
        <f>IF(Sync!$M82&lt;&gt;"پاس چک","",IF(Sync!$P82="","",Sync!$P82))</f>
        <v/>
      </c>
      <c r="N82">
        <f>IF($M82="","",IF(ISNUMBER(Sync!$L82),IF(AND(Sync!$L82&gt;=10000101,Sync!$L82&lt;=99991231),RIGHT("0000"&amp;INT(Sync!$L82/10000),4)&amp;"/"&amp;RIGHT("00"&amp;INT(MOD(Sync!$L82,10000)/100),2)&amp;"/"&amp;RIGHT("00"&amp;MOD(Sync!$L82,100),2),""),IFERROR(RIGHT("0000"&amp;VALUE(TRIM(LEFT(Sync!$L82,FIND("/",Sync!$L82)-1))),4)&amp;"/"&amp;RIGHT("00"&amp;VALUE(TRIM(LEFT(MID(Sync!$L82,FIND("/",Sync!$L82)+1,20),FIND("/",MID(Sync!$L82,FIND("/",Sync!$L82)+1,20))-1))),2)&amp;"/"&amp;RIGHT("00"&amp;VALUE(TRIM(MID(MID(Sync!$L82,FIND("/",Sync!$L82)+1,20),FIND("/",MID(Sync!$L82,FIND("/",Sync!$L82)+1,20))+1,20))),2),"")))</f>
        <v/>
      </c>
    </row>
    <row r="83">
      <c r="A83">
        <f>IF(Issues!$B86="","",Issues!$B86)</f>
        <v/>
      </c>
      <c r="B83">
        <f>IF($A83="","",IF(ISNUMBER(Issues!$C86),IF(AND(Issues!$C86&gt;=10000101,Issues!$C86&lt;=99991231),INT(Issues!$C86/10000),""),IFERROR(VALUE(TRIM(LEFT(Issues!$C86,FIND("/",Issues!$C86)-1))),"")))</f>
        <v/>
      </c>
      <c r="C83">
        <f>IF(OR($A83="",$B83=""),"",IF(ISNUMBER(Issues!$C86),INT(MOD(Issues!$C86,10000)/100),IFERROR(VALUE(TRIM(LEFT(MID(Issues!$C86,FIND("/",Issues!$C86)+1,20),FIND("/",MID(Issues!$C86,FIND("/",Issues!$C86)+1,20))-1))),"")))</f>
        <v/>
      </c>
      <c r="D83">
        <f>IF(OR($A83="",$B83=""),"",IF(ISNUMBER(Issues!$C86),MOD(Issues!$C86,100),IFERROR(VALUE(TRIM(MID(MID(Issues!$C86,FIND("/",Issues!$C86)+1,20),FIND("/",MID(Issues!$C86,FIND("/",Issues!$C86)+1,20))+1,20))),"")))</f>
        <v/>
      </c>
      <c r="E83">
        <f>IF($A83="","",IF(OR($B83="",$C83="",$D83="",$B83&lt;1300,$B83&gt;1500,$C83&lt;1,$C83&gt;12,$D83&lt;1,$D83&gt;31),"نامعتبر",RIGHT("0000"&amp;$B83,4)&amp;"/"&amp;RIGHT("00"&amp;$C83,2)&amp;"/"&amp;RIGHT("00"&amp;$D83,2)))</f>
        <v/>
      </c>
      <c r="F83">
        <f>IF($A83="","",IF(Issues!$D86="",0,Issues!$D86))</f>
        <v/>
      </c>
      <c r="G83">
        <f>IF($A83="","",Issues!$E86)</f>
        <v/>
      </c>
      <c r="H83">
        <f>IF($A83="","",IF(COUNTIFS(ETxnType,"پاس چک",ETxnChk,$A83)&gt;0,"پاس شده","پاس نشده"))</f>
        <v/>
      </c>
      <c r="I83">
        <f>IF($A83="","",IFERROR(INDEX(BClrDate,MATCH($A83,BClrChk,0)),""))</f>
        <v/>
      </c>
      <c r="J83">
        <f>IF($A83="","",Issues!$G86)</f>
        <v/>
      </c>
      <c r="K83">
        <f>IF(OR($E83="",$E83="نامعتبر"),"",LEFT($E83,4)&amp;MID($E83,6,2)&amp;RIGHT($E83,2)&amp;"|"&amp;RIGHT("00000"&amp;78,5))</f>
        <v/>
      </c>
      <c r="M83">
        <f>IF(Sync!$M83&lt;&gt;"پاس چک","",IF(Sync!$P83="","",Sync!$P83))</f>
        <v/>
      </c>
      <c r="N83">
        <f>IF($M83="","",IF(ISNUMBER(Sync!$L83),IF(AND(Sync!$L83&gt;=10000101,Sync!$L83&lt;=99991231),RIGHT("0000"&amp;INT(Sync!$L83/10000),4)&amp;"/"&amp;RIGHT("00"&amp;INT(MOD(Sync!$L83,10000)/100),2)&amp;"/"&amp;RIGHT("00"&amp;MOD(Sync!$L83,100),2),""),IFERROR(RIGHT("0000"&amp;VALUE(TRIM(LEFT(Sync!$L83,FIND("/",Sync!$L83)-1))),4)&amp;"/"&amp;RIGHT("00"&amp;VALUE(TRIM(LEFT(MID(Sync!$L83,FIND("/",Sync!$L83)+1,20),FIND("/",MID(Sync!$L83,FIND("/",Sync!$L83)+1,20))-1))),2)&amp;"/"&amp;RIGHT("00"&amp;VALUE(TRIM(MID(MID(Sync!$L83,FIND("/",Sync!$L83)+1,20),FIND("/",MID(Sync!$L83,FIND("/",Sync!$L83)+1,20))+1,20))),2),"")))</f>
        <v/>
      </c>
    </row>
    <row r="84">
      <c r="A84">
        <f>IF(Issues!$B87="","",Issues!$B87)</f>
        <v/>
      </c>
      <c r="B84">
        <f>IF($A84="","",IF(ISNUMBER(Issues!$C87),IF(AND(Issues!$C87&gt;=10000101,Issues!$C87&lt;=99991231),INT(Issues!$C87/10000),""),IFERROR(VALUE(TRIM(LEFT(Issues!$C87,FIND("/",Issues!$C87)-1))),"")))</f>
        <v/>
      </c>
      <c r="C84">
        <f>IF(OR($A84="",$B84=""),"",IF(ISNUMBER(Issues!$C87),INT(MOD(Issues!$C87,10000)/100),IFERROR(VALUE(TRIM(LEFT(MID(Issues!$C87,FIND("/",Issues!$C87)+1,20),FIND("/",MID(Issues!$C87,FIND("/",Issues!$C87)+1,20))-1))),"")))</f>
        <v/>
      </c>
      <c r="D84">
        <f>IF(OR($A84="",$B84=""),"",IF(ISNUMBER(Issues!$C87),MOD(Issues!$C87,100),IFERROR(VALUE(TRIM(MID(MID(Issues!$C87,FIND("/",Issues!$C87)+1,20),FIND("/",MID(Issues!$C87,FIND("/",Issues!$C87)+1,20))+1,20))),"")))</f>
        <v/>
      </c>
      <c r="E84">
        <f>IF($A84="","",IF(OR($B84="",$C84="",$D84="",$B84&lt;1300,$B84&gt;1500,$C84&lt;1,$C84&gt;12,$D84&lt;1,$D84&gt;31),"نامعتبر",RIGHT("0000"&amp;$B84,4)&amp;"/"&amp;RIGHT("00"&amp;$C84,2)&amp;"/"&amp;RIGHT("00"&amp;$D84,2)))</f>
        <v/>
      </c>
      <c r="F84">
        <f>IF($A84="","",IF(Issues!$D87="",0,Issues!$D87))</f>
        <v/>
      </c>
      <c r="G84">
        <f>IF($A84="","",Issues!$E87)</f>
        <v/>
      </c>
      <c r="H84">
        <f>IF($A84="","",IF(COUNTIFS(ETxnType,"پاس چک",ETxnChk,$A84)&gt;0,"پاس شده","پاس نشده"))</f>
        <v/>
      </c>
      <c r="I84">
        <f>IF($A84="","",IFERROR(INDEX(BClrDate,MATCH($A84,BClrChk,0)),""))</f>
        <v/>
      </c>
      <c r="J84">
        <f>IF($A84="","",Issues!$G87)</f>
        <v/>
      </c>
      <c r="K84">
        <f>IF(OR($E84="",$E84="نامعتبر"),"",LEFT($E84,4)&amp;MID($E84,6,2)&amp;RIGHT($E84,2)&amp;"|"&amp;RIGHT("00000"&amp;79,5))</f>
        <v/>
      </c>
      <c r="M84">
        <f>IF(Sync!$M84&lt;&gt;"پاس چک","",IF(Sync!$P84="","",Sync!$P84))</f>
        <v/>
      </c>
      <c r="N84">
        <f>IF($M84="","",IF(ISNUMBER(Sync!$L84),IF(AND(Sync!$L84&gt;=10000101,Sync!$L84&lt;=99991231),RIGHT("0000"&amp;INT(Sync!$L84/10000),4)&amp;"/"&amp;RIGHT("00"&amp;INT(MOD(Sync!$L84,10000)/100),2)&amp;"/"&amp;RIGHT("00"&amp;MOD(Sync!$L84,100),2),""),IFERROR(RIGHT("0000"&amp;VALUE(TRIM(LEFT(Sync!$L84,FIND("/",Sync!$L84)-1))),4)&amp;"/"&amp;RIGHT("00"&amp;VALUE(TRIM(LEFT(MID(Sync!$L84,FIND("/",Sync!$L84)+1,20),FIND("/",MID(Sync!$L84,FIND("/",Sync!$L84)+1,20))-1))),2)&amp;"/"&amp;RIGHT("00"&amp;VALUE(TRIM(MID(MID(Sync!$L84,FIND("/",Sync!$L84)+1,20),FIND("/",MID(Sync!$L84,FIND("/",Sync!$L84)+1,20))+1,20))),2),"")))</f>
        <v/>
      </c>
    </row>
    <row r="85">
      <c r="A85">
        <f>IF(Issues!$B88="","",Issues!$B88)</f>
        <v/>
      </c>
      <c r="B85">
        <f>IF($A85="","",IF(ISNUMBER(Issues!$C88),IF(AND(Issues!$C88&gt;=10000101,Issues!$C88&lt;=99991231),INT(Issues!$C88/10000),""),IFERROR(VALUE(TRIM(LEFT(Issues!$C88,FIND("/",Issues!$C88)-1))),"")))</f>
        <v/>
      </c>
      <c r="C85">
        <f>IF(OR($A85="",$B85=""),"",IF(ISNUMBER(Issues!$C88),INT(MOD(Issues!$C88,10000)/100),IFERROR(VALUE(TRIM(LEFT(MID(Issues!$C88,FIND("/",Issues!$C88)+1,20),FIND("/",MID(Issues!$C88,FIND("/",Issues!$C88)+1,20))-1))),"")))</f>
        <v/>
      </c>
      <c r="D85">
        <f>IF(OR($A85="",$B85=""),"",IF(ISNUMBER(Issues!$C88),MOD(Issues!$C88,100),IFERROR(VALUE(TRIM(MID(MID(Issues!$C88,FIND("/",Issues!$C88)+1,20),FIND("/",MID(Issues!$C88,FIND("/",Issues!$C88)+1,20))+1,20))),"")))</f>
        <v/>
      </c>
      <c r="E85">
        <f>IF($A85="","",IF(OR($B85="",$C85="",$D85="",$B85&lt;1300,$B85&gt;1500,$C85&lt;1,$C85&gt;12,$D85&lt;1,$D85&gt;31),"نامعتبر",RIGHT("0000"&amp;$B85,4)&amp;"/"&amp;RIGHT("00"&amp;$C85,2)&amp;"/"&amp;RIGHT("00"&amp;$D85,2)))</f>
        <v/>
      </c>
      <c r="F85">
        <f>IF($A85="","",IF(Issues!$D88="",0,Issues!$D88))</f>
        <v/>
      </c>
      <c r="G85">
        <f>IF($A85="","",Issues!$E88)</f>
        <v/>
      </c>
      <c r="H85">
        <f>IF($A85="","",IF(COUNTIFS(ETxnType,"پاس چک",ETxnChk,$A85)&gt;0,"پاس شده","پاس نشده"))</f>
        <v/>
      </c>
      <c r="I85">
        <f>IF($A85="","",IFERROR(INDEX(BClrDate,MATCH($A85,BClrChk,0)),""))</f>
        <v/>
      </c>
      <c r="J85">
        <f>IF($A85="","",Issues!$G88)</f>
        <v/>
      </c>
      <c r="K85">
        <f>IF(OR($E85="",$E85="نامعتبر"),"",LEFT($E85,4)&amp;MID($E85,6,2)&amp;RIGHT($E85,2)&amp;"|"&amp;RIGHT("00000"&amp;80,5))</f>
        <v/>
      </c>
      <c r="M85">
        <f>IF(Sync!$M85&lt;&gt;"پاس چک","",IF(Sync!$P85="","",Sync!$P85))</f>
        <v/>
      </c>
      <c r="N85">
        <f>IF($M85="","",IF(ISNUMBER(Sync!$L85),IF(AND(Sync!$L85&gt;=10000101,Sync!$L85&lt;=99991231),RIGHT("0000"&amp;INT(Sync!$L85/10000),4)&amp;"/"&amp;RIGHT("00"&amp;INT(MOD(Sync!$L85,10000)/100),2)&amp;"/"&amp;RIGHT("00"&amp;MOD(Sync!$L85,100),2),""),IFERROR(RIGHT("0000"&amp;VALUE(TRIM(LEFT(Sync!$L85,FIND("/",Sync!$L85)-1))),4)&amp;"/"&amp;RIGHT("00"&amp;VALUE(TRIM(LEFT(MID(Sync!$L85,FIND("/",Sync!$L85)+1,20),FIND("/",MID(Sync!$L85,FIND("/",Sync!$L85)+1,20))-1))),2)&amp;"/"&amp;RIGHT("00"&amp;VALUE(TRIM(MID(MID(Sync!$L85,FIND("/",Sync!$L85)+1,20),FIND("/",MID(Sync!$L85,FIND("/",Sync!$L85)+1,20))+1,20))),2),"")))</f>
        <v/>
      </c>
    </row>
    <row r="86">
      <c r="A86">
        <f>IF(Issues!$B89="","",Issues!$B89)</f>
        <v/>
      </c>
      <c r="B86">
        <f>IF($A86="","",IF(ISNUMBER(Issues!$C89),IF(AND(Issues!$C89&gt;=10000101,Issues!$C89&lt;=99991231),INT(Issues!$C89/10000),""),IFERROR(VALUE(TRIM(LEFT(Issues!$C89,FIND("/",Issues!$C89)-1))),"")))</f>
        <v/>
      </c>
      <c r="C86">
        <f>IF(OR($A86="",$B86=""),"",IF(ISNUMBER(Issues!$C89),INT(MOD(Issues!$C89,10000)/100),IFERROR(VALUE(TRIM(LEFT(MID(Issues!$C89,FIND("/",Issues!$C89)+1,20),FIND("/",MID(Issues!$C89,FIND("/",Issues!$C89)+1,20))-1))),"")))</f>
        <v/>
      </c>
      <c r="D86">
        <f>IF(OR($A86="",$B86=""),"",IF(ISNUMBER(Issues!$C89),MOD(Issues!$C89,100),IFERROR(VALUE(TRIM(MID(MID(Issues!$C89,FIND("/",Issues!$C89)+1,20),FIND("/",MID(Issues!$C89,FIND("/",Issues!$C89)+1,20))+1,20))),"")))</f>
        <v/>
      </c>
      <c r="E86">
        <f>IF($A86="","",IF(OR($B86="",$C86="",$D86="",$B86&lt;1300,$B86&gt;1500,$C86&lt;1,$C86&gt;12,$D86&lt;1,$D86&gt;31),"نامعتبر",RIGHT("0000"&amp;$B86,4)&amp;"/"&amp;RIGHT("00"&amp;$C86,2)&amp;"/"&amp;RIGHT("00"&amp;$D86,2)))</f>
        <v/>
      </c>
      <c r="F86">
        <f>IF($A86="","",IF(Issues!$D89="",0,Issues!$D89))</f>
        <v/>
      </c>
      <c r="G86">
        <f>IF($A86="","",Issues!$E89)</f>
        <v/>
      </c>
      <c r="H86">
        <f>IF($A86="","",IF(COUNTIFS(ETxnType,"پاس چک",ETxnChk,$A86)&gt;0,"پاس شده","پاس نشده"))</f>
        <v/>
      </c>
      <c r="I86">
        <f>IF($A86="","",IFERROR(INDEX(BClrDate,MATCH($A86,BClrChk,0)),""))</f>
        <v/>
      </c>
      <c r="J86">
        <f>IF($A86="","",Issues!$G89)</f>
        <v/>
      </c>
      <c r="K86">
        <f>IF(OR($E86="",$E86="نامعتبر"),"",LEFT($E86,4)&amp;MID($E86,6,2)&amp;RIGHT($E86,2)&amp;"|"&amp;RIGHT("00000"&amp;81,5))</f>
        <v/>
      </c>
      <c r="M86">
        <f>IF(Sync!$M86&lt;&gt;"پاس چک","",IF(Sync!$P86="","",Sync!$P86))</f>
        <v/>
      </c>
      <c r="N86">
        <f>IF($M86="","",IF(ISNUMBER(Sync!$L86),IF(AND(Sync!$L86&gt;=10000101,Sync!$L86&lt;=99991231),RIGHT("0000"&amp;INT(Sync!$L86/10000),4)&amp;"/"&amp;RIGHT("00"&amp;INT(MOD(Sync!$L86,10000)/100),2)&amp;"/"&amp;RIGHT("00"&amp;MOD(Sync!$L86,100),2),""),IFERROR(RIGHT("0000"&amp;VALUE(TRIM(LEFT(Sync!$L86,FIND("/",Sync!$L86)-1))),4)&amp;"/"&amp;RIGHT("00"&amp;VALUE(TRIM(LEFT(MID(Sync!$L86,FIND("/",Sync!$L86)+1,20),FIND("/",MID(Sync!$L86,FIND("/",Sync!$L86)+1,20))-1))),2)&amp;"/"&amp;RIGHT("00"&amp;VALUE(TRIM(MID(MID(Sync!$L86,FIND("/",Sync!$L86)+1,20),FIND("/",MID(Sync!$L86,FIND("/",Sync!$L86)+1,20))+1,20))),2),"")))</f>
        <v/>
      </c>
    </row>
    <row r="87">
      <c r="A87">
        <f>IF(Issues!$B90="","",Issues!$B90)</f>
        <v/>
      </c>
      <c r="B87">
        <f>IF($A87="","",IF(ISNUMBER(Issues!$C90),IF(AND(Issues!$C90&gt;=10000101,Issues!$C90&lt;=99991231),INT(Issues!$C90/10000),""),IFERROR(VALUE(TRIM(LEFT(Issues!$C90,FIND("/",Issues!$C90)-1))),"")))</f>
        <v/>
      </c>
      <c r="C87">
        <f>IF(OR($A87="",$B87=""),"",IF(ISNUMBER(Issues!$C90),INT(MOD(Issues!$C90,10000)/100),IFERROR(VALUE(TRIM(LEFT(MID(Issues!$C90,FIND("/",Issues!$C90)+1,20),FIND("/",MID(Issues!$C90,FIND("/",Issues!$C90)+1,20))-1))),"")))</f>
        <v/>
      </c>
      <c r="D87">
        <f>IF(OR($A87="",$B87=""),"",IF(ISNUMBER(Issues!$C90),MOD(Issues!$C90,100),IFERROR(VALUE(TRIM(MID(MID(Issues!$C90,FIND("/",Issues!$C90)+1,20),FIND("/",MID(Issues!$C90,FIND("/",Issues!$C90)+1,20))+1,20))),"")))</f>
        <v/>
      </c>
      <c r="E87">
        <f>IF($A87="","",IF(OR($B87="",$C87="",$D87="",$B87&lt;1300,$B87&gt;1500,$C87&lt;1,$C87&gt;12,$D87&lt;1,$D87&gt;31),"نامعتبر",RIGHT("0000"&amp;$B87,4)&amp;"/"&amp;RIGHT("00"&amp;$C87,2)&amp;"/"&amp;RIGHT("00"&amp;$D87,2)))</f>
        <v/>
      </c>
      <c r="F87">
        <f>IF($A87="","",IF(Issues!$D90="",0,Issues!$D90))</f>
        <v/>
      </c>
      <c r="G87">
        <f>IF($A87="","",Issues!$E90)</f>
        <v/>
      </c>
      <c r="H87">
        <f>IF($A87="","",IF(COUNTIFS(ETxnType,"پاس چک",ETxnChk,$A87)&gt;0,"پاس شده","پاس نشده"))</f>
        <v/>
      </c>
      <c r="I87">
        <f>IF($A87="","",IFERROR(INDEX(BClrDate,MATCH($A87,BClrChk,0)),""))</f>
        <v/>
      </c>
      <c r="J87">
        <f>IF($A87="","",Issues!$G90)</f>
        <v/>
      </c>
      <c r="K87">
        <f>IF(OR($E87="",$E87="نامعتبر"),"",LEFT($E87,4)&amp;MID($E87,6,2)&amp;RIGHT($E87,2)&amp;"|"&amp;RIGHT("00000"&amp;82,5))</f>
        <v/>
      </c>
      <c r="M87">
        <f>IF(Sync!$M87&lt;&gt;"پاس چک","",IF(Sync!$P87="","",Sync!$P87))</f>
        <v/>
      </c>
      <c r="N87">
        <f>IF($M87="","",IF(ISNUMBER(Sync!$L87),IF(AND(Sync!$L87&gt;=10000101,Sync!$L87&lt;=99991231),RIGHT("0000"&amp;INT(Sync!$L87/10000),4)&amp;"/"&amp;RIGHT("00"&amp;INT(MOD(Sync!$L87,10000)/100),2)&amp;"/"&amp;RIGHT("00"&amp;MOD(Sync!$L87,100),2),""),IFERROR(RIGHT("0000"&amp;VALUE(TRIM(LEFT(Sync!$L87,FIND("/",Sync!$L87)-1))),4)&amp;"/"&amp;RIGHT("00"&amp;VALUE(TRIM(LEFT(MID(Sync!$L87,FIND("/",Sync!$L87)+1,20),FIND("/",MID(Sync!$L87,FIND("/",Sync!$L87)+1,20))-1))),2)&amp;"/"&amp;RIGHT("00"&amp;VALUE(TRIM(MID(MID(Sync!$L87,FIND("/",Sync!$L87)+1,20),FIND("/",MID(Sync!$L87,FIND("/",Sync!$L87)+1,20))+1,20))),2),"")))</f>
        <v/>
      </c>
    </row>
    <row r="88">
      <c r="A88">
        <f>IF(Issues!$B91="","",Issues!$B91)</f>
        <v/>
      </c>
      <c r="B88">
        <f>IF($A88="","",IF(ISNUMBER(Issues!$C91),IF(AND(Issues!$C91&gt;=10000101,Issues!$C91&lt;=99991231),INT(Issues!$C91/10000),""),IFERROR(VALUE(TRIM(LEFT(Issues!$C91,FIND("/",Issues!$C91)-1))),"")))</f>
        <v/>
      </c>
      <c r="C88">
        <f>IF(OR($A88="",$B88=""),"",IF(ISNUMBER(Issues!$C91),INT(MOD(Issues!$C91,10000)/100),IFERROR(VALUE(TRIM(LEFT(MID(Issues!$C91,FIND("/",Issues!$C91)+1,20),FIND("/",MID(Issues!$C91,FIND("/",Issues!$C91)+1,20))-1))),"")))</f>
        <v/>
      </c>
      <c r="D88">
        <f>IF(OR($A88="",$B88=""),"",IF(ISNUMBER(Issues!$C91),MOD(Issues!$C91,100),IFERROR(VALUE(TRIM(MID(MID(Issues!$C91,FIND("/",Issues!$C91)+1,20),FIND("/",MID(Issues!$C91,FIND("/",Issues!$C91)+1,20))+1,20))),"")))</f>
        <v/>
      </c>
      <c r="E88">
        <f>IF($A88="","",IF(OR($B88="",$C88="",$D88="",$B88&lt;1300,$B88&gt;1500,$C88&lt;1,$C88&gt;12,$D88&lt;1,$D88&gt;31),"نامعتبر",RIGHT("0000"&amp;$B88,4)&amp;"/"&amp;RIGHT("00"&amp;$C88,2)&amp;"/"&amp;RIGHT("00"&amp;$D88,2)))</f>
        <v/>
      </c>
      <c r="F88">
        <f>IF($A88="","",IF(Issues!$D91="",0,Issues!$D91))</f>
        <v/>
      </c>
      <c r="G88">
        <f>IF($A88="","",Issues!$E91)</f>
        <v/>
      </c>
      <c r="H88">
        <f>IF($A88="","",IF(COUNTIFS(ETxnType,"پاس چک",ETxnChk,$A88)&gt;0,"پاس شده","پاس نشده"))</f>
        <v/>
      </c>
      <c r="I88">
        <f>IF($A88="","",IFERROR(INDEX(BClrDate,MATCH($A88,BClrChk,0)),""))</f>
        <v/>
      </c>
      <c r="J88">
        <f>IF($A88="","",Issues!$G91)</f>
        <v/>
      </c>
      <c r="K88">
        <f>IF(OR($E88="",$E88="نامعتبر"),"",LEFT($E88,4)&amp;MID($E88,6,2)&amp;RIGHT($E88,2)&amp;"|"&amp;RIGHT("00000"&amp;83,5))</f>
        <v/>
      </c>
      <c r="M88">
        <f>IF(Sync!$M88&lt;&gt;"پاس چک","",IF(Sync!$P88="","",Sync!$P88))</f>
        <v/>
      </c>
      <c r="N88">
        <f>IF($M88="","",IF(ISNUMBER(Sync!$L88),IF(AND(Sync!$L88&gt;=10000101,Sync!$L88&lt;=99991231),RIGHT("0000"&amp;INT(Sync!$L88/10000),4)&amp;"/"&amp;RIGHT("00"&amp;INT(MOD(Sync!$L88,10000)/100),2)&amp;"/"&amp;RIGHT("00"&amp;MOD(Sync!$L88,100),2),""),IFERROR(RIGHT("0000"&amp;VALUE(TRIM(LEFT(Sync!$L88,FIND("/",Sync!$L88)-1))),4)&amp;"/"&amp;RIGHT("00"&amp;VALUE(TRIM(LEFT(MID(Sync!$L88,FIND("/",Sync!$L88)+1,20),FIND("/",MID(Sync!$L88,FIND("/",Sync!$L88)+1,20))-1))),2)&amp;"/"&amp;RIGHT("00"&amp;VALUE(TRIM(MID(MID(Sync!$L88,FIND("/",Sync!$L88)+1,20),FIND("/",MID(Sync!$L88,FIND("/",Sync!$L88)+1,20))+1,20))),2),"")))</f>
        <v/>
      </c>
    </row>
    <row r="89">
      <c r="A89">
        <f>IF(Issues!$B92="","",Issues!$B92)</f>
        <v/>
      </c>
      <c r="B89">
        <f>IF($A89="","",IF(ISNUMBER(Issues!$C92),IF(AND(Issues!$C92&gt;=10000101,Issues!$C92&lt;=99991231),INT(Issues!$C92/10000),""),IFERROR(VALUE(TRIM(LEFT(Issues!$C92,FIND("/",Issues!$C92)-1))),"")))</f>
        <v/>
      </c>
      <c r="C89">
        <f>IF(OR($A89="",$B89=""),"",IF(ISNUMBER(Issues!$C92),INT(MOD(Issues!$C92,10000)/100),IFERROR(VALUE(TRIM(LEFT(MID(Issues!$C92,FIND("/",Issues!$C92)+1,20),FIND("/",MID(Issues!$C92,FIND("/",Issues!$C92)+1,20))-1))),"")))</f>
        <v/>
      </c>
      <c r="D89">
        <f>IF(OR($A89="",$B89=""),"",IF(ISNUMBER(Issues!$C92),MOD(Issues!$C92,100),IFERROR(VALUE(TRIM(MID(MID(Issues!$C92,FIND("/",Issues!$C92)+1,20),FIND("/",MID(Issues!$C92,FIND("/",Issues!$C92)+1,20))+1,20))),"")))</f>
        <v/>
      </c>
      <c r="E89">
        <f>IF($A89="","",IF(OR($B89="",$C89="",$D89="",$B89&lt;1300,$B89&gt;1500,$C89&lt;1,$C89&gt;12,$D89&lt;1,$D89&gt;31),"نامعتبر",RIGHT("0000"&amp;$B89,4)&amp;"/"&amp;RIGHT("00"&amp;$C89,2)&amp;"/"&amp;RIGHT("00"&amp;$D89,2)))</f>
        <v/>
      </c>
      <c r="F89">
        <f>IF($A89="","",IF(Issues!$D92="",0,Issues!$D92))</f>
        <v/>
      </c>
      <c r="G89">
        <f>IF($A89="","",Issues!$E92)</f>
        <v/>
      </c>
      <c r="H89">
        <f>IF($A89="","",IF(COUNTIFS(ETxnType,"پاس چک",ETxnChk,$A89)&gt;0,"پاس شده","پاس نشده"))</f>
        <v/>
      </c>
      <c r="I89">
        <f>IF($A89="","",IFERROR(INDEX(BClrDate,MATCH($A89,BClrChk,0)),""))</f>
        <v/>
      </c>
      <c r="J89">
        <f>IF($A89="","",Issues!$G92)</f>
        <v/>
      </c>
      <c r="K89">
        <f>IF(OR($E89="",$E89="نامعتبر"),"",LEFT($E89,4)&amp;MID($E89,6,2)&amp;RIGHT($E89,2)&amp;"|"&amp;RIGHT("00000"&amp;84,5))</f>
        <v/>
      </c>
      <c r="M89">
        <f>IF(Sync!$M89&lt;&gt;"پاس چک","",IF(Sync!$P89="","",Sync!$P89))</f>
        <v/>
      </c>
      <c r="N89">
        <f>IF($M89="","",IF(ISNUMBER(Sync!$L89),IF(AND(Sync!$L89&gt;=10000101,Sync!$L89&lt;=99991231),RIGHT("0000"&amp;INT(Sync!$L89/10000),4)&amp;"/"&amp;RIGHT("00"&amp;INT(MOD(Sync!$L89,10000)/100),2)&amp;"/"&amp;RIGHT("00"&amp;MOD(Sync!$L89,100),2),""),IFERROR(RIGHT("0000"&amp;VALUE(TRIM(LEFT(Sync!$L89,FIND("/",Sync!$L89)-1))),4)&amp;"/"&amp;RIGHT("00"&amp;VALUE(TRIM(LEFT(MID(Sync!$L89,FIND("/",Sync!$L89)+1,20),FIND("/",MID(Sync!$L89,FIND("/",Sync!$L89)+1,20))-1))),2)&amp;"/"&amp;RIGHT("00"&amp;VALUE(TRIM(MID(MID(Sync!$L89,FIND("/",Sync!$L89)+1,20),FIND("/",MID(Sync!$L89,FIND("/",Sync!$L89)+1,20))+1,20))),2),"")))</f>
        <v/>
      </c>
    </row>
    <row r="90">
      <c r="A90">
        <f>IF(Issues!$B93="","",Issues!$B93)</f>
        <v/>
      </c>
      <c r="B90">
        <f>IF($A90="","",IF(ISNUMBER(Issues!$C93),IF(AND(Issues!$C93&gt;=10000101,Issues!$C93&lt;=99991231),INT(Issues!$C93/10000),""),IFERROR(VALUE(TRIM(LEFT(Issues!$C93,FIND("/",Issues!$C93)-1))),"")))</f>
        <v/>
      </c>
      <c r="C90">
        <f>IF(OR($A90="",$B90=""),"",IF(ISNUMBER(Issues!$C93),INT(MOD(Issues!$C93,10000)/100),IFERROR(VALUE(TRIM(LEFT(MID(Issues!$C93,FIND("/",Issues!$C93)+1,20),FIND("/",MID(Issues!$C93,FIND("/",Issues!$C93)+1,20))-1))),"")))</f>
        <v/>
      </c>
      <c r="D90">
        <f>IF(OR($A90="",$B90=""),"",IF(ISNUMBER(Issues!$C93),MOD(Issues!$C93,100),IFERROR(VALUE(TRIM(MID(MID(Issues!$C93,FIND("/",Issues!$C93)+1,20),FIND("/",MID(Issues!$C93,FIND("/",Issues!$C93)+1,20))+1,20))),"")))</f>
        <v/>
      </c>
      <c r="E90">
        <f>IF($A90="","",IF(OR($B90="",$C90="",$D90="",$B90&lt;1300,$B90&gt;1500,$C90&lt;1,$C90&gt;12,$D90&lt;1,$D90&gt;31),"نامعتبر",RIGHT("0000"&amp;$B90,4)&amp;"/"&amp;RIGHT("00"&amp;$C90,2)&amp;"/"&amp;RIGHT("00"&amp;$D90,2)))</f>
        <v/>
      </c>
      <c r="F90">
        <f>IF($A90="","",IF(Issues!$D93="",0,Issues!$D93))</f>
        <v/>
      </c>
      <c r="G90">
        <f>IF($A90="","",Issues!$E93)</f>
        <v/>
      </c>
      <c r="H90">
        <f>IF($A90="","",IF(COUNTIFS(ETxnType,"پاس چک",ETxnChk,$A90)&gt;0,"پاس شده","پاس نشده"))</f>
        <v/>
      </c>
      <c r="I90">
        <f>IF($A90="","",IFERROR(INDEX(BClrDate,MATCH($A90,BClrChk,0)),""))</f>
        <v/>
      </c>
      <c r="J90">
        <f>IF($A90="","",Issues!$G93)</f>
        <v/>
      </c>
      <c r="K90">
        <f>IF(OR($E90="",$E90="نامعتبر"),"",LEFT($E90,4)&amp;MID($E90,6,2)&amp;RIGHT($E90,2)&amp;"|"&amp;RIGHT("00000"&amp;85,5))</f>
        <v/>
      </c>
      <c r="M90">
        <f>IF(Sync!$M90&lt;&gt;"پاس چک","",IF(Sync!$P90="","",Sync!$P90))</f>
        <v/>
      </c>
      <c r="N90">
        <f>IF($M90="","",IF(ISNUMBER(Sync!$L90),IF(AND(Sync!$L90&gt;=10000101,Sync!$L90&lt;=99991231),RIGHT("0000"&amp;INT(Sync!$L90/10000),4)&amp;"/"&amp;RIGHT("00"&amp;INT(MOD(Sync!$L90,10000)/100),2)&amp;"/"&amp;RIGHT("00"&amp;MOD(Sync!$L90,100),2),""),IFERROR(RIGHT("0000"&amp;VALUE(TRIM(LEFT(Sync!$L90,FIND("/",Sync!$L90)-1))),4)&amp;"/"&amp;RIGHT("00"&amp;VALUE(TRIM(LEFT(MID(Sync!$L90,FIND("/",Sync!$L90)+1,20),FIND("/",MID(Sync!$L90,FIND("/",Sync!$L90)+1,20))-1))),2)&amp;"/"&amp;RIGHT("00"&amp;VALUE(TRIM(MID(MID(Sync!$L90,FIND("/",Sync!$L90)+1,20),FIND("/",MID(Sync!$L90,FIND("/",Sync!$L90)+1,20))+1,20))),2),"")))</f>
        <v/>
      </c>
    </row>
    <row r="91">
      <c r="A91">
        <f>IF(Issues!$B94="","",Issues!$B94)</f>
        <v/>
      </c>
      <c r="B91">
        <f>IF($A91="","",IF(ISNUMBER(Issues!$C94),IF(AND(Issues!$C94&gt;=10000101,Issues!$C94&lt;=99991231),INT(Issues!$C94/10000),""),IFERROR(VALUE(TRIM(LEFT(Issues!$C94,FIND("/",Issues!$C94)-1))),"")))</f>
        <v/>
      </c>
      <c r="C91">
        <f>IF(OR($A91="",$B91=""),"",IF(ISNUMBER(Issues!$C94),INT(MOD(Issues!$C94,10000)/100),IFERROR(VALUE(TRIM(LEFT(MID(Issues!$C94,FIND("/",Issues!$C94)+1,20),FIND("/",MID(Issues!$C94,FIND("/",Issues!$C94)+1,20))-1))),"")))</f>
        <v/>
      </c>
      <c r="D91">
        <f>IF(OR($A91="",$B91=""),"",IF(ISNUMBER(Issues!$C94),MOD(Issues!$C94,100),IFERROR(VALUE(TRIM(MID(MID(Issues!$C94,FIND("/",Issues!$C94)+1,20),FIND("/",MID(Issues!$C94,FIND("/",Issues!$C94)+1,20))+1,20))),"")))</f>
        <v/>
      </c>
      <c r="E91">
        <f>IF($A91="","",IF(OR($B91="",$C91="",$D91="",$B91&lt;1300,$B91&gt;1500,$C91&lt;1,$C91&gt;12,$D91&lt;1,$D91&gt;31),"نامعتبر",RIGHT("0000"&amp;$B91,4)&amp;"/"&amp;RIGHT("00"&amp;$C91,2)&amp;"/"&amp;RIGHT("00"&amp;$D91,2)))</f>
        <v/>
      </c>
      <c r="F91">
        <f>IF($A91="","",IF(Issues!$D94="",0,Issues!$D94))</f>
        <v/>
      </c>
      <c r="G91">
        <f>IF($A91="","",Issues!$E94)</f>
        <v/>
      </c>
      <c r="H91">
        <f>IF($A91="","",IF(COUNTIFS(ETxnType,"پاس چک",ETxnChk,$A91)&gt;0,"پاس شده","پاس نشده"))</f>
        <v/>
      </c>
      <c r="I91">
        <f>IF($A91="","",IFERROR(INDEX(BClrDate,MATCH($A91,BClrChk,0)),""))</f>
        <v/>
      </c>
      <c r="J91">
        <f>IF($A91="","",Issues!$G94)</f>
        <v/>
      </c>
      <c r="K91">
        <f>IF(OR($E91="",$E91="نامعتبر"),"",LEFT($E91,4)&amp;MID($E91,6,2)&amp;RIGHT($E91,2)&amp;"|"&amp;RIGHT("00000"&amp;86,5))</f>
        <v/>
      </c>
      <c r="M91">
        <f>IF(Sync!$M91&lt;&gt;"پاس چک","",IF(Sync!$P91="","",Sync!$P91))</f>
        <v/>
      </c>
      <c r="N91">
        <f>IF($M91="","",IF(ISNUMBER(Sync!$L91),IF(AND(Sync!$L91&gt;=10000101,Sync!$L91&lt;=99991231),RIGHT("0000"&amp;INT(Sync!$L91/10000),4)&amp;"/"&amp;RIGHT("00"&amp;INT(MOD(Sync!$L91,10000)/100),2)&amp;"/"&amp;RIGHT("00"&amp;MOD(Sync!$L91,100),2),""),IFERROR(RIGHT("0000"&amp;VALUE(TRIM(LEFT(Sync!$L91,FIND("/",Sync!$L91)-1))),4)&amp;"/"&amp;RIGHT("00"&amp;VALUE(TRIM(LEFT(MID(Sync!$L91,FIND("/",Sync!$L91)+1,20),FIND("/",MID(Sync!$L91,FIND("/",Sync!$L91)+1,20))-1))),2)&amp;"/"&amp;RIGHT("00"&amp;VALUE(TRIM(MID(MID(Sync!$L91,FIND("/",Sync!$L91)+1,20),FIND("/",MID(Sync!$L91,FIND("/",Sync!$L91)+1,20))+1,20))),2),"")))</f>
        <v/>
      </c>
    </row>
    <row r="92">
      <c r="A92">
        <f>IF(Issues!$B95="","",Issues!$B95)</f>
        <v/>
      </c>
      <c r="B92">
        <f>IF($A92="","",IF(ISNUMBER(Issues!$C95),IF(AND(Issues!$C95&gt;=10000101,Issues!$C95&lt;=99991231),INT(Issues!$C95/10000),""),IFERROR(VALUE(TRIM(LEFT(Issues!$C95,FIND("/",Issues!$C95)-1))),"")))</f>
        <v/>
      </c>
      <c r="C92">
        <f>IF(OR($A92="",$B92=""),"",IF(ISNUMBER(Issues!$C95),INT(MOD(Issues!$C95,10000)/100),IFERROR(VALUE(TRIM(LEFT(MID(Issues!$C95,FIND("/",Issues!$C95)+1,20),FIND("/",MID(Issues!$C95,FIND("/",Issues!$C95)+1,20))-1))),"")))</f>
        <v/>
      </c>
      <c r="D92">
        <f>IF(OR($A92="",$B92=""),"",IF(ISNUMBER(Issues!$C95),MOD(Issues!$C95,100),IFERROR(VALUE(TRIM(MID(MID(Issues!$C95,FIND("/",Issues!$C95)+1,20),FIND("/",MID(Issues!$C95,FIND("/",Issues!$C95)+1,20))+1,20))),"")))</f>
        <v/>
      </c>
      <c r="E92">
        <f>IF($A92="","",IF(OR($B92="",$C92="",$D92="",$B92&lt;1300,$B92&gt;1500,$C92&lt;1,$C92&gt;12,$D92&lt;1,$D92&gt;31),"نامعتبر",RIGHT("0000"&amp;$B92,4)&amp;"/"&amp;RIGHT("00"&amp;$C92,2)&amp;"/"&amp;RIGHT("00"&amp;$D92,2)))</f>
        <v/>
      </c>
      <c r="F92">
        <f>IF($A92="","",IF(Issues!$D95="",0,Issues!$D95))</f>
        <v/>
      </c>
      <c r="G92">
        <f>IF($A92="","",Issues!$E95)</f>
        <v/>
      </c>
      <c r="H92">
        <f>IF($A92="","",IF(COUNTIFS(ETxnType,"پاس چک",ETxnChk,$A92)&gt;0,"پاس شده","پاس نشده"))</f>
        <v/>
      </c>
      <c r="I92">
        <f>IF($A92="","",IFERROR(INDEX(BClrDate,MATCH($A92,BClrChk,0)),""))</f>
        <v/>
      </c>
      <c r="J92">
        <f>IF($A92="","",Issues!$G95)</f>
        <v/>
      </c>
      <c r="K92">
        <f>IF(OR($E92="",$E92="نامعتبر"),"",LEFT($E92,4)&amp;MID($E92,6,2)&amp;RIGHT($E92,2)&amp;"|"&amp;RIGHT("00000"&amp;87,5))</f>
        <v/>
      </c>
      <c r="M92">
        <f>IF(Sync!$M92&lt;&gt;"پاس چک","",IF(Sync!$P92="","",Sync!$P92))</f>
        <v/>
      </c>
      <c r="N92">
        <f>IF($M92="","",IF(ISNUMBER(Sync!$L92),IF(AND(Sync!$L92&gt;=10000101,Sync!$L92&lt;=99991231),RIGHT("0000"&amp;INT(Sync!$L92/10000),4)&amp;"/"&amp;RIGHT("00"&amp;INT(MOD(Sync!$L92,10000)/100),2)&amp;"/"&amp;RIGHT("00"&amp;MOD(Sync!$L92,100),2),""),IFERROR(RIGHT("0000"&amp;VALUE(TRIM(LEFT(Sync!$L92,FIND("/",Sync!$L92)-1))),4)&amp;"/"&amp;RIGHT("00"&amp;VALUE(TRIM(LEFT(MID(Sync!$L92,FIND("/",Sync!$L92)+1,20),FIND("/",MID(Sync!$L92,FIND("/",Sync!$L92)+1,20))-1))),2)&amp;"/"&amp;RIGHT("00"&amp;VALUE(TRIM(MID(MID(Sync!$L92,FIND("/",Sync!$L92)+1,20),FIND("/",MID(Sync!$L92,FIND("/",Sync!$L92)+1,20))+1,20))),2),"")))</f>
        <v/>
      </c>
    </row>
    <row r="93">
      <c r="A93">
        <f>IF(Issues!$B96="","",Issues!$B96)</f>
        <v/>
      </c>
      <c r="B93">
        <f>IF($A93="","",IF(ISNUMBER(Issues!$C96),IF(AND(Issues!$C96&gt;=10000101,Issues!$C96&lt;=99991231),INT(Issues!$C96/10000),""),IFERROR(VALUE(TRIM(LEFT(Issues!$C96,FIND("/",Issues!$C96)-1))),"")))</f>
        <v/>
      </c>
      <c r="C93">
        <f>IF(OR($A93="",$B93=""),"",IF(ISNUMBER(Issues!$C96),INT(MOD(Issues!$C96,10000)/100),IFERROR(VALUE(TRIM(LEFT(MID(Issues!$C96,FIND("/",Issues!$C96)+1,20),FIND("/",MID(Issues!$C96,FIND("/",Issues!$C96)+1,20))-1))),"")))</f>
        <v/>
      </c>
      <c r="D93">
        <f>IF(OR($A93="",$B93=""),"",IF(ISNUMBER(Issues!$C96),MOD(Issues!$C96,100),IFERROR(VALUE(TRIM(MID(MID(Issues!$C96,FIND("/",Issues!$C96)+1,20),FIND("/",MID(Issues!$C96,FIND("/",Issues!$C96)+1,20))+1,20))),"")))</f>
        <v/>
      </c>
      <c r="E93">
        <f>IF($A93="","",IF(OR($B93="",$C93="",$D93="",$B93&lt;1300,$B93&gt;1500,$C93&lt;1,$C93&gt;12,$D93&lt;1,$D93&gt;31),"نامعتبر",RIGHT("0000"&amp;$B93,4)&amp;"/"&amp;RIGHT("00"&amp;$C93,2)&amp;"/"&amp;RIGHT("00"&amp;$D93,2)))</f>
        <v/>
      </c>
      <c r="F93">
        <f>IF($A93="","",IF(Issues!$D96="",0,Issues!$D96))</f>
        <v/>
      </c>
      <c r="G93">
        <f>IF($A93="","",Issues!$E96)</f>
        <v/>
      </c>
      <c r="H93">
        <f>IF($A93="","",IF(COUNTIFS(ETxnType,"پاس چک",ETxnChk,$A93)&gt;0,"پاس شده","پاس نشده"))</f>
        <v/>
      </c>
      <c r="I93">
        <f>IF($A93="","",IFERROR(INDEX(BClrDate,MATCH($A93,BClrChk,0)),""))</f>
        <v/>
      </c>
      <c r="J93">
        <f>IF($A93="","",Issues!$G96)</f>
        <v/>
      </c>
      <c r="K93">
        <f>IF(OR($E93="",$E93="نامعتبر"),"",LEFT($E93,4)&amp;MID($E93,6,2)&amp;RIGHT($E93,2)&amp;"|"&amp;RIGHT("00000"&amp;88,5))</f>
        <v/>
      </c>
      <c r="M93">
        <f>IF(Sync!$M93&lt;&gt;"پاس چک","",IF(Sync!$P93="","",Sync!$P93))</f>
        <v/>
      </c>
      <c r="N93">
        <f>IF($M93="","",IF(ISNUMBER(Sync!$L93),IF(AND(Sync!$L93&gt;=10000101,Sync!$L93&lt;=99991231),RIGHT("0000"&amp;INT(Sync!$L93/10000),4)&amp;"/"&amp;RIGHT("00"&amp;INT(MOD(Sync!$L93,10000)/100),2)&amp;"/"&amp;RIGHT("00"&amp;MOD(Sync!$L93,100),2),""),IFERROR(RIGHT("0000"&amp;VALUE(TRIM(LEFT(Sync!$L93,FIND("/",Sync!$L93)-1))),4)&amp;"/"&amp;RIGHT("00"&amp;VALUE(TRIM(LEFT(MID(Sync!$L93,FIND("/",Sync!$L93)+1,20),FIND("/",MID(Sync!$L93,FIND("/",Sync!$L93)+1,20))-1))),2)&amp;"/"&amp;RIGHT("00"&amp;VALUE(TRIM(MID(MID(Sync!$L93,FIND("/",Sync!$L93)+1,20),FIND("/",MID(Sync!$L93,FIND("/",Sync!$L93)+1,20))+1,20))),2),"")))</f>
        <v/>
      </c>
    </row>
    <row r="94">
      <c r="A94">
        <f>IF(Issues!$B97="","",Issues!$B97)</f>
        <v/>
      </c>
      <c r="B94">
        <f>IF($A94="","",IF(ISNUMBER(Issues!$C97),IF(AND(Issues!$C97&gt;=10000101,Issues!$C97&lt;=99991231),INT(Issues!$C97/10000),""),IFERROR(VALUE(TRIM(LEFT(Issues!$C97,FIND("/",Issues!$C97)-1))),"")))</f>
        <v/>
      </c>
      <c r="C94">
        <f>IF(OR($A94="",$B94=""),"",IF(ISNUMBER(Issues!$C97),INT(MOD(Issues!$C97,10000)/100),IFERROR(VALUE(TRIM(LEFT(MID(Issues!$C97,FIND("/",Issues!$C97)+1,20),FIND("/",MID(Issues!$C97,FIND("/",Issues!$C97)+1,20))-1))),"")))</f>
        <v/>
      </c>
      <c r="D94">
        <f>IF(OR($A94="",$B94=""),"",IF(ISNUMBER(Issues!$C97),MOD(Issues!$C97,100),IFERROR(VALUE(TRIM(MID(MID(Issues!$C97,FIND("/",Issues!$C97)+1,20),FIND("/",MID(Issues!$C97,FIND("/",Issues!$C97)+1,20))+1,20))),"")))</f>
        <v/>
      </c>
      <c r="E94">
        <f>IF($A94="","",IF(OR($B94="",$C94="",$D94="",$B94&lt;1300,$B94&gt;1500,$C94&lt;1,$C94&gt;12,$D94&lt;1,$D94&gt;31),"نامعتبر",RIGHT("0000"&amp;$B94,4)&amp;"/"&amp;RIGHT("00"&amp;$C94,2)&amp;"/"&amp;RIGHT("00"&amp;$D94,2)))</f>
        <v/>
      </c>
      <c r="F94">
        <f>IF($A94="","",IF(Issues!$D97="",0,Issues!$D97))</f>
        <v/>
      </c>
      <c r="G94">
        <f>IF($A94="","",Issues!$E97)</f>
        <v/>
      </c>
      <c r="H94">
        <f>IF($A94="","",IF(COUNTIFS(ETxnType,"پاس چک",ETxnChk,$A94)&gt;0,"پاس شده","پاس نشده"))</f>
        <v/>
      </c>
      <c r="I94">
        <f>IF($A94="","",IFERROR(INDEX(BClrDate,MATCH($A94,BClrChk,0)),""))</f>
        <v/>
      </c>
      <c r="J94">
        <f>IF($A94="","",Issues!$G97)</f>
        <v/>
      </c>
      <c r="K94">
        <f>IF(OR($E94="",$E94="نامعتبر"),"",LEFT($E94,4)&amp;MID($E94,6,2)&amp;RIGHT($E94,2)&amp;"|"&amp;RIGHT("00000"&amp;89,5))</f>
        <v/>
      </c>
      <c r="M94">
        <f>IF(Sync!$M94&lt;&gt;"پاس چک","",IF(Sync!$P94="","",Sync!$P94))</f>
        <v/>
      </c>
      <c r="N94">
        <f>IF($M94="","",IF(ISNUMBER(Sync!$L94),IF(AND(Sync!$L94&gt;=10000101,Sync!$L94&lt;=99991231),RIGHT("0000"&amp;INT(Sync!$L94/10000),4)&amp;"/"&amp;RIGHT("00"&amp;INT(MOD(Sync!$L94,10000)/100),2)&amp;"/"&amp;RIGHT("00"&amp;MOD(Sync!$L94,100),2),""),IFERROR(RIGHT("0000"&amp;VALUE(TRIM(LEFT(Sync!$L94,FIND("/",Sync!$L94)-1))),4)&amp;"/"&amp;RIGHT("00"&amp;VALUE(TRIM(LEFT(MID(Sync!$L94,FIND("/",Sync!$L94)+1,20),FIND("/",MID(Sync!$L94,FIND("/",Sync!$L94)+1,20))-1))),2)&amp;"/"&amp;RIGHT("00"&amp;VALUE(TRIM(MID(MID(Sync!$L94,FIND("/",Sync!$L94)+1,20),FIND("/",MID(Sync!$L94,FIND("/",Sync!$L94)+1,20))+1,20))),2),"")))</f>
        <v/>
      </c>
    </row>
    <row r="95">
      <c r="A95">
        <f>IF(Issues!$B98="","",Issues!$B98)</f>
        <v/>
      </c>
      <c r="B95">
        <f>IF($A95="","",IF(ISNUMBER(Issues!$C98),IF(AND(Issues!$C98&gt;=10000101,Issues!$C98&lt;=99991231),INT(Issues!$C98/10000),""),IFERROR(VALUE(TRIM(LEFT(Issues!$C98,FIND("/",Issues!$C98)-1))),"")))</f>
        <v/>
      </c>
      <c r="C95">
        <f>IF(OR($A95="",$B95=""),"",IF(ISNUMBER(Issues!$C98),INT(MOD(Issues!$C98,10000)/100),IFERROR(VALUE(TRIM(LEFT(MID(Issues!$C98,FIND("/",Issues!$C98)+1,20),FIND("/",MID(Issues!$C98,FIND("/",Issues!$C98)+1,20))-1))),"")))</f>
        <v/>
      </c>
      <c r="D95">
        <f>IF(OR($A95="",$B95=""),"",IF(ISNUMBER(Issues!$C98),MOD(Issues!$C98,100),IFERROR(VALUE(TRIM(MID(MID(Issues!$C98,FIND("/",Issues!$C98)+1,20),FIND("/",MID(Issues!$C98,FIND("/",Issues!$C98)+1,20))+1,20))),"")))</f>
        <v/>
      </c>
      <c r="E95">
        <f>IF($A95="","",IF(OR($B95="",$C95="",$D95="",$B95&lt;1300,$B95&gt;1500,$C95&lt;1,$C95&gt;12,$D95&lt;1,$D95&gt;31),"نامعتبر",RIGHT("0000"&amp;$B95,4)&amp;"/"&amp;RIGHT("00"&amp;$C95,2)&amp;"/"&amp;RIGHT("00"&amp;$D95,2)))</f>
        <v/>
      </c>
      <c r="F95">
        <f>IF($A95="","",IF(Issues!$D98="",0,Issues!$D98))</f>
        <v/>
      </c>
      <c r="G95">
        <f>IF($A95="","",Issues!$E98)</f>
        <v/>
      </c>
      <c r="H95">
        <f>IF($A95="","",IF(COUNTIFS(ETxnType,"پاس چک",ETxnChk,$A95)&gt;0,"پاس شده","پاس نشده"))</f>
        <v/>
      </c>
      <c r="I95">
        <f>IF($A95="","",IFERROR(INDEX(BClrDate,MATCH($A95,BClrChk,0)),""))</f>
        <v/>
      </c>
      <c r="J95">
        <f>IF($A95="","",Issues!$G98)</f>
        <v/>
      </c>
      <c r="K95">
        <f>IF(OR($E95="",$E95="نامعتبر"),"",LEFT($E95,4)&amp;MID($E95,6,2)&amp;RIGHT($E95,2)&amp;"|"&amp;RIGHT("00000"&amp;90,5))</f>
        <v/>
      </c>
      <c r="M95">
        <f>IF(Sync!$M95&lt;&gt;"پاس چک","",IF(Sync!$P95="","",Sync!$P95))</f>
        <v/>
      </c>
      <c r="N95">
        <f>IF($M95="","",IF(ISNUMBER(Sync!$L95),IF(AND(Sync!$L95&gt;=10000101,Sync!$L95&lt;=99991231),RIGHT("0000"&amp;INT(Sync!$L95/10000),4)&amp;"/"&amp;RIGHT("00"&amp;INT(MOD(Sync!$L95,10000)/100),2)&amp;"/"&amp;RIGHT("00"&amp;MOD(Sync!$L95,100),2),""),IFERROR(RIGHT("0000"&amp;VALUE(TRIM(LEFT(Sync!$L95,FIND("/",Sync!$L95)-1))),4)&amp;"/"&amp;RIGHT("00"&amp;VALUE(TRIM(LEFT(MID(Sync!$L95,FIND("/",Sync!$L95)+1,20),FIND("/",MID(Sync!$L95,FIND("/",Sync!$L95)+1,20))-1))),2)&amp;"/"&amp;RIGHT("00"&amp;VALUE(TRIM(MID(MID(Sync!$L95,FIND("/",Sync!$L95)+1,20),FIND("/",MID(Sync!$L95,FIND("/",Sync!$L95)+1,20))+1,20))),2),"")))</f>
        <v/>
      </c>
    </row>
    <row r="96">
      <c r="A96">
        <f>IF(Issues!$B99="","",Issues!$B99)</f>
        <v/>
      </c>
      <c r="B96">
        <f>IF($A96="","",IF(ISNUMBER(Issues!$C99),IF(AND(Issues!$C99&gt;=10000101,Issues!$C99&lt;=99991231),INT(Issues!$C99/10000),""),IFERROR(VALUE(TRIM(LEFT(Issues!$C99,FIND("/",Issues!$C99)-1))),"")))</f>
        <v/>
      </c>
      <c r="C96">
        <f>IF(OR($A96="",$B96=""),"",IF(ISNUMBER(Issues!$C99),INT(MOD(Issues!$C99,10000)/100),IFERROR(VALUE(TRIM(LEFT(MID(Issues!$C99,FIND("/",Issues!$C99)+1,20),FIND("/",MID(Issues!$C99,FIND("/",Issues!$C99)+1,20))-1))),"")))</f>
        <v/>
      </c>
      <c r="D96">
        <f>IF(OR($A96="",$B96=""),"",IF(ISNUMBER(Issues!$C99),MOD(Issues!$C99,100),IFERROR(VALUE(TRIM(MID(MID(Issues!$C99,FIND("/",Issues!$C99)+1,20),FIND("/",MID(Issues!$C99,FIND("/",Issues!$C99)+1,20))+1,20))),"")))</f>
        <v/>
      </c>
      <c r="E96">
        <f>IF($A96="","",IF(OR($B96="",$C96="",$D96="",$B96&lt;1300,$B96&gt;1500,$C96&lt;1,$C96&gt;12,$D96&lt;1,$D96&gt;31),"نامعتبر",RIGHT("0000"&amp;$B96,4)&amp;"/"&amp;RIGHT("00"&amp;$C96,2)&amp;"/"&amp;RIGHT("00"&amp;$D96,2)))</f>
        <v/>
      </c>
      <c r="F96">
        <f>IF($A96="","",IF(Issues!$D99="",0,Issues!$D99))</f>
        <v/>
      </c>
      <c r="G96">
        <f>IF($A96="","",Issues!$E99)</f>
        <v/>
      </c>
      <c r="H96">
        <f>IF($A96="","",IF(COUNTIFS(ETxnType,"پاس چک",ETxnChk,$A96)&gt;0,"پاس شده","پاس نشده"))</f>
        <v/>
      </c>
      <c r="I96">
        <f>IF($A96="","",IFERROR(INDEX(BClrDate,MATCH($A96,BClrChk,0)),""))</f>
        <v/>
      </c>
      <c r="J96">
        <f>IF($A96="","",Issues!$G99)</f>
        <v/>
      </c>
      <c r="K96">
        <f>IF(OR($E96="",$E96="نامعتبر"),"",LEFT($E96,4)&amp;MID($E96,6,2)&amp;RIGHT($E96,2)&amp;"|"&amp;RIGHT("00000"&amp;91,5))</f>
        <v/>
      </c>
      <c r="M96">
        <f>IF(Sync!$M96&lt;&gt;"پاس چک","",IF(Sync!$P96="","",Sync!$P96))</f>
        <v/>
      </c>
      <c r="N96">
        <f>IF($M96="","",IF(ISNUMBER(Sync!$L96),IF(AND(Sync!$L96&gt;=10000101,Sync!$L96&lt;=99991231),RIGHT("0000"&amp;INT(Sync!$L96/10000),4)&amp;"/"&amp;RIGHT("00"&amp;INT(MOD(Sync!$L96,10000)/100),2)&amp;"/"&amp;RIGHT("00"&amp;MOD(Sync!$L96,100),2),""),IFERROR(RIGHT("0000"&amp;VALUE(TRIM(LEFT(Sync!$L96,FIND("/",Sync!$L96)-1))),4)&amp;"/"&amp;RIGHT("00"&amp;VALUE(TRIM(LEFT(MID(Sync!$L96,FIND("/",Sync!$L96)+1,20),FIND("/",MID(Sync!$L96,FIND("/",Sync!$L96)+1,20))-1))),2)&amp;"/"&amp;RIGHT("00"&amp;VALUE(TRIM(MID(MID(Sync!$L96,FIND("/",Sync!$L96)+1,20),FIND("/",MID(Sync!$L96,FIND("/",Sync!$L96)+1,20))+1,20))),2),"")))</f>
        <v/>
      </c>
    </row>
    <row r="97">
      <c r="A97">
        <f>IF(Issues!$B100="","",Issues!$B100)</f>
        <v/>
      </c>
      <c r="B97">
        <f>IF($A97="","",IF(ISNUMBER(Issues!$C100),IF(AND(Issues!$C100&gt;=10000101,Issues!$C100&lt;=99991231),INT(Issues!$C100/10000),""),IFERROR(VALUE(TRIM(LEFT(Issues!$C100,FIND("/",Issues!$C100)-1))),"")))</f>
        <v/>
      </c>
      <c r="C97">
        <f>IF(OR($A97="",$B97=""),"",IF(ISNUMBER(Issues!$C100),INT(MOD(Issues!$C100,10000)/100),IFERROR(VALUE(TRIM(LEFT(MID(Issues!$C100,FIND("/",Issues!$C100)+1,20),FIND("/",MID(Issues!$C100,FIND("/",Issues!$C100)+1,20))-1))),"")))</f>
        <v/>
      </c>
      <c r="D97">
        <f>IF(OR($A97="",$B97=""),"",IF(ISNUMBER(Issues!$C100),MOD(Issues!$C100,100),IFERROR(VALUE(TRIM(MID(MID(Issues!$C100,FIND("/",Issues!$C100)+1,20),FIND("/",MID(Issues!$C100,FIND("/",Issues!$C100)+1,20))+1,20))),"")))</f>
        <v/>
      </c>
      <c r="E97">
        <f>IF($A97="","",IF(OR($B97="",$C97="",$D97="",$B97&lt;1300,$B97&gt;1500,$C97&lt;1,$C97&gt;12,$D97&lt;1,$D97&gt;31),"نامعتبر",RIGHT("0000"&amp;$B97,4)&amp;"/"&amp;RIGHT("00"&amp;$C97,2)&amp;"/"&amp;RIGHT("00"&amp;$D97,2)))</f>
        <v/>
      </c>
      <c r="F97">
        <f>IF($A97="","",IF(Issues!$D100="",0,Issues!$D100))</f>
        <v/>
      </c>
      <c r="G97">
        <f>IF($A97="","",Issues!$E100)</f>
        <v/>
      </c>
      <c r="H97">
        <f>IF($A97="","",IF(COUNTIFS(ETxnType,"پاس چک",ETxnChk,$A97)&gt;0,"پاس شده","پاس نشده"))</f>
        <v/>
      </c>
      <c r="I97">
        <f>IF($A97="","",IFERROR(INDEX(BClrDate,MATCH($A97,BClrChk,0)),""))</f>
        <v/>
      </c>
      <c r="J97">
        <f>IF($A97="","",Issues!$G100)</f>
        <v/>
      </c>
      <c r="K97">
        <f>IF(OR($E97="",$E97="نامعتبر"),"",LEFT($E97,4)&amp;MID($E97,6,2)&amp;RIGHT($E97,2)&amp;"|"&amp;RIGHT("00000"&amp;92,5))</f>
        <v/>
      </c>
      <c r="M97">
        <f>IF(Sync!$M97&lt;&gt;"پاس چک","",IF(Sync!$P97="","",Sync!$P97))</f>
        <v/>
      </c>
      <c r="N97">
        <f>IF($M97="","",IF(ISNUMBER(Sync!$L97),IF(AND(Sync!$L97&gt;=10000101,Sync!$L97&lt;=99991231),RIGHT("0000"&amp;INT(Sync!$L97/10000),4)&amp;"/"&amp;RIGHT("00"&amp;INT(MOD(Sync!$L97,10000)/100),2)&amp;"/"&amp;RIGHT("00"&amp;MOD(Sync!$L97,100),2),""),IFERROR(RIGHT("0000"&amp;VALUE(TRIM(LEFT(Sync!$L97,FIND("/",Sync!$L97)-1))),4)&amp;"/"&amp;RIGHT("00"&amp;VALUE(TRIM(LEFT(MID(Sync!$L97,FIND("/",Sync!$L97)+1,20),FIND("/",MID(Sync!$L97,FIND("/",Sync!$L97)+1,20))-1))),2)&amp;"/"&amp;RIGHT("00"&amp;VALUE(TRIM(MID(MID(Sync!$L97,FIND("/",Sync!$L97)+1,20),FIND("/",MID(Sync!$L97,FIND("/",Sync!$L97)+1,20))+1,20))),2),"")))</f>
        <v/>
      </c>
    </row>
    <row r="98">
      <c r="A98">
        <f>IF(Issues!$B101="","",Issues!$B101)</f>
        <v/>
      </c>
      <c r="B98">
        <f>IF($A98="","",IF(ISNUMBER(Issues!$C101),IF(AND(Issues!$C101&gt;=10000101,Issues!$C101&lt;=99991231),INT(Issues!$C101/10000),""),IFERROR(VALUE(TRIM(LEFT(Issues!$C101,FIND("/",Issues!$C101)-1))),"")))</f>
        <v/>
      </c>
      <c r="C98">
        <f>IF(OR($A98="",$B98=""),"",IF(ISNUMBER(Issues!$C101),INT(MOD(Issues!$C101,10000)/100),IFERROR(VALUE(TRIM(LEFT(MID(Issues!$C101,FIND("/",Issues!$C101)+1,20),FIND("/",MID(Issues!$C101,FIND("/",Issues!$C101)+1,20))-1))),"")))</f>
        <v/>
      </c>
      <c r="D98">
        <f>IF(OR($A98="",$B98=""),"",IF(ISNUMBER(Issues!$C101),MOD(Issues!$C101,100),IFERROR(VALUE(TRIM(MID(MID(Issues!$C101,FIND("/",Issues!$C101)+1,20),FIND("/",MID(Issues!$C101,FIND("/",Issues!$C101)+1,20))+1,20))),"")))</f>
        <v/>
      </c>
      <c r="E98">
        <f>IF($A98="","",IF(OR($B98="",$C98="",$D98="",$B98&lt;1300,$B98&gt;1500,$C98&lt;1,$C98&gt;12,$D98&lt;1,$D98&gt;31),"نامعتبر",RIGHT("0000"&amp;$B98,4)&amp;"/"&amp;RIGHT("00"&amp;$C98,2)&amp;"/"&amp;RIGHT("00"&amp;$D98,2)))</f>
        <v/>
      </c>
      <c r="F98">
        <f>IF($A98="","",IF(Issues!$D101="",0,Issues!$D101))</f>
        <v/>
      </c>
      <c r="G98">
        <f>IF($A98="","",Issues!$E101)</f>
        <v/>
      </c>
      <c r="H98">
        <f>IF($A98="","",IF(COUNTIFS(ETxnType,"پاس چک",ETxnChk,$A98)&gt;0,"پاس شده","پاس نشده"))</f>
        <v/>
      </c>
      <c r="I98">
        <f>IF($A98="","",IFERROR(INDEX(BClrDate,MATCH($A98,BClrChk,0)),""))</f>
        <v/>
      </c>
      <c r="J98">
        <f>IF($A98="","",Issues!$G101)</f>
        <v/>
      </c>
      <c r="K98">
        <f>IF(OR($E98="",$E98="نامعتبر"),"",LEFT($E98,4)&amp;MID($E98,6,2)&amp;RIGHT($E98,2)&amp;"|"&amp;RIGHT("00000"&amp;93,5))</f>
        <v/>
      </c>
      <c r="M98">
        <f>IF(Sync!$M98&lt;&gt;"پاس چک","",IF(Sync!$P98="","",Sync!$P98))</f>
        <v/>
      </c>
      <c r="N98">
        <f>IF($M98="","",IF(ISNUMBER(Sync!$L98),IF(AND(Sync!$L98&gt;=10000101,Sync!$L98&lt;=99991231),RIGHT("0000"&amp;INT(Sync!$L98/10000),4)&amp;"/"&amp;RIGHT("00"&amp;INT(MOD(Sync!$L98,10000)/100),2)&amp;"/"&amp;RIGHT("00"&amp;MOD(Sync!$L98,100),2),""),IFERROR(RIGHT("0000"&amp;VALUE(TRIM(LEFT(Sync!$L98,FIND("/",Sync!$L98)-1))),4)&amp;"/"&amp;RIGHT("00"&amp;VALUE(TRIM(LEFT(MID(Sync!$L98,FIND("/",Sync!$L98)+1,20),FIND("/",MID(Sync!$L98,FIND("/",Sync!$L98)+1,20))-1))),2)&amp;"/"&amp;RIGHT("00"&amp;VALUE(TRIM(MID(MID(Sync!$L98,FIND("/",Sync!$L98)+1,20),FIND("/",MID(Sync!$L98,FIND("/",Sync!$L98)+1,20))+1,20))),2),"")))</f>
        <v/>
      </c>
    </row>
    <row r="99">
      <c r="A99">
        <f>IF(Issues!$B102="","",Issues!$B102)</f>
        <v/>
      </c>
      <c r="B99">
        <f>IF($A99="","",IF(ISNUMBER(Issues!$C102),IF(AND(Issues!$C102&gt;=10000101,Issues!$C102&lt;=99991231),INT(Issues!$C102/10000),""),IFERROR(VALUE(TRIM(LEFT(Issues!$C102,FIND("/",Issues!$C102)-1))),"")))</f>
        <v/>
      </c>
      <c r="C99">
        <f>IF(OR($A99="",$B99=""),"",IF(ISNUMBER(Issues!$C102),INT(MOD(Issues!$C102,10000)/100),IFERROR(VALUE(TRIM(LEFT(MID(Issues!$C102,FIND("/",Issues!$C102)+1,20),FIND("/",MID(Issues!$C102,FIND("/",Issues!$C102)+1,20))-1))),"")))</f>
        <v/>
      </c>
      <c r="D99">
        <f>IF(OR($A99="",$B99=""),"",IF(ISNUMBER(Issues!$C102),MOD(Issues!$C102,100),IFERROR(VALUE(TRIM(MID(MID(Issues!$C102,FIND("/",Issues!$C102)+1,20),FIND("/",MID(Issues!$C102,FIND("/",Issues!$C102)+1,20))+1,20))),"")))</f>
        <v/>
      </c>
      <c r="E99">
        <f>IF($A99="","",IF(OR($B99="",$C99="",$D99="",$B99&lt;1300,$B99&gt;1500,$C99&lt;1,$C99&gt;12,$D99&lt;1,$D99&gt;31),"نامعتبر",RIGHT("0000"&amp;$B99,4)&amp;"/"&amp;RIGHT("00"&amp;$C99,2)&amp;"/"&amp;RIGHT("00"&amp;$D99,2)))</f>
        <v/>
      </c>
      <c r="F99">
        <f>IF($A99="","",IF(Issues!$D102="",0,Issues!$D102))</f>
        <v/>
      </c>
      <c r="G99">
        <f>IF($A99="","",Issues!$E102)</f>
        <v/>
      </c>
      <c r="H99">
        <f>IF($A99="","",IF(COUNTIFS(ETxnType,"پاس چک",ETxnChk,$A99)&gt;0,"پاس شده","پاس نشده"))</f>
        <v/>
      </c>
      <c r="I99">
        <f>IF($A99="","",IFERROR(INDEX(BClrDate,MATCH($A99,BClrChk,0)),""))</f>
        <v/>
      </c>
      <c r="J99">
        <f>IF($A99="","",Issues!$G102)</f>
        <v/>
      </c>
      <c r="K99">
        <f>IF(OR($E99="",$E99="نامعتبر"),"",LEFT($E99,4)&amp;MID($E99,6,2)&amp;RIGHT($E99,2)&amp;"|"&amp;RIGHT("00000"&amp;94,5))</f>
        <v/>
      </c>
      <c r="M99">
        <f>IF(Sync!$M99&lt;&gt;"پاس چک","",IF(Sync!$P99="","",Sync!$P99))</f>
        <v/>
      </c>
      <c r="N99">
        <f>IF($M99="","",IF(ISNUMBER(Sync!$L99),IF(AND(Sync!$L99&gt;=10000101,Sync!$L99&lt;=99991231),RIGHT("0000"&amp;INT(Sync!$L99/10000),4)&amp;"/"&amp;RIGHT("00"&amp;INT(MOD(Sync!$L99,10000)/100),2)&amp;"/"&amp;RIGHT("00"&amp;MOD(Sync!$L99,100),2),""),IFERROR(RIGHT("0000"&amp;VALUE(TRIM(LEFT(Sync!$L99,FIND("/",Sync!$L99)-1))),4)&amp;"/"&amp;RIGHT("00"&amp;VALUE(TRIM(LEFT(MID(Sync!$L99,FIND("/",Sync!$L99)+1,20),FIND("/",MID(Sync!$L99,FIND("/",Sync!$L99)+1,20))-1))),2)&amp;"/"&amp;RIGHT("00"&amp;VALUE(TRIM(MID(MID(Sync!$L99,FIND("/",Sync!$L99)+1,20),FIND("/",MID(Sync!$L99,FIND("/",Sync!$L99)+1,20))+1,20))),2),"")))</f>
        <v/>
      </c>
    </row>
    <row r="100">
      <c r="A100">
        <f>IF(Issues!$B103="","",Issues!$B103)</f>
        <v/>
      </c>
      <c r="B100">
        <f>IF($A100="","",IF(ISNUMBER(Issues!$C103),IF(AND(Issues!$C103&gt;=10000101,Issues!$C103&lt;=99991231),INT(Issues!$C103/10000),""),IFERROR(VALUE(TRIM(LEFT(Issues!$C103,FIND("/",Issues!$C103)-1))),"")))</f>
        <v/>
      </c>
      <c r="C100">
        <f>IF(OR($A100="",$B100=""),"",IF(ISNUMBER(Issues!$C103),INT(MOD(Issues!$C103,10000)/100),IFERROR(VALUE(TRIM(LEFT(MID(Issues!$C103,FIND("/",Issues!$C103)+1,20),FIND("/",MID(Issues!$C103,FIND("/",Issues!$C103)+1,20))-1))),"")))</f>
        <v/>
      </c>
      <c r="D100">
        <f>IF(OR($A100="",$B100=""),"",IF(ISNUMBER(Issues!$C103),MOD(Issues!$C103,100),IFERROR(VALUE(TRIM(MID(MID(Issues!$C103,FIND("/",Issues!$C103)+1,20),FIND("/",MID(Issues!$C103,FIND("/",Issues!$C103)+1,20))+1,20))),"")))</f>
        <v/>
      </c>
      <c r="E100">
        <f>IF($A100="","",IF(OR($B100="",$C100="",$D100="",$B100&lt;1300,$B100&gt;1500,$C100&lt;1,$C100&gt;12,$D100&lt;1,$D100&gt;31),"نامعتبر",RIGHT("0000"&amp;$B100,4)&amp;"/"&amp;RIGHT("00"&amp;$C100,2)&amp;"/"&amp;RIGHT("00"&amp;$D100,2)))</f>
        <v/>
      </c>
      <c r="F100">
        <f>IF($A100="","",IF(Issues!$D103="",0,Issues!$D103))</f>
        <v/>
      </c>
      <c r="G100">
        <f>IF($A100="","",Issues!$E103)</f>
        <v/>
      </c>
      <c r="H100">
        <f>IF($A100="","",IF(COUNTIFS(ETxnType,"پاس چک",ETxnChk,$A100)&gt;0,"پاس شده","پاس نشده"))</f>
        <v/>
      </c>
      <c r="I100">
        <f>IF($A100="","",IFERROR(INDEX(BClrDate,MATCH($A100,BClrChk,0)),""))</f>
        <v/>
      </c>
      <c r="J100">
        <f>IF($A100="","",Issues!$G103)</f>
        <v/>
      </c>
      <c r="K100">
        <f>IF(OR($E100="",$E100="نامعتبر"),"",LEFT($E100,4)&amp;MID($E100,6,2)&amp;RIGHT($E100,2)&amp;"|"&amp;RIGHT("00000"&amp;95,5))</f>
        <v/>
      </c>
      <c r="M100">
        <f>IF(Sync!$M100&lt;&gt;"پاس چک","",IF(Sync!$P100="","",Sync!$P100))</f>
        <v/>
      </c>
      <c r="N100">
        <f>IF($M100="","",IF(ISNUMBER(Sync!$L100),IF(AND(Sync!$L100&gt;=10000101,Sync!$L100&lt;=99991231),RIGHT("0000"&amp;INT(Sync!$L100/10000),4)&amp;"/"&amp;RIGHT("00"&amp;INT(MOD(Sync!$L100,10000)/100),2)&amp;"/"&amp;RIGHT("00"&amp;MOD(Sync!$L100,100),2),""),IFERROR(RIGHT("0000"&amp;VALUE(TRIM(LEFT(Sync!$L100,FIND("/",Sync!$L100)-1))),4)&amp;"/"&amp;RIGHT("00"&amp;VALUE(TRIM(LEFT(MID(Sync!$L100,FIND("/",Sync!$L100)+1,20),FIND("/",MID(Sync!$L100,FIND("/",Sync!$L100)+1,20))-1))),2)&amp;"/"&amp;RIGHT("00"&amp;VALUE(TRIM(MID(MID(Sync!$L100,FIND("/",Sync!$L100)+1,20),FIND("/",MID(Sync!$L100,FIND("/",Sync!$L100)+1,20))+1,20))),2),"")))</f>
        <v/>
      </c>
    </row>
    <row r="101">
      <c r="A101">
        <f>IF(Issues!$B104="","",Issues!$B104)</f>
        <v/>
      </c>
      <c r="B101">
        <f>IF($A101="","",IF(ISNUMBER(Issues!$C104),IF(AND(Issues!$C104&gt;=10000101,Issues!$C104&lt;=99991231),INT(Issues!$C104/10000),""),IFERROR(VALUE(TRIM(LEFT(Issues!$C104,FIND("/",Issues!$C104)-1))),"")))</f>
        <v/>
      </c>
      <c r="C101">
        <f>IF(OR($A101="",$B101=""),"",IF(ISNUMBER(Issues!$C104),INT(MOD(Issues!$C104,10000)/100),IFERROR(VALUE(TRIM(LEFT(MID(Issues!$C104,FIND("/",Issues!$C104)+1,20),FIND("/",MID(Issues!$C104,FIND("/",Issues!$C104)+1,20))-1))),"")))</f>
        <v/>
      </c>
      <c r="D101">
        <f>IF(OR($A101="",$B101=""),"",IF(ISNUMBER(Issues!$C104),MOD(Issues!$C104,100),IFERROR(VALUE(TRIM(MID(MID(Issues!$C104,FIND("/",Issues!$C104)+1,20),FIND("/",MID(Issues!$C104,FIND("/",Issues!$C104)+1,20))+1,20))),"")))</f>
        <v/>
      </c>
      <c r="E101">
        <f>IF($A101="","",IF(OR($B101="",$C101="",$D101="",$B101&lt;1300,$B101&gt;1500,$C101&lt;1,$C101&gt;12,$D101&lt;1,$D101&gt;31),"نامعتبر",RIGHT("0000"&amp;$B101,4)&amp;"/"&amp;RIGHT("00"&amp;$C101,2)&amp;"/"&amp;RIGHT("00"&amp;$D101,2)))</f>
        <v/>
      </c>
      <c r="F101">
        <f>IF($A101="","",IF(Issues!$D104="",0,Issues!$D104))</f>
        <v/>
      </c>
      <c r="G101">
        <f>IF($A101="","",Issues!$E104)</f>
        <v/>
      </c>
      <c r="H101">
        <f>IF($A101="","",IF(COUNTIFS(ETxnType,"پاس چک",ETxnChk,$A101)&gt;0,"پاس شده","پاس نشده"))</f>
        <v/>
      </c>
      <c r="I101">
        <f>IF($A101="","",IFERROR(INDEX(BClrDate,MATCH($A101,BClrChk,0)),""))</f>
        <v/>
      </c>
      <c r="J101">
        <f>IF($A101="","",Issues!$G104)</f>
        <v/>
      </c>
      <c r="K101">
        <f>IF(OR($E101="",$E101="نامعتبر"),"",LEFT($E101,4)&amp;MID($E101,6,2)&amp;RIGHT($E101,2)&amp;"|"&amp;RIGHT("00000"&amp;96,5))</f>
        <v/>
      </c>
      <c r="M101">
        <f>IF(Sync!$M101&lt;&gt;"پاس چک","",IF(Sync!$P101="","",Sync!$P101))</f>
        <v/>
      </c>
      <c r="N101">
        <f>IF($M101="","",IF(ISNUMBER(Sync!$L101),IF(AND(Sync!$L101&gt;=10000101,Sync!$L101&lt;=99991231),RIGHT("0000"&amp;INT(Sync!$L101/10000),4)&amp;"/"&amp;RIGHT("00"&amp;INT(MOD(Sync!$L101,10000)/100),2)&amp;"/"&amp;RIGHT("00"&amp;MOD(Sync!$L101,100),2),""),IFERROR(RIGHT("0000"&amp;VALUE(TRIM(LEFT(Sync!$L101,FIND("/",Sync!$L101)-1))),4)&amp;"/"&amp;RIGHT("00"&amp;VALUE(TRIM(LEFT(MID(Sync!$L101,FIND("/",Sync!$L101)+1,20),FIND("/",MID(Sync!$L101,FIND("/",Sync!$L101)+1,20))-1))),2)&amp;"/"&amp;RIGHT("00"&amp;VALUE(TRIM(MID(MID(Sync!$L101,FIND("/",Sync!$L101)+1,20),FIND("/",MID(Sync!$L101,FIND("/",Sync!$L101)+1,20))+1,20))),2),"")))</f>
        <v/>
      </c>
    </row>
    <row r="102">
      <c r="A102">
        <f>IF(Issues!$B105="","",Issues!$B105)</f>
        <v/>
      </c>
      <c r="B102">
        <f>IF($A102="","",IF(ISNUMBER(Issues!$C105),IF(AND(Issues!$C105&gt;=10000101,Issues!$C105&lt;=99991231),INT(Issues!$C105/10000),""),IFERROR(VALUE(TRIM(LEFT(Issues!$C105,FIND("/",Issues!$C105)-1))),"")))</f>
        <v/>
      </c>
      <c r="C102">
        <f>IF(OR($A102="",$B102=""),"",IF(ISNUMBER(Issues!$C105),INT(MOD(Issues!$C105,10000)/100),IFERROR(VALUE(TRIM(LEFT(MID(Issues!$C105,FIND("/",Issues!$C105)+1,20),FIND("/",MID(Issues!$C105,FIND("/",Issues!$C105)+1,20))-1))),"")))</f>
        <v/>
      </c>
      <c r="D102">
        <f>IF(OR($A102="",$B102=""),"",IF(ISNUMBER(Issues!$C105),MOD(Issues!$C105,100),IFERROR(VALUE(TRIM(MID(MID(Issues!$C105,FIND("/",Issues!$C105)+1,20),FIND("/",MID(Issues!$C105,FIND("/",Issues!$C105)+1,20))+1,20))),"")))</f>
        <v/>
      </c>
      <c r="E102">
        <f>IF($A102="","",IF(OR($B102="",$C102="",$D102="",$B102&lt;1300,$B102&gt;1500,$C102&lt;1,$C102&gt;12,$D102&lt;1,$D102&gt;31),"نامعتبر",RIGHT("0000"&amp;$B102,4)&amp;"/"&amp;RIGHT("00"&amp;$C102,2)&amp;"/"&amp;RIGHT("00"&amp;$D102,2)))</f>
        <v/>
      </c>
      <c r="F102">
        <f>IF($A102="","",IF(Issues!$D105="",0,Issues!$D105))</f>
        <v/>
      </c>
      <c r="G102">
        <f>IF($A102="","",Issues!$E105)</f>
        <v/>
      </c>
      <c r="H102">
        <f>IF($A102="","",IF(COUNTIFS(ETxnType,"پاس چک",ETxnChk,$A102)&gt;0,"پاس شده","پاس نشده"))</f>
        <v/>
      </c>
      <c r="I102">
        <f>IF($A102="","",IFERROR(INDEX(BClrDate,MATCH($A102,BClrChk,0)),""))</f>
        <v/>
      </c>
      <c r="J102">
        <f>IF($A102="","",Issues!$G105)</f>
        <v/>
      </c>
      <c r="K102">
        <f>IF(OR($E102="",$E102="نامعتبر"),"",LEFT($E102,4)&amp;MID($E102,6,2)&amp;RIGHT($E102,2)&amp;"|"&amp;RIGHT("00000"&amp;97,5))</f>
        <v/>
      </c>
      <c r="M102">
        <f>IF(Sync!$M102&lt;&gt;"پاس چک","",IF(Sync!$P102="","",Sync!$P102))</f>
        <v/>
      </c>
      <c r="N102">
        <f>IF($M102="","",IF(ISNUMBER(Sync!$L102),IF(AND(Sync!$L102&gt;=10000101,Sync!$L102&lt;=99991231),RIGHT("0000"&amp;INT(Sync!$L102/10000),4)&amp;"/"&amp;RIGHT("00"&amp;INT(MOD(Sync!$L102,10000)/100),2)&amp;"/"&amp;RIGHT("00"&amp;MOD(Sync!$L102,100),2),""),IFERROR(RIGHT("0000"&amp;VALUE(TRIM(LEFT(Sync!$L102,FIND("/",Sync!$L102)-1))),4)&amp;"/"&amp;RIGHT("00"&amp;VALUE(TRIM(LEFT(MID(Sync!$L102,FIND("/",Sync!$L102)+1,20),FIND("/",MID(Sync!$L102,FIND("/",Sync!$L102)+1,20))-1))),2)&amp;"/"&amp;RIGHT("00"&amp;VALUE(TRIM(MID(MID(Sync!$L102,FIND("/",Sync!$L102)+1,20),FIND("/",MID(Sync!$L102,FIND("/",Sync!$L102)+1,20))+1,20))),2),"")))</f>
        <v/>
      </c>
    </row>
    <row r="103">
      <c r="A103">
        <f>IF(Issues!$B106="","",Issues!$B106)</f>
        <v/>
      </c>
      <c r="B103">
        <f>IF($A103="","",IF(ISNUMBER(Issues!$C106),IF(AND(Issues!$C106&gt;=10000101,Issues!$C106&lt;=99991231),INT(Issues!$C106/10000),""),IFERROR(VALUE(TRIM(LEFT(Issues!$C106,FIND("/",Issues!$C106)-1))),"")))</f>
        <v/>
      </c>
      <c r="C103">
        <f>IF(OR($A103="",$B103=""),"",IF(ISNUMBER(Issues!$C106),INT(MOD(Issues!$C106,10000)/100),IFERROR(VALUE(TRIM(LEFT(MID(Issues!$C106,FIND("/",Issues!$C106)+1,20),FIND("/",MID(Issues!$C106,FIND("/",Issues!$C106)+1,20))-1))),"")))</f>
        <v/>
      </c>
      <c r="D103">
        <f>IF(OR($A103="",$B103=""),"",IF(ISNUMBER(Issues!$C106),MOD(Issues!$C106,100),IFERROR(VALUE(TRIM(MID(MID(Issues!$C106,FIND("/",Issues!$C106)+1,20),FIND("/",MID(Issues!$C106,FIND("/",Issues!$C106)+1,20))+1,20))),"")))</f>
        <v/>
      </c>
      <c r="E103">
        <f>IF($A103="","",IF(OR($B103="",$C103="",$D103="",$B103&lt;1300,$B103&gt;1500,$C103&lt;1,$C103&gt;12,$D103&lt;1,$D103&gt;31),"نامعتبر",RIGHT("0000"&amp;$B103,4)&amp;"/"&amp;RIGHT("00"&amp;$C103,2)&amp;"/"&amp;RIGHT("00"&amp;$D103,2)))</f>
        <v/>
      </c>
      <c r="F103">
        <f>IF($A103="","",IF(Issues!$D106="",0,Issues!$D106))</f>
        <v/>
      </c>
      <c r="G103">
        <f>IF($A103="","",Issues!$E106)</f>
        <v/>
      </c>
      <c r="H103">
        <f>IF($A103="","",IF(COUNTIFS(ETxnType,"پاس چک",ETxnChk,$A103)&gt;0,"پاس شده","پاس نشده"))</f>
        <v/>
      </c>
      <c r="I103">
        <f>IF($A103="","",IFERROR(INDEX(BClrDate,MATCH($A103,BClrChk,0)),""))</f>
        <v/>
      </c>
      <c r="J103">
        <f>IF($A103="","",Issues!$G106)</f>
        <v/>
      </c>
      <c r="K103">
        <f>IF(OR($E103="",$E103="نامعتبر"),"",LEFT($E103,4)&amp;MID($E103,6,2)&amp;RIGHT($E103,2)&amp;"|"&amp;RIGHT("00000"&amp;98,5))</f>
        <v/>
      </c>
      <c r="M103">
        <f>IF(Sync!$M103&lt;&gt;"پاس چک","",IF(Sync!$P103="","",Sync!$P103))</f>
        <v/>
      </c>
      <c r="N103">
        <f>IF($M103="","",IF(ISNUMBER(Sync!$L103),IF(AND(Sync!$L103&gt;=10000101,Sync!$L103&lt;=99991231),RIGHT("0000"&amp;INT(Sync!$L103/10000),4)&amp;"/"&amp;RIGHT("00"&amp;INT(MOD(Sync!$L103,10000)/100),2)&amp;"/"&amp;RIGHT("00"&amp;MOD(Sync!$L103,100),2),""),IFERROR(RIGHT("0000"&amp;VALUE(TRIM(LEFT(Sync!$L103,FIND("/",Sync!$L103)-1))),4)&amp;"/"&amp;RIGHT("00"&amp;VALUE(TRIM(LEFT(MID(Sync!$L103,FIND("/",Sync!$L103)+1,20),FIND("/",MID(Sync!$L103,FIND("/",Sync!$L103)+1,20))-1))),2)&amp;"/"&amp;RIGHT("00"&amp;VALUE(TRIM(MID(MID(Sync!$L103,FIND("/",Sync!$L103)+1,20),FIND("/",MID(Sync!$L103,FIND("/",Sync!$L103)+1,20))+1,20))),2),"")))</f>
        <v/>
      </c>
    </row>
    <row r="104">
      <c r="A104">
        <f>IF(Issues!$B107="","",Issues!$B107)</f>
        <v/>
      </c>
      <c r="B104">
        <f>IF($A104="","",IF(ISNUMBER(Issues!$C107),IF(AND(Issues!$C107&gt;=10000101,Issues!$C107&lt;=99991231),INT(Issues!$C107/10000),""),IFERROR(VALUE(TRIM(LEFT(Issues!$C107,FIND("/",Issues!$C107)-1))),"")))</f>
        <v/>
      </c>
      <c r="C104">
        <f>IF(OR($A104="",$B104=""),"",IF(ISNUMBER(Issues!$C107),INT(MOD(Issues!$C107,10000)/100),IFERROR(VALUE(TRIM(LEFT(MID(Issues!$C107,FIND("/",Issues!$C107)+1,20),FIND("/",MID(Issues!$C107,FIND("/",Issues!$C107)+1,20))-1))),"")))</f>
        <v/>
      </c>
      <c r="D104">
        <f>IF(OR($A104="",$B104=""),"",IF(ISNUMBER(Issues!$C107),MOD(Issues!$C107,100),IFERROR(VALUE(TRIM(MID(MID(Issues!$C107,FIND("/",Issues!$C107)+1,20),FIND("/",MID(Issues!$C107,FIND("/",Issues!$C107)+1,20))+1,20))),"")))</f>
        <v/>
      </c>
      <c r="E104">
        <f>IF($A104="","",IF(OR($B104="",$C104="",$D104="",$B104&lt;1300,$B104&gt;1500,$C104&lt;1,$C104&gt;12,$D104&lt;1,$D104&gt;31),"نامعتبر",RIGHT("0000"&amp;$B104,4)&amp;"/"&amp;RIGHT("00"&amp;$C104,2)&amp;"/"&amp;RIGHT("00"&amp;$D104,2)))</f>
        <v/>
      </c>
      <c r="F104">
        <f>IF($A104="","",IF(Issues!$D107="",0,Issues!$D107))</f>
        <v/>
      </c>
      <c r="G104">
        <f>IF($A104="","",Issues!$E107)</f>
        <v/>
      </c>
      <c r="H104">
        <f>IF($A104="","",IF(COUNTIFS(ETxnType,"پاس چک",ETxnChk,$A104)&gt;0,"پاس شده","پاس نشده"))</f>
        <v/>
      </c>
      <c r="I104">
        <f>IF($A104="","",IFERROR(INDEX(BClrDate,MATCH($A104,BClrChk,0)),""))</f>
        <v/>
      </c>
      <c r="J104">
        <f>IF($A104="","",Issues!$G107)</f>
        <v/>
      </c>
      <c r="K104">
        <f>IF(OR($E104="",$E104="نامعتبر"),"",LEFT($E104,4)&amp;MID($E104,6,2)&amp;RIGHT($E104,2)&amp;"|"&amp;RIGHT("00000"&amp;99,5))</f>
        <v/>
      </c>
      <c r="M104">
        <f>IF(Sync!$M104&lt;&gt;"پاس چک","",IF(Sync!$P104="","",Sync!$P104))</f>
        <v/>
      </c>
      <c r="N104">
        <f>IF($M104="","",IF(ISNUMBER(Sync!$L104),IF(AND(Sync!$L104&gt;=10000101,Sync!$L104&lt;=99991231),RIGHT("0000"&amp;INT(Sync!$L104/10000),4)&amp;"/"&amp;RIGHT("00"&amp;INT(MOD(Sync!$L104,10000)/100),2)&amp;"/"&amp;RIGHT("00"&amp;MOD(Sync!$L104,100),2),""),IFERROR(RIGHT("0000"&amp;VALUE(TRIM(LEFT(Sync!$L104,FIND("/",Sync!$L104)-1))),4)&amp;"/"&amp;RIGHT("00"&amp;VALUE(TRIM(LEFT(MID(Sync!$L104,FIND("/",Sync!$L104)+1,20),FIND("/",MID(Sync!$L104,FIND("/",Sync!$L104)+1,20))-1))),2)&amp;"/"&amp;RIGHT("00"&amp;VALUE(TRIM(MID(MID(Sync!$L104,FIND("/",Sync!$L104)+1,20),FIND("/",MID(Sync!$L104,FIND("/",Sync!$L104)+1,20))+1,20))),2),"")))</f>
        <v/>
      </c>
    </row>
    <row r="105">
      <c r="A105">
        <f>IF(Issues!$B108="","",Issues!$B108)</f>
        <v/>
      </c>
      <c r="B105">
        <f>IF($A105="","",IF(ISNUMBER(Issues!$C108),IF(AND(Issues!$C108&gt;=10000101,Issues!$C108&lt;=99991231),INT(Issues!$C108/10000),""),IFERROR(VALUE(TRIM(LEFT(Issues!$C108,FIND("/",Issues!$C108)-1))),"")))</f>
        <v/>
      </c>
      <c r="C105">
        <f>IF(OR($A105="",$B105=""),"",IF(ISNUMBER(Issues!$C108),INT(MOD(Issues!$C108,10000)/100),IFERROR(VALUE(TRIM(LEFT(MID(Issues!$C108,FIND("/",Issues!$C108)+1,20),FIND("/",MID(Issues!$C108,FIND("/",Issues!$C108)+1,20))-1))),"")))</f>
        <v/>
      </c>
      <c r="D105">
        <f>IF(OR($A105="",$B105=""),"",IF(ISNUMBER(Issues!$C108),MOD(Issues!$C108,100),IFERROR(VALUE(TRIM(MID(MID(Issues!$C108,FIND("/",Issues!$C108)+1,20),FIND("/",MID(Issues!$C108,FIND("/",Issues!$C108)+1,20))+1,20))),"")))</f>
        <v/>
      </c>
      <c r="E105">
        <f>IF($A105="","",IF(OR($B105="",$C105="",$D105="",$B105&lt;1300,$B105&gt;1500,$C105&lt;1,$C105&gt;12,$D105&lt;1,$D105&gt;31),"نامعتبر",RIGHT("0000"&amp;$B105,4)&amp;"/"&amp;RIGHT("00"&amp;$C105,2)&amp;"/"&amp;RIGHT("00"&amp;$D105,2)))</f>
        <v/>
      </c>
      <c r="F105">
        <f>IF($A105="","",IF(Issues!$D108="",0,Issues!$D108))</f>
        <v/>
      </c>
      <c r="G105">
        <f>IF($A105="","",Issues!$E108)</f>
        <v/>
      </c>
      <c r="H105">
        <f>IF($A105="","",IF(COUNTIFS(ETxnType,"پاس چک",ETxnChk,$A105)&gt;0,"پاس شده","پاس نشده"))</f>
        <v/>
      </c>
      <c r="I105">
        <f>IF($A105="","",IFERROR(INDEX(BClrDate,MATCH($A105,BClrChk,0)),""))</f>
        <v/>
      </c>
      <c r="J105">
        <f>IF($A105="","",Issues!$G108)</f>
        <v/>
      </c>
      <c r="K105">
        <f>IF(OR($E105="",$E105="نامعتبر"),"",LEFT($E105,4)&amp;MID($E105,6,2)&amp;RIGHT($E105,2)&amp;"|"&amp;RIGHT("00000"&amp;100,5))</f>
        <v/>
      </c>
      <c r="M105">
        <f>IF(Sync!$M105&lt;&gt;"پاس چک","",IF(Sync!$P105="","",Sync!$P105))</f>
        <v/>
      </c>
      <c r="N105">
        <f>IF($M105="","",IF(ISNUMBER(Sync!$L105),IF(AND(Sync!$L105&gt;=10000101,Sync!$L105&lt;=99991231),RIGHT("0000"&amp;INT(Sync!$L105/10000),4)&amp;"/"&amp;RIGHT("00"&amp;INT(MOD(Sync!$L105,10000)/100),2)&amp;"/"&amp;RIGHT("00"&amp;MOD(Sync!$L105,100),2),""),IFERROR(RIGHT("0000"&amp;VALUE(TRIM(LEFT(Sync!$L105,FIND("/",Sync!$L105)-1))),4)&amp;"/"&amp;RIGHT("00"&amp;VALUE(TRIM(LEFT(MID(Sync!$L105,FIND("/",Sync!$L105)+1,20),FIND("/",MID(Sync!$L105,FIND("/",Sync!$L105)+1,20))-1))),2)&amp;"/"&amp;RIGHT("00"&amp;VALUE(TRIM(MID(MID(Sync!$L105,FIND("/",Sync!$L105)+1,20),FIND("/",MID(Sync!$L105,FIND("/",Sync!$L105)+1,20))+1,20))),2),"")))</f>
        <v/>
      </c>
    </row>
    <row r="106">
      <c r="A106">
        <f>IF(Issues!$B109="","",Issues!$B109)</f>
        <v/>
      </c>
      <c r="B106">
        <f>IF($A106="","",IF(ISNUMBER(Issues!$C109),IF(AND(Issues!$C109&gt;=10000101,Issues!$C109&lt;=99991231),INT(Issues!$C109/10000),""),IFERROR(VALUE(TRIM(LEFT(Issues!$C109,FIND("/",Issues!$C109)-1))),"")))</f>
        <v/>
      </c>
      <c r="C106">
        <f>IF(OR($A106="",$B106=""),"",IF(ISNUMBER(Issues!$C109),INT(MOD(Issues!$C109,10000)/100),IFERROR(VALUE(TRIM(LEFT(MID(Issues!$C109,FIND("/",Issues!$C109)+1,20),FIND("/",MID(Issues!$C109,FIND("/",Issues!$C109)+1,20))-1))),"")))</f>
        <v/>
      </c>
      <c r="D106">
        <f>IF(OR($A106="",$B106=""),"",IF(ISNUMBER(Issues!$C109),MOD(Issues!$C109,100),IFERROR(VALUE(TRIM(MID(MID(Issues!$C109,FIND("/",Issues!$C109)+1,20),FIND("/",MID(Issues!$C109,FIND("/",Issues!$C109)+1,20))+1,20))),"")))</f>
        <v/>
      </c>
      <c r="E106">
        <f>IF($A106="","",IF(OR($B106="",$C106="",$D106="",$B106&lt;1300,$B106&gt;1500,$C106&lt;1,$C106&gt;12,$D106&lt;1,$D106&gt;31),"نامعتبر",RIGHT("0000"&amp;$B106,4)&amp;"/"&amp;RIGHT("00"&amp;$C106,2)&amp;"/"&amp;RIGHT("00"&amp;$D106,2)))</f>
        <v/>
      </c>
      <c r="F106">
        <f>IF($A106="","",IF(Issues!$D109="",0,Issues!$D109))</f>
        <v/>
      </c>
      <c r="G106">
        <f>IF($A106="","",Issues!$E109)</f>
        <v/>
      </c>
      <c r="H106">
        <f>IF($A106="","",IF(COUNTIFS(ETxnType,"پاس چک",ETxnChk,$A106)&gt;0,"پاس شده","پاس نشده"))</f>
        <v/>
      </c>
      <c r="I106">
        <f>IF($A106="","",IFERROR(INDEX(BClrDate,MATCH($A106,BClrChk,0)),""))</f>
        <v/>
      </c>
      <c r="J106">
        <f>IF($A106="","",Issues!$G109)</f>
        <v/>
      </c>
      <c r="K106">
        <f>IF(OR($E106="",$E106="نامعتبر"),"",LEFT($E106,4)&amp;MID($E106,6,2)&amp;RIGHT($E106,2)&amp;"|"&amp;RIGHT("00000"&amp;101,5))</f>
        <v/>
      </c>
      <c r="M106">
        <f>IF(Sync!$M106&lt;&gt;"پاس چک","",IF(Sync!$P106="","",Sync!$P106))</f>
        <v/>
      </c>
      <c r="N106">
        <f>IF($M106="","",IF(ISNUMBER(Sync!$L106),IF(AND(Sync!$L106&gt;=10000101,Sync!$L106&lt;=99991231),RIGHT("0000"&amp;INT(Sync!$L106/10000),4)&amp;"/"&amp;RIGHT("00"&amp;INT(MOD(Sync!$L106,10000)/100),2)&amp;"/"&amp;RIGHT("00"&amp;MOD(Sync!$L106,100),2),""),IFERROR(RIGHT("0000"&amp;VALUE(TRIM(LEFT(Sync!$L106,FIND("/",Sync!$L106)-1))),4)&amp;"/"&amp;RIGHT("00"&amp;VALUE(TRIM(LEFT(MID(Sync!$L106,FIND("/",Sync!$L106)+1,20),FIND("/",MID(Sync!$L106,FIND("/",Sync!$L106)+1,20))-1))),2)&amp;"/"&amp;RIGHT("00"&amp;VALUE(TRIM(MID(MID(Sync!$L106,FIND("/",Sync!$L106)+1,20),FIND("/",MID(Sync!$L106,FIND("/",Sync!$L106)+1,20))+1,20))),2),"")))</f>
        <v/>
      </c>
    </row>
    <row r="107">
      <c r="A107">
        <f>IF(Issues!$B110="","",Issues!$B110)</f>
        <v/>
      </c>
      <c r="B107">
        <f>IF($A107="","",IF(ISNUMBER(Issues!$C110),IF(AND(Issues!$C110&gt;=10000101,Issues!$C110&lt;=99991231),INT(Issues!$C110/10000),""),IFERROR(VALUE(TRIM(LEFT(Issues!$C110,FIND("/",Issues!$C110)-1))),"")))</f>
        <v/>
      </c>
      <c r="C107">
        <f>IF(OR($A107="",$B107=""),"",IF(ISNUMBER(Issues!$C110),INT(MOD(Issues!$C110,10000)/100),IFERROR(VALUE(TRIM(LEFT(MID(Issues!$C110,FIND("/",Issues!$C110)+1,20),FIND("/",MID(Issues!$C110,FIND("/",Issues!$C110)+1,20))-1))),"")))</f>
        <v/>
      </c>
      <c r="D107">
        <f>IF(OR($A107="",$B107=""),"",IF(ISNUMBER(Issues!$C110),MOD(Issues!$C110,100),IFERROR(VALUE(TRIM(MID(MID(Issues!$C110,FIND("/",Issues!$C110)+1,20),FIND("/",MID(Issues!$C110,FIND("/",Issues!$C110)+1,20))+1,20))),"")))</f>
        <v/>
      </c>
      <c r="E107">
        <f>IF($A107="","",IF(OR($B107="",$C107="",$D107="",$B107&lt;1300,$B107&gt;1500,$C107&lt;1,$C107&gt;12,$D107&lt;1,$D107&gt;31),"نامعتبر",RIGHT("0000"&amp;$B107,4)&amp;"/"&amp;RIGHT("00"&amp;$C107,2)&amp;"/"&amp;RIGHT("00"&amp;$D107,2)))</f>
        <v/>
      </c>
      <c r="F107">
        <f>IF($A107="","",IF(Issues!$D110="",0,Issues!$D110))</f>
        <v/>
      </c>
      <c r="G107">
        <f>IF($A107="","",Issues!$E110)</f>
        <v/>
      </c>
      <c r="H107">
        <f>IF($A107="","",IF(COUNTIFS(ETxnType,"پاس چک",ETxnChk,$A107)&gt;0,"پاس شده","پاس نشده"))</f>
        <v/>
      </c>
      <c r="I107">
        <f>IF($A107="","",IFERROR(INDEX(BClrDate,MATCH($A107,BClrChk,0)),""))</f>
        <v/>
      </c>
      <c r="J107">
        <f>IF($A107="","",Issues!$G110)</f>
        <v/>
      </c>
      <c r="K107">
        <f>IF(OR($E107="",$E107="نامعتبر"),"",LEFT($E107,4)&amp;MID($E107,6,2)&amp;RIGHT($E107,2)&amp;"|"&amp;RIGHT("00000"&amp;102,5))</f>
        <v/>
      </c>
      <c r="M107">
        <f>IF(Sync!$M107&lt;&gt;"پاس چک","",IF(Sync!$P107="","",Sync!$P107))</f>
        <v/>
      </c>
      <c r="N107">
        <f>IF($M107="","",IF(ISNUMBER(Sync!$L107),IF(AND(Sync!$L107&gt;=10000101,Sync!$L107&lt;=99991231),RIGHT("0000"&amp;INT(Sync!$L107/10000),4)&amp;"/"&amp;RIGHT("00"&amp;INT(MOD(Sync!$L107,10000)/100),2)&amp;"/"&amp;RIGHT("00"&amp;MOD(Sync!$L107,100),2),""),IFERROR(RIGHT("0000"&amp;VALUE(TRIM(LEFT(Sync!$L107,FIND("/",Sync!$L107)-1))),4)&amp;"/"&amp;RIGHT("00"&amp;VALUE(TRIM(LEFT(MID(Sync!$L107,FIND("/",Sync!$L107)+1,20),FIND("/",MID(Sync!$L107,FIND("/",Sync!$L107)+1,20))-1))),2)&amp;"/"&amp;RIGHT("00"&amp;VALUE(TRIM(MID(MID(Sync!$L107,FIND("/",Sync!$L107)+1,20),FIND("/",MID(Sync!$L107,FIND("/",Sync!$L107)+1,20))+1,20))),2),"")))</f>
        <v/>
      </c>
    </row>
    <row r="108">
      <c r="A108">
        <f>IF(Issues!$B111="","",Issues!$B111)</f>
        <v/>
      </c>
      <c r="B108">
        <f>IF($A108="","",IF(ISNUMBER(Issues!$C111),IF(AND(Issues!$C111&gt;=10000101,Issues!$C111&lt;=99991231),INT(Issues!$C111/10000),""),IFERROR(VALUE(TRIM(LEFT(Issues!$C111,FIND("/",Issues!$C111)-1))),"")))</f>
        <v/>
      </c>
      <c r="C108">
        <f>IF(OR($A108="",$B108=""),"",IF(ISNUMBER(Issues!$C111),INT(MOD(Issues!$C111,10000)/100),IFERROR(VALUE(TRIM(LEFT(MID(Issues!$C111,FIND("/",Issues!$C111)+1,20),FIND("/",MID(Issues!$C111,FIND("/",Issues!$C111)+1,20))-1))),"")))</f>
        <v/>
      </c>
      <c r="D108">
        <f>IF(OR($A108="",$B108=""),"",IF(ISNUMBER(Issues!$C111),MOD(Issues!$C111,100),IFERROR(VALUE(TRIM(MID(MID(Issues!$C111,FIND("/",Issues!$C111)+1,20),FIND("/",MID(Issues!$C111,FIND("/",Issues!$C111)+1,20))+1,20))),"")))</f>
        <v/>
      </c>
      <c r="E108">
        <f>IF($A108="","",IF(OR($B108="",$C108="",$D108="",$B108&lt;1300,$B108&gt;1500,$C108&lt;1,$C108&gt;12,$D108&lt;1,$D108&gt;31),"نامعتبر",RIGHT("0000"&amp;$B108,4)&amp;"/"&amp;RIGHT("00"&amp;$C108,2)&amp;"/"&amp;RIGHT("00"&amp;$D108,2)))</f>
        <v/>
      </c>
      <c r="F108">
        <f>IF($A108="","",IF(Issues!$D111="",0,Issues!$D111))</f>
        <v/>
      </c>
      <c r="G108">
        <f>IF($A108="","",Issues!$E111)</f>
        <v/>
      </c>
      <c r="H108">
        <f>IF($A108="","",IF(COUNTIFS(ETxnType,"پاس چک",ETxnChk,$A108)&gt;0,"پاس شده","پاس نشده"))</f>
        <v/>
      </c>
      <c r="I108">
        <f>IF($A108="","",IFERROR(INDEX(BClrDate,MATCH($A108,BClrChk,0)),""))</f>
        <v/>
      </c>
      <c r="J108">
        <f>IF($A108="","",Issues!$G111)</f>
        <v/>
      </c>
      <c r="K108">
        <f>IF(OR($E108="",$E108="نامعتبر"),"",LEFT($E108,4)&amp;MID($E108,6,2)&amp;RIGHT($E108,2)&amp;"|"&amp;RIGHT("00000"&amp;103,5))</f>
        <v/>
      </c>
      <c r="M108">
        <f>IF(Sync!$M108&lt;&gt;"پاس چک","",IF(Sync!$P108="","",Sync!$P108))</f>
        <v/>
      </c>
      <c r="N108">
        <f>IF($M108="","",IF(ISNUMBER(Sync!$L108),IF(AND(Sync!$L108&gt;=10000101,Sync!$L108&lt;=99991231),RIGHT("0000"&amp;INT(Sync!$L108/10000),4)&amp;"/"&amp;RIGHT("00"&amp;INT(MOD(Sync!$L108,10000)/100),2)&amp;"/"&amp;RIGHT("00"&amp;MOD(Sync!$L108,100),2),""),IFERROR(RIGHT("0000"&amp;VALUE(TRIM(LEFT(Sync!$L108,FIND("/",Sync!$L108)-1))),4)&amp;"/"&amp;RIGHT("00"&amp;VALUE(TRIM(LEFT(MID(Sync!$L108,FIND("/",Sync!$L108)+1,20),FIND("/",MID(Sync!$L108,FIND("/",Sync!$L108)+1,20))-1))),2)&amp;"/"&amp;RIGHT("00"&amp;VALUE(TRIM(MID(MID(Sync!$L108,FIND("/",Sync!$L108)+1,20),FIND("/",MID(Sync!$L108,FIND("/",Sync!$L108)+1,20))+1,20))),2),"")))</f>
        <v/>
      </c>
    </row>
    <row r="109">
      <c r="A109">
        <f>IF(Issues!$B112="","",Issues!$B112)</f>
        <v/>
      </c>
      <c r="B109">
        <f>IF($A109="","",IF(ISNUMBER(Issues!$C112),IF(AND(Issues!$C112&gt;=10000101,Issues!$C112&lt;=99991231),INT(Issues!$C112/10000),""),IFERROR(VALUE(TRIM(LEFT(Issues!$C112,FIND("/",Issues!$C112)-1))),"")))</f>
        <v/>
      </c>
      <c r="C109">
        <f>IF(OR($A109="",$B109=""),"",IF(ISNUMBER(Issues!$C112),INT(MOD(Issues!$C112,10000)/100),IFERROR(VALUE(TRIM(LEFT(MID(Issues!$C112,FIND("/",Issues!$C112)+1,20),FIND("/",MID(Issues!$C112,FIND("/",Issues!$C112)+1,20))-1))),"")))</f>
        <v/>
      </c>
      <c r="D109">
        <f>IF(OR($A109="",$B109=""),"",IF(ISNUMBER(Issues!$C112),MOD(Issues!$C112,100),IFERROR(VALUE(TRIM(MID(MID(Issues!$C112,FIND("/",Issues!$C112)+1,20),FIND("/",MID(Issues!$C112,FIND("/",Issues!$C112)+1,20))+1,20))),"")))</f>
        <v/>
      </c>
      <c r="E109">
        <f>IF($A109="","",IF(OR($B109="",$C109="",$D109="",$B109&lt;1300,$B109&gt;1500,$C109&lt;1,$C109&gt;12,$D109&lt;1,$D109&gt;31),"نامعتبر",RIGHT("0000"&amp;$B109,4)&amp;"/"&amp;RIGHT("00"&amp;$C109,2)&amp;"/"&amp;RIGHT("00"&amp;$D109,2)))</f>
        <v/>
      </c>
      <c r="F109">
        <f>IF($A109="","",IF(Issues!$D112="",0,Issues!$D112))</f>
        <v/>
      </c>
      <c r="G109">
        <f>IF($A109="","",Issues!$E112)</f>
        <v/>
      </c>
      <c r="H109">
        <f>IF($A109="","",IF(COUNTIFS(ETxnType,"پاس چک",ETxnChk,$A109)&gt;0,"پاس شده","پاس نشده"))</f>
        <v/>
      </c>
      <c r="I109">
        <f>IF($A109="","",IFERROR(INDEX(BClrDate,MATCH($A109,BClrChk,0)),""))</f>
        <v/>
      </c>
      <c r="J109">
        <f>IF($A109="","",Issues!$G112)</f>
        <v/>
      </c>
      <c r="K109">
        <f>IF(OR($E109="",$E109="نامعتبر"),"",LEFT($E109,4)&amp;MID($E109,6,2)&amp;RIGHT($E109,2)&amp;"|"&amp;RIGHT("00000"&amp;104,5))</f>
        <v/>
      </c>
      <c r="M109">
        <f>IF(Sync!$M109&lt;&gt;"پاس چک","",IF(Sync!$P109="","",Sync!$P109))</f>
        <v/>
      </c>
      <c r="N109">
        <f>IF($M109="","",IF(ISNUMBER(Sync!$L109),IF(AND(Sync!$L109&gt;=10000101,Sync!$L109&lt;=99991231),RIGHT("0000"&amp;INT(Sync!$L109/10000),4)&amp;"/"&amp;RIGHT("00"&amp;INT(MOD(Sync!$L109,10000)/100),2)&amp;"/"&amp;RIGHT("00"&amp;MOD(Sync!$L109,100),2),""),IFERROR(RIGHT("0000"&amp;VALUE(TRIM(LEFT(Sync!$L109,FIND("/",Sync!$L109)-1))),4)&amp;"/"&amp;RIGHT("00"&amp;VALUE(TRIM(LEFT(MID(Sync!$L109,FIND("/",Sync!$L109)+1,20),FIND("/",MID(Sync!$L109,FIND("/",Sync!$L109)+1,20))-1))),2)&amp;"/"&amp;RIGHT("00"&amp;VALUE(TRIM(MID(MID(Sync!$L109,FIND("/",Sync!$L109)+1,20),FIND("/",MID(Sync!$L109,FIND("/",Sync!$L109)+1,20))+1,20))),2),"")))</f>
        <v/>
      </c>
    </row>
    <row r="110">
      <c r="A110">
        <f>IF(Issues!$B113="","",Issues!$B113)</f>
        <v/>
      </c>
      <c r="B110">
        <f>IF($A110="","",IF(ISNUMBER(Issues!$C113),IF(AND(Issues!$C113&gt;=10000101,Issues!$C113&lt;=99991231),INT(Issues!$C113/10000),""),IFERROR(VALUE(TRIM(LEFT(Issues!$C113,FIND("/",Issues!$C113)-1))),"")))</f>
        <v/>
      </c>
      <c r="C110">
        <f>IF(OR($A110="",$B110=""),"",IF(ISNUMBER(Issues!$C113),INT(MOD(Issues!$C113,10000)/100),IFERROR(VALUE(TRIM(LEFT(MID(Issues!$C113,FIND("/",Issues!$C113)+1,20),FIND("/",MID(Issues!$C113,FIND("/",Issues!$C113)+1,20))-1))),"")))</f>
        <v/>
      </c>
      <c r="D110">
        <f>IF(OR($A110="",$B110=""),"",IF(ISNUMBER(Issues!$C113),MOD(Issues!$C113,100),IFERROR(VALUE(TRIM(MID(MID(Issues!$C113,FIND("/",Issues!$C113)+1,20),FIND("/",MID(Issues!$C113,FIND("/",Issues!$C113)+1,20))+1,20))),"")))</f>
        <v/>
      </c>
      <c r="E110">
        <f>IF($A110="","",IF(OR($B110="",$C110="",$D110="",$B110&lt;1300,$B110&gt;1500,$C110&lt;1,$C110&gt;12,$D110&lt;1,$D110&gt;31),"نامعتبر",RIGHT("0000"&amp;$B110,4)&amp;"/"&amp;RIGHT("00"&amp;$C110,2)&amp;"/"&amp;RIGHT("00"&amp;$D110,2)))</f>
        <v/>
      </c>
      <c r="F110">
        <f>IF($A110="","",IF(Issues!$D113="",0,Issues!$D113))</f>
        <v/>
      </c>
      <c r="G110">
        <f>IF($A110="","",Issues!$E113)</f>
        <v/>
      </c>
      <c r="H110">
        <f>IF($A110="","",IF(COUNTIFS(ETxnType,"پاس چک",ETxnChk,$A110)&gt;0,"پاس شده","پاس نشده"))</f>
        <v/>
      </c>
      <c r="I110">
        <f>IF($A110="","",IFERROR(INDEX(BClrDate,MATCH($A110,BClrChk,0)),""))</f>
        <v/>
      </c>
      <c r="J110">
        <f>IF($A110="","",Issues!$G113)</f>
        <v/>
      </c>
      <c r="K110">
        <f>IF(OR($E110="",$E110="نامعتبر"),"",LEFT($E110,4)&amp;MID($E110,6,2)&amp;RIGHT($E110,2)&amp;"|"&amp;RIGHT("00000"&amp;105,5))</f>
        <v/>
      </c>
      <c r="M110">
        <f>IF(Sync!$M110&lt;&gt;"پاس چک","",IF(Sync!$P110="","",Sync!$P110))</f>
        <v/>
      </c>
      <c r="N110">
        <f>IF($M110="","",IF(ISNUMBER(Sync!$L110),IF(AND(Sync!$L110&gt;=10000101,Sync!$L110&lt;=99991231),RIGHT("0000"&amp;INT(Sync!$L110/10000),4)&amp;"/"&amp;RIGHT("00"&amp;INT(MOD(Sync!$L110,10000)/100),2)&amp;"/"&amp;RIGHT("00"&amp;MOD(Sync!$L110,100),2),""),IFERROR(RIGHT("0000"&amp;VALUE(TRIM(LEFT(Sync!$L110,FIND("/",Sync!$L110)-1))),4)&amp;"/"&amp;RIGHT("00"&amp;VALUE(TRIM(LEFT(MID(Sync!$L110,FIND("/",Sync!$L110)+1,20),FIND("/",MID(Sync!$L110,FIND("/",Sync!$L110)+1,20))-1))),2)&amp;"/"&amp;RIGHT("00"&amp;VALUE(TRIM(MID(MID(Sync!$L110,FIND("/",Sync!$L110)+1,20),FIND("/",MID(Sync!$L110,FIND("/",Sync!$L110)+1,20))+1,20))),2),"")))</f>
        <v/>
      </c>
    </row>
    <row r="111">
      <c r="A111">
        <f>IF(Issues!$B114="","",Issues!$B114)</f>
        <v/>
      </c>
      <c r="B111">
        <f>IF($A111="","",IF(ISNUMBER(Issues!$C114),IF(AND(Issues!$C114&gt;=10000101,Issues!$C114&lt;=99991231),INT(Issues!$C114/10000),""),IFERROR(VALUE(TRIM(LEFT(Issues!$C114,FIND("/",Issues!$C114)-1))),"")))</f>
        <v/>
      </c>
      <c r="C111">
        <f>IF(OR($A111="",$B111=""),"",IF(ISNUMBER(Issues!$C114),INT(MOD(Issues!$C114,10000)/100),IFERROR(VALUE(TRIM(LEFT(MID(Issues!$C114,FIND("/",Issues!$C114)+1,20),FIND("/",MID(Issues!$C114,FIND("/",Issues!$C114)+1,20))-1))),"")))</f>
        <v/>
      </c>
      <c r="D111">
        <f>IF(OR($A111="",$B111=""),"",IF(ISNUMBER(Issues!$C114),MOD(Issues!$C114,100),IFERROR(VALUE(TRIM(MID(MID(Issues!$C114,FIND("/",Issues!$C114)+1,20),FIND("/",MID(Issues!$C114,FIND("/",Issues!$C114)+1,20))+1,20))),"")))</f>
        <v/>
      </c>
      <c r="E111">
        <f>IF($A111="","",IF(OR($B111="",$C111="",$D111="",$B111&lt;1300,$B111&gt;1500,$C111&lt;1,$C111&gt;12,$D111&lt;1,$D111&gt;31),"نامعتبر",RIGHT("0000"&amp;$B111,4)&amp;"/"&amp;RIGHT("00"&amp;$C111,2)&amp;"/"&amp;RIGHT("00"&amp;$D111,2)))</f>
        <v/>
      </c>
      <c r="F111">
        <f>IF($A111="","",IF(Issues!$D114="",0,Issues!$D114))</f>
        <v/>
      </c>
      <c r="G111">
        <f>IF($A111="","",Issues!$E114)</f>
        <v/>
      </c>
      <c r="H111">
        <f>IF($A111="","",IF(COUNTIFS(ETxnType,"پاس چک",ETxnChk,$A111)&gt;0,"پاس شده","پاس نشده"))</f>
        <v/>
      </c>
      <c r="I111">
        <f>IF($A111="","",IFERROR(INDEX(BClrDate,MATCH($A111,BClrChk,0)),""))</f>
        <v/>
      </c>
      <c r="J111">
        <f>IF($A111="","",Issues!$G114)</f>
        <v/>
      </c>
      <c r="K111">
        <f>IF(OR($E111="",$E111="نامعتبر"),"",LEFT($E111,4)&amp;MID($E111,6,2)&amp;RIGHT($E111,2)&amp;"|"&amp;RIGHT("00000"&amp;106,5))</f>
        <v/>
      </c>
      <c r="M111">
        <f>IF(Sync!$M111&lt;&gt;"پاس چک","",IF(Sync!$P111="","",Sync!$P111))</f>
        <v/>
      </c>
      <c r="N111">
        <f>IF($M111="","",IF(ISNUMBER(Sync!$L111),IF(AND(Sync!$L111&gt;=10000101,Sync!$L111&lt;=99991231),RIGHT("0000"&amp;INT(Sync!$L111/10000),4)&amp;"/"&amp;RIGHT("00"&amp;INT(MOD(Sync!$L111,10000)/100),2)&amp;"/"&amp;RIGHT("00"&amp;MOD(Sync!$L111,100),2),""),IFERROR(RIGHT("0000"&amp;VALUE(TRIM(LEFT(Sync!$L111,FIND("/",Sync!$L111)-1))),4)&amp;"/"&amp;RIGHT("00"&amp;VALUE(TRIM(LEFT(MID(Sync!$L111,FIND("/",Sync!$L111)+1,20),FIND("/",MID(Sync!$L111,FIND("/",Sync!$L111)+1,20))-1))),2)&amp;"/"&amp;RIGHT("00"&amp;VALUE(TRIM(MID(MID(Sync!$L111,FIND("/",Sync!$L111)+1,20),FIND("/",MID(Sync!$L111,FIND("/",Sync!$L111)+1,20))+1,20))),2),"")))</f>
        <v/>
      </c>
    </row>
    <row r="112">
      <c r="A112">
        <f>IF(Issues!$B115="","",Issues!$B115)</f>
        <v/>
      </c>
      <c r="B112">
        <f>IF($A112="","",IF(ISNUMBER(Issues!$C115),IF(AND(Issues!$C115&gt;=10000101,Issues!$C115&lt;=99991231),INT(Issues!$C115/10000),""),IFERROR(VALUE(TRIM(LEFT(Issues!$C115,FIND("/",Issues!$C115)-1))),"")))</f>
        <v/>
      </c>
      <c r="C112">
        <f>IF(OR($A112="",$B112=""),"",IF(ISNUMBER(Issues!$C115),INT(MOD(Issues!$C115,10000)/100),IFERROR(VALUE(TRIM(LEFT(MID(Issues!$C115,FIND("/",Issues!$C115)+1,20),FIND("/",MID(Issues!$C115,FIND("/",Issues!$C115)+1,20))-1))),"")))</f>
        <v/>
      </c>
      <c r="D112">
        <f>IF(OR($A112="",$B112=""),"",IF(ISNUMBER(Issues!$C115),MOD(Issues!$C115,100),IFERROR(VALUE(TRIM(MID(MID(Issues!$C115,FIND("/",Issues!$C115)+1,20),FIND("/",MID(Issues!$C115,FIND("/",Issues!$C115)+1,20))+1,20))),"")))</f>
        <v/>
      </c>
      <c r="E112">
        <f>IF($A112="","",IF(OR($B112="",$C112="",$D112="",$B112&lt;1300,$B112&gt;1500,$C112&lt;1,$C112&gt;12,$D112&lt;1,$D112&gt;31),"نامعتبر",RIGHT("0000"&amp;$B112,4)&amp;"/"&amp;RIGHT("00"&amp;$C112,2)&amp;"/"&amp;RIGHT("00"&amp;$D112,2)))</f>
        <v/>
      </c>
      <c r="F112">
        <f>IF($A112="","",IF(Issues!$D115="",0,Issues!$D115))</f>
        <v/>
      </c>
      <c r="G112">
        <f>IF($A112="","",Issues!$E115)</f>
        <v/>
      </c>
      <c r="H112">
        <f>IF($A112="","",IF(COUNTIFS(ETxnType,"پاس چک",ETxnChk,$A112)&gt;0,"پاس شده","پاس نشده"))</f>
        <v/>
      </c>
      <c r="I112">
        <f>IF($A112="","",IFERROR(INDEX(BClrDate,MATCH($A112,BClrChk,0)),""))</f>
        <v/>
      </c>
      <c r="J112">
        <f>IF($A112="","",Issues!$G115)</f>
        <v/>
      </c>
      <c r="K112">
        <f>IF(OR($E112="",$E112="نامعتبر"),"",LEFT($E112,4)&amp;MID($E112,6,2)&amp;RIGHT($E112,2)&amp;"|"&amp;RIGHT("00000"&amp;107,5))</f>
        <v/>
      </c>
      <c r="M112">
        <f>IF(Sync!$M112&lt;&gt;"پاس چک","",IF(Sync!$P112="","",Sync!$P112))</f>
        <v/>
      </c>
      <c r="N112">
        <f>IF($M112="","",IF(ISNUMBER(Sync!$L112),IF(AND(Sync!$L112&gt;=10000101,Sync!$L112&lt;=99991231),RIGHT("0000"&amp;INT(Sync!$L112/10000),4)&amp;"/"&amp;RIGHT("00"&amp;INT(MOD(Sync!$L112,10000)/100),2)&amp;"/"&amp;RIGHT("00"&amp;MOD(Sync!$L112,100),2),""),IFERROR(RIGHT("0000"&amp;VALUE(TRIM(LEFT(Sync!$L112,FIND("/",Sync!$L112)-1))),4)&amp;"/"&amp;RIGHT("00"&amp;VALUE(TRIM(LEFT(MID(Sync!$L112,FIND("/",Sync!$L112)+1,20),FIND("/",MID(Sync!$L112,FIND("/",Sync!$L112)+1,20))-1))),2)&amp;"/"&amp;RIGHT("00"&amp;VALUE(TRIM(MID(MID(Sync!$L112,FIND("/",Sync!$L112)+1,20),FIND("/",MID(Sync!$L112,FIND("/",Sync!$L112)+1,20))+1,20))),2),"")))</f>
        <v/>
      </c>
    </row>
    <row r="113">
      <c r="A113">
        <f>IF(Issues!$B116="","",Issues!$B116)</f>
        <v/>
      </c>
      <c r="B113">
        <f>IF($A113="","",IF(ISNUMBER(Issues!$C116),IF(AND(Issues!$C116&gt;=10000101,Issues!$C116&lt;=99991231),INT(Issues!$C116/10000),""),IFERROR(VALUE(TRIM(LEFT(Issues!$C116,FIND("/",Issues!$C116)-1))),"")))</f>
        <v/>
      </c>
      <c r="C113">
        <f>IF(OR($A113="",$B113=""),"",IF(ISNUMBER(Issues!$C116),INT(MOD(Issues!$C116,10000)/100),IFERROR(VALUE(TRIM(LEFT(MID(Issues!$C116,FIND("/",Issues!$C116)+1,20),FIND("/",MID(Issues!$C116,FIND("/",Issues!$C116)+1,20))-1))),"")))</f>
        <v/>
      </c>
      <c r="D113">
        <f>IF(OR($A113="",$B113=""),"",IF(ISNUMBER(Issues!$C116),MOD(Issues!$C116,100),IFERROR(VALUE(TRIM(MID(MID(Issues!$C116,FIND("/",Issues!$C116)+1,20),FIND("/",MID(Issues!$C116,FIND("/",Issues!$C116)+1,20))+1,20))),"")))</f>
        <v/>
      </c>
      <c r="E113">
        <f>IF($A113="","",IF(OR($B113="",$C113="",$D113="",$B113&lt;1300,$B113&gt;1500,$C113&lt;1,$C113&gt;12,$D113&lt;1,$D113&gt;31),"نامعتبر",RIGHT("0000"&amp;$B113,4)&amp;"/"&amp;RIGHT("00"&amp;$C113,2)&amp;"/"&amp;RIGHT("00"&amp;$D113,2)))</f>
        <v/>
      </c>
      <c r="F113">
        <f>IF($A113="","",IF(Issues!$D116="",0,Issues!$D116))</f>
        <v/>
      </c>
      <c r="G113">
        <f>IF($A113="","",Issues!$E116)</f>
        <v/>
      </c>
      <c r="H113">
        <f>IF($A113="","",IF(COUNTIFS(ETxnType,"پاس چک",ETxnChk,$A113)&gt;0,"پاس شده","پاس نشده"))</f>
        <v/>
      </c>
      <c r="I113">
        <f>IF($A113="","",IFERROR(INDEX(BClrDate,MATCH($A113,BClrChk,0)),""))</f>
        <v/>
      </c>
      <c r="J113">
        <f>IF($A113="","",Issues!$G116)</f>
        <v/>
      </c>
      <c r="K113">
        <f>IF(OR($E113="",$E113="نامعتبر"),"",LEFT($E113,4)&amp;MID($E113,6,2)&amp;RIGHT($E113,2)&amp;"|"&amp;RIGHT("00000"&amp;108,5))</f>
        <v/>
      </c>
      <c r="M113">
        <f>IF(Sync!$M113&lt;&gt;"پاس چک","",IF(Sync!$P113="","",Sync!$P113))</f>
        <v/>
      </c>
      <c r="N113">
        <f>IF($M113="","",IF(ISNUMBER(Sync!$L113),IF(AND(Sync!$L113&gt;=10000101,Sync!$L113&lt;=99991231),RIGHT("0000"&amp;INT(Sync!$L113/10000),4)&amp;"/"&amp;RIGHT("00"&amp;INT(MOD(Sync!$L113,10000)/100),2)&amp;"/"&amp;RIGHT("00"&amp;MOD(Sync!$L113,100),2),""),IFERROR(RIGHT("0000"&amp;VALUE(TRIM(LEFT(Sync!$L113,FIND("/",Sync!$L113)-1))),4)&amp;"/"&amp;RIGHT("00"&amp;VALUE(TRIM(LEFT(MID(Sync!$L113,FIND("/",Sync!$L113)+1,20),FIND("/",MID(Sync!$L113,FIND("/",Sync!$L113)+1,20))-1))),2)&amp;"/"&amp;RIGHT("00"&amp;VALUE(TRIM(MID(MID(Sync!$L113,FIND("/",Sync!$L113)+1,20),FIND("/",MID(Sync!$L113,FIND("/",Sync!$L113)+1,20))+1,20))),2),"")))</f>
        <v/>
      </c>
    </row>
    <row r="114">
      <c r="A114">
        <f>IF(Issues!$B117="","",Issues!$B117)</f>
        <v/>
      </c>
      <c r="B114">
        <f>IF($A114="","",IF(ISNUMBER(Issues!$C117),IF(AND(Issues!$C117&gt;=10000101,Issues!$C117&lt;=99991231),INT(Issues!$C117/10000),""),IFERROR(VALUE(TRIM(LEFT(Issues!$C117,FIND("/",Issues!$C117)-1))),"")))</f>
        <v/>
      </c>
      <c r="C114">
        <f>IF(OR($A114="",$B114=""),"",IF(ISNUMBER(Issues!$C117),INT(MOD(Issues!$C117,10000)/100),IFERROR(VALUE(TRIM(LEFT(MID(Issues!$C117,FIND("/",Issues!$C117)+1,20),FIND("/",MID(Issues!$C117,FIND("/",Issues!$C117)+1,20))-1))),"")))</f>
        <v/>
      </c>
      <c r="D114">
        <f>IF(OR($A114="",$B114=""),"",IF(ISNUMBER(Issues!$C117),MOD(Issues!$C117,100),IFERROR(VALUE(TRIM(MID(MID(Issues!$C117,FIND("/",Issues!$C117)+1,20),FIND("/",MID(Issues!$C117,FIND("/",Issues!$C117)+1,20))+1,20))),"")))</f>
        <v/>
      </c>
      <c r="E114">
        <f>IF($A114="","",IF(OR($B114="",$C114="",$D114="",$B114&lt;1300,$B114&gt;1500,$C114&lt;1,$C114&gt;12,$D114&lt;1,$D114&gt;31),"نامعتبر",RIGHT("0000"&amp;$B114,4)&amp;"/"&amp;RIGHT("00"&amp;$C114,2)&amp;"/"&amp;RIGHT("00"&amp;$D114,2)))</f>
        <v/>
      </c>
      <c r="F114">
        <f>IF($A114="","",IF(Issues!$D117="",0,Issues!$D117))</f>
        <v/>
      </c>
      <c r="G114">
        <f>IF($A114="","",Issues!$E117)</f>
        <v/>
      </c>
      <c r="H114">
        <f>IF($A114="","",IF(COUNTIFS(ETxnType,"پاس چک",ETxnChk,$A114)&gt;0,"پاس شده","پاس نشده"))</f>
        <v/>
      </c>
      <c r="I114">
        <f>IF($A114="","",IFERROR(INDEX(BClrDate,MATCH($A114,BClrChk,0)),""))</f>
        <v/>
      </c>
      <c r="J114">
        <f>IF($A114="","",Issues!$G117)</f>
        <v/>
      </c>
      <c r="K114">
        <f>IF(OR($E114="",$E114="نامعتبر"),"",LEFT($E114,4)&amp;MID($E114,6,2)&amp;RIGHT($E114,2)&amp;"|"&amp;RIGHT("00000"&amp;109,5))</f>
        <v/>
      </c>
      <c r="M114">
        <f>IF(Sync!$M114&lt;&gt;"پاس چک","",IF(Sync!$P114="","",Sync!$P114))</f>
        <v/>
      </c>
      <c r="N114">
        <f>IF($M114="","",IF(ISNUMBER(Sync!$L114),IF(AND(Sync!$L114&gt;=10000101,Sync!$L114&lt;=99991231),RIGHT("0000"&amp;INT(Sync!$L114/10000),4)&amp;"/"&amp;RIGHT("00"&amp;INT(MOD(Sync!$L114,10000)/100),2)&amp;"/"&amp;RIGHT("00"&amp;MOD(Sync!$L114,100),2),""),IFERROR(RIGHT("0000"&amp;VALUE(TRIM(LEFT(Sync!$L114,FIND("/",Sync!$L114)-1))),4)&amp;"/"&amp;RIGHT("00"&amp;VALUE(TRIM(LEFT(MID(Sync!$L114,FIND("/",Sync!$L114)+1,20),FIND("/",MID(Sync!$L114,FIND("/",Sync!$L114)+1,20))-1))),2)&amp;"/"&amp;RIGHT("00"&amp;VALUE(TRIM(MID(MID(Sync!$L114,FIND("/",Sync!$L114)+1,20),FIND("/",MID(Sync!$L114,FIND("/",Sync!$L114)+1,20))+1,20))),2),"")))</f>
        <v/>
      </c>
    </row>
    <row r="115">
      <c r="A115">
        <f>IF(Issues!$B118="","",Issues!$B118)</f>
        <v/>
      </c>
      <c r="B115">
        <f>IF($A115="","",IF(ISNUMBER(Issues!$C118),IF(AND(Issues!$C118&gt;=10000101,Issues!$C118&lt;=99991231),INT(Issues!$C118/10000),""),IFERROR(VALUE(TRIM(LEFT(Issues!$C118,FIND("/",Issues!$C118)-1))),"")))</f>
        <v/>
      </c>
      <c r="C115">
        <f>IF(OR($A115="",$B115=""),"",IF(ISNUMBER(Issues!$C118),INT(MOD(Issues!$C118,10000)/100),IFERROR(VALUE(TRIM(LEFT(MID(Issues!$C118,FIND("/",Issues!$C118)+1,20),FIND("/",MID(Issues!$C118,FIND("/",Issues!$C118)+1,20))-1))),"")))</f>
        <v/>
      </c>
      <c r="D115">
        <f>IF(OR($A115="",$B115=""),"",IF(ISNUMBER(Issues!$C118),MOD(Issues!$C118,100),IFERROR(VALUE(TRIM(MID(MID(Issues!$C118,FIND("/",Issues!$C118)+1,20),FIND("/",MID(Issues!$C118,FIND("/",Issues!$C118)+1,20))+1,20))),"")))</f>
        <v/>
      </c>
      <c r="E115">
        <f>IF($A115="","",IF(OR($B115="",$C115="",$D115="",$B115&lt;1300,$B115&gt;1500,$C115&lt;1,$C115&gt;12,$D115&lt;1,$D115&gt;31),"نامعتبر",RIGHT("0000"&amp;$B115,4)&amp;"/"&amp;RIGHT("00"&amp;$C115,2)&amp;"/"&amp;RIGHT("00"&amp;$D115,2)))</f>
        <v/>
      </c>
      <c r="F115">
        <f>IF($A115="","",IF(Issues!$D118="",0,Issues!$D118))</f>
        <v/>
      </c>
      <c r="G115">
        <f>IF($A115="","",Issues!$E118)</f>
        <v/>
      </c>
      <c r="H115">
        <f>IF($A115="","",IF(COUNTIFS(ETxnType,"پاس چک",ETxnChk,$A115)&gt;0,"پاس شده","پاس نشده"))</f>
        <v/>
      </c>
      <c r="I115">
        <f>IF($A115="","",IFERROR(INDEX(BClrDate,MATCH($A115,BClrChk,0)),""))</f>
        <v/>
      </c>
      <c r="J115">
        <f>IF($A115="","",Issues!$G118)</f>
        <v/>
      </c>
      <c r="K115">
        <f>IF(OR($E115="",$E115="نامعتبر"),"",LEFT($E115,4)&amp;MID($E115,6,2)&amp;RIGHT($E115,2)&amp;"|"&amp;RIGHT("00000"&amp;110,5))</f>
        <v/>
      </c>
      <c r="M115">
        <f>IF(Sync!$M115&lt;&gt;"پاس چک","",IF(Sync!$P115="","",Sync!$P115))</f>
        <v/>
      </c>
      <c r="N115">
        <f>IF($M115="","",IF(ISNUMBER(Sync!$L115),IF(AND(Sync!$L115&gt;=10000101,Sync!$L115&lt;=99991231),RIGHT("0000"&amp;INT(Sync!$L115/10000),4)&amp;"/"&amp;RIGHT("00"&amp;INT(MOD(Sync!$L115,10000)/100),2)&amp;"/"&amp;RIGHT("00"&amp;MOD(Sync!$L115,100),2),""),IFERROR(RIGHT("0000"&amp;VALUE(TRIM(LEFT(Sync!$L115,FIND("/",Sync!$L115)-1))),4)&amp;"/"&amp;RIGHT("00"&amp;VALUE(TRIM(LEFT(MID(Sync!$L115,FIND("/",Sync!$L115)+1,20),FIND("/",MID(Sync!$L115,FIND("/",Sync!$L115)+1,20))-1))),2)&amp;"/"&amp;RIGHT("00"&amp;VALUE(TRIM(MID(MID(Sync!$L115,FIND("/",Sync!$L115)+1,20),FIND("/",MID(Sync!$L115,FIND("/",Sync!$L115)+1,20))+1,20))),2),"")))</f>
        <v/>
      </c>
    </row>
    <row r="116">
      <c r="A116">
        <f>IF(Issues!$B119="","",Issues!$B119)</f>
        <v/>
      </c>
      <c r="B116">
        <f>IF($A116="","",IF(ISNUMBER(Issues!$C119),IF(AND(Issues!$C119&gt;=10000101,Issues!$C119&lt;=99991231),INT(Issues!$C119/10000),""),IFERROR(VALUE(TRIM(LEFT(Issues!$C119,FIND("/",Issues!$C119)-1))),"")))</f>
        <v/>
      </c>
      <c r="C116">
        <f>IF(OR($A116="",$B116=""),"",IF(ISNUMBER(Issues!$C119),INT(MOD(Issues!$C119,10000)/100),IFERROR(VALUE(TRIM(LEFT(MID(Issues!$C119,FIND("/",Issues!$C119)+1,20),FIND("/",MID(Issues!$C119,FIND("/",Issues!$C119)+1,20))-1))),"")))</f>
        <v/>
      </c>
      <c r="D116">
        <f>IF(OR($A116="",$B116=""),"",IF(ISNUMBER(Issues!$C119),MOD(Issues!$C119,100),IFERROR(VALUE(TRIM(MID(MID(Issues!$C119,FIND("/",Issues!$C119)+1,20),FIND("/",MID(Issues!$C119,FIND("/",Issues!$C119)+1,20))+1,20))),"")))</f>
        <v/>
      </c>
      <c r="E116">
        <f>IF($A116="","",IF(OR($B116="",$C116="",$D116="",$B116&lt;1300,$B116&gt;1500,$C116&lt;1,$C116&gt;12,$D116&lt;1,$D116&gt;31),"نامعتبر",RIGHT("0000"&amp;$B116,4)&amp;"/"&amp;RIGHT("00"&amp;$C116,2)&amp;"/"&amp;RIGHT("00"&amp;$D116,2)))</f>
        <v/>
      </c>
      <c r="F116">
        <f>IF($A116="","",IF(Issues!$D119="",0,Issues!$D119))</f>
        <v/>
      </c>
      <c r="G116">
        <f>IF($A116="","",Issues!$E119)</f>
        <v/>
      </c>
      <c r="H116">
        <f>IF($A116="","",IF(COUNTIFS(ETxnType,"پاس چک",ETxnChk,$A116)&gt;0,"پاس شده","پاس نشده"))</f>
        <v/>
      </c>
      <c r="I116">
        <f>IF($A116="","",IFERROR(INDEX(BClrDate,MATCH($A116,BClrChk,0)),""))</f>
        <v/>
      </c>
      <c r="J116">
        <f>IF($A116="","",Issues!$G119)</f>
        <v/>
      </c>
      <c r="K116">
        <f>IF(OR($E116="",$E116="نامعتبر"),"",LEFT($E116,4)&amp;MID($E116,6,2)&amp;RIGHT($E116,2)&amp;"|"&amp;RIGHT("00000"&amp;111,5))</f>
        <v/>
      </c>
      <c r="M116">
        <f>IF(Sync!$M116&lt;&gt;"پاس چک","",IF(Sync!$P116="","",Sync!$P116))</f>
        <v/>
      </c>
      <c r="N116">
        <f>IF($M116="","",IF(ISNUMBER(Sync!$L116),IF(AND(Sync!$L116&gt;=10000101,Sync!$L116&lt;=99991231),RIGHT("0000"&amp;INT(Sync!$L116/10000),4)&amp;"/"&amp;RIGHT("00"&amp;INT(MOD(Sync!$L116,10000)/100),2)&amp;"/"&amp;RIGHT("00"&amp;MOD(Sync!$L116,100),2),""),IFERROR(RIGHT("0000"&amp;VALUE(TRIM(LEFT(Sync!$L116,FIND("/",Sync!$L116)-1))),4)&amp;"/"&amp;RIGHT("00"&amp;VALUE(TRIM(LEFT(MID(Sync!$L116,FIND("/",Sync!$L116)+1,20),FIND("/",MID(Sync!$L116,FIND("/",Sync!$L116)+1,20))-1))),2)&amp;"/"&amp;RIGHT("00"&amp;VALUE(TRIM(MID(MID(Sync!$L116,FIND("/",Sync!$L116)+1,20),FIND("/",MID(Sync!$L116,FIND("/",Sync!$L116)+1,20))+1,20))),2),"")))</f>
        <v/>
      </c>
    </row>
    <row r="117">
      <c r="A117">
        <f>IF(Issues!$B120="","",Issues!$B120)</f>
        <v/>
      </c>
      <c r="B117">
        <f>IF($A117="","",IF(ISNUMBER(Issues!$C120),IF(AND(Issues!$C120&gt;=10000101,Issues!$C120&lt;=99991231),INT(Issues!$C120/10000),""),IFERROR(VALUE(TRIM(LEFT(Issues!$C120,FIND("/",Issues!$C120)-1))),"")))</f>
        <v/>
      </c>
      <c r="C117">
        <f>IF(OR($A117="",$B117=""),"",IF(ISNUMBER(Issues!$C120),INT(MOD(Issues!$C120,10000)/100),IFERROR(VALUE(TRIM(LEFT(MID(Issues!$C120,FIND("/",Issues!$C120)+1,20),FIND("/",MID(Issues!$C120,FIND("/",Issues!$C120)+1,20))-1))),"")))</f>
        <v/>
      </c>
      <c r="D117">
        <f>IF(OR($A117="",$B117=""),"",IF(ISNUMBER(Issues!$C120),MOD(Issues!$C120,100),IFERROR(VALUE(TRIM(MID(MID(Issues!$C120,FIND("/",Issues!$C120)+1,20),FIND("/",MID(Issues!$C120,FIND("/",Issues!$C120)+1,20))+1,20))),"")))</f>
        <v/>
      </c>
      <c r="E117">
        <f>IF($A117="","",IF(OR($B117="",$C117="",$D117="",$B117&lt;1300,$B117&gt;1500,$C117&lt;1,$C117&gt;12,$D117&lt;1,$D117&gt;31),"نامعتبر",RIGHT("0000"&amp;$B117,4)&amp;"/"&amp;RIGHT("00"&amp;$C117,2)&amp;"/"&amp;RIGHT("00"&amp;$D117,2)))</f>
        <v/>
      </c>
      <c r="F117">
        <f>IF($A117="","",IF(Issues!$D120="",0,Issues!$D120))</f>
        <v/>
      </c>
      <c r="G117">
        <f>IF($A117="","",Issues!$E120)</f>
        <v/>
      </c>
      <c r="H117">
        <f>IF($A117="","",IF(COUNTIFS(ETxnType,"پاس چک",ETxnChk,$A117)&gt;0,"پاس شده","پاس نشده"))</f>
        <v/>
      </c>
      <c r="I117">
        <f>IF($A117="","",IFERROR(INDEX(BClrDate,MATCH($A117,BClrChk,0)),""))</f>
        <v/>
      </c>
      <c r="J117">
        <f>IF($A117="","",Issues!$G120)</f>
        <v/>
      </c>
      <c r="K117">
        <f>IF(OR($E117="",$E117="نامعتبر"),"",LEFT($E117,4)&amp;MID($E117,6,2)&amp;RIGHT($E117,2)&amp;"|"&amp;RIGHT("00000"&amp;112,5))</f>
        <v/>
      </c>
      <c r="M117">
        <f>IF(Sync!$M117&lt;&gt;"پاس چک","",IF(Sync!$P117="","",Sync!$P117))</f>
        <v/>
      </c>
      <c r="N117">
        <f>IF($M117="","",IF(ISNUMBER(Sync!$L117),IF(AND(Sync!$L117&gt;=10000101,Sync!$L117&lt;=99991231),RIGHT("0000"&amp;INT(Sync!$L117/10000),4)&amp;"/"&amp;RIGHT("00"&amp;INT(MOD(Sync!$L117,10000)/100),2)&amp;"/"&amp;RIGHT("00"&amp;MOD(Sync!$L117,100),2),""),IFERROR(RIGHT("0000"&amp;VALUE(TRIM(LEFT(Sync!$L117,FIND("/",Sync!$L117)-1))),4)&amp;"/"&amp;RIGHT("00"&amp;VALUE(TRIM(LEFT(MID(Sync!$L117,FIND("/",Sync!$L117)+1,20),FIND("/",MID(Sync!$L117,FIND("/",Sync!$L117)+1,20))-1))),2)&amp;"/"&amp;RIGHT("00"&amp;VALUE(TRIM(MID(MID(Sync!$L117,FIND("/",Sync!$L117)+1,20),FIND("/",MID(Sync!$L117,FIND("/",Sync!$L117)+1,20))+1,20))),2),"")))</f>
        <v/>
      </c>
    </row>
    <row r="118">
      <c r="A118">
        <f>IF(Issues!$B121="","",Issues!$B121)</f>
        <v/>
      </c>
      <c r="B118">
        <f>IF($A118="","",IF(ISNUMBER(Issues!$C121),IF(AND(Issues!$C121&gt;=10000101,Issues!$C121&lt;=99991231),INT(Issues!$C121/10000),""),IFERROR(VALUE(TRIM(LEFT(Issues!$C121,FIND("/",Issues!$C121)-1))),"")))</f>
        <v/>
      </c>
      <c r="C118">
        <f>IF(OR($A118="",$B118=""),"",IF(ISNUMBER(Issues!$C121),INT(MOD(Issues!$C121,10000)/100),IFERROR(VALUE(TRIM(LEFT(MID(Issues!$C121,FIND("/",Issues!$C121)+1,20),FIND("/",MID(Issues!$C121,FIND("/",Issues!$C121)+1,20))-1))),"")))</f>
        <v/>
      </c>
      <c r="D118">
        <f>IF(OR($A118="",$B118=""),"",IF(ISNUMBER(Issues!$C121),MOD(Issues!$C121,100),IFERROR(VALUE(TRIM(MID(MID(Issues!$C121,FIND("/",Issues!$C121)+1,20),FIND("/",MID(Issues!$C121,FIND("/",Issues!$C121)+1,20))+1,20))),"")))</f>
        <v/>
      </c>
      <c r="E118">
        <f>IF($A118="","",IF(OR($B118="",$C118="",$D118="",$B118&lt;1300,$B118&gt;1500,$C118&lt;1,$C118&gt;12,$D118&lt;1,$D118&gt;31),"نامعتبر",RIGHT("0000"&amp;$B118,4)&amp;"/"&amp;RIGHT("00"&amp;$C118,2)&amp;"/"&amp;RIGHT("00"&amp;$D118,2)))</f>
        <v/>
      </c>
      <c r="F118">
        <f>IF($A118="","",IF(Issues!$D121="",0,Issues!$D121))</f>
        <v/>
      </c>
      <c r="G118">
        <f>IF($A118="","",Issues!$E121)</f>
        <v/>
      </c>
      <c r="H118">
        <f>IF($A118="","",IF(COUNTIFS(ETxnType,"پاس چک",ETxnChk,$A118)&gt;0,"پاس شده","پاس نشده"))</f>
        <v/>
      </c>
      <c r="I118">
        <f>IF($A118="","",IFERROR(INDEX(BClrDate,MATCH($A118,BClrChk,0)),""))</f>
        <v/>
      </c>
      <c r="J118">
        <f>IF($A118="","",Issues!$G121)</f>
        <v/>
      </c>
      <c r="K118">
        <f>IF(OR($E118="",$E118="نامعتبر"),"",LEFT($E118,4)&amp;MID($E118,6,2)&amp;RIGHT($E118,2)&amp;"|"&amp;RIGHT("00000"&amp;113,5))</f>
        <v/>
      </c>
      <c r="M118">
        <f>IF(Sync!$M118&lt;&gt;"پاس چک","",IF(Sync!$P118="","",Sync!$P118))</f>
        <v/>
      </c>
      <c r="N118">
        <f>IF($M118="","",IF(ISNUMBER(Sync!$L118),IF(AND(Sync!$L118&gt;=10000101,Sync!$L118&lt;=99991231),RIGHT("0000"&amp;INT(Sync!$L118/10000),4)&amp;"/"&amp;RIGHT("00"&amp;INT(MOD(Sync!$L118,10000)/100),2)&amp;"/"&amp;RIGHT("00"&amp;MOD(Sync!$L118,100),2),""),IFERROR(RIGHT("0000"&amp;VALUE(TRIM(LEFT(Sync!$L118,FIND("/",Sync!$L118)-1))),4)&amp;"/"&amp;RIGHT("00"&amp;VALUE(TRIM(LEFT(MID(Sync!$L118,FIND("/",Sync!$L118)+1,20),FIND("/",MID(Sync!$L118,FIND("/",Sync!$L118)+1,20))-1))),2)&amp;"/"&amp;RIGHT("00"&amp;VALUE(TRIM(MID(MID(Sync!$L118,FIND("/",Sync!$L118)+1,20),FIND("/",MID(Sync!$L118,FIND("/",Sync!$L118)+1,20))+1,20))),2),"")))</f>
        <v/>
      </c>
    </row>
    <row r="119">
      <c r="A119">
        <f>IF(Issues!$B122="","",Issues!$B122)</f>
        <v/>
      </c>
      <c r="B119">
        <f>IF($A119="","",IF(ISNUMBER(Issues!$C122),IF(AND(Issues!$C122&gt;=10000101,Issues!$C122&lt;=99991231),INT(Issues!$C122/10000),""),IFERROR(VALUE(TRIM(LEFT(Issues!$C122,FIND("/",Issues!$C122)-1))),"")))</f>
        <v/>
      </c>
      <c r="C119">
        <f>IF(OR($A119="",$B119=""),"",IF(ISNUMBER(Issues!$C122),INT(MOD(Issues!$C122,10000)/100),IFERROR(VALUE(TRIM(LEFT(MID(Issues!$C122,FIND("/",Issues!$C122)+1,20),FIND("/",MID(Issues!$C122,FIND("/",Issues!$C122)+1,20))-1))),"")))</f>
        <v/>
      </c>
      <c r="D119">
        <f>IF(OR($A119="",$B119=""),"",IF(ISNUMBER(Issues!$C122),MOD(Issues!$C122,100),IFERROR(VALUE(TRIM(MID(MID(Issues!$C122,FIND("/",Issues!$C122)+1,20),FIND("/",MID(Issues!$C122,FIND("/",Issues!$C122)+1,20))+1,20))),"")))</f>
        <v/>
      </c>
      <c r="E119">
        <f>IF($A119="","",IF(OR($B119="",$C119="",$D119="",$B119&lt;1300,$B119&gt;1500,$C119&lt;1,$C119&gt;12,$D119&lt;1,$D119&gt;31),"نامعتبر",RIGHT("0000"&amp;$B119,4)&amp;"/"&amp;RIGHT("00"&amp;$C119,2)&amp;"/"&amp;RIGHT("00"&amp;$D119,2)))</f>
        <v/>
      </c>
      <c r="F119">
        <f>IF($A119="","",IF(Issues!$D122="",0,Issues!$D122))</f>
        <v/>
      </c>
      <c r="G119">
        <f>IF($A119="","",Issues!$E122)</f>
        <v/>
      </c>
      <c r="H119">
        <f>IF($A119="","",IF(COUNTIFS(ETxnType,"پاس چک",ETxnChk,$A119)&gt;0,"پاس شده","پاس نشده"))</f>
        <v/>
      </c>
      <c r="I119">
        <f>IF($A119="","",IFERROR(INDEX(BClrDate,MATCH($A119,BClrChk,0)),""))</f>
        <v/>
      </c>
      <c r="J119">
        <f>IF($A119="","",Issues!$G122)</f>
        <v/>
      </c>
      <c r="K119">
        <f>IF(OR($E119="",$E119="نامعتبر"),"",LEFT($E119,4)&amp;MID($E119,6,2)&amp;RIGHT($E119,2)&amp;"|"&amp;RIGHT("00000"&amp;114,5))</f>
        <v/>
      </c>
      <c r="M119">
        <f>IF(Sync!$M119&lt;&gt;"پاس چک","",IF(Sync!$P119="","",Sync!$P119))</f>
        <v/>
      </c>
      <c r="N119">
        <f>IF($M119="","",IF(ISNUMBER(Sync!$L119),IF(AND(Sync!$L119&gt;=10000101,Sync!$L119&lt;=99991231),RIGHT("0000"&amp;INT(Sync!$L119/10000),4)&amp;"/"&amp;RIGHT("00"&amp;INT(MOD(Sync!$L119,10000)/100),2)&amp;"/"&amp;RIGHT("00"&amp;MOD(Sync!$L119,100),2),""),IFERROR(RIGHT("0000"&amp;VALUE(TRIM(LEFT(Sync!$L119,FIND("/",Sync!$L119)-1))),4)&amp;"/"&amp;RIGHT("00"&amp;VALUE(TRIM(LEFT(MID(Sync!$L119,FIND("/",Sync!$L119)+1,20),FIND("/",MID(Sync!$L119,FIND("/",Sync!$L119)+1,20))-1))),2)&amp;"/"&amp;RIGHT("00"&amp;VALUE(TRIM(MID(MID(Sync!$L119,FIND("/",Sync!$L119)+1,20),FIND("/",MID(Sync!$L119,FIND("/",Sync!$L119)+1,20))+1,20))),2),"")))</f>
        <v/>
      </c>
    </row>
    <row r="120">
      <c r="A120">
        <f>IF(Issues!$B123="","",Issues!$B123)</f>
        <v/>
      </c>
      <c r="B120">
        <f>IF($A120="","",IF(ISNUMBER(Issues!$C123),IF(AND(Issues!$C123&gt;=10000101,Issues!$C123&lt;=99991231),INT(Issues!$C123/10000),""),IFERROR(VALUE(TRIM(LEFT(Issues!$C123,FIND("/",Issues!$C123)-1))),"")))</f>
        <v/>
      </c>
      <c r="C120">
        <f>IF(OR($A120="",$B120=""),"",IF(ISNUMBER(Issues!$C123),INT(MOD(Issues!$C123,10000)/100),IFERROR(VALUE(TRIM(LEFT(MID(Issues!$C123,FIND("/",Issues!$C123)+1,20),FIND("/",MID(Issues!$C123,FIND("/",Issues!$C123)+1,20))-1))),"")))</f>
        <v/>
      </c>
      <c r="D120">
        <f>IF(OR($A120="",$B120=""),"",IF(ISNUMBER(Issues!$C123),MOD(Issues!$C123,100),IFERROR(VALUE(TRIM(MID(MID(Issues!$C123,FIND("/",Issues!$C123)+1,20),FIND("/",MID(Issues!$C123,FIND("/",Issues!$C123)+1,20))+1,20))),"")))</f>
        <v/>
      </c>
      <c r="E120">
        <f>IF($A120="","",IF(OR($B120="",$C120="",$D120="",$B120&lt;1300,$B120&gt;1500,$C120&lt;1,$C120&gt;12,$D120&lt;1,$D120&gt;31),"نامعتبر",RIGHT("0000"&amp;$B120,4)&amp;"/"&amp;RIGHT("00"&amp;$C120,2)&amp;"/"&amp;RIGHT("00"&amp;$D120,2)))</f>
        <v/>
      </c>
      <c r="F120">
        <f>IF($A120="","",IF(Issues!$D123="",0,Issues!$D123))</f>
        <v/>
      </c>
      <c r="G120">
        <f>IF($A120="","",Issues!$E123)</f>
        <v/>
      </c>
      <c r="H120">
        <f>IF($A120="","",IF(COUNTIFS(ETxnType,"پاس چک",ETxnChk,$A120)&gt;0,"پاس شده","پاس نشده"))</f>
        <v/>
      </c>
      <c r="I120">
        <f>IF($A120="","",IFERROR(INDEX(BClrDate,MATCH($A120,BClrChk,0)),""))</f>
        <v/>
      </c>
      <c r="J120">
        <f>IF($A120="","",Issues!$G123)</f>
        <v/>
      </c>
      <c r="K120">
        <f>IF(OR($E120="",$E120="نامعتبر"),"",LEFT($E120,4)&amp;MID($E120,6,2)&amp;RIGHT($E120,2)&amp;"|"&amp;RIGHT("00000"&amp;115,5))</f>
        <v/>
      </c>
      <c r="M120">
        <f>IF(Sync!$M120&lt;&gt;"پاس چک","",IF(Sync!$P120="","",Sync!$P120))</f>
        <v/>
      </c>
      <c r="N120">
        <f>IF($M120="","",IF(ISNUMBER(Sync!$L120),IF(AND(Sync!$L120&gt;=10000101,Sync!$L120&lt;=99991231),RIGHT("0000"&amp;INT(Sync!$L120/10000),4)&amp;"/"&amp;RIGHT("00"&amp;INT(MOD(Sync!$L120,10000)/100),2)&amp;"/"&amp;RIGHT("00"&amp;MOD(Sync!$L120,100),2),""),IFERROR(RIGHT("0000"&amp;VALUE(TRIM(LEFT(Sync!$L120,FIND("/",Sync!$L120)-1))),4)&amp;"/"&amp;RIGHT("00"&amp;VALUE(TRIM(LEFT(MID(Sync!$L120,FIND("/",Sync!$L120)+1,20),FIND("/",MID(Sync!$L120,FIND("/",Sync!$L120)+1,20))-1))),2)&amp;"/"&amp;RIGHT("00"&amp;VALUE(TRIM(MID(MID(Sync!$L120,FIND("/",Sync!$L120)+1,20),FIND("/",MID(Sync!$L120,FIND("/",Sync!$L120)+1,20))+1,20))),2),"")))</f>
        <v/>
      </c>
    </row>
    <row r="121">
      <c r="A121">
        <f>IF(Issues!$B124="","",Issues!$B124)</f>
        <v/>
      </c>
      <c r="B121">
        <f>IF($A121="","",IF(ISNUMBER(Issues!$C124),IF(AND(Issues!$C124&gt;=10000101,Issues!$C124&lt;=99991231),INT(Issues!$C124/10000),""),IFERROR(VALUE(TRIM(LEFT(Issues!$C124,FIND("/",Issues!$C124)-1))),"")))</f>
        <v/>
      </c>
      <c r="C121">
        <f>IF(OR($A121="",$B121=""),"",IF(ISNUMBER(Issues!$C124),INT(MOD(Issues!$C124,10000)/100),IFERROR(VALUE(TRIM(LEFT(MID(Issues!$C124,FIND("/",Issues!$C124)+1,20),FIND("/",MID(Issues!$C124,FIND("/",Issues!$C124)+1,20))-1))),"")))</f>
        <v/>
      </c>
      <c r="D121">
        <f>IF(OR($A121="",$B121=""),"",IF(ISNUMBER(Issues!$C124),MOD(Issues!$C124,100),IFERROR(VALUE(TRIM(MID(MID(Issues!$C124,FIND("/",Issues!$C124)+1,20),FIND("/",MID(Issues!$C124,FIND("/",Issues!$C124)+1,20))+1,20))),"")))</f>
        <v/>
      </c>
      <c r="E121">
        <f>IF($A121="","",IF(OR($B121="",$C121="",$D121="",$B121&lt;1300,$B121&gt;1500,$C121&lt;1,$C121&gt;12,$D121&lt;1,$D121&gt;31),"نامعتبر",RIGHT("0000"&amp;$B121,4)&amp;"/"&amp;RIGHT("00"&amp;$C121,2)&amp;"/"&amp;RIGHT("00"&amp;$D121,2)))</f>
        <v/>
      </c>
      <c r="F121">
        <f>IF($A121="","",IF(Issues!$D124="",0,Issues!$D124))</f>
        <v/>
      </c>
      <c r="G121">
        <f>IF($A121="","",Issues!$E124)</f>
        <v/>
      </c>
      <c r="H121">
        <f>IF($A121="","",IF(COUNTIFS(ETxnType,"پاس چک",ETxnChk,$A121)&gt;0,"پاس شده","پاس نشده"))</f>
        <v/>
      </c>
      <c r="I121">
        <f>IF($A121="","",IFERROR(INDEX(BClrDate,MATCH($A121,BClrChk,0)),""))</f>
        <v/>
      </c>
      <c r="J121">
        <f>IF($A121="","",Issues!$G124)</f>
        <v/>
      </c>
      <c r="K121">
        <f>IF(OR($E121="",$E121="نامعتبر"),"",LEFT($E121,4)&amp;MID($E121,6,2)&amp;RIGHT($E121,2)&amp;"|"&amp;RIGHT("00000"&amp;116,5))</f>
        <v/>
      </c>
      <c r="M121">
        <f>IF(Sync!$M121&lt;&gt;"پاس چک","",IF(Sync!$P121="","",Sync!$P121))</f>
        <v/>
      </c>
      <c r="N121">
        <f>IF($M121="","",IF(ISNUMBER(Sync!$L121),IF(AND(Sync!$L121&gt;=10000101,Sync!$L121&lt;=99991231),RIGHT("0000"&amp;INT(Sync!$L121/10000),4)&amp;"/"&amp;RIGHT("00"&amp;INT(MOD(Sync!$L121,10000)/100),2)&amp;"/"&amp;RIGHT("00"&amp;MOD(Sync!$L121,100),2),""),IFERROR(RIGHT("0000"&amp;VALUE(TRIM(LEFT(Sync!$L121,FIND("/",Sync!$L121)-1))),4)&amp;"/"&amp;RIGHT("00"&amp;VALUE(TRIM(LEFT(MID(Sync!$L121,FIND("/",Sync!$L121)+1,20),FIND("/",MID(Sync!$L121,FIND("/",Sync!$L121)+1,20))-1))),2)&amp;"/"&amp;RIGHT("00"&amp;VALUE(TRIM(MID(MID(Sync!$L121,FIND("/",Sync!$L121)+1,20),FIND("/",MID(Sync!$L121,FIND("/",Sync!$L121)+1,20))+1,20))),2),"")))</f>
        <v/>
      </c>
    </row>
    <row r="122">
      <c r="A122">
        <f>IF(Issues!$B125="","",Issues!$B125)</f>
        <v/>
      </c>
      <c r="B122">
        <f>IF($A122="","",IF(ISNUMBER(Issues!$C125),IF(AND(Issues!$C125&gt;=10000101,Issues!$C125&lt;=99991231),INT(Issues!$C125/10000),""),IFERROR(VALUE(TRIM(LEFT(Issues!$C125,FIND("/",Issues!$C125)-1))),"")))</f>
        <v/>
      </c>
      <c r="C122">
        <f>IF(OR($A122="",$B122=""),"",IF(ISNUMBER(Issues!$C125),INT(MOD(Issues!$C125,10000)/100),IFERROR(VALUE(TRIM(LEFT(MID(Issues!$C125,FIND("/",Issues!$C125)+1,20),FIND("/",MID(Issues!$C125,FIND("/",Issues!$C125)+1,20))-1))),"")))</f>
        <v/>
      </c>
      <c r="D122">
        <f>IF(OR($A122="",$B122=""),"",IF(ISNUMBER(Issues!$C125),MOD(Issues!$C125,100),IFERROR(VALUE(TRIM(MID(MID(Issues!$C125,FIND("/",Issues!$C125)+1,20),FIND("/",MID(Issues!$C125,FIND("/",Issues!$C125)+1,20))+1,20))),"")))</f>
        <v/>
      </c>
      <c r="E122">
        <f>IF($A122="","",IF(OR($B122="",$C122="",$D122="",$B122&lt;1300,$B122&gt;1500,$C122&lt;1,$C122&gt;12,$D122&lt;1,$D122&gt;31),"نامعتبر",RIGHT("0000"&amp;$B122,4)&amp;"/"&amp;RIGHT("00"&amp;$C122,2)&amp;"/"&amp;RIGHT("00"&amp;$D122,2)))</f>
        <v/>
      </c>
      <c r="F122">
        <f>IF($A122="","",IF(Issues!$D125="",0,Issues!$D125))</f>
        <v/>
      </c>
      <c r="G122">
        <f>IF($A122="","",Issues!$E125)</f>
        <v/>
      </c>
      <c r="H122">
        <f>IF($A122="","",IF(COUNTIFS(ETxnType,"پاس چک",ETxnChk,$A122)&gt;0,"پاس شده","پاس نشده"))</f>
        <v/>
      </c>
      <c r="I122">
        <f>IF($A122="","",IFERROR(INDEX(BClrDate,MATCH($A122,BClrChk,0)),""))</f>
        <v/>
      </c>
      <c r="J122">
        <f>IF($A122="","",Issues!$G125)</f>
        <v/>
      </c>
      <c r="K122">
        <f>IF(OR($E122="",$E122="نامعتبر"),"",LEFT($E122,4)&amp;MID($E122,6,2)&amp;RIGHT($E122,2)&amp;"|"&amp;RIGHT("00000"&amp;117,5))</f>
        <v/>
      </c>
      <c r="M122">
        <f>IF(Sync!$M122&lt;&gt;"پاس چک","",IF(Sync!$P122="","",Sync!$P122))</f>
        <v/>
      </c>
      <c r="N122">
        <f>IF($M122="","",IF(ISNUMBER(Sync!$L122),IF(AND(Sync!$L122&gt;=10000101,Sync!$L122&lt;=99991231),RIGHT("0000"&amp;INT(Sync!$L122/10000),4)&amp;"/"&amp;RIGHT("00"&amp;INT(MOD(Sync!$L122,10000)/100),2)&amp;"/"&amp;RIGHT("00"&amp;MOD(Sync!$L122,100),2),""),IFERROR(RIGHT("0000"&amp;VALUE(TRIM(LEFT(Sync!$L122,FIND("/",Sync!$L122)-1))),4)&amp;"/"&amp;RIGHT("00"&amp;VALUE(TRIM(LEFT(MID(Sync!$L122,FIND("/",Sync!$L122)+1,20),FIND("/",MID(Sync!$L122,FIND("/",Sync!$L122)+1,20))-1))),2)&amp;"/"&amp;RIGHT("00"&amp;VALUE(TRIM(MID(MID(Sync!$L122,FIND("/",Sync!$L122)+1,20),FIND("/",MID(Sync!$L122,FIND("/",Sync!$L122)+1,20))+1,20))),2),"")))</f>
        <v/>
      </c>
    </row>
    <row r="123">
      <c r="A123">
        <f>IF(Issues!$B126="","",Issues!$B126)</f>
        <v/>
      </c>
      <c r="B123">
        <f>IF($A123="","",IF(ISNUMBER(Issues!$C126),IF(AND(Issues!$C126&gt;=10000101,Issues!$C126&lt;=99991231),INT(Issues!$C126/10000),""),IFERROR(VALUE(TRIM(LEFT(Issues!$C126,FIND("/",Issues!$C126)-1))),"")))</f>
        <v/>
      </c>
      <c r="C123">
        <f>IF(OR($A123="",$B123=""),"",IF(ISNUMBER(Issues!$C126),INT(MOD(Issues!$C126,10000)/100),IFERROR(VALUE(TRIM(LEFT(MID(Issues!$C126,FIND("/",Issues!$C126)+1,20),FIND("/",MID(Issues!$C126,FIND("/",Issues!$C126)+1,20))-1))),"")))</f>
        <v/>
      </c>
      <c r="D123">
        <f>IF(OR($A123="",$B123=""),"",IF(ISNUMBER(Issues!$C126),MOD(Issues!$C126,100),IFERROR(VALUE(TRIM(MID(MID(Issues!$C126,FIND("/",Issues!$C126)+1,20),FIND("/",MID(Issues!$C126,FIND("/",Issues!$C126)+1,20))+1,20))),"")))</f>
        <v/>
      </c>
      <c r="E123">
        <f>IF($A123="","",IF(OR($B123="",$C123="",$D123="",$B123&lt;1300,$B123&gt;1500,$C123&lt;1,$C123&gt;12,$D123&lt;1,$D123&gt;31),"نامعتبر",RIGHT("0000"&amp;$B123,4)&amp;"/"&amp;RIGHT("00"&amp;$C123,2)&amp;"/"&amp;RIGHT("00"&amp;$D123,2)))</f>
        <v/>
      </c>
      <c r="F123">
        <f>IF($A123="","",IF(Issues!$D126="",0,Issues!$D126))</f>
        <v/>
      </c>
      <c r="G123">
        <f>IF($A123="","",Issues!$E126)</f>
        <v/>
      </c>
      <c r="H123">
        <f>IF($A123="","",IF(COUNTIFS(ETxnType,"پاس چک",ETxnChk,$A123)&gt;0,"پاس شده","پاس نشده"))</f>
        <v/>
      </c>
      <c r="I123">
        <f>IF($A123="","",IFERROR(INDEX(BClrDate,MATCH($A123,BClrChk,0)),""))</f>
        <v/>
      </c>
      <c r="J123">
        <f>IF($A123="","",Issues!$G126)</f>
        <v/>
      </c>
      <c r="K123">
        <f>IF(OR($E123="",$E123="نامعتبر"),"",LEFT($E123,4)&amp;MID($E123,6,2)&amp;RIGHT($E123,2)&amp;"|"&amp;RIGHT("00000"&amp;118,5))</f>
        <v/>
      </c>
      <c r="M123">
        <f>IF(Sync!$M123&lt;&gt;"پاس چک","",IF(Sync!$P123="","",Sync!$P123))</f>
        <v/>
      </c>
      <c r="N123">
        <f>IF($M123="","",IF(ISNUMBER(Sync!$L123),IF(AND(Sync!$L123&gt;=10000101,Sync!$L123&lt;=99991231),RIGHT("0000"&amp;INT(Sync!$L123/10000),4)&amp;"/"&amp;RIGHT("00"&amp;INT(MOD(Sync!$L123,10000)/100),2)&amp;"/"&amp;RIGHT("00"&amp;MOD(Sync!$L123,100),2),""),IFERROR(RIGHT("0000"&amp;VALUE(TRIM(LEFT(Sync!$L123,FIND("/",Sync!$L123)-1))),4)&amp;"/"&amp;RIGHT("00"&amp;VALUE(TRIM(LEFT(MID(Sync!$L123,FIND("/",Sync!$L123)+1,20),FIND("/",MID(Sync!$L123,FIND("/",Sync!$L123)+1,20))-1))),2)&amp;"/"&amp;RIGHT("00"&amp;VALUE(TRIM(MID(MID(Sync!$L123,FIND("/",Sync!$L123)+1,20),FIND("/",MID(Sync!$L123,FIND("/",Sync!$L123)+1,20))+1,20))),2),"")))</f>
        <v/>
      </c>
    </row>
    <row r="124">
      <c r="A124">
        <f>IF(Issues!$B127="","",Issues!$B127)</f>
        <v/>
      </c>
      <c r="B124">
        <f>IF($A124="","",IF(ISNUMBER(Issues!$C127),IF(AND(Issues!$C127&gt;=10000101,Issues!$C127&lt;=99991231),INT(Issues!$C127/10000),""),IFERROR(VALUE(TRIM(LEFT(Issues!$C127,FIND("/",Issues!$C127)-1))),"")))</f>
        <v/>
      </c>
      <c r="C124">
        <f>IF(OR($A124="",$B124=""),"",IF(ISNUMBER(Issues!$C127),INT(MOD(Issues!$C127,10000)/100),IFERROR(VALUE(TRIM(LEFT(MID(Issues!$C127,FIND("/",Issues!$C127)+1,20),FIND("/",MID(Issues!$C127,FIND("/",Issues!$C127)+1,20))-1))),"")))</f>
        <v/>
      </c>
      <c r="D124">
        <f>IF(OR($A124="",$B124=""),"",IF(ISNUMBER(Issues!$C127),MOD(Issues!$C127,100),IFERROR(VALUE(TRIM(MID(MID(Issues!$C127,FIND("/",Issues!$C127)+1,20),FIND("/",MID(Issues!$C127,FIND("/",Issues!$C127)+1,20))+1,20))),"")))</f>
        <v/>
      </c>
      <c r="E124">
        <f>IF($A124="","",IF(OR($B124="",$C124="",$D124="",$B124&lt;1300,$B124&gt;1500,$C124&lt;1,$C124&gt;12,$D124&lt;1,$D124&gt;31),"نامعتبر",RIGHT("0000"&amp;$B124,4)&amp;"/"&amp;RIGHT("00"&amp;$C124,2)&amp;"/"&amp;RIGHT("00"&amp;$D124,2)))</f>
        <v/>
      </c>
      <c r="F124">
        <f>IF($A124="","",IF(Issues!$D127="",0,Issues!$D127))</f>
        <v/>
      </c>
      <c r="G124">
        <f>IF($A124="","",Issues!$E127)</f>
        <v/>
      </c>
      <c r="H124">
        <f>IF($A124="","",IF(COUNTIFS(ETxnType,"پاس چک",ETxnChk,$A124)&gt;0,"پاس شده","پاس نشده"))</f>
        <v/>
      </c>
      <c r="I124">
        <f>IF($A124="","",IFERROR(INDEX(BClrDate,MATCH($A124,BClrChk,0)),""))</f>
        <v/>
      </c>
      <c r="J124">
        <f>IF($A124="","",Issues!$G127)</f>
        <v/>
      </c>
      <c r="K124">
        <f>IF(OR($E124="",$E124="نامعتبر"),"",LEFT($E124,4)&amp;MID($E124,6,2)&amp;RIGHT($E124,2)&amp;"|"&amp;RIGHT("00000"&amp;119,5))</f>
        <v/>
      </c>
      <c r="M124">
        <f>IF(Sync!$M124&lt;&gt;"پاس چک","",IF(Sync!$P124="","",Sync!$P124))</f>
        <v/>
      </c>
      <c r="N124">
        <f>IF($M124="","",IF(ISNUMBER(Sync!$L124),IF(AND(Sync!$L124&gt;=10000101,Sync!$L124&lt;=99991231),RIGHT("0000"&amp;INT(Sync!$L124/10000),4)&amp;"/"&amp;RIGHT("00"&amp;INT(MOD(Sync!$L124,10000)/100),2)&amp;"/"&amp;RIGHT("00"&amp;MOD(Sync!$L124,100),2),""),IFERROR(RIGHT("0000"&amp;VALUE(TRIM(LEFT(Sync!$L124,FIND("/",Sync!$L124)-1))),4)&amp;"/"&amp;RIGHT("00"&amp;VALUE(TRIM(LEFT(MID(Sync!$L124,FIND("/",Sync!$L124)+1,20),FIND("/",MID(Sync!$L124,FIND("/",Sync!$L124)+1,20))-1))),2)&amp;"/"&amp;RIGHT("00"&amp;VALUE(TRIM(MID(MID(Sync!$L124,FIND("/",Sync!$L124)+1,20),FIND("/",MID(Sync!$L124,FIND("/",Sync!$L124)+1,20))+1,20))),2),"")))</f>
        <v/>
      </c>
    </row>
    <row r="125">
      <c r="A125">
        <f>IF(Issues!$B128="","",Issues!$B128)</f>
        <v/>
      </c>
      <c r="B125">
        <f>IF($A125="","",IF(ISNUMBER(Issues!$C128),IF(AND(Issues!$C128&gt;=10000101,Issues!$C128&lt;=99991231),INT(Issues!$C128/10000),""),IFERROR(VALUE(TRIM(LEFT(Issues!$C128,FIND("/",Issues!$C128)-1))),"")))</f>
        <v/>
      </c>
      <c r="C125">
        <f>IF(OR($A125="",$B125=""),"",IF(ISNUMBER(Issues!$C128),INT(MOD(Issues!$C128,10000)/100),IFERROR(VALUE(TRIM(LEFT(MID(Issues!$C128,FIND("/",Issues!$C128)+1,20),FIND("/",MID(Issues!$C128,FIND("/",Issues!$C128)+1,20))-1))),"")))</f>
        <v/>
      </c>
      <c r="D125">
        <f>IF(OR($A125="",$B125=""),"",IF(ISNUMBER(Issues!$C128),MOD(Issues!$C128,100),IFERROR(VALUE(TRIM(MID(MID(Issues!$C128,FIND("/",Issues!$C128)+1,20),FIND("/",MID(Issues!$C128,FIND("/",Issues!$C128)+1,20))+1,20))),"")))</f>
        <v/>
      </c>
      <c r="E125">
        <f>IF($A125="","",IF(OR($B125="",$C125="",$D125="",$B125&lt;1300,$B125&gt;1500,$C125&lt;1,$C125&gt;12,$D125&lt;1,$D125&gt;31),"نامعتبر",RIGHT("0000"&amp;$B125,4)&amp;"/"&amp;RIGHT("00"&amp;$C125,2)&amp;"/"&amp;RIGHT("00"&amp;$D125,2)))</f>
        <v/>
      </c>
      <c r="F125">
        <f>IF($A125="","",IF(Issues!$D128="",0,Issues!$D128))</f>
        <v/>
      </c>
      <c r="G125">
        <f>IF($A125="","",Issues!$E128)</f>
        <v/>
      </c>
      <c r="H125">
        <f>IF($A125="","",IF(COUNTIFS(ETxnType,"پاس چک",ETxnChk,$A125)&gt;0,"پاس شده","پاس نشده"))</f>
        <v/>
      </c>
      <c r="I125">
        <f>IF($A125="","",IFERROR(INDEX(BClrDate,MATCH($A125,BClrChk,0)),""))</f>
        <v/>
      </c>
      <c r="J125">
        <f>IF($A125="","",Issues!$G128)</f>
        <v/>
      </c>
      <c r="K125">
        <f>IF(OR($E125="",$E125="نامعتبر"),"",LEFT($E125,4)&amp;MID($E125,6,2)&amp;RIGHT($E125,2)&amp;"|"&amp;RIGHT("00000"&amp;120,5))</f>
        <v/>
      </c>
      <c r="M125">
        <f>IF(Sync!$M125&lt;&gt;"پاس چک","",IF(Sync!$P125="","",Sync!$P125))</f>
        <v/>
      </c>
      <c r="N125">
        <f>IF($M125="","",IF(ISNUMBER(Sync!$L125),IF(AND(Sync!$L125&gt;=10000101,Sync!$L125&lt;=99991231),RIGHT("0000"&amp;INT(Sync!$L125/10000),4)&amp;"/"&amp;RIGHT("00"&amp;INT(MOD(Sync!$L125,10000)/100),2)&amp;"/"&amp;RIGHT("00"&amp;MOD(Sync!$L125,100),2),""),IFERROR(RIGHT("0000"&amp;VALUE(TRIM(LEFT(Sync!$L125,FIND("/",Sync!$L125)-1))),4)&amp;"/"&amp;RIGHT("00"&amp;VALUE(TRIM(LEFT(MID(Sync!$L125,FIND("/",Sync!$L125)+1,20),FIND("/",MID(Sync!$L125,FIND("/",Sync!$L125)+1,20))-1))),2)&amp;"/"&amp;RIGHT("00"&amp;VALUE(TRIM(MID(MID(Sync!$L125,FIND("/",Sync!$L125)+1,20),FIND("/",MID(Sync!$L125,FIND("/",Sync!$L125)+1,20))+1,20))),2),"")))</f>
        <v/>
      </c>
    </row>
    <row r="126">
      <c r="A126">
        <f>IF(Issues!$B129="","",Issues!$B129)</f>
        <v/>
      </c>
      <c r="B126">
        <f>IF($A126="","",IF(ISNUMBER(Issues!$C129),IF(AND(Issues!$C129&gt;=10000101,Issues!$C129&lt;=99991231),INT(Issues!$C129/10000),""),IFERROR(VALUE(TRIM(LEFT(Issues!$C129,FIND("/",Issues!$C129)-1))),"")))</f>
        <v/>
      </c>
      <c r="C126">
        <f>IF(OR($A126="",$B126=""),"",IF(ISNUMBER(Issues!$C129),INT(MOD(Issues!$C129,10000)/100),IFERROR(VALUE(TRIM(LEFT(MID(Issues!$C129,FIND("/",Issues!$C129)+1,20),FIND("/",MID(Issues!$C129,FIND("/",Issues!$C129)+1,20))-1))),"")))</f>
        <v/>
      </c>
      <c r="D126">
        <f>IF(OR($A126="",$B126=""),"",IF(ISNUMBER(Issues!$C129),MOD(Issues!$C129,100),IFERROR(VALUE(TRIM(MID(MID(Issues!$C129,FIND("/",Issues!$C129)+1,20),FIND("/",MID(Issues!$C129,FIND("/",Issues!$C129)+1,20))+1,20))),"")))</f>
        <v/>
      </c>
      <c r="E126">
        <f>IF($A126="","",IF(OR($B126="",$C126="",$D126="",$B126&lt;1300,$B126&gt;1500,$C126&lt;1,$C126&gt;12,$D126&lt;1,$D126&gt;31),"نامعتبر",RIGHT("0000"&amp;$B126,4)&amp;"/"&amp;RIGHT("00"&amp;$C126,2)&amp;"/"&amp;RIGHT("00"&amp;$D126,2)))</f>
        <v/>
      </c>
      <c r="F126">
        <f>IF($A126="","",IF(Issues!$D129="",0,Issues!$D129))</f>
        <v/>
      </c>
      <c r="G126">
        <f>IF($A126="","",Issues!$E129)</f>
        <v/>
      </c>
      <c r="H126">
        <f>IF($A126="","",IF(COUNTIFS(ETxnType,"پاس چک",ETxnChk,$A126)&gt;0,"پاس شده","پاس نشده"))</f>
        <v/>
      </c>
      <c r="I126">
        <f>IF($A126="","",IFERROR(INDEX(BClrDate,MATCH($A126,BClrChk,0)),""))</f>
        <v/>
      </c>
      <c r="J126">
        <f>IF($A126="","",Issues!$G129)</f>
        <v/>
      </c>
      <c r="K126">
        <f>IF(OR($E126="",$E126="نامعتبر"),"",LEFT($E126,4)&amp;MID($E126,6,2)&amp;RIGHT($E126,2)&amp;"|"&amp;RIGHT("00000"&amp;121,5))</f>
        <v/>
      </c>
      <c r="M126">
        <f>IF(Sync!$M126&lt;&gt;"پاس چک","",IF(Sync!$P126="","",Sync!$P126))</f>
        <v/>
      </c>
      <c r="N126">
        <f>IF($M126="","",IF(ISNUMBER(Sync!$L126),IF(AND(Sync!$L126&gt;=10000101,Sync!$L126&lt;=99991231),RIGHT("0000"&amp;INT(Sync!$L126/10000),4)&amp;"/"&amp;RIGHT("00"&amp;INT(MOD(Sync!$L126,10000)/100),2)&amp;"/"&amp;RIGHT("00"&amp;MOD(Sync!$L126,100),2),""),IFERROR(RIGHT("0000"&amp;VALUE(TRIM(LEFT(Sync!$L126,FIND("/",Sync!$L126)-1))),4)&amp;"/"&amp;RIGHT("00"&amp;VALUE(TRIM(LEFT(MID(Sync!$L126,FIND("/",Sync!$L126)+1,20),FIND("/",MID(Sync!$L126,FIND("/",Sync!$L126)+1,20))-1))),2)&amp;"/"&amp;RIGHT("00"&amp;VALUE(TRIM(MID(MID(Sync!$L126,FIND("/",Sync!$L126)+1,20),FIND("/",MID(Sync!$L126,FIND("/",Sync!$L126)+1,20))+1,20))),2),"")))</f>
        <v/>
      </c>
    </row>
    <row r="127">
      <c r="A127">
        <f>IF(Issues!$B130="","",Issues!$B130)</f>
        <v/>
      </c>
      <c r="B127">
        <f>IF($A127="","",IF(ISNUMBER(Issues!$C130),IF(AND(Issues!$C130&gt;=10000101,Issues!$C130&lt;=99991231),INT(Issues!$C130/10000),""),IFERROR(VALUE(TRIM(LEFT(Issues!$C130,FIND("/",Issues!$C130)-1))),"")))</f>
        <v/>
      </c>
      <c r="C127">
        <f>IF(OR($A127="",$B127=""),"",IF(ISNUMBER(Issues!$C130),INT(MOD(Issues!$C130,10000)/100),IFERROR(VALUE(TRIM(LEFT(MID(Issues!$C130,FIND("/",Issues!$C130)+1,20),FIND("/",MID(Issues!$C130,FIND("/",Issues!$C130)+1,20))-1))),"")))</f>
        <v/>
      </c>
      <c r="D127">
        <f>IF(OR($A127="",$B127=""),"",IF(ISNUMBER(Issues!$C130),MOD(Issues!$C130,100),IFERROR(VALUE(TRIM(MID(MID(Issues!$C130,FIND("/",Issues!$C130)+1,20),FIND("/",MID(Issues!$C130,FIND("/",Issues!$C130)+1,20))+1,20))),"")))</f>
        <v/>
      </c>
      <c r="E127">
        <f>IF($A127="","",IF(OR($B127="",$C127="",$D127="",$B127&lt;1300,$B127&gt;1500,$C127&lt;1,$C127&gt;12,$D127&lt;1,$D127&gt;31),"نامعتبر",RIGHT("0000"&amp;$B127,4)&amp;"/"&amp;RIGHT("00"&amp;$C127,2)&amp;"/"&amp;RIGHT("00"&amp;$D127,2)))</f>
        <v/>
      </c>
      <c r="F127">
        <f>IF($A127="","",IF(Issues!$D130="",0,Issues!$D130))</f>
        <v/>
      </c>
      <c r="G127">
        <f>IF($A127="","",Issues!$E130)</f>
        <v/>
      </c>
      <c r="H127">
        <f>IF($A127="","",IF(COUNTIFS(ETxnType,"پاس چک",ETxnChk,$A127)&gt;0,"پاس شده","پاس نشده"))</f>
        <v/>
      </c>
      <c r="I127">
        <f>IF($A127="","",IFERROR(INDEX(BClrDate,MATCH($A127,BClrChk,0)),""))</f>
        <v/>
      </c>
      <c r="J127">
        <f>IF($A127="","",Issues!$G130)</f>
        <v/>
      </c>
      <c r="K127">
        <f>IF(OR($E127="",$E127="نامعتبر"),"",LEFT($E127,4)&amp;MID($E127,6,2)&amp;RIGHT($E127,2)&amp;"|"&amp;RIGHT("00000"&amp;122,5))</f>
        <v/>
      </c>
      <c r="M127">
        <f>IF(Sync!$M127&lt;&gt;"پاس چک","",IF(Sync!$P127="","",Sync!$P127))</f>
        <v/>
      </c>
      <c r="N127">
        <f>IF($M127="","",IF(ISNUMBER(Sync!$L127),IF(AND(Sync!$L127&gt;=10000101,Sync!$L127&lt;=99991231),RIGHT("0000"&amp;INT(Sync!$L127/10000),4)&amp;"/"&amp;RIGHT("00"&amp;INT(MOD(Sync!$L127,10000)/100),2)&amp;"/"&amp;RIGHT("00"&amp;MOD(Sync!$L127,100),2),""),IFERROR(RIGHT("0000"&amp;VALUE(TRIM(LEFT(Sync!$L127,FIND("/",Sync!$L127)-1))),4)&amp;"/"&amp;RIGHT("00"&amp;VALUE(TRIM(LEFT(MID(Sync!$L127,FIND("/",Sync!$L127)+1,20),FIND("/",MID(Sync!$L127,FIND("/",Sync!$L127)+1,20))-1))),2)&amp;"/"&amp;RIGHT("00"&amp;VALUE(TRIM(MID(MID(Sync!$L127,FIND("/",Sync!$L127)+1,20),FIND("/",MID(Sync!$L127,FIND("/",Sync!$L127)+1,20))+1,20))),2),"")))</f>
        <v/>
      </c>
    </row>
    <row r="128">
      <c r="A128">
        <f>IF(Issues!$B131="","",Issues!$B131)</f>
        <v/>
      </c>
      <c r="B128">
        <f>IF($A128="","",IF(ISNUMBER(Issues!$C131),IF(AND(Issues!$C131&gt;=10000101,Issues!$C131&lt;=99991231),INT(Issues!$C131/10000),""),IFERROR(VALUE(TRIM(LEFT(Issues!$C131,FIND("/",Issues!$C131)-1))),"")))</f>
        <v/>
      </c>
      <c r="C128">
        <f>IF(OR($A128="",$B128=""),"",IF(ISNUMBER(Issues!$C131),INT(MOD(Issues!$C131,10000)/100),IFERROR(VALUE(TRIM(LEFT(MID(Issues!$C131,FIND("/",Issues!$C131)+1,20),FIND("/",MID(Issues!$C131,FIND("/",Issues!$C131)+1,20))-1))),"")))</f>
        <v/>
      </c>
      <c r="D128">
        <f>IF(OR($A128="",$B128=""),"",IF(ISNUMBER(Issues!$C131),MOD(Issues!$C131,100),IFERROR(VALUE(TRIM(MID(MID(Issues!$C131,FIND("/",Issues!$C131)+1,20),FIND("/",MID(Issues!$C131,FIND("/",Issues!$C131)+1,20))+1,20))),"")))</f>
        <v/>
      </c>
      <c r="E128">
        <f>IF($A128="","",IF(OR($B128="",$C128="",$D128="",$B128&lt;1300,$B128&gt;1500,$C128&lt;1,$C128&gt;12,$D128&lt;1,$D128&gt;31),"نامعتبر",RIGHT("0000"&amp;$B128,4)&amp;"/"&amp;RIGHT("00"&amp;$C128,2)&amp;"/"&amp;RIGHT("00"&amp;$D128,2)))</f>
        <v/>
      </c>
      <c r="F128">
        <f>IF($A128="","",IF(Issues!$D131="",0,Issues!$D131))</f>
        <v/>
      </c>
      <c r="G128">
        <f>IF($A128="","",Issues!$E131)</f>
        <v/>
      </c>
      <c r="H128">
        <f>IF($A128="","",IF(COUNTIFS(ETxnType,"پاس چک",ETxnChk,$A128)&gt;0,"پاس شده","پاس نشده"))</f>
        <v/>
      </c>
      <c r="I128">
        <f>IF($A128="","",IFERROR(INDEX(BClrDate,MATCH($A128,BClrChk,0)),""))</f>
        <v/>
      </c>
      <c r="J128">
        <f>IF($A128="","",Issues!$G131)</f>
        <v/>
      </c>
      <c r="K128">
        <f>IF(OR($E128="",$E128="نامعتبر"),"",LEFT($E128,4)&amp;MID($E128,6,2)&amp;RIGHT($E128,2)&amp;"|"&amp;RIGHT("00000"&amp;123,5))</f>
        <v/>
      </c>
      <c r="M128">
        <f>IF(Sync!$M128&lt;&gt;"پاس چک","",IF(Sync!$P128="","",Sync!$P128))</f>
        <v/>
      </c>
      <c r="N128">
        <f>IF($M128="","",IF(ISNUMBER(Sync!$L128),IF(AND(Sync!$L128&gt;=10000101,Sync!$L128&lt;=99991231),RIGHT("0000"&amp;INT(Sync!$L128/10000),4)&amp;"/"&amp;RIGHT("00"&amp;INT(MOD(Sync!$L128,10000)/100),2)&amp;"/"&amp;RIGHT("00"&amp;MOD(Sync!$L128,100),2),""),IFERROR(RIGHT("0000"&amp;VALUE(TRIM(LEFT(Sync!$L128,FIND("/",Sync!$L128)-1))),4)&amp;"/"&amp;RIGHT("00"&amp;VALUE(TRIM(LEFT(MID(Sync!$L128,FIND("/",Sync!$L128)+1,20),FIND("/",MID(Sync!$L128,FIND("/",Sync!$L128)+1,20))-1))),2)&amp;"/"&amp;RIGHT("00"&amp;VALUE(TRIM(MID(MID(Sync!$L128,FIND("/",Sync!$L128)+1,20),FIND("/",MID(Sync!$L128,FIND("/",Sync!$L128)+1,20))+1,20))),2),"")))</f>
        <v/>
      </c>
    </row>
    <row r="129">
      <c r="A129">
        <f>IF(Issues!$B132="","",Issues!$B132)</f>
        <v/>
      </c>
      <c r="B129">
        <f>IF($A129="","",IF(ISNUMBER(Issues!$C132),IF(AND(Issues!$C132&gt;=10000101,Issues!$C132&lt;=99991231),INT(Issues!$C132/10000),""),IFERROR(VALUE(TRIM(LEFT(Issues!$C132,FIND("/",Issues!$C132)-1))),"")))</f>
        <v/>
      </c>
      <c r="C129">
        <f>IF(OR($A129="",$B129=""),"",IF(ISNUMBER(Issues!$C132),INT(MOD(Issues!$C132,10000)/100),IFERROR(VALUE(TRIM(LEFT(MID(Issues!$C132,FIND("/",Issues!$C132)+1,20),FIND("/",MID(Issues!$C132,FIND("/",Issues!$C132)+1,20))-1))),"")))</f>
        <v/>
      </c>
      <c r="D129">
        <f>IF(OR($A129="",$B129=""),"",IF(ISNUMBER(Issues!$C132),MOD(Issues!$C132,100),IFERROR(VALUE(TRIM(MID(MID(Issues!$C132,FIND("/",Issues!$C132)+1,20),FIND("/",MID(Issues!$C132,FIND("/",Issues!$C132)+1,20))+1,20))),"")))</f>
        <v/>
      </c>
      <c r="E129">
        <f>IF($A129="","",IF(OR($B129="",$C129="",$D129="",$B129&lt;1300,$B129&gt;1500,$C129&lt;1,$C129&gt;12,$D129&lt;1,$D129&gt;31),"نامعتبر",RIGHT("0000"&amp;$B129,4)&amp;"/"&amp;RIGHT("00"&amp;$C129,2)&amp;"/"&amp;RIGHT("00"&amp;$D129,2)))</f>
        <v/>
      </c>
      <c r="F129">
        <f>IF($A129="","",IF(Issues!$D132="",0,Issues!$D132))</f>
        <v/>
      </c>
      <c r="G129">
        <f>IF($A129="","",Issues!$E132)</f>
        <v/>
      </c>
      <c r="H129">
        <f>IF($A129="","",IF(COUNTIFS(ETxnType,"پاس چک",ETxnChk,$A129)&gt;0,"پاس شده","پاس نشده"))</f>
        <v/>
      </c>
      <c r="I129">
        <f>IF($A129="","",IFERROR(INDEX(BClrDate,MATCH($A129,BClrChk,0)),""))</f>
        <v/>
      </c>
      <c r="J129">
        <f>IF($A129="","",Issues!$G132)</f>
        <v/>
      </c>
      <c r="K129">
        <f>IF(OR($E129="",$E129="نامعتبر"),"",LEFT($E129,4)&amp;MID($E129,6,2)&amp;RIGHT($E129,2)&amp;"|"&amp;RIGHT("00000"&amp;124,5))</f>
        <v/>
      </c>
      <c r="M129">
        <f>IF(Sync!$M129&lt;&gt;"پاس چک","",IF(Sync!$P129="","",Sync!$P129))</f>
        <v/>
      </c>
      <c r="N129">
        <f>IF($M129="","",IF(ISNUMBER(Sync!$L129),IF(AND(Sync!$L129&gt;=10000101,Sync!$L129&lt;=99991231),RIGHT("0000"&amp;INT(Sync!$L129/10000),4)&amp;"/"&amp;RIGHT("00"&amp;INT(MOD(Sync!$L129,10000)/100),2)&amp;"/"&amp;RIGHT("00"&amp;MOD(Sync!$L129,100),2),""),IFERROR(RIGHT("0000"&amp;VALUE(TRIM(LEFT(Sync!$L129,FIND("/",Sync!$L129)-1))),4)&amp;"/"&amp;RIGHT("00"&amp;VALUE(TRIM(LEFT(MID(Sync!$L129,FIND("/",Sync!$L129)+1,20),FIND("/",MID(Sync!$L129,FIND("/",Sync!$L129)+1,20))-1))),2)&amp;"/"&amp;RIGHT("00"&amp;VALUE(TRIM(MID(MID(Sync!$L129,FIND("/",Sync!$L129)+1,20),FIND("/",MID(Sync!$L129,FIND("/",Sync!$L129)+1,20))+1,20))),2),"")))</f>
        <v/>
      </c>
    </row>
    <row r="130">
      <c r="A130">
        <f>IF(Issues!$B133="","",Issues!$B133)</f>
        <v/>
      </c>
      <c r="B130">
        <f>IF($A130="","",IF(ISNUMBER(Issues!$C133),IF(AND(Issues!$C133&gt;=10000101,Issues!$C133&lt;=99991231),INT(Issues!$C133/10000),""),IFERROR(VALUE(TRIM(LEFT(Issues!$C133,FIND("/",Issues!$C133)-1))),"")))</f>
        <v/>
      </c>
      <c r="C130">
        <f>IF(OR($A130="",$B130=""),"",IF(ISNUMBER(Issues!$C133),INT(MOD(Issues!$C133,10000)/100),IFERROR(VALUE(TRIM(LEFT(MID(Issues!$C133,FIND("/",Issues!$C133)+1,20),FIND("/",MID(Issues!$C133,FIND("/",Issues!$C133)+1,20))-1))),"")))</f>
        <v/>
      </c>
      <c r="D130">
        <f>IF(OR($A130="",$B130=""),"",IF(ISNUMBER(Issues!$C133),MOD(Issues!$C133,100),IFERROR(VALUE(TRIM(MID(MID(Issues!$C133,FIND("/",Issues!$C133)+1,20),FIND("/",MID(Issues!$C133,FIND("/",Issues!$C133)+1,20))+1,20))),"")))</f>
        <v/>
      </c>
      <c r="E130">
        <f>IF($A130="","",IF(OR($B130="",$C130="",$D130="",$B130&lt;1300,$B130&gt;1500,$C130&lt;1,$C130&gt;12,$D130&lt;1,$D130&gt;31),"نامعتبر",RIGHT("0000"&amp;$B130,4)&amp;"/"&amp;RIGHT("00"&amp;$C130,2)&amp;"/"&amp;RIGHT("00"&amp;$D130,2)))</f>
        <v/>
      </c>
      <c r="F130">
        <f>IF($A130="","",IF(Issues!$D133="",0,Issues!$D133))</f>
        <v/>
      </c>
      <c r="G130">
        <f>IF($A130="","",Issues!$E133)</f>
        <v/>
      </c>
      <c r="H130">
        <f>IF($A130="","",IF(COUNTIFS(ETxnType,"پاس چک",ETxnChk,$A130)&gt;0,"پاس شده","پاس نشده"))</f>
        <v/>
      </c>
      <c r="I130">
        <f>IF($A130="","",IFERROR(INDEX(BClrDate,MATCH($A130,BClrChk,0)),""))</f>
        <v/>
      </c>
      <c r="J130">
        <f>IF($A130="","",Issues!$G133)</f>
        <v/>
      </c>
      <c r="K130">
        <f>IF(OR($E130="",$E130="نامعتبر"),"",LEFT($E130,4)&amp;MID($E130,6,2)&amp;RIGHT($E130,2)&amp;"|"&amp;RIGHT("00000"&amp;125,5))</f>
        <v/>
      </c>
      <c r="M130">
        <f>IF(Sync!$M130&lt;&gt;"پاس چک","",IF(Sync!$P130="","",Sync!$P130))</f>
        <v/>
      </c>
      <c r="N130">
        <f>IF($M130="","",IF(ISNUMBER(Sync!$L130),IF(AND(Sync!$L130&gt;=10000101,Sync!$L130&lt;=99991231),RIGHT("0000"&amp;INT(Sync!$L130/10000),4)&amp;"/"&amp;RIGHT("00"&amp;INT(MOD(Sync!$L130,10000)/100),2)&amp;"/"&amp;RIGHT("00"&amp;MOD(Sync!$L130,100),2),""),IFERROR(RIGHT("0000"&amp;VALUE(TRIM(LEFT(Sync!$L130,FIND("/",Sync!$L130)-1))),4)&amp;"/"&amp;RIGHT("00"&amp;VALUE(TRIM(LEFT(MID(Sync!$L130,FIND("/",Sync!$L130)+1,20),FIND("/",MID(Sync!$L130,FIND("/",Sync!$L130)+1,20))-1))),2)&amp;"/"&amp;RIGHT("00"&amp;VALUE(TRIM(MID(MID(Sync!$L130,FIND("/",Sync!$L130)+1,20),FIND("/",MID(Sync!$L130,FIND("/",Sync!$L130)+1,20))+1,20))),2),"")))</f>
        <v/>
      </c>
    </row>
    <row r="131">
      <c r="A131">
        <f>IF(Issues!$B134="","",Issues!$B134)</f>
        <v/>
      </c>
      <c r="B131">
        <f>IF($A131="","",IF(ISNUMBER(Issues!$C134),IF(AND(Issues!$C134&gt;=10000101,Issues!$C134&lt;=99991231),INT(Issues!$C134/10000),""),IFERROR(VALUE(TRIM(LEFT(Issues!$C134,FIND("/",Issues!$C134)-1))),"")))</f>
        <v/>
      </c>
      <c r="C131">
        <f>IF(OR($A131="",$B131=""),"",IF(ISNUMBER(Issues!$C134),INT(MOD(Issues!$C134,10000)/100),IFERROR(VALUE(TRIM(LEFT(MID(Issues!$C134,FIND("/",Issues!$C134)+1,20),FIND("/",MID(Issues!$C134,FIND("/",Issues!$C134)+1,20))-1))),"")))</f>
        <v/>
      </c>
      <c r="D131">
        <f>IF(OR($A131="",$B131=""),"",IF(ISNUMBER(Issues!$C134),MOD(Issues!$C134,100),IFERROR(VALUE(TRIM(MID(MID(Issues!$C134,FIND("/",Issues!$C134)+1,20),FIND("/",MID(Issues!$C134,FIND("/",Issues!$C134)+1,20))+1,20))),"")))</f>
        <v/>
      </c>
      <c r="E131">
        <f>IF($A131="","",IF(OR($B131="",$C131="",$D131="",$B131&lt;1300,$B131&gt;1500,$C131&lt;1,$C131&gt;12,$D131&lt;1,$D131&gt;31),"نامعتبر",RIGHT("0000"&amp;$B131,4)&amp;"/"&amp;RIGHT("00"&amp;$C131,2)&amp;"/"&amp;RIGHT("00"&amp;$D131,2)))</f>
        <v/>
      </c>
      <c r="F131">
        <f>IF($A131="","",IF(Issues!$D134="",0,Issues!$D134))</f>
        <v/>
      </c>
      <c r="G131">
        <f>IF($A131="","",Issues!$E134)</f>
        <v/>
      </c>
      <c r="H131">
        <f>IF($A131="","",IF(COUNTIFS(ETxnType,"پاس چک",ETxnChk,$A131)&gt;0,"پاس شده","پاس نشده"))</f>
        <v/>
      </c>
      <c r="I131">
        <f>IF($A131="","",IFERROR(INDEX(BClrDate,MATCH($A131,BClrChk,0)),""))</f>
        <v/>
      </c>
      <c r="J131">
        <f>IF($A131="","",Issues!$G134)</f>
        <v/>
      </c>
      <c r="K131">
        <f>IF(OR($E131="",$E131="نامعتبر"),"",LEFT($E131,4)&amp;MID($E131,6,2)&amp;RIGHT($E131,2)&amp;"|"&amp;RIGHT("00000"&amp;126,5))</f>
        <v/>
      </c>
      <c r="M131">
        <f>IF(Sync!$M131&lt;&gt;"پاس چک","",IF(Sync!$P131="","",Sync!$P131))</f>
        <v/>
      </c>
      <c r="N131">
        <f>IF($M131="","",IF(ISNUMBER(Sync!$L131),IF(AND(Sync!$L131&gt;=10000101,Sync!$L131&lt;=99991231),RIGHT("0000"&amp;INT(Sync!$L131/10000),4)&amp;"/"&amp;RIGHT("00"&amp;INT(MOD(Sync!$L131,10000)/100),2)&amp;"/"&amp;RIGHT("00"&amp;MOD(Sync!$L131,100),2),""),IFERROR(RIGHT("0000"&amp;VALUE(TRIM(LEFT(Sync!$L131,FIND("/",Sync!$L131)-1))),4)&amp;"/"&amp;RIGHT("00"&amp;VALUE(TRIM(LEFT(MID(Sync!$L131,FIND("/",Sync!$L131)+1,20),FIND("/",MID(Sync!$L131,FIND("/",Sync!$L131)+1,20))-1))),2)&amp;"/"&amp;RIGHT("00"&amp;VALUE(TRIM(MID(MID(Sync!$L131,FIND("/",Sync!$L131)+1,20),FIND("/",MID(Sync!$L131,FIND("/",Sync!$L131)+1,20))+1,20))),2),"")))</f>
        <v/>
      </c>
    </row>
    <row r="132">
      <c r="A132">
        <f>IF(Issues!$B135="","",Issues!$B135)</f>
        <v/>
      </c>
      <c r="B132">
        <f>IF($A132="","",IF(ISNUMBER(Issues!$C135),IF(AND(Issues!$C135&gt;=10000101,Issues!$C135&lt;=99991231),INT(Issues!$C135/10000),""),IFERROR(VALUE(TRIM(LEFT(Issues!$C135,FIND("/",Issues!$C135)-1))),"")))</f>
        <v/>
      </c>
      <c r="C132">
        <f>IF(OR($A132="",$B132=""),"",IF(ISNUMBER(Issues!$C135),INT(MOD(Issues!$C135,10000)/100),IFERROR(VALUE(TRIM(LEFT(MID(Issues!$C135,FIND("/",Issues!$C135)+1,20),FIND("/",MID(Issues!$C135,FIND("/",Issues!$C135)+1,20))-1))),"")))</f>
        <v/>
      </c>
      <c r="D132">
        <f>IF(OR($A132="",$B132=""),"",IF(ISNUMBER(Issues!$C135),MOD(Issues!$C135,100),IFERROR(VALUE(TRIM(MID(MID(Issues!$C135,FIND("/",Issues!$C135)+1,20),FIND("/",MID(Issues!$C135,FIND("/",Issues!$C135)+1,20))+1,20))),"")))</f>
        <v/>
      </c>
      <c r="E132">
        <f>IF($A132="","",IF(OR($B132="",$C132="",$D132="",$B132&lt;1300,$B132&gt;1500,$C132&lt;1,$C132&gt;12,$D132&lt;1,$D132&gt;31),"نامعتبر",RIGHT("0000"&amp;$B132,4)&amp;"/"&amp;RIGHT("00"&amp;$C132,2)&amp;"/"&amp;RIGHT("00"&amp;$D132,2)))</f>
        <v/>
      </c>
      <c r="F132">
        <f>IF($A132="","",IF(Issues!$D135="",0,Issues!$D135))</f>
        <v/>
      </c>
      <c r="G132">
        <f>IF($A132="","",Issues!$E135)</f>
        <v/>
      </c>
      <c r="H132">
        <f>IF($A132="","",IF(COUNTIFS(ETxnType,"پاس چک",ETxnChk,$A132)&gt;0,"پاس شده","پاس نشده"))</f>
        <v/>
      </c>
      <c r="I132">
        <f>IF($A132="","",IFERROR(INDEX(BClrDate,MATCH($A132,BClrChk,0)),""))</f>
        <v/>
      </c>
      <c r="J132">
        <f>IF($A132="","",Issues!$G135)</f>
        <v/>
      </c>
      <c r="K132">
        <f>IF(OR($E132="",$E132="نامعتبر"),"",LEFT($E132,4)&amp;MID($E132,6,2)&amp;RIGHT($E132,2)&amp;"|"&amp;RIGHT("00000"&amp;127,5))</f>
        <v/>
      </c>
      <c r="M132">
        <f>IF(Sync!$M132&lt;&gt;"پاس چک","",IF(Sync!$P132="","",Sync!$P132))</f>
        <v/>
      </c>
      <c r="N132">
        <f>IF($M132="","",IF(ISNUMBER(Sync!$L132),IF(AND(Sync!$L132&gt;=10000101,Sync!$L132&lt;=99991231),RIGHT("0000"&amp;INT(Sync!$L132/10000),4)&amp;"/"&amp;RIGHT("00"&amp;INT(MOD(Sync!$L132,10000)/100),2)&amp;"/"&amp;RIGHT("00"&amp;MOD(Sync!$L132,100),2),""),IFERROR(RIGHT("0000"&amp;VALUE(TRIM(LEFT(Sync!$L132,FIND("/",Sync!$L132)-1))),4)&amp;"/"&amp;RIGHT("00"&amp;VALUE(TRIM(LEFT(MID(Sync!$L132,FIND("/",Sync!$L132)+1,20),FIND("/",MID(Sync!$L132,FIND("/",Sync!$L132)+1,20))-1))),2)&amp;"/"&amp;RIGHT("00"&amp;VALUE(TRIM(MID(MID(Sync!$L132,FIND("/",Sync!$L132)+1,20),FIND("/",MID(Sync!$L132,FIND("/",Sync!$L132)+1,20))+1,20))),2),"")))</f>
        <v/>
      </c>
    </row>
    <row r="133">
      <c r="A133">
        <f>IF(Issues!$B136="","",Issues!$B136)</f>
        <v/>
      </c>
      <c r="B133">
        <f>IF($A133="","",IF(ISNUMBER(Issues!$C136),IF(AND(Issues!$C136&gt;=10000101,Issues!$C136&lt;=99991231),INT(Issues!$C136/10000),""),IFERROR(VALUE(TRIM(LEFT(Issues!$C136,FIND("/",Issues!$C136)-1))),"")))</f>
        <v/>
      </c>
      <c r="C133">
        <f>IF(OR($A133="",$B133=""),"",IF(ISNUMBER(Issues!$C136),INT(MOD(Issues!$C136,10000)/100),IFERROR(VALUE(TRIM(LEFT(MID(Issues!$C136,FIND("/",Issues!$C136)+1,20),FIND("/",MID(Issues!$C136,FIND("/",Issues!$C136)+1,20))-1))),"")))</f>
        <v/>
      </c>
      <c r="D133">
        <f>IF(OR($A133="",$B133=""),"",IF(ISNUMBER(Issues!$C136),MOD(Issues!$C136,100),IFERROR(VALUE(TRIM(MID(MID(Issues!$C136,FIND("/",Issues!$C136)+1,20),FIND("/",MID(Issues!$C136,FIND("/",Issues!$C136)+1,20))+1,20))),"")))</f>
        <v/>
      </c>
      <c r="E133">
        <f>IF($A133="","",IF(OR($B133="",$C133="",$D133="",$B133&lt;1300,$B133&gt;1500,$C133&lt;1,$C133&gt;12,$D133&lt;1,$D133&gt;31),"نامعتبر",RIGHT("0000"&amp;$B133,4)&amp;"/"&amp;RIGHT("00"&amp;$C133,2)&amp;"/"&amp;RIGHT("00"&amp;$D133,2)))</f>
        <v/>
      </c>
      <c r="F133">
        <f>IF($A133="","",IF(Issues!$D136="",0,Issues!$D136))</f>
        <v/>
      </c>
      <c r="G133">
        <f>IF($A133="","",Issues!$E136)</f>
        <v/>
      </c>
      <c r="H133">
        <f>IF($A133="","",IF(COUNTIFS(ETxnType,"پاس چک",ETxnChk,$A133)&gt;0,"پاس شده","پاس نشده"))</f>
        <v/>
      </c>
      <c r="I133">
        <f>IF($A133="","",IFERROR(INDEX(BClrDate,MATCH($A133,BClrChk,0)),""))</f>
        <v/>
      </c>
      <c r="J133">
        <f>IF($A133="","",Issues!$G136)</f>
        <v/>
      </c>
      <c r="K133">
        <f>IF(OR($E133="",$E133="نامعتبر"),"",LEFT($E133,4)&amp;MID($E133,6,2)&amp;RIGHT($E133,2)&amp;"|"&amp;RIGHT("00000"&amp;128,5))</f>
        <v/>
      </c>
      <c r="M133">
        <f>IF(Sync!$M133&lt;&gt;"پاس چک","",IF(Sync!$P133="","",Sync!$P133))</f>
        <v/>
      </c>
      <c r="N133">
        <f>IF($M133="","",IF(ISNUMBER(Sync!$L133),IF(AND(Sync!$L133&gt;=10000101,Sync!$L133&lt;=99991231),RIGHT("0000"&amp;INT(Sync!$L133/10000),4)&amp;"/"&amp;RIGHT("00"&amp;INT(MOD(Sync!$L133,10000)/100),2)&amp;"/"&amp;RIGHT("00"&amp;MOD(Sync!$L133,100),2),""),IFERROR(RIGHT("0000"&amp;VALUE(TRIM(LEFT(Sync!$L133,FIND("/",Sync!$L133)-1))),4)&amp;"/"&amp;RIGHT("00"&amp;VALUE(TRIM(LEFT(MID(Sync!$L133,FIND("/",Sync!$L133)+1,20),FIND("/",MID(Sync!$L133,FIND("/",Sync!$L133)+1,20))-1))),2)&amp;"/"&amp;RIGHT("00"&amp;VALUE(TRIM(MID(MID(Sync!$L133,FIND("/",Sync!$L133)+1,20),FIND("/",MID(Sync!$L133,FIND("/",Sync!$L133)+1,20))+1,20))),2),"")))</f>
        <v/>
      </c>
    </row>
    <row r="134">
      <c r="A134">
        <f>IF(Issues!$B137="","",Issues!$B137)</f>
        <v/>
      </c>
      <c r="B134">
        <f>IF($A134="","",IF(ISNUMBER(Issues!$C137),IF(AND(Issues!$C137&gt;=10000101,Issues!$C137&lt;=99991231),INT(Issues!$C137/10000),""),IFERROR(VALUE(TRIM(LEFT(Issues!$C137,FIND("/",Issues!$C137)-1))),"")))</f>
        <v/>
      </c>
      <c r="C134">
        <f>IF(OR($A134="",$B134=""),"",IF(ISNUMBER(Issues!$C137),INT(MOD(Issues!$C137,10000)/100),IFERROR(VALUE(TRIM(LEFT(MID(Issues!$C137,FIND("/",Issues!$C137)+1,20),FIND("/",MID(Issues!$C137,FIND("/",Issues!$C137)+1,20))-1))),"")))</f>
        <v/>
      </c>
      <c r="D134">
        <f>IF(OR($A134="",$B134=""),"",IF(ISNUMBER(Issues!$C137),MOD(Issues!$C137,100),IFERROR(VALUE(TRIM(MID(MID(Issues!$C137,FIND("/",Issues!$C137)+1,20),FIND("/",MID(Issues!$C137,FIND("/",Issues!$C137)+1,20))+1,20))),"")))</f>
        <v/>
      </c>
      <c r="E134">
        <f>IF($A134="","",IF(OR($B134="",$C134="",$D134="",$B134&lt;1300,$B134&gt;1500,$C134&lt;1,$C134&gt;12,$D134&lt;1,$D134&gt;31),"نامعتبر",RIGHT("0000"&amp;$B134,4)&amp;"/"&amp;RIGHT("00"&amp;$C134,2)&amp;"/"&amp;RIGHT("00"&amp;$D134,2)))</f>
        <v/>
      </c>
      <c r="F134">
        <f>IF($A134="","",IF(Issues!$D137="",0,Issues!$D137))</f>
        <v/>
      </c>
      <c r="G134">
        <f>IF($A134="","",Issues!$E137)</f>
        <v/>
      </c>
      <c r="H134">
        <f>IF($A134="","",IF(COUNTIFS(ETxnType,"پاس چک",ETxnChk,$A134)&gt;0,"پاس شده","پاس نشده"))</f>
        <v/>
      </c>
      <c r="I134">
        <f>IF($A134="","",IFERROR(INDEX(BClrDate,MATCH($A134,BClrChk,0)),""))</f>
        <v/>
      </c>
      <c r="J134">
        <f>IF($A134="","",Issues!$G137)</f>
        <v/>
      </c>
      <c r="K134">
        <f>IF(OR($E134="",$E134="نامعتبر"),"",LEFT($E134,4)&amp;MID($E134,6,2)&amp;RIGHT($E134,2)&amp;"|"&amp;RIGHT("00000"&amp;129,5))</f>
        <v/>
      </c>
      <c r="M134">
        <f>IF(Sync!$M134&lt;&gt;"پاس چک","",IF(Sync!$P134="","",Sync!$P134))</f>
        <v/>
      </c>
      <c r="N134">
        <f>IF($M134="","",IF(ISNUMBER(Sync!$L134),IF(AND(Sync!$L134&gt;=10000101,Sync!$L134&lt;=99991231),RIGHT("0000"&amp;INT(Sync!$L134/10000),4)&amp;"/"&amp;RIGHT("00"&amp;INT(MOD(Sync!$L134,10000)/100),2)&amp;"/"&amp;RIGHT("00"&amp;MOD(Sync!$L134,100),2),""),IFERROR(RIGHT("0000"&amp;VALUE(TRIM(LEFT(Sync!$L134,FIND("/",Sync!$L134)-1))),4)&amp;"/"&amp;RIGHT("00"&amp;VALUE(TRIM(LEFT(MID(Sync!$L134,FIND("/",Sync!$L134)+1,20),FIND("/",MID(Sync!$L134,FIND("/",Sync!$L134)+1,20))-1))),2)&amp;"/"&amp;RIGHT("00"&amp;VALUE(TRIM(MID(MID(Sync!$L134,FIND("/",Sync!$L134)+1,20),FIND("/",MID(Sync!$L134,FIND("/",Sync!$L134)+1,20))+1,20))),2),"")))</f>
        <v/>
      </c>
    </row>
    <row r="135">
      <c r="A135">
        <f>IF(Issues!$B138="","",Issues!$B138)</f>
        <v/>
      </c>
      <c r="B135">
        <f>IF($A135="","",IF(ISNUMBER(Issues!$C138),IF(AND(Issues!$C138&gt;=10000101,Issues!$C138&lt;=99991231),INT(Issues!$C138/10000),""),IFERROR(VALUE(TRIM(LEFT(Issues!$C138,FIND("/",Issues!$C138)-1))),"")))</f>
        <v/>
      </c>
      <c r="C135">
        <f>IF(OR($A135="",$B135=""),"",IF(ISNUMBER(Issues!$C138),INT(MOD(Issues!$C138,10000)/100),IFERROR(VALUE(TRIM(LEFT(MID(Issues!$C138,FIND("/",Issues!$C138)+1,20),FIND("/",MID(Issues!$C138,FIND("/",Issues!$C138)+1,20))-1))),"")))</f>
        <v/>
      </c>
      <c r="D135">
        <f>IF(OR($A135="",$B135=""),"",IF(ISNUMBER(Issues!$C138),MOD(Issues!$C138,100),IFERROR(VALUE(TRIM(MID(MID(Issues!$C138,FIND("/",Issues!$C138)+1,20),FIND("/",MID(Issues!$C138,FIND("/",Issues!$C138)+1,20))+1,20))),"")))</f>
        <v/>
      </c>
      <c r="E135">
        <f>IF($A135="","",IF(OR($B135="",$C135="",$D135="",$B135&lt;1300,$B135&gt;1500,$C135&lt;1,$C135&gt;12,$D135&lt;1,$D135&gt;31),"نامعتبر",RIGHT("0000"&amp;$B135,4)&amp;"/"&amp;RIGHT("00"&amp;$C135,2)&amp;"/"&amp;RIGHT("00"&amp;$D135,2)))</f>
        <v/>
      </c>
      <c r="F135">
        <f>IF($A135="","",IF(Issues!$D138="",0,Issues!$D138))</f>
        <v/>
      </c>
      <c r="G135">
        <f>IF($A135="","",Issues!$E138)</f>
        <v/>
      </c>
      <c r="H135">
        <f>IF($A135="","",IF(COUNTIFS(ETxnType,"پاس چک",ETxnChk,$A135)&gt;0,"پاس شده","پاس نشده"))</f>
        <v/>
      </c>
      <c r="I135">
        <f>IF($A135="","",IFERROR(INDEX(BClrDate,MATCH($A135,BClrChk,0)),""))</f>
        <v/>
      </c>
      <c r="J135">
        <f>IF($A135="","",Issues!$G138)</f>
        <v/>
      </c>
      <c r="K135">
        <f>IF(OR($E135="",$E135="نامعتبر"),"",LEFT($E135,4)&amp;MID($E135,6,2)&amp;RIGHT($E135,2)&amp;"|"&amp;RIGHT("00000"&amp;130,5))</f>
        <v/>
      </c>
      <c r="M135">
        <f>IF(Sync!$M135&lt;&gt;"پاس چک","",IF(Sync!$P135="","",Sync!$P135))</f>
        <v/>
      </c>
      <c r="N135">
        <f>IF($M135="","",IF(ISNUMBER(Sync!$L135),IF(AND(Sync!$L135&gt;=10000101,Sync!$L135&lt;=99991231),RIGHT("0000"&amp;INT(Sync!$L135/10000),4)&amp;"/"&amp;RIGHT("00"&amp;INT(MOD(Sync!$L135,10000)/100),2)&amp;"/"&amp;RIGHT("00"&amp;MOD(Sync!$L135,100),2),""),IFERROR(RIGHT("0000"&amp;VALUE(TRIM(LEFT(Sync!$L135,FIND("/",Sync!$L135)-1))),4)&amp;"/"&amp;RIGHT("00"&amp;VALUE(TRIM(LEFT(MID(Sync!$L135,FIND("/",Sync!$L135)+1,20),FIND("/",MID(Sync!$L135,FIND("/",Sync!$L135)+1,20))-1))),2)&amp;"/"&amp;RIGHT("00"&amp;VALUE(TRIM(MID(MID(Sync!$L135,FIND("/",Sync!$L135)+1,20),FIND("/",MID(Sync!$L135,FIND("/",Sync!$L135)+1,20))+1,20))),2),"")))</f>
        <v/>
      </c>
    </row>
    <row r="136">
      <c r="A136">
        <f>IF(Issues!$B139="","",Issues!$B139)</f>
        <v/>
      </c>
      <c r="B136">
        <f>IF($A136="","",IF(ISNUMBER(Issues!$C139),IF(AND(Issues!$C139&gt;=10000101,Issues!$C139&lt;=99991231),INT(Issues!$C139/10000),""),IFERROR(VALUE(TRIM(LEFT(Issues!$C139,FIND("/",Issues!$C139)-1))),"")))</f>
        <v/>
      </c>
      <c r="C136">
        <f>IF(OR($A136="",$B136=""),"",IF(ISNUMBER(Issues!$C139),INT(MOD(Issues!$C139,10000)/100),IFERROR(VALUE(TRIM(LEFT(MID(Issues!$C139,FIND("/",Issues!$C139)+1,20),FIND("/",MID(Issues!$C139,FIND("/",Issues!$C139)+1,20))-1))),"")))</f>
        <v/>
      </c>
      <c r="D136">
        <f>IF(OR($A136="",$B136=""),"",IF(ISNUMBER(Issues!$C139),MOD(Issues!$C139,100),IFERROR(VALUE(TRIM(MID(MID(Issues!$C139,FIND("/",Issues!$C139)+1,20),FIND("/",MID(Issues!$C139,FIND("/",Issues!$C139)+1,20))+1,20))),"")))</f>
        <v/>
      </c>
      <c r="E136">
        <f>IF($A136="","",IF(OR($B136="",$C136="",$D136="",$B136&lt;1300,$B136&gt;1500,$C136&lt;1,$C136&gt;12,$D136&lt;1,$D136&gt;31),"نامعتبر",RIGHT("0000"&amp;$B136,4)&amp;"/"&amp;RIGHT("00"&amp;$C136,2)&amp;"/"&amp;RIGHT("00"&amp;$D136,2)))</f>
        <v/>
      </c>
      <c r="F136">
        <f>IF($A136="","",IF(Issues!$D139="",0,Issues!$D139))</f>
        <v/>
      </c>
      <c r="G136">
        <f>IF($A136="","",Issues!$E139)</f>
        <v/>
      </c>
      <c r="H136">
        <f>IF($A136="","",IF(COUNTIFS(ETxnType,"پاس چک",ETxnChk,$A136)&gt;0,"پاس شده","پاس نشده"))</f>
        <v/>
      </c>
      <c r="I136">
        <f>IF($A136="","",IFERROR(INDEX(BClrDate,MATCH($A136,BClrChk,0)),""))</f>
        <v/>
      </c>
      <c r="J136">
        <f>IF($A136="","",Issues!$G139)</f>
        <v/>
      </c>
      <c r="K136">
        <f>IF(OR($E136="",$E136="نامعتبر"),"",LEFT($E136,4)&amp;MID($E136,6,2)&amp;RIGHT($E136,2)&amp;"|"&amp;RIGHT("00000"&amp;131,5))</f>
        <v/>
      </c>
      <c r="M136">
        <f>IF(Sync!$M136&lt;&gt;"پاس چک","",IF(Sync!$P136="","",Sync!$P136))</f>
        <v/>
      </c>
      <c r="N136">
        <f>IF($M136="","",IF(ISNUMBER(Sync!$L136),IF(AND(Sync!$L136&gt;=10000101,Sync!$L136&lt;=99991231),RIGHT("0000"&amp;INT(Sync!$L136/10000),4)&amp;"/"&amp;RIGHT("00"&amp;INT(MOD(Sync!$L136,10000)/100),2)&amp;"/"&amp;RIGHT("00"&amp;MOD(Sync!$L136,100),2),""),IFERROR(RIGHT("0000"&amp;VALUE(TRIM(LEFT(Sync!$L136,FIND("/",Sync!$L136)-1))),4)&amp;"/"&amp;RIGHT("00"&amp;VALUE(TRIM(LEFT(MID(Sync!$L136,FIND("/",Sync!$L136)+1,20),FIND("/",MID(Sync!$L136,FIND("/",Sync!$L136)+1,20))-1))),2)&amp;"/"&amp;RIGHT("00"&amp;VALUE(TRIM(MID(MID(Sync!$L136,FIND("/",Sync!$L136)+1,20),FIND("/",MID(Sync!$L136,FIND("/",Sync!$L136)+1,20))+1,20))),2),"")))</f>
        <v/>
      </c>
    </row>
    <row r="137">
      <c r="A137">
        <f>IF(Issues!$B140="","",Issues!$B140)</f>
        <v/>
      </c>
      <c r="B137">
        <f>IF($A137="","",IF(ISNUMBER(Issues!$C140),IF(AND(Issues!$C140&gt;=10000101,Issues!$C140&lt;=99991231),INT(Issues!$C140/10000),""),IFERROR(VALUE(TRIM(LEFT(Issues!$C140,FIND("/",Issues!$C140)-1))),"")))</f>
        <v/>
      </c>
      <c r="C137">
        <f>IF(OR($A137="",$B137=""),"",IF(ISNUMBER(Issues!$C140),INT(MOD(Issues!$C140,10000)/100),IFERROR(VALUE(TRIM(LEFT(MID(Issues!$C140,FIND("/",Issues!$C140)+1,20),FIND("/",MID(Issues!$C140,FIND("/",Issues!$C140)+1,20))-1))),"")))</f>
        <v/>
      </c>
      <c r="D137">
        <f>IF(OR($A137="",$B137=""),"",IF(ISNUMBER(Issues!$C140),MOD(Issues!$C140,100),IFERROR(VALUE(TRIM(MID(MID(Issues!$C140,FIND("/",Issues!$C140)+1,20),FIND("/",MID(Issues!$C140,FIND("/",Issues!$C140)+1,20))+1,20))),"")))</f>
        <v/>
      </c>
      <c r="E137">
        <f>IF($A137="","",IF(OR($B137="",$C137="",$D137="",$B137&lt;1300,$B137&gt;1500,$C137&lt;1,$C137&gt;12,$D137&lt;1,$D137&gt;31),"نامعتبر",RIGHT("0000"&amp;$B137,4)&amp;"/"&amp;RIGHT("00"&amp;$C137,2)&amp;"/"&amp;RIGHT("00"&amp;$D137,2)))</f>
        <v/>
      </c>
      <c r="F137">
        <f>IF($A137="","",IF(Issues!$D140="",0,Issues!$D140))</f>
        <v/>
      </c>
      <c r="G137">
        <f>IF($A137="","",Issues!$E140)</f>
        <v/>
      </c>
      <c r="H137">
        <f>IF($A137="","",IF(COUNTIFS(ETxnType,"پاس چک",ETxnChk,$A137)&gt;0,"پاس شده","پاس نشده"))</f>
        <v/>
      </c>
      <c r="I137">
        <f>IF($A137="","",IFERROR(INDEX(BClrDate,MATCH($A137,BClrChk,0)),""))</f>
        <v/>
      </c>
      <c r="J137">
        <f>IF($A137="","",Issues!$G140)</f>
        <v/>
      </c>
      <c r="K137">
        <f>IF(OR($E137="",$E137="نامعتبر"),"",LEFT($E137,4)&amp;MID($E137,6,2)&amp;RIGHT($E137,2)&amp;"|"&amp;RIGHT("00000"&amp;132,5))</f>
        <v/>
      </c>
      <c r="M137">
        <f>IF(Sync!$M137&lt;&gt;"پاس چک","",IF(Sync!$P137="","",Sync!$P137))</f>
        <v/>
      </c>
      <c r="N137">
        <f>IF($M137="","",IF(ISNUMBER(Sync!$L137),IF(AND(Sync!$L137&gt;=10000101,Sync!$L137&lt;=99991231),RIGHT("0000"&amp;INT(Sync!$L137/10000),4)&amp;"/"&amp;RIGHT("00"&amp;INT(MOD(Sync!$L137,10000)/100),2)&amp;"/"&amp;RIGHT("00"&amp;MOD(Sync!$L137,100),2),""),IFERROR(RIGHT("0000"&amp;VALUE(TRIM(LEFT(Sync!$L137,FIND("/",Sync!$L137)-1))),4)&amp;"/"&amp;RIGHT("00"&amp;VALUE(TRIM(LEFT(MID(Sync!$L137,FIND("/",Sync!$L137)+1,20),FIND("/",MID(Sync!$L137,FIND("/",Sync!$L137)+1,20))-1))),2)&amp;"/"&amp;RIGHT("00"&amp;VALUE(TRIM(MID(MID(Sync!$L137,FIND("/",Sync!$L137)+1,20),FIND("/",MID(Sync!$L137,FIND("/",Sync!$L137)+1,20))+1,20))),2),"")))</f>
        <v/>
      </c>
    </row>
    <row r="138">
      <c r="A138">
        <f>IF(Issues!$B141="","",Issues!$B141)</f>
        <v/>
      </c>
      <c r="B138">
        <f>IF($A138="","",IF(ISNUMBER(Issues!$C141),IF(AND(Issues!$C141&gt;=10000101,Issues!$C141&lt;=99991231),INT(Issues!$C141/10000),""),IFERROR(VALUE(TRIM(LEFT(Issues!$C141,FIND("/",Issues!$C141)-1))),"")))</f>
        <v/>
      </c>
      <c r="C138">
        <f>IF(OR($A138="",$B138=""),"",IF(ISNUMBER(Issues!$C141),INT(MOD(Issues!$C141,10000)/100),IFERROR(VALUE(TRIM(LEFT(MID(Issues!$C141,FIND("/",Issues!$C141)+1,20),FIND("/",MID(Issues!$C141,FIND("/",Issues!$C141)+1,20))-1))),"")))</f>
        <v/>
      </c>
      <c r="D138">
        <f>IF(OR($A138="",$B138=""),"",IF(ISNUMBER(Issues!$C141),MOD(Issues!$C141,100),IFERROR(VALUE(TRIM(MID(MID(Issues!$C141,FIND("/",Issues!$C141)+1,20),FIND("/",MID(Issues!$C141,FIND("/",Issues!$C141)+1,20))+1,20))),"")))</f>
        <v/>
      </c>
      <c r="E138">
        <f>IF($A138="","",IF(OR($B138="",$C138="",$D138="",$B138&lt;1300,$B138&gt;1500,$C138&lt;1,$C138&gt;12,$D138&lt;1,$D138&gt;31),"نامعتبر",RIGHT("0000"&amp;$B138,4)&amp;"/"&amp;RIGHT("00"&amp;$C138,2)&amp;"/"&amp;RIGHT("00"&amp;$D138,2)))</f>
        <v/>
      </c>
      <c r="F138">
        <f>IF($A138="","",IF(Issues!$D141="",0,Issues!$D141))</f>
        <v/>
      </c>
      <c r="G138">
        <f>IF($A138="","",Issues!$E141)</f>
        <v/>
      </c>
      <c r="H138">
        <f>IF($A138="","",IF(COUNTIFS(ETxnType,"پاس چک",ETxnChk,$A138)&gt;0,"پاس شده","پاس نشده"))</f>
        <v/>
      </c>
      <c r="I138">
        <f>IF($A138="","",IFERROR(INDEX(BClrDate,MATCH($A138,BClrChk,0)),""))</f>
        <v/>
      </c>
      <c r="J138">
        <f>IF($A138="","",Issues!$G141)</f>
        <v/>
      </c>
      <c r="K138">
        <f>IF(OR($E138="",$E138="نامعتبر"),"",LEFT($E138,4)&amp;MID($E138,6,2)&amp;RIGHT($E138,2)&amp;"|"&amp;RIGHT("00000"&amp;133,5))</f>
        <v/>
      </c>
      <c r="M138">
        <f>IF(Sync!$M138&lt;&gt;"پاس چک","",IF(Sync!$P138="","",Sync!$P138))</f>
        <v/>
      </c>
      <c r="N138">
        <f>IF($M138="","",IF(ISNUMBER(Sync!$L138),IF(AND(Sync!$L138&gt;=10000101,Sync!$L138&lt;=99991231),RIGHT("0000"&amp;INT(Sync!$L138/10000),4)&amp;"/"&amp;RIGHT("00"&amp;INT(MOD(Sync!$L138,10000)/100),2)&amp;"/"&amp;RIGHT("00"&amp;MOD(Sync!$L138,100),2),""),IFERROR(RIGHT("0000"&amp;VALUE(TRIM(LEFT(Sync!$L138,FIND("/",Sync!$L138)-1))),4)&amp;"/"&amp;RIGHT("00"&amp;VALUE(TRIM(LEFT(MID(Sync!$L138,FIND("/",Sync!$L138)+1,20),FIND("/",MID(Sync!$L138,FIND("/",Sync!$L138)+1,20))-1))),2)&amp;"/"&amp;RIGHT("00"&amp;VALUE(TRIM(MID(MID(Sync!$L138,FIND("/",Sync!$L138)+1,20),FIND("/",MID(Sync!$L138,FIND("/",Sync!$L138)+1,20))+1,20))),2),"")))</f>
        <v/>
      </c>
    </row>
    <row r="139">
      <c r="A139">
        <f>IF(Issues!$B142="","",Issues!$B142)</f>
        <v/>
      </c>
      <c r="B139">
        <f>IF($A139="","",IF(ISNUMBER(Issues!$C142),IF(AND(Issues!$C142&gt;=10000101,Issues!$C142&lt;=99991231),INT(Issues!$C142/10000),""),IFERROR(VALUE(TRIM(LEFT(Issues!$C142,FIND("/",Issues!$C142)-1))),"")))</f>
        <v/>
      </c>
      <c r="C139">
        <f>IF(OR($A139="",$B139=""),"",IF(ISNUMBER(Issues!$C142),INT(MOD(Issues!$C142,10000)/100),IFERROR(VALUE(TRIM(LEFT(MID(Issues!$C142,FIND("/",Issues!$C142)+1,20),FIND("/",MID(Issues!$C142,FIND("/",Issues!$C142)+1,20))-1))),"")))</f>
        <v/>
      </c>
      <c r="D139">
        <f>IF(OR($A139="",$B139=""),"",IF(ISNUMBER(Issues!$C142),MOD(Issues!$C142,100),IFERROR(VALUE(TRIM(MID(MID(Issues!$C142,FIND("/",Issues!$C142)+1,20),FIND("/",MID(Issues!$C142,FIND("/",Issues!$C142)+1,20))+1,20))),"")))</f>
        <v/>
      </c>
      <c r="E139">
        <f>IF($A139="","",IF(OR($B139="",$C139="",$D139="",$B139&lt;1300,$B139&gt;1500,$C139&lt;1,$C139&gt;12,$D139&lt;1,$D139&gt;31),"نامعتبر",RIGHT("0000"&amp;$B139,4)&amp;"/"&amp;RIGHT("00"&amp;$C139,2)&amp;"/"&amp;RIGHT("00"&amp;$D139,2)))</f>
        <v/>
      </c>
      <c r="F139">
        <f>IF($A139="","",IF(Issues!$D142="",0,Issues!$D142))</f>
        <v/>
      </c>
      <c r="G139">
        <f>IF($A139="","",Issues!$E142)</f>
        <v/>
      </c>
      <c r="H139">
        <f>IF($A139="","",IF(COUNTIFS(ETxnType,"پاس چک",ETxnChk,$A139)&gt;0,"پاس شده","پاس نشده"))</f>
        <v/>
      </c>
      <c r="I139">
        <f>IF($A139="","",IFERROR(INDEX(BClrDate,MATCH($A139,BClrChk,0)),""))</f>
        <v/>
      </c>
      <c r="J139">
        <f>IF($A139="","",Issues!$G142)</f>
        <v/>
      </c>
      <c r="K139">
        <f>IF(OR($E139="",$E139="نامعتبر"),"",LEFT($E139,4)&amp;MID($E139,6,2)&amp;RIGHT($E139,2)&amp;"|"&amp;RIGHT("00000"&amp;134,5))</f>
        <v/>
      </c>
      <c r="M139">
        <f>IF(Sync!$M139&lt;&gt;"پاس چک","",IF(Sync!$P139="","",Sync!$P139))</f>
        <v/>
      </c>
      <c r="N139">
        <f>IF($M139="","",IF(ISNUMBER(Sync!$L139),IF(AND(Sync!$L139&gt;=10000101,Sync!$L139&lt;=99991231),RIGHT("0000"&amp;INT(Sync!$L139/10000),4)&amp;"/"&amp;RIGHT("00"&amp;INT(MOD(Sync!$L139,10000)/100),2)&amp;"/"&amp;RIGHT("00"&amp;MOD(Sync!$L139,100),2),""),IFERROR(RIGHT("0000"&amp;VALUE(TRIM(LEFT(Sync!$L139,FIND("/",Sync!$L139)-1))),4)&amp;"/"&amp;RIGHT("00"&amp;VALUE(TRIM(LEFT(MID(Sync!$L139,FIND("/",Sync!$L139)+1,20),FIND("/",MID(Sync!$L139,FIND("/",Sync!$L139)+1,20))-1))),2)&amp;"/"&amp;RIGHT("00"&amp;VALUE(TRIM(MID(MID(Sync!$L139,FIND("/",Sync!$L139)+1,20),FIND("/",MID(Sync!$L139,FIND("/",Sync!$L139)+1,20))+1,20))),2),"")))</f>
        <v/>
      </c>
    </row>
    <row r="140">
      <c r="A140">
        <f>IF(Issues!$B143="","",Issues!$B143)</f>
        <v/>
      </c>
      <c r="B140">
        <f>IF($A140="","",IF(ISNUMBER(Issues!$C143),IF(AND(Issues!$C143&gt;=10000101,Issues!$C143&lt;=99991231),INT(Issues!$C143/10000),""),IFERROR(VALUE(TRIM(LEFT(Issues!$C143,FIND("/",Issues!$C143)-1))),"")))</f>
        <v/>
      </c>
      <c r="C140">
        <f>IF(OR($A140="",$B140=""),"",IF(ISNUMBER(Issues!$C143),INT(MOD(Issues!$C143,10000)/100),IFERROR(VALUE(TRIM(LEFT(MID(Issues!$C143,FIND("/",Issues!$C143)+1,20),FIND("/",MID(Issues!$C143,FIND("/",Issues!$C143)+1,20))-1))),"")))</f>
        <v/>
      </c>
      <c r="D140">
        <f>IF(OR($A140="",$B140=""),"",IF(ISNUMBER(Issues!$C143),MOD(Issues!$C143,100),IFERROR(VALUE(TRIM(MID(MID(Issues!$C143,FIND("/",Issues!$C143)+1,20),FIND("/",MID(Issues!$C143,FIND("/",Issues!$C143)+1,20))+1,20))),"")))</f>
        <v/>
      </c>
      <c r="E140">
        <f>IF($A140="","",IF(OR($B140="",$C140="",$D140="",$B140&lt;1300,$B140&gt;1500,$C140&lt;1,$C140&gt;12,$D140&lt;1,$D140&gt;31),"نامعتبر",RIGHT("0000"&amp;$B140,4)&amp;"/"&amp;RIGHT("00"&amp;$C140,2)&amp;"/"&amp;RIGHT("00"&amp;$D140,2)))</f>
        <v/>
      </c>
      <c r="F140">
        <f>IF($A140="","",IF(Issues!$D143="",0,Issues!$D143))</f>
        <v/>
      </c>
      <c r="G140">
        <f>IF($A140="","",Issues!$E143)</f>
        <v/>
      </c>
      <c r="H140">
        <f>IF($A140="","",IF(COUNTIFS(ETxnType,"پاس چک",ETxnChk,$A140)&gt;0,"پاس شده","پاس نشده"))</f>
        <v/>
      </c>
      <c r="I140">
        <f>IF($A140="","",IFERROR(INDEX(BClrDate,MATCH($A140,BClrChk,0)),""))</f>
        <v/>
      </c>
      <c r="J140">
        <f>IF($A140="","",Issues!$G143)</f>
        <v/>
      </c>
      <c r="K140">
        <f>IF(OR($E140="",$E140="نامعتبر"),"",LEFT($E140,4)&amp;MID($E140,6,2)&amp;RIGHT($E140,2)&amp;"|"&amp;RIGHT("00000"&amp;135,5))</f>
        <v/>
      </c>
      <c r="M140">
        <f>IF(Sync!$M140&lt;&gt;"پاس چک","",IF(Sync!$P140="","",Sync!$P140))</f>
        <v/>
      </c>
      <c r="N140">
        <f>IF($M140="","",IF(ISNUMBER(Sync!$L140),IF(AND(Sync!$L140&gt;=10000101,Sync!$L140&lt;=99991231),RIGHT("0000"&amp;INT(Sync!$L140/10000),4)&amp;"/"&amp;RIGHT("00"&amp;INT(MOD(Sync!$L140,10000)/100),2)&amp;"/"&amp;RIGHT("00"&amp;MOD(Sync!$L140,100),2),""),IFERROR(RIGHT("0000"&amp;VALUE(TRIM(LEFT(Sync!$L140,FIND("/",Sync!$L140)-1))),4)&amp;"/"&amp;RIGHT("00"&amp;VALUE(TRIM(LEFT(MID(Sync!$L140,FIND("/",Sync!$L140)+1,20),FIND("/",MID(Sync!$L140,FIND("/",Sync!$L140)+1,20))-1))),2)&amp;"/"&amp;RIGHT("00"&amp;VALUE(TRIM(MID(MID(Sync!$L140,FIND("/",Sync!$L140)+1,20),FIND("/",MID(Sync!$L140,FIND("/",Sync!$L140)+1,20))+1,20))),2),"")))</f>
        <v/>
      </c>
    </row>
    <row r="141">
      <c r="A141">
        <f>IF(Issues!$B144="","",Issues!$B144)</f>
        <v/>
      </c>
      <c r="B141">
        <f>IF($A141="","",IF(ISNUMBER(Issues!$C144),IF(AND(Issues!$C144&gt;=10000101,Issues!$C144&lt;=99991231),INT(Issues!$C144/10000),""),IFERROR(VALUE(TRIM(LEFT(Issues!$C144,FIND("/",Issues!$C144)-1))),"")))</f>
        <v/>
      </c>
      <c r="C141">
        <f>IF(OR($A141="",$B141=""),"",IF(ISNUMBER(Issues!$C144),INT(MOD(Issues!$C144,10000)/100),IFERROR(VALUE(TRIM(LEFT(MID(Issues!$C144,FIND("/",Issues!$C144)+1,20),FIND("/",MID(Issues!$C144,FIND("/",Issues!$C144)+1,20))-1))),"")))</f>
        <v/>
      </c>
      <c r="D141">
        <f>IF(OR($A141="",$B141=""),"",IF(ISNUMBER(Issues!$C144),MOD(Issues!$C144,100),IFERROR(VALUE(TRIM(MID(MID(Issues!$C144,FIND("/",Issues!$C144)+1,20),FIND("/",MID(Issues!$C144,FIND("/",Issues!$C144)+1,20))+1,20))),"")))</f>
        <v/>
      </c>
      <c r="E141">
        <f>IF($A141="","",IF(OR($B141="",$C141="",$D141="",$B141&lt;1300,$B141&gt;1500,$C141&lt;1,$C141&gt;12,$D141&lt;1,$D141&gt;31),"نامعتبر",RIGHT("0000"&amp;$B141,4)&amp;"/"&amp;RIGHT("00"&amp;$C141,2)&amp;"/"&amp;RIGHT("00"&amp;$D141,2)))</f>
        <v/>
      </c>
      <c r="F141">
        <f>IF($A141="","",IF(Issues!$D144="",0,Issues!$D144))</f>
        <v/>
      </c>
      <c r="G141">
        <f>IF($A141="","",Issues!$E144)</f>
        <v/>
      </c>
      <c r="H141">
        <f>IF($A141="","",IF(COUNTIFS(ETxnType,"پاس چک",ETxnChk,$A141)&gt;0,"پاس شده","پاس نشده"))</f>
        <v/>
      </c>
      <c r="I141">
        <f>IF($A141="","",IFERROR(INDEX(BClrDate,MATCH($A141,BClrChk,0)),""))</f>
        <v/>
      </c>
      <c r="J141">
        <f>IF($A141="","",Issues!$G144)</f>
        <v/>
      </c>
      <c r="K141">
        <f>IF(OR($E141="",$E141="نامعتبر"),"",LEFT($E141,4)&amp;MID($E141,6,2)&amp;RIGHT($E141,2)&amp;"|"&amp;RIGHT("00000"&amp;136,5))</f>
        <v/>
      </c>
      <c r="M141">
        <f>IF(Sync!$M141&lt;&gt;"پاس چک","",IF(Sync!$P141="","",Sync!$P141))</f>
        <v/>
      </c>
      <c r="N141">
        <f>IF($M141="","",IF(ISNUMBER(Sync!$L141),IF(AND(Sync!$L141&gt;=10000101,Sync!$L141&lt;=99991231),RIGHT("0000"&amp;INT(Sync!$L141/10000),4)&amp;"/"&amp;RIGHT("00"&amp;INT(MOD(Sync!$L141,10000)/100),2)&amp;"/"&amp;RIGHT("00"&amp;MOD(Sync!$L141,100),2),""),IFERROR(RIGHT("0000"&amp;VALUE(TRIM(LEFT(Sync!$L141,FIND("/",Sync!$L141)-1))),4)&amp;"/"&amp;RIGHT("00"&amp;VALUE(TRIM(LEFT(MID(Sync!$L141,FIND("/",Sync!$L141)+1,20),FIND("/",MID(Sync!$L141,FIND("/",Sync!$L141)+1,20))-1))),2)&amp;"/"&amp;RIGHT("00"&amp;VALUE(TRIM(MID(MID(Sync!$L141,FIND("/",Sync!$L141)+1,20),FIND("/",MID(Sync!$L141,FIND("/",Sync!$L141)+1,20))+1,20))),2),"")))</f>
        <v/>
      </c>
    </row>
    <row r="142">
      <c r="A142">
        <f>IF(Issues!$B145="","",Issues!$B145)</f>
        <v/>
      </c>
      <c r="B142">
        <f>IF($A142="","",IF(ISNUMBER(Issues!$C145),IF(AND(Issues!$C145&gt;=10000101,Issues!$C145&lt;=99991231),INT(Issues!$C145/10000),""),IFERROR(VALUE(TRIM(LEFT(Issues!$C145,FIND("/",Issues!$C145)-1))),"")))</f>
        <v/>
      </c>
      <c r="C142">
        <f>IF(OR($A142="",$B142=""),"",IF(ISNUMBER(Issues!$C145),INT(MOD(Issues!$C145,10000)/100),IFERROR(VALUE(TRIM(LEFT(MID(Issues!$C145,FIND("/",Issues!$C145)+1,20),FIND("/",MID(Issues!$C145,FIND("/",Issues!$C145)+1,20))-1))),"")))</f>
        <v/>
      </c>
      <c r="D142">
        <f>IF(OR($A142="",$B142=""),"",IF(ISNUMBER(Issues!$C145),MOD(Issues!$C145,100),IFERROR(VALUE(TRIM(MID(MID(Issues!$C145,FIND("/",Issues!$C145)+1,20),FIND("/",MID(Issues!$C145,FIND("/",Issues!$C145)+1,20))+1,20))),"")))</f>
        <v/>
      </c>
      <c r="E142">
        <f>IF($A142="","",IF(OR($B142="",$C142="",$D142="",$B142&lt;1300,$B142&gt;1500,$C142&lt;1,$C142&gt;12,$D142&lt;1,$D142&gt;31),"نامعتبر",RIGHT("0000"&amp;$B142,4)&amp;"/"&amp;RIGHT("00"&amp;$C142,2)&amp;"/"&amp;RIGHT("00"&amp;$D142,2)))</f>
        <v/>
      </c>
      <c r="F142">
        <f>IF($A142="","",IF(Issues!$D145="",0,Issues!$D145))</f>
        <v/>
      </c>
      <c r="G142">
        <f>IF($A142="","",Issues!$E145)</f>
        <v/>
      </c>
      <c r="H142">
        <f>IF($A142="","",IF(COUNTIFS(ETxnType,"پاس چک",ETxnChk,$A142)&gt;0,"پاس شده","پاس نشده"))</f>
        <v/>
      </c>
      <c r="I142">
        <f>IF($A142="","",IFERROR(INDEX(BClrDate,MATCH($A142,BClrChk,0)),""))</f>
        <v/>
      </c>
      <c r="J142">
        <f>IF($A142="","",Issues!$G145)</f>
        <v/>
      </c>
      <c r="K142">
        <f>IF(OR($E142="",$E142="نامعتبر"),"",LEFT($E142,4)&amp;MID($E142,6,2)&amp;RIGHT($E142,2)&amp;"|"&amp;RIGHT("00000"&amp;137,5))</f>
        <v/>
      </c>
      <c r="M142">
        <f>IF(Sync!$M142&lt;&gt;"پاس چک","",IF(Sync!$P142="","",Sync!$P142))</f>
        <v/>
      </c>
      <c r="N142">
        <f>IF($M142="","",IF(ISNUMBER(Sync!$L142),IF(AND(Sync!$L142&gt;=10000101,Sync!$L142&lt;=99991231),RIGHT("0000"&amp;INT(Sync!$L142/10000),4)&amp;"/"&amp;RIGHT("00"&amp;INT(MOD(Sync!$L142,10000)/100),2)&amp;"/"&amp;RIGHT("00"&amp;MOD(Sync!$L142,100),2),""),IFERROR(RIGHT("0000"&amp;VALUE(TRIM(LEFT(Sync!$L142,FIND("/",Sync!$L142)-1))),4)&amp;"/"&amp;RIGHT("00"&amp;VALUE(TRIM(LEFT(MID(Sync!$L142,FIND("/",Sync!$L142)+1,20),FIND("/",MID(Sync!$L142,FIND("/",Sync!$L142)+1,20))-1))),2)&amp;"/"&amp;RIGHT("00"&amp;VALUE(TRIM(MID(MID(Sync!$L142,FIND("/",Sync!$L142)+1,20),FIND("/",MID(Sync!$L142,FIND("/",Sync!$L142)+1,20))+1,20))),2),"")))</f>
        <v/>
      </c>
    </row>
    <row r="143">
      <c r="A143">
        <f>IF(Issues!$B146="","",Issues!$B146)</f>
        <v/>
      </c>
      <c r="B143">
        <f>IF($A143="","",IF(ISNUMBER(Issues!$C146),IF(AND(Issues!$C146&gt;=10000101,Issues!$C146&lt;=99991231),INT(Issues!$C146/10000),""),IFERROR(VALUE(TRIM(LEFT(Issues!$C146,FIND("/",Issues!$C146)-1))),"")))</f>
        <v/>
      </c>
      <c r="C143">
        <f>IF(OR($A143="",$B143=""),"",IF(ISNUMBER(Issues!$C146),INT(MOD(Issues!$C146,10000)/100),IFERROR(VALUE(TRIM(LEFT(MID(Issues!$C146,FIND("/",Issues!$C146)+1,20),FIND("/",MID(Issues!$C146,FIND("/",Issues!$C146)+1,20))-1))),"")))</f>
        <v/>
      </c>
      <c r="D143">
        <f>IF(OR($A143="",$B143=""),"",IF(ISNUMBER(Issues!$C146),MOD(Issues!$C146,100),IFERROR(VALUE(TRIM(MID(MID(Issues!$C146,FIND("/",Issues!$C146)+1,20),FIND("/",MID(Issues!$C146,FIND("/",Issues!$C146)+1,20))+1,20))),"")))</f>
        <v/>
      </c>
      <c r="E143">
        <f>IF($A143="","",IF(OR($B143="",$C143="",$D143="",$B143&lt;1300,$B143&gt;1500,$C143&lt;1,$C143&gt;12,$D143&lt;1,$D143&gt;31),"نامعتبر",RIGHT("0000"&amp;$B143,4)&amp;"/"&amp;RIGHT("00"&amp;$C143,2)&amp;"/"&amp;RIGHT("00"&amp;$D143,2)))</f>
        <v/>
      </c>
      <c r="F143">
        <f>IF($A143="","",IF(Issues!$D146="",0,Issues!$D146))</f>
        <v/>
      </c>
      <c r="G143">
        <f>IF($A143="","",Issues!$E146)</f>
        <v/>
      </c>
      <c r="H143">
        <f>IF($A143="","",IF(COUNTIFS(ETxnType,"پاس چک",ETxnChk,$A143)&gt;0,"پاس شده","پاس نشده"))</f>
        <v/>
      </c>
      <c r="I143">
        <f>IF($A143="","",IFERROR(INDEX(BClrDate,MATCH($A143,BClrChk,0)),""))</f>
        <v/>
      </c>
      <c r="J143">
        <f>IF($A143="","",Issues!$G146)</f>
        <v/>
      </c>
      <c r="K143">
        <f>IF(OR($E143="",$E143="نامعتبر"),"",LEFT($E143,4)&amp;MID($E143,6,2)&amp;RIGHT($E143,2)&amp;"|"&amp;RIGHT("00000"&amp;138,5))</f>
        <v/>
      </c>
      <c r="M143">
        <f>IF(Sync!$M143&lt;&gt;"پاس چک","",IF(Sync!$P143="","",Sync!$P143))</f>
        <v/>
      </c>
      <c r="N143">
        <f>IF($M143="","",IF(ISNUMBER(Sync!$L143),IF(AND(Sync!$L143&gt;=10000101,Sync!$L143&lt;=99991231),RIGHT("0000"&amp;INT(Sync!$L143/10000),4)&amp;"/"&amp;RIGHT("00"&amp;INT(MOD(Sync!$L143,10000)/100),2)&amp;"/"&amp;RIGHT("00"&amp;MOD(Sync!$L143,100),2),""),IFERROR(RIGHT("0000"&amp;VALUE(TRIM(LEFT(Sync!$L143,FIND("/",Sync!$L143)-1))),4)&amp;"/"&amp;RIGHT("00"&amp;VALUE(TRIM(LEFT(MID(Sync!$L143,FIND("/",Sync!$L143)+1,20),FIND("/",MID(Sync!$L143,FIND("/",Sync!$L143)+1,20))-1))),2)&amp;"/"&amp;RIGHT("00"&amp;VALUE(TRIM(MID(MID(Sync!$L143,FIND("/",Sync!$L143)+1,20),FIND("/",MID(Sync!$L143,FIND("/",Sync!$L143)+1,20))+1,20))),2),"")))</f>
        <v/>
      </c>
    </row>
    <row r="144">
      <c r="A144">
        <f>IF(Issues!$B147="","",Issues!$B147)</f>
        <v/>
      </c>
      <c r="B144">
        <f>IF($A144="","",IF(ISNUMBER(Issues!$C147),IF(AND(Issues!$C147&gt;=10000101,Issues!$C147&lt;=99991231),INT(Issues!$C147/10000),""),IFERROR(VALUE(TRIM(LEFT(Issues!$C147,FIND("/",Issues!$C147)-1))),"")))</f>
        <v/>
      </c>
      <c r="C144">
        <f>IF(OR($A144="",$B144=""),"",IF(ISNUMBER(Issues!$C147),INT(MOD(Issues!$C147,10000)/100),IFERROR(VALUE(TRIM(LEFT(MID(Issues!$C147,FIND("/",Issues!$C147)+1,20),FIND("/",MID(Issues!$C147,FIND("/",Issues!$C147)+1,20))-1))),"")))</f>
        <v/>
      </c>
      <c r="D144">
        <f>IF(OR($A144="",$B144=""),"",IF(ISNUMBER(Issues!$C147),MOD(Issues!$C147,100),IFERROR(VALUE(TRIM(MID(MID(Issues!$C147,FIND("/",Issues!$C147)+1,20),FIND("/",MID(Issues!$C147,FIND("/",Issues!$C147)+1,20))+1,20))),"")))</f>
        <v/>
      </c>
      <c r="E144">
        <f>IF($A144="","",IF(OR($B144="",$C144="",$D144="",$B144&lt;1300,$B144&gt;1500,$C144&lt;1,$C144&gt;12,$D144&lt;1,$D144&gt;31),"نامعتبر",RIGHT("0000"&amp;$B144,4)&amp;"/"&amp;RIGHT("00"&amp;$C144,2)&amp;"/"&amp;RIGHT("00"&amp;$D144,2)))</f>
        <v/>
      </c>
      <c r="F144">
        <f>IF($A144="","",IF(Issues!$D147="",0,Issues!$D147))</f>
        <v/>
      </c>
      <c r="G144">
        <f>IF($A144="","",Issues!$E147)</f>
        <v/>
      </c>
      <c r="H144">
        <f>IF($A144="","",IF(COUNTIFS(ETxnType,"پاس چک",ETxnChk,$A144)&gt;0,"پاس شده","پاس نشده"))</f>
        <v/>
      </c>
      <c r="I144">
        <f>IF($A144="","",IFERROR(INDEX(BClrDate,MATCH($A144,BClrChk,0)),""))</f>
        <v/>
      </c>
      <c r="J144">
        <f>IF($A144="","",Issues!$G147)</f>
        <v/>
      </c>
      <c r="K144">
        <f>IF(OR($E144="",$E144="نامعتبر"),"",LEFT($E144,4)&amp;MID($E144,6,2)&amp;RIGHT($E144,2)&amp;"|"&amp;RIGHT("00000"&amp;139,5))</f>
        <v/>
      </c>
      <c r="M144">
        <f>IF(Sync!$M144&lt;&gt;"پاس چک","",IF(Sync!$P144="","",Sync!$P144))</f>
        <v/>
      </c>
      <c r="N144">
        <f>IF($M144="","",IF(ISNUMBER(Sync!$L144),IF(AND(Sync!$L144&gt;=10000101,Sync!$L144&lt;=99991231),RIGHT("0000"&amp;INT(Sync!$L144/10000),4)&amp;"/"&amp;RIGHT("00"&amp;INT(MOD(Sync!$L144,10000)/100),2)&amp;"/"&amp;RIGHT("00"&amp;MOD(Sync!$L144,100),2),""),IFERROR(RIGHT("0000"&amp;VALUE(TRIM(LEFT(Sync!$L144,FIND("/",Sync!$L144)-1))),4)&amp;"/"&amp;RIGHT("00"&amp;VALUE(TRIM(LEFT(MID(Sync!$L144,FIND("/",Sync!$L144)+1,20),FIND("/",MID(Sync!$L144,FIND("/",Sync!$L144)+1,20))-1))),2)&amp;"/"&amp;RIGHT("00"&amp;VALUE(TRIM(MID(MID(Sync!$L144,FIND("/",Sync!$L144)+1,20),FIND("/",MID(Sync!$L144,FIND("/",Sync!$L144)+1,20))+1,20))),2),"")))</f>
        <v/>
      </c>
    </row>
    <row r="145">
      <c r="A145">
        <f>IF(Issues!$B148="","",Issues!$B148)</f>
        <v/>
      </c>
      <c r="B145">
        <f>IF($A145="","",IF(ISNUMBER(Issues!$C148),IF(AND(Issues!$C148&gt;=10000101,Issues!$C148&lt;=99991231),INT(Issues!$C148/10000),""),IFERROR(VALUE(TRIM(LEFT(Issues!$C148,FIND("/",Issues!$C148)-1))),"")))</f>
        <v/>
      </c>
      <c r="C145">
        <f>IF(OR($A145="",$B145=""),"",IF(ISNUMBER(Issues!$C148),INT(MOD(Issues!$C148,10000)/100),IFERROR(VALUE(TRIM(LEFT(MID(Issues!$C148,FIND("/",Issues!$C148)+1,20),FIND("/",MID(Issues!$C148,FIND("/",Issues!$C148)+1,20))-1))),"")))</f>
        <v/>
      </c>
      <c r="D145">
        <f>IF(OR($A145="",$B145=""),"",IF(ISNUMBER(Issues!$C148),MOD(Issues!$C148,100),IFERROR(VALUE(TRIM(MID(MID(Issues!$C148,FIND("/",Issues!$C148)+1,20),FIND("/",MID(Issues!$C148,FIND("/",Issues!$C148)+1,20))+1,20))),"")))</f>
        <v/>
      </c>
      <c r="E145">
        <f>IF($A145="","",IF(OR($B145="",$C145="",$D145="",$B145&lt;1300,$B145&gt;1500,$C145&lt;1,$C145&gt;12,$D145&lt;1,$D145&gt;31),"نامعتبر",RIGHT("0000"&amp;$B145,4)&amp;"/"&amp;RIGHT("00"&amp;$C145,2)&amp;"/"&amp;RIGHT("00"&amp;$D145,2)))</f>
        <v/>
      </c>
      <c r="F145">
        <f>IF($A145="","",IF(Issues!$D148="",0,Issues!$D148))</f>
        <v/>
      </c>
      <c r="G145">
        <f>IF($A145="","",Issues!$E148)</f>
        <v/>
      </c>
      <c r="H145">
        <f>IF($A145="","",IF(COUNTIFS(ETxnType,"پاس چک",ETxnChk,$A145)&gt;0,"پاس شده","پاس نشده"))</f>
        <v/>
      </c>
      <c r="I145">
        <f>IF($A145="","",IFERROR(INDEX(BClrDate,MATCH($A145,BClrChk,0)),""))</f>
        <v/>
      </c>
      <c r="J145">
        <f>IF($A145="","",Issues!$G148)</f>
        <v/>
      </c>
      <c r="K145">
        <f>IF(OR($E145="",$E145="نامعتبر"),"",LEFT($E145,4)&amp;MID($E145,6,2)&amp;RIGHT($E145,2)&amp;"|"&amp;RIGHT("00000"&amp;140,5))</f>
        <v/>
      </c>
      <c r="M145">
        <f>IF(Sync!$M145&lt;&gt;"پاس چک","",IF(Sync!$P145="","",Sync!$P145))</f>
        <v/>
      </c>
      <c r="N145">
        <f>IF($M145="","",IF(ISNUMBER(Sync!$L145),IF(AND(Sync!$L145&gt;=10000101,Sync!$L145&lt;=99991231),RIGHT("0000"&amp;INT(Sync!$L145/10000),4)&amp;"/"&amp;RIGHT("00"&amp;INT(MOD(Sync!$L145,10000)/100),2)&amp;"/"&amp;RIGHT("00"&amp;MOD(Sync!$L145,100),2),""),IFERROR(RIGHT("0000"&amp;VALUE(TRIM(LEFT(Sync!$L145,FIND("/",Sync!$L145)-1))),4)&amp;"/"&amp;RIGHT("00"&amp;VALUE(TRIM(LEFT(MID(Sync!$L145,FIND("/",Sync!$L145)+1,20),FIND("/",MID(Sync!$L145,FIND("/",Sync!$L145)+1,20))-1))),2)&amp;"/"&amp;RIGHT("00"&amp;VALUE(TRIM(MID(MID(Sync!$L145,FIND("/",Sync!$L145)+1,20),FIND("/",MID(Sync!$L145,FIND("/",Sync!$L145)+1,20))+1,20))),2),"")))</f>
        <v/>
      </c>
    </row>
    <row r="146">
      <c r="A146">
        <f>IF(Issues!$B149="","",Issues!$B149)</f>
        <v/>
      </c>
      <c r="B146">
        <f>IF($A146="","",IF(ISNUMBER(Issues!$C149),IF(AND(Issues!$C149&gt;=10000101,Issues!$C149&lt;=99991231),INT(Issues!$C149/10000),""),IFERROR(VALUE(TRIM(LEFT(Issues!$C149,FIND("/",Issues!$C149)-1))),"")))</f>
        <v/>
      </c>
      <c r="C146">
        <f>IF(OR($A146="",$B146=""),"",IF(ISNUMBER(Issues!$C149),INT(MOD(Issues!$C149,10000)/100),IFERROR(VALUE(TRIM(LEFT(MID(Issues!$C149,FIND("/",Issues!$C149)+1,20),FIND("/",MID(Issues!$C149,FIND("/",Issues!$C149)+1,20))-1))),"")))</f>
        <v/>
      </c>
      <c r="D146">
        <f>IF(OR($A146="",$B146=""),"",IF(ISNUMBER(Issues!$C149),MOD(Issues!$C149,100),IFERROR(VALUE(TRIM(MID(MID(Issues!$C149,FIND("/",Issues!$C149)+1,20),FIND("/",MID(Issues!$C149,FIND("/",Issues!$C149)+1,20))+1,20))),"")))</f>
        <v/>
      </c>
      <c r="E146">
        <f>IF($A146="","",IF(OR($B146="",$C146="",$D146="",$B146&lt;1300,$B146&gt;1500,$C146&lt;1,$C146&gt;12,$D146&lt;1,$D146&gt;31),"نامعتبر",RIGHT("0000"&amp;$B146,4)&amp;"/"&amp;RIGHT("00"&amp;$C146,2)&amp;"/"&amp;RIGHT("00"&amp;$D146,2)))</f>
        <v/>
      </c>
      <c r="F146">
        <f>IF($A146="","",IF(Issues!$D149="",0,Issues!$D149))</f>
        <v/>
      </c>
      <c r="G146">
        <f>IF($A146="","",Issues!$E149)</f>
        <v/>
      </c>
      <c r="H146">
        <f>IF($A146="","",IF(COUNTIFS(ETxnType,"پاس چک",ETxnChk,$A146)&gt;0,"پاس شده","پاس نشده"))</f>
        <v/>
      </c>
      <c r="I146">
        <f>IF($A146="","",IFERROR(INDEX(BClrDate,MATCH($A146,BClrChk,0)),""))</f>
        <v/>
      </c>
      <c r="J146">
        <f>IF($A146="","",Issues!$G149)</f>
        <v/>
      </c>
      <c r="K146">
        <f>IF(OR($E146="",$E146="نامعتبر"),"",LEFT($E146,4)&amp;MID($E146,6,2)&amp;RIGHT($E146,2)&amp;"|"&amp;RIGHT("00000"&amp;141,5))</f>
        <v/>
      </c>
      <c r="M146">
        <f>IF(Sync!$M146&lt;&gt;"پاس چک","",IF(Sync!$P146="","",Sync!$P146))</f>
        <v/>
      </c>
      <c r="N146">
        <f>IF($M146="","",IF(ISNUMBER(Sync!$L146),IF(AND(Sync!$L146&gt;=10000101,Sync!$L146&lt;=99991231),RIGHT("0000"&amp;INT(Sync!$L146/10000),4)&amp;"/"&amp;RIGHT("00"&amp;INT(MOD(Sync!$L146,10000)/100),2)&amp;"/"&amp;RIGHT("00"&amp;MOD(Sync!$L146,100),2),""),IFERROR(RIGHT("0000"&amp;VALUE(TRIM(LEFT(Sync!$L146,FIND("/",Sync!$L146)-1))),4)&amp;"/"&amp;RIGHT("00"&amp;VALUE(TRIM(LEFT(MID(Sync!$L146,FIND("/",Sync!$L146)+1,20),FIND("/",MID(Sync!$L146,FIND("/",Sync!$L146)+1,20))-1))),2)&amp;"/"&amp;RIGHT("00"&amp;VALUE(TRIM(MID(MID(Sync!$L146,FIND("/",Sync!$L146)+1,20),FIND("/",MID(Sync!$L146,FIND("/",Sync!$L146)+1,20))+1,20))),2),"")))</f>
        <v/>
      </c>
    </row>
    <row r="147">
      <c r="A147">
        <f>IF(Issues!$B150="","",Issues!$B150)</f>
        <v/>
      </c>
      <c r="B147">
        <f>IF($A147="","",IF(ISNUMBER(Issues!$C150),IF(AND(Issues!$C150&gt;=10000101,Issues!$C150&lt;=99991231),INT(Issues!$C150/10000),""),IFERROR(VALUE(TRIM(LEFT(Issues!$C150,FIND("/",Issues!$C150)-1))),"")))</f>
        <v/>
      </c>
      <c r="C147">
        <f>IF(OR($A147="",$B147=""),"",IF(ISNUMBER(Issues!$C150),INT(MOD(Issues!$C150,10000)/100),IFERROR(VALUE(TRIM(LEFT(MID(Issues!$C150,FIND("/",Issues!$C150)+1,20),FIND("/",MID(Issues!$C150,FIND("/",Issues!$C150)+1,20))-1))),"")))</f>
        <v/>
      </c>
      <c r="D147">
        <f>IF(OR($A147="",$B147=""),"",IF(ISNUMBER(Issues!$C150),MOD(Issues!$C150,100),IFERROR(VALUE(TRIM(MID(MID(Issues!$C150,FIND("/",Issues!$C150)+1,20),FIND("/",MID(Issues!$C150,FIND("/",Issues!$C150)+1,20))+1,20))),"")))</f>
        <v/>
      </c>
      <c r="E147">
        <f>IF($A147="","",IF(OR($B147="",$C147="",$D147="",$B147&lt;1300,$B147&gt;1500,$C147&lt;1,$C147&gt;12,$D147&lt;1,$D147&gt;31),"نامعتبر",RIGHT("0000"&amp;$B147,4)&amp;"/"&amp;RIGHT("00"&amp;$C147,2)&amp;"/"&amp;RIGHT("00"&amp;$D147,2)))</f>
        <v/>
      </c>
      <c r="F147">
        <f>IF($A147="","",IF(Issues!$D150="",0,Issues!$D150))</f>
        <v/>
      </c>
      <c r="G147">
        <f>IF($A147="","",Issues!$E150)</f>
        <v/>
      </c>
      <c r="H147">
        <f>IF($A147="","",IF(COUNTIFS(ETxnType,"پاس چک",ETxnChk,$A147)&gt;0,"پاس شده","پاس نشده"))</f>
        <v/>
      </c>
      <c r="I147">
        <f>IF($A147="","",IFERROR(INDEX(BClrDate,MATCH($A147,BClrChk,0)),""))</f>
        <v/>
      </c>
      <c r="J147">
        <f>IF($A147="","",Issues!$G150)</f>
        <v/>
      </c>
      <c r="K147">
        <f>IF(OR($E147="",$E147="نامعتبر"),"",LEFT($E147,4)&amp;MID($E147,6,2)&amp;RIGHT($E147,2)&amp;"|"&amp;RIGHT("00000"&amp;142,5))</f>
        <v/>
      </c>
      <c r="M147">
        <f>IF(Sync!$M147&lt;&gt;"پاس چک","",IF(Sync!$P147="","",Sync!$P147))</f>
        <v/>
      </c>
      <c r="N147">
        <f>IF($M147="","",IF(ISNUMBER(Sync!$L147),IF(AND(Sync!$L147&gt;=10000101,Sync!$L147&lt;=99991231),RIGHT("0000"&amp;INT(Sync!$L147/10000),4)&amp;"/"&amp;RIGHT("00"&amp;INT(MOD(Sync!$L147,10000)/100),2)&amp;"/"&amp;RIGHT("00"&amp;MOD(Sync!$L147,100),2),""),IFERROR(RIGHT("0000"&amp;VALUE(TRIM(LEFT(Sync!$L147,FIND("/",Sync!$L147)-1))),4)&amp;"/"&amp;RIGHT("00"&amp;VALUE(TRIM(LEFT(MID(Sync!$L147,FIND("/",Sync!$L147)+1,20),FIND("/",MID(Sync!$L147,FIND("/",Sync!$L147)+1,20))-1))),2)&amp;"/"&amp;RIGHT("00"&amp;VALUE(TRIM(MID(MID(Sync!$L147,FIND("/",Sync!$L147)+1,20),FIND("/",MID(Sync!$L147,FIND("/",Sync!$L147)+1,20))+1,20))),2),"")))</f>
        <v/>
      </c>
    </row>
    <row r="148">
      <c r="A148">
        <f>IF(Issues!$B151="","",Issues!$B151)</f>
        <v/>
      </c>
      <c r="B148">
        <f>IF($A148="","",IF(ISNUMBER(Issues!$C151),IF(AND(Issues!$C151&gt;=10000101,Issues!$C151&lt;=99991231),INT(Issues!$C151/10000),""),IFERROR(VALUE(TRIM(LEFT(Issues!$C151,FIND("/",Issues!$C151)-1))),"")))</f>
        <v/>
      </c>
      <c r="C148">
        <f>IF(OR($A148="",$B148=""),"",IF(ISNUMBER(Issues!$C151),INT(MOD(Issues!$C151,10000)/100),IFERROR(VALUE(TRIM(LEFT(MID(Issues!$C151,FIND("/",Issues!$C151)+1,20),FIND("/",MID(Issues!$C151,FIND("/",Issues!$C151)+1,20))-1))),"")))</f>
        <v/>
      </c>
      <c r="D148">
        <f>IF(OR($A148="",$B148=""),"",IF(ISNUMBER(Issues!$C151),MOD(Issues!$C151,100),IFERROR(VALUE(TRIM(MID(MID(Issues!$C151,FIND("/",Issues!$C151)+1,20),FIND("/",MID(Issues!$C151,FIND("/",Issues!$C151)+1,20))+1,20))),"")))</f>
        <v/>
      </c>
      <c r="E148">
        <f>IF($A148="","",IF(OR($B148="",$C148="",$D148="",$B148&lt;1300,$B148&gt;1500,$C148&lt;1,$C148&gt;12,$D148&lt;1,$D148&gt;31),"نامعتبر",RIGHT("0000"&amp;$B148,4)&amp;"/"&amp;RIGHT("00"&amp;$C148,2)&amp;"/"&amp;RIGHT("00"&amp;$D148,2)))</f>
        <v/>
      </c>
      <c r="F148">
        <f>IF($A148="","",IF(Issues!$D151="",0,Issues!$D151))</f>
        <v/>
      </c>
      <c r="G148">
        <f>IF($A148="","",Issues!$E151)</f>
        <v/>
      </c>
      <c r="H148">
        <f>IF($A148="","",IF(COUNTIFS(ETxnType,"پاس چک",ETxnChk,$A148)&gt;0,"پاس شده","پاس نشده"))</f>
        <v/>
      </c>
      <c r="I148">
        <f>IF($A148="","",IFERROR(INDEX(BClrDate,MATCH($A148,BClrChk,0)),""))</f>
        <v/>
      </c>
      <c r="J148">
        <f>IF($A148="","",Issues!$G151)</f>
        <v/>
      </c>
      <c r="K148">
        <f>IF(OR($E148="",$E148="نامعتبر"),"",LEFT($E148,4)&amp;MID($E148,6,2)&amp;RIGHT($E148,2)&amp;"|"&amp;RIGHT("00000"&amp;143,5))</f>
        <v/>
      </c>
      <c r="M148">
        <f>IF(Sync!$M148&lt;&gt;"پاس چک","",IF(Sync!$P148="","",Sync!$P148))</f>
        <v/>
      </c>
      <c r="N148">
        <f>IF($M148="","",IF(ISNUMBER(Sync!$L148),IF(AND(Sync!$L148&gt;=10000101,Sync!$L148&lt;=99991231),RIGHT("0000"&amp;INT(Sync!$L148/10000),4)&amp;"/"&amp;RIGHT("00"&amp;INT(MOD(Sync!$L148,10000)/100),2)&amp;"/"&amp;RIGHT("00"&amp;MOD(Sync!$L148,100),2),""),IFERROR(RIGHT("0000"&amp;VALUE(TRIM(LEFT(Sync!$L148,FIND("/",Sync!$L148)-1))),4)&amp;"/"&amp;RIGHT("00"&amp;VALUE(TRIM(LEFT(MID(Sync!$L148,FIND("/",Sync!$L148)+1,20),FIND("/",MID(Sync!$L148,FIND("/",Sync!$L148)+1,20))-1))),2)&amp;"/"&amp;RIGHT("00"&amp;VALUE(TRIM(MID(MID(Sync!$L148,FIND("/",Sync!$L148)+1,20),FIND("/",MID(Sync!$L148,FIND("/",Sync!$L148)+1,20))+1,20))),2),"")))</f>
        <v/>
      </c>
    </row>
    <row r="149">
      <c r="A149">
        <f>IF(Issues!$B152="","",Issues!$B152)</f>
        <v/>
      </c>
      <c r="B149">
        <f>IF($A149="","",IF(ISNUMBER(Issues!$C152),IF(AND(Issues!$C152&gt;=10000101,Issues!$C152&lt;=99991231),INT(Issues!$C152/10000),""),IFERROR(VALUE(TRIM(LEFT(Issues!$C152,FIND("/",Issues!$C152)-1))),"")))</f>
        <v/>
      </c>
      <c r="C149">
        <f>IF(OR($A149="",$B149=""),"",IF(ISNUMBER(Issues!$C152),INT(MOD(Issues!$C152,10000)/100),IFERROR(VALUE(TRIM(LEFT(MID(Issues!$C152,FIND("/",Issues!$C152)+1,20),FIND("/",MID(Issues!$C152,FIND("/",Issues!$C152)+1,20))-1))),"")))</f>
        <v/>
      </c>
      <c r="D149">
        <f>IF(OR($A149="",$B149=""),"",IF(ISNUMBER(Issues!$C152),MOD(Issues!$C152,100),IFERROR(VALUE(TRIM(MID(MID(Issues!$C152,FIND("/",Issues!$C152)+1,20),FIND("/",MID(Issues!$C152,FIND("/",Issues!$C152)+1,20))+1,20))),"")))</f>
        <v/>
      </c>
      <c r="E149">
        <f>IF($A149="","",IF(OR($B149="",$C149="",$D149="",$B149&lt;1300,$B149&gt;1500,$C149&lt;1,$C149&gt;12,$D149&lt;1,$D149&gt;31),"نامعتبر",RIGHT("0000"&amp;$B149,4)&amp;"/"&amp;RIGHT("00"&amp;$C149,2)&amp;"/"&amp;RIGHT("00"&amp;$D149,2)))</f>
        <v/>
      </c>
      <c r="F149">
        <f>IF($A149="","",IF(Issues!$D152="",0,Issues!$D152))</f>
        <v/>
      </c>
      <c r="G149">
        <f>IF($A149="","",Issues!$E152)</f>
        <v/>
      </c>
      <c r="H149">
        <f>IF($A149="","",IF(COUNTIFS(ETxnType,"پاس چک",ETxnChk,$A149)&gt;0,"پاس شده","پاس نشده"))</f>
        <v/>
      </c>
      <c r="I149">
        <f>IF($A149="","",IFERROR(INDEX(BClrDate,MATCH($A149,BClrChk,0)),""))</f>
        <v/>
      </c>
      <c r="J149">
        <f>IF($A149="","",Issues!$G152)</f>
        <v/>
      </c>
      <c r="K149">
        <f>IF(OR($E149="",$E149="نامعتبر"),"",LEFT($E149,4)&amp;MID($E149,6,2)&amp;RIGHT($E149,2)&amp;"|"&amp;RIGHT("00000"&amp;144,5))</f>
        <v/>
      </c>
      <c r="M149">
        <f>IF(Sync!$M149&lt;&gt;"پاس چک","",IF(Sync!$P149="","",Sync!$P149))</f>
        <v/>
      </c>
      <c r="N149">
        <f>IF($M149="","",IF(ISNUMBER(Sync!$L149),IF(AND(Sync!$L149&gt;=10000101,Sync!$L149&lt;=99991231),RIGHT("0000"&amp;INT(Sync!$L149/10000),4)&amp;"/"&amp;RIGHT("00"&amp;INT(MOD(Sync!$L149,10000)/100),2)&amp;"/"&amp;RIGHT("00"&amp;MOD(Sync!$L149,100),2),""),IFERROR(RIGHT("0000"&amp;VALUE(TRIM(LEFT(Sync!$L149,FIND("/",Sync!$L149)-1))),4)&amp;"/"&amp;RIGHT("00"&amp;VALUE(TRIM(LEFT(MID(Sync!$L149,FIND("/",Sync!$L149)+1,20),FIND("/",MID(Sync!$L149,FIND("/",Sync!$L149)+1,20))-1))),2)&amp;"/"&amp;RIGHT("00"&amp;VALUE(TRIM(MID(MID(Sync!$L149,FIND("/",Sync!$L149)+1,20),FIND("/",MID(Sync!$L149,FIND("/",Sync!$L149)+1,20))+1,20))),2),"")))</f>
        <v/>
      </c>
    </row>
    <row r="150">
      <c r="A150">
        <f>IF(Issues!$B153="","",Issues!$B153)</f>
        <v/>
      </c>
      <c r="B150">
        <f>IF($A150="","",IF(ISNUMBER(Issues!$C153),IF(AND(Issues!$C153&gt;=10000101,Issues!$C153&lt;=99991231),INT(Issues!$C153/10000),""),IFERROR(VALUE(TRIM(LEFT(Issues!$C153,FIND("/",Issues!$C153)-1))),"")))</f>
        <v/>
      </c>
      <c r="C150">
        <f>IF(OR($A150="",$B150=""),"",IF(ISNUMBER(Issues!$C153),INT(MOD(Issues!$C153,10000)/100),IFERROR(VALUE(TRIM(LEFT(MID(Issues!$C153,FIND("/",Issues!$C153)+1,20),FIND("/",MID(Issues!$C153,FIND("/",Issues!$C153)+1,20))-1))),"")))</f>
        <v/>
      </c>
      <c r="D150">
        <f>IF(OR($A150="",$B150=""),"",IF(ISNUMBER(Issues!$C153),MOD(Issues!$C153,100),IFERROR(VALUE(TRIM(MID(MID(Issues!$C153,FIND("/",Issues!$C153)+1,20),FIND("/",MID(Issues!$C153,FIND("/",Issues!$C153)+1,20))+1,20))),"")))</f>
        <v/>
      </c>
      <c r="E150">
        <f>IF($A150="","",IF(OR($B150="",$C150="",$D150="",$B150&lt;1300,$B150&gt;1500,$C150&lt;1,$C150&gt;12,$D150&lt;1,$D150&gt;31),"نامعتبر",RIGHT("0000"&amp;$B150,4)&amp;"/"&amp;RIGHT("00"&amp;$C150,2)&amp;"/"&amp;RIGHT("00"&amp;$D150,2)))</f>
        <v/>
      </c>
      <c r="F150">
        <f>IF($A150="","",IF(Issues!$D153="",0,Issues!$D153))</f>
        <v/>
      </c>
      <c r="G150">
        <f>IF($A150="","",Issues!$E153)</f>
        <v/>
      </c>
      <c r="H150">
        <f>IF($A150="","",IF(COUNTIFS(ETxnType,"پاس چک",ETxnChk,$A150)&gt;0,"پاس شده","پاس نشده"))</f>
        <v/>
      </c>
      <c r="I150">
        <f>IF($A150="","",IFERROR(INDEX(BClrDate,MATCH($A150,BClrChk,0)),""))</f>
        <v/>
      </c>
      <c r="J150">
        <f>IF($A150="","",Issues!$G153)</f>
        <v/>
      </c>
      <c r="K150">
        <f>IF(OR($E150="",$E150="نامعتبر"),"",LEFT($E150,4)&amp;MID($E150,6,2)&amp;RIGHT($E150,2)&amp;"|"&amp;RIGHT("00000"&amp;145,5))</f>
        <v/>
      </c>
      <c r="M150">
        <f>IF(Sync!$M150&lt;&gt;"پاس چک","",IF(Sync!$P150="","",Sync!$P150))</f>
        <v/>
      </c>
      <c r="N150">
        <f>IF($M150="","",IF(ISNUMBER(Sync!$L150),IF(AND(Sync!$L150&gt;=10000101,Sync!$L150&lt;=99991231),RIGHT("0000"&amp;INT(Sync!$L150/10000),4)&amp;"/"&amp;RIGHT("00"&amp;INT(MOD(Sync!$L150,10000)/100),2)&amp;"/"&amp;RIGHT("00"&amp;MOD(Sync!$L150,100),2),""),IFERROR(RIGHT("0000"&amp;VALUE(TRIM(LEFT(Sync!$L150,FIND("/",Sync!$L150)-1))),4)&amp;"/"&amp;RIGHT("00"&amp;VALUE(TRIM(LEFT(MID(Sync!$L150,FIND("/",Sync!$L150)+1,20),FIND("/",MID(Sync!$L150,FIND("/",Sync!$L150)+1,20))-1))),2)&amp;"/"&amp;RIGHT("00"&amp;VALUE(TRIM(MID(MID(Sync!$L150,FIND("/",Sync!$L150)+1,20),FIND("/",MID(Sync!$L150,FIND("/",Sync!$L150)+1,20))+1,20))),2),"")))</f>
        <v/>
      </c>
    </row>
    <row r="151">
      <c r="A151">
        <f>IF(Issues!$B154="","",Issues!$B154)</f>
        <v/>
      </c>
      <c r="B151">
        <f>IF($A151="","",IF(ISNUMBER(Issues!$C154),IF(AND(Issues!$C154&gt;=10000101,Issues!$C154&lt;=99991231),INT(Issues!$C154/10000),""),IFERROR(VALUE(TRIM(LEFT(Issues!$C154,FIND("/",Issues!$C154)-1))),"")))</f>
        <v/>
      </c>
      <c r="C151">
        <f>IF(OR($A151="",$B151=""),"",IF(ISNUMBER(Issues!$C154),INT(MOD(Issues!$C154,10000)/100),IFERROR(VALUE(TRIM(LEFT(MID(Issues!$C154,FIND("/",Issues!$C154)+1,20),FIND("/",MID(Issues!$C154,FIND("/",Issues!$C154)+1,20))-1))),"")))</f>
        <v/>
      </c>
      <c r="D151">
        <f>IF(OR($A151="",$B151=""),"",IF(ISNUMBER(Issues!$C154),MOD(Issues!$C154,100),IFERROR(VALUE(TRIM(MID(MID(Issues!$C154,FIND("/",Issues!$C154)+1,20),FIND("/",MID(Issues!$C154,FIND("/",Issues!$C154)+1,20))+1,20))),"")))</f>
        <v/>
      </c>
      <c r="E151">
        <f>IF($A151="","",IF(OR($B151="",$C151="",$D151="",$B151&lt;1300,$B151&gt;1500,$C151&lt;1,$C151&gt;12,$D151&lt;1,$D151&gt;31),"نامعتبر",RIGHT("0000"&amp;$B151,4)&amp;"/"&amp;RIGHT("00"&amp;$C151,2)&amp;"/"&amp;RIGHT("00"&amp;$D151,2)))</f>
        <v/>
      </c>
      <c r="F151">
        <f>IF($A151="","",IF(Issues!$D154="",0,Issues!$D154))</f>
        <v/>
      </c>
      <c r="G151">
        <f>IF($A151="","",Issues!$E154)</f>
        <v/>
      </c>
      <c r="H151">
        <f>IF($A151="","",IF(COUNTIFS(ETxnType,"پاس چک",ETxnChk,$A151)&gt;0,"پاس شده","پاس نشده"))</f>
        <v/>
      </c>
      <c r="I151">
        <f>IF($A151="","",IFERROR(INDEX(BClrDate,MATCH($A151,BClrChk,0)),""))</f>
        <v/>
      </c>
      <c r="J151">
        <f>IF($A151="","",Issues!$G154)</f>
        <v/>
      </c>
      <c r="K151">
        <f>IF(OR($E151="",$E151="نامعتبر"),"",LEFT($E151,4)&amp;MID($E151,6,2)&amp;RIGHT($E151,2)&amp;"|"&amp;RIGHT("00000"&amp;146,5))</f>
        <v/>
      </c>
      <c r="M151">
        <f>IF(Sync!$M151&lt;&gt;"پاس چک","",IF(Sync!$P151="","",Sync!$P151))</f>
        <v/>
      </c>
      <c r="N151">
        <f>IF($M151="","",IF(ISNUMBER(Sync!$L151),IF(AND(Sync!$L151&gt;=10000101,Sync!$L151&lt;=99991231),RIGHT("0000"&amp;INT(Sync!$L151/10000),4)&amp;"/"&amp;RIGHT("00"&amp;INT(MOD(Sync!$L151,10000)/100),2)&amp;"/"&amp;RIGHT("00"&amp;MOD(Sync!$L151,100),2),""),IFERROR(RIGHT("0000"&amp;VALUE(TRIM(LEFT(Sync!$L151,FIND("/",Sync!$L151)-1))),4)&amp;"/"&amp;RIGHT("00"&amp;VALUE(TRIM(LEFT(MID(Sync!$L151,FIND("/",Sync!$L151)+1,20),FIND("/",MID(Sync!$L151,FIND("/",Sync!$L151)+1,20))-1))),2)&amp;"/"&amp;RIGHT("00"&amp;VALUE(TRIM(MID(MID(Sync!$L151,FIND("/",Sync!$L151)+1,20),FIND("/",MID(Sync!$L151,FIND("/",Sync!$L151)+1,20))+1,20))),2),"")))</f>
        <v/>
      </c>
    </row>
    <row r="152">
      <c r="A152">
        <f>IF(Issues!$B155="","",Issues!$B155)</f>
        <v/>
      </c>
      <c r="B152">
        <f>IF($A152="","",IF(ISNUMBER(Issues!$C155),IF(AND(Issues!$C155&gt;=10000101,Issues!$C155&lt;=99991231),INT(Issues!$C155/10000),""),IFERROR(VALUE(TRIM(LEFT(Issues!$C155,FIND("/",Issues!$C155)-1))),"")))</f>
        <v/>
      </c>
      <c r="C152">
        <f>IF(OR($A152="",$B152=""),"",IF(ISNUMBER(Issues!$C155),INT(MOD(Issues!$C155,10000)/100),IFERROR(VALUE(TRIM(LEFT(MID(Issues!$C155,FIND("/",Issues!$C155)+1,20),FIND("/",MID(Issues!$C155,FIND("/",Issues!$C155)+1,20))-1))),"")))</f>
        <v/>
      </c>
      <c r="D152">
        <f>IF(OR($A152="",$B152=""),"",IF(ISNUMBER(Issues!$C155),MOD(Issues!$C155,100),IFERROR(VALUE(TRIM(MID(MID(Issues!$C155,FIND("/",Issues!$C155)+1,20),FIND("/",MID(Issues!$C155,FIND("/",Issues!$C155)+1,20))+1,20))),"")))</f>
        <v/>
      </c>
      <c r="E152">
        <f>IF($A152="","",IF(OR($B152="",$C152="",$D152="",$B152&lt;1300,$B152&gt;1500,$C152&lt;1,$C152&gt;12,$D152&lt;1,$D152&gt;31),"نامعتبر",RIGHT("0000"&amp;$B152,4)&amp;"/"&amp;RIGHT("00"&amp;$C152,2)&amp;"/"&amp;RIGHT("00"&amp;$D152,2)))</f>
        <v/>
      </c>
      <c r="F152">
        <f>IF($A152="","",IF(Issues!$D155="",0,Issues!$D155))</f>
        <v/>
      </c>
      <c r="G152">
        <f>IF($A152="","",Issues!$E155)</f>
        <v/>
      </c>
      <c r="H152">
        <f>IF($A152="","",IF(COUNTIFS(ETxnType,"پاس چک",ETxnChk,$A152)&gt;0,"پاس شده","پاس نشده"))</f>
        <v/>
      </c>
      <c r="I152">
        <f>IF($A152="","",IFERROR(INDEX(BClrDate,MATCH($A152,BClrChk,0)),""))</f>
        <v/>
      </c>
      <c r="J152">
        <f>IF($A152="","",Issues!$G155)</f>
        <v/>
      </c>
      <c r="K152">
        <f>IF(OR($E152="",$E152="نامعتبر"),"",LEFT($E152,4)&amp;MID($E152,6,2)&amp;RIGHT($E152,2)&amp;"|"&amp;RIGHT("00000"&amp;147,5))</f>
        <v/>
      </c>
      <c r="M152">
        <f>IF(Sync!$M152&lt;&gt;"پاس چک","",IF(Sync!$P152="","",Sync!$P152))</f>
        <v/>
      </c>
      <c r="N152">
        <f>IF($M152="","",IF(ISNUMBER(Sync!$L152),IF(AND(Sync!$L152&gt;=10000101,Sync!$L152&lt;=99991231),RIGHT("0000"&amp;INT(Sync!$L152/10000),4)&amp;"/"&amp;RIGHT("00"&amp;INT(MOD(Sync!$L152,10000)/100),2)&amp;"/"&amp;RIGHT("00"&amp;MOD(Sync!$L152,100),2),""),IFERROR(RIGHT("0000"&amp;VALUE(TRIM(LEFT(Sync!$L152,FIND("/",Sync!$L152)-1))),4)&amp;"/"&amp;RIGHT("00"&amp;VALUE(TRIM(LEFT(MID(Sync!$L152,FIND("/",Sync!$L152)+1,20),FIND("/",MID(Sync!$L152,FIND("/",Sync!$L152)+1,20))-1))),2)&amp;"/"&amp;RIGHT("00"&amp;VALUE(TRIM(MID(MID(Sync!$L152,FIND("/",Sync!$L152)+1,20),FIND("/",MID(Sync!$L152,FIND("/",Sync!$L152)+1,20))+1,20))),2),"")))</f>
        <v/>
      </c>
    </row>
    <row r="153">
      <c r="A153">
        <f>IF(Issues!$B156="","",Issues!$B156)</f>
        <v/>
      </c>
      <c r="B153">
        <f>IF($A153="","",IF(ISNUMBER(Issues!$C156),IF(AND(Issues!$C156&gt;=10000101,Issues!$C156&lt;=99991231),INT(Issues!$C156/10000),""),IFERROR(VALUE(TRIM(LEFT(Issues!$C156,FIND("/",Issues!$C156)-1))),"")))</f>
        <v/>
      </c>
      <c r="C153">
        <f>IF(OR($A153="",$B153=""),"",IF(ISNUMBER(Issues!$C156),INT(MOD(Issues!$C156,10000)/100),IFERROR(VALUE(TRIM(LEFT(MID(Issues!$C156,FIND("/",Issues!$C156)+1,20),FIND("/",MID(Issues!$C156,FIND("/",Issues!$C156)+1,20))-1))),"")))</f>
        <v/>
      </c>
      <c r="D153">
        <f>IF(OR($A153="",$B153=""),"",IF(ISNUMBER(Issues!$C156),MOD(Issues!$C156,100),IFERROR(VALUE(TRIM(MID(MID(Issues!$C156,FIND("/",Issues!$C156)+1,20),FIND("/",MID(Issues!$C156,FIND("/",Issues!$C156)+1,20))+1,20))),"")))</f>
        <v/>
      </c>
      <c r="E153">
        <f>IF($A153="","",IF(OR($B153="",$C153="",$D153="",$B153&lt;1300,$B153&gt;1500,$C153&lt;1,$C153&gt;12,$D153&lt;1,$D153&gt;31),"نامعتبر",RIGHT("0000"&amp;$B153,4)&amp;"/"&amp;RIGHT("00"&amp;$C153,2)&amp;"/"&amp;RIGHT("00"&amp;$D153,2)))</f>
        <v/>
      </c>
      <c r="F153">
        <f>IF($A153="","",IF(Issues!$D156="",0,Issues!$D156))</f>
        <v/>
      </c>
      <c r="G153">
        <f>IF($A153="","",Issues!$E156)</f>
        <v/>
      </c>
      <c r="H153">
        <f>IF($A153="","",IF(COUNTIFS(ETxnType,"پاس چک",ETxnChk,$A153)&gt;0,"پاس شده","پاس نشده"))</f>
        <v/>
      </c>
      <c r="I153">
        <f>IF($A153="","",IFERROR(INDEX(BClrDate,MATCH($A153,BClrChk,0)),""))</f>
        <v/>
      </c>
      <c r="J153">
        <f>IF($A153="","",Issues!$G156)</f>
        <v/>
      </c>
      <c r="K153">
        <f>IF(OR($E153="",$E153="نامعتبر"),"",LEFT($E153,4)&amp;MID($E153,6,2)&amp;RIGHT($E153,2)&amp;"|"&amp;RIGHT("00000"&amp;148,5))</f>
        <v/>
      </c>
      <c r="M153">
        <f>IF(Sync!$M153&lt;&gt;"پاس چک","",IF(Sync!$P153="","",Sync!$P153))</f>
        <v/>
      </c>
      <c r="N153">
        <f>IF($M153="","",IF(ISNUMBER(Sync!$L153),IF(AND(Sync!$L153&gt;=10000101,Sync!$L153&lt;=99991231),RIGHT("0000"&amp;INT(Sync!$L153/10000),4)&amp;"/"&amp;RIGHT("00"&amp;INT(MOD(Sync!$L153,10000)/100),2)&amp;"/"&amp;RIGHT("00"&amp;MOD(Sync!$L153,100),2),""),IFERROR(RIGHT("0000"&amp;VALUE(TRIM(LEFT(Sync!$L153,FIND("/",Sync!$L153)-1))),4)&amp;"/"&amp;RIGHT("00"&amp;VALUE(TRIM(LEFT(MID(Sync!$L153,FIND("/",Sync!$L153)+1,20),FIND("/",MID(Sync!$L153,FIND("/",Sync!$L153)+1,20))-1))),2)&amp;"/"&amp;RIGHT("00"&amp;VALUE(TRIM(MID(MID(Sync!$L153,FIND("/",Sync!$L153)+1,20),FIND("/",MID(Sync!$L153,FIND("/",Sync!$L153)+1,20))+1,20))),2),"")))</f>
        <v/>
      </c>
    </row>
    <row r="154">
      <c r="A154">
        <f>IF(Issues!$B157="","",Issues!$B157)</f>
        <v/>
      </c>
      <c r="B154">
        <f>IF($A154="","",IF(ISNUMBER(Issues!$C157),IF(AND(Issues!$C157&gt;=10000101,Issues!$C157&lt;=99991231),INT(Issues!$C157/10000),""),IFERROR(VALUE(TRIM(LEFT(Issues!$C157,FIND("/",Issues!$C157)-1))),"")))</f>
        <v/>
      </c>
      <c r="C154">
        <f>IF(OR($A154="",$B154=""),"",IF(ISNUMBER(Issues!$C157),INT(MOD(Issues!$C157,10000)/100),IFERROR(VALUE(TRIM(LEFT(MID(Issues!$C157,FIND("/",Issues!$C157)+1,20),FIND("/",MID(Issues!$C157,FIND("/",Issues!$C157)+1,20))-1))),"")))</f>
        <v/>
      </c>
      <c r="D154">
        <f>IF(OR($A154="",$B154=""),"",IF(ISNUMBER(Issues!$C157),MOD(Issues!$C157,100),IFERROR(VALUE(TRIM(MID(MID(Issues!$C157,FIND("/",Issues!$C157)+1,20),FIND("/",MID(Issues!$C157,FIND("/",Issues!$C157)+1,20))+1,20))),"")))</f>
        <v/>
      </c>
      <c r="E154">
        <f>IF($A154="","",IF(OR($B154="",$C154="",$D154="",$B154&lt;1300,$B154&gt;1500,$C154&lt;1,$C154&gt;12,$D154&lt;1,$D154&gt;31),"نامعتبر",RIGHT("0000"&amp;$B154,4)&amp;"/"&amp;RIGHT("00"&amp;$C154,2)&amp;"/"&amp;RIGHT("00"&amp;$D154,2)))</f>
        <v/>
      </c>
      <c r="F154">
        <f>IF($A154="","",IF(Issues!$D157="",0,Issues!$D157))</f>
        <v/>
      </c>
      <c r="G154">
        <f>IF($A154="","",Issues!$E157)</f>
        <v/>
      </c>
      <c r="H154">
        <f>IF($A154="","",IF(COUNTIFS(ETxnType,"پاس چک",ETxnChk,$A154)&gt;0,"پاس شده","پاس نشده"))</f>
        <v/>
      </c>
      <c r="I154">
        <f>IF($A154="","",IFERROR(INDEX(BClrDate,MATCH($A154,BClrChk,0)),""))</f>
        <v/>
      </c>
      <c r="J154">
        <f>IF($A154="","",Issues!$G157)</f>
        <v/>
      </c>
      <c r="K154">
        <f>IF(OR($E154="",$E154="نامعتبر"),"",LEFT($E154,4)&amp;MID($E154,6,2)&amp;RIGHT($E154,2)&amp;"|"&amp;RIGHT("00000"&amp;149,5))</f>
        <v/>
      </c>
      <c r="M154">
        <f>IF(Sync!$M154&lt;&gt;"پاس چک","",IF(Sync!$P154="","",Sync!$P154))</f>
        <v/>
      </c>
      <c r="N154">
        <f>IF($M154="","",IF(ISNUMBER(Sync!$L154),IF(AND(Sync!$L154&gt;=10000101,Sync!$L154&lt;=99991231),RIGHT("0000"&amp;INT(Sync!$L154/10000),4)&amp;"/"&amp;RIGHT("00"&amp;INT(MOD(Sync!$L154,10000)/100),2)&amp;"/"&amp;RIGHT("00"&amp;MOD(Sync!$L154,100),2),""),IFERROR(RIGHT("0000"&amp;VALUE(TRIM(LEFT(Sync!$L154,FIND("/",Sync!$L154)-1))),4)&amp;"/"&amp;RIGHT("00"&amp;VALUE(TRIM(LEFT(MID(Sync!$L154,FIND("/",Sync!$L154)+1,20),FIND("/",MID(Sync!$L154,FIND("/",Sync!$L154)+1,20))-1))),2)&amp;"/"&amp;RIGHT("00"&amp;VALUE(TRIM(MID(MID(Sync!$L154,FIND("/",Sync!$L154)+1,20),FIND("/",MID(Sync!$L154,FIND("/",Sync!$L154)+1,20))+1,20))),2),"")))</f>
        <v/>
      </c>
    </row>
    <row r="155">
      <c r="A155">
        <f>IF(Issues!$B158="","",Issues!$B158)</f>
        <v/>
      </c>
      <c r="B155">
        <f>IF($A155="","",IF(ISNUMBER(Issues!$C158),IF(AND(Issues!$C158&gt;=10000101,Issues!$C158&lt;=99991231),INT(Issues!$C158/10000),""),IFERROR(VALUE(TRIM(LEFT(Issues!$C158,FIND("/",Issues!$C158)-1))),"")))</f>
        <v/>
      </c>
      <c r="C155">
        <f>IF(OR($A155="",$B155=""),"",IF(ISNUMBER(Issues!$C158),INT(MOD(Issues!$C158,10000)/100),IFERROR(VALUE(TRIM(LEFT(MID(Issues!$C158,FIND("/",Issues!$C158)+1,20),FIND("/",MID(Issues!$C158,FIND("/",Issues!$C158)+1,20))-1))),"")))</f>
        <v/>
      </c>
      <c r="D155">
        <f>IF(OR($A155="",$B155=""),"",IF(ISNUMBER(Issues!$C158),MOD(Issues!$C158,100),IFERROR(VALUE(TRIM(MID(MID(Issues!$C158,FIND("/",Issues!$C158)+1,20),FIND("/",MID(Issues!$C158,FIND("/",Issues!$C158)+1,20))+1,20))),"")))</f>
        <v/>
      </c>
      <c r="E155">
        <f>IF($A155="","",IF(OR($B155="",$C155="",$D155="",$B155&lt;1300,$B155&gt;1500,$C155&lt;1,$C155&gt;12,$D155&lt;1,$D155&gt;31),"نامعتبر",RIGHT("0000"&amp;$B155,4)&amp;"/"&amp;RIGHT("00"&amp;$C155,2)&amp;"/"&amp;RIGHT("00"&amp;$D155,2)))</f>
        <v/>
      </c>
      <c r="F155">
        <f>IF($A155="","",IF(Issues!$D158="",0,Issues!$D158))</f>
        <v/>
      </c>
      <c r="G155">
        <f>IF($A155="","",Issues!$E158)</f>
        <v/>
      </c>
      <c r="H155">
        <f>IF($A155="","",IF(COUNTIFS(ETxnType,"پاس چک",ETxnChk,$A155)&gt;0,"پاس شده","پاس نشده"))</f>
        <v/>
      </c>
      <c r="I155">
        <f>IF($A155="","",IFERROR(INDEX(BClrDate,MATCH($A155,BClrChk,0)),""))</f>
        <v/>
      </c>
      <c r="J155">
        <f>IF($A155="","",Issues!$G158)</f>
        <v/>
      </c>
      <c r="K155">
        <f>IF(OR($E155="",$E155="نامعتبر"),"",LEFT($E155,4)&amp;MID($E155,6,2)&amp;RIGHT($E155,2)&amp;"|"&amp;RIGHT("00000"&amp;150,5))</f>
        <v/>
      </c>
      <c r="M155">
        <f>IF(Sync!$M155&lt;&gt;"پاس چک","",IF(Sync!$P155="","",Sync!$P155))</f>
        <v/>
      </c>
      <c r="N155">
        <f>IF($M155="","",IF(ISNUMBER(Sync!$L155),IF(AND(Sync!$L155&gt;=10000101,Sync!$L155&lt;=99991231),RIGHT("0000"&amp;INT(Sync!$L155/10000),4)&amp;"/"&amp;RIGHT("00"&amp;INT(MOD(Sync!$L155,10000)/100),2)&amp;"/"&amp;RIGHT("00"&amp;MOD(Sync!$L155,100),2),""),IFERROR(RIGHT("0000"&amp;VALUE(TRIM(LEFT(Sync!$L155,FIND("/",Sync!$L155)-1))),4)&amp;"/"&amp;RIGHT("00"&amp;VALUE(TRIM(LEFT(MID(Sync!$L155,FIND("/",Sync!$L155)+1,20),FIND("/",MID(Sync!$L155,FIND("/",Sync!$L155)+1,20))-1))),2)&amp;"/"&amp;RIGHT("00"&amp;VALUE(TRIM(MID(MID(Sync!$L155,FIND("/",Sync!$L155)+1,20),FIND("/",MID(Sync!$L155,FIND("/",Sync!$L155)+1,20))+1,20))),2),"")))</f>
        <v/>
      </c>
    </row>
    <row r="156">
      <c r="A156">
        <f>IF(Issues!$B159="","",Issues!$B159)</f>
        <v/>
      </c>
      <c r="B156">
        <f>IF($A156="","",IF(ISNUMBER(Issues!$C159),IF(AND(Issues!$C159&gt;=10000101,Issues!$C159&lt;=99991231),INT(Issues!$C159/10000),""),IFERROR(VALUE(TRIM(LEFT(Issues!$C159,FIND("/",Issues!$C159)-1))),"")))</f>
        <v/>
      </c>
      <c r="C156">
        <f>IF(OR($A156="",$B156=""),"",IF(ISNUMBER(Issues!$C159),INT(MOD(Issues!$C159,10000)/100),IFERROR(VALUE(TRIM(LEFT(MID(Issues!$C159,FIND("/",Issues!$C159)+1,20),FIND("/",MID(Issues!$C159,FIND("/",Issues!$C159)+1,20))-1))),"")))</f>
        <v/>
      </c>
      <c r="D156">
        <f>IF(OR($A156="",$B156=""),"",IF(ISNUMBER(Issues!$C159),MOD(Issues!$C159,100),IFERROR(VALUE(TRIM(MID(MID(Issues!$C159,FIND("/",Issues!$C159)+1,20),FIND("/",MID(Issues!$C159,FIND("/",Issues!$C159)+1,20))+1,20))),"")))</f>
        <v/>
      </c>
      <c r="E156">
        <f>IF($A156="","",IF(OR($B156="",$C156="",$D156="",$B156&lt;1300,$B156&gt;1500,$C156&lt;1,$C156&gt;12,$D156&lt;1,$D156&gt;31),"نامعتبر",RIGHT("0000"&amp;$B156,4)&amp;"/"&amp;RIGHT("00"&amp;$C156,2)&amp;"/"&amp;RIGHT("00"&amp;$D156,2)))</f>
        <v/>
      </c>
      <c r="F156">
        <f>IF($A156="","",IF(Issues!$D159="",0,Issues!$D159))</f>
        <v/>
      </c>
      <c r="G156">
        <f>IF($A156="","",Issues!$E159)</f>
        <v/>
      </c>
      <c r="H156">
        <f>IF($A156="","",IF(COUNTIFS(ETxnType,"پاس چک",ETxnChk,$A156)&gt;0,"پاس شده","پاس نشده"))</f>
        <v/>
      </c>
      <c r="I156">
        <f>IF($A156="","",IFERROR(INDEX(BClrDate,MATCH($A156,BClrChk,0)),""))</f>
        <v/>
      </c>
      <c r="J156">
        <f>IF($A156="","",Issues!$G159)</f>
        <v/>
      </c>
      <c r="K156">
        <f>IF(OR($E156="",$E156="نامعتبر"),"",LEFT($E156,4)&amp;MID($E156,6,2)&amp;RIGHT($E156,2)&amp;"|"&amp;RIGHT("00000"&amp;151,5))</f>
        <v/>
      </c>
      <c r="M156">
        <f>IF(Sync!$M156&lt;&gt;"پاس چک","",IF(Sync!$P156="","",Sync!$P156))</f>
        <v/>
      </c>
      <c r="N156">
        <f>IF($M156="","",IF(ISNUMBER(Sync!$L156),IF(AND(Sync!$L156&gt;=10000101,Sync!$L156&lt;=99991231),RIGHT("0000"&amp;INT(Sync!$L156/10000),4)&amp;"/"&amp;RIGHT("00"&amp;INT(MOD(Sync!$L156,10000)/100),2)&amp;"/"&amp;RIGHT("00"&amp;MOD(Sync!$L156,100),2),""),IFERROR(RIGHT("0000"&amp;VALUE(TRIM(LEFT(Sync!$L156,FIND("/",Sync!$L156)-1))),4)&amp;"/"&amp;RIGHT("00"&amp;VALUE(TRIM(LEFT(MID(Sync!$L156,FIND("/",Sync!$L156)+1,20),FIND("/",MID(Sync!$L156,FIND("/",Sync!$L156)+1,20))-1))),2)&amp;"/"&amp;RIGHT("00"&amp;VALUE(TRIM(MID(MID(Sync!$L156,FIND("/",Sync!$L156)+1,20),FIND("/",MID(Sync!$L156,FIND("/",Sync!$L156)+1,20))+1,20))),2),"")))</f>
        <v/>
      </c>
    </row>
    <row r="157">
      <c r="A157">
        <f>IF(Issues!$B160="","",Issues!$B160)</f>
        <v/>
      </c>
      <c r="B157">
        <f>IF($A157="","",IF(ISNUMBER(Issues!$C160),IF(AND(Issues!$C160&gt;=10000101,Issues!$C160&lt;=99991231),INT(Issues!$C160/10000),""),IFERROR(VALUE(TRIM(LEFT(Issues!$C160,FIND("/",Issues!$C160)-1))),"")))</f>
        <v/>
      </c>
      <c r="C157">
        <f>IF(OR($A157="",$B157=""),"",IF(ISNUMBER(Issues!$C160),INT(MOD(Issues!$C160,10000)/100),IFERROR(VALUE(TRIM(LEFT(MID(Issues!$C160,FIND("/",Issues!$C160)+1,20),FIND("/",MID(Issues!$C160,FIND("/",Issues!$C160)+1,20))-1))),"")))</f>
        <v/>
      </c>
      <c r="D157">
        <f>IF(OR($A157="",$B157=""),"",IF(ISNUMBER(Issues!$C160),MOD(Issues!$C160,100),IFERROR(VALUE(TRIM(MID(MID(Issues!$C160,FIND("/",Issues!$C160)+1,20),FIND("/",MID(Issues!$C160,FIND("/",Issues!$C160)+1,20))+1,20))),"")))</f>
        <v/>
      </c>
      <c r="E157">
        <f>IF($A157="","",IF(OR($B157="",$C157="",$D157="",$B157&lt;1300,$B157&gt;1500,$C157&lt;1,$C157&gt;12,$D157&lt;1,$D157&gt;31),"نامعتبر",RIGHT("0000"&amp;$B157,4)&amp;"/"&amp;RIGHT("00"&amp;$C157,2)&amp;"/"&amp;RIGHT("00"&amp;$D157,2)))</f>
        <v/>
      </c>
      <c r="F157">
        <f>IF($A157="","",IF(Issues!$D160="",0,Issues!$D160))</f>
        <v/>
      </c>
      <c r="G157">
        <f>IF($A157="","",Issues!$E160)</f>
        <v/>
      </c>
      <c r="H157">
        <f>IF($A157="","",IF(COUNTIFS(ETxnType,"پاس چک",ETxnChk,$A157)&gt;0,"پاس شده","پاس نشده"))</f>
        <v/>
      </c>
      <c r="I157">
        <f>IF($A157="","",IFERROR(INDEX(BClrDate,MATCH($A157,BClrChk,0)),""))</f>
        <v/>
      </c>
      <c r="J157">
        <f>IF($A157="","",Issues!$G160)</f>
        <v/>
      </c>
      <c r="K157">
        <f>IF(OR($E157="",$E157="نامعتبر"),"",LEFT($E157,4)&amp;MID($E157,6,2)&amp;RIGHT($E157,2)&amp;"|"&amp;RIGHT("00000"&amp;152,5))</f>
        <v/>
      </c>
      <c r="M157">
        <f>IF(Sync!$M157&lt;&gt;"پاس چک","",IF(Sync!$P157="","",Sync!$P157))</f>
        <v/>
      </c>
      <c r="N157">
        <f>IF($M157="","",IF(ISNUMBER(Sync!$L157),IF(AND(Sync!$L157&gt;=10000101,Sync!$L157&lt;=99991231),RIGHT("0000"&amp;INT(Sync!$L157/10000),4)&amp;"/"&amp;RIGHT("00"&amp;INT(MOD(Sync!$L157,10000)/100),2)&amp;"/"&amp;RIGHT("00"&amp;MOD(Sync!$L157,100),2),""),IFERROR(RIGHT("0000"&amp;VALUE(TRIM(LEFT(Sync!$L157,FIND("/",Sync!$L157)-1))),4)&amp;"/"&amp;RIGHT("00"&amp;VALUE(TRIM(LEFT(MID(Sync!$L157,FIND("/",Sync!$L157)+1,20),FIND("/",MID(Sync!$L157,FIND("/",Sync!$L157)+1,20))-1))),2)&amp;"/"&amp;RIGHT("00"&amp;VALUE(TRIM(MID(MID(Sync!$L157,FIND("/",Sync!$L157)+1,20),FIND("/",MID(Sync!$L157,FIND("/",Sync!$L157)+1,20))+1,20))),2),"")))</f>
        <v/>
      </c>
    </row>
    <row r="158">
      <c r="A158">
        <f>IF(Issues!$B161="","",Issues!$B161)</f>
        <v/>
      </c>
      <c r="B158">
        <f>IF($A158="","",IF(ISNUMBER(Issues!$C161),IF(AND(Issues!$C161&gt;=10000101,Issues!$C161&lt;=99991231),INT(Issues!$C161/10000),""),IFERROR(VALUE(TRIM(LEFT(Issues!$C161,FIND("/",Issues!$C161)-1))),"")))</f>
        <v/>
      </c>
      <c r="C158">
        <f>IF(OR($A158="",$B158=""),"",IF(ISNUMBER(Issues!$C161),INT(MOD(Issues!$C161,10000)/100),IFERROR(VALUE(TRIM(LEFT(MID(Issues!$C161,FIND("/",Issues!$C161)+1,20),FIND("/",MID(Issues!$C161,FIND("/",Issues!$C161)+1,20))-1))),"")))</f>
        <v/>
      </c>
      <c r="D158">
        <f>IF(OR($A158="",$B158=""),"",IF(ISNUMBER(Issues!$C161),MOD(Issues!$C161,100),IFERROR(VALUE(TRIM(MID(MID(Issues!$C161,FIND("/",Issues!$C161)+1,20),FIND("/",MID(Issues!$C161,FIND("/",Issues!$C161)+1,20))+1,20))),"")))</f>
        <v/>
      </c>
      <c r="E158">
        <f>IF($A158="","",IF(OR($B158="",$C158="",$D158="",$B158&lt;1300,$B158&gt;1500,$C158&lt;1,$C158&gt;12,$D158&lt;1,$D158&gt;31),"نامعتبر",RIGHT("0000"&amp;$B158,4)&amp;"/"&amp;RIGHT("00"&amp;$C158,2)&amp;"/"&amp;RIGHT("00"&amp;$D158,2)))</f>
        <v/>
      </c>
      <c r="F158">
        <f>IF($A158="","",IF(Issues!$D161="",0,Issues!$D161))</f>
        <v/>
      </c>
      <c r="G158">
        <f>IF($A158="","",Issues!$E161)</f>
        <v/>
      </c>
      <c r="H158">
        <f>IF($A158="","",IF(COUNTIFS(ETxnType,"پاس چک",ETxnChk,$A158)&gt;0,"پاس شده","پاس نشده"))</f>
        <v/>
      </c>
      <c r="I158">
        <f>IF($A158="","",IFERROR(INDEX(BClrDate,MATCH($A158,BClrChk,0)),""))</f>
        <v/>
      </c>
      <c r="J158">
        <f>IF($A158="","",Issues!$G161)</f>
        <v/>
      </c>
      <c r="K158">
        <f>IF(OR($E158="",$E158="نامعتبر"),"",LEFT($E158,4)&amp;MID($E158,6,2)&amp;RIGHT($E158,2)&amp;"|"&amp;RIGHT("00000"&amp;153,5))</f>
        <v/>
      </c>
      <c r="M158">
        <f>IF(Sync!$M158&lt;&gt;"پاس چک","",IF(Sync!$P158="","",Sync!$P158))</f>
        <v/>
      </c>
      <c r="N158">
        <f>IF($M158="","",IF(ISNUMBER(Sync!$L158),IF(AND(Sync!$L158&gt;=10000101,Sync!$L158&lt;=99991231),RIGHT("0000"&amp;INT(Sync!$L158/10000),4)&amp;"/"&amp;RIGHT("00"&amp;INT(MOD(Sync!$L158,10000)/100),2)&amp;"/"&amp;RIGHT("00"&amp;MOD(Sync!$L158,100),2),""),IFERROR(RIGHT("0000"&amp;VALUE(TRIM(LEFT(Sync!$L158,FIND("/",Sync!$L158)-1))),4)&amp;"/"&amp;RIGHT("00"&amp;VALUE(TRIM(LEFT(MID(Sync!$L158,FIND("/",Sync!$L158)+1,20),FIND("/",MID(Sync!$L158,FIND("/",Sync!$L158)+1,20))-1))),2)&amp;"/"&amp;RIGHT("00"&amp;VALUE(TRIM(MID(MID(Sync!$L158,FIND("/",Sync!$L158)+1,20),FIND("/",MID(Sync!$L158,FIND("/",Sync!$L158)+1,20))+1,20))),2),"")))</f>
        <v/>
      </c>
    </row>
    <row r="159">
      <c r="A159">
        <f>IF(Issues!$B162="","",Issues!$B162)</f>
        <v/>
      </c>
      <c r="B159">
        <f>IF($A159="","",IF(ISNUMBER(Issues!$C162),IF(AND(Issues!$C162&gt;=10000101,Issues!$C162&lt;=99991231),INT(Issues!$C162/10000),""),IFERROR(VALUE(TRIM(LEFT(Issues!$C162,FIND("/",Issues!$C162)-1))),"")))</f>
        <v/>
      </c>
      <c r="C159">
        <f>IF(OR($A159="",$B159=""),"",IF(ISNUMBER(Issues!$C162),INT(MOD(Issues!$C162,10000)/100),IFERROR(VALUE(TRIM(LEFT(MID(Issues!$C162,FIND("/",Issues!$C162)+1,20),FIND("/",MID(Issues!$C162,FIND("/",Issues!$C162)+1,20))-1))),"")))</f>
        <v/>
      </c>
      <c r="D159">
        <f>IF(OR($A159="",$B159=""),"",IF(ISNUMBER(Issues!$C162),MOD(Issues!$C162,100),IFERROR(VALUE(TRIM(MID(MID(Issues!$C162,FIND("/",Issues!$C162)+1,20),FIND("/",MID(Issues!$C162,FIND("/",Issues!$C162)+1,20))+1,20))),"")))</f>
        <v/>
      </c>
      <c r="E159">
        <f>IF($A159="","",IF(OR($B159="",$C159="",$D159="",$B159&lt;1300,$B159&gt;1500,$C159&lt;1,$C159&gt;12,$D159&lt;1,$D159&gt;31),"نامعتبر",RIGHT("0000"&amp;$B159,4)&amp;"/"&amp;RIGHT("00"&amp;$C159,2)&amp;"/"&amp;RIGHT("00"&amp;$D159,2)))</f>
        <v/>
      </c>
      <c r="F159">
        <f>IF($A159="","",IF(Issues!$D162="",0,Issues!$D162))</f>
        <v/>
      </c>
      <c r="G159">
        <f>IF($A159="","",Issues!$E162)</f>
        <v/>
      </c>
      <c r="H159">
        <f>IF($A159="","",IF(COUNTIFS(ETxnType,"پاس چک",ETxnChk,$A159)&gt;0,"پاس شده","پاس نشده"))</f>
        <v/>
      </c>
      <c r="I159">
        <f>IF($A159="","",IFERROR(INDEX(BClrDate,MATCH($A159,BClrChk,0)),""))</f>
        <v/>
      </c>
      <c r="J159">
        <f>IF($A159="","",Issues!$G162)</f>
        <v/>
      </c>
      <c r="K159">
        <f>IF(OR($E159="",$E159="نامعتبر"),"",LEFT($E159,4)&amp;MID($E159,6,2)&amp;RIGHT($E159,2)&amp;"|"&amp;RIGHT("00000"&amp;154,5))</f>
        <v/>
      </c>
      <c r="M159">
        <f>IF(Sync!$M159&lt;&gt;"پاس چک","",IF(Sync!$P159="","",Sync!$P159))</f>
        <v/>
      </c>
      <c r="N159">
        <f>IF($M159="","",IF(ISNUMBER(Sync!$L159),IF(AND(Sync!$L159&gt;=10000101,Sync!$L159&lt;=99991231),RIGHT("0000"&amp;INT(Sync!$L159/10000),4)&amp;"/"&amp;RIGHT("00"&amp;INT(MOD(Sync!$L159,10000)/100),2)&amp;"/"&amp;RIGHT("00"&amp;MOD(Sync!$L159,100),2),""),IFERROR(RIGHT("0000"&amp;VALUE(TRIM(LEFT(Sync!$L159,FIND("/",Sync!$L159)-1))),4)&amp;"/"&amp;RIGHT("00"&amp;VALUE(TRIM(LEFT(MID(Sync!$L159,FIND("/",Sync!$L159)+1,20),FIND("/",MID(Sync!$L159,FIND("/",Sync!$L159)+1,20))-1))),2)&amp;"/"&amp;RIGHT("00"&amp;VALUE(TRIM(MID(MID(Sync!$L159,FIND("/",Sync!$L159)+1,20),FIND("/",MID(Sync!$L159,FIND("/",Sync!$L159)+1,20))+1,20))),2),"")))</f>
        <v/>
      </c>
    </row>
    <row r="160">
      <c r="A160">
        <f>IF(Issues!$B163="","",Issues!$B163)</f>
        <v/>
      </c>
      <c r="B160">
        <f>IF($A160="","",IF(ISNUMBER(Issues!$C163),IF(AND(Issues!$C163&gt;=10000101,Issues!$C163&lt;=99991231),INT(Issues!$C163/10000),""),IFERROR(VALUE(TRIM(LEFT(Issues!$C163,FIND("/",Issues!$C163)-1))),"")))</f>
        <v/>
      </c>
      <c r="C160">
        <f>IF(OR($A160="",$B160=""),"",IF(ISNUMBER(Issues!$C163),INT(MOD(Issues!$C163,10000)/100),IFERROR(VALUE(TRIM(LEFT(MID(Issues!$C163,FIND("/",Issues!$C163)+1,20),FIND("/",MID(Issues!$C163,FIND("/",Issues!$C163)+1,20))-1))),"")))</f>
        <v/>
      </c>
      <c r="D160">
        <f>IF(OR($A160="",$B160=""),"",IF(ISNUMBER(Issues!$C163),MOD(Issues!$C163,100),IFERROR(VALUE(TRIM(MID(MID(Issues!$C163,FIND("/",Issues!$C163)+1,20),FIND("/",MID(Issues!$C163,FIND("/",Issues!$C163)+1,20))+1,20))),"")))</f>
        <v/>
      </c>
      <c r="E160">
        <f>IF($A160="","",IF(OR($B160="",$C160="",$D160="",$B160&lt;1300,$B160&gt;1500,$C160&lt;1,$C160&gt;12,$D160&lt;1,$D160&gt;31),"نامعتبر",RIGHT("0000"&amp;$B160,4)&amp;"/"&amp;RIGHT("00"&amp;$C160,2)&amp;"/"&amp;RIGHT("00"&amp;$D160,2)))</f>
        <v/>
      </c>
      <c r="F160">
        <f>IF($A160="","",IF(Issues!$D163="",0,Issues!$D163))</f>
        <v/>
      </c>
      <c r="G160">
        <f>IF($A160="","",Issues!$E163)</f>
        <v/>
      </c>
      <c r="H160">
        <f>IF($A160="","",IF(COUNTIFS(ETxnType,"پاس چک",ETxnChk,$A160)&gt;0,"پاس شده","پاس نشده"))</f>
        <v/>
      </c>
      <c r="I160">
        <f>IF($A160="","",IFERROR(INDEX(BClrDate,MATCH($A160,BClrChk,0)),""))</f>
        <v/>
      </c>
      <c r="J160">
        <f>IF($A160="","",Issues!$G163)</f>
        <v/>
      </c>
      <c r="K160">
        <f>IF(OR($E160="",$E160="نامعتبر"),"",LEFT($E160,4)&amp;MID($E160,6,2)&amp;RIGHT($E160,2)&amp;"|"&amp;RIGHT("00000"&amp;155,5))</f>
        <v/>
      </c>
      <c r="M160">
        <f>IF(Sync!$M160&lt;&gt;"پاس چک","",IF(Sync!$P160="","",Sync!$P160))</f>
        <v/>
      </c>
      <c r="N160">
        <f>IF($M160="","",IF(ISNUMBER(Sync!$L160),IF(AND(Sync!$L160&gt;=10000101,Sync!$L160&lt;=99991231),RIGHT("0000"&amp;INT(Sync!$L160/10000),4)&amp;"/"&amp;RIGHT("00"&amp;INT(MOD(Sync!$L160,10000)/100),2)&amp;"/"&amp;RIGHT("00"&amp;MOD(Sync!$L160,100),2),""),IFERROR(RIGHT("0000"&amp;VALUE(TRIM(LEFT(Sync!$L160,FIND("/",Sync!$L160)-1))),4)&amp;"/"&amp;RIGHT("00"&amp;VALUE(TRIM(LEFT(MID(Sync!$L160,FIND("/",Sync!$L160)+1,20),FIND("/",MID(Sync!$L160,FIND("/",Sync!$L160)+1,20))-1))),2)&amp;"/"&amp;RIGHT("00"&amp;VALUE(TRIM(MID(MID(Sync!$L160,FIND("/",Sync!$L160)+1,20),FIND("/",MID(Sync!$L160,FIND("/",Sync!$L160)+1,20))+1,20))),2),"")))</f>
        <v/>
      </c>
    </row>
    <row r="161">
      <c r="A161">
        <f>IF(Issues!$B164="","",Issues!$B164)</f>
        <v/>
      </c>
      <c r="B161">
        <f>IF($A161="","",IF(ISNUMBER(Issues!$C164),IF(AND(Issues!$C164&gt;=10000101,Issues!$C164&lt;=99991231),INT(Issues!$C164/10000),""),IFERROR(VALUE(TRIM(LEFT(Issues!$C164,FIND("/",Issues!$C164)-1))),"")))</f>
        <v/>
      </c>
      <c r="C161">
        <f>IF(OR($A161="",$B161=""),"",IF(ISNUMBER(Issues!$C164),INT(MOD(Issues!$C164,10000)/100),IFERROR(VALUE(TRIM(LEFT(MID(Issues!$C164,FIND("/",Issues!$C164)+1,20),FIND("/",MID(Issues!$C164,FIND("/",Issues!$C164)+1,20))-1))),"")))</f>
        <v/>
      </c>
      <c r="D161">
        <f>IF(OR($A161="",$B161=""),"",IF(ISNUMBER(Issues!$C164),MOD(Issues!$C164,100),IFERROR(VALUE(TRIM(MID(MID(Issues!$C164,FIND("/",Issues!$C164)+1,20),FIND("/",MID(Issues!$C164,FIND("/",Issues!$C164)+1,20))+1,20))),"")))</f>
        <v/>
      </c>
      <c r="E161">
        <f>IF($A161="","",IF(OR($B161="",$C161="",$D161="",$B161&lt;1300,$B161&gt;1500,$C161&lt;1,$C161&gt;12,$D161&lt;1,$D161&gt;31),"نامعتبر",RIGHT("0000"&amp;$B161,4)&amp;"/"&amp;RIGHT("00"&amp;$C161,2)&amp;"/"&amp;RIGHT("00"&amp;$D161,2)))</f>
        <v/>
      </c>
      <c r="F161">
        <f>IF($A161="","",IF(Issues!$D164="",0,Issues!$D164))</f>
        <v/>
      </c>
      <c r="G161">
        <f>IF($A161="","",Issues!$E164)</f>
        <v/>
      </c>
      <c r="H161">
        <f>IF($A161="","",IF(COUNTIFS(ETxnType,"پاس چک",ETxnChk,$A161)&gt;0,"پاس شده","پاس نشده"))</f>
        <v/>
      </c>
      <c r="I161">
        <f>IF($A161="","",IFERROR(INDEX(BClrDate,MATCH($A161,BClrChk,0)),""))</f>
        <v/>
      </c>
      <c r="J161">
        <f>IF($A161="","",Issues!$G164)</f>
        <v/>
      </c>
      <c r="K161">
        <f>IF(OR($E161="",$E161="نامعتبر"),"",LEFT($E161,4)&amp;MID($E161,6,2)&amp;RIGHT($E161,2)&amp;"|"&amp;RIGHT("00000"&amp;156,5))</f>
        <v/>
      </c>
      <c r="M161">
        <f>IF(Sync!$M161&lt;&gt;"پاس چک","",IF(Sync!$P161="","",Sync!$P161))</f>
        <v/>
      </c>
      <c r="N161">
        <f>IF($M161="","",IF(ISNUMBER(Sync!$L161),IF(AND(Sync!$L161&gt;=10000101,Sync!$L161&lt;=99991231),RIGHT("0000"&amp;INT(Sync!$L161/10000),4)&amp;"/"&amp;RIGHT("00"&amp;INT(MOD(Sync!$L161,10000)/100),2)&amp;"/"&amp;RIGHT("00"&amp;MOD(Sync!$L161,100),2),""),IFERROR(RIGHT("0000"&amp;VALUE(TRIM(LEFT(Sync!$L161,FIND("/",Sync!$L161)-1))),4)&amp;"/"&amp;RIGHT("00"&amp;VALUE(TRIM(LEFT(MID(Sync!$L161,FIND("/",Sync!$L161)+1,20),FIND("/",MID(Sync!$L161,FIND("/",Sync!$L161)+1,20))-1))),2)&amp;"/"&amp;RIGHT("00"&amp;VALUE(TRIM(MID(MID(Sync!$L161,FIND("/",Sync!$L161)+1,20),FIND("/",MID(Sync!$L161,FIND("/",Sync!$L161)+1,20))+1,20))),2),"")))</f>
        <v/>
      </c>
    </row>
    <row r="162">
      <c r="A162">
        <f>IF(Issues!$B165="","",Issues!$B165)</f>
        <v/>
      </c>
      <c r="B162">
        <f>IF($A162="","",IF(ISNUMBER(Issues!$C165),IF(AND(Issues!$C165&gt;=10000101,Issues!$C165&lt;=99991231),INT(Issues!$C165/10000),""),IFERROR(VALUE(TRIM(LEFT(Issues!$C165,FIND("/",Issues!$C165)-1))),"")))</f>
        <v/>
      </c>
      <c r="C162">
        <f>IF(OR($A162="",$B162=""),"",IF(ISNUMBER(Issues!$C165),INT(MOD(Issues!$C165,10000)/100),IFERROR(VALUE(TRIM(LEFT(MID(Issues!$C165,FIND("/",Issues!$C165)+1,20),FIND("/",MID(Issues!$C165,FIND("/",Issues!$C165)+1,20))-1))),"")))</f>
        <v/>
      </c>
      <c r="D162">
        <f>IF(OR($A162="",$B162=""),"",IF(ISNUMBER(Issues!$C165),MOD(Issues!$C165,100),IFERROR(VALUE(TRIM(MID(MID(Issues!$C165,FIND("/",Issues!$C165)+1,20),FIND("/",MID(Issues!$C165,FIND("/",Issues!$C165)+1,20))+1,20))),"")))</f>
        <v/>
      </c>
      <c r="E162">
        <f>IF($A162="","",IF(OR($B162="",$C162="",$D162="",$B162&lt;1300,$B162&gt;1500,$C162&lt;1,$C162&gt;12,$D162&lt;1,$D162&gt;31),"نامعتبر",RIGHT("0000"&amp;$B162,4)&amp;"/"&amp;RIGHT("00"&amp;$C162,2)&amp;"/"&amp;RIGHT("00"&amp;$D162,2)))</f>
        <v/>
      </c>
      <c r="F162">
        <f>IF($A162="","",IF(Issues!$D165="",0,Issues!$D165))</f>
        <v/>
      </c>
      <c r="G162">
        <f>IF($A162="","",Issues!$E165)</f>
        <v/>
      </c>
      <c r="H162">
        <f>IF($A162="","",IF(COUNTIFS(ETxnType,"پاس چک",ETxnChk,$A162)&gt;0,"پاس شده","پاس نشده"))</f>
        <v/>
      </c>
      <c r="I162">
        <f>IF($A162="","",IFERROR(INDEX(BClrDate,MATCH($A162,BClrChk,0)),""))</f>
        <v/>
      </c>
      <c r="J162">
        <f>IF($A162="","",Issues!$G165)</f>
        <v/>
      </c>
      <c r="K162">
        <f>IF(OR($E162="",$E162="نامعتبر"),"",LEFT($E162,4)&amp;MID($E162,6,2)&amp;RIGHT($E162,2)&amp;"|"&amp;RIGHT("00000"&amp;157,5))</f>
        <v/>
      </c>
      <c r="M162">
        <f>IF(Sync!$M162&lt;&gt;"پاس چک","",IF(Sync!$P162="","",Sync!$P162))</f>
        <v/>
      </c>
      <c r="N162">
        <f>IF($M162="","",IF(ISNUMBER(Sync!$L162),IF(AND(Sync!$L162&gt;=10000101,Sync!$L162&lt;=99991231),RIGHT("0000"&amp;INT(Sync!$L162/10000),4)&amp;"/"&amp;RIGHT("00"&amp;INT(MOD(Sync!$L162,10000)/100),2)&amp;"/"&amp;RIGHT("00"&amp;MOD(Sync!$L162,100),2),""),IFERROR(RIGHT("0000"&amp;VALUE(TRIM(LEFT(Sync!$L162,FIND("/",Sync!$L162)-1))),4)&amp;"/"&amp;RIGHT("00"&amp;VALUE(TRIM(LEFT(MID(Sync!$L162,FIND("/",Sync!$L162)+1,20),FIND("/",MID(Sync!$L162,FIND("/",Sync!$L162)+1,20))-1))),2)&amp;"/"&amp;RIGHT("00"&amp;VALUE(TRIM(MID(MID(Sync!$L162,FIND("/",Sync!$L162)+1,20),FIND("/",MID(Sync!$L162,FIND("/",Sync!$L162)+1,20))+1,20))),2),"")))</f>
        <v/>
      </c>
    </row>
    <row r="163">
      <c r="A163">
        <f>IF(Issues!$B166="","",Issues!$B166)</f>
        <v/>
      </c>
      <c r="B163">
        <f>IF($A163="","",IF(ISNUMBER(Issues!$C166),IF(AND(Issues!$C166&gt;=10000101,Issues!$C166&lt;=99991231),INT(Issues!$C166/10000),""),IFERROR(VALUE(TRIM(LEFT(Issues!$C166,FIND("/",Issues!$C166)-1))),"")))</f>
        <v/>
      </c>
      <c r="C163">
        <f>IF(OR($A163="",$B163=""),"",IF(ISNUMBER(Issues!$C166),INT(MOD(Issues!$C166,10000)/100),IFERROR(VALUE(TRIM(LEFT(MID(Issues!$C166,FIND("/",Issues!$C166)+1,20),FIND("/",MID(Issues!$C166,FIND("/",Issues!$C166)+1,20))-1))),"")))</f>
        <v/>
      </c>
      <c r="D163">
        <f>IF(OR($A163="",$B163=""),"",IF(ISNUMBER(Issues!$C166),MOD(Issues!$C166,100),IFERROR(VALUE(TRIM(MID(MID(Issues!$C166,FIND("/",Issues!$C166)+1,20),FIND("/",MID(Issues!$C166,FIND("/",Issues!$C166)+1,20))+1,20))),"")))</f>
        <v/>
      </c>
      <c r="E163">
        <f>IF($A163="","",IF(OR($B163="",$C163="",$D163="",$B163&lt;1300,$B163&gt;1500,$C163&lt;1,$C163&gt;12,$D163&lt;1,$D163&gt;31),"نامعتبر",RIGHT("0000"&amp;$B163,4)&amp;"/"&amp;RIGHT("00"&amp;$C163,2)&amp;"/"&amp;RIGHT("00"&amp;$D163,2)))</f>
        <v/>
      </c>
      <c r="F163">
        <f>IF($A163="","",IF(Issues!$D166="",0,Issues!$D166))</f>
        <v/>
      </c>
      <c r="G163">
        <f>IF($A163="","",Issues!$E166)</f>
        <v/>
      </c>
      <c r="H163">
        <f>IF($A163="","",IF(COUNTIFS(ETxnType,"پاس چک",ETxnChk,$A163)&gt;0,"پاس شده","پاس نشده"))</f>
        <v/>
      </c>
      <c r="I163">
        <f>IF($A163="","",IFERROR(INDEX(BClrDate,MATCH($A163,BClrChk,0)),""))</f>
        <v/>
      </c>
      <c r="J163">
        <f>IF($A163="","",Issues!$G166)</f>
        <v/>
      </c>
      <c r="K163">
        <f>IF(OR($E163="",$E163="نامعتبر"),"",LEFT($E163,4)&amp;MID($E163,6,2)&amp;RIGHT($E163,2)&amp;"|"&amp;RIGHT("00000"&amp;158,5))</f>
        <v/>
      </c>
      <c r="M163">
        <f>IF(Sync!$M163&lt;&gt;"پاس چک","",IF(Sync!$P163="","",Sync!$P163))</f>
        <v/>
      </c>
      <c r="N163">
        <f>IF($M163="","",IF(ISNUMBER(Sync!$L163),IF(AND(Sync!$L163&gt;=10000101,Sync!$L163&lt;=99991231),RIGHT("0000"&amp;INT(Sync!$L163/10000),4)&amp;"/"&amp;RIGHT("00"&amp;INT(MOD(Sync!$L163,10000)/100),2)&amp;"/"&amp;RIGHT("00"&amp;MOD(Sync!$L163,100),2),""),IFERROR(RIGHT("0000"&amp;VALUE(TRIM(LEFT(Sync!$L163,FIND("/",Sync!$L163)-1))),4)&amp;"/"&amp;RIGHT("00"&amp;VALUE(TRIM(LEFT(MID(Sync!$L163,FIND("/",Sync!$L163)+1,20),FIND("/",MID(Sync!$L163,FIND("/",Sync!$L163)+1,20))-1))),2)&amp;"/"&amp;RIGHT("00"&amp;VALUE(TRIM(MID(MID(Sync!$L163,FIND("/",Sync!$L163)+1,20),FIND("/",MID(Sync!$L163,FIND("/",Sync!$L163)+1,20))+1,20))),2),"")))</f>
        <v/>
      </c>
    </row>
    <row r="164">
      <c r="A164">
        <f>IF(Issues!$B167="","",Issues!$B167)</f>
        <v/>
      </c>
      <c r="B164">
        <f>IF($A164="","",IF(ISNUMBER(Issues!$C167),IF(AND(Issues!$C167&gt;=10000101,Issues!$C167&lt;=99991231),INT(Issues!$C167/10000),""),IFERROR(VALUE(TRIM(LEFT(Issues!$C167,FIND("/",Issues!$C167)-1))),"")))</f>
        <v/>
      </c>
      <c r="C164">
        <f>IF(OR($A164="",$B164=""),"",IF(ISNUMBER(Issues!$C167),INT(MOD(Issues!$C167,10000)/100),IFERROR(VALUE(TRIM(LEFT(MID(Issues!$C167,FIND("/",Issues!$C167)+1,20),FIND("/",MID(Issues!$C167,FIND("/",Issues!$C167)+1,20))-1))),"")))</f>
        <v/>
      </c>
      <c r="D164">
        <f>IF(OR($A164="",$B164=""),"",IF(ISNUMBER(Issues!$C167),MOD(Issues!$C167,100),IFERROR(VALUE(TRIM(MID(MID(Issues!$C167,FIND("/",Issues!$C167)+1,20),FIND("/",MID(Issues!$C167,FIND("/",Issues!$C167)+1,20))+1,20))),"")))</f>
        <v/>
      </c>
      <c r="E164">
        <f>IF($A164="","",IF(OR($B164="",$C164="",$D164="",$B164&lt;1300,$B164&gt;1500,$C164&lt;1,$C164&gt;12,$D164&lt;1,$D164&gt;31),"نامعتبر",RIGHT("0000"&amp;$B164,4)&amp;"/"&amp;RIGHT("00"&amp;$C164,2)&amp;"/"&amp;RIGHT("00"&amp;$D164,2)))</f>
        <v/>
      </c>
      <c r="F164">
        <f>IF($A164="","",IF(Issues!$D167="",0,Issues!$D167))</f>
        <v/>
      </c>
      <c r="G164">
        <f>IF($A164="","",Issues!$E167)</f>
        <v/>
      </c>
      <c r="H164">
        <f>IF($A164="","",IF(COUNTIFS(ETxnType,"پاس چک",ETxnChk,$A164)&gt;0,"پاس شده","پاس نشده"))</f>
        <v/>
      </c>
      <c r="I164">
        <f>IF($A164="","",IFERROR(INDEX(BClrDate,MATCH($A164,BClrChk,0)),""))</f>
        <v/>
      </c>
      <c r="J164">
        <f>IF($A164="","",Issues!$G167)</f>
        <v/>
      </c>
      <c r="K164">
        <f>IF(OR($E164="",$E164="نامعتبر"),"",LEFT($E164,4)&amp;MID($E164,6,2)&amp;RIGHT($E164,2)&amp;"|"&amp;RIGHT("00000"&amp;159,5))</f>
        <v/>
      </c>
      <c r="M164">
        <f>IF(Sync!$M164&lt;&gt;"پاس چک","",IF(Sync!$P164="","",Sync!$P164))</f>
        <v/>
      </c>
      <c r="N164">
        <f>IF($M164="","",IF(ISNUMBER(Sync!$L164),IF(AND(Sync!$L164&gt;=10000101,Sync!$L164&lt;=99991231),RIGHT("0000"&amp;INT(Sync!$L164/10000),4)&amp;"/"&amp;RIGHT("00"&amp;INT(MOD(Sync!$L164,10000)/100),2)&amp;"/"&amp;RIGHT("00"&amp;MOD(Sync!$L164,100),2),""),IFERROR(RIGHT("0000"&amp;VALUE(TRIM(LEFT(Sync!$L164,FIND("/",Sync!$L164)-1))),4)&amp;"/"&amp;RIGHT("00"&amp;VALUE(TRIM(LEFT(MID(Sync!$L164,FIND("/",Sync!$L164)+1,20),FIND("/",MID(Sync!$L164,FIND("/",Sync!$L164)+1,20))-1))),2)&amp;"/"&amp;RIGHT("00"&amp;VALUE(TRIM(MID(MID(Sync!$L164,FIND("/",Sync!$L164)+1,20),FIND("/",MID(Sync!$L164,FIND("/",Sync!$L164)+1,20))+1,20))),2),"")))</f>
        <v/>
      </c>
    </row>
    <row r="165">
      <c r="A165">
        <f>IF(Issues!$B168="","",Issues!$B168)</f>
        <v/>
      </c>
      <c r="B165">
        <f>IF($A165="","",IF(ISNUMBER(Issues!$C168),IF(AND(Issues!$C168&gt;=10000101,Issues!$C168&lt;=99991231),INT(Issues!$C168/10000),""),IFERROR(VALUE(TRIM(LEFT(Issues!$C168,FIND("/",Issues!$C168)-1))),"")))</f>
        <v/>
      </c>
      <c r="C165">
        <f>IF(OR($A165="",$B165=""),"",IF(ISNUMBER(Issues!$C168),INT(MOD(Issues!$C168,10000)/100),IFERROR(VALUE(TRIM(LEFT(MID(Issues!$C168,FIND("/",Issues!$C168)+1,20),FIND("/",MID(Issues!$C168,FIND("/",Issues!$C168)+1,20))-1))),"")))</f>
        <v/>
      </c>
      <c r="D165">
        <f>IF(OR($A165="",$B165=""),"",IF(ISNUMBER(Issues!$C168),MOD(Issues!$C168,100),IFERROR(VALUE(TRIM(MID(MID(Issues!$C168,FIND("/",Issues!$C168)+1,20),FIND("/",MID(Issues!$C168,FIND("/",Issues!$C168)+1,20))+1,20))),"")))</f>
        <v/>
      </c>
      <c r="E165">
        <f>IF($A165="","",IF(OR($B165="",$C165="",$D165="",$B165&lt;1300,$B165&gt;1500,$C165&lt;1,$C165&gt;12,$D165&lt;1,$D165&gt;31),"نامعتبر",RIGHT("0000"&amp;$B165,4)&amp;"/"&amp;RIGHT("00"&amp;$C165,2)&amp;"/"&amp;RIGHT("00"&amp;$D165,2)))</f>
        <v/>
      </c>
      <c r="F165">
        <f>IF($A165="","",IF(Issues!$D168="",0,Issues!$D168))</f>
        <v/>
      </c>
      <c r="G165">
        <f>IF($A165="","",Issues!$E168)</f>
        <v/>
      </c>
      <c r="H165">
        <f>IF($A165="","",IF(COUNTIFS(ETxnType,"پاس چک",ETxnChk,$A165)&gt;0,"پاس شده","پاس نشده"))</f>
        <v/>
      </c>
      <c r="I165">
        <f>IF($A165="","",IFERROR(INDEX(BClrDate,MATCH($A165,BClrChk,0)),""))</f>
        <v/>
      </c>
      <c r="J165">
        <f>IF($A165="","",Issues!$G168)</f>
        <v/>
      </c>
      <c r="K165">
        <f>IF(OR($E165="",$E165="نامعتبر"),"",LEFT($E165,4)&amp;MID($E165,6,2)&amp;RIGHT($E165,2)&amp;"|"&amp;RIGHT("00000"&amp;160,5))</f>
        <v/>
      </c>
      <c r="M165">
        <f>IF(Sync!$M165&lt;&gt;"پاس چک","",IF(Sync!$P165="","",Sync!$P165))</f>
        <v/>
      </c>
      <c r="N165">
        <f>IF($M165="","",IF(ISNUMBER(Sync!$L165),IF(AND(Sync!$L165&gt;=10000101,Sync!$L165&lt;=99991231),RIGHT("0000"&amp;INT(Sync!$L165/10000),4)&amp;"/"&amp;RIGHT("00"&amp;INT(MOD(Sync!$L165,10000)/100),2)&amp;"/"&amp;RIGHT("00"&amp;MOD(Sync!$L165,100),2),""),IFERROR(RIGHT("0000"&amp;VALUE(TRIM(LEFT(Sync!$L165,FIND("/",Sync!$L165)-1))),4)&amp;"/"&amp;RIGHT("00"&amp;VALUE(TRIM(LEFT(MID(Sync!$L165,FIND("/",Sync!$L165)+1,20),FIND("/",MID(Sync!$L165,FIND("/",Sync!$L165)+1,20))-1))),2)&amp;"/"&amp;RIGHT("00"&amp;VALUE(TRIM(MID(MID(Sync!$L165,FIND("/",Sync!$L165)+1,20),FIND("/",MID(Sync!$L165,FIND("/",Sync!$L165)+1,20))+1,20))),2),"")))</f>
        <v/>
      </c>
    </row>
    <row r="166">
      <c r="A166">
        <f>IF(Issues!$B169="","",Issues!$B169)</f>
        <v/>
      </c>
      <c r="B166">
        <f>IF($A166="","",IF(ISNUMBER(Issues!$C169),IF(AND(Issues!$C169&gt;=10000101,Issues!$C169&lt;=99991231),INT(Issues!$C169/10000),""),IFERROR(VALUE(TRIM(LEFT(Issues!$C169,FIND("/",Issues!$C169)-1))),"")))</f>
        <v/>
      </c>
      <c r="C166">
        <f>IF(OR($A166="",$B166=""),"",IF(ISNUMBER(Issues!$C169),INT(MOD(Issues!$C169,10000)/100),IFERROR(VALUE(TRIM(LEFT(MID(Issues!$C169,FIND("/",Issues!$C169)+1,20),FIND("/",MID(Issues!$C169,FIND("/",Issues!$C169)+1,20))-1))),"")))</f>
        <v/>
      </c>
      <c r="D166">
        <f>IF(OR($A166="",$B166=""),"",IF(ISNUMBER(Issues!$C169),MOD(Issues!$C169,100),IFERROR(VALUE(TRIM(MID(MID(Issues!$C169,FIND("/",Issues!$C169)+1,20),FIND("/",MID(Issues!$C169,FIND("/",Issues!$C169)+1,20))+1,20))),"")))</f>
        <v/>
      </c>
      <c r="E166">
        <f>IF($A166="","",IF(OR($B166="",$C166="",$D166="",$B166&lt;1300,$B166&gt;1500,$C166&lt;1,$C166&gt;12,$D166&lt;1,$D166&gt;31),"نامعتبر",RIGHT("0000"&amp;$B166,4)&amp;"/"&amp;RIGHT("00"&amp;$C166,2)&amp;"/"&amp;RIGHT("00"&amp;$D166,2)))</f>
        <v/>
      </c>
      <c r="F166">
        <f>IF($A166="","",IF(Issues!$D169="",0,Issues!$D169))</f>
        <v/>
      </c>
      <c r="G166">
        <f>IF($A166="","",Issues!$E169)</f>
        <v/>
      </c>
      <c r="H166">
        <f>IF($A166="","",IF(COUNTIFS(ETxnType,"پاس چک",ETxnChk,$A166)&gt;0,"پاس شده","پاس نشده"))</f>
        <v/>
      </c>
      <c r="I166">
        <f>IF($A166="","",IFERROR(INDEX(BClrDate,MATCH($A166,BClrChk,0)),""))</f>
        <v/>
      </c>
      <c r="J166">
        <f>IF($A166="","",Issues!$G169)</f>
        <v/>
      </c>
      <c r="K166">
        <f>IF(OR($E166="",$E166="نامعتبر"),"",LEFT($E166,4)&amp;MID($E166,6,2)&amp;RIGHT($E166,2)&amp;"|"&amp;RIGHT("00000"&amp;161,5))</f>
        <v/>
      </c>
      <c r="M166">
        <f>IF(Sync!$M166&lt;&gt;"پاس چک","",IF(Sync!$P166="","",Sync!$P166))</f>
        <v/>
      </c>
      <c r="N166">
        <f>IF($M166="","",IF(ISNUMBER(Sync!$L166),IF(AND(Sync!$L166&gt;=10000101,Sync!$L166&lt;=99991231),RIGHT("0000"&amp;INT(Sync!$L166/10000),4)&amp;"/"&amp;RIGHT("00"&amp;INT(MOD(Sync!$L166,10000)/100),2)&amp;"/"&amp;RIGHT("00"&amp;MOD(Sync!$L166,100),2),""),IFERROR(RIGHT("0000"&amp;VALUE(TRIM(LEFT(Sync!$L166,FIND("/",Sync!$L166)-1))),4)&amp;"/"&amp;RIGHT("00"&amp;VALUE(TRIM(LEFT(MID(Sync!$L166,FIND("/",Sync!$L166)+1,20),FIND("/",MID(Sync!$L166,FIND("/",Sync!$L166)+1,20))-1))),2)&amp;"/"&amp;RIGHT("00"&amp;VALUE(TRIM(MID(MID(Sync!$L166,FIND("/",Sync!$L166)+1,20),FIND("/",MID(Sync!$L166,FIND("/",Sync!$L166)+1,20))+1,20))),2),"")))</f>
        <v/>
      </c>
    </row>
    <row r="167">
      <c r="A167">
        <f>IF(Issues!$B170="","",Issues!$B170)</f>
        <v/>
      </c>
      <c r="B167">
        <f>IF($A167="","",IF(ISNUMBER(Issues!$C170),IF(AND(Issues!$C170&gt;=10000101,Issues!$C170&lt;=99991231),INT(Issues!$C170/10000),""),IFERROR(VALUE(TRIM(LEFT(Issues!$C170,FIND("/",Issues!$C170)-1))),"")))</f>
        <v/>
      </c>
      <c r="C167">
        <f>IF(OR($A167="",$B167=""),"",IF(ISNUMBER(Issues!$C170),INT(MOD(Issues!$C170,10000)/100),IFERROR(VALUE(TRIM(LEFT(MID(Issues!$C170,FIND("/",Issues!$C170)+1,20),FIND("/",MID(Issues!$C170,FIND("/",Issues!$C170)+1,20))-1))),"")))</f>
        <v/>
      </c>
      <c r="D167">
        <f>IF(OR($A167="",$B167=""),"",IF(ISNUMBER(Issues!$C170),MOD(Issues!$C170,100),IFERROR(VALUE(TRIM(MID(MID(Issues!$C170,FIND("/",Issues!$C170)+1,20),FIND("/",MID(Issues!$C170,FIND("/",Issues!$C170)+1,20))+1,20))),"")))</f>
        <v/>
      </c>
      <c r="E167">
        <f>IF($A167="","",IF(OR($B167="",$C167="",$D167="",$B167&lt;1300,$B167&gt;1500,$C167&lt;1,$C167&gt;12,$D167&lt;1,$D167&gt;31),"نامعتبر",RIGHT("0000"&amp;$B167,4)&amp;"/"&amp;RIGHT("00"&amp;$C167,2)&amp;"/"&amp;RIGHT("00"&amp;$D167,2)))</f>
        <v/>
      </c>
      <c r="F167">
        <f>IF($A167="","",IF(Issues!$D170="",0,Issues!$D170))</f>
        <v/>
      </c>
      <c r="G167">
        <f>IF($A167="","",Issues!$E170)</f>
        <v/>
      </c>
      <c r="H167">
        <f>IF($A167="","",IF(COUNTIFS(ETxnType,"پاس چک",ETxnChk,$A167)&gt;0,"پاس شده","پاس نشده"))</f>
        <v/>
      </c>
      <c r="I167">
        <f>IF($A167="","",IFERROR(INDEX(BClrDate,MATCH($A167,BClrChk,0)),""))</f>
        <v/>
      </c>
      <c r="J167">
        <f>IF($A167="","",Issues!$G170)</f>
        <v/>
      </c>
      <c r="K167">
        <f>IF(OR($E167="",$E167="نامعتبر"),"",LEFT($E167,4)&amp;MID($E167,6,2)&amp;RIGHT($E167,2)&amp;"|"&amp;RIGHT("00000"&amp;162,5))</f>
        <v/>
      </c>
      <c r="M167">
        <f>IF(Sync!$M167&lt;&gt;"پاس چک","",IF(Sync!$P167="","",Sync!$P167))</f>
        <v/>
      </c>
      <c r="N167">
        <f>IF($M167="","",IF(ISNUMBER(Sync!$L167),IF(AND(Sync!$L167&gt;=10000101,Sync!$L167&lt;=99991231),RIGHT("0000"&amp;INT(Sync!$L167/10000),4)&amp;"/"&amp;RIGHT("00"&amp;INT(MOD(Sync!$L167,10000)/100),2)&amp;"/"&amp;RIGHT("00"&amp;MOD(Sync!$L167,100),2),""),IFERROR(RIGHT("0000"&amp;VALUE(TRIM(LEFT(Sync!$L167,FIND("/",Sync!$L167)-1))),4)&amp;"/"&amp;RIGHT("00"&amp;VALUE(TRIM(LEFT(MID(Sync!$L167,FIND("/",Sync!$L167)+1,20),FIND("/",MID(Sync!$L167,FIND("/",Sync!$L167)+1,20))-1))),2)&amp;"/"&amp;RIGHT("00"&amp;VALUE(TRIM(MID(MID(Sync!$L167,FIND("/",Sync!$L167)+1,20),FIND("/",MID(Sync!$L167,FIND("/",Sync!$L167)+1,20))+1,20))),2),"")))</f>
        <v/>
      </c>
    </row>
    <row r="168">
      <c r="A168">
        <f>IF(Issues!$B171="","",Issues!$B171)</f>
        <v/>
      </c>
      <c r="B168">
        <f>IF($A168="","",IF(ISNUMBER(Issues!$C171),IF(AND(Issues!$C171&gt;=10000101,Issues!$C171&lt;=99991231),INT(Issues!$C171/10000),""),IFERROR(VALUE(TRIM(LEFT(Issues!$C171,FIND("/",Issues!$C171)-1))),"")))</f>
        <v/>
      </c>
      <c r="C168">
        <f>IF(OR($A168="",$B168=""),"",IF(ISNUMBER(Issues!$C171),INT(MOD(Issues!$C171,10000)/100),IFERROR(VALUE(TRIM(LEFT(MID(Issues!$C171,FIND("/",Issues!$C171)+1,20),FIND("/",MID(Issues!$C171,FIND("/",Issues!$C171)+1,20))-1))),"")))</f>
        <v/>
      </c>
      <c r="D168">
        <f>IF(OR($A168="",$B168=""),"",IF(ISNUMBER(Issues!$C171),MOD(Issues!$C171,100),IFERROR(VALUE(TRIM(MID(MID(Issues!$C171,FIND("/",Issues!$C171)+1,20),FIND("/",MID(Issues!$C171,FIND("/",Issues!$C171)+1,20))+1,20))),"")))</f>
        <v/>
      </c>
      <c r="E168">
        <f>IF($A168="","",IF(OR($B168="",$C168="",$D168="",$B168&lt;1300,$B168&gt;1500,$C168&lt;1,$C168&gt;12,$D168&lt;1,$D168&gt;31),"نامعتبر",RIGHT("0000"&amp;$B168,4)&amp;"/"&amp;RIGHT("00"&amp;$C168,2)&amp;"/"&amp;RIGHT("00"&amp;$D168,2)))</f>
        <v/>
      </c>
      <c r="F168">
        <f>IF($A168="","",IF(Issues!$D171="",0,Issues!$D171))</f>
        <v/>
      </c>
      <c r="G168">
        <f>IF($A168="","",Issues!$E171)</f>
        <v/>
      </c>
      <c r="H168">
        <f>IF($A168="","",IF(COUNTIFS(ETxnType,"پاس چک",ETxnChk,$A168)&gt;0,"پاس شده","پاس نشده"))</f>
        <v/>
      </c>
      <c r="I168">
        <f>IF($A168="","",IFERROR(INDEX(BClrDate,MATCH($A168,BClrChk,0)),""))</f>
        <v/>
      </c>
      <c r="J168">
        <f>IF($A168="","",Issues!$G171)</f>
        <v/>
      </c>
      <c r="K168">
        <f>IF(OR($E168="",$E168="نامعتبر"),"",LEFT($E168,4)&amp;MID($E168,6,2)&amp;RIGHT($E168,2)&amp;"|"&amp;RIGHT("00000"&amp;163,5))</f>
        <v/>
      </c>
      <c r="M168">
        <f>IF(Sync!$M168&lt;&gt;"پاس چک","",IF(Sync!$P168="","",Sync!$P168))</f>
        <v/>
      </c>
      <c r="N168">
        <f>IF($M168="","",IF(ISNUMBER(Sync!$L168),IF(AND(Sync!$L168&gt;=10000101,Sync!$L168&lt;=99991231),RIGHT("0000"&amp;INT(Sync!$L168/10000),4)&amp;"/"&amp;RIGHT("00"&amp;INT(MOD(Sync!$L168,10000)/100),2)&amp;"/"&amp;RIGHT("00"&amp;MOD(Sync!$L168,100),2),""),IFERROR(RIGHT("0000"&amp;VALUE(TRIM(LEFT(Sync!$L168,FIND("/",Sync!$L168)-1))),4)&amp;"/"&amp;RIGHT("00"&amp;VALUE(TRIM(LEFT(MID(Sync!$L168,FIND("/",Sync!$L168)+1,20),FIND("/",MID(Sync!$L168,FIND("/",Sync!$L168)+1,20))-1))),2)&amp;"/"&amp;RIGHT("00"&amp;VALUE(TRIM(MID(MID(Sync!$L168,FIND("/",Sync!$L168)+1,20),FIND("/",MID(Sync!$L168,FIND("/",Sync!$L168)+1,20))+1,20))),2),"")))</f>
        <v/>
      </c>
    </row>
    <row r="169">
      <c r="A169">
        <f>IF(Issues!$B172="","",Issues!$B172)</f>
        <v/>
      </c>
      <c r="B169">
        <f>IF($A169="","",IF(ISNUMBER(Issues!$C172),IF(AND(Issues!$C172&gt;=10000101,Issues!$C172&lt;=99991231),INT(Issues!$C172/10000),""),IFERROR(VALUE(TRIM(LEFT(Issues!$C172,FIND("/",Issues!$C172)-1))),"")))</f>
        <v/>
      </c>
      <c r="C169">
        <f>IF(OR($A169="",$B169=""),"",IF(ISNUMBER(Issues!$C172),INT(MOD(Issues!$C172,10000)/100),IFERROR(VALUE(TRIM(LEFT(MID(Issues!$C172,FIND("/",Issues!$C172)+1,20),FIND("/",MID(Issues!$C172,FIND("/",Issues!$C172)+1,20))-1))),"")))</f>
        <v/>
      </c>
      <c r="D169">
        <f>IF(OR($A169="",$B169=""),"",IF(ISNUMBER(Issues!$C172),MOD(Issues!$C172,100),IFERROR(VALUE(TRIM(MID(MID(Issues!$C172,FIND("/",Issues!$C172)+1,20),FIND("/",MID(Issues!$C172,FIND("/",Issues!$C172)+1,20))+1,20))),"")))</f>
        <v/>
      </c>
      <c r="E169">
        <f>IF($A169="","",IF(OR($B169="",$C169="",$D169="",$B169&lt;1300,$B169&gt;1500,$C169&lt;1,$C169&gt;12,$D169&lt;1,$D169&gt;31),"نامعتبر",RIGHT("0000"&amp;$B169,4)&amp;"/"&amp;RIGHT("00"&amp;$C169,2)&amp;"/"&amp;RIGHT("00"&amp;$D169,2)))</f>
        <v/>
      </c>
      <c r="F169">
        <f>IF($A169="","",IF(Issues!$D172="",0,Issues!$D172))</f>
        <v/>
      </c>
      <c r="G169">
        <f>IF($A169="","",Issues!$E172)</f>
        <v/>
      </c>
      <c r="H169">
        <f>IF($A169="","",IF(COUNTIFS(ETxnType,"پاس چک",ETxnChk,$A169)&gt;0,"پاس شده","پاس نشده"))</f>
        <v/>
      </c>
      <c r="I169">
        <f>IF($A169="","",IFERROR(INDEX(BClrDate,MATCH($A169,BClrChk,0)),""))</f>
        <v/>
      </c>
      <c r="J169">
        <f>IF($A169="","",Issues!$G172)</f>
        <v/>
      </c>
      <c r="K169">
        <f>IF(OR($E169="",$E169="نامعتبر"),"",LEFT($E169,4)&amp;MID($E169,6,2)&amp;RIGHT($E169,2)&amp;"|"&amp;RIGHT("00000"&amp;164,5))</f>
        <v/>
      </c>
      <c r="M169">
        <f>IF(Sync!$M169&lt;&gt;"پاس چک","",IF(Sync!$P169="","",Sync!$P169))</f>
        <v/>
      </c>
      <c r="N169">
        <f>IF($M169="","",IF(ISNUMBER(Sync!$L169),IF(AND(Sync!$L169&gt;=10000101,Sync!$L169&lt;=99991231),RIGHT("0000"&amp;INT(Sync!$L169/10000),4)&amp;"/"&amp;RIGHT("00"&amp;INT(MOD(Sync!$L169,10000)/100),2)&amp;"/"&amp;RIGHT("00"&amp;MOD(Sync!$L169,100),2),""),IFERROR(RIGHT("0000"&amp;VALUE(TRIM(LEFT(Sync!$L169,FIND("/",Sync!$L169)-1))),4)&amp;"/"&amp;RIGHT("00"&amp;VALUE(TRIM(LEFT(MID(Sync!$L169,FIND("/",Sync!$L169)+1,20),FIND("/",MID(Sync!$L169,FIND("/",Sync!$L169)+1,20))-1))),2)&amp;"/"&amp;RIGHT("00"&amp;VALUE(TRIM(MID(MID(Sync!$L169,FIND("/",Sync!$L169)+1,20),FIND("/",MID(Sync!$L169,FIND("/",Sync!$L169)+1,20))+1,20))),2),"")))</f>
        <v/>
      </c>
    </row>
    <row r="170">
      <c r="A170">
        <f>IF(Issues!$B173="","",Issues!$B173)</f>
        <v/>
      </c>
      <c r="B170">
        <f>IF($A170="","",IF(ISNUMBER(Issues!$C173),IF(AND(Issues!$C173&gt;=10000101,Issues!$C173&lt;=99991231),INT(Issues!$C173/10000),""),IFERROR(VALUE(TRIM(LEFT(Issues!$C173,FIND("/",Issues!$C173)-1))),"")))</f>
        <v/>
      </c>
      <c r="C170">
        <f>IF(OR($A170="",$B170=""),"",IF(ISNUMBER(Issues!$C173),INT(MOD(Issues!$C173,10000)/100),IFERROR(VALUE(TRIM(LEFT(MID(Issues!$C173,FIND("/",Issues!$C173)+1,20),FIND("/",MID(Issues!$C173,FIND("/",Issues!$C173)+1,20))-1))),"")))</f>
        <v/>
      </c>
      <c r="D170">
        <f>IF(OR($A170="",$B170=""),"",IF(ISNUMBER(Issues!$C173),MOD(Issues!$C173,100),IFERROR(VALUE(TRIM(MID(MID(Issues!$C173,FIND("/",Issues!$C173)+1,20),FIND("/",MID(Issues!$C173,FIND("/",Issues!$C173)+1,20))+1,20))),"")))</f>
        <v/>
      </c>
      <c r="E170">
        <f>IF($A170="","",IF(OR($B170="",$C170="",$D170="",$B170&lt;1300,$B170&gt;1500,$C170&lt;1,$C170&gt;12,$D170&lt;1,$D170&gt;31),"نامعتبر",RIGHT("0000"&amp;$B170,4)&amp;"/"&amp;RIGHT("00"&amp;$C170,2)&amp;"/"&amp;RIGHT("00"&amp;$D170,2)))</f>
        <v/>
      </c>
      <c r="F170">
        <f>IF($A170="","",IF(Issues!$D173="",0,Issues!$D173))</f>
        <v/>
      </c>
      <c r="G170">
        <f>IF($A170="","",Issues!$E173)</f>
        <v/>
      </c>
      <c r="H170">
        <f>IF($A170="","",IF(COUNTIFS(ETxnType,"پاس چک",ETxnChk,$A170)&gt;0,"پاس شده","پاس نشده"))</f>
        <v/>
      </c>
      <c r="I170">
        <f>IF($A170="","",IFERROR(INDEX(BClrDate,MATCH($A170,BClrChk,0)),""))</f>
        <v/>
      </c>
      <c r="J170">
        <f>IF($A170="","",Issues!$G173)</f>
        <v/>
      </c>
      <c r="K170">
        <f>IF(OR($E170="",$E170="نامعتبر"),"",LEFT($E170,4)&amp;MID($E170,6,2)&amp;RIGHT($E170,2)&amp;"|"&amp;RIGHT("00000"&amp;165,5))</f>
        <v/>
      </c>
      <c r="M170">
        <f>IF(Sync!$M170&lt;&gt;"پاس چک","",IF(Sync!$P170="","",Sync!$P170))</f>
        <v/>
      </c>
      <c r="N170">
        <f>IF($M170="","",IF(ISNUMBER(Sync!$L170),IF(AND(Sync!$L170&gt;=10000101,Sync!$L170&lt;=99991231),RIGHT("0000"&amp;INT(Sync!$L170/10000),4)&amp;"/"&amp;RIGHT("00"&amp;INT(MOD(Sync!$L170,10000)/100),2)&amp;"/"&amp;RIGHT("00"&amp;MOD(Sync!$L170,100),2),""),IFERROR(RIGHT("0000"&amp;VALUE(TRIM(LEFT(Sync!$L170,FIND("/",Sync!$L170)-1))),4)&amp;"/"&amp;RIGHT("00"&amp;VALUE(TRIM(LEFT(MID(Sync!$L170,FIND("/",Sync!$L170)+1,20),FIND("/",MID(Sync!$L170,FIND("/",Sync!$L170)+1,20))-1))),2)&amp;"/"&amp;RIGHT("00"&amp;VALUE(TRIM(MID(MID(Sync!$L170,FIND("/",Sync!$L170)+1,20),FIND("/",MID(Sync!$L170,FIND("/",Sync!$L170)+1,20))+1,20))),2),"")))</f>
        <v/>
      </c>
    </row>
    <row r="171">
      <c r="A171">
        <f>IF(Issues!$B174="","",Issues!$B174)</f>
        <v/>
      </c>
      <c r="B171">
        <f>IF($A171="","",IF(ISNUMBER(Issues!$C174),IF(AND(Issues!$C174&gt;=10000101,Issues!$C174&lt;=99991231),INT(Issues!$C174/10000),""),IFERROR(VALUE(TRIM(LEFT(Issues!$C174,FIND("/",Issues!$C174)-1))),"")))</f>
        <v/>
      </c>
      <c r="C171">
        <f>IF(OR($A171="",$B171=""),"",IF(ISNUMBER(Issues!$C174),INT(MOD(Issues!$C174,10000)/100),IFERROR(VALUE(TRIM(LEFT(MID(Issues!$C174,FIND("/",Issues!$C174)+1,20),FIND("/",MID(Issues!$C174,FIND("/",Issues!$C174)+1,20))-1))),"")))</f>
        <v/>
      </c>
      <c r="D171">
        <f>IF(OR($A171="",$B171=""),"",IF(ISNUMBER(Issues!$C174),MOD(Issues!$C174,100),IFERROR(VALUE(TRIM(MID(MID(Issues!$C174,FIND("/",Issues!$C174)+1,20),FIND("/",MID(Issues!$C174,FIND("/",Issues!$C174)+1,20))+1,20))),"")))</f>
        <v/>
      </c>
      <c r="E171">
        <f>IF($A171="","",IF(OR($B171="",$C171="",$D171="",$B171&lt;1300,$B171&gt;1500,$C171&lt;1,$C171&gt;12,$D171&lt;1,$D171&gt;31),"نامعتبر",RIGHT("0000"&amp;$B171,4)&amp;"/"&amp;RIGHT("00"&amp;$C171,2)&amp;"/"&amp;RIGHT("00"&amp;$D171,2)))</f>
        <v/>
      </c>
      <c r="F171">
        <f>IF($A171="","",IF(Issues!$D174="",0,Issues!$D174))</f>
        <v/>
      </c>
      <c r="G171">
        <f>IF($A171="","",Issues!$E174)</f>
        <v/>
      </c>
      <c r="H171">
        <f>IF($A171="","",IF(COUNTIFS(ETxnType,"پاس چک",ETxnChk,$A171)&gt;0,"پاس شده","پاس نشده"))</f>
        <v/>
      </c>
      <c r="I171">
        <f>IF($A171="","",IFERROR(INDEX(BClrDate,MATCH($A171,BClrChk,0)),""))</f>
        <v/>
      </c>
      <c r="J171">
        <f>IF($A171="","",Issues!$G174)</f>
        <v/>
      </c>
      <c r="K171">
        <f>IF(OR($E171="",$E171="نامعتبر"),"",LEFT($E171,4)&amp;MID($E171,6,2)&amp;RIGHT($E171,2)&amp;"|"&amp;RIGHT("00000"&amp;166,5))</f>
        <v/>
      </c>
      <c r="M171">
        <f>IF(Sync!$M171&lt;&gt;"پاس چک","",IF(Sync!$P171="","",Sync!$P171))</f>
        <v/>
      </c>
      <c r="N171">
        <f>IF($M171="","",IF(ISNUMBER(Sync!$L171),IF(AND(Sync!$L171&gt;=10000101,Sync!$L171&lt;=99991231),RIGHT("0000"&amp;INT(Sync!$L171/10000),4)&amp;"/"&amp;RIGHT("00"&amp;INT(MOD(Sync!$L171,10000)/100),2)&amp;"/"&amp;RIGHT("00"&amp;MOD(Sync!$L171,100),2),""),IFERROR(RIGHT("0000"&amp;VALUE(TRIM(LEFT(Sync!$L171,FIND("/",Sync!$L171)-1))),4)&amp;"/"&amp;RIGHT("00"&amp;VALUE(TRIM(LEFT(MID(Sync!$L171,FIND("/",Sync!$L171)+1,20),FIND("/",MID(Sync!$L171,FIND("/",Sync!$L171)+1,20))-1))),2)&amp;"/"&amp;RIGHT("00"&amp;VALUE(TRIM(MID(MID(Sync!$L171,FIND("/",Sync!$L171)+1,20),FIND("/",MID(Sync!$L171,FIND("/",Sync!$L171)+1,20))+1,20))),2),"")))</f>
        <v/>
      </c>
    </row>
    <row r="172">
      <c r="A172">
        <f>IF(Issues!$B175="","",Issues!$B175)</f>
        <v/>
      </c>
      <c r="B172">
        <f>IF($A172="","",IF(ISNUMBER(Issues!$C175),IF(AND(Issues!$C175&gt;=10000101,Issues!$C175&lt;=99991231),INT(Issues!$C175/10000),""),IFERROR(VALUE(TRIM(LEFT(Issues!$C175,FIND("/",Issues!$C175)-1))),"")))</f>
        <v/>
      </c>
      <c r="C172">
        <f>IF(OR($A172="",$B172=""),"",IF(ISNUMBER(Issues!$C175),INT(MOD(Issues!$C175,10000)/100),IFERROR(VALUE(TRIM(LEFT(MID(Issues!$C175,FIND("/",Issues!$C175)+1,20),FIND("/",MID(Issues!$C175,FIND("/",Issues!$C175)+1,20))-1))),"")))</f>
        <v/>
      </c>
      <c r="D172">
        <f>IF(OR($A172="",$B172=""),"",IF(ISNUMBER(Issues!$C175),MOD(Issues!$C175,100),IFERROR(VALUE(TRIM(MID(MID(Issues!$C175,FIND("/",Issues!$C175)+1,20),FIND("/",MID(Issues!$C175,FIND("/",Issues!$C175)+1,20))+1,20))),"")))</f>
        <v/>
      </c>
      <c r="E172">
        <f>IF($A172="","",IF(OR($B172="",$C172="",$D172="",$B172&lt;1300,$B172&gt;1500,$C172&lt;1,$C172&gt;12,$D172&lt;1,$D172&gt;31),"نامعتبر",RIGHT("0000"&amp;$B172,4)&amp;"/"&amp;RIGHT("00"&amp;$C172,2)&amp;"/"&amp;RIGHT("00"&amp;$D172,2)))</f>
        <v/>
      </c>
      <c r="F172">
        <f>IF($A172="","",IF(Issues!$D175="",0,Issues!$D175))</f>
        <v/>
      </c>
      <c r="G172">
        <f>IF($A172="","",Issues!$E175)</f>
        <v/>
      </c>
      <c r="H172">
        <f>IF($A172="","",IF(COUNTIFS(ETxnType,"پاس چک",ETxnChk,$A172)&gt;0,"پاس شده","پاس نشده"))</f>
        <v/>
      </c>
      <c r="I172">
        <f>IF($A172="","",IFERROR(INDEX(BClrDate,MATCH($A172,BClrChk,0)),""))</f>
        <v/>
      </c>
      <c r="J172">
        <f>IF($A172="","",Issues!$G175)</f>
        <v/>
      </c>
      <c r="K172">
        <f>IF(OR($E172="",$E172="نامعتبر"),"",LEFT($E172,4)&amp;MID($E172,6,2)&amp;RIGHT($E172,2)&amp;"|"&amp;RIGHT("00000"&amp;167,5))</f>
        <v/>
      </c>
      <c r="M172">
        <f>IF(Sync!$M172&lt;&gt;"پاس چک","",IF(Sync!$P172="","",Sync!$P172))</f>
        <v/>
      </c>
      <c r="N172">
        <f>IF($M172="","",IF(ISNUMBER(Sync!$L172),IF(AND(Sync!$L172&gt;=10000101,Sync!$L172&lt;=99991231),RIGHT("0000"&amp;INT(Sync!$L172/10000),4)&amp;"/"&amp;RIGHT("00"&amp;INT(MOD(Sync!$L172,10000)/100),2)&amp;"/"&amp;RIGHT("00"&amp;MOD(Sync!$L172,100),2),""),IFERROR(RIGHT("0000"&amp;VALUE(TRIM(LEFT(Sync!$L172,FIND("/",Sync!$L172)-1))),4)&amp;"/"&amp;RIGHT("00"&amp;VALUE(TRIM(LEFT(MID(Sync!$L172,FIND("/",Sync!$L172)+1,20),FIND("/",MID(Sync!$L172,FIND("/",Sync!$L172)+1,20))-1))),2)&amp;"/"&amp;RIGHT("00"&amp;VALUE(TRIM(MID(MID(Sync!$L172,FIND("/",Sync!$L172)+1,20),FIND("/",MID(Sync!$L172,FIND("/",Sync!$L172)+1,20))+1,20))),2),"")))</f>
        <v/>
      </c>
    </row>
    <row r="173">
      <c r="A173">
        <f>IF(Issues!$B176="","",Issues!$B176)</f>
        <v/>
      </c>
      <c r="B173">
        <f>IF($A173="","",IF(ISNUMBER(Issues!$C176),IF(AND(Issues!$C176&gt;=10000101,Issues!$C176&lt;=99991231),INT(Issues!$C176/10000),""),IFERROR(VALUE(TRIM(LEFT(Issues!$C176,FIND("/",Issues!$C176)-1))),"")))</f>
        <v/>
      </c>
      <c r="C173">
        <f>IF(OR($A173="",$B173=""),"",IF(ISNUMBER(Issues!$C176),INT(MOD(Issues!$C176,10000)/100),IFERROR(VALUE(TRIM(LEFT(MID(Issues!$C176,FIND("/",Issues!$C176)+1,20),FIND("/",MID(Issues!$C176,FIND("/",Issues!$C176)+1,20))-1))),"")))</f>
        <v/>
      </c>
      <c r="D173">
        <f>IF(OR($A173="",$B173=""),"",IF(ISNUMBER(Issues!$C176),MOD(Issues!$C176,100),IFERROR(VALUE(TRIM(MID(MID(Issues!$C176,FIND("/",Issues!$C176)+1,20),FIND("/",MID(Issues!$C176,FIND("/",Issues!$C176)+1,20))+1,20))),"")))</f>
        <v/>
      </c>
      <c r="E173">
        <f>IF($A173="","",IF(OR($B173="",$C173="",$D173="",$B173&lt;1300,$B173&gt;1500,$C173&lt;1,$C173&gt;12,$D173&lt;1,$D173&gt;31),"نامعتبر",RIGHT("0000"&amp;$B173,4)&amp;"/"&amp;RIGHT("00"&amp;$C173,2)&amp;"/"&amp;RIGHT("00"&amp;$D173,2)))</f>
        <v/>
      </c>
      <c r="F173">
        <f>IF($A173="","",IF(Issues!$D176="",0,Issues!$D176))</f>
        <v/>
      </c>
      <c r="G173">
        <f>IF($A173="","",Issues!$E176)</f>
        <v/>
      </c>
      <c r="H173">
        <f>IF($A173="","",IF(COUNTIFS(ETxnType,"پاس چک",ETxnChk,$A173)&gt;0,"پاس شده","پاس نشده"))</f>
        <v/>
      </c>
      <c r="I173">
        <f>IF($A173="","",IFERROR(INDEX(BClrDate,MATCH($A173,BClrChk,0)),""))</f>
        <v/>
      </c>
      <c r="J173">
        <f>IF($A173="","",Issues!$G176)</f>
        <v/>
      </c>
      <c r="K173">
        <f>IF(OR($E173="",$E173="نامعتبر"),"",LEFT($E173,4)&amp;MID($E173,6,2)&amp;RIGHT($E173,2)&amp;"|"&amp;RIGHT("00000"&amp;168,5))</f>
        <v/>
      </c>
      <c r="M173">
        <f>IF(Sync!$M173&lt;&gt;"پاس چک","",IF(Sync!$P173="","",Sync!$P173))</f>
        <v/>
      </c>
      <c r="N173">
        <f>IF($M173="","",IF(ISNUMBER(Sync!$L173),IF(AND(Sync!$L173&gt;=10000101,Sync!$L173&lt;=99991231),RIGHT("0000"&amp;INT(Sync!$L173/10000),4)&amp;"/"&amp;RIGHT("00"&amp;INT(MOD(Sync!$L173,10000)/100),2)&amp;"/"&amp;RIGHT("00"&amp;MOD(Sync!$L173,100),2),""),IFERROR(RIGHT("0000"&amp;VALUE(TRIM(LEFT(Sync!$L173,FIND("/",Sync!$L173)-1))),4)&amp;"/"&amp;RIGHT("00"&amp;VALUE(TRIM(LEFT(MID(Sync!$L173,FIND("/",Sync!$L173)+1,20),FIND("/",MID(Sync!$L173,FIND("/",Sync!$L173)+1,20))-1))),2)&amp;"/"&amp;RIGHT("00"&amp;VALUE(TRIM(MID(MID(Sync!$L173,FIND("/",Sync!$L173)+1,20),FIND("/",MID(Sync!$L173,FIND("/",Sync!$L173)+1,20))+1,20))),2),"")))</f>
        <v/>
      </c>
    </row>
    <row r="174">
      <c r="A174">
        <f>IF(Issues!$B177="","",Issues!$B177)</f>
        <v/>
      </c>
      <c r="B174">
        <f>IF($A174="","",IF(ISNUMBER(Issues!$C177),IF(AND(Issues!$C177&gt;=10000101,Issues!$C177&lt;=99991231),INT(Issues!$C177/10000),""),IFERROR(VALUE(TRIM(LEFT(Issues!$C177,FIND("/",Issues!$C177)-1))),"")))</f>
        <v/>
      </c>
      <c r="C174">
        <f>IF(OR($A174="",$B174=""),"",IF(ISNUMBER(Issues!$C177),INT(MOD(Issues!$C177,10000)/100),IFERROR(VALUE(TRIM(LEFT(MID(Issues!$C177,FIND("/",Issues!$C177)+1,20),FIND("/",MID(Issues!$C177,FIND("/",Issues!$C177)+1,20))-1))),"")))</f>
        <v/>
      </c>
      <c r="D174">
        <f>IF(OR($A174="",$B174=""),"",IF(ISNUMBER(Issues!$C177),MOD(Issues!$C177,100),IFERROR(VALUE(TRIM(MID(MID(Issues!$C177,FIND("/",Issues!$C177)+1,20),FIND("/",MID(Issues!$C177,FIND("/",Issues!$C177)+1,20))+1,20))),"")))</f>
        <v/>
      </c>
      <c r="E174">
        <f>IF($A174="","",IF(OR($B174="",$C174="",$D174="",$B174&lt;1300,$B174&gt;1500,$C174&lt;1,$C174&gt;12,$D174&lt;1,$D174&gt;31),"نامعتبر",RIGHT("0000"&amp;$B174,4)&amp;"/"&amp;RIGHT("00"&amp;$C174,2)&amp;"/"&amp;RIGHT("00"&amp;$D174,2)))</f>
        <v/>
      </c>
      <c r="F174">
        <f>IF($A174="","",IF(Issues!$D177="",0,Issues!$D177))</f>
        <v/>
      </c>
      <c r="G174">
        <f>IF($A174="","",Issues!$E177)</f>
        <v/>
      </c>
      <c r="H174">
        <f>IF($A174="","",IF(COUNTIFS(ETxnType,"پاس چک",ETxnChk,$A174)&gt;0,"پاس شده","پاس نشده"))</f>
        <v/>
      </c>
      <c r="I174">
        <f>IF($A174="","",IFERROR(INDEX(BClrDate,MATCH($A174,BClrChk,0)),""))</f>
        <v/>
      </c>
      <c r="J174">
        <f>IF($A174="","",Issues!$G177)</f>
        <v/>
      </c>
      <c r="K174">
        <f>IF(OR($E174="",$E174="نامعتبر"),"",LEFT($E174,4)&amp;MID($E174,6,2)&amp;RIGHT($E174,2)&amp;"|"&amp;RIGHT("00000"&amp;169,5))</f>
        <v/>
      </c>
      <c r="M174">
        <f>IF(Sync!$M174&lt;&gt;"پاس چک","",IF(Sync!$P174="","",Sync!$P174))</f>
        <v/>
      </c>
      <c r="N174">
        <f>IF($M174="","",IF(ISNUMBER(Sync!$L174),IF(AND(Sync!$L174&gt;=10000101,Sync!$L174&lt;=99991231),RIGHT("0000"&amp;INT(Sync!$L174/10000),4)&amp;"/"&amp;RIGHT("00"&amp;INT(MOD(Sync!$L174,10000)/100),2)&amp;"/"&amp;RIGHT("00"&amp;MOD(Sync!$L174,100),2),""),IFERROR(RIGHT("0000"&amp;VALUE(TRIM(LEFT(Sync!$L174,FIND("/",Sync!$L174)-1))),4)&amp;"/"&amp;RIGHT("00"&amp;VALUE(TRIM(LEFT(MID(Sync!$L174,FIND("/",Sync!$L174)+1,20),FIND("/",MID(Sync!$L174,FIND("/",Sync!$L174)+1,20))-1))),2)&amp;"/"&amp;RIGHT("00"&amp;VALUE(TRIM(MID(MID(Sync!$L174,FIND("/",Sync!$L174)+1,20),FIND("/",MID(Sync!$L174,FIND("/",Sync!$L174)+1,20))+1,20))),2),"")))</f>
        <v/>
      </c>
    </row>
    <row r="175">
      <c r="A175">
        <f>IF(Issues!$B178="","",Issues!$B178)</f>
        <v/>
      </c>
      <c r="B175">
        <f>IF($A175="","",IF(ISNUMBER(Issues!$C178),IF(AND(Issues!$C178&gt;=10000101,Issues!$C178&lt;=99991231),INT(Issues!$C178/10000),""),IFERROR(VALUE(TRIM(LEFT(Issues!$C178,FIND("/",Issues!$C178)-1))),"")))</f>
        <v/>
      </c>
      <c r="C175">
        <f>IF(OR($A175="",$B175=""),"",IF(ISNUMBER(Issues!$C178),INT(MOD(Issues!$C178,10000)/100),IFERROR(VALUE(TRIM(LEFT(MID(Issues!$C178,FIND("/",Issues!$C178)+1,20),FIND("/",MID(Issues!$C178,FIND("/",Issues!$C178)+1,20))-1))),"")))</f>
        <v/>
      </c>
      <c r="D175">
        <f>IF(OR($A175="",$B175=""),"",IF(ISNUMBER(Issues!$C178),MOD(Issues!$C178,100),IFERROR(VALUE(TRIM(MID(MID(Issues!$C178,FIND("/",Issues!$C178)+1,20),FIND("/",MID(Issues!$C178,FIND("/",Issues!$C178)+1,20))+1,20))),"")))</f>
        <v/>
      </c>
      <c r="E175">
        <f>IF($A175="","",IF(OR($B175="",$C175="",$D175="",$B175&lt;1300,$B175&gt;1500,$C175&lt;1,$C175&gt;12,$D175&lt;1,$D175&gt;31),"نامعتبر",RIGHT("0000"&amp;$B175,4)&amp;"/"&amp;RIGHT("00"&amp;$C175,2)&amp;"/"&amp;RIGHT("00"&amp;$D175,2)))</f>
        <v/>
      </c>
      <c r="F175">
        <f>IF($A175="","",IF(Issues!$D178="",0,Issues!$D178))</f>
        <v/>
      </c>
      <c r="G175">
        <f>IF($A175="","",Issues!$E178)</f>
        <v/>
      </c>
      <c r="H175">
        <f>IF($A175="","",IF(COUNTIFS(ETxnType,"پاس چک",ETxnChk,$A175)&gt;0,"پاس شده","پاس نشده"))</f>
        <v/>
      </c>
      <c r="I175">
        <f>IF($A175="","",IFERROR(INDEX(BClrDate,MATCH($A175,BClrChk,0)),""))</f>
        <v/>
      </c>
      <c r="J175">
        <f>IF($A175="","",Issues!$G178)</f>
        <v/>
      </c>
      <c r="K175">
        <f>IF(OR($E175="",$E175="نامعتبر"),"",LEFT($E175,4)&amp;MID($E175,6,2)&amp;RIGHT($E175,2)&amp;"|"&amp;RIGHT("00000"&amp;170,5))</f>
        <v/>
      </c>
      <c r="M175">
        <f>IF(Sync!$M175&lt;&gt;"پاس چک","",IF(Sync!$P175="","",Sync!$P175))</f>
        <v/>
      </c>
      <c r="N175">
        <f>IF($M175="","",IF(ISNUMBER(Sync!$L175),IF(AND(Sync!$L175&gt;=10000101,Sync!$L175&lt;=99991231),RIGHT("0000"&amp;INT(Sync!$L175/10000),4)&amp;"/"&amp;RIGHT("00"&amp;INT(MOD(Sync!$L175,10000)/100),2)&amp;"/"&amp;RIGHT("00"&amp;MOD(Sync!$L175,100),2),""),IFERROR(RIGHT("0000"&amp;VALUE(TRIM(LEFT(Sync!$L175,FIND("/",Sync!$L175)-1))),4)&amp;"/"&amp;RIGHT("00"&amp;VALUE(TRIM(LEFT(MID(Sync!$L175,FIND("/",Sync!$L175)+1,20),FIND("/",MID(Sync!$L175,FIND("/",Sync!$L175)+1,20))-1))),2)&amp;"/"&amp;RIGHT("00"&amp;VALUE(TRIM(MID(MID(Sync!$L175,FIND("/",Sync!$L175)+1,20),FIND("/",MID(Sync!$L175,FIND("/",Sync!$L175)+1,20))+1,20))),2),"")))</f>
        <v/>
      </c>
    </row>
    <row r="176">
      <c r="A176">
        <f>IF(Issues!$B179="","",Issues!$B179)</f>
        <v/>
      </c>
      <c r="B176">
        <f>IF($A176="","",IF(ISNUMBER(Issues!$C179),IF(AND(Issues!$C179&gt;=10000101,Issues!$C179&lt;=99991231),INT(Issues!$C179/10000),""),IFERROR(VALUE(TRIM(LEFT(Issues!$C179,FIND("/",Issues!$C179)-1))),"")))</f>
        <v/>
      </c>
      <c r="C176">
        <f>IF(OR($A176="",$B176=""),"",IF(ISNUMBER(Issues!$C179),INT(MOD(Issues!$C179,10000)/100),IFERROR(VALUE(TRIM(LEFT(MID(Issues!$C179,FIND("/",Issues!$C179)+1,20),FIND("/",MID(Issues!$C179,FIND("/",Issues!$C179)+1,20))-1))),"")))</f>
        <v/>
      </c>
      <c r="D176">
        <f>IF(OR($A176="",$B176=""),"",IF(ISNUMBER(Issues!$C179),MOD(Issues!$C179,100),IFERROR(VALUE(TRIM(MID(MID(Issues!$C179,FIND("/",Issues!$C179)+1,20),FIND("/",MID(Issues!$C179,FIND("/",Issues!$C179)+1,20))+1,20))),"")))</f>
        <v/>
      </c>
      <c r="E176">
        <f>IF($A176="","",IF(OR($B176="",$C176="",$D176="",$B176&lt;1300,$B176&gt;1500,$C176&lt;1,$C176&gt;12,$D176&lt;1,$D176&gt;31),"نامعتبر",RIGHT("0000"&amp;$B176,4)&amp;"/"&amp;RIGHT("00"&amp;$C176,2)&amp;"/"&amp;RIGHT("00"&amp;$D176,2)))</f>
        <v/>
      </c>
      <c r="F176">
        <f>IF($A176="","",IF(Issues!$D179="",0,Issues!$D179))</f>
        <v/>
      </c>
      <c r="G176">
        <f>IF($A176="","",Issues!$E179)</f>
        <v/>
      </c>
      <c r="H176">
        <f>IF($A176="","",IF(COUNTIFS(ETxnType,"پاس چک",ETxnChk,$A176)&gt;0,"پاس شده","پاس نشده"))</f>
        <v/>
      </c>
      <c r="I176">
        <f>IF($A176="","",IFERROR(INDEX(BClrDate,MATCH($A176,BClrChk,0)),""))</f>
        <v/>
      </c>
      <c r="J176">
        <f>IF($A176="","",Issues!$G179)</f>
        <v/>
      </c>
      <c r="K176">
        <f>IF(OR($E176="",$E176="نامعتبر"),"",LEFT($E176,4)&amp;MID($E176,6,2)&amp;RIGHT($E176,2)&amp;"|"&amp;RIGHT("00000"&amp;171,5))</f>
        <v/>
      </c>
      <c r="M176">
        <f>IF(Sync!$M176&lt;&gt;"پاس چک","",IF(Sync!$P176="","",Sync!$P176))</f>
        <v/>
      </c>
      <c r="N176">
        <f>IF($M176="","",IF(ISNUMBER(Sync!$L176),IF(AND(Sync!$L176&gt;=10000101,Sync!$L176&lt;=99991231),RIGHT("0000"&amp;INT(Sync!$L176/10000),4)&amp;"/"&amp;RIGHT("00"&amp;INT(MOD(Sync!$L176,10000)/100),2)&amp;"/"&amp;RIGHT("00"&amp;MOD(Sync!$L176,100),2),""),IFERROR(RIGHT("0000"&amp;VALUE(TRIM(LEFT(Sync!$L176,FIND("/",Sync!$L176)-1))),4)&amp;"/"&amp;RIGHT("00"&amp;VALUE(TRIM(LEFT(MID(Sync!$L176,FIND("/",Sync!$L176)+1,20),FIND("/",MID(Sync!$L176,FIND("/",Sync!$L176)+1,20))-1))),2)&amp;"/"&amp;RIGHT("00"&amp;VALUE(TRIM(MID(MID(Sync!$L176,FIND("/",Sync!$L176)+1,20),FIND("/",MID(Sync!$L176,FIND("/",Sync!$L176)+1,20))+1,20))),2),"")))</f>
        <v/>
      </c>
    </row>
    <row r="177">
      <c r="A177">
        <f>IF(Issues!$B180="","",Issues!$B180)</f>
        <v/>
      </c>
      <c r="B177">
        <f>IF($A177="","",IF(ISNUMBER(Issues!$C180),IF(AND(Issues!$C180&gt;=10000101,Issues!$C180&lt;=99991231),INT(Issues!$C180/10000),""),IFERROR(VALUE(TRIM(LEFT(Issues!$C180,FIND("/",Issues!$C180)-1))),"")))</f>
        <v/>
      </c>
      <c r="C177">
        <f>IF(OR($A177="",$B177=""),"",IF(ISNUMBER(Issues!$C180),INT(MOD(Issues!$C180,10000)/100),IFERROR(VALUE(TRIM(LEFT(MID(Issues!$C180,FIND("/",Issues!$C180)+1,20),FIND("/",MID(Issues!$C180,FIND("/",Issues!$C180)+1,20))-1))),"")))</f>
        <v/>
      </c>
      <c r="D177">
        <f>IF(OR($A177="",$B177=""),"",IF(ISNUMBER(Issues!$C180),MOD(Issues!$C180,100),IFERROR(VALUE(TRIM(MID(MID(Issues!$C180,FIND("/",Issues!$C180)+1,20),FIND("/",MID(Issues!$C180,FIND("/",Issues!$C180)+1,20))+1,20))),"")))</f>
        <v/>
      </c>
      <c r="E177">
        <f>IF($A177="","",IF(OR($B177="",$C177="",$D177="",$B177&lt;1300,$B177&gt;1500,$C177&lt;1,$C177&gt;12,$D177&lt;1,$D177&gt;31),"نامعتبر",RIGHT("0000"&amp;$B177,4)&amp;"/"&amp;RIGHT("00"&amp;$C177,2)&amp;"/"&amp;RIGHT("00"&amp;$D177,2)))</f>
        <v/>
      </c>
      <c r="F177">
        <f>IF($A177="","",IF(Issues!$D180="",0,Issues!$D180))</f>
        <v/>
      </c>
      <c r="G177">
        <f>IF($A177="","",Issues!$E180)</f>
        <v/>
      </c>
      <c r="H177">
        <f>IF($A177="","",IF(COUNTIFS(ETxnType,"پاس چک",ETxnChk,$A177)&gt;0,"پاس شده","پاس نشده"))</f>
        <v/>
      </c>
      <c r="I177">
        <f>IF($A177="","",IFERROR(INDEX(BClrDate,MATCH($A177,BClrChk,0)),""))</f>
        <v/>
      </c>
      <c r="J177">
        <f>IF($A177="","",Issues!$G180)</f>
        <v/>
      </c>
      <c r="K177">
        <f>IF(OR($E177="",$E177="نامعتبر"),"",LEFT($E177,4)&amp;MID($E177,6,2)&amp;RIGHT($E177,2)&amp;"|"&amp;RIGHT("00000"&amp;172,5))</f>
        <v/>
      </c>
      <c r="M177">
        <f>IF(Sync!$M177&lt;&gt;"پاس چک","",IF(Sync!$P177="","",Sync!$P177))</f>
        <v/>
      </c>
      <c r="N177">
        <f>IF($M177="","",IF(ISNUMBER(Sync!$L177),IF(AND(Sync!$L177&gt;=10000101,Sync!$L177&lt;=99991231),RIGHT("0000"&amp;INT(Sync!$L177/10000),4)&amp;"/"&amp;RIGHT("00"&amp;INT(MOD(Sync!$L177,10000)/100),2)&amp;"/"&amp;RIGHT("00"&amp;MOD(Sync!$L177,100),2),""),IFERROR(RIGHT("0000"&amp;VALUE(TRIM(LEFT(Sync!$L177,FIND("/",Sync!$L177)-1))),4)&amp;"/"&amp;RIGHT("00"&amp;VALUE(TRIM(LEFT(MID(Sync!$L177,FIND("/",Sync!$L177)+1,20),FIND("/",MID(Sync!$L177,FIND("/",Sync!$L177)+1,20))-1))),2)&amp;"/"&amp;RIGHT("00"&amp;VALUE(TRIM(MID(MID(Sync!$L177,FIND("/",Sync!$L177)+1,20),FIND("/",MID(Sync!$L177,FIND("/",Sync!$L177)+1,20))+1,20))),2),"")))</f>
        <v/>
      </c>
    </row>
    <row r="178">
      <c r="A178">
        <f>IF(Issues!$B181="","",Issues!$B181)</f>
        <v/>
      </c>
      <c r="B178">
        <f>IF($A178="","",IF(ISNUMBER(Issues!$C181),IF(AND(Issues!$C181&gt;=10000101,Issues!$C181&lt;=99991231),INT(Issues!$C181/10000),""),IFERROR(VALUE(TRIM(LEFT(Issues!$C181,FIND("/",Issues!$C181)-1))),"")))</f>
        <v/>
      </c>
      <c r="C178">
        <f>IF(OR($A178="",$B178=""),"",IF(ISNUMBER(Issues!$C181),INT(MOD(Issues!$C181,10000)/100),IFERROR(VALUE(TRIM(LEFT(MID(Issues!$C181,FIND("/",Issues!$C181)+1,20),FIND("/",MID(Issues!$C181,FIND("/",Issues!$C181)+1,20))-1))),"")))</f>
        <v/>
      </c>
      <c r="D178">
        <f>IF(OR($A178="",$B178=""),"",IF(ISNUMBER(Issues!$C181),MOD(Issues!$C181,100),IFERROR(VALUE(TRIM(MID(MID(Issues!$C181,FIND("/",Issues!$C181)+1,20),FIND("/",MID(Issues!$C181,FIND("/",Issues!$C181)+1,20))+1,20))),"")))</f>
        <v/>
      </c>
      <c r="E178">
        <f>IF($A178="","",IF(OR($B178="",$C178="",$D178="",$B178&lt;1300,$B178&gt;1500,$C178&lt;1,$C178&gt;12,$D178&lt;1,$D178&gt;31),"نامعتبر",RIGHT("0000"&amp;$B178,4)&amp;"/"&amp;RIGHT("00"&amp;$C178,2)&amp;"/"&amp;RIGHT("00"&amp;$D178,2)))</f>
        <v/>
      </c>
      <c r="F178">
        <f>IF($A178="","",IF(Issues!$D181="",0,Issues!$D181))</f>
        <v/>
      </c>
      <c r="G178">
        <f>IF($A178="","",Issues!$E181)</f>
        <v/>
      </c>
      <c r="H178">
        <f>IF($A178="","",IF(COUNTIFS(ETxnType,"پاس چک",ETxnChk,$A178)&gt;0,"پاس شده","پاس نشده"))</f>
        <v/>
      </c>
      <c r="I178">
        <f>IF($A178="","",IFERROR(INDEX(BClrDate,MATCH($A178,BClrChk,0)),""))</f>
        <v/>
      </c>
      <c r="J178">
        <f>IF($A178="","",Issues!$G181)</f>
        <v/>
      </c>
      <c r="K178">
        <f>IF(OR($E178="",$E178="نامعتبر"),"",LEFT($E178,4)&amp;MID($E178,6,2)&amp;RIGHT($E178,2)&amp;"|"&amp;RIGHT("00000"&amp;173,5))</f>
        <v/>
      </c>
      <c r="M178">
        <f>IF(Sync!$M178&lt;&gt;"پاس چک","",IF(Sync!$P178="","",Sync!$P178))</f>
        <v/>
      </c>
      <c r="N178">
        <f>IF($M178="","",IF(ISNUMBER(Sync!$L178),IF(AND(Sync!$L178&gt;=10000101,Sync!$L178&lt;=99991231),RIGHT("0000"&amp;INT(Sync!$L178/10000),4)&amp;"/"&amp;RIGHT("00"&amp;INT(MOD(Sync!$L178,10000)/100),2)&amp;"/"&amp;RIGHT("00"&amp;MOD(Sync!$L178,100),2),""),IFERROR(RIGHT("0000"&amp;VALUE(TRIM(LEFT(Sync!$L178,FIND("/",Sync!$L178)-1))),4)&amp;"/"&amp;RIGHT("00"&amp;VALUE(TRIM(LEFT(MID(Sync!$L178,FIND("/",Sync!$L178)+1,20),FIND("/",MID(Sync!$L178,FIND("/",Sync!$L178)+1,20))-1))),2)&amp;"/"&amp;RIGHT("00"&amp;VALUE(TRIM(MID(MID(Sync!$L178,FIND("/",Sync!$L178)+1,20),FIND("/",MID(Sync!$L178,FIND("/",Sync!$L178)+1,20))+1,20))),2),"")))</f>
        <v/>
      </c>
    </row>
    <row r="179">
      <c r="A179">
        <f>IF(Issues!$B182="","",Issues!$B182)</f>
        <v/>
      </c>
      <c r="B179">
        <f>IF($A179="","",IF(ISNUMBER(Issues!$C182),IF(AND(Issues!$C182&gt;=10000101,Issues!$C182&lt;=99991231),INT(Issues!$C182/10000),""),IFERROR(VALUE(TRIM(LEFT(Issues!$C182,FIND("/",Issues!$C182)-1))),"")))</f>
        <v/>
      </c>
      <c r="C179">
        <f>IF(OR($A179="",$B179=""),"",IF(ISNUMBER(Issues!$C182),INT(MOD(Issues!$C182,10000)/100),IFERROR(VALUE(TRIM(LEFT(MID(Issues!$C182,FIND("/",Issues!$C182)+1,20),FIND("/",MID(Issues!$C182,FIND("/",Issues!$C182)+1,20))-1))),"")))</f>
        <v/>
      </c>
      <c r="D179">
        <f>IF(OR($A179="",$B179=""),"",IF(ISNUMBER(Issues!$C182),MOD(Issues!$C182,100),IFERROR(VALUE(TRIM(MID(MID(Issues!$C182,FIND("/",Issues!$C182)+1,20),FIND("/",MID(Issues!$C182,FIND("/",Issues!$C182)+1,20))+1,20))),"")))</f>
        <v/>
      </c>
      <c r="E179">
        <f>IF($A179="","",IF(OR($B179="",$C179="",$D179="",$B179&lt;1300,$B179&gt;1500,$C179&lt;1,$C179&gt;12,$D179&lt;1,$D179&gt;31),"نامعتبر",RIGHT("0000"&amp;$B179,4)&amp;"/"&amp;RIGHT("00"&amp;$C179,2)&amp;"/"&amp;RIGHT("00"&amp;$D179,2)))</f>
        <v/>
      </c>
      <c r="F179">
        <f>IF($A179="","",IF(Issues!$D182="",0,Issues!$D182))</f>
        <v/>
      </c>
      <c r="G179">
        <f>IF($A179="","",Issues!$E182)</f>
        <v/>
      </c>
      <c r="H179">
        <f>IF($A179="","",IF(COUNTIFS(ETxnType,"پاس چک",ETxnChk,$A179)&gt;0,"پاس شده","پاس نشده"))</f>
        <v/>
      </c>
      <c r="I179">
        <f>IF($A179="","",IFERROR(INDEX(BClrDate,MATCH($A179,BClrChk,0)),""))</f>
        <v/>
      </c>
      <c r="J179">
        <f>IF($A179="","",Issues!$G182)</f>
        <v/>
      </c>
      <c r="K179">
        <f>IF(OR($E179="",$E179="نامعتبر"),"",LEFT($E179,4)&amp;MID($E179,6,2)&amp;RIGHT($E179,2)&amp;"|"&amp;RIGHT("00000"&amp;174,5))</f>
        <v/>
      </c>
      <c r="M179">
        <f>IF(Sync!$M179&lt;&gt;"پاس چک","",IF(Sync!$P179="","",Sync!$P179))</f>
        <v/>
      </c>
      <c r="N179">
        <f>IF($M179="","",IF(ISNUMBER(Sync!$L179),IF(AND(Sync!$L179&gt;=10000101,Sync!$L179&lt;=99991231),RIGHT("0000"&amp;INT(Sync!$L179/10000),4)&amp;"/"&amp;RIGHT("00"&amp;INT(MOD(Sync!$L179,10000)/100),2)&amp;"/"&amp;RIGHT("00"&amp;MOD(Sync!$L179,100),2),""),IFERROR(RIGHT("0000"&amp;VALUE(TRIM(LEFT(Sync!$L179,FIND("/",Sync!$L179)-1))),4)&amp;"/"&amp;RIGHT("00"&amp;VALUE(TRIM(LEFT(MID(Sync!$L179,FIND("/",Sync!$L179)+1,20),FIND("/",MID(Sync!$L179,FIND("/",Sync!$L179)+1,20))-1))),2)&amp;"/"&amp;RIGHT("00"&amp;VALUE(TRIM(MID(MID(Sync!$L179,FIND("/",Sync!$L179)+1,20),FIND("/",MID(Sync!$L179,FIND("/",Sync!$L179)+1,20))+1,20))),2),"")))</f>
        <v/>
      </c>
    </row>
    <row r="180">
      <c r="A180">
        <f>IF(Issues!$B183="","",Issues!$B183)</f>
        <v/>
      </c>
      <c r="B180">
        <f>IF($A180="","",IF(ISNUMBER(Issues!$C183),IF(AND(Issues!$C183&gt;=10000101,Issues!$C183&lt;=99991231),INT(Issues!$C183/10000),""),IFERROR(VALUE(TRIM(LEFT(Issues!$C183,FIND("/",Issues!$C183)-1))),"")))</f>
        <v/>
      </c>
      <c r="C180">
        <f>IF(OR($A180="",$B180=""),"",IF(ISNUMBER(Issues!$C183),INT(MOD(Issues!$C183,10000)/100),IFERROR(VALUE(TRIM(LEFT(MID(Issues!$C183,FIND("/",Issues!$C183)+1,20),FIND("/",MID(Issues!$C183,FIND("/",Issues!$C183)+1,20))-1))),"")))</f>
        <v/>
      </c>
      <c r="D180">
        <f>IF(OR($A180="",$B180=""),"",IF(ISNUMBER(Issues!$C183),MOD(Issues!$C183,100),IFERROR(VALUE(TRIM(MID(MID(Issues!$C183,FIND("/",Issues!$C183)+1,20),FIND("/",MID(Issues!$C183,FIND("/",Issues!$C183)+1,20))+1,20))),"")))</f>
        <v/>
      </c>
      <c r="E180">
        <f>IF($A180="","",IF(OR($B180="",$C180="",$D180="",$B180&lt;1300,$B180&gt;1500,$C180&lt;1,$C180&gt;12,$D180&lt;1,$D180&gt;31),"نامعتبر",RIGHT("0000"&amp;$B180,4)&amp;"/"&amp;RIGHT("00"&amp;$C180,2)&amp;"/"&amp;RIGHT("00"&amp;$D180,2)))</f>
        <v/>
      </c>
      <c r="F180">
        <f>IF($A180="","",IF(Issues!$D183="",0,Issues!$D183))</f>
        <v/>
      </c>
      <c r="G180">
        <f>IF($A180="","",Issues!$E183)</f>
        <v/>
      </c>
      <c r="H180">
        <f>IF($A180="","",IF(COUNTIFS(ETxnType,"پاس چک",ETxnChk,$A180)&gt;0,"پاس شده","پاس نشده"))</f>
        <v/>
      </c>
      <c r="I180">
        <f>IF($A180="","",IFERROR(INDEX(BClrDate,MATCH($A180,BClrChk,0)),""))</f>
        <v/>
      </c>
      <c r="J180">
        <f>IF($A180="","",Issues!$G183)</f>
        <v/>
      </c>
      <c r="K180">
        <f>IF(OR($E180="",$E180="نامعتبر"),"",LEFT($E180,4)&amp;MID($E180,6,2)&amp;RIGHT($E180,2)&amp;"|"&amp;RIGHT("00000"&amp;175,5))</f>
        <v/>
      </c>
      <c r="M180">
        <f>IF(Sync!$M180&lt;&gt;"پاس چک","",IF(Sync!$P180="","",Sync!$P180))</f>
        <v/>
      </c>
      <c r="N180">
        <f>IF($M180="","",IF(ISNUMBER(Sync!$L180),IF(AND(Sync!$L180&gt;=10000101,Sync!$L180&lt;=99991231),RIGHT("0000"&amp;INT(Sync!$L180/10000),4)&amp;"/"&amp;RIGHT("00"&amp;INT(MOD(Sync!$L180,10000)/100),2)&amp;"/"&amp;RIGHT("00"&amp;MOD(Sync!$L180,100),2),""),IFERROR(RIGHT("0000"&amp;VALUE(TRIM(LEFT(Sync!$L180,FIND("/",Sync!$L180)-1))),4)&amp;"/"&amp;RIGHT("00"&amp;VALUE(TRIM(LEFT(MID(Sync!$L180,FIND("/",Sync!$L180)+1,20),FIND("/",MID(Sync!$L180,FIND("/",Sync!$L180)+1,20))-1))),2)&amp;"/"&amp;RIGHT("00"&amp;VALUE(TRIM(MID(MID(Sync!$L180,FIND("/",Sync!$L180)+1,20),FIND("/",MID(Sync!$L180,FIND("/",Sync!$L180)+1,20))+1,20))),2),"")))</f>
        <v/>
      </c>
    </row>
    <row r="181">
      <c r="A181">
        <f>IF(Issues!$B184="","",Issues!$B184)</f>
        <v/>
      </c>
      <c r="B181">
        <f>IF($A181="","",IF(ISNUMBER(Issues!$C184),IF(AND(Issues!$C184&gt;=10000101,Issues!$C184&lt;=99991231),INT(Issues!$C184/10000),""),IFERROR(VALUE(TRIM(LEFT(Issues!$C184,FIND("/",Issues!$C184)-1))),"")))</f>
        <v/>
      </c>
      <c r="C181">
        <f>IF(OR($A181="",$B181=""),"",IF(ISNUMBER(Issues!$C184),INT(MOD(Issues!$C184,10000)/100),IFERROR(VALUE(TRIM(LEFT(MID(Issues!$C184,FIND("/",Issues!$C184)+1,20),FIND("/",MID(Issues!$C184,FIND("/",Issues!$C184)+1,20))-1))),"")))</f>
        <v/>
      </c>
      <c r="D181">
        <f>IF(OR($A181="",$B181=""),"",IF(ISNUMBER(Issues!$C184),MOD(Issues!$C184,100),IFERROR(VALUE(TRIM(MID(MID(Issues!$C184,FIND("/",Issues!$C184)+1,20),FIND("/",MID(Issues!$C184,FIND("/",Issues!$C184)+1,20))+1,20))),"")))</f>
        <v/>
      </c>
      <c r="E181">
        <f>IF($A181="","",IF(OR($B181="",$C181="",$D181="",$B181&lt;1300,$B181&gt;1500,$C181&lt;1,$C181&gt;12,$D181&lt;1,$D181&gt;31),"نامعتبر",RIGHT("0000"&amp;$B181,4)&amp;"/"&amp;RIGHT("00"&amp;$C181,2)&amp;"/"&amp;RIGHT("00"&amp;$D181,2)))</f>
        <v/>
      </c>
      <c r="F181">
        <f>IF($A181="","",IF(Issues!$D184="",0,Issues!$D184))</f>
        <v/>
      </c>
      <c r="G181">
        <f>IF($A181="","",Issues!$E184)</f>
        <v/>
      </c>
      <c r="H181">
        <f>IF($A181="","",IF(COUNTIFS(ETxnType,"پاس چک",ETxnChk,$A181)&gt;0,"پاس شده","پاس نشده"))</f>
        <v/>
      </c>
      <c r="I181">
        <f>IF($A181="","",IFERROR(INDEX(BClrDate,MATCH($A181,BClrChk,0)),""))</f>
        <v/>
      </c>
      <c r="J181">
        <f>IF($A181="","",Issues!$G184)</f>
        <v/>
      </c>
      <c r="K181">
        <f>IF(OR($E181="",$E181="نامعتبر"),"",LEFT($E181,4)&amp;MID($E181,6,2)&amp;RIGHT($E181,2)&amp;"|"&amp;RIGHT("00000"&amp;176,5))</f>
        <v/>
      </c>
      <c r="M181">
        <f>IF(Sync!$M181&lt;&gt;"پاس چک","",IF(Sync!$P181="","",Sync!$P181))</f>
        <v/>
      </c>
      <c r="N181">
        <f>IF($M181="","",IF(ISNUMBER(Sync!$L181),IF(AND(Sync!$L181&gt;=10000101,Sync!$L181&lt;=99991231),RIGHT("0000"&amp;INT(Sync!$L181/10000),4)&amp;"/"&amp;RIGHT("00"&amp;INT(MOD(Sync!$L181,10000)/100),2)&amp;"/"&amp;RIGHT("00"&amp;MOD(Sync!$L181,100),2),""),IFERROR(RIGHT("0000"&amp;VALUE(TRIM(LEFT(Sync!$L181,FIND("/",Sync!$L181)-1))),4)&amp;"/"&amp;RIGHT("00"&amp;VALUE(TRIM(LEFT(MID(Sync!$L181,FIND("/",Sync!$L181)+1,20),FIND("/",MID(Sync!$L181,FIND("/",Sync!$L181)+1,20))-1))),2)&amp;"/"&amp;RIGHT("00"&amp;VALUE(TRIM(MID(MID(Sync!$L181,FIND("/",Sync!$L181)+1,20),FIND("/",MID(Sync!$L181,FIND("/",Sync!$L181)+1,20))+1,20))),2),"")))</f>
        <v/>
      </c>
    </row>
    <row r="182">
      <c r="A182">
        <f>IF(Issues!$B185="","",Issues!$B185)</f>
        <v/>
      </c>
      <c r="B182">
        <f>IF($A182="","",IF(ISNUMBER(Issues!$C185),IF(AND(Issues!$C185&gt;=10000101,Issues!$C185&lt;=99991231),INT(Issues!$C185/10000),""),IFERROR(VALUE(TRIM(LEFT(Issues!$C185,FIND("/",Issues!$C185)-1))),"")))</f>
        <v/>
      </c>
      <c r="C182">
        <f>IF(OR($A182="",$B182=""),"",IF(ISNUMBER(Issues!$C185),INT(MOD(Issues!$C185,10000)/100),IFERROR(VALUE(TRIM(LEFT(MID(Issues!$C185,FIND("/",Issues!$C185)+1,20),FIND("/",MID(Issues!$C185,FIND("/",Issues!$C185)+1,20))-1))),"")))</f>
        <v/>
      </c>
      <c r="D182">
        <f>IF(OR($A182="",$B182=""),"",IF(ISNUMBER(Issues!$C185),MOD(Issues!$C185,100),IFERROR(VALUE(TRIM(MID(MID(Issues!$C185,FIND("/",Issues!$C185)+1,20),FIND("/",MID(Issues!$C185,FIND("/",Issues!$C185)+1,20))+1,20))),"")))</f>
        <v/>
      </c>
      <c r="E182">
        <f>IF($A182="","",IF(OR($B182="",$C182="",$D182="",$B182&lt;1300,$B182&gt;1500,$C182&lt;1,$C182&gt;12,$D182&lt;1,$D182&gt;31),"نامعتبر",RIGHT("0000"&amp;$B182,4)&amp;"/"&amp;RIGHT("00"&amp;$C182,2)&amp;"/"&amp;RIGHT("00"&amp;$D182,2)))</f>
        <v/>
      </c>
      <c r="F182">
        <f>IF($A182="","",IF(Issues!$D185="",0,Issues!$D185))</f>
        <v/>
      </c>
      <c r="G182">
        <f>IF($A182="","",Issues!$E185)</f>
        <v/>
      </c>
      <c r="H182">
        <f>IF($A182="","",IF(COUNTIFS(ETxnType,"پاس چک",ETxnChk,$A182)&gt;0,"پاس شده","پاس نشده"))</f>
        <v/>
      </c>
      <c r="I182">
        <f>IF($A182="","",IFERROR(INDEX(BClrDate,MATCH($A182,BClrChk,0)),""))</f>
        <v/>
      </c>
      <c r="J182">
        <f>IF($A182="","",Issues!$G185)</f>
        <v/>
      </c>
      <c r="K182">
        <f>IF(OR($E182="",$E182="نامعتبر"),"",LEFT($E182,4)&amp;MID($E182,6,2)&amp;RIGHT($E182,2)&amp;"|"&amp;RIGHT("00000"&amp;177,5))</f>
        <v/>
      </c>
      <c r="M182">
        <f>IF(Sync!$M182&lt;&gt;"پاس چک","",IF(Sync!$P182="","",Sync!$P182))</f>
        <v/>
      </c>
      <c r="N182">
        <f>IF($M182="","",IF(ISNUMBER(Sync!$L182),IF(AND(Sync!$L182&gt;=10000101,Sync!$L182&lt;=99991231),RIGHT("0000"&amp;INT(Sync!$L182/10000),4)&amp;"/"&amp;RIGHT("00"&amp;INT(MOD(Sync!$L182,10000)/100),2)&amp;"/"&amp;RIGHT("00"&amp;MOD(Sync!$L182,100),2),""),IFERROR(RIGHT("0000"&amp;VALUE(TRIM(LEFT(Sync!$L182,FIND("/",Sync!$L182)-1))),4)&amp;"/"&amp;RIGHT("00"&amp;VALUE(TRIM(LEFT(MID(Sync!$L182,FIND("/",Sync!$L182)+1,20),FIND("/",MID(Sync!$L182,FIND("/",Sync!$L182)+1,20))-1))),2)&amp;"/"&amp;RIGHT("00"&amp;VALUE(TRIM(MID(MID(Sync!$L182,FIND("/",Sync!$L182)+1,20),FIND("/",MID(Sync!$L182,FIND("/",Sync!$L182)+1,20))+1,20))),2),"")))</f>
        <v/>
      </c>
    </row>
    <row r="183">
      <c r="A183">
        <f>IF(Issues!$B186="","",Issues!$B186)</f>
        <v/>
      </c>
      <c r="B183">
        <f>IF($A183="","",IF(ISNUMBER(Issues!$C186),IF(AND(Issues!$C186&gt;=10000101,Issues!$C186&lt;=99991231),INT(Issues!$C186/10000),""),IFERROR(VALUE(TRIM(LEFT(Issues!$C186,FIND("/",Issues!$C186)-1))),"")))</f>
        <v/>
      </c>
      <c r="C183">
        <f>IF(OR($A183="",$B183=""),"",IF(ISNUMBER(Issues!$C186),INT(MOD(Issues!$C186,10000)/100),IFERROR(VALUE(TRIM(LEFT(MID(Issues!$C186,FIND("/",Issues!$C186)+1,20),FIND("/",MID(Issues!$C186,FIND("/",Issues!$C186)+1,20))-1))),"")))</f>
        <v/>
      </c>
      <c r="D183">
        <f>IF(OR($A183="",$B183=""),"",IF(ISNUMBER(Issues!$C186),MOD(Issues!$C186,100),IFERROR(VALUE(TRIM(MID(MID(Issues!$C186,FIND("/",Issues!$C186)+1,20),FIND("/",MID(Issues!$C186,FIND("/",Issues!$C186)+1,20))+1,20))),"")))</f>
        <v/>
      </c>
      <c r="E183">
        <f>IF($A183="","",IF(OR($B183="",$C183="",$D183="",$B183&lt;1300,$B183&gt;1500,$C183&lt;1,$C183&gt;12,$D183&lt;1,$D183&gt;31),"نامعتبر",RIGHT("0000"&amp;$B183,4)&amp;"/"&amp;RIGHT("00"&amp;$C183,2)&amp;"/"&amp;RIGHT("00"&amp;$D183,2)))</f>
        <v/>
      </c>
      <c r="F183">
        <f>IF($A183="","",IF(Issues!$D186="",0,Issues!$D186))</f>
        <v/>
      </c>
      <c r="G183">
        <f>IF($A183="","",Issues!$E186)</f>
        <v/>
      </c>
      <c r="H183">
        <f>IF($A183="","",IF(COUNTIFS(ETxnType,"پاس چک",ETxnChk,$A183)&gt;0,"پاس شده","پاس نشده"))</f>
        <v/>
      </c>
      <c r="I183">
        <f>IF($A183="","",IFERROR(INDEX(BClrDate,MATCH($A183,BClrChk,0)),""))</f>
        <v/>
      </c>
      <c r="J183">
        <f>IF($A183="","",Issues!$G186)</f>
        <v/>
      </c>
      <c r="K183">
        <f>IF(OR($E183="",$E183="نامعتبر"),"",LEFT($E183,4)&amp;MID($E183,6,2)&amp;RIGHT($E183,2)&amp;"|"&amp;RIGHT("00000"&amp;178,5))</f>
        <v/>
      </c>
      <c r="M183">
        <f>IF(Sync!$M183&lt;&gt;"پاس چک","",IF(Sync!$P183="","",Sync!$P183))</f>
        <v/>
      </c>
      <c r="N183">
        <f>IF($M183="","",IF(ISNUMBER(Sync!$L183),IF(AND(Sync!$L183&gt;=10000101,Sync!$L183&lt;=99991231),RIGHT("0000"&amp;INT(Sync!$L183/10000),4)&amp;"/"&amp;RIGHT("00"&amp;INT(MOD(Sync!$L183,10000)/100),2)&amp;"/"&amp;RIGHT("00"&amp;MOD(Sync!$L183,100),2),""),IFERROR(RIGHT("0000"&amp;VALUE(TRIM(LEFT(Sync!$L183,FIND("/",Sync!$L183)-1))),4)&amp;"/"&amp;RIGHT("00"&amp;VALUE(TRIM(LEFT(MID(Sync!$L183,FIND("/",Sync!$L183)+1,20),FIND("/",MID(Sync!$L183,FIND("/",Sync!$L183)+1,20))-1))),2)&amp;"/"&amp;RIGHT("00"&amp;VALUE(TRIM(MID(MID(Sync!$L183,FIND("/",Sync!$L183)+1,20),FIND("/",MID(Sync!$L183,FIND("/",Sync!$L183)+1,20))+1,20))),2),"")))</f>
        <v/>
      </c>
    </row>
    <row r="184">
      <c r="A184">
        <f>IF(Issues!$B187="","",Issues!$B187)</f>
        <v/>
      </c>
      <c r="B184">
        <f>IF($A184="","",IF(ISNUMBER(Issues!$C187),IF(AND(Issues!$C187&gt;=10000101,Issues!$C187&lt;=99991231),INT(Issues!$C187/10000),""),IFERROR(VALUE(TRIM(LEFT(Issues!$C187,FIND("/",Issues!$C187)-1))),"")))</f>
        <v/>
      </c>
      <c r="C184">
        <f>IF(OR($A184="",$B184=""),"",IF(ISNUMBER(Issues!$C187),INT(MOD(Issues!$C187,10000)/100),IFERROR(VALUE(TRIM(LEFT(MID(Issues!$C187,FIND("/",Issues!$C187)+1,20),FIND("/",MID(Issues!$C187,FIND("/",Issues!$C187)+1,20))-1))),"")))</f>
        <v/>
      </c>
      <c r="D184">
        <f>IF(OR($A184="",$B184=""),"",IF(ISNUMBER(Issues!$C187),MOD(Issues!$C187,100),IFERROR(VALUE(TRIM(MID(MID(Issues!$C187,FIND("/",Issues!$C187)+1,20),FIND("/",MID(Issues!$C187,FIND("/",Issues!$C187)+1,20))+1,20))),"")))</f>
        <v/>
      </c>
      <c r="E184">
        <f>IF($A184="","",IF(OR($B184="",$C184="",$D184="",$B184&lt;1300,$B184&gt;1500,$C184&lt;1,$C184&gt;12,$D184&lt;1,$D184&gt;31),"نامعتبر",RIGHT("0000"&amp;$B184,4)&amp;"/"&amp;RIGHT("00"&amp;$C184,2)&amp;"/"&amp;RIGHT("00"&amp;$D184,2)))</f>
        <v/>
      </c>
      <c r="F184">
        <f>IF($A184="","",IF(Issues!$D187="",0,Issues!$D187))</f>
        <v/>
      </c>
      <c r="G184">
        <f>IF($A184="","",Issues!$E187)</f>
        <v/>
      </c>
      <c r="H184">
        <f>IF($A184="","",IF(COUNTIFS(ETxnType,"پاس چک",ETxnChk,$A184)&gt;0,"پاس شده","پاس نشده"))</f>
        <v/>
      </c>
      <c r="I184">
        <f>IF($A184="","",IFERROR(INDEX(BClrDate,MATCH($A184,BClrChk,0)),""))</f>
        <v/>
      </c>
      <c r="J184">
        <f>IF($A184="","",Issues!$G187)</f>
        <v/>
      </c>
      <c r="K184">
        <f>IF(OR($E184="",$E184="نامعتبر"),"",LEFT($E184,4)&amp;MID($E184,6,2)&amp;RIGHT($E184,2)&amp;"|"&amp;RIGHT("00000"&amp;179,5))</f>
        <v/>
      </c>
      <c r="M184">
        <f>IF(Sync!$M184&lt;&gt;"پاس چک","",IF(Sync!$P184="","",Sync!$P184))</f>
        <v/>
      </c>
      <c r="N184">
        <f>IF($M184="","",IF(ISNUMBER(Sync!$L184),IF(AND(Sync!$L184&gt;=10000101,Sync!$L184&lt;=99991231),RIGHT("0000"&amp;INT(Sync!$L184/10000),4)&amp;"/"&amp;RIGHT("00"&amp;INT(MOD(Sync!$L184,10000)/100),2)&amp;"/"&amp;RIGHT("00"&amp;MOD(Sync!$L184,100),2),""),IFERROR(RIGHT("0000"&amp;VALUE(TRIM(LEFT(Sync!$L184,FIND("/",Sync!$L184)-1))),4)&amp;"/"&amp;RIGHT("00"&amp;VALUE(TRIM(LEFT(MID(Sync!$L184,FIND("/",Sync!$L184)+1,20),FIND("/",MID(Sync!$L184,FIND("/",Sync!$L184)+1,20))-1))),2)&amp;"/"&amp;RIGHT("00"&amp;VALUE(TRIM(MID(MID(Sync!$L184,FIND("/",Sync!$L184)+1,20),FIND("/",MID(Sync!$L184,FIND("/",Sync!$L184)+1,20))+1,20))),2),"")))</f>
        <v/>
      </c>
    </row>
    <row r="185">
      <c r="A185">
        <f>IF(Issues!$B188="","",Issues!$B188)</f>
        <v/>
      </c>
      <c r="B185">
        <f>IF($A185="","",IF(ISNUMBER(Issues!$C188),IF(AND(Issues!$C188&gt;=10000101,Issues!$C188&lt;=99991231),INT(Issues!$C188/10000),""),IFERROR(VALUE(TRIM(LEFT(Issues!$C188,FIND("/",Issues!$C188)-1))),"")))</f>
        <v/>
      </c>
      <c r="C185">
        <f>IF(OR($A185="",$B185=""),"",IF(ISNUMBER(Issues!$C188),INT(MOD(Issues!$C188,10000)/100),IFERROR(VALUE(TRIM(LEFT(MID(Issues!$C188,FIND("/",Issues!$C188)+1,20),FIND("/",MID(Issues!$C188,FIND("/",Issues!$C188)+1,20))-1))),"")))</f>
        <v/>
      </c>
      <c r="D185">
        <f>IF(OR($A185="",$B185=""),"",IF(ISNUMBER(Issues!$C188),MOD(Issues!$C188,100),IFERROR(VALUE(TRIM(MID(MID(Issues!$C188,FIND("/",Issues!$C188)+1,20),FIND("/",MID(Issues!$C188,FIND("/",Issues!$C188)+1,20))+1,20))),"")))</f>
        <v/>
      </c>
      <c r="E185">
        <f>IF($A185="","",IF(OR($B185="",$C185="",$D185="",$B185&lt;1300,$B185&gt;1500,$C185&lt;1,$C185&gt;12,$D185&lt;1,$D185&gt;31),"نامعتبر",RIGHT("0000"&amp;$B185,4)&amp;"/"&amp;RIGHT("00"&amp;$C185,2)&amp;"/"&amp;RIGHT("00"&amp;$D185,2)))</f>
        <v/>
      </c>
      <c r="F185">
        <f>IF($A185="","",IF(Issues!$D188="",0,Issues!$D188))</f>
        <v/>
      </c>
      <c r="G185">
        <f>IF($A185="","",Issues!$E188)</f>
        <v/>
      </c>
      <c r="H185">
        <f>IF($A185="","",IF(COUNTIFS(ETxnType,"پاس چک",ETxnChk,$A185)&gt;0,"پاس شده","پاس نشده"))</f>
        <v/>
      </c>
      <c r="I185">
        <f>IF($A185="","",IFERROR(INDEX(BClrDate,MATCH($A185,BClrChk,0)),""))</f>
        <v/>
      </c>
      <c r="J185">
        <f>IF($A185="","",Issues!$G188)</f>
        <v/>
      </c>
      <c r="K185">
        <f>IF(OR($E185="",$E185="نامعتبر"),"",LEFT($E185,4)&amp;MID($E185,6,2)&amp;RIGHT($E185,2)&amp;"|"&amp;RIGHT("00000"&amp;180,5))</f>
        <v/>
      </c>
      <c r="M185">
        <f>IF(Sync!$M185&lt;&gt;"پاس چک","",IF(Sync!$P185="","",Sync!$P185))</f>
        <v/>
      </c>
      <c r="N185">
        <f>IF($M185="","",IF(ISNUMBER(Sync!$L185),IF(AND(Sync!$L185&gt;=10000101,Sync!$L185&lt;=99991231),RIGHT("0000"&amp;INT(Sync!$L185/10000),4)&amp;"/"&amp;RIGHT("00"&amp;INT(MOD(Sync!$L185,10000)/100),2)&amp;"/"&amp;RIGHT("00"&amp;MOD(Sync!$L185,100),2),""),IFERROR(RIGHT("0000"&amp;VALUE(TRIM(LEFT(Sync!$L185,FIND("/",Sync!$L185)-1))),4)&amp;"/"&amp;RIGHT("00"&amp;VALUE(TRIM(LEFT(MID(Sync!$L185,FIND("/",Sync!$L185)+1,20),FIND("/",MID(Sync!$L185,FIND("/",Sync!$L185)+1,20))-1))),2)&amp;"/"&amp;RIGHT("00"&amp;VALUE(TRIM(MID(MID(Sync!$L185,FIND("/",Sync!$L185)+1,20),FIND("/",MID(Sync!$L185,FIND("/",Sync!$L185)+1,20))+1,20))),2),"")))</f>
        <v/>
      </c>
    </row>
    <row r="186">
      <c r="A186">
        <f>IF(Issues!$B189="","",Issues!$B189)</f>
        <v/>
      </c>
      <c r="B186">
        <f>IF($A186="","",IF(ISNUMBER(Issues!$C189),IF(AND(Issues!$C189&gt;=10000101,Issues!$C189&lt;=99991231),INT(Issues!$C189/10000),""),IFERROR(VALUE(TRIM(LEFT(Issues!$C189,FIND("/",Issues!$C189)-1))),"")))</f>
        <v/>
      </c>
      <c r="C186">
        <f>IF(OR($A186="",$B186=""),"",IF(ISNUMBER(Issues!$C189),INT(MOD(Issues!$C189,10000)/100),IFERROR(VALUE(TRIM(LEFT(MID(Issues!$C189,FIND("/",Issues!$C189)+1,20),FIND("/",MID(Issues!$C189,FIND("/",Issues!$C189)+1,20))-1))),"")))</f>
        <v/>
      </c>
      <c r="D186">
        <f>IF(OR($A186="",$B186=""),"",IF(ISNUMBER(Issues!$C189),MOD(Issues!$C189,100),IFERROR(VALUE(TRIM(MID(MID(Issues!$C189,FIND("/",Issues!$C189)+1,20),FIND("/",MID(Issues!$C189,FIND("/",Issues!$C189)+1,20))+1,20))),"")))</f>
        <v/>
      </c>
      <c r="E186">
        <f>IF($A186="","",IF(OR($B186="",$C186="",$D186="",$B186&lt;1300,$B186&gt;1500,$C186&lt;1,$C186&gt;12,$D186&lt;1,$D186&gt;31),"نامعتبر",RIGHT("0000"&amp;$B186,4)&amp;"/"&amp;RIGHT("00"&amp;$C186,2)&amp;"/"&amp;RIGHT("00"&amp;$D186,2)))</f>
        <v/>
      </c>
      <c r="F186">
        <f>IF($A186="","",IF(Issues!$D189="",0,Issues!$D189))</f>
        <v/>
      </c>
      <c r="G186">
        <f>IF($A186="","",Issues!$E189)</f>
        <v/>
      </c>
      <c r="H186">
        <f>IF($A186="","",IF(COUNTIFS(ETxnType,"پاس چک",ETxnChk,$A186)&gt;0,"پاس شده","پاس نشده"))</f>
        <v/>
      </c>
      <c r="I186">
        <f>IF($A186="","",IFERROR(INDEX(BClrDate,MATCH($A186,BClrChk,0)),""))</f>
        <v/>
      </c>
      <c r="J186">
        <f>IF($A186="","",Issues!$G189)</f>
        <v/>
      </c>
      <c r="K186">
        <f>IF(OR($E186="",$E186="نامعتبر"),"",LEFT($E186,4)&amp;MID($E186,6,2)&amp;RIGHT($E186,2)&amp;"|"&amp;RIGHT("00000"&amp;181,5))</f>
        <v/>
      </c>
      <c r="M186">
        <f>IF(Sync!$M186&lt;&gt;"پاس چک","",IF(Sync!$P186="","",Sync!$P186))</f>
        <v/>
      </c>
      <c r="N186">
        <f>IF($M186="","",IF(ISNUMBER(Sync!$L186),IF(AND(Sync!$L186&gt;=10000101,Sync!$L186&lt;=99991231),RIGHT("0000"&amp;INT(Sync!$L186/10000),4)&amp;"/"&amp;RIGHT("00"&amp;INT(MOD(Sync!$L186,10000)/100),2)&amp;"/"&amp;RIGHT("00"&amp;MOD(Sync!$L186,100),2),""),IFERROR(RIGHT("0000"&amp;VALUE(TRIM(LEFT(Sync!$L186,FIND("/",Sync!$L186)-1))),4)&amp;"/"&amp;RIGHT("00"&amp;VALUE(TRIM(LEFT(MID(Sync!$L186,FIND("/",Sync!$L186)+1,20),FIND("/",MID(Sync!$L186,FIND("/",Sync!$L186)+1,20))-1))),2)&amp;"/"&amp;RIGHT("00"&amp;VALUE(TRIM(MID(MID(Sync!$L186,FIND("/",Sync!$L186)+1,20),FIND("/",MID(Sync!$L186,FIND("/",Sync!$L186)+1,20))+1,20))),2),"")))</f>
        <v/>
      </c>
    </row>
    <row r="187">
      <c r="A187">
        <f>IF(Issues!$B190="","",Issues!$B190)</f>
        <v/>
      </c>
      <c r="B187">
        <f>IF($A187="","",IF(ISNUMBER(Issues!$C190),IF(AND(Issues!$C190&gt;=10000101,Issues!$C190&lt;=99991231),INT(Issues!$C190/10000),""),IFERROR(VALUE(TRIM(LEFT(Issues!$C190,FIND("/",Issues!$C190)-1))),"")))</f>
        <v/>
      </c>
      <c r="C187">
        <f>IF(OR($A187="",$B187=""),"",IF(ISNUMBER(Issues!$C190),INT(MOD(Issues!$C190,10000)/100),IFERROR(VALUE(TRIM(LEFT(MID(Issues!$C190,FIND("/",Issues!$C190)+1,20),FIND("/",MID(Issues!$C190,FIND("/",Issues!$C190)+1,20))-1))),"")))</f>
        <v/>
      </c>
      <c r="D187">
        <f>IF(OR($A187="",$B187=""),"",IF(ISNUMBER(Issues!$C190),MOD(Issues!$C190,100),IFERROR(VALUE(TRIM(MID(MID(Issues!$C190,FIND("/",Issues!$C190)+1,20),FIND("/",MID(Issues!$C190,FIND("/",Issues!$C190)+1,20))+1,20))),"")))</f>
        <v/>
      </c>
      <c r="E187">
        <f>IF($A187="","",IF(OR($B187="",$C187="",$D187="",$B187&lt;1300,$B187&gt;1500,$C187&lt;1,$C187&gt;12,$D187&lt;1,$D187&gt;31),"نامعتبر",RIGHT("0000"&amp;$B187,4)&amp;"/"&amp;RIGHT("00"&amp;$C187,2)&amp;"/"&amp;RIGHT("00"&amp;$D187,2)))</f>
        <v/>
      </c>
      <c r="F187">
        <f>IF($A187="","",IF(Issues!$D190="",0,Issues!$D190))</f>
        <v/>
      </c>
      <c r="G187">
        <f>IF($A187="","",Issues!$E190)</f>
        <v/>
      </c>
      <c r="H187">
        <f>IF($A187="","",IF(COUNTIFS(ETxnType,"پاس چک",ETxnChk,$A187)&gt;0,"پاس شده","پاس نشده"))</f>
        <v/>
      </c>
      <c r="I187">
        <f>IF($A187="","",IFERROR(INDEX(BClrDate,MATCH($A187,BClrChk,0)),""))</f>
        <v/>
      </c>
      <c r="J187">
        <f>IF($A187="","",Issues!$G190)</f>
        <v/>
      </c>
      <c r="K187">
        <f>IF(OR($E187="",$E187="نامعتبر"),"",LEFT($E187,4)&amp;MID($E187,6,2)&amp;RIGHT($E187,2)&amp;"|"&amp;RIGHT("00000"&amp;182,5))</f>
        <v/>
      </c>
      <c r="M187">
        <f>IF(Sync!$M187&lt;&gt;"پاس چک","",IF(Sync!$P187="","",Sync!$P187))</f>
        <v/>
      </c>
      <c r="N187">
        <f>IF($M187="","",IF(ISNUMBER(Sync!$L187),IF(AND(Sync!$L187&gt;=10000101,Sync!$L187&lt;=99991231),RIGHT("0000"&amp;INT(Sync!$L187/10000),4)&amp;"/"&amp;RIGHT("00"&amp;INT(MOD(Sync!$L187,10000)/100),2)&amp;"/"&amp;RIGHT("00"&amp;MOD(Sync!$L187,100),2),""),IFERROR(RIGHT("0000"&amp;VALUE(TRIM(LEFT(Sync!$L187,FIND("/",Sync!$L187)-1))),4)&amp;"/"&amp;RIGHT("00"&amp;VALUE(TRIM(LEFT(MID(Sync!$L187,FIND("/",Sync!$L187)+1,20),FIND("/",MID(Sync!$L187,FIND("/",Sync!$L187)+1,20))-1))),2)&amp;"/"&amp;RIGHT("00"&amp;VALUE(TRIM(MID(MID(Sync!$L187,FIND("/",Sync!$L187)+1,20),FIND("/",MID(Sync!$L187,FIND("/",Sync!$L187)+1,20))+1,20))),2),"")))</f>
        <v/>
      </c>
    </row>
    <row r="188">
      <c r="A188">
        <f>IF(Issues!$B191="","",Issues!$B191)</f>
        <v/>
      </c>
      <c r="B188">
        <f>IF($A188="","",IF(ISNUMBER(Issues!$C191),IF(AND(Issues!$C191&gt;=10000101,Issues!$C191&lt;=99991231),INT(Issues!$C191/10000),""),IFERROR(VALUE(TRIM(LEFT(Issues!$C191,FIND("/",Issues!$C191)-1))),"")))</f>
        <v/>
      </c>
      <c r="C188">
        <f>IF(OR($A188="",$B188=""),"",IF(ISNUMBER(Issues!$C191),INT(MOD(Issues!$C191,10000)/100),IFERROR(VALUE(TRIM(LEFT(MID(Issues!$C191,FIND("/",Issues!$C191)+1,20),FIND("/",MID(Issues!$C191,FIND("/",Issues!$C191)+1,20))-1))),"")))</f>
        <v/>
      </c>
      <c r="D188">
        <f>IF(OR($A188="",$B188=""),"",IF(ISNUMBER(Issues!$C191),MOD(Issues!$C191,100),IFERROR(VALUE(TRIM(MID(MID(Issues!$C191,FIND("/",Issues!$C191)+1,20),FIND("/",MID(Issues!$C191,FIND("/",Issues!$C191)+1,20))+1,20))),"")))</f>
        <v/>
      </c>
      <c r="E188">
        <f>IF($A188="","",IF(OR($B188="",$C188="",$D188="",$B188&lt;1300,$B188&gt;1500,$C188&lt;1,$C188&gt;12,$D188&lt;1,$D188&gt;31),"نامعتبر",RIGHT("0000"&amp;$B188,4)&amp;"/"&amp;RIGHT("00"&amp;$C188,2)&amp;"/"&amp;RIGHT("00"&amp;$D188,2)))</f>
        <v/>
      </c>
      <c r="F188">
        <f>IF($A188="","",IF(Issues!$D191="",0,Issues!$D191))</f>
        <v/>
      </c>
      <c r="G188">
        <f>IF($A188="","",Issues!$E191)</f>
        <v/>
      </c>
      <c r="H188">
        <f>IF($A188="","",IF(COUNTIFS(ETxnType,"پاس چک",ETxnChk,$A188)&gt;0,"پاس شده","پاس نشده"))</f>
        <v/>
      </c>
      <c r="I188">
        <f>IF($A188="","",IFERROR(INDEX(BClrDate,MATCH($A188,BClrChk,0)),""))</f>
        <v/>
      </c>
      <c r="J188">
        <f>IF($A188="","",Issues!$G191)</f>
        <v/>
      </c>
      <c r="K188">
        <f>IF(OR($E188="",$E188="نامعتبر"),"",LEFT($E188,4)&amp;MID($E188,6,2)&amp;RIGHT($E188,2)&amp;"|"&amp;RIGHT("00000"&amp;183,5))</f>
        <v/>
      </c>
      <c r="M188">
        <f>IF(Sync!$M188&lt;&gt;"پاس چک","",IF(Sync!$P188="","",Sync!$P188))</f>
        <v/>
      </c>
      <c r="N188">
        <f>IF($M188="","",IF(ISNUMBER(Sync!$L188),IF(AND(Sync!$L188&gt;=10000101,Sync!$L188&lt;=99991231),RIGHT("0000"&amp;INT(Sync!$L188/10000),4)&amp;"/"&amp;RIGHT("00"&amp;INT(MOD(Sync!$L188,10000)/100),2)&amp;"/"&amp;RIGHT("00"&amp;MOD(Sync!$L188,100),2),""),IFERROR(RIGHT("0000"&amp;VALUE(TRIM(LEFT(Sync!$L188,FIND("/",Sync!$L188)-1))),4)&amp;"/"&amp;RIGHT("00"&amp;VALUE(TRIM(LEFT(MID(Sync!$L188,FIND("/",Sync!$L188)+1,20),FIND("/",MID(Sync!$L188,FIND("/",Sync!$L188)+1,20))-1))),2)&amp;"/"&amp;RIGHT("00"&amp;VALUE(TRIM(MID(MID(Sync!$L188,FIND("/",Sync!$L188)+1,20),FIND("/",MID(Sync!$L188,FIND("/",Sync!$L188)+1,20))+1,20))),2),"")))</f>
        <v/>
      </c>
    </row>
    <row r="189">
      <c r="A189">
        <f>IF(Issues!$B192="","",Issues!$B192)</f>
        <v/>
      </c>
      <c r="B189">
        <f>IF($A189="","",IF(ISNUMBER(Issues!$C192),IF(AND(Issues!$C192&gt;=10000101,Issues!$C192&lt;=99991231),INT(Issues!$C192/10000),""),IFERROR(VALUE(TRIM(LEFT(Issues!$C192,FIND("/",Issues!$C192)-1))),"")))</f>
        <v/>
      </c>
      <c r="C189">
        <f>IF(OR($A189="",$B189=""),"",IF(ISNUMBER(Issues!$C192),INT(MOD(Issues!$C192,10000)/100),IFERROR(VALUE(TRIM(LEFT(MID(Issues!$C192,FIND("/",Issues!$C192)+1,20),FIND("/",MID(Issues!$C192,FIND("/",Issues!$C192)+1,20))-1))),"")))</f>
        <v/>
      </c>
      <c r="D189">
        <f>IF(OR($A189="",$B189=""),"",IF(ISNUMBER(Issues!$C192),MOD(Issues!$C192,100),IFERROR(VALUE(TRIM(MID(MID(Issues!$C192,FIND("/",Issues!$C192)+1,20),FIND("/",MID(Issues!$C192,FIND("/",Issues!$C192)+1,20))+1,20))),"")))</f>
        <v/>
      </c>
      <c r="E189">
        <f>IF($A189="","",IF(OR($B189="",$C189="",$D189="",$B189&lt;1300,$B189&gt;1500,$C189&lt;1,$C189&gt;12,$D189&lt;1,$D189&gt;31),"نامعتبر",RIGHT("0000"&amp;$B189,4)&amp;"/"&amp;RIGHT("00"&amp;$C189,2)&amp;"/"&amp;RIGHT("00"&amp;$D189,2)))</f>
        <v/>
      </c>
      <c r="F189">
        <f>IF($A189="","",IF(Issues!$D192="",0,Issues!$D192))</f>
        <v/>
      </c>
      <c r="G189">
        <f>IF($A189="","",Issues!$E192)</f>
        <v/>
      </c>
      <c r="H189">
        <f>IF($A189="","",IF(COUNTIFS(ETxnType,"پاس چک",ETxnChk,$A189)&gt;0,"پاس شده","پاس نشده"))</f>
        <v/>
      </c>
      <c r="I189">
        <f>IF($A189="","",IFERROR(INDEX(BClrDate,MATCH($A189,BClrChk,0)),""))</f>
        <v/>
      </c>
      <c r="J189">
        <f>IF($A189="","",Issues!$G192)</f>
        <v/>
      </c>
      <c r="K189">
        <f>IF(OR($E189="",$E189="نامعتبر"),"",LEFT($E189,4)&amp;MID($E189,6,2)&amp;RIGHT($E189,2)&amp;"|"&amp;RIGHT("00000"&amp;184,5))</f>
        <v/>
      </c>
      <c r="M189">
        <f>IF(Sync!$M189&lt;&gt;"پاس چک","",IF(Sync!$P189="","",Sync!$P189))</f>
        <v/>
      </c>
      <c r="N189">
        <f>IF($M189="","",IF(ISNUMBER(Sync!$L189),IF(AND(Sync!$L189&gt;=10000101,Sync!$L189&lt;=99991231),RIGHT("0000"&amp;INT(Sync!$L189/10000),4)&amp;"/"&amp;RIGHT("00"&amp;INT(MOD(Sync!$L189,10000)/100),2)&amp;"/"&amp;RIGHT("00"&amp;MOD(Sync!$L189,100),2),""),IFERROR(RIGHT("0000"&amp;VALUE(TRIM(LEFT(Sync!$L189,FIND("/",Sync!$L189)-1))),4)&amp;"/"&amp;RIGHT("00"&amp;VALUE(TRIM(LEFT(MID(Sync!$L189,FIND("/",Sync!$L189)+1,20),FIND("/",MID(Sync!$L189,FIND("/",Sync!$L189)+1,20))-1))),2)&amp;"/"&amp;RIGHT("00"&amp;VALUE(TRIM(MID(MID(Sync!$L189,FIND("/",Sync!$L189)+1,20),FIND("/",MID(Sync!$L189,FIND("/",Sync!$L189)+1,20))+1,20))),2),"")))</f>
        <v/>
      </c>
    </row>
    <row r="190">
      <c r="A190">
        <f>IF(Issues!$B193="","",Issues!$B193)</f>
        <v/>
      </c>
      <c r="B190">
        <f>IF($A190="","",IF(ISNUMBER(Issues!$C193),IF(AND(Issues!$C193&gt;=10000101,Issues!$C193&lt;=99991231),INT(Issues!$C193/10000),""),IFERROR(VALUE(TRIM(LEFT(Issues!$C193,FIND("/",Issues!$C193)-1))),"")))</f>
        <v/>
      </c>
      <c r="C190">
        <f>IF(OR($A190="",$B190=""),"",IF(ISNUMBER(Issues!$C193),INT(MOD(Issues!$C193,10000)/100),IFERROR(VALUE(TRIM(LEFT(MID(Issues!$C193,FIND("/",Issues!$C193)+1,20),FIND("/",MID(Issues!$C193,FIND("/",Issues!$C193)+1,20))-1))),"")))</f>
        <v/>
      </c>
      <c r="D190">
        <f>IF(OR($A190="",$B190=""),"",IF(ISNUMBER(Issues!$C193),MOD(Issues!$C193,100),IFERROR(VALUE(TRIM(MID(MID(Issues!$C193,FIND("/",Issues!$C193)+1,20),FIND("/",MID(Issues!$C193,FIND("/",Issues!$C193)+1,20))+1,20))),"")))</f>
        <v/>
      </c>
      <c r="E190">
        <f>IF($A190="","",IF(OR($B190="",$C190="",$D190="",$B190&lt;1300,$B190&gt;1500,$C190&lt;1,$C190&gt;12,$D190&lt;1,$D190&gt;31),"نامعتبر",RIGHT("0000"&amp;$B190,4)&amp;"/"&amp;RIGHT("00"&amp;$C190,2)&amp;"/"&amp;RIGHT("00"&amp;$D190,2)))</f>
        <v/>
      </c>
      <c r="F190">
        <f>IF($A190="","",IF(Issues!$D193="",0,Issues!$D193))</f>
        <v/>
      </c>
      <c r="G190">
        <f>IF($A190="","",Issues!$E193)</f>
        <v/>
      </c>
      <c r="H190">
        <f>IF($A190="","",IF(COUNTIFS(ETxnType,"پاس چک",ETxnChk,$A190)&gt;0,"پاس شده","پاس نشده"))</f>
        <v/>
      </c>
      <c r="I190">
        <f>IF($A190="","",IFERROR(INDEX(BClrDate,MATCH($A190,BClrChk,0)),""))</f>
        <v/>
      </c>
      <c r="J190">
        <f>IF($A190="","",Issues!$G193)</f>
        <v/>
      </c>
      <c r="K190">
        <f>IF(OR($E190="",$E190="نامعتبر"),"",LEFT($E190,4)&amp;MID($E190,6,2)&amp;RIGHT($E190,2)&amp;"|"&amp;RIGHT("00000"&amp;185,5))</f>
        <v/>
      </c>
      <c r="M190">
        <f>IF(Sync!$M190&lt;&gt;"پاس چک","",IF(Sync!$P190="","",Sync!$P190))</f>
        <v/>
      </c>
      <c r="N190">
        <f>IF($M190="","",IF(ISNUMBER(Sync!$L190),IF(AND(Sync!$L190&gt;=10000101,Sync!$L190&lt;=99991231),RIGHT("0000"&amp;INT(Sync!$L190/10000),4)&amp;"/"&amp;RIGHT("00"&amp;INT(MOD(Sync!$L190,10000)/100),2)&amp;"/"&amp;RIGHT("00"&amp;MOD(Sync!$L190,100),2),""),IFERROR(RIGHT("0000"&amp;VALUE(TRIM(LEFT(Sync!$L190,FIND("/",Sync!$L190)-1))),4)&amp;"/"&amp;RIGHT("00"&amp;VALUE(TRIM(LEFT(MID(Sync!$L190,FIND("/",Sync!$L190)+1,20),FIND("/",MID(Sync!$L190,FIND("/",Sync!$L190)+1,20))-1))),2)&amp;"/"&amp;RIGHT("00"&amp;VALUE(TRIM(MID(MID(Sync!$L190,FIND("/",Sync!$L190)+1,20),FIND("/",MID(Sync!$L190,FIND("/",Sync!$L190)+1,20))+1,20))),2),"")))</f>
        <v/>
      </c>
    </row>
    <row r="191">
      <c r="A191">
        <f>IF(Issues!$B194="","",Issues!$B194)</f>
        <v/>
      </c>
      <c r="B191">
        <f>IF($A191="","",IF(ISNUMBER(Issues!$C194),IF(AND(Issues!$C194&gt;=10000101,Issues!$C194&lt;=99991231),INT(Issues!$C194/10000),""),IFERROR(VALUE(TRIM(LEFT(Issues!$C194,FIND("/",Issues!$C194)-1))),"")))</f>
        <v/>
      </c>
      <c r="C191">
        <f>IF(OR($A191="",$B191=""),"",IF(ISNUMBER(Issues!$C194),INT(MOD(Issues!$C194,10000)/100),IFERROR(VALUE(TRIM(LEFT(MID(Issues!$C194,FIND("/",Issues!$C194)+1,20),FIND("/",MID(Issues!$C194,FIND("/",Issues!$C194)+1,20))-1))),"")))</f>
        <v/>
      </c>
      <c r="D191">
        <f>IF(OR($A191="",$B191=""),"",IF(ISNUMBER(Issues!$C194),MOD(Issues!$C194,100),IFERROR(VALUE(TRIM(MID(MID(Issues!$C194,FIND("/",Issues!$C194)+1,20),FIND("/",MID(Issues!$C194,FIND("/",Issues!$C194)+1,20))+1,20))),"")))</f>
        <v/>
      </c>
      <c r="E191">
        <f>IF($A191="","",IF(OR($B191="",$C191="",$D191="",$B191&lt;1300,$B191&gt;1500,$C191&lt;1,$C191&gt;12,$D191&lt;1,$D191&gt;31),"نامعتبر",RIGHT("0000"&amp;$B191,4)&amp;"/"&amp;RIGHT("00"&amp;$C191,2)&amp;"/"&amp;RIGHT("00"&amp;$D191,2)))</f>
        <v/>
      </c>
      <c r="F191">
        <f>IF($A191="","",IF(Issues!$D194="",0,Issues!$D194))</f>
        <v/>
      </c>
      <c r="G191">
        <f>IF($A191="","",Issues!$E194)</f>
        <v/>
      </c>
      <c r="H191">
        <f>IF($A191="","",IF(COUNTIFS(ETxnType,"پاس چک",ETxnChk,$A191)&gt;0,"پاس شده","پاس نشده"))</f>
        <v/>
      </c>
      <c r="I191">
        <f>IF($A191="","",IFERROR(INDEX(BClrDate,MATCH($A191,BClrChk,0)),""))</f>
        <v/>
      </c>
      <c r="J191">
        <f>IF($A191="","",Issues!$G194)</f>
        <v/>
      </c>
      <c r="K191">
        <f>IF(OR($E191="",$E191="نامعتبر"),"",LEFT($E191,4)&amp;MID($E191,6,2)&amp;RIGHT($E191,2)&amp;"|"&amp;RIGHT("00000"&amp;186,5))</f>
        <v/>
      </c>
      <c r="M191">
        <f>IF(Sync!$M191&lt;&gt;"پاس چک","",IF(Sync!$P191="","",Sync!$P191))</f>
        <v/>
      </c>
      <c r="N191">
        <f>IF($M191="","",IF(ISNUMBER(Sync!$L191),IF(AND(Sync!$L191&gt;=10000101,Sync!$L191&lt;=99991231),RIGHT("0000"&amp;INT(Sync!$L191/10000),4)&amp;"/"&amp;RIGHT("00"&amp;INT(MOD(Sync!$L191,10000)/100),2)&amp;"/"&amp;RIGHT("00"&amp;MOD(Sync!$L191,100),2),""),IFERROR(RIGHT("0000"&amp;VALUE(TRIM(LEFT(Sync!$L191,FIND("/",Sync!$L191)-1))),4)&amp;"/"&amp;RIGHT("00"&amp;VALUE(TRIM(LEFT(MID(Sync!$L191,FIND("/",Sync!$L191)+1,20),FIND("/",MID(Sync!$L191,FIND("/",Sync!$L191)+1,20))-1))),2)&amp;"/"&amp;RIGHT("00"&amp;VALUE(TRIM(MID(MID(Sync!$L191,FIND("/",Sync!$L191)+1,20),FIND("/",MID(Sync!$L191,FIND("/",Sync!$L191)+1,20))+1,20))),2),"")))</f>
        <v/>
      </c>
    </row>
    <row r="192">
      <c r="A192">
        <f>IF(Issues!$B195="","",Issues!$B195)</f>
        <v/>
      </c>
      <c r="B192">
        <f>IF($A192="","",IF(ISNUMBER(Issues!$C195),IF(AND(Issues!$C195&gt;=10000101,Issues!$C195&lt;=99991231),INT(Issues!$C195/10000),""),IFERROR(VALUE(TRIM(LEFT(Issues!$C195,FIND("/",Issues!$C195)-1))),"")))</f>
        <v/>
      </c>
      <c r="C192">
        <f>IF(OR($A192="",$B192=""),"",IF(ISNUMBER(Issues!$C195),INT(MOD(Issues!$C195,10000)/100),IFERROR(VALUE(TRIM(LEFT(MID(Issues!$C195,FIND("/",Issues!$C195)+1,20),FIND("/",MID(Issues!$C195,FIND("/",Issues!$C195)+1,20))-1))),"")))</f>
        <v/>
      </c>
      <c r="D192">
        <f>IF(OR($A192="",$B192=""),"",IF(ISNUMBER(Issues!$C195),MOD(Issues!$C195,100),IFERROR(VALUE(TRIM(MID(MID(Issues!$C195,FIND("/",Issues!$C195)+1,20),FIND("/",MID(Issues!$C195,FIND("/",Issues!$C195)+1,20))+1,20))),"")))</f>
        <v/>
      </c>
      <c r="E192">
        <f>IF($A192="","",IF(OR($B192="",$C192="",$D192="",$B192&lt;1300,$B192&gt;1500,$C192&lt;1,$C192&gt;12,$D192&lt;1,$D192&gt;31),"نامعتبر",RIGHT("0000"&amp;$B192,4)&amp;"/"&amp;RIGHT("00"&amp;$C192,2)&amp;"/"&amp;RIGHT("00"&amp;$D192,2)))</f>
        <v/>
      </c>
      <c r="F192">
        <f>IF($A192="","",IF(Issues!$D195="",0,Issues!$D195))</f>
        <v/>
      </c>
      <c r="G192">
        <f>IF($A192="","",Issues!$E195)</f>
        <v/>
      </c>
      <c r="H192">
        <f>IF($A192="","",IF(COUNTIFS(ETxnType,"پاس چک",ETxnChk,$A192)&gt;0,"پاس شده","پاس نشده"))</f>
        <v/>
      </c>
      <c r="I192">
        <f>IF($A192="","",IFERROR(INDEX(BClrDate,MATCH($A192,BClrChk,0)),""))</f>
        <v/>
      </c>
      <c r="J192">
        <f>IF($A192="","",Issues!$G195)</f>
        <v/>
      </c>
      <c r="K192">
        <f>IF(OR($E192="",$E192="نامعتبر"),"",LEFT($E192,4)&amp;MID($E192,6,2)&amp;RIGHT($E192,2)&amp;"|"&amp;RIGHT("00000"&amp;187,5))</f>
        <v/>
      </c>
      <c r="M192">
        <f>IF(Sync!$M192&lt;&gt;"پاس چک","",IF(Sync!$P192="","",Sync!$P192))</f>
        <v/>
      </c>
      <c r="N192">
        <f>IF($M192="","",IF(ISNUMBER(Sync!$L192),IF(AND(Sync!$L192&gt;=10000101,Sync!$L192&lt;=99991231),RIGHT("0000"&amp;INT(Sync!$L192/10000),4)&amp;"/"&amp;RIGHT("00"&amp;INT(MOD(Sync!$L192,10000)/100),2)&amp;"/"&amp;RIGHT("00"&amp;MOD(Sync!$L192,100),2),""),IFERROR(RIGHT("0000"&amp;VALUE(TRIM(LEFT(Sync!$L192,FIND("/",Sync!$L192)-1))),4)&amp;"/"&amp;RIGHT("00"&amp;VALUE(TRIM(LEFT(MID(Sync!$L192,FIND("/",Sync!$L192)+1,20),FIND("/",MID(Sync!$L192,FIND("/",Sync!$L192)+1,20))-1))),2)&amp;"/"&amp;RIGHT("00"&amp;VALUE(TRIM(MID(MID(Sync!$L192,FIND("/",Sync!$L192)+1,20),FIND("/",MID(Sync!$L192,FIND("/",Sync!$L192)+1,20))+1,20))),2),"")))</f>
        <v/>
      </c>
    </row>
    <row r="193">
      <c r="A193">
        <f>IF(Issues!$B196="","",Issues!$B196)</f>
        <v/>
      </c>
      <c r="B193">
        <f>IF($A193="","",IF(ISNUMBER(Issues!$C196),IF(AND(Issues!$C196&gt;=10000101,Issues!$C196&lt;=99991231),INT(Issues!$C196/10000),""),IFERROR(VALUE(TRIM(LEFT(Issues!$C196,FIND("/",Issues!$C196)-1))),"")))</f>
        <v/>
      </c>
      <c r="C193">
        <f>IF(OR($A193="",$B193=""),"",IF(ISNUMBER(Issues!$C196),INT(MOD(Issues!$C196,10000)/100),IFERROR(VALUE(TRIM(LEFT(MID(Issues!$C196,FIND("/",Issues!$C196)+1,20),FIND("/",MID(Issues!$C196,FIND("/",Issues!$C196)+1,20))-1))),"")))</f>
        <v/>
      </c>
      <c r="D193">
        <f>IF(OR($A193="",$B193=""),"",IF(ISNUMBER(Issues!$C196),MOD(Issues!$C196,100),IFERROR(VALUE(TRIM(MID(MID(Issues!$C196,FIND("/",Issues!$C196)+1,20),FIND("/",MID(Issues!$C196,FIND("/",Issues!$C196)+1,20))+1,20))),"")))</f>
        <v/>
      </c>
      <c r="E193">
        <f>IF($A193="","",IF(OR($B193="",$C193="",$D193="",$B193&lt;1300,$B193&gt;1500,$C193&lt;1,$C193&gt;12,$D193&lt;1,$D193&gt;31),"نامعتبر",RIGHT("0000"&amp;$B193,4)&amp;"/"&amp;RIGHT("00"&amp;$C193,2)&amp;"/"&amp;RIGHT("00"&amp;$D193,2)))</f>
        <v/>
      </c>
      <c r="F193">
        <f>IF($A193="","",IF(Issues!$D196="",0,Issues!$D196))</f>
        <v/>
      </c>
      <c r="G193">
        <f>IF($A193="","",Issues!$E196)</f>
        <v/>
      </c>
      <c r="H193">
        <f>IF($A193="","",IF(COUNTIFS(ETxnType,"پاس چک",ETxnChk,$A193)&gt;0,"پاس شده","پاس نشده"))</f>
        <v/>
      </c>
      <c r="I193">
        <f>IF($A193="","",IFERROR(INDEX(BClrDate,MATCH($A193,BClrChk,0)),""))</f>
        <v/>
      </c>
      <c r="J193">
        <f>IF($A193="","",Issues!$G196)</f>
        <v/>
      </c>
      <c r="K193">
        <f>IF(OR($E193="",$E193="نامعتبر"),"",LEFT($E193,4)&amp;MID($E193,6,2)&amp;RIGHT($E193,2)&amp;"|"&amp;RIGHT("00000"&amp;188,5))</f>
        <v/>
      </c>
      <c r="M193">
        <f>IF(Sync!$M193&lt;&gt;"پاس چک","",IF(Sync!$P193="","",Sync!$P193))</f>
        <v/>
      </c>
      <c r="N193">
        <f>IF($M193="","",IF(ISNUMBER(Sync!$L193),IF(AND(Sync!$L193&gt;=10000101,Sync!$L193&lt;=99991231),RIGHT("0000"&amp;INT(Sync!$L193/10000),4)&amp;"/"&amp;RIGHT("00"&amp;INT(MOD(Sync!$L193,10000)/100),2)&amp;"/"&amp;RIGHT("00"&amp;MOD(Sync!$L193,100),2),""),IFERROR(RIGHT("0000"&amp;VALUE(TRIM(LEFT(Sync!$L193,FIND("/",Sync!$L193)-1))),4)&amp;"/"&amp;RIGHT("00"&amp;VALUE(TRIM(LEFT(MID(Sync!$L193,FIND("/",Sync!$L193)+1,20),FIND("/",MID(Sync!$L193,FIND("/",Sync!$L193)+1,20))-1))),2)&amp;"/"&amp;RIGHT("00"&amp;VALUE(TRIM(MID(MID(Sync!$L193,FIND("/",Sync!$L193)+1,20),FIND("/",MID(Sync!$L193,FIND("/",Sync!$L193)+1,20))+1,20))),2),"")))</f>
        <v/>
      </c>
    </row>
    <row r="194">
      <c r="A194">
        <f>IF(Issues!$B197="","",Issues!$B197)</f>
        <v/>
      </c>
      <c r="B194">
        <f>IF($A194="","",IF(ISNUMBER(Issues!$C197),IF(AND(Issues!$C197&gt;=10000101,Issues!$C197&lt;=99991231),INT(Issues!$C197/10000),""),IFERROR(VALUE(TRIM(LEFT(Issues!$C197,FIND("/",Issues!$C197)-1))),"")))</f>
        <v/>
      </c>
      <c r="C194">
        <f>IF(OR($A194="",$B194=""),"",IF(ISNUMBER(Issues!$C197),INT(MOD(Issues!$C197,10000)/100),IFERROR(VALUE(TRIM(LEFT(MID(Issues!$C197,FIND("/",Issues!$C197)+1,20),FIND("/",MID(Issues!$C197,FIND("/",Issues!$C197)+1,20))-1))),"")))</f>
        <v/>
      </c>
      <c r="D194">
        <f>IF(OR($A194="",$B194=""),"",IF(ISNUMBER(Issues!$C197),MOD(Issues!$C197,100),IFERROR(VALUE(TRIM(MID(MID(Issues!$C197,FIND("/",Issues!$C197)+1,20),FIND("/",MID(Issues!$C197,FIND("/",Issues!$C197)+1,20))+1,20))),"")))</f>
        <v/>
      </c>
      <c r="E194">
        <f>IF($A194="","",IF(OR($B194="",$C194="",$D194="",$B194&lt;1300,$B194&gt;1500,$C194&lt;1,$C194&gt;12,$D194&lt;1,$D194&gt;31),"نامعتبر",RIGHT("0000"&amp;$B194,4)&amp;"/"&amp;RIGHT("00"&amp;$C194,2)&amp;"/"&amp;RIGHT("00"&amp;$D194,2)))</f>
        <v/>
      </c>
      <c r="F194">
        <f>IF($A194="","",IF(Issues!$D197="",0,Issues!$D197))</f>
        <v/>
      </c>
      <c r="G194">
        <f>IF($A194="","",Issues!$E197)</f>
        <v/>
      </c>
      <c r="H194">
        <f>IF($A194="","",IF(COUNTIFS(ETxnType,"پاس چک",ETxnChk,$A194)&gt;0,"پاس شده","پاس نشده"))</f>
        <v/>
      </c>
      <c r="I194">
        <f>IF($A194="","",IFERROR(INDEX(BClrDate,MATCH($A194,BClrChk,0)),""))</f>
        <v/>
      </c>
      <c r="J194">
        <f>IF($A194="","",Issues!$G197)</f>
        <v/>
      </c>
      <c r="K194">
        <f>IF(OR($E194="",$E194="نامعتبر"),"",LEFT($E194,4)&amp;MID($E194,6,2)&amp;RIGHT($E194,2)&amp;"|"&amp;RIGHT("00000"&amp;189,5))</f>
        <v/>
      </c>
      <c r="M194">
        <f>IF(Sync!$M194&lt;&gt;"پاس چک","",IF(Sync!$P194="","",Sync!$P194))</f>
        <v/>
      </c>
      <c r="N194">
        <f>IF($M194="","",IF(ISNUMBER(Sync!$L194),IF(AND(Sync!$L194&gt;=10000101,Sync!$L194&lt;=99991231),RIGHT("0000"&amp;INT(Sync!$L194/10000),4)&amp;"/"&amp;RIGHT("00"&amp;INT(MOD(Sync!$L194,10000)/100),2)&amp;"/"&amp;RIGHT("00"&amp;MOD(Sync!$L194,100),2),""),IFERROR(RIGHT("0000"&amp;VALUE(TRIM(LEFT(Sync!$L194,FIND("/",Sync!$L194)-1))),4)&amp;"/"&amp;RIGHT("00"&amp;VALUE(TRIM(LEFT(MID(Sync!$L194,FIND("/",Sync!$L194)+1,20),FIND("/",MID(Sync!$L194,FIND("/",Sync!$L194)+1,20))-1))),2)&amp;"/"&amp;RIGHT("00"&amp;VALUE(TRIM(MID(MID(Sync!$L194,FIND("/",Sync!$L194)+1,20),FIND("/",MID(Sync!$L194,FIND("/",Sync!$L194)+1,20))+1,20))),2),"")))</f>
        <v/>
      </c>
    </row>
    <row r="195">
      <c r="A195">
        <f>IF(Issues!$B198="","",Issues!$B198)</f>
        <v/>
      </c>
      <c r="B195">
        <f>IF($A195="","",IF(ISNUMBER(Issues!$C198),IF(AND(Issues!$C198&gt;=10000101,Issues!$C198&lt;=99991231),INT(Issues!$C198/10000),""),IFERROR(VALUE(TRIM(LEFT(Issues!$C198,FIND("/",Issues!$C198)-1))),"")))</f>
        <v/>
      </c>
      <c r="C195">
        <f>IF(OR($A195="",$B195=""),"",IF(ISNUMBER(Issues!$C198),INT(MOD(Issues!$C198,10000)/100),IFERROR(VALUE(TRIM(LEFT(MID(Issues!$C198,FIND("/",Issues!$C198)+1,20),FIND("/",MID(Issues!$C198,FIND("/",Issues!$C198)+1,20))-1))),"")))</f>
        <v/>
      </c>
      <c r="D195">
        <f>IF(OR($A195="",$B195=""),"",IF(ISNUMBER(Issues!$C198),MOD(Issues!$C198,100),IFERROR(VALUE(TRIM(MID(MID(Issues!$C198,FIND("/",Issues!$C198)+1,20),FIND("/",MID(Issues!$C198,FIND("/",Issues!$C198)+1,20))+1,20))),"")))</f>
        <v/>
      </c>
      <c r="E195">
        <f>IF($A195="","",IF(OR($B195="",$C195="",$D195="",$B195&lt;1300,$B195&gt;1500,$C195&lt;1,$C195&gt;12,$D195&lt;1,$D195&gt;31),"نامعتبر",RIGHT("0000"&amp;$B195,4)&amp;"/"&amp;RIGHT("00"&amp;$C195,2)&amp;"/"&amp;RIGHT("00"&amp;$D195,2)))</f>
        <v/>
      </c>
      <c r="F195">
        <f>IF($A195="","",IF(Issues!$D198="",0,Issues!$D198))</f>
        <v/>
      </c>
      <c r="G195">
        <f>IF($A195="","",Issues!$E198)</f>
        <v/>
      </c>
      <c r="H195">
        <f>IF($A195="","",IF(COUNTIFS(ETxnType,"پاس چک",ETxnChk,$A195)&gt;0,"پاس شده","پاس نشده"))</f>
        <v/>
      </c>
      <c r="I195">
        <f>IF($A195="","",IFERROR(INDEX(BClrDate,MATCH($A195,BClrChk,0)),""))</f>
        <v/>
      </c>
      <c r="J195">
        <f>IF($A195="","",Issues!$G198)</f>
        <v/>
      </c>
      <c r="K195">
        <f>IF(OR($E195="",$E195="نامعتبر"),"",LEFT($E195,4)&amp;MID($E195,6,2)&amp;RIGHT($E195,2)&amp;"|"&amp;RIGHT("00000"&amp;190,5))</f>
        <v/>
      </c>
      <c r="M195">
        <f>IF(Sync!$M195&lt;&gt;"پاس چک","",IF(Sync!$P195="","",Sync!$P195))</f>
        <v/>
      </c>
      <c r="N195">
        <f>IF($M195="","",IF(ISNUMBER(Sync!$L195),IF(AND(Sync!$L195&gt;=10000101,Sync!$L195&lt;=99991231),RIGHT("0000"&amp;INT(Sync!$L195/10000),4)&amp;"/"&amp;RIGHT("00"&amp;INT(MOD(Sync!$L195,10000)/100),2)&amp;"/"&amp;RIGHT("00"&amp;MOD(Sync!$L195,100),2),""),IFERROR(RIGHT("0000"&amp;VALUE(TRIM(LEFT(Sync!$L195,FIND("/",Sync!$L195)-1))),4)&amp;"/"&amp;RIGHT("00"&amp;VALUE(TRIM(LEFT(MID(Sync!$L195,FIND("/",Sync!$L195)+1,20),FIND("/",MID(Sync!$L195,FIND("/",Sync!$L195)+1,20))-1))),2)&amp;"/"&amp;RIGHT("00"&amp;VALUE(TRIM(MID(MID(Sync!$L195,FIND("/",Sync!$L195)+1,20),FIND("/",MID(Sync!$L195,FIND("/",Sync!$L195)+1,20))+1,20))),2),"")))</f>
        <v/>
      </c>
    </row>
    <row r="196">
      <c r="A196">
        <f>IF(Issues!$B199="","",Issues!$B199)</f>
        <v/>
      </c>
      <c r="B196">
        <f>IF($A196="","",IF(ISNUMBER(Issues!$C199),IF(AND(Issues!$C199&gt;=10000101,Issues!$C199&lt;=99991231),INT(Issues!$C199/10000),""),IFERROR(VALUE(TRIM(LEFT(Issues!$C199,FIND("/",Issues!$C199)-1))),"")))</f>
        <v/>
      </c>
      <c r="C196">
        <f>IF(OR($A196="",$B196=""),"",IF(ISNUMBER(Issues!$C199),INT(MOD(Issues!$C199,10000)/100),IFERROR(VALUE(TRIM(LEFT(MID(Issues!$C199,FIND("/",Issues!$C199)+1,20),FIND("/",MID(Issues!$C199,FIND("/",Issues!$C199)+1,20))-1))),"")))</f>
        <v/>
      </c>
      <c r="D196">
        <f>IF(OR($A196="",$B196=""),"",IF(ISNUMBER(Issues!$C199),MOD(Issues!$C199,100),IFERROR(VALUE(TRIM(MID(MID(Issues!$C199,FIND("/",Issues!$C199)+1,20),FIND("/",MID(Issues!$C199,FIND("/",Issues!$C199)+1,20))+1,20))),"")))</f>
        <v/>
      </c>
      <c r="E196">
        <f>IF($A196="","",IF(OR($B196="",$C196="",$D196="",$B196&lt;1300,$B196&gt;1500,$C196&lt;1,$C196&gt;12,$D196&lt;1,$D196&gt;31),"نامعتبر",RIGHT("0000"&amp;$B196,4)&amp;"/"&amp;RIGHT("00"&amp;$C196,2)&amp;"/"&amp;RIGHT("00"&amp;$D196,2)))</f>
        <v/>
      </c>
      <c r="F196">
        <f>IF($A196="","",IF(Issues!$D199="",0,Issues!$D199))</f>
        <v/>
      </c>
      <c r="G196">
        <f>IF($A196="","",Issues!$E199)</f>
        <v/>
      </c>
      <c r="H196">
        <f>IF($A196="","",IF(COUNTIFS(ETxnType,"پاس چک",ETxnChk,$A196)&gt;0,"پاس شده","پاس نشده"))</f>
        <v/>
      </c>
      <c r="I196">
        <f>IF($A196="","",IFERROR(INDEX(BClrDate,MATCH($A196,BClrChk,0)),""))</f>
        <v/>
      </c>
      <c r="J196">
        <f>IF($A196="","",Issues!$G199)</f>
        <v/>
      </c>
      <c r="K196">
        <f>IF(OR($E196="",$E196="نامعتبر"),"",LEFT($E196,4)&amp;MID($E196,6,2)&amp;RIGHT($E196,2)&amp;"|"&amp;RIGHT("00000"&amp;191,5))</f>
        <v/>
      </c>
      <c r="M196">
        <f>IF(Sync!$M196&lt;&gt;"پاس چک","",IF(Sync!$P196="","",Sync!$P196))</f>
        <v/>
      </c>
      <c r="N196">
        <f>IF($M196="","",IF(ISNUMBER(Sync!$L196),IF(AND(Sync!$L196&gt;=10000101,Sync!$L196&lt;=99991231),RIGHT("0000"&amp;INT(Sync!$L196/10000),4)&amp;"/"&amp;RIGHT("00"&amp;INT(MOD(Sync!$L196,10000)/100),2)&amp;"/"&amp;RIGHT("00"&amp;MOD(Sync!$L196,100),2),""),IFERROR(RIGHT("0000"&amp;VALUE(TRIM(LEFT(Sync!$L196,FIND("/",Sync!$L196)-1))),4)&amp;"/"&amp;RIGHT("00"&amp;VALUE(TRIM(LEFT(MID(Sync!$L196,FIND("/",Sync!$L196)+1,20),FIND("/",MID(Sync!$L196,FIND("/",Sync!$L196)+1,20))-1))),2)&amp;"/"&amp;RIGHT("00"&amp;VALUE(TRIM(MID(MID(Sync!$L196,FIND("/",Sync!$L196)+1,20),FIND("/",MID(Sync!$L196,FIND("/",Sync!$L196)+1,20))+1,20))),2),"")))</f>
        <v/>
      </c>
    </row>
    <row r="197">
      <c r="A197">
        <f>IF(Issues!$B200="","",Issues!$B200)</f>
        <v/>
      </c>
      <c r="B197">
        <f>IF($A197="","",IF(ISNUMBER(Issues!$C200),IF(AND(Issues!$C200&gt;=10000101,Issues!$C200&lt;=99991231),INT(Issues!$C200/10000),""),IFERROR(VALUE(TRIM(LEFT(Issues!$C200,FIND("/",Issues!$C200)-1))),"")))</f>
        <v/>
      </c>
      <c r="C197">
        <f>IF(OR($A197="",$B197=""),"",IF(ISNUMBER(Issues!$C200),INT(MOD(Issues!$C200,10000)/100),IFERROR(VALUE(TRIM(LEFT(MID(Issues!$C200,FIND("/",Issues!$C200)+1,20),FIND("/",MID(Issues!$C200,FIND("/",Issues!$C200)+1,20))-1))),"")))</f>
        <v/>
      </c>
      <c r="D197">
        <f>IF(OR($A197="",$B197=""),"",IF(ISNUMBER(Issues!$C200),MOD(Issues!$C200,100),IFERROR(VALUE(TRIM(MID(MID(Issues!$C200,FIND("/",Issues!$C200)+1,20),FIND("/",MID(Issues!$C200,FIND("/",Issues!$C200)+1,20))+1,20))),"")))</f>
        <v/>
      </c>
      <c r="E197">
        <f>IF($A197="","",IF(OR($B197="",$C197="",$D197="",$B197&lt;1300,$B197&gt;1500,$C197&lt;1,$C197&gt;12,$D197&lt;1,$D197&gt;31),"نامعتبر",RIGHT("0000"&amp;$B197,4)&amp;"/"&amp;RIGHT("00"&amp;$C197,2)&amp;"/"&amp;RIGHT("00"&amp;$D197,2)))</f>
        <v/>
      </c>
      <c r="F197">
        <f>IF($A197="","",IF(Issues!$D200="",0,Issues!$D200))</f>
        <v/>
      </c>
      <c r="G197">
        <f>IF($A197="","",Issues!$E200)</f>
        <v/>
      </c>
      <c r="H197">
        <f>IF($A197="","",IF(COUNTIFS(ETxnType,"پاس چک",ETxnChk,$A197)&gt;0,"پاس شده","پاس نشده"))</f>
        <v/>
      </c>
      <c r="I197">
        <f>IF($A197="","",IFERROR(INDEX(BClrDate,MATCH($A197,BClrChk,0)),""))</f>
        <v/>
      </c>
      <c r="J197">
        <f>IF($A197="","",Issues!$G200)</f>
        <v/>
      </c>
      <c r="K197">
        <f>IF(OR($E197="",$E197="نامعتبر"),"",LEFT($E197,4)&amp;MID($E197,6,2)&amp;RIGHT($E197,2)&amp;"|"&amp;RIGHT("00000"&amp;192,5))</f>
        <v/>
      </c>
      <c r="M197">
        <f>IF(Sync!$M197&lt;&gt;"پاس چک","",IF(Sync!$P197="","",Sync!$P197))</f>
        <v/>
      </c>
      <c r="N197">
        <f>IF($M197="","",IF(ISNUMBER(Sync!$L197),IF(AND(Sync!$L197&gt;=10000101,Sync!$L197&lt;=99991231),RIGHT("0000"&amp;INT(Sync!$L197/10000),4)&amp;"/"&amp;RIGHT("00"&amp;INT(MOD(Sync!$L197,10000)/100),2)&amp;"/"&amp;RIGHT("00"&amp;MOD(Sync!$L197,100),2),""),IFERROR(RIGHT("0000"&amp;VALUE(TRIM(LEFT(Sync!$L197,FIND("/",Sync!$L197)-1))),4)&amp;"/"&amp;RIGHT("00"&amp;VALUE(TRIM(LEFT(MID(Sync!$L197,FIND("/",Sync!$L197)+1,20),FIND("/",MID(Sync!$L197,FIND("/",Sync!$L197)+1,20))-1))),2)&amp;"/"&amp;RIGHT("00"&amp;VALUE(TRIM(MID(MID(Sync!$L197,FIND("/",Sync!$L197)+1,20),FIND("/",MID(Sync!$L197,FIND("/",Sync!$L197)+1,20))+1,20))),2),"")))</f>
        <v/>
      </c>
    </row>
    <row r="198">
      <c r="A198">
        <f>IF(Issues!$B201="","",Issues!$B201)</f>
        <v/>
      </c>
      <c r="B198">
        <f>IF($A198="","",IF(ISNUMBER(Issues!$C201),IF(AND(Issues!$C201&gt;=10000101,Issues!$C201&lt;=99991231),INT(Issues!$C201/10000),""),IFERROR(VALUE(TRIM(LEFT(Issues!$C201,FIND("/",Issues!$C201)-1))),"")))</f>
        <v/>
      </c>
      <c r="C198">
        <f>IF(OR($A198="",$B198=""),"",IF(ISNUMBER(Issues!$C201),INT(MOD(Issues!$C201,10000)/100),IFERROR(VALUE(TRIM(LEFT(MID(Issues!$C201,FIND("/",Issues!$C201)+1,20),FIND("/",MID(Issues!$C201,FIND("/",Issues!$C201)+1,20))-1))),"")))</f>
        <v/>
      </c>
      <c r="D198">
        <f>IF(OR($A198="",$B198=""),"",IF(ISNUMBER(Issues!$C201),MOD(Issues!$C201,100),IFERROR(VALUE(TRIM(MID(MID(Issues!$C201,FIND("/",Issues!$C201)+1,20),FIND("/",MID(Issues!$C201,FIND("/",Issues!$C201)+1,20))+1,20))),"")))</f>
        <v/>
      </c>
      <c r="E198">
        <f>IF($A198="","",IF(OR($B198="",$C198="",$D198="",$B198&lt;1300,$B198&gt;1500,$C198&lt;1,$C198&gt;12,$D198&lt;1,$D198&gt;31),"نامعتبر",RIGHT("0000"&amp;$B198,4)&amp;"/"&amp;RIGHT("00"&amp;$C198,2)&amp;"/"&amp;RIGHT("00"&amp;$D198,2)))</f>
        <v/>
      </c>
      <c r="F198">
        <f>IF($A198="","",IF(Issues!$D201="",0,Issues!$D201))</f>
        <v/>
      </c>
      <c r="G198">
        <f>IF($A198="","",Issues!$E201)</f>
        <v/>
      </c>
      <c r="H198">
        <f>IF($A198="","",IF(COUNTIFS(ETxnType,"پاس چک",ETxnChk,$A198)&gt;0,"پاس شده","پاس نشده"))</f>
        <v/>
      </c>
      <c r="I198">
        <f>IF($A198="","",IFERROR(INDEX(BClrDate,MATCH($A198,BClrChk,0)),""))</f>
        <v/>
      </c>
      <c r="J198">
        <f>IF($A198="","",Issues!$G201)</f>
        <v/>
      </c>
      <c r="K198">
        <f>IF(OR($E198="",$E198="نامعتبر"),"",LEFT($E198,4)&amp;MID($E198,6,2)&amp;RIGHT($E198,2)&amp;"|"&amp;RIGHT("00000"&amp;193,5))</f>
        <v/>
      </c>
      <c r="M198">
        <f>IF(Sync!$M198&lt;&gt;"پاس چک","",IF(Sync!$P198="","",Sync!$P198))</f>
        <v/>
      </c>
      <c r="N198">
        <f>IF($M198="","",IF(ISNUMBER(Sync!$L198),IF(AND(Sync!$L198&gt;=10000101,Sync!$L198&lt;=99991231),RIGHT("0000"&amp;INT(Sync!$L198/10000),4)&amp;"/"&amp;RIGHT("00"&amp;INT(MOD(Sync!$L198,10000)/100),2)&amp;"/"&amp;RIGHT("00"&amp;MOD(Sync!$L198,100),2),""),IFERROR(RIGHT("0000"&amp;VALUE(TRIM(LEFT(Sync!$L198,FIND("/",Sync!$L198)-1))),4)&amp;"/"&amp;RIGHT("00"&amp;VALUE(TRIM(LEFT(MID(Sync!$L198,FIND("/",Sync!$L198)+1,20),FIND("/",MID(Sync!$L198,FIND("/",Sync!$L198)+1,20))-1))),2)&amp;"/"&amp;RIGHT("00"&amp;VALUE(TRIM(MID(MID(Sync!$L198,FIND("/",Sync!$L198)+1,20),FIND("/",MID(Sync!$L198,FIND("/",Sync!$L198)+1,20))+1,20))),2),"")))</f>
        <v/>
      </c>
    </row>
    <row r="199">
      <c r="A199">
        <f>IF(Issues!$B202="","",Issues!$B202)</f>
        <v/>
      </c>
      <c r="B199">
        <f>IF($A199="","",IF(ISNUMBER(Issues!$C202),IF(AND(Issues!$C202&gt;=10000101,Issues!$C202&lt;=99991231),INT(Issues!$C202/10000),""),IFERROR(VALUE(TRIM(LEFT(Issues!$C202,FIND("/",Issues!$C202)-1))),"")))</f>
        <v/>
      </c>
      <c r="C199">
        <f>IF(OR($A199="",$B199=""),"",IF(ISNUMBER(Issues!$C202),INT(MOD(Issues!$C202,10000)/100),IFERROR(VALUE(TRIM(LEFT(MID(Issues!$C202,FIND("/",Issues!$C202)+1,20),FIND("/",MID(Issues!$C202,FIND("/",Issues!$C202)+1,20))-1))),"")))</f>
        <v/>
      </c>
      <c r="D199">
        <f>IF(OR($A199="",$B199=""),"",IF(ISNUMBER(Issues!$C202),MOD(Issues!$C202,100),IFERROR(VALUE(TRIM(MID(MID(Issues!$C202,FIND("/",Issues!$C202)+1,20),FIND("/",MID(Issues!$C202,FIND("/",Issues!$C202)+1,20))+1,20))),"")))</f>
        <v/>
      </c>
      <c r="E199">
        <f>IF($A199="","",IF(OR($B199="",$C199="",$D199="",$B199&lt;1300,$B199&gt;1500,$C199&lt;1,$C199&gt;12,$D199&lt;1,$D199&gt;31),"نامعتبر",RIGHT("0000"&amp;$B199,4)&amp;"/"&amp;RIGHT("00"&amp;$C199,2)&amp;"/"&amp;RIGHT("00"&amp;$D199,2)))</f>
        <v/>
      </c>
      <c r="F199">
        <f>IF($A199="","",IF(Issues!$D202="",0,Issues!$D202))</f>
        <v/>
      </c>
      <c r="G199">
        <f>IF($A199="","",Issues!$E202)</f>
        <v/>
      </c>
      <c r="H199">
        <f>IF($A199="","",IF(COUNTIFS(ETxnType,"پاس چک",ETxnChk,$A199)&gt;0,"پاس شده","پاس نشده"))</f>
        <v/>
      </c>
      <c r="I199">
        <f>IF($A199="","",IFERROR(INDEX(BClrDate,MATCH($A199,BClrChk,0)),""))</f>
        <v/>
      </c>
      <c r="J199">
        <f>IF($A199="","",Issues!$G202)</f>
        <v/>
      </c>
      <c r="K199">
        <f>IF(OR($E199="",$E199="نامعتبر"),"",LEFT($E199,4)&amp;MID($E199,6,2)&amp;RIGHT($E199,2)&amp;"|"&amp;RIGHT("00000"&amp;194,5))</f>
        <v/>
      </c>
      <c r="M199">
        <f>IF(Sync!$M199&lt;&gt;"پاس چک","",IF(Sync!$P199="","",Sync!$P199))</f>
        <v/>
      </c>
      <c r="N199">
        <f>IF($M199="","",IF(ISNUMBER(Sync!$L199),IF(AND(Sync!$L199&gt;=10000101,Sync!$L199&lt;=99991231),RIGHT("0000"&amp;INT(Sync!$L199/10000),4)&amp;"/"&amp;RIGHT("00"&amp;INT(MOD(Sync!$L199,10000)/100),2)&amp;"/"&amp;RIGHT("00"&amp;MOD(Sync!$L199,100),2),""),IFERROR(RIGHT("0000"&amp;VALUE(TRIM(LEFT(Sync!$L199,FIND("/",Sync!$L199)-1))),4)&amp;"/"&amp;RIGHT("00"&amp;VALUE(TRIM(LEFT(MID(Sync!$L199,FIND("/",Sync!$L199)+1,20),FIND("/",MID(Sync!$L199,FIND("/",Sync!$L199)+1,20))-1))),2)&amp;"/"&amp;RIGHT("00"&amp;VALUE(TRIM(MID(MID(Sync!$L199,FIND("/",Sync!$L199)+1,20),FIND("/",MID(Sync!$L199,FIND("/",Sync!$L199)+1,20))+1,20))),2),"")))</f>
        <v/>
      </c>
    </row>
    <row r="200">
      <c r="A200">
        <f>IF(Issues!$B203="","",Issues!$B203)</f>
        <v/>
      </c>
      <c r="B200">
        <f>IF($A200="","",IF(ISNUMBER(Issues!$C203),IF(AND(Issues!$C203&gt;=10000101,Issues!$C203&lt;=99991231),INT(Issues!$C203/10000),""),IFERROR(VALUE(TRIM(LEFT(Issues!$C203,FIND("/",Issues!$C203)-1))),"")))</f>
        <v/>
      </c>
      <c r="C200">
        <f>IF(OR($A200="",$B200=""),"",IF(ISNUMBER(Issues!$C203),INT(MOD(Issues!$C203,10000)/100),IFERROR(VALUE(TRIM(LEFT(MID(Issues!$C203,FIND("/",Issues!$C203)+1,20),FIND("/",MID(Issues!$C203,FIND("/",Issues!$C203)+1,20))-1))),"")))</f>
        <v/>
      </c>
      <c r="D200">
        <f>IF(OR($A200="",$B200=""),"",IF(ISNUMBER(Issues!$C203),MOD(Issues!$C203,100),IFERROR(VALUE(TRIM(MID(MID(Issues!$C203,FIND("/",Issues!$C203)+1,20),FIND("/",MID(Issues!$C203,FIND("/",Issues!$C203)+1,20))+1,20))),"")))</f>
        <v/>
      </c>
      <c r="E200">
        <f>IF($A200="","",IF(OR($B200="",$C200="",$D200="",$B200&lt;1300,$B200&gt;1500,$C200&lt;1,$C200&gt;12,$D200&lt;1,$D200&gt;31),"نامعتبر",RIGHT("0000"&amp;$B200,4)&amp;"/"&amp;RIGHT("00"&amp;$C200,2)&amp;"/"&amp;RIGHT("00"&amp;$D200,2)))</f>
        <v/>
      </c>
      <c r="F200">
        <f>IF($A200="","",IF(Issues!$D203="",0,Issues!$D203))</f>
        <v/>
      </c>
      <c r="G200">
        <f>IF($A200="","",Issues!$E203)</f>
        <v/>
      </c>
      <c r="H200">
        <f>IF($A200="","",IF(COUNTIFS(ETxnType,"پاس چک",ETxnChk,$A200)&gt;0,"پاس شده","پاس نشده"))</f>
        <v/>
      </c>
      <c r="I200">
        <f>IF($A200="","",IFERROR(INDEX(BClrDate,MATCH($A200,BClrChk,0)),""))</f>
        <v/>
      </c>
      <c r="J200">
        <f>IF($A200="","",Issues!$G203)</f>
        <v/>
      </c>
      <c r="K200">
        <f>IF(OR($E200="",$E200="نامعتبر"),"",LEFT($E200,4)&amp;MID($E200,6,2)&amp;RIGHT($E200,2)&amp;"|"&amp;RIGHT("00000"&amp;195,5))</f>
        <v/>
      </c>
      <c r="M200">
        <f>IF(Sync!$M200&lt;&gt;"پاس چک","",IF(Sync!$P200="","",Sync!$P200))</f>
        <v/>
      </c>
      <c r="N200">
        <f>IF($M200="","",IF(ISNUMBER(Sync!$L200),IF(AND(Sync!$L200&gt;=10000101,Sync!$L200&lt;=99991231),RIGHT("0000"&amp;INT(Sync!$L200/10000),4)&amp;"/"&amp;RIGHT("00"&amp;INT(MOD(Sync!$L200,10000)/100),2)&amp;"/"&amp;RIGHT("00"&amp;MOD(Sync!$L200,100),2),""),IFERROR(RIGHT("0000"&amp;VALUE(TRIM(LEFT(Sync!$L200,FIND("/",Sync!$L200)-1))),4)&amp;"/"&amp;RIGHT("00"&amp;VALUE(TRIM(LEFT(MID(Sync!$L200,FIND("/",Sync!$L200)+1,20),FIND("/",MID(Sync!$L200,FIND("/",Sync!$L200)+1,20))-1))),2)&amp;"/"&amp;RIGHT("00"&amp;VALUE(TRIM(MID(MID(Sync!$L200,FIND("/",Sync!$L200)+1,20),FIND("/",MID(Sync!$L200,FIND("/",Sync!$L200)+1,20))+1,20))),2),"")))</f>
        <v/>
      </c>
    </row>
    <row r="201">
      <c r="A201">
        <f>IF(Issues!$B204="","",Issues!$B204)</f>
        <v/>
      </c>
      <c r="B201">
        <f>IF($A201="","",IF(ISNUMBER(Issues!$C204),IF(AND(Issues!$C204&gt;=10000101,Issues!$C204&lt;=99991231),INT(Issues!$C204/10000),""),IFERROR(VALUE(TRIM(LEFT(Issues!$C204,FIND("/",Issues!$C204)-1))),"")))</f>
        <v/>
      </c>
      <c r="C201">
        <f>IF(OR($A201="",$B201=""),"",IF(ISNUMBER(Issues!$C204),INT(MOD(Issues!$C204,10000)/100),IFERROR(VALUE(TRIM(LEFT(MID(Issues!$C204,FIND("/",Issues!$C204)+1,20),FIND("/",MID(Issues!$C204,FIND("/",Issues!$C204)+1,20))-1))),"")))</f>
        <v/>
      </c>
      <c r="D201">
        <f>IF(OR($A201="",$B201=""),"",IF(ISNUMBER(Issues!$C204),MOD(Issues!$C204,100),IFERROR(VALUE(TRIM(MID(MID(Issues!$C204,FIND("/",Issues!$C204)+1,20),FIND("/",MID(Issues!$C204,FIND("/",Issues!$C204)+1,20))+1,20))),"")))</f>
        <v/>
      </c>
      <c r="E201">
        <f>IF($A201="","",IF(OR($B201="",$C201="",$D201="",$B201&lt;1300,$B201&gt;1500,$C201&lt;1,$C201&gt;12,$D201&lt;1,$D201&gt;31),"نامعتبر",RIGHT("0000"&amp;$B201,4)&amp;"/"&amp;RIGHT("00"&amp;$C201,2)&amp;"/"&amp;RIGHT("00"&amp;$D201,2)))</f>
        <v/>
      </c>
      <c r="F201">
        <f>IF($A201="","",IF(Issues!$D204="",0,Issues!$D204))</f>
        <v/>
      </c>
      <c r="G201">
        <f>IF($A201="","",Issues!$E204)</f>
        <v/>
      </c>
      <c r="H201">
        <f>IF($A201="","",IF(COUNTIFS(ETxnType,"پاس چک",ETxnChk,$A201)&gt;0,"پاس شده","پاس نشده"))</f>
        <v/>
      </c>
      <c r="I201">
        <f>IF($A201="","",IFERROR(INDEX(BClrDate,MATCH($A201,BClrChk,0)),""))</f>
        <v/>
      </c>
      <c r="J201">
        <f>IF($A201="","",Issues!$G204)</f>
        <v/>
      </c>
      <c r="K201">
        <f>IF(OR($E201="",$E201="نامعتبر"),"",LEFT($E201,4)&amp;MID($E201,6,2)&amp;RIGHT($E201,2)&amp;"|"&amp;RIGHT("00000"&amp;196,5))</f>
        <v/>
      </c>
      <c r="M201">
        <f>IF(Sync!$M201&lt;&gt;"پاس چک","",IF(Sync!$P201="","",Sync!$P201))</f>
        <v/>
      </c>
      <c r="N201">
        <f>IF($M201="","",IF(ISNUMBER(Sync!$L201),IF(AND(Sync!$L201&gt;=10000101,Sync!$L201&lt;=99991231),RIGHT("0000"&amp;INT(Sync!$L201/10000),4)&amp;"/"&amp;RIGHT("00"&amp;INT(MOD(Sync!$L201,10000)/100),2)&amp;"/"&amp;RIGHT("00"&amp;MOD(Sync!$L201,100),2),""),IFERROR(RIGHT("0000"&amp;VALUE(TRIM(LEFT(Sync!$L201,FIND("/",Sync!$L201)-1))),4)&amp;"/"&amp;RIGHT("00"&amp;VALUE(TRIM(LEFT(MID(Sync!$L201,FIND("/",Sync!$L201)+1,20),FIND("/",MID(Sync!$L201,FIND("/",Sync!$L201)+1,20))-1))),2)&amp;"/"&amp;RIGHT("00"&amp;VALUE(TRIM(MID(MID(Sync!$L201,FIND("/",Sync!$L201)+1,20),FIND("/",MID(Sync!$L201,FIND("/",Sync!$L201)+1,20))+1,20))),2),"")))</f>
        <v/>
      </c>
    </row>
    <row r="202">
      <c r="A202">
        <f>IF(Issues!$B205="","",Issues!$B205)</f>
        <v/>
      </c>
      <c r="B202">
        <f>IF($A202="","",IF(ISNUMBER(Issues!$C205),IF(AND(Issues!$C205&gt;=10000101,Issues!$C205&lt;=99991231),INT(Issues!$C205/10000),""),IFERROR(VALUE(TRIM(LEFT(Issues!$C205,FIND("/",Issues!$C205)-1))),"")))</f>
        <v/>
      </c>
      <c r="C202">
        <f>IF(OR($A202="",$B202=""),"",IF(ISNUMBER(Issues!$C205),INT(MOD(Issues!$C205,10000)/100),IFERROR(VALUE(TRIM(LEFT(MID(Issues!$C205,FIND("/",Issues!$C205)+1,20),FIND("/",MID(Issues!$C205,FIND("/",Issues!$C205)+1,20))-1))),"")))</f>
        <v/>
      </c>
      <c r="D202">
        <f>IF(OR($A202="",$B202=""),"",IF(ISNUMBER(Issues!$C205),MOD(Issues!$C205,100),IFERROR(VALUE(TRIM(MID(MID(Issues!$C205,FIND("/",Issues!$C205)+1,20),FIND("/",MID(Issues!$C205,FIND("/",Issues!$C205)+1,20))+1,20))),"")))</f>
        <v/>
      </c>
      <c r="E202">
        <f>IF($A202="","",IF(OR($B202="",$C202="",$D202="",$B202&lt;1300,$B202&gt;1500,$C202&lt;1,$C202&gt;12,$D202&lt;1,$D202&gt;31),"نامعتبر",RIGHT("0000"&amp;$B202,4)&amp;"/"&amp;RIGHT("00"&amp;$C202,2)&amp;"/"&amp;RIGHT("00"&amp;$D202,2)))</f>
        <v/>
      </c>
      <c r="F202">
        <f>IF($A202="","",IF(Issues!$D205="",0,Issues!$D205))</f>
        <v/>
      </c>
      <c r="G202">
        <f>IF($A202="","",Issues!$E205)</f>
        <v/>
      </c>
      <c r="H202">
        <f>IF($A202="","",IF(COUNTIFS(ETxnType,"پاس چک",ETxnChk,$A202)&gt;0,"پاس شده","پاس نشده"))</f>
        <v/>
      </c>
      <c r="I202">
        <f>IF($A202="","",IFERROR(INDEX(BClrDate,MATCH($A202,BClrChk,0)),""))</f>
        <v/>
      </c>
      <c r="J202">
        <f>IF($A202="","",Issues!$G205)</f>
        <v/>
      </c>
      <c r="K202">
        <f>IF(OR($E202="",$E202="نامعتبر"),"",LEFT($E202,4)&amp;MID($E202,6,2)&amp;RIGHT($E202,2)&amp;"|"&amp;RIGHT("00000"&amp;197,5))</f>
        <v/>
      </c>
      <c r="M202">
        <f>IF(Sync!$M202&lt;&gt;"پاس چک","",IF(Sync!$P202="","",Sync!$P202))</f>
        <v/>
      </c>
      <c r="N202">
        <f>IF($M202="","",IF(ISNUMBER(Sync!$L202),IF(AND(Sync!$L202&gt;=10000101,Sync!$L202&lt;=99991231),RIGHT("0000"&amp;INT(Sync!$L202/10000),4)&amp;"/"&amp;RIGHT("00"&amp;INT(MOD(Sync!$L202,10000)/100),2)&amp;"/"&amp;RIGHT("00"&amp;MOD(Sync!$L202,100),2),""),IFERROR(RIGHT("0000"&amp;VALUE(TRIM(LEFT(Sync!$L202,FIND("/",Sync!$L202)-1))),4)&amp;"/"&amp;RIGHT("00"&amp;VALUE(TRIM(LEFT(MID(Sync!$L202,FIND("/",Sync!$L202)+1,20),FIND("/",MID(Sync!$L202,FIND("/",Sync!$L202)+1,20))-1))),2)&amp;"/"&amp;RIGHT("00"&amp;VALUE(TRIM(MID(MID(Sync!$L202,FIND("/",Sync!$L202)+1,20),FIND("/",MID(Sync!$L202,FIND("/",Sync!$L202)+1,20))+1,20))),2),"")))</f>
        <v/>
      </c>
    </row>
    <row r="203">
      <c r="A203">
        <f>IF(Issues!$B206="","",Issues!$B206)</f>
        <v/>
      </c>
      <c r="B203">
        <f>IF($A203="","",IF(ISNUMBER(Issues!$C206),IF(AND(Issues!$C206&gt;=10000101,Issues!$C206&lt;=99991231),INT(Issues!$C206/10000),""),IFERROR(VALUE(TRIM(LEFT(Issues!$C206,FIND("/",Issues!$C206)-1))),"")))</f>
        <v/>
      </c>
      <c r="C203">
        <f>IF(OR($A203="",$B203=""),"",IF(ISNUMBER(Issues!$C206),INT(MOD(Issues!$C206,10000)/100),IFERROR(VALUE(TRIM(LEFT(MID(Issues!$C206,FIND("/",Issues!$C206)+1,20),FIND("/",MID(Issues!$C206,FIND("/",Issues!$C206)+1,20))-1))),"")))</f>
        <v/>
      </c>
      <c r="D203">
        <f>IF(OR($A203="",$B203=""),"",IF(ISNUMBER(Issues!$C206),MOD(Issues!$C206,100),IFERROR(VALUE(TRIM(MID(MID(Issues!$C206,FIND("/",Issues!$C206)+1,20),FIND("/",MID(Issues!$C206,FIND("/",Issues!$C206)+1,20))+1,20))),"")))</f>
        <v/>
      </c>
      <c r="E203">
        <f>IF($A203="","",IF(OR($B203="",$C203="",$D203="",$B203&lt;1300,$B203&gt;1500,$C203&lt;1,$C203&gt;12,$D203&lt;1,$D203&gt;31),"نامعتبر",RIGHT("0000"&amp;$B203,4)&amp;"/"&amp;RIGHT("00"&amp;$C203,2)&amp;"/"&amp;RIGHT("00"&amp;$D203,2)))</f>
        <v/>
      </c>
      <c r="F203">
        <f>IF($A203="","",IF(Issues!$D206="",0,Issues!$D206))</f>
        <v/>
      </c>
      <c r="G203">
        <f>IF($A203="","",Issues!$E206)</f>
        <v/>
      </c>
      <c r="H203">
        <f>IF($A203="","",IF(COUNTIFS(ETxnType,"پاس چک",ETxnChk,$A203)&gt;0,"پاس شده","پاس نشده"))</f>
        <v/>
      </c>
      <c r="I203">
        <f>IF($A203="","",IFERROR(INDEX(BClrDate,MATCH($A203,BClrChk,0)),""))</f>
        <v/>
      </c>
      <c r="J203">
        <f>IF($A203="","",Issues!$G206)</f>
        <v/>
      </c>
      <c r="K203">
        <f>IF(OR($E203="",$E203="نامعتبر"),"",LEFT($E203,4)&amp;MID($E203,6,2)&amp;RIGHT($E203,2)&amp;"|"&amp;RIGHT("00000"&amp;198,5))</f>
        <v/>
      </c>
      <c r="M203">
        <f>IF(Sync!$M203&lt;&gt;"پاس چک","",IF(Sync!$P203="","",Sync!$P203))</f>
        <v/>
      </c>
      <c r="N203">
        <f>IF($M203="","",IF(ISNUMBER(Sync!$L203),IF(AND(Sync!$L203&gt;=10000101,Sync!$L203&lt;=99991231),RIGHT("0000"&amp;INT(Sync!$L203/10000),4)&amp;"/"&amp;RIGHT("00"&amp;INT(MOD(Sync!$L203,10000)/100),2)&amp;"/"&amp;RIGHT("00"&amp;MOD(Sync!$L203,100),2),""),IFERROR(RIGHT("0000"&amp;VALUE(TRIM(LEFT(Sync!$L203,FIND("/",Sync!$L203)-1))),4)&amp;"/"&amp;RIGHT("00"&amp;VALUE(TRIM(LEFT(MID(Sync!$L203,FIND("/",Sync!$L203)+1,20),FIND("/",MID(Sync!$L203,FIND("/",Sync!$L203)+1,20))-1))),2)&amp;"/"&amp;RIGHT("00"&amp;VALUE(TRIM(MID(MID(Sync!$L203,FIND("/",Sync!$L203)+1,20),FIND("/",MID(Sync!$L203,FIND("/",Sync!$L203)+1,20))+1,20))),2),"")))</f>
        <v/>
      </c>
    </row>
    <row r="204">
      <c r="A204">
        <f>IF(Issues!$B207="","",Issues!$B207)</f>
        <v/>
      </c>
      <c r="B204">
        <f>IF($A204="","",IF(ISNUMBER(Issues!$C207),IF(AND(Issues!$C207&gt;=10000101,Issues!$C207&lt;=99991231),INT(Issues!$C207/10000),""),IFERROR(VALUE(TRIM(LEFT(Issues!$C207,FIND("/",Issues!$C207)-1))),"")))</f>
        <v/>
      </c>
      <c r="C204">
        <f>IF(OR($A204="",$B204=""),"",IF(ISNUMBER(Issues!$C207),INT(MOD(Issues!$C207,10000)/100),IFERROR(VALUE(TRIM(LEFT(MID(Issues!$C207,FIND("/",Issues!$C207)+1,20),FIND("/",MID(Issues!$C207,FIND("/",Issues!$C207)+1,20))-1))),"")))</f>
        <v/>
      </c>
      <c r="D204">
        <f>IF(OR($A204="",$B204=""),"",IF(ISNUMBER(Issues!$C207),MOD(Issues!$C207,100),IFERROR(VALUE(TRIM(MID(MID(Issues!$C207,FIND("/",Issues!$C207)+1,20),FIND("/",MID(Issues!$C207,FIND("/",Issues!$C207)+1,20))+1,20))),"")))</f>
        <v/>
      </c>
      <c r="E204">
        <f>IF($A204="","",IF(OR($B204="",$C204="",$D204="",$B204&lt;1300,$B204&gt;1500,$C204&lt;1,$C204&gt;12,$D204&lt;1,$D204&gt;31),"نامعتبر",RIGHT("0000"&amp;$B204,4)&amp;"/"&amp;RIGHT("00"&amp;$C204,2)&amp;"/"&amp;RIGHT("00"&amp;$D204,2)))</f>
        <v/>
      </c>
      <c r="F204">
        <f>IF($A204="","",IF(Issues!$D207="",0,Issues!$D207))</f>
        <v/>
      </c>
      <c r="G204">
        <f>IF($A204="","",Issues!$E207)</f>
        <v/>
      </c>
      <c r="H204">
        <f>IF($A204="","",IF(COUNTIFS(ETxnType,"پاس چک",ETxnChk,$A204)&gt;0,"پاس شده","پاس نشده"))</f>
        <v/>
      </c>
      <c r="I204">
        <f>IF($A204="","",IFERROR(INDEX(BClrDate,MATCH($A204,BClrChk,0)),""))</f>
        <v/>
      </c>
      <c r="J204">
        <f>IF($A204="","",Issues!$G207)</f>
        <v/>
      </c>
      <c r="K204">
        <f>IF(OR($E204="",$E204="نامعتبر"),"",LEFT($E204,4)&amp;MID($E204,6,2)&amp;RIGHT($E204,2)&amp;"|"&amp;RIGHT("00000"&amp;199,5))</f>
        <v/>
      </c>
      <c r="M204">
        <f>IF(Sync!$M204&lt;&gt;"پاس چک","",IF(Sync!$P204="","",Sync!$P204))</f>
        <v/>
      </c>
      <c r="N204">
        <f>IF($M204="","",IF(ISNUMBER(Sync!$L204),IF(AND(Sync!$L204&gt;=10000101,Sync!$L204&lt;=99991231),RIGHT("0000"&amp;INT(Sync!$L204/10000),4)&amp;"/"&amp;RIGHT("00"&amp;INT(MOD(Sync!$L204,10000)/100),2)&amp;"/"&amp;RIGHT("00"&amp;MOD(Sync!$L204,100),2),""),IFERROR(RIGHT("0000"&amp;VALUE(TRIM(LEFT(Sync!$L204,FIND("/",Sync!$L204)-1))),4)&amp;"/"&amp;RIGHT("00"&amp;VALUE(TRIM(LEFT(MID(Sync!$L204,FIND("/",Sync!$L204)+1,20),FIND("/",MID(Sync!$L204,FIND("/",Sync!$L204)+1,20))-1))),2)&amp;"/"&amp;RIGHT("00"&amp;VALUE(TRIM(MID(MID(Sync!$L204,FIND("/",Sync!$L204)+1,20),FIND("/",MID(Sync!$L204,FIND("/",Sync!$L204)+1,20))+1,20))),2),"")))</f>
        <v/>
      </c>
    </row>
    <row r="205">
      <c r="A205">
        <f>IF(Issues!$B208="","",Issues!$B208)</f>
        <v/>
      </c>
      <c r="B205">
        <f>IF($A205="","",IF(ISNUMBER(Issues!$C208),IF(AND(Issues!$C208&gt;=10000101,Issues!$C208&lt;=99991231),INT(Issues!$C208/10000),""),IFERROR(VALUE(TRIM(LEFT(Issues!$C208,FIND("/",Issues!$C208)-1))),"")))</f>
        <v/>
      </c>
      <c r="C205">
        <f>IF(OR($A205="",$B205=""),"",IF(ISNUMBER(Issues!$C208),INT(MOD(Issues!$C208,10000)/100),IFERROR(VALUE(TRIM(LEFT(MID(Issues!$C208,FIND("/",Issues!$C208)+1,20),FIND("/",MID(Issues!$C208,FIND("/",Issues!$C208)+1,20))-1))),"")))</f>
        <v/>
      </c>
      <c r="D205">
        <f>IF(OR($A205="",$B205=""),"",IF(ISNUMBER(Issues!$C208),MOD(Issues!$C208,100),IFERROR(VALUE(TRIM(MID(MID(Issues!$C208,FIND("/",Issues!$C208)+1,20),FIND("/",MID(Issues!$C208,FIND("/",Issues!$C208)+1,20))+1,20))),"")))</f>
        <v/>
      </c>
      <c r="E205">
        <f>IF($A205="","",IF(OR($B205="",$C205="",$D205="",$B205&lt;1300,$B205&gt;1500,$C205&lt;1,$C205&gt;12,$D205&lt;1,$D205&gt;31),"نامعتبر",RIGHT("0000"&amp;$B205,4)&amp;"/"&amp;RIGHT("00"&amp;$C205,2)&amp;"/"&amp;RIGHT("00"&amp;$D205,2)))</f>
        <v/>
      </c>
      <c r="F205">
        <f>IF($A205="","",IF(Issues!$D208="",0,Issues!$D208))</f>
        <v/>
      </c>
      <c r="G205">
        <f>IF($A205="","",Issues!$E208)</f>
        <v/>
      </c>
      <c r="H205">
        <f>IF($A205="","",IF(COUNTIFS(ETxnType,"پاس چک",ETxnChk,$A205)&gt;0,"پاس شده","پاس نشده"))</f>
        <v/>
      </c>
      <c r="I205">
        <f>IF($A205="","",IFERROR(INDEX(BClrDate,MATCH($A205,BClrChk,0)),""))</f>
        <v/>
      </c>
      <c r="J205">
        <f>IF($A205="","",Issues!$G208)</f>
        <v/>
      </c>
      <c r="K205">
        <f>IF(OR($E205="",$E205="نامعتبر"),"",LEFT($E205,4)&amp;MID($E205,6,2)&amp;RIGHT($E205,2)&amp;"|"&amp;RIGHT("00000"&amp;200,5))</f>
        <v/>
      </c>
      <c r="M205">
        <f>IF(Sync!$M205&lt;&gt;"پاس چک","",IF(Sync!$P205="","",Sync!$P205))</f>
        <v/>
      </c>
      <c r="N205">
        <f>IF($M205="","",IF(ISNUMBER(Sync!$L205),IF(AND(Sync!$L205&gt;=10000101,Sync!$L205&lt;=99991231),RIGHT("0000"&amp;INT(Sync!$L205/10000),4)&amp;"/"&amp;RIGHT("00"&amp;INT(MOD(Sync!$L205,10000)/100),2)&amp;"/"&amp;RIGHT("00"&amp;MOD(Sync!$L205,100),2),""),IFERROR(RIGHT("0000"&amp;VALUE(TRIM(LEFT(Sync!$L205,FIND("/",Sync!$L205)-1))),4)&amp;"/"&amp;RIGHT("00"&amp;VALUE(TRIM(LEFT(MID(Sync!$L205,FIND("/",Sync!$L205)+1,20),FIND("/",MID(Sync!$L205,FIND("/",Sync!$L205)+1,20))-1))),2)&amp;"/"&amp;RIGHT("00"&amp;VALUE(TRIM(MID(MID(Sync!$L205,FIND("/",Sync!$L205)+1,20),FIND("/",MID(Sync!$L205,FIND("/",Sync!$L205)+1,20))+1,20))),2),"")))</f>
        <v/>
      </c>
    </row>
    <row r="206">
      <c r="A206">
        <f>IF(Issues!$B209="","",Issues!$B209)</f>
        <v/>
      </c>
      <c r="B206">
        <f>IF($A206="","",IF(ISNUMBER(Issues!$C209),IF(AND(Issues!$C209&gt;=10000101,Issues!$C209&lt;=99991231),INT(Issues!$C209/10000),""),IFERROR(VALUE(TRIM(LEFT(Issues!$C209,FIND("/",Issues!$C209)-1))),"")))</f>
        <v/>
      </c>
      <c r="C206">
        <f>IF(OR($A206="",$B206=""),"",IF(ISNUMBER(Issues!$C209),INT(MOD(Issues!$C209,10000)/100),IFERROR(VALUE(TRIM(LEFT(MID(Issues!$C209,FIND("/",Issues!$C209)+1,20),FIND("/",MID(Issues!$C209,FIND("/",Issues!$C209)+1,20))-1))),"")))</f>
        <v/>
      </c>
      <c r="D206">
        <f>IF(OR($A206="",$B206=""),"",IF(ISNUMBER(Issues!$C209),MOD(Issues!$C209,100),IFERROR(VALUE(TRIM(MID(MID(Issues!$C209,FIND("/",Issues!$C209)+1,20),FIND("/",MID(Issues!$C209,FIND("/",Issues!$C209)+1,20))+1,20))),"")))</f>
        <v/>
      </c>
      <c r="E206">
        <f>IF($A206="","",IF(OR($B206="",$C206="",$D206="",$B206&lt;1300,$B206&gt;1500,$C206&lt;1,$C206&gt;12,$D206&lt;1,$D206&gt;31),"نامعتبر",RIGHT("0000"&amp;$B206,4)&amp;"/"&amp;RIGHT("00"&amp;$C206,2)&amp;"/"&amp;RIGHT("00"&amp;$D206,2)))</f>
        <v/>
      </c>
      <c r="F206">
        <f>IF($A206="","",IF(Issues!$D209="",0,Issues!$D209))</f>
        <v/>
      </c>
      <c r="G206">
        <f>IF($A206="","",Issues!$E209)</f>
        <v/>
      </c>
      <c r="H206">
        <f>IF($A206="","",IF(COUNTIFS(ETxnType,"پاس چک",ETxnChk,$A206)&gt;0,"پاس شده","پاس نشده"))</f>
        <v/>
      </c>
      <c r="I206">
        <f>IF($A206="","",IFERROR(INDEX(BClrDate,MATCH($A206,BClrChk,0)),""))</f>
        <v/>
      </c>
      <c r="J206">
        <f>IF($A206="","",Issues!$G209)</f>
        <v/>
      </c>
      <c r="K206">
        <f>IF(OR($E206="",$E206="نامعتبر"),"",LEFT($E206,4)&amp;MID($E206,6,2)&amp;RIGHT($E206,2)&amp;"|"&amp;RIGHT("00000"&amp;201,5))</f>
        <v/>
      </c>
      <c r="M206">
        <f>IF(Sync!$M206&lt;&gt;"پاس چک","",IF(Sync!$P206="","",Sync!$P206))</f>
        <v/>
      </c>
      <c r="N206">
        <f>IF($M206="","",IF(ISNUMBER(Sync!$L206),IF(AND(Sync!$L206&gt;=10000101,Sync!$L206&lt;=99991231),RIGHT("0000"&amp;INT(Sync!$L206/10000),4)&amp;"/"&amp;RIGHT("00"&amp;INT(MOD(Sync!$L206,10000)/100),2)&amp;"/"&amp;RIGHT("00"&amp;MOD(Sync!$L206,100),2),""),IFERROR(RIGHT("0000"&amp;VALUE(TRIM(LEFT(Sync!$L206,FIND("/",Sync!$L206)-1))),4)&amp;"/"&amp;RIGHT("00"&amp;VALUE(TRIM(LEFT(MID(Sync!$L206,FIND("/",Sync!$L206)+1,20),FIND("/",MID(Sync!$L206,FIND("/",Sync!$L206)+1,20))-1))),2)&amp;"/"&amp;RIGHT("00"&amp;VALUE(TRIM(MID(MID(Sync!$L206,FIND("/",Sync!$L206)+1,20),FIND("/",MID(Sync!$L206,FIND("/",Sync!$L206)+1,20))+1,20))),2),"")))</f>
        <v/>
      </c>
    </row>
    <row r="207">
      <c r="A207">
        <f>IF(Issues!$B210="","",Issues!$B210)</f>
        <v/>
      </c>
      <c r="B207">
        <f>IF($A207="","",IF(ISNUMBER(Issues!$C210),IF(AND(Issues!$C210&gt;=10000101,Issues!$C210&lt;=99991231),INT(Issues!$C210/10000),""),IFERROR(VALUE(TRIM(LEFT(Issues!$C210,FIND("/",Issues!$C210)-1))),"")))</f>
        <v/>
      </c>
      <c r="C207">
        <f>IF(OR($A207="",$B207=""),"",IF(ISNUMBER(Issues!$C210),INT(MOD(Issues!$C210,10000)/100),IFERROR(VALUE(TRIM(LEFT(MID(Issues!$C210,FIND("/",Issues!$C210)+1,20),FIND("/",MID(Issues!$C210,FIND("/",Issues!$C210)+1,20))-1))),"")))</f>
        <v/>
      </c>
      <c r="D207">
        <f>IF(OR($A207="",$B207=""),"",IF(ISNUMBER(Issues!$C210),MOD(Issues!$C210,100),IFERROR(VALUE(TRIM(MID(MID(Issues!$C210,FIND("/",Issues!$C210)+1,20),FIND("/",MID(Issues!$C210,FIND("/",Issues!$C210)+1,20))+1,20))),"")))</f>
        <v/>
      </c>
      <c r="E207">
        <f>IF($A207="","",IF(OR($B207="",$C207="",$D207="",$B207&lt;1300,$B207&gt;1500,$C207&lt;1,$C207&gt;12,$D207&lt;1,$D207&gt;31),"نامعتبر",RIGHT("0000"&amp;$B207,4)&amp;"/"&amp;RIGHT("00"&amp;$C207,2)&amp;"/"&amp;RIGHT("00"&amp;$D207,2)))</f>
        <v/>
      </c>
      <c r="F207">
        <f>IF($A207="","",IF(Issues!$D210="",0,Issues!$D210))</f>
        <v/>
      </c>
      <c r="G207">
        <f>IF($A207="","",Issues!$E210)</f>
        <v/>
      </c>
      <c r="H207">
        <f>IF($A207="","",IF(COUNTIFS(ETxnType,"پاس چک",ETxnChk,$A207)&gt;0,"پاس شده","پاس نشده"))</f>
        <v/>
      </c>
      <c r="I207">
        <f>IF($A207="","",IFERROR(INDEX(BClrDate,MATCH($A207,BClrChk,0)),""))</f>
        <v/>
      </c>
      <c r="J207">
        <f>IF($A207="","",Issues!$G210)</f>
        <v/>
      </c>
      <c r="K207">
        <f>IF(OR($E207="",$E207="نامعتبر"),"",LEFT($E207,4)&amp;MID($E207,6,2)&amp;RIGHT($E207,2)&amp;"|"&amp;RIGHT("00000"&amp;202,5))</f>
        <v/>
      </c>
      <c r="M207">
        <f>IF(Sync!$M207&lt;&gt;"پاس چک","",IF(Sync!$P207="","",Sync!$P207))</f>
        <v/>
      </c>
      <c r="N207">
        <f>IF($M207="","",IF(ISNUMBER(Sync!$L207),IF(AND(Sync!$L207&gt;=10000101,Sync!$L207&lt;=99991231),RIGHT("0000"&amp;INT(Sync!$L207/10000),4)&amp;"/"&amp;RIGHT("00"&amp;INT(MOD(Sync!$L207,10000)/100),2)&amp;"/"&amp;RIGHT("00"&amp;MOD(Sync!$L207,100),2),""),IFERROR(RIGHT("0000"&amp;VALUE(TRIM(LEFT(Sync!$L207,FIND("/",Sync!$L207)-1))),4)&amp;"/"&amp;RIGHT("00"&amp;VALUE(TRIM(LEFT(MID(Sync!$L207,FIND("/",Sync!$L207)+1,20),FIND("/",MID(Sync!$L207,FIND("/",Sync!$L207)+1,20))-1))),2)&amp;"/"&amp;RIGHT("00"&amp;VALUE(TRIM(MID(MID(Sync!$L207,FIND("/",Sync!$L207)+1,20),FIND("/",MID(Sync!$L207,FIND("/",Sync!$L207)+1,20))+1,20))),2),"")))</f>
        <v/>
      </c>
    </row>
    <row r="208">
      <c r="A208">
        <f>IF(Issues!$B211="","",Issues!$B211)</f>
        <v/>
      </c>
      <c r="B208">
        <f>IF($A208="","",IF(ISNUMBER(Issues!$C211),IF(AND(Issues!$C211&gt;=10000101,Issues!$C211&lt;=99991231),INT(Issues!$C211/10000),""),IFERROR(VALUE(TRIM(LEFT(Issues!$C211,FIND("/",Issues!$C211)-1))),"")))</f>
        <v/>
      </c>
      <c r="C208">
        <f>IF(OR($A208="",$B208=""),"",IF(ISNUMBER(Issues!$C211),INT(MOD(Issues!$C211,10000)/100),IFERROR(VALUE(TRIM(LEFT(MID(Issues!$C211,FIND("/",Issues!$C211)+1,20),FIND("/",MID(Issues!$C211,FIND("/",Issues!$C211)+1,20))-1))),"")))</f>
        <v/>
      </c>
      <c r="D208">
        <f>IF(OR($A208="",$B208=""),"",IF(ISNUMBER(Issues!$C211),MOD(Issues!$C211,100),IFERROR(VALUE(TRIM(MID(MID(Issues!$C211,FIND("/",Issues!$C211)+1,20),FIND("/",MID(Issues!$C211,FIND("/",Issues!$C211)+1,20))+1,20))),"")))</f>
        <v/>
      </c>
      <c r="E208">
        <f>IF($A208="","",IF(OR($B208="",$C208="",$D208="",$B208&lt;1300,$B208&gt;1500,$C208&lt;1,$C208&gt;12,$D208&lt;1,$D208&gt;31),"نامعتبر",RIGHT("0000"&amp;$B208,4)&amp;"/"&amp;RIGHT("00"&amp;$C208,2)&amp;"/"&amp;RIGHT("00"&amp;$D208,2)))</f>
        <v/>
      </c>
      <c r="F208">
        <f>IF($A208="","",IF(Issues!$D211="",0,Issues!$D211))</f>
        <v/>
      </c>
      <c r="G208">
        <f>IF($A208="","",Issues!$E211)</f>
        <v/>
      </c>
      <c r="H208">
        <f>IF($A208="","",IF(COUNTIFS(ETxnType,"پاس چک",ETxnChk,$A208)&gt;0,"پاس شده","پاس نشده"))</f>
        <v/>
      </c>
      <c r="I208">
        <f>IF($A208="","",IFERROR(INDEX(BClrDate,MATCH($A208,BClrChk,0)),""))</f>
        <v/>
      </c>
      <c r="J208">
        <f>IF($A208="","",Issues!$G211)</f>
        <v/>
      </c>
      <c r="K208">
        <f>IF(OR($E208="",$E208="نامعتبر"),"",LEFT($E208,4)&amp;MID($E208,6,2)&amp;RIGHT($E208,2)&amp;"|"&amp;RIGHT("00000"&amp;203,5))</f>
        <v/>
      </c>
      <c r="M208">
        <f>IF(Sync!$M208&lt;&gt;"پاس چک","",IF(Sync!$P208="","",Sync!$P208))</f>
        <v/>
      </c>
      <c r="N208">
        <f>IF($M208="","",IF(ISNUMBER(Sync!$L208),IF(AND(Sync!$L208&gt;=10000101,Sync!$L208&lt;=99991231),RIGHT("0000"&amp;INT(Sync!$L208/10000),4)&amp;"/"&amp;RIGHT("00"&amp;INT(MOD(Sync!$L208,10000)/100),2)&amp;"/"&amp;RIGHT("00"&amp;MOD(Sync!$L208,100),2),""),IFERROR(RIGHT("0000"&amp;VALUE(TRIM(LEFT(Sync!$L208,FIND("/",Sync!$L208)-1))),4)&amp;"/"&amp;RIGHT("00"&amp;VALUE(TRIM(LEFT(MID(Sync!$L208,FIND("/",Sync!$L208)+1,20),FIND("/",MID(Sync!$L208,FIND("/",Sync!$L208)+1,20))-1))),2)&amp;"/"&amp;RIGHT("00"&amp;VALUE(TRIM(MID(MID(Sync!$L208,FIND("/",Sync!$L208)+1,20),FIND("/",MID(Sync!$L208,FIND("/",Sync!$L208)+1,20))+1,20))),2),"")))</f>
        <v/>
      </c>
    </row>
    <row r="209">
      <c r="A209">
        <f>IF(Issues!$B212="","",Issues!$B212)</f>
        <v/>
      </c>
      <c r="B209">
        <f>IF($A209="","",IF(ISNUMBER(Issues!$C212),IF(AND(Issues!$C212&gt;=10000101,Issues!$C212&lt;=99991231),INT(Issues!$C212/10000),""),IFERROR(VALUE(TRIM(LEFT(Issues!$C212,FIND("/",Issues!$C212)-1))),"")))</f>
        <v/>
      </c>
      <c r="C209">
        <f>IF(OR($A209="",$B209=""),"",IF(ISNUMBER(Issues!$C212),INT(MOD(Issues!$C212,10000)/100),IFERROR(VALUE(TRIM(LEFT(MID(Issues!$C212,FIND("/",Issues!$C212)+1,20),FIND("/",MID(Issues!$C212,FIND("/",Issues!$C212)+1,20))-1))),"")))</f>
        <v/>
      </c>
      <c r="D209">
        <f>IF(OR($A209="",$B209=""),"",IF(ISNUMBER(Issues!$C212),MOD(Issues!$C212,100),IFERROR(VALUE(TRIM(MID(MID(Issues!$C212,FIND("/",Issues!$C212)+1,20),FIND("/",MID(Issues!$C212,FIND("/",Issues!$C212)+1,20))+1,20))),"")))</f>
        <v/>
      </c>
      <c r="E209">
        <f>IF($A209="","",IF(OR($B209="",$C209="",$D209="",$B209&lt;1300,$B209&gt;1500,$C209&lt;1,$C209&gt;12,$D209&lt;1,$D209&gt;31),"نامعتبر",RIGHT("0000"&amp;$B209,4)&amp;"/"&amp;RIGHT("00"&amp;$C209,2)&amp;"/"&amp;RIGHT("00"&amp;$D209,2)))</f>
        <v/>
      </c>
      <c r="F209">
        <f>IF($A209="","",IF(Issues!$D212="",0,Issues!$D212))</f>
        <v/>
      </c>
      <c r="G209">
        <f>IF($A209="","",Issues!$E212)</f>
        <v/>
      </c>
      <c r="H209">
        <f>IF($A209="","",IF(COUNTIFS(ETxnType,"پاس چک",ETxnChk,$A209)&gt;0,"پاس شده","پاس نشده"))</f>
        <v/>
      </c>
      <c r="I209">
        <f>IF($A209="","",IFERROR(INDEX(BClrDate,MATCH($A209,BClrChk,0)),""))</f>
        <v/>
      </c>
      <c r="J209">
        <f>IF($A209="","",Issues!$G212)</f>
        <v/>
      </c>
      <c r="K209">
        <f>IF(OR($E209="",$E209="نامعتبر"),"",LEFT($E209,4)&amp;MID($E209,6,2)&amp;RIGHT($E209,2)&amp;"|"&amp;RIGHT("00000"&amp;204,5))</f>
        <v/>
      </c>
      <c r="M209">
        <f>IF(Sync!$M209&lt;&gt;"پاس چک","",IF(Sync!$P209="","",Sync!$P209))</f>
        <v/>
      </c>
      <c r="N209">
        <f>IF($M209="","",IF(ISNUMBER(Sync!$L209),IF(AND(Sync!$L209&gt;=10000101,Sync!$L209&lt;=99991231),RIGHT("0000"&amp;INT(Sync!$L209/10000),4)&amp;"/"&amp;RIGHT("00"&amp;INT(MOD(Sync!$L209,10000)/100),2)&amp;"/"&amp;RIGHT("00"&amp;MOD(Sync!$L209,100),2),""),IFERROR(RIGHT("0000"&amp;VALUE(TRIM(LEFT(Sync!$L209,FIND("/",Sync!$L209)-1))),4)&amp;"/"&amp;RIGHT("00"&amp;VALUE(TRIM(LEFT(MID(Sync!$L209,FIND("/",Sync!$L209)+1,20),FIND("/",MID(Sync!$L209,FIND("/",Sync!$L209)+1,20))-1))),2)&amp;"/"&amp;RIGHT("00"&amp;VALUE(TRIM(MID(MID(Sync!$L209,FIND("/",Sync!$L209)+1,20),FIND("/",MID(Sync!$L209,FIND("/",Sync!$L209)+1,20))+1,20))),2),"")))</f>
        <v/>
      </c>
    </row>
    <row r="210">
      <c r="A210">
        <f>IF(Issues!$B213="","",Issues!$B213)</f>
        <v/>
      </c>
      <c r="B210">
        <f>IF($A210="","",IF(ISNUMBER(Issues!$C213),IF(AND(Issues!$C213&gt;=10000101,Issues!$C213&lt;=99991231),INT(Issues!$C213/10000),""),IFERROR(VALUE(TRIM(LEFT(Issues!$C213,FIND("/",Issues!$C213)-1))),"")))</f>
        <v/>
      </c>
      <c r="C210">
        <f>IF(OR($A210="",$B210=""),"",IF(ISNUMBER(Issues!$C213),INT(MOD(Issues!$C213,10000)/100),IFERROR(VALUE(TRIM(LEFT(MID(Issues!$C213,FIND("/",Issues!$C213)+1,20),FIND("/",MID(Issues!$C213,FIND("/",Issues!$C213)+1,20))-1))),"")))</f>
        <v/>
      </c>
      <c r="D210">
        <f>IF(OR($A210="",$B210=""),"",IF(ISNUMBER(Issues!$C213),MOD(Issues!$C213,100),IFERROR(VALUE(TRIM(MID(MID(Issues!$C213,FIND("/",Issues!$C213)+1,20),FIND("/",MID(Issues!$C213,FIND("/",Issues!$C213)+1,20))+1,20))),"")))</f>
        <v/>
      </c>
      <c r="E210">
        <f>IF($A210="","",IF(OR($B210="",$C210="",$D210="",$B210&lt;1300,$B210&gt;1500,$C210&lt;1,$C210&gt;12,$D210&lt;1,$D210&gt;31),"نامعتبر",RIGHT("0000"&amp;$B210,4)&amp;"/"&amp;RIGHT("00"&amp;$C210,2)&amp;"/"&amp;RIGHT("00"&amp;$D210,2)))</f>
        <v/>
      </c>
      <c r="F210">
        <f>IF($A210="","",IF(Issues!$D213="",0,Issues!$D213))</f>
        <v/>
      </c>
      <c r="G210">
        <f>IF($A210="","",Issues!$E213)</f>
        <v/>
      </c>
      <c r="H210">
        <f>IF($A210="","",IF(COUNTIFS(ETxnType,"پاس چک",ETxnChk,$A210)&gt;0,"پاس شده","پاس نشده"))</f>
        <v/>
      </c>
      <c r="I210">
        <f>IF($A210="","",IFERROR(INDEX(BClrDate,MATCH($A210,BClrChk,0)),""))</f>
        <v/>
      </c>
      <c r="J210">
        <f>IF($A210="","",Issues!$G213)</f>
        <v/>
      </c>
      <c r="K210">
        <f>IF(OR($E210="",$E210="نامعتبر"),"",LEFT($E210,4)&amp;MID($E210,6,2)&amp;RIGHT($E210,2)&amp;"|"&amp;RIGHT("00000"&amp;205,5))</f>
        <v/>
      </c>
      <c r="M210">
        <f>IF(Sync!$M210&lt;&gt;"پاس چک","",IF(Sync!$P210="","",Sync!$P210))</f>
        <v/>
      </c>
      <c r="N210">
        <f>IF($M210="","",IF(ISNUMBER(Sync!$L210),IF(AND(Sync!$L210&gt;=10000101,Sync!$L210&lt;=99991231),RIGHT("0000"&amp;INT(Sync!$L210/10000),4)&amp;"/"&amp;RIGHT("00"&amp;INT(MOD(Sync!$L210,10000)/100),2)&amp;"/"&amp;RIGHT("00"&amp;MOD(Sync!$L210,100),2),""),IFERROR(RIGHT("0000"&amp;VALUE(TRIM(LEFT(Sync!$L210,FIND("/",Sync!$L210)-1))),4)&amp;"/"&amp;RIGHT("00"&amp;VALUE(TRIM(LEFT(MID(Sync!$L210,FIND("/",Sync!$L210)+1,20),FIND("/",MID(Sync!$L210,FIND("/",Sync!$L210)+1,20))-1))),2)&amp;"/"&amp;RIGHT("00"&amp;VALUE(TRIM(MID(MID(Sync!$L210,FIND("/",Sync!$L210)+1,20),FIND("/",MID(Sync!$L210,FIND("/",Sync!$L210)+1,20))+1,20))),2),"")))</f>
        <v/>
      </c>
    </row>
    <row r="211">
      <c r="A211">
        <f>IF(Issues!$B214="","",Issues!$B214)</f>
        <v/>
      </c>
      <c r="B211">
        <f>IF($A211="","",IF(ISNUMBER(Issues!$C214),IF(AND(Issues!$C214&gt;=10000101,Issues!$C214&lt;=99991231),INT(Issues!$C214/10000),""),IFERROR(VALUE(TRIM(LEFT(Issues!$C214,FIND("/",Issues!$C214)-1))),"")))</f>
        <v/>
      </c>
      <c r="C211">
        <f>IF(OR($A211="",$B211=""),"",IF(ISNUMBER(Issues!$C214),INT(MOD(Issues!$C214,10000)/100),IFERROR(VALUE(TRIM(LEFT(MID(Issues!$C214,FIND("/",Issues!$C214)+1,20),FIND("/",MID(Issues!$C214,FIND("/",Issues!$C214)+1,20))-1))),"")))</f>
        <v/>
      </c>
      <c r="D211">
        <f>IF(OR($A211="",$B211=""),"",IF(ISNUMBER(Issues!$C214),MOD(Issues!$C214,100),IFERROR(VALUE(TRIM(MID(MID(Issues!$C214,FIND("/",Issues!$C214)+1,20),FIND("/",MID(Issues!$C214,FIND("/",Issues!$C214)+1,20))+1,20))),"")))</f>
        <v/>
      </c>
      <c r="E211">
        <f>IF($A211="","",IF(OR($B211="",$C211="",$D211="",$B211&lt;1300,$B211&gt;1500,$C211&lt;1,$C211&gt;12,$D211&lt;1,$D211&gt;31),"نامعتبر",RIGHT("0000"&amp;$B211,4)&amp;"/"&amp;RIGHT("00"&amp;$C211,2)&amp;"/"&amp;RIGHT("00"&amp;$D211,2)))</f>
        <v/>
      </c>
      <c r="F211">
        <f>IF($A211="","",IF(Issues!$D214="",0,Issues!$D214))</f>
        <v/>
      </c>
      <c r="G211">
        <f>IF($A211="","",Issues!$E214)</f>
        <v/>
      </c>
      <c r="H211">
        <f>IF($A211="","",IF(COUNTIFS(ETxnType,"پاس چک",ETxnChk,$A211)&gt;0,"پاس شده","پاس نشده"))</f>
        <v/>
      </c>
      <c r="I211">
        <f>IF($A211="","",IFERROR(INDEX(BClrDate,MATCH($A211,BClrChk,0)),""))</f>
        <v/>
      </c>
      <c r="J211">
        <f>IF($A211="","",Issues!$G214)</f>
        <v/>
      </c>
      <c r="K211">
        <f>IF(OR($E211="",$E211="نامعتبر"),"",LEFT($E211,4)&amp;MID($E211,6,2)&amp;RIGHT($E211,2)&amp;"|"&amp;RIGHT("00000"&amp;206,5))</f>
        <v/>
      </c>
      <c r="M211">
        <f>IF(Sync!$M211&lt;&gt;"پاس چک","",IF(Sync!$P211="","",Sync!$P211))</f>
        <v/>
      </c>
      <c r="N211">
        <f>IF($M211="","",IF(ISNUMBER(Sync!$L211),IF(AND(Sync!$L211&gt;=10000101,Sync!$L211&lt;=99991231),RIGHT("0000"&amp;INT(Sync!$L211/10000),4)&amp;"/"&amp;RIGHT("00"&amp;INT(MOD(Sync!$L211,10000)/100),2)&amp;"/"&amp;RIGHT("00"&amp;MOD(Sync!$L211,100),2),""),IFERROR(RIGHT("0000"&amp;VALUE(TRIM(LEFT(Sync!$L211,FIND("/",Sync!$L211)-1))),4)&amp;"/"&amp;RIGHT("00"&amp;VALUE(TRIM(LEFT(MID(Sync!$L211,FIND("/",Sync!$L211)+1,20),FIND("/",MID(Sync!$L211,FIND("/",Sync!$L211)+1,20))-1))),2)&amp;"/"&amp;RIGHT("00"&amp;VALUE(TRIM(MID(MID(Sync!$L211,FIND("/",Sync!$L211)+1,20),FIND("/",MID(Sync!$L211,FIND("/",Sync!$L211)+1,20))+1,20))),2),"")))</f>
        <v/>
      </c>
    </row>
    <row r="212">
      <c r="A212">
        <f>IF(Issues!$B215="","",Issues!$B215)</f>
        <v/>
      </c>
      <c r="B212">
        <f>IF($A212="","",IF(ISNUMBER(Issues!$C215),IF(AND(Issues!$C215&gt;=10000101,Issues!$C215&lt;=99991231),INT(Issues!$C215/10000),""),IFERROR(VALUE(TRIM(LEFT(Issues!$C215,FIND("/",Issues!$C215)-1))),"")))</f>
        <v/>
      </c>
      <c r="C212">
        <f>IF(OR($A212="",$B212=""),"",IF(ISNUMBER(Issues!$C215),INT(MOD(Issues!$C215,10000)/100),IFERROR(VALUE(TRIM(LEFT(MID(Issues!$C215,FIND("/",Issues!$C215)+1,20),FIND("/",MID(Issues!$C215,FIND("/",Issues!$C215)+1,20))-1))),"")))</f>
        <v/>
      </c>
      <c r="D212">
        <f>IF(OR($A212="",$B212=""),"",IF(ISNUMBER(Issues!$C215),MOD(Issues!$C215,100),IFERROR(VALUE(TRIM(MID(MID(Issues!$C215,FIND("/",Issues!$C215)+1,20),FIND("/",MID(Issues!$C215,FIND("/",Issues!$C215)+1,20))+1,20))),"")))</f>
        <v/>
      </c>
      <c r="E212">
        <f>IF($A212="","",IF(OR($B212="",$C212="",$D212="",$B212&lt;1300,$B212&gt;1500,$C212&lt;1,$C212&gt;12,$D212&lt;1,$D212&gt;31),"نامعتبر",RIGHT("0000"&amp;$B212,4)&amp;"/"&amp;RIGHT("00"&amp;$C212,2)&amp;"/"&amp;RIGHT("00"&amp;$D212,2)))</f>
        <v/>
      </c>
      <c r="F212">
        <f>IF($A212="","",IF(Issues!$D215="",0,Issues!$D215))</f>
        <v/>
      </c>
      <c r="G212">
        <f>IF($A212="","",Issues!$E215)</f>
        <v/>
      </c>
      <c r="H212">
        <f>IF($A212="","",IF(COUNTIFS(ETxnType,"پاس چک",ETxnChk,$A212)&gt;0,"پاس شده","پاس نشده"))</f>
        <v/>
      </c>
      <c r="I212">
        <f>IF($A212="","",IFERROR(INDEX(BClrDate,MATCH($A212,BClrChk,0)),""))</f>
        <v/>
      </c>
      <c r="J212">
        <f>IF($A212="","",Issues!$G215)</f>
        <v/>
      </c>
      <c r="K212">
        <f>IF(OR($E212="",$E212="نامعتبر"),"",LEFT($E212,4)&amp;MID($E212,6,2)&amp;RIGHT($E212,2)&amp;"|"&amp;RIGHT("00000"&amp;207,5))</f>
        <v/>
      </c>
      <c r="M212">
        <f>IF(Sync!$M212&lt;&gt;"پاس چک","",IF(Sync!$P212="","",Sync!$P212))</f>
        <v/>
      </c>
      <c r="N212">
        <f>IF($M212="","",IF(ISNUMBER(Sync!$L212),IF(AND(Sync!$L212&gt;=10000101,Sync!$L212&lt;=99991231),RIGHT("0000"&amp;INT(Sync!$L212/10000),4)&amp;"/"&amp;RIGHT("00"&amp;INT(MOD(Sync!$L212,10000)/100),2)&amp;"/"&amp;RIGHT("00"&amp;MOD(Sync!$L212,100),2),""),IFERROR(RIGHT("0000"&amp;VALUE(TRIM(LEFT(Sync!$L212,FIND("/",Sync!$L212)-1))),4)&amp;"/"&amp;RIGHT("00"&amp;VALUE(TRIM(LEFT(MID(Sync!$L212,FIND("/",Sync!$L212)+1,20),FIND("/",MID(Sync!$L212,FIND("/",Sync!$L212)+1,20))-1))),2)&amp;"/"&amp;RIGHT("00"&amp;VALUE(TRIM(MID(MID(Sync!$L212,FIND("/",Sync!$L212)+1,20),FIND("/",MID(Sync!$L212,FIND("/",Sync!$L212)+1,20))+1,20))),2),"")))</f>
        <v/>
      </c>
    </row>
    <row r="213">
      <c r="A213">
        <f>IF(Issues!$B216="","",Issues!$B216)</f>
        <v/>
      </c>
      <c r="B213">
        <f>IF($A213="","",IF(ISNUMBER(Issues!$C216),IF(AND(Issues!$C216&gt;=10000101,Issues!$C216&lt;=99991231),INT(Issues!$C216/10000),""),IFERROR(VALUE(TRIM(LEFT(Issues!$C216,FIND("/",Issues!$C216)-1))),"")))</f>
        <v/>
      </c>
      <c r="C213">
        <f>IF(OR($A213="",$B213=""),"",IF(ISNUMBER(Issues!$C216),INT(MOD(Issues!$C216,10000)/100),IFERROR(VALUE(TRIM(LEFT(MID(Issues!$C216,FIND("/",Issues!$C216)+1,20),FIND("/",MID(Issues!$C216,FIND("/",Issues!$C216)+1,20))-1))),"")))</f>
        <v/>
      </c>
      <c r="D213">
        <f>IF(OR($A213="",$B213=""),"",IF(ISNUMBER(Issues!$C216),MOD(Issues!$C216,100),IFERROR(VALUE(TRIM(MID(MID(Issues!$C216,FIND("/",Issues!$C216)+1,20),FIND("/",MID(Issues!$C216,FIND("/",Issues!$C216)+1,20))+1,20))),"")))</f>
        <v/>
      </c>
      <c r="E213">
        <f>IF($A213="","",IF(OR($B213="",$C213="",$D213="",$B213&lt;1300,$B213&gt;1500,$C213&lt;1,$C213&gt;12,$D213&lt;1,$D213&gt;31),"نامعتبر",RIGHT("0000"&amp;$B213,4)&amp;"/"&amp;RIGHT("00"&amp;$C213,2)&amp;"/"&amp;RIGHT("00"&amp;$D213,2)))</f>
        <v/>
      </c>
      <c r="F213">
        <f>IF($A213="","",IF(Issues!$D216="",0,Issues!$D216))</f>
        <v/>
      </c>
      <c r="G213">
        <f>IF($A213="","",Issues!$E216)</f>
        <v/>
      </c>
      <c r="H213">
        <f>IF($A213="","",IF(COUNTIFS(ETxnType,"پاس چک",ETxnChk,$A213)&gt;0,"پاس شده","پاس نشده"))</f>
        <v/>
      </c>
      <c r="I213">
        <f>IF($A213="","",IFERROR(INDEX(BClrDate,MATCH($A213,BClrChk,0)),""))</f>
        <v/>
      </c>
      <c r="J213">
        <f>IF($A213="","",Issues!$G216)</f>
        <v/>
      </c>
      <c r="K213">
        <f>IF(OR($E213="",$E213="نامعتبر"),"",LEFT($E213,4)&amp;MID($E213,6,2)&amp;RIGHT($E213,2)&amp;"|"&amp;RIGHT("00000"&amp;208,5))</f>
        <v/>
      </c>
      <c r="M213">
        <f>IF(Sync!$M213&lt;&gt;"پاس چک","",IF(Sync!$P213="","",Sync!$P213))</f>
        <v/>
      </c>
      <c r="N213">
        <f>IF($M213="","",IF(ISNUMBER(Sync!$L213),IF(AND(Sync!$L213&gt;=10000101,Sync!$L213&lt;=99991231),RIGHT("0000"&amp;INT(Sync!$L213/10000),4)&amp;"/"&amp;RIGHT("00"&amp;INT(MOD(Sync!$L213,10000)/100),2)&amp;"/"&amp;RIGHT("00"&amp;MOD(Sync!$L213,100),2),""),IFERROR(RIGHT("0000"&amp;VALUE(TRIM(LEFT(Sync!$L213,FIND("/",Sync!$L213)-1))),4)&amp;"/"&amp;RIGHT("00"&amp;VALUE(TRIM(LEFT(MID(Sync!$L213,FIND("/",Sync!$L213)+1,20),FIND("/",MID(Sync!$L213,FIND("/",Sync!$L213)+1,20))-1))),2)&amp;"/"&amp;RIGHT("00"&amp;VALUE(TRIM(MID(MID(Sync!$L213,FIND("/",Sync!$L213)+1,20),FIND("/",MID(Sync!$L213,FIND("/",Sync!$L213)+1,20))+1,20))),2),"")))</f>
        <v/>
      </c>
    </row>
    <row r="214">
      <c r="A214">
        <f>IF(Issues!$B217="","",Issues!$B217)</f>
        <v/>
      </c>
      <c r="B214">
        <f>IF($A214="","",IF(ISNUMBER(Issues!$C217),IF(AND(Issues!$C217&gt;=10000101,Issues!$C217&lt;=99991231),INT(Issues!$C217/10000),""),IFERROR(VALUE(TRIM(LEFT(Issues!$C217,FIND("/",Issues!$C217)-1))),"")))</f>
        <v/>
      </c>
      <c r="C214">
        <f>IF(OR($A214="",$B214=""),"",IF(ISNUMBER(Issues!$C217),INT(MOD(Issues!$C217,10000)/100),IFERROR(VALUE(TRIM(LEFT(MID(Issues!$C217,FIND("/",Issues!$C217)+1,20),FIND("/",MID(Issues!$C217,FIND("/",Issues!$C217)+1,20))-1))),"")))</f>
        <v/>
      </c>
      <c r="D214">
        <f>IF(OR($A214="",$B214=""),"",IF(ISNUMBER(Issues!$C217),MOD(Issues!$C217,100),IFERROR(VALUE(TRIM(MID(MID(Issues!$C217,FIND("/",Issues!$C217)+1,20),FIND("/",MID(Issues!$C217,FIND("/",Issues!$C217)+1,20))+1,20))),"")))</f>
        <v/>
      </c>
      <c r="E214">
        <f>IF($A214="","",IF(OR($B214="",$C214="",$D214="",$B214&lt;1300,$B214&gt;1500,$C214&lt;1,$C214&gt;12,$D214&lt;1,$D214&gt;31),"نامعتبر",RIGHT("0000"&amp;$B214,4)&amp;"/"&amp;RIGHT("00"&amp;$C214,2)&amp;"/"&amp;RIGHT("00"&amp;$D214,2)))</f>
        <v/>
      </c>
      <c r="F214">
        <f>IF($A214="","",IF(Issues!$D217="",0,Issues!$D217))</f>
        <v/>
      </c>
      <c r="G214">
        <f>IF($A214="","",Issues!$E217)</f>
        <v/>
      </c>
      <c r="H214">
        <f>IF($A214="","",IF(COUNTIFS(ETxnType,"پاس چک",ETxnChk,$A214)&gt;0,"پاس شده","پاس نشده"))</f>
        <v/>
      </c>
      <c r="I214">
        <f>IF($A214="","",IFERROR(INDEX(BClrDate,MATCH($A214,BClrChk,0)),""))</f>
        <v/>
      </c>
      <c r="J214">
        <f>IF($A214="","",Issues!$G217)</f>
        <v/>
      </c>
      <c r="K214">
        <f>IF(OR($E214="",$E214="نامعتبر"),"",LEFT($E214,4)&amp;MID($E214,6,2)&amp;RIGHT($E214,2)&amp;"|"&amp;RIGHT("00000"&amp;209,5))</f>
        <v/>
      </c>
      <c r="M214">
        <f>IF(Sync!$M214&lt;&gt;"پاس چک","",IF(Sync!$P214="","",Sync!$P214))</f>
        <v/>
      </c>
      <c r="N214">
        <f>IF($M214="","",IF(ISNUMBER(Sync!$L214),IF(AND(Sync!$L214&gt;=10000101,Sync!$L214&lt;=99991231),RIGHT("0000"&amp;INT(Sync!$L214/10000),4)&amp;"/"&amp;RIGHT("00"&amp;INT(MOD(Sync!$L214,10000)/100),2)&amp;"/"&amp;RIGHT("00"&amp;MOD(Sync!$L214,100),2),""),IFERROR(RIGHT("0000"&amp;VALUE(TRIM(LEFT(Sync!$L214,FIND("/",Sync!$L214)-1))),4)&amp;"/"&amp;RIGHT("00"&amp;VALUE(TRIM(LEFT(MID(Sync!$L214,FIND("/",Sync!$L214)+1,20),FIND("/",MID(Sync!$L214,FIND("/",Sync!$L214)+1,20))-1))),2)&amp;"/"&amp;RIGHT("00"&amp;VALUE(TRIM(MID(MID(Sync!$L214,FIND("/",Sync!$L214)+1,20),FIND("/",MID(Sync!$L214,FIND("/",Sync!$L214)+1,20))+1,20))),2),"")))</f>
        <v/>
      </c>
    </row>
    <row r="215">
      <c r="A215">
        <f>IF(Issues!$B218="","",Issues!$B218)</f>
        <v/>
      </c>
      <c r="B215">
        <f>IF($A215="","",IF(ISNUMBER(Issues!$C218),IF(AND(Issues!$C218&gt;=10000101,Issues!$C218&lt;=99991231),INT(Issues!$C218/10000),""),IFERROR(VALUE(TRIM(LEFT(Issues!$C218,FIND("/",Issues!$C218)-1))),"")))</f>
        <v/>
      </c>
      <c r="C215">
        <f>IF(OR($A215="",$B215=""),"",IF(ISNUMBER(Issues!$C218),INT(MOD(Issues!$C218,10000)/100),IFERROR(VALUE(TRIM(LEFT(MID(Issues!$C218,FIND("/",Issues!$C218)+1,20),FIND("/",MID(Issues!$C218,FIND("/",Issues!$C218)+1,20))-1))),"")))</f>
        <v/>
      </c>
      <c r="D215">
        <f>IF(OR($A215="",$B215=""),"",IF(ISNUMBER(Issues!$C218),MOD(Issues!$C218,100),IFERROR(VALUE(TRIM(MID(MID(Issues!$C218,FIND("/",Issues!$C218)+1,20),FIND("/",MID(Issues!$C218,FIND("/",Issues!$C218)+1,20))+1,20))),"")))</f>
        <v/>
      </c>
      <c r="E215">
        <f>IF($A215="","",IF(OR($B215="",$C215="",$D215="",$B215&lt;1300,$B215&gt;1500,$C215&lt;1,$C215&gt;12,$D215&lt;1,$D215&gt;31),"نامعتبر",RIGHT("0000"&amp;$B215,4)&amp;"/"&amp;RIGHT("00"&amp;$C215,2)&amp;"/"&amp;RIGHT("00"&amp;$D215,2)))</f>
        <v/>
      </c>
      <c r="F215">
        <f>IF($A215="","",IF(Issues!$D218="",0,Issues!$D218))</f>
        <v/>
      </c>
      <c r="G215">
        <f>IF($A215="","",Issues!$E218)</f>
        <v/>
      </c>
      <c r="H215">
        <f>IF($A215="","",IF(COUNTIFS(ETxnType,"پاس چک",ETxnChk,$A215)&gt;0,"پاس شده","پاس نشده"))</f>
        <v/>
      </c>
      <c r="I215">
        <f>IF($A215="","",IFERROR(INDEX(BClrDate,MATCH($A215,BClrChk,0)),""))</f>
        <v/>
      </c>
      <c r="J215">
        <f>IF($A215="","",Issues!$G218)</f>
        <v/>
      </c>
      <c r="K215">
        <f>IF(OR($E215="",$E215="نامعتبر"),"",LEFT($E215,4)&amp;MID($E215,6,2)&amp;RIGHT($E215,2)&amp;"|"&amp;RIGHT("00000"&amp;210,5))</f>
        <v/>
      </c>
      <c r="M215">
        <f>IF(Sync!$M215&lt;&gt;"پاس چک","",IF(Sync!$P215="","",Sync!$P215))</f>
        <v/>
      </c>
      <c r="N215">
        <f>IF($M215="","",IF(ISNUMBER(Sync!$L215),IF(AND(Sync!$L215&gt;=10000101,Sync!$L215&lt;=99991231),RIGHT("0000"&amp;INT(Sync!$L215/10000),4)&amp;"/"&amp;RIGHT("00"&amp;INT(MOD(Sync!$L215,10000)/100),2)&amp;"/"&amp;RIGHT("00"&amp;MOD(Sync!$L215,100),2),""),IFERROR(RIGHT("0000"&amp;VALUE(TRIM(LEFT(Sync!$L215,FIND("/",Sync!$L215)-1))),4)&amp;"/"&amp;RIGHT("00"&amp;VALUE(TRIM(LEFT(MID(Sync!$L215,FIND("/",Sync!$L215)+1,20),FIND("/",MID(Sync!$L215,FIND("/",Sync!$L215)+1,20))-1))),2)&amp;"/"&amp;RIGHT("00"&amp;VALUE(TRIM(MID(MID(Sync!$L215,FIND("/",Sync!$L215)+1,20),FIND("/",MID(Sync!$L215,FIND("/",Sync!$L215)+1,20))+1,20))),2),"")))</f>
        <v/>
      </c>
    </row>
    <row r="216">
      <c r="A216">
        <f>IF(Issues!$B219="","",Issues!$B219)</f>
        <v/>
      </c>
      <c r="B216">
        <f>IF($A216="","",IF(ISNUMBER(Issues!$C219),IF(AND(Issues!$C219&gt;=10000101,Issues!$C219&lt;=99991231),INT(Issues!$C219/10000),""),IFERROR(VALUE(TRIM(LEFT(Issues!$C219,FIND("/",Issues!$C219)-1))),"")))</f>
        <v/>
      </c>
      <c r="C216">
        <f>IF(OR($A216="",$B216=""),"",IF(ISNUMBER(Issues!$C219),INT(MOD(Issues!$C219,10000)/100),IFERROR(VALUE(TRIM(LEFT(MID(Issues!$C219,FIND("/",Issues!$C219)+1,20),FIND("/",MID(Issues!$C219,FIND("/",Issues!$C219)+1,20))-1))),"")))</f>
        <v/>
      </c>
      <c r="D216">
        <f>IF(OR($A216="",$B216=""),"",IF(ISNUMBER(Issues!$C219),MOD(Issues!$C219,100),IFERROR(VALUE(TRIM(MID(MID(Issues!$C219,FIND("/",Issues!$C219)+1,20),FIND("/",MID(Issues!$C219,FIND("/",Issues!$C219)+1,20))+1,20))),"")))</f>
        <v/>
      </c>
      <c r="E216">
        <f>IF($A216="","",IF(OR($B216="",$C216="",$D216="",$B216&lt;1300,$B216&gt;1500,$C216&lt;1,$C216&gt;12,$D216&lt;1,$D216&gt;31),"نامعتبر",RIGHT("0000"&amp;$B216,4)&amp;"/"&amp;RIGHT("00"&amp;$C216,2)&amp;"/"&amp;RIGHT("00"&amp;$D216,2)))</f>
        <v/>
      </c>
      <c r="F216">
        <f>IF($A216="","",IF(Issues!$D219="",0,Issues!$D219))</f>
        <v/>
      </c>
      <c r="G216">
        <f>IF($A216="","",Issues!$E219)</f>
        <v/>
      </c>
      <c r="H216">
        <f>IF($A216="","",IF(COUNTIFS(ETxnType,"پاس چک",ETxnChk,$A216)&gt;0,"پاس شده","پاس نشده"))</f>
        <v/>
      </c>
      <c r="I216">
        <f>IF($A216="","",IFERROR(INDEX(BClrDate,MATCH($A216,BClrChk,0)),""))</f>
        <v/>
      </c>
      <c r="J216">
        <f>IF($A216="","",Issues!$G219)</f>
        <v/>
      </c>
      <c r="K216">
        <f>IF(OR($E216="",$E216="نامعتبر"),"",LEFT($E216,4)&amp;MID($E216,6,2)&amp;RIGHT($E216,2)&amp;"|"&amp;RIGHT("00000"&amp;211,5))</f>
        <v/>
      </c>
      <c r="M216">
        <f>IF(Sync!$M216&lt;&gt;"پاس چک","",IF(Sync!$P216="","",Sync!$P216))</f>
        <v/>
      </c>
      <c r="N216">
        <f>IF($M216="","",IF(ISNUMBER(Sync!$L216),IF(AND(Sync!$L216&gt;=10000101,Sync!$L216&lt;=99991231),RIGHT("0000"&amp;INT(Sync!$L216/10000),4)&amp;"/"&amp;RIGHT("00"&amp;INT(MOD(Sync!$L216,10000)/100),2)&amp;"/"&amp;RIGHT("00"&amp;MOD(Sync!$L216,100),2),""),IFERROR(RIGHT("0000"&amp;VALUE(TRIM(LEFT(Sync!$L216,FIND("/",Sync!$L216)-1))),4)&amp;"/"&amp;RIGHT("00"&amp;VALUE(TRIM(LEFT(MID(Sync!$L216,FIND("/",Sync!$L216)+1,20),FIND("/",MID(Sync!$L216,FIND("/",Sync!$L216)+1,20))-1))),2)&amp;"/"&amp;RIGHT("00"&amp;VALUE(TRIM(MID(MID(Sync!$L216,FIND("/",Sync!$L216)+1,20),FIND("/",MID(Sync!$L216,FIND("/",Sync!$L216)+1,20))+1,20))),2),"")))</f>
        <v/>
      </c>
    </row>
    <row r="217">
      <c r="A217">
        <f>IF(Issues!$B220="","",Issues!$B220)</f>
        <v/>
      </c>
      <c r="B217">
        <f>IF($A217="","",IF(ISNUMBER(Issues!$C220),IF(AND(Issues!$C220&gt;=10000101,Issues!$C220&lt;=99991231),INT(Issues!$C220/10000),""),IFERROR(VALUE(TRIM(LEFT(Issues!$C220,FIND("/",Issues!$C220)-1))),"")))</f>
        <v/>
      </c>
      <c r="C217">
        <f>IF(OR($A217="",$B217=""),"",IF(ISNUMBER(Issues!$C220),INT(MOD(Issues!$C220,10000)/100),IFERROR(VALUE(TRIM(LEFT(MID(Issues!$C220,FIND("/",Issues!$C220)+1,20),FIND("/",MID(Issues!$C220,FIND("/",Issues!$C220)+1,20))-1))),"")))</f>
        <v/>
      </c>
      <c r="D217">
        <f>IF(OR($A217="",$B217=""),"",IF(ISNUMBER(Issues!$C220),MOD(Issues!$C220,100),IFERROR(VALUE(TRIM(MID(MID(Issues!$C220,FIND("/",Issues!$C220)+1,20),FIND("/",MID(Issues!$C220,FIND("/",Issues!$C220)+1,20))+1,20))),"")))</f>
        <v/>
      </c>
      <c r="E217">
        <f>IF($A217="","",IF(OR($B217="",$C217="",$D217="",$B217&lt;1300,$B217&gt;1500,$C217&lt;1,$C217&gt;12,$D217&lt;1,$D217&gt;31),"نامعتبر",RIGHT("0000"&amp;$B217,4)&amp;"/"&amp;RIGHT("00"&amp;$C217,2)&amp;"/"&amp;RIGHT("00"&amp;$D217,2)))</f>
        <v/>
      </c>
      <c r="F217">
        <f>IF($A217="","",IF(Issues!$D220="",0,Issues!$D220))</f>
        <v/>
      </c>
      <c r="G217">
        <f>IF($A217="","",Issues!$E220)</f>
        <v/>
      </c>
      <c r="H217">
        <f>IF($A217="","",IF(COUNTIFS(ETxnType,"پاس چک",ETxnChk,$A217)&gt;0,"پاس شده","پاس نشده"))</f>
        <v/>
      </c>
      <c r="I217">
        <f>IF($A217="","",IFERROR(INDEX(BClrDate,MATCH($A217,BClrChk,0)),""))</f>
        <v/>
      </c>
      <c r="J217">
        <f>IF($A217="","",Issues!$G220)</f>
        <v/>
      </c>
      <c r="K217">
        <f>IF(OR($E217="",$E217="نامعتبر"),"",LEFT($E217,4)&amp;MID($E217,6,2)&amp;RIGHT($E217,2)&amp;"|"&amp;RIGHT("00000"&amp;212,5))</f>
        <v/>
      </c>
      <c r="M217">
        <f>IF(Sync!$M217&lt;&gt;"پاس چک","",IF(Sync!$P217="","",Sync!$P217))</f>
        <v/>
      </c>
      <c r="N217">
        <f>IF($M217="","",IF(ISNUMBER(Sync!$L217),IF(AND(Sync!$L217&gt;=10000101,Sync!$L217&lt;=99991231),RIGHT("0000"&amp;INT(Sync!$L217/10000),4)&amp;"/"&amp;RIGHT("00"&amp;INT(MOD(Sync!$L217,10000)/100),2)&amp;"/"&amp;RIGHT("00"&amp;MOD(Sync!$L217,100),2),""),IFERROR(RIGHT("0000"&amp;VALUE(TRIM(LEFT(Sync!$L217,FIND("/",Sync!$L217)-1))),4)&amp;"/"&amp;RIGHT("00"&amp;VALUE(TRIM(LEFT(MID(Sync!$L217,FIND("/",Sync!$L217)+1,20),FIND("/",MID(Sync!$L217,FIND("/",Sync!$L217)+1,20))-1))),2)&amp;"/"&amp;RIGHT("00"&amp;VALUE(TRIM(MID(MID(Sync!$L217,FIND("/",Sync!$L217)+1,20),FIND("/",MID(Sync!$L217,FIND("/",Sync!$L217)+1,20))+1,20))),2),"")))</f>
        <v/>
      </c>
    </row>
    <row r="218">
      <c r="A218">
        <f>IF(Issues!$B221="","",Issues!$B221)</f>
        <v/>
      </c>
      <c r="B218">
        <f>IF($A218="","",IF(ISNUMBER(Issues!$C221),IF(AND(Issues!$C221&gt;=10000101,Issues!$C221&lt;=99991231),INT(Issues!$C221/10000),""),IFERROR(VALUE(TRIM(LEFT(Issues!$C221,FIND("/",Issues!$C221)-1))),"")))</f>
        <v/>
      </c>
      <c r="C218">
        <f>IF(OR($A218="",$B218=""),"",IF(ISNUMBER(Issues!$C221),INT(MOD(Issues!$C221,10000)/100),IFERROR(VALUE(TRIM(LEFT(MID(Issues!$C221,FIND("/",Issues!$C221)+1,20),FIND("/",MID(Issues!$C221,FIND("/",Issues!$C221)+1,20))-1))),"")))</f>
        <v/>
      </c>
      <c r="D218">
        <f>IF(OR($A218="",$B218=""),"",IF(ISNUMBER(Issues!$C221),MOD(Issues!$C221,100),IFERROR(VALUE(TRIM(MID(MID(Issues!$C221,FIND("/",Issues!$C221)+1,20),FIND("/",MID(Issues!$C221,FIND("/",Issues!$C221)+1,20))+1,20))),"")))</f>
        <v/>
      </c>
      <c r="E218">
        <f>IF($A218="","",IF(OR($B218="",$C218="",$D218="",$B218&lt;1300,$B218&gt;1500,$C218&lt;1,$C218&gt;12,$D218&lt;1,$D218&gt;31),"نامعتبر",RIGHT("0000"&amp;$B218,4)&amp;"/"&amp;RIGHT("00"&amp;$C218,2)&amp;"/"&amp;RIGHT("00"&amp;$D218,2)))</f>
        <v/>
      </c>
      <c r="F218">
        <f>IF($A218="","",IF(Issues!$D221="",0,Issues!$D221))</f>
        <v/>
      </c>
      <c r="G218">
        <f>IF($A218="","",Issues!$E221)</f>
        <v/>
      </c>
      <c r="H218">
        <f>IF($A218="","",IF(COUNTIFS(ETxnType,"پاس چک",ETxnChk,$A218)&gt;0,"پاس شده","پاس نشده"))</f>
        <v/>
      </c>
      <c r="I218">
        <f>IF($A218="","",IFERROR(INDEX(BClrDate,MATCH($A218,BClrChk,0)),""))</f>
        <v/>
      </c>
      <c r="J218">
        <f>IF($A218="","",Issues!$G221)</f>
        <v/>
      </c>
      <c r="K218">
        <f>IF(OR($E218="",$E218="نامعتبر"),"",LEFT($E218,4)&amp;MID($E218,6,2)&amp;RIGHT($E218,2)&amp;"|"&amp;RIGHT("00000"&amp;213,5))</f>
        <v/>
      </c>
      <c r="M218">
        <f>IF(Sync!$M218&lt;&gt;"پاس چک","",IF(Sync!$P218="","",Sync!$P218))</f>
        <v/>
      </c>
      <c r="N218">
        <f>IF($M218="","",IF(ISNUMBER(Sync!$L218),IF(AND(Sync!$L218&gt;=10000101,Sync!$L218&lt;=99991231),RIGHT("0000"&amp;INT(Sync!$L218/10000),4)&amp;"/"&amp;RIGHT("00"&amp;INT(MOD(Sync!$L218,10000)/100),2)&amp;"/"&amp;RIGHT("00"&amp;MOD(Sync!$L218,100),2),""),IFERROR(RIGHT("0000"&amp;VALUE(TRIM(LEFT(Sync!$L218,FIND("/",Sync!$L218)-1))),4)&amp;"/"&amp;RIGHT("00"&amp;VALUE(TRIM(LEFT(MID(Sync!$L218,FIND("/",Sync!$L218)+1,20),FIND("/",MID(Sync!$L218,FIND("/",Sync!$L218)+1,20))-1))),2)&amp;"/"&amp;RIGHT("00"&amp;VALUE(TRIM(MID(MID(Sync!$L218,FIND("/",Sync!$L218)+1,20),FIND("/",MID(Sync!$L218,FIND("/",Sync!$L218)+1,20))+1,20))),2),"")))</f>
        <v/>
      </c>
    </row>
    <row r="219">
      <c r="A219">
        <f>IF(Issues!$B222="","",Issues!$B222)</f>
        <v/>
      </c>
      <c r="B219">
        <f>IF($A219="","",IF(ISNUMBER(Issues!$C222),IF(AND(Issues!$C222&gt;=10000101,Issues!$C222&lt;=99991231),INT(Issues!$C222/10000),""),IFERROR(VALUE(TRIM(LEFT(Issues!$C222,FIND("/",Issues!$C222)-1))),"")))</f>
        <v/>
      </c>
      <c r="C219">
        <f>IF(OR($A219="",$B219=""),"",IF(ISNUMBER(Issues!$C222),INT(MOD(Issues!$C222,10000)/100),IFERROR(VALUE(TRIM(LEFT(MID(Issues!$C222,FIND("/",Issues!$C222)+1,20),FIND("/",MID(Issues!$C222,FIND("/",Issues!$C222)+1,20))-1))),"")))</f>
        <v/>
      </c>
      <c r="D219">
        <f>IF(OR($A219="",$B219=""),"",IF(ISNUMBER(Issues!$C222),MOD(Issues!$C222,100),IFERROR(VALUE(TRIM(MID(MID(Issues!$C222,FIND("/",Issues!$C222)+1,20),FIND("/",MID(Issues!$C222,FIND("/",Issues!$C222)+1,20))+1,20))),"")))</f>
        <v/>
      </c>
      <c r="E219">
        <f>IF($A219="","",IF(OR($B219="",$C219="",$D219="",$B219&lt;1300,$B219&gt;1500,$C219&lt;1,$C219&gt;12,$D219&lt;1,$D219&gt;31),"نامعتبر",RIGHT("0000"&amp;$B219,4)&amp;"/"&amp;RIGHT("00"&amp;$C219,2)&amp;"/"&amp;RIGHT("00"&amp;$D219,2)))</f>
        <v/>
      </c>
      <c r="F219">
        <f>IF($A219="","",IF(Issues!$D222="",0,Issues!$D222))</f>
        <v/>
      </c>
      <c r="G219">
        <f>IF($A219="","",Issues!$E222)</f>
        <v/>
      </c>
      <c r="H219">
        <f>IF($A219="","",IF(COUNTIFS(ETxnType,"پاس چک",ETxnChk,$A219)&gt;0,"پاس شده","پاس نشده"))</f>
        <v/>
      </c>
      <c r="I219">
        <f>IF($A219="","",IFERROR(INDEX(BClrDate,MATCH($A219,BClrChk,0)),""))</f>
        <v/>
      </c>
      <c r="J219">
        <f>IF($A219="","",Issues!$G222)</f>
        <v/>
      </c>
      <c r="K219">
        <f>IF(OR($E219="",$E219="نامعتبر"),"",LEFT($E219,4)&amp;MID($E219,6,2)&amp;RIGHT($E219,2)&amp;"|"&amp;RIGHT("00000"&amp;214,5))</f>
        <v/>
      </c>
      <c r="M219">
        <f>IF(Sync!$M219&lt;&gt;"پاس چک","",IF(Sync!$P219="","",Sync!$P219))</f>
        <v/>
      </c>
      <c r="N219">
        <f>IF($M219="","",IF(ISNUMBER(Sync!$L219),IF(AND(Sync!$L219&gt;=10000101,Sync!$L219&lt;=99991231),RIGHT("0000"&amp;INT(Sync!$L219/10000),4)&amp;"/"&amp;RIGHT("00"&amp;INT(MOD(Sync!$L219,10000)/100),2)&amp;"/"&amp;RIGHT("00"&amp;MOD(Sync!$L219,100),2),""),IFERROR(RIGHT("0000"&amp;VALUE(TRIM(LEFT(Sync!$L219,FIND("/",Sync!$L219)-1))),4)&amp;"/"&amp;RIGHT("00"&amp;VALUE(TRIM(LEFT(MID(Sync!$L219,FIND("/",Sync!$L219)+1,20),FIND("/",MID(Sync!$L219,FIND("/",Sync!$L219)+1,20))-1))),2)&amp;"/"&amp;RIGHT("00"&amp;VALUE(TRIM(MID(MID(Sync!$L219,FIND("/",Sync!$L219)+1,20),FIND("/",MID(Sync!$L219,FIND("/",Sync!$L219)+1,20))+1,20))),2),"")))</f>
        <v/>
      </c>
    </row>
    <row r="220">
      <c r="A220">
        <f>IF(Issues!$B223="","",Issues!$B223)</f>
        <v/>
      </c>
      <c r="B220">
        <f>IF($A220="","",IF(ISNUMBER(Issues!$C223),IF(AND(Issues!$C223&gt;=10000101,Issues!$C223&lt;=99991231),INT(Issues!$C223/10000),""),IFERROR(VALUE(TRIM(LEFT(Issues!$C223,FIND("/",Issues!$C223)-1))),"")))</f>
        <v/>
      </c>
      <c r="C220">
        <f>IF(OR($A220="",$B220=""),"",IF(ISNUMBER(Issues!$C223),INT(MOD(Issues!$C223,10000)/100),IFERROR(VALUE(TRIM(LEFT(MID(Issues!$C223,FIND("/",Issues!$C223)+1,20),FIND("/",MID(Issues!$C223,FIND("/",Issues!$C223)+1,20))-1))),"")))</f>
        <v/>
      </c>
      <c r="D220">
        <f>IF(OR($A220="",$B220=""),"",IF(ISNUMBER(Issues!$C223),MOD(Issues!$C223,100),IFERROR(VALUE(TRIM(MID(MID(Issues!$C223,FIND("/",Issues!$C223)+1,20),FIND("/",MID(Issues!$C223,FIND("/",Issues!$C223)+1,20))+1,20))),"")))</f>
        <v/>
      </c>
      <c r="E220">
        <f>IF($A220="","",IF(OR($B220="",$C220="",$D220="",$B220&lt;1300,$B220&gt;1500,$C220&lt;1,$C220&gt;12,$D220&lt;1,$D220&gt;31),"نامعتبر",RIGHT("0000"&amp;$B220,4)&amp;"/"&amp;RIGHT("00"&amp;$C220,2)&amp;"/"&amp;RIGHT("00"&amp;$D220,2)))</f>
        <v/>
      </c>
      <c r="F220">
        <f>IF($A220="","",IF(Issues!$D223="",0,Issues!$D223))</f>
        <v/>
      </c>
      <c r="G220">
        <f>IF($A220="","",Issues!$E223)</f>
        <v/>
      </c>
      <c r="H220">
        <f>IF($A220="","",IF(COUNTIFS(ETxnType,"پاس چک",ETxnChk,$A220)&gt;0,"پاس شده","پاس نشده"))</f>
        <v/>
      </c>
      <c r="I220">
        <f>IF($A220="","",IFERROR(INDEX(BClrDate,MATCH($A220,BClrChk,0)),""))</f>
        <v/>
      </c>
      <c r="J220">
        <f>IF($A220="","",Issues!$G223)</f>
        <v/>
      </c>
      <c r="K220">
        <f>IF(OR($E220="",$E220="نامعتبر"),"",LEFT($E220,4)&amp;MID($E220,6,2)&amp;RIGHT($E220,2)&amp;"|"&amp;RIGHT("00000"&amp;215,5))</f>
        <v/>
      </c>
      <c r="M220">
        <f>IF(Sync!$M220&lt;&gt;"پاس چک","",IF(Sync!$P220="","",Sync!$P220))</f>
        <v/>
      </c>
      <c r="N220">
        <f>IF($M220="","",IF(ISNUMBER(Sync!$L220),IF(AND(Sync!$L220&gt;=10000101,Sync!$L220&lt;=99991231),RIGHT("0000"&amp;INT(Sync!$L220/10000),4)&amp;"/"&amp;RIGHT("00"&amp;INT(MOD(Sync!$L220,10000)/100),2)&amp;"/"&amp;RIGHT("00"&amp;MOD(Sync!$L220,100),2),""),IFERROR(RIGHT("0000"&amp;VALUE(TRIM(LEFT(Sync!$L220,FIND("/",Sync!$L220)-1))),4)&amp;"/"&amp;RIGHT("00"&amp;VALUE(TRIM(LEFT(MID(Sync!$L220,FIND("/",Sync!$L220)+1,20),FIND("/",MID(Sync!$L220,FIND("/",Sync!$L220)+1,20))-1))),2)&amp;"/"&amp;RIGHT("00"&amp;VALUE(TRIM(MID(MID(Sync!$L220,FIND("/",Sync!$L220)+1,20),FIND("/",MID(Sync!$L220,FIND("/",Sync!$L220)+1,20))+1,20))),2),"")))</f>
        <v/>
      </c>
    </row>
    <row r="221">
      <c r="A221">
        <f>IF(Issues!$B224="","",Issues!$B224)</f>
        <v/>
      </c>
      <c r="B221">
        <f>IF($A221="","",IF(ISNUMBER(Issues!$C224),IF(AND(Issues!$C224&gt;=10000101,Issues!$C224&lt;=99991231),INT(Issues!$C224/10000),""),IFERROR(VALUE(TRIM(LEFT(Issues!$C224,FIND("/",Issues!$C224)-1))),"")))</f>
        <v/>
      </c>
      <c r="C221">
        <f>IF(OR($A221="",$B221=""),"",IF(ISNUMBER(Issues!$C224),INT(MOD(Issues!$C224,10000)/100),IFERROR(VALUE(TRIM(LEFT(MID(Issues!$C224,FIND("/",Issues!$C224)+1,20),FIND("/",MID(Issues!$C224,FIND("/",Issues!$C224)+1,20))-1))),"")))</f>
        <v/>
      </c>
      <c r="D221">
        <f>IF(OR($A221="",$B221=""),"",IF(ISNUMBER(Issues!$C224),MOD(Issues!$C224,100),IFERROR(VALUE(TRIM(MID(MID(Issues!$C224,FIND("/",Issues!$C224)+1,20),FIND("/",MID(Issues!$C224,FIND("/",Issues!$C224)+1,20))+1,20))),"")))</f>
        <v/>
      </c>
      <c r="E221">
        <f>IF($A221="","",IF(OR($B221="",$C221="",$D221="",$B221&lt;1300,$B221&gt;1500,$C221&lt;1,$C221&gt;12,$D221&lt;1,$D221&gt;31),"نامعتبر",RIGHT("0000"&amp;$B221,4)&amp;"/"&amp;RIGHT("00"&amp;$C221,2)&amp;"/"&amp;RIGHT("00"&amp;$D221,2)))</f>
        <v/>
      </c>
      <c r="F221">
        <f>IF($A221="","",IF(Issues!$D224="",0,Issues!$D224))</f>
        <v/>
      </c>
      <c r="G221">
        <f>IF($A221="","",Issues!$E224)</f>
        <v/>
      </c>
      <c r="H221">
        <f>IF($A221="","",IF(COUNTIFS(ETxnType,"پاس چک",ETxnChk,$A221)&gt;0,"پاس شده","پاس نشده"))</f>
        <v/>
      </c>
      <c r="I221">
        <f>IF($A221="","",IFERROR(INDEX(BClrDate,MATCH($A221,BClrChk,0)),""))</f>
        <v/>
      </c>
      <c r="J221">
        <f>IF($A221="","",Issues!$G224)</f>
        <v/>
      </c>
      <c r="K221">
        <f>IF(OR($E221="",$E221="نامعتبر"),"",LEFT($E221,4)&amp;MID($E221,6,2)&amp;RIGHT($E221,2)&amp;"|"&amp;RIGHT("00000"&amp;216,5))</f>
        <v/>
      </c>
      <c r="M221">
        <f>IF(Sync!$M221&lt;&gt;"پاس چک","",IF(Sync!$P221="","",Sync!$P221))</f>
        <v/>
      </c>
      <c r="N221">
        <f>IF($M221="","",IF(ISNUMBER(Sync!$L221),IF(AND(Sync!$L221&gt;=10000101,Sync!$L221&lt;=99991231),RIGHT("0000"&amp;INT(Sync!$L221/10000),4)&amp;"/"&amp;RIGHT("00"&amp;INT(MOD(Sync!$L221,10000)/100),2)&amp;"/"&amp;RIGHT("00"&amp;MOD(Sync!$L221,100),2),""),IFERROR(RIGHT("0000"&amp;VALUE(TRIM(LEFT(Sync!$L221,FIND("/",Sync!$L221)-1))),4)&amp;"/"&amp;RIGHT("00"&amp;VALUE(TRIM(LEFT(MID(Sync!$L221,FIND("/",Sync!$L221)+1,20),FIND("/",MID(Sync!$L221,FIND("/",Sync!$L221)+1,20))-1))),2)&amp;"/"&amp;RIGHT("00"&amp;VALUE(TRIM(MID(MID(Sync!$L221,FIND("/",Sync!$L221)+1,20),FIND("/",MID(Sync!$L221,FIND("/",Sync!$L221)+1,20))+1,20))),2),"")))</f>
        <v/>
      </c>
    </row>
    <row r="222">
      <c r="A222">
        <f>IF(Issues!$B225="","",Issues!$B225)</f>
        <v/>
      </c>
      <c r="B222">
        <f>IF($A222="","",IF(ISNUMBER(Issues!$C225),IF(AND(Issues!$C225&gt;=10000101,Issues!$C225&lt;=99991231),INT(Issues!$C225/10000),""),IFERROR(VALUE(TRIM(LEFT(Issues!$C225,FIND("/",Issues!$C225)-1))),"")))</f>
        <v/>
      </c>
      <c r="C222">
        <f>IF(OR($A222="",$B222=""),"",IF(ISNUMBER(Issues!$C225),INT(MOD(Issues!$C225,10000)/100),IFERROR(VALUE(TRIM(LEFT(MID(Issues!$C225,FIND("/",Issues!$C225)+1,20),FIND("/",MID(Issues!$C225,FIND("/",Issues!$C225)+1,20))-1))),"")))</f>
        <v/>
      </c>
      <c r="D222">
        <f>IF(OR($A222="",$B222=""),"",IF(ISNUMBER(Issues!$C225),MOD(Issues!$C225,100),IFERROR(VALUE(TRIM(MID(MID(Issues!$C225,FIND("/",Issues!$C225)+1,20),FIND("/",MID(Issues!$C225,FIND("/",Issues!$C225)+1,20))+1,20))),"")))</f>
        <v/>
      </c>
      <c r="E222">
        <f>IF($A222="","",IF(OR($B222="",$C222="",$D222="",$B222&lt;1300,$B222&gt;1500,$C222&lt;1,$C222&gt;12,$D222&lt;1,$D222&gt;31),"نامعتبر",RIGHT("0000"&amp;$B222,4)&amp;"/"&amp;RIGHT("00"&amp;$C222,2)&amp;"/"&amp;RIGHT("00"&amp;$D222,2)))</f>
        <v/>
      </c>
      <c r="F222">
        <f>IF($A222="","",IF(Issues!$D225="",0,Issues!$D225))</f>
        <v/>
      </c>
      <c r="G222">
        <f>IF($A222="","",Issues!$E225)</f>
        <v/>
      </c>
      <c r="H222">
        <f>IF($A222="","",IF(COUNTIFS(ETxnType,"پاس چک",ETxnChk,$A222)&gt;0,"پاس شده","پاس نشده"))</f>
        <v/>
      </c>
      <c r="I222">
        <f>IF($A222="","",IFERROR(INDEX(BClrDate,MATCH($A222,BClrChk,0)),""))</f>
        <v/>
      </c>
      <c r="J222">
        <f>IF($A222="","",Issues!$G225)</f>
        <v/>
      </c>
      <c r="K222">
        <f>IF(OR($E222="",$E222="نامعتبر"),"",LEFT($E222,4)&amp;MID($E222,6,2)&amp;RIGHT($E222,2)&amp;"|"&amp;RIGHT("00000"&amp;217,5))</f>
        <v/>
      </c>
      <c r="M222">
        <f>IF(Sync!$M222&lt;&gt;"پاس چک","",IF(Sync!$P222="","",Sync!$P222))</f>
        <v/>
      </c>
      <c r="N222">
        <f>IF($M222="","",IF(ISNUMBER(Sync!$L222),IF(AND(Sync!$L222&gt;=10000101,Sync!$L222&lt;=99991231),RIGHT("0000"&amp;INT(Sync!$L222/10000),4)&amp;"/"&amp;RIGHT("00"&amp;INT(MOD(Sync!$L222,10000)/100),2)&amp;"/"&amp;RIGHT("00"&amp;MOD(Sync!$L222,100),2),""),IFERROR(RIGHT("0000"&amp;VALUE(TRIM(LEFT(Sync!$L222,FIND("/",Sync!$L222)-1))),4)&amp;"/"&amp;RIGHT("00"&amp;VALUE(TRIM(LEFT(MID(Sync!$L222,FIND("/",Sync!$L222)+1,20),FIND("/",MID(Sync!$L222,FIND("/",Sync!$L222)+1,20))-1))),2)&amp;"/"&amp;RIGHT("00"&amp;VALUE(TRIM(MID(MID(Sync!$L222,FIND("/",Sync!$L222)+1,20),FIND("/",MID(Sync!$L222,FIND("/",Sync!$L222)+1,20))+1,20))),2),"")))</f>
        <v/>
      </c>
    </row>
    <row r="223">
      <c r="A223">
        <f>IF(Issues!$B226="","",Issues!$B226)</f>
        <v/>
      </c>
      <c r="B223">
        <f>IF($A223="","",IF(ISNUMBER(Issues!$C226),IF(AND(Issues!$C226&gt;=10000101,Issues!$C226&lt;=99991231),INT(Issues!$C226/10000),""),IFERROR(VALUE(TRIM(LEFT(Issues!$C226,FIND("/",Issues!$C226)-1))),"")))</f>
        <v/>
      </c>
      <c r="C223">
        <f>IF(OR($A223="",$B223=""),"",IF(ISNUMBER(Issues!$C226),INT(MOD(Issues!$C226,10000)/100),IFERROR(VALUE(TRIM(LEFT(MID(Issues!$C226,FIND("/",Issues!$C226)+1,20),FIND("/",MID(Issues!$C226,FIND("/",Issues!$C226)+1,20))-1))),"")))</f>
        <v/>
      </c>
      <c r="D223">
        <f>IF(OR($A223="",$B223=""),"",IF(ISNUMBER(Issues!$C226),MOD(Issues!$C226,100),IFERROR(VALUE(TRIM(MID(MID(Issues!$C226,FIND("/",Issues!$C226)+1,20),FIND("/",MID(Issues!$C226,FIND("/",Issues!$C226)+1,20))+1,20))),"")))</f>
        <v/>
      </c>
      <c r="E223">
        <f>IF($A223="","",IF(OR($B223="",$C223="",$D223="",$B223&lt;1300,$B223&gt;1500,$C223&lt;1,$C223&gt;12,$D223&lt;1,$D223&gt;31),"نامعتبر",RIGHT("0000"&amp;$B223,4)&amp;"/"&amp;RIGHT("00"&amp;$C223,2)&amp;"/"&amp;RIGHT("00"&amp;$D223,2)))</f>
        <v/>
      </c>
      <c r="F223">
        <f>IF($A223="","",IF(Issues!$D226="",0,Issues!$D226))</f>
        <v/>
      </c>
      <c r="G223">
        <f>IF($A223="","",Issues!$E226)</f>
        <v/>
      </c>
      <c r="H223">
        <f>IF($A223="","",IF(COUNTIFS(ETxnType,"پاس چک",ETxnChk,$A223)&gt;0,"پاس شده","پاس نشده"))</f>
        <v/>
      </c>
      <c r="I223">
        <f>IF($A223="","",IFERROR(INDEX(BClrDate,MATCH($A223,BClrChk,0)),""))</f>
        <v/>
      </c>
      <c r="J223">
        <f>IF($A223="","",Issues!$G226)</f>
        <v/>
      </c>
      <c r="K223">
        <f>IF(OR($E223="",$E223="نامعتبر"),"",LEFT($E223,4)&amp;MID($E223,6,2)&amp;RIGHT($E223,2)&amp;"|"&amp;RIGHT("00000"&amp;218,5))</f>
        <v/>
      </c>
      <c r="M223">
        <f>IF(Sync!$M223&lt;&gt;"پاس چک","",IF(Sync!$P223="","",Sync!$P223))</f>
        <v/>
      </c>
      <c r="N223">
        <f>IF($M223="","",IF(ISNUMBER(Sync!$L223),IF(AND(Sync!$L223&gt;=10000101,Sync!$L223&lt;=99991231),RIGHT("0000"&amp;INT(Sync!$L223/10000),4)&amp;"/"&amp;RIGHT("00"&amp;INT(MOD(Sync!$L223,10000)/100),2)&amp;"/"&amp;RIGHT("00"&amp;MOD(Sync!$L223,100),2),""),IFERROR(RIGHT("0000"&amp;VALUE(TRIM(LEFT(Sync!$L223,FIND("/",Sync!$L223)-1))),4)&amp;"/"&amp;RIGHT("00"&amp;VALUE(TRIM(LEFT(MID(Sync!$L223,FIND("/",Sync!$L223)+1,20),FIND("/",MID(Sync!$L223,FIND("/",Sync!$L223)+1,20))-1))),2)&amp;"/"&amp;RIGHT("00"&amp;VALUE(TRIM(MID(MID(Sync!$L223,FIND("/",Sync!$L223)+1,20),FIND("/",MID(Sync!$L223,FIND("/",Sync!$L223)+1,20))+1,20))),2),"")))</f>
        <v/>
      </c>
    </row>
    <row r="224">
      <c r="A224">
        <f>IF(Issues!$B227="","",Issues!$B227)</f>
        <v/>
      </c>
      <c r="B224">
        <f>IF($A224="","",IF(ISNUMBER(Issues!$C227),IF(AND(Issues!$C227&gt;=10000101,Issues!$C227&lt;=99991231),INT(Issues!$C227/10000),""),IFERROR(VALUE(TRIM(LEFT(Issues!$C227,FIND("/",Issues!$C227)-1))),"")))</f>
        <v/>
      </c>
      <c r="C224">
        <f>IF(OR($A224="",$B224=""),"",IF(ISNUMBER(Issues!$C227),INT(MOD(Issues!$C227,10000)/100),IFERROR(VALUE(TRIM(LEFT(MID(Issues!$C227,FIND("/",Issues!$C227)+1,20),FIND("/",MID(Issues!$C227,FIND("/",Issues!$C227)+1,20))-1))),"")))</f>
        <v/>
      </c>
      <c r="D224">
        <f>IF(OR($A224="",$B224=""),"",IF(ISNUMBER(Issues!$C227),MOD(Issues!$C227,100),IFERROR(VALUE(TRIM(MID(MID(Issues!$C227,FIND("/",Issues!$C227)+1,20),FIND("/",MID(Issues!$C227,FIND("/",Issues!$C227)+1,20))+1,20))),"")))</f>
        <v/>
      </c>
      <c r="E224">
        <f>IF($A224="","",IF(OR($B224="",$C224="",$D224="",$B224&lt;1300,$B224&gt;1500,$C224&lt;1,$C224&gt;12,$D224&lt;1,$D224&gt;31),"نامعتبر",RIGHT("0000"&amp;$B224,4)&amp;"/"&amp;RIGHT("00"&amp;$C224,2)&amp;"/"&amp;RIGHT("00"&amp;$D224,2)))</f>
        <v/>
      </c>
      <c r="F224">
        <f>IF($A224="","",IF(Issues!$D227="",0,Issues!$D227))</f>
        <v/>
      </c>
      <c r="G224">
        <f>IF($A224="","",Issues!$E227)</f>
        <v/>
      </c>
      <c r="H224">
        <f>IF($A224="","",IF(COUNTIFS(ETxnType,"پاس چک",ETxnChk,$A224)&gt;0,"پاس شده","پاس نشده"))</f>
        <v/>
      </c>
      <c r="I224">
        <f>IF($A224="","",IFERROR(INDEX(BClrDate,MATCH($A224,BClrChk,0)),""))</f>
        <v/>
      </c>
      <c r="J224">
        <f>IF($A224="","",Issues!$G227)</f>
        <v/>
      </c>
      <c r="K224">
        <f>IF(OR($E224="",$E224="نامعتبر"),"",LEFT($E224,4)&amp;MID($E224,6,2)&amp;RIGHT($E224,2)&amp;"|"&amp;RIGHT("00000"&amp;219,5))</f>
        <v/>
      </c>
      <c r="M224">
        <f>IF(Sync!$M224&lt;&gt;"پاس چک","",IF(Sync!$P224="","",Sync!$P224))</f>
        <v/>
      </c>
      <c r="N224">
        <f>IF($M224="","",IF(ISNUMBER(Sync!$L224),IF(AND(Sync!$L224&gt;=10000101,Sync!$L224&lt;=99991231),RIGHT("0000"&amp;INT(Sync!$L224/10000),4)&amp;"/"&amp;RIGHT("00"&amp;INT(MOD(Sync!$L224,10000)/100),2)&amp;"/"&amp;RIGHT("00"&amp;MOD(Sync!$L224,100),2),""),IFERROR(RIGHT("0000"&amp;VALUE(TRIM(LEFT(Sync!$L224,FIND("/",Sync!$L224)-1))),4)&amp;"/"&amp;RIGHT("00"&amp;VALUE(TRIM(LEFT(MID(Sync!$L224,FIND("/",Sync!$L224)+1,20),FIND("/",MID(Sync!$L224,FIND("/",Sync!$L224)+1,20))-1))),2)&amp;"/"&amp;RIGHT("00"&amp;VALUE(TRIM(MID(MID(Sync!$L224,FIND("/",Sync!$L224)+1,20),FIND("/",MID(Sync!$L224,FIND("/",Sync!$L224)+1,20))+1,20))),2),"")))</f>
        <v/>
      </c>
    </row>
    <row r="225">
      <c r="A225">
        <f>IF(Issues!$B228="","",Issues!$B228)</f>
        <v/>
      </c>
      <c r="B225">
        <f>IF($A225="","",IF(ISNUMBER(Issues!$C228),IF(AND(Issues!$C228&gt;=10000101,Issues!$C228&lt;=99991231),INT(Issues!$C228/10000),""),IFERROR(VALUE(TRIM(LEFT(Issues!$C228,FIND("/",Issues!$C228)-1))),"")))</f>
        <v/>
      </c>
      <c r="C225">
        <f>IF(OR($A225="",$B225=""),"",IF(ISNUMBER(Issues!$C228),INT(MOD(Issues!$C228,10000)/100),IFERROR(VALUE(TRIM(LEFT(MID(Issues!$C228,FIND("/",Issues!$C228)+1,20),FIND("/",MID(Issues!$C228,FIND("/",Issues!$C228)+1,20))-1))),"")))</f>
        <v/>
      </c>
      <c r="D225">
        <f>IF(OR($A225="",$B225=""),"",IF(ISNUMBER(Issues!$C228),MOD(Issues!$C228,100),IFERROR(VALUE(TRIM(MID(MID(Issues!$C228,FIND("/",Issues!$C228)+1,20),FIND("/",MID(Issues!$C228,FIND("/",Issues!$C228)+1,20))+1,20))),"")))</f>
        <v/>
      </c>
      <c r="E225">
        <f>IF($A225="","",IF(OR($B225="",$C225="",$D225="",$B225&lt;1300,$B225&gt;1500,$C225&lt;1,$C225&gt;12,$D225&lt;1,$D225&gt;31),"نامعتبر",RIGHT("0000"&amp;$B225,4)&amp;"/"&amp;RIGHT("00"&amp;$C225,2)&amp;"/"&amp;RIGHT("00"&amp;$D225,2)))</f>
        <v/>
      </c>
      <c r="F225">
        <f>IF($A225="","",IF(Issues!$D228="",0,Issues!$D228))</f>
        <v/>
      </c>
      <c r="G225">
        <f>IF($A225="","",Issues!$E228)</f>
        <v/>
      </c>
      <c r="H225">
        <f>IF($A225="","",IF(COUNTIFS(ETxnType,"پاس چک",ETxnChk,$A225)&gt;0,"پاس شده","پاس نشده"))</f>
        <v/>
      </c>
      <c r="I225">
        <f>IF($A225="","",IFERROR(INDEX(BClrDate,MATCH($A225,BClrChk,0)),""))</f>
        <v/>
      </c>
      <c r="J225">
        <f>IF($A225="","",Issues!$G228)</f>
        <v/>
      </c>
      <c r="K225">
        <f>IF(OR($E225="",$E225="نامعتبر"),"",LEFT($E225,4)&amp;MID($E225,6,2)&amp;RIGHT($E225,2)&amp;"|"&amp;RIGHT("00000"&amp;220,5))</f>
        <v/>
      </c>
      <c r="M225">
        <f>IF(Sync!$M225&lt;&gt;"پاس چک","",IF(Sync!$P225="","",Sync!$P225))</f>
        <v/>
      </c>
      <c r="N225">
        <f>IF($M225="","",IF(ISNUMBER(Sync!$L225),IF(AND(Sync!$L225&gt;=10000101,Sync!$L225&lt;=99991231),RIGHT("0000"&amp;INT(Sync!$L225/10000),4)&amp;"/"&amp;RIGHT("00"&amp;INT(MOD(Sync!$L225,10000)/100),2)&amp;"/"&amp;RIGHT("00"&amp;MOD(Sync!$L225,100),2),""),IFERROR(RIGHT("0000"&amp;VALUE(TRIM(LEFT(Sync!$L225,FIND("/",Sync!$L225)-1))),4)&amp;"/"&amp;RIGHT("00"&amp;VALUE(TRIM(LEFT(MID(Sync!$L225,FIND("/",Sync!$L225)+1,20),FIND("/",MID(Sync!$L225,FIND("/",Sync!$L225)+1,20))-1))),2)&amp;"/"&amp;RIGHT("00"&amp;VALUE(TRIM(MID(MID(Sync!$L225,FIND("/",Sync!$L225)+1,20),FIND("/",MID(Sync!$L225,FIND("/",Sync!$L225)+1,20))+1,20))),2),"")))</f>
        <v/>
      </c>
    </row>
    <row r="226">
      <c r="A226">
        <f>IF(Issues!$B229="","",Issues!$B229)</f>
        <v/>
      </c>
      <c r="B226">
        <f>IF($A226="","",IF(ISNUMBER(Issues!$C229),IF(AND(Issues!$C229&gt;=10000101,Issues!$C229&lt;=99991231),INT(Issues!$C229/10000),""),IFERROR(VALUE(TRIM(LEFT(Issues!$C229,FIND("/",Issues!$C229)-1))),"")))</f>
        <v/>
      </c>
      <c r="C226">
        <f>IF(OR($A226="",$B226=""),"",IF(ISNUMBER(Issues!$C229),INT(MOD(Issues!$C229,10000)/100),IFERROR(VALUE(TRIM(LEFT(MID(Issues!$C229,FIND("/",Issues!$C229)+1,20),FIND("/",MID(Issues!$C229,FIND("/",Issues!$C229)+1,20))-1))),"")))</f>
        <v/>
      </c>
      <c r="D226">
        <f>IF(OR($A226="",$B226=""),"",IF(ISNUMBER(Issues!$C229),MOD(Issues!$C229,100),IFERROR(VALUE(TRIM(MID(MID(Issues!$C229,FIND("/",Issues!$C229)+1,20),FIND("/",MID(Issues!$C229,FIND("/",Issues!$C229)+1,20))+1,20))),"")))</f>
        <v/>
      </c>
      <c r="E226">
        <f>IF($A226="","",IF(OR($B226="",$C226="",$D226="",$B226&lt;1300,$B226&gt;1500,$C226&lt;1,$C226&gt;12,$D226&lt;1,$D226&gt;31),"نامعتبر",RIGHT("0000"&amp;$B226,4)&amp;"/"&amp;RIGHT("00"&amp;$C226,2)&amp;"/"&amp;RIGHT("00"&amp;$D226,2)))</f>
        <v/>
      </c>
      <c r="F226">
        <f>IF($A226="","",IF(Issues!$D229="",0,Issues!$D229))</f>
        <v/>
      </c>
      <c r="G226">
        <f>IF($A226="","",Issues!$E229)</f>
        <v/>
      </c>
      <c r="H226">
        <f>IF($A226="","",IF(COUNTIFS(ETxnType,"پاس چک",ETxnChk,$A226)&gt;0,"پاس شده","پاس نشده"))</f>
        <v/>
      </c>
      <c r="I226">
        <f>IF($A226="","",IFERROR(INDEX(BClrDate,MATCH($A226,BClrChk,0)),""))</f>
        <v/>
      </c>
      <c r="J226">
        <f>IF($A226="","",Issues!$G229)</f>
        <v/>
      </c>
      <c r="K226">
        <f>IF(OR($E226="",$E226="نامعتبر"),"",LEFT($E226,4)&amp;MID($E226,6,2)&amp;RIGHT($E226,2)&amp;"|"&amp;RIGHT("00000"&amp;221,5))</f>
        <v/>
      </c>
      <c r="M226">
        <f>IF(Sync!$M226&lt;&gt;"پاس چک","",IF(Sync!$P226="","",Sync!$P226))</f>
        <v/>
      </c>
      <c r="N226">
        <f>IF($M226="","",IF(ISNUMBER(Sync!$L226),IF(AND(Sync!$L226&gt;=10000101,Sync!$L226&lt;=99991231),RIGHT("0000"&amp;INT(Sync!$L226/10000),4)&amp;"/"&amp;RIGHT("00"&amp;INT(MOD(Sync!$L226,10000)/100),2)&amp;"/"&amp;RIGHT("00"&amp;MOD(Sync!$L226,100),2),""),IFERROR(RIGHT("0000"&amp;VALUE(TRIM(LEFT(Sync!$L226,FIND("/",Sync!$L226)-1))),4)&amp;"/"&amp;RIGHT("00"&amp;VALUE(TRIM(LEFT(MID(Sync!$L226,FIND("/",Sync!$L226)+1,20),FIND("/",MID(Sync!$L226,FIND("/",Sync!$L226)+1,20))-1))),2)&amp;"/"&amp;RIGHT("00"&amp;VALUE(TRIM(MID(MID(Sync!$L226,FIND("/",Sync!$L226)+1,20),FIND("/",MID(Sync!$L226,FIND("/",Sync!$L226)+1,20))+1,20))),2),"")))</f>
        <v/>
      </c>
    </row>
    <row r="227">
      <c r="A227">
        <f>IF(Issues!$B230="","",Issues!$B230)</f>
        <v/>
      </c>
      <c r="B227">
        <f>IF($A227="","",IF(ISNUMBER(Issues!$C230),IF(AND(Issues!$C230&gt;=10000101,Issues!$C230&lt;=99991231),INT(Issues!$C230/10000),""),IFERROR(VALUE(TRIM(LEFT(Issues!$C230,FIND("/",Issues!$C230)-1))),"")))</f>
        <v/>
      </c>
      <c r="C227">
        <f>IF(OR($A227="",$B227=""),"",IF(ISNUMBER(Issues!$C230),INT(MOD(Issues!$C230,10000)/100),IFERROR(VALUE(TRIM(LEFT(MID(Issues!$C230,FIND("/",Issues!$C230)+1,20),FIND("/",MID(Issues!$C230,FIND("/",Issues!$C230)+1,20))-1))),"")))</f>
        <v/>
      </c>
      <c r="D227">
        <f>IF(OR($A227="",$B227=""),"",IF(ISNUMBER(Issues!$C230),MOD(Issues!$C230,100),IFERROR(VALUE(TRIM(MID(MID(Issues!$C230,FIND("/",Issues!$C230)+1,20),FIND("/",MID(Issues!$C230,FIND("/",Issues!$C230)+1,20))+1,20))),"")))</f>
        <v/>
      </c>
      <c r="E227">
        <f>IF($A227="","",IF(OR($B227="",$C227="",$D227="",$B227&lt;1300,$B227&gt;1500,$C227&lt;1,$C227&gt;12,$D227&lt;1,$D227&gt;31),"نامعتبر",RIGHT("0000"&amp;$B227,4)&amp;"/"&amp;RIGHT("00"&amp;$C227,2)&amp;"/"&amp;RIGHT("00"&amp;$D227,2)))</f>
        <v/>
      </c>
      <c r="F227">
        <f>IF($A227="","",IF(Issues!$D230="",0,Issues!$D230))</f>
        <v/>
      </c>
      <c r="G227">
        <f>IF($A227="","",Issues!$E230)</f>
        <v/>
      </c>
      <c r="H227">
        <f>IF($A227="","",IF(COUNTIFS(ETxnType,"پاس چک",ETxnChk,$A227)&gt;0,"پاس شده","پاس نشده"))</f>
        <v/>
      </c>
      <c r="I227">
        <f>IF($A227="","",IFERROR(INDEX(BClrDate,MATCH($A227,BClrChk,0)),""))</f>
        <v/>
      </c>
      <c r="J227">
        <f>IF($A227="","",Issues!$G230)</f>
        <v/>
      </c>
      <c r="K227">
        <f>IF(OR($E227="",$E227="نامعتبر"),"",LEFT($E227,4)&amp;MID($E227,6,2)&amp;RIGHT($E227,2)&amp;"|"&amp;RIGHT("00000"&amp;222,5))</f>
        <v/>
      </c>
      <c r="M227">
        <f>IF(Sync!$M227&lt;&gt;"پاس چک","",IF(Sync!$P227="","",Sync!$P227))</f>
        <v/>
      </c>
      <c r="N227">
        <f>IF($M227="","",IF(ISNUMBER(Sync!$L227),IF(AND(Sync!$L227&gt;=10000101,Sync!$L227&lt;=99991231),RIGHT("0000"&amp;INT(Sync!$L227/10000),4)&amp;"/"&amp;RIGHT("00"&amp;INT(MOD(Sync!$L227,10000)/100),2)&amp;"/"&amp;RIGHT("00"&amp;MOD(Sync!$L227,100),2),""),IFERROR(RIGHT("0000"&amp;VALUE(TRIM(LEFT(Sync!$L227,FIND("/",Sync!$L227)-1))),4)&amp;"/"&amp;RIGHT("00"&amp;VALUE(TRIM(LEFT(MID(Sync!$L227,FIND("/",Sync!$L227)+1,20),FIND("/",MID(Sync!$L227,FIND("/",Sync!$L227)+1,20))-1))),2)&amp;"/"&amp;RIGHT("00"&amp;VALUE(TRIM(MID(MID(Sync!$L227,FIND("/",Sync!$L227)+1,20),FIND("/",MID(Sync!$L227,FIND("/",Sync!$L227)+1,20))+1,20))),2),"")))</f>
        <v/>
      </c>
    </row>
    <row r="228">
      <c r="A228">
        <f>IF(Issues!$B231="","",Issues!$B231)</f>
        <v/>
      </c>
      <c r="B228">
        <f>IF($A228="","",IF(ISNUMBER(Issues!$C231),IF(AND(Issues!$C231&gt;=10000101,Issues!$C231&lt;=99991231),INT(Issues!$C231/10000),""),IFERROR(VALUE(TRIM(LEFT(Issues!$C231,FIND("/",Issues!$C231)-1))),"")))</f>
        <v/>
      </c>
      <c r="C228">
        <f>IF(OR($A228="",$B228=""),"",IF(ISNUMBER(Issues!$C231),INT(MOD(Issues!$C231,10000)/100),IFERROR(VALUE(TRIM(LEFT(MID(Issues!$C231,FIND("/",Issues!$C231)+1,20),FIND("/",MID(Issues!$C231,FIND("/",Issues!$C231)+1,20))-1))),"")))</f>
        <v/>
      </c>
      <c r="D228">
        <f>IF(OR($A228="",$B228=""),"",IF(ISNUMBER(Issues!$C231),MOD(Issues!$C231,100),IFERROR(VALUE(TRIM(MID(MID(Issues!$C231,FIND("/",Issues!$C231)+1,20),FIND("/",MID(Issues!$C231,FIND("/",Issues!$C231)+1,20))+1,20))),"")))</f>
        <v/>
      </c>
      <c r="E228">
        <f>IF($A228="","",IF(OR($B228="",$C228="",$D228="",$B228&lt;1300,$B228&gt;1500,$C228&lt;1,$C228&gt;12,$D228&lt;1,$D228&gt;31),"نامعتبر",RIGHT("0000"&amp;$B228,4)&amp;"/"&amp;RIGHT("00"&amp;$C228,2)&amp;"/"&amp;RIGHT("00"&amp;$D228,2)))</f>
        <v/>
      </c>
      <c r="F228">
        <f>IF($A228="","",IF(Issues!$D231="",0,Issues!$D231))</f>
        <v/>
      </c>
      <c r="G228">
        <f>IF($A228="","",Issues!$E231)</f>
        <v/>
      </c>
      <c r="H228">
        <f>IF($A228="","",IF(COUNTIFS(ETxnType,"پاس چک",ETxnChk,$A228)&gt;0,"پاس شده","پاس نشده"))</f>
        <v/>
      </c>
      <c r="I228">
        <f>IF($A228="","",IFERROR(INDEX(BClrDate,MATCH($A228,BClrChk,0)),""))</f>
        <v/>
      </c>
      <c r="J228">
        <f>IF($A228="","",Issues!$G231)</f>
        <v/>
      </c>
      <c r="K228">
        <f>IF(OR($E228="",$E228="نامعتبر"),"",LEFT($E228,4)&amp;MID($E228,6,2)&amp;RIGHT($E228,2)&amp;"|"&amp;RIGHT("00000"&amp;223,5))</f>
        <v/>
      </c>
      <c r="M228">
        <f>IF(Sync!$M228&lt;&gt;"پاس چک","",IF(Sync!$P228="","",Sync!$P228))</f>
        <v/>
      </c>
      <c r="N228">
        <f>IF($M228="","",IF(ISNUMBER(Sync!$L228),IF(AND(Sync!$L228&gt;=10000101,Sync!$L228&lt;=99991231),RIGHT("0000"&amp;INT(Sync!$L228/10000),4)&amp;"/"&amp;RIGHT("00"&amp;INT(MOD(Sync!$L228,10000)/100),2)&amp;"/"&amp;RIGHT("00"&amp;MOD(Sync!$L228,100),2),""),IFERROR(RIGHT("0000"&amp;VALUE(TRIM(LEFT(Sync!$L228,FIND("/",Sync!$L228)-1))),4)&amp;"/"&amp;RIGHT("00"&amp;VALUE(TRIM(LEFT(MID(Sync!$L228,FIND("/",Sync!$L228)+1,20),FIND("/",MID(Sync!$L228,FIND("/",Sync!$L228)+1,20))-1))),2)&amp;"/"&amp;RIGHT("00"&amp;VALUE(TRIM(MID(MID(Sync!$L228,FIND("/",Sync!$L228)+1,20),FIND("/",MID(Sync!$L228,FIND("/",Sync!$L228)+1,20))+1,20))),2),"")))</f>
        <v/>
      </c>
    </row>
    <row r="229">
      <c r="A229">
        <f>IF(Issues!$B232="","",Issues!$B232)</f>
        <v/>
      </c>
      <c r="B229">
        <f>IF($A229="","",IF(ISNUMBER(Issues!$C232),IF(AND(Issues!$C232&gt;=10000101,Issues!$C232&lt;=99991231),INT(Issues!$C232/10000),""),IFERROR(VALUE(TRIM(LEFT(Issues!$C232,FIND("/",Issues!$C232)-1))),"")))</f>
        <v/>
      </c>
      <c r="C229">
        <f>IF(OR($A229="",$B229=""),"",IF(ISNUMBER(Issues!$C232),INT(MOD(Issues!$C232,10000)/100),IFERROR(VALUE(TRIM(LEFT(MID(Issues!$C232,FIND("/",Issues!$C232)+1,20),FIND("/",MID(Issues!$C232,FIND("/",Issues!$C232)+1,20))-1))),"")))</f>
        <v/>
      </c>
      <c r="D229">
        <f>IF(OR($A229="",$B229=""),"",IF(ISNUMBER(Issues!$C232),MOD(Issues!$C232,100),IFERROR(VALUE(TRIM(MID(MID(Issues!$C232,FIND("/",Issues!$C232)+1,20),FIND("/",MID(Issues!$C232,FIND("/",Issues!$C232)+1,20))+1,20))),"")))</f>
        <v/>
      </c>
      <c r="E229">
        <f>IF($A229="","",IF(OR($B229="",$C229="",$D229="",$B229&lt;1300,$B229&gt;1500,$C229&lt;1,$C229&gt;12,$D229&lt;1,$D229&gt;31),"نامعتبر",RIGHT("0000"&amp;$B229,4)&amp;"/"&amp;RIGHT("00"&amp;$C229,2)&amp;"/"&amp;RIGHT("00"&amp;$D229,2)))</f>
        <v/>
      </c>
      <c r="F229">
        <f>IF($A229="","",IF(Issues!$D232="",0,Issues!$D232))</f>
        <v/>
      </c>
      <c r="G229">
        <f>IF($A229="","",Issues!$E232)</f>
        <v/>
      </c>
      <c r="H229">
        <f>IF($A229="","",IF(COUNTIFS(ETxnType,"پاس چک",ETxnChk,$A229)&gt;0,"پاس شده","پاس نشده"))</f>
        <v/>
      </c>
      <c r="I229">
        <f>IF($A229="","",IFERROR(INDEX(BClrDate,MATCH($A229,BClrChk,0)),""))</f>
        <v/>
      </c>
      <c r="J229">
        <f>IF($A229="","",Issues!$G232)</f>
        <v/>
      </c>
      <c r="K229">
        <f>IF(OR($E229="",$E229="نامعتبر"),"",LEFT($E229,4)&amp;MID($E229,6,2)&amp;RIGHT($E229,2)&amp;"|"&amp;RIGHT("00000"&amp;224,5))</f>
        <v/>
      </c>
      <c r="M229">
        <f>IF(Sync!$M229&lt;&gt;"پاس چک","",IF(Sync!$P229="","",Sync!$P229))</f>
        <v/>
      </c>
      <c r="N229">
        <f>IF($M229="","",IF(ISNUMBER(Sync!$L229),IF(AND(Sync!$L229&gt;=10000101,Sync!$L229&lt;=99991231),RIGHT("0000"&amp;INT(Sync!$L229/10000),4)&amp;"/"&amp;RIGHT("00"&amp;INT(MOD(Sync!$L229,10000)/100),2)&amp;"/"&amp;RIGHT("00"&amp;MOD(Sync!$L229,100),2),""),IFERROR(RIGHT("0000"&amp;VALUE(TRIM(LEFT(Sync!$L229,FIND("/",Sync!$L229)-1))),4)&amp;"/"&amp;RIGHT("00"&amp;VALUE(TRIM(LEFT(MID(Sync!$L229,FIND("/",Sync!$L229)+1,20),FIND("/",MID(Sync!$L229,FIND("/",Sync!$L229)+1,20))-1))),2)&amp;"/"&amp;RIGHT("00"&amp;VALUE(TRIM(MID(MID(Sync!$L229,FIND("/",Sync!$L229)+1,20),FIND("/",MID(Sync!$L229,FIND("/",Sync!$L229)+1,20))+1,20))),2),"")))</f>
        <v/>
      </c>
    </row>
    <row r="230">
      <c r="A230">
        <f>IF(Issues!$B233="","",Issues!$B233)</f>
        <v/>
      </c>
      <c r="B230">
        <f>IF($A230="","",IF(ISNUMBER(Issues!$C233),IF(AND(Issues!$C233&gt;=10000101,Issues!$C233&lt;=99991231),INT(Issues!$C233/10000),""),IFERROR(VALUE(TRIM(LEFT(Issues!$C233,FIND("/",Issues!$C233)-1))),"")))</f>
        <v/>
      </c>
      <c r="C230">
        <f>IF(OR($A230="",$B230=""),"",IF(ISNUMBER(Issues!$C233),INT(MOD(Issues!$C233,10000)/100),IFERROR(VALUE(TRIM(LEFT(MID(Issues!$C233,FIND("/",Issues!$C233)+1,20),FIND("/",MID(Issues!$C233,FIND("/",Issues!$C233)+1,20))-1))),"")))</f>
        <v/>
      </c>
      <c r="D230">
        <f>IF(OR($A230="",$B230=""),"",IF(ISNUMBER(Issues!$C233),MOD(Issues!$C233,100),IFERROR(VALUE(TRIM(MID(MID(Issues!$C233,FIND("/",Issues!$C233)+1,20),FIND("/",MID(Issues!$C233,FIND("/",Issues!$C233)+1,20))+1,20))),"")))</f>
        <v/>
      </c>
      <c r="E230">
        <f>IF($A230="","",IF(OR($B230="",$C230="",$D230="",$B230&lt;1300,$B230&gt;1500,$C230&lt;1,$C230&gt;12,$D230&lt;1,$D230&gt;31),"نامعتبر",RIGHT("0000"&amp;$B230,4)&amp;"/"&amp;RIGHT("00"&amp;$C230,2)&amp;"/"&amp;RIGHT("00"&amp;$D230,2)))</f>
        <v/>
      </c>
      <c r="F230">
        <f>IF($A230="","",IF(Issues!$D233="",0,Issues!$D233))</f>
        <v/>
      </c>
      <c r="G230">
        <f>IF($A230="","",Issues!$E233)</f>
        <v/>
      </c>
      <c r="H230">
        <f>IF($A230="","",IF(COUNTIFS(ETxnType,"پاس چک",ETxnChk,$A230)&gt;0,"پاس شده","پاس نشده"))</f>
        <v/>
      </c>
      <c r="I230">
        <f>IF($A230="","",IFERROR(INDEX(BClrDate,MATCH($A230,BClrChk,0)),""))</f>
        <v/>
      </c>
      <c r="J230">
        <f>IF($A230="","",Issues!$G233)</f>
        <v/>
      </c>
      <c r="K230">
        <f>IF(OR($E230="",$E230="نامعتبر"),"",LEFT($E230,4)&amp;MID($E230,6,2)&amp;RIGHT($E230,2)&amp;"|"&amp;RIGHT("00000"&amp;225,5))</f>
        <v/>
      </c>
      <c r="M230">
        <f>IF(Sync!$M230&lt;&gt;"پاس چک","",IF(Sync!$P230="","",Sync!$P230))</f>
        <v/>
      </c>
      <c r="N230">
        <f>IF($M230="","",IF(ISNUMBER(Sync!$L230),IF(AND(Sync!$L230&gt;=10000101,Sync!$L230&lt;=99991231),RIGHT("0000"&amp;INT(Sync!$L230/10000),4)&amp;"/"&amp;RIGHT("00"&amp;INT(MOD(Sync!$L230,10000)/100),2)&amp;"/"&amp;RIGHT("00"&amp;MOD(Sync!$L230,100),2),""),IFERROR(RIGHT("0000"&amp;VALUE(TRIM(LEFT(Sync!$L230,FIND("/",Sync!$L230)-1))),4)&amp;"/"&amp;RIGHT("00"&amp;VALUE(TRIM(LEFT(MID(Sync!$L230,FIND("/",Sync!$L230)+1,20),FIND("/",MID(Sync!$L230,FIND("/",Sync!$L230)+1,20))-1))),2)&amp;"/"&amp;RIGHT("00"&amp;VALUE(TRIM(MID(MID(Sync!$L230,FIND("/",Sync!$L230)+1,20),FIND("/",MID(Sync!$L230,FIND("/",Sync!$L230)+1,20))+1,20))),2),"")))</f>
        <v/>
      </c>
    </row>
    <row r="231">
      <c r="A231">
        <f>IF(Issues!$B234="","",Issues!$B234)</f>
        <v/>
      </c>
      <c r="B231">
        <f>IF($A231="","",IF(ISNUMBER(Issues!$C234),IF(AND(Issues!$C234&gt;=10000101,Issues!$C234&lt;=99991231),INT(Issues!$C234/10000),""),IFERROR(VALUE(TRIM(LEFT(Issues!$C234,FIND("/",Issues!$C234)-1))),"")))</f>
        <v/>
      </c>
      <c r="C231">
        <f>IF(OR($A231="",$B231=""),"",IF(ISNUMBER(Issues!$C234),INT(MOD(Issues!$C234,10000)/100),IFERROR(VALUE(TRIM(LEFT(MID(Issues!$C234,FIND("/",Issues!$C234)+1,20),FIND("/",MID(Issues!$C234,FIND("/",Issues!$C234)+1,20))-1))),"")))</f>
        <v/>
      </c>
      <c r="D231">
        <f>IF(OR($A231="",$B231=""),"",IF(ISNUMBER(Issues!$C234),MOD(Issues!$C234,100),IFERROR(VALUE(TRIM(MID(MID(Issues!$C234,FIND("/",Issues!$C234)+1,20),FIND("/",MID(Issues!$C234,FIND("/",Issues!$C234)+1,20))+1,20))),"")))</f>
        <v/>
      </c>
      <c r="E231">
        <f>IF($A231="","",IF(OR($B231="",$C231="",$D231="",$B231&lt;1300,$B231&gt;1500,$C231&lt;1,$C231&gt;12,$D231&lt;1,$D231&gt;31),"نامعتبر",RIGHT("0000"&amp;$B231,4)&amp;"/"&amp;RIGHT("00"&amp;$C231,2)&amp;"/"&amp;RIGHT("00"&amp;$D231,2)))</f>
        <v/>
      </c>
      <c r="F231">
        <f>IF($A231="","",IF(Issues!$D234="",0,Issues!$D234))</f>
        <v/>
      </c>
      <c r="G231">
        <f>IF($A231="","",Issues!$E234)</f>
        <v/>
      </c>
      <c r="H231">
        <f>IF($A231="","",IF(COUNTIFS(ETxnType,"پاس چک",ETxnChk,$A231)&gt;0,"پاس شده","پاس نشده"))</f>
        <v/>
      </c>
      <c r="I231">
        <f>IF($A231="","",IFERROR(INDEX(BClrDate,MATCH($A231,BClrChk,0)),""))</f>
        <v/>
      </c>
      <c r="J231">
        <f>IF($A231="","",Issues!$G234)</f>
        <v/>
      </c>
      <c r="K231">
        <f>IF(OR($E231="",$E231="نامعتبر"),"",LEFT($E231,4)&amp;MID($E231,6,2)&amp;RIGHT($E231,2)&amp;"|"&amp;RIGHT("00000"&amp;226,5))</f>
        <v/>
      </c>
      <c r="M231">
        <f>IF(Sync!$M231&lt;&gt;"پاس چک","",IF(Sync!$P231="","",Sync!$P231))</f>
        <v/>
      </c>
      <c r="N231">
        <f>IF($M231="","",IF(ISNUMBER(Sync!$L231),IF(AND(Sync!$L231&gt;=10000101,Sync!$L231&lt;=99991231),RIGHT("0000"&amp;INT(Sync!$L231/10000),4)&amp;"/"&amp;RIGHT("00"&amp;INT(MOD(Sync!$L231,10000)/100),2)&amp;"/"&amp;RIGHT("00"&amp;MOD(Sync!$L231,100),2),""),IFERROR(RIGHT("0000"&amp;VALUE(TRIM(LEFT(Sync!$L231,FIND("/",Sync!$L231)-1))),4)&amp;"/"&amp;RIGHT("00"&amp;VALUE(TRIM(LEFT(MID(Sync!$L231,FIND("/",Sync!$L231)+1,20),FIND("/",MID(Sync!$L231,FIND("/",Sync!$L231)+1,20))-1))),2)&amp;"/"&amp;RIGHT("00"&amp;VALUE(TRIM(MID(MID(Sync!$L231,FIND("/",Sync!$L231)+1,20),FIND("/",MID(Sync!$L231,FIND("/",Sync!$L231)+1,20))+1,20))),2),"")))</f>
        <v/>
      </c>
    </row>
    <row r="232">
      <c r="A232">
        <f>IF(Issues!$B235="","",Issues!$B235)</f>
        <v/>
      </c>
      <c r="B232">
        <f>IF($A232="","",IF(ISNUMBER(Issues!$C235),IF(AND(Issues!$C235&gt;=10000101,Issues!$C235&lt;=99991231),INT(Issues!$C235/10000),""),IFERROR(VALUE(TRIM(LEFT(Issues!$C235,FIND("/",Issues!$C235)-1))),"")))</f>
        <v/>
      </c>
      <c r="C232">
        <f>IF(OR($A232="",$B232=""),"",IF(ISNUMBER(Issues!$C235),INT(MOD(Issues!$C235,10000)/100),IFERROR(VALUE(TRIM(LEFT(MID(Issues!$C235,FIND("/",Issues!$C235)+1,20),FIND("/",MID(Issues!$C235,FIND("/",Issues!$C235)+1,20))-1))),"")))</f>
        <v/>
      </c>
      <c r="D232">
        <f>IF(OR($A232="",$B232=""),"",IF(ISNUMBER(Issues!$C235),MOD(Issues!$C235,100),IFERROR(VALUE(TRIM(MID(MID(Issues!$C235,FIND("/",Issues!$C235)+1,20),FIND("/",MID(Issues!$C235,FIND("/",Issues!$C235)+1,20))+1,20))),"")))</f>
        <v/>
      </c>
      <c r="E232">
        <f>IF($A232="","",IF(OR($B232="",$C232="",$D232="",$B232&lt;1300,$B232&gt;1500,$C232&lt;1,$C232&gt;12,$D232&lt;1,$D232&gt;31),"نامعتبر",RIGHT("0000"&amp;$B232,4)&amp;"/"&amp;RIGHT("00"&amp;$C232,2)&amp;"/"&amp;RIGHT("00"&amp;$D232,2)))</f>
        <v/>
      </c>
      <c r="F232">
        <f>IF($A232="","",IF(Issues!$D235="",0,Issues!$D235))</f>
        <v/>
      </c>
      <c r="G232">
        <f>IF($A232="","",Issues!$E235)</f>
        <v/>
      </c>
      <c r="H232">
        <f>IF($A232="","",IF(COUNTIFS(ETxnType,"پاس چک",ETxnChk,$A232)&gt;0,"پاس شده","پاس نشده"))</f>
        <v/>
      </c>
      <c r="I232">
        <f>IF($A232="","",IFERROR(INDEX(BClrDate,MATCH($A232,BClrChk,0)),""))</f>
        <v/>
      </c>
      <c r="J232">
        <f>IF($A232="","",Issues!$G235)</f>
        <v/>
      </c>
      <c r="K232">
        <f>IF(OR($E232="",$E232="نامعتبر"),"",LEFT($E232,4)&amp;MID($E232,6,2)&amp;RIGHT($E232,2)&amp;"|"&amp;RIGHT("00000"&amp;227,5))</f>
        <v/>
      </c>
      <c r="M232">
        <f>IF(Sync!$M232&lt;&gt;"پاس چک","",IF(Sync!$P232="","",Sync!$P232))</f>
        <v/>
      </c>
      <c r="N232">
        <f>IF($M232="","",IF(ISNUMBER(Sync!$L232),IF(AND(Sync!$L232&gt;=10000101,Sync!$L232&lt;=99991231),RIGHT("0000"&amp;INT(Sync!$L232/10000),4)&amp;"/"&amp;RIGHT("00"&amp;INT(MOD(Sync!$L232,10000)/100),2)&amp;"/"&amp;RIGHT("00"&amp;MOD(Sync!$L232,100),2),""),IFERROR(RIGHT("0000"&amp;VALUE(TRIM(LEFT(Sync!$L232,FIND("/",Sync!$L232)-1))),4)&amp;"/"&amp;RIGHT("00"&amp;VALUE(TRIM(LEFT(MID(Sync!$L232,FIND("/",Sync!$L232)+1,20),FIND("/",MID(Sync!$L232,FIND("/",Sync!$L232)+1,20))-1))),2)&amp;"/"&amp;RIGHT("00"&amp;VALUE(TRIM(MID(MID(Sync!$L232,FIND("/",Sync!$L232)+1,20),FIND("/",MID(Sync!$L232,FIND("/",Sync!$L232)+1,20))+1,20))),2),"")))</f>
        <v/>
      </c>
    </row>
    <row r="233">
      <c r="A233">
        <f>IF(Issues!$B236="","",Issues!$B236)</f>
        <v/>
      </c>
      <c r="B233">
        <f>IF($A233="","",IF(ISNUMBER(Issues!$C236),IF(AND(Issues!$C236&gt;=10000101,Issues!$C236&lt;=99991231),INT(Issues!$C236/10000),""),IFERROR(VALUE(TRIM(LEFT(Issues!$C236,FIND("/",Issues!$C236)-1))),"")))</f>
        <v/>
      </c>
      <c r="C233">
        <f>IF(OR($A233="",$B233=""),"",IF(ISNUMBER(Issues!$C236),INT(MOD(Issues!$C236,10000)/100),IFERROR(VALUE(TRIM(LEFT(MID(Issues!$C236,FIND("/",Issues!$C236)+1,20),FIND("/",MID(Issues!$C236,FIND("/",Issues!$C236)+1,20))-1))),"")))</f>
        <v/>
      </c>
      <c r="D233">
        <f>IF(OR($A233="",$B233=""),"",IF(ISNUMBER(Issues!$C236),MOD(Issues!$C236,100),IFERROR(VALUE(TRIM(MID(MID(Issues!$C236,FIND("/",Issues!$C236)+1,20),FIND("/",MID(Issues!$C236,FIND("/",Issues!$C236)+1,20))+1,20))),"")))</f>
        <v/>
      </c>
      <c r="E233">
        <f>IF($A233="","",IF(OR($B233="",$C233="",$D233="",$B233&lt;1300,$B233&gt;1500,$C233&lt;1,$C233&gt;12,$D233&lt;1,$D233&gt;31),"نامعتبر",RIGHT("0000"&amp;$B233,4)&amp;"/"&amp;RIGHT("00"&amp;$C233,2)&amp;"/"&amp;RIGHT("00"&amp;$D233,2)))</f>
        <v/>
      </c>
      <c r="F233">
        <f>IF($A233="","",IF(Issues!$D236="",0,Issues!$D236))</f>
        <v/>
      </c>
      <c r="G233">
        <f>IF($A233="","",Issues!$E236)</f>
        <v/>
      </c>
      <c r="H233">
        <f>IF($A233="","",IF(COUNTIFS(ETxnType,"پاس چک",ETxnChk,$A233)&gt;0,"پاس شده","پاس نشده"))</f>
        <v/>
      </c>
      <c r="I233">
        <f>IF($A233="","",IFERROR(INDEX(BClrDate,MATCH($A233,BClrChk,0)),""))</f>
        <v/>
      </c>
      <c r="J233">
        <f>IF($A233="","",Issues!$G236)</f>
        <v/>
      </c>
      <c r="K233">
        <f>IF(OR($E233="",$E233="نامعتبر"),"",LEFT($E233,4)&amp;MID($E233,6,2)&amp;RIGHT($E233,2)&amp;"|"&amp;RIGHT("00000"&amp;228,5))</f>
        <v/>
      </c>
      <c r="M233">
        <f>IF(Sync!$M233&lt;&gt;"پاس چک","",IF(Sync!$P233="","",Sync!$P233))</f>
        <v/>
      </c>
      <c r="N233">
        <f>IF($M233="","",IF(ISNUMBER(Sync!$L233),IF(AND(Sync!$L233&gt;=10000101,Sync!$L233&lt;=99991231),RIGHT("0000"&amp;INT(Sync!$L233/10000),4)&amp;"/"&amp;RIGHT("00"&amp;INT(MOD(Sync!$L233,10000)/100),2)&amp;"/"&amp;RIGHT("00"&amp;MOD(Sync!$L233,100),2),""),IFERROR(RIGHT("0000"&amp;VALUE(TRIM(LEFT(Sync!$L233,FIND("/",Sync!$L233)-1))),4)&amp;"/"&amp;RIGHT("00"&amp;VALUE(TRIM(LEFT(MID(Sync!$L233,FIND("/",Sync!$L233)+1,20),FIND("/",MID(Sync!$L233,FIND("/",Sync!$L233)+1,20))-1))),2)&amp;"/"&amp;RIGHT("00"&amp;VALUE(TRIM(MID(MID(Sync!$L233,FIND("/",Sync!$L233)+1,20),FIND("/",MID(Sync!$L233,FIND("/",Sync!$L233)+1,20))+1,20))),2),"")))</f>
        <v/>
      </c>
    </row>
    <row r="234">
      <c r="A234">
        <f>IF(Issues!$B237="","",Issues!$B237)</f>
        <v/>
      </c>
      <c r="B234">
        <f>IF($A234="","",IF(ISNUMBER(Issues!$C237),IF(AND(Issues!$C237&gt;=10000101,Issues!$C237&lt;=99991231),INT(Issues!$C237/10000),""),IFERROR(VALUE(TRIM(LEFT(Issues!$C237,FIND("/",Issues!$C237)-1))),"")))</f>
        <v/>
      </c>
      <c r="C234">
        <f>IF(OR($A234="",$B234=""),"",IF(ISNUMBER(Issues!$C237),INT(MOD(Issues!$C237,10000)/100),IFERROR(VALUE(TRIM(LEFT(MID(Issues!$C237,FIND("/",Issues!$C237)+1,20),FIND("/",MID(Issues!$C237,FIND("/",Issues!$C237)+1,20))-1))),"")))</f>
        <v/>
      </c>
      <c r="D234">
        <f>IF(OR($A234="",$B234=""),"",IF(ISNUMBER(Issues!$C237),MOD(Issues!$C237,100),IFERROR(VALUE(TRIM(MID(MID(Issues!$C237,FIND("/",Issues!$C237)+1,20),FIND("/",MID(Issues!$C237,FIND("/",Issues!$C237)+1,20))+1,20))),"")))</f>
        <v/>
      </c>
      <c r="E234">
        <f>IF($A234="","",IF(OR($B234="",$C234="",$D234="",$B234&lt;1300,$B234&gt;1500,$C234&lt;1,$C234&gt;12,$D234&lt;1,$D234&gt;31),"نامعتبر",RIGHT("0000"&amp;$B234,4)&amp;"/"&amp;RIGHT("00"&amp;$C234,2)&amp;"/"&amp;RIGHT("00"&amp;$D234,2)))</f>
        <v/>
      </c>
      <c r="F234">
        <f>IF($A234="","",IF(Issues!$D237="",0,Issues!$D237))</f>
        <v/>
      </c>
      <c r="G234">
        <f>IF($A234="","",Issues!$E237)</f>
        <v/>
      </c>
      <c r="H234">
        <f>IF($A234="","",IF(COUNTIFS(ETxnType,"پاس چک",ETxnChk,$A234)&gt;0,"پاس شده","پاس نشده"))</f>
        <v/>
      </c>
      <c r="I234">
        <f>IF($A234="","",IFERROR(INDEX(BClrDate,MATCH($A234,BClrChk,0)),""))</f>
        <v/>
      </c>
      <c r="J234">
        <f>IF($A234="","",Issues!$G237)</f>
        <v/>
      </c>
      <c r="K234">
        <f>IF(OR($E234="",$E234="نامعتبر"),"",LEFT($E234,4)&amp;MID($E234,6,2)&amp;RIGHT($E234,2)&amp;"|"&amp;RIGHT("00000"&amp;229,5))</f>
        <v/>
      </c>
      <c r="M234">
        <f>IF(Sync!$M234&lt;&gt;"پاس چک","",IF(Sync!$P234="","",Sync!$P234))</f>
        <v/>
      </c>
      <c r="N234">
        <f>IF($M234="","",IF(ISNUMBER(Sync!$L234),IF(AND(Sync!$L234&gt;=10000101,Sync!$L234&lt;=99991231),RIGHT("0000"&amp;INT(Sync!$L234/10000),4)&amp;"/"&amp;RIGHT("00"&amp;INT(MOD(Sync!$L234,10000)/100),2)&amp;"/"&amp;RIGHT("00"&amp;MOD(Sync!$L234,100),2),""),IFERROR(RIGHT("0000"&amp;VALUE(TRIM(LEFT(Sync!$L234,FIND("/",Sync!$L234)-1))),4)&amp;"/"&amp;RIGHT("00"&amp;VALUE(TRIM(LEFT(MID(Sync!$L234,FIND("/",Sync!$L234)+1,20),FIND("/",MID(Sync!$L234,FIND("/",Sync!$L234)+1,20))-1))),2)&amp;"/"&amp;RIGHT("00"&amp;VALUE(TRIM(MID(MID(Sync!$L234,FIND("/",Sync!$L234)+1,20),FIND("/",MID(Sync!$L234,FIND("/",Sync!$L234)+1,20))+1,20))),2),"")))</f>
        <v/>
      </c>
    </row>
    <row r="235">
      <c r="A235">
        <f>IF(Issues!$B238="","",Issues!$B238)</f>
        <v/>
      </c>
      <c r="B235">
        <f>IF($A235="","",IF(ISNUMBER(Issues!$C238),IF(AND(Issues!$C238&gt;=10000101,Issues!$C238&lt;=99991231),INT(Issues!$C238/10000),""),IFERROR(VALUE(TRIM(LEFT(Issues!$C238,FIND("/",Issues!$C238)-1))),"")))</f>
        <v/>
      </c>
      <c r="C235">
        <f>IF(OR($A235="",$B235=""),"",IF(ISNUMBER(Issues!$C238),INT(MOD(Issues!$C238,10000)/100),IFERROR(VALUE(TRIM(LEFT(MID(Issues!$C238,FIND("/",Issues!$C238)+1,20),FIND("/",MID(Issues!$C238,FIND("/",Issues!$C238)+1,20))-1))),"")))</f>
        <v/>
      </c>
      <c r="D235">
        <f>IF(OR($A235="",$B235=""),"",IF(ISNUMBER(Issues!$C238),MOD(Issues!$C238,100),IFERROR(VALUE(TRIM(MID(MID(Issues!$C238,FIND("/",Issues!$C238)+1,20),FIND("/",MID(Issues!$C238,FIND("/",Issues!$C238)+1,20))+1,20))),"")))</f>
        <v/>
      </c>
      <c r="E235">
        <f>IF($A235="","",IF(OR($B235="",$C235="",$D235="",$B235&lt;1300,$B235&gt;1500,$C235&lt;1,$C235&gt;12,$D235&lt;1,$D235&gt;31),"نامعتبر",RIGHT("0000"&amp;$B235,4)&amp;"/"&amp;RIGHT("00"&amp;$C235,2)&amp;"/"&amp;RIGHT("00"&amp;$D235,2)))</f>
        <v/>
      </c>
      <c r="F235">
        <f>IF($A235="","",IF(Issues!$D238="",0,Issues!$D238))</f>
        <v/>
      </c>
      <c r="G235">
        <f>IF($A235="","",Issues!$E238)</f>
        <v/>
      </c>
      <c r="H235">
        <f>IF($A235="","",IF(COUNTIFS(ETxnType,"پاس چک",ETxnChk,$A235)&gt;0,"پاس شده","پاس نشده"))</f>
        <v/>
      </c>
      <c r="I235">
        <f>IF($A235="","",IFERROR(INDEX(BClrDate,MATCH($A235,BClrChk,0)),""))</f>
        <v/>
      </c>
      <c r="J235">
        <f>IF($A235="","",Issues!$G238)</f>
        <v/>
      </c>
      <c r="K235">
        <f>IF(OR($E235="",$E235="نامعتبر"),"",LEFT($E235,4)&amp;MID($E235,6,2)&amp;RIGHT($E235,2)&amp;"|"&amp;RIGHT("00000"&amp;230,5))</f>
        <v/>
      </c>
      <c r="M235">
        <f>IF(Sync!$M235&lt;&gt;"پاس چک","",IF(Sync!$P235="","",Sync!$P235))</f>
        <v/>
      </c>
      <c r="N235">
        <f>IF($M235="","",IF(ISNUMBER(Sync!$L235),IF(AND(Sync!$L235&gt;=10000101,Sync!$L235&lt;=99991231),RIGHT("0000"&amp;INT(Sync!$L235/10000),4)&amp;"/"&amp;RIGHT("00"&amp;INT(MOD(Sync!$L235,10000)/100),2)&amp;"/"&amp;RIGHT("00"&amp;MOD(Sync!$L235,100),2),""),IFERROR(RIGHT("0000"&amp;VALUE(TRIM(LEFT(Sync!$L235,FIND("/",Sync!$L235)-1))),4)&amp;"/"&amp;RIGHT("00"&amp;VALUE(TRIM(LEFT(MID(Sync!$L235,FIND("/",Sync!$L235)+1,20),FIND("/",MID(Sync!$L235,FIND("/",Sync!$L235)+1,20))-1))),2)&amp;"/"&amp;RIGHT("00"&amp;VALUE(TRIM(MID(MID(Sync!$L235,FIND("/",Sync!$L235)+1,20),FIND("/",MID(Sync!$L235,FIND("/",Sync!$L235)+1,20))+1,20))),2),"")))</f>
        <v/>
      </c>
    </row>
    <row r="236">
      <c r="A236">
        <f>IF(Issues!$B239="","",Issues!$B239)</f>
        <v/>
      </c>
      <c r="B236">
        <f>IF($A236="","",IF(ISNUMBER(Issues!$C239),IF(AND(Issues!$C239&gt;=10000101,Issues!$C239&lt;=99991231),INT(Issues!$C239/10000),""),IFERROR(VALUE(TRIM(LEFT(Issues!$C239,FIND("/",Issues!$C239)-1))),"")))</f>
        <v/>
      </c>
      <c r="C236">
        <f>IF(OR($A236="",$B236=""),"",IF(ISNUMBER(Issues!$C239),INT(MOD(Issues!$C239,10000)/100),IFERROR(VALUE(TRIM(LEFT(MID(Issues!$C239,FIND("/",Issues!$C239)+1,20),FIND("/",MID(Issues!$C239,FIND("/",Issues!$C239)+1,20))-1))),"")))</f>
        <v/>
      </c>
      <c r="D236">
        <f>IF(OR($A236="",$B236=""),"",IF(ISNUMBER(Issues!$C239),MOD(Issues!$C239,100),IFERROR(VALUE(TRIM(MID(MID(Issues!$C239,FIND("/",Issues!$C239)+1,20),FIND("/",MID(Issues!$C239,FIND("/",Issues!$C239)+1,20))+1,20))),"")))</f>
        <v/>
      </c>
      <c r="E236">
        <f>IF($A236="","",IF(OR($B236="",$C236="",$D236="",$B236&lt;1300,$B236&gt;1500,$C236&lt;1,$C236&gt;12,$D236&lt;1,$D236&gt;31),"نامعتبر",RIGHT("0000"&amp;$B236,4)&amp;"/"&amp;RIGHT("00"&amp;$C236,2)&amp;"/"&amp;RIGHT("00"&amp;$D236,2)))</f>
        <v/>
      </c>
      <c r="F236">
        <f>IF($A236="","",IF(Issues!$D239="",0,Issues!$D239))</f>
        <v/>
      </c>
      <c r="G236">
        <f>IF($A236="","",Issues!$E239)</f>
        <v/>
      </c>
      <c r="H236">
        <f>IF($A236="","",IF(COUNTIFS(ETxnType,"پاس چک",ETxnChk,$A236)&gt;0,"پاس شده","پاس نشده"))</f>
        <v/>
      </c>
      <c r="I236">
        <f>IF($A236="","",IFERROR(INDEX(BClrDate,MATCH($A236,BClrChk,0)),""))</f>
        <v/>
      </c>
      <c r="J236">
        <f>IF($A236="","",Issues!$G239)</f>
        <v/>
      </c>
      <c r="K236">
        <f>IF(OR($E236="",$E236="نامعتبر"),"",LEFT($E236,4)&amp;MID($E236,6,2)&amp;RIGHT($E236,2)&amp;"|"&amp;RIGHT("00000"&amp;231,5))</f>
        <v/>
      </c>
      <c r="M236">
        <f>IF(Sync!$M236&lt;&gt;"پاس چک","",IF(Sync!$P236="","",Sync!$P236))</f>
        <v/>
      </c>
      <c r="N236">
        <f>IF($M236="","",IF(ISNUMBER(Sync!$L236),IF(AND(Sync!$L236&gt;=10000101,Sync!$L236&lt;=99991231),RIGHT("0000"&amp;INT(Sync!$L236/10000),4)&amp;"/"&amp;RIGHT("00"&amp;INT(MOD(Sync!$L236,10000)/100),2)&amp;"/"&amp;RIGHT("00"&amp;MOD(Sync!$L236,100),2),""),IFERROR(RIGHT("0000"&amp;VALUE(TRIM(LEFT(Sync!$L236,FIND("/",Sync!$L236)-1))),4)&amp;"/"&amp;RIGHT("00"&amp;VALUE(TRIM(LEFT(MID(Sync!$L236,FIND("/",Sync!$L236)+1,20),FIND("/",MID(Sync!$L236,FIND("/",Sync!$L236)+1,20))-1))),2)&amp;"/"&amp;RIGHT("00"&amp;VALUE(TRIM(MID(MID(Sync!$L236,FIND("/",Sync!$L236)+1,20),FIND("/",MID(Sync!$L236,FIND("/",Sync!$L236)+1,20))+1,20))),2),"")))</f>
        <v/>
      </c>
    </row>
    <row r="237">
      <c r="A237">
        <f>IF(Issues!$B240="","",Issues!$B240)</f>
        <v/>
      </c>
      <c r="B237">
        <f>IF($A237="","",IF(ISNUMBER(Issues!$C240),IF(AND(Issues!$C240&gt;=10000101,Issues!$C240&lt;=99991231),INT(Issues!$C240/10000),""),IFERROR(VALUE(TRIM(LEFT(Issues!$C240,FIND("/",Issues!$C240)-1))),"")))</f>
        <v/>
      </c>
      <c r="C237">
        <f>IF(OR($A237="",$B237=""),"",IF(ISNUMBER(Issues!$C240),INT(MOD(Issues!$C240,10000)/100),IFERROR(VALUE(TRIM(LEFT(MID(Issues!$C240,FIND("/",Issues!$C240)+1,20),FIND("/",MID(Issues!$C240,FIND("/",Issues!$C240)+1,20))-1))),"")))</f>
        <v/>
      </c>
      <c r="D237">
        <f>IF(OR($A237="",$B237=""),"",IF(ISNUMBER(Issues!$C240),MOD(Issues!$C240,100),IFERROR(VALUE(TRIM(MID(MID(Issues!$C240,FIND("/",Issues!$C240)+1,20),FIND("/",MID(Issues!$C240,FIND("/",Issues!$C240)+1,20))+1,20))),"")))</f>
        <v/>
      </c>
      <c r="E237">
        <f>IF($A237="","",IF(OR($B237="",$C237="",$D237="",$B237&lt;1300,$B237&gt;1500,$C237&lt;1,$C237&gt;12,$D237&lt;1,$D237&gt;31),"نامعتبر",RIGHT("0000"&amp;$B237,4)&amp;"/"&amp;RIGHT("00"&amp;$C237,2)&amp;"/"&amp;RIGHT("00"&amp;$D237,2)))</f>
        <v/>
      </c>
      <c r="F237">
        <f>IF($A237="","",IF(Issues!$D240="",0,Issues!$D240))</f>
        <v/>
      </c>
      <c r="G237">
        <f>IF($A237="","",Issues!$E240)</f>
        <v/>
      </c>
      <c r="H237">
        <f>IF($A237="","",IF(COUNTIFS(ETxnType,"پاس چک",ETxnChk,$A237)&gt;0,"پاس شده","پاس نشده"))</f>
        <v/>
      </c>
      <c r="I237">
        <f>IF($A237="","",IFERROR(INDEX(BClrDate,MATCH($A237,BClrChk,0)),""))</f>
        <v/>
      </c>
      <c r="J237">
        <f>IF($A237="","",Issues!$G240)</f>
        <v/>
      </c>
      <c r="K237">
        <f>IF(OR($E237="",$E237="نامعتبر"),"",LEFT($E237,4)&amp;MID($E237,6,2)&amp;RIGHT($E237,2)&amp;"|"&amp;RIGHT("00000"&amp;232,5))</f>
        <v/>
      </c>
      <c r="M237">
        <f>IF(Sync!$M237&lt;&gt;"پاس چک","",IF(Sync!$P237="","",Sync!$P237))</f>
        <v/>
      </c>
      <c r="N237">
        <f>IF($M237="","",IF(ISNUMBER(Sync!$L237),IF(AND(Sync!$L237&gt;=10000101,Sync!$L237&lt;=99991231),RIGHT("0000"&amp;INT(Sync!$L237/10000),4)&amp;"/"&amp;RIGHT("00"&amp;INT(MOD(Sync!$L237,10000)/100),2)&amp;"/"&amp;RIGHT("00"&amp;MOD(Sync!$L237,100),2),""),IFERROR(RIGHT("0000"&amp;VALUE(TRIM(LEFT(Sync!$L237,FIND("/",Sync!$L237)-1))),4)&amp;"/"&amp;RIGHT("00"&amp;VALUE(TRIM(LEFT(MID(Sync!$L237,FIND("/",Sync!$L237)+1,20),FIND("/",MID(Sync!$L237,FIND("/",Sync!$L237)+1,20))-1))),2)&amp;"/"&amp;RIGHT("00"&amp;VALUE(TRIM(MID(MID(Sync!$L237,FIND("/",Sync!$L237)+1,20),FIND("/",MID(Sync!$L237,FIND("/",Sync!$L237)+1,20))+1,20))),2),"")))</f>
        <v/>
      </c>
    </row>
    <row r="238">
      <c r="A238">
        <f>IF(Issues!$B241="","",Issues!$B241)</f>
        <v/>
      </c>
      <c r="B238">
        <f>IF($A238="","",IF(ISNUMBER(Issues!$C241),IF(AND(Issues!$C241&gt;=10000101,Issues!$C241&lt;=99991231),INT(Issues!$C241/10000),""),IFERROR(VALUE(TRIM(LEFT(Issues!$C241,FIND("/",Issues!$C241)-1))),"")))</f>
        <v/>
      </c>
      <c r="C238">
        <f>IF(OR($A238="",$B238=""),"",IF(ISNUMBER(Issues!$C241),INT(MOD(Issues!$C241,10000)/100),IFERROR(VALUE(TRIM(LEFT(MID(Issues!$C241,FIND("/",Issues!$C241)+1,20),FIND("/",MID(Issues!$C241,FIND("/",Issues!$C241)+1,20))-1))),"")))</f>
        <v/>
      </c>
      <c r="D238">
        <f>IF(OR($A238="",$B238=""),"",IF(ISNUMBER(Issues!$C241),MOD(Issues!$C241,100),IFERROR(VALUE(TRIM(MID(MID(Issues!$C241,FIND("/",Issues!$C241)+1,20),FIND("/",MID(Issues!$C241,FIND("/",Issues!$C241)+1,20))+1,20))),"")))</f>
        <v/>
      </c>
      <c r="E238">
        <f>IF($A238="","",IF(OR($B238="",$C238="",$D238="",$B238&lt;1300,$B238&gt;1500,$C238&lt;1,$C238&gt;12,$D238&lt;1,$D238&gt;31),"نامعتبر",RIGHT("0000"&amp;$B238,4)&amp;"/"&amp;RIGHT("00"&amp;$C238,2)&amp;"/"&amp;RIGHT("00"&amp;$D238,2)))</f>
        <v/>
      </c>
      <c r="F238">
        <f>IF($A238="","",IF(Issues!$D241="",0,Issues!$D241))</f>
        <v/>
      </c>
      <c r="G238">
        <f>IF($A238="","",Issues!$E241)</f>
        <v/>
      </c>
      <c r="H238">
        <f>IF($A238="","",IF(COUNTIFS(ETxnType,"پاس چک",ETxnChk,$A238)&gt;0,"پاس شده","پاس نشده"))</f>
        <v/>
      </c>
      <c r="I238">
        <f>IF($A238="","",IFERROR(INDEX(BClrDate,MATCH($A238,BClrChk,0)),""))</f>
        <v/>
      </c>
      <c r="J238">
        <f>IF($A238="","",Issues!$G241)</f>
        <v/>
      </c>
      <c r="K238">
        <f>IF(OR($E238="",$E238="نامعتبر"),"",LEFT($E238,4)&amp;MID($E238,6,2)&amp;RIGHT($E238,2)&amp;"|"&amp;RIGHT("00000"&amp;233,5))</f>
        <v/>
      </c>
      <c r="M238">
        <f>IF(Sync!$M238&lt;&gt;"پاس چک","",IF(Sync!$P238="","",Sync!$P238))</f>
        <v/>
      </c>
      <c r="N238">
        <f>IF($M238="","",IF(ISNUMBER(Sync!$L238),IF(AND(Sync!$L238&gt;=10000101,Sync!$L238&lt;=99991231),RIGHT("0000"&amp;INT(Sync!$L238/10000),4)&amp;"/"&amp;RIGHT("00"&amp;INT(MOD(Sync!$L238,10000)/100),2)&amp;"/"&amp;RIGHT("00"&amp;MOD(Sync!$L238,100),2),""),IFERROR(RIGHT("0000"&amp;VALUE(TRIM(LEFT(Sync!$L238,FIND("/",Sync!$L238)-1))),4)&amp;"/"&amp;RIGHT("00"&amp;VALUE(TRIM(LEFT(MID(Sync!$L238,FIND("/",Sync!$L238)+1,20),FIND("/",MID(Sync!$L238,FIND("/",Sync!$L238)+1,20))-1))),2)&amp;"/"&amp;RIGHT("00"&amp;VALUE(TRIM(MID(MID(Sync!$L238,FIND("/",Sync!$L238)+1,20),FIND("/",MID(Sync!$L238,FIND("/",Sync!$L238)+1,20))+1,20))),2),"")))</f>
        <v/>
      </c>
    </row>
    <row r="239">
      <c r="A239">
        <f>IF(Issues!$B242="","",Issues!$B242)</f>
        <v/>
      </c>
      <c r="B239">
        <f>IF($A239="","",IF(ISNUMBER(Issues!$C242),IF(AND(Issues!$C242&gt;=10000101,Issues!$C242&lt;=99991231),INT(Issues!$C242/10000),""),IFERROR(VALUE(TRIM(LEFT(Issues!$C242,FIND("/",Issues!$C242)-1))),"")))</f>
        <v/>
      </c>
      <c r="C239">
        <f>IF(OR($A239="",$B239=""),"",IF(ISNUMBER(Issues!$C242),INT(MOD(Issues!$C242,10000)/100),IFERROR(VALUE(TRIM(LEFT(MID(Issues!$C242,FIND("/",Issues!$C242)+1,20),FIND("/",MID(Issues!$C242,FIND("/",Issues!$C242)+1,20))-1))),"")))</f>
        <v/>
      </c>
      <c r="D239">
        <f>IF(OR($A239="",$B239=""),"",IF(ISNUMBER(Issues!$C242),MOD(Issues!$C242,100),IFERROR(VALUE(TRIM(MID(MID(Issues!$C242,FIND("/",Issues!$C242)+1,20),FIND("/",MID(Issues!$C242,FIND("/",Issues!$C242)+1,20))+1,20))),"")))</f>
        <v/>
      </c>
      <c r="E239">
        <f>IF($A239="","",IF(OR($B239="",$C239="",$D239="",$B239&lt;1300,$B239&gt;1500,$C239&lt;1,$C239&gt;12,$D239&lt;1,$D239&gt;31),"نامعتبر",RIGHT("0000"&amp;$B239,4)&amp;"/"&amp;RIGHT("00"&amp;$C239,2)&amp;"/"&amp;RIGHT("00"&amp;$D239,2)))</f>
        <v/>
      </c>
      <c r="F239">
        <f>IF($A239="","",IF(Issues!$D242="",0,Issues!$D242))</f>
        <v/>
      </c>
      <c r="G239">
        <f>IF($A239="","",Issues!$E242)</f>
        <v/>
      </c>
      <c r="H239">
        <f>IF($A239="","",IF(COUNTIFS(ETxnType,"پاس چک",ETxnChk,$A239)&gt;0,"پاس شده","پاس نشده"))</f>
        <v/>
      </c>
      <c r="I239">
        <f>IF($A239="","",IFERROR(INDEX(BClrDate,MATCH($A239,BClrChk,0)),""))</f>
        <v/>
      </c>
      <c r="J239">
        <f>IF($A239="","",Issues!$G242)</f>
        <v/>
      </c>
      <c r="K239">
        <f>IF(OR($E239="",$E239="نامعتبر"),"",LEFT($E239,4)&amp;MID($E239,6,2)&amp;RIGHT($E239,2)&amp;"|"&amp;RIGHT("00000"&amp;234,5))</f>
        <v/>
      </c>
      <c r="M239">
        <f>IF(Sync!$M239&lt;&gt;"پاس چک","",IF(Sync!$P239="","",Sync!$P239))</f>
        <v/>
      </c>
      <c r="N239">
        <f>IF($M239="","",IF(ISNUMBER(Sync!$L239),IF(AND(Sync!$L239&gt;=10000101,Sync!$L239&lt;=99991231),RIGHT("0000"&amp;INT(Sync!$L239/10000),4)&amp;"/"&amp;RIGHT("00"&amp;INT(MOD(Sync!$L239,10000)/100),2)&amp;"/"&amp;RIGHT("00"&amp;MOD(Sync!$L239,100),2),""),IFERROR(RIGHT("0000"&amp;VALUE(TRIM(LEFT(Sync!$L239,FIND("/",Sync!$L239)-1))),4)&amp;"/"&amp;RIGHT("00"&amp;VALUE(TRIM(LEFT(MID(Sync!$L239,FIND("/",Sync!$L239)+1,20),FIND("/",MID(Sync!$L239,FIND("/",Sync!$L239)+1,20))-1))),2)&amp;"/"&amp;RIGHT("00"&amp;VALUE(TRIM(MID(MID(Sync!$L239,FIND("/",Sync!$L239)+1,20),FIND("/",MID(Sync!$L239,FIND("/",Sync!$L239)+1,20))+1,20))),2),"")))</f>
        <v/>
      </c>
    </row>
    <row r="240">
      <c r="A240">
        <f>IF(Issues!$B243="","",Issues!$B243)</f>
        <v/>
      </c>
      <c r="B240">
        <f>IF($A240="","",IF(ISNUMBER(Issues!$C243),IF(AND(Issues!$C243&gt;=10000101,Issues!$C243&lt;=99991231),INT(Issues!$C243/10000),""),IFERROR(VALUE(TRIM(LEFT(Issues!$C243,FIND("/",Issues!$C243)-1))),"")))</f>
        <v/>
      </c>
      <c r="C240">
        <f>IF(OR($A240="",$B240=""),"",IF(ISNUMBER(Issues!$C243),INT(MOD(Issues!$C243,10000)/100),IFERROR(VALUE(TRIM(LEFT(MID(Issues!$C243,FIND("/",Issues!$C243)+1,20),FIND("/",MID(Issues!$C243,FIND("/",Issues!$C243)+1,20))-1))),"")))</f>
        <v/>
      </c>
      <c r="D240">
        <f>IF(OR($A240="",$B240=""),"",IF(ISNUMBER(Issues!$C243),MOD(Issues!$C243,100),IFERROR(VALUE(TRIM(MID(MID(Issues!$C243,FIND("/",Issues!$C243)+1,20),FIND("/",MID(Issues!$C243,FIND("/",Issues!$C243)+1,20))+1,20))),"")))</f>
        <v/>
      </c>
      <c r="E240">
        <f>IF($A240="","",IF(OR($B240="",$C240="",$D240="",$B240&lt;1300,$B240&gt;1500,$C240&lt;1,$C240&gt;12,$D240&lt;1,$D240&gt;31),"نامعتبر",RIGHT("0000"&amp;$B240,4)&amp;"/"&amp;RIGHT("00"&amp;$C240,2)&amp;"/"&amp;RIGHT("00"&amp;$D240,2)))</f>
        <v/>
      </c>
      <c r="F240">
        <f>IF($A240="","",IF(Issues!$D243="",0,Issues!$D243))</f>
        <v/>
      </c>
      <c r="G240">
        <f>IF($A240="","",Issues!$E243)</f>
        <v/>
      </c>
      <c r="H240">
        <f>IF($A240="","",IF(COUNTIFS(ETxnType,"پاس چک",ETxnChk,$A240)&gt;0,"پاس شده","پاس نشده"))</f>
        <v/>
      </c>
      <c r="I240">
        <f>IF($A240="","",IFERROR(INDEX(BClrDate,MATCH($A240,BClrChk,0)),""))</f>
        <v/>
      </c>
      <c r="J240">
        <f>IF($A240="","",Issues!$G243)</f>
        <v/>
      </c>
      <c r="K240">
        <f>IF(OR($E240="",$E240="نامعتبر"),"",LEFT($E240,4)&amp;MID($E240,6,2)&amp;RIGHT($E240,2)&amp;"|"&amp;RIGHT("00000"&amp;235,5))</f>
        <v/>
      </c>
      <c r="M240">
        <f>IF(Sync!$M240&lt;&gt;"پاس چک","",IF(Sync!$P240="","",Sync!$P240))</f>
        <v/>
      </c>
      <c r="N240">
        <f>IF($M240="","",IF(ISNUMBER(Sync!$L240),IF(AND(Sync!$L240&gt;=10000101,Sync!$L240&lt;=99991231),RIGHT("0000"&amp;INT(Sync!$L240/10000),4)&amp;"/"&amp;RIGHT("00"&amp;INT(MOD(Sync!$L240,10000)/100),2)&amp;"/"&amp;RIGHT("00"&amp;MOD(Sync!$L240,100),2),""),IFERROR(RIGHT("0000"&amp;VALUE(TRIM(LEFT(Sync!$L240,FIND("/",Sync!$L240)-1))),4)&amp;"/"&amp;RIGHT("00"&amp;VALUE(TRIM(LEFT(MID(Sync!$L240,FIND("/",Sync!$L240)+1,20),FIND("/",MID(Sync!$L240,FIND("/",Sync!$L240)+1,20))-1))),2)&amp;"/"&amp;RIGHT("00"&amp;VALUE(TRIM(MID(MID(Sync!$L240,FIND("/",Sync!$L240)+1,20),FIND("/",MID(Sync!$L240,FIND("/",Sync!$L240)+1,20))+1,20))),2),"")))</f>
        <v/>
      </c>
    </row>
    <row r="241">
      <c r="A241">
        <f>IF(Issues!$B244="","",Issues!$B244)</f>
        <v/>
      </c>
      <c r="B241">
        <f>IF($A241="","",IF(ISNUMBER(Issues!$C244),IF(AND(Issues!$C244&gt;=10000101,Issues!$C244&lt;=99991231),INT(Issues!$C244/10000),""),IFERROR(VALUE(TRIM(LEFT(Issues!$C244,FIND("/",Issues!$C244)-1))),"")))</f>
        <v/>
      </c>
      <c r="C241">
        <f>IF(OR($A241="",$B241=""),"",IF(ISNUMBER(Issues!$C244),INT(MOD(Issues!$C244,10000)/100),IFERROR(VALUE(TRIM(LEFT(MID(Issues!$C244,FIND("/",Issues!$C244)+1,20),FIND("/",MID(Issues!$C244,FIND("/",Issues!$C244)+1,20))-1))),"")))</f>
        <v/>
      </c>
      <c r="D241">
        <f>IF(OR($A241="",$B241=""),"",IF(ISNUMBER(Issues!$C244),MOD(Issues!$C244,100),IFERROR(VALUE(TRIM(MID(MID(Issues!$C244,FIND("/",Issues!$C244)+1,20),FIND("/",MID(Issues!$C244,FIND("/",Issues!$C244)+1,20))+1,20))),"")))</f>
        <v/>
      </c>
      <c r="E241">
        <f>IF($A241="","",IF(OR($B241="",$C241="",$D241="",$B241&lt;1300,$B241&gt;1500,$C241&lt;1,$C241&gt;12,$D241&lt;1,$D241&gt;31),"نامعتبر",RIGHT("0000"&amp;$B241,4)&amp;"/"&amp;RIGHT("00"&amp;$C241,2)&amp;"/"&amp;RIGHT("00"&amp;$D241,2)))</f>
        <v/>
      </c>
      <c r="F241">
        <f>IF($A241="","",IF(Issues!$D244="",0,Issues!$D244))</f>
        <v/>
      </c>
      <c r="G241">
        <f>IF($A241="","",Issues!$E244)</f>
        <v/>
      </c>
      <c r="H241">
        <f>IF($A241="","",IF(COUNTIFS(ETxnType,"پاس چک",ETxnChk,$A241)&gt;0,"پاس شده","پاس نشده"))</f>
        <v/>
      </c>
      <c r="I241">
        <f>IF($A241="","",IFERROR(INDEX(BClrDate,MATCH($A241,BClrChk,0)),""))</f>
        <v/>
      </c>
      <c r="J241">
        <f>IF($A241="","",Issues!$G244)</f>
        <v/>
      </c>
      <c r="K241">
        <f>IF(OR($E241="",$E241="نامعتبر"),"",LEFT($E241,4)&amp;MID($E241,6,2)&amp;RIGHT($E241,2)&amp;"|"&amp;RIGHT("00000"&amp;236,5))</f>
        <v/>
      </c>
      <c r="M241">
        <f>IF(Sync!$M241&lt;&gt;"پاس چک","",IF(Sync!$P241="","",Sync!$P241))</f>
        <v/>
      </c>
      <c r="N241">
        <f>IF($M241="","",IF(ISNUMBER(Sync!$L241),IF(AND(Sync!$L241&gt;=10000101,Sync!$L241&lt;=99991231),RIGHT("0000"&amp;INT(Sync!$L241/10000),4)&amp;"/"&amp;RIGHT("00"&amp;INT(MOD(Sync!$L241,10000)/100),2)&amp;"/"&amp;RIGHT("00"&amp;MOD(Sync!$L241,100),2),""),IFERROR(RIGHT("0000"&amp;VALUE(TRIM(LEFT(Sync!$L241,FIND("/",Sync!$L241)-1))),4)&amp;"/"&amp;RIGHT("00"&amp;VALUE(TRIM(LEFT(MID(Sync!$L241,FIND("/",Sync!$L241)+1,20),FIND("/",MID(Sync!$L241,FIND("/",Sync!$L241)+1,20))-1))),2)&amp;"/"&amp;RIGHT("00"&amp;VALUE(TRIM(MID(MID(Sync!$L241,FIND("/",Sync!$L241)+1,20),FIND("/",MID(Sync!$L241,FIND("/",Sync!$L241)+1,20))+1,20))),2),"")))</f>
        <v/>
      </c>
    </row>
    <row r="242">
      <c r="A242">
        <f>IF(Issues!$B245="","",Issues!$B245)</f>
        <v/>
      </c>
      <c r="B242">
        <f>IF($A242="","",IF(ISNUMBER(Issues!$C245),IF(AND(Issues!$C245&gt;=10000101,Issues!$C245&lt;=99991231),INT(Issues!$C245/10000),""),IFERROR(VALUE(TRIM(LEFT(Issues!$C245,FIND("/",Issues!$C245)-1))),"")))</f>
        <v/>
      </c>
      <c r="C242">
        <f>IF(OR($A242="",$B242=""),"",IF(ISNUMBER(Issues!$C245),INT(MOD(Issues!$C245,10000)/100),IFERROR(VALUE(TRIM(LEFT(MID(Issues!$C245,FIND("/",Issues!$C245)+1,20),FIND("/",MID(Issues!$C245,FIND("/",Issues!$C245)+1,20))-1))),"")))</f>
        <v/>
      </c>
      <c r="D242">
        <f>IF(OR($A242="",$B242=""),"",IF(ISNUMBER(Issues!$C245),MOD(Issues!$C245,100),IFERROR(VALUE(TRIM(MID(MID(Issues!$C245,FIND("/",Issues!$C245)+1,20),FIND("/",MID(Issues!$C245,FIND("/",Issues!$C245)+1,20))+1,20))),"")))</f>
        <v/>
      </c>
      <c r="E242">
        <f>IF($A242="","",IF(OR($B242="",$C242="",$D242="",$B242&lt;1300,$B242&gt;1500,$C242&lt;1,$C242&gt;12,$D242&lt;1,$D242&gt;31),"نامعتبر",RIGHT("0000"&amp;$B242,4)&amp;"/"&amp;RIGHT("00"&amp;$C242,2)&amp;"/"&amp;RIGHT("00"&amp;$D242,2)))</f>
        <v/>
      </c>
      <c r="F242">
        <f>IF($A242="","",IF(Issues!$D245="",0,Issues!$D245))</f>
        <v/>
      </c>
      <c r="G242">
        <f>IF($A242="","",Issues!$E245)</f>
        <v/>
      </c>
      <c r="H242">
        <f>IF($A242="","",IF(COUNTIFS(ETxnType,"پاس چک",ETxnChk,$A242)&gt;0,"پاس شده","پاس نشده"))</f>
        <v/>
      </c>
      <c r="I242">
        <f>IF($A242="","",IFERROR(INDEX(BClrDate,MATCH($A242,BClrChk,0)),""))</f>
        <v/>
      </c>
      <c r="J242">
        <f>IF($A242="","",Issues!$G245)</f>
        <v/>
      </c>
      <c r="K242">
        <f>IF(OR($E242="",$E242="نامعتبر"),"",LEFT($E242,4)&amp;MID($E242,6,2)&amp;RIGHT($E242,2)&amp;"|"&amp;RIGHT("00000"&amp;237,5))</f>
        <v/>
      </c>
      <c r="M242">
        <f>IF(Sync!$M242&lt;&gt;"پاس چک","",IF(Sync!$P242="","",Sync!$P242))</f>
        <v/>
      </c>
      <c r="N242">
        <f>IF($M242="","",IF(ISNUMBER(Sync!$L242),IF(AND(Sync!$L242&gt;=10000101,Sync!$L242&lt;=99991231),RIGHT("0000"&amp;INT(Sync!$L242/10000),4)&amp;"/"&amp;RIGHT("00"&amp;INT(MOD(Sync!$L242,10000)/100),2)&amp;"/"&amp;RIGHT("00"&amp;MOD(Sync!$L242,100),2),""),IFERROR(RIGHT("0000"&amp;VALUE(TRIM(LEFT(Sync!$L242,FIND("/",Sync!$L242)-1))),4)&amp;"/"&amp;RIGHT("00"&amp;VALUE(TRIM(LEFT(MID(Sync!$L242,FIND("/",Sync!$L242)+1,20),FIND("/",MID(Sync!$L242,FIND("/",Sync!$L242)+1,20))-1))),2)&amp;"/"&amp;RIGHT("00"&amp;VALUE(TRIM(MID(MID(Sync!$L242,FIND("/",Sync!$L242)+1,20),FIND("/",MID(Sync!$L242,FIND("/",Sync!$L242)+1,20))+1,20))),2),"")))</f>
        <v/>
      </c>
    </row>
    <row r="243">
      <c r="A243">
        <f>IF(Issues!$B246="","",Issues!$B246)</f>
        <v/>
      </c>
      <c r="B243">
        <f>IF($A243="","",IF(ISNUMBER(Issues!$C246),IF(AND(Issues!$C246&gt;=10000101,Issues!$C246&lt;=99991231),INT(Issues!$C246/10000),""),IFERROR(VALUE(TRIM(LEFT(Issues!$C246,FIND("/",Issues!$C246)-1))),"")))</f>
        <v/>
      </c>
      <c r="C243">
        <f>IF(OR($A243="",$B243=""),"",IF(ISNUMBER(Issues!$C246),INT(MOD(Issues!$C246,10000)/100),IFERROR(VALUE(TRIM(LEFT(MID(Issues!$C246,FIND("/",Issues!$C246)+1,20),FIND("/",MID(Issues!$C246,FIND("/",Issues!$C246)+1,20))-1))),"")))</f>
        <v/>
      </c>
      <c r="D243">
        <f>IF(OR($A243="",$B243=""),"",IF(ISNUMBER(Issues!$C246),MOD(Issues!$C246,100),IFERROR(VALUE(TRIM(MID(MID(Issues!$C246,FIND("/",Issues!$C246)+1,20),FIND("/",MID(Issues!$C246,FIND("/",Issues!$C246)+1,20))+1,20))),"")))</f>
        <v/>
      </c>
      <c r="E243">
        <f>IF($A243="","",IF(OR($B243="",$C243="",$D243="",$B243&lt;1300,$B243&gt;1500,$C243&lt;1,$C243&gt;12,$D243&lt;1,$D243&gt;31),"نامعتبر",RIGHT("0000"&amp;$B243,4)&amp;"/"&amp;RIGHT("00"&amp;$C243,2)&amp;"/"&amp;RIGHT("00"&amp;$D243,2)))</f>
        <v/>
      </c>
      <c r="F243">
        <f>IF($A243="","",IF(Issues!$D246="",0,Issues!$D246))</f>
        <v/>
      </c>
      <c r="G243">
        <f>IF($A243="","",Issues!$E246)</f>
        <v/>
      </c>
      <c r="H243">
        <f>IF($A243="","",IF(COUNTIFS(ETxnType,"پاس چک",ETxnChk,$A243)&gt;0,"پاس شده","پاس نشده"))</f>
        <v/>
      </c>
      <c r="I243">
        <f>IF($A243="","",IFERROR(INDEX(BClrDate,MATCH($A243,BClrChk,0)),""))</f>
        <v/>
      </c>
      <c r="J243">
        <f>IF($A243="","",Issues!$G246)</f>
        <v/>
      </c>
      <c r="K243">
        <f>IF(OR($E243="",$E243="نامعتبر"),"",LEFT($E243,4)&amp;MID($E243,6,2)&amp;RIGHT($E243,2)&amp;"|"&amp;RIGHT("00000"&amp;238,5))</f>
        <v/>
      </c>
      <c r="M243">
        <f>IF(Sync!$M243&lt;&gt;"پاس چک","",IF(Sync!$P243="","",Sync!$P243))</f>
        <v/>
      </c>
      <c r="N243">
        <f>IF($M243="","",IF(ISNUMBER(Sync!$L243),IF(AND(Sync!$L243&gt;=10000101,Sync!$L243&lt;=99991231),RIGHT("0000"&amp;INT(Sync!$L243/10000),4)&amp;"/"&amp;RIGHT("00"&amp;INT(MOD(Sync!$L243,10000)/100),2)&amp;"/"&amp;RIGHT("00"&amp;MOD(Sync!$L243,100),2),""),IFERROR(RIGHT("0000"&amp;VALUE(TRIM(LEFT(Sync!$L243,FIND("/",Sync!$L243)-1))),4)&amp;"/"&amp;RIGHT("00"&amp;VALUE(TRIM(LEFT(MID(Sync!$L243,FIND("/",Sync!$L243)+1,20),FIND("/",MID(Sync!$L243,FIND("/",Sync!$L243)+1,20))-1))),2)&amp;"/"&amp;RIGHT("00"&amp;VALUE(TRIM(MID(MID(Sync!$L243,FIND("/",Sync!$L243)+1,20),FIND("/",MID(Sync!$L243,FIND("/",Sync!$L243)+1,20))+1,20))),2),"")))</f>
        <v/>
      </c>
    </row>
    <row r="244">
      <c r="A244">
        <f>IF(Issues!$B247="","",Issues!$B247)</f>
        <v/>
      </c>
      <c r="B244">
        <f>IF($A244="","",IF(ISNUMBER(Issues!$C247),IF(AND(Issues!$C247&gt;=10000101,Issues!$C247&lt;=99991231),INT(Issues!$C247/10000),""),IFERROR(VALUE(TRIM(LEFT(Issues!$C247,FIND("/",Issues!$C247)-1))),"")))</f>
        <v/>
      </c>
      <c r="C244">
        <f>IF(OR($A244="",$B244=""),"",IF(ISNUMBER(Issues!$C247),INT(MOD(Issues!$C247,10000)/100),IFERROR(VALUE(TRIM(LEFT(MID(Issues!$C247,FIND("/",Issues!$C247)+1,20),FIND("/",MID(Issues!$C247,FIND("/",Issues!$C247)+1,20))-1))),"")))</f>
        <v/>
      </c>
      <c r="D244">
        <f>IF(OR($A244="",$B244=""),"",IF(ISNUMBER(Issues!$C247),MOD(Issues!$C247,100),IFERROR(VALUE(TRIM(MID(MID(Issues!$C247,FIND("/",Issues!$C247)+1,20),FIND("/",MID(Issues!$C247,FIND("/",Issues!$C247)+1,20))+1,20))),"")))</f>
        <v/>
      </c>
      <c r="E244">
        <f>IF($A244="","",IF(OR($B244="",$C244="",$D244="",$B244&lt;1300,$B244&gt;1500,$C244&lt;1,$C244&gt;12,$D244&lt;1,$D244&gt;31),"نامعتبر",RIGHT("0000"&amp;$B244,4)&amp;"/"&amp;RIGHT("00"&amp;$C244,2)&amp;"/"&amp;RIGHT("00"&amp;$D244,2)))</f>
        <v/>
      </c>
      <c r="F244">
        <f>IF($A244="","",IF(Issues!$D247="",0,Issues!$D247))</f>
        <v/>
      </c>
      <c r="G244">
        <f>IF($A244="","",Issues!$E247)</f>
        <v/>
      </c>
      <c r="H244">
        <f>IF($A244="","",IF(COUNTIFS(ETxnType,"پاس چک",ETxnChk,$A244)&gt;0,"پاس شده","پاس نشده"))</f>
        <v/>
      </c>
      <c r="I244">
        <f>IF($A244="","",IFERROR(INDEX(BClrDate,MATCH($A244,BClrChk,0)),""))</f>
        <v/>
      </c>
      <c r="J244">
        <f>IF($A244="","",Issues!$G247)</f>
        <v/>
      </c>
      <c r="K244">
        <f>IF(OR($E244="",$E244="نامعتبر"),"",LEFT($E244,4)&amp;MID($E244,6,2)&amp;RIGHT($E244,2)&amp;"|"&amp;RIGHT("00000"&amp;239,5))</f>
        <v/>
      </c>
      <c r="M244">
        <f>IF(Sync!$M244&lt;&gt;"پاس چک","",IF(Sync!$P244="","",Sync!$P244))</f>
        <v/>
      </c>
      <c r="N244">
        <f>IF($M244="","",IF(ISNUMBER(Sync!$L244),IF(AND(Sync!$L244&gt;=10000101,Sync!$L244&lt;=99991231),RIGHT("0000"&amp;INT(Sync!$L244/10000),4)&amp;"/"&amp;RIGHT("00"&amp;INT(MOD(Sync!$L244,10000)/100),2)&amp;"/"&amp;RIGHT("00"&amp;MOD(Sync!$L244,100),2),""),IFERROR(RIGHT("0000"&amp;VALUE(TRIM(LEFT(Sync!$L244,FIND("/",Sync!$L244)-1))),4)&amp;"/"&amp;RIGHT("00"&amp;VALUE(TRIM(LEFT(MID(Sync!$L244,FIND("/",Sync!$L244)+1,20),FIND("/",MID(Sync!$L244,FIND("/",Sync!$L244)+1,20))-1))),2)&amp;"/"&amp;RIGHT("00"&amp;VALUE(TRIM(MID(MID(Sync!$L244,FIND("/",Sync!$L244)+1,20),FIND("/",MID(Sync!$L244,FIND("/",Sync!$L244)+1,20))+1,20))),2),"")))</f>
        <v/>
      </c>
    </row>
    <row r="245">
      <c r="A245">
        <f>IF(Issues!$B248="","",Issues!$B248)</f>
        <v/>
      </c>
      <c r="B245">
        <f>IF($A245="","",IF(ISNUMBER(Issues!$C248),IF(AND(Issues!$C248&gt;=10000101,Issues!$C248&lt;=99991231),INT(Issues!$C248/10000),""),IFERROR(VALUE(TRIM(LEFT(Issues!$C248,FIND("/",Issues!$C248)-1))),"")))</f>
        <v/>
      </c>
      <c r="C245">
        <f>IF(OR($A245="",$B245=""),"",IF(ISNUMBER(Issues!$C248),INT(MOD(Issues!$C248,10000)/100),IFERROR(VALUE(TRIM(LEFT(MID(Issues!$C248,FIND("/",Issues!$C248)+1,20),FIND("/",MID(Issues!$C248,FIND("/",Issues!$C248)+1,20))-1))),"")))</f>
        <v/>
      </c>
      <c r="D245">
        <f>IF(OR($A245="",$B245=""),"",IF(ISNUMBER(Issues!$C248),MOD(Issues!$C248,100),IFERROR(VALUE(TRIM(MID(MID(Issues!$C248,FIND("/",Issues!$C248)+1,20),FIND("/",MID(Issues!$C248,FIND("/",Issues!$C248)+1,20))+1,20))),"")))</f>
        <v/>
      </c>
      <c r="E245">
        <f>IF($A245="","",IF(OR($B245="",$C245="",$D245="",$B245&lt;1300,$B245&gt;1500,$C245&lt;1,$C245&gt;12,$D245&lt;1,$D245&gt;31),"نامعتبر",RIGHT("0000"&amp;$B245,4)&amp;"/"&amp;RIGHT("00"&amp;$C245,2)&amp;"/"&amp;RIGHT("00"&amp;$D245,2)))</f>
        <v/>
      </c>
      <c r="F245">
        <f>IF($A245="","",IF(Issues!$D248="",0,Issues!$D248))</f>
        <v/>
      </c>
      <c r="G245">
        <f>IF($A245="","",Issues!$E248)</f>
        <v/>
      </c>
      <c r="H245">
        <f>IF($A245="","",IF(COUNTIFS(ETxnType,"پاس چک",ETxnChk,$A245)&gt;0,"پاس شده","پاس نشده"))</f>
        <v/>
      </c>
      <c r="I245">
        <f>IF($A245="","",IFERROR(INDEX(BClrDate,MATCH($A245,BClrChk,0)),""))</f>
        <v/>
      </c>
      <c r="J245">
        <f>IF($A245="","",Issues!$G248)</f>
        <v/>
      </c>
      <c r="K245">
        <f>IF(OR($E245="",$E245="نامعتبر"),"",LEFT($E245,4)&amp;MID($E245,6,2)&amp;RIGHT($E245,2)&amp;"|"&amp;RIGHT("00000"&amp;240,5))</f>
        <v/>
      </c>
      <c r="M245">
        <f>IF(Sync!$M245&lt;&gt;"پاس چک","",IF(Sync!$P245="","",Sync!$P245))</f>
        <v/>
      </c>
      <c r="N245">
        <f>IF($M245="","",IF(ISNUMBER(Sync!$L245),IF(AND(Sync!$L245&gt;=10000101,Sync!$L245&lt;=99991231),RIGHT("0000"&amp;INT(Sync!$L245/10000),4)&amp;"/"&amp;RIGHT("00"&amp;INT(MOD(Sync!$L245,10000)/100),2)&amp;"/"&amp;RIGHT("00"&amp;MOD(Sync!$L245,100),2),""),IFERROR(RIGHT("0000"&amp;VALUE(TRIM(LEFT(Sync!$L245,FIND("/",Sync!$L245)-1))),4)&amp;"/"&amp;RIGHT("00"&amp;VALUE(TRIM(LEFT(MID(Sync!$L245,FIND("/",Sync!$L245)+1,20),FIND("/",MID(Sync!$L245,FIND("/",Sync!$L245)+1,20))-1))),2)&amp;"/"&amp;RIGHT("00"&amp;VALUE(TRIM(MID(MID(Sync!$L245,FIND("/",Sync!$L245)+1,20),FIND("/",MID(Sync!$L245,FIND("/",Sync!$L245)+1,20))+1,20))),2),"")))</f>
        <v/>
      </c>
    </row>
    <row r="246">
      <c r="A246">
        <f>IF(Issues!$B249="","",Issues!$B249)</f>
        <v/>
      </c>
      <c r="B246">
        <f>IF($A246="","",IF(ISNUMBER(Issues!$C249),IF(AND(Issues!$C249&gt;=10000101,Issues!$C249&lt;=99991231),INT(Issues!$C249/10000),""),IFERROR(VALUE(TRIM(LEFT(Issues!$C249,FIND("/",Issues!$C249)-1))),"")))</f>
        <v/>
      </c>
      <c r="C246">
        <f>IF(OR($A246="",$B246=""),"",IF(ISNUMBER(Issues!$C249),INT(MOD(Issues!$C249,10000)/100),IFERROR(VALUE(TRIM(LEFT(MID(Issues!$C249,FIND("/",Issues!$C249)+1,20),FIND("/",MID(Issues!$C249,FIND("/",Issues!$C249)+1,20))-1))),"")))</f>
        <v/>
      </c>
      <c r="D246">
        <f>IF(OR($A246="",$B246=""),"",IF(ISNUMBER(Issues!$C249),MOD(Issues!$C249,100),IFERROR(VALUE(TRIM(MID(MID(Issues!$C249,FIND("/",Issues!$C249)+1,20),FIND("/",MID(Issues!$C249,FIND("/",Issues!$C249)+1,20))+1,20))),"")))</f>
        <v/>
      </c>
      <c r="E246">
        <f>IF($A246="","",IF(OR($B246="",$C246="",$D246="",$B246&lt;1300,$B246&gt;1500,$C246&lt;1,$C246&gt;12,$D246&lt;1,$D246&gt;31),"نامعتبر",RIGHT("0000"&amp;$B246,4)&amp;"/"&amp;RIGHT("00"&amp;$C246,2)&amp;"/"&amp;RIGHT("00"&amp;$D246,2)))</f>
        <v/>
      </c>
      <c r="F246">
        <f>IF($A246="","",IF(Issues!$D249="",0,Issues!$D249))</f>
        <v/>
      </c>
      <c r="G246">
        <f>IF($A246="","",Issues!$E249)</f>
        <v/>
      </c>
      <c r="H246">
        <f>IF($A246="","",IF(COUNTIFS(ETxnType,"پاس چک",ETxnChk,$A246)&gt;0,"پاس شده","پاس نشده"))</f>
        <v/>
      </c>
      <c r="I246">
        <f>IF($A246="","",IFERROR(INDEX(BClrDate,MATCH($A246,BClrChk,0)),""))</f>
        <v/>
      </c>
      <c r="J246">
        <f>IF($A246="","",Issues!$G249)</f>
        <v/>
      </c>
      <c r="K246">
        <f>IF(OR($E246="",$E246="نامعتبر"),"",LEFT($E246,4)&amp;MID($E246,6,2)&amp;RIGHT($E246,2)&amp;"|"&amp;RIGHT("00000"&amp;241,5))</f>
        <v/>
      </c>
      <c r="M246">
        <f>IF(Sync!$M246&lt;&gt;"پاس چک","",IF(Sync!$P246="","",Sync!$P246))</f>
        <v/>
      </c>
      <c r="N246">
        <f>IF($M246="","",IF(ISNUMBER(Sync!$L246),IF(AND(Sync!$L246&gt;=10000101,Sync!$L246&lt;=99991231),RIGHT("0000"&amp;INT(Sync!$L246/10000),4)&amp;"/"&amp;RIGHT("00"&amp;INT(MOD(Sync!$L246,10000)/100),2)&amp;"/"&amp;RIGHT("00"&amp;MOD(Sync!$L246,100),2),""),IFERROR(RIGHT("0000"&amp;VALUE(TRIM(LEFT(Sync!$L246,FIND("/",Sync!$L246)-1))),4)&amp;"/"&amp;RIGHT("00"&amp;VALUE(TRIM(LEFT(MID(Sync!$L246,FIND("/",Sync!$L246)+1,20),FIND("/",MID(Sync!$L246,FIND("/",Sync!$L246)+1,20))-1))),2)&amp;"/"&amp;RIGHT("00"&amp;VALUE(TRIM(MID(MID(Sync!$L246,FIND("/",Sync!$L246)+1,20),FIND("/",MID(Sync!$L246,FIND("/",Sync!$L246)+1,20))+1,20))),2),"")))</f>
        <v/>
      </c>
    </row>
    <row r="247">
      <c r="A247">
        <f>IF(Issues!$B250="","",Issues!$B250)</f>
        <v/>
      </c>
      <c r="B247">
        <f>IF($A247="","",IF(ISNUMBER(Issues!$C250),IF(AND(Issues!$C250&gt;=10000101,Issues!$C250&lt;=99991231),INT(Issues!$C250/10000),""),IFERROR(VALUE(TRIM(LEFT(Issues!$C250,FIND("/",Issues!$C250)-1))),"")))</f>
        <v/>
      </c>
      <c r="C247">
        <f>IF(OR($A247="",$B247=""),"",IF(ISNUMBER(Issues!$C250),INT(MOD(Issues!$C250,10000)/100),IFERROR(VALUE(TRIM(LEFT(MID(Issues!$C250,FIND("/",Issues!$C250)+1,20),FIND("/",MID(Issues!$C250,FIND("/",Issues!$C250)+1,20))-1))),"")))</f>
        <v/>
      </c>
      <c r="D247">
        <f>IF(OR($A247="",$B247=""),"",IF(ISNUMBER(Issues!$C250),MOD(Issues!$C250,100),IFERROR(VALUE(TRIM(MID(MID(Issues!$C250,FIND("/",Issues!$C250)+1,20),FIND("/",MID(Issues!$C250,FIND("/",Issues!$C250)+1,20))+1,20))),"")))</f>
        <v/>
      </c>
      <c r="E247">
        <f>IF($A247="","",IF(OR($B247="",$C247="",$D247="",$B247&lt;1300,$B247&gt;1500,$C247&lt;1,$C247&gt;12,$D247&lt;1,$D247&gt;31),"نامعتبر",RIGHT("0000"&amp;$B247,4)&amp;"/"&amp;RIGHT("00"&amp;$C247,2)&amp;"/"&amp;RIGHT("00"&amp;$D247,2)))</f>
        <v/>
      </c>
      <c r="F247">
        <f>IF($A247="","",IF(Issues!$D250="",0,Issues!$D250))</f>
        <v/>
      </c>
      <c r="G247">
        <f>IF($A247="","",Issues!$E250)</f>
        <v/>
      </c>
      <c r="H247">
        <f>IF($A247="","",IF(COUNTIFS(ETxnType,"پاس چک",ETxnChk,$A247)&gt;0,"پاس شده","پاس نشده"))</f>
        <v/>
      </c>
      <c r="I247">
        <f>IF($A247="","",IFERROR(INDEX(BClrDate,MATCH($A247,BClrChk,0)),""))</f>
        <v/>
      </c>
      <c r="J247">
        <f>IF($A247="","",Issues!$G250)</f>
        <v/>
      </c>
      <c r="K247">
        <f>IF(OR($E247="",$E247="نامعتبر"),"",LEFT($E247,4)&amp;MID($E247,6,2)&amp;RIGHT($E247,2)&amp;"|"&amp;RIGHT("00000"&amp;242,5))</f>
        <v/>
      </c>
      <c r="M247">
        <f>IF(Sync!$M247&lt;&gt;"پاس چک","",IF(Sync!$P247="","",Sync!$P247))</f>
        <v/>
      </c>
      <c r="N247">
        <f>IF($M247="","",IF(ISNUMBER(Sync!$L247),IF(AND(Sync!$L247&gt;=10000101,Sync!$L247&lt;=99991231),RIGHT("0000"&amp;INT(Sync!$L247/10000),4)&amp;"/"&amp;RIGHT("00"&amp;INT(MOD(Sync!$L247,10000)/100),2)&amp;"/"&amp;RIGHT("00"&amp;MOD(Sync!$L247,100),2),""),IFERROR(RIGHT("0000"&amp;VALUE(TRIM(LEFT(Sync!$L247,FIND("/",Sync!$L247)-1))),4)&amp;"/"&amp;RIGHT("00"&amp;VALUE(TRIM(LEFT(MID(Sync!$L247,FIND("/",Sync!$L247)+1,20),FIND("/",MID(Sync!$L247,FIND("/",Sync!$L247)+1,20))-1))),2)&amp;"/"&amp;RIGHT("00"&amp;VALUE(TRIM(MID(MID(Sync!$L247,FIND("/",Sync!$L247)+1,20),FIND("/",MID(Sync!$L247,FIND("/",Sync!$L247)+1,20))+1,20))),2),"")))</f>
        <v/>
      </c>
    </row>
    <row r="248">
      <c r="A248">
        <f>IF(Issues!$B251="","",Issues!$B251)</f>
        <v/>
      </c>
      <c r="B248">
        <f>IF($A248="","",IF(ISNUMBER(Issues!$C251),IF(AND(Issues!$C251&gt;=10000101,Issues!$C251&lt;=99991231),INT(Issues!$C251/10000),""),IFERROR(VALUE(TRIM(LEFT(Issues!$C251,FIND("/",Issues!$C251)-1))),"")))</f>
        <v/>
      </c>
      <c r="C248">
        <f>IF(OR($A248="",$B248=""),"",IF(ISNUMBER(Issues!$C251),INT(MOD(Issues!$C251,10000)/100),IFERROR(VALUE(TRIM(LEFT(MID(Issues!$C251,FIND("/",Issues!$C251)+1,20),FIND("/",MID(Issues!$C251,FIND("/",Issues!$C251)+1,20))-1))),"")))</f>
        <v/>
      </c>
      <c r="D248">
        <f>IF(OR($A248="",$B248=""),"",IF(ISNUMBER(Issues!$C251),MOD(Issues!$C251,100),IFERROR(VALUE(TRIM(MID(MID(Issues!$C251,FIND("/",Issues!$C251)+1,20),FIND("/",MID(Issues!$C251,FIND("/",Issues!$C251)+1,20))+1,20))),"")))</f>
        <v/>
      </c>
      <c r="E248">
        <f>IF($A248="","",IF(OR($B248="",$C248="",$D248="",$B248&lt;1300,$B248&gt;1500,$C248&lt;1,$C248&gt;12,$D248&lt;1,$D248&gt;31),"نامعتبر",RIGHT("0000"&amp;$B248,4)&amp;"/"&amp;RIGHT("00"&amp;$C248,2)&amp;"/"&amp;RIGHT("00"&amp;$D248,2)))</f>
        <v/>
      </c>
      <c r="F248">
        <f>IF($A248="","",IF(Issues!$D251="",0,Issues!$D251))</f>
        <v/>
      </c>
      <c r="G248">
        <f>IF($A248="","",Issues!$E251)</f>
        <v/>
      </c>
      <c r="H248">
        <f>IF($A248="","",IF(COUNTIFS(ETxnType,"پاس چک",ETxnChk,$A248)&gt;0,"پاس شده","پاس نشده"))</f>
        <v/>
      </c>
      <c r="I248">
        <f>IF($A248="","",IFERROR(INDEX(BClrDate,MATCH($A248,BClrChk,0)),""))</f>
        <v/>
      </c>
      <c r="J248">
        <f>IF($A248="","",Issues!$G251)</f>
        <v/>
      </c>
      <c r="K248">
        <f>IF(OR($E248="",$E248="نامعتبر"),"",LEFT($E248,4)&amp;MID($E248,6,2)&amp;RIGHT($E248,2)&amp;"|"&amp;RIGHT("00000"&amp;243,5))</f>
        <v/>
      </c>
      <c r="M248">
        <f>IF(Sync!$M248&lt;&gt;"پاس چک","",IF(Sync!$P248="","",Sync!$P248))</f>
        <v/>
      </c>
      <c r="N248">
        <f>IF($M248="","",IF(ISNUMBER(Sync!$L248),IF(AND(Sync!$L248&gt;=10000101,Sync!$L248&lt;=99991231),RIGHT("0000"&amp;INT(Sync!$L248/10000),4)&amp;"/"&amp;RIGHT("00"&amp;INT(MOD(Sync!$L248,10000)/100),2)&amp;"/"&amp;RIGHT("00"&amp;MOD(Sync!$L248,100),2),""),IFERROR(RIGHT("0000"&amp;VALUE(TRIM(LEFT(Sync!$L248,FIND("/",Sync!$L248)-1))),4)&amp;"/"&amp;RIGHT("00"&amp;VALUE(TRIM(LEFT(MID(Sync!$L248,FIND("/",Sync!$L248)+1,20),FIND("/",MID(Sync!$L248,FIND("/",Sync!$L248)+1,20))-1))),2)&amp;"/"&amp;RIGHT("00"&amp;VALUE(TRIM(MID(MID(Sync!$L248,FIND("/",Sync!$L248)+1,20),FIND("/",MID(Sync!$L248,FIND("/",Sync!$L248)+1,20))+1,20))),2),"")))</f>
        <v/>
      </c>
    </row>
    <row r="249">
      <c r="A249">
        <f>IF(Issues!$B252="","",Issues!$B252)</f>
        <v/>
      </c>
      <c r="B249">
        <f>IF($A249="","",IF(ISNUMBER(Issues!$C252),IF(AND(Issues!$C252&gt;=10000101,Issues!$C252&lt;=99991231),INT(Issues!$C252/10000),""),IFERROR(VALUE(TRIM(LEFT(Issues!$C252,FIND("/",Issues!$C252)-1))),"")))</f>
        <v/>
      </c>
      <c r="C249">
        <f>IF(OR($A249="",$B249=""),"",IF(ISNUMBER(Issues!$C252),INT(MOD(Issues!$C252,10000)/100),IFERROR(VALUE(TRIM(LEFT(MID(Issues!$C252,FIND("/",Issues!$C252)+1,20),FIND("/",MID(Issues!$C252,FIND("/",Issues!$C252)+1,20))-1))),"")))</f>
        <v/>
      </c>
      <c r="D249">
        <f>IF(OR($A249="",$B249=""),"",IF(ISNUMBER(Issues!$C252),MOD(Issues!$C252,100),IFERROR(VALUE(TRIM(MID(MID(Issues!$C252,FIND("/",Issues!$C252)+1,20),FIND("/",MID(Issues!$C252,FIND("/",Issues!$C252)+1,20))+1,20))),"")))</f>
        <v/>
      </c>
      <c r="E249">
        <f>IF($A249="","",IF(OR($B249="",$C249="",$D249="",$B249&lt;1300,$B249&gt;1500,$C249&lt;1,$C249&gt;12,$D249&lt;1,$D249&gt;31),"نامعتبر",RIGHT("0000"&amp;$B249,4)&amp;"/"&amp;RIGHT("00"&amp;$C249,2)&amp;"/"&amp;RIGHT("00"&amp;$D249,2)))</f>
        <v/>
      </c>
      <c r="F249">
        <f>IF($A249="","",IF(Issues!$D252="",0,Issues!$D252))</f>
        <v/>
      </c>
      <c r="G249">
        <f>IF($A249="","",Issues!$E252)</f>
        <v/>
      </c>
      <c r="H249">
        <f>IF($A249="","",IF(COUNTIFS(ETxnType,"پاس چک",ETxnChk,$A249)&gt;0,"پاس شده","پاس نشده"))</f>
        <v/>
      </c>
      <c r="I249">
        <f>IF($A249="","",IFERROR(INDEX(BClrDate,MATCH($A249,BClrChk,0)),""))</f>
        <v/>
      </c>
      <c r="J249">
        <f>IF($A249="","",Issues!$G252)</f>
        <v/>
      </c>
      <c r="K249">
        <f>IF(OR($E249="",$E249="نامعتبر"),"",LEFT($E249,4)&amp;MID($E249,6,2)&amp;RIGHT($E249,2)&amp;"|"&amp;RIGHT("00000"&amp;244,5))</f>
        <v/>
      </c>
      <c r="M249">
        <f>IF(Sync!$M249&lt;&gt;"پاس چک","",IF(Sync!$P249="","",Sync!$P249))</f>
        <v/>
      </c>
      <c r="N249">
        <f>IF($M249="","",IF(ISNUMBER(Sync!$L249),IF(AND(Sync!$L249&gt;=10000101,Sync!$L249&lt;=99991231),RIGHT("0000"&amp;INT(Sync!$L249/10000),4)&amp;"/"&amp;RIGHT("00"&amp;INT(MOD(Sync!$L249,10000)/100),2)&amp;"/"&amp;RIGHT("00"&amp;MOD(Sync!$L249,100),2),""),IFERROR(RIGHT("0000"&amp;VALUE(TRIM(LEFT(Sync!$L249,FIND("/",Sync!$L249)-1))),4)&amp;"/"&amp;RIGHT("00"&amp;VALUE(TRIM(LEFT(MID(Sync!$L249,FIND("/",Sync!$L249)+1,20),FIND("/",MID(Sync!$L249,FIND("/",Sync!$L249)+1,20))-1))),2)&amp;"/"&amp;RIGHT("00"&amp;VALUE(TRIM(MID(MID(Sync!$L249,FIND("/",Sync!$L249)+1,20),FIND("/",MID(Sync!$L249,FIND("/",Sync!$L249)+1,20))+1,20))),2),"")))</f>
        <v/>
      </c>
    </row>
    <row r="250">
      <c r="A250">
        <f>IF(Issues!$B253="","",Issues!$B253)</f>
        <v/>
      </c>
      <c r="B250">
        <f>IF($A250="","",IF(ISNUMBER(Issues!$C253),IF(AND(Issues!$C253&gt;=10000101,Issues!$C253&lt;=99991231),INT(Issues!$C253/10000),""),IFERROR(VALUE(TRIM(LEFT(Issues!$C253,FIND("/",Issues!$C253)-1))),"")))</f>
        <v/>
      </c>
      <c r="C250">
        <f>IF(OR($A250="",$B250=""),"",IF(ISNUMBER(Issues!$C253),INT(MOD(Issues!$C253,10000)/100),IFERROR(VALUE(TRIM(LEFT(MID(Issues!$C253,FIND("/",Issues!$C253)+1,20),FIND("/",MID(Issues!$C253,FIND("/",Issues!$C253)+1,20))-1))),"")))</f>
        <v/>
      </c>
      <c r="D250">
        <f>IF(OR($A250="",$B250=""),"",IF(ISNUMBER(Issues!$C253),MOD(Issues!$C253,100),IFERROR(VALUE(TRIM(MID(MID(Issues!$C253,FIND("/",Issues!$C253)+1,20),FIND("/",MID(Issues!$C253,FIND("/",Issues!$C253)+1,20))+1,20))),"")))</f>
        <v/>
      </c>
      <c r="E250">
        <f>IF($A250="","",IF(OR($B250="",$C250="",$D250="",$B250&lt;1300,$B250&gt;1500,$C250&lt;1,$C250&gt;12,$D250&lt;1,$D250&gt;31),"نامعتبر",RIGHT("0000"&amp;$B250,4)&amp;"/"&amp;RIGHT("00"&amp;$C250,2)&amp;"/"&amp;RIGHT("00"&amp;$D250,2)))</f>
        <v/>
      </c>
      <c r="F250">
        <f>IF($A250="","",IF(Issues!$D253="",0,Issues!$D253))</f>
        <v/>
      </c>
      <c r="G250">
        <f>IF($A250="","",Issues!$E253)</f>
        <v/>
      </c>
      <c r="H250">
        <f>IF($A250="","",IF(COUNTIFS(ETxnType,"پاس چک",ETxnChk,$A250)&gt;0,"پاس شده","پاس نشده"))</f>
        <v/>
      </c>
      <c r="I250">
        <f>IF($A250="","",IFERROR(INDEX(BClrDate,MATCH($A250,BClrChk,0)),""))</f>
        <v/>
      </c>
      <c r="J250">
        <f>IF($A250="","",Issues!$G253)</f>
        <v/>
      </c>
      <c r="K250">
        <f>IF(OR($E250="",$E250="نامعتبر"),"",LEFT($E250,4)&amp;MID($E250,6,2)&amp;RIGHT($E250,2)&amp;"|"&amp;RIGHT("00000"&amp;245,5))</f>
        <v/>
      </c>
      <c r="M250">
        <f>IF(Sync!$M250&lt;&gt;"پاس چک","",IF(Sync!$P250="","",Sync!$P250))</f>
        <v/>
      </c>
      <c r="N250">
        <f>IF($M250="","",IF(ISNUMBER(Sync!$L250),IF(AND(Sync!$L250&gt;=10000101,Sync!$L250&lt;=99991231),RIGHT("0000"&amp;INT(Sync!$L250/10000),4)&amp;"/"&amp;RIGHT("00"&amp;INT(MOD(Sync!$L250,10000)/100),2)&amp;"/"&amp;RIGHT("00"&amp;MOD(Sync!$L250,100),2),""),IFERROR(RIGHT("0000"&amp;VALUE(TRIM(LEFT(Sync!$L250,FIND("/",Sync!$L250)-1))),4)&amp;"/"&amp;RIGHT("00"&amp;VALUE(TRIM(LEFT(MID(Sync!$L250,FIND("/",Sync!$L250)+1,20),FIND("/",MID(Sync!$L250,FIND("/",Sync!$L250)+1,20))-1))),2)&amp;"/"&amp;RIGHT("00"&amp;VALUE(TRIM(MID(MID(Sync!$L250,FIND("/",Sync!$L250)+1,20),FIND("/",MID(Sync!$L250,FIND("/",Sync!$L250)+1,20))+1,20))),2),"")))</f>
        <v/>
      </c>
    </row>
    <row r="251">
      <c r="A251">
        <f>IF(Issues!$B254="","",Issues!$B254)</f>
        <v/>
      </c>
      <c r="B251">
        <f>IF($A251="","",IF(ISNUMBER(Issues!$C254),IF(AND(Issues!$C254&gt;=10000101,Issues!$C254&lt;=99991231),INT(Issues!$C254/10000),""),IFERROR(VALUE(TRIM(LEFT(Issues!$C254,FIND("/",Issues!$C254)-1))),"")))</f>
        <v/>
      </c>
      <c r="C251">
        <f>IF(OR($A251="",$B251=""),"",IF(ISNUMBER(Issues!$C254),INT(MOD(Issues!$C254,10000)/100),IFERROR(VALUE(TRIM(LEFT(MID(Issues!$C254,FIND("/",Issues!$C254)+1,20),FIND("/",MID(Issues!$C254,FIND("/",Issues!$C254)+1,20))-1))),"")))</f>
        <v/>
      </c>
      <c r="D251">
        <f>IF(OR($A251="",$B251=""),"",IF(ISNUMBER(Issues!$C254),MOD(Issues!$C254,100),IFERROR(VALUE(TRIM(MID(MID(Issues!$C254,FIND("/",Issues!$C254)+1,20),FIND("/",MID(Issues!$C254,FIND("/",Issues!$C254)+1,20))+1,20))),"")))</f>
        <v/>
      </c>
      <c r="E251">
        <f>IF($A251="","",IF(OR($B251="",$C251="",$D251="",$B251&lt;1300,$B251&gt;1500,$C251&lt;1,$C251&gt;12,$D251&lt;1,$D251&gt;31),"نامعتبر",RIGHT("0000"&amp;$B251,4)&amp;"/"&amp;RIGHT("00"&amp;$C251,2)&amp;"/"&amp;RIGHT("00"&amp;$D251,2)))</f>
        <v/>
      </c>
      <c r="F251">
        <f>IF($A251="","",IF(Issues!$D254="",0,Issues!$D254))</f>
        <v/>
      </c>
      <c r="G251">
        <f>IF($A251="","",Issues!$E254)</f>
        <v/>
      </c>
      <c r="H251">
        <f>IF($A251="","",IF(COUNTIFS(ETxnType,"پاس چک",ETxnChk,$A251)&gt;0,"پاس شده","پاس نشده"))</f>
        <v/>
      </c>
      <c r="I251">
        <f>IF($A251="","",IFERROR(INDEX(BClrDate,MATCH($A251,BClrChk,0)),""))</f>
        <v/>
      </c>
      <c r="J251">
        <f>IF($A251="","",Issues!$G254)</f>
        <v/>
      </c>
      <c r="K251">
        <f>IF(OR($E251="",$E251="نامعتبر"),"",LEFT($E251,4)&amp;MID($E251,6,2)&amp;RIGHT($E251,2)&amp;"|"&amp;RIGHT("00000"&amp;246,5))</f>
        <v/>
      </c>
      <c r="M251">
        <f>IF(Sync!$M251&lt;&gt;"پاس چک","",IF(Sync!$P251="","",Sync!$P251))</f>
        <v/>
      </c>
      <c r="N251">
        <f>IF($M251="","",IF(ISNUMBER(Sync!$L251),IF(AND(Sync!$L251&gt;=10000101,Sync!$L251&lt;=99991231),RIGHT("0000"&amp;INT(Sync!$L251/10000),4)&amp;"/"&amp;RIGHT("00"&amp;INT(MOD(Sync!$L251,10000)/100),2)&amp;"/"&amp;RIGHT("00"&amp;MOD(Sync!$L251,100),2),""),IFERROR(RIGHT("0000"&amp;VALUE(TRIM(LEFT(Sync!$L251,FIND("/",Sync!$L251)-1))),4)&amp;"/"&amp;RIGHT("00"&amp;VALUE(TRIM(LEFT(MID(Sync!$L251,FIND("/",Sync!$L251)+1,20),FIND("/",MID(Sync!$L251,FIND("/",Sync!$L251)+1,20))-1))),2)&amp;"/"&amp;RIGHT("00"&amp;VALUE(TRIM(MID(MID(Sync!$L251,FIND("/",Sync!$L251)+1,20),FIND("/",MID(Sync!$L251,FIND("/",Sync!$L251)+1,20))+1,20))),2),"")))</f>
        <v/>
      </c>
    </row>
    <row r="252">
      <c r="A252">
        <f>IF(Issues!$B255="","",Issues!$B255)</f>
        <v/>
      </c>
      <c r="B252">
        <f>IF($A252="","",IF(ISNUMBER(Issues!$C255),IF(AND(Issues!$C255&gt;=10000101,Issues!$C255&lt;=99991231),INT(Issues!$C255/10000),""),IFERROR(VALUE(TRIM(LEFT(Issues!$C255,FIND("/",Issues!$C255)-1))),"")))</f>
        <v/>
      </c>
      <c r="C252">
        <f>IF(OR($A252="",$B252=""),"",IF(ISNUMBER(Issues!$C255),INT(MOD(Issues!$C255,10000)/100),IFERROR(VALUE(TRIM(LEFT(MID(Issues!$C255,FIND("/",Issues!$C255)+1,20),FIND("/",MID(Issues!$C255,FIND("/",Issues!$C255)+1,20))-1))),"")))</f>
        <v/>
      </c>
      <c r="D252">
        <f>IF(OR($A252="",$B252=""),"",IF(ISNUMBER(Issues!$C255),MOD(Issues!$C255,100),IFERROR(VALUE(TRIM(MID(MID(Issues!$C255,FIND("/",Issues!$C255)+1,20),FIND("/",MID(Issues!$C255,FIND("/",Issues!$C255)+1,20))+1,20))),"")))</f>
        <v/>
      </c>
      <c r="E252">
        <f>IF($A252="","",IF(OR($B252="",$C252="",$D252="",$B252&lt;1300,$B252&gt;1500,$C252&lt;1,$C252&gt;12,$D252&lt;1,$D252&gt;31),"نامعتبر",RIGHT("0000"&amp;$B252,4)&amp;"/"&amp;RIGHT("00"&amp;$C252,2)&amp;"/"&amp;RIGHT("00"&amp;$D252,2)))</f>
        <v/>
      </c>
      <c r="F252">
        <f>IF($A252="","",IF(Issues!$D255="",0,Issues!$D255))</f>
        <v/>
      </c>
      <c r="G252">
        <f>IF($A252="","",Issues!$E255)</f>
        <v/>
      </c>
      <c r="H252">
        <f>IF($A252="","",IF(COUNTIFS(ETxnType,"پاس چک",ETxnChk,$A252)&gt;0,"پاس شده","پاس نشده"))</f>
        <v/>
      </c>
      <c r="I252">
        <f>IF($A252="","",IFERROR(INDEX(BClrDate,MATCH($A252,BClrChk,0)),""))</f>
        <v/>
      </c>
      <c r="J252">
        <f>IF($A252="","",Issues!$G255)</f>
        <v/>
      </c>
      <c r="K252">
        <f>IF(OR($E252="",$E252="نامعتبر"),"",LEFT($E252,4)&amp;MID($E252,6,2)&amp;RIGHT($E252,2)&amp;"|"&amp;RIGHT("00000"&amp;247,5))</f>
        <v/>
      </c>
      <c r="M252">
        <f>IF(Sync!$M252&lt;&gt;"پاس چک","",IF(Sync!$P252="","",Sync!$P252))</f>
        <v/>
      </c>
      <c r="N252">
        <f>IF($M252="","",IF(ISNUMBER(Sync!$L252),IF(AND(Sync!$L252&gt;=10000101,Sync!$L252&lt;=99991231),RIGHT("0000"&amp;INT(Sync!$L252/10000),4)&amp;"/"&amp;RIGHT("00"&amp;INT(MOD(Sync!$L252,10000)/100),2)&amp;"/"&amp;RIGHT("00"&amp;MOD(Sync!$L252,100),2),""),IFERROR(RIGHT("0000"&amp;VALUE(TRIM(LEFT(Sync!$L252,FIND("/",Sync!$L252)-1))),4)&amp;"/"&amp;RIGHT("00"&amp;VALUE(TRIM(LEFT(MID(Sync!$L252,FIND("/",Sync!$L252)+1,20),FIND("/",MID(Sync!$L252,FIND("/",Sync!$L252)+1,20))-1))),2)&amp;"/"&amp;RIGHT("00"&amp;VALUE(TRIM(MID(MID(Sync!$L252,FIND("/",Sync!$L252)+1,20),FIND("/",MID(Sync!$L252,FIND("/",Sync!$L252)+1,20))+1,20))),2),"")))</f>
        <v/>
      </c>
    </row>
    <row r="253">
      <c r="A253">
        <f>IF(Issues!$B256="","",Issues!$B256)</f>
        <v/>
      </c>
      <c r="B253">
        <f>IF($A253="","",IF(ISNUMBER(Issues!$C256),IF(AND(Issues!$C256&gt;=10000101,Issues!$C256&lt;=99991231),INT(Issues!$C256/10000),""),IFERROR(VALUE(TRIM(LEFT(Issues!$C256,FIND("/",Issues!$C256)-1))),"")))</f>
        <v/>
      </c>
      <c r="C253">
        <f>IF(OR($A253="",$B253=""),"",IF(ISNUMBER(Issues!$C256),INT(MOD(Issues!$C256,10000)/100),IFERROR(VALUE(TRIM(LEFT(MID(Issues!$C256,FIND("/",Issues!$C256)+1,20),FIND("/",MID(Issues!$C256,FIND("/",Issues!$C256)+1,20))-1))),"")))</f>
        <v/>
      </c>
      <c r="D253">
        <f>IF(OR($A253="",$B253=""),"",IF(ISNUMBER(Issues!$C256),MOD(Issues!$C256,100),IFERROR(VALUE(TRIM(MID(MID(Issues!$C256,FIND("/",Issues!$C256)+1,20),FIND("/",MID(Issues!$C256,FIND("/",Issues!$C256)+1,20))+1,20))),"")))</f>
        <v/>
      </c>
      <c r="E253">
        <f>IF($A253="","",IF(OR($B253="",$C253="",$D253="",$B253&lt;1300,$B253&gt;1500,$C253&lt;1,$C253&gt;12,$D253&lt;1,$D253&gt;31),"نامعتبر",RIGHT("0000"&amp;$B253,4)&amp;"/"&amp;RIGHT("00"&amp;$C253,2)&amp;"/"&amp;RIGHT("00"&amp;$D253,2)))</f>
        <v/>
      </c>
      <c r="F253">
        <f>IF($A253="","",IF(Issues!$D256="",0,Issues!$D256))</f>
        <v/>
      </c>
      <c r="G253">
        <f>IF($A253="","",Issues!$E256)</f>
        <v/>
      </c>
      <c r="H253">
        <f>IF($A253="","",IF(COUNTIFS(ETxnType,"پاس چک",ETxnChk,$A253)&gt;0,"پاس شده","پاس نشده"))</f>
        <v/>
      </c>
      <c r="I253">
        <f>IF($A253="","",IFERROR(INDEX(BClrDate,MATCH($A253,BClrChk,0)),""))</f>
        <v/>
      </c>
      <c r="J253">
        <f>IF($A253="","",Issues!$G256)</f>
        <v/>
      </c>
      <c r="K253">
        <f>IF(OR($E253="",$E253="نامعتبر"),"",LEFT($E253,4)&amp;MID($E253,6,2)&amp;RIGHT($E253,2)&amp;"|"&amp;RIGHT("00000"&amp;248,5))</f>
        <v/>
      </c>
      <c r="M253">
        <f>IF(Sync!$M253&lt;&gt;"پاس چک","",IF(Sync!$P253="","",Sync!$P253))</f>
        <v/>
      </c>
      <c r="N253">
        <f>IF($M253="","",IF(ISNUMBER(Sync!$L253),IF(AND(Sync!$L253&gt;=10000101,Sync!$L253&lt;=99991231),RIGHT("0000"&amp;INT(Sync!$L253/10000),4)&amp;"/"&amp;RIGHT("00"&amp;INT(MOD(Sync!$L253,10000)/100),2)&amp;"/"&amp;RIGHT("00"&amp;MOD(Sync!$L253,100),2),""),IFERROR(RIGHT("0000"&amp;VALUE(TRIM(LEFT(Sync!$L253,FIND("/",Sync!$L253)-1))),4)&amp;"/"&amp;RIGHT("00"&amp;VALUE(TRIM(LEFT(MID(Sync!$L253,FIND("/",Sync!$L253)+1,20),FIND("/",MID(Sync!$L253,FIND("/",Sync!$L253)+1,20))-1))),2)&amp;"/"&amp;RIGHT("00"&amp;VALUE(TRIM(MID(MID(Sync!$L253,FIND("/",Sync!$L253)+1,20),FIND("/",MID(Sync!$L253,FIND("/",Sync!$L253)+1,20))+1,20))),2),"")))</f>
        <v/>
      </c>
    </row>
    <row r="254">
      <c r="A254">
        <f>IF(Issues!$B257="","",Issues!$B257)</f>
        <v/>
      </c>
      <c r="B254">
        <f>IF($A254="","",IF(ISNUMBER(Issues!$C257),IF(AND(Issues!$C257&gt;=10000101,Issues!$C257&lt;=99991231),INT(Issues!$C257/10000),""),IFERROR(VALUE(TRIM(LEFT(Issues!$C257,FIND("/",Issues!$C257)-1))),"")))</f>
        <v/>
      </c>
      <c r="C254">
        <f>IF(OR($A254="",$B254=""),"",IF(ISNUMBER(Issues!$C257),INT(MOD(Issues!$C257,10000)/100),IFERROR(VALUE(TRIM(LEFT(MID(Issues!$C257,FIND("/",Issues!$C257)+1,20),FIND("/",MID(Issues!$C257,FIND("/",Issues!$C257)+1,20))-1))),"")))</f>
        <v/>
      </c>
      <c r="D254">
        <f>IF(OR($A254="",$B254=""),"",IF(ISNUMBER(Issues!$C257),MOD(Issues!$C257,100),IFERROR(VALUE(TRIM(MID(MID(Issues!$C257,FIND("/",Issues!$C257)+1,20),FIND("/",MID(Issues!$C257,FIND("/",Issues!$C257)+1,20))+1,20))),"")))</f>
        <v/>
      </c>
      <c r="E254">
        <f>IF($A254="","",IF(OR($B254="",$C254="",$D254="",$B254&lt;1300,$B254&gt;1500,$C254&lt;1,$C254&gt;12,$D254&lt;1,$D254&gt;31),"نامعتبر",RIGHT("0000"&amp;$B254,4)&amp;"/"&amp;RIGHT("00"&amp;$C254,2)&amp;"/"&amp;RIGHT("00"&amp;$D254,2)))</f>
        <v/>
      </c>
      <c r="F254">
        <f>IF($A254="","",IF(Issues!$D257="",0,Issues!$D257))</f>
        <v/>
      </c>
      <c r="G254">
        <f>IF($A254="","",Issues!$E257)</f>
        <v/>
      </c>
      <c r="H254">
        <f>IF($A254="","",IF(COUNTIFS(ETxnType,"پاس چک",ETxnChk,$A254)&gt;0,"پاس شده","پاس نشده"))</f>
        <v/>
      </c>
      <c r="I254">
        <f>IF($A254="","",IFERROR(INDEX(BClrDate,MATCH($A254,BClrChk,0)),""))</f>
        <v/>
      </c>
      <c r="J254">
        <f>IF($A254="","",Issues!$G257)</f>
        <v/>
      </c>
      <c r="K254">
        <f>IF(OR($E254="",$E254="نامعتبر"),"",LEFT($E254,4)&amp;MID($E254,6,2)&amp;RIGHT($E254,2)&amp;"|"&amp;RIGHT("00000"&amp;249,5))</f>
        <v/>
      </c>
      <c r="M254">
        <f>IF(Sync!$M254&lt;&gt;"پاس چک","",IF(Sync!$P254="","",Sync!$P254))</f>
        <v/>
      </c>
      <c r="N254">
        <f>IF($M254="","",IF(ISNUMBER(Sync!$L254),IF(AND(Sync!$L254&gt;=10000101,Sync!$L254&lt;=99991231),RIGHT("0000"&amp;INT(Sync!$L254/10000),4)&amp;"/"&amp;RIGHT("00"&amp;INT(MOD(Sync!$L254,10000)/100),2)&amp;"/"&amp;RIGHT("00"&amp;MOD(Sync!$L254,100),2),""),IFERROR(RIGHT("0000"&amp;VALUE(TRIM(LEFT(Sync!$L254,FIND("/",Sync!$L254)-1))),4)&amp;"/"&amp;RIGHT("00"&amp;VALUE(TRIM(LEFT(MID(Sync!$L254,FIND("/",Sync!$L254)+1,20),FIND("/",MID(Sync!$L254,FIND("/",Sync!$L254)+1,20))-1))),2)&amp;"/"&amp;RIGHT("00"&amp;VALUE(TRIM(MID(MID(Sync!$L254,FIND("/",Sync!$L254)+1,20),FIND("/",MID(Sync!$L254,FIND("/",Sync!$L254)+1,20))+1,20))),2),"")))</f>
        <v/>
      </c>
    </row>
    <row r="255">
      <c r="A255">
        <f>IF(Issues!$B258="","",Issues!$B258)</f>
        <v/>
      </c>
      <c r="B255">
        <f>IF($A255="","",IF(ISNUMBER(Issues!$C258),IF(AND(Issues!$C258&gt;=10000101,Issues!$C258&lt;=99991231),INT(Issues!$C258/10000),""),IFERROR(VALUE(TRIM(LEFT(Issues!$C258,FIND("/",Issues!$C258)-1))),"")))</f>
        <v/>
      </c>
      <c r="C255">
        <f>IF(OR($A255="",$B255=""),"",IF(ISNUMBER(Issues!$C258),INT(MOD(Issues!$C258,10000)/100),IFERROR(VALUE(TRIM(LEFT(MID(Issues!$C258,FIND("/",Issues!$C258)+1,20),FIND("/",MID(Issues!$C258,FIND("/",Issues!$C258)+1,20))-1))),"")))</f>
        <v/>
      </c>
      <c r="D255">
        <f>IF(OR($A255="",$B255=""),"",IF(ISNUMBER(Issues!$C258),MOD(Issues!$C258,100),IFERROR(VALUE(TRIM(MID(MID(Issues!$C258,FIND("/",Issues!$C258)+1,20),FIND("/",MID(Issues!$C258,FIND("/",Issues!$C258)+1,20))+1,20))),"")))</f>
        <v/>
      </c>
      <c r="E255">
        <f>IF($A255="","",IF(OR($B255="",$C255="",$D255="",$B255&lt;1300,$B255&gt;1500,$C255&lt;1,$C255&gt;12,$D255&lt;1,$D255&gt;31),"نامعتبر",RIGHT("0000"&amp;$B255,4)&amp;"/"&amp;RIGHT("00"&amp;$C255,2)&amp;"/"&amp;RIGHT("00"&amp;$D255,2)))</f>
        <v/>
      </c>
      <c r="F255">
        <f>IF($A255="","",IF(Issues!$D258="",0,Issues!$D258))</f>
        <v/>
      </c>
      <c r="G255">
        <f>IF($A255="","",Issues!$E258)</f>
        <v/>
      </c>
      <c r="H255">
        <f>IF($A255="","",IF(COUNTIFS(ETxnType,"پاس چک",ETxnChk,$A255)&gt;0,"پاس شده","پاس نشده"))</f>
        <v/>
      </c>
      <c r="I255">
        <f>IF($A255="","",IFERROR(INDEX(BClrDate,MATCH($A255,BClrChk,0)),""))</f>
        <v/>
      </c>
      <c r="J255">
        <f>IF($A255="","",Issues!$G258)</f>
        <v/>
      </c>
      <c r="K255">
        <f>IF(OR($E255="",$E255="نامعتبر"),"",LEFT($E255,4)&amp;MID($E255,6,2)&amp;RIGHT($E255,2)&amp;"|"&amp;RIGHT("00000"&amp;250,5))</f>
        <v/>
      </c>
      <c r="M255">
        <f>IF(Sync!$M255&lt;&gt;"پاس چک","",IF(Sync!$P255="","",Sync!$P255))</f>
        <v/>
      </c>
      <c r="N255">
        <f>IF($M255="","",IF(ISNUMBER(Sync!$L255),IF(AND(Sync!$L255&gt;=10000101,Sync!$L255&lt;=99991231),RIGHT("0000"&amp;INT(Sync!$L255/10000),4)&amp;"/"&amp;RIGHT("00"&amp;INT(MOD(Sync!$L255,10000)/100),2)&amp;"/"&amp;RIGHT("00"&amp;MOD(Sync!$L255,100),2),""),IFERROR(RIGHT("0000"&amp;VALUE(TRIM(LEFT(Sync!$L255,FIND("/",Sync!$L255)-1))),4)&amp;"/"&amp;RIGHT("00"&amp;VALUE(TRIM(LEFT(MID(Sync!$L255,FIND("/",Sync!$L255)+1,20),FIND("/",MID(Sync!$L255,FIND("/",Sync!$L255)+1,20))-1))),2)&amp;"/"&amp;RIGHT("00"&amp;VALUE(TRIM(MID(MID(Sync!$L255,FIND("/",Sync!$L255)+1,20),FIND("/",MID(Sync!$L255,FIND("/",Sync!$L255)+1,20))+1,20))),2),"")))</f>
        <v/>
      </c>
    </row>
    <row r="256">
      <c r="A256">
        <f>IF(Issues!$B259="","",Issues!$B259)</f>
        <v/>
      </c>
      <c r="B256">
        <f>IF($A256="","",IF(ISNUMBER(Issues!$C259),IF(AND(Issues!$C259&gt;=10000101,Issues!$C259&lt;=99991231),INT(Issues!$C259/10000),""),IFERROR(VALUE(TRIM(LEFT(Issues!$C259,FIND("/",Issues!$C259)-1))),"")))</f>
        <v/>
      </c>
      <c r="C256">
        <f>IF(OR($A256="",$B256=""),"",IF(ISNUMBER(Issues!$C259),INT(MOD(Issues!$C259,10000)/100),IFERROR(VALUE(TRIM(LEFT(MID(Issues!$C259,FIND("/",Issues!$C259)+1,20),FIND("/",MID(Issues!$C259,FIND("/",Issues!$C259)+1,20))-1))),"")))</f>
        <v/>
      </c>
      <c r="D256">
        <f>IF(OR($A256="",$B256=""),"",IF(ISNUMBER(Issues!$C259),MOD(Issues!$C259,100),IFERROR(VALUE(TRIM(MID(MID(Issues!$C259,FIND("/",Issues!$C259)+1,20),FIND("/",MID(Issues!$C259,FIND("/",Issues!$C259)+1,20))+1,20))),"")))</f>
        <v/>
      </c>
      <c r="E256">
        <f>IF($A256="","",IF(OR($B256="",$C256="",$D256="",$B256&lt;1300,$B256&gt;1500,$C256&lt;1,$C256&gt;12,$D256&lt;1,$D256&gt;31),"نامعتبر",RIGHT("0000"&amp;$B256,4)&amp;"/"&amp;RIGHT("00"&amp;$C256,2)&amp;"/"&amp;RIGHT("00"&amp;$D256,2)))</f>
        <v/>
      </c>
      <c r="F256">
        <f>IF($A256="","",IF(Issues!$D259="",0,Issues!$D259))</f>
        <v/>
      </c>
      <c r="G256">
        <f>IF($A256="","",Issues!$E259)</f>
        <v/>
      </c>
      <c r="H256">
        <f>IF($A256="","",IF(COUNTIFS(ETxnType,"پاس چک",ETxnChk,$A256)&gt;0,"پاس شده","پاس نشده"))</f>
        <v/>
      </c>
      <c r="I256">
        <f>IF($A256="","",IFERROR(INDEX(BClrDate,MATCH($A256,BClrChk,0)),""))</f>
        <v/>
      </c>
      <c r="J256">
        <f>IF($A256="","",Issues!$G259)</f>
        <v/>
      </c>
      <c r="K256">
        <f>IF(OR($E256="",$E256="نامعتبر"),"",LEFT($E256,4)&amp;MID($E256,6,2)&amp;RIGHT($E256,2)&amp;"|"&amp;RIGHT("00000"&amp;251,5))</f>
        <v/>
      </c>
      <c r="M256">
        <f>IF(Sync!$M256&lt;&gt;"پاس چک","",IF(Sync!$P256="","",Sync!$P256))</f>
        <v/>
      </c>
      <c r="N256">
        <f>IF($M256="","",IF(ISNUMBER(Sync!$L256),IF(AND(Sync!$L256&gt;=10000101,Sync!$L256&lt;=99991231),RIGHT("0000"&amp;INT(Sync!$L256/10000),4)&amp;"/"&amp;RIGHT("00"&amp;INT(MOD(Sync!$L256,10000)/100),2)&amp;"/"&amp;RIGHT("00"&amp;MOD(Sync!$L256,100),2),""),IFERROR(RIGHT("0000"&amp;VALUE(TRIM(LEFT(Sync!$L256,FIND("/",Sync!$L256)-1))),4)&amp;"/"&amp;RIGHT("00"&amp;VALUE(TRIM(LEFT(MID(Sync!$L256,FIND("/",Sync!$L256)+1,20),FIND("/",MID(Sync!$L256,FIND("/",Sync!$L256)+1,20))-1))),2)&amp;"/"&amp;RIGHT("00"&amp;VALUE(TRIM(MID(MID(Sync!$L256,FIND("/",Sync!$L256)+1,20),FIND("/",MID(Sync!$L256,FIND("/",Sync!$L256)+1,20))+1,20))),2),"")))</f>
        <v/>
      </c>
    </row>
    <row r="257">
      <c r="A257">
        <f>IF(Issues!$B260="","",Issues!$B260)</f>
        <v/>
      </c>
      <c r="B257">
        <f>IF($A257="","",IF(ISNUMBER(Issues!$C260),IF(AND(Issues!$C260&gt;=10000101,Issues!$C260&lt;=99991231),INT(Issues!$C260/10000),""),IFERROR(VALUE(TRIM(LEFT(Issues!$C260,FIND("/",Issues!$C260)-1))),"")))</f>
        <v/>
      </c>
      <c r="C257">
        <f>IF(OR($A257="",$B257=""),"",IF(ISNUMBER(Issues!$C260),INT(MOD(Issues!$C260,10000)/100),IFERROR(VALUE(TRIM(LEFT(MID(Issues!$C260,FIND("/",Issues!$C260)+1,20),FIND("/",MID(Issues!$C260,FIND("/",Issues!$C260)+1,20))-1))),"")))</f>
        <v/>
      </c>
      <c r="D257">
        <f>IF(OR($A257="",$B257=""),"",IF(ISNUMBER(Issues!$C260),MOD(Issues!$C260,100),IFERROR(VALUE(TRIM(MID(MID(Issues!$C260,FIND("/",Issues!$C260)+1,20),FIND("/",MID(Issues!$C260,FIND("/",Issues!$C260)+1,20))+1,20))),"")))</f>
        <v/>
      </c>
      <c r="E257">
        <f>IF($A257="","",IF(OR($B257="",$C257="",$D257="",$B257&lt;1300,$B257&gt;1500,$C257&lt;1,$C257&gt;12,$D257&lt;1,$D257&gt;31),"نامعتبر",RIGHT("0000"&amp;$B257,4)&amp;"/"&amp;RIGHT("00"&amp;$C257,2)&amp;"/"&amp;RIGHT("00"&amp;$D257,2)))</f>
        <v/>
      </c>
      <c r="F257">
        <f>IF($A257="","",IF(Issues!$D260="",0,Issues!$D260))</f>
        <v/>
      </c>
      <c r="G257">
        <f>IF($A257="","",Issues!$E260)</f>
        <v/>
      </c>
      <c r="H257">
        <f>IF($A257="","",IF(COUNTIFS(ETxnType,"پاس چک",ETxnChk,$A257)&gt;0,"پاس شده","پاس نشده"))</f>
        <v/>
      </c>
      <c r="I257">
        <f>IF($A257="","",IFERROR(INDEX(BClrDate,MATCH($A257,BClrChk,0)),""))</f>
        <v/>
      </c>
      <c r="J257">
        <f>IF($A257="","",Issues!$G260)</f>
        <v/>
      </c>
      <c r="K257">
        <f>IF(OR($E257="",$E257="نامعتبر"),"",LEFT($E257,4)&amp;MID($E257,6,2)&amp;RIGHT($E257,2)&amp;"|"&amp;RIGHT("00000"&amp;252,5))</f>
        <v/>
      </c>
      <c r="M257">
        <f>IF(Sync!$M257&lt;&gt;"پاس چک","",IF(Sync!$P257="","",Sync!$P257))</f>
        <v/>
      </c>
      <c r="N257">
        <f>IF($M257="","",IF(ISNUMBER(Sync!$L257),IF(AND(Sync!$L257&gt;=10000101,Sync!$L257&lt;=99991231),RIGHT("0000"&amp;INT(Sync!$L257/10000),4)&amp;"/"&amp;RIGHT("00"&amp;INT(MOD(Sync!$L257,10000)/100),2)&amp;"/"&amp;RIGHT("00"&amp;MOD(Sync!$L257,100),2),""),IFERROR(RIGHT("0000"&amp;VALUE(TRIM(LEFT(Sync!$L257,FIND("/",Sync!$L257)-1))),4)&amp;"/"&amp;RIGHT("00"&amp;VALUE(TRIM(LEFT(MID(Sync!$L257,FIND("/",Sync!$L257)+1,20),FIND("/",MID(Sync!$L257,FIND("/",Sync!$L257)+1,20))-1))),2)&amp;"/"&amp;RIGHT("00"&amp;VALUE(TRIM(MID(MID(Sync!$L257,FIND("/",Sync!$L257)+1,20),FIND("/",MID(Sync!$L257,FIND("/",Sync!$L257)+1,20))+1,20))),2),"")))</f>
        <v/>
      </c>
    </row>
    <row r="258">
      <c r="A258">
        <f>IF(Issues!$B261="","",Issues!$B261)</f>
        <v/>
      </c>
      <c r="B258">
        <f>IF($A258="","",IF(ISNUMBER(Issues!$C261),IF(AND(Issues!$C261&gt;=10000101,Issues!$C261&lt;=99991231),INT(Issues!$C261/10000),""),IFERROR(VALUE(TRIM(LEFT(Issues!$C261,FIND("/",Issues!$C261)-1))),"")))</f>
        <v/>
      </c>
      <c r="C258">
        <f>IF(OR($A258="",$B258=""),"",IF(ISNUMBER(Issues!$C261),INT(MOD(Issues!$C261,10000)/100),IFERROR(VALUE(TRIM(LEFT(MID(Issues!$C261,FIND("/",Issues!$C261)+1,20),FIND("/",MID(Issues!$C261,FIND("/",Issues!$C261)+1,20))-1))),"")))</f>
        <v/>
      </c>
      <c r="D258">
        <f>IF(OR($A258="",$B258=""),"",IF(ISNUMBER(Issues!$C261),MOD(Issues!$C261,100),IFERROR(VALUE(TRIM(MID(MID(Issues!$C261,FIND("/",Issues!$C261)+1,20),FIND("/",MID(Issues!$C261,FIND("/",Issues!$C261)+1,20))+1,20))),"")))</f>
        <v/>
      </c>
      <c r="E258">
        <f>IF($A258="","",IF(OR($B258="",$C258="",$D258="",$B258&lt;1300,$B258&gt;1500,$C258&lt;1,$C258&gt;12,$D258&lt;1,$D258&gt;31),"نامعتبر",RIGHT("0000"&amp;$B258,4)&amp;"/"&amp;RIGHT("00"&amp;$C258,2)&amp;"/"&amp;RIGHT("00"&amp;$D258,2)))</f>
        <v/>
      </c>
      <c r="F258">
        <f>IF($A258="","",IF(Issues!$D261="",0,Issues!$D261))</f>
        <v/>
      </c>
      <c r="G258">
        <f>IF($A258="","",Issues!$E261)</f>
        <v/>
      </c>
      <c r="H258">
        <f>IF($A258="","",IF(COUNTIFS(ETxnType,"پاس چک",ETxnChk,$A258)&gt;0,"پاس شده","پاس نشده"))</f>
        <v/>
      </c>
      <c r="I258">
        <f>IF($A258="","",IFERROR(INDEX(BClrDate,MATCH($A258,BClrChk,0)),""))</f>
        <v/>
      </c>
      <c r="J258">
        <f>IF($A258="","",Issues!$G261)</f>
        <v/>
      </c>
      <c r="K258">
        <f>IF(OR($E258="",$E258="نامعتبر"),"",LEFT($E258,4)&amp;MID($E258,6,2)&amp;RIGHT($E258,2)&amp;"|"&amp;RIGHT("00000"&amp;253,5))</f>
        <v/>
      </c>
      <c r="M258">
        <f>IF(Sync!$M258&lt;&gt;"پاس چک","",IF(Sync!$P258="","",Sync!$P258))</f>
        <v/>
      </c>
      <c r="N258">
        <f>IF($M258="","",IF(ISNUMBER(Sync!$L258),IF(AND(Sync!$L258&gt;=10000101,Sync!$L258&lt;=99991231),RIGHT("0000"&amp;INT(Sync!$L258/10000),4)&amp;"/"&amp;RIGHT("00"&amp;INT(MOD(Sync!$L258,10000)/100),2)&amp;"/"&amp;RIGHT("00"&amp;MOD(Sync!$L258,100),2),""),IFERROR(RIGHT("0000"&amp;VALUE(TRIM(LEFT(Sync!$L258,FIND("/",Sync!$L258)-1))),4)&amp;"/"&amp;RIGHT("00"&amp;VALUE(TRIM(LEFT(MID(Sync!$L258,FIND("/",Sync!$L258)+1,20),FIND("/",MID(Sync!$L258,FIND("/",Sync!$L258)+1,20))-1))),2)&amp;"/"&amp;RIGHT("00"&amp;VALUE(TRIM(MID(MID(Sync!$L258,FIND("/",Sync!$L258)+1,20),FIND("/",MID(Sync!$L258,FIND("/",Sync!$L258)+1,20))+1,20))),2),"")))</f>
        <v/>
      </c>
    </row>
    <row r="259">
      <c r="A259">
        <f>IF(Issues!$B262="","",Issues!$B262)</f>
        <v/>
      </c>
      <c r="B259">
        <f>IF($A259="","",IF(ISNUMBER(Issues!$C262),IF(AND(Issues!$C262&gt;=10000101,Issues!$C262&lt;=99991231),INT(Issues!$C262/10000),""),IFERROR(VALUE(TRIM(LEFT(Issues!$C262,FIND("/",Issues!$C262)-1))),"")))</f>
        <v/>
      </c>
      <c r="C259">
        <f>IF(OR($A259="",$B259=""),"",IF(ISNUMBER(Issues!$C262),INT(MOD(Issues!$C262,10000)/100),IFERROR(VALUE(TRIM(LEFT(MID(Issues!$C262,FIND("/",Issues!$C262)+1,20),FIND("/",MID(Issues!$C262,FIND("/",Issues!$C262)+1,20))-1))),"")))</f>
        <v/>
      </c>
      <c r="D259">
        <f>IF(OR($A259="",$B259=""),"",IF(ISNUMBER(Issues!$C262),MOD(Issues!$C262,100),IFERROR(VALUE(TRIM(MID(MID(Issues!$C262,FIND("/",Issues!$C262)+1,20),FIND("/",MID(Issues!$C262,FIND("/",Issues!$C262)+1,20))+1,20))),"")))</f>
        <v/>
      </c>
      <c r="E259">
        <f>IF($A259="","",IF(OR($B259="",$C259="",$D259="",$B259&lt;1300,$B259&gt;1500,$C259&lt;1,$C259&gt;12,$D259&lt;1,$D259&gt;31),"نامعتبر",RIGHT("0000"&amp;$B259,4)&amp;"/"&amp;RIGHT("00"&amp;$C259,2)&amp;"/"&amp;RIGHT("00"&amp;$D259,2)))</f>
        <v/>
      </c>
      <c r="F259">
        <f>IF($A259="","",IF(Issues!$D262="",0,Issues!$D262))</f>
        <v/>
      </c>
      <c r="G259">
        <f>IF($A259="","",Issues!$E262)</f>
        <v/>
      </c>
      <c r="H259">
        <f>IF($A259="","",IF(COUNTIFS(ETxnType,"پاس چک",ETxnChk,$A259)&gt;0,"پاس شده","پاس نشده"))</f>
        <v/>
      </c>
      <c r="I259">
        <f>IF($A259="","",IFERROR(INDEX(BClrDate,MATCH($A259,BClrChk,0)),""))</f>
        <v/>
      </c>
      <c r="J259">
        <f>IF($A259="","",Issues!$G262)</f>
        <v/>
      </c>
      <c r="K259">
        <f>IF(OR($E259="",$E259="نامعتبر"),"",LEFT($E259,4)&amp;MID($E259,6,2)&amp;RIGHT($E259,2)&amp;"|"&amp;RIGHT("00000"&amp;254,5))</f>
        <v/>
      </c>
      <c r="M259">
        <f>IF(Sync!$M259&lt;&gt;"پاس چک","",IF(Sync!$P259="","",Sync!$P259))</f>
        <v/>
      </c>
      <c r="N259">
        <f>IF($M259="","",IF(ISNUMBER(Sync!$L259),IF(AND(Sync!$L259&gt;=10000101,Sync!$L259&lt;=99991231),RIGHT("0000"&amp;INT(Sync!$L259/10000),4)&amp;"/"&amp;RIGHT("00"&amp;INT(MOD(Sync!$L259,10000)/100),2)&amp;"/"&amp;RIGHT("00"&amp;MOD(Sync!$L259,100),2),""),IFERROR(RIGHT("0000"&amp;VALUE(TRIM(LEFT(Sync!$L259,FIND("/",Sync!$L259)-1))),4)&amp;"/"&amp;RIGHT("00"&amp;VALUE(TRIM(LEFT(MID(Sync!$L259,FIND("/",Sync!$L259)+1,20),FIND("/",MID(Sync!$L259,FIND("/",Sync!$L259)+1,20))-1))),2)&amp;"/"&amp;RIGHT("00"&amp;VALUE(TRIM(MID(MID(Sync!$L259,FIND("/",Sync!$L259)+1,20),FIND("/",MID(Sync!$L259,FIND("/",Sync!$L259)+1,20))+1,20))),2),"")))</f>
        <v/>
      </c>
    </row>
    <row r="260">
      <c r="A260">
        <f>IF(Issues!$B263="","",Issues!$B263)</f>
        <v/>
      </c>
      <c r="B260">
        <f>IF($A260="","",IF(ISNUMBER(Issues!$C263),IF(AND(Issues!$C263&gt;=10000101,Issues!$C263&lt;=99991231),INT(Issues!$C263/10000),""),IFERROR(VALUE(TRIM(LEFT(Issues!$C263,FIND("/",Issues!$C263)-1))),"")))</f>
        <v/>
      </c>
      <c r="C260">
        <f>IF(OR($A260="",$B260=""),"",IF(ISNUMBER(Issues!$C263),INT(MOD(Issues!$C263,10000)/100),IFERROR(VALUE(TRIM(LEFT(MID(Issues!$C263,FIND("/",Issues!$C263)+1,20),FIND("/",MID(Issues!$C263,FIND("/",Issues!$C263)+1,20))-1))),"")))</f>
        <v/>
      </c>
      <c r="D260">
        <f>IF(OR($A260="",$B260=""),"",IF(ISNUMBER(Issues!$C263),MOD(Issues!$C263,100),IFERROR(VALUE(TRIM(MID(MID(Issues!$C263,FIND("/",Issues!$C263)+1,20),FIND("/",MID(Issues!$C263,FIND("/",Issues!$C263)+1,20))+1,20))),"")))</f>
        <v/>
      </c>
      <c r="E260">
        <f>IF($A260="","",IF(OR($B260="",$C260="",$D260="",$B260&lt;1300,$B260&gt;1500,$C260&lt;1,$C260&gt;12,$D260&lt;1,$D260&gt;31),"نامعتبر",RIGHT("0000"&amp;$B260,4)&amp;"/"&amp;RIGHT("00"&amp;$C260,2)&amp;"/"&amp;RIGHT("00"&amp;$D260,2)))</f>
        <v/>
      </c>
      <c r="F260">
        <f>IF($A260="","",IF(Issues!$D263="",0,Issues!$D263))</f>
        <v/>
      </c>
      <c r="G260">
        <f>IF($A260="","",Issues!$E263)</f>
        <v/>
      </c>
      <c r="H260">
        <f>IF($A260="","",IF(COUNTIFS(ETxnType,"پاس چک",ETxnChk,$A260)&gt;0,"پاس شده","پاس نشده"))</f>
        <v/>
      </c>
      <c r="I260">
        <f>IF($A260="","",IFERROR(INDEX(BClrDate,MATCH($A260,BClrChk,0)),""))</f>
        <v/>
      </c>
      <c r="J260">
        <f>IF($A260="","",Issues!$G263)</f>
        <v/>
      </c>
      <c r="K260">
        <f>IF(OR($E260="",$E260="نامعتبر"),"",LEFT($E260,4)&amp;MID($E260,6,2)&amp;RIGHT($E260,2)&amp;"|"&amp;RIGHT("00000"&amp;255,5))</f>
        <v/>
      </c>
      <c r="M260">
        <f>IF(Sync!$M260&lt;&gt;"پاس چک","",IF(Sync!$P260="","",Sync!$P260))</f>
        <v/>
      </c>
      <c r="N260">
        <f>IF($M260="","",IF(ISNUMBER(Sync!$L260),IF(AND(Sync!$L260&gt;=10000101,Sync!$L260&lt;=99991231),RIGHT("0000"&amp;INT(Sync!$L260/10000),4)&amp;"/"&amp;RIGHT("00"&amp;INT(MOD(Sync!$L260,10000)/100),2)&amp;"/"&amp;RIGHT("00"&amp;MOD(Sync!$L260,100),2),""),IFERROR(RIGHT("0000"&amp;VALUE(TRIM(LEFT(Sync!$L260,FIND("/",Sync!$L260)-1))),4)&amp;"/"&amp;RIGHT("00"&amp;VALUE(TRIM(LEFT(MID(Sync!$L260,FIND("/",Sync!$L260)+1,20),FIND("/",MID(Sync!$L260,FIND("/",Sync!$L260)+1,20))-1))),2)&amp;"/"&amp;RIGHT("00"&amp;VALUE(TRIM(MID(MID(Sync!$L260,FIND("/",Sync!$L260)+1,20),FIND("/",MID(Sync!$L260,FIND("/",Sync!$L260)+1,20))+1,20))),2),"")))</f>
        <v/>
      </c>
    </row>
    <row r="261">
      <c r="A261">
        <f>IF(Issues!$B264="","",Issues!$B264)</f>
        <v/>
      </c>
      <c r="B261">
        <f>IF($A261="","",IF(ISNUMBER(Issues!$C264),IF(AND(Issues!$C264&gt;=10000101,Issues!$C264&lt;=99991231),INT(Issues!$C264/10000),""),IFERROR(VALUE(TRIM(LEFT(Issues!$C264,FIND("/",Issues!$C264)-1))),"")))</f>
        <v/>
      </c>
      <c r="C261">
        <f>IF(OR($A261="",$B261=""),"",IF(ISNUMBER(Issues!$C264),INT(MOD(Issues!$C264,10000)/100),IFERROR(VALUE(TRIM(LEFT(MID(Issues!$C264,FIND("/",Issues!$C264)+1,20),FIND("/",MID(Issues!$C264,FIND("/",Issues!$C264)+1,20))-1))),"")))</f>
        <v/>
      </c>
      <c r="D261">
        <f>IF(OR($A261="",$B261=""),"",IF(ISNUMBER(Issues!$C264),MOD(Issues!$C264,100),IFERROR(VALUE(TRIM(MID(MID(Issues!$C264,FIND("/",Issues!$C264)+1,20),FIND("/",MID(Issues!$C264,FIND("/",Issues!$C264)+1,20))+1,20))),"")))</f>
        <v/>
      </c>
      <c r="E261">
        <f>IF($A261="","",IF(OR($B261="",$C261="",$D261="",$B261&lt;1300,$B261&gt;1500,$C261&lt;1,$C261&gt;12,$D261&lt;1,$D261&gt;31),"نامعتبر",RIGHT("0000"&amp;$B261,4)&amp;"/"&amp;RIGHT("00"&amp;$C261,2)&amp;"/"&amp;RIGHT("00"&amp;$D261,2)))</f>
        <v/>
      </c>
      <c r="F261">
        <f>IF($A261="","",IF(Issues!$D264="",0,Issues!$D264))</f>
        <v/>
      </c>
      <c r="G261">
        <f>IF($A261="","",Issues!$E264)</f>
        <v/>
      </c>
      <c r="H261">
        <f>IF($A261="","",IF(COUNTIFS(ETxnType,"پاس چک",ETxnChk,$A261)&gt;0,"پاس شده","پاس نشده"))</f>
        <v/>
      </c>
      <c r="I261">
        <f>IF($A261="","",IFERROR(INDEX(BClrDate,MATCH($A261,BClrChk,0)),""))</f>
        <v/>
      </c>
      <c r="J261">
        <f>IF($A261="","",Issues!$G264)</f>
        <v/>
      </c>
      <c r="K261">
        <f>IF(OR($E261="",$E261="نامعتبر"),"",LEFT($E261,4)&amp;MID($E261,6,2)&amp;RIGHT($E261,2)&amp;"|"&amp;RIGHT("00000"&amp;256,5))</f>
        <v/>
      </c>
      <c r="M261">
        <f>IF(Sync!$M261&lt;&gt;"پاس چک","",IF(Sync!$P261="","",Sync!$P261))</f>
        <v/>
      </c>
      <c r="N261">
        <f>IF($M261="","",IF(ISNUMBER(Sync!$L261),IF(AND(Sync!$L261&gt;=10000101,Sync!$L261&lt;=99991231),RIGHT("0000"&amp;INT(Sync!$L261/10000),4)&amp;"/"&amp;RIGHT("00"&amp;INT(MOD(Sync!$L261,10000)/100),2)&amp;"/"&amp;RIGHT("00"&amp;MOD(Sync!$L261,100),2),""),IFERROR(RIGHT("0000"&amp;VALUE(TRIM(LEFT(Sync!$L261,FIND("/",Sync!$L261)-1))),4)&amp;"/"&amp;RIGHT("00"&amp;VALUE(TRIM(LEFT(MID(Sync!$L261,FIND("/",Sync!$L261)+1,20),FIND("/",MID(Sync!$L261,FIND("/",Sync!$L261)+1,20))-1))),2)&amp;"/"&amp;RIGHT("00"&amp;VALUE(TRIM(MID(MID(Sync!$L261,FIND("/",Sync!$L261)+1,20),FIND("/",MID(Sync!$L261,FIND("/",Sync!$L261)+1,20))+1,20))),2),"")))</f>
        <v/>
      </c>
    </row>
    <row r="262">
      <c r="A262">
        <f>IF(Issues!$B265="","",Issues!$B265)</f>
        <v/>
      </c>
      <c r="B262">
        <f>IF($A262="","",IF(ISNUMBER(Issues!$C265),IF(AND(Issues!$C265&gt;=10000101,Issues!$C265&lt;=99991231),INT(Issues!$C265/10000),""),IFERROR(VALUE(TRIM(LEFT(Issues!$C265,FIND("/",Issues!$C265)-1))),"")))</f>
        <v/>
      </c>
      <c r="C262">
        <f>IF(OR($A262="",$B262=""),"",IF(ISNUMBER(Issues!$C265),INT(MOD(Issues!$C265,10000)/100),IFERROR(VALUE(TRIM(LEFT(MID(Issues!$C265,FIND("/",Issues!$C265)+1,20),FIND("/",MID(Issues!$C265,FIND("/",Issues!$C265)+1,20))-1))),"")))</f>
        <v/>
      </c>
      <c r="D262">
        <f>IF(OR($A262="",$B262=""),"",IF(ISNUMBER(Issues!$C265),MOD(Issues!$C265,100),IFERROR(VALUE(TRIM(MID(MID(Issues!$C265,FIND("/",Issues!$C265)+1,20),FIND("/",MID(Issues!$C265,FIND("/",Issues!$C265)+1,20))+1,20))),"")))</f>
        <v/>
      </c>
      <c r="E262">
        <f>IF($A262="","",IF(OR($B262="",$C262="",$D262="",$B262&lt;1300,$B262&gt;1500,$C262&lt;1,$C262&gt;12,$D262&lt;1,$D262&gt;31),"نامعتبر",RIGHT("0000"&amp;$B262,4)&amp;"/"&amp;RIGHT("00"&amp;$C262,2)&amp;"/"&amp;RIGHT("00"&amp;$D262,2)))</f>
        <v/>
      </c>
      <c r="F262">
        <f>IF($A262="","",IF(Issues!$D265="",0,Issues!$D265))</f>
        <v/>
      </c>
      <c r="G262">
        <f>IF($A262="","",Issues!$E265)</f>
        <v/>
      </c>
      <c r="H262">
        <f>IF($A262="","",IF(COUNTIFS(ETxnType,"پاس چک",ETxnChk,$A262)&gt;0,"پاس شده","پاس نشده"))</f>
        <v/>
      </c>
      <c r="I262">
        <f>IF($A262="","",IFERROR(INDEX(BClrDate,MATCH($A262,BClrChk,0)),""))</f>
        <v/>
      </c>
      <c r="J262">
        <f>IF($A262="","",Issues!$G265)</f>
        <v/>
      </c>
      <c r="K262">
        <f>IF(OR($E262="",$E262="نامعتبر"),"",LEFT($E262,4)&amp;MID($E262,6,2)&amp;RIGHT($E262,2)&amp;"|"&amp;RIGHT("00000"&amp;257,5))</f>
        <v/>
      </c>
      <c r="M262">
        <f>IF(Sync!$M262&lt;&gt;"پاس چک","",IF(Sync!$P262="","",Sync!$P262))</f>
        <v/>
      </c>
      <c r="N262">
        <f>IF($M262="","",IF(ISNUMBER(Sync!$L262),IF(AND(Sync!$L262&gt;=10000101,Sync!$L262&lt;=99991231),RIGHT("0000"&amp;INT(Sync!$L262/10000),4)&amp;"/"&amp;RIGHT("00"&amp;INT(MOD(Sync!$L262,10000)/100),2)&amp;"/"&amp;RIGHT("00"&amp;MOD(Sync!$L262,100),2),""),IFERROR(RIGHT("0000"&amp;VALUE(TRIM(LEFT(Sync!$L262,FIND("/",Sync!$L262)-1))),4)&amp;"/"&amp;RIGHT("00"&amp;VALUE(TRIM(LEFT(MID(Sync!$L262,FIND("/",Sync!$L262)+1,20),FIND("/",MID(Sync!$L262,FIND("/",Sync!$L262)+1,20))-1))),2)&amp;"/"&amp;RIGHT("00"&amp;VALUE(TRIM(MID(MID(Sync!$L262,FIND("/",Sync!$L262)+1,20),FIND("/",MID(Sync!$L262,FIND("/",Sync!$L262)+1,20))+1,20))),2),"")))</f>
        <v/>
      </c>
    </row>
    <row r="263">
      <c r="A263">
        <f>IF(Issues!$B266="","",Issues!$B266)</f>
        <v/>
      </c>
      <c r="B263">
        <f>IF($A263="","",IF(ISNUMBER(Issues!$C266),IF(AND(Issues!$C266&gt;=10000101,Issues!$C266&lt;=99991231),INT(Issues!$C266/10000),""),IFERROR(VALUE(TRIM(LEFT(Issues!$C266,FIND("/",Issues!$C266)-1))),"")))</f>
        <v/>
      </c>
      <c r="C263">
        <f>IF(OR($A263="",$B263=""),"",IF(ISNUMBER(Issues!$C266),INT(MOD(Issues!$C266,10000)/100),IFERROR(VALUE(TRIM(LEFT(MID(Issues!$C266,FIND("/",Issues!$C266)+1,20),FIND("/",MID(Issues!$C266,FIND("/",Issues!$C266)+1,20))-1))),"")))</f>
        <v/>
      </c>
      <c r="D263">
        <f>IF(OR($A263="",$B263=""),"",IF(ISNUMBER(Issues!$C266),MOD(Issues!$C266,100),IFERROR(VALUE(TRIM(MID(MID(Issues!$C266,FIND("/",Issues!$C266)+1,20),FIND("/",MID(Issues!$C266,FIND("/",Issues!$C266)+1,20))+1,20))),"")))</f>
        <v/>
      </c>
      <c r="E263">
        <f>IF($A263="","",IF(OR($B263="",$C263="",$D263="",$B263&lt;1300,$B263&gt;1500,$C263&lt;1,$C263&gt;12,$D263&lt;1,$D263&gt;31),"نامعتبر",RIGHT("0000"&amp;$B263,4)&amp;"/"&amp;RIGHT("00"&amp;$C263,2)&amp;"/"&amp;RIGHT("00"&amp;$D263,2)))</f>
        <v/>
      </c>
      <c r="F263">
        <f>IF($A263="","",IF(Issues!$D266="",0,Issues!$D266))</f>
        <v/>
      </c>
      <c r="G263">
        <f>IF($A263="","",Issues!$E266)</f>
        <v/>
      </c>
      <c r="H263">
        <f>IF($A263="","",IF(COUNTIFS(ETxnType,"پاس چک",ETxnChk,$A263)&gt;0,"پاس شده","پاس نشده"))</f>
        <v/>
      </c>
      <c r="I263">
        <f>IF($A263="","",IFERROR(INDEX(BClrDate,MATCH($A263,BClrChk,0)),""))</f>
        <v/>
      </c>
      <c r="J263">
        <f>IF($A263="","",Issues!$G266)</f>
        <v/>
      </c>
      <c r="K263">
        <f>IF(OR($E263="",$E263="نامعتبر"),"",LEFT($E263,4)&amp;MID($E263,6,2)&amp;RIGHT($E263,2)&amp;"|"&amp;RIGHT("00000"&amp;258,5))</f>
        <v/>
      </c>
      <c r="M263">
        <f>IF(Sync!$M263&lt;&gt;"پاس چک","",IF(Sync!$P263="","",Sync!$P263))</f>
        <v/>
      </c>
      <c r="N263">
        <f>IF($M263="","",IF(ISNUMBER(Sync!$L263),IF(AND(Sync!$L263&gt;=10000101,Sync!$L263&lt;=99991231),RIGHT("0000"&amp;INT(Sync!$L263/10000),4)&amp;"/"&amp;RIGHT("00"&amp;INT(MOD(Sync!$L263,10000)/100),2)&amp;"/"&amp;RIGHT("00"&amp;MOD(Sync!$L263,100),2),""),IFERROR(RIGHT("0000"&amp;VALUE(TRIM(LEFT(Sync!$L263,FIND("/",Sync!$L263)-1))),4)&amp;"/"&amp;RIGHT("00"&amp;VALUE(TRIM(LEFT(MID(Sync!$L263,FIND("/",Sync!$L263)+1,20),FIND("/",MID(Sync!$L263,FIND("/",Sync!$L263)+1,20))-1))),2)&amp;"/"&amp;RIGHT("00"&amp;VALUE(TRIM(MID(MID(Sync!$L263,FIND("/",Sync!$L263)+1,20),FIND("/",MID(Sync!$L263,FIND("/",Sync!$L263)+1,20))+1,20))),2),"")))</f>
        <v/>
      </c>
    </row>
    <row r="264">
      <c r="A264">
        <f>IF(Issues!$B267="","",Issues!$B267)</f>
        <v/>
      </c>
      <c r="B264">
        <f>IF($A264="","",IF(ISNUMBER(Issues!$C267),IF(AND(Issues!$C267&gt;=10000101,Issues!$C267&lt;=99991231),INT(Issues!$C267/10000),""),IFERROR(VALUE(TRIM(LEFT(Issues!$C267,FIND("/",Issues!$C267)-1))),"")))</f>
        <v/>
      </c>
      <c r="C264">
        <f>IF(OR($A264="",$B264=""),"",IF(ISNUMBER(Issues!$C267),INT(MOD(Issues!$C267,10000)/100),IFERROR(VALUE(TRIM(LEFT(MID(Issues!$C267,FIND("/",Issues!$C267)+1,20),FIND("/",MID(Issues!$C267,FIND("/",Issues!$C267)+1,20))-1))),"")))</f>
        <v/>
      </c>
      <c r="D264">
        <f>IF(OR($A264="",$B264=""),"",IF(ISNUMBER(Issues!$C267),MOD(Issues!$C267,100),IFERROR(VALUE(TRIM(MID(MID(Issues!$C267,FIND("/",Issues!$C267)+1,20),FIND("/",MID(Issues!$C267,FIND("/",Issues!$C267)+1,20))+1,20))),"")))</f>
        <v/>
      </c>
      <c r="E264">
        <f>IF($A264="","",IF(OR($B264="",$C264="",$D264="",$B264&lt;1300,$B264&gt;1500,$C264&lt;1,$C264&gt;12,$D264&lt;1,$D264&gt;31),"نامعتبر",RIGHT("0000"&amp;$B264,4)&amp;"/"&amp;RIGHT("00"&amp;$C264,2)&amp;"/"&amp;RIGHT("00"&amp;$D264,2)))</f>
        <v/>
      </c>
      <c r="F264">
        <f>IF($A264="","",IF(Issues!$D267="",0,Issues!$D267))</f>
        <v/>
      </c>
      <c r="G264">
        <f>IF($A264="","",Issues!$E267)</f>
        <v/>
      </c>
      <c r="H264">
        <f>IF($A264="","",IF(COUNTIFS(ETxnType,"پاس چک",ETxnChk,$A264)&gt;0,"پاس شده","پاس نشده"))</f>
        <v/>
      </c>
      <c r="I264">
        <f>IF($A264="","",IFERROR(INDEX(BClrDate,MATCH($A264,BClrChk,0)),""))</f>
        <v/>
      </c>
      <c r="J264">
        <f>IF($A264="","",Issues!$G267)</f>
        <v/>
      </c>
      <c r="K264">
        <f>IF(OR($E264="",$E264="نامعتبر"),"",LEFT($E264,4)&amp;MID($E264,6,2)&amp;RIGHT($E264,2)&amp;"|"&amp;RIGHT("00000"&amp;259,5))</f>
        <v/>
      </c>
      <c r="M264">
        <f>IF(Sync!$M264&lt;&gt;"پاس چک","",IF(Sync!$P264="","",Sync!$P264))</f>
        <v/>
      </c>
      <c r="N264">
        <f>IF($M264="","",IF(ISNUMBER(Sync!$L264),IF(AND(Sync!$L264&gt;=10000101,Sync!$L264&lt;=99991231),RIGHT("0000"&amp;INT(Sync!$L264/10000),4)&amp;"/"&amp;RIGHT("00"&amp;INT(MOD(Sync!$L264,10000)/100),2)&amp;"/"&amp;RIGHT("00"&amp;MOD(Sync!$L264,100),2),""),IFERROR(RIGHT("0000"&amp;VALUE(TRIM(LEFT(Sync!$L264,FIND("/",Sync!$L264)-1))),4)&amp;"/"&amp;RIGHT("00"&amp;VALUE(TRIM(LEFT(MID(Sync!$L264,FIND("/",Sync!$L264)+1,20),FIND("/",MID(Sync!$L264,FIND("/",Sync!$L264)+1,20))-1))),2)&amp;"/"&amp;RIGHT("00"&amp;VALUE(TRIM(MID(MID(Sync!$L264,FIND("/",Sync!$L264)+1,20),FIND("/",MID(Sync!$L264,FIND("/",Sync!$L264)+1,20))+1,20))),2),"")))</f>
        <v/>
      </c>
    </row>
    <row r="265">
      <c r="A265">
        <f>IF(Issues!$B268="","",Issues!$B268)</f>
        <v/>
      </c>
      <c r="B265">
        <f>IF($A265="","",IF(ISNUMBER(Issues!$C268),IF(AND(Issues!$C268&gt;=10000101,Issues!$C268&lt;=99991231),INT(Issues!$C268/10000),""),IFERROR(VALUE(TRIM(LEFT(Issues!$C268,FIND("/",Issues!$C268)-1))),"")))</f>
        <v/>
      </c>
      <c r="C265">
        <f>IF(OR($A265="",$B265=""),"",IF(ISNUMBER(Issues!$C268),INT(MOD(Issues!$C268,10000)/100),IFERROR(VALUE(TRIM(LEFT(MID(Issues!$C268,FIND("/",Issues!$C268)+1,20),FIND("/",MID(Issues!$C268,FIND("/",Issues!$C268)+1,20))-1))),"")))</f>
        <v/>
      </c>
      <c r="D265">
        <f>IF(OR($A265="",$B265=""),"",IF(ISNUMBER(Issues!$C268),MOD(Issues!$C268,100),IFERROR(VALUE(TRIM(MID(MID(Issues!$C268,FIND("/",Issues!$C268)+1,20),FIND("/",MID(Issues!$C268,FIND("/",Issues!$C268)+1,20))+1,20))),"")))</f>
        <v/>
      </c>
      <c r="E265">
        <f>IF($A265="","",IF(OR($B265="",$C265="",$D265="",$B265&lt;1300,$B265&gt;1500,$C265&lt;1,$C265&gt;12,$D265&lt;1,$D265&gt;31),"نامعتبر",RIGHT("0000"&amp;$B265,4)&amp;"/"&amp;RIGHT("00"&amp;$C265,2)&amp;"/"&amp;RIGHT("00"&amp;$D265,2)))</f>
        <v/>
      </c>
      <c r="F265">
        <f>IF($A265="","",IF(Issues!$D268="",0,Issues!$D268))</f>
        <v/>
      </c>
      <c r="G265">
        <f>IF($A265="","",Issues!$E268)</f>
        <v/>
      </c>
      <c r="H265">
        <f>IF($A265="","",IF(COUNTIFS(ETxnType,"پاس چک",ETxnChk,$A265)&gt;0,"پاس شده","پاس نشده"))</f>
        <v/>
      </c>
      <c r="I265">
        <f>IF($A265="","",IFERROR(INDEX(BClrDate,MATCH($A265,BClrChk,0)),""))</f>
        <v/>
      </c>
      <c r="J265">
        <f>IF($A265="","",Issues!$G268)</f>
        <v/>
      </c>
      <c r="K265">
        <f>IF(OR($E265="",$E265="نامعتبر"),"",LEFT($E265,4)&amp;MID($E265,6,2)&amp;RIGHT($E265,2)&amp;"|"&amp;RIGHT("00000"&amp;260,5))</f>
        <v/>
      </c>
      <c r="M265">
        <f>IF(Sync!$M265&lt;&gt;"پاس چک","",IF(Sync!$P265="","",Sync!$P265))</f>
        <v/>
      </c>
      <c r="N265">
        <f>IF($M265="","",IF(ISNUMBER(Sync!$L265),IF(AND(Sync!$L265&gt;=10000101,Sync!$L265&lt;=99991231),RIGHT("0000"&amp;INT(Sync!$L265/10000),4)&amp;"/"&amp;RIGHT("00"&amp;INT(MOD(Sync!$L265,10000)/100),2)&amp;"/"&amp;RIGHT("00"&amp;MOD(Sync!$L265,100),2),""),IFERROR(RIGHT("0000"&amp;VALUE(TRIM(LEFT(Sync!$L265,FIND("/",Sync!$L265)-1))),4)&amp;"/"&amp;RIGHT("00"&amp;VALUE(TRIM(LEFT(MID(Sync!$L265,FIND("/",Sync!$L265)+1,20),FIND("/",MID(Sync!$L265,FIND("/",Sync!$L265)+1,20))-1))),2)&amp;"/"&amp;RIGHT("00"&amp;VALUE(TRIM(MID(MID(Sync!$L265,FIND("/",Sync!$L265)+1,20),FIND("/",MID(Sync!$L265,FIND("/",Sync!$L265)+1,20))+1,20))),2),"")))</f>
        <v/>
      </c>
    </row>
    <row r="266">
      <c r="A266">
        <f>IF(Issues!$B269="","",Issues!$B269)</f>
        <v/>
      </c>
      <c r="B266">
        <f>IF($A266="","",IF(ISNUMBER(Issues!$C269),IF(AND(Issues!$C269&gt;=10000101,Issues!$C269&lt;=99991231),INT(Issues!$C269/10000),""),IFERROR(VALUE(TRIM(LEFT(Issues!$C269,FIND("/",Issues!$C269)-1))),"")))</f>
        <v/>
      </c>
      <c r="C266">
        <f>IF(OR($A266="",$B266=""),"",IF(ISNUMBER(Issues!$C269),INT(MOD(Issues!$C269,10000)/100),IFERROR(VALUE(TRIM(LEFT(MID(Issues!$C269,FIND("/",Issues!$C269)+1,20),FIND("/",MID(Issues!$C269,FIND("/",Issues!$C269)+1,20))-1))),"")))</f>
        <v/>
      </c>
      <c r="D266">
        <f>IF(OR($A266="",$B266=""),"",IF(ISNUMBER(Issues!$C269),MOD(Issues!$C269,100),IFERROR(VALUE(TRIM(MID(MID(Issues!$C269,FIND("/",Issues!$C269)+1,20),FIND("/",MID(Issues!$C269,FIND("/",Issues!$C269)+1,20))+1,20))),"")))</f>
        <v/>
      </c>
      <c r="E266">
        <f>IF($A266="","",IF(OR($B266="",$C266="",$D266="",$B266&lt;1300,$B266&gt;1500,$C266&lt;1,$C266&gt;12,$D266&lt;1,$D266&gt;31),"نامعتبر",RIGHT("0000"&amp;$B266,4)&amp;"/"&amp;RIGHT("00"&amp;$C266,2)&amp;"/"&amp;RIGHT("00"&amp;$D266,2)))</f>
        <v/>
      </c>
      <c r="F266">
        <f>IF($A266="","",IF(Issues!$D269="",0,Issues!$D269))</f>
        <v/>
      </c>
      <c r="G266">
        <f>IF($A266="","",Issues!$E269)</f>
        <v/>
      </c>
      <c r="H266">
        <f>IF($A266="","",IF(COUNTIFS(ETxnType,"پاس چک",ETxnChk,$A266)&gt;0,"پاس شده","پاس نشده"))</f>
        <v/>
      </c>
      <c r="I266">
        <f>IF($A266="","",IFERROR(INDEX(BClrDate,MATCH($A266,BClrChk,0)),""))</f>
        <v/>
      </c>
      <c r="J266">
        <f>IF($A266="","",Issues!$G269)</f>
        <v/>
      </c>
      <c r="K266">
        <f>IF(OR($E266="",$E266="نامعتبر"),"",LEFT($E266,4)&amp;MID($E266,6,2)&amp;RIGHT($E266,2)&amp;"|"&amp;RIGHT("00000"&amp;261,5))</f>
        <v/>
      </c>
      <c r="M266">
        <f>IF(Sync!$M266&lt;&gt;"پاس چک","",IF(Sync!$P266="","",Sync!$P266))</f>
        <v/>
      </c>
      <c r="N266">
        <f>IF($M266="","",IF(ISNUMBER(Sync!$L266),IF(AND(Sync!$L266&gt;=10000101,Sync!$L266&lt;=99991231),RIGHT("0000"&amp;INT(Sync!$L266/10000),4)&amp;"/"&amp;RIGHT("00"&amp;INT(MOD(Sync!$L266,10000)/100),2)&amp;"/"&amp;RIGHT("00"&amp;MOD(Sync!$L266,100),2),""),IFERROR(RIGHT("0000"&amp;VALUE(TRIM(LEFT(Sync!$L266,FIND("/",Sync!$L266)-1))),4)&amp;"/"&amp;RIGHT("00"&amp;VALUE(TRIM(LEFT(MID(Sync!$L266,FIND("/",Sync!$L266)+1,20),FIND("/",MID(Sync!$L266,FIND("/",Sync!$L266)+1,20))-1))),2)&amp;"/"&amp;RIGHT("00"&amp;VALUE(TRIM(MID(MID(Sync!$L266,FIND("/",Sync!$L266)+1,20),FIND("/",MID(Sync!$L266,FIND("/",Sync!$L266)+1,20))+1,20))),2),"")))</f>
        <v/>
      </c>
    </row>
    <row r="267">
      <c r="A267">
        <f>IF(Issues!$B270="","",Issues!$B270)</f>
        <v/>
      </c>
      <c r="B267">
        <f>IF($A267="","",IF(ISNUMBER(Issues!$C270),IF(AND(Issues!$C270&gt;=10000101,Issues!$C270&lt;=99991231),INT(Issues!$C270/10000),""),IFERROR(VALUE(TRIM(LEFT(Issues!$C270,FIND("/",Issues!$C270)-1))),"")))</f>
        <v/>
      </c>
      <c r="C267">
        <f>IF(OR($A267="",$B267=""),"",IF(ISNUMBER(Issues!$C270),INT(MOD(Issues!$C270,10000)/100),IFERROR(VALUE(TRIM(LEFT(MID(Issues!$C270,FIND("/",Issues!$C270)+1,20),FIND("/",MID(Issues!$C270,FIND("/",Issues!$C270)+1,20))-1))),"")))</f>
        <v/>
      </c>
      <c r="D267">
        <f>IF(OR($A267="",$B267=""),"",IF(ISNUMBER(Issues!$C270),MOD(Issues!$C270,100),IFERROR(VALUE(TRIM(MID(MID(Issues!$C270,FIND("/",Issues!$C270)+1,20),FIND("/",MID(Issues!$C270,FIND("/",Issues!$C270)+1,20))+1,20))),"")))</f>
        <v/>
      </c>
      <c r="E267">
        <f>IF($A267="","",IF(OR($B267="",$C267="",$D267="",$B267&lt;1300,$B267&gt;1500,$C267&lt;1,$C267&gt;12,$D267&lt;1,$D267&gt;31),"نامعتبر",RIGHT("0000"&amp;$B267,4)&amp;"/"&amp;RIGHT("00"&amp;$C267,2)&amp;"/"&amp;RIGHT("00"&amp;$D267,2)))</f>
        <v/>
      </c>
      <c r="F267">
        <f>IF($A267="","",IF(Issues!$D270="",0,Issues!$D270))</f>
        <v/>
      </c>
      <c r="G267">
        <f>IF($A267="","",Issues!$E270)</f>
        <v/>
      </c>
      <c r="H267">
        <f>IF($A267="","",IF(COUNTIFS(ETxnType,"پاس چک",ETxnChk,$A267)&gt;0,"پاس شده","پاس نشده"))</f>
        <v/>
      </c>
      <c r="I267">
        <f>IF($A267="","",IFERROR(INDEX(BClrDate,MATCH($A267,BClrChk,0)),""))</f>
        <v/>
      </c>
      <c r="J267">
        <f>IF($A267="","",Issues!$G270)</f>
        <v/>
      </c>
      <c r="K267">
        <f>IF(OR($E267="",$E267="نامعتبر"),"",LEFT($E267,4)&amp;MID($E267,6,2)&amp;RIGHT($E267,2)&amp;"|"&amp;RIGHT("00000"&amp;262,5))</f>
        <v/>
      </c>
      <c r="M267">
        <f>IF(Sync!$M267&lt;&gt;"پاس چک","",IF(Sync!$P267="","",Sync!$P267))</f>
        <v/>
      </c>
      <c r="N267">
        <f>IF($M267="","",IF(ISNUMBER(Sync!$L267),IF(AND(Sync!$L267&gt;=10000101,Sync!$L267&lt;=99991231),RIGHT("0000"&amp;INT(Sync!$L267/10000),4)&amp;"/"&amp;RIGHT("00"&amp;INT(MOD(Sync!$L267,10000)/100),2)&amp;"/"&amp;RIGHT("00"&amp;MOD(Sync!$L267,100),2),""),IFERROR(RIGHT("0000"&amp;VALUE(TRIM(LEFT(Sync!$L267,FIND("/",Sync!$L267)-1))),4)&amp;"/"&amp;RIGHT("00"&amp;VALUE(TRIM(LEFT(MID(Sync!$L267,FIND("/",Sync!$L267)+1,20),FIND("/",MID(Sync!$L267,FIND("/",Sync!$L267)+1,20))-1))),2)&amp;"/"&amp;RIGHT("00"&amp;VALUE(TRIM(MID(MID(Sync!$L267,FIND("/",Sync!$L267)+1,20),FIND("/",MID(Sync!$L267,FIND("/",Sync!$L267)+1,20))+1,20))),2),"")))</f>
        <v/>
      </c>
    </row>
    <row r="268">
      <c r="A268">
        <f>IF(Issues!$B271="","",Issues!$B271)</f>
        <v/>
      </c>
      <c r="B268">
        <f>IF($A268="","",IF(ISNUMBER(Issues!$C271),IF(AND(Issues!$C271&gt;=10000101,Issues!$C271&lt;=99991231),INT(Issues!$C271/10000),""),IFERROR(VALUE(TRIM(LEFT(Issues!$C271,FIND("/",Issues!$C271)-1))),"")))</f>
        <v/>
      </c>
      <c r="C268">
        <f>IF(OR($A268="",$B268=""),"",IF(ISNUMBER(Issues!$C271),INT(MOD(Issues!$C271,10000)/100),IFERROR(VALUE(TRIM(LEFT(MID(Issues!$C271,FIND("/",Issues!$C271)+1,20),FIND("/",MID(Issues!$C271,FIND("/",Issues!$C271)+1,20))-1))),"")))</f>
        <v/>
      </c>
      <c r="D268">
        <f>IF(OR($A268="",$B268=""),"",IF(ISNUMBER(Issues!$C271),MOD(Issues!$C271,100),IFERROR(VALUE(TRIM(MID(MID(Issues!$C271,FIND("/",Issues!$C271)+1,20),FIND("/",MID(Issues!$C271,FIND("/",Issues!$C271)+1,20))+1,20))),"")))</f>
        <v/>
      </c>
      <c r="E268">
        <f>IF($A268="","",IF(OR($B268="",$C268="",$D268="",$B268&lt;1300,$B268&gt;1500,$C268&lt;1,$C268&gt;12,$D268&lt;1,$D268&gt;31),"نامعتبر",RIGHT("0000"&amp;$B268,4)&amp;"/"&amp;RIGHT("00"&amp;$C268,2)&amp;"/"&amp;RIGHT("00"&amp;$D268,2)))</f>
        <v/>
      </c>
      <c r="F268">
        <f>IF($A268="","",IF(Issues!$D271="",0,Issues!$D271))</f>
        <v/>
      </c>
      <c r="G268">
        <f>IF($A268="","",Issues!$E271)</f>
        <v/>
      </c>
      <c r="H268">
        <f>IF($A268="","",IF(COUNTIFS(ETxnType,"پاس چک",ETxnChk,$A268)&gt;0,"پاس شده","پاس نشده"))</f>
        <v/>
      </c>
      <c r="I268">
        <f>IF($A268="","",IFERROR(INDEX(BClrDate,MATCH($A268,BClrChk,0)),""))</f>
        <v/>
      </c>
      <c r="J268">
        <f>IF($A268="","",Issues!$G271)</f>
        <v/>
      </c>
      <c r="K268">
        <f>IF(OR($E268="",$E268="نامعتبر"),"",LEFT($E268,4)&amp;MID($E268,6,2)&amp;RIGHT($E268,2)&amp;"|"&amp;RIGHT("00000"&amp;263,5))</f>
        <v/>
      </c>
      <c r="M268">
        <f>IF(Sync!$M268&lt;&gt;"پاس چک","",IF(Sync!$P268="","",Sync!$P268))</f>
        <v/>
      </c>
      <c r="N268">
        <f>IF($M268="","",IF(ISNUMBER(Sync!$L268),IF(AND(Sync!$L268&gt;=10000101,Sync!$L268&lt;=99991231),RIGHT("0000"&amp;INT(Sync!$L268/10000),4)&amp;"/"&amp;RIGHT("00"&amp;INT(MOD(Sync!$L268,10000)/100),2)&amp;"/"&amp;RIGHT("00"&amp;MOD(Sync!$L268,100),2),""),IFERROR(RIGHT("0000"&amp;VALUE(TRIM(LEFT(Sync!$L268,FIND("/",Sync!$L268)-1))),4)&amp;"/"&amp;RIGHT("00"&amp;VALUE(TRIM(LEFT(MID(Sync!$L268,FIND("/",Sync!$L268)+1,20),FIND("/",MID(Sync!$L268,FIND("/",Sync!$L268)+1,20))-1))),2)&amp;"/"&amp;RIGHT("00"&amp;VALUE(TRIM(MID(MID(Sync!$L268,FIND("/",Sync!$L268)+1,20),FIND("/",MID(Sync!$L268,FIND("/",Sync!$L268)+1,20))+1,20))),2),"")))</f>
        <v/>
      </c>
    </row>
    <row r="269">
      <c r="A269">
        <f>IF(Issues!$B272="","",Issues!$B272)</f>
        <v/>
      </c>
      <c r="B269">
        <f>IF($A269="","",IF(ISNUMBER(Issues!$C272),IF(AND(Issues!$C272&gt;=10000101,Issues!$C272&lt;=99991231),INT(Issues!$C272/10000),""),IFERROR(VALUE(TRIM(LEFT(Issues!$C272,FIND("/",Issues!$C272)-1))),"")))</f>
        <v/>
      </c>
      <c r="C269">
        <f>IF(OR($A269="",$B269=""),"",IF(ISNUMBER(Issues!$C272),INT(MOD(Issues!$C272,10000)/100),IFERROR(VALUE(TRIM(LEFT(MID(Issues!$C272,FIND("/",Issues!$C272)+1,20),FIND("/",MID(Issues!$C272,FIND("/",Issues!$C272)+1,20))-1))),"")))</f>
        <v/>
      </c>
      <c r="D269">
        <f>IF(OR($A269="",$B269=""),"",IF(ISNUMBER(Issues!$C272),MOD(Issues!$C272,100),IFERROR(VALUE(TRIM(MID(MID(Issues!$C272,FIND("/",Issues!$C272)+1,20),FIND("/",MID(Issues!$C272,FIND("/",Issues!$C272)+1,20))+1,20))),"")))</f>
        <v/>
      </c>
      <c r="E269">
        <f>IF($A269="","",IF(OR($B269="",$C269="",$D269="",$B269&lt;1300,$B269&gt;1500,$C269&lt;1,$C269&gt;12,$D269&lt;1,$D269&gt;31),"نامعتبر",RIGHT("0000"&amp;$B269,4)&amp;"/"&amp;RIGHT("00"&amp;$C269,2)&amp;"/"&amp;RIGHT("00"&amp;$D269,2)))</f>
        <v/>
      </c>
      <c r="F269">
        <f>IF($A269="","",IF(Issues!$D272="",0,Issues!$D272))</f>
        <v/>
      </c>
      <c r="G269">
        <f>IF($A269="","",Issues!$E272)</f>
        <v/>
      </c>
      <c r="H269">
        <f>IF($A269="","",IF(COUNTIFS(ETxnType,"پاس چک",ETxnChk,$A269)&gt;0,"پاس شده","پاس نشده"))</f>
        <v/>
      </c>
      <c r="I269">
        <f>IF($A269="","",IFERROR(INDEX(BClrDate,MATCH($A269,BClrChk,0)),""))</f>
        <v/>
      </c>
      <c r="J269">
        <f>IF($A269="","",Issues!$G272)</f>
        <v/>
      </c>
      <c r="K269">
        <f>IF(OR($E269="",$E269="نامعتبر"),"",LEFT($E269,4)&amp;MID($E269,6,2)&amp;RIGHT($E269,2)&amp;"|"&amp;RIGHT("00000"&amp;264,5))</f>
        <v/>
      </c>
      <c r="M269">
        <f>IF(Sync!$M269&lt;&gt;"پاس چک","",IF(Sync!$P269="","",Sync!$P269))</f>
        <v/>
      </c>
      <c r="N269">
        <f>IF($M269="","",IF(ISNUMBER(Sync!$L269),IF(AND(Sync!$L269&gt;=10000101,Sync!$L269&lt;=99991231),RIGHT("0000"&amp;INT(Sync!$L269/10000),4)&amp;"/"&amp;RIGHT("00"&amp;INT(MOD(Sync!$L269,10000)/100),2)&amp;"/"&amp;RIGHT("00"&amp;MOD(Sync!$L269,100),2),""),IFERROR(RIGHT("0000"&amp;VALUE(TRIM(LEFT(Sync!$L269,FIND("/",Sync!$L269)-1))),4)&amp;"/"&amp;RIGHT("00"&amp;VALUE(TRIM(LEFT(MID(Sync!$L269,FIND("/",Sync!$L269)+1,20),FIND("/",MID(Sync!$L269,FIND("/",Sync!$L269)+1,20))-1))),2)&amp;"/"&amp;RIGHT("00"&amp;VALUE(TRIM(MID(MID(Sync!$L269,FIND("/",Sync!$L269)+1,20),FIND("/",MID(Sync!$L269,FIND("/",Sync!$L269)+1,20))+1,20))),2),"")))</f>
        <v/>
      </c>
    </row>
    <row r="270">
      <c r="A270">
        <f>IF(Issues!$B273="","",Issues!$B273)</f>
        <v/>
      </c>
      <c r="B270">
        <f>IF($A270="","",IF(ISNUMBER(Issues!$C273),IF(AND(Issues!$C273&gt;=10000101,Issues!$C273&lt;=99991231),INT(Issues!$C273/10000),""),IFERROR(VALUE(TRIM(LEFT(Issues!$C273,FIND("/",Issues!$C273)-1))),"")))</f>
        <v/>
      </c>
      <c r="C270">
        <f>IF(OR($A270="",$B270=""),"",IF(ISNUMBER(Issues!$C273),INT(MOD(Issues!$C273,10000)/100),IFERROR(VALUE(TRIM(LEFT(MID(Issues!$C273,FIND("/",Issues!$C273)+1,20),FIND("/",MID(Issues!$C273,FIND("/",Issues!$C273)+1,20))-1))),"")))</f>
        <v/>
      </c>
      <c r="D270">
        <f>IF(OR($A270="",$B270=""),"",IF(ISNUMBER(Issues!$C273),MOD(Issues!$C273,100),IFERROR(VALUE(TRIM(MID(MID(Issues!$C273,FIND("/",Issues!$C273)+1,20),FIND("/",MID(Issues!$C273,FIND("/",Issues!$C273)+1,20))+1,20))),"")))</f>
        <v/>
      </c>
      <c r="E270">
        <f>IF($A270="","",IF(OR($B270="",$C270="",$D270="",$B270&lt;1300,$B270&gt;1500,$C270&lt;1,$C270&gt;12,$D270&lt;1,$D270&gt;31),"نامعتبر",RIGHT("0000"&amp;$B270,4)&amp;"/"&amp;RIGHT("00"&amp;$C270,2)&amp;"/"&amp;RIGHT("00"&amp;$D270,2)))</f>
        <v/>
      </c>
      <c r="F270">
        <f>IF($A270="","",IF(Issues!$D273="",0,Issues!$D273))</f>
        <v/>
      </c>
      <c r="G270">
        <f>IF($A270="","",Issues!$E273)</f>
        <v/>
      </c>
      <c r="H270">
        <f>IF($A270="","",IF(COUNTIFS(ETxnType,"پاس چک",ETxnChk,$A270)&gt;0,"پاس شده","پاس نشده"))</f>
        <v/>
      </c>
      <c r="I270">
        <f>IF($A270="","",IFERROR(INDEX(BClrDate,MATCH($A270,BClrChk,0)),""))</f>
        <v/>
      </c>
      <c r="J270">
        <f>IF($A270="","",Issues!$G273)</f>
        <v/>
      </c>
      <c r="K270">
        <f>IF(OR($E270="",$E270="نامعتبر"),"",LEFT($E270,4)&amp;MID($E270,6,2)&amp;RIGHT($E270,2)&amp;"|"&amp;RIGHT("00000"&amp;265,5))</f>
        <v/>
      </c>
      <c r="M270">
        <f>IF(Sync!$M270&lt;&gt;"پاس چک","",IF(Sync!$P270="","",Sync!$P270))</f>
        <v/>
      </c>
      <c r="N270">
        <f>IF($M270="","",IF(ISNUMBER(Sync!$L270),IF(AND(Sync!$L270&gt;=10000101,Sync!$L270&lt;=99991231),RIGHT("0000"&amp;INT(Sync!$L270/10000),4)&amp;"/"&amp;RIGHT("00"&amp;INT(MOD(Sync!$L270,10000)/100),2)&amp;"/"&amp;RIGHT("00"&amp;MOD(Sync!$L270,100),2),""),IFERROR(RIGHT("0000"&amp;VALUE(TRIM(LEFT(Sync!$L270,FIND("/",Sync!$L270)-1))),4)&amp;"/"&amp;RIGHT("00"&amp;VALUE(TRIM(LEFT(MID(Sync!$L270,FIND("/",Sync!$L270)+1,20),FIND("/",MID(Sync!$L270,FIND("/",Sync!$L270)+1,20))-1))),2)&amp;"/"&amp;RIGHT("00"&amp;VALUE(TRIM(MID(MID(Sync!$L270,FIND("/",Sync!$L270)+1,20),FIND("/",MID(Sync!$L270,FIND("/",Sync!$L270)+1,20))+1,20))),2),"")))</f>
        <v/>
      </c>
    </row>
    <row r="271">
      <c r="A271">
        <f>IF(Issues!$B274="","",Issues!$B274)</f>
        <v/>
      </c>
      <c r="B271">
        <f>IF($A271="","",IF(ISNUMBER(Issues!$C274),IF(AND(Issues!$C274&gt;=10000101,Issues!$C274&lt;=99991231),INT(Issues!$C274/10000),""),IFERROR(VALUE(TRIM(LEFT(Issues!$C274,FIND("/",Issues!$C274)-1))),"")))</f>
        <v/>
      </c>
      <c r="C271">
        <f>IF(OR($A271="",$B271=""),"",IF(ISNUMBER(Issues!$C274),INT(MOD(Issues!$C274,10000)/100),IFERROR(VALUE(TRIM(LEFT(MID(Issues!$C274,FIND("/",Issues!$C274)+1,20),FIND("/",MID(Issues!$C274,FIND("/",Issues!$C274)+1,20))-1))),"")))</f>
        <v/>
      </c>
      <c r="D271">
        <f>IF(OR($A271="",$B271=""),"",IF(ISNUMBER(Issues!$C274),MOD(Issues!$C274,100),IFERROR(VALUE(TRIM(MID(MID(Issues!$C274,FIND("/",Issues!$C274)+1,20),FIND("/",MID(Issues!$C274,FIND("/",Issues!$C274)+1,20))+1,20))),"")))</f>
        <v/>
      </c>
      <c r="E271">
        <f>IF($A271="","",IF(OR($B271="",$C271="",$D271="",$B271&lt;1300,$B271&gt;1500,$C271&lt;1,$C271&gt;12,$D271&lt;1,$D271&gt;31),"نامعتبر",RIGHT("0000"&amp;$B271,4)&amp;"/"&amp;RIGHT("00"&amp;$C271,2)&amp;"/"&amp;RIGHT("00"&amp;$D271,2)))</f>
        <v/>
      </c>
      <c r="F271">
        <f>IF($A271="","",IF(Issues!$D274="",0,Issues!$D274))</f>
        <v/>
      </c>
      <c r="G271">
        <f>IF($A271="","",Issues!$E274)</f>
        <v/>
      </c>
      <c r="H271">
        <f>IF($A271="","",IF(COUNTIFS(ETxnType,"پاس چک",ETxnChk,$A271)&gt;0,"پاس شده","پاس نشده"))</f>
        <v/>
      </c>
      <c r="I271">
        <f>IF($A271="","",IFERROR(INDEX(BClrDate,MATCH($A271,BClrChk,0)),""))</f>
        <v/>
      </c>
      <c r="J271">
        <f>IF($A271="","",Issues!$G274)</f>
        <v/>
      </c>
      <c r="K271">
        <f>IF(OR($E271="",$E271="نامعتبر"),"",LEFT($E271,4)&amp;MID($E271,6,2)&amp;RIGHT($E271,2)&amp;"|"&amp;RIGHT("00000"&amp;266,5))</f>
        <v/>
      </c>
      <c r="M271">
        <f>IF(Sync!$M271&lt;&gt;"پاس چک","",IF(Sync!$P271="","",Sync!$P271))</f>
        <v/>
      </c>
      <c r="N271">
        <f>IF($M271="","",IF(ISNUMBER(Sync!$L271),IF(AND(Sync!$L271&gt;=10000101,Sync!$L271&lt;=99991231),RIGHT("0000"&amp;INT(Sync!$L271/10000),4)&amp;"/"&amp;RIGHT("00"&amp;INT(MOD(Sync!$L271,10000)/100),2)&amp;"/"&amp;RIGHT("00"&amp;MOD(Sync!$L271,100),2),""),IFERROR(RIGHT("0000"&amp;VALUE(TRIM(LEFT(Sync!$L271,FIND("/",Sync!$L271)-1))),4)&amp;"/"&amp;RIGHT("00"&amp;VALUE(TRIM(LEFT(MID(Sync!$L271,FIND("/",Sync!$L271)+1,20),FIND("/",MID(Sync!$L271,FIND("/",Sync!$L271)+1,20))-1))),2)&amp;"/"&amp;RIGHT("00"&amp;VALUE(TRIM(MID(MID(Sync!$L271,FIND("/",Sync!$L271)+1,20),FIND("/",MID(Sync!$L271,FIND("/",Sync!$L271)+1,20))+1,20))),2),"")))</f>
        <v/>
      </c>
    </row>
    <row r="272">
      <c r="A272">
        <f>IF(Issues!$B275="","",Issues!$B275)</f>
        <v/>
      </c>
      <c r="B272">
        <f>IF($A272="","",IF(ISNUMBER(Issues!$C275),IF(AND(Issues!$C275&gt;=10000101,Issues!$C275&lt;=99991231),INT(Issues!$C275/10000),""),IFERROR(VALUE(TRIM(LEFT(Issues!$C275,FIND("/",Issues!$C275)-1))),"")))</f>
        <v/>
      </c>
      <c r="C272">
        <f>IF(OR($A272="",$B272=""),"",IF(ISNUMBER(Issues!$C275),INT(MOD(Issues!$C275,10000)/100),IFERROR(VALUE(TRIM(LEFT(MID(Issues!$C275,FIND("/",Issues!$C275)+1,20),FIND("/",MID(Issues!$C275,FIND("/",Issues!$C275)+1,20))-1))),"")))</f>
        <v/>
      </c>
      <c r="D272">
        <f>IF(OR($A272="",$B272=""),"",IF(ISNUMBER(Issues!$C275),MOD(Issues!$C275,100),IFERROR(VALUE(TRIM(MID(MID(Issues!$C275,FIND("/",Issues!$C275)+1,20),FIND("/",MID(Issues!$C275,FIND("/",Issues!$C275)+1,20))+1,20))),"")))</f>
        <v/>
      </c>
      <c r="E272">
        <f>IF($A272="","",IF(OR($B272="",$C272="",$D272="",$B272&lt;1300,$B272&gt;1500,$C272&lt;1,$C272&gt;12,$D272&lt;1,$D272&gt;31),"نامعتبر",RIGHT("0000"&amp;$B272,4)&amp;"/"&amp;RIGHT("00"&amp;$C272,2)&amp;"/"&amp;RIGHT("00"&amp;$D272,2)))</f>
        <v/>
      </c>
      <c r="F272">
        <f>IF($A272="","",IF(Issues!$D275="",0,Issues!$D275))</f>
        <v/>
      </c>
      <c r="G272">
        <f>IF($A272="","",Issues!$E275)</f>
        <v/>
      </c>
      <c r="H272">
        <f>IF($A272="","",IF(COUNTIFS(ETxnType,"پاس چک",ETxnChk,$A272)&gt;0,"پاس شده","پاس نشده"))</f>
        <v/>
      </c>
      <c r="I272">
        <f>IF($A272="","",IFERROR(INDEX(BClrDate,MATCH($A272,BClrChk,0)),""))</f>
        <v/>
      </c>
      <c r="J272">
        <f>IF($A272="","",Issues!$G275)</f>
        <v/>
      </c>
      <c r="K272">
        <f>IF(OR($E272="",$E272="نامعتبر"),"",LEFT($E272,4)&amp;MID($E272,6,2)&amp;RIGHT($E272,2)&amp;"|"&amp;RIGHT("00000"&amp;267,5))</f>
        <v/>
      </c>
      <c r="M272">
        <f>IF(Sync!$M272&lt;&gt;"پاس چک","",IF(Sync!$P272="","",Sync!$P272))</f>
        <v/>
      </c>
      <c r="N272">
        <f>IF($M272="","",IF(ISNUMBER(Sync!$L272),IF(AND(Sync!$L272&gt;=10000101,Sync!$L272&lt;=99991231),RIGHT("0000"&amp;INT(Sync!$L272/10000),4)&amp;"/"&amp;RIGHT("00"&amp;INT(MOD(Sync!$L272,10000)/100),2)&amp;"/"&amp;RIGHT("00"&amp;MOD(Sync!$L272,100),2),""),IFERROR(RIGHT("0000"&amp;VALUE(TRIM(LEFT(Sync!$L272,FIND("/",Sync!$L272)-1))),4)&amp;"/"&amp;RIGHT("00"&amp;VALUE(TRIM(LEFT(MID(Sync!$L272,FIND("/",Sync!$L272)+1,20),FIND("/",MID(Sync!$L272,FIND("/",Sync!$L272)+1,20))-1))),2)&amp;"/"&amp;RIGHT("00"&amp;VALUE(TRIM(MID(MID(Sync!$L272,FIND("/",Sync!$L272)+1,20),FIND("/",MID(Sync!$L272,FIND("/",Sync!$L272)+1,20))+1,20))),2),"")))</f>
        <v/>
      </c>
    </row>
    <row r="273">
      <c r="A273">
        <f>IF(Issues!$B276="","",Issues!$B276)</f>
        <v/>
      </c>
      <c r="B273">
        <f>IF($A273="","",IF(ISNUMBER(Issues!$C276),IF(AND(Issues!$C276&gt;=10000101,Issues!$C276&lt;=99991231),INT(Issues!$C276/10000),""),IFERROR(VALUE(TRIM(LEFT(Issues!$C276,FIND("/",Issues!$C276)-1))),"")))</f>
        <v/>
      </c>
      <c r="C273">
        <f>IF(OR($A273="",$B273=""),"",IF(ISNUMBER(Issues!$C276),INT(MOD(Issues!$C276,10000)/100),IFERROR(VALUE(TRIM(LEFT(MID(Issues!$C276,FIND("/",Issues!$C276)+1,20),FIND("/",MID(Issues!$C276,FIND("/",Issues!$C276)+1,20))-1))),"")))</f>
        <v/>
      </c>
      <c r="D273">
        <f>IF(OR($A273="",$B273=""),"",IF(ISNUMBER(Issues!$C276),MOD(Issues!$C276,100),IFERROR(VALUE(TRIM(MID(MID(Issues!$C276,FIND("/",Issues!$C276)+1,20),FIND("/",MID(Issues!$C276,FIND("/",Issues!$C276)+1,20))+1,20))),"")))</f>
        <v/>
      </c>
      <c r="E273">
        <f>IF($A273="","",IF(OR($B273="",$C273="",$D273="",$B273&lt;1300,$B273&gt;1500,$C273&lt;1,$C273&gt;12,$D273&lt;1,$D273&gt;31),"نامعتبر",RIGHT("0000"&amp;$B273,4)&amp;"/"&amp;RIGHT("00"&amp;$C273,2)&amp;"/"&amp;RIGHT("00"&amp;$D273,2)))</f>
        <v/>
      </c>
      <c r="F273">
        <f>IF($A273="","",IF(Issues!$D276="",0,Issues!$D276))</f>
        <v/>
      </c>
      <c r="G273">
        <f>IF($A273="","",Issues!$E276)</f>
        <v/>
      </c>
      <c r="H273">
        <f>IF($A273="","",IF(COUNTIFS(ETxnType,"پاس چک",ETxnChk,$A273)&gt;0,"پاس شده","پاس نشده"))</f>
        <v/>
      </c>
      <c r="I273">
        <f>IF($A273="","",IFERROR(INDEX(BClrDate,MATCH($A273,BClrChk,0)),""))</f>
        <v/>
      </c>
      <c r="J273">
        <f>IF($A273="","",Issues!$G276)</f>
        <v/>
      </c>
      <c r="K273">
        <f>IF(OR($E273="",$E273="نامعتبر"),"",LEFT($E273,4)&amp;MID($E273,6,2)&amp;RIGHT($E273,2)&amp;"|"&amp;RIGHT("00000"&amp;268,5))</f>
        <v/>
      </c>
      <c r="M273">
        <f>IF(Sync!$M273&lt;&gt;"پاس چک","",IF(Sync!$P273="","",Sync!$P273))</f>
        <v/>
      </c>
      <c r="N273">
        <f>IF($M273="","",IF(ISNUMBER(Sync!$L273),IF(AND(Sync!$L273&gt;=10000101,Sync!$L273&lt;=99991231),RIGHT("0000"&amp;INT(Sync!$L273/10000),4)&amp;"/"&amp;RIGHT("00"&amp;INT(MOD(Sync!$L273,10000)/100),2)&amp;"/"&amp;RIGHT("00"&amp;MOD(Sync!$L273,100),2),""),IFERROR(RIGHT("0000"&amp;VALUE(TRIM(LEFT(Sync!$L273,FIND("/",Sync!$L273)-1))),4)&amp;"/"&amp;RIGHT("00"&amp;VALUE(TRIM(LEFT(MID(Sync!$L273,FIND("/",Sync!$L273)+1,20),FIND("/",MID(Sync!$L273,FIND("/",Sync!$L273)+1,20))-1))),2)&amp;"/"&amp;RIGHT("00"&amp;VALUE(TRIM(MID(MID(Sync!$L273,FIND("/",Sync!$L273)+1,20),FIND("/",MID(Sync!$L273,FIND("/",Sync!$L273)+1,20))+1,20))),2),"")))</f>
        <v/>
      </c>
    </row>
    <row r="274">
      <c r="A274">
        <f>IF(Issues!$B277="","",Issues!$B277)</f>
        <v/>
      </c>
      <c r="B274">
        <f>IF($A274="","",IF(ISNUMBER(Issues!$C277),IF(AND(Issues!$C277&gt;=10000101,Issues!$C277&lt;=99991231),INT(Issues!$C277/10000),""),IFERROR(VALUE(TRIM(LEFT(Issues!$C277,FIND("/",Issues!$C277)-1))),"")))</f>
        <v/>
      </c>
      <c r="C274">
        <f>IF(OR($A274="",$B274=""),"",IF(ISNUMBER(Issues!$C277),INT(MOD(Issues!$C277,10000)/100),IFERROR(VALUE(TRIM(LEFT(MID(Issues!$C277,FIND("/",Issues!$C277)+1,20),FIND("/",MID(Issues!$C277,FIND("/",Issues!$C277)+1,20))-1))),"")))</f>
        <v/>
      </c>
      <c r="D274">
        <f>IF(OR($A274="",$B274=""),"",IF(ISNUMBER(Issues!$C277),MOD(Issues!$C277,100),IFERROR(VALUE(TRIM(MID(MID(Issues!$C277,FIND("/",Issues!$C277)+1,20),FIND("/",MID(Issues!$C277,FIND("/",Issues!$C277)+1,20))+1,20))),"")))</f>
        <v/>
      </c>
      <c r="E274">
        <f>IF($A274="","",IF(OR($B274="",$C274="",$D274="",$B274&lt;1300,$B274&gt;1500,$C274&lt;1,$C274&gt;12,$D274&lt;1,$D274&gt;31),"نامعتبر",RIGHT("0000"&amp;$B274,4)&amp;"/"&amp;RIGHT("00"&amp;$C274,2)&amp;"/"&amp;RIGHT("00"&amp;$D274,2)))</f>
        <v/>
      </c>
      <c r="F274">
        <f>IF($A274="","",IF(Issues!$D277="",0,Issues!$D277))</f>
        <v/>
      </c>
      <c r="G274">
        <f>IF($A274="","",Issues!$E277)</f>
        <v/>
      </c>
      <c r="H274">
        <f>IF($A274="","",IF(COUNTIFS(ETxnType,"پاس چک",ETxnChk,$A274)&gt;0,"پاس شده","پاس نشده"))</f>
        <v/>
      </c>
      <c r="I274">
        <f>IF($A274="","",IFERROR(INDEX(BClrDate,MATCH($A274,BClrChk,0)),""))</f>
        <v/>
      </c>
      <c r="J274">
        <f>IF($A274="","",Issues!$G277)</f>
        <v/>
      </c>
      <c r="K274">
        <f>IF(OR($E274="",$E274="نامعتبر"),"",LEFT($E274,4)&amp;MID($E274,6,2)&amp;RIGHT($E274,2)&amp;"|"&amp;RIGHT("00000"&amp;269,5))</f>
        <v/>
      </c>
      <c r="M274">
        <f>IF(Sync!$M274&lt;&gt;"پاس چک","",IF(Sync!$P274="","",Sync!$P274))</f>
        <v/>
      </c>
      <c r="N274">
        <f>IF($M274="","",IF(ISNUMBER(Sync!$L274),IF(AND(Sync!$L274&gt;=10000101,Sync!$L274&lt;=99991231),RIGHT("0000"&amp;INT(Sync!$L274/10000),4)&amp;"/"&amp;RIGHT("00"&amp;INT(MOD(Sync!$L274,10000)/100),2)&amp;"/"&amp;RIGHT("00"&amp;MOD(Sync!$L274,100),2),""),IFERROR(RIGHT("0000"&amp;VALUE(TRIM(LEFT(Sync!$L274,FIND("/",Sync!$L274)-1))),4)&amp;"/"&amp;RIGHT("00"&amp;VALUE(TRIM(LEFT(MID(Sync!$L274,FIND("/",Sync!$L274)+1,20),FIND("/",MID(Sync!$L274,FIND("/",Sync!$L274)+1,20))-1))),2)&amp;"/"&amp;RIGHT("00"&amp;VALUE(TRIM(MID(MID(Sync!$L274,FIND("/",Sync!$L274)+1,20),FIND("/",MID(Sync!$L274,FIND("/",Sync!$L274)+1,20))+1,20))),2),"")))</f>
        <v/>
      </c>
    </row>
    <row r="275">
      <c r="A275">
        <f>IF(Issues!$B278="","",Issues!$B278)</f>
        <v/>
      </c>
      <c r="B275">
        <f>IF($A275="","",IF(ISNUMBER(Issues!$C278),IF(AND(Issues!$C278&gt;=10000101,Issues!$C278&lt;=99991231),INT(Issues!$C278/10000),""),IFERROR(VALUE(TRIM(LEFT(Issues!$C278,FIND("/",Issues!$C278)-1))),"")))</f>
        <v/>
      </c>
      <c r="C275">
        <f>IF(OR($A275="",$B275=""),"",IF(ISNUMBER(Issues!$C278),INT(MOD(Issues!$C278,10000)/100),IFERROR(VALUE(TRIM(LEFT(MID(Issues!$C278,FIND("/",Issues!$C278)+1,20),FIND("/",MID(Issues!$C278,FIND("/",Issues!$C278)+1,20))-1))),"")))</f>
        <v/>
      </c>
      <c r="D275">
        <f>IF(OR($A275="",$B275=""),"",IF(ISNUMBER(Issues!$C278),MOD(Issues!$C278,100),IFERROR(VALUE(TRIM(MID(MID(Issues!$C278,FIND("/",Issues!$C278)+1,20),FIND("/",MID(Issues!$C278,FIND("/",Issues!$C278)+1,20))+1,20))),"")))</f>
        <v/>
      </c>
      <c r="E275">
        <f>IF($A275="","",IF(OR($B275="",$C275="",$D275="",$B275&lt;1300,$B275&gt;1500,$C275&lt;1,$C275&gt;12,$D275&lt;1,$D275&gt;31),"نامعتبر",RIGHT("0000"&amp;$B275,4)&amp;"/"&amp;RIGHT("00"&amp;$C275,2)&amp;"/"&amp;RIGHT("00"&amp;$D275,2)))</f>
        <v/>
      </c>
      <c r="F275">
        <f>IF($A275="","",IF(Issues!$D278="",0,Issues!$D278))</f>
        <v/>
      </c>
      <c r="G275">
        <f>IF($A275="","",Issues!$E278)</f>
        <v/>
      </c>
      <c r="H275">
        <f>IF($A275="","",IF(COUNTIFS(ETxnType,"پاس چک",ETxnChk,$A275)&gt;0,"پاس شده","پاس نشده"))</f>
        <v/>
      </c>
      <c r="I275">
        <f>IF($A275="","",IFERROR(INDEX(BClrDate,MATCH($A275,BClrChk,0)),""))</f>
        <v/>
      </c>
      <c r="J275">
        <f>IF($A275="","",Issues!$G278)</f>
        <v/>
      </c>
      <c r="K275">
        <f>IF(OR($E275="",$E275="نامعتبر"),"",LEFT($E275,4)&amp;MID($E275,6,2)&amp;RIGHT($E275,2)&amp;"|"&amp;RIGHT("00000"&amp;270,5))</f>
        <v/>
      </c>
      <c r="M275">
        <f>IF(Sync!$M275&lt;&gt;"پاس چک","",IF(Sync!$P275="","",Sync!$P275))</f>
        <v/>
      </c>
      <c r="N275">
        <f>IF($M275="","",IF(ISNUMBER(Sync!$L275),IF(AND(Sync!$L275&gt;=10000101,Sync!$L275&lt;=99991231),RIGHT("0000"&amp;INT(Sync!$L275/10000),4)&amp;"/"&amp;RIGHT("00"&amp;INT(MOD(Sync!$L275,10000)/100),2)&amp;"/"&amp;RIGHT("00"&amp;MOD(Sync!$L275,100),2),""),IFERROR(RIGHT("0000"&amp;VALUE(TRIM(LEFT(Sync!$L275,FIND("/",Sync!$L275)-1))),4)&amp;"/"&amp;RIGHT("00"&amp;VALUE(TRIM(LEFT(MID(Sync!$L275,FIND("/",Sync!$L275)+1,20),FIND("/",MID(Sync!$L275,FIND("/",Sync!$L275)+1,20))-1))),2)&amp;"/"&amp;RIGHT("00"&amp;VALUE(TRIM(MID(MID(Sync!$L275,FIND("/",Sync!$L275)+1,20),FIND("/",MID(Sync!$L275,FIND("/",Sync!$L275)+1,20))+1,20))),2),"")))</f>
        <v/>
      </c>
    </row>
    <row r="276">
      <c r="A276">
        <f>IF(Issues!$B279="","",Issues!$B279)</f>
        <v/>
      </c>
      <c r="B276">
        <f>IF($A276="","",IF(ISNUMBER(Issues!$C279),IF(AND(Issues!$C279&gt;=10000101,Issues!$C279&lt;=99991231),INT(Issues!$C279/10000),""),IFERROR(VALUE(TRIM(LEFT(Issues!$C279,FIND("/",Issues!$C279)-1))),"")))</f>
        <v/>
      </c>
      <c r="C276">
        <f>IF(OR($A276="",$B276=""),"",IF(ISNUMBER(Issues!$C279),INT(MOD(Issues!$C279,10000)/100),IFERROR(VALUE(TRIM(LEFT(MID(Issues!$C279,FIND("/",Issues!$C279)+1,20),FIND("/",MID(Issues!$C279,FIND("/",Issues!$C279)+1,20))-1))),"")))</f>
        <v/>
      </c>
      <c r="D276">
        <f>IF(OR($A276="",$B276=""),"",IF(ISNUMBER(Issues!$C279),MOD(Issues!$C279,100),IFERROR(VALUE(TRIM(MID(MID(Issues!$C279,FIND("/",Issues!$C279)+1,20),FIND("/",MID(Issues!$C279,FIND("/",Issues!$C279)+1,20))+1,20))),"")))</f>
        <v/>
      </c>
      <c r="E276">
        <f>IF($A276="","",IF(OR($B276="",$C276="",$D276="",$B276&lt;1300,$B276&gt;1500,$C276&lt;1,$C276&gt;12,$D276&lt;1,$D276&gt;31),"نامعتبر",RIGHT("0000"&amp;$B276,4)&amp;"/"&amp;RIGHT("00"&amp;$C276,2)&amp;"/"&amp;RIGHT("00"&amp;$D276,2)))</f>
        <v/>
      </c>
      <c r="F276">
        <f>IF($A276="","",IF(Issues!$D279="",0,Issues!$D279))</f>
        <v/>
      </c>
      <c r="G276">
        <f>IF($A276="","",Issues!$E279)</f>
        <v/>
      </c>
      <c r="H276">
        <f>IF($A276="","",IF(COUNTIFS(ETxnType,"پاس چک",ETxnChk,$A276)&gt;0,"پاس شده","پاس نشده"))</f>
        <v/>
      </c>
      <c r="I276">
        <f>IF($A276="","",IFERROR(INDEX(BClrDate,MATCH($A276,BClrChk,0)),""))</f>
        <v/>
      </c>
      <c r="J276">
        <f>IF($A276="","",Issues!$G279)</f>
        <v/>
      </c>
      <c r="K276">
        <f>IF(OR($E276="",$E276="نامعتبر"),"",LEFT($E276,4)&amp;MID($E276,6,2)&amp;RIGHT($E276,2)&amp;"|"&amp;RIGHT("00000"&amp;271,5))</f>
        <v/>
      </c>
      <c r="M276">
        <f>IF(Sync!$M276&lt;&gt;"پاس چک","",IF(Sync!$P276="","",Sync!$P276))</f>
        <v/>
      </c>
      <c r="N276">
        <f>IF($M276="","",IF(ISNUMBER(Sync!$L276),IF(AND(Sync!$L276&gt;=10000101,Sync!$L276&lt;=99991231),RIGHT("0000"&amp;INT(Sync!$L276/10000),4)&amp;"/"&amp;RIGHT("00"&amp;INT(MOD(Sync!$L276,10000)/100),2)&amp;"/"&amp;RIGHT("00"&amp;MOD(Sync!$L276,100),2),""),IFERROR(RIGHT("0000"&amp;VALUE(TRIM(LEFT(Sync!$L276,FIND("/",Sync!$L276)-1))),4)&amp;"/"&amp;RIGHT("00"&amp;VALUE(TRIM(LEFT(MID(Sync!$L276,FIND("/",Sync!$L276)+1,20),FIND("/",MID(Sync!$L276,FIND("/",Sync!$L276)+1,20))-1))),2)&amp;"/"&amp;RIGHT("00"&amp;VALUE(TRIM(MID(MID(Sync!$L276,FIND("/",Sync!$L276)+1,20),FIND("/",MID(Sync!$L276,FIND("/",Sync!$L276)+1,20))+1,20))),2),"")))</f>
        <v/>
      </c>
    </row>
    <row r="277">
      <c r="A277">
        <f>IF(Issues!$B280="","",Issues!$B280)</f>
        <v/>
      </c>
      <c r="B277">
        <f>IF($A277="","",IF(ISNUMBER(Issues!$C280),IF(AND(Issues!$C280&gt;=10000101,Issues!$C280&lt;=99991231),INT(Issues!$C280/10000),""),IFERROR(VALUE(TRIM(LEFT(Issues!$C280,FIND("/",Issues!$C280)-1))),"")))</f>
        <v/>
      </c>
      <c r="C277">
        <f>IF(OR($A277="",$B277=""),"",IF(ISNUMBER(Issues!$C280),INT(MOD(Issues!$C280,10000)/100),IFERROR(VALUE(TRIM(LEFT(MID(Issues!$C280,FIND("/",Issues!$C280)+1,20),FIND("/",MID(Issues!$C280,FIND("/",Issues!$C280)+1,20))-1))),"")))</f>
        <v/>
      </c>
      <c r="D277">
        <f>IF(OR($A277="",$B277=""),"",IF(ISNUMBER(Issues!$C280),MOD(Issues!$C280,100),IFERROR(VALUE(TRIM(MID(MID(Issues!$C280,FIND("/",Issues!$C280)+1,20),FIND("/",MID(Issues!$C280,FIND("/",Issues!$C280)+1,20))+1,20))),"")))</f>
        <v/>
      </c>
      <c r="E277">
        <f>IF($A277="","",IF(OR($B277="",$C277="",$D277="",$B277&lt;1300,$B277&gt;1500,$C277&lt;1,$C277&gt;12,$D277&lt;1,$D277&gt;31),"نامعتبر",RIGHT("0000"&amp;$B277,4)&amp;"/"&amp;RIGHT("00"&amp;$C277,2)&amp;"/"&amp;RIGHT("00"&amp;$D277,2)))</f>
        <v/>
      </c>
      <c r="F277">
        <f>IF($A277="","",IF(Issues!$D280="",0,Issues!$D280))</f>
        <v/>
      </c>
      <c r="G277">
        <f>IF($A277="","",Issues!$E280)</f>
        <v/>
      </c>
      <c r="H277">
        <f>IF($A277="","",IF(COUNTIFS(ETxnType,"پاس چک",ETxnChk,$A277)&gt;0,"پاس شده","پاس نشده"))</f>
        <v/>
      </c>
      <c r="I277">
        <f>IF($A277="","",IFERROR(INDEX(BClrDate,MATCH($A277,BClrChk,0)),""))</f>
        <v/>
      </c>
      <c r="J277">
        <f>IF($A277="","",Issues!$G280)</f>
        <v/>
      </c>
      <c r="K277">
        <f>IF(OR($E277="",$E277="نامعتبر"),"",LEFT($E277,4)&amp;MID($E277,6,2)&amp;RIGHT($E277,2)&amp;"|"&amp;RIGHT("00000"&amp;272,5))</f>
        <v/>
      </c>
      <c r="M277">
        <f>IF(Sync!$M277&lt;&gt;"پاس چک","",IF(Sync!$P277="","",Sync!$P277))</f>
        <v/>
      </c>
      <c r="N277">
        <f>IF($M277="","",IF(ISNUMBER(Sync!$L277),IF(AND(Sync!$L277&gt;=10000101,Sync!$L277&lt;=99991231),RIGHT("0000"&amp;INT(Sync!$L277/10000),4)&amp;"/"&amp;RIGHT("00"&amp;INT(MOD(Sync!$L277,10000)/100),2)&amp;"/"&amp;RIGHT("00"&amp;MOD(Sync!$L277,100),2),""),IFERROR(RIGHT("0000"&amp;VALUE(TRIM(LEFT(Sync!$L277,FIND("/",Sync!$L277)-1))),4)&amp;"/"&amp;RIGHT("00"&amp;VALUE(TRIM(LEFT(MID(Sync!$L277,FIND("/",Sync!$L277)+1,20),FIND("/",MID(Sync!$L277,FIND("/",Sync!$L277)+1,20))-1))),2)&amp;"/"&amp;RIGHT("00"&amp;VALUE(TRIM(MID(MID(Sync!$L277,FIND("/",Sync!$L277)+1,20),FIND("/",MID(Sync!$L277,FIND("/",Sync!$L277)+1,20))+1,20))),2),"")))</f>
        <v/>
      </c>
    </row>
    <row r="278">
      <c r="A278">
        <f>IF(Issues!$B281="","",Issues!$B281)</f>
        <v/>
      </c>
      <c r="B278">
        <f>IF($A278="","",IF(ISNUMBER(Issues!$C281),IF(AND(Issues!$C281&gt;=10000101,Issues!$C281&lt;=99991231),INT(Issues!$C281/10000),""),IFERROR(VALUE(TRIM(LEFT(Issues!$C281,FIND("/",Issues!$C281)-1))),"")))</f>
        <v/>
      </c>
      <c r="C278">
        <f>IF(OR($A278="",$B278=""),"",IF(ISNUMBER(Issues!$C281),INT(MOD(Issues!$C281,10000)/100),IFERROR(VALUE(TRIM(LEFT(MID(Issues!$C281,FIND("/",Issues!$C281)+1,20),FIND("/",MID(Issues!$C281,FIND("/",Issues!$C281)+1,20))-1))),"")))</f>
        <v/>
      </c>
      <c r="D278">
        <f>IF(OR($A278="",$B278=""),"",IF(ISNUMBER(Issues!$C281),MOD(Issues!$C281,100),IFERROR(VALUE(TRIM(MID(MID(Issues!$C281,FIND("/",Issues!$C281)+1,20),FIND("/",MID(Issues!$C281,FIND("/",Issues!$C281)+1,20))+1,20))),"")))</f>
        <v/>
      </c>
      <c r="E278">
        <f>IF($A278="","",IF(OR($B278="",$C278="",$D278="",$B278&lt;1300,$B278&gt;1500,$C278&lt;1,$C278&gt;12,$D278&lt;1,$D278&gt;31),"نامعتبر",RIGHT("0000"&amp;$B278,4)&amp;"/"&amp;RIGHT("00"&amp;$C278,2)&amp;"/"&amp;RIGHT("00"&amp;$D278,2)))</f>
        <v/>
      </c>
      <c r="F278">
        <f>IF($A278="","",IF(Issues!$D281="",0,Issues!$D281))</f>
        <v/>
      </c>
      <c r="G278">
        <f>IF($A278="","",Issues!$E281)</f>
        <v/>
      </c>
      <c r="H278">
        <f>IF($A278="","",IF(COUNTIFS(ETxnType,"پاس چک",ETxnChk,$A278)&gt;0,"پاس شده","پاس نشده"))</f>
        <v/>
      </c>
      <c r="I278">
        <f>IF($A278="","",IFERROR(INDEX(BClrDate,MATCH($A278,BClrChk,0)),""))</f>
        <v/>
      </c>
      <c r="J278">
        <f>IF($A278="","",Issues!$G281)</f>
        <v/>
      </c>
      <c r="K278">
        <f>IF(OR($E278="",$E278="نامعتبر"),"",LEFT($E278,4)&amp;MID($E278,6,2)&amp;RIGHT($E278,2)&amp;"|"&amp;RIGHT("00000"&amp;273,5))</f>
        <v/>
      </c>
      <c r="M278">
        <f>IF(Sync!$M278&lt;&gt;"پاس چک","",IF(Sync!$P278="","",Sync!$P278))</f>
        <v/>
      </c>
      <c r="N278">
        <f>IF($M278="","",IF(ISNUMBER(Sync!$L278),IF(AND(Sync!$L278&gt;=10000101,Sync!$L278&lt;=99991231),RIGHT("0000"&amp;INT(Sync!$L278/10000),4)&amp;"/"&amp;RIGHT("00"&amp;INT(MOD(Sync!$L278,10000)/100),2)&amp;"/"&amp;RIGHT("00"&amp;MOD(Sync!$L278,100),2),""),IFERROR(RIGHT("0000"&amp;VALUE(TRIM(LEFT(Sync!$L278,FIND("/",Sync!$L278)-1))),4)&amp;"/"&amp;RIGHT("00"&amp;VALUE(TRIM(LEFT(MID(Sync!$L278,FIND("/",Sync!$L278)+1,20),FIND("/",MID(Sync!$L278,FIND("/",Sync!$L278)+1,20))-1))),2)&amp;"/"&amp;RIGHT("00"&amp;VALUE(TRIM(MID(MID(Sync!$L278,FIND("/",Sync!$L278)+1,20),FIND("/",MID(Sync!$L278,FIND("/",Sync!$L278)+1,20))+1,20))),2),"")))</f>
        <v/>
      </c>
    </row>
    <row r="279">
      <c r="A279">
        <f>IF(Issues!$B282="","",Issues!$B282)</f>
        <v/>
      </c>
      <c r="B279">
        <f>IF($A279="","",IF(ISNUMBER(Issues!$C282),IF(AND(Issues!$C282&gt;=10000101,Issues!$C282&lt;=99991231),INT(Issues!$C282/10000),""),IFERROR(VALUE(TRIM(LEFT(Issues!$C282,FIND("/",Issues!$C282)-1))),"")))</f>
        <v/>
      </c>
      <c r="C279">
        <f>IF(OR($A279="",$B279=""),"",IF(ISNUMBER(Issues!$C282),INT(MOD(Issues!$C282,10000)/100),IFERROR(VALUE(TRIM(LEFT(MID(Issues!$C282,FIND("/",Issues!$C282)+1,20),FIND("/",MID(Issues!$C282,FIND("/",Issues!$C282)+1,20))-1))),"")))</f>
        <v/>
      </c>
      <c r="D279">
        <f>IF(OR($A279="",$B279=""),"",IF(ISNUMBER(Issues!$C282),MOD(Issues!$C282,100),IFERROR(VALUE(TRIM(MID(MID(Issues!$C282,FIND("/",Issues!$C282)+1,20),FIND("/",MID(Issues!$C282,FIND("/",Issues!$C282)+1,20))+1,20))),"")))</f>
        <v/>
      </c>
      <c r="E279">
        <f>IF($A279="","",IF(OR($B279="",$C279="",$D279="",$B279&lt;1300,$B279&gt;1500,$C279&lt;1,$C279&gt;12,$D279&lt;1,$D279&gt;31),"نامعتبر",RIGHT("0000"&amp;$B279,4)&amp;"/"&amp;RIGHT("00"&amp;$C279,2)&amp;"/"&amp;RIGHT("00"&amp;$D279,2)))</f>
        <v/>
      </c>
      <c r="F279">
        <f>IF($A279="","",IF(Issues!$D282="",0,Issues!$D282))</f>
        <v/>
      </c>
      <c r="G279">
        <f>IF($A279="","",Issues!$E282)</f>
        <v/>
      </c>
      <c r="H279">
        <f>IF($A279="","",IF(COUNTIFS(ETxnType,"پاس چک",ETxnChk,$A279)&gt;0,"پاس شده","پاس نشده"))</f>
        <v/>
      </c>
      <c r="I279">
        <f>IF($A279="","",IFERROR(INDEX(BClrDate,MATCH($A279,BClrChk,0)),""))</f>
        <v/>
      </c>
      <c r="J279">
        <f>IF($A279="","",Issues!$G282)</f>
        <v/>
      </c>
      <c r="K279">
        <f>IF(OR($E279="",$E279="نامعتبر"),"",LEFT($E279,4)&amp;MID($E279,6,2)&amp;RIGHT($E279,2)&amp;"|"&amp;RIGHT("00000"&amp;274,5))</f>
        <v/>
      </c>
      <c r="M279">
        <f>IF(Sync!$M279&lt;&gt;"پاس چک","",IF(Sync!$P279="","",Sync!$P279))</f>
        <v/>
      </c>
      <c r="N279">
        <f>IF($M279="","",IF(ISNUMBER(Sync!$L279),IF(AND(Sync!$L279&gt;=10000101,Sync!$L279&lt;=99991231),RIGHT("0000"&amp;INT(Sync!$L279/10000),4)&amp;"/"&amp;RIGHT("00"&amp;INT(MOD(Sync!$L279,10000)/100),2)&amp;"/"&amp;RIGHT("00"&amp;MOD(Sync!$L279,100),2),""),IFERROR(RIGHT("0000"&amp;VALUE(TRIM(LEFT(Sync!$L279,FIND("/",Sync!$L279)-1))),4)&amp;"/"&amp;RIGHT("00"&amp;VALUE(TRIM(LEFT(MID(Sync!$L279,FIND("/",Sync!$L279)+1,20),FIND("/",MID(Sync!$L279,FIND("/",Sync!$L279)+1,20))-1))),2)&amp;"/"&amp;RIGHT("00"&amp;VALUE(TRIM(MID(MID(Sync!$L279,FIND("/",Sync!$L279)+1,20),FIND("/",MID(Sync!$L279,FIND("/",Sync!$L279)+1,20))+1,20))),2),"")))</f>
        <v/>
      </c>
    </row>
    <row r="280">
      <c r="A280">
        <f>IF(Issues!$B283="","",Issues!$B283)</f>
        <v/>
      </c>
      <c r="B280">
        <f>IF($A280="","",IF(ISNUMBER(Issues!$C283),IF(AND(Issues!$C283&gt;=10000101,Issues!$C283&lt;=99991231),INT(Issues!$C283/10000),""),IFERROR(VALUE(TRIM(LEFT(Issues!$C283,FIND("/",Issues!$C283)-1))),"")))</f>
        <v/>
      </c>
      <c r="C280">
        <f>IF(OR($A280="",$B280=""),"",IF(ISNUMBER(Issues!$C283),INT(MOD(Issues!$C283,10000)/100),IFERROR(VALUE(TRIM(LEFT(MID(Issues!$C283,FIND("/",Issues!$C283)+1,20),FIND("/",MID(Issues!$C283,FIND("/",Issues!$C283)+1,20))-1))),"")))</f>
        <v/>
      </c>
      <c r="D280">
        <f>IF(OR($A280="",$B280=""),"",IF(ISNUMBER(Issues!$C283),MOD(Issues!$C283,100),IFERROR(VALUE(TRIM(MID(MID(Issues!$C283,FIND("/",Issues!$C283)+1,20),FIND("/",MID(Issues!$C283,FIND("/",Issues!$C283)+1,20))+1,20))),"")))</f>
        <v/>
      </c>
      <c r="E280">
        <f>IF($A280="","",IF(OR($B280="",$C280="",$D280="",$B280&lt;1300,$B280&gt;1500,$C280&lt;1,$C280&gt;12,$D280&lt;1,$D280&gt;31),"نامعتبر",RIGHT("0000"&amp;$B280,4)&amp;"/"&amp;RIGHT("00"&amp;$C280,2)&amp;"/"&amp;RIGHT("00"&amp;$D280,2)))</f>
        <v/>
      </c>
      <c r="F280">
        <f>IF($A280="","",IF(Issues!$D283="",0,Issues!$D283))</f>
        <v/>
      </c>
      <c r="G280">
        <f>IF($A280="","",Issues!$E283)</f>
        <v/>
      </c>
      <c r="H280">
        <f>IF($A280="","",IF(COUNTIFS(ETxnType,"پاس چک",ETxnChk,$A280)&gt;0,"پاس شده","پاس نشده"))</f>
        <v/>
      </c>
      <c r="I280">
        <f>IF($A280="","",IFERROR(INDEX(BClrDate,MATCH($A280,BClrChk,0)),""))</f>
        <v/>
      </c>
      <c r="J280">
        <f>IF($A280="","",Issues!$G283)</f>
        <v/>
      </c>
      <c r="K280">
        <f>IF(OR($E280="",$E280="نامعتبر"),"",LEFT($E280,4)&amp;MID($E280,6,2)&amp;RIGHT($E280,2)&amp;"|"&amp;RIGHT("00000"&amp;275,5))</f>
        <v/>
      </c>
      <c r="M280">
        <f>IF(Sync!$M280&lt;&gt;"پاس چک","",IF(Sync!$P280="","",Sync!$P280))</f>
        <v/>
      </c>
      <c r="N280">
        <f>IF($M280="","",IF(ISNUMBER(Sync!$L280),IF(AND(Sync!$L280&gt;=10000101,Sync!$L280&lt;=99991231),RIGHT("0000"&amp;INT(Sync!$L280/10000),4)&amp;"/"&amp;RIGHT("00"&amp;INT(MOD(Sync!$L280,10000)/100),2)&amp;"/"&amp;RIGHT("00"&amp;MOD(Sync!$L280,100),2),""),IFERROR(RIGHT("0000"&amp;VALUE(TRIM(LEFT(Sync!$L280,FIND("/",Sync!$L280)-1))),4)&amp;"/"&amp;RIGHT("00"&amp;VALUE(TRIM(LEFT(MID(Sync!$L280,FIND("/",Sync!$L280)+1,20),FIND("/",MID(Sync!$L280,FIND("/",Sync!$L280)+1,20))-1))),2)&amp;"/"&amp;RIGHT("00"&amp;VALUE(TRIM(MID(MID(Sync!$L280,FIND("/",Sync!$L280)+1,20),FIND("/",MID(Sync!$L280,FIND("/",Sync!$L280)+1,20))+1,20))),2),"")))</f>
        <v/>
      </c>
    </row>
    <row r="281">
      <c r="A281">
        <f>IF(Issues!$B284="","",Issues!$B284)</f>
        <v/>
      </c>
      <c r="B281">
        <f>IF($A281="","",IF(ISNUMBER(Issues!$C284),IF(AND(Issues!$C284&gt;=10000101,Issues!$C284&lt;=99991231),INT(Issues!$C284/10000),""),IFERROR(VALUE(TRIM(LEFT(Issues!$C284,FIND("/",Issues!$C284)-1))),"")))</f>
        <v/>
      </c>
      <c r="C281">
        <f>IF(OR($A281="",$B281=""),"",IF(ISNUMBER(Issues!$C284),INT(MOD(Issues!$C284,10000)/100),IFERROR(VALUE(TRIM(LEFT(MID(Issues!$C284,FIND("/",Issues!$C284)+1,20),FIND("/",MID(Issues!$C284,FIND("/",Issues!$C284)+1,20))-1))),"")))</f>
        <v/>
      </c>
      <c r="D281">
        <f>IF(OR($A281="",$B281=""),"",IF(ISNUMBER(Issues!$C284),MOD(Issues!$C284,100),IFERROR(VALUE(TRIM(MID(MID(Issues!$C284,FIND("/",Issues!$C284)+1,20),FIND("/",MID(Issues!$C284,FIND("/",Issues!$C284)+1,20))+1,20))),"")))</f>
        <v/>
      </c>
      <c r="E281">
        <f>IF($A281="","",IF(OR($B281="",$C281="",$D281="",$B281&lt;1300,$B281&gt;1500,$C281&lt;1,$C281&gt;12,$D281&lt;1,$D281&gt;31),"نامعتبر",RIGHT("0000"&amp;$B281,4)&amp;"/"&amp;RIGHT("00"&amp;$C281,2)&amp;"/"&amp;RIGHT("00"&amp;$D281,2)))</f>
        <v/>
      </c>
      <c r="F281">
        <f>IF($A281="","",IF(Issues!$D284="",0,Issues!$D284))</f>
        <v/>
      </c>
      <c r="G281">
        <f>IF($A281="","",Issues!$E284)</f>
        <v/>
      </c>
      <c r="H281">
        <f>IF($A281="","",IF(COUNTIFS(ETxnType,"پاس چک",ETxnChk,$A281)&gt;0,"پاس شده","پاس نشده"))</f>
        <v/>
      </c>
      <c r="I281">
        <f>IF($A281="","",IFERROR(INDEX(BClrDate,MATCH($A281,BClrChk,0)),""))</f>
        <v/>
      </c>
      <c r="J281">
        <f>IF($A281="","",Issues!$G284)</f>
        <v/>
      </c>
      <c r="K281">
        <f>IF(OR($E281="",$E281="نامعتبر"),"",LEFT($E281,4)&amp;MID($E281,6,2)&amp;RIGHT($E281,2)&amp;"|"&amp;RIGHT("00000"&amp;276,5))</f>
        <v/>
      </c>
      <c r="M281">
        <f>IF(Sync!$M281&lt;&gt;"پاس چک","",IF(Sync!$P281="","",Sync!$P281))</f>
        <v/>
      </c>
      <c r="N281">
        <f>IF($M281="","",IF(ISNUMBER(Sync!$L281),IF(AND(Sync!$L281&gt;=10000101,Sync!$L281&lt;=99991231),RIGHT("0000"&amp;INT(Sync!$L281/10000),4)&amp;"/"&amp;RIGHT("00"&amp;INT(MOD(Sync!$L281,10000)/100),2)&amp;"/"&amp;RIGHT("00"&amp;MOD(Sync!$L281,100),2),""),IFERROR(RIGHT("0000"&amp;VALUE(TRIM(LEFT(Sync!$L281,FIND("/",Sync!$L281)-1))),4)&amp;"/"&amp;RIGHT("00"&amp;VALUE(TRIM(LEFT(MID(Sync!$L281,FIND("/",Sync!$L281)+1,20),FIND("/",MID(Sync!$L281,FIND("/",Sync!$L281)+1,20))-1))),2)&amp;"/"&amp;RIGHT("00"&amp;VALUE(TRIM(MID(MID(Sync!$L281,FIND("/",Sync!$L281)+1,20),FIND("/",MID(Sync!$L281,FIND("/",Sync!$L281)+1,20))+1,20))),2),"")))</f>
        <v/>
      </c>
    </row>
    <row r="282">
      <c r="A282">
        <f>IF(Issues!$B285="","",Issues!$B285)</f>
        <v/>
      </c>
      <c r="B282">
        <f>IF($A282="","",IF(ISNUMBER(Issues!$C285),IF(AND(Issues!$C285&gt;=10000101,Issues!$C285&lt;=99991231),INT(Issues!$C285/10000),""),IFERROR(VALUE(TRIM(LEFT(Issues!$C285,FIND("/",Issues!$C285)-1))),"")))</f>
        <v/>
      </c>
      <c r="C282">
        <f>IF(OR($A282="",$B282=""),"",IF(ISNUMBER(Issues!$C285),INT(MOD(Issues!$C285,10000)/100),IFERROR(VALUE(TRIM(LEFT(MID(Issues!$C285,FIND("/",Issues!$C285)+1,20),FIND("/",MID(Issues!$C285,FIND("/",Issues!$C285)+1,20))-1))),"")))</f>
        <v/>
      </c>
      <c r="D282">
        <f>IF(OR($A282="",$B282=""),"",IF(ISNUMBER(Issues!$C285),MOD(Issues!$C285,100),IFERROR(VALUE(TRIM(MID(MID(Issues!$C285,FIND("/",Issues!$C285)+1,20),FIND("/",MID(Issues!$C285,FIND("/",Issues!$C285)+1,20))+1,20))),"")))</f>
        <v/>
      </c>
      <c r="E282">
        <f>IF($A282="","",IF(OR($B282="",$C282="",$D282="",$B282&lt;1300,$B282&gt;1500,$C282&lt;1,$C282&gt;12,$D282&lt;1,$D282&gt;31),"نامعتبر",RIGHT("0000"&amp;$B282,4)&amp;"/"&amp;RIGHT("00"&amp;$C282,2)&amp;"/"&amp;RIGHT("00"&amp;$D282,2)))</f>
        <v/>
      </c>
      <c r="F282">
        <f>IF($A282="","",IF(Issues!$D285="",0,Issues!$D285))</f>
        <v/>
      </c>
      <c r="G282">
        <f>IF($A282="","",Issues!$E285)</f>
        <v/>
      </c>
      <c r="H282">
        <f>IF($A282="","",IF(COUNTIFS(ETxnType,"پاس چک",ETxnChk,$A282)&gt;0,"پاس شده","پاس نشده"))</f>
        <v/>
      </c>
      <c r="I282">
        <f>IF($A282="","",IFERROR(INDEX(BClrDate,MATCH($A282,BClrChk,0)),""))</f>
        <v/>
      </c>
      <c r="J282">
        <f>IF($A282="","",Issues!$G285)</f>
        <v/>
      </c>
      <c r="K282">
        <f>IF(OR($E282="",$E282="نامعتبر"),"",LEFT($E282,4)&amp;MID($E282,6,2)&amp;RIGHT($E282,2)&amp;"|"&amp;RIGHT("00000"&amp;277,5))</f>
        <v/>
      </c>
      <c r="M282">
        <f>IF(Sync!$M282&lt;&gt;"پاس چک","",IF(Sync!$P282="","",Sync!$P282))</f>
        <v/>
      </c>
      <c r="N282">
        <f>IF($M282="","",IF(ISNUMBER(Sync!$L282),IF(AND(Sync!$L282&gt;=10000101,Sync!$L282&lt;=99991231),RIGHT("0000"&amp;INT(Sync!$L282/10000),4)&amp;"/"&amp;RIGHT("00"&amp;INT(MOD(Sync!$L282,10000)/100),2)&amp;"/"&amp;RIGHT("00"&amp;MOD(Sync!$L282,100),2),""),IFERROR(RIGHT("0000"&amp;VALUE(TRIM(LEFT(Sync!$L282,FIND("/",Sync!$L282)-1))),4)&amp;"/"&amp;RIGHT("00"&amp;VALUE(TRIM(LEFT(MID(Sync!$L282,FIND("/",Sync!$L282)+1,20),FIND("/",MID(Sync!$L282,FIND("/",Sync!$L282)+1,20))-1))),2)&amp;"/"&amp;RIGHT("00"&amp;VALUE(TRIM(MID(MID(Sync!$L282,FIND("/",Sync!$L282)+1,20),FIND("/",MID(Sync!$L282,FIND("/",Sync!$L282)+1,20))+1,20))),2),"")))</f>
        <v/>
      </c>
    </row>
    <row r="283">
      <c r="A283">
        <f>IF(Issues!$B286="","",Issues!$B286)</f>
        <v/>
      </c>
      <c r="B283">
        <f>IF($A283="","",IF(ISNUMBER(Issues!$C286),IF(AND(Issues!$C286&gt;=10000101,Issues!$C286&lt;=99991231),INT(Issues!$C286/10000),""),IFERROR(VALUE(TRIM(LEFT(Issues!$C286,FIND("/",Issues!$C286)-1))),"")))</f>
        <v/>
      </c>
      <c r="C283">
        <f>IF(OR($A283="",$B283=""),"",IF(ISNUMBER(Issues!$C286),INT(MOD(Issues!$C286,10000)/100),IFERROR(VALUE(TRIM(LEFT(MID(Issues!$C286,FIND("/",Issues!$C286)+1,20),FIND("/",MID(Issues!$C286,FIND("/",Issues!$C286)+1,20))-1))),"")))</f>
        <v/>
      </c>
      <c r="D283">
        <f>IF(OR($A283="",$B283=""),"",IF(ISNUMBER(Issues!$C286),MOD(Issues!$C286,100),IFERROR(VALUE(TRIM(MID(MID(Issues!$C286,FIND("/",Issues!$C286)+1,20),FIND("/",MID(Issues!$C286,FIND("/",Issues!$C286)+1,20))+1,20))),"")))</f>
        <v/>
      </c>
      <c r="E283">
        <f>IF($A283="","",IF(OR($B283="",$C283="",$D283="",$B283&lt;1300,$B283&gt;1500,$C283&lt;1,$C283&gt;12,$D283&lt;1,$D283&gt;31),"نامعتبر",RIGHT("0000"&amp;$B283,4)&amp;"/"&amp;RIGHT("00"&amp;$C283,2)&amp;"/"&amp;RIGHT("00"&amp;$D283,2)))</f>
        <v/>
      </c>
      <c r="F283">
        <f>IF($A283="","",IF(Issues!$D286="",0,Issues!$D286))</f>
        <v/>
      </c>
      <c r="G283">
        <f>IF($A283="","",Issues!$E286)</f>
        <v/>
      </c>
      <c r="H283">
        <f>IF($A283="","",IF(COUNTIFS(ETxnType,"پاس چک",ETxnChk,$A283)&gt;0,"پاس شده","پاس نشده"))</f>
        <v/>
      </c>
      <c r="I283">
        <f>IF($A283="","",IFERROR(INDEX(BClrDate,MATCH($A283,BClrChk,0)),""))</f>
        <v/>
      </c>
      <c r="J283">
        <f>IF($A283="","",Issues!$G286)</f>
        <v/>
      </c>
      <c r="K283">
        <f>IF(OR($E283="",$E283="نامعتبر"),"",LEFT($E283,4)&amp;MID($E283,6,2)&amp;RIGHT($E283,2)&amp;"|"&amp;RIGHT("00000"&amp;278,5))</f>
        <v/>
      </c>
      <c r="M283">
        <f>IF(Sync!$M283&lt;&gt;"پاس چک","",IF(Sync!$P283="","",Sync!$P283))</f>
        <v/>
      </c>
      <c r="N283">
        <f>IF($M283="","",IF(ISNUMBER(Sync!$L283),IF(AND(Sync!$L283&gt;=10000101,Sync!$L283&lt;=99991231),RIGHT("0000"&amp;INT(Sync!$L283/10000),4)&amp;"/"&amp;RIGHT("00"&amp;INT(MOD(Sync!$L283,10000)/100),2)&amp;"/"&amp;RIGHT("00"&amp;MOD(Sync!$L283,100),2),""),IFERROR(RIGHT("0000"&amp;VALUE(TRIM(LEFT(Sync!$L283,FIND("/",Sync!$L283)-1))),4)&amp;"/"&amp;RIGHT("00"&amp;VALUE(TRIM(LEFT(MID(Sync!$L283,FIND("/",Sync!$L283)+1,20),FIND("/",MID(Sync!$L283,FIND("/",Sync!$L283)+1,20))-1))),2)&amp;"/"&amp;RIGHT("00"&amp;VALUE(TRIM(MID(MID(Sync!$L283,FIND("/",Sync!$L283)+1,20),FIND("/",MID(Sync!$L283,FIND("/",Sync!$L283)+1,20))+1,20))),2),"")))</f>
        <v/>
      </c>
    </row>
    <row r="284">
      <c r="A284">
        <f>IF(Issues!$B287="","",Issues!$B287)</f>
        <v/>
      </c>
      <c r="B284">
        <f>IF($A284="","",IF(ISNUMBER(Issues!$C287),IF(AND(Issues!$C287&gt;=10000101,Issues!$C287&lt;=99991231),INT(Issues!$C287/10000),""),IFERROR(VALUE(TRIM(LEFT(Issues!$C287,FIND("/",Issues!$C287)-1))),"")))</f>
        <v/>
      </c>
      <c r="C284">
        <f>IF(OR($A284="",$B284=""),"",IF(ISNUMBER(Issues!$C287),INT(MOD(Issues!$C287,10000)/100),IFERROR(VALUE(TRIM(LEFT(MID(Issues!$C287,FIND("/",Issues!$C287)+1,20),FIND("/",MID(Issues!$C287,FIND("/",Issues!$C287)+1,20))-1))),"")))</f>
        <v/>
      </c>
      <c r="D284">
        <f>IF(OR($A284="",$B284=""),"",IF(ISNUMBER(Issues!$C287),MOD(Issues!$C287,100),IFERROR(VALUE(TRIM(MID(MID(Issues!$C287,FIND("/",Issues!$C287)+1,20),FIND("/",MID(Issues!$C287,FIND("/",Issues!$C287)+1,20))+1,20))),"")))</f>
        <v/>
      </c>
      <c r="E284">
        <f>IF($A284="","",IF(OR($B284="",$C284="",$D284="",$B284&lt;1300,$B284&gt;1500,$C284&lt;1,$C284&gt;12,$D284&lt;1,$D284&gt;31),"نامعتبر",RIGHT("0000"&amp;$B284,4)&amp;"/"&amp;RIGHT("00"&amp;$C284,2)&amp;"/"&amp;RIGHT("00"&amp;$D284,2)))</f>
        <v/>
      </c>
      <c r="F284">
        <f>IF($A284="","",IF(Issues!$D287="",0,Issues!$D287))</f>
        <v/>
      </c>
      <c r="G284">
        <f>IF($A284="","",Issues!$E287)</f>
        <v/>
      </c>
      <c r="H284">
        <f>IF($A284="","",IF(COUNTIFS(ETxnType,"پاس چک",ETxnChk,$A284)&gt;0,"پاس شده","پاس نشده"))</f>
        <v/>
      </c>
      <c r="I284">
        <f>IF($A284="","",IFERROR(INDEX(BClrDate,MATCH($A284,BClrChk,0)),""))</f>
        <v/>
      </c>
      <c r="J284">
        <f>IF($A284="","",Issues!$G287)</f>
        <v/>
      </c>
      <c r="K284">
        <f>IF(OR($E284="",$E284="نامعتبر"),"",LEFT($E284,4)&amp;MID($E284,6,2)&amp;RIGHT($E284,2)&amp;"|"&amp;RIGHT("00000"&amp;279,5))</f>
        <v/>
      </c>
      <c r="M284">
        <f>IF(Sync!$M284&lt;&gt;"پاس چک","",IF(Sync!$P284="","",Sync!$P284))</f>
        <v/>
      </c>
      <c r="N284">
        <f>IF($M284="","",IF(ISNUMBER(Sync!$L284),IF(AND(Sync!$L284&gt;=10000101,Sync!$L284&lt;=99991231),RIGHT("0000"&amp;INT(Sync!$L284/10000),4)&amp;"/"&amp;RIGHT("00"&amp;INT(MOD(Sync!$L284,10000)/100),2)&amp;"/"&amp;RIGHT("00"&amp;MOD(Sync!$L284,100),2),""),IFERROR(RIGHT("0000"&amp;VALUE(TRIM(LEFT(Sync!$L284,FIND("/",Sync!$L284)-1))),4)&amp;"/"&amp;RIGHT("00"&amp;VALUE(TRIM(LEFT(MID(Sync!$L284,FIND("/",Sync!$L284)+1,20),FIND("/",MID(Sync!$L284,FIND("/",Sync!$L284)+1,20))-1))),2)&amp;"/"&amp;RIGHT("00"&amp;VALUE(TRIM(MID(MID(Sync!$L284,FIND("/",Sync!$L284)+1,20),FIND("/",MID(Sync!$L284,FIND("/",Sync!$L284)+1,20))+1,20))),2),"")))</f>
        <v/>
      </c>
    </row>
    <row r="285">
      <c r="A285">
        <f>IF(Issues!$B288="","",Issues!$B288)</f>
        <v/>
      </c>
      <c r="B285">
        <f>IF($A285="","",IF(ISNUMBER(Issues!$C288),IF(AND(Issues!$C288&gt;=10000101,Issues!$C288&lt;=99991231),INT(Issues!$C288/10000),""),IFERROR(VALUE(TRIM(LEFT(Issues!$C288,FIND("/",Issues!$C288)-1))),"")))</f>
        <v/>
      </c>
      <c r="C285">
        <f>IF(OR($A285="",$B285=""),"",IF(ISNUMBER(Issues!$C288),INT(MOD(Issues!$C288,10000)/100),IFERROR(VALUE(TRIM(LEFT(MID(Issues!$C288,FIND("/",Issues!$C288)+1,20),FIND("/",MID(Issues!$C288,FIND("/",Issues!$C288)+1,20))-1))),"")))</f>
        <v/>
      </c>
      <c r="D285">
        <f>IF(OR($A285="",$B285=""),"",IF(ISNUMBER(Issues!$C288),MOD(Issues!$C288,100),IFERROR(VALUE(TRIM(MID(MID(Issues!$C288,FIND("/",Issues!$C288)+1,20),FIND("/",MID(Issues!$C288,FIND("/",Issues!$C288)+1,20))+1,20))),"")))</f>
        <v/>
      </c>
      <c r="E285">
        <f>IF($A285="","",IF(OR($B285="",$C285="",$D285="",$B285&lt;1300,$B285&gt;1500,$C285&lt;1,$C285&gt;12,$D285&lt;1,$D285&gt;31),"نامعتبر",RIGHT("0000"&amp;$B285,4)&amp;"/"&amp;RIGHT("00"&amp;$C285,2)&amp;"/"&amp;RIGHT("00"&amp;$D285,2)))</f>
        <v/>
      </c>
      <c r="F285">
        <f>IF($A285="","",IF(Issues!$D288="",0,Issues!$D288))</f>
        <v/>
      </c>
      <c r="G285">
        <f>IF($A285="","",Issues!$E288)</f>
        <v/>
      </c>
      <c r="H285">
        <f>IF($A285="","",IF(COUNTIFS(ETxnType,"پاس چک",ETxnChk,$A285)&gt;0,"پاس شده","پاس نشده"))</f>
        <v/>
      </c>
      <c r="I285">
        <f>IF($A285="","",IFERROR(INDEX(BClrDate,MATCH($A285,BClrChk,0)),""))</f>
        <v/>
      </c>
      <c r="J285">
        <f>IF($A285="","",Issues!$G288)</f>
        <v/>
      </c>
      <c r="K285">
        <f>IF(OR($E285="",$E285="نامعتبر"),"",LEFT($E285,4)&amp;MID($E285,6,2)&amp;RIGHT($E285,2)&amp;"|"&amp;RIGHT("00000"&amp;280,5))</f>
        <v/>
      </c>
      <c r="M285">
        <f>IF(Sync!$M285&lt;&gt;"پاس چک","",IF(Sync!$P285="","",Sync!$P285))</f>
        <v/>
      </c>
      <c r="N285">
        <f>IF($M285="","",IF(ISNUMBER(Sync!$L285),IF(AND(Sync!$L285&gt;=10000101,Sync!$L285&lt;=99991231),RIGHT("0000"&amp;INT(Sync!$L285/10000),4)&amp;"/"&amp;RIGHT("00"&amp;INT(MOD(Sync!$L285,10000)/100),2)&amp;"/"&amp;RIGHT("00"&amp;MOD(Sync!$L285,100),2),""),IFERROR(RIGHT("0000"&amp;VALUE(TRIM(LEFT(Sync!$L285,FIND("/",Sync!$L285)-1))),4)&amp;"/"&amp;RIGHT("00"&amp;VALUE(TRIM(LEFT(MID(Sync!$L285,FIND("/",Sync!$L285)+1,20),FIND("/",MID(Sync!$L285,FIND("/",Sync!$L285)+1,20))-1))),2)&amp;"/"&amp;RIGHT("00"&amp;VALUE(TRIM(MID(MID(Sync!$L285,FIND("/",Sync!$L285)+1,20),FIND("/",MID(Sync!$L285,FIND("/",Sync!$L285)+1,20))+1,20))),2),"")))</f>
        <v/>
      </c>
    </row>
    <row r="286">
      <c r="A286">
        <f>IF(Issues!$B289="","",Issues!$B289)</f>
        <v/>
      </c>
      <c r="B286">
        <f>IF($A286="","",IF(ISNUMBER(Issues!$C289),IF(AND(Issues!$C289&gt;=10000101,Issues!$C289&lt;=99991231),INT(Issues!$C289/10000),""),IFERROR(VALUE(TRIM(LEFT(Issues!$C289,FIND("/",Issues!$C289)-1))),"")))</f>
        <v/>
      </c>
      <c r="C286">
        <f>IF(OR($A286="",$B286=""),"",IF(ISNUMBER(Issues!$C289),INT(MOD(Issues!$C289,10000)/100),IFERROR(VALUE(TRIM(LEFT(MID(Issues!$C289,FIND("/",Issues!$C289)+1,20),FIND("/",MID(Issues!$C289,FIND("/",Issues!$C289)+1,20))-1))),"")))</f>
        <v/>
      </c>
      <c r="D286">
        <f>IF(OR($A286="",$B286=""),"",IF(ISNUMBER(Issues!$C289),MOD(Issues!$C289,100),IFERROR(VALUE(TRIM(MID(MID(Issues!$C289,FIND("/",Issues!$C289)+1,20),FIND("/",MID(Issues!$C289,FIND("/",Issues!$C289)+1,20))+1,20))),"")))</f>
        <v/>
      </c>
      <c r="E286">
        <f>IF($A286="","",IF(OR($B286="",$C286="",$D286="",$B286&lt;1300,$B286&gt;1500,$C286&lt;1,$C286&gt;12,$D286&lt;1,$D286&gt;31),"نامعتبر",RIGHT("0000"&amp;$B286,4)&amp;"/"&amp;RIGHT("00"&amp;$C286,2)&amp;"/"&amp;RIGHT("00"&amp;$D286,2)))</f>
        <v/>
      </c>
      <c r="F286">
        <f>IF($A286="","",IF(Issues!$D289="",0,Issues!$D289))</f>
        <v/>
      </c>
      <c r="G286">
        <f>IF($A286="","",Issues!$E289)</f>
        <v/>
      </c>
      <c r="H286">
        <f>IF($A286="","",IF(COUNTIFS(ETxnType,"پاس چک",ETxnChk,$A286)&gt;0,"پاس شده","پاس نشده"))</f>
        <v/>
      </c>
      <c r="I286">
        <f>IF($A286="","",IFERROR(INDEX(BClrDate,MATCH($A286,BClrChk,0)),""))</f>
        <v/>
      </c>
      <c r="J286">
        <f>IF($A286="","",Issues!$G289)</f>
        <v/>
      </c>
      <c r="K286">
        <f>IF(OR($E286="",$E286="نامعتبر"),"",LEFT($E286,4)&amp;MID($E286,6,2)&amp;RIGHT($E286,2)&amp;"|"&amp;RIGHT("00000"&amp;281,5))</f>
        <v/>
      </c>
      <c r="M286">
        <f>IF(Sync!$M286&lt;&gt;"پاس چک","",IF(Sync!$P286="","",Sync!$P286))</f>
        <v/>
      </c>
      <c r="N286">
        <f>IF($M286="","",IF(ISNUMBER(Sync!$L286),IF(AND(Sync!$L286&gt;=10000101,Sync!$L286&lt;=99991231),RIGHT("0000"&amp;INT(Sync!$L286/10000),4)&amp;"/"&amp;RIGHT("00"&amp;INT(MOD(Sync!$L286,10000)/100),2)&amp;"/"&amp;RIGHT("00"&amp;MOD(Sync!$L286,100),2),""),IFERROR(RIGHT("0000"&amp;VALUE(TRIM(LEFT(Sync!$L286,FIND("/",Sync!$L286)-1))),4)&amp;"/"&amp;RIGHT("00"&amp;VALUE(TRIM(LEFT(MID(Sync!$L286,FIND("/",Sync!$L286)+1,20),FIND("/",MID(Sync!$L286,FIND("/",Sync!$L286)+1,20))-1))),2)&amp;"/"&amp;RIGHT("00"&amp;VALUE(TRIM(MID(MID(Sync!$L286,FIND("/",Sync!$L286)+1,20),FIND("/",MID(Sync!$L286,FIND("/",Sync!$L286)+1,20))+1,20))),2),"")))</f>
        <v/>
      </c>
    </row>
    <row r="287">
      <c r="A287">
        <f>IF(Issues!$B290="","",Issues!$B290)</f>
        <v/>
      </c>
      <c r="B287">
        <f>IF($A287="","",IF(ISNUMBER(Issues!$C290),IF(AND(Issues!$C290&gt;=10000101,Issues!$C290&lt;=99991231),INT(Issues!$C290/10000),""),IFERROR(VALUE(TRIM(LEFT(Issues!$C290,FIND("/",Issues!$C290)-1))),"")))</f>
        <v/>
      </c>
      <c r="C287">
        <f>IF(OR($A287="",$B287=""),"",IF(ISNUMBER(Issues!$C290),INT(MOD(Issues!$C290,10000)/100),IFERROR(VALUE(TRIM(LEFT(MID(Issues!$C290,FIND("/",Issues!$C290)+1,20),FIND("/",MID(Issues!$C290,FIND("/",Issues!$C290)+1,20))-1))),"")))</f>
        <v/>
      </c>
      <c r="D287">
        <f>IF(OR($A287="",$B287=""),"",IF(ISNUMBER(Issues!$C290),MOD(Issues!$C290,100),IFERROR(VALUE(TRIM(MID(MID(Issues!$C290,FIND("/",Issues!$C290)+1,20),FIND("/",MID(Issues!$C290,FIND("/",Issues!$C290)+1,20))+1,20))),"")))</f>
        <v/>
      </c>
      <c r="E287">
        <f>IF($A287="","",IF(OR($B287="",$C287="",$D287="",$B287&lt;1300,$B287&gt;1500,$C287&lt;1,$C287&gt;12,$D287&lt;1,$D287&gt;31),"نامعتبر",RIGHT("0000"&amp;$B287,4)&amp;"/"&amp;RIGHT("00"&amp;$C287,2)&amp;"/"&amp;RIGHT("00"&amp;$D287,2)))</f>
        <v/>
      </c>
      <c r="F287">
        <f>IF($A287="","",IF(Issues!$D290="",0,Issues!$D290))</f>
        <v/>
      </c>
      <c r="G287">
        <f>IF($A287="","",Issues!$E290)</f>
        <v/>
      </c>
      <c r="H287">
        <f>IF($A287="","",IF(COUNTIFS(ETxnType,"پاس چک",ETxnChk,$A287)&gt;0,"پاس شده","پاس نشده"))</f>
        <v/>
      </c>
      <c r="I287">
        <f>IF($A287="","",IFERROR(INDEX(BClrDate,MATCH($A287,BClrChk,0)),""))</f>
        <v/>
      </c>
      <c r="J287">
        <f>IF($A287="","",Issues!$G290)</f>
        <v/>
      </c>
      <c r="K287">
        <f>IF(OR($E287="",$E287="نامعتبر"),"",LEFT($E287,4)&amp;MID($E287,6,2)&amp;RIGHT($E287,2)&amp;"|"&amp;RIGHT("00000"&amp;282,5))</f>
        <v/>
      </c>
      <c r="M287">
        <f>IF(Sync!$M287&lt;&gt;"پاس چک","",IF(Sync!$P287="","",Sync!$P287))</f>
        <v/>
      </c>
      <c r="N287">
        <f>IF($M287="","",IF(ISNUMBER(Sync!$L287),IF(AND(Sync!$L287&gt;=10000101,Sync!$L287&lt;=99991231),RIGHT("0000"&amp;INT(Sync!$L287/10000),4)&amp;"/"&amp;RIGHT("00"&amp;INT(MOD(Sync!$L287,10000)/100),2)&amp;"/"&amp;RIGHT("00"&amp;MOD(Sync!$L287,100),2),""),IFERROR(RIGHT("0000"&amp;VALUE(TRIM(LEFT(Sync!$L287,FIND("/",Sync!$L287)-1))),4)&amp;"/"&amp;RIGHT("00"&amp;VALUE(TRIM(LEFT(MID(Sync!$L287,FIND("/",Sync!$L287)+1,20),FIND("/",MID(Sync!$L287,FIND("/",Sync!$L287)+1,20))-1))),2)&amp;"/"&amp;RIGHT("00"&amp;VALUE(TRIM(MID(MID(Sync!$L287,FIND("/",Sync!$L287)+1,20),FIND("/",MID(Sync!$L287,FIND("/",Sync!$L287)+1,20))+1,20))),2),"")))</f>
        <v/>
      </c>
    </row>
    <row r="288">
      <c r="A288">
        <f>IF(Issues!$B291="","",Issues!$B291)</f>
        <v/>
      </c>
      <c r="B288">
        <f>IF($A288="","",IF(ISNUMBER(Issues!$C291),IF(AND(Issues!$C291&gt;=10000101,Issues!$C291&lt;=99991231),INT(Issues!$C291/10000),""),IFERROR(VALUE(TRIM(LEFT(Issues!$C291,FIND("/",Issues!$C291)-1))),"")))</f>
        <v/>
      </c>
      <c r="C288">
        <f>IF(OR($A288="",$B288=""),"",IF(ISNUMBER(Issues!$C291),INT(MOD(Issues!$C291,10000)/100),IFERROR(VALUE(TRIM(LEFT(MID(Issues!$C291,FIND("/",Issues!$C291)+1,20),FIND("/",MID(Issues!$C291,FIND("/",Issues!$C291)+1,20))-1))),"")))</f>
        <v/>
      </c>
      <c r="D288">
        <f>IF(OR($A288="",$B288=""),"",IF(ISNUMBER(Issues!$C291),MOD(Issues!$C291,100),IFERROR(VALUE(TRIM(MID(MID(Issues!$C291,FIND("/",Issues!$C291)+1,20),FIND("/",MID(Issues!$C291,FIND("/",Issues!$C291)+1,20))+1,20))),"")))</f>
        <v/>
      </c>
      <c r="E288">
        <f>IF($A288="","",IF(OR($B288="",$C288="",$D288="",$B288&lt;1300,$B288&gt;1500,$C288&lt;1,$C288&gt;12,$D288&lt;1,$D288&gt;31),"نامعتبر",RIGHT("0000"&amp;$B288,4)&amp;"/"&amp;RIGHT("00"&amp;$C288,2)&amp;"/"&amp;RIGHT("00"&amp;$D288,2)))</f>
        <v/>
      </c>
      <c r="F288">
        <f>IF($A288="","",IF(Issues!$D291="",0,Issues!$D291))</f>
        <v/>
      </c>
      <c r="G288">
        <f>IF($A288="","",Issues!$E291)</f>
        <v/>
      </c>
      <c r="H288">
        <f>IF($A288="","",IF(COUNTIFS(ETxnType,"پاس چک",ETxnChk,$A288)&gt;0,"پاس شده","پاس نشده"))</f>
        <v/>
      </c>
      <c r="I288">
        <f>IF($A288="","",IFERROR(INDEX(BClrDate,MATCH($A288,BClrChk,0)),""))</f>
        <v/>
      </c>
      <c r="J288">
        <f>IF($A288="","",Issues!$G291)</f>
        <v/>
      </c>
      <c r="K288">
        <f>IF(OR($E288="",$E288="نامعتبر"),"",LEFT($E288,4)&amp;MID($E288,6,2)&amp;RIGHT($E288,2)&amp;"|"&amp;RIGHT("00000"&amp;283,5))</f>
        <v/>
      </c>
      <c r="M288">
        <f>IF(Sync!$M288&lt;&gt;"پاس چک","",IF(Sync!$P288="","",Sync!$P288))</f>
        <v/>
      </c>
      <c r="N288">
        <f>IF($M288="","",IF(ISNUMBER(Sync!$L288),IF(AND(Sync!$L288&gt;=10000101,Sync!$L288&lt;=99991231),RIGHT("0000"&amp;INT(Sync!$L288/10000),4)&amp;"/"&amp;RIGHT("00"&amp;INT(MOD(Sync!$L288,10000)/100),2)&amp;"/"&amp;RIGHT("00"&amp;MOD(Sync!$L288,100),2),""),IFERROR(RIGHT("0000"&amp;VALUE(TRIM(LEFT(Sync!$L288,FIND("/",Sync!$L288)-1))),4)&amp;"/"&amp;RIGHT("00"&amp;VALUE(TRIM(LEFT(MID(Sync!$L288,FIND("/",Sync!$L288)+1,20),FIND("/",MID(Sync!$L288,FIND("/",Sync!$L288)+1,20))-1))),2)&amp;"/"&amp;RIGHT("00"&amp;VALUE(TRIM(MID(MID(Sync!$L288,FIND("/",Sync!$L288)+1,20),FIND("/",MID(Sync!$L288,FIND("/",Sync!$L288)+1,20))+1,20))),2),"")))</f>
        <v/>
      </c>
    </row>
    <row r="289">
      <c r="A289">
        <f>IF(Issues!$B292="","",Issues!$B292)</f>
        <v/>
      </c>
      <c r="B289">
        <f>IF($A289="","",IF(ISNUMBER(Issues!$C292),IF(AND(Issues!$C292&gt;=10000101,Issues!$C292&lt;=99991231),INT(Issues!$C292/10000),""),IFERROR(VALUE(TRIM(LEFT(Issues!$C292,FIND("/",Issues!$C292)-1))),"")))</f>
        <v/>
      </c>
      <c r="C289">
        <f>IF(OR($A289="",$B289=""),"",IF(ISNUMBER(Issues!$C292),INT(MOD(Issues!$C292,10000)/100),IFERROR(VALUE(TRIM(LEFT(MID(Issues!$C292,FIND("/",Issues!$C292)+1,20),FIND("/",MID(Issues!$C292,FIND("/",Issues!$C292)+1,20))-1))),"")))</f>
        <v/>
      </c>
      <c r="D289">
        <f>IF(OR($A289="",$B289=""),"",IF(ISNUMBER(Issues!$C292),MOD(Issues!$C292,100),IFERROR(VALUE(TRIM(MID(MID(Issues!$C292,FIND("/",Issues!$C292)+1,20),FIND("/",MID(Issues!$C292,FIND("/",Issues!$C292)+1,20))+1,20))),"")))</f>
        <v/>
      </c>
      <c r="E289">
        <f>IF($A289="","",IF(OR($B289="",$C289="",$D289="",$B289&lt;1300,$B289&gt;1500,$C289&lt;1,$C289&gt;12,$D289&lt;1,$D289&gt;31),"نامعتبر",RIGHT("0000"&amp;$B289,4)&amp;"/"&amp;RIGHT("00"&amp;$C289,2)&amp;"/"&amp;RIGHT("00"&amp;$D289,2)))</f>
        <v/>
      </c>
      <c r="F289">
        <f>IF($A289="","",IF(Issues!$D292="",0,Issues!$D292))</f>
        <v/>
      </c>
      <c r="G289">
        <f>IF($A289="","",Issues!$E292)</f>
        <v/>
      </c>
      <c r="H289">
        <f>IF($A289="","",IF(COUNTIFS(ETxnType,"پاس چک",ETxnChk,$A289)&gt;0,"پاس شده","پاس نشده"))</f>
        <v/>
      </c>
      <c r="I289">
        <f>IF($A289="","",IFERROR(INDEX(BClrDate,MATCH($A289,BClrChk,0)),""))</f>
        <v/>
      </c>
      <c r="J289">
        <f>IF($A289="","",Issues!$G292)</f>
        <v/>
      </c>
      <c r="K289">
        <f>IF(OR($E289="",$E289="نامعتبر"),"",LEFT($E289,4)&amp;MID($E289,6,2)&amp;RIGHT($E289,2)&amp;"|"&amp;RIGHT("00000"&amp;284,5))</f>
        <v/>
      </c>
      <c r="M289">
        <f>IF(Sync!$M289&lt;&gt;"پاس چک","",IF(Sync!$P289="","",Sync!$P289))</f>
        <v/>
      </c>
      <c r="N289">
        <f>IF($M289="","",IF(ISNUMBER(Sync!$L289),IF(AND(Sync!$L289&gt;=10000101,Sync!$L289&lt;=99991231),RIGHT("0000"&amp;INT(Sync!$L289/10000),4)&amp;"/"&amp;RIGHT("00"&amp;INT(MOD(Sync!$L289,10000)/100),2)&amp;"/"&amp;RIGHT("00"&amp;MOD(Sync!$L289,100),2),""),IFERROR(RIGHT("0000"&amp;VALUE(TRIM(LEFT(Sync!$L289,FIND("/",Sync!$L289)-1))),4)&amp;"/"&amp;RIGHT("00"&amp;VALUE(TRIM(LEFT(MID(Sync!$L289,FIND("/",Sync!$L289)+1,20),FIND("/",MID(Sync!$L289,FIND("/",Sync!$L289)+1,20))-1))),2)&amp;"/"&amp;RIGHT("00"&amp;VALUE(TRIM(MID(MID(Sync!$L289,FIND("/",Sync!$L289)+1,20),FIND("/",MID(Sync!$L289,FIND("/",Sync!$L289)+1,20))+1,20))),2),"")))</f>
        <v/>
      </c>
    </row>
    <row r="290">
      <c r="A290">
        <f>IF(Issues!$B293="","",Issues!$B293)</f>
        <v/>
      </c>
      <c r="B290">
        <f>IF($A290="","",IF(ISNUMBER(Issues!$C293),IF(AND(Issues!$C293&gt;=10000101,Issues!$C293&lt;=99991231),INT(Issues!$C293/10000),""),IFERROR(VALUE(TRIM(LEFT(Issues!$C293,FIND("/",Issues!$C293)-1))),"")))</f>
        <v/>
      </c>
      <c r="C290">
        <f>IF(OR($A290="",$B290=""),"",IF(ISNUMBER(Issues!$C293),INT(MOD(Issues!$C293,10000)/100),IFERROR(VALUE(TRIM(LEFT(MID(Issues!$C293,FIND("/",Issues!$C293)+1,20),FIND("/",MID(Issues!$C293,FIND("/",Issues!$C293)+1,20))-1))),"")))</f>
        <v/>
      </c>
      <c r="D290">
        <f>IF(OR($A290="",$B290=""),"",IF(ISNUMBER(Issues!$C293),MOD(Issues!$C293,100),IFERROR(VALUE(TRIM(MID(MID(Issues!$C293,FIND("/",Issues!$C293)+1,20),FIND("/",MID(Issues!$C293,FIND("/",Issues!$C293)+1,20))+1,20))),"")))</f>
        <v/>
      </c>
      <c r="E290">
        <f>IF($A290="","",IF(OR($B290="",$C290="",$D290="",$B290&lt;1300,$B290&gt;1500,$C290&lt;1,$C290&gt;12,$D290&lt;1,$D290&gt;31),"نامعتبر",RIGHT("0000"&amp;$B290,4)&amp;"/"&amp;RIGHT("00"&amp;$C290,2)&amp;"/"&amp;RIGHT("00"&amp;$D290,2)))</f>
        <v/>
      </c>
      <c r="F290">
        <f>IF($A290="","",IF(Issues!$D293="",0,Issues!$D293))</f>
        <v/>
      </c>
      <c r="G290">
        <f>IF($A290="","",Issues!$E293)</f>
        <v/>
      </c>
      <c r="H290">
        <f>IF($A290="","",IF(COUNTIFS(ETxnType,"پاس چک",ETxnChk,$A290)&gt;0,"پاس شده","پاس نشده"))</f>
        <v/>
      </c>
      <c r="I290">
        <f>IF($A290="","",IFERROR(INDEX(BClrDate,MATCH($A290,BClrChk,0)),""))</f>
        <v/>
      </c>
      <c r="J290">
        <f>IF($A290="","",Issues!$G293)</f>
        <v/>
      </c>
      <c r="K290">
        <f>IF(OR($E290="",$E290="نامعتبر"),"",LEFT($E290,4)&amp;MID($E290,6,2)&amp;RIGHT($E290,2)&amp;"|"&amp;RIGHT("00000"&amp;285,5))</f>
        <v/>
      </c>
      <c r="M290">
        <f>IF(Sync!$M290&lt;&gt;"پاس چک","",IF(Sync!$P290="","",Sync!$P290))</f>
        <v/>
      </c>
      <c r="N290">
        <f>IF($M290="","",IF(ISNUMBER(Sync!$L290),IF(AND(Sync!$L290&gt;=10000101,Sync!$L290&lt;=99991231),RIGHT("0000"&amp;INT(Sync!$L290/10000),4)&amp;"/"&amp;RIGHT("00"&amp;INT(MOD(Sync!$L290,10000)/100),2)&amp;"/"&amp;RIGHT("00"&amp;MOD(Sync!$L290,100),2),""),IFERROR(RIGHT("0000"&amp;VALUE(TRIM(LEFT(Sync!$L290,FIND("/",Sync!$L290)-1))),4)&amp;"/"&amp;RIGHT("00"&amp;VALUE(TRIM(LEFT(MID(Sync!$L290,FIND("/",Sync!$L290)+1,20),FIND("/",MID(Sync!$L290,FIND("/",Sync!$L290)+1,20))-1))),2)&amp;"/"&amp;RIGHT("00"&amp;VALUE(TRIM(MID(MID(Sync!$L290,FIND("/",Sync!$L290)+1,20),FIND("/",MID(Sync!$L290,FIND("/",Sync!$L290)+1,20))+1,20))),2),"")))</f>
        <v/>
      </c>
    </row>
    <row r="291">
      <c r="A291">
        <f>IF(Issues!$B294="","",Issues!$B294)</f>
        <v/>
      </c>
      <c r="B291">
        <f>IF($A291="","",IF(ISNUMBER(Issues!$C294),IF(AND(Issues!$C294&gt;=10000101,Issues!$C294&lt;=99991231),INT(Issues!$C294/10000),""),IFERROR(VALUE(TRIM(LEFT(Issues!$C294,FIND("/",Issues!$C294)-1))),"")))</f>
        <v/>
      </c>
      <c r="C291">
        <f>IF(OR($A291="",$B291=""),"",IF(ISNUMBER(Issues!$C294),INT(MOD(Issues!$C294,10000)/100),IFERROR(VALUE(TRIM(LEFT(MID(Issues!$C294,FIND("/",Issues!$C294)+1,20),FIND("/",MID(Issues!$C294,FIND("/",Issues!$C294)+1,20))-1))),"")))</f>
        <v/>
      </c>
      <c r="D291">
        <f>IF(OR($A291="",$B291=""),"",IF(ISNUMBER(Issues!$C294),MOD(Issues!$C294,100),IFERROR(VALUE(TRIM(MID(MID(Issues!$C294,FIND("/",Issues!$C294)+1,20),FIND("/",MID(Issues!$C294,FIND("/",Issues!$C294)+1,20))+1,20))),"")))</f>
        <v/>
      </c>
      <c r="E291">
        <f>IF($A291="","",IF(OR($B291="",$C291="",$D291="",$B291&lt;1300,$B291&gt;1500,$C291&lt;1,$C291&gt;12,$D291&lt;1,$D291&gt;31),"نامعتبر",RIGHT("0000"&amp;$B291,4)&amp;"/"&amp;RIGHT("00"&amp;$C291,2)&amp;"/"&amp;RIGHT("00"&amp;$D291,2)))</f>
        <v/>
      </c>
      <c r="F291">
        <f>IF($A291="","",IF(Issues!$D294="",0,Issues!$D294))</f>
        <v/>
      </c>
      <c r="G291">
        <f>IF($A291="","",Issues!$E294)</f>
        <v/>
      </c>
      <c r="H291">
        <f>IF($A291="","",IF(COUNTIFS(ETxnType,"پاس چک",ETxnChk,$A291)&gt;0,"پاس شده","پاس نشده"))</f>
        <v/>
      </c>
      <c r="I291">
        <f>IF($A291="","",IFERROR(INDEX(BClrDate,MATCH($A291,BClrChk,0)),""))</f>
        <v/>
      </c>
      <c r="J291">
        <f>IF($A291="","",Issues!$G294)</f>
        <v/>
      </c>
      <c r="K291">
        <f>IF(OR($E291="",$E291="نامعتبر"),"",LEFT($E291,4)&amp;MID($E291,6,2)&amp;RIGHT($E291,2)&amp;"|"&amp;RIGHT("00000"&amp;286,5))</f>
        <v/>
      </c>
      <c r="M291">
        <f>IF(Sync!$M291&lt;&gt;"پاس چک","",IF(Sync!$P291="","",Sync!$P291))</f>
        <v/>
      </c>
      <c r="N291">
        <f>IF($M291="","",IF(ISNUMBER(Sync!$L291),IF(AND(Sync!$L291&gt;=10000101,Sync!$L291&lt;=99991231),RIGHT("0000"&amp;INT(Sync!$L291/10000),4)&amp;"/"&amp;RIGHT("00"&amp;INT(MOD(Sync!$L291,10000)/100),2)&amp;"/"&amp;RIGHT("00"&amp;MOD(Sync!$L291,100),2),""),IFERROR(RIGHT("0000"&amp;VALUE(TRIM(LEFT(Sync!$L291,FIND("/",Sync!$L291)-1))),4)&amp;"/"&amp;RIGHT("00"&amp;VALUE(TRIM(LEFT(MID(Sync!$L291,FIND("/",Sync!$L291)+1,20),FIND("/",MID(Sync!$L291,FIND("/",Sync!$L291)+1,20))-1))),2)&amp;"/"&amp;RIGHT("00"&amp;VALUE(TRIM(MID(MID(Sync!$L291,FIND("/",Sync!$L291)+1,20),FIND("/",MID(Sync!$L291,FIND("/",Sync!$L291)+1,20))+1,20))),2),"")))</f>
        <v/>
      </c>
    </row>
    <row r="292">
      <c r="A292">
        <f>IF(Issues!$B295="","",Issues!$B295)</f>
        <v/>
      </c>
      <c r="B292">
        <f>IF($A292="","",IF(ISNUMBER(Issues!$C295),IF(AND(Issues!$C295&gt;=10000101,Issues!$C295&lt;=99991231),INT(Issues!$C295/10000),""),IFERROR(VALUE(TRIM(LEFT(Issues!$C295,FIND("/",Issues!$C295)-1))),"")))</f>
        <v/>
      </c>
      <c r="C292">
        <f>IF(OR($A292="",$B292=""),"",IF(ISNUMBER(Issues!$C295),INT(MOD(Issues!$C295,10000)/100),IFERROR(VALUE(TRIM(LEFT(MID(Issues!$C295,FIND("/",Issues!$C295)+1,20),FIND("/",MID(Issues!$C295,FIND("/",Issues!$C295)+1,20))-1))),"")))</f>
        <v/>
      </c>
      <c r="D292">
        <f>IF(OR($A292="",$B292=""),"",IF(ISNUMBER(Issues!$C295),MOD(Issues!$C295,100),IFERROR(VALUE(TRIM(MID(MID(Issues!$C295,FIND("/",Issues!$C295)+1,20),FIND("/",MID(Issues!$C295,FIND("/",Issues!$C295)+1,20))+1,20))),"")))</f>
        <v/>
      </c>
      <c r="E292">
        <f>IF($A292="","",IF(OR($B292="",$C292="",$D292="",$B292&lt;1300,$B292&gt;1500,$C292&lt;1,$C292&gt;12,$D292&lt;1,$D292&gt;31),"نامعتبر",RIGHT("0000"&amp;$B292,4)&amp;"/"&amp;RIGHT("00"&amp;$C292,2)&amp;"/"&amp;RIGHT("00"&amp;$D292,2)))</f>
        <v/>
      </c>
      <c r="F292">
        <f>IF($A292="","",IF(Issues!$D295="",0,Issues!$D295))</f>
        <v/>
      </c>
      <c r="G292">
        <f>IF($A292="","",Issues!$E295)</f>
        <v/>
      </c>
      <c r="H292">
        <f>IF($A292="","",IF(COUNTIFS(ETxnType,"پاس چک",ETxnChk,$A292)&gt;0,"پاس شده","پاس نشده"))</f>
        <v/>
      </c>
      <c r="I292">
        <f>IF($A292="","",IFERROR(INDEX(BClrDate,MATCH($A292,BClrChk,0)),""))</f>
        <v/>
      </c>
      <c r="J292">
        <f>IF($A292="","",Issues!$G295)</f>
        <v/>
      </c>
      <c r="K292">
        <f>IF(OR($E292="",$E292="نامعتبر"),"",LEFT($E292,4)&amp;MID($E292,6,2)&amp;RIGHT($E292,2)&amp;"|"&amp;RIGHT("00000"&amp;287,5))</f>
        <v/>
      </c>
      <c r="M292">
        <f>IF(Sync!$M292&lt;&gt;"پاس چک","",IF(Sync!$P292="","",Sync!$P292))</f>
        <v/>
      </c>
      <c r="N292">
        <f>IF($M292="","",IF(ISNUMBER(Sync!$L292),IF(AND(Sync!$L292&gt;=10000101,Sync!$L292&lt;=99991231),RIGHT("0000"&amp;INT(Sync!$L292/10000),4)&amp;"/"&amp;RIGHT("00"&amp;INT(MOD(Sync!$L292,10000)/100),2)&amp;"/"&amp;RIGHT("00"&amp;MOD(Sync!$L292,100),2),""),IFERROR(RIGHT("0000"&amp;VALUE(TRIM(LEFT(Sync!$L292,FIND("/",Sync!$L292)-1))),4)&amp;"/"&amp;RIGHT("00"&amp;VALUE(TRIM(LEFT(MID(Sync!$L292,FIND("/",Sync!$L292)+1,20),FIND("/",MID(Sync!$L292,FIND("/",Sync!$L292)+1,20))-1))),2)&amp;"/"&amp;RIGHT("00"&amp;VALUE(TRIM(MID(MID(Sync!$L292,FIND("/",Sync!$L292)+1,20),FIND("/",MID(Sync!$L292,FIND("/",Sync!$L292)+1,20))+1,20))),2),"")))</f>
        <v/>
      </c>
    </row>
    <row r="293">
      <c r="A293">
        <f>IF(Issues!$B296="","",Issues!$B296)</f>
        <v/>
      </c>
      <c r="B293">
        <f>IF($A293="","",IF(ISNUMBER(Issues!$C296),IF(AND(Issues!$C296&gt;=10000101,Issues!$C296&lt;=99991231),INT(Issues!$C296/10000),""),IFERROR(VALUE(TRIM(LEFT(Issues!$C296,FIND("/",Issues!$C296)-1))),"")))</f>
        <v/>
      </c>
      <c r="C293">
        <f>IF(OR($A293="",$B293=""),"",IF(ISNUMBER(Issues!$C296),INT(MOD(Issues!$C296,10000)/100),IFERROR(VALUE(TRIM(LEFT(MID(Issues!$C296,FIND("/",Issues!$C296)+1,20),FIND("/",MID(Issues!$C296,FIND("/",Issues!$C296)+1,20))-1))),"")))</f>
        <v/>
      </c>
      <c r="D293">
        <f>IF(OR($A293="",$B293=""),"",IF(ISNUMBER(Issues!$C296),MOD(Issues!$C296,100),IFERROR(VALUE(TRIM(MID(MID(Issues!$C296,FIND("/",Issues!$C296)+1,20),FIND("/",MID(Issues!$C296,FIND("/",Issues!$C296)+1,20))+1,20))),"")))</f>
        <v/>
      </c>
      <c r="E293">
        <f>IF($A293="","",IF(OR($B293="",$C293="",$D293="",$B293&lt;1300,$B293&gt;1500,$C293&lt;1,$C293&gt;12,$D293&lt;1,$D293&gt;31),"نامعتبر",RIGHT("0000"&amp;$B293,4)&amp;"/"&amp;RIGHT("00"&amp;$C293,2)&amp;"/"&amp;RIGHT("00"&amp;$D293,2)))</f>
        <v/>
      </c>
      <c r="F293">
        <f>IF($A293="","",IF(Issues!$D296="",0,Issues!$D296))</f>
        <v/>
      </c>
      <c r="G293">
        <f>IF($A293="","",Issues!$E296)</f>
        <v/>
      </c>
      <c r="H293">
        <f>IF($A293="","",IF(COUNTIFS(ETxnType,"پاس چک",ETxnChk,$A293)&gt;0,"پاس شده","پاس نشده"))</f>
        <v/>
      </c>
      <c r="I293">
        <f>IF($A293="","",IFERROR(INDEX(BClrDate,MATCH($A293,BClrChk,0)),""))</f>
        <v/>
      </c>
      <c r="J293">
        <f>IF($A293="","",Issues!$G296)</f>
        <v/>
      </c>
      <c r="K293">
        <f>IF(OR($E293="",$E293="نامعتبر"),"",LEFT($E293,4)&amp;MID($E293,6,2)&amp;RIGHT($E293,2)&amp;"|"&amp;RIGHT("00000"&amp;288,5))</f>
        <v/>
      </c>
      <c r="M293">
        <f>IF(Sync!$M293&lt;&gt;"پاس چک","",IF(Sync!$P293="","",Sync!$P293))</f>
        <v/>
      </c>
      <c r="N293">
        <f>IF($M293="","",IF(ISNUMBER(Sync!$L293),IF(AND(Sync!$L293&gt;=10000101,Sync!$L293&lt;=99991231),RIGHT("0000"&amp;INT(Sync!$L293/10000),4)&amp;"/"&amp;RIGHT("00"&amp;INT(MOD(Sync!$L293,10000)/100),2)&amp;"/"&amp;RIGHT("00"&amp;MOD(Sync!$L293,100),2),""),IFERROR(RIGHT("0000"&amp;VALUE(TRIM(LEFT(Sync!$L293,FIND("/",Sync!$L293)-1))),4)&amp;"/"&amp;RIGHT("00"&amp;VALUE(TRIM(LEFT(MID(Sync!$L293,FIND("/",Sync!$L293)+1,20),FIND("/",MID(Sync!$L293,FIND("/",Sync!$L293)+1,20))-1))),2)&amp;"/"&amp;RIGHT("00"&amp;VALUE(TRIM(MID(MID(Sync!$L293,FIND("/",Sync!$L293)+1,20),FIND("/",MID(Sync!$L293,FIND("/",Sync!$L293)+1,20))+1,20))),2),"")))</f>
        <v/>
      </c>
    </row>
    <row r="294">
      <c r="A294">
        <f>IF(Issues!$B297="","",Issues!$B297)</f>
        <v/>
      </c>
      <c r="B294">
        <f>IF($A294="","",IF(ISNUMBER(Issues!$C297),IF(AND(Issues!$C297&gt;=10000101,Issues!$C297&lt;=99991231),INT(Issues!$C297/10000),""),IFERROR(VALUE(TRIM(LEFT(Issues!$C297,FIND("/",Issues!$C297)-1))),"")))</f>
        <v/>
      </c>
      <c r="C294">
        <f>IF(OR($A294="",$B294=""),"",IF(ISNUMBER(Issues!$C297),INT(MOD(Issues!$C297,10000)/100),IFERROR(VALUE(TRIM(LEFT(MID(Issues!$C297,FIND("/",Issues!$C297)+1,20),FIND("/",MID(Issues!$C297,FIND("/",Issues!$C297)+1,20))-1))),"")))</f>
        <v/>
      </c>
      <c r="D294">
        <f>IF(OR($A294="",$B294=""),"",IF(ISNUMBER(Issues!$C297),MOD(Issues!$C297,100),IFERROR(VALUE(TRIM(MID(MID(Issues!$C297,FIND("/",Issues!$C297)+1,20),FIND("/",MID(Issues!$C297,FIND("/",Issues!$C297)+1,20))+1,20))),"")))</f>
        <v/>
      </c>
      <c r="E294">
        <f>IF($A294="","",IF(OR($B294="",$C294="",$D294="",$B294&lt;1300,$B294&gt;1500,$C294&lt;1,$C294&gt;12,$D294&lt;1,$D294&gt;31),"نامعتبر",RIGHT("0000"&amp;$B294,4)&amp;"/"&amp;RIGHT("00"&amp;$C294,2)&amp;"/"&amp;RIGHT("00"&amp;$D294,2)))</f>
        <v/>
      </c>
      <c r="F294">
        <f>IF($A294="","",IF(Issues!$D297="",0,Issues!$D297))</f>
        <v/>
      </c>
      <c r="G294">
        <f>IF($A294="","",Issues!$E297)</f>
        <v/>
      </c>
      <c r="H294">
        <f>IF($A294="","",IF(COUNTIFS(ETxnType,"پاس چک",ETxnChk,$A294)&gt;0,"پاس شده","پاس نشده"))</f>
        <v/>
      </c>
      <c r="I294">
        <f>IF($A294="","",IFERROR(INDEX(BClrDate,MATCH($A294,BClrChk,0)),""))</f>
        <v/>
      </c>
      <c r="J294">
        <f>IF($A294="","",Issues!$G297)</f>
        <v/>
      </c>
      <c r="K294">
        <f>IF(OR($E294="",$E294="نامعتبر"),"",LEFT($E294,4)&amp;MID($E294,6,2)&amp;RIGHT($E294,2)&amp;"|"&amp;RIGHT("00000"&amp;289,5))</f>
        <v/>
      </c>
      <c r="M294">
        <f>IF(Sync!$M294&lt;&gt;"پاس چک","",IF(Sync!$P294="","",Sync!$P294))</f>
        <v/>
      </c>
      <c r="N294">
        <f>IF($M294="","",IF(ISNUMBER(Sync!$L294),IF(AND(Sync!$L294&gt;=10000101,Sync!$L294&lt;=99991231),RIGHT("0000"&amp;INT(Sync!$L294/10000),4)&amp;"/"&amp;RIGHT("00"&amp;INT(MOD(Sync!$L294,10000)/100),2)&amp;"/"&amp;RIGHT("00"&amp;MOD(Sync!$L294,100),2),""),IFERROR(RIGHT("0000"&amp;VALUE(TRIM(LEFT(Sync!$L294,FIND("/",Sync!$L294)-1))),4)&amp;"/"&amp;RIGHT("00"&amp;VALUE(TRIM(LEFT(MID(Sync!$L294,FIND("/",Sync!$L294)+1,20),FIND("/",MID(Sync!$L294,FIND("/",Sync!$L294)+1,20))-1))),2)&amp;"/"&amp;RIGHT("00"&amp;VALUE(TRIM(MID(MID(Sync!$L294,FIND("/",Sync!$L294)+1,20),FIND("/",MID(Sync!$L294,FIND("/",Sync!$L294)+1,20))+1,20))),2),"")))</f>
        <v/>
      </c>
    </row>
    <row r="295">
      <c r="A295">
        <f>IF(Issues!$B298="","",Issues!$B298)</f>
        <v/>
      </c>
      <c r="B295">
        <f>IF($A295="","",IF(ISNUMBER(Issues!$C298),IF(AND(Issues!$C298&gt;=10000101,Issues!$C298&lt;=99991231),INT(Issues!$C298/10000),""),IFERROR(VALUE(TRIM(LEFT(Issues!$C298,FIND("/",Issues!$C298)-1))),"")))</f>
        <v/>
      </c>
      <c r="C295">
        <f>IF(OR($A295="",$B295=""),"",IF(ISNUMBER(Issues!$C298),INT(MOD(Issues!$C298,10000)/100),IFERROR(VALUE(TRIM(LEFT(MID(Issues!$C298,FIND("/",Issues!$C298)+1,20),FIND("/",MID(Issues!$C298,FIND("/",Issues!$C298)+1,20))-1))),"")))</f>
        <v/>
      </c>
      <c r="D295">
        <f>IF(OR($A295="",$B295=""),"",IF(ISNUMBER(Issues!$C298),MOD(Issues!$C298,100),IFERROR(VALUE(TRIM(MID(MID(Issues!$C298,FIND("/",Issues!$C298)+1,20),FIND("/",MID(Issues!$C298,FIND("/",Issues!$C298)+1,20))+1,20))),"")))</f>
        <v/>
      </c>
      <c r="E295">
        <f>IF($A295="","",IF(OR($B295="",$C295="",$D295="",$B295&lt;1300,$B295&gt;1500,$C295&lt;1,$C295&gt;12,$D295&lt;1,$D295&gt;31),"نامعتبر",RIGHT("0000"&amp;$B295,4)&amp;"/"&amp;RIGHT("00"&amp;$C295,2)&amp;"/"&amp;RIGHT("00"&amp;$D295,2)))</f>
        <v/>
      </c>
      <c r="F295">
        <f>IF($A295="","",IF(Issues!$D298="",0,Issues!$D298))</f>
        <v/>
      </c>
      <c r="G295">
        <f>IF($A295="","",Issues!$E298)</f>
        <v/>
      </c>
      <c r="H295">
        <f>IF($A295="","",IF(COUNTIFS(ETxnType,"پاس چک",ETxnChk,$A295)&gt;0,"پاس شده","پاس نشده"))</f>
        <v/>
      </c>
      <c r="I295">
        <f>IF($A295="","",IFERROR(INDEX(BClrDate,MATCH($A295,BClrChk,0)),""))</f>
        <v/>
      </c>
      <c r="J295">
        <f>IF($A295="","",Issues!$G298)</f>
        <v/>
      </c>
      <c r="K295">
        <f>IF(OR($E295="",$E295="نامعتبر"),"",LEFT($E295,4)&amp;MID($E295,6,2)&amp;RIGHT($E295,2)&amp;"|"&amp;RIGHT("00000"&amp;290,5))</f>
        <v/>
      </c>
      <c r="M295">
        <f>IF(Sync!$M295&lt;&gt;"پاس چک","",IF(Sync!$P295="","",Sync!$P295))</f>
        <v/>
      </c>
      <c r="N295">
        <f>IF($M295="","",IF(ISNUMBER(Sync!$L295),IF(AND(Sync!$L295&gt;=10000101,Sync!$L295&lt;=99991231),RIGHT("0000"&amp;INT(Sync!$L295/10000),4)&amp;"/"&amp;RIGHT("00"&amp;INT(MOD(Sync!$L295,10000)/100),2)&amp;"/"&amp;RIGHT("00"&amp;MOD(Sync!$L295,100),2),""),IFERROR(RIGHT("0000"&amp;VALUE(TRIM(LEFT(Sync!$L295,FIND("/",Sync!$L295)-1))),4)&amp;"/"&amp;RIGHT("00"&amp;VALUE(TRIM(LEFT(MID(Sync!$L295,FIND("/",Sync!$L295)+1,20),FIND("/",MID(Sync!$L295,FIND("/",Sync!$L295)+1,20))-1))),2)&amp;"/"&amp;RIGHT("00"&amp;VALUE(TRIM(MID(MID(Sync!$L295,FIND("/",Sync!$L295)+1,20),FIND("/",MID(Sync!$L295,FIND("/",Sync!$L295)+1,20))+1,20))),2),"")))</f>
        <v/>
      </c>
    </row>
    <row r="296">
      <c r="A296">
        <f>IF(Issues!$B299="","",Issues!$B299)</f>
        <v/>
      </c>
      <c r="B296">
        <f>IF($A296="","",IF(ISNUMBER(Issues!$C299),IF(AND(Issues!$C299&gt;=10000101,Issues!$C299&lt;=99991231),INT(Issues!$C299/10000),""),IFERROR(VALUE(TRIM(LEFT(Issues!$C299,FIND("/",Issues!$C299)-1))),"")))</f>
        <v/>
      </c>
      <c r="C296">
        <f>IF(OR($A296="",$B296=""),"",IF(ISNUMBER(Issues!$C299),INT(MOD(Issues!$C299,10000)/100),IFERROR(VALUE(TRIM(LEFT(MID(Issues!$C299,FIND("/",Issues!$C299)+1,20),FIND("/",MID(Issues!$C299,FIND("/",Issues!$C299)+1,20))-1))),"")))</f>
        <v/>
      </c>
      <c r="D296">
        <f>IF(OR($A296="",$B296=""),"",IF(ISNUMBER(Issues!$C299),MOD(Issues!$C299,100),IFERROR(VALUE(TRIM(MID(MID(Issues!$C299,FIND("/",Issues!$C299)+1,20),FIND("/",MID(Issues!$C299,FIND("/",Issues!$C299)+1,20))+1,20))),"")))</f>
        <v/>
      </c>
      <c r="E296">
        <f>IF($A296="","",IF(OR($B296="",$C296="",$D296="",$B296&lt;1300,$B296&gt;1500,$C296&lt;1,$C296&gt;12,$D296&lt;1,$D296&gt;31),"نامعتبر",RIGHT("0000"&amp;$B296,4)&amp;"/"&amp;RIGHT("00"&amp;$C296,2)&amp;"/"&amp;RIGHT("00"&amp;$D296,2)))</f>
        <v/>
      </c>
      <c r="F296">
        <f>IF($A296="","",IF(Issues!$D299="",0,Issues!$D299))</f>
        <v/>
      </c>
      <c r="G296">
        <f>IF($A296="","",Issues!$E299)</f>
        <v/>
      </c>
      <c r="H296">
        <f>IF($A296="","",IF(COUNTIFS(ETxnType,"پاس چک",ETxnChk,$A296)&gt;0,"پاس شده","پاس نشده"))</f>
        <v/>
      </c>
      <c r="I296">
        <f>IF($A296="","",IFERROR(INDEX(BClrDate,MATCH($A296,BClrChk,0)),""))</f>
        <v/>
      </c>
      <c r="J296">
        <f>IF($A296="","",Issues!$G299)</f>
        <v/>
      </c>
      <c r="K296">
        <f>IF(OR($E296="",$E296="نامعتبر"),"",LEFT($E296,4)&amp;MID($E296,6,2)&amp;RIGHT($E296,2)&amp;"|"&amp;RIGHT("00000"&amp;291,5))</f>
        <v/>
      </c>
      <c r="M296">
        <f>IF(Sync!$M296&lt;&gt;"پاس چک","",IF(Sync!$P296="","",Sync!$P296))</f>
        <v/>
      </c>
      <c r="N296">
        <f>IF($M296="","",IF(ISNUMBER(Sync!$L296),IF(AND(Sync!$L296&gt;=10000101,Sync!$L296&lt;=99991231),RIGHT("0000"&amp;INT(Sync!$L296/10000),4)&amp;"/"&amp;RIGHT("00"&amp;INT(MOD(Sync!$L296,10000)/100),2)&amp;"/"&amp;RIGHT("00"&amp;MOD(Sync!$L296,100),2),""),IFERROR(RIGHT("0000"&amp;VALUE(TRIM(LEFT(Sync!$L296,FIND("/",Sync!$L296)-1))),4)&amp;"/"&amp;RIGHT("00"&amp;VALUE(TRIM(LEFT(MID(Sync!$L296,FIND("/",Sync!$L296)+1,20),FIND("/",MID(Sync!$L296,FIND("/",Sync!$L296)+1,20))-1))),2)&amp;"/"&amp;RIGHT("00"&amp;VALUE(TRIM(MID(MID(Sync!$L296,FIND("/",Sync!$L296)+1,20),FIND("/",MID(Sync!$L296,FIND("/",Sync!$L296)+1,20))+1,20))),2),"")))</f>
        <v/>
      </c>
    </row>
    <row r="297">
      <c r="A297">
        <f>IF(Issues!$B300="","",Issues!$B300)</f>
        <v/>
      </c>
      <c r="B297">
        <f>IF($A297="","",IF(ISNUMBER(Issues!$C300),IF(AND(Issues!$C300&gt;=10000101,Issues!$C300&lt;=99991231),INT(Issues!$C300/10000),""),IFERROR(VALUE(TRIM(LEFT(Issues!$C300,FIND("/",Issues!$C300)-1))),"")))</f>
        <v/>
      </c>
      <c r="C297">
        <f>IF(OR($A297="",$B297=""),"",IF(ISNUMBER(Issues!$C300),INT(MOD(Issues!$C300,10000)/100),IFERROR(VALUE(TRIM(LEFT(MID(Issues!$C300,FIND("/",Issues!$C300)+1,20),FIND("/",MID(Issues!$C300,FIND("/",Issues!$C300)+1,20))-1))),"")))</f>
        <v/>
      </c>
      <c r="D297">
        <f>IF(OR($A297="",$B297=""),"",IF(ISNUMBER(Issues!$C300),MOD(Issues!$C300,100),IFERROR(VALUE(TRIM(MID(MID(Issues!$C300,FIND("/",Issues!$C300)+1,20),FIND("/",MID(Issues!$C300,FIND("/",Issues!$C300)+1,20))+1,20))),"")))</f>
        <v/>
      </c>
      <c r="E297">
        <f>IF($A297="","",IF(OR($B297="",$C297="",$D297="",$B297&lt;1300,$B297&gt;1500,$C297&lt;1,$C297&gt;12,$D297&lt;1,$D297&gt;31),"نامعتبر",RIGHT("0000"&amp;$B297,4)&amp;"/"&amp;RIGHT("00"&amp;$C297,2)&amp;"/"&amp;RIGHT("00"&amp;$D297,2)))</f>
        <v/>
      </c>
      <c r="F297">
        <f>IF($A297="","",IF(Issues!$D300="",0,Issues!$D300))</f>
        <v/>
      </c>
      <c r="G297">
        <f>IF($A297="","",Issues!$E300)</f>
        <v/>
      </c>
      <c r="H297">
        <f>IF($A297="","",IF(COUNTIFS(ETxnType,"پاس چک",ETxnChk,$A297)&gt;0,"پاس شده","پاس نشده"))</f>
        <v/>
      </c>
      <c r="I297">
        <f>IF($A297="","",IFERROR(INDEX(BClrDate,MATCH($A297,BClrChk,0)),""))</f>
        <v/>
      </c>
      <c r="J297">
        <f>IF($A297="","",Issues!$G300)</f>
        <v/>
      </c>
      <c r="K297">
        <f>IF(OR($E297="",$E297="نامعتبر"),"",LEFT($E297,4)&amp;MID($E297,6,2)&amp;RIGHT($E297,2)&amp;"|"&amp;RIGHT("00000"&amp;292,5))</f>
        <v/>
      </c>
      <c r="M297">
        <f>IF(Sync!$M297&lt;&gt;"پاس چک","",IF(Sync!$P297="","",Sync!$P297))</f>
        <v/>
      </c>
      <c r="N297">
        <f>IF($M297="","",IF(ISNUMBER(Sync!$L297),IF(AND(Sync!$L297&gt;=10000101,Sync!$L297&lt;=99991231),RIGHT("0000"&amp;INT(Sync!$L297/10000),4)&amp;"/"&amp;RIGHT("00"&amp;INT(MOD(Sync!$L297,10000)/100),2)&amp;"/"&amp;RIGHT("00"&amp;MOD(Sync!$L297,100),2),""),IFERROR(RIGHT("0000"&amp;VALUE(TRIM(LEFT(Sync!$L297,FIND("/",Sync!$L297)-1))),4)&amp;"/"&amp;RIGHT("00"&amp;VALUE(TRIM(LEFT(MID(Sync!$L297,FIND("/",Sync!$L297)+1,20),FIND("/",MID(Sync!$L297,FIND("/",Sync!$L297)+1,20))-1))),2)&amp;"/"&amp;RIGHT("00"&amp;VALUE(TRIM(MID(MID(Sync!$L297,FIND("/",Sync!$L297)+1,20),FIND("/",MID(Sync!$L297,FIND("/",Sync!$L297)+1,20))+1,20))),2),"")))</f>
        <v/>
      </c>
    </row>
    <row r="298">
      <c r="A298">
        <f>IF(Issues!$B301="","",Issues!$B301)</f>
        <v/>
      </c>
      <c r="B298">
        <f>IF($A298="","",IF(ISNUMBER(Issues!$C301),IF(AND(Issues!$C301&gt;=10000101,Issues!$C301&lt;=99991231),INT(Issues!$C301/10000),""),IFERROR(VALUE(TRIM(LEFT(Issues!$C301,FIND("/",Issues!$C301)-1))),"")))</f>
        <v/>
      </c>
      <c r="C298">
        <f>IF(OR($A298="",$B298=""),"",IF(ISNUMBER(Issues!$C301),INT(MOD(Issues!$C301,10000)/100),IFERROR(VALUE(TRIM(LEFT(MID(Issues!$C301,FIND("/",Issues!$C301)+1,20),FIND("/",MID(Issues!$C301,FIND("/",Issues!$C301)+1,20))-1))),"")))</f>
        <v/>
      </c>
      <c r="D298">
        <f>IF(OR($A298="",$B298=""),"",IF(ISNUMBER(Issues!$C301),MOD(Issues!$C301,100),IFERROR(VALUE(TRIM(MID(MID(Issues!$C301,FIND("/",Issues!$C301)+1,20),FIND("/",MID(Issues!$C301,FIND("/",Issues!$C301)+1,20))+1,20))),"")))</f>
        <v/>
      </c>
      <c r="E298">
        <f>IF($A298="","",IF(OR($B298="",$C298="",$D298="",$B298&lt;1300,$B298&gt;1500,$C298&lt;1,$C298&gt;12,$D298&lt;1,$D298&gt;31),"نامعتبر",RIGHT("0000"&amp;$B298,4)&amp;"/"&amp;RIGHT("00"&amp;$C298,2)&amp;"/"&amp;RIGHT("00"&amp;$D298,2)))</f>
        <v/>
      </c>
      <c r="F298">
        <f>IF($A298="","",IF(Issues!$D301="",0,Issues!$D301))</f>
        <v/>
      </c>
      <c r="G298">
        <f>IF($A298="","",Issues!$E301)</f>
        <v/>
      </c>
      <c r="H298">
        <f>IF($A298="","",IF(COUNTIFS(ETxnType,"پاس چک",ETxnChk,$A298)&gt;0,"پاس شده","پاس نشده"))</f>
        <v/>
      </c>
      <c r="I298">
        <f>IF($A298="","",IFERROR(INDEX(BClrDate,MATCH($A298,BClrChk,0)),""))</f>
        <v/>
      </c>
      <c r="J298">
        <f>IF($A298="","",Issues!$G301)</f>
        <v/>
      </c>
      <c r="K298">
        <f>IF(OR($E298="",$E298="نامعتبر"),"",LEFT($E298,4)&amp;MID($E298,6,2)&amp;RIGHT($E298,2)&amp;"|"&amp;RIGHT("00000"&amp;293,5))</f>
        <v/>
      </c>
      <c r="M298">
        <f>IF(Sync!$M298&lt;&gt;"پاس چک","",IF(Sync!$P298="","",Sync!$P298))</f>
        <v/>
      </c>
      <c r="N298">
        <f>IF($M298="","",IF(ISNUMBER(Sync!$L298),IF(AND(Sync!$L298&gt;=10000101,Sync!$L298&lt;=99991231),RIGHT("0000"&amp;INT(Sync!$L298/10000),4)&amp;"/"&amp;RIGHT("00"&amp;INT(MOD(Sync!$L298,10000)/100),2)&amp;"/"&amp;RIGHT("00"&amp;MOD(Sync!$L298,100),2),""),IFERROR(RIGHT("0000"&amp;VALUE(TRIM(LEFT(Sync!$L298,FIND("/",Sync!$L298)-1))),4)&amp;"/"&amp;RIGHT("00"&amp;VALUE(TRIM(LEFT(MID(Sync!$L298,FIND("/",Sync!$L298)+1,20),FIND("/",MID(Sync!$L298,FIND("/",Sync!$L298)+1,20))-1))),2)&amp;"/"&amp;RIGHT("00"&amp;VALUE(TRIM(MID(MID(Sync!$L298,FIND("/",Sync!$L298)+1,20),FIND("/",MID(Sync!$L298,FIND("/",Sync!$L298)+1,20))+1,20))),2),"")))</f>
        <v/>
      </c>
    </row>
    <row r="299">
      <c r="A299">
        <f>IF(Issues!$B302="","",Issues!$B302)</f>
        <v/>
      </c>
      <c r="B299">
        <f>IF($A299="","",IF(ISNUMBER(Issues!$C302),IF(AND(Issues!$C302&gt;=10000101,Issues!$C302&lt;=99991231),INT(Issues!$C302/10000),""),IFERROR(VALUE(TRIM(LEFT(Issues!$C302,FIND("/",Issues!$C302)-1))),"")))</f>
        <v/>
      </c>
      <c r="C299">
        <f>IF(OR($A299="",$B299=""),"",IF(ISNUMBER(Issues!$C302),INT(MOD(Issues!$C302,10000)/100),IFERROR(VALUE(TRIM(LEFT(MID(Issues!$C302,FIND("/",Issues!$C302)+1,20),FIND("/",MID(Issues!$C302,FIND("/",Issues!$C302)+1,20))-1))),"")))</f>
        <v/>
      </c>
      <c r="D299">
        <f>IF(OR($A299="",$B299=""),"",IF(ISNUMBER(Issues!$C302),MOD(Issues!$C302,100),IFERROR(VALUE(TRIM(MID(MID(Issues!$C302,FIND("/",Issues!$C302)+1,20),FIND("/",MID(Issues!$C302,FIND("/",Issues!$C302)+1,20))+1,20))),"")))</f>
        <v/>
      </c>
      <c r="E299">
        <f>IF($A299="","",IF(OR($B299="",$C299="",$D299="",$B299&lt;1300,$B299&gt;1500,$C299&lt;1,$C299&gt;12,$D299&lt;1,$D299&gt;31),"نامعتبر",RIGHT("0000"&amp;$B299,4)&amp;"/"&amp;RIGHT("00"&amp;$C299,2)&amp;"/"&amp;RIGHT("00"&amp;$D299,2)))</f>
        <v/>
      </c>
      <c r="F299">
        <f>IF($A299="","",IF(Issues!$D302="",0,Issues!$D302))</f>
        <v/>
      </c>
      <c r="G299">
        <f>IF($A299="","",Issues!$E302)</f>
        <v/>
      </c>
      <c r="H299">
        <f>IF($A299="","",IF(COUNTIFS(ETxnType,"پاس چک",ETxnChk,$A299)&gt;0,"پاس شده","پاس نشده"))</f>
        <v/>
      </c>
      <c r="I299">
        <f>IF($A299="","",IFERROR(INDEX(BClrDate,MATCH($A299,BClrChk,0)),""))</f>
        <v/>
      </c>
      <c r="J299">
        <f>IF($A299="","",Issues!$G302)</f>
        <v/>
      </c>
      <c r="K299">
        <f>IF(OR($E299="",$E299="نامعتبر"),"",LEFT($E299,4)&amp;MID($E299,6,2)&amp;RIGHT($E299,2)&amp;"|"&amp;RIGHT("00000"&amp;294,5))</f>
        <v/>
      </c>
      <c r="M299">
        <f>IF(Sync!$M299&lt;&gt;"پاس چک","",IF(Sync!$P299="","",Sync!$P299))</f>
        <v/>
      </c>
      <c r="N299">
        <f>IF($M299="","",IF(ISNUMBER(Sync!$L299),IF(AND(Sync!$L299&gt;=10000101,Sync!$L299&lt;=99991231),RIGHT("0000"&amp;INT(Sync!$L299/10000),4)&amp;"/"&amp;RIGHT("00"&amp;INT(MOD(Sync!$L299,10000)/100),2)&amp;"/"&amp;RIGHT("00"&amp;MOD(Sync!$L299,100),2),""),IFERROR(RIGHT("0000"&amp;VALUE(TRIM(LEFT(Sync!$L299,FIND("/",Sync!$L299)-1))),4)&amp;"/"&amp;RIGHT("00"&amp;VALUE(TRIM(LEFT(MID(Sync!$L299,FIND("/",Sync!$L299)+1,20),FIND("/",MID(Sync!$L299,FIND("/",Sync!$L299)+1,20))-1))),2)&amp;"/"&amp;RIGHT("00"&amp;VALUE(TRIM(MID(MID(Sync!$L299,FIND("/",Sync!$L299)+1,20),FIND("/",MID(Sync!$L299,FIND("/",Sync!$L299)+1,20))+1,20))),2),"")))</f>
        <v/>
      </c>
    </row>
    <row r="300">
      <c r="A300">
        <f>IF(Issues!$B303="","",Issues!$B303)</f>
        <v/>
      </c>
      <c r="B300">
        <f>IF($A300="","",IF(ISNUMBER(Issues!$C303),IF(AND(Issues!$C303&gt;=10000101,Issues!$C303&lt;=99991231),INT(Issues!$C303/10000),""),IFERROR(VALUE(TRIM(LEFT(Issues!$C303,FIND("/",Issues!$C303)-1))),"")))</f>
        <v/>
      </c>
      <c r="C300">
        <f>IF(OR($A300="",$B300=""),"",IF(ISNUMBER(Issues!$C303),INT(MOD(Issues!$C303,10000)/100),IFERROR(VALUE(TRIM(LEFT(MID(Issues!$C303,FIND("/",Issues!$C303)+1,20),FIND("/",MID(Issues!$C303,FIND("/",Issues!$C303)+1,20))-1))),"")))</f>
        <v/>
      </c>
      <c r="D300">
        <f>IF(OR($A300="",$B300=""),"",IF(ISNUMBER(Issues!$C303),MOD(Issues!$C303,100),IFERROR(VALUE(TRIM(MID(MID(Issues!$C303,FIND("/",Issues!$C303)+1,20),FIND("/",MID(Issues!$C303,FIND("/",Issues!$C303)+1,20))+1,20))),"")))</f>
        <v/>
      </c>
      <c r="E300">
        <f>IF($A300="","",IF(OR($B300="",$C300="",$D300="",$B300&lt;1300,$B300&gt;1500,$C300&lt;1,$C300&gt;12,$D300&lt;1,$D300&gt;31),"نامعتبر",RIGHT("0000"&amp;$B300,4)&amp;"/"&amp;RIGHT("00"&amp;$C300,2)&amp;"/"&amp;RIGHT("00"&amp;$D300,2)))</f>
        <v/>
      </c>
      <c r="F300">
        <f>IF($A300="","",IF(Issues!$D303="",0,Issues!$D303))</f>
        <v/>
      </c>
      <c r="G300">
        <f>IF($A300="","",Issues!$E303)</f>
        <v/>
      </c>
      <c r="H300">
        <f>IF($A300="","",IF(COUNTIFS(ETxnType,"پاس چک",ETxnChk,$A300)&gt;0,"پاس شده","پاس نشده"))</f>
        <v/>
      </c>
      <c r="I300">
        <f>IF($A300="","",IFERROR(INDEX(BClrDate,MATCH($A300,BClrChk,0)),""))</f>
        <v/>
      </c>
      <c r="J300">
        <f>IF($A300="","",Issues!$G303)</f>
        <v/>
      </c>
      <c r="K300">
        <f>IF(OR($E300="",$E300="نامعتبر"),"",LEFT($E300,4)&amp;MID($E300,6,2)&amp;RIGHT($E300,2)&amp;"|"&amp;RIGHT("00000"&amp;295,5))</f>
        <v/>
      </c>
      <c r="M300">
        <f>IF(Sync!$M300&lt;&gt;"پاس چک","",IF(Sync!$P300="","",Sync!$P300))</f>
        <v/>
      </c>
      <c r="N300">
        <f>IF($M300="","",IF(ISNUMBER(Sync!$L300),IF(AND(Sync!$L300&gt;=10000101,Sync!$L300&lt;=99991231),RIGHT("0000"&amp;INT(Sync!$L300/10000),4)&amp;"/"&amp;RIGHT("00"&amp;INT(MOD(Sync!$L300,10000)/100),2)&amp;"/"&amp;RIGHT("00"&amp;MOD(Sync!$L300,100),2),""),IFERROR(RIGHT("0000"&amp;VALUE(TRIM(LEFT(Sync!$L300,FIND("/",Sync!$L300)-1))),4)&amp;"/"&amp;RIGHT("00"&amp;VALUE(TRIM(LEFT(MID(Sync!$L300,FIND("/",Sync!$L300)+1,20),FIND("/",MID(Sync!$L300,FIND("/",Sync!$L300)+1,20))-1))),2)&amp;"/"&amp;RIGHT("00"&amp;VALUE(TRIM(MID(MID(Sync!$L300,FIND("/",Sync!$L300)+1,20),FIND("/",MID(Sync!$L300,FIND("/",Sync!$L300)+1,20))+1,20))),2),"")))</f>
        <v/>
      </c>
    </row>
    <row r="301">
      <c r="A301">
        <f>IF(Issues!$B304="","",Issues!$B304)</f>
        <v/>
      </c>
      <c r="B301">
        <f>IF($A301="","",IF(ISNUMBER(Issues!$C304),IF(AND(Issues!$C304&gt;=10000101,Issues!$C304&lt;=99991231),INT(Issues!$C304/10000),""),IFERROR(VALUE(TRIM(LEFT(Issues!$C304,FIND("/",Issues!$C304)-1))),"")))</f>
        <v/>
      </c>
      <c r="C301">
        <f>IF(OR($A301="",$B301=""),"",IF(ISNUMBER(Issues!$C304),INT(MOD(Issues!$C304,10000)/100),IFERROR(VALUE(TRIM(LEFT(MID(Issues!$C304,FIND("/",Issues!$C304)+1,20),FIND("/",MID(Issues!$C304,FIND("/",Issues!$C304)+1,20))-1))),"")))</f>
        <v/>
      </c>
      <c r="D301">
        <f>IF(OR($A301="",$B301=""),"",IF(ISNUMBER(Issues!$C304),MOD(Issues!$C304,100),IFERROR(VALUE(TRIM(MID(MID(Issues!$C304,FIND("/",Issues!$C304)+1,20),FIND("/",MID(Issues!$C304,FIND("/",Issues!$C304)+1,20))+1,20))),"")))</f>
        <v/>
      </c>
      <c r="E301">
        <f>IF($A301="","",IF(OR($B301="",$C301="",$D301="",$B301&lt;1300,$B301&gt;1500,$C301&lt;1,$C301&gt;12,$D301&lt;1,$D301&gt;31),"نامعتبر",RIGHT("0000"&amp;$B301,4)&amp;"/"&amp;RIGHT("00"&amp;$C301,2)&amp;"/"&amp;RIGHT("00"&amp;$D301,2)))</f>
        <v/>
      </c>
      <c r="F301">
        <f>IF($A301="","",IF(Issues!$D304="",0,Issues!$D304))</f>
        <v/>
      </c>
      <c r="G301">
        <f>IF($A301="","",Issues!$E304)</f>
        <v/>
      </c>
      <c r="H301">
        <f>IF($A301="","",IF(COUNTIFS(ETxnType,"پاس چک",ETxnChk,$A301)&gt;0,"پاس شده","پاس نشده"))</f>
        <v/>
      </c>
      <c r="I301">
        <f>IF($A301="","",IFERROR(INDEX(BClrDate,MATCH($A301,BClrChk,0)),""))</f>
        <v/>
      </c>
      <c r="J301">
        <f>IF($A301="","",Issues!$G304)</f>
        <v/>
      </c>
      <c r="K301">
        <f>IF(OR($E301="",$E301="نامعتبر"),"",LEFT($E301,4)&amp;MID($E301,6,2)&amp;RIGHT($E301,2)&amp;"|"&amp;RIGHT("00000"&amp;296,5))</f>
        <v/>
      </c>
      <c r="M301">
        <f>IF(Sync!$M301&lt;&gt;"پاس چک","",IF(Sync!$P301="","",Sync!$P301))</f>
        <v/>
      </c>
      <c r="N301">
        <f>IF($M301="","",IF(ISNUMBER(Sync!$L301),IF(AND(Sync!$L301&gt;=10000101,Sync!$L301&lt;=99991231),RIGHT("0000"&amp;INT(Sync!$L301/10000),4)&amp;"/"&amp;RIGHT("00"&amp;INT(MOD(Sync!$L301,10000)/100),2)&amp;"/"&amp;RIGHT("00"&amp;MOD(Sync!$L301,100),2),""),IFERROR(RIGHT("0000"&amp;VALUE(TRIM(LEFT(Sync!$L301,FIND("/",Sync!$L301)-1))),4)&amp;"/"&amp;RIGHT("00"&amp;VALUE(TRIM(LEFT(MID(Sync!$L301,FIND("/",Sync!$L301)+1,20),FIND("/",MID(Sync!$L301,FIND("/",Sync!$L301)+1,20))-1))),2)&amp;"/"&amp;RIGHT("00"&amp;VALUE(TRIM(MID(MID(Sync!$L301,FIND("/",Sync!$L301)+1,20),FIND("/",MID(Sync!$L301,FIND("/",Sync!$L301)+1,20))+1,20))),2),"")))</f>
        <v/>
      </c>
    </row>
    <row r="302">
      <c r="A302">
        <f>IF(Issues!$B305="","",Issues!$B305)</f>
        <v/>
      </c>
      <c r="B302">
        <f>IF($A302="","",IF(ISNUMBER(Issues!$C305),IF(AND(Issues!$C305&gt;=10000101,Issues!$C305&lt;=99991231),INT(Issues!$C305/10000),""),IFERROR(VALUE(TRIM(LEFT(Issues!$C305,FIND("/",Issues!$C305)-1))),"")))</f>
        <v/>
      </c>
      <c r="C302">
        <f>IF(OR($A302="",$B302=""),"",IF(ISNUMBER(Issues!$C305),INT(MOD(Issues!$C305,10000)/100),IFERROR(VALUE(TRIM(LEFT(MID(Issues!$C305,FIND("/",Issues!$C305)+1,20),FIND("/",MID(Issues!$C305,FIND("/",Issues!$C305)+1,20))-1))),"")))</f>
        <v/>
      </c>
      <c r="D302">
        <f>IF(OR($A302="",$B302=""),"",IF(ISNUMBER(Issues!$C305),MOD(Issues!$C305,100),IFERROR(VALUE(TRIM(MID(MID(Issues!$C305,FIND("/",Issues!$C305)+1,20),FIND("/",MID(Issues!$C305,FIND("/",Issues!$C305)+1,20))+1,20))),"")))</f>
        <v/>
      </c>
      <c r="E302">
        <f>IF($A302="","",IF(OR($B302="",$C302="",$D302="",$B302&lt;1300,$B302&gt;1500,$C302&lt;1,$C302&gt;12,$D302&lt;1,$D302&gt;31),"نامعتبر",RIGHT("0000"&amp;$B302,4)&amp;"/"&amp;RIGHT("00"&amp;$C302,2)&amp;"/"&amp;RIGHT("00"&amp;$D302,2)))</f>
        <v/>
      </c>
      <c r="F302">
        <f>IF($A302="","",IF(Issues!$D305="",0,Issues!$D305))</f>
        <v/>
      </c>
      <c r="G302">
        <f>IF($A302="","",Issues!$E305)</f>
        <v/>
      </c>
      <c r="H302">
        <f>IF($A302="","",IF(COUNTIFS(ETxnType,"پاس چک",ETxnChk,$A302)&gt;0,"پاس شده","پاس نشده"))</f>
        <v/>
      </c>
      <c r="I302">
        <f>IF($A302="","",IFERROR(INDEX(BClrDate,MATCH($A302,BClrChk,0)),""))</f>
        <v/>
      </c>
      <c r="J302">
        <f>IF($A302="","",Issues!$G305)</f>
        <v/>
      </c>
      <c r="K302">
        <f>IF(OR($E302="",$E302="نامعتبر"),"",LEFT($E302,4)&amp;MID($E302,6,2)&amp;RIGHT($E302,2)&amp;"|"&amp;RIGHT("00000"&amp;297,5))</f>
        <v/>
      </c>
      <c r="M302">
        <f>IF(Sync!$M302&lt;&gt;"پاس چک","",IF(Sync!$P302="","",Sync!$P302))</f>
        <v/>
      </c>
      <c r="N302">
        <f>IF($M302="","",IF(ISNUMBER(Sync!$L302),IF(AND(Sync!$L302&gt;=10000101,Sync!$L302&lt;=99991231),RIGHT("0000"&amp;INT(Sync!$L302/10000),4)&amp;"/"&amp;RIGHT("00"&amp;INT(MOD(Sync!$L302,10000)/100),2)&amp;"/"&amp;RIGHT("00"&amp;MOD(Sync!$L302,100),2),""),IFERROR(RIGHT("0000"&amp;VALUE(TRIM(LEFT(Sync!$L302,FIND("/",Sync!$L302)-1))),4)&amp;"/"&amp;RIGHT("00"&amp;VALUE(TRIM(LEFT(MID(Sync!$L302,FIND("/",Sync!$L302)+1,20),FIND("/",MID(Sync!$L302,FIND("/",Sync!$L302)+1,20))-1))),2)&amp;"/"&amp;RIGHT("00"&amp;VALUE(TRIM(MID(MID(Sync!$L302,FIND("/",Sync!$L302)+1,20),FIND("/",MID(Sync!$L302,FIND("/",Sync!$L302)+1,20))+1,20))),2),"")))</f>
        <v/>
      </c>
    </row>
    <row r="303">
      <c r="A303">
        <f>IF(Issues!$B306="","",Issues!$B306)</f>
        <v/>
      </c>
      <c r="B303">
        <f>IF($A303="","",IF(ISNUMBER(Issues!$C306),IF(AND(Issues!$C306&gt;=10000101,Issues!$C306&lt;=99991231),INT(Issues!$C306/10000),""),IFERROR(VALUE(TRIM(LEFT(Issues!$C306,FIND("/",Issues!$C306)-1))),"")))</f>
        <v/>
      </c>
      <c r="C303">
        <f>IF(OR($A303="",$B303=""),"",IF(ISNUMBER(Issues!$C306),INT(MOD(Issues!$C306,10000)/100),IFERROR(VALUE(TRIM(LEFT(MID(Issues!$C306,FIND("/",Issues!$C306)+1,20),FIND("/",MID(Issues!$C306,FIND("/",Issues!$C306)+1,20))-1))),"")))</f>
        <v/>
      </c>
      <c r="D303">
        <f>IF(OR($A303="",$B303=""),"",IF(ISNUMBER(Issues!$C306),MOD(Issues!$C306,100),IFERROR(VALUE(TRIM(MID(MID(Issues!$C306,FIND("/",Issues!$C306)+1,20),FIND("/",MID(Issues!$C306,FIND("/",Issues!$C306)+1,20))+1,20))),"")))</f>
        <v/>
      </c>
      <c r="E303">
        <f>IF($A303="","",IF(OR($B303="",$C303="",$D303="",$B303&lt;1300,$B303&gt;1500,$C303&lt;1,$C303&gt;12,$D303&lt;1,$D303&gt;31),"نامعتبر",RIGHT("0000"&amp;$B303,4)&amp;"/"&amp;RIGHT("00"&amp;$C303,2)&amp;"/"&amp;RIGHT("00"&amp;$D303,2)))</f>
        <v/>
      </c>
      <c r="F303">
        <f>IF($A303="","",IF(Issues!$D306="",0,Issues!$D306))</f>
        <v/>
      </c>
      <c r="G303">
        <f>IF($A303="","",Issues!$E306)</f>
        <v/>
      </c>
      <c r="H303">
        <f>IF($A303="","",IF(COUNTIFS(ETxnType,"پاس چک",ETxnChk,$A303)&gt;0,"پاس شده","پاس نشده"))</f>
        <v/>
      </c>
      <c r="I303">
        <f>IF($A303="","",IFERROR(INDEX(BClrDate,MATCH($A303,BClrChk,0)),""))</f>
        <v/>
      </c>
      <c r="J303">
        <f>IF($A303="","",Issues!$G306)</f>
        <v/>
      </c>
      <c r="K303">
        <f>IF(OR($E303="",$E303="نامعتبر"),"",LEFT($E303,4)&amp;MID($E303,6,2)&amp;RIGHT($E303,2)&amp;"|"&amp;RIGHT("00000"&amp;298,5))</f>
        <v/>
      </c>
      <c r="M303">
        <f>IF(Sync!$M303&lt;&gt;"پاس چک","",IF(Sync!$P303="","",Sync!$P303))</f>
        <v/>
      </c>
      <c r="N303">
        <f>IF($M303="","",IF(ISNUMBER(Sync!$L303),IF(AND(Sync!$L303&gt;=10000101,Sync!$L303&lt;=99991231),RIGHT("0000"&amp;INT(Sync!$L303/10000),4)&amp;"/"&amp;RIGHT("00"&amp;INT(MOD(Sync!$L303,10000)/100),2)&amp;"/"&amp;RIGHT("00"&amp;MOD(Sync!$L303,100),2),""),IFERROR(RIGHT("0000"&amp;VALUE(TRIM(LEFT(Sync!$L303,FIND("/",Sync!$L303)-1))),4)&amp;"/"&amp;RIGHT("00"&amp;VALUE(TRIM(LEFT(MID(Sync!$L303,FIND("/",Sync!$L303)+1,20),FIND("/",MID(Sync!$L303,FIND("/",Sync!$L303)+1,20))-1))),2)&amp;"/"&amp;RIGHT("00"&amp;VALUE(TRIM(MID(MID(Sync!$L303,FIND("/",Sync!$L303)+1,20),FIND("/",MID(Sync!$L303,FIND("/",Sync!$L303)+1,20))+1,20))),2),"")))</f>
        <v/>
      </c>
    </row>
    <row r="304">
      <c r="A304">
        <f>IF(Issues!$B307="","",Issues!$B307)</f>
        <v/>
      </c>
      <c r="B304">
        <f>IF($A304="","",IF(ISNUMBER(Issues!$C307),IF(AND(Issues!$C307&gt;=10000101,Issues!$C307&lt;=99991231),INT(Issues!$C307/10000),""),IFERROR(VALUE(TRIM(LEFT(Issues!$C307,FIND("/",Issues!$C307)-1))),"")))</f>
        <v/>
      </c>
      <c r="C304">
        <f>IF(OR($A304="",$B304=""),"",IF(ISNUMBER(Issues!$C307),INT(MOD(Issues!$C307,10000)/100),IFERROR(VALUE(TRIM(LEFT(MID(Issues!$C307,FIND("/",Issues!$C307)+1,20),FIND("/",MID(Issues!$C307,FIND("/",Issues!$C307)+1,20))-1))),"")))</f>
        <v/>
      </c>
      <c r="D304">
        <f>IF(OR($A304="",$B304=""),"",IF(ISNUMBER(Issues!$C307),MOD(Issues!$C307,100),IFERROR(VALUE(TRIM(MID(MID(Issues!$C307,FIND("/",Issues!$C307)+1,20),FIND("/",MID(Issues!$C307,FIND("/",Issues!$C307)+1,20))+1,20))),"")))</f>
        <v/>
      </c>
      <c r="E304">
        <f>IF($A304="","",IF(OR($B304="",$C304="",$D304="",$B304&lt;1300,$B304&gt;1500,$C304&lt;1,$C304&gt;12,$D304&lt;1,$D304&gt;31),"نامعتبر",RIGHT("0000"&amp;$B304,4)&amp;"/"&amp;RIGHT("00"&amp;$C304,2)&amp;"/"&amp;RIGHT("00"&amp;$D304,2)))</f>
        <v/>
      </c>
      <c r="F304">
        <f>IF($A304="","",IF(Issues!$D307="",0,Issues!$D307))</f>
        <v/>
      </c>
      <c r="G304">
        <f>IF($A304="","",Issues!$E307)</f>
        <v/>
      </c>
      <c r="H304">
        <f>IF($A304="","",IF(COUNTIFS(ETxnType,"پاس چک",ETxnChk,$A304)&gt;0,"پاس شده","پاس نشده"))</f>
        <v/>
      </c>
      <c r="I304">
        <f>IF($A304="","",IFERROR(INDEX(BClrDate,MATCH($A304,BClrChk,0)),""))</f>
        <v/>
      </c>
      <c r="J304">
        <f>IF($A304="","",Issues!$G307)</f>
        <v/>
      </c>
      <c r="K304">
        <f>IF(OR($E304="",$E304="نامعتبر"),"",LEFT($E304,4)&amp;MID($E304,6,2)&amp;RIGHT($E304,2)&amp;"|"&amp;RIGHT("00000"&amp;299,5))</f>
        <v/>
      </c>
      <c r="M304">
        <f>IF(Sync!$M304&lt;&gt;"پاس چک","",IF(Sync!$P304="","",Sync!$P304))</f>
        <v/>
      </c>
      <c r="N304">
        <f>IF($M304="","",IF(ISNUMBER(Sync!$L304),IF(AND(Sync!$L304&gt;=10000101,Sync!$L304&lt;=99991231),RIGHT("0000"&amp;INT(Sync!$L304/10000),4)&amp;"/"&amp;RIGHT("00"&amp;INT(MOD(Sync!$L304,10000)/100),2)&amp;"/"&amp;RIGHT("00"&amp;MOD(Sync!$L304,100),2),""),IFERROR(RIGHT("0000"&amp;VALUE(TRIM(LEFT(Sync!$L304,FIND("/",Sync!$L304)-1))),4)&amp;"/"&amp;RIGHT("00"&amp;VALUE(TRIM(LEFT(MID(Sync!$L304,FIND("/",Sync!$L304)+1,20),FIND("/",MID(Sync!$L304,FIND("/",Sync!$L304)+1,20))-1))),2)&amp;"/"&amp;RIGHT("00"&amp;VALUE(TRIM(MID(MID(Sync!$L304,FIND("/",Sync!$L304)+1,20),FIND("/",MID(Sync!$L304,FIND("/",Sync!$L304)+1,20))+1,20))),2),"")))</f>
        <v/>
      </c>
    </row>
    <row r="305">
      <c r="A305">
        <f>IF(Issues!$B308="","",Issues!$B308)</f>
        <v/>
      </c>
      <c r="B305">
        <f>IF($A305="","",IF(ISNUMBER(Issues!$C308),IF(AND(Issues!$C308&gt;=10000101,Issues!$C308&lt;=99991231),INT(Issues!$C308/10000),""),IFERROR(VALUE(TRIM(LEFT(Issues!$C308,FIND("/",Issues!$C308)-1))),"")))</f>
        <v/>
      </c>
      <c r="C305">
        <f>IF(OR($A305="",$B305=""),"",IF(ISNUMBER(Issues!$C308),INT(MOD(Issues!$C308,10000)/100),IFERROR(VALUE(TRIM(LEFT(MID(Issues!$C308,FIND("/",Issues!$C308)+1,20),FIND("/",MID(Issues!$C308,FIND("/",Issues!$C308)+1,20))-1))),"")))</f>
        <v/>
      </c>
      <c r="D305">
        <f>IF(OR($A305="",$B305=""),"",IF(ISNUMBER(Issues!$C308),MOD(Issues!$C308,100),IFERROR(VALUE(TRIM(MID(MID(Issues!$C308,FIND("/",Issues!$C308)+1,20),FIND("/",MID(Issues!$C308,FIND("/",Issues!$C308)+1,20))+1,20))),"")))</f>
        <v/>
      </c>
      <c r="E305">
        <f>IF($A305="","",IF(OR($B305="",$C305="",$D305="",$B305&lt;1300,$B305&gt;1500,$C305&lt;1,$C305&gt;12,$D305&lt;1,$D305&gt;31),"نامعتبر",RIGHT("0000"&amp;$B305,4)&amp;"/"&amp;RIGHT("00"&amp;$C305,2)&amp;"/"&amp;RIGHT("00"&amp;$D305,2)))</f>
        <v/>
      </c>
      <c r="F305">
        <f>IF($A305="","",IF(Issues!$D308="",0,Issues!$D308))</f>
        <v/>
      </c>
      <c r="G305">
        <f>IF($A305="","",Issues!$E308)</f>
        <v/>
      </c>
      <c r="H305">
        <f>IF($A305="","",IF(COUNTIFS(ETxnType,"پاس چک",ETxnChk,$A305)&gt;0,"پاس شده","پاس نشده"))</f>
        <v/>
      </c>
      <c r="I305">
        <f>IF($A305="","",IFERROR(INDEX(BClrDate,MATCH($A305,BClrChk,0)),""))</f>
        <v/>
      </c>
      <c r="J305">
        <f>IF($A305="","",Issues!$G308)</f>
        <v/>
      </c>
      <c r="K305">
        <f>IF(OR($E305="",$E305="نامعتبر"),"",LEFT($E305,4)&amp;MID($E305,6,2)&amp;RIGHT($E305,2)&amp;"|"&amp;RIGHT("00000"&amp;300,5))</f>
        <v/>
      </c>
      <c r="M305">
        <f>IF(Sync!$M305&lt;&gt;"پاس چک","",IF(Sync!$P305="","",Sync!$P305))</f>
        <v/>
      </c>
      <c r="N305">
        <f>IF($M305="","",IF(ISNUMBER(Sync!$L305),IF(AND(Sync!$L305&gt;=10000101,Sync!$L305&lt;=99991231),RIGHT("0000"&amp;INT(Sync!$L305/10000),4)&amp;"/"&amp;RIGHT("00"&amp;INT(MOD(Sync!$L305,10000)/100),2)&amp;"/"&amp;RIGHT("00"&amp;MOD(Sync!$L305,100),2),""),IFERROR(RIGHT("0000"&amp;VALUE(TRIM(LEFT(Sync!$L305,FIND("/",Sync!$L305)-1))),4)&amp;"/"&amp;RIGHT("00"&amp;VALUE(TRIM(LEFT(MID(Sync!$L305,FIND("/",Sync!$L305)+1,20),FIND("/",MID(Sync!$L305,FIND("/",Sync!$L305)+1,20))-1))),2)&amp;"/"&amp;RIGHT("00"&amp;VALUE(TRIM(MID(MID(Sync!$L305,FIND("/",Sync!$L305)+1,20),FIND("/",MID(Sync!$L305,FIND("/",Sync!$L305)+1,20))+1,20))),2),"")))</f>
        <v/>
      </c>
    </row>
    <row r="306">
      <c r="A306">
        <f>IF(Issues!$B309="","",Issues!$B309)</f>
        <v/>
      </c>
      <c r="B306">
        <f>IF($A306="","",IF(ISNUMBER(Issues!$C309),IF(AND(Issues!$C309&gt;=10000101,Issues!$C309&lt;=99991231),INT(Issues!$C309/10000),""),IFERROR(VALUE(TRIM(LEFT(Issues!$C309,FIND("/",Issues!$C309)-1))),"")))</f>
        <v/>
      </c>
      <c r="C306">
        <f>IF(OR($A306="",$B306=""),"",IF(ISNUMBER(Issues!$C309),INT(MOD(Issues!$C309,10000)/100),IFERROR(VALUE(TRIM(LEFT(MID(Issues!$C309,FIND("/",Issues!$C309)+1,20),FIND("/",MID(Issues!$C309,FIND("/",Issues!$C309)+1,20))-1))),"")))</f>
        <v/>
      </c>
      <c r="D306">
        <f>IF(OR($A306="",$B306=""),"",IF(ISNUMBER(Issues!$C309),MOD(Issues!$C309,100),IFERROR(VALUE(TRIM(MID(MID(Issues!$C309,FIND("/",Issues!$C309)+1,20),FIND("/",MID(Issues!$C309,FIND("/",Issues!$C309)+1,20))+1,20))),"")))</f>
        <v/>
      </c>
      <c r="E306">
        <f>IF($A306="","",IF(OR($B306="",$C306="",$D306="",$B306&lt;1300,$B306&gt;1500,$C306&lt;1,$C306&gt;12,$D306&lt;1,$D306&gt;31),"نامعتبر",RIGHT("0000"&amp;$B306,4)&amp;"/"&amp;RIGHT("00"&amp;$C306,2)&amp;"/"&amp;RIGHT("00"&amp;$D306,2)))</f>
        <v/>
      </c>
      <c r="F306">
        <f>IF($A306="","",IF(Issues!$D309="",0,Issues!$D309))</f>
        <v/>
      </c>
      <c r="G306">
        <f>IF($A306="","",Issues!$E309)</f>
        <v/>
      </c>
      <c r="H306">
        <f>IF($A306="","",IF(COUNTIFS(ETxnType,"پاس چک",ETxnChk,$A306)&gt;0,"پاس شده","پاس نشده"))</f>
        <v/>
      </c>
      <c r="I306">
        <f>IF($A306="","",IFERROR(INDEX(BClrDate,MATCH($A306,BClrChk,0)),""))</f>
        <v/>
      </c>
      <c r="J306">
        <f>IF($A306="","",Issues!$G309)</f>
        <v/>
      </c>
      <c r="K306">
        <f>IF(OR($E306="",$E306="نامعتبر"),"",LEFT($E306,4)&amp;MID($E306,6,2)&amp;RIGHT($E306,2)&amp;"|"&amp;RIGHT("00000"&amp;301,5))</f>
        <v/>
      </c>
      <c r="M306">
        <f>IF(Sync!$M306&lt;&gt;"پاس چک","",IF(Sync!$P306="","",Sync!$P306))</f>
        <v/>
      </c>
      <c r="N306">
        <f>IF($M306="","",IF(ISNUMBER(Sync!$L306),IF(AND(Sync!$L306&gt;=10000101,Sync!$L306&lt;=99991231),RIGHT("0000"&amp;INT(Sync!$L306/10000),4)&amp;"/"&amp;RIGHT("00"&amp;INT(MOD(Sync!$L306,10000)/100),2)&amp;"/"&amp;RIGHT("00"&amp;MOD(Sync!$L306,100),2),""),IFERROR(RIGHT("0000"&amp;VALUE(TRIM(LEFT(Sync!$L306,FIND("/",Sync!$L306)-1))),4)&amp;"/"&amp;RIGHT("00"&amp;VALUE(TRIM(LEFT(MID(Sync!$L306,FIND("/",Sync!$L306)+1,20),FIND("/",MID(Sync!$L306,FIND("/",Sync!$L306)+1,20))-1))),2)&amp;"/"&amp;RIGHT("00"&amp;VALUE(TRIM(MID(MID(Sync!$L306,FIND("/",Sync!$L306)+1,20),FIND("/",MID(Sync!$L306,FIND("/",Sync!$L306)+1,20))+1,20))),2),"")))</f>
        <v/>
      </c>
    </row>
    <row r="307">
      <c r="A307">
        <f>IF(Issues!$B310="","",Issues!$B310)</f>
        <v/>
      </c>
      <c r="B307">
        <f>IF($A307="","",IF(ISNUMBER(Issues!$C310),IF(AND(Issues!$C310&gt;=10000101,Issues!$C310&lt;=99991231),INT(Issues!$C310/10000),""),IFERROR(VALUE(TRIM(LEFT(Issues!$C310,FIND("/",Issues!$C310)-1))),"")))</f>
        <v/>
      </c>
      <c r="C307">
        <f>IF(OR($A307="",$B307=""),"",IF(ISNUMBER(Issues!$C310),INT(MOD(Issues!$C310,10000)/100),IFERROR(VALUE(TRIM(LEFT(MID(Issues!$C310,FIND("/",Issues!$C310)+1,20),FIND("/",MID(Issues!$C310,FIND("/",Issues!$C310)+1,20))-1))),"")))</f>
        <v/>
      </c>
      <c r="D307">
        <f>IF(OR($A307="",$B307=""),"",IF(ISNUMBER(Issues!$C310),MOD(Issues!$C310,100),IFERROR(VALUE(TRIM(MID(MID(Issues!$C310,FIND("/",Issues!$C310)+1,20),FIND("/",MID(Issues!$C310,FIND("/",Issues!$C310)+1,20))+1,20))),"")))</f>
        <v/>
      </c>
      <c r="E307">
        <f>IF($A307="","",IF(OR($B307="",$C307="",$D307="",$B307&lt;1300,$B307&gt;1500,$C307&lt;1,$C307&gt;12,$D307&lt;1,$D307&gt;31),"نامعتبر",RIGHT("0000"&amp;$B307,4)&amp;"/"&amp;RIGHT("00"&amp;$C307,2)&amp;"/"&amp;RIGHT("00"&amp;$D307,2)))</f>
        <v/>
      </c>
      <c r="F307">
        <f>IF($A307="","",IF(Issues!$D310="",0,Issues!$D310))</f>
        <v/>
      </c>
      <c r="G307">
        <f>IF($A307="","",Issues!$E310)</f>
        <v/>
      </c>
      <c r="H307">
        <f>IF($A307="","",IF(COUNTIFS(ETxnType,"پاس چک",ETxnChk,$A307)&gt;0,"پاس شده","پاس نشده"))</f>
        <v/>
      </c>
      <c r="I307">
        <f>IF($A307="","",IFERROR(INDEX(BClrDate,MATCH($A307,BClrChk,0)),""))</f>
        <v/>
      </c>
      <c r="J307">
        <f>IF($A307="","",Issues!$G310)</f>
        <v/>
      </c>
      <c r="K307">
        <f>IF(OR($E307="",$E307="نامعتبر"),"",LEFT($E307,4)&amp;MID($E307,6,2)&amp;RIGHT($E307,2)&amp;"|"&amp;RIGHT("00000"&amp;302,5))</f>
        <v/>
      </c>
      <c r="M307">
        <f>IF(Sync!$M307&lt;&gt;"پاس چک","",IF(Sync!$P307="","",Sync!$P307))</f>
        <v/>
      </c>
      <c r="N307">
        <f>IF($M307="","",IF(ISNUMBER(Sync!$L307),IF(AND(Sync!$L307&gt;=10000101,Sync!$L307&lt;=99991231),RIGHT("0000"&amp;INT(Sync!$L307/10000),4)&amp;"/"&amp;RIGHT("00"&amp;INT(MOD(Sync!$L307,10000)/100),2)&amp;"/"&amp;RIGHT("00"&amp;MOD(Sync!$L307,100),2),""),IFERROR(RIGHT("0000"&amp;VALUE(TRIM(LEFT(Sync!$L307,FIND("/",Sync!$L307)-1))),4)&amp;"/"&amp;RIGHT("00"&amp;VALUE(TRIM(LEFT(MID(Sync!$L307,FIND("/",Sync!$L307)+1,20),FIND("/",MID(Sync!$L307,FIND("/",Sync!$L307)+1,20))-1))),2)&amp;"/"&amp;RIGHT("00"&amp;VALUE(TRIM(MID(MID(Sync!$L307,FIND("/",Sync!$L307)+1,20),FIND("/",MID(Sync!$L307,FIND("/",Sync!$L307)+1,20))+1,20))),2),"")))</f>
        <v/>
      </c>
    </row>
    <row r="308">
      <c r="A308">
        <f>IF(Issues!$B311="","",Issues!$B311)</f>
        <v/>
      </c>
      <c r="B308">
        <f>IF($A308="","",IF(ISNUMBER(Issues!$C311),IF(AND(Issues!$C311&gt;=10000101,Issues!$C311&lt;=99991231),INT(Issues!$C311/10000),""),IFERROR(VALUE(TRIM(LEFT(Issues!$C311,FIND("/",Issues!$C311)-1))),"")))</f>
        <v/>
      </c>
      <c r="C308">
        <f>IF(OR($A308="",$B308=""),"",IF(ISNUMBER(Issues!$C311),INT(MOD(Issues!$C311,10000)/100),IFERROR(VALUE(TRIM(LEFT(MID(Issues!$C311,FIND("/",Issues!$C311)+1,20),FIND("/",MID(Issues!$C311,FIND("/",Issues!$C311)+1,20))-1))),"")))</f>
        <v/>
      </c>
      <c r="D308">
        <f>IF(OR($A308="",$B308=""),"",IF(ISNUMBER(Issues!$C311),MOD(Issues!$C311,100),IFERROR(VALUE(TRIM(MID(MID(Issues!$C311,FIND("/",Issues!$C311)+1,20),FIND("/",MID(Issues!$C311,FIND("/",Issues!$C311)+1,20))+1,20))),"")))</f>
        <v/>
      </c>
      <c r="E308">
        <f>IF($A308="","",IF(OR($B308="",$C308="",$D308="",$B308&lt;1300,$B308&gt;1500,$C308&lt;1,$C308&gt;12,$D308&lt;1,$D308&gt;31),"نامعتبر",RIGHT("0000"&amp;$B308,4)&amp;"/"&amp;RIGHT("00"&amp;$C308,2)&amp;"/"&amp;RIGHT("00"&amp;$D308,2)))</f>
        <v/>
      </c>
      <c r="F308">
        <f>IF($A308="","",IF(Issues!$D311="",0,Issues!$D311))</f>
        <v/>
      </c>
      <c r="G308">
        <f>IF($A308="","",Issues!$E311)</f>
        <v/>
      </c>
      <c r="H308">
        <f>IF($A308="","",IF(COUNTIFS(ETxnType,"پاس چک",ETxnChk,$A308)&gt;0,"پاس شده","پاس نشده"))</f>
        <v/>
      </c>
      <c r="I308">
        <f>IF($A308="","",IFERROR(INDEX(BClrDate,MATCH($A308,BClrChk,0)),""))</f>
        <v/>
      </c>
      <c r="J308">
        <f>IF($A308="","",Issues!$G311)</f>
        <v/>
      </c>
      <c r="K308">
        <f>IF(OR($E308="",$E308="نامعتبر"),"",LEFT($E308,4)&amp;MID($E308,6,2)&amp;RIGHT($E308,2)&amp;"|"&amp;RIGHT("00000"&amp;303,5))</f>
        <v/>
      </c>
      <c r="M308">
        <f>IF(Sync!$M308&lt;&gt;"پاس چک","",IF(Sync!$P308="","",Sync!$P308))</f>
        <v/>
      </c>
      <c r="N308">
        <f>IF($M308="","",IF(ISNUMBER(Sync!$L308),IF(AND(Sync!$L308&gt;=10000101,Sync!$L308&lt;=99991231),RIGHT("0000"&amp;INT(Sync!$L308/10000),4)&amp;"/"&amp;RIGHT("00"&amp;INT(MOD(Sync!$L308,10000)/100),2)&amp;"/"&amp;RIGHT("00"&amp;MOD(Sync!$L308,100),2),""),IFERROR(RIGHT("0000"&amp;VALUE(TRIM(LEFT(Sync!$L308,FIND("/",Sync!$L308)-1))),4)&amp;"/"&amp;RIGHT("00"&amp;VALUE(TRIM(LEFT(MID(Sync!$L308,FIND("/",Sync!$L308)+1,20),FIND("/",MID(Sync!$L308,FIND("/",Sync!$L308)+1,20))-1))),2)&amp;"/"&amp;RIGHT("00"&amp;VALUE(TRIM(MID(MID(Sync!$L308,FIND("/",Sync!$L308)+1,20),FIND("/",MID(Sync!$L308,FIND("/",Sync!$L308)+1,20))+1,20))),2),"")))</f>
        <v/>
      </c>
    </row>
    <row r="309">
      <c r="A309">
        <f>IF(Issues!$B312="","",Issues!$B312)</f>
        <v/>
      </c>
      <c r="B309">
        <f>IF($A309="","",IF(ISNUMBER(Issues!$C312),IF(AND(Issues!$C312&gt;=10000101,Issues!$C312&lt;=99991231),INT(Issues!$C312/10000),""),IFERROR(VALUE(TRIM(LEFT(Issues!$C312,FIND("/",Issues!$C312)-1))),"")))</f>
        <v/>
      </c>
      <c r="C309">
        <f>IF(OR($A309="",$B309=""),"",IF(ISNUMBER(Issues!$C312),INT(MOD(Issues!$C312,10000)/100),IFERROR(VALUE(TRIM(LEFT(MID(Issues!$C312,FIND("/",Issues!$C312)+1,20),FIND("/",MID(Issues!$C312,FIND("/",Issues!$C312)+1,20))-1))),"")))</f>
        <v/>
      </c>
      <c r="D309">
        <f>IF(OR($A309="",$B309=""),"",IF(ISNUMBER(Issues!$C312),MOD(Issues!$C312,100),IFERROR(VALUE(TRIM(MID(MID(Issues!$C312,FIND("/",Issues!$C312)+1,20),FIND("/",MID(Issues!$C312,FIND("/",Issues!$C312)+1,20))+1,20))),"")))</f>
        <v/>
      </c>
      <c r="E309">
        <f>IF($A309="","",IF(OR($B309="",$C309="",$D309="",$B309&lt;1300,$B309&gt;1500,$C309&lt;1,$C309&gt;12,$D309&lt;1,$D309&gt;31),"نامعتبر",RIGHT("0000"&amp;$B309,4)&amp;"/"&amp;RIGHT("00"&amp;$C309,2)&amp;"/"&amp;RIGHT("00"&amp;$D309,2)))</f>
        <v/>
      </c>
      <c r="F309">
        <f>IF($A309="","",IF(Issues!$D312="",0,Issues!$D312))</f>
        <v/>
      </c>
      <c r="G309">
        <f>IF($A309="","",Issues!$E312)</f>
        <v/>
      </c>
      <c r="H309">
        <f>IF($A309="","",IF(COUNTIFS(ETxnType,"پاس چک",ETxnChk,$A309)&gt;0,"پاس شده","پاس نشده"))</f>
        <v/>
      </c>
      <c r="I309">
        <f>IF($A309="","",IFERROR(INDEX(BClrDate,MATCH($A309,BClrChk,0)),""))</f>
        <v/>
      </c>
      <c r="J309">
        <f>IF($A309="","",Issues!$G312)</f>
        <v/>
      </c>
      <c r="K309">
        <f>IF(OR($E309="",$E309="نامعتبر"),"",LEFT($E309,4)&amp;MID($E309,6,2)&amp;RIGHT($E309,2)&amp;"|"&amp;RIGHT("00000"&amp;304,5))</f>
        <v/>
      </c>
      <c r="M309">
        <f>IF(Sync!$M309&lt;&gt;"پاس چک","",IF(Sync!$P309="","",Sync!$P309))</f>
        <v/>
      </c>
      <c r="N309">
        <f>IF($M309="","",IF(ISNUMBER(Sync!$L309),IF(AND(Sync!$L309&gt;=10000101,Sync!$L309&lt;=99991231),RIGHT("0000"&amp;INT(Sync!$L309/10000),4)&amp;"/"&amp;RIGHT("00"&amp;INT(MOD(Sync!$L309,10000)/100),2)&amp;"/"&amp;RIGHT("00"&amp;MOD(Sync!$L309,100),2),""),IFERROR(RIGHT("0000"&amp;VALUE(TRIM(LEFT(Sync!$L309,FIND("/",Sync!$L309)-1))),4)&amp;"/"&amp;RIGHT("00"&amp;VALUE(TRIM(LEFT(MID(Sync!$L309,FIND("/",Sync!$L309)+1,20),FIND("/",MID(Sync!$L309,FIND("/",Sync!$L309)+1,20))-1))),2)&amp;"/"&amp;RIGHT("00"&amp;VALUE(TRIM(MID(MID(Sync!$L309,FIND("/",Sync!$L309)+1,20),FIND("/",MID(Sync!$L309,FIND("/",Sync!$L309)+1,20))+1,20))),2),"")))</f>
        <v/>
      </c>
    </row>
    <row r="310">
      <c r="A310">
        <f>IF(Issues!$B313="","",Issues!$B313)</f>
        <v/>
      </c>
      <c r="B310">
        <f>IF($A310="","",IF(ISNUMBER(Issues!$C313),IF(AND(Issues!$C313&gt;=10000101,Issues!$C313&lt;=99991231),INT(Issues!$C313/10000),""),IFERROR(VALUE(TRIM(LEFT(Issues!$C313,FIND("/",Issues!$C313)-1))),"")))</f>
        <v/>
      </c>
      <c r="C310">
        <f>IF(OR($A310="",$B310=""),"",IF(ISNUMBER(Issues!$C313),INT(MOD(Issues!$C313,10000)/100),IFERROR(VALUE(TRIM(LEFT(MID(Issues!$C313,FIND("/",Issues!$C313)+1,20),FIND("/",MID(Issues!$C313,FIND("/",Issues!$C313)+1,20))-1))),"")))</f>
        <v/>
      </c>
      <c r="D310">
        <f>IF(OR($A310="",$B310=""),"",IF(ISNUMBER(Issues!$C313),MOD(Issues!$C313,100),IFERROR(VALUE(TRIM(MID(MID(Issues!$C313,FIND("/",Issues!$C313)+1,20),FIND("/",MID(Issues!$C313,FIND("/",Issues!$C313)+1,20))+1,20))),"")))</f>
        <v/>
      </c>
      <c r="E310">
        <f>IF($A310="","",IF(OR($B310="",$C310="",$D310="",$B310&lt;1300,$B310&gt;1500,$C310&lt;1,$C310&gt;12,$D310&lt;1,$D310&gt;31),"نامعتبر",RIGHT("0000"&amp;$B310,4)&amp;"/"&amp;RIGHT("00"&amp;$C310,2)&amp;"/"&amp;RIGHT("00"&amp;$D310,2)))</f>
        <v/>
      </c>
      <c r="F310">
        <f>IF($A310="","",IF(Issues!$D313="",0,Issues!$D313))</f>
        <v/>
      </c>
      <c r="G310">
        <f>IF($A310="","",Issues!$E313)</f>
        <v/>
      </c>
      <c r="H310">
        <f>IF($A310="","",IF(COUNTIFS(ETxnType,"پاس چک",ETxnChk,$A310)&gt;0,"پاس شده","پاس نشده"))</f>
        <v/>
      </c>
      <c r="I310">
        <f>IF($A310="","",IFERROR(INDEX(BClrDate,MATCH($A310,BClrChk,0)),""))</f>
        <v/>
      </c>
      <c r="J310">
        <f>IF($A310="","",Issues!$G313)</f>
        <v/>
      </c>
      <c r="K310">
        <f>IF(OR($E310="",$E310="نامعتبر"),"",LEFT($E310,4)&amp;MID($E310,6,2)&amp;RIGHT($E310,2)&amp;"|"&amp;RIGHT("00000"&amp;305,5))</f>
        <v/>
      </c>
      <c r="M310">
        <f>IF(Sync!$M310&lt;&gt;"پاس چک","",IF(Sync!$P310="","",Sync!$P310))</f>
        <v/>
      </c>
      <c r="N310">
        <f>IF($M310="","",IF(ISNUMBER(Sync!$L310),IF(AND(Sync!$L310&gt;=10000101,Sync!$L310&lt;=99991231),RIGHT("0000"&amp;INT(Sync!$L310/10000),4)&amp;"/"&amp;RIGHT("00"&amp;INT(MOD(Sync!$L310,10000)/100),2)&amp;"/"&amp;RIGHT("00"&amp;MOD(Sync!$L310,100),2),""),IFERROR(RIGHT("0000"&amp;VALUE(TRIM(LEFT(Sync!$L310,FIND("/",Sync!$L310)-1))),4)&amp;"/"&amp;RIGHT("00"&amp;VALUE(TRIM(LEFT(MID(Sync!$L310,FIND("/",Sync!$L310)+1,20),FIND("/",MID(Sync!$L310,FIND("/",Sync!$L310)+1,20))-1))),2)&amp;"/"&amp;RIGHT("00"&amp;VALUE(TRIM(MID(MID(Sync!$L310,FIND("/",Sync!$L310)+1,20),FIND("/",MID(Sync!$L310,FIND("/",Sync!$L310)+1,20))+1,20))),2),"")))</f>
        <v/>
      </c>
    </row>
    <row r="311">
      <c r="A311">
        <f>IF(Issues!$B314="","",Issues!$B314)</f>
        <v/>
      </c>
      <c r="B311">
        <f>IF($A311="","",IF(ISNUMBER(Issues!$C314),IF(AND(Issues!$C314&gt;=10000101,Issues!$C314&lt;=99991231),INT(Issues!$C314/10000),""),IFERROR(VALUE(TRIM(LEFT(Issues!$C314,FIND("/",Issues!$C314)-1))),"")))</f>
        <v/>
      </c>
      <c r="C311">
        <f>IF(OR($A311="",$B311=""),"",IF(ISNUMBER(Issues!$C314),INT(MOD(Issues!$C314,10000)/100),IFERROR(VALUE(TRIM(LEFT(MID(Issues!$C314,FIND("/",Issues!$C314)+1,20),FIND("/",MID(Issues!$C314,FIND("/",Issues!$C314)+1,20))-1))),"")))</f>
        <v/>
      </c>
      <c r="D311">
        <f>IF(OR($A311="",$B311=""),"",IF(ISNUMBER(Issues!$C314),MOD(Issues!$C314,100),IFERROR(VALUE(TRIM(MID(MID(Issues!$C314,FIND("/",Issues!$C314)+1,20),FIND("/",MID(Issues!$C314,FIND("/",Issues!$C314)+1,20))+1,20))),"")))</f>
        <v/>
      </c>
      <c r="E311">
        <f>IF($A311="","",IF(OR($B311="",$C311="",$D311="",$B311&lt;1300,$B311&gt;1500,$C311&lt;1,$C311&gt;12,$D311&lt;1,$D311&gt;31),"نامعتبر",RIGHT("0000"&amp;$B311,4)&amp;"/"&amp;RIGHT("00"&amp;$C311,2)&amp;"/"&amp;RIGHT("00"&amp;$D311,2)))</f>
        <v/>
      </c>
      <c r="F311">
        <f>IF($A311="","",IF(Issues!$D314="",0,Issues!$D314))</f>
        <v/>
      </c>
      <c r="G311">
        <f>IF($A311="","",Issues!$E314)</f>
        <v/>
      </c>
      <c r="H311">
        <f>IF($A311="","",IF(COUNTIFS(ETxnType,"پاس چک",ETxnChk,$A311)&gt;0,"پاس شده","پاس نشده"))</f>
        <v/>
      </c>
      <c r="I311">
        <f>IF($A311="","",IFERROR(INDEX(BClrDate,MATCH($A311,BClrChk,0)),""))</f>
        <v/>
      </c>
      <c r="J311">
        <f>IF($A311="","",Issues!$G314)</f>
        <v/>
      </c>
      <c r="K311">
        <f>IF(OR($E311="",$E311="نامعتبر"),"",LEFT($E311,4)&amp;MID($E311,6,2)&amp;RIGHT($E311,2)&amp;"|"&amp;RIGHT("00000"&amp;306,5))</f>
        <v/>
      </c>
      <c r="M311">
        <f>IF(Sync!$M311&lt;&gt;"پاس چک","",IF(Sync!$P311="","",Sync!$P311))</f>
        <v/>
      </c>
      <c r="N311">
        <f>IF($M311="","",IF(ISNUMBER(Sync!$L311),IF(AND(Sync!$L311&gt;=10000101,Sync!$L311&lt;=99991231),RIGHT("0000"&amp;INT(Sync!$L311/10000),4)&amp;"/"&amp;RIGHT("00"&amp;INT(MOD(Sync!$L311,10000)/100),2)&amp;"/"&amp;RIGHT("00"&amp;MOD(Sync!$L311,100),2),""),IFERROR(RIGHT("0000"&amp;VALUE(TRIM(LEFT(Sync!$L311,FIND("/",Sync!$L311)-1))),4)&amp;"/"&amp;RIGHT("00"&amp;VALUE(TRIM(LEFT(MID(Sync!$L311,FIND("/",Sync!$L311)+1,20),FIND("/",MID(Sync!$L311,FIND("/",Sync!$L311)+1,20))-1))),2)&amp;"/"&amp;RIGHT("00"&amp;VALUE(TRIM(MID(MID(Sync!$L311,FIND("/",Sync!$L311)+1,20),FIND("/",MID(Sync!$L311,FIND("/",Sync!$L311)+1,20))+1,20))),2),"")))</f>
        <v/>
      </c>
    </row>
    <row r="312">
      <c r="A312">
        <f>IF(Issues!$B315="","",Issues!$B315)</f>
        <v/>
      </c>
      <c r="B312">
        <f>IF($A312="","",IF(ISNUMBER(Issues!$C315),IF(AND(Issues!$C315&gt;=10000101,Issues!$C315&lt;=99991231),INT(Issues!$C315/10000),""),IFERROR(VALUE(TRIM(LEFT(Issues!$C315,FIND("/",Issues!$C315)-1))),"")))</f>
        <v/>
      </c>
      <c r="C312">
        <f>IF(OR($A312="",$B312=""),"",IF(ISNUMBER(Issues!$C315),INT(MOD(Issues!$C315,10000)/100),IFERROR(VALUE(TRIM(LEFT(MID(Issues!$C315,FIND("/",Issues!$C315)+1,20),FIND("/",MID(Issues!$C315,FIND("/",Issues!$C315)+1,20))-1))),"")))</f>
        <v/>
      </c>
      <c r="D312">
        <f>IF(OR($A312="",$B312=""),"",IF(ISNUMBER(Issues!$C315),MOD(Issues!$C315,100),IFERROR(VALUE(TRIM(MID(MID(Issues!$C315,FIND("/",Issues!$C315)+1,20),FIND("/",MID(Issues!$C315,FIND("/",Issues!$C315)+1,20))+1,20))),"")))</f>
        <v/>
      </c>
      <c r="E312">
        <f>IF($A312="","",IF(OR($B312="",$C312="",$D312="",$B312&lt;1300,$B312&gt;1500,$C312&lt;1,$C312&gt;12,$D312&lt;1,$D312&gt;31),"نامعتبر",RIGHT("0000"&amp;$B312,4)&amp;"/"&amp;RIGHT("00"&amp;$C312,2)&amp;"/"&amp;RIGHT("00"&amp;$D312,2)))</f>
        <v/>
      </c>
      <c r="F312">
        <f>IF($A312="","",IF(Issues!$D315="",0,Issues!$D315))</f>
        <v/>
      </c>
      <c r="G312">
        <f>IF($A312="","",Issues!$E315)</f>
        <v/>
      </c>
      <c r="H312">
        <f>IF($A312="","",IF(COUNTIFS(ETxnType,"پاس چک",ETxnChk,$A312)&gt;0,"پاس شده","پاس نشده"))</f>
        <v/>
      </c>
      <c r="I312">
        <f>IF($A312="","",IFERROR(INDEX(BClrDate,MATCH($A312,BClrChk,0)),""))</f>
        <v/>
      </c>
      <c r="J312">
        <f>IF($A312="","",Issues!$G315)</f>
        <v/>
      </c>
      <c r="K312">
        <f>IF(OR($E312="",$E312="نامعتبر"),"",LEFT($E312,4)&amp;MID($E312,6,2)&amp;RIGHT($E312,2)&amp;"|"&amp;RIGHT("00000"&amp;307,5))</f>
        <v/>
      </c>
      <c r="M312">
        <f>IF(Sync!$M312&lt;&gt;"پاس چک","",IF(Sync!$P312="","",Sync!$P312))</f>
        <v/>
      </c>
      <c r="N312">
        <f>IF($M312="","",IF(ISNUMBER(Sync!$L312),IF(AND(Sync!$L312&gt;=10000101,Sync!$L312&lt;=99991231),RIGHT("0000"&amp;INT(Sync!$L312/10000),4)&amp;"/"&amp;RIGHT("00"&amp;INT(MOD(Sync!$L312,10000)/100),2)&amp;"/"&amp;RIGHT("00"&amp;MOD(Sync!$L312,100),2),""),IFERROR(RIGHT("0000"&amp;VALUE(TRIM(LEFT(Sync!$L312,FIND("/",Sync!$L312)-1))),4)&amp;"/"&amp;RIGHT("00"&amp;VALUE(TRIM(LEFT(MID(Sync!$L312,FIND("/",Sync!$L312)+1,20),FIND("/",MID(Sync!$L312,FIND("/",Sync!$L312)+1,20))-1))),2)&amp;"/"&amp;RIGHT("00"&amp;VALUE(TRIM(MID(MID(Sync!$L312,FIND("/",Sync!$L312)+1,20),FIND("/",MID(Sync!$L312,FIND("/",Sync!$L312)+1,20))+1,20))),2),"")))</f>
        <v/>
      </c>
    </row>
    <row r="313">
      <c r="A313">
        <f>IF(Issues!$B316="","",Issues!$B316)</f>
        <v/>
      </c>
      <c r="B313">
        <f>IF($A313="","",IF(ISNUMBER(Issues!$C316),IF(AND(Issues!$C316&gt;=10000101,Issues!$C316&lt;=99991231),INT(Issues!$C316/10000),""),IFERROR(VALUE(TRIM(LEFT(Issues!$C316,FIND("/",Issues!$C316)-1))),"")))</f>
        <v/>
      </c>
      <c r="C313">
        <f>IF(OR($A313="",$B313=""),"",IF(ISNUMBER(Issues!$C316),INT(MOD(Issues!$C316,10000)/100),IFERROR(VALUE(TRIM(LEFT(MID(Issues!$C316,FIND("/",Issues!$C316)+1,20),FIND("/",MID(Issues!$C316,FIND("/",Issues!$C316)+1,20))-1))),"")))</f>
        <v/>
      </c>
      <c r="D313">
        <f>IF(OR($A313="",$B313=""),"",IF(ISNUMBER(Issues!$C316),MOD(Issues!$C316,100),IFERROR(VALUE(TRIM(MID(MID(Issues!$C316,FIND("/",Issues!$C316)+1,20),FIND("/",MID(Issues!$C316,FIND("/",Issues!$C316)+1,20))+1,20))),"")))</f>
        <v/>
      </c>
      <c r="E313">
        <f>IF($A313="","",IF(OR($B313="",$C313="",$D313="",$B313&lt;1300,$B313&gt;1500,$C313&lt;1,$C313&gt;12,$D313&lt;1,$D313&gt;31),"نامعتبر",RIGHT("0000"&amp;$B313,4)&amp;"/"&amp;RIGHT("00"&amp;$C313,2)&amp;"/"&amp;RIGHT("00"&amp;$D313,2)))</f>
        <v/>
      </c>
      <c r="F313">
        <f>IF($A313="","",IF(Issues!$D316="",0,Issues!$D316))</f>
        <v/>
      </c>
      <c r="G313">
        <f>IF($A313="","",Issues!$E316)</f>
        <v/>
      </c>
      <c r="H313">
        <f>IF($A313="","",IF(COUNTIFS(ETxnType,"پاس چک",ETxnChk,$A313)&gt;0,"پاس شده","پاس نشده"))</f>
        <v/>
      </c>
      <c r="I313">
        <f>IF($A313="","",IFERROR(INDEX(BClrDate,MATCH($A313,BClrChk,0)),""))</f>
        <v/>
      </c>
      <c r="J313">
        <f>IF($A313="","",Issues!$G316)</f>
        <v/>
      </c>
      <c r="K313">
        <f>IF(OR($E313="",$E313="نامعتبر"),"",LEFT($E313,4)&amp;MID($E313,6,2)&amp;RIGHT($E313,2)&amp;"|"&amp;RIGHT("00000"&amp;308,5))</f>
        <v/>
      </c>
      <c r="M313">
        <f>IF(Sync!$M313&lt;&gt;"پاس چک","",IF(Sync!$P313="","",Sync!$P313))</f>
        <v/>
      </c>
      <c r="N313">
        <f>IF($M313="","",IF(ISNUMBER(Sync!$L313),IF(AND(Sync!$L313&gt;=10000101,Sync!$L313&lt;=99991231),RIGHT("0000"&amp;INT(Sync!$L313/10000),4)&amp;"/"&amp;RIGHT("00"&amp;INT(MOD(Sync!$L313,10000)/100),2)&amp;"/"&amp;RIGHT("00"&amp;MOD(Sync!$L313,100),2),""),IFERROR(RIGHT("0000"&amp;VALUE(TRIM(LEFT(Sync!$L313,FIND("/",Sync!$L313)-1))),4)&amp;"/"&amp;RIGHT("00"&amp;VALUE(TRIM(LEFT(MID(Sync!$L313,FIND("/",Sync!$L313)+1,20),FIND("/",MID(Sync!$L313,FIND("/",Sync!$L313)+1,20))-1))),2)&amp;"/"&amp;RIGHT("00"&amp;VALUE(TRIM(MID(MID(Sync!$L313,FIND("/",Sync!$L313)+1,20),FIND("/",MID(Sync!$L313,FIND("/",Sync!$L313)+1,20))+1,20))),2),"")))</f>
        <v/>
      </c>
    </row>
    <row r="314">
      <c r="A314">
        <f>IF(Issues!$B317="","",Issues!$B317)</f>
        <v/>
      </c>
      <c r="B314">
        <f>IF($A314="","",IF(ISNUMBER(Issues!$C317),IF(AND(Issues!$C317&gt;=10000101,Issues!$C317&lt;=99991231),INT(Issues!$C317/10000),""),IFERROR(VALUE(TRIM(LEFT(Issues!$C317,FIND("/",Issues!$C317)-1))),"")))</f>
        <v/>
      </c>
      <c r="C314">
        <f>IF(OR($A314="",$B314=""),"",IF(ISNUMBER(Issues!$C317),INT(MOD(Issues!$C317,10000)/100),IFERROR(VALUE(TRIM(LEFT(MID(Issues!$C317,FIND("/",Issues!$C317)+1,20),FIND("/",MID(Issues!$C317,FIND("/",Issues!$C317)+1,20))-1))),"")))</f>
        <v/>
      </c>
      <c r="D314">
        <f>IF(OR($A314="",$B314=""),"",IF(ISNUMBER(Issues!$C317),MOD(Issues!$C317,100),IFERROR(VALUE(TRIM(MID(MID(Issues!$C317,FIND("/",Issues!$C317)+1,20),FIND("/",MID(Issues!$C317,FIND("/",Issues!$C317)+1,20))+1,20))),"")))</f>
        <v/>
      </c>
      <c r="E314">
        <f>IF($A314="","",IF(OR($B314="",$C314="",$D314="",$B314&lt;1300,$B314&gt;1500,$C314&lt;1,$C314&gt;12,$D314&lt;1,$D314&gt;31),"نامعتبر",RIGHT("0000"&amp;$B314,4)&amp;"/"&amp;RIGHT("00"&amp;$C314,2)&amp;"/"&amp;RIGHT("00"&amp;$D314,2)))</f>
        <v/>
      </c>
      <c r="F314">
        <f>IF($A314="","",IF(Issues!$D317="",0,Issues!$D317))</f>
        <v/>
      </c>
      <c r="G314">
        <f>IF($A314="","",Issues!$E317)</f>
        <v/>
      </c>
      <c r="H314">
        <f>IF($A314="","",IF(COUNTIFS(ETxnType,"پاس چک",ETxnChk,$A314)&gt;0,"پاس شده","پاس نشده"))</f>
        <v/>
      </c>
      <c r="I314">
        <f>IF($A314="","",IFERROR(INDEX(BClrDate,MATCH($A314,BClrChk,0)),""))</f>
        <v/>
      </c>
      <c r="J314">
        <f>IF($A314="","",Issues!$G317)</f>
        <v/>
      </c>
      <c r="K314">
        <f>IF(OR($E314="",$E314="نامعتبر"),"",LEFT($E314,4)&amp;MID($E314,6,2)&amp;RIGHT($E314,2)&amp;"|"&amp;RIGHT("00000"&amp;309,5))</f>
        <v/>
      </c>
      <c r="M314">
        <f>IF(Sync!$M314&lt;&gt;"پاس چک","",IF(Sync!$P314="","",Sync!$P314))</f>
        <v/>
      </c>
      <c r="N314">
        <f>IF($M314="","",IF(ISNUMBER(Sync!$L314),IF(AND(Sync!$L314&gt;=10000101,Sync!$L314&lt;=99991231),RIGHT("0000"&amp;INT(Sync!$L314/10000),4)&amp;"/"&amp;RIGHT("00"&amp;INT(MOD(Sync!$L314,10000)/100),2)&amp;"/"&amp;RIGHT("00"&amp;MOD(Sync!$L314,100),2),""),IFERROR(RIGHT("0000"&amp;VALUE(TRIM(LEFT(Sync!$L314,FIND("/",Sync!$L314)-1))),4)&amp;"/"&amp;RIGHT("00"&amp;VALUE(TRIM(LEFT(MID(Sync!$L314,FIND("/",Sync!$L314)+1,20),FIND("/",MID(Sync!$L314,FIND("/",Sync!$L314)+1,20))-1))),2)&amp;"/"&amp;RIGHT("00"&amp;VALUE(TRIM(MID(MID(Sync!$L314,FIND("/",Sync!$L314)+1,20),FIND("/",MID(Sync!$L314,FIND("/",Sync!$L314)+1,20))+1,20))),2),"")))</f>
        <v/>
      </c>
    </row>
    <row r="315">
      <c r="A315">
        <f>IF(Issues!$B318="","",Issues!$B318)</f>
        <v/>
      </c>
      <c r="B315">
        <f>IF($A315="","",IF(ISNUMBER(Issues!$C318),IF(AND(Issues!$C318&gt;=10000101,Issues!$C318&lt;=99991231),INT(Issues!$C318/10000),""),IFERROR(VALUE(TRIM(LEFT(Issues!$C318,FIND("/",Issues!$C318)-1))),"")))</f>
        <v/>
      </c>
      <c r="C315">
        <f>IF(OR($A315="",$B315=""),"",IF(ISNUMBER(Issues!$C318),INT(MOD(Issues!$C318,10000)/100),IFERROR(VALUE(TRIM(LEFT(MID(Issues!$C318,FIND("/",Issues!$C318)+1,20),FIND("/",MID(Issues!$C318,FIND("/",Issues!$C318)+1,20))-1))),"")))</f>
        <v/>
      </c>
      <c r="D315">
        <f>IF(OR($A315="",$B315=""),"",IF(ISNUMBER(Issues!$C318),MOD(Issues!$C318,100),IFERROR(VALUE(TRIM(MID(MID(Issues!$C318,FIND("/",Issues!$C318)+1,20),FIND("/",MID(Issues!$C318,FIND("/",Issues!$C318)+1,20))+1,20))),"")))</f>
        <v/>
      </c>
      <c r="E315">
        <f>IF($A315="","",IF(OR($B315="",$C315="",$D315="",$B315&lt;1300,$B315&gt;1500,$C315&lt;1,$C315&gt;12,$D315&lt;1,$D315&gt;31),"نامعتبر",RIGHT("0000"&amp;$B315,4)&amp;"/"&amp;RIGHT("00"&amp;$C315,2)&amp;"/"&amp;RIGHT("00"&amp;$D315,2)))</f>
        <v/>
      </c>
      <c r="F315">
        <f>IF($A315="","",IF(Issues!$D318="",0,Issues!$D318))</f>
        <v/>
      </c>
      <c r="G315">
        <f>IF($A315="","",Issues!$E318)</f>
        <v/>
      </c>
      <c r="H315">
        <f>IF($A315="","",IF(COUNTIFS(ETxnType,"پاس چک",ETxnChk,$A315)&gt;0,"پاس شده","پاس نشده"))</f>
        <v/>
      </c>
      <c r="I315">
        <f>IF($A315="","",IFERROR(INDEX(BClrDate,MATCH($A315,BClrChk,0)),""))</f>
        <v/>
      </c>
      <c r="J315">
        <f>IF($A315="","",Issues!$G318)</f>
        <v/>
      </c>
      <c r="K315">
        <f>IF(OR($E315="",$E315="نامعتبر"),"",LEFT($E315,4)&amp;MID($E315,6,2)&amp;RIGHT($E315,2)&amp;"|"&amp;RIGHT("00000"&amp;310,5))</f>
        <v/>
      </c>
      <c r="M315">
        <f>IF(Sync!$M315&lt;&gt;"پاس چک","",IF(Sync!$P315="","",Sync!$P315))</f>
        <v/>
      </c>
      <c r="N315">
        <f>IF($M315="","",IF(ISNUMBER(Sync!$L315),IF(AND(Sync!$L315&gt;=10000101,Sync!$L315&lt;=99991231),RIGHT("0000"&amp;INT(Sync!$L315/10000),4)&amp;"/"&amp;RIGHT("00"&amp;INT(MOD(Sync!$L315,10000)/100),2)&amp;"/"&amp;RIGHT("00"&amp;MOD(Sync!$L315,100),2),""),IFERROR(RIGHT("0000"&amp;VALUE(TRIM(LEFT(Sync!$L315,FIND("/",Sync!$L315)-1))),4)&amp;"/"&amp;RIGHT("00"&amp;VALUE(TRIM(LEFT(MID(Sync!$L315,FIND("/",Sync!$L315)+1,20),FIND("/",MID(Sync!$L315,FIND("/",Sync!$L315)+1,20))-1))),2)&amp;"/"&amp;RIGHT("00"&amp;VALUE(TRIM(MID(MID(Sync!$L315,FIND("/",Sync!$L315)+1,20),FIND("/",MID(Sync!$L315,FIND("/",Sync!$L315)+1,20))+1,20))),2),"")))</f>
        <v/>
      </c>
    </row>
    <row r="316">
      <c r="A316">
        <f>IF(Issues!$B319="","",Issues!$B319)</f>
        <v/>
      </c>
      <c r="B316">
        <f>IF($A316="","",IF(ISNUMBER(Issues!$C319),IF(AND(Issues!$C319&gt;=10000101,Issues!$C319&lt;=99991231),INT(Issues!$C319/10000),""),IFERROR(VALUE(TRIM(LEFT(Issues!$C319,FIND("/",Issues!$C319)-1))),"")))</f>
        <v/>
      </c>
      <c r="C316">
        <f>IF(OR($A316="",$B316=""),"",IF(ISNUMBER(Issues!$C319),INT(MOD(Issues!$C319,10000)/100),IFERROR(VALUE(TRIM(LEFT(MID(Issues!$C319,FIND("/",Issues!$C319)+1,20),FIND("/",MID(Issues!$C319,FIND("/",Issues!$C319)+1,20))-1))),"")))</f>
        <v/>
      </c>
      <c r="D316">
        <f>IF(OR($A316="",$B316=""),"",IF(ISNUMBER(Issues!$C319),MOD(Issues!$C319,100),IFERROR(VALUE(TRIM(MID(MID(Issues!$C319,FIND("/",Issues!$C319)+1,20),FIND("/",MID(Issues!$C319,FIND("/",Issues!$C319)+1,20))+1,20))),"")))</f>
        <v/>
      </c>
      <c r="E316">
        <f>IF($A316="","",IF(OR($B316="",$C316="",$D316="",$B316&lt;1300,$B316&gt;1500,$C316&lt;1,$C316&gt;12,$D316&lt;1,$D316&gt;31),"نامعتبر",RIGHT("0000"&amp;$B316,4)&amp;"/"&amp;RIGHT("00"&amp;$C316,2)&amp;"/"&amp;RIGHT("00"&amp;$D316,2)))</f>
        <v/>
      </c>
      <c r="F316">
        <f>IF($A316="","",IF(Issues!$D319="",0,Issues!$D319))</f>
        <v/>
      </c>
      <c r="G316">
        <f>IF($A316="","",Issues!$E319)</f>
        <v/>
      </c>
      <c r="H316">
        <f>IF($A316="","",IF(COUNTIFS(ETxnType,"پاس چک",ETxnChk,$A316)&gt;0,"پاس شده","پاس نشده"))</f>
        <v/>
      </c>
      <c r="I316">
        <f>IF($A316="","",IFERROR(INDEX(BClrDate,MATCH($A316,BClrChk,0)),""))</f>
        <v/>
      </c>
      <c r="J316">
        <f>IF($A316="","",Issues!$G319)</f>
        <v/>
      </c>
      <c r="K316">
        <f>IF(OR($E316="",$E316="نامعتبر"),"",LEFT($E316,4)&amp;MID($E316,6,2)&amp;RIGHT($E316,2)&amp;"|"&amp;RIGHT("00000"&amp;311,5))</f>
        <v/>
      </c>
      <c r="M316">
        <f>IF(Sync!$M316&lt;&gt;"پاس چک","",IF(Sync!$P316="","",Sync!$P316))</f>
        <v/>
      </c>
      <c r="N316">
        <f>IF($M316="","",IF(ISNUMBER(Sync!$L316),IF(AND(Sync!$L316&gt;=10000101,Sync!$L316&lt;=99991231),RIGHT("0000"&amp;INT(Sync!$L316/10000),4)&amp;"/"&amp;RIGHT("00"&amp;INT(MOD(Sync!$L316,10000)/100),2)&amp;"/"&amp;RIGHT("00"&amp;MOD(Sync!$L316,100),2),""),IFERROR(RIGHT("0000"&amp;VALUE(TRIM(LEFT(Sync!$L316,FIND("/",Sync!$L316)-1))),4)&amp;"/"&amp;RIGHT("00"&amp;VALUE(TRIM(LEFT(MID(Sync!$L316,FIND("/",Sync!$L316)+1,20),FIND("/",MID(Sync!$L316,FIND("/",Sync!$L316)+1,20))-1))),2)&amp;"/"&amp;RIGHT("00"&amp;VALUE(TRIM(MID(MID(Sync!$L316,FIND("/",Sync!$L316)+1,20),FIND("/",MID(Sync!$L316,FIND("/",Sync!$L316)+1,20))+1,20))),2),"")))</f>
        <v/>
      </c>
    </row>
    <row r="317">
      <c r="A317">
        <f>IF(Issues!$B320="","",Issues!$B320)</f>
        <v/>
      </c>
      <c r="B317">
        <f>IF($A317="","",IF(ISNUMBER(Issues!$C320),IF(AND(Issues!$C320&gt;=10000101,Issues!$C320&lt;=99991231),INT(Issues!$C320/10000),""),IFERROR(VALUE(TRIM(LEFT(Issues!$C320,FIND("/",Issues!$C320)-1))),"")))</f>
        <v/>
      </c>
      <c r="C317">
        <f>IF(OR($A317="",$B317=""),"",IF(ISNUMBER(Issues!$C320),INT(MOD(Issues!$C320,10000)/100),IFERROR(VALUE(TRIM(LEFT(MID(Issues!$C320,FIND("/",Issues!$C320)+1,20),FIND("/",MID(Issues!$C320,FIND("/",Issues!$C320)+1,20))-1))),"")))</f>
        <v/>
      </c>
      <c r="D317">
        <f>IF(OR($A317="",$B317=""),"",IF(ISNUMBER(Issues!$C320),MOD(Issues!$C320,100),IFERROR(VALUE(TRIM(MID(MID(Issues!$C320,FIND("/",Issues!$C320)+1,20),FIND("/",MID(Issues!$C320,FIND("/",Issues!$C320)+1,20))+1,20))),"")))</f>
        <v/>
      </c>
      <c r="E317">
        <f>IF($A317="","",IF(OR($B317="",$C317="",$D317="",$B317&lt;1300,$B317&gt;1500,$C317&lt;1,$C317&gt;12,$D317&lt;1,$D317&gt;31),"نامعتبر",RIGHT("0000"&amp;$B317,4)&amp;"/"&amp;RIGHT("00"&amp;$C317,2)&amp;"/"&amp;RIGHT("00"&amp;$D317,2)))</f>
        <v/>
      </c>
      <c r="F317">
        <f>IF($A317="","",IF(Issues!$D320="",0,Issues!$D320))</f>
        <v/>
      </c>
      <c r="G317">
        <f>IF($A317="","",Issues!$E320)</f>
        <v/>
      </c>
      <c r="H317">
        <f>IF($A317="","",IF(COUNTIFS(ETxnType,"پاس چک",ETxnChk,$A317)&gt;0,"پاس شده","پاس نشده"))</f>
        <v/>
      </c>
      <c r="I317">
        <f>IF($A317="","",IFERROR(INDEX(BClrDate,MATCH($A317,BClrChk,0)),""))</f>
        <v/>
      </c>
      <c r="J317">
        <f>IF($A317="","",Issues!$G320)</f>
        <v/>
      </c>
      <c r="K317">
        <f>IF(OR($E317="",$E317="نامعتبر"),"",LEFT($E317,4)&amp;MID($E317,6,2)&amp;RIGHT($E317,2)&amp;"|"&amp;RIGHT("00000"&amp;312,5))</f>
        <v/>
      </c>
      <c r="M317">
        <f>IF(Sync!$M317&lt;&gt;"پاس چک","",IF(Sync!$P317="","",Sync!$P317))</f>
        <v/>
      </c>
      <c r="N317">
        <f>IF($M317="","",IF(ISNUMBER(Sync!$L317),IF(AND(Sync!$L317&gt;=10000101,Sync!$L317&lt;=99991231),RIGHT("0000"&amp;INT(Sync!$L317/10000),4)&amp;"/"&amp;RIGHT("00"&amp;INT(MOD(Sync!$L317,10000)/100),2)&amp;"/"&amp;RIGHT("00"&amp;MOD(Sync!$L317,100),2),""),IFERROR(RIGHT("0000"&amp;VALUE(TRIM(LEFT(Sync!$L317,FIND("/",Sync!$L317)-1))),4)&amp;"/"&amp;RIGHT("00"&amp;VALUE(TRIM(LEFT(MID(Sync!$L317,FIND("/",Sync!$L317)+1,20),FIND("/",MID(Sync!$L317,FIND("/",Sync!$L317)+1,20))-1))),2)&amp;"/"&amp;RIGHT("00"&amp;VALUE(TRIM(MID(MID(Sync!$L317,FIND("/",Sync!$L317)+1,20),FIND("/",MID(Sync!$L317,FIND("/",Sync!$L317)+1,20))+1,20))),2),"")))</f>
        <v/>
      </c>
    </row>
    <row r="318">
      <c r="A318">
        <f>IF(Issues!$B321="","",Issues!$B321)</f>
        <v/>
      </c>
      <c r="B318">
        <f>IF($A318="","",IF(ISNUMBER(Issues!$C321),IF(AND(Issues!$C321&gt;=10000101,Issues!$C321&lt;=99991231),INT(Issues!$C321/10000),""),IFERROR(VALUE(TRIM(LEFT(Issues!$C321,FIND("/",Issues!$C321)-1))),"")))</f>
        <v/>
      </c>
      <c r="C318">
        <f>IF(OR($A318="",$B318=""),"",IF(ISNUMBER(Issues!$C321),INT(MOD(Issues!$C321,10000)/100),IFERROR(VALUE(TRIM(LEFT(MID(Issues!$C321,FIND("/",Issues!$C321)+1,20),FIND("/",MID(Issues!$C321,FIND("/",Issues!$C321)+1,20))-1))),"")))</f>
        <v/>
      </c>
      <c r="D318">
        <f>IF(OR($A318="",$B318=""),"",IF(ISNUMBER(Issues!$C321),MOD(Issues!$C321,100),IFERROR(VALUE(TRIM(MID(MID(Issues!$C321,FIND("/",Issues!$C321)+1,20),FIND("/",MID(Issues!$C321,FIND("/",Issues!$C321)+1,20))+1,20))),"")))</f>
        <v/>
      </c>
      <c r="E318">
        <f>IF($A318="","",IF(OR($B318="",$C318="",$D318="",$B318&lt;1300,$B318&gt;1500,$C318&lt;1,$C318&gt;12,$D318&lt;1,$D318&gt;31),"نامعتبر",RIGHT("0000"&amp;$B318,4)&amp;"/"&amp;RIGHT("00"&amp;$C318,2)&amp;"/"&amp;RIGHT("00"&amp;$D318,2)))</f>
        <v/>
      </c>
      <c r="F318">
        <f>IF($A318="","",IF(Issues!$D321="",0,Issues!$D321))</f>
        <v/>
      </c>
      <c r="G318">
        <f>IF($A318="","",Issues!$E321)</f>
        <v/>
      </c>
      <c r="H318">
        <f>IF($A318="","",IF(COUNTIFS(ETxnType,"پاس چک",ETxnChk,$A318)&gt;0,"پاس شده","پاس نشده"))</f>
        <v/>
      </c>
      <c r="I318">
        <f>IF($A318="","",IFERROR(INDEX(BClrDate,MATCH($A318,BClrChk,0)),""))</f>
        <v/>
      </c>
      <c r="J318">
        <f>IF($A318="","",Issues!$G321)</f>
        <v/>
      </c>
      <c r="K318">
        <f>IF(OR($E318="",$E318="نامعتبر"),"",LEFT($E318,4)&amp;MID($E318,6,2)&amp;RIGHT($E318,2)&amp;"|"&amp;RIGHT("00000"&amp;313,5))</f>
        <v/>
      </c>
      <c r="M318">
        <f>IF(Sync!$M318&lt;&gt;"پاس چک","",IF(Sync!$P318="","",Sync!$P318))</f>
        <v/>
      </c>
      <c r="N318">
        <f>IF($M318="","",IF(ISNUMBER(Sync!$L318),IF(AND(Sync!$L318&gt;=10000101,Sync!$L318&lt;=99991231),RIGHT("0000"&amp;INT(Sync!$L318/10000),4)&amp;"/"&amp;RIGHT("00"&amp;INT(MOD(Sync!$L318,10000)/100),2)&amp;"/"&amp;RIGHT("00"&amp;MOD(Sync!$L318,100),2),""),IFERROR(RIGHT("0000"&amp;VALUE(TRIM(LEFT(Sync!$L318,FIND("/",Sync!$L318)-1))),4)&amp;"/"&amp;RIGHT("00"&amp;VALUE(TRIM(LEFT(MID(Sync!$L318,FIND("/",Sync!$L318)+1,20),FIND("/",MID(Sync!$L318,FIND("/",Sync!$L318)+1,20))-1))),2)&amp;"/"&amp;RIGHT("00"&amp;VALUE(TRIM(MID(MID(Sync!$L318,FIND("/",Sync!$L318)+1,20),FIND("/",MID(Sync!$L318,FIND("/",Sync!$L318)+1,20))+1,20))),2),"")))</f>
        <v/>
      </c>
    </row>
    <row r="319">
      <c r="A319">
        <f>IF(Issues!$B322="","",Issues!$B322)</f>
        <v/>
      </c>
      <c r="B319">
        <f>IF($A319="","",IF(ISNUMBER(Issues!$C322),IF(AND(Issues!$C322&gt;=10000101,Issues!$C322&lt;=99991231),INT(Issues!$C322/10000),""),IFERROR(VALUE(TRIM(LEFT(Issues!$C322,FIND("/",Issues!$C322)-1))),"")))</f>
        <v/>
      </c>
      <c r="C319">
        <f>IF(OR($A319="",$B319=""),"",IF(ISNUMBER(Issues!$C322),INT(MOD(Issues!$C322,10000)/100),IFERROR(VALUE(TRIM(LEFT(MID(Issues!$C322,FIND("/",Issues!$C322)+1,20),FIND("/",MID(Issues!$C322,FIND("/",Issues!$C322)+1,20))-1))),"")))</f>
        <v/>
      </c>
      <c r="D319">
        <f>IF(OR($A319="",$B319=""),"",IF(ISNUMBER(Issues!$C322),MOD(Issues!$C322,100),IFERROR(VALUE(TRIM(MID(MID(Issues!$C322,FIND("/",Issues!$C322)+1,20),FIND("/",MID(Issues!$C322,FIND("/",Issues!$C322)+1,20))+1,20))),"")))</f>
        <v/>
      </c>
      <c r="E319">
        <f>IF($A319="","",IF(OR($B319="",$C319="",$D319="",$B319&lt;1300,$B319&gt;1500,$C319&lt;1,$C319&gt;12,$D319&lt;1,$D319&gt;31),"نامعتبر",RIGHT("0000"&amp;$B319,4)&amp;"/"&amp;RIGHT("00"&amp;$C319,2)&amp;"/"&amp;RIGHT("00"&amp;$D319,2)))</f>
        <v/>
      </c>
      <c r="F319">
        <f>IF($A319="","",IF(Issues!$D322="",0,Issues!$D322))</f>
        <v/>
      </c>
      <c r="G319">
        <f>IF($A319="","",Issues!$E322)</f>
        <v/>
      </c>
      <c r="H319">
        <f>IF($A319="","",IF(COUNTIFS(ETxnType,"پاس چک",ETxnChk,$A319)&gt;0,"پاس شده","پاس نشده"))</f>
        <v/>
      </c>
      <c r="I319">
        <f>IF($A319="","",IFERROR(INDEX(BClrDate,MATCH($A319,BClrChk,0)),""))</f>
        <v/>
      </c>
      <c r="J319">
        <f>IF($A319="","",Issues!$G322)</f>
        <v/>
      </c>
      <c r="K319">
        <f>IF(OR($E319="",$E319="نامعتبر"),"",LEFT($E319,4)&amp;MID($E319,6,2)&amp;RIGHT($E319,2)&amp;"|"&amp;RIGHT("00000"&amp;314,5))</f>
        <v/>
      </c>
      <c r="M319">
        <f>IF(Sync!$M319&lt;&gt;"پاس چک","",IF(Sync!$P319="","",Sync!$P319))</f>
        <v/>
      </c>
      <c r="N319">
        <f>IF($M319="","",IF(ISNUMBER(Sync!$L319),IF(AND(Sync!$L319&gt;=10000101,Sync!$L319&lt;=99991231),RIGHT("0000"&amp;INT(Sync!$L319/10000),4)&amp;"/"&amp;RIGHT("00"&amp;INT(MOD(Sync!$L319,10000)/100),2)&amp;"/"&amp;RIGHT("00"&amp;MOD(Sync!$L319,100),2),""),IFERROR(RIGHT("0000"&amp;VALUE(TRIM(LEFT(Sync!$L319,FIND("/",Sync!$L319)-1))),4)&amp;"/"&amp;RIGHT("00"&amp;VALUE(TRIM(LEFT(MID(Sync!$L319,FIND("/",Sync!$L319)+1,20),FIND("/",MID(Sync!$L319,FIND("/",Sync!$L319)+1,20))-1))),2)&amp;"/"&amp;RIGHT("00"&amp;VALUE(TRIM(MID(MID(Sync!$L319,FIND("/",Sync!$L319)+1,20),FIND("/",MID(Sync!$L319,FIND("/",Sync!$L319)+1,20))+1,20))),2),"")))</f>
        <v/>
      </c>
    </row>
    <row r="320">
      <c r="A320">
        <f>IF(Issues!$B323="","",Issues!$B323)</f>
        <v/>
      </c>
      <c r="B320">
        <f>IF($A320="","",IF(ISNUMBER(Issues!$C323),IF(AND(Issues!$C323&gt;=10000101,Issues!$C323&lt;=99991231),INT(Issues!$C323/10000),""),IFERROR(VALUE(TRIM(LEFT(Issues!$C323,FIND("/",Issues!$C323)-1))),"")))</f>
        <v/>
      </c>
      <c r="C320">
        <f>IF(OR($A320="",$B320=""),"",IF(ISNUMBER(Issues!$C323),INT(MOD(Issues!$C323,10000)/100),IFERROR(VALUE(TRIM(LEFT(MID(Issues!$C323,FIND("/",Issues!$C323)+1,20),FIND("/",MID(Issues!$C323,FIND("/",Issues!$C323)+1,20))-1))),"")))</f>
        <v/>
      </c>
      <c r="D320">
        <f>IF(OR($A320="",$B320=""),"",IF(ISNUMBER(Issues!$C323),MOD(Issues!$C323,100),IFERROR(VALUE(TRIM(MID(MID(Issues!$C323,FIND("/",Issues!$C323)+1,20),FIND("/",MID(Issues!$C323,FIND("/",Issues!$C323)+1,20))+1,20))),"")))</f>
        <v/>
      </c>
      <c r="E320">
        <f>IF($A320="","",IF(OR($B320="",$C320="",$D320="",$B320&lt;1300,$B320&gt;1500,$C320&lt;1,$C320&gt;12,$D320&lt;1,$D320&gt;31),"نامعتبر",RIGHT("0000"&amp;$B320,4)&amp;"/"&amp;RIGHT("00"&amp;$C320,2)&amp;"/"&amp;RIGHT("00"&amp;$D320,2)))</f>
        <v/>
      </c>
      <c r="F320">
        <f>IF($A320="","",IF(Issues!$D323="",0,Issues!$D323))</f>
        <v/>
      </c>
      <c r="G320">
        <f>IF($A320="","",Issues!$E323)</f>
        <v/>
      </c>
      <c r="H320">
        <f>IF($A320="","",IF(COUNTIFS(ETxnType,"پاس چک",ETxnChk,$A320)&gt;0,"پاس شده","پاس نشده"))</f>
        <v/>
      </c>
      <c r="I320">
        <f>IF($A320="","",IFERROR(INDEX(BClrDate,MATCH($A320,BClrChk,0)),""))</f>
        <v/>
      </c>
      <c r="J320">
        <f>IF($A320="","",Issues!$G323)</f>
        <v/>
      </c>
      <c r="K320">
        <f>IF(OR($E320="",$E320="نامعتبر"),"",LEFT($E320,4)&amp;MID($E320,6,2)&amp;RIGHT($E320,2)&amp;"|"&amp;RIGHT("00000"&amp;315,5))</f>
        <v/>
      </c>
      <c r="M320">
        <f>IF(Sync!$M320&lt;&gt;"پاس چک","",IF(Sync!$P320="","",Sync!$P320))</f>
        <v/>
      </c>
      <c r="N320">
        <f>IF($M320="","",IF(ISNUMBER(Sync!$L320),IF(AND(Sync!$L320&gt;=10000101,Sync!$L320&lt;=99991231),RIGHT("0000"&amp;INT(Sync!$L320/10000),4)&amp;"/"&amp;RIGHT("00"&amp;INT(MOD(Sync!$L320,10000)/100),2)&amp;"/"&amp;RIGHT("00"&amp;MOD(Sync!$L320,100),2),""),IFERROR(RIGHT("0000"&amp;VALUE(TRIM(LEFT(Sync!$L320,FIND("/",Sync!$L320)-1))),4)&amp;"/"&amp;RIGHT("00"&amp;VALUE(TRIM(LEFT(MID(Sync!$L320,FIND("/",Sync!$L320)+1,20),FIND("/",MID(Sync!$L320,FIND("/",Sync!$L320)+1,20))-1))),2)&amp;"/"&amp;RIGHT("00"&amp;VALUE(TRIM(MID(MID(Sync!$L320,FIND("/",Sync!$L320)+1,20),FIND("/",MID(Sync!$L320,FIND("/",Sync!$L320)+1,20))+1,20))),2),"")))</f>
        <v/>
      </c>
    </row>
    <row r="321">
      <c r="A321">
        <f>IF(Issues!$B324="","",Issues!$B324)</f>
        <v/>
      </c>
      <c r="B321">
        <f>IF($A321="","",IF(ISNUMBER(Issues!$C324),IF(AND(Issues!$C324&gt;=10000101,Issues!$C324&lt;=99991231),INT(Issues!$C324/10000),""),IFERROR(VALUE(TRIM(LEFT(Issues!$C324,FIND("/",Issues!$C324)-1))),"")))</f>
        <v/>
      </c>
      <c r="C321">
        <f>IF(OR($A321="",$B321=""),"",IF(ISNUMBER(Issues!$C324),INT(MOD(Issues!$C324,10000)/100),IFERROR(VALUE(TRIM(LEFT(MID(Issues!$C324,FIND("/",Issues!$C324)+1,20),FIND("/",MID(Issues!$C324,FIND("/",Issues!$C324)+1,20))-1))),"")))</f>
        <v/>
      </c>
      <c r="D321">
        <f>IF(OR($A321="",$B321=""),"",IF(ISNUMBER(Issues!$C324),MOD(Issues!$C324,100),IFERROR(VALUE(TRIM(MID(MID(Issues!$C324,FIND("/",Issues!$C324)+1,20),FIND("/",MID(Issues!$C324,FIND("/",Issues!$C324)+1,20))+1,20))),"")))</f>
        <v/>
      </c>
      <c r="E321">
        <f>IF($A321="","",IF(OR($B321="",$C321="",$D321="",$B321&lt;1300,$B321&gt;1500,$C321&lt;1,$C321&gt;12,$D321&lt;1,$D321&gt;31),"نامعتبر",RIGHT("0000"&amp;$B321,4)&amp;"/"&amp;RIGHT("00"&amp;$C321,2)&amp;"/"&amp;RIGHT("00"&amp;$D321,2)))</f>
        <v/>
      </c>
      <c r="F321">
        <f>IF($A321="","",IF(Issues!$D324="",0,Issues!$D324))</f>
        <v/>
      </c>
      <c r="G321">
        <f>IF($A321="","",Issues!$E324)</f>
        <v/>
      </c>
      <c r="H321">
        <f>IF($A321="","",IF(COUNTIFS(ETxnType,"پاس چک",ETxnChk,$A321)&gt;0,"پاس شده","پاس نشده"))</f>
        <v/>
      </c>
      <c r="I321">
        <f>IF($A321="","",IFERROR(INDEX(BClrDate,MATCH($A321,BClrChk,0)),""))</f>
        <v/>
      </c>
      <c r="J321">
        <f>IF($A321="","",Issues!$G324)</f>
        <v/>
      </c>
      <c r="K321">
        <f>IF(OR($E321="",$E321="نامعتبر"),"",LEFT($E321,4)&amp;MID($E321,6,2)&amp;RIGHT($E321,2)&amp;"|"&amp;RIGHT("00000"&amp;316,5))</f>
        <v/>
      </c>
      <c r="M321">
        <f>IF(Sync!$M321&lt;&gt;"پاس چک","",IF(Sync!$P321="","",Sync!$P321))</f>
        <v/>
      </c>
      <c r="N321">
        <f>IF($M321="","",IF(ISNUMBER(Sync!$L321),IF(AND(Sync!$L321&gt;=10000101,Sync!$L321&lt;=99991231),RIGHT("0000"&amp;INT(Sync!$L321/10000),4)&amp;"/"&amp;RIGHT("00"&amp;INT(MOD(Sync!$L321,10000)/100),2)&amp;"/"&amp;RIGHT("00"&amp;MOD(Sync!$L321,100),2),""),IFERROR(RIGHT("0000"&amp;VALUE(TRIM(LEFT(Sync!$L321,FIND("/",Sync!$L321)-1))),4)&amp;"/"&amp;RIGHT("00"&amp;VALUE(TRIM(LEFT(MID(Sync!$L321,FIND("/",Sync!$L321)+1,20),FIND("/",MID(Sync!$L321,FIND("/",Sync!$L321)+1,20))-1))),2)&amp;"/"&amp;RIGHT("00"&amp;VALUE(TRIM(MID(MID(Sync!$L321,FIND("/",Sync!$L321)+1,20),FIND("/",MID(Sync!$L321,FIND("/",Sync!$L321)+1,20))+1,20))),2),"")))</f>
        <v/>
      </c>
    </row>
    <row r="322">
      <c r="A322">
        <f>IF(Issues!$B325="","",Issues!$B325)</f>
        <v/>
      </c>
      <c r="B322">
        <f>IF($A322="","",IF(ISNUMBER(Issues!$C325),IF(AND(Issues!$C325&gt;=10000101,Issues!$C325&lt;=99991231),INT(Issues!$C325/10000),""),IFERROR(VALUE(TRIM(LEFT(Issues!$C325,FIND("/",Issues!$C325)-1))),"")))</f>
        <v/>
      </c>
      <c r="C322">
        <f>IF(OR($A322="",$B322=""),"",IF(ISNUMBER(Issues!$C325),INT(MOD(Issues!$C325,10000)/100),IFERROR(VALUE(TRIM(LEFT(MID(Issues!$C325,FIND("/",Issues!$C325)+1,20),FIND("/",MID(Issues!$C325,FIND("/",Issues!$C325)+1,20))-1))),"")))</f>
        <v/>
      </c>
      <c r="D322">
        <f>IF(OR($A322="",$B322=""),"",IF(ISNUMBER(Issues!$C325),MOD(Issues!$C325,100),IFERROR(VALUE(TRIM(MID(MID(Issues!$C325,FIND("/",Issues!$C325)+1,20),FIND("/",MID(Issues!$C325,FIND("/",Issues!$C325)+1,20))+1,20))),"")))</f>
        <v/>
      </c>
      <c r="E322">
        <f>IF($A322="","",IF(OR($B322="",$C322="",$D322="",$B322&lt;1300,$B322&gt;1500,$C322&lt;1,$C322&gt;12,$D322&lt;1,$D322&gt;31),"نامعتبر",RIGHT("0000"&amp;$B322,4)&amp;"/"&amp;RIGHT("00"&amp;$C322,2)&amp;"/"&amp;RIGHT("00"&amp;$D322,2)))</f>
        <v/>
      </c>
      <c r="F322">
        <f>IF($A322="","",IF(Issues!$D325="",0,Issues!$D325))</f>
        <v/>
      </c>
      <c r="G322">
        <f>IF($A322="","",Issues!$E325)</f>
        <v/>
      </c>
      <c r="H322">
        <f>IF($A322="","",IF(COUNTIFS(ETxnType,"پاس چک",ETxnChk,$A322)&gt;0,"پاس شده","پاس نشده"))</f>
        <v/>
      </c>
      <c r="I322">
        <f>IF($A322="","",IFERROR(INDEX(BClrDate,MATCH($A322,BClrChk,0)),""))</f>
        <v/>
      </c>
      <c r="J322">
        <f>IF($A322="","",Issues!$G325)</f>
        <v/>
      </c>
      <c r="K322">
        <f>IF(OR($E322="",$E322="نامعتبر"),"",LEFT($E322,4)&amp;MID($E322,6,2)&amp;RIGHT($E322,2)&amp;"|"&amp;RIGHT("00000"&amp;317,5))</f>
        <v/>
      </c>
      <c r="M322">
        <f>IF(Sync!$M322&lt;&gt;"پاس چک","",IF(Sync!$P322="","",Sync!$P322))</f>
        <v/>
      </c>
      <c r="N322">
        <f>IF($M322="","",IF(ISNUMBER(Sync!$L322),IF(AND(Sync!$L322&gt;=10000101,Sync!$L322&lt;=99991231),RIGHT("0000"&amp;INT(Sync!$L322/10000),4)&amp;"/"&amp;RIGHT("00"&amp;INT(MOD(Sync!$L322,10000)/100),2)&amp;"/"&amp;RIGHT("00"&amp;MOD(Sync!$L322,100),2),""),IFERROR(RIGHT("0000"&amp;VALUE(TRIM(LEFT(Sync!$L322,FIND("/",Sync!$L322)-1))),4)&amp;"/"&amp;RIGHT("00"&amp;VALUE(TRIM(LEFT(MID(Sync!$L322,FIND("/",Sync!$L322)+1,20),FIND("/",MID(Sync!$L322,FIND("/",Sync!$L322)+1,20))-1))),2)&amp;"/"&amp;RIGHT("00"&amp;VALUE(TRIM(MID(MID(Sync!$L322,FIND("/",Sync!$L322)+1,20),FIND("/",MID(Sync!$L322,FIND("/",Sync!$L322)+1,20))+1,20))),2),"")))</f>
        <v/>
      </c>
    </row>
    <row r="323">
      <c r="A323">
        <f>IF(Issues!$B326="","",Issues!$B326)</f>
        <v/>
      </c>
      <c r="B323">
        <f>IF($A323="","",IF(ISNUMBER(Issues!$C326),IF(AND(Issues!$C326&gt;=10000101,Issues!$C326&lt;=99991231),INT(Issues!$C326/10000),""),IFERROR(VALUE(TRIM(LEFT(Issues!$C326,FIND("/",Issues!$C326)-1))),"")))</f>
        <v/>
      </c>
      <c r="C323">
        <f>IF(OR($A323="",$B323=""),"",IF(ISNUMBER(Issues!$C326),INT(MOD(Issues!$C326,10000)/100),IFERROR(VALUE(TRIM(LEFT(MID(Issues!$C326,FIND("/",Issues!$C326)+1,20),FIND("/",MID(Issues!$C326,FIND("/",Issues!$C326)+1,20))-1))),"")))</f>
        <v/>
      </c>
      <c r="D323">
        <f>IF(OR($A323="",$B323=""),"",IF(ISNUMBER(Issues!$C326),MOD(Issues!$C326,100),IFERROR(VALUE(TRIM(MID(MID(Issues!$C326,FIND("/",Issues!$C326)+1,20),FIND("/",MID(Issues!$C326,FIND("/",Issues!$C326)+1,20))+1,20))),"")))</f>
        <v/>
      </c>
      <c r="E323">
        <f>IF($A323="","",IF(OR($B323="",$C323="",$D323="",$B323&lt;1300,$B323&gt;1500,$C323&lt;1,$C323&gt;12,$D323&lt;1,$D323&gt;31),"نامعتبر",RIGHT("0000"&amp;$B323,4)&amp;"/"&amp;RIGHT("00"&amp;$C323,2)&amp;"/"&amp;RIGHT("00"&amp;$D323,2)))</f>
        <v/>
      </c>
      <c r="F323">
        <f>IF($A323="","",IF(Issues!$D326="",0,Issues!$D326))</f>
        <v/>
      </c>
      <c r="G323">
        <f>IF($A323="","",Issues!$E326)</f>
        <v/>
      </c>
      <c r="H323">
        <f>IF($A323="","",IF(COUNTIFS(ETxnType,"پاس چک",ETxnChk,$A323)&gt;0,"پاس شده","پاس نشده"))</f>
        <v/>
      </c>
      <c r="I323">
        <f>IF($A323="","",IFERROR(INDEX(BClrDate,MATCH($A323,BClrChk,0)),""))</f>
        <v/>
      </c>
      <c r="J323">
        <f>IF($A323="","",Issues!$G326)</f>
        <v/>
      </c>
      <c r="K323">
        <f>IF(OR($E323="",$E323="نامعتبر"),"",LEFT($E323,4)&amp;MID($E323,6,2)&amp;RIGHT($E323,2)&amp;"|"&amp;RIGHT("00000"&amp;318,5))</f>
        <v/>
      </c>
      <c r="M323">
        <f>IF(Sync!$M323&lt;&gt;"پاس چک","",IF(Sync!$P323="","",Sync!$P323))</f>
        <v/>
      </c>
      <c r="N323">
        <f>IF($M323="","",IF(ISNUMBER(Sync!$L323),IF(AND(Sync!$L323&gt;=10000101,Sync!$L323&lt;=99991231),RIGHT("0000"&amp;INT(Sync!$L323/10000),4)&amp;"/"&amp;RIGHT("00"&amp;INT(MOD(Sync!$L323,10000)/100),2)&amp;"/"&amp;RIGHT("00"&amp;MOD(Sync!$L323,100),2),""),IFERROR(RIGHT("0000"&amp;VALUE(TRIM(LEFT(Sync!$L323,FIND("/",Sync!$L323)-1))),4)&amp;"/"&amp;RIGHT("00"&amp;VALUE(TRIM(LEFT(MID(Sync!$L323,FIND("/",Sync!$L323)+1,20),FIND("/",MID(Sync!$L323,FIND("/",Sync!$L323)+1,20))-1))),2)&amp;"/"&amp;RIGHT("00"&amp;VALUE(TRIM(MID(MID(Sync!$L323,FIND("/",Sync!$L323)+1,20),FIND("/",MID(Sync!$L323,FIND("/",Sync!$L323)+1,20))+1,20))),2),"")))</f>
        <v/>
      </c>
    </row>
    <row r="324">
      <c r="A324">
        <f>IF(Issues!$B327="","",Issues!$B327)</f>
        <v/>
      </c>
      <c r="B324">
        <f>IF($A324="","",IF(ISNUMBER(Issues!$C327),IF(AND(Issues!$C327&gt;=10000101,Issues!$C327&lt;=99991231),INT(Issues!$C327/10000),""),IFERROR(VALUE(TRIM(LEFT(Issues!$C327,FIND("/",Issues!$C327)-1))),"")))</f>
        <v/>
      </c>
      <c r="C324">
        <f>IF(OR($A324="",$B324=""),"",IF(ISNUMBER(Issues!$C327),INT(MOD(Issues!$C327,10000)/100),IFERROR(VALUE(TRIM(LEFT(MID(Issues!$C327,FIND("/",Issues!$C327)+1,20),FIND("/",MID(Issues!$C327,FIND("/",Issues!$C327)+1,20))-1))),"")))</f>
        <v/>
      </c>
      <c r="D324">
        <f>IF(OR($A324="",$B324=""),"",IF(ISNUMBER(Issues!$C327),MOD(Issues!$C327,100),IFERROR(VALUE(TRIM(MID(MID(Issues!$C327,FIND("/",Issues!$C327)+1,20),FIND("/",MID(Issues!$C327,FIND("/",Issues!$C327)+1,20))+1,20))),"")))</f>
        <v/>
      </c>
      <c r="E324">
        <f>IF($A324="","",IF(OR($B324="",$C324="",$D324="",$B324&lt;1300,$B324&gt;1500,$C324&lt;1,$C324&gt;12,$D324&lt;1,$D324&gt;31),"نامعتبر",RIGHT("0000"&amp;$B324,4)&amp;"/"&amp;RIGHT("00"&amp;$C324,2)&amp;"/"&amp;RIGHT("00"&amp;$D324,2)))</f>
        <v/>
      </c>
      <c r="F324">
        <f>IF($A324="","",IF(Issues!$D327="",0,Issues!$D327))</f>
        <v/>
      </c>
      <c r="G324">
        <f>IF($A324="","",Issues!$E327)</f>
        <v/>
      </c>
      <c r="H324">
        <f>IF($A324="","",IF(COUNTIFS(ETxnType,"پاس چک",ETxnChk,$A324)&gt;0,"پاس شده","پاس نشده"))</f>
        <v/>
      </c>
      <c r="I324">
        <f>IF($A324="","",IFERROR(INDEX(BClrDate,MATCH($A324,BClrChk,0)),""))</f>
        <v/>
      </c>
      <c r="J324">
        <f>IF($A324="","",Issues!$G327)</f>
        <v/>
      </c>
      <c r="K324">
        <f>IF(OR($E324="",$E324="نامعتبر"),"",LEFT($E324,4)&amp;MID($E324,6,2)&amp;RIGHT($E324,2)&amp;"|"&amp;RIGHT("00000"&amp;319,5))</f>
        <v/>
      </c>
      <c r="M324">
        <f>IF(Sync!$M324&lt;&gt;"پاس چک","",IF(Sync!$P324="","",Sync!$P324))</f>
        <v/>
      </c>
      <c r="N324">
        <f>IF($M324="","",IF(ISNUMBER(Sync!$L324),IF(AND(Sync!$L324&gt;=10000101,Sync!$L324&lt;=99991231),RIGHT("0000"&amp;INT(Sync!$L324/10000),4)&amp;"/"&amp;RIGHT("00"&amp;INT(MOD(Sync!$L324,10000)/100),2)&amp;"/"&amp;RIGHT("00"&amp;MOD(Sync!$L324,100),2),""),IFERROR(RIGHT("0000"&amp;VALUE(TRIM(LEFT(Sync!$L324,FIND("/",Sync!$L324)-1))),4)&amp;"/"&amp;RIGHT("00"&amp;VALUE(TRIM(LEFT(MID(Sync!$L324,FIND("/",Sync!$L324)+1,20),FIND("/",MID(Sync!$L324,FIND("/",Sync!$L324)+1,20))-1))),2)&amp;"/"&amp;RIGHT("00"&amp;VALUE(TRIM(MID(MID(Sync!$L324,FIND("/",Sync!$L324)+1,20),FIND("/",MID(Sync!$L324,FIND("/",Sync!$L324)+1,20))+1,20))),2),"")))</f>
        <v/>
      </c>
    </row>
    <row r="325">
      <c r="A325">
        <f>IF(Issues!$B328="","",Issues!$B328)</f>
        <v/>
      </c>
      <c r="B325">
        <f>IF($A325="","",IF(ISNUMBER(Issues!$C328),IF(AND(Issues!$C328&gt;=10000101,Issues!$C328&lt;=99991231),INT(Issues!$C328/10000),""),IFERROR(VALUE(TRIM(LEFT(Issues!$C328,FIND("/",Issues!$C328)-1))),"")))</f>
        <v/>
      </c>
      <c r="C325">
        <f>IF(OR($A325="",$B325=""),"",IF(ISNUMBER(Issues!$C328),INT(MOD(Issues!$C328,10000)/100),IFERROR(VALUE(TRIM(LEFT(MID(Issues!$C328,FIND("/",Issues!$C328)+1,20),FIND("/",MID(Issues!$C328,FIND("/",Issues!$C328)+1,20))-1))),"")))</f>
        <v/>
      </c>
      <c r="D325">
        <f>IF(OR($A325="",$B325=""),"",IF(ISNUMBER(Issues!$C328),MOD(Issues!$C328,100),IFERROR(VALUE(TRIM(MID(MID(Issues!$C328,FIND("/",Issues!$C328)+1,20),FIND("/",MID(Issues!$C328,FIND("/",Issues!$C328)+1,20))+1,20))),"")))</f>
        <v/>
      </c>
      <c r="E325">
        <f>IF($A325="","",IF(OR($B325="",$C325="",$D325="",$B325&lt;1300,$B325&gt;1500,$C325&lt;1,$C325&gt;12,$D325&lt;1,$D325&gt;31),"نامعتبر",RIGHT("0000"&amp;$B325,4)&amp;"/"&amp;RIGHT("00"&amp;$C325,2)&amp;"/"&amp;RIGHT("00"&amp;$D325,2)))</f>
        <v/>
      </c>
      <c r="F325">
        <f>IF($A325="","",IF(Issues!$D328="",0,Issues!$D328))</f>
        <v/>
      </c>
      <c r="G325">
        <f>IF($A325="","",Issues!$E328)</f>
        <v/>
      </c>
      <c r="H325">
        <f>IF($A325="","",IF(COUNTIFS(ETxnType,"پاس چک",ETxnChk,$A325)&gt;0,"پاس شده","پاس نشده"))</f>
        <v/>
      </c>
      <c r="I325">
        <f>IF($A325="","",IFERROR(INDEX(BClrDate,MATCH($A325,BClrChk,0)),""))</f>
        <v/>
      </c>
      <c r="J325">
        <f>IF($A325="","",Issues!$G328)</f>
        <v/>
      </c>
      <c r="K325">
        <f>IF(OR($E325="",$E325="نامعتبر"),"",LEFT($E325,4)&amp;MID($E325,6,2)&amp;RIGHT($E325,2)&amp;"|"&amp;RIGHT("00000"&amp;320,5))</f>
        <v/>
      </c>
      <c r="M325">
        <f>IF(Sync!$M325&lt;&gt;"پاس چک","",IF(Sync!$P325="","",Sync!$P325))</f>
        <v/>
      </c>
      <c r="N325">
        <f>IF($M325="","",IF(ISNUMBER(Sync!$L325),IF(AND(Sync!$L325&gt;=10000101,Sync!$L325&lt;=99991231),RIGHT("0000"&amp;INT(Sync!$L325/10000),4)&amp;"/"&amp;RIGHT("00"&amp;INT(MOD(Sync!$L325,10000)/100),2)&amp;"/"&amp;RIGHT("00"&amp;MOD(Sync!$L325,100),2),""),IFERROR(RIGHT("0000"&amp;VALUE(TRIM(LEFT(Sync!$L325,FIND("/",Sync!$L325)-1))),4)&amp;"/"&amp;RIGHT("00"&amp;VALUE(TRIM(LEFT(MID(Sync!$L325,FIND("/",Sync!$L325)+1,20),FIND("/",MID(Sync!$L325,FIND("/",Sync!$L325)+1,20))-1))),2)&amp;"/"&amp;RIGHT("00"&amp;VALUE(TRIM(MID(MID(Sync!$L325,FIND("/",Sync!$L325)+1,20),FIND("/",MID(Sync!$L325,FIND("/",Sync!$L325)+1,20))+1,20))),2),"")))</f>
        <v/>
      </c>
    </row>
    <row r="326">
      <c r="A326">
        <f>IF(Issues!$B329="","",Issues!$B329)</f>
        <v/>
      </c>
      <c r="B326">
        <f>IF($A326="","",IF(ISNUMBER(Issues!$C329),IF(AND(Issues!$C329&gt;=10000101,Issues!$C329&lt;=99991231),INT(Issues!$C329/10000),""),IFERROR(VALUE(TRIM(LEFT(Issues!$C329,FIND("/",Issues!$C329)-1))),"")))</f>
        <v/>
      </c>
      <c r="C326">
        <f>IF(OR($A326="",$B326=""),"",IF(ISNUMBER(Issues!$C329),INT(MOD(Issues!$C329,10000)/100),IFERROR(VALUE(TRIM(LEFT(MID(Issues!$C329,FIND("/",Issues!$C329)+1,20),FIND("/",MID(Issues!$C329,FIND("/",Issues!$C329)+1,20))-1))),"")))</f>
        <v/>
      </c>
      <c r="D326">
        <f>IF(OR($A326="",$B326=""),"",IF(ISNUMBER(Issues!$C329),MOD(Issues!$C329,100),IFERROR(VALUE(TRIM(MID(MID(Issues!$C329,FIND("/",Issues!$C329)+1,20),FIND("/",MID(Issues!$C329,FIND("/",Issues!$C329)+1,20))+1,20))),"")))</f>
        <v/>
      </c>
      <c r="E326">
        <f>IF($A326="","",IF(OR($B326="",$C326="",$D326="",$B326&lt;1300,$B326&gt;1500,$C326&lt;1,$C326&gt;12,$D326&lt;1,$D326&gt;31),"نامعتبر",RIGHT("0000"&amp;$B326,4)&amp;"/"&amp;RIGHT("00"&amp;$C326,2)&amp;"/"&amp;RIGHT("00"&amp;$D326,2)))</f>
        <v/>
      </c>
      <c r="F326">
        <f>IF($A326="","",IF(Issues!$D329="",0,Issues!$D329))</f>
        <v/>
      </c>
      <c r="G326">
        <f>IF($A326="","",Issues!$E329)</f>
        <v/>
      </c>
      <c r="H326">
        <f>IF($A326="","",IF(COUNTIFS(ETxnType,"پاس چک",ETxnChk,$A326)&gt;0,"پاس شده","پاس نشده"))</f>
        <v/>
      </c>
      <c r="I326">
        <f>IF($A326="","",IFERROR(INDEX(BClrDate,MATCH($A326,BClrChk,0)),""))</f>
        <v/>
      </c>
      <c r="J326">
        <f>IF($A326="","",Issues!$G329)</f>
        <v/>
      </c>
      <c r="K326">
        <f>IF(OR($E326="",$E326="نامعتبر"),"",LEFT($E326,4)&amp;MID($E326,6,2)&amp;RIGHT($E326,2)&amp;"|"&amp;RIGHT("00000"&amp;321,5))</f>
        <v/>
      </c>
      <c r="M326">
        <f>IF(Sync!$M326&lt;&gt;"پاس چک","",IF(Sync!$P326="","",Sync!$P326))</f>
        <v/>
      </c>
      <c r="N326">
        <f>IF($M326="","",IF(ISNUMBER(Sync!$L326),IF(AND(Sync!$L326&gt;=10000101,Sync!$L326&lt;=99991231),RIGHT("0000"&amp;INT(Sync!$L326/10000),4)&amp;"/"&amp;RIGHT("00"&amp;INT(MOD(Sync!$L326,10000)/100),2)&amp;"/"&amp;RIGHT("00"&amp;MOD(Sync!$L326,100),2),""),IFERROR(RIGHT("0000"&amp;VALUE(TRIM(LEFT(Sync!$L326,FIND("/",Sync!$L326)-1))),4)&amp;"/"&amp;RIGHT("00"&amp;VALUE(TRIM(LEFT(MID(Sync!$L326,FIND("/",Sync!$L326)+1,20),FIND("/",MID(Sync!$L326,FIND("/",Sync!$L326)+1,20))-1))),2)&amp;"/"&amp;RIGHT("00"&amp;VALUE(TRIM(MID(MID(Sync!$L326,FIND("/",Sync!$L326)+1,20),FIND("/",MID(Sync!$L326,FIND("/",Sync!$L326)+1,20))+1,20))),2),"")))</f>
        <v/>
      </c>
    </row>
    <row r="327">
      <c r="A327">
        <f>IF(Issues!$B330="","",Issues!$B330)</f>
        <v/>
      </c>
      <c r="B327">
        <f>IF($A327="","",IF(ISNUMBER(Issues!$C330),IF(AND(Issues!$C330&gt;=10000101,Issues!$C330&lt;=99991231),INT(Issues!$C330/10000),""),IFERROR(VALUE(TRIM(LEFT(Issues!$C330,FIND("/",Issues!$C330)-1))),"")))</f>
        <v/>
      </c>
      <c r="C327">
        <f>IF(OR($A327="",$B327=""),"",IF(ISNUMBER(Issues!$C330),INT(MOD(Issues!$C330,10000)/100),IFERROR(VALUE(TRIM(LEFT(MID(Issues!$C330,FIND("/",Issues!$C330)+1,20),FIND("/",MID(Issues!$C330,FIND("/",Issues!$C330)+1,20))-1))),"")))</f>
        <v/>
      </c>
      <c r="D327">
        <f>IF(OR($A327="",$B327=""),"",IF(ISNUMBER(Issues!$C330),MOD(Issues!$C330,100),IFERROR(VALUE(TRIM(MID(MID(Issues!$C330,FIND("/",Issues!$C330)+1,20),FIND("/",MID(Issues!$C330,FIND("/",Issues!$C330)+1,20))+1,20))),"")))</f>
        <v/>
      </c>
      <c r="E327">
        <f>IF($A327="","",IF(OR($B327="",$C327="",$D327="",$B327&lt;1300,$B327&gt;1500,$C327&lt;1,$C327&gt;12,$D327&lt;1,$D327&gt;31),"نامعتبر",RIGHT("0000"&amp;$B327,4)&amp;"/"&amp;RIGHT("00"&amp;$C327,2)&amp;"/"&amp;RIGHT("00"&amp;$D327,2)))</f>
        <v/>
      </c>
      <c r="F327">
        <f>IF($A327="","",IF(Issues!$D330="",0,Issues!$D330))</f>
        <v/>
      </c>
      <c r="G327">
        <f>IF($A327="","",Issues!$E330)</f>
        <v/>
      </c>
      <c r="H327">
        <f>IF($A327="","",IF(COUNTIFS(ETxnType,"پاس چک",ETxnChk,$A327)&gt;0,"پاس شده","پاس نشده"))</f>
        <v/>
      </c>
      <c r="I327">
        <f>IF($A327="","",IFERROR(INDEX(BClrDate,MATCH($A327,BClrChk,0)),""))</f>
        <v/>
      </c>
      <c r="J327">
        <f>IF($A327="","",Issues!$G330)</f>
        <v/>
      </c>
      <c r="K327">
        <f>IF(OR($E327="",$E327="نامعتبر"),"",LEFT($E327,4)&amp;MID($E327,6,2)&amp;RIGHT($E327,2)&amp;"|"&amp;RIGHT("00000"&amp;322,5))</f>
        <v/>
      </c>
      <c r="M327">
        <f>IF(Sync!$M327&lt;&gt;"پاس چک","",IF(Sync!$P327="","",Sync!$P327))</f>
        <v/>
      </c>
      <c r="N327">
        <f>IF($M327="","",IF(ISNUMBER(Sync!$L327),IF(AND(Sync!$L327&gt;=10000101,Sync!$L327&lt;=99991231),RIGHT("0000"&amp;INT(Sync!$L327/10000),4)&amp;"/"&amp;RIGHT("00"&amp;INT(MOD(Sync!$L327,10000)/100),2)&amp;"/"&amp;RIGHT("00"&amp;MOD(Sync!$L327,100),2),""),IFERROR(RIGHT("0000"&amp;VALUE(TRIM(LEFT(Sync!$L327,FIND("/",Sync!$L327)-1))),4)&amp;"/"&amp;RIGHT("00"&amp;VALUE(TRIM(LEFT(MID(Sync!$L327,FIND("/",Sync!$L327)+1,20),FIND("/",MID(Sync!$L327,FIND("/",Sync!$L327)+1,20))-1))),2)&amp;"/"&amp;RIGHT("00"&amp;VALUE(TRIM(MID(MID(Sync!$L327,FIND("/",Sync!$L327)+1,20),FIND("/",MID(Sync!$L327,FIND("/",Sync!$L327)+1,20))+1,20))),2),"")))</f>
        <v/>
      </c>
    </row>
    <row r="328">
      <c r="A328">
        <f>IF(Issues!$B331="","",Issues!$B331)</f>
        <v/>
      </c>
      <c r="B328">
        <f>IF($A328="","",IF(ISNUMBER(Issues!$C331),IF(AND(Issues!$C331&gt;=10000101,Issues!$C331&lt;=99991231),INT(Issues!$C331/10000),""),IFERROR(VALUE(TRIM(LEFT(Issues!$C331,FIND("/",Issues!$C331)-1))),"")))</f>
        <v/>
      </c>
      <c r="C328">
        <f>IF(OR($A328="",$B328=""),"",IF(ISNUMBER(Issues!$C331),INT(MOD(Issues!$C331,10000)/100),IFERROR(VALUE(TRIM(LEFT(MID(Issues!$C331,FIND("/",Issues!$C331)+1,20),FIND("/",MID(Issues!$C331,FIND("/",Issues!$C331)+1,20))-1))),"")))</f>
        <v/>
      </c>
      <c r="D328">
        <f>IF(OR($A328="",$B328=""),"",IF(ISNUMBER(Issues!$C331),MOD(Issues!$C331,100),IFERROR(VALUE(TRIM(MID(MID(Issues!$C331,FIND("/",Issues!$C331)+1,20),FIND("/",MID(Issues!$C331,FIND("/",Issues!$C331)+1,20))+1,20))),"")))</f>
        <v/>
      </c>
      <c r="E328">
        <f>IF($A328="","",IF(OR($B328="",$C328="",$D328="",$B328&lt;1300,$B328&gt;1500,$C328&lt;1,$C328&gt;12,$D328&lt;1,$D328&gt;31),"نامعتبر",RIGHT("0000"&amp;$B328,4)&amp;"/"&amp;RIGHT("00"&amp;$C328,2)&amp;"/"&amp;RIGHT("00"&amp;$D328,2)))</f>
        <v/>
      </c>
      <c r="F328">
        <f>IF($A328="","",IF(Issues!$D331="",0,Issues!$D331))</f>
        <v/>
      </c>
      <c r="G328">
        <f>IF($A328="","",Issues!$E331)</f>
        <v/>
      </c>
      <c r="H328">
        <f>IF($A328="","",IF(COUNTIFS(ETxnType,"پاس چک",ETxnChk,$A328)&gt;0,"پاس شده","پاس نشده"))</f>
        <v/>
      </c>
      <c r="I328">
        <f>IF($A328="","",IFERROR(INDEX(BClrDate,MATCH($A328,BClrChk,0)),""))</f>
        <v/>
      </c>
      <c r="J328">
        <f>IF($A328="","",Issues!$G331)</f>
        <v/>
      </c>
      <c r="K328">
        <f>IF(OR($E328="",$E328="نامعتبر"),"",LEFT($E328,4)&amp;MID($E328,6,2)&amp;RIGHT($E328,2)&amp;"|"&amp;RIGHT("00000"&amp;323,5))</f>
        <v/>
      </c>
      <c r="M328">
        <f>IF(Sync!$M328&lt;&gt;"پاس چک","",IF(Sync!$P328="","",Sync!$P328))</f>
        <v/>
      </c>
      <c r="N328">
        <f>IF($M328="","",IF(ISNUMBER(Sync!$L328),IF(AND(Sync!$L328&gt;=10000101,Sync!$L328&lt;=99991231),RIGHT("0000"&amp;INT(Sync!$L328/10000),4)&amp;"/"&amp;RIGHT("00"&amp;INT(MOD(Sync!$L328,10000)/100),2)&amp;"/"&amp;RIGHT("00"&amp;MOD(Sync!$L328,100),2),""),IFERROR(RIGHT("0000"&amp;VALUE(TRIM(LEFT(Sync!$L328,FIND("/",Sync!$L328)-1))),4)&amp;"/"&amp;RIGHT("00"&amp;VALUE(TRIM(LEFT(MID(Sync!$L328,FIND("/",Sync!$L328)+1,20),FIND("/",MID(Sync!$L328,FIND("/",Sync!$L328)+1,20))-1))),2)&amp;"/"&amp;RIGHT("00"&amp;VALUE(TRIM(MID(MID(Sync!$L328,FIND("/",Sync!$L328)+1,20),FIND("/",MID(Sync!$L328,FIND("/",Sync!$L328)+1,20))+1,20))),2),"")))</f>
        <v/>
      </c>
    </row>
    <row r="329">
      <c r="A329">
        <f>IF(Issues!$B332="","",Issues!$B332)</f>
        <v/>
      </c>
      <c r="B329">
        <f>IF($A329="","",IF(ISNUMBER(Issues!$C332),IF(AND(Issues!$C332&gt;=10000101,Issues!$C332&lt;=99991231),INT(Issues!$C332/10000),""),IFERROR(VALUE(TRIM(LEFT(Issues!$C332,FIND("/",Issues!$C332)-1))),"")))</f>
        <v/>
      </c>
      <c r="C329">
        <f>IF(OR($A329="",$B329=""),"",IF(ISNUMBER(Issues!$C332),INT(MOD(Issues!$C332,10000)/100),IFERROR(VALUE(TRIM(LEFT(MID(Issues!$C332,FIND("/",Issues!$C332)+1,20),FIND("/",MID(Issues!$C332,FIND("/",Issues!$C332)+1,20))-1))),"")))</f>
        <v/>
      </c>
      <c r="D329">
        <f>IF(OR($A329="",$B329=""),"",IF(ISNUMBER(Issues!$C332),MOD(Issues!$C332,100),IFERROR(VALUE(TRIM(MID(MID(Issues!$C332,FIND("/",Issues!$C332)+1,20),FIND("/",MID(Issues!$C332,FIND("/",Issues!$C332)+1,20))+1,20))),"")))</f>
        <v/>
      </c>
      <c r="E329">
        <f>IF($A329="","",IF(OR($B329="",$C329="",$D329="",$B329&lt;1300,$B329&gt;1500,$C329&lt;1,$C329&gt;12,$D329&lt;1,$D329&gt;31),"نامعتبر",RIGHT("0000"&amp;$B329,4)&amp;"/"&amp;RIGHT("00"&amp;$C329,2)&amp;"/"&amp;RIGHT("00"&amp;$D329,2)))</f>
        <v/>
      </c>
      <c r="F329">
        <f>IF($A329="","",IF(Issues!$D332="",0,Issues!$D332))</f>
        <v/>
      </c>
      <c r="G329">
        <f>IF($A329="","",Issues!$E332)</f>
        <v/>
      </c>
      <c r="H329">
        <f>IF($A329="","",IF(COUNTIFS(ETxnType,"پاس چک",ETxnChk,$A329)&gt;0,"پاس شده","پاس نشده"))</f>
        <v/>
      </c>
      <c r="I329">
        <f>IF($A329="","",IFERROR(INDEX(BClrDate,MATCH($A329,BClrChk,0)),""))</f>
        <v/>
      </c>
      <c r="J329">
        <f>IF($A329="","",Issues!$G332)</f>
        <v/>
      </c>
      <c r="K329">
        <f>IF(OR($E329="",$E329="نامعتبر"),"",LEFT($E329,4)&amp;MID($E329,6,2)&amp;RIGHT($E329,2)&amp;"|"&amp;RIGHT("00000"&amp;324,5))</f>
        <v/>
      </c>
      <c r="M329">
        <f>IF(Sync!$M329&lt;&gt;"پاس چک","",IF(Sync!$P329="","",Sync!$P329))</f>
        <v/>
      </c>
      <c r="N329">
        <f>IF($M329="","",IF(ISNUMBER(Sync!$L329),IF(AND(Sync!$L329&gt;=10000101,Sync!$L329&lt;=99991231),RIGHT("0000"&amp;INT(Sync!$L329/10000),4)&amp;"/"&amp;RIGHT("00"&amp;INT(MOD(Sync!$L329,10000)/100),2)&amp;"/"&amp;RIGHT("00"&amp;MOD(Sync!$L329,100),2),""),IFERROR(RIGHT("0000"&amp;VALUE(TRIM(LEFT(Sync!$L329,FIND("/",Sync!$L329)-1))),4)&amp;"/"&amp;RIGHT("00"&amp;VALUE(TRIM(LEFT(MID(Sync!$L329,FIND("/",Sync!$L329)+1,20),FIND("/",MID(Sync!$L329,FIND("/",Sync!$L329)+1,20))-1))),2)&amp;"/"&amp;RIGHT("00"&amp;VALUE(TRIM(MID(MID(Sync!$L329,FIND("/",Sync!$L329)+1,20),FIND("/",MID(Sync!$L329,FIND("/",Sync!$L329)+1,20))+1,20))),2),"")))</f>
        <v/>
      </c>
    </row>
    <row r="330">
      <c r="A330">
        <f>IF(Issues!$B333="","",Issues!$B333)</f>
        <v/>
      </c>
      <c r="B330">
        <f>IF($A330="","",IF(ISNUMBER(Issues!$C333),IF(AND(Issues!$C333&gt;=10000101,Issues!$C333&lt;=99991231),INT(Issues!$C333/10000),""),IFERROR(VALUE(TRIM(LEFT(Issues!$C333,FIND("/",Issues!$C333)-1))),"")))</f>
        <v/>
      </c>
      <c r="C330">
        <f>IF(OR($A330="",$B330=""),"",IF(ISNUMBER(Issues!$C333),INT(MOD(Issues!$C333,10000)/100),IFERROR(VALUE(TRIM(LEFT(MID(Issues!$C333,FIND("/",Issues!$C333)+1,20),FIND("/",MID(Issues!$C333,FIND("/",Issues!$C333)+1,20))-1))),"")))</f>
        <v/>
      </c>
      <c r="D330">
        <f>IF(OR($A330="",$B330=""),"",IF(ISNUMBER(Issues!$C333),MOD(Issues!$C333,100),IFERROR(VALUE(TRIM(MID(MID(Issues!$C333,FIND("/",Issues!$C333)+1,20),FIND("/",MID(Issues!$C333,FIND("/",Issues!$C333)+1,20))+1,20))),"")))</f>
        <v/>
      </c>
      <c r="E330">
        <f>IF($A330="","",IF(OR($B330="",$C330="",$D330="",$B330&lt;1300,$B330&gt;1500,$C330&lt;1,$C330&gt;12,$D330&lt;1,$D330&gt;31),"نامعتبر",RIGHT("0000"&amp;$B330,4)&amp;"/"&amp;RIGHT("00"&amp;$C330,2)&amp;"/"&amp;RIGHT("00"&amp;$D330,2)))</f>
        <v/>
      </c>
      <c r="F330">
        <f>IF($A330="","",IF(Issues!$D333="",0,Issues!$D333))</f>
        <v/>
      </c>
      <c r="G330">
        <f>IF($A330="","",Issues!$E333)</f>
        <v/>
      </c>
      <c r="H330">
        <f>IF($A330="","",IF(COUNTIFS(ETxnType,"پاس چک",ETxnChk,$A330)&gt;0,"پاس شده","پاس نشده"))</f>
        <v/>
      </c>
      <c r="I330">
        <f>IF($A330="","",IFERROR(INDEX(BClrDate,MATCH($A330,BClrChk,0)),""))</f>
        <v/>
      </c>
      <c r="J330">
        <f>IF($A330="","",Issues!$G333)</f>
        <v/>
      </c>
      <c r="K330">
        <f>IF(OR($E330="",$E330="نامعتبر"),"",LEFT($E330,4)&amp;MID($E330,6,2)&amp;RIGHT($E330,2)&amp;"|"&amp;RIGHT("00000"&amp;325,5))</f>
        <v/>
      </c>
      <c r="M330">
        <f>IF(Sync!$M330&lt;&gt;"پاس چک","",IF(Sync!$P330="","",Sync!$P330))</f>
        <v/>
      </c>
      <c r="N330">
        <f>IF($M330="","",IF(ISNUMBER(Sync!$L330),IF(AND(Sync!$L330&gt;=10000101,Sync!$L330&lt;=99991231),RIGHT("0000"&amp;INT(Sync!$L330/10000),4)&amp;"/"&amp;RIGHT("00"&amp;INT(MOD(Sync!$L330,10000)/100),2)&amp;"/"&amp;RIGHT("00"&amp;MOD(Sync!$L330,100),2),""),IFERROR(RIGHT("0000"&amp;VALUE(TRIM(LEFT(Sync!$L330,FIND("/",Sync!$L330)-1))),4)&amp;"/"&amp;RIGHT("00"&amp;VALUE(TRIM(LEFT(MID(Sync!$L330,FIND("/",Sync!$L330)+1,20),FIND("/",MID(Sync!$L330,FIND("/",Sync!$L330)+1,20))-1))),2)&amp;"/"&amp;RIGHT("00"&amp;VALUE(TRIM(MID(MID(Sync!$L330,FIND("/",Sync!$L330)+1,20),FIND("/",MID(Sync!$L330,FIND("/",Sync!$L330)+1,20))+1,20))),2),"")))</f>
        <v/>
      </c>
    </row>
    <row r="331">
      <c r="A331">
        <f>IF(Issues!$B334="","",Issues!$B334)</f>
        <v/>
      </c>
      <c r="B331">
        <f>IF($A331="","",IF(ISNUMBER(Issues!$C334),IF(AND(Issues!$C334&gt;=10000101,Issues!$C334&lt;=99991231),INT(Issues!$C334/10000),""),IFERROR(VALUE(TRIM(LEFT(Issues!$C334,FIND("/",Issues!$C334)-1))),"")))</f>
        <v/>
      </c>
      <c r="C331">
        <f>IF(OR($A331="",$B331=""),"",IF(ISNUMBER(Issues!$C334),INT(MOD(Issues!$C334,10000)/100),IFERROR(VALUE(TRIM(LEFT(MID(Issues!$C334,FIND("/",Issues!$C334)+1,20),FIND("/",MID(Issues!$C334,FIND("/",Issues!$C334)+1,20))-1))),"")))</f>
        <v/>
      </c>
      <c r="D331">
        <f>IF(OR($A331="",$B331=""),"",IF(ISNUMBER(Issues!$C334),MOD(Issues!$C334,100),IFERROR(VALUE(TRIM(MID(MID(Issues!$C334,FIND("/",Issues!$C334)+1,20),FIND("/",MID(Issues!$C334,FIND("/",Issues!$C334)+1,20))+1,20))),"")))</f>
        <v/>
      </c>
      <c r="E331">
        <f>IF($A331="","",IF(OR($B331="",$C331="",$D331="",$B331&lt;1300,$B331&gt;1500,$C331&lt;1,$C331&gt;12,$D331&lt;1,$D331&gt;31),"نامعتبر",RIGHT("0000"&amp;$B331,4)&amp;"/"&amp;RIGHT("00"&amp;$C331,2)&amp;"/"&amp;RIGHT("00"&amp;$D331,2)))</f>
        <v/>
      </c>
      <c r="F331">
        <f>IF($A331="","",IF(Issues!$D334="",0,Issues!$D334))</f>
        <v/>
      </c>
      <c r="G331">
        <f>IF($A331="","",Issues!$E334)</f>
        <v/>
      </c>
      <c r="H331">
        <f>IF($A331="","",IF(COUNTIFS(ETxnType,"پاس چک",ETxnChk,$A331)&gt;0,"پاس شده","پاس نشده"))</f>
        <v/>
      </c>
      <c r="I331">
        <f>IF($A331="","",IFERROR(INDEX(BClrDate,MATCH($A331,BClrChk,0)),""))</f>
        <v/>
      </c>
      <c r="J331">
        <f>IF($A331="","",Issues!$G334)</f>
        <v/>
      </c>
      <c r="K331">
        <f>IF(OR($E331="",$E331="نامعتبر"),"",LEFT($E331,4)&amp;MID($E331,6,2)&amp;RIGHT($E331,2)&amp;"|"&amp;RIGHT("00000"&amp;326,5))</f>
        <v/>
      </c>
      <c r="M331">
        <f>IF(Sync!$M331&lt;&gt;"پاس چک","",IF(Sync!$P331="","",Sync!$P331))</f>
        <v/>
      </c>
      <c r="N331">
        <f>IF($M331="","",IF(ISNUMBER(Sync!$L331),IF(AND(Sync!$L331&gt;=10000101,Sync!$L331&lt;=99991231),RIGHT("0000"&amp;INT(Sync!$L331/10000),4)&amp;"/"&amp;RIGHT("00"&amp;INT(MOD(Sync!$L331,10000)/100),2)&amp;"/"&amp;RIGHT("00"&amp;MOD(Sync!$L331,100),2),""),IFERROR(RIGHT("0000"&amp;VALUE(TRIM(LEFT(Sync!$L331,FIND("/",Sync!$L331)-1))),4)&amp;"/"&amp;RIGHT("00"&amp;VALUE(TRIM(LEFT(MID(Sync!$L331,FIND("/",Sync!$L331)+1,20),FIND("/",MID(Sync!$L331,FIND("/",Sync!$L331)+1,20))-1))),2)&amp;"/"&amp;RIGHT("00"&amp;VALUE(TRIM(MID(MID(Sync!$L331,FIND("/",Sync!$L331)+1,20),FIND("/",MID(Sync!$L331,FIND("/",Sync!$L331)+1,20))+1,20))),2),"")))</f>
        <v/>
      </c>
    </row>
    <row r="332">
      <c r="A332">
        <f>IF(Issues!$B335="","",Issues!$B335)</f>
        <v/>
      </c>
      <c r="B332">
        <f>IF($A332="","",IF(ISNUMBER(Issues!$C335),IF(AND(Issues!$C335&gt;=10000101,Issues!$C335&lt;=99991231),INT(Issues!$C335/10000),""),IFERROR(VALUE(TRIM(LEFT(Issues!$C335,FIND("/",Issues!$C335)-1))),"")))</f>
        <v/>
      </c>
      <c r="C332">
        <f>IF(OR($A332="",$B332=""),"",IF(ISNUMBER(Issues!$C335),INT(MOD(Issues!$C335,10000)/100),IFERROR(VALUE(TRIM(LEFT(MID(Issues!$C335,FIND("/",Issues!$C335)+1,20),FIND("/",MID(Issues!$C335,FIND("/",Issues!$C335)+1,20))-1))),"")))</f>
        <v/>
      </c>
      <c r="D332">
        <f>IF(OR($A332="",$B332=""),"",IF(ISNUMBER(Issues!$C335),MOD(Issues!$C335,100),IFERROR(VALUE(TRIM(MID(MID(Issues!$C335,FIND("/",Issues!$C335)+1,20),FIND("/",MID(Issues!$C335,FIND("/",Issues!$C335)+1,20))+1,20))),"")))</f>
        <v/>
      </c>
      <c r="E332">
        <f>IF($A332="","",IF(OR($B332="",$C332="",$D332="",$B332&lt;1300,$B332&gt;1500,$C332&lt;1,$C332&gt;12,$D332&lt;1,$D332&gt;31),"نامعتبر",RIGHT("0000"&amp;$B332,4)&amp;"/"&amp;RIGHT("00"&amp;$C332,2)&amp;"/"&amp;RIGHT("00"&amp;$D332,2)))</f>
        <v/>
      </c>
      <c r="F332">
        <f>IF($A332="","",IF(Issues!$D335="",0,Issues!$D335))</f>
        <v/>
      </c>
      <c r="G332">
        <f>IF($A332="","",Issues!$E335)</f>
        <v/>
      </c>
      <c r="H332">
        <f>IF($A332="","",IF(COUNTIFS(ETxnType,"پاس چک",ETxnChk,$A332)&gt;0,"پاس شده","پاس نشده"))</f>
        <v/>
      </c>
      <c r="I332">
        <f>IF($A332="","",IFERROR(INDEX(BClrDate,MATCH($A332,BClrChk,0)),""))</f>
        <v/>
      </c>
      <c r="J332">
        <f>IF($A332="","",Issues!$G335)</f>
        <v/>
      </c>
      <c r="K332">
        <f>IF(OR($E332="",$E332="نامعتبر"),"",LEFT($E332,4)&amp;MID($E332,6,2)&amp;RIGHT($E332,2)&amp;"|"&amp;RIGHT("00000"&amp;327,5))</f>
        <v/>
      </c>
      <c r="M332">
        <f>IF(Sync!$M332&lt;&gt;"پاس چک","",IF(Sync!$P332="","",Sync!$P332))</f>
        <v/>
      </c>
      <c r="N332">
        <f>IF($M332="","",IF(ISNUMBER(Sync!$L332),IF(AND(Sync!$L332&gt;=10000101,Sync!$L332&lt;=99991231),RIGHT("0000"&amp;INT(Sync!$L332/10000),4)&amp;"/"&amp;RIGHT("00"&amp;INT(MOD(Sync!$L332,10000)/100),2)&amp;"/"&amp;RIGHT("00"&amp;MOD(Sync!$L332,100),2),""),IFERROR(RIGHT("0000"&amp;VALUE(TRIM(LEFT(Sync!$L332,FIND("/",Sync!$L332)-1))),4)&amp;"/"&amp;RIGHT("00"&amp;VALUE(TRIM(LEFT(MID(Sync!$L332,FIND("/",Sync!$L332)+1,20),FIND("/",MID(Sync!$L332,FIND("/",Sync!$L332)+1,20))-1))),2)&amp;"/"&amp;RIGHT("00"&amp;VALUE(TRIM(MID(MID(Sync!$L332,FIND("/",Sync!$L332)+1,20),FIND("/",MID(Sync!$L332,FIND("/",Sync!$L332)+1,20))+1,20))),2),"")))</f>
        <v/>
      </c>
    </row>
    <row r="333">
      <c r="A333">
        <f>IF(Issues!$B336="","",Issues!$B336)</f>
        <v/>
      </c>
      <c r="B333">
        <f>IF($A333="","",IF(ISNUMBER(Issues!$C336),IF(AND(Issues!$C336&gt;=10000101,Issues!$C336&lt;=99991231),INT(Issues!$C336/10000),""),IFERROR(VALUE(TRIM(LEFT(Issues!$C336,FIND("/",Issues!$C336)-1))),"")))</f>
        <v/>
      </c>
      <c r="C333">
        <f>IF(OR($A333="",$B333=""),"",IF(ISNUMBER(Issues!$C336),INT(MOD(Issues!$C336,10000)/100),IFERROR(VALUE(TRIM(LEFT(MID(Issues!$C336,FIND("/",Issues!$C336)+1,20),FIND("/",MID(Issues!$C336,FIND("/",Issues!$C336)+1,20))-1))),"")))</f>
        <v/>
      </c>
      <c r="D333">
        <f>IF(OR($A333="",$B333=""),"",IF(ISNUMBER(Issues!$C336),MOD(Issues!$C336,100),IFERROR(VALUE(TRIM(MID(MID(Issues!$C336,FIND("/",Issues!$C336)+1,20),FIND("/",MID(Issues!$C336,FIND("/",Issues!$C336)+1,20))+1,20))),"")))</f>
        <v/>
      </c>
      <c r="E333">
        <f>IF($A333="","",IF(OR($B333="",$C333="",$D333="",$B333&lt;1300,$B333&gt;1500,$C333&lt;1,$C333&gt;12,$D333&lt;1,$D333&gt;31),"نامعتبر",RIGHT("0000"&amp;$B333,4)&amp;"/"&amp;RIGHT("00"&amp;$C333,2)&amp;"/"&amp;RIGHT("00"&amp;$D333,2)))</f>
        <v/>
      </c>
      <c r="F333">
        <f>IF($A333="","",IF(Issues!$D336="",0,Issues!$D336))</f>
        <v/>
      </c>
      <c r="G333">
        <f>IF($A333="","",Issues!$E336)</f>
        <v/>
      </c>
      <c r="H333">
        <f>IF($A333="","",IF(COUNTIFS(ETxnType,"پاس چک",ETxnChk,$A333)&gt;0,"پاس شده","پاس نشده"))</f>
        <v/>
      </c>
      <c r="I333">
        <f>IF($A333="","",IFERROR(INDEX(BClrDate,MATCH($A333,BClrChk,0)),""))</f>
        <v/>
      </c>
      <c r="J333">
        <f>IF($A333="","",Issues!$G336)</f>
        <v/>
      </c>
      <c r="K333">
        <f>IF(OR($E333="",$E333="نامعتبر"),"",LEFT($E333,4)&amp;MID($E333,6,2)&amp;RIGHT($E333,2)&amp;"|"&amp;RIGHT("00000"&amp;328,5))</f>
        <v/>
      </c>
      <c r="M333">
        <f>IF(Sync!$M333&lt;&gt;"پاس چک","",IF(Sync!$P333="","",Sync!$P333))</f>
        <v/>
      </c>
      <c r="N333">
        <f>IF($M333="","",IF(ISNUMBER(Sync!$L333),IF(AND(Sync!$L333&gt;=10000101,Sync!$L333&lt;=99991231),RIGHT("0000"&amp;INT(Sync!$L333/10000),4)&amp;"/"&amp;RIGHT("00"&amp;INT(MOD(Sync!$L333,10000)/100),2)&amp;"/"&amp;RIGHT("00"&amp;MOD(Sync!$L333,100),2),""),IFERROR(RIGHT("0000"&amp;VALUE(TRIM(LEFT(Sync!$L333,FIND("/",Sync!$L333)-1))),4)&amp;"/"&amp;RIGHT("00"&amp;VALUE(TRIM(LEFT(MID(Sync!$L333,FIND("/",Sync!$L333)+1,20),FIND("/",MID(Sync!$L333,FIND("/",Sync!$L333)+1,20))-1))),2)&amp;"/"&amp;RIGHT("00"&amp;VALUE(TRIM(MID(MID(Sync!$L333,FIND("/",Sync!$L333)+1,20),FIND("/",MID(Sync!$L333,FIND("/",Sync!$L333)+1,20))+1,20))),2),"")))</f>
        <v/>
      </c>
    </row>
    <row r="334">
      <c r="A334">
        <f>IF(Issues!$B337="","",Issues!$B337)</f>
        <v/>
      </c>
      <c r="B334">
        <f>IF($A334="","",IF(ISNUMBER(Issues!$C337),IF(AND(Issues!$C337&gt;=10000101,Issues!$C337&lt;=99991231),INT(Issues!$C337/10000),""),IFERROR(VALUE(TRIM(LEFT(Issues!$C337,FIND("/",Issues!$C337)-1))),"")))</f>
        <v/>
      </c>
      <c r="C334">
        <f>IF(OR($A334="",$B334=""),"",IF(ISNUMBER(Issues!$C337),INT(MOD(Issues!$C337,10000)/100),IFERROR(VALUE(TRIM(LEFT(MID(Issues!$C337,FIND("/",Issues!$C337)+1,20),FIND("/",MID(Issues!$C337,FIND("/",Issues!$C337)+1,20))-1))),"")))</f>
        <v/>
      </c>
      <c r="D334">
        <f>IF(OR($A334="",$B334=""),"",IF(ISNUMBER(Issues!$C337),MOD(Issues!$C337,100),IFERROR(VALUE(TRIM(MID(MID(Issues!$C337,FIND("/",Issues!$C337)+1,20),FIND("/",MID(Issues!$C337,FIND("/",Issues!$C337)+1,20))+1,20))),"")))</f>
        <v/>
      </c>
      <c r="E334">
        <f>IF($A334="","",IF(OR($B334="",$C334="",$D334="",$B334&lt;1300,$B334&gt;1500,$C334&lt;1,$C334&gt;12,$D334&lt;1,$D334&gt;31),"نامعتبر",RIGHT("0000"&amp;$B334,4)&amp;"/"&amp;RIGHT("00"&amp;$C334,2)&amp;"/"&amp;RIGHT("00"&amp;$D334,2)))</f>
        <v/>
      </c>
      <c r="F334">
        <f>IF($A334="","",IF(Issues!$D337="",0,Issues!$D337))</f>
        <v/>
      </c>
      <c r="G334">
        <f>IF($A334="","",Issues!$E337)</f>
        <v/>
      </c>
      <c r="H334">
        <f>IF($A334="","",IF(COUNTIFS(ETxnType,"پاس چک",ETxnChk,$A334)&gt;0,"پاس شده","پاس نشده"))</f>
        <v/>
      </c>
      <c r="I334">
        <f>IF($A334="","",IFERROR(INDEX(BClrDate,MATCH($A334,BClrChk,0)),""))</f>
        <v/>
      </c>
      <c r="J334">
        <f>IF($A334="","",Issues!$G337)</f>
        <v/>
      </c>
      <c r="K334">
        <f>IF(OR($E334="",$E334="نامعتبر"),"",LEFT($E334,4)&amp;MID($E334,6,2)&amp;RIGHT($E334,2)&amp;"|"&amp;RIGHT("00000"&amp;329,5))</f>
        <v/>
      </c>
      <c r="M334">
        <f>IF(Sync!$M334&lt;&gt;"پاس چک","",IF(Sync!$P334="","",Sync!$P334))</f>
        <v/>
      </c>
      <c r="N334">
        <f>IF($M334="","",IF(ISNUMBER(Sync!$L334),IF(AND(Sync!$L334&gt;=10000101,Sync!$L334&lt;=99991231),RIGHT("0000"&amp;INT(Sync!$L334/10000),4)&amp;"/"&amp;RIGHT("00"&amp;INT(MOD(Sync!$L334,10000)/100),2)&amp;"/"&amp;RIGHT("00"&amp;MOD(Sync!$L334,100),2),""),IFERROR(RIGHT("0000"&amp;VALUE(TRIM(LEFT(Sync!$L334,FIND("/",Sync!$L334)-1))),4)&amp;"/"&amp;RIGHT("00"&amp;VALUE(TRIM(LEFT(MID(Sync!$L334,FIND("/",Sync!$L334)+1,20),FIND("/",MID(Sync!$L334,FIND("/",Sync!$L334)+1,20))-1))),2)&amp;"/"&amp;RIGHT("00"&amp;VALUE(TRIM(MID(MID(Sync!$L334,FIND("/",Sync!$L334)+1,20),FIND("/",MID(Sync!$L334,FIND("/",Sync!$L334)+1,20))+1,20))),2),"")))</f>
        <v/>
      </c>
    </row>
    <row r="335">
      <c r="A335">
        <f>IF(Issues!$B338="","",Issues!$B338)</f>
        <v/>
      </c>
      <c r="B335">
        <f>IF($A335="","",IF(ISNUMBER(Issues!$C338),IF(AND(Issues!$C338&gt;=10000101,Issues!$C338&lt;=99991231),INT(Issues!$C338/10000),""),IFERROR(VALUE(TRIM(LEFT(Issues!$C338,FIND("/",Issues!$C338)-1))),"")))</f>
        <v/>
      </c>
      <c r="C335">
        <f>IF(OR($A335="",$B335=""),"",IF(ISNUMBER(Issues!$C338),INT(MOD(Issues!$C338,10000)/100),IFERROR(VALUE(TRIM(LEFT(MID(Issues!$C338,FIND("/",Issues!$C338)+1,20),FIND("/",MID(Issues!$C338,FIND("/",Issues!$C338)+1,20))-1))),"")))</f>
        <v/>
      </c>
      <c r="D335">
        <f>IF(OR($A335="",$B335=""),"",IF(ISNUMBER(Issues!$C338),MOD(Issues!$C338,100),IFERROR(VALUE(TRIM(MID(MID(Issues!$C338,FIND("/",Issues!$C338)+1,20),FIND("/",MID(Issues!$C338,FIND("/",Issues!$C338)+1,20))+1,20))),"")))</f>
        <v/>
      </c>
      <c r="E335">
        <f>IF($A335="","",IF(OR($B335="",$C335="",$D335="",$B335&lt;1300,$B335&gt;1500,$C335&lt;1,$C335&gt;12,$D335&lt;1,$D335&gt;31),"نامعتبر",RIGHT("0000"&amp;$B335,4)&amp;"/"&amp;RIGHT("00"&amp;$C335,2)&amp;"/"&amp;RIGHT("00"&amp;$D335,2)))</f>
        <v/>
      </c>
      <c r="F335">
        <f>IF($A335="","",IF(Issues!$D338="",0,Issues!$D338))</f>
        <v/>
      </c>
      <c r="G335">
        <f>IF($A335="","",Issues!$E338)</f>
        <v/>
      </c>
      <c r="H335">
        <f>IF($A335="","",IF(COUNTIFS(ETxnType,"پاس چک",ETxnChk,$A335)&gt;0,"پاس شده","پاس نشده"))</f>
        <v/>
      </c>
      <c r="I335">
        <f>IF($A335="","",IFERROR(INDEX(BClrDate,MATCH($A335,BClrChk,0)),""))</f>
        <v/>
      </c>
      <c r="J335">
        <f>IF($A335="","",Issues!$G338)</f>
        <v/>
      </c>
      <c r="K335">
        <f>IF(OR($E335="",$E335="نامعتبر"),"",LEFT($E335,4)&amp;MID($E335,6,2)&amp;RIGHT($E335,2)&amp;"|"&amp;RIGHT("00000"&amp;330,5))</f>
        <v/>
      </c>
      <c r="M335">
        <f>IF(Sync!$M335&lt;&gt;"پاس چک","",IF(Sync!$P335="","",Sync!$P335))</f>
        <v/>
      </c>
      <c r="N335">
        <f>IF($M335="","",IF(ISNUMBER(Sync!$L335),IF(AND(Sync!$L335&gt;=10000101,Sync!$L335&lt;=99991231),RIGHT("0000"&amp;INT(Sync!$L335/10000),4)&amp;"/"&amp;RIGHT("00"&amp;INT(MOD(Sync!$L335,10000)/100),2)&amp;"/"&amp;RIGHT("00"&amp;MOD(Sync!$L335,100),2),""),IFERROR(RIGHT("0000"&amp;VALUE(TRIM(LEFT(Sync!$L335,FIND("/",Sync!$L335)-1))),4)&amp;"/"&amp;RIGHT("00"&amp;VALUE(TRIM(LEFT(MID(Sync!$L335,FIND("/",Sync!$L335)+1,20),FIND("/",MID(Sync!$L335,FIND("/",Sync!$L335)+1,20))-1))),2)&amp;"/"&amp;RIGHT("00"&amp;VALUE(TRIM(MID(MID(Sync!$L335,FIND("/",Sync!$L335)+1,20),FIND("/",MID(Sync!$L335,FIND("/",Sync!$L335)+1,20))+1,20))),2),"")))</f>
        <v/>
      </c>
    </row>
    <row r="336">
      <c r="A336">
        <f>IF(Issues!$B339="","",Issues!$B339)</f>
        <v/>
      </c>
      <c r="B336">
        <f>IF($A336="","",IF(ISNUMBER(Issues!$C339),IF(AND(Issues!$C339&gt;=10000101,Issues!$C339&lt;=99991231),INT(Issues!$C339/10000),""),IFERROR(VALUE(TRIM(LEFT(Issues!$C339,FIND("/",Issues!$C339)-1))),"")))</f>
        <v/>
      </c>
      <c r="C336">
        <f>IF(OR($A336="",$B336=""),"",IF(ISNUMBER(Issues!$C339),INT(MOD(Issues!$C339,10000)/100),IFERROR(VALUE(TRIM(LEFT(MID(Issues!$C339,FIND("/",Issues!$C339)+1,20),FIND("/",MID(Issues!$C339,FIND("/",Issues!$C339)+1,20))-1))),"")))</f>
        <v/>
      </c>
      <c r="D336">
        <f>IF(OR($A336="",$B336=""),"",IF(ISNUMBER(Issues!$C339),MOD(Issues!$C339,100),IFERROR(VALUE(TRIM(MID(MID(Issues!$C339,FIND("/",Issues!$C339)+1,20),FIND("/",MID(Issues!$C339,FIND("/",Issues!$C339)+1,20))+1,20))),"")))</f>
        <v/>
      </c>
      <c r="E336">
        <f>IF($A336="","",IF(OR($B336="",$C336="",$D336="",$B336&lt;1300,$B336&gt;1500,$C336&lt;1,$C336&gt;12,$D336&lt;1,$D336&gt;31),"نامعتبر",RIGHT("0000"&amp;$B336,4)&amp;"/"&amp;RIGHT("00"&amp;$C336,2)&amp;"/"&amp;RIGHT("00"&amp;$D336,2)))</f>
        <v/>
      </c>
      <c r="F336">
        <f>IF($A336="","",IF(Issues!$D339="",0,Issues!$D339))</f>
        <v/>
      </c>
      <c r="G336">
        <f>IF($A336="","",Issues!$E339)</f>
        <v/>
      </c>
      <c r="H336">
        <f>IF($A336="","",IF(COUNTIFS(ETxnType,"پاس چک",ETxnChk,$A336)&gt;0,"پاس شده","پاس نشده"))</f>
        <v/>
      </c>
      <c r="I336">
        <f>IF($A336="","",IFERROR(INDEX(BClrDate,MATCH($A336,BClrChk,0)),""))</f>
        <v/>
      </c>
      <c r="J336">
        <f>IF($A336="","",Issues!$G339)</f>
        <v/>
      </c>
      <c r="K336">
        <f>IF(OR($E336="",$E336="نامعتبر"),"",LEFT($E336,4)&amp;MID($E336,6,2)&amp;RIGHT($E336,2)&amp;"|"&amp;RIGHT("00000"&amp;331,5))</f>
        <v/>
      </c>
      <c r="M336">
        <f>IF(Sync!$M336&lt;&gt;"پاس چک","",IF(Sync!$P336="","",Sync!$P336))</f>
        <v/>
      </c>
      <c r="N336">
        <f>IF($M336="","",IF(ISNUMBER(Sync!$L336),IF(AND(Sync!$L336&gt;=10000101,Sync!$L336&lt;=99991231),RIGHT("0000"&amp;INT(Sync!$L336/10000),4)&amp;"/"&amp;RIGHT("00"&amp;INT(MOD(Sync!$L336,10000)/100),2)&amp;"/"&amp;RIGHT("00"&amp;MOD(Sync!$L336,100),2),""),IFERROR(RIGHT("0000"&amp;VALUE(TRIM(LEFT(Sync!$L336,FIND("/",Sync!$L336)-1))),4)&amp;"/"&amp;RIGHT("00"&amp;VALUE(TRIM(LEFT(MID(Sync!$L336,FIND("/",Sync!$L336)+1,20),FIND("/",MID(Sync!$L336,FIND("/",Sync!$L336)+1,20))-1))),2)&amp;"/"&amp;RIGHT("00"&amp;VALUE(TRIM(MID(MID(Sync!$L336,FIND("/",Sync!$L336)+1,20),FIND("/",MID(Sync!$L336,FIND("/",Sync!$L336)+1,20))+1,20))),2),"")))</f>
        <v/>
      </c>
    </row>
    <row r="337">
      <c r="A337">
        <f>IF(Issues!$B340="","",Issues!$B340)</f>
        <v/>
      </c>
      <c r="B337">
        <f>IF($A337="","",IF(ISNUMBER(Issues!$C340),IF(AND(Issues!$C340&gt;=10000101,Issues!$C340&lt;=99991231),INT(Issues!$C340/10000),""),IFERROR(VALUE(TRIM(LEFT(Issues!$C340,FIND("/",Issues!$C340)-1))),"")))</f>
        <v/>
      </c>
      <c r="C337">
        <f>IF(OR($A337="",$B337=""),"",IF(ISNUMBER(Issues!$C340),INT(MOD(Issues!$C340,10000)/100),IFERROR(VALUE(TRIM(LEFT(MID(Issues!$C340,FIND("/",Issues!$C340)+1,20),FIND("/",MID(Issues!$C340,FIND("/",Issues!$C340)+1,20))-1))),"")))</f>
        <v/>
      </c>
      <c r="D337">
        <f>IF(OR($A337="",$B337=""),"",IF(ISNUMBER(Issues!$C340),MOD(Issues!$C340,100),IFERROR(VALUE(TRIM(MID(MID(Issues!$C340,FIND("/",Issues!$C340)+1,20),FIND("/",MID(Issues!$C340,FIND("/",Issues!$C340)+1,20))+1,20))),"")))</f>
        <v/>
      </c>
      <c r="E337">
        <f>IF($A337="","",IF(OR($B337="",$C337="",$D337="",$B337&lt;1300,$B337&gt;1500,$C337&lt;1,$C337&gt;12,$D337&lt;1,$D337&gt;31),"نامعتبر",RIGHT("0000"&amp;$B337,4)&amp;"/"&amp;RIGHT("00"&amp;$C337,2)&amp;"/"&amp;RIGHT("00"&amp;$D337,2)))</f>
        <v/>
      </c>
      <c r="F337">
        <f>IF($A337="","",IF(Issues!$D340="",0,Issues!$D340))</f>
        <v/>
      </c>
      <c r="G337">
        <f>IF($A337="","",Issues!$E340)</f>
        <v/>
      </c>
      <c r="H337">
        <f>IF($A337="","",IF(COUNTIFS(ETxnType,"پاس چک",ETxnChk,$A337)&gt;0,"پاس شده","پاس نشده"))</f>
        <v/>
      </c>
      <c r="I337">
        <f>IF($A337="","",IFERROR(INDEX(BClrDate,MATCH($A337,BClrChk,0)),""))</f>
        <v/>
      </c>
      <c r="J337">
        <f>IF($A337="","",Issues!$G340)</f>
        <v/>
      </c>
      <c r="K337">
        <f>IF(OR($E337="",$E337="نامعتبر"),"",LEFT($E337,4)&amp;MID($E337,6,2)&amp;RIGHT($E337,2)&amp;"|"&amp;RIGHT("00000"&amp;332,5))</f>
        <v/>
      </c>
      <c r="M337">
        <f>IF(Sync!$M337&lt;&gt;"پاس چک","",IF(Sync!$P337="","",Sync!$P337))</f>
        <v/>
      </c>
      <c r="N337">
        <f>IF($M337="","",IF(ISNUMBER(Sync!$L337),IF(AND(Sync!$L337&gt;=10000101,Sync!$L337&lt;=99991231),RIGHT("0000"&amp;INT(Sync!$L337/10000),4)&amp;"/"&amp;RIGHT("00"&amp;INT(MOD(Sync!$L337,10000)/100),2)&amp;"/"&amp;RIGHT("00"&amp;MOD(Sync!$L337,100),2),""),IFERROR(RIGHT("0000"&amp;VALUE(TRIM(LEFT(Sync!$L337,FIND("/",Sync!$L337)-1))),4)&amp;"/"&amp;RIGHT("00"&amp;VALUE(TRIM(LEFT(MID(Sync!$L337,FIND("/",Sync!$L337)+1,20),FIND("/",MID(Sync!$L337,FIND("/",Sync!$L337)+1,20))-1))),2)&amp;"/"&amp;RIGHT("00"&amp;VALUE(TRIM(MID(MID(Sync!$L337,FIND("/",Sync!$L337)+1,20),FIND("/",MID(Sync!$L337,FIND("/",Sync!$L337)+1,20))+1,20))),2),"")))</f>
        <v/>
      </c>
    </row>
    <row r="338">
      <c r="A338">
        <f>IF(Issues!$B341="","",Issues!$B341)</f>
        <v/>
      </c>
      <c r="B338">
        <f>IF($A338="","",IF(ISNUMBER(Issues!$C341),IF(AND(Issues!$C341&gt;=10000101,Issues!$C341&lt;=99991231),INT(Issues!$C341/10000),""),IFERROR(VALUE(TRIM(LEFT(Issues!$C341,FIND("/",Issues!$C341)-1))),"")))</f>
        <v/>
      </c>
      <c r="C338">
        <f>IF(OR($A338="",$B338=""),"",IF(ISNUMBER(Issues!$C341),INT(MOD(Issues!$C341,10000)/100),IFERROR(VALUE(TRIM(LEFT(MID(Issues!$C341,FIND("/",Issues!$C341)+1,20),FIND("/",MID(Issues!$C341,FIND("/",Issues!$C341)+1,20))-1))),"")))</f>
        <v/>
      </c>
      <c r="D338">
        <f>IF(OR($A338="",$B338=""),"",IF(ISNUMBER(Issues!$C341),MOD(Issues!$C341,100),IFERROR(VALUE(TRIM(MID(MID(Issues!$C341,FIND("/",Issues!$C341)+1,20),FIND("/",MID(Issues!$C341,FIND("/",Issues!$C341)+1,20))+1,20))),"")))</f>
        <v/>
      </c>
      <c r="E338">
        <f>IF($A338="","",IF(OR($B338="",$C338="",$D338="",$B338&lt;1300,$B338&gt;1500,$C338&lt;1,$C338&gt;12,$D338&lt;1,$D338&gt;31),"نامعتبر",RIGHT("0000"&amp;$B338,4)&amp;"/"&amp;RIGHT("00"&amp;$C338,2)&amp;"/"&amp;RIGHT("00"&amp;$D338,2)))</f>
        <v/>
      </c>
      <c r="F338">
        <f>IF($A338="","",IF(Issues!$D341="",0,Issues!$D341))</f>
        <v/>
      </c>
      <c r="G338">
        <f>IF($A338="","",Issues!$E341)</f>
        <v/>
      </c>
      <c r="H338">
        <f>IF($A338="","",IF(COUNTIFS(ETxnType,"پاس چک",ETxnChk,$A338)&gt;0,"پاس شده","پاس نشده"))</f>
        <v/>
      </c>
      <c r="I338">
        <f>IF($A338="","",IFERROR(INDEX(BClrDate,MATCH($A338,BClrChk,0)),""))</f>
        <v/>
      </c>
      <c r="J338">
        <f>IF($A338="","",Issues!$G341)</f>
        <v/>
      </c>
      <c r="K338">
        <f>IF(OR($E338="",$E338="نامعتبر"),"",LEFT($E338,4)&amp;MID($E338,6,2)&amp;RIGHT($E338,2)&amp;"|"&amp;RIGHT("00000"&amp;333,5))</f>
        <v/>
      </c>
      <c r="M338">
        <f>IF(Sync!$M338&lt;&gt;"پاس چک","",IF(Sync!$P338="","",Sync!$P338))</f>
        <v/>
      </c>
      <c r="N338">
        <f>IF($M338="","",IF(ISNUMBER(Sync!$L338),IF(AND(Sync!$L338&gt;=10000101,Sync!$L338&lt;=99991231),RIGHT("0000"&amp;INT(Sync!$L338/10000),4)&amp;"/"&amp;RIGHT("00"&amp;INT(MOD(Sync!$L338,10000)/100),2)&amp;"/"&amp;RIGHT("00"&amp;MOD(Sync!$L338,100),2),""),IFERROR(RIGHT("0000"&amp;VALUE(TRIM(LEFT(Sync!$L338,FIND("/",Sync!$L338)-1))),4)&amp;"/"&amp;RIGHT("00"&amp;VALUE(TRIM(LEFT(MID(Sync!$L338,FIND("/",Sync!$L338)+1,20),FIND("/",MID(Sync!$L338,FIND("/",Sync!$L338)+1,20))-1))),2)&amp;"/"&amp;RIGHT("00"&amp;VALUE(TRIM(MID(MID(Sync!$L338,FIND("/",Sync!$L338)+1,20),FIND("/",MID(Sync!$L338,FIND("/",Sync!$L338)+1,20))+1,20))),2),"")))</f>
        <v/>
      </c>
    </row>
    <row r="339">
      <c r="A339">
        <f>IF(Issues!$B342="","",Issues!$B342)</f>
        <v/>
      </c>
      <c r="B339">
        <f>IF($A339="","",IF(ISNUMBER(Issues!$C342),IF(AND(Issues!$C342&gt;=10000101,Issues!$C342&lt;=99991231),INT(Issues!$C342/10000),""),IFERROR(VALUE(TRIM(LEFT(Issues!$C342,FIND("/",Issues!$C342)-1))),"")))</f>
        <v/>
      </c>
      <c r="C339">
        <f>IF(OR($A339="",$B339=""),"",IF(ISNUMBER(Issues!$C342),INT(MOD(Issues!$C342,10000)/100),IFERROR(VALUE(TRIM(LEFT(MID(Issues!$C342,FIND("/",Issues!$C342)+1,20),FIND("/",MID(Issues!$C342,FIND("/",Issues!$C342)+1,20))-1))),"")))</f>
        <v/>
      </c>
      <c r="D339">
        <f>IF(OR($A339="",$B339=""),"",IF(ISNUMBER(Issues!$C342),MOD(Issues!$C342,100),IFERROR(VALUE(TRIM(MID(MID(Issues!$C342,FIND("/",Issues!$C342)+1,20),FIND("/",MID(Issues!$C342,FIND("/",Issues!$C342)+1,20))+1,20))),"")))</f>
        <v/>
      </c>
      <c r="E339">
        <f>IF($A339="","",IF(OR($B339="",$C339="",$D339="",$B339&lt;1300,$B339&gt;1500,$C339&lt;1,$C339&gt;12,$D339&lt;1,$D339&gt;31),"نامعتبر",RIGHT("0000"&amp;$B339,4)&amp;"/"&amp;RIGHT("00"&amp;$C339,2)&amp;"/"&amp;RIGHT("00"&amp;$D339,2)))</f>
        <v/>
      </c>
      <c r="F339">
        <f>IF($A339="","",IF(Issues!$D342="",0,Issues!$D342))</f>
        <v/>
      </c>
      <c r="G339">
        <f>IF($A339="","",Issues!$E342)</f>
        <v/>
      </c>
      <c r="H339">
        <f>IF($A339="","",IF(COUNTIFS(ETxnType,"پاس چک",ETxnChk,$A339)&gt;0,"پاس شده","پاس نشده"))</f>
        <v/>
      </c>
      <c r="I339">
        <f>IF($A339="","",IFERROR(INDEX(BClrDate,MATCH($A339,BClrChk,0)),""))</f>
        <v/>
      </c>
      <c r="J339">
        <f>IF($A339="","",Issues!$G342)</f>
        <v/>
      </c>
      <c r="K339">
        <f>IF(OR($E339="",$E339="نامعتبر"),"",LEFT($E339,4)&amp;MID($E339,6,2)&amp;RIGHT($E339,2)&amp;"|"&amp;RIGHT("00000"&amp;334,5))</f>
        <v/>
      </c>
      <c r="M339">
        <f>IF(Sync!$M339&lt;&gt;"پاس چک","",IF(Sync!$P339="","",Sync!$P339))</f>
        <v/>
      </c>
      <c r="N339">
        <f>IF($M339="","",IF(ISNUMBER(Sync!$L339),IF(AND(Sync!$L339&gt;=10000101,Sync!$L339&lt;=99991231),RIGHT("0000"&amp;INT(Sync!$L339/10000),4)&amp;"/"&amp;RIGHT("00"&amp;INT(MOD(Sync!$L339,10000)/100),2)&amp;"/"&amp;RIGHT("00"&amp;MOD(Sync!$L339,100),2),""),IFERROR(RIGHT("0000"&amp;VALUE(TRIM(LEFT(Sync!$L339,FIND("/",Sync!$L339)-1))),4)&amp;"/"&amp;RIGHT("00"&amp;VALUE(TRIM(LEFT(MID(Sync!$L339,FIND("/",Sync!$L339)+1,20),FIND("/",MID(Sync!$L339,FIND("/",Sync!$L339)+1,20))-1))),2)&amp;"/"&amp;RIGHT("00"&amp;VALUE(TRIM(MID(MID(Sync!$L339,FIND("/",Sync!$L339)+1,20),FIND("/",MID(Sync!$L339,FIND("/",Sync!$L339)+1,20))+1,20))),2),"")))</f>
        <v/>
      </c>
    </row>
    <row r="340">
      <c r="A340">
        <f>IF(Issues!$B343="","",Issues!$B343)</f>
        <v/>
      </c>
      <c r="B340">
        <f>IF($A340="","",IF(ISNUMBER(Issues!$C343),IF(AND(Issues!$C343&gt;=10000101,Issues!$C343&lt;=99991231),INT(Issues!$C343/10000),""),IFERROR(VALUE(TRIM(LEFT(Issues!$C343,FIND("/",Issues!$C343)-1))),"")))</f>
        <v/>
      </c>
      <c r="C340">
        <f>IF(OR($A340="",$B340=""),"",IF(ISNUMBER(Issues!$C343),INT(MOD(Issues!$C343,10000)/100),IFERROR(VALUE(TRIM(LEFT(MID(Issues!$C343,FIND("/",Issues!$C343)+1,20),FIND("/",MID(Issues!$C343,FIND("/",Issues!$C343)+1,20))-1))),"")))</f>
        <v/>
      </c>
      <c r="D340">
        <f>IF(OR($A340="",$B340=""),"",IF(ISNUMBER(Issues!$C343),MOD(Issues!$C343,100),IFERROR(VALUE(TRIM(MID(MID(Issues!$C343,FIND("/",Issues!$C343)+1,20),FIND("/",MID(Issues!$C343,FIND("/",Issues!$C343)+1,20))+1,20))),"")))</f>
        <v/>
      </c>
      <c r="E340">
        <f>IF($A340="","",IF(OR($B340="",$C340="",$D340="",$B340&lt;1300,$B340&gt;1500,$C340&lt;1,$C340&gt;12,$D340&lt;1,$D340&gt;31),"نامعتبر",RIGHT("0000"&amp;$B340,4)&amp;"/"&amp;RIGHT("00"&amp;$C340,2)&amp;"/"&amp;RIGHT("00"&amp;$D340,2)))</f>
        <v/>
      </c>
      <c r="F340">
        <f>IF($A340="","",IF(Issues!$D343="",0,Issues!$D343))</f>
        <v/>
      </c>
      <c r="G340">
        <f>IF($A340="","",Issues!$E343)</f>
        <v/>
      </c>
      <c r="H340">
        <f>IF($A340="","",IF(COUNTIFS(ETxnType,"پاس چک",ETxnChk,$A340)&gt;0,"پاس شده","پاس نشده"))</f>
        <v/>
      </c>
      <c r="I340">
        <f>IF($A340="","",IFERROR(INDEX(BClrDate,MATCH($A340,BClrChk,0)),""))</f>
        <v/>
      </c>
      <c r="J340">
        <f>IF($A340="","",Issues!$G343)</f>
        <v/>
      </c>
      <c r="K340">
        <f>IF(OR($E340="",$E340="نامعتبر"),"",LEFT($E340,4)&amp;MID($E340,6,2)&amp;RIGHT($E340,2)&amp;"|"&amp;RIGHT("00000"&amp;335,5))</f>
        <v/>
      </c>
      <c r="M340">
        <f>IF(Sync!$M340&lt;&gt;"پاس چک","",IF(Sync!$P340="","",Sync!$P340))</f>
        <v/>
      </c>
      <c r="N340">
        <f>IF($M340="","",IF(ISNUMBER(Sync!$L340),IF(AND(Sync!$L340&gt;=10000101,Sync!$L340&lt;=99991231),RIGHT("0000"&amp;INT(Sync!$L340/10000),4)&amp;"/"&amp;RIGHT("00"&amp;INT(MOD(Sync!$L340,10000)/100),2)&amp;"/"&amp;RIGHT("00"&amp;MOD(Sync!$L340,100),2),""),IFERROR(RIGHT("0000"&amp;VALUE(TRIM(LEFT(Sync!$L340,FIND("/",Sync!$L340)-1))),4)&amp;"/"&amp;RIGHT("00"&amp;VALUE(TRIM(LEFT(MID(Sync!$L340,FIND("/",Sync!$L340)+1,20),FIND("/",MID(Sync!$L340,FIND("/",Sync!$L340)+1,20))-1))),2)&amp;"/"&amp;RIGHT("00"&amp;VALUE(TRIM(MID(MID(Sync!$L340,FIND("/",Sync!$L340)+1,20),FIND("/",MID(Sync!$L340,FIND("/",Sync!$L340)+1,20))+1,20))),2),"")))</f>
        <v/>
      </c>
    </row>
    <row r="341">
      <c r="A341">
        <f>IF(Issues!$B344="","",Issues!$B344)</f>
        <v/>
      </c>
      <c r="B341">
        <f>IF($A341="","",IF(ISNUMBER(Issues!$C344),IF(AND(Issues!$C344&gt;=10000101,Issues!$C344&lt;=99991231),INT(Issues!$C344/10000),""),IFERROR(VALUE(TRIM(LEFT(Issues!$C344,FIND("/",Issues!$C344)-1))),"")))</f>
        <v/>
      </c>
      <c r="C341">
        <f>IF(OR($A341="",$B341=""),"",IF(ISNUMBER(Issues!$C344),INT(MOD(Issues!$C344,10000)/100),IFERROR(VALUE(TRIM(LEFT(MID(Issues!$C344,FIND("/",Issues!$C344)+1,20),FIND("/",MID(Issues!$C344,FIND("/",Issues!$C344)+1,20))-1))),"")))</f>
        <v/>
      </c>
      <c r="D341">
        <f>IF(OR($A341="",$B341=""),"",IF(ISNUMBER(Issues!$C344),MOD(Issues!$C344,100),IFERROR(VALUE(TRIM(MID(MID(Issues!$C344,FIND("/",Issues!$C344)+1,20),FIND("/",MID(Issues!$C344,FIND("/",Issues!$C344)+1,20))+1,20))),"")))</f>
        <v/>
      </c>
      <c r="E341">
        <f>IF($A341="","",IF(OR($B341="",$C341="",$D341="",$B341&lt;1300,$B341&gt;1500,$C341&lt;1,$C341&gt;12,$D341&lt;1,$D341&gt;31),"نامعتبر",RIGHT("0000"&amp;$B341,4)&amp;"/"&amp;RIGHT("00"&amp;$C341,2)&amp;"/"&amp;RIGHT("00"&amp;$D341,2)))</f>
        <v/>
      </c>
      <c r="F341">
        <f>IF($A341="","",IF(Issues!$D344="",0,Issues!$D344))</f>
        <v/>
      </c>
      <c r="G341">
        <f>IF($A341="","",Issues!$E344)</f>
        <v/>
      </c>
      <c r="H341">
        <f>IF($A341="","",IF(COUNTIFS(ETxnType,"پاس چک",ETxnChk,$A341)&gt;0,"پاس شده","پاس نشده"))</f>
        <v/>
      </c>
      <c r="I341">
        <f>IF($A341="","",IFERROR(INDEX(BClrDate,MATCH($A341,BClrChk,0)),""))</f>
        <v/>
      </c>
      <c r="J341">
        <f>IF($A341="","",Issues!$G344)</f>
        <v/>
      </c>
      <c r="K341">
        <f>IF(OR($E341="",$E341="نامعتبر"),"",LEFT($E341,4)&amp;MID($E341,6,2)&amp;RIGHT($E341,2)&amp;"|"&amp;RIGHT("00000"&amp;336,5))</f>
        <v/>
      </c>
      <c r="M341">
        <f>IF(Sync!$M341&lt;&gt;"پاس چک","",IF(Sync!$P341="","",Sync!$P341))</f>
        <v/>
      </c>
      <c r="N341">
        <f>IF($M341="","",IF(ISNUMBER(Sync!$L341),IF(AND(Sync!$L341&gt;=10000101,Sync!$L341&lt;=99991231),RIGHT("0000"&amp;INT(Sync!$L341/10000),4)&amp;"/"&amp;RIGHT("00"&amp;INT(MOD(Sync!$L341,10000)/100),2)&amp;"/"&amp;RIGHT("00"&amp;MOD(Sync!$L341,100),2),""),IFERROR(RIGHT("0000"&amp;VALUE(TRIM(LEFT(Sync!$L341,FIND("/",Sync!$L341)-1))),4)&amp;"/"&amp;RIGHT("00"&amp;VALUE(TRIM(LEFT(MID(Sync!$L341,FIND("/",Sync!$L341)+1,20),FIND("/",MID(Sync!$L341,FIND("/",Sync!$L341)+1,20))-1))),2)&amp;"/"&amp;RIGHT("00"&amp;VALUE(TRIM(MID(MID(Sync!$L341,FIND("/",Sync!$L341)+1,20),FIND("/",MID(Sync!$L341,FIND("/",Sync!$L341)+1,20))+1,20))),2),"")))</f>
        <v/>
      </c>
    </row>
    <row r="342">
      <c r="A342">
        <f>IF(Issues!$B345="","",Issues!$B345)</f>
        <v/>
      </c>
      <c r="B342">
        <f>IF($A342="","",IF(ISNUMBER(Issues!$C345),IF(AND(Issues!$C345&gt;=10000101,Issues!$C345&lt;=99991231),INT(Issues!$C345/10000),""),IFERROR(VALUE(TRIM(LEFT(Issues!$C345,FIND("/",Issues!$C345)-1))),"")))</f>
        <v/>
      </c>
      <c r="C342">
        <f>IF(OR($A342="",$B342=""),"",IF(ISNUMBER(Issues!$C345),INT(MOD(Issues!$C345,10000)/100),IFERROR(VALUE(TRIM(LEFT(MID(Issues!$C345,FIND("/",Issues!$C345)+1,20),FIND("/",MID(Issues!$C345,FIND("/",Issues!$C345)+1,20))-1))),"")))</f>
        <v/>
      </c>
      <c r="D342">
        <f>IF(OR($A342="",$B342=""),"",IF(ISNUMBER(Issues!$C345),MOD(Issues!$C345,100),IFERROR(VALUE(TRIM(MID(MID(Issues!$C345,FIND("/",Issues!$C345)+1,20),FIND("/",MID(Issues!$C345,FIND("/",Issues!$C345)+1,20))+1,20))),"")))</f>
        <v/>
      </c>
      <c r="E342">
        <f>IF($A342="","",IF(OR($B342="",$C342="",$D342="",$B342&lt;1300,$B342&gt;1500,$C342&lt;1,$C342&gt;12,$D342&lt;1,$D342&gt;31),"نامعتبر",RIGHT("0000"&amp;$B342,4)&amp;"/"&amp;RIGHT("00"&amp;$C342,2)&amp;"/"&amp;RIGHT("00"&amp;$D342,2)))</f>
        <v/>
      </c>
      <c r="F342">
        <f>IF($A342="","",IF(Issues!$D345="",0,Issues!$D345))</f>
        <v/>
      </c>
      <c r="G342">
        <f>IF($A342="","",Issues!$E345)</f>
        <v/>
      </c>
      <c r="H342">
        <f>IF($A342="","",IF(COUNTIFS(ETxnType,"پاس چک",ETxnChk,$A342)&gt;0,"پاس شده","پاس نشده"))</f>
        <v/>
      </c>
      <c r="I342">
        <f>IF($A342="","",IFERROR(INDEX(BClrDate,MATCH($A342,BClrChk,0)),""))</f>
        <v/>
      </c>
      <c r="J342">
        <f>IF($A342="","",Issues!$G345)</f>
        <v/>
      </c>
      <c r="K342">
        <f>IF(OR($E342="",$E342="نامعتبر"),"",LEFT($E342,4)&amp;MID($E342,6,2)&amp;RIGHT($E342,2)&amp;"|"&amp;RIGHT("00000"&amp;337,5))</f>
        <v/>
      </c>
      <c r="M342">
        <f>IF(Sync!$M342&lt;&gt;"پاس چک","",IF(Sync!$P342="","",Sync!$P342))</f>
        <v/>
      </c>
      <c r="N342">
        <f>IF($M342="","",IF(ISNUMBER(Sync!$L342),IF(AND(Sync!$L342&gt;=10000101,Sync!$L342&lt;=99991231),RIGHT("0000"&amp;INT(Sync!$L342/10000),4)&amp;"/"&amp;RIGHT("00"&amp;INT(MOD(Sync!$L342,10000)/100),2)&amp;"/"&amp;RIGHT("00"&amp;MOD(Sync!$L342,100),2),""),IFERROR(RIGHT("0000"&amp;VALUE(TRIM(LEFT(Sync!$L342,FIND("/",Sync!$L342)-1))),4)&amp;"/"&amp;RIGHT("00"&amp;VALUE(TRIM(LEFT(MID(Sync!$L342,FIND("/",Sync!$L342)+1,20),FIND("/",MID(Sync!$L342,FIND("/",Sync!$L342)+1,20))-1))),2)&amp;"/"&amp;RIGHT("00"&amp;VALUE(TRIM(MID(MID(Sync!$L342,FIND("/",Sync!$L342)+1,20),FIND("/",MID(Sync!$L342,FIND("/",Sync!$L342)+1,20))+1,20))),2),"")))</f>
        <v/>
      </c>
    </row>
    <row r="343">
      <c r="A343">
        <f>IF(Issues!$B346="","",Issues!$B346)</f>
        <v/>
      </c>
      <c r="B343">
        <f>IF($A343="","",IF(ISNUMBER(Issues!$C346),IF(AND(Issues!$C346&gt;=10000101,Issues!$C346&lt;=99991231),INT(Issues!$C346/10000),""),IFERROR(VALUE(TRIM(LEFT(Issues!$C346,FIND("/",Issues!$C346)-1))),"")))</f>
        <v/>
      </c>
      <c r="C343">
        <f>IF(OR($A343="",$B343=""),"",IF(ISNUMBER(Issues!$C346),INT(MOD(Issues!$C346,10000)/100),IFERROR(VALUE(TRIM(LEFT(MID(Issues!$C346,FIND("/",Issues!$C346)+1,20),FIND("/",MID(Issues!$C346,FIND("/",Issues!$C346)+1,20))-1))),"")))</f>
        <v/>
      </c>
      <c r="D343">
        <f>IF(OR($A343="",$B343=""),"",IF(ISNUMBER(Issues!$C346),MOD(Issues!$C346,100),IFERROR(VALUE(TRIM(MID(MID(Issues!$C346,FIND("/",Issues!$C346)+1,20),FIND("/",MID(Issues!$C346,FIND("/",Issues!$C346)+1,20))+1,20))),"")))</f>
        <v/>
      </c>
      <c r="E343">
        <f>IF($A343="","",IF(OR($B343="",$C343="",$D343="",$B343&lt;1300,$B343&gt;1500,$C343&lt;1,$C343&gt;12,$D343&lt;1,$D343&gt;31),"نامعتبر",RIGHT("0000"&amp;$B343,4)&amp;"/"&amp;RIGHT("00"&amp;$C343,2)&amp;"/"&amp;RIGHT("00"&amp;$D343,2)))</f>
        <v/>
      </c>
      <c r="F343">
        <f>IF($A343="","",IF(Issues!$D346="",0,Issues!$D346))</f>
        <v/>
      </c>
      <c r="G343">
        <f>IF($A343="","",Issues!$E346)</f>
        <v/>
      </c>
      <c r="H343">
        <f>IF($A343="","",IF(COUNTIFS(ETxnType,"پاس چک",ETxnChk,$A343)&gt;0,"پاس شده","پاس نشده"))</f>
        <v/>
      </c>
      <c r="I343">
        <f>IF($A343="","",IFERROR(INDEX(BClrDate,MATCH($A343,BClrChk,0)),""))</f>
        <v/>
      </c>
      <c r="J343">
        <f>IF($A343="","",Issues!$G346)</f>
        <v/>
      </c>
      <c r="K343">
        <f>IF(OR($E343="",$E343="نامعتبر"),"",LEFT($E343,4)&amp;MID($E343,6,2)&amp;RIGHT($E343,2)&amp;"|"&amp;RIGHT("00000"&amp;338,5))</f>
        <v/>
      </c>
      <c r="M343">
        <f>IF(Sync!$M343&lt;&gt;"پاس چک","",IF(Sync!$P343="","",Sync!$P343))</f>
        <v/>
      </c>
      <c r="N343">
        <f>IF($M343="","",IF(ISNUMBER(Sync!$L343),IF(AND(Sync!$L343&gt;=10000101,Sync!$L343&lt;=99991231),RIGHT("0000"&amp;INT(Sync!$L343/10000),4)&amp;"/"&amp;RIGHT("00"&amp;INT(MOD(Sync!$L343,10000)/100),2)&amp;"/"&amp;RIGHT("00"&amp;MOD(Sync!$L343,100),2),""),IFERROR(RIGHT("0000"&amp;VALUE(TRIM(LEFT(Sync!$L343,FIND("/",Sync!$L343)-1))),4)&amp;"/"&amp;RIGHT("00"&amp;VALUE(TRIM(LEFT(MID(Sync!$L343,FIND("/",Sync!$L343)+1,20),FIND("/",MID(Sync!$L343,FIND("/",Sync!$L343)+1,20))-1))),2)&amp;"/"&amp;RIGHT("00"&amp;VALUE(TRIM(MID(MID(Sync!$L343,FIND("/",Sync!$L343)+1,20),FIND("/",MID(Sync!$L343,FIND("/",Sync!$L343)+1,20))+1,20))),2),"")))</f>
        <v/>
      </c>
    </row>
    <row r="344">
      <c r="A344">
        <f>IF(Issues!$B347="","",Issues!$B347)</f>
        <v/>
      </c>
      <c r="B344">
        <f>IF($A344="","",IF(ISNUMBER(Issues!$C347),IF(AND(Issues!$C347&gt;=10000101,Issues!$C347&lt;=99991231),INT(Issues!$C347/10000),""),IFERROR(VALUE(TRIM(LEFT(Issues!$C347,FIND("/",Issues!$C347)-1))),"")))</f>
        <v/>
      </c>
      <c r="C344">
        <f>IF(OR($A344="",$B344=""),"",IF(ISNUMBER(Issues!$C347),INT(MOD(Issues!$C347,10000)/100),IFERROR(VALUE(TRIM(LEFT(MID(Issues!$C347,FIND("/",Issues!$C347)+1,20),FIND("/",MID(Issues!$C347,FIND("/",Issues!$C347)+1,20))-1))),"")))</f>
        <v/>
      </c>
      <c r="D344">
        <f>IF(OR($A344="",$B344=""),"",IF(ISNUMBER(Issues!$C347),MOD(Issues!$C347,100),IFERROR(VALUE(TRIM(MID(MID(Issues!$C347,FIND("/",Issues!$C347)+1,20),FIND("/",MID(Issues!$C347,FIND("/",Issues!$C347)+1,20))+1,20))),"")))</f>
        <v/>
      </c>
      <c r="E344">
        <f>IF($A344="","",IF(OR($B344="",$C344="",$D344="",$B344&lt;1300,$B344&gt;1500,$C344&lt;1,$C344&gt;12,$D344&lt;1,$D344&gt;31),"نامعتبر",RIGHT("0000"&amp;$B344,4)&amp;"/"&amp;RIGHT("00"&amp;$C344,2)&amp;"/"&amp;RIGHT("00"&amp;$D344,2)))</f>
        <v/>
      </c>
      <c r="F344">
        <f>IF($A344="","",IF(Issues!$D347="",0,Issues!$D347))</f>
        <v/>
      </c>
      <c r="G344">
        <f>IF($A344="","",Issues!$E347)</f>
        <v/>
      </c>
      <c r="H344">
        <f>IF($A344="","",IF(COUNTIFS(ETxnType,"پاس چک",ETxnChk,$A344)&gt;0,"پاس شده","پاس نشده"))</f>
        <v/>
      </c>
      <c r="I344">
        <f>IF($A344="","",IFERROR(INDEX(BClrDate,MATCH($A344,BClrChk,0)),""))</f>
        <v/>
      </c>
      <c r="J344">
        <f>IF($A344="","",Issues!$G347)</f>
        <v/>
      </c>
      <c r="K344">
        <f>IF(OR($E344="",$E344="نامعتبر"),"",LEFT($E344,4)&amp;MID($E344,6,2)&amp;RIGHT($E344,2)&amp;"|"&amp;RIGHT("00000"&amp;339,5))</f>
        <v/>
      </c>
      <c r="M344">
        <f>IF(Sync!$M344&lt;&gt;"پاس چک","",IF(Sync!$P344="","",Sync!$P344))</f>
        <v/>
      </c>
      <c r="N344">
        <f>IF($M344="","",IF(ISNUMBER(Sync!$L344),IF(AND(Sync!$L344&gt;=10000101,Sync!$L344&lt;=99991231),RIGHT("0000"&amp;INT(Sync!$L344/10000),4)&amp;"/"&amp;RIGHT("00"&amp;INT(MOD(Sync!$L344,10000)/100),2)&amp;"/"&amp;RIGHT("00"&amp;MOD(Sync!$L344,100),2),""),IFERROR(RIGHT("0000"&amp;VALUE(TRIM(LEFT(Sync!$L344,FIND("/",Sync!$L344)-1))),4)&amp;"/"&amp;RIGHT("00"&amp;VALUE(TRIM(LEFT(MID(Sync!$L344,FIND("/",Sync!$L344)+1,20),FIND("/",MID(Sync!$L344,FIND("/",Sync!$L344)+1,20))-1))),2)&amp;"/"&amp;RIGHT("00"&amp;VALUE(TRIM(MID(MID(Sync!$L344,FIND("/",Sync!$L344)+1,20),FIND("/",MID(Sync!$L344,FIND("/",Sync!$L344)+1,20))+1,20))),2),"")))</f>
        <v/>
      </c>
    </row>
    <row r="345">
      <c r="A345">
        <f>IF(Issues!$B348="","",Issues!$B348)</f>
        <v/>
      </c>
      <c r="B345">
        <f>IF($A345="","",IF(ISNUMBER(Issues!$C348),IF(AND(Issues!$C348&gt;=10000101,Issues!$C348&lt;=99991231),INT(Issues!$C348/10000),""),IFERROR(VALUE(TRIM(LEFT(Issues!$C348,FIND("/",Issues!$C348)-1))),"")))</f>
        <v/>
      </c>
      <c r="C345">
        <f>IF(OR($A345="",$B345=""),"",IF(ISNUMBER(Issues!$C348),INT(MOD(Issues!$C348,10000)/100),IFERROR(VALUE(TRIM(LEFT(MID(Issues!$C348,FIND("/",Issues!$C348)+1,20),FIND("/",MID(Issues!$C348,FIND("/",Issues!$C348)+1,20))-1))),"")))</f>
        <v/>
      </c>
      <c r="D345">
        <f>IF(OR($A345="",$B345=""),"",IF(ISNUMBER(Issues!$C348),MOD(Issues!$C348,100),IFERROR(VALUE(TRIM(MID(MID(Issues!$C348,FIND("/",Issues!$C348)+1,20),FIND("/",MID(Issues!$C348,FIND("/",Issues!$C348)+1,20))+1,20))),"")))</f>
        <v/>
      </c>
      <c r="E345">
        <f>IF($A345="","",IF(OR($B345="",$C345="",$D345="",$B345&lt;1300,$B345&gt;1500,$C345&lt;1,$C345&gt;12,$D345&lt;1,$D345&gt;31),"نامعتبر",RIGHT("0000"&amp;$B345,4)&amp;"/"&amp;RIGHT("00"&amp;$C345,2)&amp;"/"&amp;RIGHT("00"&amp;$D345,2)))</f>
        <v/>
      </c>
      <c r="F345">
        <f>IF($A345="","",IF(Issues!$D348="",0,Issues!$D348))</f>
        <v/>
      </c>
      <c r="G345">
        <f>IF($A345="","",Issues!$E348)</f>
        <v/>
      </c>
      <c r="H345">
        <f>IF($A345="","",IF(COUNTIFS(ETxnType,"پاس چک",ETxnChk,$A345)&gt;0,"پاس شده","پاس نشده"))</f>
        <v/>
      </c>
      <c r="I345">
        <f>IF($A345="","",IFERROR(INDEX(BClrDate,MATCH($A345,BClrChk,0)),""))</f>
        <v/>
      </c>
      <c r="J345">
        <f>IF($A345="","",Issues!$G348)</f>
        <v/>
      </c>
      <c r="K345">
        <f>IF(OR($E345="",$E345="نامعتبر"),"",LEFT($E345,4)&amp;MID($E345,6,2)&amp;RIGHT($E345,2)&amp;"|"&amp;RIGHT("00000"&amp;340,5))</f>
        <v/>
      </c>
      <c r="M345">
        <f>IF(Sync!$M345&lt;&gt;"پاس چک","",IF(Sync!$P345="","",Sync!$P345))</f>
        <v/>
      </c>
      <c r="N345">
        <f>IF($M345="","",IF(ISNUMBER(Sync!$L345),IF(AND(Sync!$L345&gt;=10000101,Sync!$L345&lt;=99991231),RIGHT("0000"&amp;INT(Sync!$L345/10000),4)&amp;"/"&amp;RIGHT("00"&amp;INT(MOD(Sync!$L345,10000)/100),2)&amp;"/"&amp;RIGHT("00"&amp;MOD(Sync!$L345,100),2),""),IFERROR(RIGHT("0000"&amp;VALUE(TRIM(LEFT(Sync!$L345,FIND("/",Sync!$L345)-1))),4)&amp;"/"&amp;RIGHT("00"&amp;VALUE(TRIM(LEFT(MID(Sync!$L345,FIND("/",Sync!$L345)+1,20),FIND("/",MID(Sync!$L345,FIND("/",Sync!$L345)+1,20))-1))),2)&amp;"/"&amp;RIGHT("00"&amp;VALUE(TRIM(MID(MID(Sync!$L345,FIND("/",Sync!$L345)+1,20),FIND("/",MID(Sync!$L345,FIND("/",Sync!$L345)+1,20))+1,20))),2),"")))</f>
        <v/>
      </c>
    </row>
    <row r="346">
      <c r="A346">
        <f>IF(Issues!$B349="","",Issues!$B349)</f>
        <v/>
      </c>
      <c r="B346">
        <f>IF($A346="","",IF(ISNUMBER(Issues!$C349),IF(AND(Issues!$C349&gt;=10000101,Issues!$C349&lt;=99991231),INT(Issues!$C349/10000),""),IFERROR(VALUE(TRIM(LEFT(Issues!$C349,FIND("/",Issues!$C349)-1))),"")))</f>
        <v/>
      </c>
      <c r="C346">
        <f>IF(OR($A346="",$B346=""),"",IF(ISNUMBER(Issues!$C349),INT(MOD(Issues!$C349,10000)/100),IFERROR(VALUE(TRIM(LEFT(MID(Issues!$C349,FIND("/",Issues!$C349)+1,20),FIND("/",MID(Issues!$C349,FIND("/",Issues!$C349)+1,20))-1))),"")))</f>
        <v/>
      </c>
      <c r="D346">
        <f>IF(OR($A346="",$B346=""),"",IF(ISNUMBER(Issues!$C349),MOD(Issues!$C349,100),IFERROR(VALUE(TRIM(MID(MID(Issues!$C349,FIND("/",Issues!$C349)+1,20),FIND("/",MID(Issues!$C349,FIND("/",Issues!$C349)+1,20))+1,20))),"")))</f>
        <v/>
      </c>
      <c r="E346">
        <f>IF($A346="","",IF(OR($B346="",$C346="",$D346="",$B346&lt;1300,$B346&gt;1500,$C346&lt;1,$C346&gt;12,$D346&lt;1,$D346&gt;31),"نامعتبر",RIGHT("0000"&amp;$B346,4)&amp;"/"&amp;RIGHT("00"&amp;$C346,2)&amp;"/"&amp;RIGHT("00"&amp;$D346,2)))</f>
        <v/>
      </c>
      <c r="F346">
        <f>IF($A346="","",IF(Issues!$D349="",0,Issues!$D349))</f>
        <v/>
      </c>
      <c r="G346">
        <f>IF($A346="","",Issues!$E349)</f>
        <v/>
      </c>
      <c r="H346">
        <f>IF($A346="","",IF(COUNTIFS(ETxnType,"پاس چک",ETxnChk,$A346)&gt;0,"پاس شده","پاس نشده"))</f>
        <v/>
      </c>
      <c r="I346">
        <f>IF($A346="","",IFERROR(INDEX(BClrDate,MATCH($A346,BClrChk,0)),""))</f>
        <v/>
      </c>
      <c r="J346">
        <f>IF($A346="","",Issues!$G349)</f>
        <v/>
      </c>
      <c r="K346">
        <f>IF(OR($E346="",$E346="نامعتبر"),"",LEFT($E346,4)&amp;MID($E346,6,2)&amp;RIGHT($E346,2)&amp;"|"&amp;RIGHT("00000"&amp;341,5))</f>
        <v/>
      </c>
      <c r="M346">
        <f>IF(Sync!$M346&lt;&gt;"پاس چک","",IF(Sync!$P346="","",Sync!$P346))</f>
        <v/>
      </c>
      <c r="N346">
        <f>IF($M346="","",IF(ISNUMBER(Sync!$L346),IF(AND(Sync!$L346&gt;=10000101,Sync!$L346&lt;=99991231),RIGHT("0000"&amp;INT(Sync!$L346/10000),4)&amp;"/"&amp;RIGHT("00"&amp;INT(MOD(Sync!$L346,10000)/100),2)&amp;"/"&amp;RIGHT("00"&amp;MOD(Sync!$L346,100),2),""),IFERROR(RIGHT("0000"&amp;VALUE(TRIM(LEFT(Sync!$L346,FIND("/",Sync!$L346)-1))),4)&amp;"/"&amp;RIGHT("00"&amp;VALUE(TRIM(LEFT(MID(Sync!$L346,FIND("/",Sync!$L346)+1,20),FIND("/",MID(Sync!$L346,FIND("/",Sync!$L346)+1,20))-1))),2)&amp;"/"&amp;RIGHT("00"&amp;VALUE(TRIM(MID(MID(Sync!$L346,FIND("/",Sync!$L346)+1,20),FIND("/",MID(Sync!$L346,FIND("/",Sync!$L346)+1,20))+1,20))),2),"")))</f>
        <v/>
      </c>
    </row>
    <row r="347">
      <c r="A347">
        <f>IF(Issues!$B350="","",Issues!$B350)</f>
        <v/>
      </c>
      <c r="B347">
        <f>IF($A347="","",IF(ISNUMBER(Issues!$C350),IF(AND(Issues!$C350&gt;=10000101,Issues!$C350&lt;=99991231),INT(Issues!$C350/10000),""),IFERROR(VALUE(TRIM(LEFT(Issues!$C350,FIND("/",Issues!$C350)-1))),"")))</f>
        <v/>
      </c>
      <c r="C347">
        <f>IF(OR($A347="",$B347=""),"",IF(ISNUMBER(Issues!$C350),INT(MOD(Issues!$C350,10000)/100),IFERROR(VALUE(TRIM(LEFT(MID(Issues!$C350,FIND("/",Issues!$C350)+1,20),FIND("/",MID(Issues!$C350,FIND("/",Issues!$C350)+1,20))-1))),"")))</f>
        <v/>
      </c>
      <c r="D347">
        <f>IF(OR($A347="",$B347=""),"",IF(ISNUMBER(Issues!$C350),MOD(Issues!$C350,100),IFERROR(VALUE(TRIM(MID(MID(Issues!$C350,FIND("/",Issues!$C350)+1,20),FIND("/",MID(Issues!$C350,FIND("/",Issues!$C350)+1,20))+1,20))),"")))</f>
        <v/>
      </c>
      <c r="E347">
        <f>IF($A347="","",IF(OR($B347="",$C347="",$D347="",$B347&lt;1300,$B347&gt;1500,$C347&lt;1,$C347&gt;12,$D347&lt;1,$D347&gt;31),"نامعتبر",RIGHT("0000"&amp;$B347,4)&amp;"/"&amp;RIGHT("00"&amp;$C347,2)&amp;"/"&amp;RIGHT("00"&amp;$D347,2)))</f>
        <v/>
      </c>
      <c r="F347">
        <f>IF($A347="","",IF(Issues!$D350="",0,Issues!$D350))</f>
        <v/>
      </c>
      <c r="G347">
        <f>IF($A347="","",Issues!$E350)</f>
        <v/>
      </c>
      <c r="H347">
        <f>IF($A347="","",IF(COUNTIFS(ETxnType,"پاس چک",ETxnChk,$A347)&gt;0,"پاس شده","پاس نشده"))</f>
        <v/>
      </c>
      <c r="I347">
        <f>IF($A347="","",IFERROR(INDEX(BClrDate,MATCH($A347,BClrChk,0)),""))</f>
        <v/>
      </c>
      <c r="J347">
        <f>IF($A347="","",Issues!$G350)</f>
        <v/>
      </c>
      <c r="K347">
        <f>IF(OR($E347="",$E347="نامعتبر"),"",LEFT($E347,4)&amp;MID($E347,6,2)&amp;RIGHT($E347,2)&amp;"|"&amp;RIGHT("00000"&amp;342,5))</f>
        <v/>
      </c>
      <c r="M347">
        <f>IF(Sync!$M347&lt;&gt;"پاس چک","",IF(Sync!$P347="","",Sync!$P347))</f>
        <v/>
      </c>
      <c r="N347">
        <f>IF($M347="","",IF(ISNUMBER(Sync!$L347),IF(AND(Sync!$L347&gt;=10000101,Sync!$L347&lt;=99991231),RIGHT("0000"&amp;INT(Sync!$L347/10000),4)&amp;"/"&amp;RIGHT("00"&amp;INT(MOD(Sync!$L347,10000)/100),2)&amp;"/"&amp;RIGHT("00"&amp;MOD(Sync!$L347,100),2),""),IFERROR(RIGHT("0000"&amp;VALUE(TRIM(LEFT(Sync!$L347,FIND("/",Sync!$L347)-1))),4)&amp;"/"&amp;RIGHT("00"&amp;VALUE(TRIM(LEFT(MID(Sync!$L347,FIND("/",Sync!$L347)+1,20),FIND("/",MID(Sync!$L347,FIND("/",Sync!$L347)+1,20))-1))),2)&amp;"/"&amp;RIGHT("00"&amp;VALUE(TRIM(MID(MID(Sync!$L347,FIND("/",Sync!$L347)+1,20),FIND("/",MID(Sync!$L347,FIND("/",Sync!$L347)+1,20))+1,20))),2),"")))</f>
        <v/>
      </c>
    </row>
    <row r="348">
      <c r="A348">
        <f>IF(Issues!$B351="","",Issues!$B351)</f>
        <v/>
      </c>
      <c r="B348">
        <f>IF($A348="","",IF(ISNUMBER(Issues!$C351),IF(AND(Issues!$C351&gt;=10000101,Issues!$C351&lt;=99991231),INT(Issues!$C351/10000),""),IFERROR(VALUE(TRIM(LEFT(Issues!$C351,FIND("/",Issues!$C351)-1))),"")))</f>
        <v/>
      </c>
      <c r="C348">
        <f>IF(OR($A348="",$B348=""),"",IF(ISNUMBER(Issues!$C351),INT(MOD(Issues!$C351,10000)/100),IFERROR(VALUE(TRIM(LEFT(MID(Issues!$C351,FIND("/",Issues!$C351)+1,20),FIND("/",MID(Issues!$C351,FIND("/",Issues!$C351)+1,20))-1))),"")))</f>
        <v/>
      </c>
      <c r="D348">
        <f>IF(OR($A348="",$B348=""),"",IF(ISNUMBER(Issues!$C351),MOD(Issues!$C351,100),IFERROR(VALUE(TRIM(MID(MID(Issues!$C351,FIND("/",Issues!$C351)+1,20),FIND("/",MID(Issues!$C351,FIND("/",Issues!$C351)+1,20))+1,20))),"")))</f>
        <v/>
      </c>
      <c r="E348">
        <f>IF($A348="","",IF(OR($B348="",$C348="",$D348="",$B348&lt;1300,$B348&gt;1500,$C348&lt;1,$C348&gt;12,$D348&lt;1,$D348&gt;31),"نامعتبر",RIGHT("0000"&amp;$B348,4)&amp;"/"&amp;RIGHT("00"&amp;$C348,2)&amp;"/"&amp;RIGHT("00"&amp;$D348,2)))</f>
        <v/>
      </c>
      <c r="F348">
        <f>IF($A348="","",IF(Issues!$D351="",0,Issues!$D351))</f>
        <v/>
      </c>
      <c r="G348">
        <f>IF($A348="","",Issues!$E351)</f>
        <v/>
      </c>
      <c r="H348">
        <f>IF($A348="","",IF(COUNTIFS(ETxnType,"پاس چک",ETxnChk,$A348)&gt;0,"پاس شده","پاس نشده"))</f>
        <v/>
      </c>
      <c r="I348">
        <f>IF($A348="","",IFERROR(INDEX(BClrDate,MATCH($A348,BClrChk,0)),""))</f>
        <v/>
      </c>
      <c r="J348">
        <f>IF($A348="","",Issues!$G351)</f>
        <v/>
      </c>
      <c r="K348">
        <f>IF(OR($E348="",$E348="نامعتبر"),"",LEFT($E348,4)&amp;MID($E348,6,2)&amp;RIGHT($E348,2)&amp;"|"&amp;RIGHT("00000"&amp;343,5))</f>
        <v/>
      </c>
      <c r="M348">
        <f>IF(Sync!$M348&lt;&gt;"پاس چک","",IF(Sync!$P348="","",Sync!$P348))</f>
        <v/>
      </c>
      <c r="N348">
        <f>IF($M348="","",IF(ISNUMBER(Sync!$L348),IF(AND(Sync!$L348&gt;=10000101,Sync!$L348&lt;=99991231),RIGHT("0000"&amp;INT(Sync!$L348/10000),4)&amp;"/"&amp;RIGHT("00"&amp;INT(MOD(Sync!$L348,10000)/100),2)&amp;"/"&amp;RIGHT("00"&amp;MOD(Sync!$L348,100),2),""),IFERROR(RIGHT("0000"&amp;VALUE(TRIM(LEFT(Sync!$L348,FIND("/",Sync!$L348)-1))),4)&amp;"/"&amp;RIGHT("00"&amp;VALUE(TRIM(LEFT(MID(Sync!$L348,FIND("/",Sync!$L348)+1,20),FIND("/",MID(Sync!$L348,FIND("/",Sync!$L348)+1,20))-1))),2)&amp;"/"&amp;RIGHT("00"&amp;VALUE(TRIM(MID(MID(Sync!$L348,FIND("/",Sync!$L348)+1,20),FIND("/",MID(Sync!$L348,FIND("/",Sync!$L348)+1,20))+1,20))),2),"")))</f>
        <v/>
      </c>
    </row>
    <row r="349">
      <c r="A349">
        <f>IF(Issues!$B352="","",Issues!$B352)</f>
        <v/>
      </c>
      <c r="B349">
        <f>IF($A349="","",IF(ISNUMBER(Issues!$C352),IF(AND(Issues!$C352&gt;=10000101,Issues!$C352&lt;=99991231),INT(Issues!$C352/10000),""),IFERROR(VALUE(TRIM(LEFT(Issues!$C352,FIND("/",Issues!$C352)-1))),"")))</f>
        <v/>
      </c>
      <c r="C349">
        <f>IF(OR($A349="",$B349=""),"",IF(ISNUMBER(Issues!$C352),INT(MOD(Issues!$C352,10000)/100),IFERROR(VALUE(TRIM(LEFT(MID(Issues!$C352,FIND("/",Issues!$C352)+1,20),FIND("/",MID(Issues!$C352,FIND("/",Issues!$C352)+1,20))-1))),"")))</f>
        <v/>
      </c>
      <c r="D349">
        <f>IF(OR($A349="",$B349=""),"",IF(ISNUMBER(Issues!$C352),MOD(Issues!$C352,100),IFERROR(VALUE(TRIM(MID(MID(Issues!$C352,FIND("/",Issues!$C352)+1,20),FIND("/",MID(Issues!$C352,FIND("/",Issues!$C352)+1,20))+1,20))),"")))</f>
        <v/>
      </c>
      <c r="E349">
        <f>IF($A349="","",IF(OR($B349="",$C349="",$D349="",$B349&lt;1300,$B349&gt;1500,$C349&lt;1,$C349&gt;12,$D349&lt;1,$D349&gt;31),"نامعتبر",RIGHT("0000"&amp;$B349,4)&amp;"/"&amp;RIGHT("00"&amp;$C349,2)&amp;"/"&amp;RIGHT("00"&amp;$D349,2)))</f>
        <v/>
      </c>
      <c r="F349">
        <f>IF($A349="","",IF(Issues!$D352="",0,Issues!$D352))</f>
        <v/>
      </c>
      <c r="G349">
        <f>IF($A349="","",Issues!$E352)</f>
        <v/>
      </c>
      <c r="H349">
        <f>IF($A349="","",IF(COUNTIFS(ETxnType,"پاس چک",ETxnChk,$A349)&gt;0,"پاس شده","پاس نشده"))</f>
        <v/>
      </c>
      <c r="I349">
        <f>IF($A349="","",IFERROR(INDEX(BClrDate,MATCH($A349,BClrChk,0)),""))</f>
        <v/>
      </c>
      <c r="J349">
        <f>IF($A349="","",Issues!$G352)</f>
        <v/>
      </c>
      <c r="K349">
        <f>IF(OR($E349="",$E349="نامعتبر"),"",LEFT($E349,4)&amp;MID($E349,6,2)&amp;RIGHT($E349,2)&amp;"|"&amp;RIGHT("00000"&amp;344,5))</f>
        <v/>
      </c>
      <c r="M349">
        <f>IF(Sync!$M349&lt;&gt;"پاس چک","",IF(Sync!$P349="","",Sync!$P349))</f>
        <v/>
      </c>
      <c r="N349">
        <f>IF($M349="","",IF(ISNUMBER(Sync!$L349),IF(AND(Sync!$L349&gt;=10000101,Sync!$L349&lt;=99991231),RIGHT("0000"&amp;INT(Sync!$L349/10000),4)&amp;"/"&amp;RIGHT("00"&amp;INT(MOD(Sync!$L349,10000)/100),2)&amp;"/"&amp;RIGHT("00"&amp;MOD(Sync!$L349,100),2),""),IFERROR(RIGHT("0000"&amp;VALUE(TRIM(LEFT(Sync!$L349,FIND("/",Sync!$L349)-1))),4)&amp;"/"&amp;RIGHT("00"&amp;VALUE(TRIM(LEFT(MID(Sync!$L349,FIND("/",Sync!$L349)+1,20),FIND("/",MID(Sync!$L349,FIND("/",Sync!$L349)+1,20))-1))),2)&amp;"/"&amp;RIGHT("00"&amp;VALUE(TRIM(MID(MID(Sync!$L349,FIND("/",Sync!$L349)+1,20),FIND("/",MID(Sync!$L349,FIND("/",Sync!$L349)+1,20))+1,20))),2),"")))</f>
        <v/>
      </c>
    </row>
    <row r="350">
      <c r="A350">
        <f>IF(Issues!$B353="","",Issues!$B353)</f>
        <v/>
      </c>
      <c r="B350">
        <f>IF($A350="","",IF(ISNUMBER(Issues!$C353),IF(AND(Issues!$C353&gt;=10000101,Issues!$C353&lt;=99991231),INT(Issues!$C353/10000),""),IFERROR(VALUE(TRIM(LEFT(Issues!$C353,FIND("/",Issues!$C353)-1))),"")))</f>
        <v/>
      </c>
      <c r="C350">
        <f>IF(OR($A350="",$B350=""),"",IF(ISNUMBER(Issues!$C353),INT(MOD(Issues!$C353,10000)/100),IFERROR(VALUE(TRIM(LEFT(MID(Issues!$C353,FIND("/",Issues!$C353)+1,20),FIND("/",MID(Issues!$C353,FIND("/",Issues!$C353)+1,20))-1))),"")))</f>
        <v/>
      </c>
      <c r="D350">
        <f>IF(OR($A350="",$B350=""),"",IF(ISNUMBER(Issues!$C353),MOD(Issues!$C353,100),IFERROR(VALUE(TRIM(MID(MID(Issues!$C353,FIND("/",Issues!$C353)+1,20),FIND("/",MID(Issues!$C353,FIND("/",Issues!$C353)+1,20))+1,20))),"")))</f>
        <v/>
      </c>
      <c r="E350">
        <f>IF($A350="","",IF(OR($B350="",$C350="",$D350="",$B350&lt;1300,$B350&gt;1500,$C350&lt;1,$C350&gt;12,$D350&lt;1,$D350&gt;31),"نامعتبر",RIGHT("0000"&amp;$B350,4)&amp;"/"&amp;RIGHT("00"&amp;$C350,2)&amp;"/"&amp;RIGHT("00"&amp;$D350,2)))</f>
        <v/>
      </c>
      <c r="F350">
        <f>IF($A350="","",IF(Issues!$D353="",0,Issues!$D353))</f>
        <v/>
      </c>
      <c r="G350">
        <f>IF($A350="","",Issues!$E353)</f>
        <v/>
      </c>
      <c r="H350">
        <f>IF($A350="","",IF(COUNTIFS(ETxnType,"پاس چک",ETxnChk,$A350)&gt;0,"پاس شده","پاس نشده"))</f>
        <v/>
      </c>
      <c r="I350">
        <f>IF($A350="","",IFERROR(INDEX(BClrDate,MATCH($A350,BClrChk,0)),""))</f>
        <v/>
      </c>
      <c r="J350">
        <f>IF($A350="","",Issues!$G353)</f>
        <v/>
      </c>
      <c r="K350">
        <f>IF(OR($E350="",$E350="نامعتبر"),"",LEFT($E350,4)&amp;MID($E350,6,2)&amp;RIGHT($E350,2)&amp;"|"&amp;RIGHT("00000"&amp;345,5))</f>
        <v/>
      </c>
      <c r="M350">
        <f>IF(Sync!$M350&lt;&gt;"پاس چک","",IF(Sync!$P350="","",Sync!$P350))</f>
        <v/>
      </c>
      <c r="N350">
        <f>IF($M350="","",IF(ISNUMBER(Sync!$L350),IF(AND(Sync!$L350&gt;=10000101,Sync!$L350&lt;=99991231),RIGHT("0000"&amp;INT(Sync!$L350/10000),4)&amp;"/"&amp;RIGHT("00"&amp;INT(MOD(Sync!$L350,10000)/100),2)&amp;"/"&amp;RIGHT("00"&amp;MOD(Sync!$L350,100),2),""),IFERROR(RIGHT("0000"&amp;VALUE(TRIM(LEFT(Sync!$L350,FIND("/",Sync!$L350)-1))),4)&amp;"/"&amp;RIGHT("00"&amp;VALUE(TRIM(LEFT(MID(Sync!$L350,FIND("/",Sync!$L350)+1,20),FIND("/",MID(Sync!$L350,FIND("/",Sync!$L350)+1,20))-1))),2)&amp;"/"&amp;RIGHT("00"&amp;VALUE(TRIM(MID(MID(Sync!$L350,FIND("/",Sync!$L350)+1,20),FIND("/",MID(Sync!$L350,FIND("/",Sync!$L350)+1,20))+1,20))),2),"")))</f>
        <v/>
      </c>
    </row>
    <row r="351">
      <c r="A351">
        <f>IF(Issues!$B354="","",Issues!$B354)</f>
        <v/>
      </c>
      <c r="B351">
        <f>IF($A351="","",IF(ISNUMBER(Issues!$C354),IF(AND(Issues!$C354&gt;=10000101,Issues!$C354&lt;=99991231),INT(Issues!$C354/10000),""),IFERROR(VALUE(TRIM(LEFT(Issues!$C354,FIND("/",Issues!$C354)-1))),"")))</f>
        <v/>
      </c>
      <c r="C351">
        <f>IF(OR($A351="",$B351=""),"",IF(ISNUMBER(Issues!$C354),INT(MOD(Issues!$C354,10000)/100),IFERROR(VALUE(TRIM(LEFT(MID(Issues!$C354,FIND("/",Issues!$C354)+1,20),FIND("/",MID(Issues!$C354,FIND("/",Issues!$C354)+1,20))-1))),"")))</f>
        <v/>
      </c>
      <c r="D351">
        <f>IF(OR($A351="",$B351=""),"",IF(ISNUMBER(Issues!$C354),MOD(Issues!$C354,100),IFERROR(VALUE(TRIM(MID(MID(Issues!$C354,FIND("/",Issues!$C354)+1,20),FIND("/",MID(Issues!$C354,FIND("/",Issues!$C354)+1,20))+1,20))),"")))</f>
        <v/>
      </c>
      <c r="E351">
        <f>IF($A351="","",IF(OR($B351="",$C351="",$D351="",$B351&lt;1300,$B351&gt;1500,$C351&lt;1,$C351&gt;12,$D351&lt;1,$D351&gt;31),"نامعتبر",RIGHT("0000"&amp;$B351,4)&amp;"/"&amp;RIGHT("00"&amp;$C351,2)&amp;"/"&amp;RIGHT("00"&amp;$D351,2)))</f>
        <v/>
      </c>
      <c r="F351">
        <f>IF($A351="","",IF(Issues!$D354="",0,Issues!$D354))</f>
        <v/>
      </c>
      <c r="G351">
        <f>IF($A351="","",Issues!$E354)</f>
        <v/>
      </c>
      <c r="H351">
        <f>IF($A351="","",IF(COUNTIFS(ETxnType,"پاس چک",ETxnChk,$A351)&gt;0,"پاس شده","پاس نشده"))</f>
        <v/>
      </c>
      <c r="I351">
        <f>IF($A351="","",IFERROR(INDEX(BClrDate,MATCH($A351,BClrChk,0)),""))</f>
        <v/>
      </c>
      <c r="J351">
        <f>IF($A351="","",Issues!$G354)</f>
        <v/>
      </c>
      <c r="K351">
        <f>IF(OR($E351="",$E351="نامعتبر"),"",LEFT($E351,4)&amp;MID($E351,6,2)&amp;RIGHT($E351,2)&amp;"|"&amp;RIGHT("00000"&amp;346,5))</f>
        <v/>
      </c>
      <c r="M351">
        <f>IF(Sync!$M351&lt;&gt;"پاس چک","",IF(Sync!$P351="","",Sync!$P351))</f>
        <v/>
      </c>
      <c r="N351">
        <f>IF($M351="","",IF(ISNUMBER(Sync!$L351),IF(AND(Sync!$L351&gt;=10000101,Sync!$L351&lt;=99991231),RIGHT("0000"&amp;INT(Sync!$L351/10000),4)&amp;"/"&amp;RIGHT("00"&amp;INT(MOD(Sync!$L351,10000)/100),2)&amp;"/"&amp;RIGHT("00"&amp;MOD(Sync!$L351,100),2),""),IFERROR(RIGHT("0000"&amp;VALUE(TRIM(LEFT(Sync!$L351,FIND("/",Sync!$L351)-1))),4)&amp;"/"&amp;RIGHT("00"&amp;VALUE(TRIM(LEFT(MID(Sync!$L351,FIND("/",Sync!$L351)+1,20),FIND("/",MID(Sync!$L351,FIND("/",Sync!$L351)+1,20))-1))),2)&amp;"/"&amp;RIGHT("00"&amp;VALUE(TRIM(MID(MID(Sync!$L351,FIND("/",Sync!$L351)+1,20),FIND("/",MID(Sync!$L351,FIND("/",Sync!$L351)+1,20))+1,20))),2),"")))</f>
        <v/>
      </c>
    </row>
    <row r="352">
      <c r="A352">
        <f>IF(Issues!$B355="","",Issues!$B355)</f>
        <v/>
      </c>
      <c r="B352">
        <f>IF($A352="","",IF(ISNUMBER(Issues!$C355),IF(AND(Issues!$C355&gt;=10000101,Issues!$C355&lt;=99991231),INT(Issues!$C355/10000),""),IFERROR(VALUE(TRIM(LEFT(Issues!$C355,FIND("/",Issues!$C355)-1))),"")))</f>
        <v/>
      </c>
      <c r="C352">
        <f>IF(OR($A352="",$B352=""),"",IF(ISNUMBER(Issues!$C355),INT(MOD(Issues!$C355,10000)/100),IFERROR(VALUE(TRIM(LEFT(MID(Issues!$C355,FIND("/",Issues!$C355)+1,20),FIND("/",MID(Issues!$C355,FIND("/",Issues!$C355)+1,20))-1))),"")))</f>
        <v/>
      </c>
      <c r="D352">
        <f>IF(OR($A352="",$B352=""),"",IF(ISNUMBER(Issues!$C355),MOD(Issues!$C355,100),IFERROR(VALUE(TRIM(MID(MID(Issues!$C355,FIND("/",Issues!$C355)+1,20),FIND("/",MID(Issues!$C355,FIND("/",Issues!$C355)+1,20))+1,20))),"")))</f>
        <v/>
      </c>
      <c r="E352">
        <f>IF($A352="","",IF(OR($B352="",$C352="",$D352="",$B352&lt;1300,$B352&gt;1500,$C352&lt;1,$C352&gt;12,$D352&lt;1,$D352&gt;31),"نامعتبر",RIGHT("0000"&amp;$B352,4)&amp;"/"&amp;RIGHT("00"&amp;$C352,2)&amp;"/"&amp;RIGHT("00"&amp;$D352,2)))</f>
        <v/>
      </c>
      <c r="F352">
        <f>IF($A352="","",IF(Issues!$D355="",0,Issues!$D355))</f>
        <v/>
      </c>
      <c r="G352">
        <f>IF($A352="","",Issues!$E355)</f>
        <v/>
      </c>
      <c r="H352">
        <f>IF($A352="","",IF(COUNTIFS(ETxnType,"پاس چک",ETxnChk,$A352)&gt;0,"پاس شده","پاس نشده"))</f>
        <v/>
      </c>
      <c r="I352">
        <f>IF($A352="","",IFERROR(INDEX(BClrDate,MATCH($A352,BClrChk,0)),""))</f>
        <v/>
      </c>
      <c r="J352">
        <f>IF($A352="","",Issues!$G355)</f>
        <v/>
      </c>
      <c r="K352">
        <f>IF(OR($E352="",$E352="نامعتبر"),"",LEFT($E352,4)&amp;MID($E352,6,2)&amp;RIGHT($E352,2)&amp;"|"&amp;RIGHT("00000"&amp;347,5))</f>
        <v/>
      </c>
      <c r="M352">
        <f>IF(Sync!$M352&lt;&gt;"پاس چک","",IF(Sync!$P352="","",Sync!$P352))</f>
        <v/>
      </c>
      <c r="N352">
        <f>IF($M352="","",IF(ISNUMBER(Sync!$L352),IF(AND(Sync!$L352&gt;=10000101,Sync!$L352&lt;=99991231),RIGHT("0000"&amp;INT(Sync!$L352/10000),4)&amp;"/"&amp;RIGHT("00"&amp;INT(MOD(Sync!$L352,10000)/100),2)&amp;"/"&amp;RIGHT("00"&amp;MOD(Sync!$L352,100),2),""),IFERROR(RIGHT("0000"&amp;VALUE(TRIM(LEFT(Sync!$L352,FIND("/",Sync!$L352)-1))),4)&amp;"/"&amp;RIGHT("00"&amp;VALUE(TRIM(LEFT(MID(Sync!$L352,FIND("/",Sync!$L352)+1,20),FIND("/",MID(Sync!$L352,FIND("/",Sync!$L352)+1,20))-1))),2)&amp;"/"&amp;RIGHT("00"&amp;VALUE(TRIM(MID(MID(Sync!$L352,FIND("/",Sync!$L352)+1,20),FIND("/",MID(Sync!$L352,FIND("/",Sync!$L352)+1,20))+1,20))),2),"")))</f>
        <v/>
      </c>
    </row>
    <row r="353">
      <c r="A353">
        <f>IF(Issues!$B356="","",Issues!$B356)</f>
        <v/>
      </c>
      <c r="B353">
        <f>IF($A353="","",IF(ISNUMBER(Issues!$C356),IF(AND(Issues!$C356&gt;=10000101,Issues!$C356&lt;=99991231),INT(Issues!$C356/10000),""),IFERROR(VALUE(TRIM(LEFT(Issues!$C356,FIND("/",Issues!$C356)-1))),"")))</f>
        <v/>
      </c>
      <c r="C353">
        <f>IF(OR($A353="",$B353=""),"",IF(ISNUMBER(Issues!$C356),INT(MOD(Issues!$C356,10000)/100),IFERROR(VALUE(TRIM(LEFT(MID(Issues!$C356,FIND("/",Issues!$C356)+1,20),FIND("/",MID(Issues!$C356,FIND("/",Issues!$C356)+1,20))-1))),"")))</f>
        <v/>
      </c>
      <c r="D353">
        <f>IF(OR($A353="",$B353=""),"",IF(ISNUMBER(Issues!$C356),MOD(Issues!$C356,100),IFERROR(VALUE(TRIM(MID(MID(Issues!$C356,FIND("/",Issues!$C356)+1,20),FIND("/",MID(Issues!$C356,FIND("/",Issues!$C356)+1,20))+1,20))),"")))</f>
        <v/>
      </c>
      <c r="E353">
        <f>IF($A353="","",IF(OR($B353="",$C353="",$D353="",$B353&lt;1300,$B353&gt;1500,$C353&lt;1,$C353&gt;12,$D353&lt;1,$D353&gt;31),"نامعتبر",RIGHT("0000"&amp;$B353,4)&amp;"/"&amp;RIGHT("00"&amp;$C353,2)&amp;"/"&amp;RIGHT("00"&amp;$D353,2)))</f>
        <v/>
      </c>
      <c r="F353">
        <f>IF($A353="","",IF(Issues!$D356="",0,Issues!$D356))</f>
        <v/>
      </c>
      <c r="G353">
        <f>IF($A353="","",Issues!$E356)</f>
        <v/>
      </c>
      <c r="H353">
        <f>IF($A353="","",IF(COUNTIFS(ETxnType,"پاس چک",ETxnChk,$A353)&gt;0,"پاس شده","پاس نشده"))</f>
        <v/>
      </c>
      <c r="I353">
        <f>IF($A353="","",IFERROR(INDEX(BClrDate,MATCH($A353,BClrChk,0)),""))</f>
        <v/>
      </c>
      <c r="J353">
        <f>IF($A353="","",Issues!$G356)</f>
        <v/>
      </c>
      <c r="K353">
        <f>IF(OR($E353="",$E353="نامعتبر"),"",LEFT($E353,4)&amp;MID($E353,6,2)&amp;RIGHT($E353,2)&amp;"|"&amp;RIGHT("00000"&amp;348,5))</f>
        <v/>
      </c>
      <c r="M353">
        <f>IF(Sync!$M353&lt;&gt;"پاس چک","",IF(Sync!$P353="","",Sync!$P353))</f>
        <v/>
      </c>
      <c r="N353">
        <f>IF($M353="","",IF(ISNUMBER(Sync!$L353),IF(AND(Sync!$L353&gt;=10000101,Sync!$L353&lt;=99991231),RIGHT("0000"&amp;INT(Sync!$L353/10000),4)&amp;"/"&amp;RIGHT("00"&amp;INT(MOD(Sync!$L353,10000)/100),2)&amp;"/"&amp;RIGHT("00"&amp;MOD(Sync!$L353,100),2),""),IFERROR(RIGHT("0000"&amp;VALUE(TRIM(LEFT(Sync!$L353,FIND("/",Sync!$L353)-1))),4)&amp;"/"&amp;RIGHT("00"&amp;VALUE(TRIM(LEFT(MID(Sync!$L353,FIND("/",Sync!$L353)+1,20),FIND("/",MID(Sync!$L353,FIND("/",Sync!$L353)+1,20))-1))),2)&amp;"/"&amp;RIGHT("00"&amp;VALUE(TRIM(MID(MID(Sync!$L353,FIND("/",Sync!$L353)+1,20),FIND("/",MID(Sync!$L353,FIND("/",Sync!$L353)+1,20))+1,20))),2),"")))</f>
        <v/>
      </c>
    </row>
    <row r="354">
      <c r="A354">
        <f>IF(Issues!$B357="","",Issues!$B357)</f>
        <v/>
      </c>
      <c r="B354">
        <f>IF($A354="","",IF(ISNUMBER(Issues!$C357),IF(AND(Issues!$C357&gt;=10000101,Issues!$C357&lt;=99991231),INT(Issues!$C357/10000),""),IFERROR(VALUE(TRIM(LEFT(Issues!$C357,FIND("/",Issues!$C357)-1))),"")))</f>
        <v/>
      </c>
      <c r="C354">
        <f>IF(OR($A354="",$B354=""),"",IF(ISNUMBER(Issues!$C357),INT(MOD(Issues!$C357,10000)/100),IFERROR(VALUE(TRIM(LEFT(MID(Issues!$C357,FIND("/",Issues!$C357)+1,20),FIND("/",MID(Issues!$C357,FIND("/",Issues!$C357)+1,20))-1))),"")))</f>
        <v/>
      </c>
      <c r="D354">
        <f>IF(OR($A354="",$B354=""),"",IF(ISNUMBER(Issues!$C357),MOD(Issues!$C357,100),IFERROR(VALUE(TRIM(MID(MID(Issues!$C357,FIND("/",Issues!$C357)+1,20),FIND("/",MID(Issues!$C357,FIND("/",Issues!$C357)+1,20))+1,20))),"")))</f>
        <v/>
      </c>
      <c r="E354">
        <f>IF($A354="","",IF(OR($B354="",$C354="",$D354="",$B354&lt;1300,$B354&gt;1500,$C354&lt;1,$C354&gt;12,$D354&lt;1,$D354&gt;31),"نامعتبر",RIGHT("0000"&amp;$B354,4)&amp;"/"&amp;RIGHT("00"&amp;$C354,2)&amp;"/"&amp;RIGHT("00"&amp;$D354,2)))</f>
        <v/>
      </c>
      <c r="F354">
        <f>IF($A354="","",IF(Issues!$D357="",0,Issues!$D357))</f>
        <v/>
      </c>
      <c r="G354">
        <f>IF($A354="","",Issues!$E357)</f>
        <v/>
      </c>
      <c r="H354">
        <f>IF($A354="","",IF(COUNTIFS(ETxnType,"پاس چک",ETxnChk,$A354)&gt;0,"پاس شده","پاس نشده"))</f>
        <v/>
      </c>
      <c r="I354">
        <f>IF($A354="","",IFERROR(INDEX(BClrDate,MATCH($A354,BClrChk,0)),""))</f>
        <v/>
      </c>
      <c r="J354">
        <f>IF($A354="","",Issues!$G357)</f>
        <v/>
      </c>
      <c r="K354">
        <f>IF(OR($E354="",$E354="نامعتبر"),"",LEFT($E354,4)&amp;MID($E354,6,2)&amp;RIGHT($E354,2)&amp;"|"&amp;RIGHT("00000"&amp;349,5))</f>
        <v/>
      </c>
      <c r="M354">
        <f>IF(Sync!$M354&lt;&gt;"پاس چک","",IF(Sync!$P354="","",Sync!$P354))</f>
        <v/>
      </c>
      <c r="N354">
        <f>IF($M354="","",IF(ISNUMBER(Sync!$L354),IF(AND(Sync!$L354&gt;=10000101,Sync!$L354&lt;=99991231),RIGHT("0000"&amp;INT(Sync!$L354/10000),4)&amp;"/"&amp;RIGHT("00"&amp;INT(MOD(Sync!$L354,10000)/100),2)&amp;"/"&amp;RIGHT("00"&amp;MOD(Sync!$L354,100),2),""),IFERROR(RIGHT("0000"&amp;VALUE(TRIM(LEFT(Sync!$L354,FIND("/",Sync!$L354)-1))),4)&amp;"/"&amp;RIGHT("00"&amp;VALUE(TRIM(LEFT(MID(Sync!$L354,FIND("/",Sync!$L354)+1,20),FIND("/",MID(Sync!$L354,FIND("/",Sync!$L354)+1,20))-1))),2)&amp;"/"&amp;RIGHT("00"&amp;VALUE(TRIM(MID(MID(Sync!$L354,FIND("/",Sync!$L354)+1,20),FIND("/",MID(Sync!$L354,FIND("/",Sync!$L354)+1,20))+1,20))),2),"")))</f>
        <v/>
      </c>
    </row>
    <row r="355">
      <c r="A355">
        <f>IF(Issues!$B358="","",Issues!$B358)</f>
        <v/>
      </c>
      <c r="B355">
        <f>IF($A355="","",IF(ISNUMBER(Issues!$C358),IF(AND(Issues!$C358&gt;=10000101,Issues!$C358&lt;=99991231),INT(Issues!$C358/10000),""),IFERROR(VALUE(TRIM(LEFT(Issues!$C358,FIND("/",Issues!$C358)-1))),"")))</f>
        <v/>
      </c>
      <c r="C355">
        <f>IF(OR($A355="",$B355=""),"",IF(ISNUMBER(Issues!$C358),INT(MOD(Issues!$C358,10000)/100),IFERROR(VALUE(TRIM(LEFT(MID(Issues!$C358,FIND("/",Issues!$C358)+1,20),FIND("/",MID(Issues!$C358,FIND("/",Issues!$C358)+1,20))-1))),"")))</f>
        <v/>
      </c>
      <c r="D355">
        <f>IF(OR($A355="",$B355=""),"",IF(ISNUMBER(Issues!$C358),MOD(Issues!$C358,100),IFERROR(VALUE(TRIM(MID(MID(Issues!$C358,FIND("/",Issues!$C358)+1,20),FIND("/",MID(Issues!$C358,FIND("/",Issues!$C358)+1,20))+1,20))),"")))</f>
        <v/>
      </c>
      <c r="E355">
        <f>IF($A355="","",IF(OR($B355="",$C355="",$D355="",$B355&lt;1300,$B355&gt;1500,$C355&lt;1,$C355&gt;12,$D355&lt;1,$D355&gt;31),"نامعتبر",RIGHT("0000"&amp;$B355,4)&amp;"/"&amp;RIGHT("00"&amp;$C355,2)&amp;"/"&amp;RIGHT("00"&amp;$D355,2)))</f>
        <v/>
      </c>
      <c r="F355">
        <f>IF($A355="","",IF(Issues!$D358="",0,Issues!$D358))</f>
        <v/>
      </c>
      <c r="G355">
        <f>IF($A355="","",Issues!$E358)</f>
        <v/>
      </c>
      <c r="H355">
        <f>IF($A355="","",IF(COUNTIFS(ETxnType,"پاس چک",ETxnChk,$A355)&gt;0,"پاس شده","پاس نشده"))</f>
        <v/>
      </c>
      <c r="I355">
        <f>IF($A355="","",IFERROR(INDEX(BClrDate,MATCH($A355,BClrChk,0)),""))</f>
        <v/>
      </c>
      <c r="J355">
        <f>IF($A355="","",Issues!$G358)</f>
        <v/>
      </c>
      <c r="K355">
        <f>IF(OR($E355="",$E355="نامعتبر"),"",LEFT($E355,4)&amp;MID($E355,6,2)&amp;RIGHT($E355,2)&amp;"|"&amp;RIGHT("00000"&amp;350,5))</f>
        <v/>
      </c>
      <c r="M355">
        <f>IF(Sync!$M355&lt;&gt;"پاس چک","",IF(Sync!$P355="","",Sync!$P355))</f>
        <v/>
      </c>
      <c r="N355">
        <f>IF($M355="","",IF(ISNUMBER(Sync!$L355),IF(AND(Sync!$L355&gt;=10000101,Sync!$L355&lt;=99991231),RIGHT("0000"&amp;INT(Sync!$L355/10000),4)&amp;"/"&amp;RIGHT("00"&amp;INT(MOD(Sync!$L355,10000)/100),2)&amp;"/"&amp;RIGHT("00"&amp;MOD(Sync!$L355,100),2),""),IFERROR(RIGHT("0000"&amp;VALUE(TRIM(LEFT(Sync!$L355,FIND("/",Sync!$L355)-1))),4)&amp;"/"&amp;RIGHT("00"&amp;VALUE(TRIM(LEFT(MID(Sync!$L355,FIND("/",Sync!$L355)+1,20),FIND("/",MID(Sync!$L355,FIND("/",Sync!$L355)+1,20))-1))),2)&amp;"/"&amp;RIGHT("00"&amp;VALUE(TRIM(MID(MID(Sync!$L355,FIND("/",Sync!$L355)+1,20),FIND("/",MID(Sync!$L355,FIND("/",Sync!$L355)+1,20))+1,20))),2),"")))</f>
        <v/>
      </c>
    </row>
    <row r="356">
      <c r="A356">
        <f>IF(Issues!$B359="","",Issues!$B359)</f>
        <v/>
      </c>
      <c r="B356">
        <f>IF($A356="","",IF(ISNUMBER(Issues!$C359),IF(AND(Issues!$C359&gt;=10000101,Issues!$C359&lt;=99991231),INT(Issues!$C359/10000),""),IFERROR(VALUE(TRIM(LEFT(Issues!$C359,FIND("/",Issues!$C359)-1))),"")))</f>
        <v/>
      </c>
      <c r="C356">
        <f>IF(OR($A356="",$B356=""),"",IF(ISNUMBER(Issues!$C359),INT(MOD(Issues!$C359,10000)/100),IFERROR(VALUE(TRIM(LEFT(MID(Issues!$C359,FIND("/",Issues!$C359)+1,20),FIND("/",MID(Issues!$C359,FIND("/",Issues!$C359)+1,20))-1))),"")))</f>
        <v/>
      </c>
      <c r="D356">
        <f>IF(OR($A356="",$B356=""),"",IF(ISNUMBER(Issues!$C359),MOD(Issues!$C359,100),IFERROR(VALUE(TRIM(MID(MID(Issues!$C359,FIND("/",Issues!$C359)+1,20),FIND("/",MID(Issues!$C359,FIND("/",Issues!$C359)+1,20))+1,20))),"")))</f>
        <v/>
      </c>
      <c r="E356">
        <f>IF($A356="","",IF(OR($B356="",$C356="",$D356="",$B356&lt;1300,$B356&gt;1500,$C356&lt;1,$C356&gt;12,$D356&lt;1,$D356&gt;31),"نامعتبر",RIGHT("0000"&amp;$B356,4)&amp;"/"&amp;RIGHT("00"&amp;$C356,2)&amp;"/"&amp;RIGHT("00"&amp;$D356,2)))</f>
        <v/>
      </c>
      <c r="F356">
        <f>IF($A356="","",IF(Issues!$D359="",0,Issues!$D359))</f>
        <v/>
      </c>
      <c r="G356">
        <f>IF($A356="","",Issues!$E359)</f>
        <v/>
      </c>
      <c r="H356">
        <f>IF($A356="","",IF(COUNTIFS(ETxnType,"پاس چک",ETxnChk,$A356)&gt;0,"پاس شده","پاس نشده"))</f>
        <v/>
      </c>
      <c r="I356">
        <f>IF($A356="","",IFERROR(INDEX(BClrDate,MATCH($A356,BClrChk,0)),""))</f>
        <v/>
      </c>
      <c r="J356">
        <f>IF($A356="","",Issues!$G359)</f>
        <v/>
      </c>
      <c r="K356">
        <f>IF(OR($E356="",$E356="نامعتبر"),"",LEFT($E356,4)&amp;MID($E356,6,2)&amp;RIGHT($E356,2)&amp;"|"&amp;RIGHT("00000"&amp;351,5))</f>
        <v/>
      </c>
      <c r="M356">
        <f>IF(Sync!$M356&lt;&gt;"پاس چک","",IF(Sync!$P356="","",Sync!$P356))</f>
        <v/>
      </c>
      <c r="N356">
        <f>IF($M356="","",IF(ISNUMBER(Sync!$L356),IF(AND(Sync!$L356&gt;=10000101,Sync!$L356&lt;=99991231),RIGHT("0000"&amp;INT(Sync!$L356/10000),4)&amp;"/"&amp;RIGHT("00"&amp;INT(MOD(Sync!$L356,10000)/100),2)&amp;"/"&amp;RIGHT("00"&amp;MOD(Sync!$L356,100),2),""),IFERROR(RIGHT("0000"&amp;VALUE(TRIM(LEFT(Sync!$L356,FIND("/",Sync!$L356)-1))),4)&amp;"/"&amp;RIGHT("00"&amp;VALUE(TRIM(LEFT(MID(Sync!$L356,FIND("/",Sync!$L356)+1,20),FIND("/",MID(Sync!$L356,FIND("/",Sync!$L356)+1,20))-1))),2)&amp;"/"&amp;RIGHT("00"&amp;VALUE(TRIM(MID(MID(Sync!$L356,FIND("/",Sync!$L356)+1,20),FIND("/",MID(Sync!$L356,FIND("/",Sync!$L356)+1,20))+1,20))),2),"")))</f>
        <v/>
      </c>
    </row>
    <row r="357">
      <c r="A357">
        <f>IF(Issues!$B360="","",Issues!$B360)</f>
        <v/>
      </c>
      <c r="B357">
        <f>IF($A357="","",IF(ISNUMBER(Issues!$C360),IF(AND(Issues!$C360&gt;=10000101,Issues!$C360&lt;=99991231),INT(Issues!$C360/10000),""),IFERROR(VALUE(TRIM(LEFT(Issues!$C360,FIND("/",Issues!$C360)-1))),"")))</f>
        <v/>
      </c>
      <c r="C357">
        <f>IF(OR($A357="",$B357=""),"",IF(ISNUMBER(Issues!$C360),INT(MOD(Issues!$C360,10000)/100),IFERROR(VALUE(TRIM(LEFT(MID(Issues!$C360,FIND("/",Issues!$C360)+1,20),FIND("/",MID(Issues!$C360,FIND("/",Issues!$C360)+1,20))-1))),"")))</f>
        <v/>
      </c>
      <c r="D357">
        <f>IF(OR($A357="",$B357=""),"",IF(ISNUMBER(Issues!$C360),MOD(Issues!$C360,100),IFERROR(VALUE(TRIM(MID(MID(Issues!$C360,FIND("/",Issues!$C360)+1,20),FIND("/",MID(Issues!$C360,FIND("/",Issues!$C360)+1,20))+1,20))),"")))</f>
        <v/>
      </c>
      <c r="E357">
        <f>IF($A357="","",IF(OR($B357="",$C357="",$D357="",$B357&lt;1300,$B357&gt;1500,$C357&lt;1,$C357&gt;12,$D357&lt;1,$D357&gt;31),"نامعتبر",RIGHT("0000"&amp;$B357,4)&amp;"/"&amp;RIGHT("00"&amp;$C357,2)&amp;"/"&amp;RIGHT("00"&amp;$D357,2)))</f>
        <v/>
      </c>
      <c r="F357">
        <f>IF($A357="","",IF(Issues!$D360="",0,Issues!$D360))</f>
        <v/>
      </c>
      <c r="G357">
        <f>IF($A357="","",Issues!$E360)</f>
        <v/>
      </c>
      <c r="H357">
        <f>IF($A357="","",IF(COUNTIFS(ETxnType,"پاس چک",ETxnChk,$A357)&gt;0,"پاس شده","پاس نشده"))</f>
        <v/>
      </c>
      <c r="I357">
        <f>IF($A357="","",IFERROR(INDEX(BClrDate,MATCH($A357,BClrChk,0)),""))</f>
        <v/>
      </c>
      <c r="J357">
        <f>IF($A357="","",Issues!$G360)</f>
        <v/>
      </c>
      <c r="K357">
        <f>IF(OR($E357="",$E357="نامعتبر"),"",LEFT($E357,4)&amp;MID($E357,6,2)&amp;RIGHT($E357,2)&amp;"|"&amp;RIGHT("00000"&amp;352,5))</f>
        <v/>
      </c>
      <c r="M357">
        <f>IF(Sync!$M357&lt;&gt;"پاس چک","",IF(Sync!$P357="","",Sync!$P357))</f>
        <v/>
      </c>
      <c r="N357">
        <f>IF($M357="","",IF(ISNUMBER(Sync!$L357),IF(AND(Sync!$L357&gt;=10000101,Sync!$L357&lt;=99991231),RIGHT("0000"&amp;INT(Sync!$L357/10000),4)&amp;"/"&amp;RIGHT("00"&amp;INT(MOD(Sync!$L357,10000)/100),2)&amp;"/"&amp;RIGHT("00"&amp;MOD(Sync!$L357,100),2),""),IFERROR(RIGHT("0000"&amp;VALUE(TRIM(LEFT(Sync!$L357,FIND("/",Sync!$L357)-1))),4)&amp;"/"&amp;RIGHT("00"&amp;VALUE(TRIM(LEFT(MID(Sync!$L357,FIND("/",Sync!$L357)+1,20),FIND("/",MID(Sync!$L357,FIND("/",Sync!$L357)+1,20))-1))),2)&amp;"/"&amp;RIGHT("00"&amp;VALUE(TRIM(MID(MID(Sync!$L357,FIND("/",Sync!$L357)+1,20),FIND("/",MID(Sync!$L357,FIND("/",Sync!$L357)+1,20))+1,20))),2),"")))</f>
        <v/>
      </c>
    </row>
    <row r="358">
      <c r="A358">
        <f>IF(Issues!$B361="","",Issues!$B361)</f>
        <v/>
      </c>
      <c r="B358">
        <f>IF($A358="","",IF(ISNUMBER(Issues!$C361),IF(AND(Issues!$C361&gt;=10000101,Issues!$C361&lt;=99991231),INT(Issues!$C361/10000),""),IFERROR(VALUE(TRIM(LEFT(Issues!$C361,FIND("/",Issues!$C361)-1))),"")))</f>
        <v/>
      </c>
      <c r="C358">
        <f>IF(OR($A358="",$B358=""),"",IF(ISNUMBER(Issues!$C361),INT(MOD(Issues!$C361,10000)/100),IFERROR(VALUE(TRIM(LEFT(MID(Issues!$C361,FIND("/",Issues!$C361)+1,20),FIND("/",MID(Issues!$C361,FIND("/",Issues!$C361)+1,20))-1))),"")))</f>
        <v/>
      </c>
      <c r="D358">
        <f>IF(OR($A358="",$B358=""),"",IF(ISNUMBER(Issues!$C361),MOD(Issues!$C361,100),IFERROR(VALUE(TRIM(MID(MID(Issues!$C361,FIND("/",Issues!$C361)+1,20),FIND("/",MID(Issues!$C361,FIND("/",Issues!$C361)+1,20))+1,20))),"")))</f>
        <v/>
      </c>
      <c r="E358">
        <f>IF($A358="","",IF(OR($B358="",$C358="",$D358="",$B358&lt;1300,$B358&gt;1500,$C358&lt;1,$C358&gt;12,$D358&lt;1,$D358&gt;31),"نامعتبر",RIGHT("0000"&amp;$B358,4)&amp;"/"&amp;RIGHT("00"&amp;$C358,2)&amp;"/"&amp;RIGHT("00"&amp;$D358,2)))</f>
        <v/>
      </c>
      <c r="F358">
        <f>IF($A358="","",IF(Issues!$D361="",0,Issues!$D361))</f>
        <v/>
      </c>
      <c r="G358">
        <f>IF($A358="","",Issues!$E361)</f>
        <v/>
      </c>
      <c r="H358">
        <f>IF($A358="","",IF(COUNTIFS(ETxnType,"پاس چک",ETxnChk,$A358)&gt;0,"پاس شده","پاس نشده"))</f>
        <v/>
      </c>
      <c r="I358">
        <f>IF($A358="","",IFERROR(INDEX(BClrDate,MATCH($A358,BClrChk,0)),""))</f>
        <v/>
      </c>
      <c r="J358">
        <f>IF($A358="","",Issues!$G361)</f>
        <v/>
      </c>
      <c r="K358">
        <f>IF(OR($E358="",$E358="نامعتبر"),"",LEFT($E358,4)&amp;MID($E358,6,2)&amp;RIGHT($E358,2)&amp;"|"&amp;RIGHT("00000"&amp;353,5))</f>
        <v/>
      </c>
      <c r="M358">
        <f>IF(Sync!$M358&lt;&gt;"پاس چک","",IF(Sync!$P358="","",Sync!$P358))</f>
        <v/>
      </c>
      <c r="N358">
        <f>IF($M358="","",IF(ISNUMBER(Sync!$L358),IF(AND(Sync!$L358&gt;=10000101,Sync!$L358&lt;=99991231),RIGHT("0000"&amp;INT(Sync!$L358/10000),4)&amp;"/"&amp;RIGHT("00"&amp;INT(MOD(Sync!$L358,10000)/100),2)&amp;"/"&amp;RIGHT("00"&amp;MOD(Sync!$L358,100),2),""),IFERROR(RIGHT("0000"&amp;VALUE(TRIM(LEFT(Sync!$L358,FIND("/",Sync!$L358)-1))),4)&amp;"/"&amp;RIGHT("00"&amp;VALUE(TRIM(LEFT(MID(Sync!$L358,FIND("/",Sync!$L358)+1,20),FIND("/",MID(Sync!$L358,FIND("/",Sync!$L358)+1,20))-1))),2)&amp;"/"&amp;RIGHT("00"&amp;VALUE(TRIM(MID(MID(Sync!$L358,FIND("/",Sync!$L358)+1,20),FIND("/",MID(Sync!$L358,FIND("/",Sync!$L358)+1,20))+1,20))),2),"")))</f>
        <v/>
      </c>
    </row>
    <row r="359">
      <c r="A359">
        <f>IF(Issues!$B362="","",Issues!$B362)</f>
        <v/>
      </c>
      <c r="B359">
        <f>IF($A359="","",IF(ISNUMBER(Issues!$C362),IF(AND(Issues!$C362&gt;=10000101,Issues!$C362&lt;=99991231),INT(Issues!$C362/10000),""),IFERROR(VALUE(TRIM(LEFT(Issues!$C362,FIND("/",Issues!$C362)-1))),"")))</f>
        <v/>
      </c>
      <c r="C359">
        <f>IF(OR($A359="",$B359=""),"",IF(ISNUMBER(Issues!$C362),INT(MOD(Issues!$C362,10000)/100),IFERROR(VALUE(TRIM(LEFT(MID(Issues!$C362,FIND("/",Issues!$C362)+1,20),FIND("/",MID(Issues!$C362,FIND("/",Issues!$C362)+1,20))-1))),"")))</f>
        <v/>
      </c>
      <c r="D359">
        <f>IF(OR($A359="",$B359=""),"",IF(ISNUMBER(Issues!$C362),MOD(Issues!$C362,100),IFERROR(VALUE(TRIM(MID(MID(Issues!$C362,FIND("/",Issues!$C362)+1,20),FIND("/",MID(Issues!$C362,FIND("/",Issues!$C362)+1,20))+1,20))),"")))</f>
        <v/>
      </c>
      <c r="E359">
        <f>IF($A359="","",IF(OR($B359="",$C359="",$D359="",$B359&lt;1300,$B359&gt;1500,$C359&lt;1,$C359&gt;12,$D359&lt;1,$D359&gt;31),"نامعتبر",RIGHT("0000"&amp;$B359,4)&amp;"/"&amp;RIGHT("00"&amp;$C359,2)&amp;"/"&amp;RIGHT("00"&amp;$D359,2)))</f>
        <v/>
      </c>
      <c r="F359">
        <f>IF($A359="","",IF(Issues!$D362="",0,Issues!$D362))</f>
        <v/>
      </c>
      <c r="G359">
        <f>IF($A359="","",Issues!$E362)</f>
        <v/>
      </c>
      <c r="H359">
        <f>IF($A359="","",IF(COUNTIFS(ETxnType,"پاس چک",ETxnChk,$A359)&gt;0,"پاس شده","پاس نشده"))</f>
        <v/>
      </c>
      <c r="I359">
        <f>IF($A359="","",IFERROR(INDEX(BClrDate,MATCH($A359,BClrChk,0)),""))</f>
        <v/>
      </c>
      <c r="J359">
        <f>IF($A359="","",Issues!$G362)</f>
        <v/>
      </c>
      <c r="K359">
        <f>IF(OR($E359="",$E359="نامعتبر"),"",LEFT($E359,4)&amp;MID($E359,6,2)&amp;RIGHT($E359,2)&amp;"|"&amp;RIGHT("00000"&amp;354,5))</f>
        <v/>
      </c>
      <c r="M359">
        <f>IF(Sync!$M359&lt;&gt;"پاس چک","",IF(Sync!$P359="","",Sync!$P359))</f>
        <v/>
      </c>
      <c r="N359">
        <f>IF($M359="","",IF(ISNUMBER(Sync!$L359),IF(AND(Sync!$L359&gt;=10000101,Sync!$L359&lt;=99991231),RIGHT("0000"&amp;INT(Sync!$L359/10000),4)&amp;"/"&amp;RIGHT("00"&amp;INT(MOD(Sync!$L359,10000)/100),2)&amp;"/"&amp;RIGHT("00"&amp;MOD(Sync!$L359,100),2),""),IFERROR(RIGHT("0000"&amp;VALUE(TRIM(LEFT(Sync!$L359,FIND("/",Sync!$L359)-1))),4)&amp;"/"&amp;RIGHT("00"&amp;VALUE(TRIM(LEFT(MID(Sync!$L359,FIND("/",Sync!$L359)+1,20),FIND("/",MID(Sync!$L359,FIND("/",Sync!$L359)+1,20))-1))),2)&amp;"/"&amp;RIGHT("00"&amp;VALUE(TRIM(MID(MID(Sync!$L359,FIND("/",Sync!$L359)+1,20),FIND("/",MID(Sync!$L359,FIND("/",Sync!$L359)+1,20))+1,20))),2),"")))</f>
        <v/>
      </c>
    </row>
    <row r="360">
      <c r="A360">
        <f>IF(Issues!$B363="","",Issues!$B363)</f>
        <v/>
      </c>
      <c r="B360">
        <f>IF($A360="","",IF(ISNUMBER(Issues!$C363),IF(AND(Issues!$C363&gt;=10000101,Issues!$C363&lt;=99991231),INT(Issues!$C363/10000),""),IFERROR(VALUE(TRIM(LEFT(Issues!$C363,FIND("/",Issues!$C363)-1))),"")))</f>
        <v/>
      </c>
      <c r="C360">
        <f>IF(OR($A360="",$B360=""),"",IF(ISNUMBER(Issues!$C363),INT(MOD(Issues!$C363,10000)/100),IFERROR(VALUE(TRIM(LEFT(MID(Issues!$C363,FIND("/",Issues!$C363)+1,20),FIND("/",MID(Issues!$C363,FIND("/",Issues!$C363)+1,20))-1))),"")))</f>
        <v/>
      </c>
      <c r="D360">
        <f>IF(OR($A360="",$B360=""),"",IF(ISNUMBER(Issues!$C363),MOD(Issues!$C363,100),IFERROR(VALUE(TRIM(MID(MID(Issues!$C363,FIND("/",Issues!$C363)+1,20),FIND("/",MID(Issues!$C363,FIND("/",Issues!$C363)+1,20))+1,20))),"")))</f>
        <v/>
      </c>
      <c r="E360">
        <f>IF($A360="","",IF(OR($B360="",$C360="",$D360="",$B360&lt;1300,$B360&gt;1500,$C360&lt;1,$C360&gt;12,$D360&lt;1,$D360&gt;31),"نامعتبر",RIGHT("0000"&amp;$B360,4)&amp;"/"&amp;RIGHT("00"&amp;$C360,2)&amp;"/"&amp;RIGHT("00"&amp;$D360,2)))</f>
        <v/>
      </c>
      <c r="F360">
        <f>IF($A360="","",IF(Issues!$D363="",0,Issues!$D363))</f>
        <v/>
      </c>
      <c r="G360">
        <f>IF($A360="","",Issues!$E363)</f>
        <v/>
      </c>
      <c r="H360">
        <f>IF($A360="","",IF(COUNTIFS(ETxnType,"پاس چک",ETxnChk,$A360)&gt;0,"پاس شده","پاس نشده"))</f>
        <v/>
      </c>
      <c r="I360">
        <f>IF($A360="","",IFERROR(INDEX(BClrDate,MATCH($A360,BClrChk,0)),""))</f>
        <v/>
      </c>
      <c r="J360">
        <f>IF($A360="","",Issues!$G363)</f>
        <v/>
      </c>
      <c r="K360">
        <f>IF(OR($E360="",$E360="نامعتبر"),"",LEFT($E360,4)&amp;MID($E360,6,2)&amp;RIGHT($E360,2)&amp;"|"&amp;RIGHT("00000"&amp;355,5))</f>
        <v/>
      </c>
      <c r="M360">
        <f>IF(Sync!$M360&lt;&gt;"پاس چک","",IF(Sync!$P360="","",Sync!$P360))</f>
        <v/>
      </c>
      <c r="N360">
        <f>IF($M360="","",IF(ISNUMBER(Sync!$L360),IF(AND(Sync!$L360&gt;=10000101,Sync!$L360&lt;=99991231),RIGHT("0000"&amp;INT(Sync!$L360/10000),4)&amp;"/"&amp;RIGHT("00"&amp;INT(MOD(Sync!$L360,10000)/100),2)&amp;"/"&amp;RIGHT("00"&amp;MOD(Sync!$L360,100),2),""),IFERROR(RIGHT("0000"&amp;VALUE(TRIM(LEFT(Sync!$L360,FIND("/",Sync!$L360)-1))),4)&amp;"/"&amp;RIGHT("00"&amp;VALUE(TRIM(LEFT(MID(Sync!$L360,FIND("/",Sync!$L360)+1,20),FIND("/",MID(Sync!$L360,FIND("/",Sync!$L360)+1,20))-1))),2)&amp;"/"&amp;RIGHT("00"&amp;VALUE(TRIM(MID(MID(Sync!$L360,FIND("/",Sync!$L360)+1,20),FIND("/",MID(Sync!$L360,FIND("/",Sync!$L360)+1,20))+1,20))),2),"")))</f>
        <v/>
      </c>
    </row>
    <row r="361">
      <c r="A361">
        <f>IF(Issues!$B364="","",Issues!$B364)</f>
        <v/>
      </c>
      <c r="B361">
        <f>IF($A361="","",IF(ISNUMBER(Issues!$C364),IF(AND(Issues!$C364&gt;=10000101,Issues!$C364&lt;=99991231),INT(Issues!$C364/10000),""),IFERROR(VALUE(TRIM(LEFT(Issues!$C364,FIND("/",Issues!$C364)-1))),"")))</f>
        <v/>
      </c>
      <c r="C361">
        <f>IF(OR($A361="",$B361=""),"",IF(ISNUMBER(Issues!$C364),INT(MOD(Issues!$C364,10000)/100),IFERROR(VALUE(TRIM(LEFT(MID(Issues!$C364,FIND("/",Issues!$C364)+1,20),FIND("/",MID(Issues!$C364,FIND("/",Issues!$C364)+1,20))-1))),"")))</f>
        <v/>
      </c>
      <c r="D361">
        <f>IF(OR($A361="",$B361=""),"",IF(ISNUMBER(Issues!$C364),MOD(Issues!$C364,100),IFERROR(VALUE(TRIM(MID(MID(Issues!$C364,FIND("/",Issues!$C364)+1,20),FIND("/",MID(Issues!$C364,FIND("/",Issues!$C364)+1,20))+1,20))),"")))</f>
        <v/>
      </c>
      <c r="E361">
        <f>IF($A361="","",IF(OR($B361="",$C361="",$D361="",$B361&lt;1300,$B361&gt;1500,$C361&lt;1,$C361&gt;12,$D361&lt;1,$D361&gt;31),"نامعتبر",RIGHT("0000"&amp;$B361,4)&amp;"/"&amp;RIGHT("00"&amp;$C361,2)&amp;"/"&amp;RIGHT("00"&amp;$D361,2)))</f>
        <v/>
      </c>
      <c r="F361">
        <f>IF($A361="","",IF(Issues!$D364="",0,Issues!$D364))</f>
        <v/>
      </c>
      <c r="G361">
        <f>IF($A361="","",Issues!$E364)</f>
        <v/>
      </c>
      <c r="H361">
        <f>IF($A361="","",IF(COUNTIFS(ETxnType,"پاس چک",ETxnChk,$A361)&gt;0,"پاس شده","پاس نشده"))</f>
        <v/>
      </c>
      <c r="I361">
        <f>IF($A361="","",IFERROR(INDEX(BClrDate,MATCH($A361,BClrChk,0)),""))</f>
        <v/>
      </c>
      <c r="J361">
        <f>IF($A361="","",Issues!$G364)</f>
        <v/>
      </c>
      <c r="K361">
        <f>IF(OR($E361="",$E361="نامعتبر"),"",LEFT($E361,4)&amp;MID($E361,6,2)&amp;RIGHT($E361,2)&amp;"|"&amp;RIGHT("00000"&amp;356,5))</f>
        <v/>
      </c>
      <c r="M361">
        <f>IF(Sync!$M361&lt;&gt;"پاس چک","",IF(Sync!$P361="","",Sync!$P361))</f>
        <v/>
      </c>
      <c r="N361">
        <f>IF($M361="","",IF(ISNUMBER(Sync!$L361),IF(AND(Sync!$L361&gt;=10000101,Sync!$L361&lt;=99991231),RIGHT("0000"&amp;INT(Sync!$L361/10000),4)&amp;"/"&amp;RIGHT("00"&amp;INT(MOD(Sync!$L361,10000)/100),2)&amp;"/"&amp;RIGHT("00"&amp;MOD(Sync!$L361,100),2),""),IFERROR(RIGHT("0000"&amp;VALUE(TRIM(LEFT(Sync!$L361,FIND("/",Sync!$L361)-1))),4)&amp;"/"&amp;RIGHT("00"&amp;VALUE(TRIM(LEFT(MID(Sync!$L361,FIND("/",Sync!$L361)+1,20),FIND("/",MID(Sync!$L361,FIND("/",Sync!$L361)+1,20))-1))),2)&amp;"/"&amp;RIGHT("00"&amp;VALUE(TRIM(MID(MID(Sync!$L361,FIND("/",Sync!$L361)+1,20),FIND("/",MID(Sync!$L361,FIND("/",Sync!$L361)+1,20))+1,20))),2),"")))</f>
        <v/>
      </c>
    </row>
    <row r="362">
      <c r="A362">
        <f>IF(Issues!$B365="","",Issues!$B365)</f>
        <v/>
      </c>
      <c r="B362">
        <f>IF($A362="","",IF(ISNUMBER(Issues!$C365),IF(AND(Issues!$C365&gt;=10000101,Issues!$C365&lt;=99991231),INT(Issues!$C365/10000),""),IFERROR(VALUE(TRIM(LEFT(Issues!$C365,FIND("/",Issues!$C365)-1))),"")))</f>
        <v/>
      </c>
      <c r="C362">
        <f>IF(OR($A362="",$B362=""),"",IF(ISNUMBER(Issues!$C365),INT(MOD(Issues!$C365,10000)/100),IFERROR(VALUE(TRIM(LEFT(MID(Issues!$C365,FIND("/",Issues!$C365)+1,20),FIND("/",MID(Issues!$C365,FIND("/",Issues!$C365)+1,20))-1))),"")))</f>
        <v/>
      </c>
      <c r="D362">
        <f>IF(OR($A362="",$B362=""),"",IF(ISNUMBER(Issues!$C365),MOD(Issues!$C365,100),IFERROR(VALUE(TRIM(MID(MID(Issues!$C365,FIND("/",Issues!$C365)+1,20),FIND("/",MID(Issues!$C365,FIND("/",Issues!$C365)+1,20))+1,20))),"")))</f>
        <v/>
      </c>
      <c r="E362">
        <f>IF($A362="","",IF(OR($B362="",$C362="",$D362="",$B362&lt;1300,$B362&gt;1500,$C362&lt;1,$C362&gt;12,$D362&lt;1,$D362&gt;31),"نامعتبر",RIGHT("0000"&amp;$B362,4)&amp;"/"&amp;RIGHT("00"&amp;$C362,2)&amp;"/"&amp;RIGHT("00"&amp;$D362,2)))</f>
        <v/>
      </c>
      <c r="F362">
        <f>IF($A362="","",IF(Issues!$D365="",0,Issues!$D365))</f>
        <v/>
      </c>
      <c r="G362">
        <f>IF($A362="","",Issues!$E365)</f>
        <v/>
      </c>
      <c r="H362">
        <f>IF($A362="","",IF(COUNTIFS(ETxnType,"پاس چک",ETxnChk,$A362)&gt;0,"پاس شده","پاس نشده"))</f>
        <v/>
      </c>
      <c r="I362">
        <f>IF($A362="","",IFERROR(INDEX(BClrDate,MATCH($A362,BClrChk,0)),""))</f>
        <v/>
      </c>
      <c r="J362">
        <f>IF($A362="","",Issues!$G365)</f>
        <v/>
      </c>
      <c r="K362">
        <f>IF(OR($E362="",$E362="نامعتبر"),"",LEFT($E362,4)&amp;MID($E362,6,2)&amp;RIGHT($E362,2)&amp;"|"&amp;RIGHT("00000"&amp;357,5))</f>
        <v/>
      </c>
      <c r="M362">
        <f>IF(Sync!$M362&lt;&gt;"پاس چک","",IF(Sync!$P362="","",Sync!$P362))</f>
        <v/>
      </c>
      <c r="N362">
        <f>IF($M362="","",IF(ISNUMBER(Sync!$L362),IF(AND(Sync!$L362&gt;=10000101,Sync!$L362&lt;=99991231),RIGHT("0000"&amp;INT(Sync!$L362/10000),4)&amp;"/"&amp;RIGHT("00"&amp;INT(MOD(Sync!$L362,10000)/100),2)&amp;"/"&amp;RIGHT("00"&amp;MOD(Sync!$L362,100),2),""),IFERROR(RIGHT("0000"&amp;VALUE(TRIM(LEFT(Sync!$L362,FIND("/",Sync!$L362)-1))),4)&amp;"/"&amp;RIGHT("00"&amp;VALUE(TRIM(LEFT(MID(Sync!$L362,FIND("/",Sync!$L362)+1,20),FIND("/",MID(Sync!$L362,FIND("/",Sync!$L362)+1,20))-1))),2)&amp;"/"&amp;RIGHT("00"&amp;VALUE(TRIM(MID(MID(Sync!$L362,FIND("/",Sync!$L362)+1,20),FIND("/",MID(Sync!$L362,FIND("/",Sync!$L362)+1,20))+1,20))),2),"")))</f>
        <v/>
      </c>
    </row>
    <row r="363">
      <c r="A363">
        <f>IF(Issues!$B366="","",Issues!$B366)</f>
        <v/>
      </c>
      <c r="B363">
        <f>IF($A363="","",IF(ISNUMBER(Issues!$C366),IF(AND(Issues!$C366&gt;=10000101,Issues!$C366&lt;=99991231),INT(Issues!$C366/10000),""),IFERROR(VALUE(TRIM(LEFT(Issues!$C366,FIND("/",Issues!$C366)-1))),"")))</f>
        <v/>
      </c>
      <c r="C363">
        <f>IF(OR($A363="",$B363=""),"",IF(ISNUMBER(Issues!$C366),INT(MOD(Issues!$C366,10000)/100),IFERROR(VALUE(TRIM(LEFT(MID(Issues!$C366,FIND("/",Issues!$C366)+1,20),FIND("/",MID(Issues!$C366,FIND("/",Issues!$C366)+1,20))-1))),"")))</f>
        <v/>
      </c>
      <c r="D363">
        <f>IF(OR($A363="",$B363=""),"",IF(ISNUMBER(Issues!$C366),MOD(Issues!$C366,100),IFERROR(VALUE(TRIM(MID(MID(Issues!$C366,FIND("/",Issues!$C366)+1,20),FIND("/",MID(Issues!$C366,FIND("/",Issues!$C366)+1,20))+1,20))),"")))</f>
        <v/>
      </c>
      <c r="E363">
        <f>IF($A363="","",IF(OR($B363="",$C363="",$D363="",$B363&lt;1300,$B363&gt;1500,$C363&lt;1,$C363&gt;12,$D363&lt;1,$D363&gt;31),"نامعتبر",RIGHT("0000"&amp;$B363,4)&amp;"/"&amp;RIGHT("00"&amp;$C363,2)&amp;"/"&amp;RIGHT("00"&amp;$D363,2)))</f>
        <v/>
      </c>
      <c r="F363">
        <f>IF($A363="","",IF(Issues!$D366="",0,Issues!$D366))</f>
        <v/>
      </c>
      <c r="G363">
        <f>IF($A363="","",Issues!$E366)</f>
        <v/>
      </c>
      <c r="H363">
        <f>IF($A363="","",IF(COUNTIFS(ETxnType,"پاس چک",ETxnChk,$A363)&gt;0,"پاس شده","پاس نشده"))</f>
        <v/>
      </c>
      <c r="I363">
        <f>IF($A363="","",IFERROR(INDEX(BClrDate,MATCH($A363,BClrChk,0)),""))</f>
        <v/>
      </c>
      <c r="J363">
        <f>IF($A363="","",Issues!$G366)</f>
        <v/>
      </c>
      <c r="K363">
        <f>IF(OR($E363="",$E363="نامعتبر"),"",LEFT($E363,4)&amp;MID($E363,6,2)&amp;RIGHT($E363,2)&amp;"|"&amp;RIGHT("00000"&amp;358,5))</f>
        <v/>
      </c>
      <c r="M363">
        <f>IF(Sync!$M363&lt;&gt;"پاس چک","",IF(Sync!$P363="","",Sync!$P363))</f>
        <v/>
      </c>
      <c r="N363">
        <f>IF($M363="","",IF(ISNUMBER(Sync!$L363),IF(AND(Sync!$L363&gt;=10000101,Sync!$L363&lt;=99991231),RIGHT("0000"&amp;INT(Sync!$L363/10000),4)&amp;"/"&amp;RIGHT("00"&amp;INT(MOD(Sync!$L363,10000)/100),2)&amp;"/"&amp;RIGHT("00"&amp;MOD(Sync!$L363,100),2),""),IFERROR(RIGHT("0000"&amp;VALUE(TRIM(LEFT(Sync!$L363,FIND("/",Sync!$L363)-1))),4)&amp;"/"&amp;RIGHT("00"&amp;VALUE(TRIM(LEFT(MID(Sync!$L363,FIND("/",Sync!$L363)+1,20),FIND("/",MID(Sync!$L363,FIND("/",Sync!$L363)+1,20))-1))),2)&amp;"/"&amp;RIGHT("00"&amp;VALUE(TRIM(MID(MID(Sync!$L363,FIND("/",Sync!$L363)+1,20),FIND("/",MID(Sync!$L363,FIND("/",Sync!$L363)+1,20))+1,20))),2),"")))</f>
        <v/>
      </c>
    </row>
    <row r="364">
      <c r="A364">
        <f>IF(Issues!$B367="","",Issues!$B367)</f>
        <v/>
      </c>
      <c r="B364">
        <f>IF($A364="","",IF(ISNUMBER(Issues!$C367),IF(AND(Issues!$C367&gt;=10000101,Issues!$C367&lt;=99991231),INT(Issues!$C367/10000),""),IFERROR(VALUE(TRIM(LEFT(Issues!$C367,FIND("/",Issues!$C367)-1))),"")))</f>
        <v/>
      </c>
      <c r="C364">
        <f>IF(OR($A364="",$B364=""),"",IF(ISNUMBER(Issues!$C367),INT(MOD(Issues!$C367,10000)/100),IFERROR(VALUE(TRIM(LEFT(MID(Issues!$C367,FIND("/",Issues!$C367)+1,20),FIND("/",MID(Issues!$C367,FIND("/",Issues!$C367)+1,20))-1))),"")))</f>
        <v/>
      </c>
      <c r="D364">
        <f>IF(OR($A364="",$B364=""),"",IF(ISNUMBER(Issues!$C367),MOD(Issues!$C367,100),IFERROR(VALUE(TRIM(MID(MID(Issues!$C367,FIND("/",Issues!$C367)+1,20),FIND("/",MID(Issues!$C367,FIND("/",Issues!$C367)+1,20))+1,20))),"")))</f>
        <v/>
      </c>
      <c r="E364">
        <f>IF($A364="","",IF(OR($B364="",$C364="",$D364="",$B364&lt;1300,$B364&gt;1500,$C364&lt;1,$C364&gt;12,$D364&lt;1,$D364&gt;31),"نامعتبر",RIGHT("0000"&amp;$B364,4)&amp;"/"&amp;RIGHT("00"&amp;$C364,2)&amp;"/"&amp;RIGHT("00"&amp;$D364,2)))</f>
        <v/>
      </c>
      <c r="F364">
        <f>IF($A364="","",IF(Issues!$D367="",0,Issues!$D367))</f>
        <v/>
      </c>
      <c r="G364">
        <f>IF($A364="","",Issues!$E367)</f>
        <v/>
      </c>
      <c r="H364">
        <f>IF($A364="","",IF(COUNTIFS(ETxnType,"پاس چک",ETxnChk,$A364)&gt;0,"پاس شده","پاس نشده"))</f>
        <v/>
      </c>
      <c r="I364">
        <f>IF($A364="","",IFERROR(INDEX(BClrDate,MATCH($A364,BClrChk,0)),""))</f>
        <v/>
      </c>
      <c r="J364">
        <f>IF($A364="","",Issues!$G367)</f>
        <v/>
      </c>
      <c r="K364">
        <f>IF(OR($E364="",$E364="نامعتبر"),"",LEFT($E364,4)&amp;MID($E364,6,2)&amp;RIGHT($E364,2)&amp;"|"&amp;RIGHT("00000"&amp;359,5))</f>
        <v/>
      </c>
      <c r="M364">
        <f>IF(Sync!$M364&lt;&gt;"پاس چک","",IF(Sync!$P364="","",Sync!$P364))</f>
        <v/>
      </c>
      <c r="N364">
        <f>IF($M364="","",IF(ISNUMBER(Sync!$L364),IF(AND(Sync!$L364&gt;=10000101,Sync!$L364&lt;=99991231),RIGHT("0000"&amp;INT(Sync!$L364/10000),4)&amp;"/"&amp;RIGHT("00"&amp;INT(MOD(Sync!$L364,10000)/100),2)&amp;"/"&amp;RIGHT("00"&amp;MOD(Sync!$L364,100),2),""),IFERROR(RIGHT("0000"&amp;VALUE(TRIM(LEFT(Sync!$L364,FIND("/",Sync!$L364)-1))),4)&amp;"/"&amp;RIGHT("00"&amp;VALUE(TRIM(LEFT(MID(Sync!$L364,FIND("/",Sync!$L364)+1,20),FIND("/",MID(Sync!$L364,FIND("/",Sync!$L364)+1,20))-1))),2)&amp;"/"&amp;RIGHT("00"&amp;VALUE(TRIM(MID(MID(Sync!$L364,FIND("/",Sync!$L364)+1,20),FIND("/",MID(Sync!$L364,FIND("/",Sync!$L364)+1,20))+1,20))),2),"")))</f>
        <v/>
      </c>
    </row>
    <row r="365">
      <c r="A365">
        <f>IF(Issues!$B368="","",Issues!$B368)</f>
        <v/>
      </c>
      <c r="B365">
        <f>IF($A365="","",IF(ISNUMBER(Issues!$C368),IF(AND(Issues!$C368&gt;=10000101,Issues!$C368&lt;=99991231),INT(Issues!$C368/10000),""),IFERROR(VALUE(TRIM(LEFT(Issues!$C368,FIND("/",Issues!$C368)-1))),"")))</f>
        <v/>
      </c>
      <c r="C365">
        <f>IF(OR($A365="",$B365=""),"",IF(ISNUMBER(Issues!$C368),INT(MOD(Issues!$C368,10000)/100),IFERROR(VALUE(TRIM(LEFT(MID(Issues!$C368,FIND("/",Issues!$C368)+1,20),FIND("/",MID(Issues!$C368,FIND("/",Issues!$C368)+1,20))-1))),"")))</f>
        <v/>
      </c>
      <c r="D365">
        <f>IF(OR($A365="",$B365=""),"",IF(ISNUMBER(Issues!$C368),MOD(Issues!$C368,100),IFERROR(VALUE(TRIM(MID(MID(Issues!$C368,FIND("/",Issues!$C368)+1,20),FIND("/",MID(Issues!$C368,FIND("/",Issues!$C368)+1,20))+1,20))),"")))</f>
        <v/>
      </c>
      <c r="E365">
        <f>IF($A365="","",IF(OR($B365="",$C365="",$D365="",$B365&lt;1300,$B365&gt;1500,$C365&lt;1,$C365&gt;12,$D365&lt;1,$D365&gt;31),"نامعتبر",RIGHT("0000"&amp;$B365,4)&amp;"/"&amp;RIGHT("00"&amp;$C365,2)&amp;"/"&amp;RIGHT("00"&amp;$D365,2)))</f>
        <v/>
      </c>
      <c r="F365">
        <f>IF($A365="","",IF(Issues!$D368="",0,Issues!$D368))</f>
        <v/>
      </c>
      <c r="G365">
        <f>IF($A365="","",Issues!$E368)</f>
        <v/>
      </c>
      <c r="H365">
        <f>IF($A365="","",IF(COUNTIFS(ETxnType,"پاس چک",ETxnChk,$A365)&gt;0,"پاس شده","پاس نشده"))</f>
        <v/>
      </c>
      <c r="I365">
        <f>IF($A365="","",IFERROR(INDEX(BClrDate,MATCH($A365,BClrChk,0)),""))</f>
        <v/>
      </c>
      <c r="J365">
        <f>IF($A365="","",Issues!$G368)</f>
        <v/>
      </c>
      <c r="K365">
        <f>IF(OR($E365="",$E365="نامعتبر"),"",LEFT($E365,4)&amp;MID($E365,6,2)&amp;RIGHT($E365,2)&amp;"|"&amp;RIGHT("00000"&amp;360,5))</f>
        <v/>
      </c>
      <c r="M365">
        <f>IF(Sync!$M365&lt;&gt;"پاس چک","",IF(Sync!$P365="","",Sync!$P365))</f>
        <v/>
      </c>
      <c r="N365">
        <f>IF($M365="","",IF(ISNUMBER(Sync!$L365),IF(AND(Sync!$L365&gt;=10000101,Sync!$L365&lt;=99991231),RIGHT("0000"&amp;INT(Sync!$L365/10000),4)&amp;"/"&amp;RIGHT("00"&amp;INT(MOD(Sync!$L365,10000)/100),2)&amp;"/"&amp;RIGHT("00"&amp;MOD(Sync!$L365,100),2),""),IFERROR(RIGHT("0000"&amp;VALUE(TRIM(LEFT(Sync!$L365,FIND("/",Sync!$L365)-1))),4)&amp;"/"&amp;RIGHT("00"&amp;VALUE(TRIM(LEFT(MID(Sync!$L365,FIND("/",Sync!$L365)+1,20),FIND("/",MID(Sync!$L365,FIND("/",Sync!$L365)+1,20))-1))),2)&amp;"/"&amp;RIGHT("00"&amp;VALUE(TRIM(MID(MID(Sync!$L365,FIND("/",Sync!$L365)+1,20),FIND("/",MID(Sync!$L365,FIND("/",Sync!$L365)+1,20))+1,20))),2),"")))</f>
        <v/>
      </c>
    </row>
    <row r="366">
      <c r="A366">
        <f>IF(Issues!$B369="","",Issues!$B369)</f>
        <v/>
      </c>
      <c r="B366">
        <f>IF($A366="","",IF(ISNUMBER(Issues!$C369),IF(AND(Issues!$C369&gt;=10000101,Issues!$C369&lt;=99991231),INT(Issues!$C369/10000),""),IFERROR(VALUE(TRIM(LEFT(Issues!$C369,FIND("/",Issues!$C369)-1))),"")))</f>
        <v/>
      </c>
      <c r="C366">
        <f>IF(OR($A366="",$B366=""),"",IF(ISNUMBER(Issues!$C369),INT(MOD(Issues!$C369,10000)/100),IFERROR(VALUE(TRIM(LEFT(MID(Issues!$C369,FIND("/",Issues!$C369)+1,20),FIND("/",MID(Issues!$C369,FIND("/",Issues!$C369)+1,20))-1))),"")))</f>
        <v/>
      </c>
      <c r="D366">
        <f>IF(OR($A366="",$B366=""),"",IF(ISNUMBER(Issues!$C369),MOD(Issues!$C369,100),IFERROR(VALUE(TRIM(MID(MID(Issues!$C369,FIND("/",Issues!$C369)+1,20),FIND("/",MID(Issues!$C369,FIND("/",Issues!$C369)+1,20))+1,20))),"")))</f>
        <v/>
      </c>
      <c r="E366">
        <f>IF($A366="","",IF(OR($B366="",$C366="",$D366="",$B366&lt;1300,$B366&gt;1500,$C366&lt;1,$C366&gt;12,$D366&lt;1,$D366&gt;31),"نامعتبر",RIGHT("0000"&amp;$B366,4)&amp;"/"&amp;RIGHT("00"&amp;$C366,2)&amp;"/"&amp;RIGHT("00"&amp;$D366,2)))</f>
        <v/>
      </c>
      <c r="F366">
        <f>IF($A366="","",IF(Issues!$D369="",0,Issues!$D369))</f>
        <v/>
      </c>
      <c r="G366">
        <f>IF($A366="","",Issues!$E369)</f>
        <v/>
      </c>
      <c r="H366">
        <f>IF($A366="","",IF(COUNTIFS(ETxnType,"پاس چک",ETxnChk,$A366)&gt;0,"پاس شده","پاس نشده"))</f>
        <v/>
      </c>
      <c r="I366">
        <f>IF($A366="","",IFERROR(INDEX(BClrDate,MATCH($A366,BClrChk,0)),""))</f>
        <v/>
      </c>
      <c r="J366">
        <f>IF($A366="","",Issues!$G369)</f>
        <v/>
      </c>
      <c r="K366">
        <f>IF(OR($E366="",$E366="نامعتبر"),"",LEFT($E366,4)&amp;MID($E366,6,2)&amp;RIGHT($E366,2)&amp;"|"&amp;RIGHT("00000"&amp;361,5))</f>
        <v/>
      </c>
      <c r="M366">
        <f>IF(Sync!$M366&lt;&gt;"پاس چک","",IF(Sync!$P366="","",Sync!$P366))</f>
        <v/>
      </c>
      <c r="N366">
        <f>IF($M366="","",IF(ISNUMBER(Sync!$L366),IF(AND(Sync!$L366&gt;=10000101,Sync!$L366&lt;=99991231),RIGHT("0000"&amp;INT(Sync!$L366/10000),4)&amp;"/"&amp;RIGHT("00"&amp;INT(MOD(Sync!$L366,10000)/100),2)&amp;"/"&amp;RIGHT("00"&amp;MOD(Sync!$L366,100),2),""),IFERROR(RIGHT("0000"&amp;VALUE(TRIM(LEFT(Sync!$L366,FIND("/",Sync!$L366)-1))),4)&amp;"/"&amp;RIGHT("00"&amp;VALUE(TRIM(LEFT(MID(Sync!$L366,FIND("/",Sync!$L366)+1,20),FIND("/",MID(Sync!$L366,FIND("/",Sync!$L366)+1,20))-1))),2)&amp;"/"&amp;RIGHT("00"&amp;VALUE(TRIM(MID(MID(Sync!$L366,FIND("/",Sync!$L366)+1,20),FIND("/",MID(Sync!$L366,FIND("/",Sync!$L366)+1,20))+1,20))),2),"")))</f>
        <v/>
      </c>
    </row>
    <row r="367">
      <c r="A367">
        <f>IF(Issues!$B370="","",Issues!$B370)</f>
        <v/>
      </c>
      <c r="B367">
        <f>IF($A367="","",IF(ISNUMBER(Issues!$C370),IF(AND(Issues!$C370&gt;=10000101,Issues!$C370&lt;=99991231),INT(Issues!$C370/10000),""),IFERROR(VALUE(TRIM(LEFT(Issues!$C370,FIND("/",Issues!$C370)-1))),"")))</f>
        <v/>
      </c>
      <c r="C367">
        <f>IF(OR($A367="",$B367=""),"",IF(ISNUMBER(Issues!$C370),INT(MOD(Issues!$C370,10000)/100),IFERROR(VALUE(TRIM(LEFT(MID(Issues!$C370,FIND("/",Issues!$C370)+1,20),FIND("/",MID(Issues!$C370,FIND("/",Issues!$C370)+1,20))-1))),"")))</f>
        <v/>
      </c>
      <c r="D367">
        <f>IF(OR($A367="",$B367=""),"",IF(ISNUMBER(Issues!$C370),MOD(Issues!$C370,100),IFERROR(VALUE(TRIM(MID(MID(Issues!$C370,FIND("/",Issues!$C370)+1,20),FIND("/",MID(Issues!$C370,FIND("/",Issues!$C370)+1,20))+1,20))),"")))</f>
        <v/>
      </c>
      <c r="E367">
        <f>IF($A367="","",IF(OR($B367="",$C367="",$D367="",$B367&lt;1300,$B367&gt;1500,$C367&lt;1,$C367&gt;12,$D367&lt;1,$D367&gt;31),"نامعتبر",RIGHT("0000"&amp;$B367,4)&amp;"/"&amp;RIGHT("00"&amp;$C367,2)&amp;"/"&amp;RIGHT("00"&amp;$D367,2)))</f>
        <v/>
      </c>
      <c r="F367">
        <f>IF($A367="","",IF(Issues!$D370="",0,Issues!$D370))</f>
        <v/>
      </c>
      <c r="G367">
        <f>IF($A367="","",Issues!$E370)</f>
        <v/>
      </c>
      <c r="H367">
        <f>IF($A367="","",IF(COUNTIFS(ETxnType,"پاس چک",ETxnChk,$A367)&gt;0,"پاس شده","پاس نشده"))</f>
        <v/>
      </c>
      <c r="I367">
        <f>IF($A367="","",IFERROR(INDEX(BClrDate,MATCH($A367,BClrChk,0)),""))</f>
        <v/>
      </c>
      <c r="J367">
        <f>IF($A367="","",Issues!$G370)</f>
        <v/>
      </c>
      <c r="K367">
        <f>IF(OR($E367="",$E367="نامعتبر"),"",LEFT($E367,4)&amp;MID($E367,6,2)&amp;RIGHT($E367,2)&amp;"|"&amp;RIGHT("00000"&amp;362,5))</f>
        <v/>
      </c>
      <c r="M367">
        <f>IF(Sync!$M367&lt;&gt;"پاس چک","",IF(Sync!$P367="","",Sync!$P367))</f>
        <v/>
      </c>
      <c r="N367">
        <f>IF($M367="","",IF(ISNUMBER(Sync!$L367),IF(AND(Sync!$L367&gt;=10000101,Sync!$L367&lt;=99991231),RIGHT("0000"&amp;INT(Sync!$L367/10000),4)&amp;"/"&amp;RIGHT("00"&amp;INT(MOD(Sync!$L367,10000)/100),2)&amp;"/"&amp;RIGHT("00"&amp;MOD(Sync!$L367,100),2),""),IFERROR(RIGHT("0000"&amp;VALUE(TRIM(LEFT(Sync!$L367,FIND("/",Sync!$L367)-1))),4)&amp;"/"&amp;RIGHT("00"&amp;VALUE(TRIM(LEFT(MID(Sync!$L367,FIND("/",Sync!$L367)+1,20),FIND("/",MID(Sync!$L367,FIND("/",Sync!$L367)+1,20))-1))),2)&amp;"/"&amp;RIGHT("00"&amp;VALUE(TRIM(MID(MID(Sync!$L367,FIND("/",Sync!$L367)+1,20),FIND("/",MID(Sync!$L367,FIND("/",Sync!$L367)+1,20))+1,20))),2),"")))</f>
        <v/>
      </c>
    </row>
    <row r="368">
      <c r="A368">
        <f>IF(Issues!$B371="","",Issues!$B371)</f>
        <v/>
      </c>
      <c r="B368">
        <f>IF($A368="","",IF(ISNUMBER(Issues!$C371),IF(AND(Issues!$C371&gt;=10000101,Issues!$C371&lt;=99991231),INT(Issues!$C371/10000),""),IFERROR(VALUE(TRIM(LEFT(Issues!$C371,FIND("/",Issues!$C371)-1))),"")))</f>
        <v/>
      </c>
      <c r="C368">
        <f>IF(OR($A368="",$B368=""),"",IF(ISNUMBER(Issues!$C371),INT(MOD(Issues!$C371,10000)/100),IFERROR(VALUE(TRIM(LEFT(MID(Issues!$C371,FIND("/",Issues!$C371)+1,20),FIND("/",MID(Issues!$C371,FIND("/",Issues!$C371)+1,20))-1))),"")))</f>
        <v/>
      </c>
      <c r="D368">
        <f>IF(OR($A368="",$B368=""),"",IF(ISNUMBER(Issues!$C371),MOD(Issues!$C371,100),IFERROR(VALUE(TRIM(MID(MID(Issues!$C371,FIND("/",Issues!$C371)+1,20),FIND("/",MID(Issues!$C371,FIND("/",Issues!$C371)+1,20))+1,20))),"")))</f>
        <v/>
      </c>
      <c r="E368">
        <f>IF($A368="","",IF(OR($B368="",$C368="",$D368="",$B368&lt;1300,$B368&gt;1500,$C368&lt;1,$C368&gt;12,$D368&lt;1,$D368&gt;31),"نامعتبر",RIGHT("0000"&amp;$B368,4)&amp;"/"&amp;RIGHT("00"&amp;$C368,2)&amp;"/"&amp;RIGHT("00"&amp;$D368,2)))</f>
        <v/>
      </c>
      <c r="F368">
        <f>IF($A368="","",IF(Issues!$D371="",0,Issues!$D371))</f>
        <v/>
      </c>
      <c r="G368">
        <f>IF($A368="","",Issues!$E371)</f>
        <v/>
      </c>
      <c r="H368">
        <f>IF($A368="","",IF(COUNTIFS(ETxnType,"پاس چک",ETxnChk,$A368)&gt;0,"پاس شده","پاس نشده"))</f>
        <v/>
      </c>
      <c r="I368">
        <f>IF($A368="","",IFERROR(INDEX(BClrDate,MATCH($A368,BClrChk,0)),""))</f>
        <v/>
      </c>
      <c r="J368">
        <f>IF($A368="","",Issues!$G371)</f>
        <v/>
      </c>
      <c r="K368">
        <f>IF(OR($E368="",$E368="نامعتبر"),"",LEFT($E368,4)&amp;MID($E368,6,2)&amp;RIGHT($E368,2)&amp;"|"&amp;RIGHT("00000"&amp;363,5))</f>
        <v/>
      </c>
      <c r="M368">
        <f>IF(Sync!$M368&lt;&gt;"پاس چک","",IF(Sync!$P368="","",Sync!$P368))</f>
        <v/>
      </c>
      <c r="N368">
        <f>IF($M368="","",IF(ISNUMBER(Sync!$L368),IF(AND(Sync!$L368&gt;=10000101,Sync!$L368&lt;=99991231),RIGHT("0000"&amp;INT(Sync!$L368/10000),4)&amp;"/"&amp;RIGHT("00"&amp;INT(MOD(Sync!$L368,10000)/100),2)&amp;"/"&amp;RIGHT("00"&amp;MOD(Sync!$L368,100),2),""),IFERROR(RIGHT("0000"&amp;VALUE(TRIM(LEFT(Sync!$L368,FIND("/",Sync!$L368)-1))),4)&amp;"/"&amp;RIGHT("00"&amp;VALUE(TRIM(LEFT(MID(Sync!$L368,FIND("/",Sync!$L368)+1,20),FIND("/",MID(Sync!$L368,FIND("/",Sync!$L368)+1,20))-1))),2)&amp;"/"&amp;RIGHT("00"&amp;VALUE(TRIM(MID(MID(Sync!$L368,FIND("/",Sync!$L368)+1,20),FIND("/",MID(Sync!$L368,FIND("/",Sync!$L368)+1,20))+1,20))),2),"")))</f>
        <v/>
      </c>
    </row>
    <row r="369">
      <c r="A369">
        <f>IF(Issues!$B372="","",Issues!$B372)</f>
        <v/>
      </c>
      <c r="B369">
        <f>IF($A369="","",IF(ISNUMBER(Issues!$C372),IF(AND(Issues!$C372&gt;=10000101,Issues!$C372&lt;=99991231),INT(Issues!$C372/10000),""),IFERROR(VALUE(TRIM(LEFT(Issues!$C372,FIND("/",Issues!$C372)-1))),"")))</f>
        <v/>
      </c>
      <c r="C369">
        <f>IF(OR($A369="",$B369=""),"",IF(ISNUMBER(Issues!$C372),INT(MOD(Issues!$C372,10000)/100),IFERROR(VALUE(TRIM(LEFT(MID(Issues!$C372,FIND("/",Issues!$C372)+1,20),FIND("/",MID(Issues!$C372,FIND("/",Issues!$C372)+1,20))-1))),"")))</f>
        <v/>
      </c>
      <c r="D369">
        <f>IF(OR($A369="",$B369=""),"",IF(ISNUMBER(Issues!$C372),MOD(Issues!$C372,100),IFERROR(VALUE(TRIM(MID(MID(Issues!$C372,FIND("/",Issues!$C372)+1,20),FIND("/",MID(Issues!$C372,FIND("/",Issues!$C372)+1,20))+1,20))),"")))</f>
        <v/>
      </c>
      <c r="E369">
        <f>IF($A369="","",IF(OR($B369="",$C369="",$D369="",$B369&lt;1300,$B369&gt;1500,$C369&lt;1,$C369&gt;12,$D369&lt;1,$D369&gt;31),"نامعتبر",RIGHT("0000"&amp;$B369,4)&amp;"/"&amp;RIGHT("00"&amp;$C369,2)&amp;"/"&amp;RIGHT("00"&amp;$D369,2)))</f>
        <v/>
      </c>
      <c r="F369">
        <f>IF($A369="","",IF(Issues!$D372="",0,Issues!$D372))</f>
        <v/>
      </c>
      <c r="G369">
        <f>IF($A369="","",Issues!$E372)</f>
        <v/>
      </c>
      <c r="H369">
        <f>IF($A369="","",IF(COUNTIFS(ETxnType,"پاس چک",ETxnChk,$A369)&gt;0,"پاس شده","پاس نشده"))</f>
        <v/>
      </c>
      <c r="I369">
        <f>IF($A369="","",IFERROR(INDEX(BClrDate,MATCH($A369,BClrChk,0)),""))</f>
        <v/>
      </c>
      <c r="J369">
        <f>IF($A369="","",Issues!$G372)</f>
        <v/>
      </c>
      <c r="K369">
        <f>IF(OR($E369="",$E369="نامعتبر"),"",LEFT($E369,4)&amp;MID($E369,6,2)&amp;RIGHT($E369,2)&amp;"|"&amp;RIGHT("00000"&amp;364,5))</f>
        <v/>
      </c>
      <c r="M369">
        <f>IF(Sync!$M369&lt;&gt;"پاس چک","",IF(Sync!$P369="","",Sync!$P369))</f>
        <v/>
      </c>
      <c r="N369">
        <f>IF($M369="","",IF(ISNUMBER(Sync!$L369),IF(AND(Sync!$L369&gt;=10000101,Sync!$L369&lt;=99991231),RIGHT("0000"&amp;INT(Sync!$L369/10000),4)&amp;"/"&amp;RIGHT("00"&amp;INT(MOD(Sync!$L369,10000)/100),2)&amp;"/"&amp;RIGHT("00"&amp;MOD(Sync!$L369,100),2),""),IFERROR(RIGHT("0000"&amp;VALUE(TRIM(LEFT(Sync!$L369,FIND("/",Sync!$L369)-1))),4)&amp;"/"&amp;RIGHT("00"&amp;VALUE(TRIM(LEFT(MID(Sync!$L369,FIND("/",Sync!$L369)+1,20),FIND("/",MID(Sync!$L369,FIND("/",Sync!$L369)+1,20))-1))),2)&amp;"/"&amp;RIGHT("00"&amp;VALUE(TRIM(MID(MID(Sync!$L369,FIND("/",Sync!$L369)+1,20),FIND("/",MID(Sync!$L369,FIND("/",Sync!$L369)+1,20))+1,20))),2),"")))</f>
        <v/>
      </c>
    </row>
    <row r="370">
      <c r="A370">
        <f>IF(Issues!$B373="","",Issues!$B373)</f>
        <v/>
      </c>
      <c r="B370">
        <f>IF($A370="","",IF(ISNUMBER(Issues!$C373),IF(AND(Issues!$C373&gt;=10000101,Issues!$C373&lt;=99991231),INT(Issues!$C373/10000),""),IFERROR(VALUE(TRIM(LEFT(Issues!$C373,FIND("/",Issues!$C373)-1))),"")))</f>
        <v/>
      </c>
      <c r="C370">
        <f>IF(OR($A370="",$B370=""),"",IF(ISNUMBER(Issues!$C373),INT(MOD(Issues!$C373,10000)/100),IFERROR(VALUE(TRIM(LEFT(MID(Issues!$C373,FIND("/",Issues!$C373)+1,20),FIND("/",MID(Issues!$C373,FIND("/",Issues!$C373)+1,20))-1))),"")))</f>
        <v/>
      </c>
      <c r="D370">
        <f>IF(OR($A370="",$B370=""),"",IF(ISNUMBER(Issues!$C373),MOD(Issues!$C373,100),IFERROR(VALUE(TRIM(MID(MID(Issues!$C373,FIND("/",Issues!$C373)+1,20),FIND("/",MID(Issues!$C373,FIND("/",Issues!$C373)+1,20))+1,20))),"")))</f>
        <v/>
      </c>
      <c r="E370">
        <f>IF($A370="","",IF(OR($B370="",$C370="",$D370="",$B370&lt;1300,$B370&gt;1500,$C370&lt;1,$C370&gt;12,$D370&lt;1,$D370&gt;31),"نامعتبر",RIGHT("0000"&amp;$B370,4)&amp;"/"&amp;RIGHT("00"&amp;$C370,2)&amp;"/"&amp;RIGHT("00"&amp;$D370,2)))</f>
        <v/>
      </c>
      <c r="F370">
        <f>IF($A370="","",IF(Issues!$D373="",0,Issues!$D373))</f>
        <v/>
      </c>
      <c r="G370">
        <f>IF($A370="","",Issues!$E373)</f>
        <v/>
      </c>
      <c r="H370">
        <f>IF($A370="","",IF(COUNTIFS(ETxnType,"پاس چک",ETxnChk,$A370)&gt;0,"پاس شده","پاس نشده"))</f>
        <v/>
      </c>
      <c r="I370">
        <f>IF($A370="","",IFERROR(INDEX(BClrDate,MATCH($A370,BClrChk,0)),""))</f>
        <v/>
      </c>
      <c r="J370">
        <f>IF($A370="","",Issues!$G373)</f>
        <v/>
      </c>
      <c r="K370">
        <f>IF(OR($E370="",$E370="نامعتبر"),"",LEFT($E370,4)&amp;MID($E370,6,2)&amp;RIGHT($E370,2)&amp;"|"&amp;RIGHT("00000"&amp;365,5))</f>
        <v/>
      </c>
      <c r="M370">
        <f>IF(Sync!$M370&lt;&gt;"پاس چک","",IF(Sync!$P370="","",Sync!$P370))</f>
        <v/>
      </c>
      <c r="N370">
        <f>IF($M370="","",IF(ISNUMBER(Sync!$L370),IF(AND(Sync!$L370&gt;=10000101,Sync!$L370&lt;=99991231),RIGHT("0000"&amp;INT(Sync!$L370/10000),4)&amp;"/"&amp;RIGHT("00"&amp;INT(MOD(Sync!$L370,10000)/100),2)&amp;"/"&amp;RIGHT("00"&amp;MOD(Sync!$L370,100),2),""),IFERROR(RIGHT("0000"&amp;VALUE(TRIM(LEFT(Sync!$L370,FIND("/",Sync!$L370)-1))),4)&amp;"/"&amp;RIGHT("00"&amp;VALUE(TRIM(LEFT(MID(Sync!$L370,FIND("/",Sync!$L370)+1,20),FIND("/",MID(Sync!$L370,FIND("/",Sync!$L370)+1,20))-1))),2)&amp;"/"&amp;RIGHT("00"&amp;VALUE(TRIM(MID(MID(Sync!$L370,FIND("/",Sync!$L370)+1,20),FIND("/",MID(Sync!$L370,FIND("/",Sync!$L370)+1,20))+1,20))),2),"")))</f>
        <v/>
      </c>
    </row>
    <row r="371">
      <c r="A371">
        <f>IF(Issues!$B374="","",Issues!$B374)</f>
        <v/>
      </c>
      <c r="B371">
        <f>IF($A371="","",IF(ISNUMBER(Issues!$C374),IF(AND(Issues!$C374&gt;=10000101,Issues!$C374&lt;=99991231),INT(Issues!$C374/10000),""),IFERROR(VALUE(TRIM(LEFT(Issues!$C374,FIND("/",Issues!$C374)-1))),"")))</f>
        <v/>
      </c>
      <c r="C371">
        <f>IF(OR($A371="",$B371=""),"",IF(ISNUMBER(Issues!$C374),INT(MOD(Issues!$C374,10000)/100),IFERROR(VALUE(TRIM(LEFT(MID(Issues!$C374,FIND("/",Issues!$C374)+1,20),FIND("/",MID(Issues!$C374,FIND("/",Issues!$C374)+1,20))-1))),"")))</f>
        <v/>
      </c>
      <c r="D371">
        <f>IF(OR($A371="",$B371=""),"",IF(ISNUMBER(Issues!$C374),MOD(Issues!$C374,100),IFERROR(VALUE(TRIM(MID(MID(Issues!$C374,FIND("/",Issues!$C374)+1,20),FIND("/",MID(Issues!$C374,FIND("/",Issues!$C374)+1,20))+1,20))),"")))</f>
        <v/>
      </c>
      <c r="E371">
        <f>IF($A371="","",IF(OR($B371="",$C371="",$D371="",$B371&lt;1300,$B371&gt;1500,$C371&lt;1,$C371&gt;12,$D371&lt;1,$D371&gt;31),"نامعتبر",RIGHT("0000"&amp;$B371,4)&amp;"/"&amp;RIGHT("00"&amp;$C371,2)&amp;"/"&amp;RIGHT("00"&amp;$D371,2)))</f>
        <v/>
      </c>
      <c r="F371">
        <f>IF($A371="","",IF(Issues!$D374="",0,Issues!$D374))</f>
        <v/>
      </c>
      <c r="G371">
        <f>IF($A371="","",Issues!$E374)</f>
        <v/>
      </c>
      <c r="H371">
        <f>IF($A371="","",IF(COUNTIFS(ETxnType,"پاس چک",ETxnChk,$A371)&gt;0,"پاس شده","پاس نشده"))</f>
        <v/>
      </c>
      <c r="I371">
        <f>IF($A371="","",IFERROR(INDEX(BClrDate,MATCH($A371,BClrChk,0)),""))</f>
        <v/>
      </c>
      <c r="J371">
        <f>IF($A371="","",Issues!$G374)</f>
        <v/>
      </c>
      <c r="K371">
        <f>IF(OR($E371="",$E371="نامعتبر"),"",LEFT($E371,4)&amp;MID($E371,6,2)&amp;RIGHT($E371,2)&amp;"|"&amp;RIGHT("00000"&amp;366,5))</f>
        <v/>
      </c>
      <c r="M371">
        <f>IF(Sync!$M371&lt;&gt;"پاس چک","",IF(Sync!$P371="","",Sync!$P371))</f>
        <v/>
      </c>
      <c r="N371">
        <f>IF($M371="","",IF(ISNUMBER(Sync!$L371),IF(AND(Sync!$L371&gt;=10000101,Sync!$L371&lt;=99991231),RIGHT("0000"&amp;INT(Sync!$L371/10000),4)&amp;"/"&amp;RIGHT("00"&amp;INT(MOD(Sync!$L371,10000)/100),2)&amp;"/"&amp;RIGHT("00"&amp;MOD(Sync!$L371,100),2),""),IFERROR(RIGHT("0000"&amp;VALUE(TRIM(LEFT(Sync!$L371,FIND("/",Sync!$L371)-1))),4)&amp;"/"&amp;RIGHT("00"&amp;VALUE(TRIM(LEFT(MID(Sync!$L371,FIND("/",Sync!$L371)+1,20),FIND("/",MID(Sync!$L371,FIND("/",Sync!$L371)+1,20))-1))),2)&amp;"/"&amp;RIGHT("00"&amp;VALUE(TRIM(MID(MID(Sync!$L371,FIND("/",Sync!$L371)+1,20),FIND("/",MID(Sync!$L371,FIND("/",Sync!$L371)+1,20))+1,20))),2),"")))</f>
        <v/>
      </c>
    </row>
    <row r="372">
      <c r="A372">
        <f>IF(Issues!$B375="","",Issues!$B375)</f>
        <v/>
      </c>
      <c r="B372">
        <f>IF($A372="","",IF(ISNUMBER(Issues!$C375),IF(AND(Issues!$C375&gt;=10000101,Issues!$C375&lt;=99991231),INT(Issues!$C375/10000),""),IFERROR(VALUE(TRIM(LEFT(Issues!$C375,FIND("/",Issues!$C375)-1))),"")))</f>
        <v/>
      </c>
      <c r="C372">
        <f>IF(OR($A372="",$B372=""),"",IF(ISNUMBER(Issues!$C375),INT(MOD(Issues!$C375,10000)/100),IFERROR(VALUE(TRIM(LEFT(MID(Issues!$C375,FIND("/",Issues!$C375)+1,20),FIND("/",MID(Issues!$C375,FIND("/",Issues!$C375)+1,20))-1))),"")))</f>
        <v/>
      </c>
      <c r="D372">
        <f>IF(OR($A372="",$B372=""),"",IF(ISNUMBER(Issues!$C375),MOD(Issues!$C375,100),IFERROR(VALUE(TRIM(MID(MID(Issues!$C375,FIND("/",Issues!$C375)+1,20),FIND("/",MID(Issues!$C375,FIND("/",Issues!$C375)+1,20))+1,20))),"")))</f>
        <v/>
      </c>
      <c r="E372">
        <f>IF($A372="","",IF(OR($B372="",$C372="",$D372="",$B372&lt;1300,$B372&gt;1500,$C372&lt;1,$C372&gt;12,$D372&lt;1,$D372&gt;31),"نامعتبر",RIGHT("0000"&amp;$B372,4)&amp;"/"&amp;RIGHT("00"&amp;$C372,2)&amp;"/"&amp;RIGHT("00"&amp;$D372,2)))</f>
        <v/>
      </c>
      <c r="F372">
        <f>IF($A372="","",IF(Issues!$D375="",0,Issues!$D375))</f>
        <v/>
      </c>
      <c r="G372">
        <f>IF($A372="","",Issues!$E375)</f>
        <v/>
      </c>
      <c r="H372">
        <f>IF($A372="","",IF(COUNTIFS(ETxnType,"پاس چک",ETxnChk,$A372)&gt;0,"پاس شده","پاس نشده"))</f>
        <v/>
      </c>
      <c r="I372">
        <f>IF($A372="","",IFERROR(INDEX(BClrDate,MATCH($A372,BClrChk,0)),""))</f>
        <v/>
      </c>
      <c r="J372">
        <f>IF($A372="","",Issues!$G375)</f>
        <v/>
      </c>
      <c r="K372">
        <f>IF(OR($E372="",$E372="نامعتبر"),"",LEFT($E372,4)&amp;MID($E372,6,2)&amp;RIGHT($E372,2)&amp;"|"&amp;RIGHT("00000"&amp;367,5))</f>
        <v/>
      </c>
      <c r="M372">
        <f>IF(Sync!$M372&lt;&gt;"پاس چک","",IF(Sync!$P372="","",Sync!$P372))</f>
        <v/>
      </c>
      <c r="N372">
        <f>IF($M372="","",IF(ISNUMBER(Sync!$L372),IF(AND(Sync!$L372&gt;=10000101,Sync!$L372&lt;=99991231),RIGHT("0000"&amp;INT(Sync!$L372/10000),4)&amp;"/"&amp;RIGHT("00"&amp;INT(MOD(Sync!$L372,10000)/100),2)&amp;"/"&amp;RIGHT("00"&amp;MOD(Sync!$L372,100),2),""),IFERROR(RIGHT("0000"&amp;VALUE(TRIM(LEFT(Sync!$L372,FIND("/",Sync!$L372)-1))),4)&amp;"/"&amp;RIGHT("00"&amp;VALUE(TRIM(LEFT(MID(Sync!$L372,FIND("/",Sync!$L372)+1,20),FIND("/",MID(Sync!$L372,FIND("/",Sync!$L372)+1,20))-1))),2)&amp;"/"&amp;RIGHT("00"&amp;VALUE(TRIM(MID(MID(Sync!$L372,FIND("/",Sync!$L372)+1,20),FIND("/",MID(Sync!$L372,FIND("/",Sync!$L372)+1,20))+1,20))),2),"")))</f>
        <v/>
      </c>
    </row>
    <row r="373">
      <c r="A373">
        <f>IF(Issues!$B376="","",Issues!$B376)</f>
        <v/>
      </c>
      <c r="B373">
        <f>IF($A373="","",IF(ISNUMBER(Issues!$C376),IF(AND(Issues!$C376&gt;=10000101,Issues!$C376&lt;=99991231),INT(Issues!$C376/10000),""),IFERROR(VALUE(TRIM(LEFT(Issues!$C376,FIND("/",Issues!$C376)-1))),"")))</f>
        <v/>
      </c>
      <c r="C373">
        <f>IF(OR($A373="",$B373=""),"",IF(ISNUMBER(Issues!$C376),INT(MOD(Issues!$C376,10000)/100),IFERROR(VALUE(TRIM(LEFT(MID(Issues!$C376,FIND("/",Issues!$C376)+1,20),FIND("/",MID(Issues!$C376,FIND("/",Issues!$C376)+1,20))-1))),"")))</f>
        <v/>
      </c>
      <c r="D373">
        <f>IF(OR($A373="",$B373=""),"",IF(ISNUMBER(Issues!$C376),MOD(Issues!$C376,100),IFERROR(VALUE(TRIM(MID(MID(Issues!$C376,FIND("/",Issues!$C376)+1,20),FIND("/",MID(Issues!$C376,FIND("/",Issues!$C376)+1,20))+1,20))),"")))</f>
        <v/>
      </c>
      <c r="E373">
        <f>IF($A373="","",IF(OR($B373="",$C373="",$D373="",$B373&lt;1300,$B373&gt;1500,$C373&lt;1,$C373&gt;12,$D373&lt;1,$D373&gt;31),"نامعتبر",RIGHT("0000"&amp;$B373,4)&amp;"/"&amp;RIGHT("00"&amp;$C373,2)&amp;"/"&amp;RIGHT("00"&amp;$D373,2)))</f>
        <v/>
      </c>
      <c r="F373">
        <f>IF($A373="","",IF(Issues!$D376="",0,Issues!$D376))</f>
        <v/>
      </c>
      <c r="G373">
        <f>IF($A373="","",Issues!$E376)</f>
        <v/>
      </c>
      <c r="H373">
        <f>IF($A373="","",IF(COUNTIFS(ETxnType,"پاس چک",ETxnChk,$A373)&gt;0,"پاس شده","پاس نشده"))</f>
        <v/>
      </c>
      <c r="I373">
        <f>IF($A373="","",IFERROR(INDEX(BClrDate,MATCH($A373,BClrChk,0)),""))</f>
        <v/>
      </c>
      <c r="J373">
        <f>IF($A373="","",Issues!$G376)</f>
        <v/>
      </c>
      <c r="K373">
        <f>IF(OR($E373="",$E373="نامعتبر"),"",LEFT($E373,4)&amp;MID($E373,6,2)&amp;RIGHT($E373,2)&amp;"|"&amp;RIGHT("00000"&amp;368,5))</f>
        <v/>
      </c>
      <c r="M373">
        <f>IF(Sync!$M373&lt;&gt;"پاس چک","",IF(Sync!$P373="","",Sync!$P373))</f>
        <v/>
      </c>
      <c r="N373">
        <f>IF($M373="","",IF(ISNUMBER(Sync!$L373),IF(AND(Sync!$L373&gt;=10000101,Sync!$L373&lt;=99991231),RIGHT("0000"&amp;INT(Sync!$L373/10000),4)&amp;"/"&amp;RIGHT("00"&amp;INT(MOD(Sync!$L373,10000)/100),2)&amp;"/"&amp;RIGHT("00"&amp;MOD(Sync!$L373,100),2),""),IFERROR(RIGHT("0000"&amp;VALUE(TRIM(LEFT(Sync!$L373,FIND("/",Sync!$L373)-1))),4)&amp;"/"&amp;RIGHT("00"&amp;VALUE(TRIM(LEFT(MID(Sync!$L373,FIND("/",Sync!$L373)+1,20),FIND("/",MID(Sync!$L373,FIND("/",Sync!$L373)+1,20))-1))),2)&amp;"/"&amp;RIGHT("00"&amp;VALUE(TRIM(MID(MID(Sync!$L373,FIND("/",Sync!$L373)+1,20),FIND("/",MID(Sync!$L373,FIND("/",Sync!$L373)+1,20))+1,20))),2),"")))</f>
        <v/>
      </c>
    </row>
    <row r="374">
      <c r="A374">
        <f>IF(Issues!$B377="","",Issues!$B377)</f>
        <v/>
      </c>
      <c r="B374">
        <f>IF($A374="","",IF(ISNUMBER(Issues!$C377),IF(AND(Issues!$C377&gt;=10000101,Issues!$C377&lt;=99991231),INT(Issues!$C377/10000),""),IFERROR(VALUE(TRIM(LEFT(Issues!$C377,FIND("/",Issues!$C377)-1))),"")))</f>
        <v/>
      </c>
      <c r="C374">
        <f>IF(OR($A374="",$B374=""),"",IF(ISNUMBER(Issues!$C377),INT(MOD(Issues!$C377,10000)/100),IFERROR(VALUE(TRIM(LEFT(MID(Issues!$C377,FIND("/",Issues!$C377)+1,20),FIND("/",MID(Issues!$C377,FIND("/",Issues!$C377)+1,20))-1))),"")))</f>
        <v/>
      </c>
      <c r="D374">
        <f>IF(OR($A374="",$B374=""),"",IF(ISNUMBER(Issues!$C377),MOD(Issues!$C377,100),IFERROR(VALUE(TRIM(MID(MID(Issues!$C377,FIND("/",Issues!$C377)+1,20),FIND("/",MID(Issues!$C377,FIND("/",Issues!$C377)+1,20))+1,20))),"")))</f>
        <v/>
      </c>
      <c r="E374">
        <f>IF($A374="","",IF(OR($B374="",$C374="",$D374="",$B374&lt;1300,$B374&gt;1500,$C374&lt;1,$C374&gt;12,$D374&lt;1,$D374&gt;31),"نامعتبر",RIGHT("0000"&amp;$B374,4)&amp;"/"&amp;RIGHT("00"&amp;$C374,2)&amp;"/"&amp;RIGHT("00"&amp;$D374,2)))</f>
        <v/>
      </c>
      <c r="F374">
        <f>IF($A374="","",IF(Issues!$D377="",0,Issues!$D377))</f>
        <v/>
      </c>
      <c r="G374">
        <f>IF($A374="","",Issues!$E377)</f>
        <v/>
      </c>
      <c r="H374">
        <f>IF($A374="","",IF(COUNTIFS(ETxnType,"پاس چک",ETxnChk,$A374)&gt;0,"پاس شده","پاس نشده"))</f>
        <v/>
      </c>
      <c r="I374">
        <f>IF($A374="","",IFERROR(INDEX(BClrDate,MATCH($A374,BClrChk,0)),""))</f>
        <v/>
      </c>
      <c r="J374">
        <f>IF($A374="","",Issues!$G377)</f>
        <v/>
      </c>
      <c r="K374">
        <f>IF(OR($E374="",$E374="نامعتبر"),"",LEFT($E374,4)&amp;MID($E374,6,2)&amp;RIGHT($E374,2)&amp;"|"&amp;RIGHT("00000"&amp;369,5))</f>
        <v/>
      </c>
      <c r="M374">
        <f>IF(Sync!$M374&lt;&gt;"پاس چک","",IF(Sync!$P374="","",Sync!$P374))</f>
        <v/>
      </c>
      <c r="N374">
        <f>IF($M374="","",IF(ISNUMBER(Sync!$L374),IF(AND(Sync!$L374&gt;=10000101,Sync!$L374&lt;=99991231),RIGHT("0000"&amp;INT(Sync!$L374/10000),4)&amp;"/"&amp;RIGHT("00"&amp;INT(MOD(Sync!$L374,10000)/100),2)&amp;"/"&amp;RIGHT("00"&amp;MOD(Sync!$L374,100),2),""),IFERROR(RIGHT("0000"&amp;VALUE(TRIM(LEFT(Sync!$L374,FIND("/",Sync!$L374)-1))),4)&amp;"/"&amp;RIGHT("00"&amp;VALUE(TRIM(LEFT(MID(Sync!$L374,FIND("/",Sync!$L374)+1,20),FIND("/",MID(Sync!$L374,FIND("/",Sync!$L374)+1,20))-1))),2)&amp;"/"&amp;RIGHT("00"&amp;VALUE(TRIM(MID(MID(Sync!$L374,FIND("/",Sync!$L374)+1,20),FIND("/",MID(Sync!$L374,FIND("/",Sync!$L374)+1,20))+1,20))),2),"")))</f>
        <v/>
      </c>
    </row>
    <row r="375">
      <c r="A375">
        <f>IF(Issues!$B378="","",Issues!$B378)</f>
        <v/>
      </c>
      <c r="B375">
        <f>IF($A375="","",IF(ISNUMBER(Issues!$C378),IF(AND(Issues!$C378&gt;=10000101,Issues!$C378&lt;=99991231),INT(Issues!$C378/10000),""),IFERROR(VALUE(TRIM(LEFT(Issues!$C378,FIND("/",Issues!$C378)-1))),"")))</f>
        <v/>
      </c>
      <c r="C375">
        <f>IF(OR($A375="",$B375=""),"",IF(ISNUMBER(Issues!$C378),INT(MOD(Issues!$C378,10000)/100),IFERROR(VALUE(TRIM(LEFT(MID(Issues!$C378,FIND("/",Issues!$C378)+1,20),FIND("/",MID(Issues!$C378,FIND("/",Issues!$C378)+1,20))-1))),"")))</f>
        <v/>
      </c>
      <c r="D375">
        <f>IF(OR($A375="",$B375=""),"",IF(ISNUMBER(Issues!$C378),MOD(Issues!$C378,100),IFERROR(VALUE(TRIM(MID(MID(Issues!$C378,FIND("/",Issues!$C378)+1,20),FIND("/",MID(Issues!$C378,FIND("/",Issues!$C378)+1,20))+1,20))),"")))</f>
        <v/>
      </c>
      <c r="E375">
        <f>IF($A375="","",IF(OR($B375="",$C375="",$D375="",$B375&lt;1300,$B375&gt;1500,$C375&lt;1,$C375&gt;12,$D375&lt;1,$D375&gt;31),"نامعتبر",RIGHT("0000"&amp;$B375,4)&amp;"/"&amp;RIGHT("00"&amp;$C375,2)&amp;"/"&amp;RIGHT("00"&amp;$D375,2)))</f>
        <v/>
      </c>
      <c r="F375">
        <f>IF($A375="","",IF(Issues!$D378="",0,Issues!$D378))</f>
        <v/>
      </c>
      <c r="G375">
        <f>IF($A375="","",Issues!$E378)</f>
        <v/>
      </c>
      <c r="H375">
        <f>IF($A375="","",IF(COUNTIFS(ETxnType,"پاس چک",ETxnChk,$A375)&gt;0,"پاس شده","پاس نشده"))</f>
        <v/>
      </c>
      <c r="I375">
        <f>IF($A375="","",IFERROR(INDEX(BClrDate,MATCH($A375,BClrChk,0)),""))</f>
        <v/>
      </c>
      <c r="J375">
        <f>IF($A375="","",Issues!$G378)</f>
        <v/>
      </c>
      <c r="K375">
        <f>IF(OR($E375="",$E375="نامعتبر"),"",LEFT($E375,4)&amp;MID($E375,6,2)&amp;RIGHT($E375,2)&amp;"|"&amp;RIGHT("00000"&amp;370,5))</f>
        <v/>
      </c>
      <c r="M375">
        <f>IF(Sync!$M375&lt;&gt;"پاس چک","",IF(Sync!$P375="","",Sync!$P375))</f>
        <v/>
      </c>
      <c r="N375">
        <f>IF($M375="","",IF(ISNUMBER(Sync!$L375),IF(AND(Sync!$L375&gt;=10000101,Sync!$L375&lt;=99991231),RIGHT("0000"&amp;INT(Sync!$L375/10000),4)&amp;"/"&amp;RIGHT("00"&amp;INT(MOD(Sync!$L375,10000)/100),2)&amp;"/"&amp;RIGHT("00"&amp;MOD(Sync!$L375,100),2),""),IFERROR(RIGHT("0000"&amp;VALUE(TRIM(LEFT(Sync!$L375,FIND("/",Sync!$L375)-1))),4)&amp;"/"&amp;RIGHT("00"&amp;VALUE(TRIM(LEFT(MID(Sync!$L375,FIND("/",Sync!$L375)+1,20),FIND("/",MID(Sync!$L375,FIND("/",Sync!$L375)+1,20))-1))),2)&amp;"/"&amp;RIGHT("00"&amp;VALUE(TRIM(MID(MID(Sync!$L375,FIND("/",Sync!$L375)+1,20),FIND("/",MID(Sync!$L375,FIND("/",Sync!$L375)+1,20))+1,20))),2),"")))</f>
        <v/>
      </c>
    </row>
    <row r="376">
      <c r="A376">
        <f>IF(Issues!$B379="","",Issues!$B379)</f>
        <v/>
      </c>
      <c r="B376">
        <f>IF($A376="","",IF(ISNUMBER(Issues!$C379),IF(AND(Issues!$C379&gt;=10000101,Issues!$C379&lt;=99991231),INT(Issues!$C379/10000),""),IFERROR(VALUE(TRIM(LEFT(Issues!$C379,FIND("/",Issues!$C379)-1))),"")))</f>
        <v/>
      </c>
      <c r="C376">
        <f>IF(OR($A376="",$B376=""),"",IF(ISNUMBER(Issues!$C379),INT(MOD(Issues!$C379,10000)/100),IFERROR(VALUE(TRIM(LEFT(MID(Issues!$C379,FIND("/",Issues!$C379)+1,20),FIND("/",MID(Issues!$C379,FIND("/",Issues!$C379)+1,20))-1))),"")))</f>
        <v/>
      </c>
      <c r="D376">
        <f>IF(OR($A376="",$B376=""),"",IF(ISNUMBER(Issues!$C379),MOD(Issues!$C379,100),IFERROR(VALUE(TRIM(MID(MID(Issues!$C379,FIND("/",Issues!$C379)+1,20),FIND("/",MID(Issues!$C379,FIND("/",Issues!$C379)+1,20))+1,20))),"")))</f>
        <v/>
      </c>
      <c r="E376">
        <f>IF($A376="","",IF(OR($B376="",$C376="",$D376="",$B376&lt;1300,$B376&gt;1500,$C376&lt;1,$C376&gt;12,$D376&lt;1,$D376&gt;31),"نامعتبر",RIGHT("0000"&amp;$B376,4)&amp;"/"&amp;RIGHT("00"&amp;$C376,2)&amp;"/"&amp;RIGHT("00"&amp;$D376,2)))</f>
        <v/>
      </c>
      <c r="F376">
        <f>IF($A376="","",IF(Issues!$D379="",0,Issues!$D379))</f>
        <v/>
      </c>
      <c r="G376">
        <f>IF($A376="","",Issues!$E379)</f>
        <v/>
      </c>
      <c r="H376">
        <f>IF($A376="","",IF(COUNTIFS(ETxnType,"پاس چک",ETxnChk,$A376)&gt;0,"پاس شده","پاس نشده"))</f>
        <v/>
      </c>
      <c r="I376">
        <f>IF($A376="","",IFERROR(INDEX(BClrDate,MATCH($A376,BClrChk,0)),""))</f>
        <v/>
      </c>
      <c r="J376">
        <f>IF($A376="","",Issues!$G379)</f>
        <v/>
      </c>
      <c r="K376">
        <f>IF(OR($E376="",$E376="نامعتبر"),"",LEFT($E376,4)&amp;MID($E376,6,2)&amp;RIGHT($E376,2)&amp;"|"&amp;RIGHT("00000"&amp;371,5))</f>
        <v/>
      </c>
      <c r="M376">
        <f>IF(Sync!$M376&lt;&gt;"پاس چک","",IF(Sync!$P376="","",Sync!$P376))</f>
        <v/>
      </c>
      <c r="N376">
        <f>IF($M376="","",IF(ISNUMBER(Sync!$L376),IF(AND(Sync!$L376&gt;=10000101,Sync!$L376&lt;=99991231),RIGHT("0000"&amp;INT(Sync!$L376/10000),4)&amp;"/"&amp;RIGHT("00"&amp;INT(MOD(Sync!$L376,10000)/100),2)&amp;"/"&amp;RIGHT("00"&amp;MOD(Sync!$L376,100),2),""),IFERROR(RIGHT("0000"&amp;VALUE(TRIM(LEFT(Sync!$L376,FIND("/",Sync!$L376)-1))),4)&amp;"/"&amp;RIGHT("00"&amp;VALUE(TRIM(LEFT(MID(Sync!$L376,FIND("/",Sync!$L376)+1,20),FIND("/",MID(Sync!$L376,FIND("/",Sync!$L376)+1,20))-1))),2)&amp;"/"&amp;RIGHT("00"&amp;VALUE(TRIM(MID(MID(Sync!$L376,FIND("/",Sync!$L376)+1,20),FIND("/",MID(Sync!$L376,FIND("/",Sync!$L376)+1,20))+1,20))),2),"")))</f>
        <v/>
      </c>
    </row>
    <row r="377">
      <c r="A377">
        <f>IF(Issues!$B380="","",Issues!$B380)</f>
        <v/>
      </c>
      <c r="B377">
        <f>IF($A377="","",IF(ISNUMBER(Issues!$C380),IF(AND(Issues!$C380&gt;=10000101,Issues!$C380&lt;=99991231),INT(Issues!$C380/10000),""),IFERROR(VALUE(TRIM(LEFT(Issues!$C380,FIND("/",Issues!$C380)-1))),"")))</f>
        <v/>
      </c>
      <c r="C377">
        <f>IF(OR($A377="",$B377=""),"",IF(ISNUMBER(Issues!$C380),INT(MOD(Issues!$C380,10000)/100),IFERROR(VALUE(TRIM(LEFT(MID(Issues!$C380,FIND("/",Issues!$C380)+1,20),FIND("/",MID(Issues!$C380,FIND("/",Issues!$C380)+1,20))-1))),"")))</f>
        <v/>
      </c>
      <c r="D377">
        <f>IF(OR($A377="",$B377=""),"",IF(ISNUMBER(Issues!$C380),MOD(Issues!$C380,100),IFERROR(VALUE(TRIM(MID(MID(Issues!$C380,FIND("/",Issues!$C380)+1,20),FIND("/",MID(Issues!$C380,FIND("/",Issues!$C380)+1,20))+1,20))),"")))</f>
        <v/>
      </c>
      <c r="E377">
        <f>IF($A377="","",IF(OR($B377="",$C377="",$D377="",$B377&lt;1300,$B377&gt;1500,$C377&lt;1,$C377&gt;12,$D377&lt;1,$D377&gt;31),"نامعتبر",RIGHT("0000"&amp;$B377,4)&amp;"/"&amp;RIGHT("00"&amp;$C377,2)&amp;"/"&amp;RIGHT("00"&amp;$D377,2)))</f>
        <v/>
      </c>
      <c r="F377">
        <f>IF($A377="","",IF(Issues!$D380="",0,Issues!$D380))</f>
        <v/>
      </c>
      <c r="G377">
        <f>IF($A377="","",Issues!$E380)</f>
        <v/>
      </c>
      <c r="H377">
        <f>IF($A377="","",IF(COUNTIFS(ETxnType,"پاس چک",ETxnChk,$A377)&gt;0,"پاس شده","پاس نشده"))</f>
        <v/>
      </c>
      <c r="I377">
        <f>IF($A377="","",IFERROR(INDEX(BClrDate,MATCH($A377,BClrChk,0)),""))</f>
        <v/>
      </c>
      <c r="J377">
        <f>IF($A377="","",Issues!$G380)</f>
        <v/>
      </c>
      <c r="K377">
        <f>IF(OR($E377="",$E377="نامعتبر"),"",LEFT($E377,4)&amp;MID($E377,6,2)&amp;RIGHT($E377,2)&amp;"|"&amp;RIGHT("00000"&amp;372,5))</f>
        <v/>
      </c>
      <c r="M377">
        <f>IF(Sync!$M377&lt;&gt;"پاس چک","",IF(Sync!$P377="","",Sync!$P377))</f>
        <v/>
      </c>
      <c r="N377">
        <f>IF($M377="","",IF(ISNUMBER(Sync!$L377),IF(AND(Sync!$L377&gt;=10000101,Sync!$L377&lt;=99991231),RIGHT("0000"&amp;INT(Sync!$L377/10000),4)&amp;"/"&amp;RIGHT("00"&amp;INT(MOD(Sync!$L377,10000)/100),2)&amp;"/"&amp;RIGHT("00"&amp;MOD(Sync!$L377,100),2),""),IFERROR(RIGHT("0000"&amp;VALUE(TRIM(LEFT(Sync!$L377,FIND("/",Sync!$L377)-1))),4)&amp;"/"&amp;RIGHT("00"&amp;VALUE(TRIM(LEFT(MID(Sync!$L377,FIND("/",Sync!$L377)+1,20),FIND("/",MID(Sync!$L377,FIND("/",Sync!$L377)+1,20))-1))),2)&amp;"/"&amp;RIGHT("00"&amp;VALUE(TRIM(MID(MID(Sync!$L377,FIND("/",Sync!$L377)+1,20),FIND("/",MID(Sync!$L377,FIND("/",Sync!$L377)+1,20))+1,20))),2),"")))</f>
        <v/>
      </c>
    </row>
    <row r="378">
      <c r="A378">
        <f>IF(Issues!$B381="","",Issues!$B381)</f>
        <v/>
      </c>
      <c r="B378">
        <f>IF($A378="","",IF(ISNUMBER(Issues!$C381),IF(AND(Issues!$C381&gt;=10000101,Issues!$C381&lt;=99991231),INT(Issues!$C381/10000),""),IFERROR(VALUE(TRIM(LEFT(Issues!$C381,FIND("/",Issues!$C381)-1))),"")))</f>
        <v/>
      </c>
      <c r="C378">
        <f>IF(OR($A378="",$B378=""),"",IF(ISNUMBER(Issues!$C381),INT(MOD(Issues!$C381,10000)/100),IFERROR(VALUE(TRIM(LEFT(MID(Issues!$C381,FIND("/",Issues!$C381)+1,20),FIND("/",MID(Issues!$C381,FIND("/",Issues!$C381)+1,20))-1))),"")))</f>
        <v/>
      </c>
      <c r="D378">
        <f>IF(OR($A378="",$B378=""),"",IF(ISNUMBER(Issues!$C381),MOD(Issues!$C381,100),IFERROR(VALUE(TRIM(MID(MID(Issues!$C381,FIND("/",Issues!$C381)+1,20),FIND("/",MID(Issues!$C381,FIND("/",Issues!$C381)+1,20))+1,20))),"")))</f>
        <v/>
      </c>
      <c r="E378">
        <f>IF($A378="","",IF(OR($B378="",$C378="",$D378="",$B378&lt;1300,$B378&gt;1500,$C378&lt;1,$C378&gt;12,$D378&lt;1,$D378&gt;31),"نامعتبر",RIGHT("0000"&amp;$B378,4)&amp;"/"&amp;RIGHT("00"&amp;$C378,2)&amp;"/"&amp;RIGHT("00"&amp;$D378,2)))</f>
        <v/>
      </c>
      <c r="F378">
        <f>IF($A378="","",IF(Issues!$D381="",0,Issues!$D381))</f>
        <v/>
      </c>
      <c r="G378">
        <f>IF($A378="","",Issues!$E381)</f>
        <v/>
      </c>
      <c r="H378">
        <f>IF($A378="","",IF(COUNTIFS(ETxnType,"پاس چک",ETxnChk,$A378)&gt;0,"پاس شده","پاس نشده"))</f>
        <v/>
      </c>
      <c r="I378">
        <f>IF($A378="","",IFERROR(INDEX(BClrDate,MATCH($A378,BClrChk,0)),""))</f>
        <v/>
      </c>
      <c r="J378">
        <f>IF($A378="","",Issues!$G381)</f>
        <v/>
      </c>
      <c r="K378">
        <f>IF(OR($E378="",$E378="نامعتبر"),"",LEFT($E378,4)&amp;MID($E378,6,2)&amp;RIGHT($E378,2)&amp;"|"&amp;RIGHT("00000"&amp;373,5))</f>
        <v/>
      </c>
      <c r="M378">
        <f>IF(Sync!$M378&lt;&gt;"پاس چک","",IF(Sync!$P378="","",Sync!$P378))</f>
        <v/>
      </c>
      <c r="N378">
        <f>IF($M378="","",IF(ISNUMBER(Sync!$L378),IF(AND(Sync!$L378&gt;=10000101,Sync!$L378&lt;=99991231),RIGHT("0000"&amp;INT(Sync!$L378/10000),4)&amp;"/"&amp;RIGHT("00"&amp;INT(MOD(Sync!$L378,10000)/100),2)&amp;"/"&amp;RIGHT("00"&amp;MOD(Sync!$L378,100),2),""),IFERROR(RIGHT("0000"&amp;VALUE(TRIM(LEFT(Sync!$L378,FIND("/",Sync!$L378)-1))),4)&amp;"/"&amp;RIGHT("00"&amp;VALUE(TRIM(LEFT(MID(Sync!$L378,FIND("/",Sync!$L378)+1,20),FIND("/",MID(Sync!$L378,FIND("/",Sync!$L378)+1,20))-1))),2)&amp;"/"&amp;RIGHT("00"&amp;VALUE(TRIM(MID(MID(Sync!$L378,FIND("/",Sync!$L378)+1,20),FIND("/",MID(Sync!$L378,FIND("/",Sync!$L378)+1,20))+1,20))),2),"")))</f>
        <v/>
      </c>
    </row>
    <row r="379">
      <c r="A379">
        <f>IF(Issues!$B382="","",Issues!$B382)</f>
        <v/>
      </c>
      <c r="B379">
        <f>IF($A379="","",IF(ISNUMBER(Issues!$C382),IF(AND(Issues!$C382&gt;=10000101,Issues!$C382&lt;=99991231),INT(Issues!$C382/10000),""),IFERROR(VALUE(TRIM(LEFT(Issues!$C382,FIND("/",Issues!$C382)-1))),"")))</f>
        <v/>
      </c>
      <c r="C379">
        <f>IF(OR($A379="",$B379=""),"",IF(ISNUMBER(Issues!$C382),INT(MOD(Issues!$C382,10000)/100),IFERROR(VALUE(TRIM(LEFT(MID(Issues!$C382,FIND("/",Issues!$C382)+1,20),FIND("/",MID(Issues!$C382,FIND("/",Issues!$C382)+1,20))-1))),"")))</f>
        <v/>
      </c>
      <c r="D379">
        <f>IF(OR($A379="",$B379=""),"",IF(ISNUMBER(Issues!$C382),MOD(Issues!$C382,100),IFERROR(VALUE(TRIM(MID(MID(Issues!$C382,FIND("/",Issues!$C382)+1,20),FIND("/",MID(Issues!$C382,FIND("/",Issues!$C382)+1,20))+1,20))),"")))</f>
        <v/>
      </c>
      <c r="E379">
        <f>IF($A379="","",IF(OR($B379="",$C379="",$D379="",$B379&lt;1300,$B379&gt;1500,$C379&lt;1,$C379&gt;12,$D379&lt;1,$D379&gt;31),"نامعتبر",RIGHT("0000"&amp;$B379,4)&amp;"/"&amp;RIGHT("00"&amp;$C379,2)&amp;"/"&amp;RIGHT("00"&amp;$D379,2)))</f>
        <v/>
      </c>
      <c r="F379">
        <f>IF($A379="","",IF(Issues!$D382="",0,Issues!$D382))</f>
        <v/>
      </c>
      <c r="G379">
        <f>IF($A379="","",Issues!$E382)</f>
        <v/>
      </c>
      <c r="H379">
        <f>IF($A379="","",IF(COUNTIFS(ETxnType,"پاس چک",ETxnChk,$A379)&gt;0,"پاس شده","پاس نشده"))</f>
        <v/>
      </c>
      <c r="I379">
        <f>IF($A379="","",IFERROR(INDEX(BClrDate,MATCH($A379,BClrChk,0)),""))</f>
        <v/>
      </c>
      <c r="J379">
        <f>IF($A379="","",Issues!$G382)</f>
        <v/>
      </c>
      <c r="K379">
        <f>IF(OR($E379="",$E379="نامعتبر"),"",LEFT($E379,4)&amp;MID($E379,6,2)&amp;RIGHT($E379,2)&amp;"|"&amp;RIGHT("00000"&amp;374,5))</f>
        <v/>
      </c>
      <c r="M379">
        <f>IF(Sync!$M379&lt;&gt;"پاس چک","",IF(Sync!$P379="","",Sync!$P379))</f>
        <v/>
      </c>
      <c r="N379">
        <f>IF($M379="","",IF(ISNUMBER(Sync!$L379),IF(AND(Sync!$L379&gt;=10000101,Sync!$L379&lt;=99991231),RIGHT("0000"&amp;INT(Sync!$L379/10000),4)&amp;"/"&amp;RIGHT("00"&amp;INT(MOD(Sync!$L379,10000)/100),2)&amp;"/"&amp;RIGHT("00"&amp;MOD(Sync!$L379,100),2),""),IFERROR(RIGHT("0000"&amp;VALUE(TRIM(LEFT(Sync!$L379,FIND("/",Sync!$L379)-1))),4)&amp;"/"&amp;RIGHT("00"&amp;VALUE(TRIM(LEFT(MID(Sync!$L379,FIND("/",Sync!$L379)+1,20),FIND("/",MID(Sync!$L379,FIND("/",Sync!$L379)+1,20))-1))),2)&amp;"/"&amp;RIGHT("00"&amp;VALUE(TRIM(MID(MID(Sync!$L379,FIND("/",Sync!$L379)+1,20),FIND("/",MID(Sync!$L379,FIND("/",Sync!$L379)+1,20))+1,20))),2),"")))</f>
        <v/>
      </c>
    </row>
    <row r="380">
      <c r="A380">
        <f>IF(Issues!$B383="","",Issues!$B383)</f>
        <v/>
      </c>
      <c r="B380">
        <f>IF($A380="","",IF(ISNUMBER(Issues!$C383),IF(AND(Issues!$C383&gt;=10000101,Issues!$C383&lt;=99991231),INT(Issues!$C383/10000),""),IFERROR(VALUE(TRIM(LEFT(Issues!$C383,FIND("/",Issues!$C383)-1))),"")))</f>
        <v/>
      </c>
      <c r="C380">
        <f>IF(OR($A380="",$B380=""),"",IF(ISNUMBER(Issues!$C383),INT(MOD(Issues!$C383,10000)/100),IFERROR(VALUE(TRIM(LEFT(MID(Issues!$C383,FIND("/",Issues!$C383)+1,20),FIND("/",MID(Issues!$C383,FIND("/",Issues!$C383)+1,20))-1))),"")))</f>
        <v/>
      </c>
      <c r="D380">
        <f>IF(OR($A380="",$B380=""),"",IF(ISNUMBER(Issues!$C383),MOD(Issues!$C383,100),IFERROR(VALUE(TRIM(MID(MID(Issues!$C383,FIND("/",Issues!$C383)+1,20),FIND("/",MID(Issues!$C383,FIND("/",Issues!$C383)+1,20))+1,20))),"")))</f>
        <v/>
      </c>
      <c r="E380">
        <f>IF($A380="","",IF(OR($B380="",$C380="",$D380="",$B380&lt;1300,$B380&gt;1500,$C380&lt;1,$C380&gt;12,$D380&lt;1,$D380&gt;31),"نامعتبر",RIGHT("0000"&amp;$B380,4)&amp;"/"&amp;RIGHT("00"&amp;$C380,2)&amp;"/"&amp;RIGHT("00"&amp;$D380,2)))</f>
        <v/>
      </c>
      <c r="F380">
        <f>IF($A380="","",IF(Issues!$D383="",0,Issues!$D383))</f>
        <v/>
      </c>
      <c r="G380">
        <f>IF($A380="","",Issues!$E383)</f>
        <v/>
      </c>
      <c r="H380">
        <f>IF($A380="","",IF(COUNTIFS(ETxnType,"پاس چک",ETxnChk,$A380)&gt;0,"پاس شده","پاس نشده"))</f>
        <v/>
      </c>
      <c r="I380">
        <f>IF($A380="","",IFERROR(INDEX(BClrDate,MATCH($A380,BClrChk,0)),""))</f>
        <v/>
      </c>
      <c r="J380">
        <f>IF($A380="","",Issues!$G383)</f>
        <v/>
      </c>
      <c r="K380">
        <f>IF(OR($E380="",$E380="نامعتبر"),"",LEFT($E380,4)&amp;MID($E380,6,2)&amp;RIGHT($E380,2)&amp;"|"&amp;RIGHT("00000"&amp;375,5))</f>
        <v/>
      </c>
      <c r="M380">
        <f>IF(Sync!$M380&lt;&gt;"پاس چک","",IF(Sync!$P380="","",Sync!$P380))</f>
        <v/>
      </c>
      <c r="N380">
        <f>IF($M380="","",IF(ISNUMBER(Sync!$L380),IF(AND(Sync!$L380&gt;=10000101,Sync!$L380&lt;=99991231),RIGHT("0000"&amp;INT(Sync!$L380/10000),4)&amp;"/"&amp;RIGHT("00"&amp;INT(MOD(Sync!$L380,10000)/100),2)&amp;"/"&amp;RIGHT("00"&amp;MOD(Sync!$L380,100),2),""),IFERROR(RIGHT("0000"&amp;VALUE(TRIM(LEFT(Sync!$L380,FIND("/",Sync!$L380)-1))),4)&amp;"/"&amp;RIGHT("00"&amp;VALUE(TRIM(LEFT(MID(Sync!$L380,FIND("/",Sync!$L380)+1,20),FIND("/",MID(Sync!$L380,FIND("/",Sync!$L380)+1,20))-1))),2)&amp;"/"&amp;RIGHT("00"&amp;VALUE(TRIM(MID(MID(Sync!$L380,FIND("/",Sync!$L380)+1,20),FIND("/",MID(Sync!$L380,FIND("/",Sync!$L380)+1,20))+1,20))),2),"")))</f>
        <v/>
      </c>
    </row>
    <row r="381">
      <c r="A381">
        <f>IF(Issues!$B384="","",Issues!$B384)</f>
        <v/>
      </c>
      <c r="B381">
        <f>IF($A381="","",IF(ISNUMBER(Issues!$C384),IF(AND(Issues!$C384&gt;=10000101,Issues!$C384&lt;=99991231),INT(Issues!$C384/10000),""),IFERROR(VALUE(TRIM(LEFT(Issues!$C384,FIND("/",Issues!$C384)-1))),"")))</f>
        <v/>
      </c>
      <c r="C381">
        <f>IF(OR($A381="",$B381=""),"",IF(ISNUMBER(Issues!$C384),INT(MOD(Issues!$C384,10000)/100),IFERROR(VALUE(TRIM(LEFT(MID(Issues!$C384,FIND("/",Issues!$C384)+1,20),FIND("/",MID(Issues!$C384,FIND("/",Issues!$C384)+1,20))-1))),"")))</f>
        <v/>
      </c>
      <c r="D381">
        <f>IF(OR($A381="",$B381=""),"",IF(ISNUMBER(Issues!$C384),MOD(Issues!$C384,100),IFERROR(VALUE(TRIM(MID(MID(Issues!$C384,FIND("/",Issues!$C384)+1,20),FIND("/",MID(Issues!$C384,FIND("/",Issues!$C384)+1,20))+1,20))),"")))</f>
        <v/>
      </c>
      <c r="E381">
        <f>IF($A381="","",IF(OR($B381="",$C381="",$D381="",$B381&lt;1300,$B381&gt;1500,$C381&lt;1,$C381&gt;12,$D381&lt;1,$D381&gt;31),"نامعتبر",RIGHT("0000"&amp;$B381,4)&amp;"/"&amp;RIGHT("00"&amp;$C381,2)&amp;"/"&amp;RIGHT("00"&amp;$D381,2)))</f>
        <v/>
      </c>
      <c r="F381">
        <f>IF($A381="","",IF(Issues!$D384="",0,Issues!$D384))</f>
        <v/>
      </c>
      <c r="G381">
        <f>IF($A381="","",Issues!$E384)</f>
        <v/>
      </c>
      <c r="H381">
        <f>IF($A381="","",IF(COUNTIFS(ETxnType,"پاس چک",ETxnChk,$A381)&gt;0,"پاس شده","پاس نشده"))</f>
        <v/>
      </c>
      <c r="I381">
        <f>IF($A381="","",IFERROR(INDEX(BClrDate,MATCH($A381,BClrChk,0)),""))</f>
        <v/>
      </c>
      <c r="J381">
        <f>IF($A381="","",Issues!$G384)</f>
        <v/>
      </c>
      <c r="K381">
        <f>IF(OR($E381="",$E381="نامعتبر"),"",LEFT($E381,4)&amp;MID($E381,6,2)&amp;RIGHT($E381,2)&amp;"|"&amp;RIGHT("00000"&amp;376,5))</f>
        <v/>
      </c>
      <c r="M381">
        <f>IF(Sync!$M381&lt;&gt;"پاس چک","",IF(Sync!$P381="","",Sync!$P381))</f>
        <v/>
      </c>
      <c r="N381">
        <f>IF($M381="","",IF(ISNUMBER(Sync!$L381),IF(AND(Sync!$L381&gt;=10000101,Sync!$L381&lt;=99991231),RIGHT("0000"&amp;INT(Sync!$L381/10000),4)&amp;"/"&amp;RIGHT("00"&amp;INT(MOD(Sync!$L381,10000)/100),2)&amp;"/"&amp;RIGHT("00"&amp;MOD(Sync!$L381,100),2),""),IFERROR(RIGHT("0000"&amp;VALUE(TRIM(LEFT(Sync!$L381,FIND("/",Sync!$L381)-1))),4)&amp;"/"&amp;RIGHT("00"&amp;VALUE(TRIM(LEFT(MID(Sync!$L381,FIND("/",Sync!$L381)+1,20),FIND("/",MID(Sync!$L381,FIND("/",Sync!$L381)+1,20))-1))),2)&amp;"/"&amp;RIGHT("00"&amp;VALUE(TRIM(MID(MID(Sync!$L381,FIND("/",Sync!$L381)+1,20),FIND("/",MID(Sync!$L381,FIND("/",Sync!$L381)+1,20))+1,20))),2),"")))</f>
        <v/>
      </c>
    </row>
    <row r="382">
      <c r="A382">
        <f>IF(Issues!$B385="","",Issues!$B385)</f>
        <v/>
      </c>
      <c r="B382">
        <f>IF($A382="","",IF(ISNUMBER(Issues!$C385),IF(AND(Issues!$C385&gt;=10000101,Issues!$C385&lt;=99991231),INT(Issues!$C385/10000),""),IFERROR(VALUE(TRIM(LEFT(Issues!$C385,FIND("/",Issues!$C385)-1))),"")))</f>
        <v/>
      </c>
      <c r="C382">
        <f>IF(OR($A382="",$B382=""),"",IF(ISNUMBER(Issues!$C385),INT(MOD(Issues!$C385,10000)/100),IFERROR(VALUE(TRIM(LEFT(MID(Issues!$C385,FIND("/",Issues!$C385)+1,20),FIND("/",MID(Issues!$C385,FIND("/",Issues!$C385)+1,20))-1))),"")))</f>
        <v/>
      </c>
      <c r="D382">
        <f>IF(OR($A382="",$B382=""),"",IF(ISNUMBER(Issues!$C385),MOD(Issues!$C385,100),IFERROR(VALUE(TRIM(MID(MID(Issues!$C385,FIND("/",Issues!$C385)+1,20),FIND("/",MID(Issues!$C385,FIND("/",Issues!$C385)+1,20))+1,20))),"")))</f>
        <v/>
      </c>
      <c r="E382">
        <f>IF($A382="","",IF(OR($B382="",$C382="",$D382="",$B382&lt;1300,$B382&gt;1500,$C382&lt;1,$C382&gt;12,$D382&lt;1,$D382&gt;31),"نامعتبر",RIGHT("0000"&amp;$B382,4)&amp;"/"&amp;RIGHT("00"&amp;$C382,2)&amp;"/"&amp;RIGHT("00"&amp;$D382,2)))</f>
        <v/>
      </c>
      <c r="F382">
        <f>IF($A382="","",IF(Issues!$D385="",0,Issues!$D385))</f>
        <v/>
      </c>
      <c r="G382">
        <f>IF($A382="","",Issues!$E385)</f>
        <v/>
      </c>
      <c r="H382">
        <f>IF($A382="","",IF(COUNTIFS(ETxnType,"پاس چک",ETxnChk,$A382)&gt;0,"پاس شده","پاس نشده"))</f>
        <v/>
      </c>
      <c r="I382">
        <f>IF($A382="","",IFERROR(INDEX(BClrDate,MATCH($A382,BClrChk,0)),""))</f>
        <v/>
      </c>
      <c r="J382">
        <f>IF($A382="","",Issues!$G385)</f>
        <v/>
      </c>
      <c r="K382">
        <f>IF(OR($E382="",$E382="نامعتبر"),"",LEFT($E382,4)&amp;MID($E382,6,2)&amp;RIGHT($E382,2)&amp;"|"&amp;RIGHT("00000"&amp;377,5))</f>
        <v/>
      </c>
      <c r="M382">
        <f>IF(Sync!$M382&lt;&gt;"پاس چک","",IF(Sync!$P382="","",Sync!$P382))</f>
        <v/>
      </c>
      <c r="N382">
        <f>IF($M382="","",IF(ISNUMBER(Sync!$L382),IF(AND(Sync!$L382&gt;=10000101,Sync!$L382&lt;=99991231),RIGHT("0000"&amp;INT(Sync!$L382/10000),4)&amp;"/"&amp;RIGHT("00"&amp;INT(MOD(Sync!$L382,10000)/100),2)&amp;"/"&amp;RIGHT("00"&amp;MOD(Sync!$L382,100),2),""),IFERROR(RIGHT("0000"&amp;VALUE(TRIM(LEFT(Sync!$L382,FIND("/",Sync!$L382)-1))),4)&amp;"/"&amp;RIGHT("00"&amp;VALUE(TRIM(LEFT(MID(Sync!$L382,FIND("/",Sync!$L382)+1,20),FIND("/",MID(Sync!$L382,FIND("/",Sync!$L382)+1,20))-1))),2)&amp;"/"&amp;RIGHT("00"&amp;VALUE(TRIM(MID(MID(Sync!$L382,FIND("/",Sync!$L382)+1,20),FIND("/",MID(Sync!$L382,FIND("/",Sync!$L382)+1,20))+1,20))),2),"")))</f>
        <v/>
      </c>
    </row>
    <row r="383">
      <c r="A383">
        <f>IF(Issues!$B386="","",Issues!$B386)</f>
        <v/>
      </c>
      <c r="B383">
        <f>IF($A383="","",IF(ISNUMBER(Issues!$C386),IF(AND(Issues!$C386&gt;=10000101,Issues!$C386&lt;=99991231),INT(Issues!$C386/10000),""),IFERROR(VALUE(TRIM(LEFT(Issues!$C386,FIND("/",Issues!$C386)-1))),"")))</f>
        <v/>
      </c>
      <c r="C383">
        <f>IF(OR($A383="",$B383=""),"",IF(ISNUMBER(Issues!$C386),INT(MOD(Issues!$C386,10000)/100),IFERROR(VALUE(TRIM(LEFT(MID(Issues!$C386,FIND("/",Issues!$C386)+1,20),FIND("/",MID(Issues!$C386,FIND("/",Issues!$C386)+1,20))-1))),"")))</f>
        <v/>
      </c>
      <c r="D383">
        <f>IF(OR($A383="",$B383=""),"",IF(ISNUMBER(Issues!$C386),MOD(Issues!$C386,100),IFERROR(VALUE(TRIM(MID(MID(Issues!$C386,FIND("/",Issues!$C386)+1,20),FIND("/",MID(Issues!$C386,FIND("/",Issues!$C386)+1,20))+1,20))),"")))</f>
        <v/>
      </c>
      <c r="E383">
        <f>IF($A383="","",IF(OR($B383="",$C383="",$D383="",$B383&lt;1300,$B383&gt;1500,$C383&lt;1,$C383&gt;12,$D383&lt;1,$D383&gt;31),"نامعتبر",RIGHT("0000"&amp;$B383,4)&amp;"/"&amp;RIGHT("00"&amp;$C383,2)&amp;"/"&amp;RIGHT("00"&amp;$D383,2)))</f>
        <v/>
      </c>
      <c r="F383">
        <f>IF($A383="","",IF(Issues!$D386="",0,Issues!$D386))</f>
        <v/>
      </c>
      <c r="G383">
        <f>IF($A383="","",Issues!$E386)</f>
        <v/>
      </c>
      <c r="H383">
        <f>IF($A383="","",IF(COUNTIFS(ETxnType,"پاس چک",ETxnChk,$A383)&gt;0,"پاس شده","پاس نشده"))</f>
        <v/>
      </c>
      <c r="I383">
        <f>IF($A383="","",IFERROR(INDEX(BClrDate,MATCH($A383,BClrChk,0)),""))</f>
        <v/>
      </c>
      <c r="J383">
        <f>IF($A383="","",Issues!$G386)</f>
        <v/>
      </c>
      <c r="K383">
        <f>IF(OR($E383="",$E383="نامعتبر"),"",LEFT($E383,4)&amp;MID($E383,6,2)&amp;RIGHT($E383,2)&amp;"|"&amp;RIGHT("00000"&amp;378,5))</f>
        <v/>
      </c>
      <c r="M383">
        <f>IF(Sync!$M383&lt;&gt;"پاس چک","",IF(Sync!$P383="","",Sync!$P383))</f>
        <v/>
      </c>
      <c r="N383">
        <f>IF($M383="","",IF(ISNUMBER(Sync!$L383),IF(AND(Sync!$L383&gt;=10000101,Sync!$L383&lt;=99991231),RIGHT("0000"&amp;INT(Sync!$L383/10000),4)&amp;"/"&amp;RIGHT("00"&amp;INT(MOD(Sync!$L383,10000)/100),2)&amp;"/"&amp;RIGHT("00"&amp;MOD(Sync!$L383,100),2),""),IFERROR(RIGHT("0000"&amp;VALUE(TRIM(LEFT(Sync!$L383,FIND("/",Sync!$L383)-1))),4)&amp;"/"&amp;RIGHT("00"&amp;VALUE(TRIM(LEFT(MID(Sync!$L383,FIND("/",Sync!$L383)+1,20),FIND("/",MID(Sync!$L383,FIND("/",Sync!$L383)+1,20))-1))),2)&amp;"/"&amp;RIGHT("00"&amp;VALUE(TRIM(MID(MID(Sync!$L383,FIND("/",Sync!$L383)+1,20),FIND("/",MID(Sync!$L383,FIND("/",Sync!$L383)+1,20))+1,20))),2),"")))</f>
        <v/>
      </c>
    </row>
    <row r="384">
      <c r="A384">
        <f>IF(Issues!$B387="","",Issues!$B387)</f>
        <v/>
      </c>
      <c r="B384">
        <f>IF($A384="","",IF(ISNUMBER(Issues!$C387),IF(AND(Issues!$C387&gt;=10000101,Issues!$C387&lt;=99991231),INT(Issues!$C387/10000),""),IFERROR(VALUE(TRIM(LEFT(Issues!$C387,FIND("/",Issues!$C387)-1))),"")))</f>
        <v/>
      </c>
      <c r="C384">
        <f>IF(OR($A384="",$B384=""),"",IF(ISNUMBER(Issues!$C387),INT(MOD(Issues!$C387,10000)/100),IFERROR(VALUE(TRIM(LEFT(MID(Issues!$C387,FIND("/",Issues!$C387)+1,20),FIND("/",MID(Issues!$C387,FIND("/",Issues!$C387)+1,20))-1))),"")))</f>
        <v/>
      </c>
      <c r="D384">
        <f>IF(OR($A384="",$B384=""),"",IF(ISNUMBER(Issues!$C387),MOD(Issues!$C387,100),IFERROR(VALUE(TRIM(MID(MID(Issues!$C387,FIND("/",Issues!$C387)+1,20),FIND("/",MID(Issues!$C387,FIND("/",Issues!$C387)+1,20))+1,20))),"")))</f>
        <v/>
      </c>
      <c r="E384">
        <f>IF($A384="","",IF(OR($B384="",$C384="",$D384="",$B384&lt;1300,$B384&gt;1500,$C384&lt;1,$C384&gt;12,$D384&lt;1,$D384&gt;31),"نامعتبر",RIGHT("0000"&amp;$B384,4)&amp;"/"&amp;RIGHT("00"&amp;$C384,2)&amp;"/"&amp;RIGHT("00"&amp;$D384,2)))</f>
        <v/>
      </c>
      <c r="F384">
        <f>IF($A384="","",IF(Issues!$D387="",0,Issues!$D387))</f>
        <v/>
      </c>
      <c r="G384">
        <f>IF($A384="","",Issues!$E387)</f>
        <v/>
      </c>
      <c r="H384">
        <f>IF($A384="","",IF(COUNTIFS(ETxnType,"پاس چک",ETxnChk,$A384)&gt;0,"پاس شده","پاس نشده"))</f>
        <v/>
      </c>
      <c r="I384">
        <f>IF($A384="","",IFERROR(INDEX(BClrDate,MATCH($A384,BClrChk,0)),""))</f>
        <v/>
      </c>
      <c r="J384">
        <f>IF($A384="","",Issues!$G387)</f>
        <v/>
      </c>
      <c r="K384">
        <f>IF(OR($E384="",$E384="نامعتبر"),"",LEFT($E384,4)&amp;MID($E384,6,2)&amp;RIGHT($E384,2)&amp;"|"&amp;RIGHT("00000"&amp;379,5))</f>
        <v/>
      </c>
      <c r="M384">
        <f>IF(Sync!$M384&lt;&gt;"پاس چک","",IF(Sync!$P384="","",Sync!$P384))</f>
        <v/>
      </c>
      <c r="N384">
        <f>IF($M384="","",IF(ISNUMBER(Sync!$L384),IF(AND(Sync!$L384&gt;=10000101,Sync!$L384&lt;=99991231),RIGHT("0000"&amp;INT(Sync!$L384/10000),4)&amp;"/"&amp;RIGHT("00"&amp;INT(MOD(Sync!$L384,10000)/100),2)&amp;"/"&amp;RIGHT("00"&amp;MOD(Sync!$L384,100),2),""),IFERROR(RIGHT("0000"&amp;VALUE(TRIM(LEFT(Sync!$L384,FIND("/",Sync!$L384)-1))),4)&amp;"/"&amp;RIGHT("00"&amp;VALUE(TRIM(LEFT(MID(Sync!$L384,FIND("/",Sync!$L384)+1,20),FIND("/",MID(Sync!$L384,FIND("/",Sync!$L384)+1,20))-1))),2)&amp;"/"&amp;RIGHT("00"&amp;VALUE(TRIM(MID(MID(Sync!$L384,FIND("/",Sync!$L384)+1,20),FIND("/",MID(Sync!$L384,FIND("/",Sync!$L384)+1,20))+1,20))),2),"")))</f>
        <v/>
      </c>
    </row>
    <row r="385">
      <c r="A385">
        <f>IF(Issues!$B388="","",Issues!$B388)</f>
        <v/>
      </c>
      <c r="B385">
        <f>IF($A385="","",IF(ISNUMBER(Issues!$C388),IF(AND(Issues!$C388&gt;=10000101,Issues!$C388&lt;=99991231),INT(Issues!$C388/10000),""),IFERROR(VALUE(TRIM(LEFT(Issues!$C388,FIND("/",Issues!$C388)-1))),"")))</f>
        <v/>
      </c>
      <c r="C385">
        <f>IF(OR($A385="",$B385=""),"",IF(ISNUMBER(Issues!$C388),INT(MOD(Issues!$C388,10000)/100),IFERROR(VALUE(TRIM(LEFT(MID(Issues!$C388,FIND("/",Issues!$C388)+1,20),FIND("/",MID(Issues!$C388,FIND("/",Issues!$C388)+1,20))-1))),"")))</f>
        <v/>
      </c>
      <c r="D385">
        <f>IF(OR($A385="",$B385=""),"",IF(ISNUMBER(Issues!$C388),MOD(Issues!$C388,100),IFERROR(VALUE(TRIM(MID(MID(Issues!$C388,FIND("/",Issues!$C388)+1,20),FIND("/",MID(Issues!$C388,FIND("/",Issues!$C388)+1,20))+1,20))),"")))</f>
        <v/>
      </c>
      <c r="E385">
        <f>IF($A385="","",IF(OR($B385="",$C385="",$D385="",$B385&lt;1300,$B385&gt;1500,$C385&lt;1,$C385&gt;12,$D385&lt;1,$D385&gt;31),"نامعتبر",RIGHT("0000"&amp;$B385,4)&amp;"/"&amp;RIGHT("00"&amp;$C385,2)&amp;"/"&amp;RIGHT("00"&amp;$D385,2)))</f>
        <v/>
      </c>
      <c r="F385">
        <f>IF($A385="","",IF(Issues!$D388="",0,Issues!$D388))</f>
        <v/>
      </c>
      <c r="G385">
        <f>IF($A385="","",Issues!$E388)</f>
        <v/>
      </c>
      <c r="H385">
        <f>IF($A385="","",IF(COUNTIFS(ETxnType,"پاس چک",ETxnChk,$A385)&gt;0,"پاس شده","پاس نشده"))</f>
        <v/>
      </c>
      <c r="I385">
        <f>IF($A385="","",IFERROR(INDEX(BClrDate,MATCH($A385,BClrChk,0)),""))</f>
        <v/>
      </c>
      <c r="J385">
        <f>IF($A385="","",Issues!$G388)</f>
        <v/>
      </c>
      <c r="K385">
        <f>IF(OR($E385="",$E385="نامعتبر"),"",LEFT($E385,4)&amp;MID($E385,6,2)&amp;RIGHT($E385,2)&amp;"|"&amp;RIGHT("00000"&amp;380,5))</f>
        <v/>
      </c>
      <c r="M385">
        <f>IF(Sync!$M385&lt;&gt;"پاس چک","",IF(Sync!$P385="","",Sync!$P385))</f>
        <v/>
      </c>
      <c r="N385">
        <f>IF($M385="","",IF(ISNUMBER(Sync!$L385),IF(AND(Sync!$L385&gt;=10000101,Sync!$L385&lt;=99991231),RIGHT("0000"&amp;INT(Sync!$L385/10000),4)&amp;"/"&amp;RIGHT("00"&amp;INT(MOD(Sync!$L385,10000)/100),2)&amp;"/"&amp;RIGHT("00"&amp;MOD(Sync!$L385,100),2),""),IFERROR(RIGHT("0000"&amp;VALUE(TRIM(LEFT(Sync!$L385,FIND("/",Sync!$L385)-1))),4)&amp;"/"&amp;RIGHT("00"&amp;VALUE(TRIM(LEFT(MID(Sync!$L385,FIND("/",Sync!$L385)+1,20),FIND("/",MID(Sync!$L385,FIND("/",Sync!$L385)+1,20))-1))),2)&amp;"/"&amp;RIGHT("00"&amp;VALUE(TRIM(MID(MID(Sync!$L385,FIND("/",Sync!$L385)+1,20),FIND("/",MID(Sync!$L385,FIND("/",Sync!$L385)+1,20))+1,20))),2),"")))</f>
        <v/>
      </c>
    </row>
    <row r="386">
      <c r="A386">
        <f>IF(Issues!$B389="","",Issues!$B389)</f>
        <v/>
      </c>
      <c r="B386">
        <f>IF($A386="","",IF(ISNUMBER(Issues!$C389),IF(AND(Issues!$C389&gt;=10000101,Issues!$C389&lt;=99991231),INT(Issues!$C389/10000),""),IFERROR(VALUE(TRIM(LEFT(Issues!$C389,FIND("/",Issues!$C389)-1))),"")))</f>
        <v/>
      </c>
      <c r="C386">
        <f>IF(OR($A386="",$B386=""),"",IF(ISNUMBER(Issues!$C389),INT(MOD(Issues!$C389,10000)/100),IFERROR(VALUE(TRIM(LEFT(MID(Issues!$C389,FIND("/",Issues!$C389)+1,20),FIND("/",MID(Issues!$C389,FIND("/",Issues!$C389)+1,20))-1))),"")))</f>
        <v/>
      </c>
      <c r="D386">
        <f>IF(OR($A386="",$B386=""),"",IF(ISNUMBER(Issues!$C389),MOD(Issues!$C389,100),IFERROR(VALUE(TRIM(MID(MID(Issues!$C389,FIND("/",Issues!$C389)+1,20),FIND("/",MID(Issues!$C389,FIND("/",Issues!$C389)+1,20))+1,20))),"")))</f>
        <v/>
      </c>
      <c r="E386">
        <f>IF($A386="","",IF(OR($B386="",$C386="",$D386="",$B386&lt;1300,$B386&gt;1500,$C386&lt;1,$C386&gt;12,$D386&lt;1,$D386&gt;31),"نامعتبر",RIGHT("0000"&amp;$B386,4)&amp;"/"&amp;RIGHT("00"&amp;$C386,2)&amp;"/"&amp;RIGHT("00"&amp;$D386,2)))</f>
        <v/>
      </c>
      <c r="F386">
        <f>IF($A386="","",IF(Issues!$D389="",0,Issues!$D389))</f>
        <v/>
      </c>
      <c r="G386">
        <f>IF($A386="","",Issues!$E389)</f>
        <v/>
      </c>
      <c r="H386">
        <f>IF($A386="","",IF(COUNTIFS(ETxnType,"پاس چک",ETxnChk,$A386)&gt;0,"پاس شده","پاس نشده"))</f>
        <v/>
      </c>
      <c r="I386">
        <f>IF($A386="","",IFERROR(INDEX(BClrDate,MATCH($A386,BClrChk,0)),""))</f>
        <v/>
      </c>
      <c r="J386">
        <f>IF($A386="","",Issues!$G389)</f>
        <v/>
      </c>
      <c r="K386">
        <f>IF(OR($E386="",$E386="نامعتبر"),"",LEFT($E386,4)&amp;MID($E386,6,2)&amp;RIGHT($E386,2)&amp;"|"&amp;RIGHT("00000"&amp;381,5))</f>
        <v/>
      </c>
      <c r="M386">
        <f>IF(Sync!$M386&lt;&gt;"پاس چک","",IF(Sync!$P386="","",Sync!$P386))</f>
        <v/>
      </c>
      <c r="N386">
        <f>IF($M386="","",IF(ISNUMBER(Sync!$L386),IF(AND(Sync!$L386&gt;=10000101,Sync!$L386&lt;=99991231),RIGHT("0000"&amp;INT(Sync!$L386/10000),4)&amp;"/"&amp;RIGHT("00"&amp;INT(MOD(Sync!$L386,10000)/100),2)&amp;"/"&amp;RIGHT("00"&amp;MOD(Sync!$L386,100),2),""),IFERROR(RIGHT("0000"&amp;VALUE(TRIM(LEFT(Sync!$L386,FIND("/",Sync!$L386)-1))),4)&amp;"/"&amp;RIGHT("00"&amp;VALUE(TRIM(LEFT(MID(Sync!$L386,FIND("/",Sync!$L386)+1,20),FIND("/",MID(Sync!$L386,FIND("/",Sync!$L386)+1,20))-1))),2)&amp;"/"&amp;RIGHT("00"&amp;VALUE(TRIM(MID(MID(Sync!$L386,FIND("/",Sync!$L386)+1,20),FIND("/",MID(Sync!$L386,FIND("/",Sync!$L386)+1,20))+1,20))),2),"")))</f>
        <v/>
      </c>
    </row>
    <row r="387">
      <c r="A387">
        <f>IF(Issues!$B390="","",Issues!$B390)</f>
        <v/>
      </c>
      <c r="B387">
        <f>IF($A387="","",IF(ISNUMBER(Issues!$C390),IF(AND(Issues!$C390&gt;=10000101,Issues!$C390&lt;=99991231),INT(Issues!$C390/10000),""),IFERROR(VALUE(TRIM(LEFT(Issues!$C390,FIND("/",Issues!$C390)-1))),"")))</f>
        <v/>
      </c>
      <c r="C387">
        <f>IF(OR($A387="",$B387=""),"",IF(ISNUMBER(Issues!$C390),INT(MOD(Issues!$C390,10000)/100),IFERROR(VALUE(TRIM(LEFT(MID(Issues!$C390,FIND("/",Issues!$C390)+1,20),FIND("/",MID(Issues!$C390,FIND("/",Issues!$C390)+1,20))-1))),"")))</f>
        <v/>
      </c>
      <c r="D387">
        <f>IF(OR($A387="",$B387=""),"",IF(ISNUMBER(Issues!$C390),MOD(Issues!$C390,100),IFERROR(VALUE(TRIM(MID(MID(Issues!$C390,FIND("/",Issues!$C390)+1,20),FIND("/",MID(Issues!$C390,FIND("/",Issues!$C390)+1,20))+1,20))),"")))</f>
        <v/>
      </c>
      <c r="E387">
        <f>IF($A387="","",IF(OR($B387="",$C387="",$D387="",$B387&lt;1300,$B387&gt;1500,$C387&lt;1,$C387&gt;12,$D387&lt;1,$D387&gt;31),"نامعتبر",RIGHT("0000"&amp;$B387,4)&amp;"/"&amp;RIGHT("00"&amp;$C387,2)&amp;"/"&amp;RIGHT("00"&amp;$D387,2)))</f>
        <v/>
      </c>
      <c r="F387">
        <f>IF($A387="","",IF(Issues!$D390="",0,Issues!$D390))</f>
        <v/>
      </c>
      <c r="G387">
        <f>IF($A387="","",Issues!$E390)</f>
        <v/>
      </c>
      <c r="H387">
        <f>IF($A387="","",IF(COUNTIFS(ETxnType,"پاس چک",ETxnChk,$A387)&gt;0,"پاس شده","پاس نشده"))</f>
        <v/>
      </c>
      <c r="I387">
        <f>IF($A387="","",IFERROR(INDEX(BClrDate,MATCH($A387,BClrChk,0)),""))</f>
        <v/>
      </c>
      <c r="J387">
        <f>IF($A387="","",Issues!$G390)</f>
        <v/>
      </c>
      <c r="K387">
        <f>IF(OR($E387="",$E387="نامعتبر"),"",LEFT($E387,4)&amp;MID($E387,6,2)&amp;RIGHT($E387,2)&amp;"|"&amp;RIGHT("00000"&amp;382,5))</f>
        <v/>
      </c>
      <c r="M387">
        <f>IF(Sync!$M387&lt;&gt;"پاس چک","",IF(Sync!$P387="","",Sync!$P387))</f>
        <v/>
      </c>
      <c r="N387">
        <f>IF($M387="","",IF(ISNUMBER(Sync!$L387),IF(AND(Sync!$L387&gt;=10000101,Sync!$L387&lt;=99991231),RIGHT("0000"&amp;INT(Sync!$L387/10000),4)&amp;"/"&amp;RIGHT("00"&amp;INT(MOD(Sync!$L387,10000)/100),2)&amp;"/"&amp;RIGHT("00"&amp;MOD(Sync!$L387,100),2),""),IFERROR(RIGHT("0000"&amp;VALUE(TRIM(LEFT(Sync!$L387,FIND("/",Sync!$L387)-1))),4)&amp;"/"&amp;RIGHT("00"&amp;VALUE(TRIM(LEFT(MID(Sync!$L387,FIND("/",Sync!$L387)+1,20),FIND("/",MID(Sync!$L387,FIND("/",Sync!$L387)+1,20))-1))),2)&amp;"/"&amp;RIGHT("00"&amp;VALUE(TRIM(MID(MID(Sync!$L387,FIND("/",Sync!$L387)+1,20),FIND("/",MID(Sync!$L387,FIND("/",Sync!$L387)+1,20))+1,20))),2),"")))</f>
        <v/>
      </c>
    </row>
    <row r="388">
      <c r="A388">
        <f>IF(Issues!$B391="","",Issues!$B391)</f>
        <v/>
      </c>
      <c r="B388">
        <f>IF($A388="","",IF(ISNUMBER(Issues!$C391),IF(AND(Issues!$C391&gt;=10000101,Issues!$C391&lt;=99991231),INT(Issues!$C391/10000),""),IFERROR(VALUE(TRIM(LEFT(Issues!$C391,FIND("/",Issues!$C391)-1))),"")))</f>
        <v/>
      </c>
      <c r="C388">
        <f>IF(OR($A388="",$B388=""),"",IF(ISNUMBER(Issues!$C391),INT(MOD(Issues!$C391,10000)/100),IFERROR(VALUE(TRIM(LEFT(MID(Issues!$C391,FIND("/",Issues!$C391)+1,20),FIND("/",MID(Issues!$C391,FIND("/",Issues!$C391)+1,20))-1))),"")))</f>
        <v/>
      </c>
      <c r="D388">
        <f>IF(OR($A388="",$B388=""),"",IF(ISNUMBER(Issues!$C391),MOD(Issues!$C391,100),IFERROR(VALUE(TRIM(MID(MID(Issues!$C391,FIND("/",Issues!$C391)+1,20),FIND("/",MID(Issues!$C391,FIND("/",Issues!$C391)+1,20))+1,20))),"")))</f>
        <v/>
      </c>
      <c r="E388">
        <f>IF($A388="","",IF(OR($B388="",$C388="",$D388="",$B388&lt;1300,$B388&gt;1500,$C388&lt;1,$C388&gt;12,$D388&lt;1,$D388&gt;31),"نامعتبر",RIGHT("0000"&amp;$B388,4)&amp;"/"&amp;RIGHT("00"&amp;$C388,2)&amp;"/"&amp;RIGHT("00"&amp;$D388,2)))</f>
        <v/>
      </c>
      <c r="F388">
        <f>IF($A388="","",IF(Issues!$D391="",0,Issues!$D391))</f>
        <v/>
      </c>
      <c r="G388">
        <f>IF($A388="","",Issues!$E391)</f>
        <v/>
      </c>
      <c r="H388">
        <f>IF($A388="","",IF(COUNTIFS(ETxnType,"پاس چک",ETxnChk,$A388)&gt;0,"پاس شده","پاس نشده"))</f>
        <v/>
      </c>
      <c r="I388">
        <f>IF($A388="","",IFERROR(INDEX(BClrDate,MATCH($A388,BClrChk,0)),""))</f>
        <v/>
      </c>
      <c r="J388">
        <f>IF($A388="","",Issues!$G391)</f>
        <v/>
      </c>
      <c r="K388">
        <f>IF(OR($E388="",$E388="نامعتبر"),"",LEFT($E388,4)&amp;MID($E388,6,2)&amp;RIGHT($E388,2)&amp;"|"&amp;RIGHT("00000"&amp;383,5))</f>
        <v/>
      </c>
      <c r="M388">
        <f>IF(Sync!$M388&lt;&gt;"پاس چک","",IF(Sync!$P388="","",Sync!$P388))</f>
        <v/>
      </c>
      <c r="N388">
        <f>IF($M388="","",IF(ISNUMBER(Sync!$L388),IF(AND(Sync!$L388&gt;=10000101,Sync!$L388&lt;=99991231),RIGHT("0000"&amp;INT(Sync!$L388/10000),4)&amp;"/"&amp;RIGHT("00"&amp;INT(MOD(Sync!$L388,10000)/100),2)&amp;"/"&amp;RIGHT("00"&amp;MOD(Sync!$L388,100),2),""),IFERROR(RIGHT("0000"&amp;VALUE(TRIM(LEFT(Sync!$L388,FIND("/",Sync!$L388)-1))),4)&amp;"/"&amp;RIGHT("00"&amp;VALUE(TRIM(LEFT(MID(Sync!$L388,FIND("/",Sync!$L388)+1,20),FIND("/",MID(Sync!$L388,FIND("/",Sync!$L388)+1,20))-1))),2)&amp;"/"&amp;RIGHT("00"&amp;VALUE(TRIM(MID(MID(Sync!$L388,FIND("/",Sync!$L388)+1,20),FIND("/",MID(Sync!$L388,FIND("/",Sync!$L388)+1,20))+1,20))),2),"")))</f>
        <v/>
      </c>
    </row>
    <row r="389">
      <c r="A389">
        <f>IF(Issues!$B392="","",Issues!$B392)</f>
        <v/>
      </c>
      <c r="B389">
        <f>IF($A389="","",IF(ISNUMBER(Issues!$C392),IF(AND(Issues!$C392&gt;=10000101,Issues!$C392&lt;=99991231),INT(Issues!$C392/10000),""),IFERROR(VALUE(TRIM(LEFT(Issues!$C392,FIND("/",Issues!$C392)-1))),"")))</f>
        <v/>
      </c>
      <c r="C389">
        <f>IF(OR($A389="",$B389=""),"",IF(ISNUMBER(Issues!$C392),INT(MOD(Issues!$C392,10000)/100),IFERROR(VALUE(TRIM(LEFT(MID(Issues!$C392,FIND("/",Issues!$C392)+1,20),FIND("/",MID(Issues!$C392,FIND("/",Issues!$C392)+1,20))-1))),"")))</f>
        <v/>
      </c>
      <c r="D389">
        <f>IF(OR($A389="",$B389=""),"",IF(ISNUMBER(Issues!$C392),MOD(Issues!$C392,100),IFERROR(VALUE(TRIM(MID(MID(Issues!$C392,FIND("/",Issues!$C392)+1,20),FIND("/",MID(Issues!$C392,FIND("/",Issues!$C392)+1,20))+1,20))),"")))</f>
        <v/>
      </c>
      <c r="E389">
        <f>IF($A389="","",IF(OR($B389="",$C389="",$D389="",$B389&lt;1300,$B389&gt;1500,$C389&lt;1,$C389&gt;12,$D389&lt;1,$D389&gt;31),"نامعتبر",RIGHT("0000"&amp;$B389,4)&amp;"/"&amp;RIGHT("00"&amp;$C389,2)&amp;"/"&amp;RIGHT("00"&amp;$D389,2)))</f>
        <v/>
      </c>
      <c r="F389">
        <f>IF($A389="","",IF(Issues!$D392="",0,Issues!$D392))</f>
        <v/>
      </c>
      <c r="G389">
        <f>IF($A389="","",Issues!$E392)</f>
        <v/>
      </c>
      <c r="H389">
        <f>IF($A389="","",IF(COUNTIFS(ETxnType,"پاس چک",ETxnChk,$A389)&gt;0,"پاس شده","پاس نشده"))</f>
        <v/>
      </c>
      <c r="I389">
        <f>IF($A389="","",IFERROR(INDEX(BClrDate,MATCH($A389,BClrChk,0)),""))</f>
        <v/>
      </c>
      <c r="J389">
        <f>IF($A389="","",Issues!$G392)</f>
        <v/>
      </c>
      <c r="K389">
        <f>IF(OR($E389="",$E389="نامعتبر"),"",LEFT($E389,4)&amp;MID($E389,6,2)&amp;RIGHT($E389,2)&amp;"|"&amp;RIGHT("00000"&amp;384,5))</f>
        <v/>
      </c>
      <c r="M389">
        <f>IF(Sync!$M389&lt;&gt;"پاس چک","",IF(Sync!$P389="","",Sync!$P389))</f>
        <v/>
      </c>
      <c r="N389">
        <f>IF($M389="","",IF(ISNUMBER(Sync!$L389),IF(AND(Sync!$L389&gt;=10000101,Sync!$L389&lt;=99991231),RIGHT("0000"&amp;INT(Sync!$L389/10000),4)&amp;"/"&amp;RIGHT("00"&amp;INT(MOD(Sync!$L389,10000)/100),2)&amp;"/"&amp;RIGHT("00"&amp;MOD(Sync!$L389,100),2),""),IFERROR(RIGHT("0000"&amp;VALUE(TRIM(LEFT(Sync!$L389,FIND("/",Sync!$L389)-1))),4)&amp;"/"&amp;RIGHT("00"&amp;VALUE(TRIM(LEFT(MID(Sync!$L389,FIND("/",Sync!$L389)+1,20),FIND("/",MID(Sync!$L389,FIND("/",Sync!$L389)+1,20))-1))),2)&amp;"/"&amp;RIGHT("00"&amp;VALUE(TRIM(MID(MID(Sync!$L389,FIND("/",Sync!$L389)+1,20),FIND("/",MID(Sync!$L389,FIND("/",Sync!$L389)+1,20))+1,20))),2),"")))</f>
        <v/>
      </c>
    </row>
    <row r="390">
      <c r="A390">
        <f>IF(Issues!$B393="","",Issues!$B393)</f>
        <v/>
      </c>
      <c r="B390">
        <f>IF($A390="","",IF(ISNUMBER(Issues!$C393),IF(AND(Issues!$C393&gt;=10000101,Issues!$C393&lt;=99991231),INT(Issues!$C393/10000),""),IFERROR(VALUE(TRIM(LEFT(Issues!$C393,FIND("/",Issues!$C393)-1))),"")))</f>
        <v/>
      </c>
      <c r="C390">
        <f>IF(OR($A390="",$B390=""),"",IF(ISNUMBER(Issues!$C393),INT(MOD(Issues!$C393,10000)/100),IFERROR(VALUE(TRIM(LEFT(MID(Issues!$C393,FIND("/",Issues!$C393)+1,20),FIND("/",MID(Issues!$C393,FIND("/",Issues!$C393)+1,20))-1))),"")))</f>
        <v/>
      </c>
      <c r="D390">
        <f>IF(OR($A390="",$B390=""),"",IF(ISNUMBER(Issues!$C393),MOD(Issues!$C393,100),IFERROR(VALUE(TRIM(MID(MID(Issues!$C393,FIND("/",Issues!$C393)+1,20),FIND("/",MID(Issues!$C393,FIND("/",Issues!$C393)+1,20))+1,20))),"")))</f>
        <v/>
      </c>
      <c r="E390">
        <f>IF($A390="","",IF(OR($B390="",$C390="",$D390="",$B390&lt;1300,$B390&gt;1500,$C390&lt;1,$C390&gt;12,$D390&lt;1,$D390&gt;31),"نامعتبر",RIGHT("0000"&amp;$B390,4)&amp;"/"&amp;RIGHT("00"&amp;$C390,2)&amp;"/"&amp;RIGHT("00"&amp;$D390,2)))</f>
        <v/>
      </c>
      <c r="F390">
        <f>IF($A390="","",IF(Issues!$D393="",0,Issues!$D393))</f>
        <v/>
      </c>
      <c r="G390">
        <f>IF($A390="","",Issues!$E393)</f>
        <v/>
      </c>
      <c r="H390">
        <f>IF($A390="","",IF(COUNTIFS(ETxnType,"پاس چک",ETxnChk,$A390)&gt;0,"پاس شده","پاس نشده"))</f>
        <v/>
      </c>
      <c r="I390">
        <f>IF($A390="","",IFERROR(INDEX(BClrDate,MATCH($A390,BClrChk,0)),""))</f>
        <v/>
      </c>
      <c r="J390">
        <f>IF($A390="","",Issues!$G393)</f>
        <v/>
      </c>
      <c r="K390">
        <f>IF(OR($E390="",$E390="نامعتبر"),"",LEFT($E390,4)&amp;MID($E390,6,2)&amp;RIGHT($E390,2)&amp;"|"&amp;RIGHT("00000"&amp;385,5))</f>
        <v/>
      </c>
      <c r="M390">
        <f>IF(Sync!$M390&lt;&gt;"پاس چک","",IF(Sync!$P390="","",Sync!$P390))</f>
        <v/>
      </c>
      <c r="N390">
        <f>IF($M390="","",IF(ISNUMBER(Sync!$L390),IF(AND(Sync!$L390&gt;=10000101,Sync!$L390&lt;=99991231),RIGHT("0000"&amp;INT(Sync!$L390/10000),4)&amp;"/"&amp;RIGHT("00"&amp;INT(MOD(Sync!$L390,10000)/100),2)&amp;"/"&amp;RIGHT("00"&amp;MOD(Sync!$L390,100),2),""),IFERROR(RIGHT("0000"&amp;VALUE(TRIM(LEFT(Sync!$L390,FIND("/",Sync!$L390)-1))),4)&amp;"/"&amp;RIGHT("00"&amp;VALUE(TRIM(LEFT(MID(Sync!$L390,FIND("/",Sync!$L390)+1,20),FIND("/",MID(Sync!$L390,FIND("/",Sync!$L390)+1,20))-1))),2)&amp;"/"&amp;RIGHT("00"&amp;VALUE(TRIM(MID(MID(Sync!$L390,FIND("/",Sync!$L390)+1,20),FIND("/",MID(Sync!$L390,FIND("/",Sync!$L390)+1,20))+1,20))),2),"")))</f>
        <v/>
      </c>
    </row>
    <row r="391">
      <c r="A391">
        <f>IF(Issues!$B394="","",Issues!$B394)</f>
        <v/>
      </c>
      <c r="B391">
        <f>IF($A391="","",IF(ISNUMBER(Issues!$C394),IF(AND(Issues!$C394&gt;=10000101,Issues!$C394&lt;=99991231),INT(Issues!$C394/10000),""),IFERROR(VALUE(TRIM(LEFT(Issues!$C394,FIND("/",Issues!$C394)-1))),"")))</f>
        <v/>
      </c>
      <c r="C391">
        <f>IF(OR($A391="",$B391=""),"",IF(ISNUMBER(Issues!$C394),INT(MOD(Issues!$C394,10000)/100),IFERROR(VALUE(TRIM(LEFT(MID(Issues!$C394,FIND("/",Issues!$C394)+1,20),FIND("/",MID(Issues!$C394,FIND("/",Issues!$C394)+1,20))-1))),"")))</f>
        <v/>
      </c>
      <c r="D391">
        <f>IF(OR($A391="",$B391=""),"",IF(ISNUMBER(Issues!$C394),MOD(Issues!$C394,100),IFERROR(VALUE(TRIM(MID(MID(Issues!$C394,FIND("/",Issues!$C394)+1,20),FIND("/",MID(Issues!$C394,FIND("/",Issues!$C394)+1,20))+1,20))),"")))</f>
        <v/>
      </c>
      <c r="E391">
        <f>IF($A391="","",IF(OR($B391="",$C391="",$D391="",$B391&lt;1300,$B391&gt;1500,$C391&lt;1,$C391&gt;12,$D391&lt;1,$D391&gt;31),"نامعتبر",RIGHT("0000"&amp;$B391,4)&amp;"/"&amp;RIGHT("00"&amp;$C391,2)&amp;"/"&amp;RIGHT("00"&amp;$D391,2)))</f>
        <v/>
      </c>
      <c r="F391">
        <f>IF($A391="","",IF(Issues!$D394="",0,Issues!$D394))</f>
        <v/>
      </c>
      <c r="G391">
        <f>IF($A391="","",Issues!$E394)</f>
        <v/>
      </c>
      <c r="H391">
        <f>IF($A391="","",IF(COUNTIFS(ETxnType,"پاس چک",ETxnChk,$A391)&gt;0,"پاس شده","پاس نشده"))</f>
        <v/>
      </c>
      <c r="I391">
        <f>IF($A391="","",IFERROR(INDEX(BClrDate,MATCH($A391,BClrChk,0)),""))</f>
        <v/>
      </c>
      <c r="J391">
        <f>IF($A391="","",Issues!$G394)</f>
        <v/>
      </c>
      <c r="K391">
        <f>IF(OR($E391="",$E391="نامعتبر"),"",LEFT($E391,4)&amp;MID($E391,6,2)&amp;RIGHT($E391,2)&amp;"|"&amp;RIGHT("00000"&amp;386,5))</f>
        <v/>
      </c>
      <c r="M391">
        <f>IF(Sync!$M391&lt;&gt;"پاس چک","",IF(Sync!$P391="","",Sync!$P391))</f>
        <v/>
      </c>
      <c r="N391">
        <f>IF($M391="","",IF(ISNUMBER(Sync!$L391),IF(AND(Sync!$L391&gt;=10000101,Sync!$L391&lt;=99991231),RIGHT("0000"&amp;INT(Sync!$L391/10000),4)&amp;"/"&amp;RIGHT("00"&amp;INT(MOD(Sync!$L391,10000)/100),2)&amp;"/"&amp;RIGHT("00"&amp;MOD(Sync!$L391,100),2),""),IFERROR(RIGHT("0000"&amp;VALUE(TRIM(LEFT(Sync!$L391,FIND("/",Sync!$L391)-1))),4)&amp;"/"&amp;RIGHT("00"&amp;VALUE(TRIM(LEFT(MID(Sync!$L391,FIND("/",Sync!$L391)+1,20),FIND("/",MID(Sync!$L391,FIND("/",Sync!$L391)+1,20))-1))),2)&amp;"/"&amp;RIGHT("00"&amp;VALUE(TRIM(MID(MID(Sync!$L391,FIND("/",Sync!$L391)+1,20),FIND("/",MID(Sync!$L391,FIND("/",Sync!$L391)+1,20))+1,20))),2),"")))</f>
        <v/>
      </c>
    </row>
    <row r="392">
      <c r="A392">
        <f>IF(Issues!$B395="","",Issues!$B395)</f>
        <v/>
      </c>
      <c r="B392">
        <f>IF($A392="","",IF(ISNUMBER(Issues!$C395),IF(AND(Issues!$C395&gt;=10000101,Issues!$C395&lt;=99991231),INT(Issues!$C395/10000),""),IFERROR(VALUE(TRIM(LEFT(Issues!$C395,FIND("/",Issues!$C395)-1))),"")))</f>
        <v/>
      </c>
      <c r="C392">
        <f>IF(OR($A392="",$B392=""),"",IF(ISNUMBER(Issues!$C395),INT(MOD(Issues!$C395,10000)/100),IFERROR(VALUE(TRIM(LEFT(MID(Issues!$C395,FIND("/",Issues!$C395)+1,20),FIND("/",MID(Issues!$C395,FIND("/",Issues!$C395)+1,20))-1))),"")))</f>
        <v/>
      </c>
      <c r="D392">
        <f>IF(OR($A392="",$B392=""),"",IF(ISNUMBER(Issues!$C395),MOD(Issues!$C395,100),IFERROR(VALUE(TRIM(MID(MID(Issues!$C395,FIND("/",Issues!$C395)+1,20),FIND("/",MID(Issues!$C395,FIND("/",Issues!$C395)+1,20))+1,20))),"")))</f>
        <v/>
      </c>
      <c r="E392">
        <f>IF($A392="","",IF(OR($B392="",$C392="",$D392="",$B392&lt;1300,$B392&gt;1500,$C392&lt;1,$C392&gt;12,$D392&lt;1,$D392&gt;31),"نامعتبر",RIGHT("0000"&amp;$B392,4)&amp;"/"&amp;RIGHT("00"&amp;$C392,2)&amp;"/"&amp;RIGHT("00"&amp;$D392,2)))</f>
        <v/>
      </c>
      <c r="F392">
        <f>IF($A392="","",IF(Issues!$D395="",0,Issues!$D395))</f>
        <v/>
      </c>
      <c r="G392">
        <f>IF($A392="","",Issues!$E395)</f>
        <v/>
      </c>
      <c r="H392">
        <f>IF($A392="","",IF(COUNTIFS(ETxnType,"پاس چک",ETxnChk,$A392)&gt;0,"پاس شده","پاس نشده"))</f>
        <v/>
      </c>
      <c r="I392">
        <f>IF($A392="","",IFERROR(INDEX(BClrDate,MATCH($A392,BClrChk,0)),""))</f>
        <v/>
      </c>
      <c r="J392">
        <f>IF($A392="","",Issues!$G395)</f>
        <v/>
      </c>
      <c r="K392">
        <f>IF(OR($E392="",$E392="نامعتبر"),"",LEFT($E392,4)&amp;MID($E392,6,2)&amp;RIGHT($E392,2)&amp;"|"&amp;RIGHT("00000"&amp;387,5))</f>
        <v/>
      </c>
      <c r="M392">
        <f>IF(Sync!$M392&lt;&gt;"پاس چک","",IF(Sync!$P392="","",Sync!$P392))</f>
        <v/>
      </c>
      <c r="N392">
        <f>IF($M392="","",IF(ISNUMBER(Sync!$L392),IF(AND(Sync!$L392&gt;=10000101,Sync!$L392&lt;=99991231),RIGHT("0000"&amp;INT(Sync!$L392/10000),4)&amp;"/"&amp;RIGHT("00"&amp;INT(MOD(Sync!$L392,10000)/100),2)&amp;"/"&amp;RIGHT("00"&amp;MOD(Sync!$L392,100),2),""),IFERROR(RIGHT("0000"&amp;VALUE(TRIM(LEFT(Sync!$L392,FIND("/",Sync!$L392)-1))),4)&amp;"/"&amp;RIGHT("00"&amp;VALUE(TRIM(LEFT(MID(Sync!$L392,FIND("/",Sync!$L392)+1,20),FIND("/",MID(Sync!$L392,FIND("/",Sync!$L392)+1,20))-1))),2)&amp;"/"&amp;RIGHT("00"&amp;VALUE(TRIM(MID(MID(Sync!$L392,FIND("/",Sync!$L392)+1,20),FIND("/",MID(Sync!$L392,FIND("/",Sync!$L392)+1,20))+1,20))),2),"")))</f>
        <v/>
      </c>
    </row>
    <row r="393">
      <c r="A393">
        <f>IF(Issues!$B396="","",Issues!$B396)</f>
        <v/>
      </c>
      <c r="B393">
        <f>IF($A393="","",IF(ISNUMBER(Issues!$C396),IF(AND(Issues!$C396&gt;=10000101,Issues!$C396&lt;=99991231),INT(Issues!$C396/10000),""),IFERROR(VALUE(TRIM(LEFT(Issues!$C396,FIND("/",Issues!$C396)-1))),"")))</f>
        <v/>
      </c>
      <c r="C393">
        <f>IF(OR($A393="",$B393=""),"",IF(ISNUMBER(Issues!$C396),INT(MOD(Issues!$C396,10000)/100),IFERROR(VALUE(TRIM(LEFT(MID(Issues!$C396,FIND("/",Issues!$C396)+1,20),FIND("/",MID(Issues!$C396,FIND("/",Issues!$C396)+1,20))-1))),"")))</f>
        <v/>
      </c>
      <c r="D393">
        <f>IF(OR($A393="",$B393=""),"",IF(ISNUMBER(Issues!$C396),MOD(Issues!$C396,100),IFERROR(VALUE(TRIM(MID(MID(Issues!$C396,FIND("/",Issues!$C396)+1,20),FIND("/",MID(Issues!$C396,FIND("/",Issues!$C396)+1,20))+1,20))),"")))</f>
        <v/>
      </c>
      <c r="E393">
        <f>IF($A393="","",IF(OR($B393="",$C393="",$D393="",$B393&lt;1300,$B393&gt;1500,$C393&lt;1,$C393&gt;12,$D393&lt;1,$D393&gt;31),"نامعتبر",RIGHT("0000"&amp;$B393,4)&amp;"/"&amp;RIGHT("00"&amp;$C393,2)&amp;"/"&amp;RIGHT("00"&amp;$D393,2)))</f>
        <v/>
      </c>
      <c r="F393">
        <f>IF($A393="","",IF(Issues!$D396="",0,Issues!$D396))</f>
        <v/>
      </c>
      <c r="G393">
        <f>IF($A393="","",Issues!$E396)</f>
        <v/>
      </c>
      <c r="H393">
        <f>IF($A393="","",IF(COUNTIFS(ETxnType,"پاس چک",ETxnChk,$A393)&gt;0,"پاس شده","پاس نشده"))</f>
        <v/>
      </c>
      <c r="I393">
        <f>IF($A393="","",IFERROR(INDEX(BClrDate,MATCH($A393,BClrChk,0)),""))</f>
        <v/>
      </c>
      <c r="J393">
        <f>IF($A393="","",Issues!$G396)</f>
        <v/>
      </c>
      <c r="K393">
        <f>IF(OR($E393="",$E393="نامعتبر"),"",LEFT($E393,4)&amp;MID($E393,6,2)&amp;RIGHT($E393,2)&amp;"|"&amp;RIGHT("00000"&amp;388,5))</f>
        <v/>
      </c>
      <c r="M393">
        <f>IF(Sync!$M393&lt;&gt;"پاس چک","",IF(Sync!$P393="","",Sync!$P393))</f>
        <v/>
      </c>
      <c r="N393">
        <f>IF($M393="","",IF(ISNUMBER(Sync!$L393),IF(AND(Sync!$L393&gt;=10000101,Sync!$L393&lt;=99991231),RIGHT("0000"&amp;INT(Sync!$L393/10000),4)&amp;"/"&amp;RIGHT("00"&amp;INT(MOD(Sync!$L393,10000)/100),2)&amp;"/"&amp;RIGHT("00"&amp;MOD(Sync!$L393,100),2),""),IFERROR(RIGHT("0000"&amp;VALUE(TRIM(LEFT(Sync!$L393,FIND("/",Sync!$L393)-1))),4)&amp;"/"&amp;RIGHT("00"&amp;VALUE(TRIM(LEFT(MID(Sync!$L393,FIND("/",Sync!$L393)+1,20),FIND("/",MID(Sync!$L393,FIND("/",Sync!$L393)+1,20))-1))),2)&amp;"/"&amp;RIGHT("00"&amp;VALUE(TRIM(MID(MID(Sync!$L393,FIND("/",Sync!$L393)+1,20),FIND("/",MID(Sync!$L393,FIND("/",Sync!$L393)+1,20))+1,20))),2),"")))</f>
        <v/>
      </c>
    </row>
    <row r="394">
      <c r="A394">
        <f>IF(Issues!$B397="","",Issues!$B397)</f>
        <v/>
      </c>
      <c r="B394">
        <f>IF($A394="","",IF(ISNUMBER(Issues!$C397),IF(AND(Issues!$C397&gt;=10000101,Issues!$C397&lt;=99991231),INT(Issues!$C397/10000),""),IFERROR(VALUE(TRIM(LEFT(Issues!$C397,FIND("/",Issues!$C397)-1))),"")))</f>
        <v/>
      </c>
      <c r="C394">
        <f>IF(OR($A394="",$B394=""),"",IF(ISNUMBER(Issues!$C397),INT(MOD(Issues!$C397,10000)/100),IFERROR(VALUE(TRIM(LEFT(MID(Issues!$C397,FIND("/",Issues!$C397)+1,20),FIND("/",MID(Issues!$C397,FIND("/",Issues!$C397)+1,20))-1))),"")))</f>
        <v/>
      </c>
      <c r="D394">
        <f>IF(OR($A394="",$B394=""),"",IF(ISNUMBER(Issues!$C397),MOD(Issues!$C397,100),IFERROR(VALUE(TRIM(MID(MID(Issues!$C397,FIND("/",Issues!$C397)+1,20),FIND("/",MID(Issues!$C397,FIND("/",Issues!$C397)+1,20))+1,20))),"")))</f>
        <v/>
      </c>
      <c r="E394">
        <f>IF($A394="","",IF(OR($B394="",$C394="",$D394="",$B394&lt;1300,$B394&gt;1500,$C394&lt;1,$C394&gt;12,$D394&lt;1,$D394&gt;31),"نامعتبر",RIGHT("0000"&amp;$B394,4)&amp;"/"&amp;RIGHT("00"&amp;$C394,2)&amp;"/"&amp;RIGHT("00"&amp;$D394,2)))</f>
        <v/>
      </c>
      <c r="F394">
        <f>IF($A394="","",IF(Issues!$D397="",0,Issues!$D397))</f>
        <v/>
      </c>
      <c r="G394">
        <f>IF($A394="","",Issues!$E397)</f>
        <v/>
      </c>
      <c r="H394">
        <f>IF($A394="","",IF(COUNTIFS(ETxnType,"پاس چک",ETxnChk,$A394)&gt;0,"پاس شده","پاس نشده"))</f>
        <v/>
      </c>
      <c r="I394">
        <f>IF($A394="","",IFERROR(INDEX(BClrDate,MATCH($A394,BClrChk,0)),""))</f>
        <v/>
      </c>
      <c r="J394">
        <f>IF($A394="","",Issues!$G397)</f>
        <v/>
      </c>
      <c r="K394">
        <f>IF(OR($E394="",$E394="نامعتبر"),"",LEFT($E394,4)&amp;MID($E394,6,2)&amp;RIGHT($E394,2)&amp;"|"&amp;RIGHT("00000"&amp;389,5))</f>
        <v/>
      </c>
      <c r="M394">
        <f>IF(Sync!$M394&lt;&gt;"پاس چک","",IF(Sync!$P394="","",Sync!$P394))</f>
        <v/>
      </c>
      <c r="N394">
        <f>IF($M394="","",IF(ISNUMBER(Sync!$L394),IF(AND(Sync!$L394&gt;=10000101,Sync!$L394&lt;=99991231),RIGHT("0000"&amp;INT(Sync!$L394/10000),4)&amp;"/"&amp;RIGHT("00"&amp;INT(MOD(Sync!$L394,10000)/100),2)&amp;"/"&amp;RIGHT("00"&amp;MOD(Sync!$L394,100),2),""),IFERROR(RIGHT("0000"&amp;VALUE(TRIM(LEFT(Sync!$L394,FIND("/",Sync!$L394)-1))),4)&amp;"/"&amp;RIGHT("00"&amp;VALUE(TRIM(LEFT(MID(Sync!$L394,FIND("/",Sync!$L394)+1,20),FIND("/",MID(Sync!$L394,FIND("/",Sync!$L394)+1,20))-1))),2)&amp;"/"&amp;RIGHT("00"&amp;VALUE(TRIM(MID(MID(Sync!$L394,FIND("/",Sync!$L394)+1,20),FIND("/",MID(Sync!$L394,FIND("/",Sync!$L394)+1,20))+1,20))),2),"")))</f>
        <v/>
      </c>
    </row>
    <row r="395">
      <c r="A395">
        <f>IF(Issues!$B398="","",Issues!$B398)</f>
        <v/>
      </c>
      <c r="B395">
        <f>IF($A395="","",IF(ISNUMBER(Issues!$C398),IF(AND(Issues!$C398&gt;=10000101,Issues!$C398&lt;=99991231),INT(Issues!$C398/10000),""),IFERROR(VALUE(TRIM(LEFT(Issues!$C398,FIND("/",Issues!$C398)-1))),"")))</f>
        <v/>
      </c>
      <c r="C395">
        <f>IF(OR($A395="",$B395=""),"",IF(ISNUMBER(Issues!$C398),INT(MOD(Issues!$C398,10000)/100),IFERROR(VALUE(TRIM(LEFT(MID(Issues!$C398,FIND("/",Issues!$C398)+1,20),FIND("/",MID(Issues!$C398,FIND("/",Issues!$C398)+1,20))-1))),"")))</f>
        <v/>
      </c>
      <c r="D395">
        <f>IF(OR($A395="",$B395=""),"",IF(ISNUMBER(Issues!$C398),MOD(Issues!$C398,100),IFERROR(VALUE(TRIM(MID(MID(Issues!$C398,FIND("/",Issues!$C398)+1,20),FIND("/",MID(Issues!$C398,FIND("/",Issues!$C398)+1,20))+1,20))),"")))</f>
        <v/>
      </c>
      <c r="E395">
        <f>IF($A395="","",IF(OR($B395="",$C395="",$D395="",$B395&lt;1300,$B395&gt;1500,$C395&lt;1,$C395&gt;12,$D395&lt;1,$D395&gt;31),"نامعتبر",RIGHT("0000"&amp;$B395,4)&amp;"/"&amp;RIGHT("00"&amp;$C395,2)&amp;"/"&amp;RIGHT("00"&amp;$D395,2)))</f>
        <v/>
      </c>
      <c r="F395">
        <f>IF($A395="","",IF(Issues!$D398="",0,Issues!$D398))</f>
        <v/>
      </c>
      <c r="G395">
        <f>IF($A395="","",Issues!$E398)</f>
        <v/>
      </c>
      <c r="H395">
        <f>IF($A395="","",IF(COUNTIFS(ETxnType,"پاس چک",ETxnChk,$A395)&gt;0,"پاس شده","پاس نشده"))</f>
        <v/>
      </c>
      <c r="I395">
        <f>IF($A395="","",IFERROR(INDEX(BClrDate,MATCH($A395,BClrChk,0)),""))</f>
        <v/>
      </c>
      <c r="J395">
        <f>IF($A395="","",Issues!$G398)</f>
        <v/>
      </c>
      <c r="K395">
        <f>IF(OR($E395="",$E395="نامعتبر"),"",LEFT($E395,4)&amp;MID($E395,6,2)&amp;RIGHT($E395,2)&amp;"|"&amp;RIGHT("00000"&amp;390,5))</f>
        <v/>
      </c>
      <c r="M395">
        <f>IF(Sync!$M395&lt;&gt;"پاس چک","",IF(Sync!$P395="","",Sync!$P395))</f>
        <v/>
      </c>
      <c r="N395">
        <f>IF($M395="","",IF(ISNUMBER(Sync!$L395),IF(AND(Sync!$L395&gt;=10000101,Sync!$L395&lt;=99991231),RIGHT("0000"&amp;INT(Sync!$L395/10000),4)&amp;"/"&amp;RIGHT("00"&amp;INT(MOD(Sync!$L395,10000)/100),2)&amp;"/"&amp;RIGHT("00"&amp;MOD(Sync!$L395,100),2),""),IFERROR(RIGHT("0000"&amp;VALUE(TRIM(LEFT(Sync!$L395,FIND("/",Sync!$L395)-1))),4)&amp;"/"&amp;RIGHT("00"&amp;VALUE(TRIM(LEFT(MID(Sync!$L395,FIND("/",Sync!$L395)+1,20),FIND("/",MID(Sync!$L395,FIND("/",Sync!$L395)+1,20))-1))),2)&amp;"/"&amp;RIGHT("00"&amp;VALUE(TRIM(MID(MID(Sync!$L395,FIND("/",Sync!$L395)+1,20),FIND("/",MID(Sync!$L395,FIND("/",Sync!$L395)+1,20))+1,20))),2),"")))</f>
        <v/>
      </c>
    </row>
    <row r="396">
      <c r="A396">
        <f>IF(Issues!$B399="","",Issues!$B399)</f>
        <v/>
      </c>
      <c r="B396">
        <f>IF($A396="","",IF(ISNUMBER(Issues!$C399),IF(AND(Issues!$C399&gt;=10000101,Issues!$C399&lt;=99991231),INT(Issues!$C399/10000),""),IFERROR(VALUE(TRIM(LEFT(Issues!$C399,FIND("/",Issues!$C399)-1))),"")))</f>
        <v/>
      </c>
      <c r="C396">
        <f>IF(OR($A396="",$B396=""),"",IF(ISNUMBER(Issues!$C399),INT(MOD(Issues!$C399,10000)/100),IFERROR(VALUE(TRIM(LEFT(MID(Issues!$C399,FIND("/",Issues!$C399)+1,20),FIND("/",MID(Issues!$C399,FIND("/",Issues!$C399)+1,20))-1))),"")))</f>
        <v/>
      </c>
      <c r="D396">
        <f>IF(OR($A396="",$B396=""),"",IF(ISNUMBER(Issues!$C399),MOD(Issues!$C399,100),IFERROR(VALUE(TRIM(MID(MID(Issues!$C399,FIND("/",Issues!$C399)+1,20),FIND("/",MID(Issues!$C399,FIND("/",Issues!$C399)+1,20))+1,20))),"")))</f>
        <v/>
      </c>
      <c r="E396">
        <f>IF($A396="","",IF(OR($B396="",$C396="",$D396="",$B396&lt;1300,$B396&gt;1500,$C396&lt;1,$C396&gt;12,$D396&lt;1,$D396&gt;31),"نامعتبر",RIGHT("0000"&amp;$B396,4)&amp;"/"&amp;RIGHT("00"&amp;$C396,2)&amp;"/"&amp;RIGHT("00"&amp;$D396,2)))</f>
        <v/>
      </c>
      <c r="F396">
        <f>IF($A396="","",IF(Issues!$D399="",0,Issues!$D399))</f>
        <v/>
      </c>
      <c r="G396">
        <f>IF($A396="","",Issues!$E399)</f>
        <v/>
      </c>
      <c r="H396">
        <f>IF($A396="","",IF(COUNTIFS(ETxnType,"پاس چک",ETxnChk,$A396)&gt;0,"پاس شده","پاس نشده"))</f>
        <v/>
      </c>
      <c r="I396">
        <f>IF($A396="","",IFERROR(INDEX(BClrDate,MATCH($A396,BClrChk,0)),""))</f>
        <v/>
      </c>
      <c r="J396">
        <f>IF($A396="","",Issues!$G399)</f>
        <v/>
      </c>
      <c r="K396">
        <f>IF(OR($E396="",$E396="نامعتبر"),"",LEFT($E396,4)&amp;MID($E396,6,2)&amp;RIGHT($E396,2)&amp;"|"&amp;RIGHT("00000"&amp;391,5))</f>
        <v/>
      </c>
      <c r="M396">
        <f>IF(Sync!$M396&lt;&gt;"پاس چک","",IF(Sync!$P396="","",Sync!$P396))</f>
        <v/>
      </c>
      <c r="N396">
        <f>IF($M396="","",IF(ISNUMBER(Sync!$L396),IF(AND(Sync!$L396&gt;=10000101,Sync!$L396&lt;=99991231),RIGHT("0000"&amp;INT(Sync!$L396/10000),4)&amp;"/"&amp;RIGHT("00"&amp;INT(MOD(Sync!$L396,10000)/100),2)&amp;"/"&amp;RIGHT("00"&amp;MOD(Sync!$L396,100),2),""),IFERROR(RIGHT("0000"&amp;VALUE(TRIM(LEFT(Sync!$L396,FIND("/",Sync!$L396)-1))),4)&amp;"/"&amp;RIGHT("00"&amp;VALUE(TRIM(LEFT(MID(Sync!$L396,FIND("/",Sync!$L396)+1,20),FIND("/",MID(Sync!$L396,FIND("/",Sync!$L396)+1,20))-1))),2)&amp;"/"&amp;RIGHT("00"&amp;VALUE(TRIM(MID(MID(Sync!$L396,FIND("/",Sync!$L396)+1,20),FIND("/",MID(Sync!$L396,FIND("/",Sync!$L396)+1,20))+1,20))),2),"")))</f>
        <v/>
      </c>
    </row>
    <row r="397">
      <c r="A397">
        <f>IF(Issues!$B400="","",Issues!$B400)</f>
        <v/>
      </c>
      <c r="B397">
        <f>IF($A397="","",IF(ISNUMBER(Issues!$C400),IF(AND(Issues!$C400&gt;=10000101,Issues!$C400&lt;=99991231),INT(Issues!$C400/10000),""),IFERROR(VALUE(TRIM(LEFT(Issues!$C400,FIND("/",Issues!$C400)-1))),"")))</f>
        <v/>
      </c>
      <c r="C397">
        <f>IF(OR($A397="",$B397=""),"",IF(ISNUMBER(Issues!$C400),INT(MOD(Issues!$C400,10000)/100),IFERROR(VALUE(TRIM(LEFT(MID(Issues!$C400,FIND("/",Issues!$C400)+1,20),FIND("/",MID(Issues!$C400,FIND("/",Issues!$C400)+1,20))-1))),"")))</f>
        <v/>
      </c>
      <c r="D397">
        <f>IF(OR($A397="",$B397=""),"",IF(ISNUMBER(Issues!$C400),MOD(Issues!$C400,100),IFERROR(VALUE(TRIM(MID(MID(Issues!$C400,FIND("/",Issues!$C400)+1,20),FIND("/",MID(Issues!$C400,FIND("/",Issues!$C400)+1,20))+1,20))),"")))</f>
        <v/>
      </c>
      <c r="E397">
        <f>IF($A397="","",IF(OR($B397="",$C397="",$D397="",$B397&lt;1300,$B397&gt;1500,$C397&lt;1,$C397&gt;12,$D397&lt;1,$D397&gt;31),"نامعتبر",RIGHT("0000"&amp;$B397,4)&amp;"/"&amp;RIGHT("00"&amp;$C397,2)&amp;"/"&amp;RIGHT("00"&amp;$D397,2)))</f>
        <v/>
      </c>
      <c r="F397">
        <f>IF($A397="","",IF(Issues!$D400="",0,Issues!$D400))</f>
        <v/>
      </c>
      <c r="G397">
        <f>IF($A397="","",Issues!$E400)</f>
        <v/>
      </c>
      <c r="H397">
        <f>IF($A397="","",IF(COUNTIFS(ETxnType,"پاس چک",ETxnChk,$A397)&gt;0,"پاس شده","پاس نشده"))</f>
        <v/>
      </c>
      <c r="I397">
        <f>IF($A397="","",IFERROR(INDEX(BClrDate,MATCH($A397,BClrChk,0)),""))</f>
        <v/>
      </c>
      <c r="J397">
        <f>IF($A397="","",Issues!$G400)</f>
        <v/>
      </c>
      <c r="K397">
        <f>IF(OR($E397="",$E397="نامعتبر"),"",LEFT($E397,4)&amp;MID($E397,6,2)&amp;RIGHT($E397,2)&amp;"|"&amp;RIGHT("00000"&amp;392,5))</f>
        <v/>
      </c>
      <c r="M397">
        <f>IF(Sync!$M397&lt;&gt;"پاس چک","",IF(Sync!$P397="","",Sync!$P397))</f>
        <v/>
      </c>
      <c r="N397">
        <f>IF($M397="","",IF(ISNUMBER(Sync!$L397),IF(AND(Sync!$L397&gt;=10000101,Sync!$L397&lt;=99991231),RIGHT("0000"&amp;INT(Sync!$L397/10000),4)&amp;"/"&amp;RIGHT("00"&amp;INT(MOD(Sync!$L397,10000)/100),2)&amp;"/"&amp;RIGHT("00"&amp;MOD(Sync!$L397,100),2),""),IFERROR(RIGHT("0000"&amp;VALUE(TRIM(LEFT(Sync!$L397,FIND("/",Sync!$L397)-1))),4)&amp;"/"&amp;RIGHT("00"&amp;VALUE(TRIM(LEFT(MID(Sync!$L397,FIND("/",Sync!$L397)+1,20),FIND("/",MID(Sync!$L397,FIND("/",Sync!$L397)+1,20))-1))),2)&amp;"/"&amp;RIGHT("00"&amp;VALUE(TRIM(MID(MID(Sync!$L397,FIND("/",Sync!$L397)+1,20),FIND("/",MID(Sync!$L397,FIND("/",Sync!$L397)+1,20))+1,20))),2),"")))</f>
        <v/>
      </c>
    </row>
    <row r="398">
      <c r="A398">
        <f>IF(Issues!$B401="","",Issues!$B401)</f>
        <v/>
      </c>
      <c r="B398">
        <f>IF($A398="","",IF(ISNUMBER(Issues!$C401),IF(AND(Issues!$C401&gt;=10000101,Issues!$C401&lt;=99991231),INT(Issues!$C401/10000),""),IFERROR(VALUE(TRIM(LEFT(Issues!$C401,FIND("/",Issues!$C401)-1))),"")))</f>
        <v/>
      </c>
      <c r="C398">
        <f>IF(OR($A398="",$B398=""),"",IF(ISNUMBER(Issues!$C401),INT(MOD(Issues!$C401,10000)/100),IFERROR(VALUE(TRIM(LEFT(MID(Issues!$C401,FIND("/",Issues!$C401)+1,20),FIND("/",MID(Issues!$C401,FIND("/",Issues!$C401)+1,20))-1))),"")))</f>
        <v/>
      </c>
      <c r="D398">
        <f>IF(OR($A398="",$B398=""),"",IF(ISNUMBER(Issues!$C401),MOD(Issues!$C401,100),IFERROR(VALUE(TRIM(MID(MID(Issues!$C401,FIND("/",Issues!$C401)+1,20),FIND("/",MID(Issues!$C401,FIND("/",Issues!$C401)+1,20))+1,20))),"")))</f>
        <v/>
      </c>
      <c r="E398">
        <f>IF($A398="","",IF(OR($B398="",$C398="",$D398="",$B398&lt;1300,$B398&gt;1500,$C398&lt;1,$C398&gt;12,$D398&lt;1,$D398&gt;31),"نامعتبر",RIGHT("0000"&amp;$B398,4)&amp;"/"&amp;RIGHT("00"&amp;$C398,2)&amp;"/"&amp;RIGHT("00"&amp;$D398,2)))</f>
        <v/>
      </c>
      <c r="F398">
        <f>IF($A398="","",IF(Issues!$D401="",0,Issues!$D401))</f>
        <v/>
      </c>
      <c r="G398">
        <f>IF($A398="","",Issues!$E401)</f>
        <v/>
      </c>
      <c r="H398">
        <f>IF($A398="","",IF(COUNTIFS(ETxnType,"پاس چک",ETxnChk,$A398)&gt;0,"پاس شده","پاس نشده"))</f>
        <v/>
      </c>
      <c r="I398">
        <f>IF($A398="","",IFERROR(INDEX(BClrDate,MATCH($A398,BClrChk,0)),""))</f>
        <v/>
      </c>
      <c r="J398">
        <f>IF($A398="","",Issues!$G401)</f>
        <v/>
      </c>
      <c r="K398">
        <f>IF(OR($E398="",$E398="نامعتبر"),"",LEFT($E398,4)&amp;MID($E398,6,2)&amp;RIGHT($E398,2)&amp;"|"&amp;RIGHT("00000"&amp;393,5))</f>
        <v/>
      </c>
      <c r="M398">
        <f>IF(Sync!$M398&lt;&gt;"پاس چک","",IF(Sync!$P398="","",Sync!$P398))</f>
        <v/>
      </c>
      <c r="N398">
        <f>IF($M398="","",IF(ISNUMBER(Sync!$L398),IF(AND(Sync!$L398&gt;=10000101,Sync!$L398&lt;=99991231),RIGHT("0000"&amp;INT(Sync!$L398/10000),4)&amp;"/"&amp;RIGHT("00"&amp;INT(MOD(Sync!$L398,10000)/100),2)&amp;"/"&amp;RIGHT("00"&amp;MOD(Sync!$L398,100),2),""),IFERROR(RIGHT("0000"&amp;VALUE(TRIM(LEFT(Sync!$L398,FIND("/",Sync!$L398)-1))),4)&amp;"/"&amp;RIGHT("00"&amp;VALUE(TRIM(LEFT(MID(Sync!$L398,FIND("/",Sync!$L398)+1,20),FIND("/",MID(Sync!$L398,FIND("/",Sync!$L398)+1,20))-1))),2)&amp;"/"&amp;RIGHT("00"&amp;VALUE(TRIM(MID(MID(Sync!$L398,FIND("/",Sync!$L398)+1,20),FIND("/",MID(Sync!$L398,FIND("/",Sync!$L398)+1,20))+1,20))),2),"")))</f>
        <v/>
      </c>
    </row>
    <row r="399">
      <c r="A399">
        <f>IF(Issues!$B402="","",Issues!$B402)</f>
        <v/>
      </c>
      <c r="B399">
        <f>IF($A399="","",IF(ISNUMBER(Issues!$C402),IF(AND(Issues!$C402&gt;=10000101,Issues!$C402&lt;=99991231),INT(Issues!$C402/10000),""),IFERROR(VALUE(TRIM(LEFT(Issues!$C402,FIND("/",Issues!$C402)-1))),"")))</f>
        <v/>
      </c>
      <c r="C399">
        <f>IF(OR($A399="",$B399=""),"",IF(ISNUMBER(Issues!$C402),INT(MOD(Issues!$C402,10000)/100),IFERROR(VALUE(TRIM(LEFT(MID(Issues!$C402,FIND("/",Issues!$C402)+1,20),FIND("/",MID(Issues!$C402,FIND("/",Issues!$C402)+1,20))-1))),"")))</f>
        <v/>
      </c>
      <c r="D399">
        <f>IF(OR($A399="",$B399=""),"",IF(ISNUMBER(Issues!$C402),MOD(Issues!$C402,100),IFERROR(VALUE(TRIM(MID(MID(Issues!$C402,FIND("/",Issues!$C402)+1,20),FIND("/",MID(Issues!$C402,FIND("/",Issues!$C402)+1,20))+1,20))),"")))</f>
        <v/>
      </c>
      <c r="E399">
        <f>IF($A399="","",IF(OR($B399="",$C399="",$D399="",$B399&lt;1300,$B399&gt;1500,$C399&lt;1,$C399&gt;12,$D399&lt;1,$D399&gt;31),"نامعتبر",RIGHT("0000"&amp;$B399,4)&amp;"/"&amp;RIGHT("00"&amp;$C399,2)&amp;"/"&amp;RIGHT("00"&amp;$D399,2)))</f>
        <v/>
      </c>
      <c r="F399">
        <f>IF($A399="","",IF(Issues!$D402="",0,Issues!$D402))</f>
        <v/>
      </c>
      <c r="G399">
        <f>IF($A399="","",Issues!$E402)</f>
        <v/>
      </c>
      <c r="H399">
        <f>IF($A399="","",IF(COUNTIFS(ETxnType,"پاس چک",ETxnChk,$A399)&gt;0,"پاس شده","پاس نشده"))</f>
        <v/>
      </c>
      <c r="I399">
        <f>IF($A399="","",IFERROR(INDEX(BClrDate,MATCH($A399,BClrChk,0)),""))</f>
        <v/>
      </c>
      <c r="J399">
        <f>IF($A399="","",Issues!$G402)</f>
        <v/>
      </c>
      <c r="K399">
        <f>IF(OR($E399="",$E399="نامعتبر"),"",LEFT($E399,4)&amp;MID($E399,6,2)&amp;RIGHT($E399,2)&amp;"|"&amp;RIGHT("00000"&amp;394,5))</f>
        <v/>
      </c>
      <c r="M399">
        <f>IF(Sync!$M399&lt;&gt;"پاس چک","",IF(Sync!$P399="","",Sync!$P399))</f>
        <v/>
      </c>
      <c r="N399">
        <f>IF($M399="","",IF(ISNUMBER(Sync!$L399),IF(AND(Sync!$L399&gt;=10000101,Sync!$L399&lt;=99991231),RIGHT("0000"&amp;INT(Sync!$L399/10000),4)&amp;"/"&amp;RIGHT("00"&amp;INT(MOD(Sync!$L399,10000)/100),2)&amp;"/"&amp;RIGHT("00"&amp;MOD(Sync!$L399,100),2),""),IFERROR(RIGHT("0000"&amp;VALUE(TRIM(LEFT(Sync!$L399,FIND("/",Sync!$L399)-1))),4)&amp;"/"&amp;RIGHT("00"&amp;VALUE(TRIM(LEFT(MID(Sync!$L399,FIND("/",Sync!$L399)+1,20),FIND("/",MID(Sync!$L399,FIND("/",Sync!$L399)+1,20))-1))),2)&amp;"/"&amp;RIGHT("00"&amp;VALUE(TRIM(MID(MID(Sync!$L399,FIND("/",Sync!$L399)+1,20),FIND("/",MID(Sync!$L399,FIND("/",Sync!$L399)+1,20))+1,20))),2),"")))</f>
        <v/>
      </c>
    </row>
    <row r="400">
      <c r="A400">
        <f>IF(Issues!$B403="","",Issues!$B403)</f>
        <v/>
      </c>
      <c r="B400">
        <f>IF($A400="","",IF(ISNUMBER(Issues!$C403),IF(AND(Issues!$C403&gt;=10000101,Issues!$C403&lt;=99991231),INT(Issues!$C403/10000),""),IFERROR(VALUE(TRIM(LEFT(Issues!$C403,FIND("/",Issues!$C403)-1))),"")))</f>
        <v/>
      </c>
      <c r="C400">
        <f>IF(OR($A400="",$B400=""),"",IF(ISNUMBER(Issues!$C403),INT(MOD(Issues!$C403,10000)/100),IFERROR(VALUE(TRIM(LEFT(MID(Issues!$C403,FIND("/",Issues!$C403)+1,20),FIND("/",MID(Issues!$C403,FIND("/",Issues!$C403)+1,20))-1))),"")))</f>
        <v/>
      </c>
      <c r="D400">
        <f>IF(OR($A400="",$B400=""),"",IF(ISNUMBER(Issues!$C403),MOD(Issues!$C403,100),IFERROR(VALUE(TRIM(MID(MID(Issues!$C403,FIND("/",Issues!$C403)+1,20),FIND("/",MID(Issues!$C403,FIND("/",Issues!$C403)+1,20))+1,20))),"")))</f>
        <v/>
      </c>
      <c r="E400">
        <f>IF($A400="","",IF(OR($B400="",$C400="",$D400="",$B400&lt;1300,$B400&gt;1500,$C400&lt;1,$C400&gt;12,$D400&lt;1,$D400&gt;31),"نامعتبر",RIGHT("0000"&amp;$B400,4)&amp;"/"&amp;RIGHT("00"&amp;$C400,2)&amp;"/"&amp;RIGHT("00"&amp;$D400,2)))</f>
        <v/>
      </c>
      <c r="F400">
        <f>IF($A400="","",IF(Issues!$D403="",0,Issues!$D403))</f>
        <v/>
      </c>
      <c r="G400">
        <f>IF($A400="","",Issues!$E403)</f>
        <v/>
      </c>
      <c r="H400">
        <f>IF($A400="","",IF(COUNTIFS(ETxnType,"پاس چک",ETxnChk,$A400)&gt;0,"پاس شده","پاس نشده"))</f>
        <v/>
      </c>
      <c r="I400">
        <f>IF($A400="","",IFERROR(INDEX(BClrDate,MATCH($A400,BClrChk,0)),""))</f>
        <v/>
      </c>
      <c r="J400">
        <f>IF($A400="","",Issues!$G403)</f>
        <v/>
      </c>
      <c r="K400">
        <f>IF(OR($E400="",$E400="نامعتبر"),"",LEFT($E400,4)&amp;MID($E400,6,2)&amp;RIGHT($E400,2)&amp;"|"&amp;RIGHT("00000"&amp;395,5))</f>
        <v/>
      </c>
      <c r="M400">
        <f>IF(Sync!$M400&lt;&gt;"پاس چک","",IF(Sync!$P400="","",Sync!$P400))</f>
        <v/>
      </c>
      <c r="N400">
        <f>IF($M400="","",IF(ISNUMBER(Sync!$L400),IF(AND(Sync!$L400&gt;=10000101,Sync!$L400&lt;=99991231),RIGHT("0000"&amp;INT(Sync!$L400/10000),4)&amp;"/"&amp;RIGHT("00"&amp;INT(MOD(Sync!$L400,10000)/100),2)&amp;"/"&amp;RIGHT("00"&amp;MOD(Sync!$L400,100),2),""),IFERROR(RIGHT("0000"&amp;VALUE(TRIM(LEFT(Sync!$L400,FIND("/",Sync!$L400)-1))),4)&amp;"/"&amp;RIGHT("00"&amp;VALUE(TRIM(LEFT(MID(Sync!$L400,FIND("/",Sync!$L400)+1,20),FIND("/",MID(Sync!$L400,FIND("/",Sync!$L400)+1,20))-1))),2)&amp;"/"&amp;RIGHT("00"&amp;VALUE(TRIM(MID(MID(Sync!$L400,FIND("/",Sync!$L400)+1,20),FIND("/",MID(Sync!$L400,FIND("/",Sync!$L400)+1,20))+1,20))),2),"")))</f>
        <v/>
      </c>
    </row>
    <row r="401">
      <c r="A401">
        <f>IF(Issues!$B404="","",Issues!$B404)</f>
        <v/>
      </c>
      <c r="B401">
        <f>IF($A401="","",IF(ISNUMBER(Issues!$C404),IF(AND(Issues!$C404&gt;=10000101,Issues!$C404&lt;=99991231),INT(Issues!$C404/10000),""),IFERROR(VALUE(TRIM(LEFT(Issues!$C404,FIND("/",Issues!$C404)-1))),"")))</f>
        <v/>
      </c>
      <c r="C401">
        <f>IF(OR($A401="",$B401=""),"",IF(ISNUMBER(Issues!$C404),INT(MOD(Issues!$C404,10000)/100),IFERROR(VALUE(TRIM(LEFT(MID(Issues!$C404,FIND("/",Issues!$C404)+1,20),FIND("/",MID(Issues!$C404,FIND("/",Issues!$C404)+1,20))-1))),"")))</f>
        <v/>
      </c>
      <c r="D401">
        <f>IF(OR($A401="",$B401=""),"",IF(ISNUMBER(Issues!$C404),MOD(Issues!$C404,100),IFERROR(VALUE(TRIM(MID(MID(Issues!$C404,FIND("/",Issues!$C404)+1,20),FIND("/",MID(Issues!$C404,FIND("/",Issues!$C404)+1,20))+1,20))),"")))</f>
        <v/>
      </c>
      <c r="E401">
        <f>IF($A401="","",IF(OR($B401="",$C401="",$D401="",$B401&lt;1300,$B401&gt;1500,$C401&lt;1,$C401&gt;12,$D401&lt;1,$D401&gt;31),"نامعتبر",RIGHT("0000"&amp;$B401,4)&amp;"/"&amp;RIGHT("00"&amp;$C401,2)&amp;"/"&amp;RIGHT("00"&amp;$D401,2)))</f>
        <v/>
      </c>
      <c r="F401">
        <f>IF($A401="","",IF(Issues!$D404="",0,Issues!$D404))</f>
        <v/>
      </c>
      <c r="G401">
        <f>IF($A401="","",Issues!$E404)</f>
        <v/>
      </c>
      <c r="H401">
        <f>IF($A401="","",IF(COUNTIFS(ETxnType,"پاس چک",ETxnChk,$A401)&gt;0,"پاس شده","پاس نشده"))</f>
        <v/>
      </c>
      <c r="I401">
        <f>IF($A401="","",IFERROR(INDEX(BClrDate,MATCH($A401,BClrChk,0)),""))</f>
        <v/>
      </c>
      <c r="J401">
        <f>IF($A401="","",Issues!$G404)</f>
        <v/>
      </c>
      <c r="K401">
        <f>IF(OR($E401="",$E401="نامعتبر"),"",LEFT($E401,4)&amp;MID($E401,6,2)&amp;RIGHT($E401,2)&amp;"|"&amp;RIGHT("00000"&amp;396,5))</f>
        <v/>
      </c>
      <c r="M401">
        <f>IF(Sync!$M401&lt;&gt;"پاس چک","",IF(Sync!$P401="","",Sync!$P401))</f>
        <v/>
      </c>
      <c r="N401">
        <f>IF($M401="","",IF(ISNUMBER(Sync!$L401),IF(AND(Sync!$L401&gt;=10000101,Sync!$L401&lt;=99991231),RIGHT("0000"&amp;INT(Sync!$L401/10000),4)&amp;"/"&amp;RIGHT("00"&amp;INT(MOD(Sync!$L401,10000)/100),2)&amp;"/"&amp;RIGHT("00"&amp;MOD(Sync!$L401,100),2),""),IFERROR(RIGHT("0000"&amp;VALUE(TRIM(LEFT(Sync!$L401,FIND("/",Sync!$L401)-1))),4)&amp;"/"&amp;RIGHT("00"&amp;VALUE(TRIM(LEFT(MID(Sync!$L401,FIND("/",Sync!$L401)+1,20),FIND("/",MID(Sync!$L401,FIND("/",Sync!$L401)+1,20))-1))),2)&amp;"/"&amp;RIGHT("00"&amp;VALUE(TRIM(MID(MID(Sync!$L401,FIND("/",Sync!$L401)+1,20),FIND("/",MID(Sync!$L401,FIND("/",Sync!$L401)+1,20))+1,20))),2),"")))</f>
        <v/>
      </c>
    </row>
    <row r="402">
      <c r="A402">
        <f>IF(Issues!$B405="","",Issues!$B405)</f>
        <v/>
      </c>
      <c r="B402">
        <f>IF($A402="","",IF(ISNUMBER(Issues!$C405),IF(AND(Issues!$C405&gt;=10000101,Issues!$C405&lt;=99991231),INT(Issues!$C405/10000),""),IFERROR(VALUE(TRIM(LEFT(Issues!$C405,FIND("/",Issues!$C405)-1))),"")))</f>
        <v/>
      </c>
      <c r="C402">
        <f>IF(OR($A402="",$B402=""),"",IF(ISNUMBER(Issues!$C405),INT(MOD(Issues!$C405,10000)/100),IFERROR(VALUE(TRIM(LEFT(MID(Issues!$C405,FIND("/",Issues!$C405)+1,20),FIND("/",MID(Issues!$C405,FIND("/",Issues!$C405)+1,20))-1))),"")))</f>
        <v/>
      </c>
      <c r="D402">
        <f>IF(OR($A402="",$B402=""),"",IF(ISNUMBER(Issues!$C405),MOD(Issues!$C405,100),IFERROR(VALUE(TRIM(MID(MID(Issues!$C405,FIND("/",Issues!$C405)+1,20),FIND("/",MID(Issues!$C405,FIND("/",Issues!$C405)+1,20))+1,20))),"")))</f>
        <v/>
      </c>
      <c r="E402">
        <f>IF($A402="","",IF(OR($B402="",$C402="",$D402="",$B402&lt;1300,$B402&gt;1500,$C402&lt;1,$C402&gt;12,$D402&lt;1,$D402&gt;31),"نامعتبر",RIGHT("0000"&amp;$B402,4)&amp;"/"&amp;RIGHT("00"&amp;$C402,2)&amp;"/"&amp;RIGHT("00"&amp;$D402,2)))</f>
        <v/>
      </c>
      <c r="F402">
        <f>IF($A402="","",IF(Issues!$D405="",0,Issues!$D405))</f>
        <v/>
      </c>
      <c r="G402">
        <f>IF($A402="","",Issues!$E405)</f>
        <v/>
      </c>
      <c r="H402">
        <f>IF($A402="","",IF(COUNTIFS(ETxnType,"پاس چک",ETxnChk,$A402)&gt;0,"پاس شده","پاس نشده"))</f>
        <v/>
      </c>
      <c r="I402">
        <f>IF($A402="","",IFERROR(INDEX(BClrDate,MATCH($A402,BClrChk,0)),""))</f>
        <v/>
      </c>
      <c r="J402">
        <f>IF($A402="","",Issues!$G405)</f>
        <v/>
      </c>
      <c r="K402">
        <f>IF(OR($E402="",$E402="نامعتبر"),"",LEFT($E402,4)&amp;MID($E402,6,2)&amp;RIGHT($E402,2)&amp;"|"&amp;RIGHT("00000"&amp;397,5))</f>
        <v/>
      </c>
      <c r="M402">
        <f>IF(Sync!$M402&lt;&gt;"پاس چک","",IF(Sync!$P402="","",Sync!$P402))</f>
        <v/>
      </c>
      <c r="N402">
        <f>IF($M402="","",IF(ISNUMBER(Sync!$L402),IF(AND(Sync!$L402&gt;=10000101,Sync!$L402&lt;=99991231),RIGHT("0000"&amp;INT(Sync!$L402/10000),4)&amp;"/"&amp;RIGHT("00"&amp;INT(MOD(Sync!$L402,10000)/100),2)&amp;"/"&amp;RIGHT("00"&amp;MOD(Sync!$L402,100),2),""),IFERROR(RIGHT("0000"&amp;VALUE(TRIM(LEFT(Sync!$L402,FIND("/",Sync!$L402)-1))),4)&amp;"/"&amp;RIGHT("00"&amp;VALUE(TRIM(LEFT(MID(Sync!$L402,FIND("/",Sync!$L402)+1,20),FIND("/",MID(Sync!$L402,FIND("/",Sync!$L402)+1,20))-1))),2)&amp;"/"&amp;RIGHT("00"&amp;VALUE(TRIM(MID(MID(Sync!$L402,FIND("/",Sync!$L402)+1,20),FIND("/",MID(Sync!$L402,FIND("/",Sync!$L402)+1,20))+1,20))),2),"")))</f>
        <v/>
      </c>
    </row>
    <row r="403">
      <c r="A403">
        <f>IF(Issues!$B406="","",Issues!$B406)</f>
        <v/>
      </c>
      <c r="B403">
        <f>IF($A403="","",IF(ISNUMBER(Issues!$C406),IF(AND(Issues!$C406&gt;=10000101,Issues!$C406&lt;=99991231),INT(Issues!$C406/10000),""),IFERROR(VALUE(TRIM(LEFT(Issues!$C406,FIND("/",Issues!$C406)-1))),"")))</f>
        <v/>
      </c>
      <c r="C403">
        <f>IF(OR($A403="",$B403=""),"",IF(ISNUMBER(Issues!$C406),INT(MOD(Issues!$C406,10000)/100),IFERROR(VALUE(TRIM(LEFT(MID(Issues!$C406,FIND("/",Issues!$C406)+1,20),FIND("/",MID(Issues!$C406,FIND("/",Issues!$C406)+1,20))-1))),"")))</f>
        <v/>
      </c>
      <c r="D403">
        <f>IF(OR($A403="",$B403=""),"",IF(ISNUMBER(Issues!$C406),MOD(Issues!$C406,100),IFERROR(VALUE(TRIM(MID(MID(Issues!$C406,FIND("/",Issues!$C406)+1,20),FIND("/",MID(Issues!$C406,FIND("/",Issues!$C406)+1,20))+1,20))),"")))</f>
        <v/>
      </c>
      <c r="E403">
        <f>IF($A403="","",IF(OR($B403="",$C403="",$D403="",$B403&lt;1300,$B403&gt;1500,$C403&lt;1,$C403&gt;12,$D403&lt;1,$D403&gt;31),"نامعتبر",RIGHT("0000"&amp;$B403,4)&amp;"/"&amp;RIGHT("00"&amp;$C403,2)&amp;"/"&amp;RIGHT("00"&amp;$D403,2)))</f>
        <v/>
      </c>
      <c r="F403">
        <f>IF($A403="","",IF(Issues!$D406="",0,Issues!$D406))</f>
        <v/>
      </c>
      <c r="G403">
        <f>IF($A403="","",Issues!$E406)</f>
        <v/>
      </c>
      <c r="H403">
        <f>IF($A403="","",IF(COUNTIFS(ETxnType,"پاس چک",ETxnChk,$A403)&gt;0,"پاس شده","پاس نشده"))</f>
        <v/>
      </c>
      <c r="I403">
        <f>IF($A403="","",IFERROR(INDEX(BClrDate,MATCH($A403,BClrChk,0)),""))</f>
        <v/>
      </c>
      <c r="J403">
        <f>IF($A403="","",Issues!$G406)</f>
        <v/>
      </c>
      <c r="K403">
        <f>IF(OR($E403="",$E403="نامعتبر"),"",LEFT($E403,4)&amp;MID($E403,6,2)&amp;RIGHT($E403,2)&amp;"|"&amp;RIGHT("00000"&amp;398,5))</f>
        <v/>
      </c>
      <c r="M403">
        <f>IF(Sync!$M403&lt;&gt;"پاس چک","",IF(Sync!$P403="","",Sync!$P403))</f>
        <v/>
      </c>
      <c r="N403">
        <f>IF($M403="","",IF(ISNUMBER(Sync!$L403),IF(AND(Sync!$L403&gt;=10000101,Sync!$L403&lt;=99991231),RIGHT("0000"&amp;INT(Sync!$L403/10000),4)&amp;"/"&amp;RIGHT("00"&amp;INT(MOD(Sync!$L403,10000)/100),2)&amp;"/"&amp;RIGHT("00"&amp;MOD(Sync!$L403,100),2),""),IFERROR(RIGHT("0000"&amp;VALUE(TRIM(LEFT(Sync!$L403,FIND("/",Sync!$L403)-1))),4)&amp;"/"&amp;RIGHT("00"&amp;VALUE(TRIM(LEFT(MID(Sync!$L403,FIND("/",Sync!$L403)+1,20),FIND("/",MID(Sync!$L403,FIND("/",Sync!$L403)+1,20))-1))),2)&amp;"/"&amp;RIGHT("00"&amp;VALUE(TRIM(MID(MID(Sync!$L403,FIND("/",Sync!$L403)+1,20),FIND("/",MID(Sync!$L403,FIND("/",Sync!$L403)+1,20))+1,20))),2),"")))</f>
        <v/>
      </c>
    </row>
    <row r="404">
      <c r="A404">
        <f>IF(Issues!$B407="","",Issues!$B407)</f>
        <v/>
      </c>
      <c r="B404">
        <f>IF($A404="","",IF(ISNUMBER(Issues!$C407),IF(AND(Issues!$C407&gt;=10000101,Issues!$C407&lt;=99991231),INT(Issues!$C407/10000),""),IFERROR(VALUE(TRIM(LEFT(Issues!$C407,FIND("/",Issues!$C407)-1))),"")))</f>
        <v/>
      </c>
      <c r="C404">
        <f>IF(OR($A404="",$B404=""),"",IF(ISNUMBER(Issues!$C407),INT(MOD(Issues!$C407,10000)/100),IFERROR(VALUE(TRIM(LEFT(MID(Issues!$C407,FIND("/",Issues!$C407)+1,20),FIND("/",MID(Issues!$C407,FIND("/",Issues!$C407)+1,20))-1))),"")))</f>
        <v/>
      </c>
      <c r="D404">
        <f>IF(OR($A404="",$B404=""),"",IF(ISNUMBER(Issues!$C407),MOD(Issues!$C407,100),IFERROR(VALUE(TRIM(MID(MID(Issues!$C407,FIND("/",Issues!$C407)+1,20),FIND("/",MID(Issues!$C407,FIND("/",Issues!$C407)+1,20))+1,20))),"")))</f>
        <v/>
      </c>
      <c r="E404">
        <f>IF($A404="","",IF(OR($B404="",$C404="",$D404="",$B404&lt;1300,$B404&gt;1500,$C404&lt;1,$C404&gt;12,$D404&lt;1,$D404&gt;31),"نامعتبر",RIGHT("0000"&amp;$B404,4)&amp;"/"&amp;RIGHT("00"&amp;$C404,2)&amp;"/"&amp;RIGHT("00"&amp;$D404,2)))</f>
        <v/>
      </c>
      <c r="F404">
        <f>IF($A404="","",IF(Issues!$D407="",0,Issues!$D407))</f>
        <v/>
      </c>
      <c r="G404">
        <f>IF($A404="","",Issues!$E407)</f>
        <v/>
      </c>
      <c r="H404">
        <f>IF($A404="","",IF(COUNTIFS(ETxnType,"پاس چک",ETxnChk,$A404)&gt;0,"پاس شده","پاس نشده"))</f>
        <v/>
      </c>
      <c r="I404">
        <f>IF($A404="","",IFERROR(INDEX(BClrDate,MATCH($A404,BClrChk,0)),""))</f>
        <v/>
      </c>
      <c r="J404">
        <f>IF($A404="","",Issues!$G407)</f>
        <v/>
      </c>
      <c r="K404">
        <f>IF(OR($E404="",$E404="نامعتبر"),"",LEFT($E404,4)&amp;MID($E404,6,2)&amp;RIGHT($E404,2)&amp;"|"&amp;RIGHT("00000"&amp;399,5))</f>
        <v/>
      </c>
      <c r="M404">
        <f>IF(Sync!$M404&lt;&gt;"پاس چک","",IF(Sync!$P404="","",Sync!$P404))</f>
        <v/>
      </c>
      <c r="N404">
        <f>IF($M404="","",IF(ISNUMBER(Sync!$L404),IF(AND(Sync!$L404&gt;=10000101,Sync!$L404&lt;=99991231),RIGHT("0000"&amp;INT(Sync!$L404/10000),4)&amp;"/"&amp;RIGHT("00"&amp;INT(MOD(Sync!$L404,10000)/100),2)&amp;"/"&amp;RIGHT("00"&amp;MOD(Sync!$L404,100),2),""),IFERROR(RIGHT("0000"&amp;VALUE(TRIM(LEFT(Sync!$L404,FIND("/",Sync!$L404)-1))),4)&amp;"/"&amp;RIGHT("00"&amp;VALUE(TRIM(LEFT(MID(Sync!$L404,FIND("/",Sync!$L404)+1,20),FIND("/",MID(Sync!$L404,FIND("/",Sync!$L404)+1,20))-1))),2)&amp;"/"&amp;RIGHT("00"&amp;VALUE(TRIM(MID(MID(Sync!$L404,FIND("/",Sync!$L404)+1,20),FIND("/",MID(Sync!$L404,FIND("/",Sync!$L404)+1,20))+1,20))),2),"")))</f>
        <v/>
      </c>
    </row>
    <row r="405">
      <c r="A405">
        <f>IF(Issues!$B408="","",Issues!$B408)</f>
        <v/>
      </c>
      <c r="B405">
        <f>IF($A405="","",IF(ISNUMBER(Issues!$C408),IF(AND(Issues!$C408&gt;=10000101,Issues!$C408&lt;=99991231),INT(Issues!$C408/10000),""),IFERROR(VALUE(TRIM(LEFT(Issues!$C408,FIND("/",Issues!$C408)-1))),"")))</f>
        <v/>
      </c>
      <c r="C405">
        <f>IF(OR($A405="",$B405=""),"",IF(ISNUMBER(Issues!$C408),INT(MOD(Issues!$C408,10000)/100),IFERROR(VALUE(TRIM(LEFT(MID(Issues!$C408,FIND("/",Issues!$C408)+1,20),FIND("/",MID(Issues!$C408,FIND("/",Issues!$C408)+1,20))-1))),"")))</f>
        <v/>
      </c>
      <c r="D405">
        <f>IF(OR($A405="",$B405=""),"",IF(ISNUMBER(Issues!$C408),MOD(Issues!$C408,100),IFERROR(VALUE(TRIM(MID(MID(Issues!$C408,FIND("/",Issues!$C408)+1,20),FIND("/",MID(Issues!$C408,FIND("/",Issues!$C408)+1,20))+1,20))),"")))</f>
        <v/>
      </c>
      <c r="E405">
        <f>IF($A405="","",IF(OR($B405="",$C405="",$D405="",$B405&lt;1300,$B405&gt;1500,$C405&lt;1,$C405&gt;12,$D405&lt;1,$D405&gt;31),"نامعتبر",RIGHT("0000"&amp;$B405,4)&amp;"/"&amp;RIGHT("00"&amp;$C405,2)&amp;"/"&amp;RIGHT("00"&amp;$D405,2)))</f>
        <v/>
      </c>
      <c r="F405">
        <f>IF($A405="","",IF(Issues!$D408="",0,Issues!$D408))</f>
        <v/>
      </c>
      <c r="G405">
        <f>IF($A405="","",Issues!$E408)</f>
        <v/>
      </c>
      <c r="H405">
        <f>IF($A405="","",IF(COUNTIFS(ETxnType,"پاس چک",ETxnChk,$A405)&gt;0,"پاس شده","پاس نشده"))</f>
        <v/>
      </c>
      <c r="I405">
        <f>IF($A405="","",IFERROR(INDEX(BClrDate,MATCH($A405,BClrChk,0)),""))</f>
        <v/>
      </c>
      <c r="J405">
        <f>IF($A405="","",Issues!$G408)</f>
        <v/>
      </c>
      <c r="K405">
        <f>IF(OR($E405="",$E405="نامعتبر"),"",LEFT($E405,4)&amp;MID($E405,6,2)&amp;RIGHT($E405,2)&amp;"|"&amp;RIGHT("00000"&amp;400,5))</f>
        <v/>
      </c>
      <c r="M405">
        <f>IF(Sync!$M405&lt;&gt;"پاس چک","",IF(Sync!$P405="","",Sync!$P405))</f>
        <v/>
      </c>
      <c r="N405">
        <f>IF($M405="","",IF(ISNUMBER(Sync!$L405),IF(AND(Sync!$L405&gt;=10000101,Sync!$L405&lt;=99991231),RIGHT("0000"&amp;INT(Sync!$L405/10000),4)&amp;"/"&amp;RIGHT("00"&amp;INT(MOD(Sync!$L405,10000)/100),2)&amp;"/"&amp;RIGHT("00"&amp;MOD(Sync!$L405,100),2),""),IFERROR(RIGHT("0000"&amp;VALUE(TRIM(LEFT(Sync!$L405,FIND("/",Sync!$L405)-1))),4)&amp;"/"&amp;RIGHT("00"&amp;VALUE(TRIM(LEFT(MID(Sync!$L405,FIND("/",Sync!$L405)+1,20),FIND("/",MID(Sync!$L405,FIND("/",Sync!$L405)+1,20))-1))),2)&amp;"/"&amp;RIGHT("00"&amp;VALUE(TRIM(MID(MID(Sync!$L405,FIND("/",Sync!$L405)+1,20),FIND("/",MID(Sync!$L405,FIND("/",Sync!$L405)+1,20))+1,20))),2),"")))</f>
        <v/>
      </c>
    </row>
    <row r="406">
      <c r="A406">
        <f>IF(Issues!$B409="","",Issues!$B409)</f>
        <v/>
      </c>
      <c r="B406">
        <f>IF($A406="","",IF(ISNUMBER(Issues!$C409),IF(AND(Issues!$C409&gt;=10000101,Issues!$C409&lt;=99991231),INT(Issues!$C409/10000),""),IFERROR(VALUE(TRIM(LEFT(Issues!$C409,FIND("/",Issues!$C409)-1))),"")))</f>
        <v/>
      </c>
      <c r="C406">
        <f>IF(OR($A406="",$B406=""),"",IF(ISNUMBER(Issues!$C409),INT(MOD(Issues!$C409,10000)/100),IFERROR(VALUE(TRIM(LEFT(MID(Issues!$C409,FIND("/",Issues!$C409)+1,20),FIND("/",MID(Issues!$C409,FIND("/",Issues!$C409)+1,20))-1))),"")))</f>
        <v/>
      </c>
      <c r="D406">
        <f>IF(OR($A406="",$B406=""),"",IF(ISNUMBER(Issues!$C409),MOD(Issues!$C409,100),IFERROR(VALUE(TRIM(MID(MID(Issues!$C409,FIND("/",Issues!$C409)+1,20),FIND("/",MID(Issues!$C409,FIND("/",Issues!$C409)+1,20))+1,20))),"")))</f>
        <v/>
      </c>
      <c r="E406">
        <f>IF($A406="","",IF(OR($B406="",$C406="",$D406="",$B406&lt;1300,$B406&gt;1500,$C406&lt;1,$C406&gt;12,$D406&lt;1,$D406&gt;31),"نامعتبر",RIGHT("0000"&amp;$B406,4)&amp;"/"&amp;RIGHT("00"&amp;$C406,2)&amp;"/"&amp;RIGHT("00"&amp;$D406,2)))</f>
        <v/>
      </c>
      <c r="F406">
        <f>IF($A406="","",IF(Issues!$D409="",0,Issues!$D409))</f>
        <v/>
      </c>
      <c r="G406">
        <f>IF($A406="","",Issues!$E409)</f>
        <v/>
      </c>
      <c r="H406">
        <f>IF($A406="","",IF(COUNTIFS(ETxnType,"پاس چک",ETxnChk,$A406)&gt;0,"پاس شده","پاس نشده"))</f>
        <v/>
      </c>
      <c r="I406">
        <f>IF($A406="","",IFERROR(INDEX(BClrDate,MATCH($A406,BClrChk,0)),""))</f>
        <v/>
      </c>
      <c r="J406">
        <f>IF($A406="","",Issues!$G409)</f>
        <v/>
      </c>
      <c r="K406">
        <f>IF(OR($E406="",$E406="نامعتبر"),"",LEFT($E406,4)&amp;MID($E406,6,2)&amp;RIGHT($E406,2)&amp;"|"&amp;RIGHT("00000"&amp;401,5))</f>
        <v/>
      </c>
      <c r="M406">
        <f>IF(Sync!$M406&lt;&gt;"پاس چک","",IF(Sync!$P406="","",Sync!$P406))</f>
        <v/>
      </c>
      <c r="N406">
        <f>IF($M406="","",IF(ISNUMBER(Sync!$L406),IF(AND(Sync!$L406&gt;=10000101,Sync!$L406&lt;=99991231),RIGHT("0000"&amp;INT(Sync!$L406/10000),4)&amp;"/"&amp;RIGHT("00"&amp;INT(MOD(Sync!$L406,10000)/100),2)&amp;"/"&amp;RIGHT("00"&amp;MOD(Sync!$L406,100),2),""),IFERROR(RIGHT("0000"&amp;VALUE(TRIM(LEFT(Sync!$L406,FIND("/",Sync!$L406)-1))),4)&amp;"/"&amp;RIGHT("00"&amp;VALUE(TRIM(LEFT(MID(Sync!$L406,FIND("/",Sync!$L406)+1,20),FIND("/",MID(Sync!$L406,FIND("/",Sync!$L406)+1,20))-1))),2)&amp;"/"&amp;RIGHT("00"&amp;VALUE(TRIM(MID(MID(Sync!$L406,FIND("/",Sync!$L406)+1,20),FIND("/",MID(Sync!$L406,FIND("/",Sync!$L406)+1,20))+1,20))),2),"")))</f>
        <v/>
      </c>
    </row>
    <row r="407">
      <c r="A407">
        <f>IF(Issues!$B410="","",Issues!$B410)</f>
        <v/>
      </c>
      <c r="B407">
        <f>IF($A407="","",IF(ISNUMBER(Issues!$C410),IF(AND(Issues!$C410&gt;=10000101,Issues!$C410&lt;=99991231),INT(Issues!$C410/10000),""),IFERROR(VALUE(TRIM(LEFT(Issues!$C410,FIND("/",Issues!$C410)-1))),"")))</f>
        <v/>
      </c>
      <c r="C407">
        <f>IF(OR($A407="",$B407=""),"",IF(ISNUMBER(Issues!$C410),INT(MOD(Issues!$C410,10000)/100),IFERROR(VALUE(TRIM(LEFT(MID(Issues!$C410,FIND("/",Issues!$C410)+1,20),FIND("/",MID(Issues!$C410,FIND("/",Issues!$C410)+1,20))-1))),"")))</f>
        <v/>
      </c>
      <c r="D407">
        <f>IF(OR($A407="",$B407=""),"",IF(ISNUMBER(Issues!$C410),MOD(Issues!$C410,100),IFERROR(VALUE(TRIM(MID(MID(Issues!$C410,FIND("/",Issues!$C410)+1,20),FIND("/",MID(Issues!$C410,FIND("/",Issues!$C410)+1,20))+1,20))),"")))</f>
        <v/>
      </c>
      <c r="E407">
        <f>IF($A407="","",IF(OR($B407="",$C407="",$D407="",$B407&lt;1300,$B407&gt;1500,$C407&lt;1,$C407&gt;12,$D407&lt;1,$D407&gt;31),"نامعتبر",RIGHT("0000"&amp;$B407,4)&amp;"/"&amp;RIGHT("00"&amp;$C407,2)&amp;"/"&amp;RIGHT("00"&amp;$D407,2)))</f>
        <v/>
      </c>
      <c r="F407">
        <f>IF($A407="","",IF(Issues!$D410="",0,Issues!$D410))</f>
        <v/>
      </c>
      <c r="G407">
        <f>IF($A407="","",Issues!$E410)</f>
        <v/>
      </c>
      <c r="H407">
        <f>IF($A407="","",IF(COUNTIFS(ETxnType,"پاس چک",ETxnChk,$A407)&gt;0,"پاس شده","پاس نشده"))</f>
        <v/>
      </c>
      <c r="I407">
        <f>IF($A407="","",IFERROR(INDEX(BClrDate,MATCH($A407,BClrChk,0)),""))</f>
        <v/>
      </c>
      <c r="J407">
        <f>IF($A407="","",Issues!$G410)</f>
        <v/>
      </c>
      <c r="K407">
        <f>IF(OR($E407="",$E407="نامعتبر"),"",LEFT($E407,4)&amp;MID($E407,6,2)&amp;RIGHT($E407,2)&amp;"|"&amp;RIGHT("00000"&amp;402,5))</f>
        <v/>
      </c>
      <c r="M407">
        <f>IF(Sync!$M407&lt;&gt;"پاس چک","",IF(Sync!$P407="","",Sync!$P407))</f>
        <v/>
      </c>
      <c r="N407">
        <f>IF($M407="","",IF(ISNUMBER(Sync!$L407),IF(AND(Sync!$L407&gt;=10000101,Sync!$L407&lt;=99991231),RIGHT("0000"&amp;INT(Sync!$L407/10000),4)&amp;"/"&amp;RIGHT("00"&amp;INT(MOD(Sync!$L407,10000)/100),2)&amp;"/"&amp;RIGHT("00"&amp;MOD(Sync!$L407,100),2),""),IFERROR(RIGHT("0000"&amp;VALUE(TRIM(LEFT(Sync!$L407,FIND("/",Sync!$L407)-1))),4)&amp;"/"&amp;RIGHT("00"&amp;VALUE(TRIM(LEFT(MID(Sync!$L407,FIND("/",Sync!$L407)+1,20),FIND("/",MID(Sync!$L407,FIND("/",Sync!$L407)+1,20))-1))),2)&amp;"/"&amp;RIGHT("00"&amp;VALUE(TRIM(MID(MID(Sync!$L407,FIND("/",Sync!$L407)+1,20),FIND("/",MID(Sync!$L407,FIND("/",Sync!$L407)+1,20))+1,20))),2),"")))</f>
        <v/>
      </c>
    </row>
    <row r="408">
      <c r="A408">
        <f>IF(Issues!$B411="","",Issues!$B411)</f>
        <v/>
      </c>
      <c r="B408">
        <f>IF($A408="","",IF(ISNUMBER(Issues!$C411),IF(AND(Issues!$C411&gt;=10000101,Issues!$C411&lt;=99991231),INT(Issues!$C411/10000),""),IFERROR(VALUE(TRIM(LEFT(Issues!$C411,FIND("/",Issues!$C411)-1))),"")))</f>
        <v/>
      </c>
      <c r="C408">
        <f>IF(OR($A408="",$B408=""),"",IF(ISNUMBER(Issues!$C411),INT(MOD(Issues!$C411,10000)/100),IFERROR(VALUE(TRIM(LEFT(MID(Issues!$C411,FIND("/",Issues!$C411)+1,20),FIND("/",MID(Issues!$C411,FIND("/",Issues!$C411)+1,20))-1))),"")))</f>
        <v/>
      </c>
      <c r="D408">
        <f>IF(OR($A408="",$B408=""),"",IF(ISNUMBER(Issues!$C411),MOD(Issues!$C411,100),IFERROR(VALUE(TRIM(MID(MID(Issues!$C411,FIND("/",Issues!$C411)+1,20),FIND("/",MID(Issues!$C411,FIND("/",Issues!$C411)+1,20))+1,20))),"")))</f>
        <v/>
      </c>
      <c r="E408">
        <f>IF($A408="","",IF(OR($B408="",$C408="",$D408="",$B408&lt;1300,$B408&gt;1500,$C408&lt;1,$C408&gt;12,$D408&lt;1,$D408&gt;31),"نامعتبر",RIGHT("0000"&amp;$B408,4)&amp;"/"&amp;RIGHT("00"&amp;$C408,2)&amp;"/"&amp;RIGHT("00"&amp;$D408,2)))</f>
        <v/>
      </c>
      <c r="F408">
        <f>IF($A408="","",IF(Issues!$D411="",0,Issues!$D411))</f>
        <v/>
      </c>
      <c r="G408">
        <f>IF($A408="","",Issues!$E411)</f>
        <v/>
      </c>
      <c r="H408">
        <f>IF($A408="","",IF(COUNTIFS(ETxnType,"پاس چک",ETxnChk,$A408)&gt;0,"پاس شده","پاس نشده"))</f>
        <v/>
      </c>
      <c r="I408">
        <f>IF($A408="","",IFERROR(INDEX(BClrDate,MATCH($A408,BClrChk,0)),""))</f>
        <v/>
      </c>
      <c r="J408">
        <f>IF($A408="","",Issues!$G411)</f>
        <v/>
      </c>
      <c r="K408">
        <f>IF(OR($E408="",$E408="نامعتبر"),"",LEFT($E408,4)&amp;MID($E408,6,2)&amp;RIGHT($E408,2)&amp;"|"&amp;RIGHT("00000"&amp;403,5))</f>
        <v/>
      </c>
      <c r="M408">
        <f>IF(Sync!$M408&lt;&gt;"پاس چک","",IF(Sync!$P408="","",Sync!$P408))</f>
        <v/>
      </c>
      <c r="N408">
        <f>IF($M408="","",IF(ISNUMBER(Sync!$L408),IF(AND(Sync!$L408&gt;=10000101,Sync!$L408&lt;=99991231),RIGHT("0000"&amp;INT(Sync!$L408/10000),4)&amp;"/"&amp;RIGHT("00"&amp;INT(MOD(Sync!$L408,10000)/100),2)&amp;"/"&amp;RIGHT("00"&amp;MOD(Sync!$L408,100),2),""),IFERROR(RIGHT("0000"&amp;VALUE(TRIM(LEFT(Sync!$L408,FIND("/",Sync!$L408)-1))),4)&amp;"/"&amp;RIGHT("00"&amp;VALUE(TRIM(LEFT(MID(Sync!$L408,FIND("/",Sync!$L408)+1,20),FIND("/",MID(Sync!$L408,FIND("/",Sync!$L408)+1,20))-1))),2)&amp;"/"&amp;RIGHT("00"&amp;VALUE(TRIM(MID(MID(Sync!$L408,FIND("/",Sync!$L408)+1,20),FIND("/",MID(Sync!$L408,FIND("/",Sync!$L408)+1,20))+1,20))),2),"")))</f>
        <v/>
      </c>
    </row>
    <row r="409">
      <c r="A409">
        <f>IF(Issues!$B412="","",Issues!$B412)</f>
        <v/>
      </c>
      <c r="B409">
        <f>IF($A409="","",IF(ISNUMBER(Issues!$C412),IF(AND(Issues!$C412&gt;=10000101,Issues!$C412&lt;=99991231),INT(Issues!$C412/10000),""),IFERROR(VALUE(TRIM(LEFT(Issues!$C412,FIND("/",Issues!$C412)-1))),"")))</f>
        <v/>
      </c>
      <c r="C409">
        <f>IF(OR($A409="",$B409=""),"",IF(ISNUMBER(Issues!$C412),INT(MOD(Issues!$C412,10000)/100),IFERROR(VALUE(TRIM(LEFT(MID(Issues!$C412,FIND("/",Issues!$C412)+1,20),FIND("/",MID(Issues!$C412,FIND("/",Issues!$C412)+1,20))-1))),"")))</f>
        <v/>
      </c>
      <c r="D409">
        <f>IF(OR($A409="",$B409=""),"",IF(ISNUMBER(Issues!$C412),MOD(Issues!$C412,100),IFERROR(VALUE(TRIM(MID(MID(Issues!$C412,FIND("/",Issues!$C412)+1,20),FIND("/",MID(Issues!$C412,FIND("/",Issues!$C412)+1,20))+1,20))),"")))</f>
        <v/>
      </c>
      <c r="E409">
        <f>IF($A409="","",IF(OR($B409="",$C409="",$D409="",$B409&lt;1300,$B409&gt;1500,$C409&lt;1,$C409&gt;12,$D409&lt;1,$D409&gt;31),"نامعتبر",RIGHT("0000"&amp;$B409,4)&amp;"/"&amp;RIGHT("00"&amp;$C409,2)&amp;"/"&amp;RIGHT("00"&amp;$D409,2)))</f>
        <v/>
      </c>
      <c r="F409">
        <f>IF($A409="","",IF(Issues!$D412="",0,Issues!$D412))</f>
        <v/>
      </c>
      <c r="G409">
        <f>IF($A409="","",Issues!$E412)</f>
        <v/>
      </c>
      <c r="H409">
        <f>IF($A409="","",IF(COUNTIFS(ETxnType,"پاس چک",ETxnChk,$A409)&gt;0,"پاس شده","پاس نشده"))</f>
        <v/>
      </c>
      <c r="I409">
        <f>IF($A409="","",IFERROR(INDEX(BClrDate,MATCH($A409,BClrChk,0)),""))</f>
        <v/>
      </c>
      <c r="J409">
        <f>IF($A409="","",Issues!$G412)</f>
        <v/>
      </c>
      <c r="K409">
        <f>IF(OR($E409="",$E409="نامعتبر"),"",LEFT($E409,4)&amp;MID($E409,6,2)&amp;RIGHT($E409,2)&amp;"|"&amp;RIGHT("00000"&amp;404,5))</f>
        <v/>
      </c>
      <c r="M409">
        <f>IF(Sync!$M409&lt;&gt;"پاس چک","",IF(Sync!$P409="","",Sync!$P409))</f>
        <v/>
      </c>
      <c r="N409">
        <f>IF($M409="","",IF(ISNUMBER(Sync!$L409),IF(AND(Sync!$L409&gt;=10000101,Sync!$L409&lt;=99991231),RIGHT("0000"&amp;INT(Sync!$L409/10000),4)&amp;"/"&amp;RIGHT("00"&amp;INT(MOD(Sync!$L409,10000)/100),2)&amp;"/"&amp;RIGHT("00"&amp;MOD(Sync!$L409,100),2),""),IFERROR(RIGHT("0000"&amp;VALUE(TRIM(LEFT(Sync!$L409,FIND("/",Sync!$L409)-1))),4)&amp;"/"&amp;RIGHT("00"&amp;VALUE(TRIM(LEFT(MID(Sync!$L409,FIND("/",Sync!$L409)+1,20),FIND("/",MID(Sync!$L409,FIND("/",Sync!$L409)+1,20))-1))),2)&amp;"/"&amp;RIGHT("00"&amp;VALUE(TRIM(MID(MID(Sync!$L409,FIND("/",Sync!$L409)+1,20),FIND("/",MID(Sync!$L409,FIND("/",Sync!$L409)+1,20))+1,20))),2),"")))</f>
        <v/>
      </c>
    </row>
    <row r="410">
      <c r="A410">
        <f>IF(Issues!$B413="","",Issues!$B413)</f>
        <v/>
      </c>
      <c r="B410">
        <f>IF($A410="","",IF(ISNUMBER(Issues!$C413),IF(AND(Issues!$C413&gt;=10000101,Issues!$C413&lt;=99991231),INT(Issues!$C413/10000),""),IFERROR(VALUE(TRIM(LEFT(Issues!$C413,FIND("/",Issues!$C413)-1))),"")))</f>
        <v/>
      </c>
      <c r="C410">
        <f>IF(OR($A410="",$B410=""),"",IF(ISNUMBER(Issues!$C413),INT(MOD(Issues!$C413,10000)/100),IFERROR(VALUE(TRIM(LEFT(MID(Issues!$C413,FIND("/",Issues!$C413)+1,20),FIND("/",MID(Issues!$C413,FIND("/",Issues!$C413)+1,20))-1))),"")))</f>
        <v/>
      </c>
      <c r="D410">
        <f>IF(OR($A410="",$B410=""),"",IF(ISNUMBER(Issues!$C413),MOD(Issues!$C413,100),IFERROR(VALUE(TRIM(MID(MID(Issues!$C413,FIND("/",Issues!$C413)+1,20),FIND("/",MID(Issues!$C413,FIND("/",Issues!$C413)+1,20))+1,20))),"")))</f>
        <v/>
      </c>
      <c r="E410">
        <f>IF($A410="","",IF(OR($B410="",$C410="",$D410="",$B410&lt;1300,$B410&gt;1500,$C410&lt;1,$C410&gt;12,$D410&lt;1,$D410&gt;31),"نامعتبر",RIGHT("0000"&amp;$B410,4)&amp;"/"&amp;RIGHT("00"&amp;$C410,2)&amp;"/"&amp;RIGHT("00"&amp;$D410,2)))</f>
        <v/>
      </c>
      <c r="F410">
        <f>IF($A410="","",IF(Issues!$D413="",0,Issues!$D413))</f>
        <v/>
      </c>
      <c r="G410">
        <f>IF($A410="","",Issues!$E413)</f>
        <v/>
      </c>
      <c r="H410">
        <f>IF($A410="","",IF(COUNTIFS(ETxnType,"پاس چک",ETxnChk,$A410)&gt;0,"پاس شده","پاس نشده"))</f>
        <v/>
      </c>
      <c r="I410">
        <f>IF($A410="","",IFERROR(INDEX(BClrDate,MATCH($A410,BClrChk,0)),""))</f>
        <v/>
      </c>
      <c r="J410">
        <f>IF($A410="","",Issues!$G413)</f>
        <v/>
      </c>
      <c r="K410">
        <f>IF(OR($E410="",$E410="نامعتبر"),"",LEFT($E410,4)&amp;MID($E410,6,2)&amp;RIGHT($E410,2)&amp;"|"&amp;RIGHT("00000"&amp;405,5))</f>
        <v/>
      </c>
      <c r="M410">
        <f>IF(Sync!$M410&lt;&gt;"پاس چک","",IF(Sync!$P410="","",Sync!$P410))</f>
        <v/>
      </c>
      <c r="N410">
        <f>IF($M410="","",IF(ISNUMBER(Sync!$L410),IF(AND(Sync!$L410&gt;=10000101,Sync!$L410&lt;=99991231),RIGHT("0000"&amp;INT(Sync!$L410/10000),4)&amp;"/"&amp;RIGHT("00"&amp;INT(MOD(Sync!$L410,10000)/100),2)&amp;"/"&amp;RIGHT("00"&amp;MOD(Sync!$L410,100),2),""),IFERROR(RIGHT("0000"&amp;VALUE(TRIM(LEFT(Sync!$L410,FIND("/",Sync!$L410)-1))),4)&amp;"/"&amp;RIGHT("00"&amp;VALUE(TRIM(LEFT(MID(Sync!$L410,FIND("/",Sync!$L410)+1,20),FIND("/",MID(Sync!$L410,FIND("/",Sync!$L410)+1,20))-1))),2)&amp;"/"&amp;RIGHT("00"&amp;VALUE(TRIM(MID(MID(Sync!$L410,FIND("/",Sync!$L410)+1,20),FIND("/",MID(Sync!$L410,FIND("/",Sync!$L410)+1,20))+1,20))),2),"")))</f>
        <v/>
      </c>
    </row>
    <row r="411">
      <c r="A411">
        <f>IF(Issues!$B414="","",Issues!$B414)</f>
        <v/>
      </c>
      <c r="B411">
        <f>IF($A411="","",IF(ISNUMBER(Issues!$C414),IF(AND(Issues!$C414&gt;=10000101,Issues!$C414&lt;=99991231),INT(Issues!$C414/10000),""),IFERROR(VALUE(TRIM(LEFT(Issues!$C414,FIND("/",Issues!$C414)-1))),"")))</f>
        <v/>
      </c>
      <c r="C411">
        <f>IF(OR($A411="",$B411=""),"",IF(ISNUMBER(Issues!$C414),INT(MOD(Issues!$C414,10000)/100),IFERROR(VALUE(TRIM(LEFT(MID(Issues!$C414,FIND("/",Issues!$C414)+1,20),FIND("/",MID(Issues!$C414,FIND("/",Issues!$C414)+1,20))-1))),"")))</f>
        <v/>
      </c>
      <c r="D411">
        <f>IF(OR($A411="",$B411=""),"",IF(ISNUMBER(Issues!$C414),MOD(Issues!$C414,100),IFERROR(VALUE(TRIM(MID(MID(Issues!$C414,FIND("/",Issues!$C414)+1,20),FIND("/",MID(Issues!$C414,FIND("/",Issues!$C414)+1,20))+1,20))),"")))</f>
        <v/>
      </c>
      <c r="E411">
        <f>IF($A411="","",IF(OR($B411="",$C411="",$D411="",$B411&lt;1300,$B411&gt;1500,$C411&lt;1,$C411&gt;12,$D411&lt;1,$D411&gt;31),"نامعتبر",RIGHT("0000"&amp;$B411,4)&amp;"/"&amp;RIGHT("00"&amp;$C411,2)&amp;"/"&amp;RIGHT("00"&amp;$D411,2)))</f>
        <v/>
      </c>
      <c r="F411">
        <f>IF($A411="","",IF(Issues!$D414="",0,Issues!$D414))</f>
        <v/>
      </c>
      <c r="G411">
        <f>IF($A411="","",Issues!$E414)</f>
        <v/>
      </c>
      <c r="H411">
        <f>IF($A411="","",IF(COUNTIFS(ETxnType,"پاس چک",ETxnChk,$A411)&gt;0,"پاس شده","پاس نشده"))</f>
        <v/>
      </c>
      <c r="I411">
        <f>IF($A411="","",IFERROR(INDEX(BClrDate,MATCH($A411,BClrChk,0)),""))</f>
        <v/>
      </c>
      <c r="J411">
        <f>IF($A411="","",Issues!$G414)</f>
        <v/>
      </c>
      <c r="K411">
        <f>IF(OR($E411="",$E411="نامعتبر"),"",LEFT($E411,4)&amp;MID($E411,6,2)&amp;RIGHT($E411,2)&amp;"|"&amp;RIGHT("00000"&amp;406,5))</f>
        <v/>
      </c>
      <c r="M411">
        <f>IF(Sync!$M411&lt;&gt;"پاس چک","",IF(Sync!$P411="","",Sync!$P411))</f>
        <v/>
      </c>
      <c r="N411">
        <f>IF($M411="","",IF(ISNUMBER(Sync!$L411),IF(AND(Sync!$L411&gt;=10000101,Sync!$L411&lt;=99991231),RIGHT("0000"&amp;INT(Sync!$L411/10000),4)&amp;"/"&amp;RIGHT("00"&amp;INT(MOD(Sync!$L411,10000)/100),2)&amp;"/"&amp;RIGHT("00"&amp;MOD(Sync!$L411,100),2),""),IFERROR(RIGHT("0000"&amp;VALUE(TRIM(LEFT(Sync!$L411,FIND("/",Sync!$L411)-1))),4)&amp;"/"&amp;RIGHT("00"&amp;VALUE(TRIM(LEFT(MID(Sync!$L411,FIND("/",Sync!$L411)+1,20),FIND("/",MID(Sync!$L411,FIND("/",Sync!$L411)+1,20))-1))),2)&amp;"/"&amp;RIGHT("00"&amp;VALUE(TRIM(MID(MID(Sync!$L411,FIND("/",Sync!$L411)+1,20),FIND("/",MID(Sync!$L411,FIND("/",Sync!$L411)+1,20))+1,20))),2),"")))</f>
        <v/>
      </c>
    </row>
    <row r="412">
      <c r="A412">
        <f>IF(Issues!$B415="","",Issues!$B415)</f>
        <v/>
      </c>
      <c r="B412">
        <f>IF($A412="","",IF(ISNUMBER(Issues!$C415),IF(AND(Issues!$C415&gt;=10000101,Issues!$C415&lt;=99991231),INT(Issues!$C415/10000),""),IFERROR(VALUE(TRIM(LEFT(Issues!$C415,FIND("/",Issues!$C415)-1))),"")))</f>
        <v/>
      </c>
      <c r="C412">
        <f>IF(OR($A412="",$B412=""),"",IF(ISNUMBER(Issues!$C415),INT(MOD(Issues!$C415,10000)/100),IFERROR(VALUE(TRIM(LEFT(MID(Issues!$C415,FIND("/",Issues!$C415)+1,20),FIND("/",MID(Issues!$C415,FIND("/",Issues!$C415)+1,20))-1))),"")))</f>
        <v/>
      </c>
      <c r="D412">
        <f>IF(OR($A412="",$B412=""),"",IF(ISNUMBER(Issues!$C415),MOD(Issues!$C415,100),IFERROR(VALUE(TRIM(MID(MID(Issues!$C415,FIND("/",Issues!$C415)+1,20),FIND("/",MID(Issues!$C415,FIND("/",Issues!$C415)+1,20))+1,20))),"")))</f>
        <v/>
      </c>
      <c r="E412">
        <f>IF($A412="","",IF(OR($B412="",$C412="",$D412="",$B412&lt;1300,$B412&gt;1500,$C412&lt;1,$C412&gt;12,$D412&lt;1,$D412&gt;31),"نامعتبر",RIGHT("0000"&amp;$B412,4)&amp;"/"&amp;RIGHT("00"&amp;$C412,2)&amp;"/"&amp;RIGHT("00"&amp;$D412,2)))</f>
        <v/>
      </c>
      <c r="F412">
        <f>IF($A412="","",IF(Issues!$D415="",0,Issues!$D415))</f>
        <v/>
      </c>
      <c r="G412">
        <f>IF($A412="","",Issues!$E415)</f>
        <v/>
      </c>
      <c r="H412">
        <f>IF($A412="","",IF(COUNTIFS(ETxnType,"پاس چک",ETxnChk,$A412)&gt;0,"پاس شده","پاس نشده"))</f>
        <v/>
      </c>
      <c r="I412">
        <f>IF($A412="","",IFERROR(INDEX(BClrDate,MATCH($A412,BClrChk,0)),""))</f>
        <v/>
      </c>
      <c r="J412">
        <f>IF($A412="","",Issues!$G415)</f>
        <v/>
      </c>
      <c r="K412">
        <f>IF(OR($E412="",$E412="نامعتبر"),"",LEFT($E412,4)&amp;MID($E412,6,2)&amp;RIGHT($E412,2)&amp;"|"&amp;RIGHT("00000"&amp;407,5))</f>
        <v/>
      </c>
      <c r="M412">
        <f>IF(Sync!$M412&lt;&gt;"پاس چک","",IF(Sync!$P412="","",Sync!$P412))</f>
        <v/>
      </c>
      <c r="N412">
        <f>IF($M412="","",IF(ISNUMBER(Sync!$L412),IF(AND(Sync!$L412&gt;=10000101,Sync!$L412&lt;=99991231),RIGHT("0000"&amp;INT(Sync!$L412/10000),4)&amp;"/"&amp;RIGHT("00"&amp;INT(MOD(Sync!$L412,10000)/100),2)&amp;"/"&amp;RIGHT("00"&amp;MOD(Sync!$L412,100),2),""),IFERROR(RIGHT("0000"&amp;VALUE(TRIM(LEFT(Sync!$L412,FIND("/",Sync!$L412)-1))),4)&amp;"/"&amp;RIGHT("00"&amp;VALUE(TRIM(LEFT(MID(Sync!$L412,FIND("/",Sync!$L412)+1,20),FIND("/",MID(Sync!$L412,FIND("/",Sync!$L412)+1,20))-1))),2)&amp;"/"&amp;RIGHT("00"&amp;VALUE(TRIM(MID(MID(Sync!$L412,FIND("/",Sync!$L412)+1,20),FIND("/",MID(Sync!$L412,FIND("/",Sync!$L412)+1,20))+1,20))),2),"")))</f>
        <v/>
      </c>
    </row>
    <row r="413">
      <c r="A413">
        <f>IF(Issues!$B416="","",Issues!$B416)</f>
        <v/>
      </c>
      <c r="B413">
        <f>IF($A413="","",IF(ISNUMBER(Issues!$C416),IF(AND(Issues!$C416&gt;=10000101,Issues!$C416&lt;=99991231),INT(Issues!$C416/10000),""),IFERROR(VALUE(TRIM(LEFT(Issues!$C416,FIND("/",Issues!$C416)-1))),"")))</f>
        <v/>
      </c>
      <c r="C413">
        <f>IF(OR($A413="",$B413=""),"",IF(ISNUMBER(Issues!$C416),INT(MOD(Issues!$C416,10000)/100),IFERROR(VALUE(TRIM(LEFT(MID(Issues!$C416,FIND("/",Issues!$C416)+1,20),FIND("/",MID(Issues!$C416,FIND("/",Issues!$C416)+1,20))-1))),"")))</f>
        <v/>
      </c>
      <c r="D413">
        <f>IF(OR($A413="",$B413=""),"",IF(ISNUMBER(Issues!$C416),MOD(Issues!$C416,100),IFERROR(VALUE(TRIM(MID(MID(Issues!$C416,FIND("/",Issues!$C416)+1,20),FIND("/",MID(Issues!$C416,FIND("/",Issues!$C416)+1,20))+1,20))),"")))</f>
        <v/>
      </c>
      <c r="E413">
        <f>IF($A413="","",IF(OR($B413="",$C413="",$D413="",$B413&lt;1300,$B413&gt;1500,$C413&lt;1,$C413&gt;12,$D413&lt;1,$D413&gt;31),"نامعتبر",RIGHT("0000"&amp;$B413,4)&amp;"/"&amp;RIGHT("00"&amp;$C413,2)&amp;"/"&amp;RIGHT("00"&amp;$D413,2)))</f>
        <v/>
      </c>
      <c r="F413">
        <f>IF($A413="","",IF(Issues!$D416="",0,Issues!$D416))</f>
        <v/>
      </c>
      <c r="G413">
        <f>IF($A413="","",Issues!$E416)</f>
        <v/>
      </c>
      <c r="H413">
        <f>IF($A413="","",IF(COUNTIFS(ETxnType,"پاس چک",ETxnChk,$A413)&gt;0,"پاس شده","پاس نشده"))</f>
        <v/>
      </c>
      <c r="I413">
        <f>IF($A413="","",IFERROR(INDEX(BClrDate,MATCH($A413,BClrChk,0)),""))</f>
        <v/>
      </c>
      <c r="J413">
        <f>IF($A413="","",Issues!$G416)</f>
        <v/>
      </c>
      <c r="K413">
        <f>IF(OR($E413="",$E413="نامعتبر"),"",LEFT($E413,4)&amp;MID($E413,6,2)&amp;RIGHT($E413,2)&amp;"|"&amp;RIGHT("00000"&amp;408,5))</f>
        <v/>
      </c>
      <c r="M413">
        <f>IF(Sync!$M413&lt;&gt;"پاس چک","",IF(Sync!$P413="","",Sync!$P413))</f>
        <v/>
      </c>
      <c r="N413">
        <f>IF($M413="","",IF(ISNUMBER(Sync!$L413),IF(AND(Sync!$L413&gt;=10000101,Sync!$L413&lt;=99991231),RIGHT("0000"&amp;INT(Sync!$L413/10000),4)&amp;"/"&amp;RIGHT("00"&amp;INT(MOD(Sync!$L413,10000)/100),2)&amp;"/"&amp;RIGHT("00"&amp;MOD(Sync!$L413,100),2),""),IFERROR(RIGHT("0000"&amp;VALUE(TRIM(LEFT(Sync!$L413,FIND("/",Sync!$L413)-1))),4)&amp;"/"&amp;RIGHT("00"&amp;VALUE(TRIM(LEFT(MID(Sync!$L413,FIND("/",Sync!$L413)+1,20),FIND("/",MID(Sync!$L413,FIND("/",Sync!$L413)+1,20))-1))),2)&amp;"/"&amp;RIGHT("00"&amp;VALUE(TRIM(MID(MID(Sync!$L413,FIND("/",Sync!$L413)+1,20),FIND("/",MID(Sync!$L413,FIND("/",Sync!$L413)+1,20))+1,20))),2),"")))</f>
        <v/>
      </c>
    </row>
    <row r="414">
      <c r="A414">
        <f>IF(Issues!$B417="","",Issues!$B417)</f>
        <v/>
      </c>
      <c r="B414">
        <f>IF($A414="","",IF(ISNUMBER(Issues!$C417),IF(AND(Issues!$C417&gt;=10000101,Issues!$C417&lt;=99991231),INT(Issues!$C417/10000),""),IFERROR(VALUE(TRIM(LEFT(Issues!$C417,FIND("/",Issues!$C417)-1))),"")))</f>
        <v/>
      </c>
      <c r="C414">
        <f>IF(OR($A414="",$B414=""),"",IF(ISNUMBER(Issues!$C417),INT(MOD(Issues!$C417,10000)/100),IFERROR(VALUE(TRIM(LEFT(MID(Issues!$C417,FIND("/",Issues!$C417)+1,20),FIND("/",MID(Issues!$C417,FIND("/",Issues!$C417)+1,20))-1))),"")))</f>
        <v/>
      </c>
      <c r="D414">
        <f>IF(OR($A414="",$B414=""),"",IF(ISNUMBER(Issues!$C417),MOD(Issues!$C417,100),IFERROR(VALUE(TRIM(MID(MID(Issues!$C417,FIND("/",Issues!$C417)+1,20),FIND("/",MID(Issues!$C417,FIND("/",Issues!$C417)+1,20))+1,20))),"")))</f>
        <v/>
      </c>
      <c r="E414">
        <f>IF($A414="","",IF(OR($B414="",$C414="",$D414="",$B414&lt;1300,$B414&gt;1500,$C414&lt;1,$C414&gt;12,$D414&lt;1,$D414&gt;31),"نامعتبر",RIGHT("0000"&amp;$B414,4)&amp;"/"&amp;RIGHT("00"&amp;$C414,2)&amp;"/"&amp;RIGHT("00"&amp;$D414,2)))</f>
        <v/>
      </c>
      <c r="F414">
        <f>IF($A414="","",IF(Issues!$D417="",0,Issues!$D417))</f>
        <v/>
      </c>
      <c r="G414">
        <f>IF($A414="","",Issues!$E417)</f>
        <v/>
      </c>
      <c r="H414">
        <f>IF($A414="","",IF(COUNTIFS(ETxnType,"پاس چک",ETxnChk,$A414)&gt;0,"پاس شده","پاس نشده"))</f>
        <v/>
      </c>
      <c r="I414">
        <f>IF($A414="","",IFERROR(INDEX(BClrDate,MATCH($A414,BClrChk,0)),""))</f>
        <v/>
      </c>
      <c r="J414">
        <f>IF($A414="","",Issues!$G417)</f>
        <v/>
      </c>
      <c r="K414">
        <f>IF(OR($E414="",$E414="نامعتبر"),"",LEFT($E414,4)&amp;MID($E414,6,2)&amp;RIGHT($E414,2)&amp;"|"&amp;RIGHT("00000"&amp;409,5))</f>
        <v/>
      </c>
      <c r="M414">
        <f>IF(Sync!$M414&lt;&gt;"پاس چک","",IF(Sync!$P414="","",Sync!$P414))</f>
        <v/>
      </c>
      <c r="N414">
        <f>IF($M414="","",IF(ISNUMBER(Sync!$L414),IF(AND(Sync!$L414&gt;=10000101,Sync!$L414&lt;=99991231),RIGHT("0000"&amp;INT(Sync!$L414/10000),4)&amp;"/"&amp;RIGHT("00"&amp;INT(MOD(Sync!$L414,10000)/100),2)&amp;"/"&amp;RIGHT("00"&amp;MOD(Sync!$L414,100),2),""),IFERROR(RIGHT("0000"&amp;VALUE(TRIM(LEFT(Sync!$L414,FIND("/",Sync!$L414)-1))),4)&amp;"/"&amp;RIGHT("00"&amp;VALUE(TRIM(LEFT(MID(Sync!$L414,FIND("/",Sync!$L414)+1,20),FIND("/",MID(Sync!$L414,FIND("/",Sync!$L414)+1,20))-1))),2)&amp;"/"&amp;RIGHT("00"&amp;VALUE(TRIM(MID(MID(Sync!$L414,FIND("/",Sync!$L414)+1,20),FIND("/",MID(Sync!$L414,FIND("/",Sync!$L414)+1,20))+1,20))),2),"")))</f>
        <v/>
      </c>
    </row>
    <row r="415">
      <c r="A415">
        <f>IF(Issues!$B418="","",Issues!$B418)</f>
        <v/>
      </c>
      <c r="B415">
        <f>IF($A415="","",IF(ISNUMBER(Issues!$C418),IF(AND(Issues!$C418&gt;=10000101,Issues!$C418&lt;=99991231),INT(Issues!$C418/10000),""),IFERROR(VALUE(TRIM(LEFT(Issues!$C418,FIND("/",Issues!$C418)-1))),"")))</f>
        <v/>
      </c>
      <c r="C415">
        <f>IF(OR($A415="",$B415=""),"",IF(ISNUMBER(Issues!$C418),INT(MOD(Issues!$C418,10000)/100),IFERROR(VALUE(TRIM(LEFT(MID(Issues!$C418,FIND("/",Issues!$C418)+1,20),FIND("/",MID(Issues!$C418,FIND("/",Issues!$C418)+1,20))-1))),"")))</f>
        <v/>
      </c>
      <c r="D415">
        <f>IF(OR($A415="",$B415=""),"",IF(ISNUMBER(Issues!$C418),MOD(Issues!$C418,100),IFERROR(VALUE(TRIM(MID(MID(Issues!$C418,FIND("/",Issues!$C418)+1,20),FIND("/",MID(Issues!$C418,FIND("/",Issues!$C418)+1,20))+1,20))),"")))</f>
        <v/>
      </c>
      <c r="E415">
        <f>IF($A415="","",IF(OR($B415="",$C415="",$D415="",$B415&lt;1300,$B415&gt;1500,$C415&lt;1,$C415&gt;12,$D415&lt;1,$D415&gt;31),"نامعتبر",RIGHT("0000"&amp;$B415,4)&amp;"/"&amp;RIGHT("00"&amp;$C415,2)&amp;"/"&amp;RIGHT("00"&amp;$D415,2)))</f>
        <v/>
      </c>
      <c r="F415">
        <f>IF($A415="","",IF(Issues!$D418="",0,Issues!$D418))</f>
        <v/>
      </c>
      <c r="G415">
        <f>IF($A415="","",Issues!$E418)</f>
        <v/>
      </c>
      <c r="H415">
        <f>IF($A415="","",IF(COUNTIFS(ETxnType,"پاس چک",ETxnChk,$A415)&gt;0,"پاس شده","پاس نشده"))</f>
        <v/>
      </c>
      <c r="I415">
        <f>IF($A415="","",IFERROR(INDEX(BClrDate,MATCH($A415,BClrChk,0)),""))</f>
        <v/>
      </c>
      <c r="J415">
        <f>IF($A415="","",Issues!$G418)</f>
        <v/>
      </c>
      <c r="K415">
        <f>IF(OR($E415="",$E415="نامعتبر"),"",LEFT($E415,4)&amp;MID($E415,6,2)&amp;RIGHT($E415,2)&amp;"|"&amp;RIGHT("00000"&amp;410,5))</f>
        <v/>
      </c>
      <c r="M415">
        <f>IF(Sync!$M415&lt;&gt;"پاس چک","",IF(Sync!$P415="","",Sync!$P415))</f>
        <v/>
      </c>
      <c r="N415">
        <f>IF($M415="","",IF(ISNUMBER(Sync!$L415),IF(AND(Sync!$L415&gt;=10000101,Sync!$L415&lt;=99991231),RIGHT("0000"&amp;INT(Sync!$L415/10000),4)&amp;"/"&amp;RIGHT("00"&amp;INT(MOD(Sync!$L415,10000)/100),2)&amp;"/"&amp;RIGHT("00"&amp;MOD(Sync!$L415,100),2),""),IFERROR(RIGHT("0000"&amp;VALUE(TRIM(LEFT(Sync!$L415,FIND("/",Sync!$L415)-1))),4)&amp;"/"&amp;RIGHT("00"&amp;VALUE(TRIM(LEFT(MID(Sync!$L415,FIND("/",Sync!$L415)+1,20),FIND("/",MID(Sync!$L415,FIND("/",Sync!$L415)+1,20))-1))),2)&amp;"/"&amp;RIGHT("00"&amp;VALUE(TRIM(MID(MID(Sync!$L415,FIND("/",Sync!$L415)+1,20),FIND("/",MID(Sync!$L415,FIND("/",Sync!$L415)+1,20))+1,20))),2),"")))</f>
        <v/>
      </c>
    </row>
    <row r="416">
      <c r="A416">
        <f>IF(Issues!$B419="","",Issues!$B419)</f>
        <v/>
      </c>
      <c r="B416">
        <f>IF($A416="","",IF(ISNUMBER(Issues!$C419),IF(AND(Issues!$C419&gt;=10000101,Issues!$C419&lt;=99991231),INT(Issues!$C419/10000),""),IFERROR(VALUE(TRIM(LEFT(Issues!$C419,FIND("/",Issues!$C419)-1))),"")))</f>
        <v/>
      </c>
      <c r="C416">
        <f>IF(OR($A416="",$B416=""),"",IF(ISNUMBER(Issues!$C419),INT(MOD(Issues!$C419,10000)/100),IFERROR(VALUE(TRIM(LEFT(MID(Issues!$C419,FIND("/",Issues!$C419)+1,20),FIND("/",MID(Issues!$C419,FIND("/",Issues!$C419)+1,20))-1))),"")))</f>
        <v/>
      </c>
      <c r="D416">
        <f>IF(OR($A416="",$B416=""),"",IF(ISNUMBER(Issues!$C419),MOD(Issues!$C419,100),IFERROR(VALUE(TRIM(MID(MID(Issues!$C419,FIND("/",Issues!$C419)+1,20),FIND("/",MID(Issues!$C419,FIND("/",Issues!$C419)+1,20))+1,20))),"")))</f>
        <v/>
      </c>
      <c r="E416">
        <f>IF($A416="","",IF(OR($B416="",$C416="",$D416="",$B416&lt;1300,$B416&gt;1500,$C416&lt;1,$C416&gt;12,$D416&lt;1,$D416&gt;31),"نامعتبر",RIGHT("0000"&amp;$B416,4)&amp;"/"&amp;RIGHT("00"&amp;$C416,2)&amp;"/"&amp;RIGHT("00"&amp;$D416,2)))</f>
        <v/>
      </c>
      <c r="F416">
        <f>IF($A416="","",IF(Issues!$D419="",0,Issues!$D419))</f>
        <v/>
      </c>
      <c r="G416">
        <f>IF($A416="","",Issues!$E419)</f>
        <v/>
      </c>
      <c r="H416">
        <f>IF($A416="","",IF(COUNTIFS(ETxnType,"پاس چک",ETxnChk,$A416)&gt;0,"پاس شده","پاس نشده"))</f>
        <v/>
      </c>
      <c r="I416">
        <f>IF($A416="","",IFERROR(INDEX(BClrDate,MATCH($A416,BClrChk,0)),""))</f>
        <v/>
      </c>
      <c r="J416">
        <f>IF($A416="","",Issues!$G419)</f>
        <v/>
      </c>
      <c r="K416">
        <f>IF(OR($E416="",$E416="نامعتبر"),"",LEFT($E416,4)&amp;MID($E416,6,2)&amp;RIGHT($E416,2)&amp;"|"&amp;RIGHT("00000"&amp;411,5))</f>
        <v/>
      </c>
      <c r="M416">
        <f>IF(Sync!$M416&lt;&gt;"پاس چک","",IF(Sync!$P416="","",Sync!$P416))</f>
        <v/>
      </c>
      <c r="N416">
        <f>IF($M416="","",IF(ISNUMBER(Sync!$L416),IF(AND(Sync!$L416&gt;=10000101,Sync!$L416&lt;=99991231),RIGHT("0000"&amp;INT(Sync!$L416/10000),4)&amp;"/"&amp;RIGHT("00"&amp;INT(MOD(Sync!$L416,10000)/100),2)&amp;"/"&amp;RIGHT("00"&amp;MOD(Sync!$L416,100),2),""),IFERROR(RIGHT("0000"&amp;VALUE(TRIM(LEFT(Sync!$L416,FIND("/",Sync!$L416)-1))),4)&amp;"/"&amp;RIGHT("00"&amp;VALUE(TRIM(LEFT(MID(Sync!$L416,FIND("/",Sync!$L416)+1,20),FIND("/",MID(Sync!$L416,FIND("/",Sync!$L416)+1,20))-1))),2)&amp;"/"&amp;RIGHT("00"&amp;VALUE(TRIM(MID(MID(Sync!$L416,FIND("/",Sync!$L416)+1,20),FIND("/",MID(Sync!$L416,FIND("/",Sync!$L416)+1,20))+1,20))),2),"")))</f>
        <v/>
      </c>
    </row>
    <row r="417">
      <c r="A417">
        <f>IF(Issues!$B420="","",Issues!$B420)</f>
        <v/>
      </c>
      <c r="B417">
        <f>IF($A417="","",IF(ISNUMBER(Issues!$C420),IF(AND(Issues!$C420&gt;=10000101,Issues!$C420&lt;=99991231),INT(Issues!$C420/10000),""),IFERROR(VALUE(TRIM(LEFT(Issues!$C420,FIND("/",Issues!$C420)-1))),"")))</f>
        <v/>
      </c>
      <c r="C417">
        <f>IF(OR($A417="",$B417=""),"",IF(ISNUMBER(Issues!$C420),INT(MOD(Issues!$C420,10000)/100),IFERROR(VALUE(TRIM(LEFT(MID(Issues!$C420,FIND("/",Issues!$C420)+1,20),FIND("/",MID(Issues!$C420,FIND("/",Issues!$C420)+1,20))-1))),"")))</f>
        <v/>
      </c>
      <c r="D417">
        <f>IF(OR($A417="",$B417=""),"",IF(ISNUMBER(Issues!$C420),MOD(Issues!$C420,100),IFERROR(VALUE(TRIM(MID(MID(Issues!$C420,FIND("/",Issues!$C420)+1,20),FIND("/",MID(Issues!$C420,FIND("/",Issues!$C420)+1,20))+1,20))),"")))</f>
        <v/>
      </c>
      <c r="E417">
        <f>IF($A417="","",IF(OR($B417="",$C417="",$D417="",$B417&lt;1300,$B417&gt;1500,$C417&lt;1,$C417&gt;12,$D417&lt;1,$D417&gt;31),"نامعتبر",RIGHT("0000"&amp;$B417,4)&amp;"/"&amp;RIGHT("00"&amp;$C417,2)&amp;"/"&amp;RIGHT("00"&amp;$D417,2)))</f>
        <v/>
      </c>
      <c r="F417">
        <f>IF($A417="","",IF(Issues!$D420="",0,Issues!$D420))</f>
        <v/>
      </c>
      <c r="G417">
        <f>IF($A417="","",Issues!$E420)</f>
        <v/>
      </c>
      <c r="H417">
        <f>IF($A417="","",IF(COUNTIFS(ETxnType,"پاس چک",ETxnChk,$A417)&gt;0,"پاس شده","پاس نشده"))</f>
        <v/>
      </c>
      <c r="I417">
        <f>IF($A417="","",IFERROR(INDEX(BClrDate,MATCH($A417,BClrChk,0)),""))</f>
        <v/>
      </c>
      <c r="J417">
        <f>IF($A417="","",Issues!$G420)</f>
        <v/>
      </c>
      <c r="K417">
        <f>IF(OR($E417="",$E417="نامعتبر"),"",LEFT($E417,4)&amp;MID($E417,6,2)&amp;RIGHT($E417,2)&amp;"|"&amp;RIGHT("00000"&amp;412,5))</f>
        <v/>
      </c>
      <c r="M417">
        <f>IF(Sync!$M417&lt;&gt;"پاس چک","",IF(Sync!$P417="","",Sync!$P417))</f>
        <v/>
      </c>
      <c r="N417">
        <f>IF($M417="","",IF(ISNUMBER(Sync!$L417),IF(AND(Sync!$L417&gt;=10000101,Sync!$L417&lt;=99991231),RIGHT("0000"&amp;INT(Sync!$L417/10000),4)&amp;"/"&amp;RIGHT("00"&amp;INT(MOD(Sync!$L417,10000)/100),2)&amp;"/"&amp;RIGHT("00"&amp;MOD(Sync!$L417,100),2),""),IFERROR(RIGHT("0000"&amp;VALUE(TRIM(LEFT(Sync!$L417,FIND("/",Sync!$L417)-1))),4)&amp;"/"&amp;RIGHT("00"&amp;VALUE(TRIM(LEFT(MID(Sync!$L417,FIND("/",Sync!$L417)+1,20),FIND("/",MID(Sync!$L417,FIND("/",Sync!$L417)+1,20))-1))),2)&amp;"/"&amp;RIGHT("00"&amp;VALUE(TRIM(MID(MID(Sync!$L417,FIND("/",Sync!$L417)+1,20),FIND("/",MID(Sync!$L417,FIND("/",Sync!$L417)+1,20))+1,20))),2),"")))</f>
        <v/>
      </c>
    </row>
    <row r="418">
      <c r="A418">
        <f>IF(Issues!$B421="","",Issues!$B421)</f>
        <v/>
      </c>
      <c r="B418">
        <f>IF($A418="","",IF(ISNUMBER(Issues!$C421),IF(AND(Issues!$C421&gt;=10000101,Issues!$C421&lt;=99991231),INT(Issues!$C421/10000),""),IFERROR(VALUE(TRIM(LEFT(Issues!$C421,FIND("/",Issues!$C421)-1))),"")))</f>
        <v/>
      </c>
      <c r="C418">
        <f>IF(OR($A418="",$B418=""),"",IF(ISNUMBER(Issues!$C421),INT(MOD(Issues!$C421,10000)/100),IFERROR(VALUE(TRIM(LEFT(MID(Issues!$C421,FIND("/",Issues!$C421)+1,20),FIND("/",MID(Issues!$C421,FIND("/",Issues!$C421)+1,20))-1))),"")))</f>
        <v/>
      </c>
      <c r="D418">
        <f>IF(OR($A418="",$B418=""),"",IF(ISNUMBER(Issues!$C421),MOD(Issues!$C421,100),IFERROR(VALUE(TRIM(MID(MID(Issues!$C421,FIND("/",Issues!$C421)+1,20),FIND("/",MID(Issues!$C421,FIND("/",Issues!$C421)+1,20))+1,20))),"")))</f>
        <v/>
      </c>
      <c r="E418">
        <f>IF($A418="","",IF(OR($B418="",$C418="",$D418="",$B418&lt;1300,$B418&gt;1500,$C418&lt;1,$C418&gt;12,$D418&lt;1,$D418&gt;31),"نامعتبر",RIGHT("0000"&amp;$B418,4)&amp;"/"&amp;RIGHT("00"&amp;$C418,2)&amp;"/"&amp;RIGHT("00"&amp;$D418,2)))</f>
        <v/>
      </c>
      <c r="F418">
        <f>IF($A418="","",IF(Issues!$D421="",0,Issues!$D421))</f>
        <v/>
      </c>
      <c r="G418">
        <f>IF($A418="","",Issues!$E421)</f>
        <v/>
      </c>
      <c r="H418">
        <f>IF($A418="","",IF(COUNTIFS(ETxnType,"پاس چک",ETxnChk,$A418)&gt;0,"پاس شده","پاس نشده"))</f>
        <v/>
      </c>
      <c r="I418">
        <f>IF($A418="","",IFERROR(INDEX(BClrDate,MATCH($A418,BClrChk,0)),""))</f>
        <v/>
      </c>
      <c r="J418">
        <f>IF($A418="","",Issues!$G421)</f>
        <v/>
      </c>
      <c r="K418">
        <f>IF(OR($E418="",$E418="نامعتبر"),"",LEFT($E418,4)&amp;MID($E418,6,2)&amp;RIGHT($E418,2)&amp;"|"&amp;RIGHT("00000"&amp;413,5))</f>
        <v/>
      </c>
      <c r="M418">
        <f>IF(Sync!$M418&lt;&gt;"پاس چک","",IF(Sync!$P418="","",Sync!$P418))</f>
        <v/>
      </c>
      <c r="N418">
        <f>IF($M418="","",IF(ISNUMBER(Sync!$L418),IF(AND(Sync!$L418&gt;=10000101,Sync!$L418&lt;=99991231),RIGHT("0000"&amp;INT(Sync!$L418/10000),4)&amp;"/"&amp;RIGHT("00"&amp;INT(MOD(Sync!$L418,10000)/100),2)&amp;"/"&amp;RIGHT("00"&amp;MOD(Sync!$L418,100),2),""),IFERROR(RIGHT("0000"&amp;VALUE(TRIM(LEFT(Sync!$L418,FIND("/",Sync!$L418)-1))),4)&amp;"/"&amp;RIGHT("00"&amp;VALUE(TRIM(LEFT(MID(Sync!$L418,FIND("/",Sync!$L418)+1,20),FIND("/",MID(Sync!$L418,FIND("/",Sync!$L418)+1,20))-1))),2)&amp;"/"&amp;RIGHT("00"&amp;VALUE(TRIM(MID(MID(Sync!$L418,FIND("/",Sync!$L418)+1,20),FIND("/",MID(Sync!$L418,FIND("/",Sync!$L418)+1,20))+1,20))),2),"")))</f>
        <v/>
      </c>
    </row>
    <row r="419">
      <c r="A419">
        <f>IF(Issues!$B422="","",Issues!$B422)</f>
        <v/>
      </c>
      <c r="B419">
        <f>IF($A419="","",IF(ISNUMBER(Issues!$C422),IF(AND(Issues!$C422&gt;=10000101,Issues!$C422&lt;=99991231),INT(Issues!$C422/10000),""),IFERROR(VALUE(TRIM(LEFT(Issues!$C422,FIND("/",Issues!$C422)-1))),"")))</f>
        <v/>
      </c>
      <c r="C419">
        <f>IF(OR($A419="",$B419=""),"",IF(ISNUMBER(Issues!$C422),INT(MOD(Issues!$C422,10000)/100),IFERROR(VALUE(TRIM(LEFT(MID(Issues!$C422,FIND("/",Issues!$C422)+1,20),FIND("/",MID(Issues!$C422,FIND("/",Issues!$C422)+1,20))-1))),"")))</f>
        <v/>
      </c>
      <c r="D419">
        <f>IF(OR($A419="",$B419=""),"",IF(ISNUMBER(Issues!$C422),MOD(Issues!$C422,100),IFERROR(VALUE(TRIM(MID(MID(Issues!$C422,FIND("/",Issues!$C422)+1,20),FIND("/",MID(Issues!$C422,FIND("/",Issues!$C422)+1,20))+1,20))),"")))</f>
        <v/>
      </c>
      <c r="E419">
        <f>IF($A419="","",IF(OR($B419="",$C419="",$D419="",$B419&lt;1300,$B419&gt;1500,$C419&lt;1,$C419&gt;12,$D419&lt;1,$D419&gt;31),"نامعتبر",RIGHT("0000"&amp;$B419,4)&amp;"/"&amp;RIGHT("00"&amp;$C419,2)&amp;"/"&amp;RIGHT("00"&amp;$D419,2)))</f>
        <v/>
      </c>
      <c r="F419">
        <f>IF($A419="","",IF(Issues!$D422="",0,Issues!$D422))</f>
        <v/>
      </c>
      <c r="G419">
        <f>IF($A419="","",Issues!$E422)</f>
        <v/>
      </c>
      <c r="H419">
        <f>IF($A419="","",IF(COUNTIFS(ETxnType,"پاس چک",ETxnChk,$A419)&gt;0,"پاس شده","پاس نشده"))</f>
        <v/>
      </c>
      <c r="I419">
        <f>IF($A419="","",IFERROR(INDEX(BClrDate,MATCH($A419,BClrChk,0)),""))</f>
        <v/>
      </c>
      <c r="J419">
        <f>IF($A419="","",Issues!$G422)</f>
        <v/>
      </c>
      <c r="K419">
        <f>IF(OR($E419="",$E419="نامعتبر"),"",LEFT($E419,4)&amp;MID($E419,6,2)&amp;RIGHT($E419,2)&amp;"|"&amp;RIGHT("00000"&amp;414,5))</f>
        <v/>
      </c>
      <c r="M419">
        <f>IF(Sync!$M419&lt;&gt;"پاس چک","",IF(Sync!$P419="","",Sync!$P419))</f>
        <v/>
      </c>
      <c r="N419">
        <f>IF($M419="","",IF(ISNUMBER(Sync!$L419),IF(AND(Sync!$L419&gt;=10000101,Sync!$L419&lt;=99991231),RIGHT("0000"&amp;INT(Sync!$L419/10000),4)&amp;"/"&amp;RIGHT("00"&amp;INT(MOD(Sync!$L419,10000)/100),2)&amp;"/"&amp;RIGHT("00"&amp;MOD(Sync!$L419,100),2),""),IFERROR(RIGHT("0000"&amp;VALUE(TRIM(LEFT(Sync!$L419,FIND("/",Sync!$L419)-1))),4)&amp;"/"&amp;RIGHT("00"&amp;VALUE(TRIM(LEFT(MID(Sync!$L419,FIND("/",Sync!$L419)+1,20),FIND("/",MID(Sync!$L419,FIND("/",Sync!$L419)+1,20))-1))),2)&amp;"/"&amp;RIGHT("00"&amp;VALUE(TRIM(MID(MID(Sync!$L419,FIND("/",Sync!$L419)+1,20),FIND("/",MID(Sync!$L419,FIND("/",Sync!$L419)+1,20))+1,20))),2),"")))</f>
        <v/>
      </c>
    </row>
    <row r="420">
      <c r="A420">
        <f>IF(Issues!$B423="","",Issues!$B423)</f>
        <v/>
      </c>
      <c r="B420">
        <f>IF($A420="","",IF(ISNUMBER(Issues!$C423),IF(AND(Issues!$C423&gt;=10000101,Issues!$C423&lt;=99991231),INT(Issues!$C423/10000),""),IFERROR(VALUE(TRIM(LEFT(Issues!$C423,FIND("/",Issues!$C423)-1))),"")))</f>
        <v/>
      </c>
      <c r="C420">
        <f>IF(OR($A420="",$B420=""),"",IF(ISNUMBER(Issues!$C423),INT(MOD(Issues!$C423,10000)/100),IFERROR(VALUE(TRIM(LEFT(MID(Issues!$C423,FIND("/",Issues!$C423)+1,20),FIND("/",MID(Issues!$C423,FIND("/",Issues!$C423)+1,20))-1))),"")))</f>
        <v/>
      </c>
      <c r="D420">
        <f>IF(OR($A420="",$B420=""),"",IF(ISNUMBER(Issues!$C423),MOD(Issues!$C423,100),IFERROR(VALUE(TRIM(MID(MID(Issues!$C423,FIND("/",Issues!$C423)+1,20),FIND("/",MID(Issues!$C423,FIND("/",Issues!$C423)+1,20))+1,20))),"")))</f>
        <v/>
      </c>
      <c r="E420">
        <f>IF($A420="","",IF(OR($B420="",$C420="",$D420="",$B420&lt;1300,$B420&gt;1500,$C420&lt;1,$C420&gt;12,$D420&lt;1,$D420&gt;31),"نامعتبر",RIGHT("0000"&amp;$B420,4)&amp;"/"&amp;RIGHT("00"&amp;$C420,2)&amp;"/"&amp;RIGHT("00"&amp;$D420,2)))</f>
        <v/>
      </c>
      <c r="F420">
        <f>IF($A420="","",IF(Issues!$D423="",0,Issues!$D423))</f>
        <v/>
      </c>
      <c r="G420">
        <f>IF($A420="","",Issues!$E423)</f>
        <v/>
      </c>
      <c r="H420">
        <f>IF($A420="","",IF(COUNTIFS(ETxnType,"پاس چک",ETxnChk,$A420)&gt;0,"پاس شده","پاس نشده"))</f>
        <v/>
      </c>
      <c r="I420">
        <f>IF($A420="","",IFERROR(INDEX(BClrDate,MATCH($A420,BClrChk,0)),""))</f>
        <v/>
      </c>
      <c r="J420">
        <f>IF($A420="","",Issues!$G423)</f>
        <v/>
      </c>
      <c r="K420">
        <f>IF(OR($E420="",$E420="نامعتبر"),"",LEFT($E420,4)&amp;MID($E420,6,2)&amp;RIGHT($E420,2)&amp;"|"&amp;RIGHT("00000"&amp;415,5))</f>
        <v/>
      </c>
      <c r="M420">
        <f>IF(Sync!$M420&lt;&gt;"پاس چک","",IF(Sync!$P420="","",Sync!$P420))</f>
        <v/>
      </c>
      <c r="N420">
        <f>IF($M420="","",IF(ISNUMBER(Sync!$L420),IF(AND(Sync!$L420&gt;=10000101,Sync!$L420&lt;=99991231),RIGHT("0000"&amp;INT(Sync!$L420/10000),4)&amp;"/"&amp;RIGHT("00"&amp;INT(MOD(Sync!$L420,10000)/100),2)&amp;"/"&amp;RIGHT("00"&amp;MOD(Sync!$L420,100),2),""),IFERROR(RIGHT("0000"&amp;VALUE(TRIM(LEFT(Sync!$L420,FIND("/",Sync!$L420)-1))),4)&amp;"/"&amp;RIGHT("00"&amp;VALUE(TRIM(LEFT(MID(Sync!$L420,FIND("/",Sync!$L420)+1,20),FIND("/",MID(Sync!$L420,FIND("/",Sync!$L420)+1,20))-1))),2)&amp;"/"&amp;RIGHT("00"&amp;VALUE(TRIM(MID(MID(Sync!$L420,FIND("/",Sync!$L420)+1,20),FIND("/",MID(Sync!$L420,FIND("/",Sync!$L420)+1,20))+1,20))),2),"")))</f>
        <v/>
      </c>
    </row>
    <row r="421">
      <c r="A421">
        <f>IF(Issues!$B424="","",Issues!$B424)</f>
        <v/>
      </c>
      <c r="B421">
        <f>IF($A421="","",IF(ISNUMBER(Issues!$C424),IF(AND(Issues!$C424&gt;=10000101,Issues!$C424&lt;=99991231),INT(Issues!$C424/10000),""),IFERROR(VALUE(TRIM(LEFT(Issues!$C424,FIND("/",Issues!$C424)-1))),"")))</f>
        <v/>
      </c>
      <c r="C421">
        <f>IF(OR($A421="",$B421=""),"",IF(ISNUMBER(Issues!$C424),INT(MOD(Issues!$C424,10000)/100),IFERROR(VALUE(TRIM(LEFT(MID(Issues!$C424,FIND("/",Issues!$C424)+1,20),FIND("/",MID(Issues!$C424,FIND("/",Issues!$C424)+1,20))-1))),"")))</f>
        <v/>
      </c>
      <c r="D421">
        <f>IF(OR($A421="",$B421=""),"",IF(ISNUMBER(Issues!$C424),MOD(Issues!$C424,100),IFERROR(VALUE(TRIM(MID(MID(Issues!$C424,FIND("/",Issues!$C424)+1,20),FIND("/",MID(Issues!$C424,FIND("/",Issues!$C424)+1,20))+1,20))),"")))</f>
        <v/>
      </c>
      <c r="E421">
        <f>IF($A421="","",IF(OR($B421="",$C421="",$D421="",$B421&lt;1300,$B421&gt;1500,$C421&lt;1,$C421&gt;12,$D421&lt;1,$D421&gt;31),"نامعتبر",RIGHT("0000"&amp;$B421,4)&amp;"/"&amp;RIGHT("00"&amp;$C421,2)&amp;"/"&amp;RIGHT("00"&amp;$D421,2)))</f>
        <v/>
      </c>
      <c r="F421">
        <f>IF($A421="","",IF(Issues!$D424="",0,Issues!$D424))</f>
        <v/>
      </c>
      <c r="G421">
        <f>IF($A421="","",Issues!$E424)</f>
        <v/>
      </c>
      <c r="H421">
        <f>IF($A421="","",IF(COUNTIFS(ETxnType,"پاس چک",ETxnChk,$A421)&gt;0,"پاس شده","پاس نشده"))</f>
        <v/>
      </c>
      <c r="I421">
        <f>IF($A421="","",IFERROR(INDEX(BClrDate,MATCH($A421,BClrChk,0)),""))</f>
        <v/>
      </c>
      <c r="J421">
        <f>IF($A421="","",Issues!$G424)</f>
        <v/>
      </c>
      <c r="K421">
        <f>IF(OR($E421="",$E421="نامعتبر"),"",LEFT($E421,4)&amp;MID($E421,6,2)&amp;RIGHT($E421,2)&amp;"|"&amp;RIGHT("00000"&amp;416,5))</f>
        <v/>
      </c>
      <c r="M421">
        <f>IF(Sync!$M421&lt;&gt;"پاس چک","",IF(Sync!$P421="","",Sync!$P421))</f>
        <v/>
      </c>
      <c r="N421">
        <f>IF($M421="","",IF(ISNUMBER(Sync!$L421),IF(AND(Sync!$L421&gt;=10000101,Sync!$L421&lt;=99991231),RIGHT("0000"&amp;INT(Sync!$L421/10000),4)&amp;"/"&amp;RIGHT("00"&amp;INT(MOD(Sync!$L421,10000)/100),2)&amp;"/"&amp;RIGHT("00"&amp;MOD(Sync!$L421,100),2),""),IFERROR(RIGHT("0000"&amp;VALUE(TRIM(LEFT(Sync!$L421,FIND("/",Sync!$L421)-1))),4)&amp;"/"&amp;RIGHT("00"&amp;VALUE(TRIM(LEFT(MID(Sync!$L421,FIND("/",Sync!$L421)+1,20),FIND("/",MID(Sync!$L421,FIND("/",Sync!$L421)+1,20))-1))),2)&amp;"/"&amp;RIGHT("00"&amp;VALUE(TRIM(MID(MID(Sync!$L421,FIND("/",Sync!$L421)+1,20),FIND("/",MID(Sync!$L421,FIND("/",Sync!$L421)+1,20))+1,20))),2),"")))</f>
        <v/>
      </c>
    </row>
    <row r="422">
      <c r="A422">
        <f>IF(Issues!$B425="","",Issues!$B425)</f>
        <v/>
      </c>
      <c r="B422">
        <f>IF($A422="","",IF(ISNUMBER(Issues!$C425),IF(AND(Issues!$C425&gt;=10000101,Issues!$C425&lt;=99991231),INT(Issues!$C425/10000),""),IFERROR(VALUE(TRIM(LEFT(Issues!$C425,FIND("/",Issues!$C425)-1))),"")))</f>
        <v/>
      </c>
      <c r="C422">
        <f>IF(OR($A422="",$B422=""),"",IF(ISNUMBER(Issues!$C425),INT(MOD(Issues!$C425,10000)/100),IFERROR(VALUE(TRIM(LEFT(MID(Issues!$C425,FIND("/",Issues!$C425)+1,20),FIND("/",MID(Issues!$C425,FIND("/",Issues!$C425)+1,20))-1))),"")))</f>
        <v/>
      </c>
      <c r="D422">
        <f>IF(OR($A422="",$B422=""),"",IF(ISNUMBER(Issues!$C425),MOD(Issues!$C425,100),IFERROR(VALUE(TRIM(MID(MID(Issues!$C425,FIND("/",Issues!$C425)+1,20),FIND("/",MID(Issues!$C425,FIND("/",Issues!$C425)+1,20))+1,20))),"")))</f>
        <v/>
      </c>
      <c r="E422">
        <f>IF($A422="","",IF(OR($B422="",$C422="",$D422="",$B422&lt;1300,$B422&gt;1500,$C422&lt;1,$C422&gt;12,$D422&lt;1,$D422&gt;31),"نامعتبر",RIGHT("0000"&amp;$B422,4)&amp;"/"&amp;RIGHT("00"&amp;$C422,2)&amp;"/"&amp;RIGHT("00"&amp;$D422,2)))</f>
        <v/>
      </c>
      <c r="F422">
        <f>IF($A422="","",IF(Issues!$D425="",0,Issues!$D425))</f>
        <v/>
      </c>
      <c r="G422">
        <f>IF($A422="","",Issues!$E425)</f>
        <v/>
      </c>
      <c r="H422">
        <f>IF($A422="","",IF(COUNTIFS(ETxnType,"پاس چک",ETxnChk,$A422)&gt;0,"پاس شده","پاس نشده"))</f>
        <v/>
      </c>
      <c r="I422">
        <f>IF($A422="","",IFERROR(INDEX(BClrDate,MATCH($A422,BClrChk,0)),""))</f>
        <v/>
      </c>
      <c r="J422">
        <f>IF($A422="","",Issues!$G425)</f>
        <v/>
      </c>
      <c r="K422">
        <f>IF(OR($E422="",$E422="نامعتبر"),"",LEFT($E422,4)&amp;MID($E422,6,2)&amp;RIGHT($E422,2)&amp;"|"&amp;RIGHT("00000"&amp;417,5))</f>
        <v/>
      </c>
      <c r="M422">
        <f>IF(Sync!$M422&lt;&gt;"پاس چک","",IF(Sync!$P422="","",Sync!$P422))</f>
        <v/>
      </c>
      <c r="N422">
        <f>IF($M422="","",IF(ISNUMBER(Sync!$L422),IF(AND(Sync!$L422&gt;=10000101,Sync!$L422&lt;=99991231),RIGHT("0000"&amp;INT(Sync!$L422/10000),4)&amp;"/"&amp;RIGHT("00"&amp;INT(MOD(Sync!$L422,10000)/100),2)&amp;"/"&amp;RIGHT("00"&amp;MOD(Sync!$L422,100),2),""),IFERROR(RIGHT("0000"&amp;VALUE(TRIM(LEFT(Sync!$L422,FIND("/",Sync!$L422)-1))),4)&amp;"/"&amp;RIGHT("00"&amp;VALUE(TRIM(LEFT(MID(Sync!$L422,FIND("/",Sync!$L422)+1,20),FIND("/",MID(Sync!$L422,FIND("/",Sync!$L422)+1,20))-1))),2)&amp;"/"&amp;RIGHT("00"&amp;VALUE(TRIM(MID(MID(Sync!$L422,FIND("/",Sync!$L422)+1,20),FIND("/",MID(Sync!$L422,FIND("/",Sync!$L422)+1,20))+1,20))),2),"")))</f>
        <v/>
      </c>
    </row>
    <row r="423">
      <c r="A423">
        <f>IF(Issues!$B426="","",Issues!$B426)</f>
        <v/>
      </c>
      <c r="B423">
        <f>IF($A423="","",IF(ISNUMBER(Issues!$C426),IF(AND(Issues!$C426&gt;=10000101,Issues!$C426&lt;=99991231),INT(Issues!$C426/10000),""),IFERROR(VALUE(TRIM(LEFT(Issues!$C426,FIND("/",Issues!$C426)-1))),"")))</f>
        <v/>
      </c>
      <c r="C423">
        <f>IF(OR($A423="",$B423=""),"",IF(ISNUMBER(Issues!$C426),INT(MOD(Issues!$C426,10000)/100),IFERROR(VALUE(TRIM(LEFT(MID(Issues!$C426,FIND("/",Issues!$C426)+1,20),FIND("/",MID(Issues!$C426,FIND("/",Issues!$C426)+1,20))-1))),"")))</f>
        <v/>
      </c>
      <c r="D423">
        <f>IF(OR($A423="",$B423=""),"",IF(ISNUMBER(Issues!$C426),MOD(Issues!$C426,100),IFERROR(VALUE(TRIM(MID(MID(Issues!$C426,FIND("/",Issues!$C426)+1,20),FIND("/",MID(Issues!$C426,FIND("/",Issues!$C426)+1,20))+1,20))),"")))</f>
        <v/>
      </c>
      <c r="E423">
        <f>IF($A423="","",IF(OR($B423="",$C423="",$D423="",$B423&lt;1300,$B423&gt;1500,$C423&lt;1,$C423&gt;12,$D423&lt;1,$D423&gt;31),"نامعتبر",RIGHT("0000"&amp;$B423,4)&amp;"/"&amp;RIGHT("00"&amp;$C423,2)&amp;"/"&amp;RIGHT("00"&amp;$D423,2)))</f>
        <v/>
      </c>
      <c r="F423">
        <f>IF($A423="","",IF(Issues!$D426="",0,Issues!$D426))</f>
        <v/>
      </c>
      <c r="G423">
        <f>IF($A423="","",Issues!$E426)</f>
        <v/>
      </c>
      <c r="H423">
        <f>IF($A423="","",IF(COUNTIFS(ETxnType,"پاس چک",ETxnChk,$A423)&gt;0,"پاس شده","پاس نشده"))</f>
        <v/>
      </c>
      <c r="I423">
        <f>IF($A423="","",IFERROR(INDEX(BClrDate,MATCH($A423,BClrChk,0)),""))</f>
        <v/>
      </c>
      <c r="J423">
        <f>IF($A423="","",Issues!$G426)</f>
        <v/>
      </c>
      <c r="K423">
        <f>IF(OR($E423="",$E423="نامعتبر"),"",LEFT($E423,4)&amp;MID($E423,6,2)&amp;RIGHT($E423,2)&amp;"|"&amp;RIGHT("00000"&amp;418,5))</f>
        <v/>
      </c>
      <c r="M423">
        <f>IF(Sync!$M423&lt;&gt;"پاس چک","",IF(Sync!$P423="","",Sync!$P423))</f>
        <v/>
      </c>
      <c r="N423">
        <f>IF($M423="","",IF(ISNUMBER(Sync!$L423),IF(AND(Sync!$L423&gt;=10000101,Sync!$L423&lt;=99991231),RIGHT("0000"&amp;INT(Sync!$L423/10000),4)&amp;"/"&amp;RIGHT("00"&amp;INT(MOD(Sync!$L423,10000)/100),2)&amp;"/"&amp;RIGHT("00"&amp;MOD(Sync!$L423,100),2),""),IFERROR(RIGHT("0000"&amp;VALUE(TRIM(LEFT(Sync!$L423,FIND("/",Sync!$L423)-1))),4)&amp;"/"&amp;RIGHT("00"&amp;VALUE(TRIM(LEFT(MID(Sync!$L423,FIND("/",Sync!$L423)+1,20),FIND("/",MID(Sync!$L423,FIND("/",Sync!$L423)+1,20))-1))),2)&amp;"/"&amp;RIGHT("00"&amp;VALUE(TRIM(MID(MID(Sync!$L423,FIND("/",Sync!$L423)+1,20),FIND("/",MID(Sync!$L423,FIND("/",Sync!$L423)+1,20))+1,20))),2),"")))</f>
        <v/>
      </c>
    </row>
    <row r="424">
      <c r="A424">
        <f>IF(Issues!$B427="","",Issues!$B427)</f>
        <v/>
      </c>
      <c r="B424">
        <f>IF($A424="","",IF(ISNUMBER(Issues!$C427),IF(AND(Issues!$C427&gt;=10000101,Issues!$C427&lt;=99991231),INT(Issues!$C427/10000),""),IFERROR(VALUE(TRIM(LEFT(Issues!$C427,FIND("/",Issues!$C427)-1))),"")))</f>
        <v/>
      </c>
      <c r="C424">
        <f>IF(OR($A424="",$B424=""),"",IF(ISNUMBER(Issues!$C427),INT(MOD(Issues!$C427,10000)/100),IFERROR(VALUE(TRIM(LEFT(MID(Issues!$C427,FIND("/",Issues!$C427)+1,20),FIND("/",MID(Issues!$C427,FIND("/",Issues!$C427)+1,20))-1))),"")))</f>
        <v/>
      </c>
      <c r="D424">
        <f>IF(OR($A424="",$B424=""),"",IF(ISNUMBER(Issues!$C427),MOD(Issues!$C427,100),IFERROR(VALUE(TRIM(MID(MID(Issues!$C427,FIND("/",Issues!$C427)+1,20),FIND("/",MID(Issues!$C427,FIND("/",Issues!$C427)+1,20))+1,20))),"")))</f>
        <v/>
      </c>
      <c r="E424">
        <f>IF($A424="","",IF(OR($B424="",$C424="",$D424="",$B424&lt;1300,$B424&gt;1500,$C424&lt;1,$C424&gt;12,$D424&lt;1,$D424&gt;31),"نامعتبر",RIGHT("0000"&amp;$B424,4)&amp;"/"&amp;RIGHT("00"&amp;$C424,2)&amp;"/"&amp;RIGHT("00"&amp;$D424,2)))</f>
        <v/>
      </c>
      <c r="F424">
        <f>IF($A424="","",IF(Issues!$D427="",0,Issues!$D427))</f>
        <v/>
      </c>
      <c r="G424">
        <f>IF($A424="","",Issues!$E427)</f>
        <v/>
      </c>
      <c r="H424">
        <f>IF($A424="","",IF(COUNTIFS(ETxnType,"پاس چک",ETxnChk,$A424)&gt;0,"پاس شده","پاس نشده"))</f>
        <v/>
      </c>
      <c r="I424">
        <f>IF($A424="","",IFERROR(INDEX(BClrDate,MATCH($A424,BClrChk,0)),""))</f>
        <v/>
      </c>
      <c r="J424">
        <f>IF($A424="","",Issues!$G427)</f>
        <v/>
      </c>
      <c r="K424">
        <f>IF(OR($E424="",$E424="نامعتبر"),"",LEFT($E424,4)&amp;MID($E424,6,2)&amp;RIGHT($E424,2)&amp;"|"&amp;RIGHT("00000"&amp;419,5))</f>
        <v/>
      </c>
      <c r="M424">
        <f>IF(Sync!$M424&lt;&gt;"پاس چک","",IF(Sync!$P424="","",Sync!$P424))</f>
        <v/>
      </c>
      <c r="N424">
        <f>IF($M424="","",IF(ISNUMBER(Sync!$L424),IF(AND(Sync!$L424&gt;=10000101,Sync!$L424&lt;=99991231),RIGHT("0000"&amp;INT(Sync!$L424/10000),4)&amp;"/"&amp;RIGHT("00"&amp;INT(MOD(Sync!$L424,10000)/100),2)&amp;"/"&amp;RIGHT("00"&amp;MOD(Sync!$L424,100),2),""),IFERROR(RIGHT("0000"&amp;VALUE(TRIM(LEFT(Sync!$L424,FIND("/",Sync!$L424)-1))),4)&amp;"/"&amp;RIGHT("00"&amp;VALUE(TRIM(LEFT(MID(Sync!$L424,FIND("/",Sync!$L424)+1,20),FIND("/",MID(Sync!$L424,FIND("/",Sync!$L424)+1,20))-1))),2)&amp;"/"&amp;RIGHT("00"&amp;VALUE(TRIM(MID(MID(Sync!$L424,FIND("/",Sync!$L424)+1,20),FIND("/",MID(Sync!$L424,FIND("/",Sync!$L424)+1,20))+1,20))),2),"")))</f>
        <v/>
      </c>
    </row>
    <row r="425">
      <c r="A425">
        <f>IF(Issues!$B428="","",Issues!$B428)</f>
        <v/>
      </c>
      <c r="B425">
        <f>IF($A425="","",IF(ISNUMBER(Issues!$C428),IF(AND(Issues!$C428&gt;=10000101,Issues!$C428&lt;=99991231),INT(Issues!$C428/10000),""),IFERROR(VALUE(TRIM(LEFT(Issues!$C428,FIND("/",Issues!$C428)-1))),"")))</f>
        <v/>
      </c>
      <c r="C425">
        <f>IF(OR($A425="",$B425=""),"",IF(ISNUMBER(Issues!$C428),INT(MOD(Issues!$C428,10000)/100),IFERROR(VALUE(TRIM(LEFT(MID(Issues!$C428,FIND("/",Issues!$C428)+1,20),FIND("/",MID(Issues!$C428,FIND("/",Issues!$C428)+1,20))-1))),"")))</f>
        <v/>
      </c>
      <c r="D425">
        <f>IF(OR($A425="",$B425=""),"",IF(ISNUMBER(Issues!$C428),MOD(Issues!$C428,100),IFERROR(VALUE(TRIM(MID(MID(Issues!$C428,FIND("/",Issues!$C428)+1,20),FIND("/",MID(Issues!$C428,FIND("/",Issues!$C428)+1,20))+1,20))),"")))</f>
        <v/>
      </c>
      <c r="E425">
        <f>IF($A425="","",IF(OR($B425="",$C425="",$D425="",$B425&lt;1300,$B425&gt;1500,$C425&lt;1,$C425&gt;12,$D425&lt;1,$D425&gt;31),"نامعتبر",RIGHT("0000"&amp;$B425,4)&amp;"/"&amp;RIGHT("00"&amp;$C425,2)&amp;"/"&amp;RIGHT("00"&amp;$D425,2)))</f>
        <v/>
      </c>
      <c r="F425">
        <f>IF($A425="","",IF(Issues!$D428="",0,Issues!$D428))</f>
        <v/>
      </c>
      <c r="G425">
        <f>IF($A425="","",Issues!$E428)</f>
        <v/>
      </c>
      <c r="H425">
        <f>IF($A425="","",IF(COUNTIFS(ETxnType,"پاس چک",ETxnChk,$A425)&gt;0,"پاس شده","پاس نشده"))</f>
        <v/>
      </c>
      <c r="I425">
        <f>IF($A425="","",IFERROR(INDEX(BClrDate,MATCH($A425,BClrChk,0)),""))</f>
        <v/>
      </c>
      <c r="J425">
        <f>IF($A425="","",Issues!$G428)</f>
        <v/>
      </c>
      <c r="K425">
        <f>IF(OR($E425="",$E425="نامعتبر"),"",LEFT($E425,4)&amp;MID($E425,6,2)&amp;RIGHT($E425,2)&amp;"|"&amp;RIGHT("00000"&amp;420,5))</f>
        <v/>
      </c>
      <c r="M425">
        <f>IF(Sync!$M425&lt;&gt;"پاس چک","",IF(Sync!$P425="","",Sync!$P425))</f>
        <v/>
      </c>
      <c r="N425">
        <f>IF($M425="","",IF(ISNUMBER(Sync!$L425),IF(AND(Sync!$L425&gt;=10000101,Sync!$L425&lt;=99991231),RIGHT("0000"&amp;INT(Sync!$L425/10000),4)&amp;"/"&amp;RIGHT("00"&amp;INT(MOD(Sync!$L425,10000)/100),2)&amp;"/"&amp;RIGHT("00"&amp;MOD(Sync!$L425,100),2),""),IFERROR(RIGHT("0000"&amp;VALUE(TRIM(LEFT(Sync!$L425,FIND("/",Sync!$L425)-1))),4)&amp;"/"&amp;RIGHT("00"&amp;VALUE(TRIM(LEFT(MID(Sync!$L425,FIND("/",Sync!$L425)+1,20),FIND("/",MID(Sync!$L425,FIND("/",Sync!$L425)+1,20))-1))),2)&amp;"/"&amp;RIGHT("00"&amp;VALUE(TRIM(MID(MID(Sync!$L425,FIND("/",Sync!$L425)+1,20),FIND("/",MID(Sync!$L425,FIND("/",Sync!$L425)+1,20))+1,20))),2),"")))</f>
        <v/>
      </c>
    </row>
    <row r="426">
      <c r="A426">
        <f>IF(Issues!$B429="","",Issues!$B429)</f>
        <v/>
      </c>
      <c r="B426">
        <f>IF($A426="","",IF(ISNUMBER(Issues!$C429),IF(AND(Issues!$C429&gt;=10000101,Issues!$C429&lt;=99991231),INT(Issues!$C429/10000),""),IFERROR(VALUE(TRIM(LEFT(Issues!$C429,FIND("/",Issues!$C429)-1))),"")))</f>
        <v/>
      </c>
      <c r="C426">
        <f>IF(OR($A426="",$B426=""),"",IF(ISNUMBER(Issues!$C429),INT(MOD(Issues!$C429,10000)/100),IFERROR(VALUE(TRIM(LEFT(MID(Issues!$C429,FIND("/",Issues!$C429)+1,20),FIND("/",MID(Issues!$C429,FIND("/",Issues!$C429)+1,20))-1))),"")))</f>
        <v/>
      </c>
      <c r="D426">
        <f>IF(OR($A426="",$B426=""),"",IF(ISNUMBER(Issues!$C429),MOD(Issues!$C429,100),IFERROR(VALUE(TRIM(MID(MID(Issues!$C429,FIND("/",Issues!$C429)+1,20),FIND("/",MID(Issues!$C429,FIND("/",Issues!$C429)+1,20))+1,20))),"")))</f>
        <v/>
      </c>
      <c r="E426">
        <f>IF($A426="","",IF(OR($B426="",$C426="",$D426="",$B426&lt;1300,$B426&gt;1500,$C426&lt;1,$C426&gt;12,$D426&lt;1,$D426&gt;31),"نامعتبر",RIGHT("0000"&amp;$B426,4)&amp;"/"&amp;RIGHT("00"&amp;$C426,2)&amp;"/"&amp;RIGHT("00"&amp;$D426,2)))</f>
        <v/>
      </c>
      <c r="F426">
        <f>IF($A426="","",IF(Issues!$D429="",0,Issues!$D429))</f>
        <v/>
      </c>
      <c r="G426">
        <f>IF($A426="","",Issues!$E429)</f>
        <v/>
      </c>
      <c r="H426">
        <f>IF($A426="","",IF(COUNTIFS(ETxnType,"پاس چک",ETxnChk,$A426)&gt;0,"پاس شده","پاس نشده"))</f>
        <v/>
      </c>
      <c r="I426">
        <f>IF($A426="","",IFERROR(INDEX(BClrDate,MATCH($A426,BClrChk,0)),""))</f>
        <v/>
      </c>
      <c r="J426">
        <f>IF($A426="","",Issues!$G429)</f>
        <v/>
      </c>
      <c r="K426">
        <f>IF(OR($E426="",$E426="نامعتبر"),"",LEFT($E426,4)&amp;MID($E426,6,2)&amp;RIGHT($E426,2)&amp;"|"&amp;RIGHT("00000"&amp;421,5))</f>
        <v/>
      </c>
      <c r="M426">
        <f>IF(Sync!$M426&lt;&gt;"پاس چک","",IF(Sync!$P426="","",Sync!$P426))</f>
        <v/>
      </c>
      <c r="N426">
        <f>IF($M426="","",IF(ISNUMBER(Sync!$L426),IF(AND(Sync!$L426&gt;=10000101,Sync!$L426&lt;=99991231),RIGHT("0000"&amp;INT(Sync!$L426/10000),4)&amp;"/"&amp;RIGHT("00"&amp;INT(MOD(Sync!$L426,10000)/100),2)&amp;"/"&amp;RIGHT("00"&amp;MOD(Sync!$L426,100),2),""),IFERROR(RIGHT("0000"&amp;VALUE(TRIM(LEFT(Sync!$L426,FIND("/",Sync!$L426)-1))),4)&amp;"/"&amp;RIGHT("00"&amp;VALUE(TRIM(LEFT(MID(Sync!$L426,FIND("/",Sync!$L426)+1,20),FIND("/",MID(Sync!$L426,FIND("/",Sync!$L426)+1,20))-1))),2)&amp;"/"&amp;RIGHT("00"&amp;VALUE(TRIM(MID(MID(Sync!$L426,FIND("/",Sync!$L426)+1,20),FIND("/",MID(Sync!$L426,FIND("/",Sync!$L426)+1,20))+1,20))),2),"")))</f>
        <v/>
      </c>
    </row>
    <row r="427">
      <c r="A427">
        <f>IF(Issues!$B430="","",Issues!$B430)</f>
        <v/>
      </c>
      <c r="B427">
        <f>IF($A427="","",IF(ISNUMBER(Issues!$C430),IF(AND(Issues!$C430&gt;=10000101,Issues!$C430&lt;=99991231),INT(Issues!$C430/10000),""),IFERROR(VALUE(TRIM(LEFT(Issues!$C430,FIND("/",Issues!$C430)-1))),"")))</f>
        <v/>
      </c>
      <c r="C427">
        <f>IF(OR($A427="",$B427=""),"",IF(ISNUMBER(Issues!$C430),INT(MOD(Issues!$C430,10000)/100),IFERROR(VALUE(TRIM(LEFT(MID(Issues!$C430,FIND("/",Issues!$C430)+1,20),FIND("/",MID(Issues!$C430,FIND("/",Issues!$C430)+1,20))-1))),"")))</f>
        <v/>
      </c>
      <c r="D427">
        <f>IF(OR($A427="",$B427=""),"",IF(ISNUMBER(Issues!$C430),MOD(Issues!$C430,100),IFERROR(VALUE(TRIM(MID(MID(Issues!$C430,FIND("/",Issues!$C430)+1,20),FIND("/",MID(Issues!$C430,FIND("/",Issues!$C430)+1,20))+1,20))),"")))</f>
        <v/>
      </c>
      <c r="E427">
        <f>IF($A427="","",IF(OR($B427="",$C427="",$D427="",$B427&lt;1300,$B427&gt;1500,$C427&lt;1,$C427&gt;12,$D427&lt;1,$D427&gt;31),"نامعتبر",RIGHT("0000"&amp;$B427,4)&amp;"/"&amp;RIGHT("00"&amp;$C427,2)&amp;"/"&amp;RIGHT("00"&amp;$D427,2)))</f>
        <v/>
      </c>
      <c r="F427">
        <f>IF($A427="","",IF(Issues!$D430="",0,Issues!$D430))</f>
        <v/>
      </c>
      <c r="G427">
        <f>IF($A427="","",Issues!$E430)</f>
        <v/>
      </c>
      <c r="H427">
        <f>IF($A427="","",IF(COUNTIFS(ETxnType,"پاس چک",ETxnChk,$A427)&gt;0,"پاس شده","پاس نشده"))</f>
        <v/>
      </c>
      <c r="I427">
        <f>IF($A427="","",IFERROR(INDEX(BClrDate,MATCH($A427,BClrChk,0)),""))</f>
        <v/>
      </c>
      <c r="J427">
        <f>IF($A427="","",Issues!$G430)</f>
        <v/>
      </c>
      <c r="K427">
        <f>IF(OR($E427="",$E427="نامعتبر"),"",LEFT($E427,4)&amp;MID($E427,6,2)&amp;RIGHT($E427,2)&amp;"|"&amp;RIGHT("00000"&amp;422,5))</f>
        <v/>
      </c>
      <c r="M427">
        <f>IF(Sync!$M427&lt;&gt;"پاس چک","",IF(Sync!$P427="","",Sync!$P427))</f>
        <v/>
      </c>
      <c r="N427">
        <f>IF($M427="","",IF(ISNUMBER(Sync!$L427),IF(AND(Sync!$L427&gt;=10000101,Sync!$L427&lt;=99991231),RIGHT("0000"&amp;INT(Sync!$L427/10000),4)&amp;"/"&amp;RIGHT("00"&amp;INT(MOD(Sync!$L427,10000)/100),2)&amp;"/"&amp;RIGHT("00"&amp;MOD(Sync!$L427,100),2),""),IFERROR(RIGHT("0000"&amp;VALUE(TRIM(LEFT(Sync!$L427,FIND("/",Sync!$L427)-1))),4)&amp;"/"&amp;RIGHT("00"&amp;VALUE(TRIM(LEFT(MID(Sync!$L427,FIND("/",Sync!$L427)+1,20),FIND("/",MID(Sync!$L427,FIND("/",Sync!$L427)+1,20))-1))),2)&amp;"/"&amp;RIGHT("00"&amp;VALUE(TRIM(MID(MID(Sync!$L427,FIND("/",Sync!$L427)+1,20),FIND("/",MID(Sync!$L427,FIND("/",Sync!$L427)+1,20))+1,20))),2),"")))</f>
        <v/>
      </c>
    </row>
    <row r="428">
      <c r="A428">
        <f>IF(Issues!$B431="","",Issues!$B431)</f>
        <v/>
      </c>
      <c r="B428">
        <f>IF($A428="","",IF(ISNUMBER(Issues!$C431),IF(AND(Issues!$C431&gt;=10000101,Issues!$C431&lt;=99991231),INT(Issues!$C431/10000),""),IFERROR(VALUE(TRIM(LEFT(Issues!$C431,FIND("/",Issues!$C431)-1))),"")))</f>
        <v/>
      </c>
      <c r="C428">
        <f>IF(OR($A428="",$B428=""),"",IF(ISNUMBER(Issues!$C431),INT(MOD(Issues!$C431,10000)/100),IFERROR(VALUE(TRIM(LEFT(MID(Issues!$C431,FIND("/",Issues!$C431)+1,20),FIND("/",MID(Issues!$C431,FIND("/",Issues!$C431)+1,20))-1))),"")))</f>
        <v/>
      </c>
      <c r="D428">
        <f>IF(OR($A428="",$B428=""),"",IF(ISNUMBER(Issues!$C431),MOD(Issues!$C431,100),IFERROR(VALUE(TRIM(MID(MID(Issues!$C431,FIND("/",Issues!$C431)+1,20),FIND("/",MID(Issues!$C431,FIND("/",Issues!$C431)+1,20))+1,20))),"")))</f>
        <v/>
      </c>
      <c r="E428">
        <f>IF($A428="","",IF(OR($B428="",$C428="",$D428="",$B428&lt;1300,$B428&gt;1500,$C428&lt;1,$C428&gt;12,$D428&lt;1,$D428&gt;31),"نامعتبر",RIGHT("0000"&amp;$B428,4)&amp;"/"&amp;RIGHT("00"&amp;$C428,2)&amp;"/"&amp;RIGHT("00"&amp;$D428,2)))</f>
        <v/>
      </c>
      <c r="F428">
        <f>IF($A428="","",IF(Issues!$D431="",0,Issues!$D431))</f>
        <v/>
      </c>
      <c r="G428">
        <f>IF($A428="","",Issues!$E431)</f>
        <v/>
      </c>
      <c r="H428">
        <f>IF($A428="","",IF(COUNTIFS(ETxnType,"پاس چک",ETxnChk,$A428)&gt;0,"پاس شده","پاس نشده"))</f>
        <v/>
      </c>
      <c r="I428">
        <f>IF($A428="","",IFERROR(INDEX(BClrDate,MATCH($A428,BClrChk,0)),""))</f>
        <v/>
      </c>
      <c r="J428">
        <f>IF($A428="","",Issues!$G431)</f>
        <v/>
      </c>
      <c r="K428">
        <f>IF(OR($E428="",$E428="نامعتبر"),"",LEFT($E428,4)&amp;MID($E428,6,2)&amp;RIGHT($E428,2)&amp;"|"&amp;RIGHT("00000"&amp;423,5))</f>
        <v/>
      </c>
      <c r="M428">
        <f>IF(Sync!$M428&lt;&gt;"پاس چک","",IF(Sync!$P428="","",Sync!$P428))</f>
        <v/>
      </c>
      <c r="N428">
        <f>IF($M428="","",IF(ISNUMBER(Sync!$L428),IF(AND(Sync!$L428&gt;=10000101,Sync!$L428&lt;=99991231),RIGHT("0000"&amp;INT(Sync!$L428/10000),4)&amp;"/"&amp;RIGHT("00"&amp;INT(MOD(Sync!$L428,10000)/100),2)&amp;"/"&amp;RIGHT("00"&amp;MOD(Sync!$L428,100),2),""),IFERROR(RIGHT("0000"&amp;VALUE(TRIM(LEFT(Sync!$L428,FIND("/",Sync!$L428)-1))),4)&amp;"/"&amp;RIGHT("00"&amp;VALUE(TRIM(LEFT(MID(Sync!$L428,FIND("/",Sync!$L428)+1,20),FIND("/",MID(Sync!$L428,FIND("/",Sync!$L428)+1,20))-1))),2)&amp;"/"&amp;RIGHT("00"&amp;VALUE(TRIM(MID(MID(Sync!$L428,FIND("/",Sync!$L428)+1,20),FIND("/",MID(Sync!$L428,FIND("/",Sync!$L428)+1,20))+1,20))),2),"")))</f>
        <v/>
      </c>
    </row>
    <row r="429">
      <c r="A429">
        <f>IF(Issues!$B432="","",Issues!$B432)</f>
        <v/>
      </c>
      <c r="B429">
        <f>IF($A429="","",IF(ISNUMBER(Issues!$C432),IF(AND(Issues!$C432&gt;=10000101,Issues!$C432&lt;=99991231),INT(Issues!$C432/10000),""),IFERROR(VALUE(TRIM(LEFT(Issues!$C432,FIND("/",Issues!$C432)-1))),"")))</f>
        <v/>
      </c>
      <c r="C429">
        <f>IF(OR($A429="",$B429=""),"",IF(ISNUMBER(Issues!$C432),INT(MOD(Issues!$C432,10000)/100),IFERROR(VALUE(TRIM(LEFT(MID(Issues!$C432,FIND("/",Issues!$C432)+1,20),FIND("/",MID(Issues!$C432,FIND("/",Issues!$C432)+1,20))-1))),"")))</f>
        <v/>
      </c>
      <c r="D429">
        <f>IF(OR($A429="",$B429=""),"",IF(ISNUMBER(Issues!$C432),MOD(Issues!$C432,100),IFERROR(VALUE(TRIM(MID(MID(Issues!$C432,FIND("/",Issues!$C432)+1,20),FIND("/",MID(Issues!$C432,FIND("/",Issues!$C432)+1,20))+1,20))),"")))</f>
        <v/>
      </c>
      <c r="E429">
        <f>IF($A429="","",IF(OR($B429="",$C429="",$D429="",$B429&lt;1300,$B429&gt;1500,$C429&lt;1,$C429&gt;12,$D429&lt;1,$D429&gt;31),"نامعتبر",RIGHT("0000"&amp;$B429,4)&amp;"/"&amp;RIGHT("00"&amp;$C429,2)&amp;"/"&amp;RIGHT("00"&amp;$D429,2)))</f>
        <v/>
      </c>
      <c r="F429">
        <f>IF($A429="","",IF(Issues!$D432="",0,Issues!$D432))</f>
        <v/>
      </c>
      <c r="G429">
        <f>IF($A429="","",Issues!$E432)</f>
        <v/>
      </c>
      <c r="H429">
        <f>IF($A429="","",IF(COUNTIFS(ETxnType,"پاس چک",ETxnChk,$A429)&gt;0,"پاس شده","پاس نشده"))</f>
        <v/>
      </c>
      <c r="I429">
        <f>IF($A429="","",IFERROR(INDEX(BClrDate,MATCH($A429,BClrChk,0)),""))</f>
        <v/>
      </c>
      <c r="J429">
        <f>IF($A429="","",Issues!$G432)</f>
        <v/>
      </c>
      <c r="K429">
        <f>IF(OR($E429="",$E429="نامعتبر"),"",LEFT($E429,4)&amp;MID($E429,6,2)&amp;RIGHT($E429,2)&amp;"|"&amp;RIGHT("00000"&amp;424,5))</f>
        <v/>
      </c>
      <c r="M429">
        <f>IF(Sync!$M429&lt;&gt;"پاس چک","",IF(Sync!$P429="","",Sync!$P429))</f>
        <v/>
      </c>
      <c r="N429">
        <f>IF($M429="","",IF(ISNUMBER(Sync!$L429),IF(AND(Sync!$L429&gt;=10000101,Sync!$L429&lt;=99991231),RIGHT("0000"&amp;INT(Sync!$L429/10000),4)&amp;"/"&amp;RIGHT("00"&amp;INT(MOD(Sync!$L429,10000)/100),2)&amp;"/"&amp;RIGHT("00"&amp;MOD(Sync!$L429,100),2),""),IFERROR(RIGHT("0000"&amp;VALUE(TRIM(LEFT(Sync!$L429,FIND("/",Sync!$L429)-1))),4)&amp;"/"&amp;RIGHT("00"&amp;VALUE(TRIM(LEFT(MID(Sync!$L429,FIND("/",Sync!$L429)+1,20),FIND("/",MID(Sync!$L429,FIND("/",Sync!$L429)+1,20))-1))),2)&amp;"/"&amp;RIGHT("00"&amp;VALUE(TRIM(MID(MID(Sync!$L429,FIND("/",Sync!$L429)+1,20),FIND("/",MID(Sync!$L429,FIND("/",Sync!$L429)+1,20))+1,20))),2),"")))</f>
        <v/>
      </c>
    </row>
    <row r="430">
      <c r="A430">
        <f>IF(Issues!$B433="","",Issues!$B433)</f>
        <v/>
      </c>
      <c r="B430">
        <f>IF($A430="","",IF(ISNUMBER(Issues!$C433),IF(AND(Issues!$C433&gt;=10000101,Issues!$C433&lt;=99991231),INT(Issues!$C433/10000),""),IFERROR(VALUE(TRIM(LEFT(Issues!$C433,FIND("/",Issues!$C433)-1))),"")))</f>
        <v/>
      </c>
      <c r="C430">
        <f>IF(OR($A430="",$B430=""),"",IF(ISNUMBER(Issues!$C433),INT(MOD(Issues!$C433,10000)/100),IFERROR(VALUE(TRIM(LEFT(MID(Issues!$C433,FIND("/",Issues!$C433)+1,20),FIND("/",MID(Issues!$C433,FIND("/",Issues!$C433)+1,20))-1))),"")))</f>
        <v/>
      </c>
      <c r="D430">
        <f>IF(OR($A430="",$B430=""),"",IF(ISNUMBER(Issues!$C433),MOD(Issues!$C433,100),IFERROR(VALUE(TRIM(MID(MID(Issues!$C433,FIND("/",Issues!$C433)+1,20),FIND("/",MID(Issues!$C433,FIND("/",Issues!$C433)+1,20))+1,20))),"")))</f>
        <v/>
      </c>
      <c r="E430">
        <f>IF($A430="","",IF(OR($B430="",$C430="",$D430="",$B430&lt;1300,$B430&gt;1500,$C430&lt;1,$C430&gt;12,$D430&lt;1,$D430&gt;31),"نامعتبر",RIGHT("0000"&amp;$B430,4)&amp;"/"&amp;RIGHT("00"&amp;$C430,2)&amp;"/"&amp;RIGHT("00"&amp;$D430,2)))</f>
        <v/>
      </c>
      <c r="F430">
        <f>IF($A430="","",IF(Issues!$D433="",0,Issues!$D433))</f>
        <v/>
      </c>
      <c r="G430">
        <f>IF($A430="","",Issues!$E433)</f>
        <v/>
      </c>
      <c r="H430">
        <f>IF($A430="","",IF(COUNTIFS(ETxnType,"پاس چک",ETxnChk,$A430)&gt;0,"پاس شده","پاس نشده"))</f>
        <v/>
      </c>
      <c r="I430">
        <f>IF($A430="","",IFERROR(INDEX(BClrDate,MATCH($A430,BClrChk,0)),""))</f>
        <v/>
      </c>
      <c r="J430">
        <f>IF($A430="","",Issues!$G433)</f>
        <v/>
      </c>
      <c r="K430">
        <f>IF(OR($E430="",$E430="نامعتبر"),"",LEFT($E430,4)&amp;MID($E430,6,2)&amp;RIGHT($E430,2)&amp;"|"&amp;RIGHT("00000"&amp;425,5))</f>
        <v/>
      </c>
      <c r="M430">
        <f>IF(Sync!$M430&lt;&gt;"پاس چک","",IF(Sync!$P430="","",Sync!$P430))</f>
        <v/>
      </c>
      <c r="N430">
        <f>IF($M430="","",IF(ISNUMBER(Sync!$L430),IF(AND(Sync!$L430&gt;=10000101,Sync!$L430&lt;=99991231),RIGHT("0000"&amp;INT(Sync!$L430/10000),4)&amp;"/"&amp;RIGHT("00"&amp;INT(MOD(Sync!$L430,10000)/100),2)&amp;"/"&amp;RIGHT("00"&amp;MOD(Sync!$L430,100),2),""),IFERROR(RIGHT("0000"&amp;VALUE(TRIM(LEFT(Sync!$L430,FIND("/",Sync!$L430)-1))),4)&amp;"/"&amp;RIGHT("00"&amp;VALUE(TRIM(LEFT(MID(Sync!$L430,FIND("/",Sync!$L430)+1,20),FIND("/",MID(Sync!$L430,FIND("/",Sync!$L430)+1,20))-1))),2)&amp;"/"&amp;RIGHT("00"&amp;VALUE(TRIM(MID(MID(Sync!$L430,FIND("/",Sync!$L430)+1,20),FIND("/",MID(Sync!$L430,FIND("/",Sync!$L430)+1,20))+1,20))),2),"")))</f>
        <v/>
      </c>
    </row>
    <row r="431">
      <c r="A431">
        <f>IF(Issues!$B434="","",Issues!$B434)</f>
        <v/>
      </c>
      <c r="B431">
        <f>IF($A431="","",IF(ISNUMBER(Issues!$C434),IF(AND(Issues!$C434&gt;=10000101,Issues!$C434&lt;=99991231),INT(Issues!$C434/10000),""),IFERROR(VALUE(TRIM(LEFT(Issues!$C434,FIND("/",Issues!$C434)-1))),"")))</f>
        <v/>
      </c>
      <c r="C431">
        <f>IF(OR($A431="",$B431=""),"",IF(ISNUMBER(Issues!$C434),INT(MOD(Issues!$C434,10000)/100),IFERROR(VALUE(TRIM(LEFT(MID(Issues!$C434,FIND("/",Issues!$C434)+1,20),FIND("/",MID(Issues!$C434,FIND("/",Issues!$C434)+1,20))-1))),"")))</f>
        <v/>
      </c>
      <c r="D431">
        <f>IF(OR($A431="",$B431=""),"",IF(ISNUMBER(Issues!$C434),MOD(Issues!$C434,100),IFERROR(VALUE(TRIM(MID(MID(Issues!$C434,FIND("/",Issues!$C434)+1,20),FIND("/",MID(Issues!$C434,FIND("/",Issues!$C434)+1,20))+1,20))),"")))</f>
        <v/>
      </c>
      <c r="E431">
        <f>IF($A431="","",IF(OR($B431="",$C431="",$D431="",$B431&lt;1300,$B431&gt;1500,$C431&lt;1,$C431&gt;12,$D431&lt;1,$D431&gt;31),"نامعتبر",RIGHT("0000"&amp;$B431,4)&amp;"/"&amp;RIGHT("00"&amp;$C431,2)&amp;"/"&amp;RIGHT("00"&amp;$D431,2)))</f>
        <v/>
      </c>
      <c r="F431">
        <f>IF($A431="","",IF(Issues!$D434="",0,Issues!$D434))</f>
        <v/>
      </c>
      <c r="G431">
        <f>IF($A431="","",Issues!$E434)</f>
        <v/>
      </c>
      <c r="H431">
        <f>IF($A431="","",IF(COUNTIFS(ETxnType,"پاس چک",ETxnChk,$A431)&gt;0,"پاس شده","پاس نشده"))</f>
        <v/>
      </c>
      <c r="I431">
        <f>IF($A431="","",IFERROR(INDEX(BClrDate,MATCH($A431,BClrChk,0)),""))</f>
        <v/>
      </c>
      <c r="J431">
        <f>IF($A431="","",Issues!$G434)</f>
        <v/>
      </c>
      <c r="K431">
        <f>IF(OR($E431="",$E431="نامعتبر"),"",LEFT($E431,4)&amp;MID($E431,6,2)&amp;RIGHT($E431,2)&amp;"|"&amp;RIGHT("00000"&amp;426,5))</f>
        <v/>
      </c>
      <c r="M431">
        <f>IF(Sync!$M431&lt;&gt;"پاس چک","",IF(Sync!$P431="","",Sync!$P431))</f>
        <v/>
      </c>
      <c r="N431">
        <f>IF($M431="","",IF(ISNUMBER(Sync!$L431),IF(AND(Sync!$L431&gt;=10000101,Sync!$L431&lt;=99991231),RIGHT("0000"&amp;INT(Sync!$L431/10000),4)&amp;"/"&amp;RIGHT("00"&amp;INT(MOD(Sync!$L431,10000)/100),2)&amp;"/"&amp;RIGHT("00"&amp;MOD(Sync!$L431,100),2),""),IFERROR(RIGHT("0000"&amp;VALUE(TRIM(LEFT(Sync!$L431,FIND("/",Sync!$L431)-1))),4)&amp;"/"&amp;RIGHT("00"&amp;VALUE(TRIM(LEFT(MID(Sync!$L431,FIND("/",Sync!$L431)+1,20),FIND("/",MID(Sync!$L431,FIND("/",Sync!$L431)+1,20))-1))),2)&amp;"/"&amp;RIGHT("00"&amp;VALUE(TRIM(MID(MID(Sync!$L431,FIND("/",Sync!$L431)+1,20),FIND("/",MID(Sync!$L431,FIND("/",Sync!$L431)+1,20))+1,20))),2),"")))</f>
        <v/>
      </c>
    </row>
    <row r="432">
      <c r="A432">
        <f>IF(Issues!$B435="","",Issues!$B435)</f>
        <v/>
      </c>
      <c r="B432">
        <f>IF($A432="","",IF(ISNUMBER(Issues!$C435),IF(AND(Issues!$C435&gt;=10000101,Issues!$C435&lt;=99991231),INT(Issues!$C435/10000),""),IFERROR(VALUE(TRIM(LEFT(Issues!$C435,FIND("/",Issues!$C435)-1))),"")))</f>
        <v/>
      </c>
      <c r="C432">
        <f>IF(OR($A432="",$B432=""),"",IF(ISNUMBER(Issues!$C435),INT(MOD(Issues!$C435,10000)/100),IFERROR(VALUE(TRIM(LEFT(MID(Issues!$C435,FIND("/",Issues!$C435)+1,20),FIND("/",MID(Issues!$C435,FIND("/",Issues!$C435)+1,20))-1))),"")))</f>
        <v/>
      </c>
      <c r="D432">
        <f>IF(OR($A432="",$B432=""),"",IF(ISNUMBER(Issues!$C435),MOD(Issues!$C435,100),IFERROR(VALUE(TRIM(MID(MID(Issues!$C435,FIND("/",Issues!$C435)+1,20),FIND("/",MID(Issues!$C435,FIND("/",Issues!$C435)+1,20))+1,20))),"")))</f>
        <v/>
      </c>
      <c r="E432">
        <f>IF($A432="","",IF(OR($B432="",$C432="",$D432="",$B432&lt;1300,$B432&gt;1500,$C432&lt;1,$C432&gt;12,$D432&lt;1,$D432&gt;31),"نامعتبر",RIGHT("0000"&amp;$B432,4)&amp;"/"&amp;RIGHT("00"&amp;$C432,2)&amp;"/"&amp;RIGHT("00"&amp;$D432,2)))</f>
        <v/>
      </c>
      <c r="F432">
        <f>IF($A432="","",IF(Issues!$D435="",0,Issues!$D435))</f>
        <v/>
      </c>
      <c r="G432">
        <f>IF($A432="","",Issues!$E435)</f>
        <v/>
      </c>
      <c r="H432">
        <f>IF($A432="","",IF(COUNTIFS(ETxnType,"پاس چک",ETxnChk,$A432)&gt;0,"پاس شده","پاس نشده"))</f>
        <v/>
      </c>
      <c r="I432">
        <f>IF($A432="","",IFERROR(INDEX(BClrDate,MATCH($A432,BClrChk,0)),""))</f>
        <v/>
      </c>
      <c r="J432">
        <f>IF($A432="","",Issues!$G435)</f>
        <v/>
      </c>
      <c r="K432">
        <f>IF(OR($E432="",$E432="نامعتبر"),"",LEFT($E432,4)&amp;MID($E432,6,2)&amp;RIGHT($E432,2)&amp;"|"&amp;RIGHT("00000"&amp;427,5))</f>
        <v/>
      </c>
      <c r="M432">
        <f>IF(Sync!$M432&lt;&gt;"پاس چک","",IF(Sync!$P432="","",Sync!$P432))</f>
        <v/>
      </c>
      <c r="N432">
        <f>IF($M432="","",IF(ISNUMBER(Sync!$L432),IF(AND(Sync!$L432&gt;=10000101,Sync!$L432&lt;=99991231),RIGHT("0000"&amp;INT(Sync!$L432/10000),4)&amp;"/"&amp;RIGHT("00"&amp;INT(MOD(Sync!$L432,10000)/100),2)&amp;"/"&amp;RIGHT("00"&amp;MOD(Sync!$L432,100),2),""),IFERROR(RIGHT("0000"&amp;VALUE(TRIM(LEFT(Sync!$L432,FIND("/",Sync!$L432)-1))),4)&amp;"/"&amp;RIGHT("00"&amp;VALUE(TRIM(LEFT(MID(Sync!$L432,FIND("/",Sync!$L432)+1,20),FIND("/",MID(Sync!$L432,FIND("/",Sync!$L432)+1,20))-1))),2)&amp;"/"&amp;RIGHT("00"&amp;VALUE(TRIM(MID(MID(Sync!$L432,FIND("/",Sync!$L432)+1,20),FIND("/",MID(Sync!$L432,FIND("/",Sync!$L432)+1,20))+1,20))),2),"")))</f>
        <v/>
      </c>
    </row>
    <row r="433">
      <c r="A433">
        <f>IF(Issues!$B436="","",Issues!$B436)</f>
        <v/>
      </c>
      <c r="B433">
        <f>IF($A433="","",IF(ISNUMBER(Issues!$C436),IF(AND(Issues!$C436&gt;=10000101,Issues!$C436&lt;=99991231),INT(Issues!$C436/10000),""),IFERROR(VALUE(TRIM(LEFT(Issues!$C436,FIND("/",Issues!$C436)-1))),"")))</f>
        <v/>
      </c>
      <c r="C433">
        <f>IF(OR($A433="",$B433=""),"",IF(ISNUMBER(Issues!$C436),INT(MOD(Issues!$C436,10000)/100),IFERROR(VALUE(TRIM(LEFT(MID(Issues!$C436,FIND("/",Issues!$C436)+1,20),FIND("/",MID(Issues!$C436,FIND("/",Issues!$C436)+1,20))-1))),"")))</f>
        <v/>
      </c>
      <c r="D433">
        <f>IF(OR($A433="",$B433=""),"",IF(ISNUMBER(Issues!$C436),MOD(Issues!$C436,100),IFERROR(VALUE(TRIM(MID(MID(Issues!$C436,FIND("/",Issues!$C436)+1,20),FIND("/",MID(Issues!$C436,FIND("/",Issues!$C436)+1,20))+1,20))),"")))</f>
        <v/>
      </c>
      <c r="E433">
        <f>IF($A433="","",IF(OR($B433="",$C433="",$D433="",$B433&lt;1300,$B433&gt;1500,$C433&lt;1,$C433&gt;12,$D433&lt;1,$D433&gt;31),"نامعتبر",RIGHT("0000"&amp;$B433,4)&amp;"/"&amp;RIGHT("00"&amp;$C433,2)&amp;"/"&amp;RIGHT("00"&amp;$D433,2)))</f>
        <v/>
      </c>
      <c r="F433">
        <f>IF($A433="","",IF(Issues!$D436="",0,Issues!$D436))</f>
        <v/>
      </c>
      <c r="G433">
        <f>IF($A433="","",Issues!$E436)</f>
        <v/>
      </c>
      <c r="H433">
        <f>IF($A433="","",IF(COUNTIFS(ETxnType,"پاس چک",ETxnChk,$A433)&gt;0,"پاس شده","پاس نشده"))</f>
        <v/>
      </c>
      <c r="I433">
        <f>IF($A433="","",IFERROR(INDEX(BClrDate,MATCH($A433,BClrChk,0)),""))</f>
        <v/>
      </c>
      <c r="J433">
        <f>IF($A433="","",Issues!$G436)</f>
        <v/>
      </c>
      <c r="K433">
        <f>IF(OR($E433="",$E433="نامعتبر"),"",LEFT($E433,4)&amp;MID($E433,6,2)&amp;RIGHT($E433,2)&amp;"|"&amp;RIGHT("00000"&amp;428,5))</f>
        <v/>
      </c>
      <c r="M433">
        <f>IF(Sync!$M433&lt;&gt;"پاس چک","",IF(Sync!$P433="","",Sync!$P433))</f>
        <v/>
      </c>
      <c r="N433">
        <f>IF($M433="","",IF(ISNUMBER(Sync!$L433),IF(AND(Sync!$L433&gt;=10000101,Sync!$L433&lt;=99991231),RIGHT("0000"&amp;INT(Sync!$L433/10000),4)&amp;"/"&amp;RIGHT("00"&amp;INT(MOD(Sync!$L433,10000)/100),2)&amp;"/"&amp;RIGHT("00"&amp;MOD(Sync!$L433,100),2),""),IFERROR(RIGHT("0000"&amp;VALUE(TRIM(LEFT(Sync!$L433,FIND("/",Sync!$L433)-1))),4)&amp;"/"&amp;RIGHT("00"&amp;VALUE(TRIM(LEFT(MID(Sync!$L433,FIND("/",Sync!$L433)+1,20),FIND("/",MID(Sync!$L433,FIND("/",Sync!$L433)+1,20))-1))),2)&amp;"/"&amp;RIGHT("00"&amp;VALUE(TRIM(MID(MID(Sync!$L433,FIND("/",Sync!$L433)+1,20),FIND("/",MID(Sync!$L433,FIND("/",Sync!$L433)+1,20))+1,20))),2),"")))</f>
        <v/>
      </c>
    </row>
    <row r="434">
      <c r="A434">
        <f>IF(Issues!$B437="","",Issues!$B437)</f>
        <v/>
      </c>
      <c r="B434">
        <f>IF($A434="","",IF(ISNUMBER(Issues!$C437),IF(AND(Issues!$C437&gt;=10000101,Issues!$C437&lt;=99991231),INT(Issues!$C437/10000),""),IFERROR(VALUE(TRIM(LEFT(Issues!$C437,FIND("/",Issues!$C437)-1))),"")))</f>
        <v/>
      </c>
      <c r="C434">
        <f>IF(OR($A434="",$B434=""),"",IF(ISNUMBER(Issues!$C437),INT(MOD(Issues!$C437,10000)/100),IFERROR(VALUE(TRIM(LEFT(MID(Issues!$C437,FIND("/",Issues!$C437)+1,20),FIND("/",MID(Issues!$C437,FIND("/",Issues!$C437)+1,20))-1))),"")))</f>
        <v/>
      </c>
      <c r="D434">
        <f>IF(OR($A434="",$B434=""),"",IF(ISNUMBER(Issues!$C437),MOD(Issues!$C437,100),IFERROR(VALUE(TRIM(MID(MID(Issues!$C437,FIND("/",Issues!$C437)+1,20),FIND("/",MID(Issues!$C437,FIND("/",Issues!$C437)+1,20))+1,20))),"")))</f>
        <v/>
      </c>
      <c r="E434">
        <f>IF($A434="","",IF(OR($B434="",$C434="",$D434="",$B434&lt;1300,$B434&gt;1500,$C434&lt;1,$C434&gt;12,$D434&lt;1,$D434&gt;31),"نامعتبر",RIGHT("0000"&amp;$B434,4)&amp;"/"&amp;RIGHT("00"&amp;$C434,2)&amp;"/"&amp;RIGHT("00"&amp;$D434,2)))</f>
        <v/>
      </c>
      <c r="F434">
        <f>IF($A434="","",IF(Issues!$D437="",0,Issues!$D437))</f>
        <v/>
      </c>
      <c r="G434">
        <f>IF($A434="","",Issues!$E437)</f>
        <v/>
      </c>
      <c r="H434">
        <f>IF($A434="","",IF(COUNTIFS(ETxnType,"پاس چک",ETxnChk,$A434)&gt;0,"پاس شده","پاس نشده"))</f>
        <v/>
      </c>
      <c r="I434">
        <f>IF($A434="","",IFERROR(INDEX(BClrDate,MATCH($A434,BClrChk,0)),""))</f>
        <v/>
      </c>
      <c r="J434">
        <f>IF($A434="","",Issues!$G437)</f>
        <v/>
      </c>
      <c r="K434">
        <f>IF(OR($E434="",$E434="نامعتبر"),"",LEFT($E434,4)&amp;MID($E434,6,2)&amp;RIGHT($E434,2)&amp;"|"&amp;RIGHT("00000"&amp;429,5))</f>
        <v/>
      </c>
      <c r="M434">
        <f>IF(Sync!$M434&lt;&gt;"پاس چک","",IF(Sync!$P434="","",Sync!$P434))</f>
        <v/>
      </c>
      <c r="N434">
        <f>IF($M434="","",IF(ISNUMBER(Sync!$L434),IF(AND(Sync!$L434&gt;=10000101,Sync!$L434&lt;=99991231),RIGHT("0000"&amp;INT(Sync!$L434/10000),4)&amp;"/"&amp;RIGHT("00"&amp;INT(MOD(Sync!$L434,10000)/100),2)&amp;"/"&amp;RIGHT("00"&amp;MOD(Sync!$L434,100),2),""),IFERROR(RIGHT("0000"&amp;VALUE(TRIM(LEFT(Sync!$L434,FIND("/",Sync!$L434)-1))),4)&amp;"/"&amp;RIGHT("00"&amp;VALUE(TRIM(LEFT(MID(Sync!$L434,FIND("/",Sync!$L434)+1,20),FIND("/",MID(Sync!$L434,FIND("/",Sync!$L434)+1,20))-1))),2)&amp;"/"&amp;RIGHT("00"&amp;VALUE(TRIM(MID(MID(Sync!$L434,FIND("/",Sync!$L434)+1,20),FIND("/",MID(Sync!$L434,FIND("/",Sync!$L434)+1,20))+1,20))),2),"")))</f>
        <v/>
      </c>
    </row>
    <row r="435">
      <c r="A435">
        <f>IF(Issues!$B438="","",Issues!$B438)</f>
        <v/>
      </c>
      <c r="B435">
        <f>IF($A435="","",IF(ISNUMBER(Issues!$C438),IF(AND(Issues!$C438&gt;=10000101,Issues!$C438&lt;=99991231),INT(Issues!$C438/10000),""),IFERROR(VALUE(TRIM(LEFT(Issues!$C438,FIND("/",Issues!$C438)-1))),"")))</f>
        <v/>
      </c>
      <c r="C435">
        <f>IF(OR($A435="",$B435=""),"",IF(ISNUMBER(Issues!$C438),INT(MOD(Issues!$C438,10000)/100),IFERROR(VALUE(TRIM(LEFT(MID(Issues!$C438,FIND("/",Issues!$C438)+1,20),FIND("/",MID(Issues!$C438,FIND("/",Issues!$C438)+1,20))-1))),"")))</f>
        <v/>
      </c>
      <c r="D435">
        <f>IF(OR($A435="",$B435=""),"",IF(ISNUMBER(Issues!$C438),MOD(Issues!$C438,100),IFERROR(VALUE(TRIM(MID(MID(Issues!$C438,FIND("/",Issues!$C438)+1,20),FIND("/",MID(Issues!$C438,FIND("/",Issues!$C438)+1,20))+1,20))),"")))</f>
        <v/>
      </c>
      <c r="E435">
        <f>IF($A435="","",IF(OR($B435="",$C435="",$D435="",$B435&lt;1300,$B435&gt;1500,$C435&lt;1,$C435&gt;12,$D435&lt;1,$D435&gt;31),"نامعتبر",RIGHT("0000"&amp;$B435,4)&amp;"/"&amp;RIGHT("00"&amp;$C435,2)&amp;"/"&amp;RIGHT("00"&amp;$D435,2)))</f>
        <v/>
      </c>
      <c r="F435">
        <f>IF($A435="","",IF(Issues!$D438="",0,Issues!$D438))</f>
        <v/>
      </c>
      <c r="G435">
        <f>IF($A435="","",Issues!$E438)</f>
        <v/>
      </c>
      <c r="H435">
        <f>IF($A435="","",IF(COUNTIFS(ETxnType,"پاس چک",ETxnChk,$A435)&gt;0,"پاس شده","پاس نشده"))</f>
        <v/>
      </c>
      <c r="I435">
        <f>IF($A435="","",IFERROR(INDEX(BClrDate,MATCH($A435,BClrChk,0)),""))</f>
        <v/>
      </c>
      <c r="J435">
        <f>IF($A435="","",Issues!$G438)</f>
        <v/>
      </c>
      <c r="K435">
        <f>IF(OR($E435="",$E435="نامعتبر"),"",LEFT($E435,4)&amp;MID($E435,6,2)&amp;RIGHT($E435,2)&amp;"|"&amp;RIGHT("00000"&amp;430,5))</f>
        <v/>
      </c>
      <c r="M435">
        <f>IF(Sync!$M435&lt;&gt;"پاس چک","",IF(Sync!$P435="","",Sync!$P435))</f>
        <v/>
      </c>
      <c r="N435">
        <f>IF($M435="","",IF(ISNUMBER(Sync!$L435),IF(AND(Sync!$L435&gt;=10000101,Sync!$L435&lt;=99991231),RIGHT("0000"&amp;INT(Sync!$L435/10000),4)&amp;"/"&amp;RIGHT("00"&amp;INT(MOD(Sync!$L435,10000)/100),2)&amp;"/"&amp;RIGHT("00"&amp;MOD(Sync!$L435,100),2),""),IFERROR(RIGHT("0000"&amp;VALUE(TRIM(LEFT(Sync!$L435,FIND("/",Sync!$L435)-1))),4)&amp;"/"&amp;RIGHT("00"&amp;VALUE(TRIM(LEFT(MID(Sync!$L435,FIND("/",Sync!$L435)+1,20),FIND("/",MID(Sync!$L435,FIND("/",Sync!$L435)+1,20))-1))),2)&amp;"/"&amp;RIGHT("00"&amp;VALUE(TRIM(MID(MID(Sync!$L435,FIND("/",Sync!$L435)+1,20),FIND("/",MID(Sync!$L435,FIND("/",Sync!$L435)+1,20))+1,20))),2),"")))</f>
        <v/>
      </c>
    </row>
    <row r="436">
      <c r="A436">
        <f>IF(Issues!$B439="","",Issues!$B439)</f>
        <v/>
      </c>
      <c r="B436">
        <f>IF($A436="","",IF(ISNUMBER(Issues!$C439),IF(AND(Issues!$C439&gt;=10000101,Issues!$C439&lt;=99991231),INT(Issues!$C439/10000),""),IFERROR(VALUE(TRIM(LEFT(Issues!$C439,FIND("/",Issues!$C439)-1))),"")))</f>
        <v/>
      </c>
      <c r="C436">
        <f>IF(OR($A436="",$B436=""),"",IF(ISNUMBER(Issues!$C439),INT(MOD(Issues!$C439,10000)/100),IFERROR(VALUE(TRIM(LEFT(MID(Issues!$C439,FIND("/",Issues!$C439)+1,20),FIND("/",MID(Issues!$C439,FIND("/",Issues!$C439)+1,20))-1))),"")))</f>
        <v/>
      </c>
      <c r="D436">
        <f>IF(OR($A436="",$B436=""),"",IF(ISNUMBER(Issues!$C439),MOD(Issues!$C439,100),IFERROR(VALUE(TRIM(MID(MID(Issues!$C439,FIND("/",Issues!$C439)+1,20),FIND("/",MID(Issues!$C439,FIND("/",Issues!$C439)+1,20))+1,20))),"")))</f>
        <v/>
      </c>
      <c r="E436">
        <f>IF($A436="","",IF(OR($B436="",$C436="",$D436="",$B436&lt;1300,$B436&gt;1500,$C436&lt;1,$C436&gt;12,$D436&lt;1,$D436&gt;31),"نامعتبر",RIGHT("0000"&amp;$B436,4)&amp;"/"&amp;RIGHT("00"&amp;$C436,2)&amp;"/"&amp;RIGHT("00"&amp;$D436,2)))</f>
        <v/>
      </c>
      <c r="F436">
        <f>IF($A436="","",IF(Issues!$D439="",0,Issues!$D439))</f>
        <v/>
      </c>
      <c r="G436">
        <f>IF($A436="","",Issues!$E439)</f>
        <v/>
      </c>
      <c r="H436">
        <f>IF($A436="","",IF(COUNTIFS(ETxnType,"پاس چک",ETxnChk,$A436)&gt;0,"پاس شده","پاس نشده"))</f>
        <v/>
      </c>
      <c r="I436">
        <f>IF($A436="","",IFERROR(INDEX(BClrDate,MATCH($A436,BClrChk,0)),""))</f>
        <v/>
      </c>
      <c r="J436">
        <f>IF($A436="","",Issues!$G439)</f>
        <v/>
      </c>
      <c r="K436">
        <f>IF(OR($E436="",$E436="نامعتبر"),"",LEFT($E436,4)&amp;MID($E436,6,2)&amp;RIGHT($E436,2)&amp;"|"&amp;RIGHT("00000"&amp;431,5))</f>
        <v/>
      </c>
      <c r="M436">
        <f>IF(Sync!$M436&lt;&gt;"پاس چک","",IF(Sync!$P436="","",Sync!$P436))</f>
        <v/>
      </c>
      <c r="N436">
        <f>IF($M436="","",IF(ISNUMBER(Sync!$L436),IF(AND(Sync!$L436&gt;=10000101,Sync!$L436&lt;=99991231),RIGHT("0000"&amp;INT(Sync!$L436/10000),4)&amp;"/"&amp;RIGHT("00"&amp;INT(MOD(Sync!$L436,10000)/100),2)&amp;"/"&amp;RIGHT("00"&amp;MOD(Sync!$L436,100),2),""),IFERROR(RIGHT("0000"&amp;VALUE(TRIM(LEFT(Sync!$L436,FIND("/",Sync!$L436)-1))),4)&amp;"/"&amp;RIGHT("00"&amp;VALUE(TRIM(LEFT(MID(Sync!$L436,FIND("/",Sync!$L436)+1,20),FIND("/",MID(Sync!$L436,FIND("/",Sync!$L436)+1,20))-1))),2)&amp;"/"&amp;RIGHT("00"&amp;VALUE(TRIM(MID(MID(Sync!$L436,FIND("/",Sync!$L436)+1,20),FIND("/",MID(Sync!$L436,FIND("/",Sync!$L436)+1,20))+1,20))),2),"")))</f>
        <v/>
      </c>
    </row>
    <row r="437">
      <c r="A437">
        <f>IF(Issues!$B440="","",Issues!$B440)</f>
        <v/>
      </c>
      <c r="B437">
        <f>IF($A437="","",IF(ISNUMBER(Issues!$C440),IF(AND(Issues!$C440&gt;=10000101,Issues!$C440&lt;=99991231),INT(Issues!$C440/10000),""),IFERROR(VALUE(TRIM(LEFT(Issues!$C440,FIND("/",Issues!$C440)-1))),"")))</f>
        <v/>
      </c>
      <c r="C437">
        <f>IF(OR($A437="",$B437=""),"",IF(ISNUMBER(Issues!$C440),INT(MOD(Issues!$C440,10000)/100),IFERROR(VALUE(TRIM(LEFT(MID(Issues!$C440,FIND("/",Issues!$C440)+1,20),FIND("/",MID(Issues!$C440,FIND("/",Issues!$C440)+1,20))-1))),"")))</f>
        <v/>
      </c>
      <c r="D437">
        <f>IF(OR($A437="",$B437=""),"",IF(ISNUMBER(Issues!$C440),MOD(Issues!$C440,100),IFERROR(VALUE(TRIM(MID(MID(Issues!$C440,FIND("/",Issues!$C440)+1,20),FIND("/",MID(Issues!$C440,FIND("/",Issues!$C440)+1,20))+1,20))),"")))</f>
        <v/>
      </c>
      <c r="E437">
        <f>IF($A437="","",IF(OR($B437="",$C437="",$D437="",$B437&lt;1300,$B437&gt;1500,$C437&lt;1,$C437&gt;12,$D437&lt;1,$D437&gt;31),"نامعتبر",RIGHT("0000"&amp;$B437,4)&amp;"/"&amp;RIGHT("00"&amp;$C437,2)&amp;"/"&amp;RIGHT("00"&amp;$D437,2)))</f>
        <v/>
      </c>
      <c r="F437">
        <f>IF($A437="","",IF(Issues!$D440="",0,Issues!$D440))</f>
        <v/>
      </c>
      <c r="G437">
        <f>IF($A437="","",Issues!$E440)</f>
        <v/>
      </c>
      <c r="H437">
        <f>IF($A437="","",IF(COUNTIFS(ETxnType,"پاس چک",ETxnChk,$A437)&gt;0,"پاس شده","پاس نشده"))</f>
        <v/>
      </c>
      <c r="I437">
        <f>IF($A437="","",IFERROR(INDEX(BClrDate,MATCH($A437,BClrChk,0)),""))</f>
        <v/>
      </c>
      <c r="J437">
        <f>IF($A437="","",Issues!$G440)</f>
        <v/>
      </c>
      <c r="K437">
        <f>IF(OR($E437="",$E437="نامعتبر"),"",LEFT($E437,4)&amp;MID($E437,6,2)&amp;RIGHT($E437,2)&amp;"|"&amp;RIGHT("00000"&amp;432,5))</f>
        <v/>
      </c>
      <c r="M437">
        <f>IF(Sync!$M437&lt;&gt;"پاس چک","",IF(Sync!$P437="","",Sync!$P437))</f>
        <v/>
      </c>
      <c r="N437">
        <f>IF($M437="","",IF(ISNUMBER(Sync!$L437),IF(AND(Sync!$L437&gt;=10000101,Sync!$L437&lt;=99991231),RIGHT("0000"&amp;INT(Sync!$L437/10000),4)&amp;"/"&amp;RIGHT("00"&amp;INT(MOD(Sync!$L437,10000)/100),2)&amp;"/"&amp;RIGHT("00"&amp;MOD(Sync!$L437,100),2),""),IFERROR(RIGHT("0000"&amp;VALUE(TRIM(LEFT(Sync!$L437,FIND("/",Sync!$L437)-1))),4)&amp;"/"&amp;RIGHT("00"&amp;VALUE(TRIM(LEFT(MID(Sync!$L437,FIND("/",Sync!$L437)+1,20),FIND("/",MID(Sync!$L437,FIND("/",Sync!$L437)+1,20))-1))),2)&amp;"/"&amp;RIGHT("00"&amp;VALUE(TRIM(MID(MID(Sync!$L437,FIND("/",Sync!$L437)+1,20),FIND("/",MID(Sync!$L437,FIND("/",Sync!$L437)+1,20))+1,20))),2),"")))</f>
        <v/>
      </c>
    </row>
    <row r="438">
      <c r="A438">
        <f>IF(Issues!$B441="","",Issues!$B441)</f>
        <v/>
      </c>
      <c r="B438">
        <f>IF($A438="","",IF(ISNUMBER(Issues!$C441),IF(AND(Issues!$C441&gt;=10000101,Issues!$C441&lt;=99991231),INT(Issues!$C441/10000),""),IFERROR(VALUE(TRIM(LEFT(Issues!$C441,FIND("/",Issues!$C441)-1))),"")))</f>
        <v/>
      </c>
      <c r="C438">
        <f>IF(OR($A438="",$B438=""),"",IF(ISNUMBER(Issues!$C441),INT(MOD(Issues!$C441,10000)/100),IFERROR(VALUE(TRIM(LEFT(MID(Issues!$C441,FIND("/",Issues!$C441)+1,20),FIND("/",MID(Issues!$C441,FIND("/",Issues!$C441)+1,20))-1))),"")))</f>
        <v/>
      </c>
      <c r="D438">
        <f>IF(OR($A438="",$B438=""),"",IF(ISNUMBER(Issues!$C441),MOD(Issues!$C441,100),IFERROR(VALUE(TRIM(MID(MID(Issues!$C441,FIND("/",Issues!$C441)+1,20),FIND("/",MID(Issues!$C441,FIND("/",Issues!$C441)+1,20))+1,20))),"")))</f>
        <v/>
      </c>
      <c r="E438">
        <f>IF($A438="","",IF(OR($B438="",$C438="",$D438="",$B438&lt;1300,$B438&gt;1500,$C438&lt;1,$C438&gt;12,$D438&lt;1,$D438&gt;31),"نامعتبر",RIGHT("0000"&amp;$B438,4)&amp;"/"&amp;RIGHT("00"&amp;$C438,2)&amp;"/"&amp;RIGHT("00"&amp;$D438,2)))</f>
        <v/>
      </c>
      <c r="F438">
        <f>IF($A438="","",IF(Issues!$D441="",0,Issues!$D441))</f>
        <v/>
      </c>
      <c r="G438">
        <f>IF($A438="","",Issues!$E441)</f>
        <v/>
      </c>
      <c r="H438">
        <f>IF($A438="","",IF(COUNTIFS(ETxnType,"پاس چک",ETxnChk,$A438)&gt;0,"پاس شده","پاس نشده"))</f>
        <v/>
      </c>
      <c r="I438">
        <f>IF($A438="","",IFERROR(INDEX(BClrDate,MATCH($A438,BClrChk,0)),""))</f>
        <v/>
      </c>
      <c r="J438">
        <f>IF($A438="","",Issues!$G441)</f>
        <v/>
      </c>
      <c r="K438">
        <f>IF(OR($E438="",$E438="نامعتبر"),"",LEFT($E438,4)&amp;MID($E438,6,2)&amp;RIGHT($E438,2)&amp;"|"&amp;RIGHT("00000"&amp;433,5))</f>
        <v/>
      </c>
      <c r="M438">
        <f>IF(Sync!$M438&lt;&gt;"پاس چک","",IF(Sync!$P438="","",Sync!$P438))</f>
        <v/>
      </c>
      <c r="N438">
        <f>IF($M438="","",IF(ISNUMBER(Sync!$L438),IF(AND(Sync!$L438&gt;=10000101,Sync!$L438&lt;=99991231),RIGHT("0000"&amp;INT(Sync!$L438/10000),4)&amp;"/"&amp;RIGHT("00"&amp;INT(MOD(Sync!$L438,10000)/100),2)&amp;"/"&amp;RIGHT("00"&amp;MOD(Sync!$L438,100),2),""),IFERROR(RIGHT("0000"&amp;VALUE(TRIM(LEFT(Sync!$L438,FIND("/",Sync!$L438)-1))),4)&amp;"/"&amp;RIGHT("00"&amp;VALUE(TRIM(LEFT(MID(Sync!$L438,FIND("/",Sync!$L438)+1,20),FIND("/",MID(Sync!$L438,FIND("/",Sync!$L438)+1,20))-1))),2)&amp;"/"&amp;RIGHT("00"&amp;VALUE(TRIM(MID(MID(Sync!$L438,FIND("/",Sync!$L438)+1,20),FIND("/",MID(Sync!$L438,FIND("/",Sync!$L438)+1,20))+1,20))),2),"")))</f>
        <v/>
      </c>
    </row>
    <row r="439">
      <c r="A439">
        <f>IF(Issues!$B442="","",Issues!$B442)</f>
        <v/>
      </c>
      <c r="B439">
        <f>IF($A439="","",IF(ISNUMBER(Issues!$C442),IF(AND(Issues!$C442&gt;=10000101,Issues!$C442&lt;=99991231),INT(Issues!$C442/10000),""),IFERROR(VALUE(TRIM(LEFT(Issues!$C442,FIND("/",Issues!$C442)-1))),"")))</f>
        <v/>
      </c>
      <c r="C439">
        <f>IF(OR($A439="",$B439=""),"",IF(ISNUMBER(Issues!$C442),INT(MOD(Issues!$C442,10000)/100),IFERROR(VALUE(TRIM(LEFT(MID(Issues!$C442,FIND("/",Issues!$C442)+1,20),FIND("/",MID(Issues!$C442,FIND("/",Issues!$C442)+1,20))-1))),"")))</f>
        <v/>
      </c>
      <c r="D439">
        <f>IF(OR($A439="",$B439=""),"",IF(ISNUMBER(Issues!$C442),MOD(Issues!$C442,100),IFERROR(VALUE(TRIM(MID(MID(Issues!$C442,FIND("/",Issues!$C442)+1,20),FIND("/",MID(Issues!$C442,FIND("/",Issues!$C442)+1,20))+1,20))),"")))</f>
        <v/>
      </c>
      <c r="E439">
        <f>IF($A439="","",IF(OR($B439="",$C439="",$D439="",$B439&lt;1300,$B439&gt;1500,$C439&lt;1,$C439&gt;12,$D439&lt;1,$D439&gt;31),"نامعتبر",RIGHT("0000"&amp;$B439,4)&amp;"/"&amp;RIGHT("00"&amp;$C439,2)&amp;"/"&amp;RIGHT("00"&amp;$D439,2)))</f>
        <v/>
      </c>
      <c r="F439">
        <f>IF($A439="","",IF(Issues!$D442="",0,Issues!$D442))</f>
        <v/>
      </c>
      <c r="G439">
        <f>IF($A439="","",Issues!$E442)</f>
        <v/>
      </c>
      <c r="H439">
        <f>IF($A439="","",IF(COUNTIFS(ETxnType,"پاس چک",ETxnChk,$A439)&gt;0,"پاس شده","پاس نشده"))</f>
        <v/>
      </c>
      <c r="I439">
        <f>IF($A439="","",IFERROR(INDEX(BClrDate,MATCH($A439,BClrChk,0)),""))</f>
        <v/>
      </c>
      <c r="J439">
        <f>IF($A439="","",Issues!$G442)</f>
        <v/>
      </c>
      <c r="K439">
        <f>IF(OR($E439="",$E439="نامعتبر"),"",LEFT($E439,4)&amp;MID($E439,6,2)&amp;RIGHT($E439,2)&amp;"|"&amp;RIGHT("00000"&amp;434,5))</f>
        <v/>
      </c>
      <c r="M439">
        <f>IF(Sync!$M439&lt;&gt;"پاس چک","",IF(Sync!$P439="","",Sync!$P439))</f>
        <v/>
      </c>
      <c r="N439">
        <f>IF($M439="","",IF(ISNUMBER(Sync!$L439),IF(AND(Sync!$L439&gt;=10000101,Sync!$L439&lt;=99991231),RIGHT("0000"&amp;INT(Sync!$L439/10000),4)&amp;"/"&amp;RIGHT("00"&amp;INT(MOD(Sync!$L439,10000)/100),2)&amp;"/"&amp;RIGHT("00"&amp;MOD(Sync!$L439,100),2),""),IFERROR(RIGHT("0000"&amp;VALUE(TRIM(LEFT(Sync!$L439,FIND("/",Sync!$L439)-1))),4)&amp;"/"&amp;RIGHT("00"&amp;VALUE(TRIM(LEFT(MID(Sync!$L439,FIND("/",Sync!$L439)+1,20),FIND("/",MID(Sync!$L439,FIND("/",Sync!$L439)+1,20))-1))),2)&amp;"/"&amp;RIGHT("00"&amp;VALUE(TRIM(MID(MID(Sync!$L439,FIND("/",Sync!$L439)+1,20),FIND("/",MID(Sync!$L439,FIND("/",Sync!$L439)+1,20))+1,20))),2),"")))</f>
        <v/>
      </c>
    </row>
    <row r="440">
      <c r="A440">
        <f>IF(Issues!$B443="","",Issues!$B443)</f>
        <v/>
      </c>
      <c r="B440">
        <f>IF($A440="","",IF(ISNUMBER(Issues!$C443),IF(AND(Issues!$C443&gt;=10000101,Issues!$C443&lt;=99991231),INT(Issues!$C443/10000),""),IFERROR(VALUE(TRIM(LEFT(Issues!$C443,FIND("/",Issues!$C443)-1))),"")))</f>
        <v/>
      </c>
      <c r="C440">
        <f>IF(OR($A440="",$B440=""),"",IF(ISNUMBER(Issues!$C443),INT(MOD(Issues!$C443,10000)/100),IFERROR(VALUE(TRIM(LEFT(MID(Issues!$C443,FIND("/",Issues!$C443)+1,20),FIND("/",MID(Issues!$C443,FIND("/",Issues!$C443)+1,20))-1))),"")))</f>
        <v/>
      </c>
      <c r="D440">
        <f>IF(OR($A440="",$B440=""),"",IF(ISNUMBER(Issues!$C443),MOD(Issues!$C443,100),IFERROR(VALUE(TRIM(MID(MID(Issues!$C443,FIND("/",Issues!$C443)+1,20),FIND("/",MID(Issues!$C443,FIND("/",Issues!$C443)+1,20))+1,20))),"")))</f>
        <v/>
      </c>
      <c r="E440">
        <f>IF($A440="","",IF(OR($B440="",$C440="",$D440="",$B440&lt;1300,$B440&gt;1500,$C440&lt;1,$C440&gt;12,$D440&lt;1,$D440&gt;31),"نامعتبر",RIGHT("0000"&amp;$B440,4)&amp;"/"&amp;RIGHT("00"&amp;$C440,2)&amp;"/"&amp;RIGHT("00"&amp;$D440,2)))</f>
        <v/>
      </c>
      <c r="F440">
        <f>IF($A440="","",IF(Issues!$D443="",0,Issues!$D443))</f>
        <v/>
      </c>
      <c r="G440">
        <f>IF($A440="","",Issues!$E443)</f>
        <v/>
      </c>
      <c r="H440">
        <f>IF($A440="","",IF(COUNTIFS(ETxnType,"پاس چک",ETxnChk,$A440)&gt;0,"پاس شده","پاس نشده"))</f>
        <v/>
      </c>
      <c r="I440">
        <f>IF($A440="","",IFERROR(INDEX(BClrDate,MATCH($A440,BClrChk,0)),""))</f>
        <v/>
      </c>
      <c r="J440">
        <f>IF($A440="","",Issues!$G443)</f>
        <v/>
      </c>
      <c r="K440">
        <f>IF(OR($E440="",$E440="نامعتبر"),"",LEFT($E440,4)&amp;MID($E440,6,2)&amp;RIGHT($E440,2)&amp;"|"&amp;RIGHT("00000"&amp;435,5))</f>
        <v/>
      </c>
      <c r="M440">
        <f>IF(Sync!$M440&lt;&gt;"پاس چک","",IF(Sync!$P440="","",Sync!$P440))</f>
        <v/>
      </c>
      <c r="N440">
        <f>IF($M440="","",IF(ISNUMBER(Sync!$L440),IF(AND(Sync!$L440&gt;=10000101,Sync!$L440&lt;=99991231),RIGHT("0000"&amp;INT(Sync!$L440/10000),4)&amp;"/"&amp;RIGHT("00"&amp;INT(MOD(Sync!$L440,10000)/100),2)&amp;"/"&amp;RIGHT("00"&amp;MOD(Sync!$L440,100),2),""),IFERROR(RIGHT("0000"&amp;VALUE(TRIM(LEFT(Sync!$L440,FIND("/",Sync!$L440)-1))),4)&amp;"/"&amp;RIGHT("00"&amp;VALUE(TRIM(LEFT(MID(Sync!$L440,FIND("/",Sync!$L440)+1,20),FIND("/",MID(Sync!$L440,FIND("/",Sync!$L440)+1,20))-1))),2)&amp;"/"&amp;RIGHT("00"&amp;VALUE(TRIM(MID(MID(Sync!$L440,FIND("/",Sync!$L440)+1,20),FIND("/",MID(Sync!$L440,FIND("/",Sync!$L440)+1,20))+1,20))),2),"")))</f>
        <v/>
      </c>
    </row>
    <row r="441">
      <c r="A441">
        <f>IF(Issues!$B444="","",Issues!$B444)</f>
        <v/>
      </c>
      <c r="B441">
        <f>IF($A441="","",IF(ISNUMBER(Issues!$C444),IF(AND(Issues!$C444&gt;=10000101,Issues!$C444&lt;=99991231),INT(Issues!$C444/10000),""),IFERROR(VALUE(TRIM(LEFT(Issues!$C444,FIND("/",Issues!$C444)-1))),"")))</f>
        <v/>
      </c>
      <c r="C441">
        <f>IF(OR($A441="",$B441=""),"",IF(ISNUMBER(Issues!$C444),INT(MOD(Issues!$C444,10000)/100),IFERROR(VALUE(TRIM(LEFT(MID(Issues!$C444,FIND("/",Issues!$C444)+1,20),FIND("/",MID(Issues!$C444,FIND("/",Issues!$C444)+1,20))-1))),"")))</f>
        <v/>
      </c>
      <c r="D441">
        <f>IF(OR($A441="",$B441=""),"",IF(ISNUMBER(Issues!$C444),MOD(Issues!$C444,100),IFERROR(VALUE(TRIM(MID(MID(Issues!$C444,FIND("/",Issues!$C444)+1,20),FIND("/",MID(Issues!$C444,FIND("/",Issues!$C444)+1,20))+1,20))),"")))</f>
        <v/>
      </c>
      <c r="E441">
        <f>IF($A441="","",IF(OR($B441="",$C441="",$D441="",$B441&lt;1300,$B441&gt;1500,$C441&lt;1,$C441&gt;12,$D441&lt;1,$D441&gt;31),"نامعتبر",RIGHT("0000"&amp;$B441,4)&amp;"/"&amp;RIGHT("00"&amp;$C441,2)&amp;"/"&amp;RIGHT("00"&amp;$D441,2)))</f>
        <v/>
      </c>
      <c r="F441">
        <f>IF($A441="","",IF(Issues!$D444="",0,Issues!$D444))</f>
        <v/>
      </c>
      <c r="G441">
        <f>IF($A441="","",Issues!$E444)</f>
        <v/>
      </c>
      <c r="H441">
        <f>IF($A441="","",IF(COUNTIFS(ETxnType,"پاس چک",ETxnChk,$A441)&gt;0,"پاس شده","پاس نشده"))</f>
        <v/>
      </c>
      <c r="I441">
        <f>IF($A441="","",IFERROR(INDEX(BClrDate,MATCH($A441,BClrChk,0)),""))</f>
        <v/>
      </c>
      <c r="J441">
        <f>IF($A441="","",Issues!$G444)</f>
        <v/>
      </c>
      <c r="K441">
        <f>IF(OR($E441="",$E441="نامعتبر"),"",LEFT($E441,4)&amp;MID($E441,6,2)&amp;RIGHT($E441,2)&amp;"|"&amp;RIGHT("00000"&amp;436,5))</f>
        <v/>
      </c>
      <c r="M441">
        <f>IF(Sync!$M441&lt;&gt;"پاس چک","",IF(Sync!$P441="","",Sync!$P441))</f>
        <v/>
      </c>
      <c r="N441">
        <f>IF($M441="","",IF(ISNUMBER(Sync!$L441),IF(AND(Sync!$L441&gt;=10000101,Sync!$L441&lt;=99991231),RIGHT("0000"&amp;INT(Sync!$L441/10000),4)&amp;"/"&amp;RIGHT("00"&amp;INT(MOD(Sync!$L441,10000)/100),2)&amp;"/"&amp;RIGHT("00"&amp;MOD(Sync!$L441,100),2),""),IFERROR(RIGHT("0000"&amp;VALUE(TRIM(LEFT(Sync!$L441,FIND("/",Sync!$L441)-1))),4)&amp;"/"&amp;RIGHT("00"&amp;VALUE(TRIM(LEFT(MID(Sync!$L441,FIND("/",Sync!$L441)+1,20),FIND("/",MID(Sync!$L441,FIND("/",Sync!$L441)+1,20))-1))),2)&amp;"/"&amp;RIGHT("00"&amp;VALUE(TRIM(MID(MID(Sync!$L441,FIND("/",Sync!$L441)+1,20),FIND("/",MID(Sync!$L441,FIND("/",Sync!$L441)+1,20))+1,20))),2),"")))</f>
        <v/>
      </c>
    </row>
    <row r="442">
      <c r="A442">
        <f>IF(Issues!$B445="","",Issues!$B445)</f>
        <v/>
      </c>
      <c r="B442">
        <f>IF($A442="","",IF(ISNUMBER(Issues!$C445),IF(AND(Issues!$C445&gt;=10000101,Issues!$C445&lt;=99991231),INT(Issues!$C445/10000),""),IFERROR(VALUE(TRIM(LEFT(Issues!$C445,FIND("/",Issues!$C445)-1))),"")))</f>
        <v/>
      </c>
      <c r="C442">
        <f>IF(OR($A442="",$B442=""),"",IF(ISNUMBER(Issues!$C445),INT(MOD(Issues!$C445,10000)/100),IFERROR(VALUE(TRIM(LEFT(MID(Issues!$C445,FIND("/",Issues!$C445)+1,20),FIND("/",MID(Issues!$C445,FIND("/",Issues!$C445)+1,20))-1))),"")))</f>
        <v/>
      </c>
      <c r="D442">
        <f>IF(OR($A442="",$B442=""),"",IF(ISNUMBER(Issues!$C445),MOD(Issues!$C445,100),IFERROR(VALUE(TRIM(MID(MID(Issues!$C445,FIND("/",Issues!$C445)+1,20),FIND("/",MID(Issues!$C445,FIND("/",Issues!$C445)+1,20))+1,20))),"")))</f>
        <v/>
      </c>
      <c r="E442">
        <f>IF($A442="","",IF(OR($B442="",$C442="",$D442="",$B442&lt;1300,$B442&gt;1500,$C442&lt;1,$C442&gt;12,$D442&lt;1,$D442&gt;31),"نامعتبر",RIGHT("0000"&amp;$B442,4)&amp;"/"&amp;RIGHT("00"&amp;$C442,2)&amp;"/"&amp;RIGHT("00"&amp;$D442,2)))</f>
        <v/>
      </c>
      <c r="F442">
        <f>IF($A442="","",IF(Issues!$D445="",0,Issues!$D445))</f>
        <v/>
      </c>
      <c r="G442">
        <f>IF($A442="","",Issues!$E445)</f>
        <v/>
      </c>
      <c r="H442">
        <f>IF($A442="","",IF(COUNTIFS(ETxnType,"پاس چک",ETxnChk,$A442)&gt;0,"پاس شده","پاس نشده"))</f>
        <v/>
      </c>
      <c r="I442">
        <f>IF($A442="","",IFERROR(INDEX(BClrDate,MATCH($A442,BClrChk,0)),""))</f>
        <v/>
      </c>
      <c r="J442">
        <f>IF($A442="","",Issues!$G445)</f>
        <v/>
      </c>
      <c r="K442">
        <f>IF(OR($E442="",$E442="نامعتبر"),"",LEFT($E442,4)&amp;MID($E442,6,2)&amp;RIGHT($E442,2)&amp;"|"&amp;RIGHT("00000"&amp;437,5))</f>
        <v/>
      </c>
      <c r="M442">
        <f>IF(Sync!$M442&lt;&gt;"پاس چک","",IF(Sync!$P442="","",Sync!$P442))</f>
        <v/>
      </c>
      <c r="N442">
        <f>IF($M442="","",IF(ISNUMBER(Sync!$L442),IF(AND(Sync!$L442&gt;=10000101,Sync!$L442&lt;=99991231),RIGHT("0000"&amp;INT(Sync!$L442/10000),4)&amp;"/"&amp;RIGHT("00"&amp;INT(MOD(Sync!$L442,10000)/100),2)&amp;"/"&amp;RIGHT("00"&amp;MOD(Sync!$L442,100),2),""),IFERROR(RIGHT("0000"&amp;VALUE(TRIM(LEFT(Sync!$L442,FIND("/",Sync!$L442)-1))),4)&amp;"/"&amp;RIGHT("00"&amp;VALUE(TRIM(LEFT(MID(Sync!$L442,FIND("/",Sync!$L442)+1,20),FIND("/",MID(Sync!$L442,FIND("/",Sync!$L442)+1,20))-1))),2)&amp;"/"&amp;RIGHT("00"&amp;VALUE(TRIM(MID(MID(Sync!$L442,FIND("/",Sync!$L442)+1,20),FIND("/",MID(Sync!$L442,FIND("/",Sync!$L442)+1,20))+1,20))),2),"")))</f>
        <v/>
      </c>
    </row>
    <row r="443">
      <c r="A443">
        <f>IF(Issues!$B446="","",Issues!$B446)</f>
        <v/>
      </c>
      <c r="B443">
        <f>IF($A443="","",IF(ISNUMBER(Issues!$C446),IF(AND(Issues!$C446&gt;=10000101,Issues!$C446&lt;=99991231),INT(Issues!$C446/10000),""),IFERROR(VALUE(TRIM(LEFT(Issues!$C446,FIND("/",Issues!$C446)-1))),"")))</f>
        <v/>
      </c>
      <c r="C443">
        <f>IF(OR($A443="",$B443=""),"",IF(ISNUMBER(Issues!$C446),INT(MOD(Issues!$C446,10000)/100),IFERROR(VALUE(TRIM(LEFT(MID(Issues!$C446,FIND("/",Issues!$C446)+1,20),FIND("/",MID(Issues!$C446,FIND("/",Issues!$C446)+1,20))-1))),"")))</f>
        <v/>
      </c>
      <c r="D443">
        <f>IF(OR($A443="",$B443=""),"",IF(ISNUMBER(Issues!$C446),MOD(Issues!$C446,100),IFERROR(VALUE(TRIM(MID(MID(Issues!$C446,FIND("/",Issues!$C446)+1,20),FIND("/",MID(Issues!$C446,FIND("/",Issues!$C446)+1,20))+1,20))),"")))</f>
        <v/>
      </c>
      <c r="E443">
        <f>IF($A443="","",IF(OR($B443="",$C443="",$D443="",$B443&lt;1300,$B443&gt;1500,$C443&lt;1,$C443&gt;12,$D443&lt;1,$D443&gt;31),"نامعتبر",RIGHT("0000"&amp;$B443,4)&amp;"/"&amp;RIGHT("00"&amp;$C443,2)&amp;"/"&amp;RIGHT("00"&amp;$D443,2)))</f>
        <v/>
      </c>
      <c r="F443">
        <f>IF($A443="","",IF(Issues!$D446="",0,Issues!$D446))</f>
        <v/>
      </c>
      <c r="G443">
        <f>IF($A443="","",Issues!$E446)</f>
        <v/>
      </c>
      <c r="H443">
        <f>IF($A443="","",IF(COUNTIFS(ETxnType,"پاس چک",ETxnChk,$A443)&gt;0,"پاس شده","پاس نشده"))</f>
        <v/>
      </c>
      <c r="I443">
        <f>IF($A443="","",IFERROR(INDEX(BClrDate,MATCH($A443,BClrChk,0)),""))</f>
        <v/>
      </c>
      <c r="J443">
        <f>IF($A443="","",Issues!$G446)</f>
        <v/>
      </c>
      <c r="K443">
        <f>IF(OR($E443="",$E443="نامعتبر"),"",LEFT($E443,4)&amp;MID($E443,6,2)&amp;RIGHT($E443,2)&amp;"|"&amp;RIGHT("00000"&amp;438,5))</f>
        <v/>
      </c>
      <c r="M443">
        <f>IF(Sync!$M443&lt;&gt;"پاس چک","",IF(Sync!$P443="","",Sync!$P443))</f>
        <v/>
      </c>
      <c r="N443">
        <f>IF($M443="","",IF(ISNUMBER(Sync!$L443),IF(AND(Sync!$L443&gt;=10000101,Sync!$L443&lt;=99991231),RIGHT("0000"&amp;INT(Sync!$L443/10000),4)&amp;"/"&amp;RIGHT("00"&amp;INT(MOD(Sync!$L443,10000)/100),2)&amp;"/"&amp;RIGHT("00"&amp;MOD(Sync!$L443,100),2),""),IFERROR(RIGHT("0000"&amp;VALUE(TRIM(LEFT(Sync!$L443,FIND("/",Sync!$L443)-1))),4)&amp;"/"&amp;RIGHT("00"&amp;VALUE(TRIM(LEFT(MID(Sync!$L443,FIND("/",Sync!$L443)+1,20),FIND("/",MID(Sync!$L443,FIND("/",Sync!$L443)+1,20))-1))),2)&amp;"/"&amp;RIGHT("00"&amp;VALUE(TRIM(MID(MID(Sync!$L443,FIND("/",Sync!$L443)+1,20),FIND("/",MID(Sync!$L443,FIND("/",Sync!$L443)+1,20))+1,20))),2),"")))</f>
        <v/>
      </c>
    </row>
    <row r="444">
      <c r="A444">
        <f>IF(Issues!$B447="","",Issues!$B447)</f>
        <v/>
      </c>
      <c r="B444">
        <f>IF($A444="","",IF(ISNUMBER(Issues!$C447),IF(AND(Issues!$C447&gt;=10000101,Issues!$C447&lt;=99991231),INT(Issues!$C447/10000),""),IFERROR(VALUE(TRIM(LEFT(Issues!$C447,FIND("/",Issues!$C447)-1))),"")))</f>
        <v/>
      </c>
      <c r="C444">
        <f>IF(OR($A444="",$B444=""),"",IF(ISNUMBER(Issues!$C447),INT(MOD(Issues!$C447,10000)/100),IFERROR(VALUE(TRIM(LEFT(MID(Issues!$C447,FIND("/",Issues!$C447)+1,20),FIND("/",MID(Issues!$C447,FIND("/",Issues!$C447)+1,20))-1))),"")))</f>
        <v/>
      </c>
      <c r="D444">
        <f>IF(OR($A444="",$B444=""),"",IF(ISNUMBER(Issues!$C447),MOD(Issues!$C447,100),IFERROR(VALUE(TRIM(MID(MID(Issues!$C447,FIND("/",Issues!$C447)+1,20),FIND("/",MID(Issues!$C447,FIND("/",Issues!$C447)+1,20))+1,20))),"")))</f>
        <v/>
      </c>
      <c r="E444">
        <f>IF($A444="","",IF(OR($B444="",$C444="",$D444="",$B444&lt;1300,$B444&gt;1500,$C444&lt;1,$C444&gt;12,$D444&lt;1,$D444&gt;31),"نامعتبر",RIGHT("0000"&amp;$B444,4)&amp;"/"&amp;RIGHT("00"&amp;$C444,2)&amp;"/"&amp;RIGHT("00"&amp;$D444,2)))</f>
        <v/>
      </c>
      <c r="F444">
        <f>IF($A444="","",IF(Issues!$D447="",0,Issues!$D447))</f>
        <v/>
      </c>
      <c r="G444">
        <f>IF($A444="","",Issues!$E447)</f>
        <v/>
      </c>
      <c r="H444">
        <f>IF($A444="","",IF(COUNTIFS(ETxnType,"پاس چک",ETxnChk,$A444)&gt;0,"پاس شده","پاس نشده"))</f>
        <v/>
      </c>
      <c r="I444">
        <f>IF($A444="","",IFERROR(INDEX(BClrDate,MATCH($A444,BClrChk,0)),""))</f>
        <v/>
      </c>
      <c r="J444">
        <f>IF($A444="","",Issues!$G447)</f>
        <v/>
      </c>
      <c r="K444">
        <f>IF(OR($E444="",$E444="نامعتبر"),"",LEFT($E444,4)&amp;MID($E444,6,2)&amp;RIGHT($E444,2)&amp;"|"&amp;RIGHT("00000"&amp;439,5))</f>
        <v/>
      </c>
      <c r="M444">
        <f>IF(Sync!$M444&lt;&gt;"پاس چک","",IF(Sync!$P444="","",Sync!$P444))</f>
        <v/>
      </c>
      <c r="N444">
        <f>IF($M444="","",IF(ISNUMBER(Sync!$L444),IF(AND(Sync!$L444&gt;=10000101,Sync!$L444&lt;=99991231),RIGHT("0000"&amp;INT(Sync!$L444/10000),4)&amp;"/"&amp;RIGHT("00"&amp;INT(MOD(Sync!$L444,10000)/100),2)&amp;"/"&amp;RIGHT("00"&amp;MOD(Sync!$L444,100),2),""),IFERROR(RIGHT("0000"&amp;VALUE(TRIM(LEFT(Sync!$L444,FIND("/",Sync!$L444)-1))),4)&amp;"/"&amp;RIGHT("00"&amp;VALUE(TRIM(LEFT(MID(Sync!$L444,FIND("/",Sync!$L444)+1,20),FIND("/",MID(Sync!$L444,FIND("/",Sync!$L444)+1,20))-1))),2)&amp;"/"&amp;RIGHT("00"&amp;VALUE(TRIM(MID(MID(Sync!$L444,FIND("/",Sync!$L444)+1,20),FIND("/",MID(Sync!$L444,FIND("/",Sync!$L444)+1,20))+1,20))),2),"")))</f>
        <v/>
      </c>
    </row>
    <row r="445">
      <c r="A445">
        <f>IF(Issues!$B448="","",Issues!$B448)</f>
        <v/>
      </c>
      <c r="B445">
        <f>IF($A445="","",IF(ISNUMBER(Issues!$C448),IF(AND(Issues!$C448&gt;=10000101,Issues!$C448&lt;=99991231),INT(Issues!$C448/10000),""),IFERROR(VALUE(TRIM(LEFT(Issues!$C448,FIND("/",Issues!$C448)-1))),"")))</f>
        <v/>
      </c>
      <c r="C445">
        <f>IF(OR($A445="",$B445=""),"",IF(ISNUMBER(Issues!$C448),INT(MOD(Issues!$C448,10000)/100),IFERROR(VALUE(TRIM(LEFT(MID(Issues!$C448,FIND("/",Issues!$C448)+1,20),FIND("/",MID(Issues!$C448,FIND("/",Issues!$C448)+1,20))-1))),"")))</f>
        <v/>
      </c>
      <c r="D445">
        <f>IF(OR($A445="",$B445=""),"",IF(ISNUMBER(Issues!$C448),MOD(Issues!$C448,100),IFERROR(VALUE(TRIM(MID(MID(Issues!$C448,FIND("/",Issues!$C448)+1,20),FIND("/",MID(Issues!$C448,FIND("/",Issues!$C448)+1,20))+1,20))),"")))</f>
        <v/>
      </c>
      <c r="E445">
        <f>IF($A445="","",IF(OR($B445="",$C445="",$D445="",$B445&lt;1300,$B445&gt;1500,$C445&lt;1,$C445&gt;12,$D445&lt;1,$D445&gt;31),"نامعتبر",RIGHT("0000"&amp;$B445,4)&amp;"/"&amp;RIGHT("00"&amp;$C445,2)&amp;"/"&amp;RIGHT("00"&amp;$D445,2)))</f>
        <v/>
      </c>
      <c r="F445">
        <f>IF($A445="","",IF(Issues!$D448="",0,Issues!$D448))</f>
        <v/>
      </c>
      <c r="G445">
        <f>IF($A445="","",Issues!$E448)</f>
        <v/>
      </c>
      <c r="H445">
        <f>IF($A445="","",IF(COUNTIFS(ETxnType,"پاس چک",ETxnChk,$A445)&gt;0,"پاس شده","پاس نشده"))</f>
        <v/>
      </c>
      <c r="I445">
        <f>IF($A445="","",IFERROR(INDEX(BClrDate,MATCH($A445,BClrChk,0)),""))</f>
        <v/>
      </c>
      <c r="J445">
        <f>IF($A445="","",Issues!$G448)</f>
        <v/>
      </c>
      <c r="K445">
        <f>IF(OR($E445="",$E445="نامعتبر"),"",LEFT($E445,4)&amp;MID($E445,6,2)&amp;RIGHT($E445,2)&amp;"|"&amp;RIGHT("00000"&amp;440,5))</f>
        <v/>
      </c>
      <c r="M445">
        <f>IF(Sync!$M445&lt;&gt;"پاس چک","",IF(Sync!$P445="","",Sync!$P445))</f>
        <v/>
      </c>
      <c r="N445">
        <f>IF($M445="","",IF(ISNUMBER(Sync!$L445),IF(AND(Sync!$L445&gt;=10000101,Sync!$L445&lt;=99991231),RIGHT("0000"&amp;INT(Sync!$L445/10000),4)&amp;"/"&amp;RIGHT("00"&amp;INT(MOD(Sync!$L445,10000)/100),2)&amp;"/"&amp;RIGHT("00"&amp;MOD(Sync!$L445,100),2),""),IFERROR(RIGHT("0000"&amp;VALUE(TRIM(LEFT(Sync!$L445,FIND("/",Sync!$L445)-1))),4)&amp;"/"&amp;RIGHT("00"&amp;VALUE(TRIM(LEFT(MID(Sync!$L445,FIND("/",Sync!$L445)+1,20),FIND("/",MID(Sync!$L445,FIND("/",Sync!$L445)+1,20))-1))),2)&amp;"/"&amp;RIGHT("00"&amp;VALUE(TRIM(MID(MID(Sync!$L445,FIND("/",Sync!$L445)+1,20),FIND("/",MID(Sync!$L445,FIND("/",Sync!$L445)+1,20))+1,20))),2),"")))</f>
        <v/>
      </c>
    </row>
    <row r="446">
      <c r="A446">
        <f>IF(Issues!$B449="","",Issues!$B449)</f>
        <v/>
      </c>
      <c r="B446">
        <f>IF($A446="","",IF(ISNUMBER(Issues!$C449),IF(AND(Issues!$C449&gt;=10000101,Issues!$C449&lt;=99991231),INT(Issues!$C449/10000),""),IFERROR(VALUE(TRIM(LEFT(Issues!$C449,FIND("/",Issues!$C449)-1))),"")))</f>
        <v/>
      </c>
      <c r="C446">
        <f>IF(OR($A446="",$B446=""),"",IF(ISNUMBER(Issues!$C449),INT(MOD(Issues!$C449,10000)/100),IFERROR(VALUE(TRIM(LEFT(MID(Issues!$C449,FIND("/",Issues!$C449)+1,20),FIND("/",MID(Issues!$C449,FIND("/",Issues!$C449)+1,20))-1))),"")))</f>
        <v/>
      </c>
      <c r="D446">
        <f>IF(OR($A446="",$B446=""),"",IF(ISNUMBER(Issues!$C449),MOD(Issues!$C449,100),IFERROR(VALUE(TRIM(MID(MID(Issues!$C449,FIND("/",Issues!$C449)+1,20),FIND("/",MID(Issues!$C449,FIND("/",Issues!$C449)+1,20))+1,20))),"")))</f>
        <v/>
      </c>
      <c r="E446">
        <f>IF($A446="","",IF(OR($B446="",$C446="",$D446="",$B446&lt;1300,$B446&gt;1500,$C446&lt;1,$C446&gt;12,$D446&lt;1,$D446&gt;31),"نامعتبر",RIGHT("0000"&amp;$B446,4)&amp;"/"&amp;RIGHT("00"&amp;$C446,2)&amp;"/"&amp;RIGHT("00"&amp;$D446,2)))</f>
        <v/>
      </c>
      <c r="F446">
        <f>IF($A446="","",IF(Issues!$D449="",0,Issues!$D449))</f>
        <v/>
      </c>
      <c r="G446">
        <f>IF($A446="","",Issues!$E449)</f>
        <v/>
      </c>
      <c r="H446">
        <f>IF($A446="","",IF(COUNTIFS(ETxnType,"پاس چک",ETxnChk,$A446)&gt;0,"پاس شده","پاس نشده"))</f>
        <v/>
      </c>
      <c r="I446">
        <f>IF($A446="","",IFERROR(INDEX(BClrDate,MATCH($A446,BClrChk,0)),""))</f>
        <v/>
      </c>
      <c r="J446">
        <f>IF($A446="","",Issues!$G449)</f>
        <v/>
      </c>
      <c r="K446">
        <f>IF(OR($E446="",$E446="نامعتبر"),"",LEFT($E446,4)&amp;MID($E446,6,2)&amp;RIGHT($E446,2)&amp;"|"&amp;RIGHT("00000"&amp;441,5))</f>
        <v/>
      </c>
      <c r="M446">
        <f>IF(Sync!$M446&lt;&gt;"پاس چک","",IF(Sync!$P446="","",Sync!$P446))</f>
        <v/>
      </c>
      <c r="N446">
        <f>IF($M446="","",IF(ISNUMBER(Sync!$L446),IF(AND(Sync!$L446&gt;=10000101,Sync!$L446&lt;=99991231),RIGHT("0000"&amp;INT(Sync!$L446/10000),4)&amp;"/"&amp;RIGHT("00"&amp;INT(MOD(Sync!$L446,10000)/100),2)&amp;"/"&amp;RIGHT("00"&amp;MOD(Sync!$L446,100),2),""),IFERROR(RIGHT("0000"&amp;VALUE(TRIM(LEFT(Sync!$L446,FIND("/",Sync!$L446)-1))),4)&amp;"/"&amp;RIGHT("00"&amp;VALUE(TRIM(LEFT(MID(Sync!$L446,FIND("/",Sync!$L446)+1,20),FIND("/",MID(Sync!$L446,FIND("/",Sync!$L446)+1,20))-1))),2)&amp;"/"&amp;RIGHT("00"&amp;VALUE(TRIM(MID(MID(Sync!$L446,FIND("/",Sync!$L446)+1,20),FIND("/",MID(Sync!$L446,FIND("/",Sync!$L446)+1,20))+1,20))),2),"")))</f>
        <v/>
      </c>
    </row>
    <row r="447">
      <c r="A447">
        <f>IF(Issues!$B450="","",Issues!$B450)</f>
        <v/>
      </c>
      <c r="B447">
        <f>IF($A447="","",IF(ISNUMBER(Issues!$C450),IF(AND(Issues!$C450&gt;=10000101,Issues!$C450&lt;=99991231),INT(Issues!$C450/10000),""),IFERROR(VALUE(TRIM(LEFT(Issues!$C450,FIND("/",Issues!$C450)-1))),"")))</f>
        <v/>
      </c>
      <c r="C447">
        <f>IF(OR($A447="",$B447=""),"",IF(ISNUMBER(Issues!$C450),INT(MOD(Issues!$C450,10000)/100),IFERROR(VALUE(TRIM(LEFT(MID(Issues!$C450,FIND("/",Issues!$C450)+1,20),FIND("/",MID(Issues!$C450,FIND("/",Issues!$C450)+1,20))-1))),"")))</f>
        <v/>
      </c>
      <c r="D447">
        <f>IF(OR($A447="",$B447=""),"",IF(ISNUMBER(Issues!$C450),MOD(Issues!$C450,100),IFERROR(VALUE(TRIM(MID(MID(Issues!$C450,FIND("/",Issues!$C450)+1,20),FIND("/",MID(Issues!$C450,FIND("/",Issues!$C450)+1,20))+1,20))),"")))</f>
        <v/>
      </c>
      <c r="E447">
        <f>IF($A447="","",IF(OR($B447="",$C447="",$D447="",$B447&lt;1300,$B447&gt;1500,$C447&lt;1,$C447&gt;12,$D447&lt;1,$D447&gt;31),"نامعتبر",RIGHT("0000"&amp;$B447,4)&amp;"/"&amp;RIGHT("00"&amp;$C447,2)&amp;"/"&amp;RIGHT("00"&amp;$D447,2)))</f>
        <v/>
      </c>
      <c r="F447">
        <f>IF($A447="","",IF(Issues!$D450="",0,Issues!$D450))</f>
        <v/>
      </c>
      <c r="G447">
        <f>IF($A447="","",Issues!$E450)</f>
        <v/>
      </c>
      <c r="H447">
        <f>IF($A447="","",IF(COUNTIFS(ETxnType,"پاس چک",ETxnChk,$A447)&gt;0,"پاس شده","پاس نشده"))</f>
        <v/>
      </c>
      <c r="I447">
        <f>IF($A447="","",IFERROR(INDEX(BClrDate,MATCH($A447,BClrChk,0)),""))</f>
        <v/>
      </c>
      <c r="J447">
        <f>IF($A447="","",Issues!$G450)</f>
        <v/>
      </c>
      <c r="K447">
        <f>IF(OR($E447="",$E447="نامعتبر"),"",LEFT($E447,4)&amp;MID($E447,6,2)&amp;RIGHT($E447,2)&amp;"|"&amp;RIGHT("00000"&amp;442,5))</f>
        <v/>
      </c>
      <c r="M447">
        <f>IF(Sync!$M447&lt;&gt;"پاس چک","",IF(Sync!$P447="","",Sync!$P447))</f>
        <v/>
      </c>
      <c r="N447">
        <f>IF($M447="","",IF(ISNUMBER(Sync!$L447),IF(AND(Sync!$L447&gt;=10000101,Sync!$L447&lt;=99991231),RIGHT("0000"&amp;INT(Sync!$L447/10000),4)&amp;"/"&amp;RIGHT("00"&amp;INT(MOD(Sync!$L447,10000)/100),2)&amp;"/"&amp;RIGHT("00"&amp;MOD(Sync!$L447,100),2),""),IFERROR(RIGHT("0000"&amp;VALUE(TRIM(LEFT(Sync!$L447,FIND("/",Sync!$L447)-1))),4)&amp;"/"&amp;RIGHT("00"&amp;VALUE(TRIM(LEFT(MID(Sync!$L447,FIND("/",Sync!$L447)+1,20),FIND("/",MID(Sync!$L447,FIND("/",Sync!$L447)+1,20))-1))),2)&amp;"/"&amp;RIGHT("00"&amp;VALUE(TRIM(MID(MID(Sync!$L447,FIND("/",Sync!$L447)+1,20),FIND("/",MID(Sync!$L447,FIND("/",Sync!$L447)+1,20))+1,20))),2),"")))</f>
        <v/>
      </c>
    </row>
    <row r="448">
      <c r="A448">
        <f>IF(Issues!$B451="","",Issues!$B451)</f>
        <v/>
      </c>
      <c r="B448">
        <f>IF($A448="","",IF(ISNUMBER(Issues!$C451),IF(AND(Issues!$C451&gt;=10000101,Issues!$C451&lt;=99991231),INT(Issues!$C451/10000),""),IFERROR(VALUE(TRIM(LEFT(Issues!$C451,FIND("/",Issues!$C451)-1))),"")))</f>
        <v/>
      </c>
      <c r="C448">
        <f>IF(OR($A448="",$B448=""),"",IF(ISNUMBER(Issues!$C451),INT(MOD(Issues!$C451,10000)/100),IFERROR(VALUE(TRIM(LEFT(MID(Issues!$C451,FIND("/",Issues!$C451)+1,20),FIND("/",MID(Issues!$C451,FIND("/",Issues!$C451)+1,20))-1))),"")))</f>
        <v/>
      </c>
      <c r="D448">
        <f>IF(OR($A448="",$B448=""),"",IF(ISNUMBER(Issues!$C451),MOD(Issues!$C451,100),IFERROR(VALUE(TRIM(MID(MID(Issues!$C451,FIND("/",Issues!$C451)+1,20),FIND("/",MID(Issues!$C451,FIND("/",Issues!$C451)+1,20))+1,20))),"")))</f>
        <v/>
      </c>
      <c r="E448">
        <f>IF($A448="","",IF(OR($B448="",$C448="",$D448="",$B448&lt;1300,$B448&gt;1500,$C448&lt;1,$C448&gt;12,$D448&lt;1,$D448&gt;31),"نامعتبر",RIGHT("0000"&amp;$B448,4)&amp;"/"&amp;RIGHT("00"&amp;$C448,2)&amp;"/"&amp;RIGHT("00"&amp;$D448,2)))</f>
        <v/>
      </c>
      <c r="F448">
        <f>IF($A448="","",IF(Issues!$D451="",0,Issues!$D451))</f>
        <v/>
      </c>
      <c r="G448">
        <f>IF($A448="","",Issues!$E451)</f>
        <v/>
      </c>
      <c r="H448">
        <f>IF($A448="","",IF(COUNTIFS(ETxnType,"پاس چک",ETxnChk,$A448)&gt;0,"پاس شده","پاس نشده"))</f>
        <v/>
      </c>
      <c r="I448">
        <f>IF($A448="","",IFERROR(INDEX(BClrDate,MATCH($A448,BClrChk,0)),""))</f>
        <v/>
      </c>
      <c r="J448">
        <f>IF($A448="","",Issues!$G451)</f>
        <v/>
      </c>
      <c r="K448">
        <f>IF(OR($E448="",$E448="نامعتبر"),"",LEFT($E448,4)&amp;MID($E448,6,2)&amp;RIGHT($E448,2)&amp;"|"&amp;RIGHT("00000"&amp;443,5))</f>
        <v/>
      </c>
      <c r="M448">
        <f>IF(Sync!$M448&lt;&gt;"پاس چک","",IF(Sync!$P448="","",Sync!$P448))</f>
        <v/>
      </c>
      <c r="N448">
        <f>IF($M448="","",IF(ISNUMBER(Sync!$L448),IF(AND(Sync!$L448&gt;=10000101,Sync!$L448&lt;=99991231),RIGHT("0000"&amp;INT(Sync!$L448/10000),4)&amp;"/"&amp;RIGHT("00"&amp;INT(MOD(Sync!$L448,10000)/100),2)&amp;"/"&amp;RIGHT("00"&amp;MOD(Sync!$L448,100),2),""),IFERROR(RIGHT("0000"&amp;VALUE(TRIM(LEFT(Sync!$L448,FIND("/",Sync!$L448)-1))),4)&amp;"/"&amp;RIGHT("00"&amp;VALUE(TRIM(LEFT(MID(Sync!$L448,FIND("/",Sync!$L448)+1,20),FIND("/",MID(Sync!$L448,FIND("/",Sync!$L448)+1,20))-1))),2)&amp;"/"&amp;RIGHT("00"&amp;VALUE(TRIM(MID(MID(Sync!$L448,FIND("/",Sync!$L448)+1,20),FIND("/",MID(Sync!$L448,FIND("/",Sync!$L448)+1,20))+1,20))),2),"")))</f>
        <v/>
      </c>
    </row>
    <row r="449">
      <c r="A449">
        <f>IF(Issues!$B452="","",Issues!$B452)</f>
        <v/>
      </c>
      <c r="B449">
        <f>IF($A449="","",IF(ISNUMBER(Issues!$C452),IF(AND(Issues!$C452&gt;=10000101,Issues!$C452&lt;=99991231),INT(Issues!$C452/10000),""),IFERROR(VALUE(TRIM(LEFT(Issues!$C452,FIND("/",Issues!$C452)-1))),"")))</f>
        <v/>
      </c>
      <c r="C449">
        <f>IF(OR($A449="",$B449=""),"",IF(ISNUMBER(Issues!$C452),INT(MOD(Issues!$C452,10000)/100),IFERROR(VALUE(TRIM(LEFT(MID(Issues!$C452,FIND("/",Issues!$C452)+1,20),FIND("/",MID(Issues!$C452,FIND("/",Issues!$C452)+1,20))-1))),"")))</f>
        <v/>
      </c>
      <c r="D449">
        <f>IF(OR($A449="",$B449=""),"",IF(ISNUMBER(Issues!$C452),MOD(Issues!$C452,100),IFERROR(VALUE(TRIM(MID(MID(Issues!$C452,FIND("/",Issues!$C452)+1,20),FIND("/",MID(Issues!$C452,FIND("/",Issues!$C452)+1,20))+1,20))),"")))</f>
        <v/>
      </c>
      <c r="E449">
        <f>IF($A449="","",IF(OR($B449="",$C449="",$D449="",$B449&lt;1300,$B449&gt;1500,$C449&lt;1,$C449&gt;12,$D449&lt;1,$D449&gt;31),"نامعتبر",RIGHT("0000"&amp;$B449,4)&amp;"/"&amp;RIGHT("00"&amp;$C449,2)&amp;"/"&amp;RIGHT("00"&amp;$D449,2)))</f>
        <v/>
      </c>
      <c r="F449">
        <f>IF($A449="","",IF(Issues!$D452="",0,Issues!$D452))</f>
        <v/>
      </c>
      <c r="G449">
        <f>IF($A449="","",Issues!$E452)</f>
        <v/>
      </c>
      <c r="H449">
        <f>IF($A449="","",IF(COUNTIFS(ETxnType,"پاس چک",ETxnChk,$A449)&gt;0,"پاس شده","پاس نشده"))</f>
        <v/>
      </c>
      <c r="I449">
        <f>IF($A449="","",IFERROR(INDEX(BClrDate,MATCH($A449,BClrChk,0)),""))</f>
        <v/>
      </c>
      <c r="J449">
        <f>IF($A449="","",Issues!$G452)</f>
        <v/>
      </c>
      <c r="K449">
        <f>IF(OR($E449="",$E449="نامعتبر"),"",LEFT($E449,4)&amp;MID($E449,6,2)&amp;RIGHT($E449,2)&amp;"|"&amp;RIGHT("00000"&amp;444,5))</f>
        <v/>
      </c>
      <c r="M449">
        <f>IF(Sync!$M449&lt;&gt;"پاس چک","",IF(Sync!$P449="","",Sync!$P449))</f>
        <v/>
      </c>
      <c r="N449">
        <f>IF($M449="","",IF(ISNUMBER(Sync!$L449),IF(AND(Sync!$L449&gt;=10000101,Sync!$L449&lt;=99991231),RIGHT("0000"&amp;INT(Sync!$L449/10000),4)&amp;"/"&amp;RIGHT("00"&amp;INT(MOD(Sync!$L449,10000)/100),2)&amp;"/"&amp;RIGHT("00"&amp;MOD(Sync!$L449,100),2),""),IFERROR(RIGHT("0000"&amp;VALUE(TRIM(LEFT(Sync!$L449,FIND("/",Sync!$L449)-1))),4)&amp;"/"&amp;RIGHT("00"&amp;VALUE(TRIM(LEFT(MID(Sync!$L449,FIND("/",Sync!$L449)+1,20),FIND("/",MID(Sync!$L449,FIND("/",Sync!$L449)+1,20))-1))),2)&amp;"/"&amp;RIGHT("00"&amp;VALUE(TRIM(MID(MID(Sync!$L449,FIND("/",Sync!$L449)+1,20),FIND("/",MID(Sync!$L449,FIND("/",Sync!$L449)+1,20))+1,20))),2),"")))</f>
        <v/>
      </c>
    </row>
    <row r="450">
      <c r="A450">
        <f>IF(Issues!$B453="","",Issues!$B453)</f>
        <v/>
      </c>
      <c r="B450">
        <f>IF($A450="","",IF(ISNUMBER(Issues!$C453),IF(AND(Issues!$C453&gt;=10000101,Issues!$C453&lt;=99991231),INT(Issues!$C453/10000),""),IFERROR(VALUE(TRIM(LEFT(Issues!$C453,FIND("/",Issues!$C453)-1))),"")))</f>
        <v/>
      </c>
      <c r="C450">
        <f>IF(OR($A450="",$B450=""),"",IF(ISNUMBER(Issues!$C453),INT(MOD(Issues!$C453,10000)/100),IFERROR(VALUE(TRIM(LEFT(MID(Issues!$C453,FIND("/",Issues!$C453)+1,20),FIND("/",MID(Issues!$C453,FIND("/",Issues!$C453)+1,20))-1))),"")))</f>
        <v/>
      </c>
      <c r="D450">
        <f>IF(OR($A450="",$B450=""),"",IF(ISNUMBER(Issues!$C453),MOD(Issues!$C453,100),IFERROR(VALUE(TRIM(MID(MID(Issues!$C453,FIND("/",Issues!$C453)+1,20),FIND("/",MID(Issues!$C453,FIND("/",Issues!$C453)+1,20))+1,20))),"")))</f>
        <v/>
      </c>
      <c r="E450">
        <f>IF($A450="","",IF(OR($B450="",$C450="",$D450="",$B450&lt;1300,$B450&gt;1500,$C450&lt;1,$C450&gt;12,$D450&lt;1,$D450&gt;31),"نامعتبر",RIGHT("0000"&amp;$B450,4)&amp;"/"&amp;RIGHT("00"&amp;$C450,2)&amp;"/"&amp;RIGHT("00"&amp;$D450,2)))</f>
        <v/>
      </c>
      <c r="F450">
        <f>IF($A450="","",IF(Issues!$D453="",0,Issues!$D453))</f>
        <v/>
      </c>
      <c r="G450">
        <f>IF($A450="","",Issues!$E453)</f>
        <v/>
      </c>
      <c r="H450">
        <f>IF($A450="","",IF(COUNTIFS(ETxnType,"پاس چک",ETxnChk,$A450)&gt;0,"پاس شده","پاس نشده"))</f>
        <v/>
      </c>
      <c r="I450">
        <f>IF($A450="","",IFERROR(INDEX(BClrDate,MATCH($A450,BClrChk,0)),""))</f>
        <v/>
      </c>
      <c r="J450">
        <f>IF($A450="","",Issues!$G453)</f>
        <v/>
      </c>
      <c r="K450">
        <f>IF(OR($E450="",$E450="نامعتبر"),"",LEFT($E450,4)&amp;MID($E450,6,2)&amp;RIGHT($E450,2)&amp;"|"&amp;RIGHT("00000"&amp;445,5))</f>
        <v/>
      </c>
      <c r="M450">
        <f>IF(Sync!$M450&lt;&gt;"پاس چک","",IF(Sync!$P450="","",Sync!$P450))</f>
        <v/>
      </c>
      <c r="N450">
        <f>IF($M450="","",IF(ISNUMBER(Sync!$L450),IF(AND(Sync!$L450&gt;=10000101,Sync!$L450&lt;=99991231),RIGHT("0000"&amp;INT(Sync!$L450/10000),4)&amp;"/"&amp;RIGHT("00"&amp;INT(MOD(Sync!$L450,10000)/100),2)&amp;"/"&amp;RIGHT("00"&amp;MOD(Sync!$L450,100),2),""),IFERROR(RIGHT("0000"&amp;VALUE(TRIM(LEFT(Sync!$L450,FIND("/",Sync!$L450)-1))),4)&amp;"/"&amp;RIGHT("00"&amp;VALUE(TRIM(LEFT(MID(Sync!$L450,FIND("/",Sync!$L450)+1,20),FIND("/",MID(Sync!$L450,FIND("/",Sync!$L450)+1,20))-1))),2)&amp;"/"&amp;RIGHT("00"&amp;VALUE(TRIM(MID(MID(Sync!$L450,FIND("/",Sync!$L450)+1,20),FIND("/",MID(Sync!$L450,FIND("/",Sync!$L450)+1,20))+1,20))),2),"")))</f>
        <v/>
      </c>
    </row>
    <row r="451">
      <c r="A451">
        <f>IF(Issues!$B454="","",Issues!$B454)</f>
        <v/>
      </c>
      <c r="B451">
        <f>IF($A451="","",IF(ISNUMBER(Issues!$C454),IF(AND(Issues!$C454&gt;=10000101,Issues!$C454&lt;=99991231),INT(Issues!$C454/10000),""),IFERROR(VALUE(TRIM(LEFT(Issues!$C454,FIND("/",Issues!$C454)-1))),"")))</f>
        <v/>
      </c>
      <c r="C451">
        <f>IF(OR($A451="",$B451=""),"",IF(ISNUMBER(Issues!$C454),INT(MOD(Issues!$C454,10000)/100),IFERROR(VALUE(TRIM(LEFT(MID(Issues!$C454,FIND("/",Issues!$C454)+1,20),FIND("/",MID(Issues!$C454,FIND("/",Issues!$C454)+1,20))-1))),"")))</f>
        <v/>
      </c>
      <c r="D451">
        <f>IF(OR($A451="",$B451=""),"",IF(ISNUMBER(Issues!$C454),MOD(Issues!$C454,100),IFERROR(VALUE(TRIM(MID(MID(Issues!$C454,FIND("/",Issues!$C454)+1,20),FIND("/",MID(Issues!$C454,FIND("/",Issues!$C454)+1,20))+1,20))),"")))</f>
        <v/>
      </c>
      <c r="E451">
        <f>IF($A451="","",IF(OR($B451="",$C451="",$D451="",$B451&lt;1300,$B451&gt;1500,$C451&lt;1,$C451&gt;12,$D451&lt;1,$D451&gt;31),"نامعتبر",RIGHT("0000"&amp;$B451,4)&amp;"/"&amp;RIGHT("00"&amp;$C451,2)&amp;"/"&amp;RIGHT("00"&amp;$D451,2)))</f>
        <v/>
      </c>
      <c r="F451">
        <f>IF($A451="","",IF(Issues!$D454="",0,Issues!$D454))</f>
        <v/>
      </c>
      <c r="G451">
        <f>IF($A451="","",Issues!$E454)</f>
        <v/>
      </c>
      <c r="H451">
        <f>IF($A451="","",IF(COUNTIFS(ETxnType,"پاس چک",ETxnChk,$A451)&gt;0,"پاس شده","پاس نشده"))</f>
        <v/>
      </c>
      <c r="I451">
        <f>IF($A451="","",IFERROR(INDEX(BClrDate,MATCH($A451,BClrChk,0)),""))</f>
        <v/>
      </c>
      <c r="J451">
        <f>IF($A451="","",Issues!$G454)</f>
        <v/>
      </c>
      <c r="K451">
        <f>IF(OR($E451="",$E451="نامعتبر"),"",LEFT($E451,4)&amp;MID($E451,6,2)&amp;RIGHT($E451,2)&amp;"|"&amp;RIGHT("00000"&amp;446,5))</f>
        <v/>
      </c>
      <c r="M451">
        <f>IF(Sync!$M451&lt;&gt;"پاس چک","",IF(Sync!$P451="","",Sync!$P451))</f>
        <v/>
      </c>
      <c r="N451">
        <f>IF($M451="","",IF(ISNUMBER(Sync!$L451),IF(AND(Sync!$L451&gt;=10000101,Sync!$L451&lt;=99991231),RIGHT("0000"&amp;INT(Sync!$L451/10000),4)&amp;"/"&amp;RIGHT("00"&amp;INT(MOD(Sync!$L451,10000)/100),2)&amp;"/"&amp;RIGHT("00"&amp;MOD(Sync!$L451,100),2),""),IFERROR(RIGHT("0000"&amp;VALUE(TRIM(LEFT(Sync!$L451,FIND("/",Sync!$L451)-1))),4)&amp;"/"&amp;RIGHT("00"&amp;VALUE(TRIM(LEFT(MID(Sync!$L451,FIND("/",Sync!$L451)+1,20),FIND("/",MID(Sync!$L451,FIND("/",Sync!$L451)+1,20))-1))),2)&amp;"/"&amp;RIGHT("00"&amp;VALUE(TRIM(MID(MID(Sync!$L451,FIND("/",Sync!$L451)+1,20),FIND("/",MID(Sync!$L451,FIND("/",Sync!$L451)+1,20))+1,20))),2),"")))</f>
        <v/>
      </c>
    </row>
    <row r="452">
      <c r="A452">
        <f>IF(Issues!$B455="","",Issues!$B455)</f>
        <v/>
      </c>
      <c r="B452">
        <f>IF($A452="","",IF(ISNUMBER(Issues!$C455),IF(AND(Issues!$C455&gt;=10000101,Issues!$C455&lt;=99991231),INT(Issues!$C455/10000),""),IFERROR(VALUE(TRIM(LEFT(Issues!$C455,FIND("/",Issues!$C455)-1))),"")))</f>
        <v/>
      </c>
      <c r="C452">
        <f>IF(OR($A452="",$B452=""),"",IF(ISNUMBER(Issues!$C455),INT(MOD(Issues!$C455,10000)/100),IFERROR(VALUE(TRIM(LEFT(MID(Issues!$C455,FIND("/",Issues!$C455)+1,20),FIND("/",MID(Issues!$C455,FIND("/",Issues!$C455)+1,20))-1))),"")))</f>
        <v/>
      </c>
      <c r="D452">
        <f>IF(OR($A452="",$B452=""),"",IF(ISNUMBER(Issues!$C455),MOD(Issues!$C455,100),IFERROR(VALUE(TRIM(MID(MID(Issues!$C455,FIND("/",Issues!$C455)+1,20),FIND("/",MID(Issues!$C455,FIND("/",Issues!$C455)+1,20))+1,20))),"")))</f>
        <v/>
      </c>
      <c r="E452">
        <f>IF($A452="","",IF(OR($B452="",$C452="",$D452="",$B452&lt;1300,$B452&gt;1500,$C452&lt;1,$C452&gt;12,$D452&lt;1,$D452&gt;31),"نامعتبر",RIGHT("0000"&amp;$B452,4)&amp;"/"&amp;RIGHT("00"&amp;$C452,2)&amp;"/"&amp;RIGHT("00"&amp;$D452,2)))</f>
        <v/>
      </c>
      <c r="F452">
        <f>IF($A452="","",IF(Issues!$D455="",0,Issues!$D455))</f>
        <v/>
      </c>
      <c r="G452">
        <f>IF($A452="","",Issues!$E455)</f>
        <v/>
      </c>
      <c r="H452">
        <f>IF($A452="","",IF(COUNTIFS(ETxnType,"پاس چک",ETxnChk,$A452)&gt;0,"پاس شده","پاس نشده"))</f>
        <v/>
      </c>
      <c r="I452">
        <f>IF($A452="","",IFERROR(INDEX(BClrDate,MATCH($A452,BClrChk,0)),""))</f>
        <v/>
      </c>
      <c r="J452">
        <f>IF($A452="","",Issues!$G455)</f>
        <v/>
      </c>
      <c r="K452">
        <f>IF(OR($E452="",$E452="نامعتبر"),"",LEFT($E452,4)&amp;MID($E452,6,2)&amp;RIGHT($E452,2)&amp;"|"&amp;RIGHT("00000"&amp;447,5))</f>
        <v/>
      </c>
      <c r="M452">
        <f>IF(Sync!$M452&lt;&gt;"پاس چک","",IF(Sync!$P452="","",Sync!$P452))</f>
        <v/>
      </c>
      <c r="N452">
        <f>IF($M452="","",IF(ISNUMBER(Sync!$L452),IF(AND(Sync!$L452&gt;=10000101,Sync!$L452&lt;=99991231),RIGHT("0000"&amp;INT(Sync!$L452/10000),4)&amp;"/"&amp;RIGHT("00"&amp;INT(MOD(Sync!$L452,10000)/100),2)&amp;"/"&amp;RIGHT("00"&amp;MOD(Sync!$L452,100),2),""),IFERROR(RIGHT("0000"&amp;VALUE(TRIM(LEFT(Sync!$L452,FIND("/",Sync!$L452)-1))),4)&amp;"/"&amp;RIGHT("00"&amp;VALUE(TRIM(LEFT(MID(Sync!$L452,FIND("/",Sync!$L452)+1,20),FIND("/",MID(Sync!$L452,FIND("/",Sync!$L452)+1,20))-1))),2)&amp;"/"&amp;RIGHT("00"&amp;VALUE(TRIM(MID(MID(Sync!$L452,FIND("/",Sync!$L452)+1,20),FIND("/",MID(Sync!$L452,FIND("/",Sync!$L452)+1,20))+1,20))),2),"")))</f>
        <v/>
      </c>
    </row>
    <row r="453">
      <c r="A453">
        <f>IF(Issues!$B456="","",Issues!$B456)</f>
        <v/>
      </c>
      <c r="B453">
        <f>IF($A453="","",IF(ISNUMBER(Issues!$C456),IF(AND(Issues!$C456&gt;=10000101,Issues!$C456&lt;=99991231),INT(Issues!$C456/10000),""),IFERROR(VALUE(TRIM(LEFT(Issues!$C456,FIND("/",Issues!$C456)-1))),"")))</f>
        <v/>
      </c>
      <c r="C453">
        <f>IF(OR($A453="",$B453=""),"",IF(ISNUMBER(Issues!$C456),INT(MOD(Issues!$C456,10000)/100),IFERROR(VALUE(TRIM(LEFT(MID(Issues!$C456,FIND("/",Issues!$C456)+1,20),FIND("/",MID(Issues!$C456,FIND("/",Issues!$C456)+1,20))-1))),"")))</f>
        <v/>
      </c>
      <c r="D453">
        <f>IF(OR($A453="",$B453=""),"",IF(ISNUMBER(Issues!$C456),MOD(Issues!$C456,100),IFERROR(VALUE(TRIM(MID(MID(Issues!$C456,FIND("/",Issues!$C456)+1,20),FIND("/",MID(Issues!$C456,FIND("/",Issues!$C456)+1,20))+1,20))),"")))</f>
        <v/>
      </c>
      <c r="E453">
        <f>IF($A453="","",IF(OR($B453="",$C453="",$D453="",$B453&lt;1300,$B453&gt;1500,$C453&lt;1,$C453&gt;12,$D453&lt;1,$D453&gt;31),"نامعتبر",RIGHT("0000"&amp;$B453,4)&amp;"/"&amp;RIGHT("00"&amp;$C453,2)&amp;"/"&amp;RIGHT("00"&amp;$D453,2)))</f>
        <v/>
      </c>
      <c r="F453">
        <f>IF($A453="","",IF(Issues!$D456="",0,Issues!$D456))</f>
        <v/>
      </c>
      <c r="G453">
        <f>IF($A453="","",Issues!$E456)</f>
        <v/>
      </c>
      <c r="H453">
        <f>IF($A453="","",IF(COUNTIFS(ETxnType,"پاس چک",ETxnChk,$A453)&gt;0,"پاس شده","پاس نشده"))</f>
        <v/>
      </c>
      <c r="I453">
        <f>IF($A453="","",IFERROR(INDEX(BClrDate,MATCH($A453,BClrChk,0)),""))</f>
        <v/>
      </c>
      <c r="J453">
        <f>IF($A453="","",Issues!$G456)</f>
        <v/>
      </c>
      <c r="K453">
        <f>IF(OR($E453="",$E453="نامعتبر"),"",LEFT($E453,4)&amp;MID($E453,6,2)&amp;RIGHT($E453,2)&amp;"|"&amp;RIGHT("00000"&amp;448,5))</f>
        <v/>
      </c>
      <c r="M453">
        <f>IF(Sync!$M453&lt;&gt;"پاس چک","",IF(Sync!$P453="","",Sync!$P453))</f>
        <v/>
      </c>
      <c r="N453">
        <f>IF($M453="","",IF(ISNUMBER(Sync!$L453),IF(AND(Sync!$L453&gt;=10000101,Sync!$L453&lt;=99991231),RIGHT("0000"&amp;INT(Sync!$L453/10000),4)&amp;"/"&amp;RIGHT("00"&amp;INT(MOD(Sync!$L453,10000)/100),2)&amp;"/"&amp;RIGHT("00"&amp;MOD(Sync!$L453,100),2),""),IFERROR(RIGHT("0000"&amp;VALUE(TRIM(LEFT(Sync!$L453,FIND("/",Sync!$L453)-1))),4)&amp;"/"&amp;RIGHT("00"&amp;VALUE(TRIM(LEFT(MID(Sync!$L453,FIND("/",Sync!$L453)+1,20),FIND("/",MID(Sync!$L453,FIND("/",Sync!$L453)+1,20))-1))),2)&amp;"/"&amp;RIGHT("00"&amp;VALUE(TRIM(MID(MID(Sync!$L453,FIND("/",Sync!$L453)+1,20),FIND("/",MID(Sync!$L453,FIND("/",Sync!$L453)+1,20))+1,20))),2),"")))</f>
        <v/>
      </c>
    </row>
    <row r="454">
      <c r="A454">
        <f>IF(Issues!$B457="","",Issues!$B457)</f>
        <v/>
      </c>
      <c r="B454">
        <f>IF($A454="","",IF(ISNUMBER(Issues!$C457),IF(AND(Issues!$C457&gt;=10000101,Issues!$C457&lt;=99991231),INT(Issues!$C457/10000),""),IFERROR(VALUE(TRIM(LEFT(Issues!$C457,FIND("/",Issues!$C457)-1))),"")))</f>
        <v/>
      </c>
      <c r="C454">
        <f>IF(OR($A454="",$B454=""),"",IF(ISNUMBER(Issues!$C457),INT(MOD(Issues!$C457,10000)/100),IFERROR(VALUE(TRIM(LEFT(MID(Issues!$C457,FIND("/",Issues!$C457)+1,20),FIND("/",MID(Issues!$C457,FIND("/",Issues!$C457)+1,20))-1))),"")))</f>
        <v/>
      </c>
      <c r="D454">
        <f>IF(OR($A454="",$B454=""),"",IF(ISNUMBER(Issues!$C457),MOD(Issues!$C457,100),IFERROR(VALUE(TRIM(MID(MID(Issues!$C457,FIND("/",Issues!$C457)+1,20),FIND("/",MID(Issues!$C457,FIND("/",Issues!$C457)+1,20))+1,20))),"")))</f>
        <v/>
      </c>
      <c r="E454">
        <f>IF($A454="","",IF(OR($B454="",$C454="",$D454="",$B454&lt;1300,$B454&gt;1500,$C454&lt;1,$C454&gt;12,$D454&lt;1,$D454&gt;31),"نامعتبر",RIGHT("0000"&amp;$B454,4)&amp;"/"&amp;RIGHT("00"&amp;$C454,2)&amp;"/"&amp;RIGHT("00"&amp;$D454,2)))</f>
        <v/>
      </c>
      <c r="F454">
        <f>IF($A454="","",IF(Issues!$D457="",0,Issues!$D457))</f>
        <v/>
      </c>
      <c r="G454">
        <f>IF($A454="","",Issues!$E457)</f>
        <v/>
      </c>
      <c r="H454">
        <f>IF($A454="","",IF(COUNTIFS(ETxnType,"پاس چک",ETxnChk,$A454)&gt;0,"پاس شده","پاس نشده"))</f>
        <v/>
      </c>
      <c r="I454">
        <f>IF($A454="","",IFERROR(INDEX(BClrDate,MATCH($A454,BClrChk,0)),""))</f>
        <v/>
      </c>
      <c r="J454">
        <f>IF($A454="","",Issues!$G457)</f>
        <v/>
      </c>
      <c r="K454">
        <f>IF(OR($E454="",$E454="نامعتبر"),"",LEFT($E454,4)&amp;MID($E454,6,2)&amp;RIGHT($E454,2)&amp;"|"&amp;RIGHT("00000"&amp;449,5))</f>
        <v/>
      </c>
      <c r="M454">
        <f>IF(Sync!$M454&lt;&gt;"پاس چک","",IF(Sync!$P454="","",Sync!$P454))</f>
        <v/>
      </c>
      <c r="N454">
        <f>IF($M454="","",IF(ISNUMBER(Sync!$L454),IF(AND(Sync!$L454&gt;=10000101,Sync!$L454&lt;=99991231),RIGHT("0000"&amp;INT(Sync!$L454/10000),4)&amp;"/"&amp;RIGHT("00"&amp;INT(MOD(Sync!$L454,10000)/100),2)&amp;"/"&amp;RIGHT("00"&amp;MOD(Sync!$L454,100),2),""),IFERROR(RIGHT("0000"&amp;VALUE(TRIM(LEFT(Sync!$L454,FIND("/",Sync!$L454)-1))),4)&amp;"/"&amp;RIGHT("00"&amp;VALUE(TRIM(LEFT(MID(Sync!$L454,FIND("/",Sync!$L454)+1,20),FIND("/",MID(Sync!$L454,FIND("/",Sync!$L454)+1,20))-1))),2)&amp;"/"&amp;RIGHT("00"&amp;VALUE(TRIM(MID(MID(Sync!$L454,FIND("/",Sync!$L454)+1,20),FIND("/",MID(Sync!$L454,FIND("/",Sync!$L454)+1,20))+1,20))),2),"")))</f>
        <v/>
      </c>
    </row>
    <row r="455">
      <c r="A455">
        <f>IF(Issues!$B458="","",Issues!$B458)</f>
        <v/>
      </c>
      <c r="B455">
        <f>IF($A455="","",IF(ISNUMBER(Issues!$C458),IF(AND(Issues!$C458&gt;=10000101,Issues!$C458&lt;=99991231),INT(Issues!$C458/10000),""),IFERROR(VALUE(TRIM(LEFT(Issues!$C458,FIND("/",Issues!$C458)-1))),"")))</f>
        <v/>
      </c>
      <c r="C455">
        <f>IF(OR($A455="",$B455=""),"",IF(ISNUMBER(Issues!$C458),INT(MOD(Issues!$C458,10000)/100),IFERROR(VALUE(TRIM(LEFT(MID(Issues!$C458,FIND("/",Issues!$C458)+1,20),FIND("/",MID(Issues!$C458,FIND("/",Issues!$C458)+1,20))-1))),"")))</f>
        <v/>
      </c>
      <c r="D455">
        <f>IF(OR($A455="",$B455=""),"",IF(ISNUMBER(Issues!$C458),MOD(Issues!$C458,100),IFERROR(VALUE(TRIM(MID(MID(Issues!$C458,FIND("/",Issues!$C458)+1,20),FIND("/",MID(Issues!$C458,FIND("/",Issues!$C458)+1,20))+1,20))),"")))</f>
        <v/>
      </c>
      <c r="E455">
        <f>IF($A455="","",IF(OR($B455="",$C455="",$D455="",$B455&lt;1300,$B455&gt;1500,$C455&lt;1,$C455&gt;12,$D455&lt;1,$D455&gt;31),"نامعتبر",RIGHT("0000"&amp;$B455,4)&amp;"/"&amp;RIGHT("00"&amp;$C455,2)&amp;"/"&amp;RIGHT("00"&amp;$D455,2)))</f>
        <v/>
      </c>
      <c r="F455">
        <f>IF($A455="","",IF(Issues!$D458="",0,Issues!$D458))</f>
        <v/>
      </c>
      <c r="G455">
        <f>IF($A455="","",Issues!$E458)</f>
        <v/>
      </c>
      <c r="H455">
        <f>IF($A455="","",IF(COUNTIFS(ETxnType,"پاس چک",ETxnChk,$A455)&gt;0,"پاس شده","پاس نشده"))</f>
        <v/>
      </c>
      <c r="I455">
        <f>IF($A455="","",IFERROR(INDEX(BClrDate,MATCH($A455,BClrChk,0)),""))</f>
        <v/>
      </c>
      <c r="J455">
        <f>IF($A455="","",Issues!$G458)</f>
        <v/>
      </c>
      <c r="K455">
        <f>IF(OR($E455="",$E455="نامعتبر"),"",LEFT($E455,4)&amp;MID($E455,6,2)&amp;RIGHT($E455,2)&amp;"|"&amp;RIGHT("00000"&amp;450,5))</f>
        <v/>
      </c>
      <c r="M455">
        <f>IF(Sync!$M455&lt;&gt;"پاس چک","",IF(Sync!$P455="","",Sync!$P455))</f>
        <v/>
      </c>
      <c r="N455">
        <f>IF($M455="","",IF(ISNUMBER(Sync!$L455),IF(AND(Sync!$L455&gt;=10000101,Sync!$L455&lt;=99991231),RIGHT("0000"&amp;INT(Sync!$L455/10000),4)&amp;"/"&amp;RIGHT("00"&amp;INT(MOD(Sync!$L455,10000)/100),2)&amp;"/"&amp;RIGHT("00"&amp;MOD(Sync!$L455,100),2),""),IFERROR(RIGHT("0000"&amp;VALUE(TRIM(LEFT(Sync!$L455,FIND("/",Sync!$L455)-1))),4)&amp;"/"&amp;RIGHT("00"&amp;VALUE(TRIM(LEFT(MID(Sync!$L455,FIND("/",Sync!$L455)+1,20),FIND("/",MID(Sync!$L455,FIND("/",Sync!$L455)+1,20))-1))),2)&amp;"/"&amp;RIGHT("00"&amp;VALUE(TRIM(MID(MID(Sync!$L455,FIND("/",Sync!$L455)+1,20),FIND("/",MID(Sync!$L455,FIND("/",Sync!$L455)+1,20))+1,20))),2),"")))</f>
        <v/>
      </c>
    </row>
    <row r="456">
      <c r="A456">
        <f>IF(Issues!$B459="","",Issues!$B459)</f>
        <v/>
      </c>
      <c r="B456">
        <f>IF($A456="","",IF(ISNUMBER(Issues!$C459),IF(AND(Issues!$C459&gt;=10000101,Issues!$C459&lt;=99991231),INT(Issues!$C459/10000),""),IFERROR(VALUE(TRIM(LEFT(Issues!$C459,FIND("/",Issues!$C459)-1))),"")))</f>
        <v/>
      </c>
      <c r="C456">
        <f>IF(OR($A456="",$B456=""),"",IF(ISNUMBER(Issues!$C459),INT(MOD(Issues!$C459,10000)/100),IFERROR(VALUE(TRIM(LEFT(MID(Issues!$C459,FIND("/",Issues!$C459)+1,20),FIND("/",MID(Issues!$C459,FIND("/",Issues!$C459)+1,20))-1))),"")))</f>
        <v/>
      </c>
      <c r="D456">
        <f>IF(OR($A456="",$B456=""),"",IF(ISNUMBER(Issues!$C459),MOD(Issues!$C459,100),IFERROR(VALUE(TRIM(MID(MID(Issues!$C459,FIND("/",Issues!$C459)+1,20),FIND("/",MID(Issues!$C459,FIND("/",Issues!$C459)+1,20))+1,20))),"")))</f>
        <v/>
      </c>
      <c r="E456">
        <f>IF($A456="","",IF(OR($B456="",$C456="",$D456="",$B456&lt;1300,$B456&gt;1500,$C456&lt;1,$C456&gt;12,$D456&lt;1,$D456&gt;31),"نامعتبر",RIGHT("0000"&amp;$B456,4)&amp;"/"&amp;RIGHT("00"&amp;$C456,2)&amp;"/"&amp;RIGHT("00"&amp;$D456,2)))</f>
        <v/>
      </c>
      <c r="F456">
        <f>IF($A456="","",IF(Issues!$D459="",0,Issues!$D459))</f>
        <v/>
      </c>
      <c r="G456">
        <f>IF($A456="","",Issues!$E459)</f>
        <v/>
      </c>
      <c r="H456">
        <f>IF($A456="","",IF(COUNTIFS(ETxnType,"پاس چک",ETxnChk,$A456)&gt;0,"پاس شده","پاس نشده"))</f>
        <v/>
      </c>
      <c r="I456">
        <f>IF($A456="","",IFERROR(INDEX(BClrDate,MATCH($A456,BClrChk,0)),""))</f>
        <v/>
      </c>
      <c r="J456">
        <f>IF($A456="","",Issues!$G459)</f>
        <v/>
      </c>
      <c r="K456">
        <f>IF(OR($E456="",$E456="نامعتبر"),"",LEFT($E456,4)&amp;MID($E456,6,2)&amp;RIGHT($E456,2)&amp;"|"&amp;RIGHT("00000"&amp;451,5))</f>
        <v/>
      </c>
      <c r="M456">
        <f>IF(Sync!$M456&lt;&gt;"پاس چک","",IF(Sync!$P456="","",Sync!$P456))</f>
        <v/>
      </c>
      <c r="N456">
        <f>IF($M456="","",IF(ISNUMBER(Sync!$L456),IF(AND(Sync!$L456&gt;=10000101,Sync!$L456&lt;=99991231),RIGHT("0000"&amp;INT(Sync!$L456/10000),4)&amp;"/"&amp;RIGHT("00"&amp;INT(MOD(Sync!$L456,10000)/100),2)&amp;"/"&amp;RIGHT("00"&amp;MOD(Sync!$L456,100),2),""),IFERROR(RIGHT("0000"&amp;VALUE(TRIM(LEFT(Sync!$L456,FIND("/",Sync!$L456)-1))),4)&amp;"/"&amp;RIGHT("00"&amp;VALUE(TRIM(LEFT(MID(Sync!$L456,FIND("/",Sync!$L456)+1,20),FIND("/",MID(Sync!$L456,FIND("/",Sync!$L456)+1,20))-1))),2)&amp;"/"&amp;RIGHT("00"&amp;VALUE(TRIM(MID(MID(Sync!$L456,FIND("/",Sync!$L456)+1,20),FIND("/",MID(Sync!$L456,FIND("/",Sync!$L456)+1,20))+1,20))),2),"")))</f>
        <v/>
      </c>
    </row>
    <row r="457">
      <c r="A457">
        <f>IF(Issues!$B460="","",Issues!$B460)</f>
        <v/>
      </c>
      <c r="B457">
        <f>IF($A457="","",IF(ISNUMBER(Issues!$C460),IF(AND(Issues!$C460&gt;=10000101,Issues!$C460&lt;=99991231),INT(Issues!$C460/10000),""),IFERROR(VALUE(TRIM(LEFT(Issues!$C460,FIND("/",Issues!$C460)-1))),"")))</f>
        <v/>
      </c>
      <c r="C457">
        <f>IF(OR($A457="",$B457=""),"",IF(ISNUMBER(Issues!$C460),INT(MOD(Issues!$C460,10000)/100),IFERROR(VALUE(TRIM(LEFT(MID(Issues!$C460,FIND("/",Issues!$C460)+1,20),FIND("/",MID(Issues!$C460,FIND("/",Issues!$C460)+1,20))-1))),"")))</f>
        <v/>
      </c>
      <c r="D457">
        <f>IF(OR($A457="",$B457=""),"",IF(ISNUMBER(Issues!$C460),MOD(Issues!$C460,100),IFERROR(VALUE(TRIM(MID(MID(Issues!$C460,FIND("/",Issues!$C460)+1,20),FIND("/",MID(Issues!$C460,FIND("/",Issues!$C460)+1,20))+1,20))),"")))</f>
        <v/>
      </c>
      <c r="E457">
        <f>IF($A457="","",IF(OR($B457="",$C457="",$D457="",$B457&lt;1300,$B457&gt;1500,$C457&lt;1,$C457&gt;12,$D457&lt;1,$D457&gt;31),"نامعتبر",RIGHT("0000"&amp;$B457,4)&amp;"/"&amp;RIGHT("00"&amp;$C457,2)&amp;"/"&amp;RIGHT("00"&amp;$D457,2)))</f>
        <v/>
      </c>
      <c r="F457">
        <f>IF($A457="","",IF(Issues!$D460="",0,Issues!$D460))</f>
        <v/>
      </c>
      <c r="G457">
        <f>IF($A457="","",Issues!$E460)</f>
        <v/>
      </c>
      <c r="H457">
        <f>IF($A457="","",IF(COUNTIFS(ETxnType,"پاس چک",ETxnChk,$A457)&gt;0,"پاس شده","پاس نشده"))</f>
        <v/>
      </c>
      <c r="I457">
        <f>IF($A457="","",IFERROR(INDEX(BClrDate,MATCH($A457,BClrChk,0)),""))</f>
        <v/>
      </c>
      <c r="J457">
        <f>IF($A457="","",Issues!$G460)</f>
        <v/>
      </c>
      <c r="K457">
        <f>IF(OR($E457="",$E457="نامعتبر"),"",LEFT($E457,4)&amp;MID($E457,6,2)&amp;RIGHT($E457,2)&amp;"|"&amp;RIGHT("00000"&amp;452,5))</f>
        <v/>
      </c>
      <c r="M457">
        <f>IF(Sync!$M457&lt;&gt;"پاس چک","",IF(Sync!$P457="","",Sync!$P457))</f>
        <v/>
      </c>
      <c r="N457">
        <f>IF($M457="","",IF(ISNUMBER(Sync!$L457),IF(AND(Sync!$L457&gt;=10000101,Sync!$L457&lt;=99991231),RIGHT("0000"&amp;INT(Sync!$L457/10000),4)&amp;"/"&amp;RIGHT("00"&amp;INT(MOD(Sync!$L457,10000)/100),2)&amp;"/"&amp;RIGHT("00"&amp;MOD(Sync!$L457,100),2),""),IFERROR(RIGHT("0000"&amp;VALUE(TRIM(LEFT(Sync!$L457,FIND("/",Sync!$L457)-1))),4)&amp;"/"&amp;RIGHT("00"&amp;VALUE(TRIM(LEFT(MID(Sync!$L457,FIND("/",Sync!$L457)+1,20),FIND("/",MID(Sync!$L457,FIND("/",Sync!$L457)+1,20))-1))),2)&amp;"/"&amp;RIGHT("00"&amp;VALUE(TRIM(MID(MID(Sync!$L457,FIND("/",Sync!$L457)+1,20),FIND("/",MID(Sync!$L457,FIND("/",Sync!$L457)+1,20))+1,20))),2),"")))</f>
        <v/>
      </c>
    </row>
    <row r="458">
      <c r="A458">
        <f>IF(Issues!$B461="","",Issues!$B461)</f>
        <v/>
      </c>
      <c r="B458">
        <f>IF($A458="","",IF(ISNUMBER(Issues!$C461),IF(AND(Issues!$C461&gt;=10000101,Issues!$C461&lt;=99991231),INT(Issues!$C461/10000),""),IFERROR(VALUE(TRIM(LEFT(Issues!$C461,FIND("/",Issues!$C461)-1))),"")))</f>
        <v/>
      </c>
      <c r="C458">
        <f>IF(OR($A458="",$B458=""),"",IF(ISNUMBER(Issues!$C461),INT(MOD(Issues!$C461,10000)/100),IFERROR(VALUE(TRIM(LEFT(MID(Issues!$C461,FIND("/",Issues!$C461)+1,20),FIND("/",MID(Issues!$C461,FIND("/",Issues!$C461)+1,20))-1))),"")))</f>
        <v/>
      </c>
      <c r="D458">
        <f>IF(OR($A458="",$B458=""),"",IF(ISNUMBER(Issues!$C461),MOD(Issues!$C461,100),IFERROR(VALUE(TRIM(MID(MID(Issues!$C461,FIND("/",Issues!$C461)+1,20),FIND("/",MID(Issues!$C461,FIND("/",Issues!$C461)+1,20))+1,20))),"")))</f>
        <v/>
      </c>
      <c r="E458">
        <f>IF($A458="","",IF(OR($B458="",$C458="",$D458="",$B458&lt;1300,$B458&gt;1500,$C458&lt;1,$C458&gt;12,$D458&lt;1,$D458&gt;31),"نامعتبر",RIGHT("0000"&amp;$B458,4)&amp;"/"&amp;RIGHT("00"&amp;$C458,2)&amp;"/"&amp;RIGHT("00"&amp;$D458,2)))</f>
        <v/>
      </c>
      <c r="F458">
        <f>IF($A458="","",IF(Issues!$D461="",0,Issues!$D461))</f>
        <v/>
      </c>
      <c r="G458">
        <f>IF($A458="","",Issues!$E461)</f>
        <v/>
      </c>
      <c r="H458">
        <f>IF($A458="","",IF(COUNTIFS(ETxnType,"پاس چک",ETxnChk,$A458)&gt;0,"پاس شده","پاس نشده"))</f>
        <v/>
      </c>
      <c r="I458">
        <f>IF($A458="","",IFERROR(INDEX(BClrDate,MATCH($A458,BClrChk,0)),""))</f>
        <v/>
      </c>
      <c r="J458">
        <f>IF($A458="","",Issues!$G461)</f>
        <v/>
      </c>
      <c r="K458">
        <f>IF(OR($E458="",$E458="نامعتبر"),"",LEFT($E458,4)&amp;MID($E458,6,2)&amp;RIGHT($E458,2)&amp;"|"&amp;RIGHT("00000"&amp;453,5))</f>
        <v/>
      </c>
      <c r="M458">
        <f>IF(Sync!$M458&lt;&gt;"پاس چک","",IF(Sync!$P458="","",Sync!$P458))</f>
        <v/>
      </c>
      <c r="N458">
        <f>IF($M458="","",IF(ISNUMBER(Sync!$L458),IF(AND(Sync!$L458&gt;=10000101,Sync!$L458&lt;=99991231),RIGHT("0000"&amp;INT(Sync!$L458/10000),4)&amp;"/"&amp;RIGHT("00"&amp;INT(MOD(Sync!$L458,10000)/100),2)&amp;"/"&amp;RIGHT("00"&amp;MOD(Sync!$L458,100),2),""),IFERROR(RIGHT("0000"&amp;VALUE(TRIM(LEFT(Sync!$L458,FIND("/",Sync!$L458)-1))),4)&amp;"/"&amp;RIGHT("00"&amp;VALUE(TRIM(LEFT(MID(Sync!$L458,FIND("/",Sync!$L458)+1,20),FIND("/",MID(Sync!$L458,FIND("/",Sync!$L458)+1,20))-1))),2)&amp;"/"&amp;RIGHT("00"&amp;VALUE(TRIM(MID(MID(Sync!$L458,FIND("/",Sync!$L458)+1,20),FIND("/",MID(Sync!$L458,FIND("/",Sync!$L458)+1,20))+1,20))),2),"")))</f>
        <v/>
      </c>
    </row>
    <row r="459">
      <c r="A459">
        <f>IF(Issues!$B462="","",Issues!$B462)</f>
        <v/>
      </c>
      <c r="B459">
        <f>IF($A459="","",IF(ISNUMBER(Issues!$C462),IF(AND(Issues!$C462&gt;=10000101,Issues!$C462&lt;=99991231),INT(Issues!$C462/10000),""),IFERROR(VALUE(TRIM(LEFT(Issues!$C462,FIND("/",Issues!$C462)-1))),"")))</f>
        <v/>
      </c>
      <c r="C459">
        <f>IF(OR($A459="",$B459=""),"",IF(ISNUMBER(Issues!$C462),INT(MOD(Issues!$C462,10000)/100),IFERROR(VALUE(TRIM(LEFT(MID(Issues!$C462,FIND("/",Issues!$C462)+1,20),FIND("/",MID(Issues!$C462,FIND("/",Issues!$C462)+1,20))-1))),"")))</f>
        <v/>
      </c>
      <c r="D459">
        <f>IF(OR($A459="",$B459=""),"",IF(ISNUMBER(Issues!$C462),MOD(Issues!$C462,100),IFERROR(VALUE(TRIM(MID(MID(Issues!$C462,FIND("/",Issues!$C462)+1,20),FIND("/",MID(Issues!$C462,FIND("/",Issues!$C462)+1,20))+1,20))),"")))</f>
        <v/>
      </c>
      <c r="E459">
        <f>IF($A459="","",IF(OR($B459="",$C459="",$D459="",$B459&lt;1300,$B459&gt;1500,$C459&lt;1,$C459&gt;12,$D459&lt;1,$D459&gt;31),"نامعتبر",RIGHT("0000"&amp;$B459,4)&amp;"/"&amp;RIGHT("00"&amp;$C459,2)&amp;"/"&amp;RIGHT("00"&amp;$D459,2)))</f>
        <v/>
      </c>
      <c r="F459">
        <f>IF($A459="","",IF(Issues!$D462="",0,Issues!$D462))</f>
        <v/>
      </c>
      <c r="G459">
        <f>IF($A459="","",Issues!$E462)</f>
        <v/>
      </c>
      <c r="H459">
        <f>IF($A459="","",IF(COUNTIFS(ETxnType,"پاس چک",ETxnChk,$A459)&gt;0,"پاس شده","پاس نشده"))</f>
        <v/>
      </c>
      <c r="I459">
        <f>IF($A459="","",IFERROR(INDEX(BClrDate,MATCH($A459,BClrChk,0)),""))</f>
        <v/>
      </c>
      <c r="J459">
        <f>IF($A459="","",Issues!$G462)</f>
        <v/>
      </c>
      <c r="K459">
        <f>IF(OR($E459="",$E459="نامعتبر"),"",LEFT($E459,4)&amp;MID($E459,6,2)&amp;RIGHT($E459,2)&amp;"|"&amp;RIGHT("00000"&amp;454,5))</f>
        <v/>
      </c>
      <c r="M459">
        <f>IF(Sync!$M459&lt;&gt;"پاس چک","",IF(Sync!$P459="","",Sync!$P459))</f>
        <v/>
      </c>
      <c r="N459">
        <f>IF($M459="","",IF(ISNUMBER(Sync!$L459),IF(AND(Sync!$L459&gt;=10000101,Sync!$L459&lt;=99991231),RIGHT("0000"&amp;INT(Sync!$L459/10000),4)&amp;"/"&amp;RIGHT("00"&amp;INT(MOD(Sync!$L459,10000)/100),2)&amp;"/"&amp;RIGHT("00"&amp;MOD(Sync!$L459,100),2),""),IFERROR(RIGHT("0000"&amp;VALUE(TRIM(LEFT(Sync!$L459,FIND("/",Sync!$L459)-1))),4)&amp;"/"&amp;RIGHT("00"&amp;VALUE(TRIM(LEFT(MID(Sync!$L459,FIND("/",Sync!$L459)+1,20),FIND("/",MID(Sync!$L459,FIND("/",Sync!$L459)+1,20))-1))),2)&amp;"/"&amp;RIGHT("00"&amp;VALUE(TRIM(MID(MID(Sync!$L459,FIND("/",Sync!$L459)+1,20),FIND("/",MID(Sync!$L459,FIND("/",Sync!$L459)+1,20))+1,20))),2),"")))</f>
        <v/>
      </c>
    </row>
    <row r="460">
      <c r="A460">
        <f>IF(Issues!$B463="","",Issues!$B463)</f>
        <v/>
      </c>
      <c r="B460">
        <f>IF($A460="","",IF(ISNUMBER(Issues!$C463),IF(AND(Issues!$C463&gt;=10000101,Issues!$C463&lt;=99991231),INT(Issues!$C463/10000),""),IFERROR(VALUE(TRIM(LEFT(Issues!$C463,FIND("/",Issues!$C463)-1))),"")))</f>
        <v/>
      </c>
      <c r="C460">
        <f>IF(OR($A460="",$B460=""),"",IF(ISNUMBER(Issues!$C463),INT(MOD(Issues!$C463,10000)/100),IFERROR(VALUE(TRIM(LEFT(MID(Issues!$C463,FIND("/",Issues!$C463)+1,20),FIND("/",MID(Issues!$C463,FIND("/",Issues!$C463)+1,20))-1))),"")))</f>
        <v/>
      </c>
      <c r="D460">
        <f>IF(OR($A460="",$B460=""),"",IF(ISNUMBER(Issues!$C463),MOD(Issues!$C463,100),IFERROR(VALUE(TRIM(MID(MID(Issues!$C463,FIND("/",Issues!$C463)+1,20),FIND("/",MID(Issues!$C463,FIND("/",Issues!$C463)+1,20))+1,20))),"")))</f>
        <v/>
      </c>
      <c r="E460">
        <f>IF($A460="","",IF(OR($B460="",$C460="",$D460="",$B460&lt;1300,$B460&gt;1500,$C460&lt;1,$C460&gt;12,$D460&lt;1,$D460&gt;31),"نامعتبر",RIGHT("0000"&amp;$B460,4)&amp;"/"&amp;RIGHT("00"&amp;$C460,2)&amp;"/"&amp;RIGHT("00"&amp;$D460,2)))</f>
        <v/>
      </c>
      <c r="F460">
        <f>IF($A460="","",IF(Issues!$D463="",0,Issues!$D463))</f>
        <v/>
      </c>
      <c r="G460">
        <f>IF($A460="","",Issues!$E463)</f>
        <v/>
      </c>
      <c r="H460">
        <f>IF($A460="","",IF(COUNTIFS(ETxnType,"پاس چک",ETxnChk,$A460)&gt;0,"پاس شده","پاس نشده"))</f>
        <v/>
      </c>
      <c r="I460">
        <f>IF($A460="","",IFERROR(INDEX(BClrDate,MATCH($A460,BClrChk,0)),""))</f>
        <v/>
      </c>
      <c r="J460">
        <f>IF($A460="","",Issues!$G463)</f>
        <v/>
      </c>
      <c r="K460">
        <f>IF(OR($E460="",$E460="نامعتبر"),"",LEFT($E460,4)&amp;MID($E460,6,2)&amp;RIGHT($E460,2)&amp;"|"&amp;RIGHT("00000"&amp;455,5))</f>
        <v/>
      </c>
      <c r="M460">
        <f>IF(Sync!$M460&lt;&gt;"پاس چک","",IF(Sync!$P460="","",Sync!$P460))</f>
        <v/>
      </c>
      <c r="N460">
        <f>IF($M460="","",IF(ISNUMBER(Sync!$L460),IF(AND(Sync!$L460&gt;=10000101,Sync!$L460&lt;=99991231),RIGHT("0000"&amp;INT(Sync!$L460/10000),4)&amp;"/"&amp;RIGHT("00"&amp;INT(MOD(Sync!$L460,10000)/100),2)&amp;"/"&amp;RIGHT("00"&amp;MOD(Sync!$L460,100),2),""),IFERROR(RIGHT("0000"&amp;VALUE(TRIM(LEFT(Sync!$L460,FIND("/",Sync!$L460)-1))),4)&amp;"/"&amp;RIGHT("00"&amp;VALUE(TRIM(LEFT(MID(Sync!$L460,FIND("/",Sync!$L460)+1,20),FIND("/",MID(Sync!$L460,FIND("/",Sync!$L460)+1,20))-1))),2)&amp;"/"&amp;RIGHT("00"&amp;VALUE(TRIM(MID(MID(Sync!$L460,FIND("/",Sync!$L460)+1,20),FIND("/",MID(Sync!$L460,FIND("/",Sync!$L460)+1,20))+1,20))),2),"")))</f>
        <v/>
      </c>
    </row>
    <row r="461">
      <c r="A461">
        <f>IF(Issues!$B464="","",Issues!$B464)</f>
        <v/>
      </c>
      <c r="B461">
        <f>IF($A461="","",IF(ISNUMBER(Issues!$C464),IF(AND(Issues!$C464&gt;=10000101,Issues!$C464&lt;=99991231),INT(Issues!$C464/10000),""),IFERROR(VALUE(TRIM(LEFT(Issues!$C464,FIND("/",Issues!$C464)-1))),"")))</f>
        <v/>
      </c>
      <c r="C461">
        <f>IF(OR($A461="",$B461=""),"",IF(ISNUMBER(Issues!$C464),INT(MOD(Issues!$C464,10000)/100),IFERROR(VALUE(TRIM(LEFT(MID(Issues!$C464,FIND("/",Issues!$C464)+1,20),FIND("/",MID(Issues!$C464,FIND("/",Issues!$C464)+1,20))-1))),"")))</f>
        <v/>
      </c>
      <c r="D461">
        <f>IF(OR($A461="",$B461=""),"",IF(ISNUMBER(Issues!$C464),MOD(Issues!$C464,100),IFERROR(VALUE(TRIM(MID(MID(Issues!$C464,FIND("/",Issues!$C464)+1,20),FIND("/",MID(Issues!$C464,FIND("/",Issues!$C464)+1,20))+1,20))),"")))</f>
        <v/>
      </c>
      <c r="E461">
        <f>IF($A461="","",IF(OR($B461="",$C461="",$D461="",$B461&lt;1300,$B461&gt;1500,$C461&lt;1,$C461&gt;12,$D461&lt;1,$D461&gt;31),"نامعتبر",RIGHT("0000"&amp;$B461,4)&amp;"/"&amp;RIGHT("00"&amp;$C461,2)&amp;"/"&amp;RIGHT("00"&amp;$D461,2)))</f>
        <v/>
      </c>
      <c r="F461">
        <f>IF($A461="","",IF(Issues!$D464="",0,Issues!$D464))</f>
        <v/>
      </c>
      <c r="G461">
        <f>IF($A461="","",Issues!$E464)</f>
        <v/>
      </c>
      <c r="H461">
        <f>IF($A461="","",IF(COUNTIFS(ETxnType,"پاس چک",ETxnChk,$A461)&gt;0,"پاس شده","پاس نشده"))</f>
        <v/>
      </c>
      <c r="I461">
        <f>IF($A461="","",IFERROR(INDEX(BClrDate,MATCH($A461,BClrChk,0)),""))</f>
        <v/>
      </c>
      <c r="J461">
        <f>IF($A461="","",Issues!$G464)</f>
        <v/>
      </c>
      <c r="K461">
        <f>IF(OR($E461="",$E461="نامعتبر"),"",LEFT($E461,4)&amp;MID($E461,6,2)&amp;RIGHT($E461,2)&amp;"|"&amp;RIGHT("00000"&amp;456,5))</f>
        <v/>
      </c>
      <c r="M461">
        <f>IF(Sync!$M461&lt;&gt;"پاس چک","",IF(Sync!$P461="","",Sync!$P461))</f>
        <v/>
      </c>
      <c r="N461">
        <f>IF($M461="","",IF(ISNUMBER(Sync!$L461),IF(AND(Sync!$L461&gt;=10000101,Sync!$L461&lt;=99991231),RIGHT("0000"&amp;INT(Sync!$L461/10000),4)&amp;"/"&amp;RIGHT("00"&amp;INT(MOD(Sync!$L461,10000)/100),2)&amp;"/"&amp;RIGHT("00"&amp;MOD(Sync!$L461,100),2),""),IFERROR(RIGHT("0000"&amp;VALUE(TRIM(LEFT(Sync!$L461,FIND("/",Sync!$L461)-1))),4)&amp;"/"&amp;RIGHT("00"&amp;VALUE(TRIM(LEFT(MID(Sync!$L461,FIND("/",Sync!$L461)+1,20),FIND("/",MID(Sync!$L461,FIND("/",Sync!$L461)+1,20))-1))),2)&amp;"/"&amp;RIGHT("00"&amp;VALUE(TRIM(MID(MID(Sync!$L461,FIND("/",Sync!$L461)+1,20),FIND("/",MID(Sync!$L461,FIND("/",Sync!$L461)+1,20))+1,20))),2),"")))</f>
        <v/>
      </c>
    </row>
    <row r="462">
      <c r="A462">
        <f>IF(Issues!$B465="","",Issues!$B465)</f>
        <v/>
      </c>
      <c r="B462">
        <f>IF($A462="","",IF(ISNUMBER(Issues!$C465),IF(AND(Issues!$C465&gt;=10000101,Issues!$C465&lt;=99991231),INT(Issues!$C465/10000),""),IFERROR(VALUE(TRIM(LEFT(Issues!$C465,FIND("/",Issues!$C465)-1))),"")))</f>
        <v/>
      </c>
      <c r="C462">
        <f>IF(OR($A462="",$B462=""),"",IF(ISNUMBER(Issues!$C465),INT(MOD(Issues!$C465,10000)/100),IFERROR(VALUE(TRIM(LEFT(MID(Issues!$C465,FIND("/",Issues!$C465)+1,20),FIND("/",MID(Issues!$C465,FIND("/",Issues!$C465)+1,20))-1))),"")))</f>
        <v/>
      </c>
      <c r="D462">
        <f>IF(OR($A462="",$B462=""),"",IF(ISNUMBER(Issues!$C465),MOD(Issues!$C465,100),IFERROR(VALUE(TRIM(MID(MID(Issues!$C465,FIND("/",Issues!$C465)+1,20),FIND("/",MID(Issues!$C465,FIND("/",Issues!$C465)+1,20))+1,20))),"")))</f>
        <v/>
      </c>
      <c r="E462">
        <f>IF($A462="","",IF(OR($B462="",$C462="",$D462="",$B462&lt;1300,$B462&gt;1500,$C462&lt;1,$C462&gt;12,$D462&lt;1,$D462&gt;31),"نامعتبر",RIGHT("0000"&amp;$B462,4)&amp;"/"&amp;RIGHT("00"&amp;$C462,2)&amp;"/"&amp;RIGHT("00"&amp;$D462,2)))</f>
        <v/>
      </c>
      <c r="F462">
        <f>IF($A462="","",IF(Issues!$D465="",0,Issues!$D465))</f>
        <v/>
      </c>
      <c r="G462">
        <f>IF($A462="","",Issues!$E465)</f>
        <v/>
      </c>
      <c r="H462">
        <f>IF($A462="","",IF(COUNTIFS(ETxnType,"پاس چک",ETxnChk,$A462)&gt;0,"پاس شده","پاس نشده"))</f>
        <v/>
      </c>
      <c r="I462">
        <f>IF($A462="","",IFERROR(INDEX(BClrDate,MATCH($A462,BClrChk,0)),""))</f>
        <v/>
      </c>
      <c r="J462">
        <f>IF($A462="","",Issues!$G465)</f>
        <v/>
      </c>
      <c r="K462">
        <f>IF(OR($E462="",$E462="نامعتبر"),"",LEFT($E462,4)&amp;MID($E462,6,2)&amp;RIGHT($E462,2)&amp;"|"&amp;RIGHT("00000"&amp;457,5))</f>
        <v/>
      </c>
      <c r="M462">
        <f>IF(Sync!$M462&lt;&gt;"پاس چک","",IF(Sync!$P462="","",Sync!$P462))</f>
        <v/>
      </c>
      <c r="N462">
        <f>IF($M462="","",IF(ISNUMBER(Sync!$L462),IF(AND(Sync!$L462&gt;=10000101,Sync!$L462&lt;=99991231),RIGHT("0000"&amp;INT(Sync!$L462/10000),4)&amp;"/"&amp;RIGHT("00"&amp;INT(MOD(Sync!$L462,10000)/100),2)&amp;"/"&amp;RIGHT("00"&amp;MOD(Sync!$L462,100),2),""),IFERROR(RIGHT("0000"&amp;VALUE(TRIM(LEFT(Sync!$L462,FIND("/",Sync!$L462)-1))),4)&amp;"/"&amp;RIGHT("00"&amp;VALUE(TRIM(LEFT(MID(Sync!$L462,FIND("/",Sync!$L462)+1,20),FIND("/",MID(Sync!$L462,FIND("/",Sync!$L462)+1,20))-1))),2)&amp;"/"&amp;RIGHT("00"&amp;VALUE(TRIM(MID(MID(Sync!$L462,FIND("/",Sync!$L462)+1,20),FIND("/",MID(Sync!$L462,FIND("/",Sync!$L462)+1,20))+1,20))),2),"")))</f>
        <v/>
      </c>
    </row>
    <row r="463">
      <c r="A463">
        <f>IF(Issues!$B466="","",Issues!$B466)</f>
        <v/>
      </c>
      <c r="B463">
        <f>IF($A463="","",IF(ISNUMBER(Issues!$C466),IF(AND(Issues!$C466&gt;=10000101,Issues!$C466&lt;=99991231),INT(Issues!$C466/10000),""),IFERROR(VALUE(TRIM(LEFT(Issues!$C466,FIND("/",Issues!$C466)-1))),"")))</f>
        <v/>
      </c>
      <c r="C463">
        <f>IF(OR($A463="",$B463=""),"",IF(ISNUMBER(Issues!$C466),INT(MOD(Issues!$C466,10000)/100),IFERROR(VALUE(TRIM(LEFT(MID(Issues!$C466,FIND("/",Issues!$C466)+1,20),FIND("/",MID(Issues!$C466,FIND("/",Issues!$C466)+1,20))-1))),"")))</f>
        <v/>
      </c>
      <c r="D463">
        <f>IF(OR($A463="",$B463=""),"",IF(ISNUMBER(Issues!$C466),MOD(Issues!$C466,100),IFERROR(VALUE(TRIM(MID(MID(Issues!$C466,FIND("/",Issues!$C466)+1,20),FIND("/",MID(Issues!$C466,FIND("/",Issues!$C466)+1,20))+1,20))),"")))</f>
        <v/>
      </c>
      <c r="E463">
        <f>IF($A463="","",IF(OR($B463="",$C463="",$D463="",$B463&lt;1300,$B463&gt;1500,$C463&lt;1,$C463&gt;12,$D463&lt;1,$D463&gt;31),"نامعتبر",RIGHT("0000"&amp;$B463,4)&amp;"/"&amp;RIGHT("00"&amp;$C463,2)&amp;"/"&amp;RIGHT("00"&amp;$D463,2)))</f>
        <v/>
      </c>
      <c r="F463">
        <f>IF($A463="","",IF(Issues!$D466="",0,Issues!$D466))</f>
        <v/>
      </c>
      <c r="G463">
        <f>IF($A463="","",Issues!$E466)</f>
        <v/>
      </c>
      <c r="H463">
        <f>IF($A463="","",IF(COUNTIFS(ETxnType,"پاس چک",ETxnChk,$A463)&gt;0,"پاس شده","پاس نشده"))</f>
        <v/>
      </c>
      <c r="I463">
        <f>IF($A463="","",IFERROR(INDEX(BClrDate,MATCH($A463,BClrChk,0)),""))</f>
        <v/>
      </c>
      <c r="J463">
        <f>IF($A463="","",Issues!$G466)</f>
        <v/>
      </c>
      <c r="K463">
        <f>IF(OR($E463="",$E463="نامعتبر"),"",LEFT($E463,4)&amp;MID($E463,6,2)&amp;RIGHT($E463,2)&amp;"|"&amp;RIGHT("00000"&amp;458,5))</f>
        <v/>
      </c>
      <c r="M463">
        <f>IF(Sync!$M463&lt;&gt;"پاس چک","",IF(Sync!$P463="","",Sync!$P463))</f>
        <v/>
      </c>
      <c r="N463">
        <f>IF($M463="","",IF(ISNUMBER(Sync!$L463),IF(AND(Sync!$L463&gt;=10000101,Sync!$L463&lt;=99991231),RIGHT("0000"&amp;INT(Sync!$L463/10000),4)&amp;"/"&amp;RIGHT("00"&amp;INT(MOD(Sync!$L463,10000)/100),2)&amp;"/"&amp;RIGHT("00"&amp;MOD(Sync!$L463,100),2),""),IFERROR(RIGHT("0000"&amp;VALUE(TRIM(LEFT(Sync!$L463,FIND("/",Sync!$L463)-1))),4)&amp;"/"&amp;RIGHT("00"&amp;VALUE(TRIM(LEFT(MID(Sync!$L463,FIND("/",Sync!$L463)+1,20),FIND("/",MID(Sync!$L463,FIND("/",Sync!$L463)+1,20))-1))),2)&amp;"/"&amp;RIGHT("00"&amp;VALUE(TRIM(MID(MID(Sync!$L463,FIND("/",Sync!$L463)+1,20),FIND("/",MID(Sync!$L463,FIND("/",Sync!$L463)+1,20))+1,20))),2),"")))</f>
        <v/>
      </c>
    </row>
    <row r="464">
      <c r="A464">
        <f>IF(Issues!$B467="","",Issues!$B467)</f>
        <v/>
      </c>
      <c r="B464">
        <f>IF($A464="","",IF(ISNUMBER(Issues!$C467),IF(AND(Issues!$C467&gt;=10000101,Issues!$C467&lt;=99991231),INT(Issues!$C467/10000),""),IFERROR(VALUE(TRIM(LEFT(Issues!$C467,FIND("/",Issues!$C467)-1))),"")))</f>
        <v/>
      </c>
      <c r="C464">
        <f>IF(OR($A464="",$B464=""),"",IF(ISNUMBER(Issues!$C467),INT(MOD(Issues!$C467,10000)/100),IFERROR(VALUE(TRIM(LEFT(MID(Issues!$C467,FIND("/",Issues!$C467)+1,20),FIND("/",MID(Issues!$C467,FIND("/",Issues!$C467)+1,20))-1))),"")))</f>
        <v/>
      </c>
      <c r="D464">
        <f>IF(OR($A464="",$B464=""),"",IF(ISNUMBER(Issues!$C467),MOD(Issues!$C467,100),IFERROR(VALUE(TRIM(MID(MID(Issues!$C467,FIND("/",Issues!$C467)+1,20),FIND("/",MID(Issues!$C467,FIND("/",Issues!$C467)+1,20))+1,20))),"")))</f>
        <v/>
      </c>
      <c r="E464">
        <f>IF($A464="","",IF(OR($B464="",$C464="",$D464="",$B464&lt;1300,$B464&gt;1500,$C464&lt;1,$C464&gt;12,$D464&lt;1,$D464&gt;31),"نامعتبر",RIGHT("0000"&amp;$B464,4)&amp;"/"&amp;RIGHT("00"&amp;$C464,2)&amp;"/"&amp;RIGHT("00"&amp;$D464,2)))</f>
        <v/>
      </c>
      <c r="F464">
        <f>IF($A464="","",IF(Issues!$D467="",0,Issues!$D467))</f>
        <v/>
      </c>
      <c r="G464">
        <f>IF($A464="","",Issues!$E467)</f>
        <v/>
      </c>
      <c r="H464">
        <f>IF($A464="","",IF(COUNTIFS(ETxnType,"پاس چک",ETxnChk,$A464)&gt;0,"پاس شده","پاس نشده"))</f>
        <v/>
      </c>
      <c r="I464">
        <f>IF($A464="","",IFERROR(INDEX(BClrDate,MATCH($A464,BClrChk,0)),""))</f>
        <v/>
      </c>
      <c r="J464">
        <f>IF($A464="","",Issues!$G467)</f>
        <v/>
      </c>
      <c r="K464">
        <f>IF(OR($E464="",$E464="نامعتبر"),"",LEFT($E464,4)&amp;MID($E464,6,2)&amp;RIGHT($E464,2)&amp;"|"&amp;RIGHT("00000"&amp;459,5))</f>
        <v/>
      </c>
      <c r="M464">
        <f>IF(Sync!$M464&lt;&gt;"پاس چک","",IF(Sync!$P464="","",Sync!$P464))</f>
        <v/>
      </c>
      <c r="N464">
        <f>IF($M464="","",IF(ISNUMBER(Sync!$L464),IF(AND(Sync!$L464&gt;=10000101,Sync!$L464&lt;=99991231),RIGHT("0000"&amp;INT(Sync!$L464/10000),4)&amp;"/"&amp;RIGHT("00"&amp;INT(MOD(Sync!$L464,10000)/100),2)&amp;"/"&amp;RIGHT("00"&amp;MOD(Sync!$L464,100),2),""),IFERROR(RIGHT("0000"&amp;VALUE(TRIM(LEFT(Sync!$L464,FIND("/",Sync!$L464)-1))),4)&amp;"/"&amp;RIGHT("00"&amp;VALUE(TRIM(LEFT(MID(Sync!$L464,FIND("/",Sync!$L464)+1,20),FIND("/",MID(Sync!$L464,FIND("/",Sync!$L464)+1,20))-1))),2)&amp;"/"&amp;RIGHT("00"&amp;VALUE(TRIM(MID(MID(Sync!$L464,FIND("/",Sync!$L464)+1,20),FIND("/",MID(Sync!$L464,FIND("/",Sync!$L464)+1,20))+1,20))),2),"")))</f>
        <v/>
      </c>
    </row>
    <row r="465">
      <c r="A465">
        <f>IF(Issues!$B468="","",Issues!$B468)</f>
        <v/>
      </c>
      <c r="B465">
        <f>IF($A465="","",IF(ISNUMBER(Issues!$C468),IF(AND(Issues!$C468&gt;=10000101,Issues!$C468&lt;=99991231),INT(Issues!$C468/10000),""),IFERROR(VALUE(TRIM(LEFT(Issues!$C468,FIND("/",Issues!$C468)-1))),"")))</f>
        <v/>
      </c>
      <c r="C465">
        <f>IF(OR($A465="",$B465=""),"",IF(ISNUMBER(Issues!$C468),INT(MOD(Issues!$C468,10000)/100),IFERROR(VALUE(TRIM(LEFT(MID(Issues!$C468,FIND("/",Issues!$C468)+1,20),FIND("/",MID(Issues!$C468,FIND("/",Issues!$C468)+1,20))-1))),"")))</f>
        <v/>
      </c>
      <c r="D465">
        <f>IF(OR($A465="",$B465=""),"",IF(ISNUMBER(Issues!$C468),MOD(Issues!$C468,100),IFERROR(VALUE(TRIM(MID(MID(Issues!$C468,FIND("/",Issues!$C468)+1,20),FIND("/",MID(Issues!$C468,FIND("/",Issues!$C468)+1,20))+1,20))),"")))</f>
        <v/>
      </c>
      <c r="E465">
        <f>IF($A465="","",IF(OR($B465="",$C465="",$D465="",$B465&lt;1300,$B465&gt;1500,$C465&lt;1,$C465&gt;12,$D465&lt;1,$D465&gt;31),"نامعتبر",RIGHT("0000"&amp;$B465,4)&amp;"/"&amp;RIGHT("00"&amp;$C465,2)&amp;"/"&amp;RIGHT("00"&amp;$D465,2)))</f>
        <v/>
      </c>
      <c r="F465">
        <f>IF($A465="","",IF(Issues!$D468="",0,Issues!$D468))</f>
        <v/>
      </c>
      <c r="G465">
        <f>IF($A465="","",Issues!$E468)</f>
        <v/>
      </c>
      <c r="H465">
        <f>IF($A465="","",IF(COUNTIFS(ETxnType,"پاس چک",ETxnChk,$A465)&gt;0,"پاس شده","پاس نشده"))</f>
        <v/>
      </c>
      <c r="I465">
        <f>IF($A465="","",IFERROR(INDEX(BClrDate,MATCH($A465,BClrChk,0)),""))</f>
        <v/>
      </c>
      <c r="J465">
        <f>IF($A465="","",Issues!$G468)</f>
        <v/>
      </c>
      <c r="K465">
        <f>IF(OR($E465="",$E465="نامعتبر"),"",LEFT($E465,4)&amp;MID($E465,6,2)&amp;RIGHT($E465,2)&amp;"|"&amp;RIGHT("00000"&amp;460,5))</f>
        <v/>
      </c>
      <c r="M465">
        <f>IF(Sync!$M465&lt;&gt;"پاس چک","",IF(Sync!$P465="","",Sync!$P465))</f>
        <v/>
      </c>
      <c r="N465">
        <f>IF($M465="","",IF(ISNUMBER(Sync!$L465),IF(AND(Sync!$L465&gt;=10000101,Sync!$L465&lt;=99991231),RIGHT("0000"&amp;INT(Sync!$L465/10000),4)&amp;"/"&amp;RIGHT("00"&amp;INT(MOD(Sync!$L465,10000)/100),2)&amp;"/"&amp;RIGHT("00"&amp;MOD(Sync!$L465,100),2),""),IFERROR(RIGHT("0000"&amp;VALUE(TRIM(LEFT(Sync!$L465,FIND("/",Sync!$L465)-1))),4)&amp;"/"&amp;RIGHT("00"&amp;VALUE(TRIM(LEFT(MID(Sync!$L465,FIND("/",Sync!$L465)+1,20),FIND("/",MID(Sync!$L465,FIND("/",Sync!$L465)+1,20))-1))),2)&amp;"/"&amp;RIGHT("00"&amp;VALUE(TRIM(MID(MID(Sync!$L465,FIND("/",Sync!$L465)+1,20),FIND("/",MID(Sync!$L465,FIND("/",Sync!$L465)+1,20))+1,20))),2),"")))</f>
        <v/>
      </c>
    </row>
    <row r="466">
      <c r="A466">
        <f>IF(Issues!$B469="","",Issues!$B469)</f>
        <v/>
      </c>
      <c r="B466">
        <f>IF($A466="","",IF(ISNUMBER(Issues!$C469),IF(AND(Issues!$C469&gt;=10000101,Issues!$C469&lt;=99991231),INT(Issues!$C469/10000),""),IFERROR(VALUE(TRIM(LEFT(Issues!$C469,FIND("/",Issues!$C469)-1))),"")))</f>
        <v/>
      </c>
      <c r="C466">
        <f>IF(OR($A466="",$B466=""),"",IF(ISNUMBER(Issues!$C469),INT(MOD(Issues!$C469,10000)/100),IFERROR(VALUE(TRIM(LEFT(MID(Issues!$C469,FIND("/",Issues!$C469)+1,20),FIND("/",MID(Issues!$C469,FIND("/",Issues!$C469)+1,20))-1))),"")))</f>
        <v/>
      </c>
      <c r="D466">
        <f>IF(OR($A466="",$B466=""),"",IF(ISNUMBER(Issues!$C469),MOD(Issues!$C469,100),IFERROR(VALUE(TRIM(MID(MID(Issues!$C469,FIND("/",Issues!$C469)+1,20),FIND("/",MID(Issues!$C469,FIND("/",Issues!$C469)+1,20))+1,20))),"")))</f>
        <v/>
      </c>
      <c r="E466">
        <f>IF($A466="","",IF(OR($B466="",$C466="",$D466="",$B466&lt;1300,$B466&gt;1500,$C466&lt;1,$C466&gt;12,$D466&lt;1,$D466&gt;31),"نامعتبر",RIGHT("0000"&amp;$B466,4)&amp;"/"&amp;RIGHT("00"&amp;$C466,2)&amp;"/"&amp;RIGHT("00"&amp;$D466,2)))</f>
        <v/>
      </c>
      <c r="F466">
        <f>IF($A466="","",IF(Issues!$D469="",0,Issues!$D469))</f>
        <v/>
      </c>
      <c r="G466">
        <f>IF($A466="","",Issues!$E469)</f>
        <v/>
      </c>
      <c r="H466">
        <f>IF($A466="","",IF(COUNTIFS(ETxnType,"پاس چک",ETxnChk,$A466)&gt;0,"پاس شده","پاس نشده"))</f>
        <v/>
      </c>
      <c r="I466">
        <f>IF($A466="","",IFERROR(INDEX(BClrDate,MATCH($A466,BClrChk,0)),""))</f>
        <v/>
      </c>
      <c r="J466">
        <f>IF($A466="","",Issues!$G469)</f>
        <v/>
      </c>
      <c r="K466">
        <f>IF(OR($E466="",$E466="نامعتبر"),"",LEFT($E466,4)&amp;MID($E466,6,2)&amp;RIGHT($E466,2)&amp;"|"&amp;RIGHT("00000"&amp;461,5))</f>
        <v/>
      </c>
      <c r="M466">
        <f>IF(Sync!$M466&lt;&gt;"پاس چک","",IF(Sync!$P466="","",Sync!$P466))</f>
        <v/>
      </c>
      <c r="N466">
        <f>IF($M466="","",IF(ISNUMBER(Sync!$L466),IF(AND(Sync!$L466&gt;=10000101,Sync!$L466&lt;=99991231),RIGHT("0000"&amp;INT(Sync!$L466/10000),4)&amp;"/"&amp;RIGHT("00"&amp;INT(MOD(Sync!$L466,10000)/100),2)&amp;"/"&amp;RIGHT("00"&amp;MOD(Sync!$L466,100),2),""),IFERROR(RIGHT("0000"&amp;VALUE(TRIM(LEFT(Sync!$L466,FIND("/",Sync!$L466)-1))),4)&amp;"/"&amp;RIGHT("00"&amp;VALUE(TRIM(LEFT(MID(Sync!$L466,FIND("/",Sync!$L466)+1,20),FIND("/",MID(Sync!$L466,FIND("/",Sync!$L466)+1,20))-1))),2)&amp;"/"&amp;RIGHT("00"&amp;VALUE(TRIM(MID(MID(Sync!$L466,FIND("/",Sync!$L466)+1,20),FIND("/",MID(Sync!$L466,FIND("/",Sync!$L466)+1,20))+1,20))),2),"")))</f>
        <v/>
      </c>
    </row>
    <row r="467">
      <c r="A467">
        <f>IF(Issues!$B470="","",Issues!$B470)</f>
        <v/>
      </c>
      <c r="B467">
        <f>IF($A467="","",IF(ISNUMBER(Issues!$C470),IF(AND(Issues!$C470&gt;=10000101,Issues!$C470&lt;=99991231),INT(Issues!$C470/10000),""),IFERROR(VALUE(TRIM(LEFT(Issues!$C470,FIND("/",Issues!$C470)-1))),"")))</f>
        <v/>
      </c>
      <c r="C467">
        <f>IF(OR($A467="",$B467=""),"",IF(ISNUMBER(Issues!$C470),INT(MOD(Issues!$C470,10000)/100),IFERROR(VALUE(TRIM(LEFT(MID(Issues!$C470,FIND("/",Issues!$C470)+1,20),FIND("/",MID(Issues!$C470,FIND("/",Issues!$C470)+1,20))-1))),"")))</f>
        <v/>
      </c>
      <c r="D467">
        <f>IF(OR($A467="",$B467=""),"",IF(ISNUMBER(Issues!$C470),MOD(Issues!$C470,100),IFERROR(VALUE(TRIM(MID(MID(Issues!$C470,FIND("/",Issues!$C470)+1,20),FIND("/",MID(Issues!$C470,FIND("/",Issues!$C470)+1,20))+1,20))),"")))</f>
        <v/>
      </c>
      <c r="E467">
        <f>IF($A467="","",IF(OR($B467="",$C467="",$D467="",$B467&lt;1300,$B467&gt;1500,$C467&lt;1,$C467&gt;12,$D467&lt;1,$D467&gt;31),"نامعتبر",RIGHT("0000"&amp;$B467,4)&amp;"/"&amp;RIGHT("00"&amp;$C467,2)&amp;"/"&amp;RIGHT("00"&amp;$D467,2)))</f>
        <v/>
      </c>
      <c r="F467">
        <f>IF($A467="","",IF(Issues!$D470="",0,Issues!$D470))</f>
        <v/>
      </c>
      <c r="G467">
        <f>IF($A467="","",Issues!$E470)</f>
        <v/>
      </c>
      <c r="H467">
        <f>IF($A467="","",IF(COUNTIFS(ETxnType,"پاس چک",ETxnChk,$A467)&gt;0,"پاس شده","پاس نشده"))</f>
        <v/>
      </c>
      <c r="I467">
        <f>IF($A467="","",IFERROR(INDEX(BClrDate,MATCH($A467,BClrChk,0)),""))</f>
        <v/>
      </c>
      <c r="J467">
        <f>IF($A467="","",Issues!$G470)</f>
        <v/>
      </c>
      <c r="K467">
        <f>IF(OR($E467="",$E467="نامعتبر"),"",LEFT($E467,4)&amp;MID($E467,6,2)&amp;RIGHT($E467,2)&amp;"|"&amp;RIGHT("00000"&amp;462,5))</f>
        <v/>
      </c>
      <c r="M467">
        <f>IF(Sync!$M467&lt;&gt;"پاس چک","",IF(Sync!$P467="","",Sync!$P467))</f>
        <v/>
      </c>
      <c r="N467">
        <f>IF($M467="","",IF(ISNUMBER(Sync!$L467),IF(AND(Sync!$L467&gt;=10000101,Sync!$L467&lt;=99991231),RIGHT("0000"&amp;INT(Sync!$L467/10000),4)&amp;"/"&amp;RIGHT("00"&amp;INT(MOD(Sync!$L467,10000)/100),2)&amp;"/"&amp;RIGHT("00"&amp;MOD(Sync!$L467,100),2),""),IFERROR(RIGHT("0000"&amp;VALUE(TRIM(LEFT(Sync!$L467,FIND("/",Sync!$L467)-1))),4)&amp;"/"&amp;RIGHT("00"&amp;VALUE(TRIM(LEFT(MID(Sync!$L467,FIND("/",Sync!$L467)+1,20),FIND("/",MID(Sync!$L467,FIND("/",Sync!$L467)+1,20))-1))),2)&amp;"/"&amp;RIGHT("00"&amp;VALUE(TRIM(MID(MID(Sync!$L467,FIND("/",Sync!$L467)+1,20),FIND("/",MID(Sync!$L467,FIND("/",Sync!$L467)+1,20))+1,20))),2),"")))</f>
        <v/>
      </c>
    </row>
    <row r="468">
      <c r="A468">
        <f>IF(Issues!$B471="","",Issues!$B471)</f>
        <v/>
      </c>
      <c r="B468">
        <f>IF($A468="","",IF(ISNUMBER(Issues!$C471),IF(AND(Issues!$C471&gt;=10000101,Issues!$C471&lt;=99991231),INT(Issues!$C471/10000),""),IFERROR(VALUE(TRIM(LEFT(Issues!$C471,FIND("/",Issues!$C471)-1))),"")))</f>
        <v/>
      </c>
      <c r="C468">
        <f>IF(OR($A468="",$B468=""),"",IF(ISNUMBER(Issues!$C471),INT(MOD(Issues!$C471,10000)/100),IFERROR(VALUE(TRIM(LEFT(MID(Issues!$C471,FIND("/",Issues!$C471)+1,20),FIND("/",MID(Issues!$C471,FIND("/",Issues!$C471)+1,20))-1))),"")))</f>
        <v/>
      </c>
      <c r="D468">
        <f>IF(OR($A468="",$B468=""),"",IF(ISNUMBER(Issues!$C471),MOD(Issues!$C471,100),IFERROR(VALUE(TRIM(MID(MID(Issues!$C471,FIND("/",Issues!$C471)+1,20),FIND("/",MID(Issues!$C471,FIND("/",Issues!$C471)+1,20))+1,20))),"")))</f>
        <v/>
      </c>
      <c r="E468">
        <f>IF($A468="","",IF(OR($B468="",$C468="",$D468="",$B468&lt;1300,$B468&gt;1500,$C468&lt;1,$C468&gt;12,$D468&lt;1,$D468&gt;31),"نامعتبر",RIGHT("0000"&amp;$B468,4)&amp;"/"&amp;RIGHT("00"&amp;$C468,2)&amp;"/"&amp;RIGHT("00"&amp;$D468,2)))</f>
        <v/>
      </c>
      <c r="F468">
        <f>IF($A468="","",IF(Issues!$D471="",0,Issues!$D471))</f>
        <v/>
      </c>
      <c r="G468">
        <f>IF($A468="","",Issues!$E471)</f>
        <v/>
      </c>
      <c r="H468">
        <f>IF($A468="","",IF(COUNTIFS(ETxnType,"پاس چک",ETxnChk,$A468)&gt;0,"پاس شده","پاس نشده"))</f>
        <v/>
      </c>
      <c r="I468">
        <f>IF($A468="","",IFERROR(INDEX(BClrDate,MATCH($A468,BClrChk,0)),""))</f>
        <v/>
      </c>
      <c r="J468">
        <f>IF($A468="","",Issues!$G471)</f>
        <v/>
      </c>
      <c r="K468">
        <f>IF(OR($E468="",$E468="نامعتبر"),"",LEFT($E468,4)&amp;MID($E468,6,2)&amp;RIGHT($E468,2)&amp;"|"&amp;RIGHT("00000"&amp;463,5))</f>
        <v/>
      </c>
      <c r="M468">
        <f>IF(Sync!$M468&lt;&gt;"پاس چک","",IF(Sync!$P468="","",Sync!$P468))</f>
        <v/>
      </c>
      <c r="N468">
        <f>IF($M468="","",IF(ISNUMBER(Sync!$L468),IF(AND(Sync!$L468&gt;=10000101,Sync!$L468&lt;=99991231),RIGHT("0000"&amp;INT(Sync!$L468/10000),4)&amp;"/"&amp;RIGHT("00"&amp;INT(MOD(Sync!$L468,10000)/100),2)&amp;"/"&amp;RIGHT("00"&amp;MOD(Sync!$L468,100),2),""),IFERROR(RIGHT("0000"&amp;VALUE(TRIM(LEFT(Sync!$L468,FIND("/",Sync!$L468)-1))),4)&amp;"/"&amp;RIGHT("00"&amp;VALUE(TRIM(LEFT(MID(Sync!$L468,FIND("/",Sync!$L468)+1,20),FIND("/",MID(Sync!$L468,FIND("/",Sync!$L468)+1,20))-1))),2)&amp;"/"&amp;RIGHT("00"&amp;VALUE(TRIM(MID(MID(Sync!$L468,FIND("/",Sync!$L468)+1,20),FIND("/",MID(Sync!$L468,FIND("/",Sync!$L468)+1,20))+1,20))),2),"")))</f>
        <v/>
      </c>
    </row>
    <row r="469">
      <c r="A469">
        <f>IF(Issues!$B472="","",Issues!$B472)</f>
        <v/>
      </c>
      <c r="B469">
        <f>IF($A469="","",IF(ISNUMBER(Issues!$C472),IF(AND(Issues!$C472&gt;=10000101,Issues!$C472&lt;=99991231),INT(Issues!$C472/10000),""),IFERROR(VALUE(TRIM(LEFT(Issues!$C472,FIND("/",Issues!$C472)-1))),"")))</f>
        <v/>
      </c>
      <c r="C469">
        <f>IF(OR($A469="",$B469=""),"",IF(ISNUMBER(Issues!$C472),INT(MOD(Issues!$C472,10000)/100),IFERROR(VALUE(TRIM(LEFT(MID(Issues!$C472,FIND("/",Issues!$C472)+1,20),FIND("/",MID(Issues!$C472,FIND("/",Issues!$C472)+1,20))-1))),"")))</f>
        <v/>
      </c>
      <c r="D469">
        <f>IF(OR($A469="",$B469=""),"",IF(ISNUMBER(Issues!$C472),MOD(Issues!$C472,100),IFERROR(VALUE(TRIM(MID(MID(Issues!$C472,FIND("/",Issues!$C472)+1,20),FIND("/",MID(Issues!$C472,FIND("/",Issues!$C472)+1,20))+1,20))),"")))</f>
        <v/>
      </c>
      <c r="E469">
        <f>IF($A469="","",IF(OR($B469="",$C469="",$D469="",$B469&lt;1300,$B469&gt;1500,$C469&lt;1,$C469&gt;12,$D469&lt;1,$D469&gt;31),"نامعتبر",RIGHT("0000"&amp;$B469,4)&amp;"/"&amp;RIGHT("00"&amp;$C469,2)&amp;"/"&amp;RIGHT("00"&amp;$D469,2)))</f>
        <v/>
      </c>
      <c r="F469">
        <f>IF($A469="","",IF(Issues!$D472="",0,Issues!$D472))</f>
        <v/>
      </c>
      <c r="G469">
        <f>IF($A469="","",Issues!$E472)</f>
        <v/>
      </c>
      <c r="H469">
        <f>IF($A469="","",IF(COUNTIFS(ETxnType,"پاس چک",ETxnChk,$A469)&gt;0,"پاس شده","پاس نشده"))</f>
        <v/>
      </c>
      <c r="I469">
        <f>IF($A469="","",IFERROR(INDEX(BClrDate,MATCH($A469,BClrChk,0)),""))</f>
        <v/>
      </c>
      <c r="J469">
        <f>IF($A469="","",Issues!$G472)</f>
        <v/>
      </c>
      <c r="K469">
        <f>IF(OR($E469="",$E469="نامعتبر"),"",LEFT($E469,4)&amp;MID($E469,6,2)&amp;RIGHT($E469,2)&amp;"|"&amp;RIGHT("00000"&amp;464,5))</f>
        <v/>
      </c>
      <c r="M469">
        <f>IF(Sync!$M469&lt;&gt;"پاس چک","",IF(Sync!$P469="","",Sync!$P469))</f>
        <v/>
      </c>
      <c r="N469">
        <f>IF($M469="","",IF(ISNUMBER(Sync!$L469),IF(AND(Sync!$L469&gt;=10000101,Sync!$L469&lt;=99991231),RIGHT("0000"&amp;INT(Sync!$L469/10000),4)&amp;"/"&amp;RIGHT("00"&amp;INT(MOD(Sync!$L469,10000)/100),2)&amp;"/"&amp;RIGHT("00"&amp;MOD(Sync!$L469,100),2),""),IFERROR(RIGHT("0000"&amp;VALUE(TRIM(LEFT(Sync!$L469,FIND("/",Sync!$L469)-1))),4)&amp;"/"&amp;RIGHT("00"&amp;VALUE(TRIM(LEFT(MID(Sync!$L469,FIND("/",Sync!$L469)+1,20),FIND("/",MID(Sync!$L469,FIND("/",Sync!$L469)+1,20))-1))),2)&amp;"/"&amp;RIGHT("00"&amp;VALUE(TRIM(MID(MID(Sync!$L469,FIND("/",Sync!$L469)+1,20),FIND("/",MID(Sync!$L469,FIND("/",Sync!$L469)+1,20))+1,20))),2),"")))</f>
        <v/>
      </c>
    </row>
    <row r="470">
      <c r="A470">
        <f>IF(Issues!$B473="","",Issues!$B473)</f>
        <v/>
      </c>
      <c r="B470">
        <f>IF($A470="","",IF(ISNUMBER(Issues!$C473),IF(AND(Issues!$C473&gt;=10000101,Issues!$C473&lt;=99991231),INT(Issues!$C473/10000),""),IFERROR(VALUE(TRIM(LEFT(Issues!$C473,FIND("/",Issues!$C473)-1))),"")))</f>
        <v/>
      </c>
      <c r="C470">
        <f>IF(OR($A470="",$B470=""),"",IF(ISNUMBER(Issues!$C473),INT(MOD(Issues!$C473,10000)/100),IFERROR(VALUE(TRIM(LEFT(MID(Issues!$C473,FIND("/",Issues!$C473)+1,20),FIND("/",MID(Issues!$C473,FIND("/",Issues!$C473)+1,20))-1))),"")))</f>
        <v/>
      </c>
      <c r="D470">
        <f>IF(OR($A470="",$B470=""),"",IF(ISNUMBER(Issues!$C473),MOD(Issues!$C473,100),IFERROR(VALUE(TRIM(MID(MID(Issues!$C473,FIND("/",Issues!$C473)+1,20),FIND("/",MID(Issues!$C473,FIND("/",Issues!$C473)+1,20))+1,20))),"")))</f>
        <v/>
      </c>
      <c r="E470">
        <f>IF($A470="","",IF(OR($B470="",$C470="",$D470="",$B470&lt;1300,$B470&gt;1500,$C470&lt;1,$C470&gt;12,$D470&lt;1,$D470&gt;31),"نامعتبر",RIGHT("0000"&amp;$B470,4)&amp;"/"&amp;RIGHT("00"&amp;$C470,2)&amp;"/"&amp;RIGHT("00"&amp;$D470,2)))</f>
        <v/>
      </c>
      <c r="F470">
        <f>IF($A470="","",IF(Issues!$D473="",0,Issues!$D473))</f>
        <v/>
      </c>
      <c r="G470">
        <f>IF($A470="","",Issues!$E473)</f>
        <v/>
      </c>
      <c r="H470">
        <f>IF($A470="","",IF(COUNTIFS(ETxnType,"پاس چک",ETxnChk,$A470)&gt;0,"پاس شده","پاس نشده"))</f>
        <v/>
      </c>
      <c r="I470">
        <f>IF($A470="","",IFERROR(INDEX(BClrDate,MATCH($A470,BClrChk,0)),""))</f>
        <v/>
      </c>
      <c r="J470">
        <f>IF($A470="","",Issues!$G473)</f>
        <v/>
      </c>
      <c r="K470">
        <f>IF(OR($E470="",$E470="نامعتبر"),"",LEFT($E470,4)&amp;MID($E470,6,2)&amp;RIGHT($E470,2)&amp;"|"&amp;RIGHT("00000"&amp;465,5))</f>
        <v/>
      </c>
      <c r="M470">
        <f>IF(Sync!$M470&lt;&gt;"پاس چک","",IF(Sync!$P470="","",Sync!$P470))</f>
        <v/>
      </c>
      <c r="N470">
        <f>IF($M470="","",IF(ISNUMBER(Sync!$L470),IF(AND(Sync!$L470&gt;=10000101,Sync!$L470&lt;=99991231),RIGHT("0000"&amp;INT(Sync!$L470/10000),4)&amp;"/"&amp;RIGHT("00"&amp;INT(MOD(Sync!$L470,10000)/100),2)&amp;"/"&amp;RIGHT("00"&amp;MOD(Sync!$L470,100),2),""),IFERROR(RIGHT("0000"&amp;VALUE(TRIM(LEFT(Sync!$L470,FIND("/",Sync!$L470)-1))),4)&amp;"/"&amp;RIGHT("00"&amp;VALUE(TRIM(LEFT(MID(Sync!$L470,FIND("/",Sync!$L470)+1,20),FIND("/",MID(Sync!$L470,FIND("/",Sync!$L470)+1,20))-1))),2)&amp;"/"&amp;RIGHT("00"&amp;VALUE(TRIM(MID(MID(Sync!$L470,FIND("/",Sync!$L470)+1,20),FIND("/",MID(Sync!$L470,FIND("/",Sync!$L470)+1,20))+1,20))),2),"")))</f>
        <v/>
      </c>
    </row>
    <row r="471">
      <c r="A471">
        <f>IF(Issues!$B474="","",Issues!$B474)</f>
        <v/>
      </c>
      <c r="B471">
        <f>IF($A471="","",IF(ISNUMBER(Issues!$C474),IF(AND(Issues!$C474&gt;=10000101,Issues!$C474&lt;=99991231),INT(Issues!$C474/10000),""),IFERROR(VALUE(TRIM(LEFT(Issues!$C474,FIND("/",Issues!$C474)-1))),"")))</f>
        <v/>
      </c>
      <c r="C471">
        <f>IF(OR($A471="",$B471=""),"",IF(ISNUMBER(Issues!$C474),INT(MOD(Issues!$C474,10000)/100),IFERROR(VALUE(TRIM(LEFT(MID(Issues!$C474,FIND("/",Issues!$C474)+1,20),FIND("/",MID(Issues!$C474,FIND("/",Issues!$C474)+1,20))-1))),"")))</f>
        <v/>
      </c>
      <c r="D471">
        <f>IF(OR($A471="",$B471=""),"",IF(ISNUMBER(Issues!$C474),MOD(Issues!$C474,100),IFERROR(VALUE(TRIM(MID(MID(Issues!$C474,FIND("/",Issues!$C474)+1,20),FIND("/",MID(Issues!$C474,FIND("/",Issues!$C474)+1,20))+1,20))),"")))</f>
        <v/>
      </c>
      <c r="E471">
        <f>IF($A471="","",IF(OR($B471="",$C471="",$D471="",$B471&lt;1300,$B471&gt;1500,$C471&lt;1,$C471&gt;12,$D471&lt;1,$D471&gt;31),"نامعتبر",RIGHT("0000"&amp;$B471,4)&amp;"/"&amp;RIGHT("00"&amp;$C471,2)&amp;"/"&amp;RIGHT("00"&amp;$D471,2)))</f>
        <v/>
      </c>
      <c r="F471">
        <f>IF($A471="","",IF(Issues!$D474="",0,Issues!$D474))</f>
        <v/>
      </c>
      <c r="G471">
        <f>IF($A471="","",Issues!$E474)</f>
        <v/>
      </c>
      <c r="H471">
        <f>IF($A471="","",IF(COUNTIFS(ETxnType,"پاس چک",ETxnChk,$A471)&gt;0,"پاس شده","پاس نشده"))</f>
        <v/>
      </c>
      <c r="I471">
        <f>IF($A471="","",IFERROR(INDEX(BClrDate,MATCH($A471,BClrChk,0)),""))</f>
        <v/>
      </c>
      <c r="J471">
        <f>IF($A471="","",Issues!$G474)</f>
        <v/>
      </c>
      <c r="K471">
        <f>IF(OR($E471="",$E471="نامعتبر"),"",LEFT($E471,4)&amp;MID($E471,6,2)&amp;RIGHT($E471,2)&amp;"|"&amp;RIGHT("00000"&amp;466,5))</f>
        <v/>
      </c>
      <c r="M471">
        <f>IF(Sync!$M471&lt;&gt;"پاس چک","",IF(Sync!$P471="","",Sync!$P471))</f>
        <v/>
      </c>
      <c r="N471">
        <f>IF($M471="","",IF(ISNUMBER(Sync!$L471),IF(AND(Sync!$L471&gt;=10000101,Sync!$L471&lt;=99991231),RIGHT("0000"&amp;INT(Sync!$L471/10000),4)&amp;"/"&amp;RIGHT("00"&amp;INT(MOD(Sync!$L471,10000)/100),2)&amp;"/"&amp;RIGHT("00"&amp;MOD(Sync!$L471,100),2),""),IFERROR(RIGHT("0000"&amp;VALUE(TRIM(LEFT(Sync!$L471,FIND("/",Sync!$L471)-1))),4)&amp;"/"&amp;RIGHT("00"&amp;VALUE(TRIM(LEFT(MID(Sync!$L471,FIND("/",Sync!$L471)+1,20),FIND("/",MID(Sync!$L471,FIND("/",Sync!$L471)+1,20))-1))),2)&amp;"/"&amp;RIGHT("00"&amp;VALUE(TRIM(MID(MID(Sync!$L471,FIND("/",Sync!$L471)+1,20),FIND("/",MID(Sync!$L471,FIND("/",Sync!$L471)+1,20))+1,20))),2),"")))</f>
        <v/>
      </c>
    </row>
    <row r="472">
      <c r="A472">
        <f>IF(Issues!$B475="","",Issues!$B475)</f>
        <v/>
      </c>
      <c r="B472">
        <f>IF($A472="","",IF(ISNUMBER(Issues!$C475),IF(AND(Issues!$C475&gt;=10000101,Issues!$C475&lt;=99991231),INT(Issues!$C475/10000),""),IFERROR(VALUE(TRIM(LEFT(Issues!$C475,FIND("/",Issues!$C475)-1))),"")))</f>
        <v/>
      </c>
      <c r="C472">
        <f>IF(OR($A472="",$B472=""),"",IF(ISNUMBER(Issues!$C475),INT(MOD(Issues!$C475,10000)/100),IFERROR(VALUE(TRIM(LEFT(MID(Issues!$C475,FIND("/",Issues!$C475)+1,20),FIND("/",MID(Issues!$C475,FIND("/",Issues!$C475)+1,20))-1))),"")))</f>
        <v/>
      </c>
      <c r="D472">
        <f>IF(OR($A472="",$B472=""),"",IF(ISNUMBER(Issues!$C475),MOD(Issues!$C475,100),IFERROR(VALUE(TRIM(MID(MID(Issues!$C475,FIND("/",Issues!$C475)+1,20),FIND("/",MID(Issues!$C475,FIND("/",Issues!$C475)+1,20))+1,20))),"")))</f>
        <v/>
      </c>
      <c r="E472">
        <f>IF($A472="","",IF(OR($B472="",$C472="",$D472="",$B472&lt;1300,$B472&gt;1500,$C472&lt;1,$C472&gt;12,$D472&lt;1,$D472&gt;31),"نامعتبر",RIGHT("0000"&amp;$B472,4)&amp;"/"&amp;RIGHT("00"&amp;$C472,2)&amp;"/"&amp;RIGHT("00"&amp;$D472,2)))</f>
        <v/>
      </c>
      <c r="F472">
        <f>IF($A472="","",IF(Issues!$D475="",0,Issues!$D475))</f>
        <v/>
      </c>
      <c r="G472">
        <f>IF($A472="","",Issues!$E475)</f>
        <v/>
      </c>
      <c r="H472">
        <f>IF($A472="","",IF(COUNTIFS(ETxnType,"پاس چک",ETxnChk,$A472)&gt;0,"پاس شده","پاس نشده"))</f>
        <v/>
      </c>
      <c r="I472">
        <f>IF($A472="","",IFERROR(INDEX(BClrDate,MATCH($A472,BClrChk,0)),""))</f>
        <v/>
      </c>
      <c r="J472">
        <f>IF($A472="","",Issues!$G475)</f>
        <v/>
      </c>
      <c r="K472">
        <f>IF(OR($E472="",$E472="نامعتبر"),"",LEFT($E472,4)&amp;MID($E472,6,2)&amp;RIGHT($E472,2)&amp;"|"&amp;RIGHT("00000"&amp;467,5))</f>
        <v/>
      </c>
      <c r="M472">
        <f>IF(Sync!$M472&lt;&gt;"پاس چک","",IF(Sync!$P472="","",Sync!$P472))</f>
        <v/>
      </c>
      <c r="N472">
        <f>IF($M472="","",IF(ISNUMBER(Sync!$L472),IF(AND(Sync!$L472&gt;=10000101,Sync!$L472&lt;=99991231),RIGHT("0000"&amp;INT(Sync!$L472/10000),4)&amp;"/"&amp;RIGHT("00"&amp;INT(MOD(Sync!$L472,10000)/100),2)&amp;"/"&amp;RIGHT("00"&amp;MOD(Sync!$L472,100),2),""),IFERROR(RIGHT("0000"&amp;VALUE(TRIM(LEFT(Sync!$L472,FIND("/",Sync!$L472)-1))),4)&amp;"/"&amp;RIGHT("00"&amp;VALUE(TRIM(LEFT(MID(Sync!$L472,FIND("/",Sync!$L472)+1,20),FIND("/",MID(Sync!$L472,FIND("/",Sync!$L472)+1,20))-1))),2)&amp;"/"&amp;RIGHT("00"&amp;VALUE(TRIM(MID(MID(Sync!$L472,FIND("/",Sync!$L472)+1,20),FIND("/",MID(Sync!$L472,FIND("/",Sync!$L472)+1,20))+1,20))),2),"")))</f>
        <v/>
      </c>
    </row>
    <row r="473">
      <c r="A473">
        <f>IF(Issues!$B476="","",Issues!$B476)</f>
        <v/>
      </c>
      <c r="B473">
        <f>IF($A473="","",IF(ISNUMBER(Issues!$C476),IF(AND(Issues!$C476&gt;=10000101,Issues!$C476&lt;=99991231),INT(Issues!$C476/10000),""),IFERROR(VALUE(TRIM(LEFT(Issues!$C476,FIND("/",Issues!$C476)-1))),"")))</f>
        <v/>
      </c>
      <c r="C473">
        <f>IF(OR($A473="",$B473=""),"",IF(ISNUMBER(Issues!$C476),INT(MOD(Issues!$C476,10000)/100),IFERROR(VALUE(TRIM(LEFT(MID(Issues!$C476,FIND("/",Issues!$C476)+1,20),FIND("/",MID(Issues!$C476,FIND("/",Issues!$C476)+1,20))-1))),"")))</f>
        <v/>
      </c>
      <c r="D473">
        <f>IF(OR($A473="",$B473=""),"",IF(ISNUMBER(Issues!$C476),MOD(Issues!$C476,100),IFERROR(VALUE(TRIM(MID(MID(Issues!$C476,FIND("/",Issues!$C476)+1,20),FIND("/",MID(Issues!$C476,FIND("/",Issues!$C476)+1,20))+1,20))),"")))</f>
        <v/>
      </c>
      <c r="E473">
        <f>IF($A473="","",IF(OR($B473="",$C473="",$D473="",$B473&lt;1300,$B473&gt;1500,$C473&lt;1,$C473&gt;12,$D473&lt;1,$D473&gt;31),"نامعتبر",RIGHT("0000"&amp;$B473,4)&amp;"/"&amp;RIGHT("00"&amp;$C473,2)&amp;"/"&amp;RIGHT("00"&amp;$D473,2)))</f>
        <v/>
      </c>
      <c r="F473">
        <f>IF($A473="","",IF(Issues!$D476="",0,Issues!$D476))</f>
        <v/>
      </c>
      <c r="G473">
        <f>IF($A473="","",Issues!$E476)</f>
        <v/>
      </c>
      <c r="H473">
        <f>IF($A473="","",IF(COUNTIFS(ETxnType,"پاس چک",ETxnChk,$A473)&gt;0,"پاس شده","پاس نشده"))</f>
        <v/>
      </c>
      <c r="I473">
        <f>IF($A473="","",IFERROR(INDEX(BClrDate,MATCH($A473,BClrChk,0)),""))</f>
        <v/>
      </c>
      <c r="J473">
        <f>IF($A473="","",Issues!$G476)</f>
        <v/>
      </c>
      <c r="K473">
        <f>IF(OR($E473="",$E473="نامعتبر"),"",LEFT($E473,4)&amp;MID($E473,6,2)&amp;RIGHT($E473,2)&amp;"|"&amp;RIGHT("00000"&amp;468,5))</f>
        <v/>
      </c>
      <c r="M473">
        <f>IF(Sync!$M473&lt;&gt;"پاس چک","",IF(Sync!$P473="","",Sync!$P473))</f>
        <v/>
      </c>
      <c r="N473">
        <f>IF($M473="","",IF(ISNUMBER(Sync!$L473),IF(AND(Sync!$L473&gt;=10000101,Sync!$L473&lt;=99991231),RIGHT("0000"&amp;INT(Sync!$L473/10000),4)&amp;"/"&amp;RIGHT("00"&amp;INT(MOD(Sync!$L473,10000)/100),2)&amp;"/"&amp;RIGHT("00"&amp;MOD(Sync!$L473,100),2),""),IFERROR(RIGHT("0000"&amp;VALUE(TRIM(LEFT(Sync!$L473,FIND("/",Sync!$L473)-1))),4)&amp;"/"&amp;RIGHT("00"&amp;VALUE(TRIM(LEFT(MID(Sync!$L473,FIND("/",Sync!$L473)+1,20),FIND("/",MID(Sync!$L473,FIND("/",Sync!$L473)+1,20))-1))),2)&amp;"/"&amp;RIGHT("00"&amp;VALUE(TRIM(MID(MID(Sync!$L473,FIND("/",Sync!$L473)+1,20),FIND("/",MID(Sync!$L473,FIND("/",Sync!$L473)+1,20))+1,20))),2),"")))</f>
        <v/>
      </c>
    </row>
    <row r="474">
      <c r="A474">
        <f>IF(Issues!$B477="","",Issues!$B477)</f>
        <v/>
      </c>
      <c r="B474">
        <f>IF($A474="","",IF(ISNUMBER(Issues!$C477),IF(AND(Issues!$C477&gt;=10000101,Issues!$C477&lt;=99991231),INT(Issues!$C477/10000),""),IFERROR(VALUE(TRIM(LEFT(Issues!$C477,FIND("/",Issues!$C477)-1))),"")))</f>
        <v/>
      </c>
      <c r="C474">
        <f>IF(OR($A474="",$B474=""),"",IF(ISNUMBER(Issues!$C477),INT(MOD(Issues!$C477,10000)/100),IFERROR(VALUE(TRIM(LEFT(MID(Issues!$C477,FIND("/",Issues!$C477)+1,20),FIND("/",MID(Issues!$C477,FIND("/",Issues!$C477)+1,20))-1))),"")))</f>
        <v/>
      </c>
      <c r="D474">
        <f>IF(OR($A474="",$B474=""),"",IF(ISNUMBER(Issues!$C477),MOD(Issues!$C477,100),IFERROR(VALUE(TRIM(MID(MID(Issues!$C477,FIND("/",Issues!$C477)+1,20),FIND("/",MID(Issues!$C477,FIND("/",Issues!$C477)+1,20))+1,20))),"")))</f>
        <v/>
      </c>
      <c r="E474">
        <f>IF($A474="","",IF(OR($B474="",$C474="",$D474="",$B474&lt;1300,$B474&gt;1500,$C474&lt;1,$C474&gt;12,$D474&lt;1,$D474&gt;31),"نامعتبر",RIGHT("0000"&amp;$B474,4)&amp;"/"&amp;RIGHT("00"&amp;$C474,2)&amp;"/"&amp;RIGHT("00"&amp;$D474,2)))</f>
        <v/>
      </c>
      <c r="F474">
        <f>IF($A474="","",IF(Issues!$D477="",0,Issues!$D477))</f>
        <v/>
      </c>
      <c r="G474">
        <f>IF($A474="","",Issues!$E477)</f>
        <v/>
      </c>
      <c r="H474">
        <f>IF($A474="","",IF(COUNTIFS(ETxnType,"پاس چک",ETxnChk,$A474)&gt;0,"پاس شده","پاس نشده"))</f>
        <v/>
      </c>
      <c r="I474">
        <f>IF($A474="","",IFERROR(INDEX(BClrDate,MATCH($A474,BClrChk,0)),""))</f>
        <v/>
      </c>
      <c r="J474">
        <f>IF($A474="","",Issues!$G477)</f>
        <v/>
      </c>
      <c r="K474">
        <f>IF(OR($E474="",$E474="نامعتبر"),"",LEFT($E474,4)&amp;MID($E474,6,2)&amp;RIGHT($E474,2)&amp;"|"&amp;RIGHT("00000"&amp;469,5))</f>
        <v/>
      </c>
      <c r="M474">
        <f>IF(Sync!$M474&lt;&gt;"پاس چک","",IF(Sync!$P474="","",Sync!$P474))</f>
        <v/>
      </c>
      <c r="N474">
        <f>IF($M474="","",IF(ISNUMBER(Sync!$L474),IF(AND(Sync!$L474&gt;=10000101,Sync!$L474&lt;=99991231),RIGHT("0000"&amp;INT(Sync!$L474/10000),4)&amp;"/"&amp;RIGHT("00"&amp;INT(MOD(Sync!$L474,10000)/100),2)&amp;"/"&amp;RIGHT("00"&amp;MOD(Sync!$L474,100),2),""),IFERROR(RIGHT("0000"&amp;VALUE(TRIM(LEFT(Sync!$L474,FIND("/",Sync!$L474)-1))),4)&amp;"/"&amp;RIGHT("00"&amp;VALUE(TRIM(LEFT(MID(Sync!$L474,FIND("/",Sync!$L474)+1,20),FIND("/",MID(Sync!$L474,FIND("/",Sync!$L474)+1,20))-1))),2)&amp;"/"&amp;RIGHT("00"&amp;VALUE(TRIM(MID(MID(Sync!$L474,FIND("/",Sync!$L474)+1,20),FIND("/",MID(Sync!$L474,FIND("/",Sync!$L474)+1,20))+1,20))),2),"")))</f>
        <v/>
      </c>
    </row>
    <row r="475">
      <c r="A475">
        <f>IF(Issues!$B478="","",Issues!$B478)</f>
        <v/>
      </c>
      <c r="B475">
        <f>IF($A475="","",IF(ISNUMBER(Issues!$C478),IF(AND(Issues!$C478&gt;=10000101,Issues!$C478&lt;=99991231),INT(Issues!$C478/10000),""),IFERROR(VALUE(TRIM(LEFT(Issues!$C478,FIND("/",Issues!$C478)-1))),"")))</f>
        <v/>
      </c>
      <c r="C475">
        <f>IF(OR($A475="",$B475=""),"",IF(ISNUMBER(Issues!$C478),INT(MOD(Issues!$C478,10000)/100),IFERROR(VALUE(TRIM(LEFT(MID(Issues!$C478,FIND("/",Issues!$C478)+1,20),FIND("/",MID(Issues!$C478,FIND("/",Issues!$C478)+1,20))-1))),"")))</f>
        <v/>
      </c>
      <c r="D475">
        <f>IF(OR($A475="",$B475=""),"",IF(ISNUMBER(Issues!$C478),MOD(Issues!$C478,100),IFERROR(VALUE(TRIM(MID(MID(Issues!$C478,FIND("/",Issues!$C478)+1,20),FIND("/",MID(Issues!$C478,FIND("/",Issues!$C478)+1,20))+1,20))),"")))</f>
        <v/>
      </c>
      <c r="E475">
        <f>IF($A475="","",IF(OR($B475="",$C475="",$D475="",$B475&lt;1300,$B475&gt;1500,$C475&lt;1,$C475&gt;12,$D475&lt;1,$D475&gt;31),"نامعتبر",RIGHT("0000"&amp;$B475,4)&amp;"/"&amp;RIGHT("00"&amp;$C475,2)&amp;"/"&amp;RIGHT("00"&amp;$D475,2)))</f>
        <v/>
      </c>
      <c r="F475">
        <f>IF($A475="","",IF(Issues!$D478="",0,Issues!$D478))</f>
        <v/>
      </c>
      <c r="G475">
        <f>IF($A475="","",Issues!$E478)</f>
        <v/>
      </c>
      <c r="H475">
        <f>IF($A475="","",IF(COUNTIFS(ETxnType,"پاس چک",ETxnChk,$A475)&gt;0,"پاس شده","پاس نشده"))</f>
        <v/>
      </c>
      <c r="I475">
        <f>IF($A475="","",IFERROR(INDEX(BClrDate,MATCH($A475,BClrChk,0)),""))</f>
        <v/>
      </c>
      <c r="J475">
        <f>IF($A475="","",Issues!$G478)</f>
        <v/>
      </c>
      <c r="K475">
        <f>IF(OR($E475="",$E475="نامعتبر"),"",LEFT($E475,4)&amp;MID($E475,6,2)&amp;RIGHT($E475,2)&amp;"|"&amp;RIGHT("00000"&amp;470,5))</f>
        <v/>
      </c>
      <c r="M475">
        <f>IF(Sync!$M475&lt;&gt;"پاس چک","",IF(Sync!$P475="","",Sync!$P475))</f>
        <v/>
      </c>
      <c r="N475">
        <f>IF($M475="","",IF(ISNUMBER(Sync!$L475),IF(AND(Sync!$L475&gt;=10000101,Sync!$L475&lt;=99991231),RIGHT("0000"&amp;INT(Sync!$L475/10000),4)&amp;"/"&amp;RIGHT("00"&amp;INT(MOD(Sync!$L475,10000)/100),2)&amp;"/"&amp;RIGHT("00"&amp;MOD(Sync!$L475,100),2),""),IFERROR(RIGHT("0000"&amp;VALUE(TRIM(LEFT(Sync!$L475,FIND("/",Sync!$L475)-1))),4)&amp;"/"&amp;RIGHT("00"&amp;VALUE(TRIM(LEFT(MID(Sync!$L475,FIND("/",Sync!$L475)+1,20),FIND("/",MID(Sync!$L475,FIND("/",Sync!$L475)+1,20))-1))),2)&amp;"/"&amp;RIGHT("00"&amp;VALUE(TRIM(MID(MID(Sync!$L475,FIND("/",Sync!$L475)+1,20),FIND("/",MID(Sync!$L475,FIND("/",Sync!$L475)+1,20))+1,20))),2),"")))</f>
        <v/>
      </c>
    </row>
    <row r="476">
      <c r="A476">
        <f>IF(Issues!$B479="","",Issues!$B479)</f>
        <v/>
      </c>
      <c r="B476">
        <f>IF($A476="","",IF(ISNUMBER(Issues!$C479),IF(AND(Issues!$C479&gt;=10000101,Issues!$C479&lt;=99991231),INT(Issues!$C479/10000),""),IFERROR(VALUE(TRIM(LEFT(Issues!$C479,FIND("/",Issues!$C479)-1))),"")))</f>
        <v/>
      </c>
      <c r="C476">
        <f>IF(OR($A476="",$B476=""),"",IF(ISNUMBER(Issues!$C479),INT(MOD(Issues!$C479,10000)/100),IFERROR(VALUE(TRIM(LEFT(MID(Issues!$C479,FIND("/",Issues!$C479)+1,20),FIND("/",MID(Issues!$C479,FIND("/",Issues!$C479)+1,20))-1))),"")))</f>
        <v/>
      </c>
      <c r="D476">
        <f>IF(OR($A476="",$B476=""),"",IF(ISNUMBER(Issues!$C479),MOD(Issues!$C479,100),IFERROR(VALUE(TRIM(MID(MID(Issues!$C479,FIND("/",Issues!$C479)+1,20),FIND("/",MID(Issues!$C479,FIND("/",Issues!$C479)+1,20))+1,20))),"")))</f>
        <v/>
      </c>
      <c r="E476">
        <f>IF($A476="","",IF(OR($B476="",$C476="",$D476="",$B476&lt;1300,$B476&gt;1500,$C476&lt;1,$C476&gt;12,$D476&lt;1,$D476&gt;31),"نامعتبر",RIGHT("0000"&amp;$B476,4)&amp;"/"&amp;RIGHT("00"&amp;$C476,2)&amp;"/"&amp;RIGHT("00"&amp;$D476,2)))</f>
        <v/>
      </c>
      <c r="F476">
        <f>IF($A476="","",IF(Issues!$D479="",0,Issues!$D479))</f>
        <v/>
      </c>
      <c r="G476">
        <f>IF($A476="","",Issues!$E479)</f>
        <v/>
      </c>
      <c r="H476">
        <f>IF($A476="","",IF(COUNTIFS(ETxnType,"پاس چک",ETxnChk,$A476)&gt;0,"پاس شده","پاس نشده"))</f>
        <v/>
      </c>
      <c r="I476">
        <f>IF($A476="","",IFERROR(INDEX(BClrDate,MATCH($A476,BClrChk,0)),""))</f>
        <v/>
      </c>
      <c r="J476">
        <f>IF($A476="","",Issues!$G479)</f>
        <v/>
      </c>
      <c r="K476">
        <f>IF(OR($E476="",$E476="نامعتبر"),"",LEFT($E476,4)&amp;MID($E476,6,2)&amp;RIGHT($E476,2)&amp;"|"&amp;RIGHT("00000"&amp;471,5))</f>
        <v/>
      </c>
      <c r="M476">
        <f>IF(Sync!$M476&lt;&gt;"پاس چک","",IF(Sync!$P476="","",Sync!$P476))</f>
        <v/>
      </c>
      <c r="N476">
        <f>IF($M476="","",IF(ISNUMBER(Sync!$L476),IF(AND(Sync!$L476&gt;=10000101,Sync!$L476&lt;=99991231),RIGHT("0000"&amp;INT(Sync!$L476/10000),4)&amp;"/"&amp;RIGHT("00"&amp;INT(MOD(Sync!$L476,10000)/100),2)&amp;"/"&amp;RIGHT("00"&amp;MOD(Sync!$L476,100),2),""),IFERROR(RIGHT("0000"&amp;VALUE(TRIM(LEFT(Sync!$L476,FIND("/",Sync!$L476)-1))),4)&amp;"/"&amp;RIGHT("00"&amp;VALUE(TRIM(LEFT(MID(Sync!$L476,FIND("/",Sync!$L476)+1,20),FIND("/",MID(Sync!$L476,FIND("/",Sync!$L476)+1,20))-1))),2)&amp;"/"&amp;RIGHT("00"&amp;VALUE(TRIM(MID(MID(Sync!$L476,FIND("/",Sync!$L476)+1,20),FIND("/",MID(Sync!$L476,FIND("/",Sync!$L476)+1,20))+1,20))),2),"")))</f>
        <v/>
      </c>
    </row>
    <row r="477">
      <c r="A477">
        <f>IF(Issues!$B480="","",Issues!$B480)</f>
        <v/>
      </c>
      <c r="B477">
        <f>IF($A477="","",IF(ISNUMBER(Issues!$C480),IF(AND(Issues!$C480&gt;=10000101,Issues!$C480&lt;=99991231),INT(Issues!$C480/10000),""),IFERROR(VALUE(TRIM(LEFT(Issues!$C480,FIND("/",Issues!$C480)-1))),"")))</f>
        <v/>
      </c>
      <c r="C477">
        <f>IF(OR($A477="",$B477=""),"",IF(ISNUMBER(Issues!$C480),INT(MOD(Issues!$C480,10000)/100),IFERROR(VALUE(TRIM(LEFT(MID(Issues!$C480,FIND("/",Issues!$C480)+1,20),FIND("/",MID(Issues!$C480,FIND("/",Issues!$C480)+1,20))-1))),"")))</f>
        <v/>
      </c>
      <c r="D477">
        <f>IF(OR($A477="",$B477=""),"",IF(ISNUMBER(Issues!$C480),MOD(Issues!$C480,100),IFERROR(VALUE(TRIM(MID(MID(Issues!$C480,FIND("/",Issues!$C480)+1,20),FIND("/",MID(Issues!$C480,FIND("/",Issues!$C480)+1,20))+1,20))),"")))</f>
        <v/>
      </c>
      <c r="E477">
        <f>IF($A477="","",IF(OR($B477="",$C477="",$D477="",$B477&lt;1300,$B477&gt;1500,$C477&lt;1,$C477&gt;12,$D477&lt;1,$D477&gt;31),"نامعتبر",RIGHT("0000"&amp;$B477,4)&amp;"/"&amp;RIGHT("00"&amp;$C477,2)&amp;"/"&amp;RIGHT("00"&amp;$D477,2)))</f>
        <v/>
      </c>
      <c r="F477">
        <f>IF($A477="","",IF(Issues!$D480="",0,Issues!$D480))</f>
        <v/>
      </c>
      <c r="G477">
        <f>IF($A477="","",Issues!$E480)</f>
        <v/>
      </c>
      <c r="H477">
        <f>IF($A477="","",IF(COUNTIFS(ETxnType,"پاس چک",ETxnChk,$A477)&gt;0,"پاس شده","پاس نشده"))</f>
        <v/>
      </c>
      <c r="I477">
        <f>IF($A477="","",IFERROR(INDEX(BClrDate,MATCH($A477,BClrChk,0)),""))</f>
        <v/>
      </c>
      <c r="J477">
        <f>IF($A477="","",Issues!$G480)</f>
        <v/>
      </c>
      <c r="K477">
        <f>IF(OR($E477="",$E477="نامعتبر"),"",LEFT($E477,4)&amp;MID($E477,6,2)&amp;RIGHT($E477,2)&amp;"|"&amp;RIGHT("00000"&amp;472,5))</f>
        <v/>
      </c>
      <c r="M477">
        <f>IF(Sync!$M477&lt;&gt;"پاس چک","",IF(Sync!$P477="","",Sync!$P477))</f>
        <v/>
      </c>
      <c r="N477">
        <f>IF($M477="","",IF(ISNUMBER(Sync!$L477),IF(AND(Sync!$L477&gt;=10000101,Sync!$L477&lt;=99991231),RIGHT("0000"&amp;INT(Sync!$L477/10000),4)&amp;"/"&amp;RIGHT("00"&amp;INT(MOD(Sync!$L477,10000)/100),2)&amp;"/"&amp;RIGHT("00"&amp;MOD(Sync!$L477,100),2),""),IFERROR(RIGHT("0000"&amp;VALUE(TRIM(LEFT(Sync!$L477,FIND("/",Sync!$L477)-1))),4)&amp;"/"&amp;RIGHT("00"&amp;VALUE(TRIM(LEFT(MID(Sync!$L477,FIND("/",Sync!$L477)+1,20),FIND("/",MID(Sync!$L477,FIND("/",Sync!$L477)+1,20))-1))),2)&amp;"/"&amp;RIGHT("00"&amp;VALUE(TRIM(MID(MID(Sync!$L477,FIND("/",Sync!$L477)+1,20),FIND("/",MID(Sync!$L477,FIND("/",Sync!$L477)+1,20))+1,20))),2),"")))</f>
        <v/>
      </c>
    </row>
    <row r="478">
      <c r="A478">
        <f>IF(Issues!$B481="","",Issues!$B481)</f>
        <v/>
      </c>
      <c r="B478">
        <f>IF($A478="","",IF(ISNUMBER(Issues!$C481),IF(AND(Issues!$C481&gt;=10000101,Issues!$C481&lt;=99991231),INT(Issues!$C481/10000),""),IFERROR(VALUE(TRIM(LEFT(Issues!$C481,FIND("/",Issues!$C481)-1))),"")))</f>
        <v/>
      </c>
      <c r="C478">
        <f>IF(OR($A478="",$B478=""),"",IF(ISNUMBER(Issues!$C481),INT(MOD(Issues!$C481,10000)/100),IFERROR(VALUE(TRIM(LEFT(MID(Issues!$C481,FIND("/",Issues!$C481)+1,20),FIND("/",MID(Issues!$C481,FIND("/",Issues!$C481)+1,20))-1))),"")))</f>
        <v/>
      </c>
      <c r="D478">
        <f>IF(OR($A478="",$B478=""),"",IF(ISNUMBER(Issues!$C481),MOD(Issues!$C481,100),IFERROR(VALUE(TRIM(MID(MID(Issues!$C481,FIND("/",Issues!$C481)+1,20),FIND("/",MID(Issues!$C481,FIND("/",Issues!$C481)+1,20))+1,20))),"")))</f>
        <v/>
      </c>
      <c r="E478">
        <f>IF($A478="","",IF(OR($B478="",$C478="",$D478="",$B478&lt;1300,$B478&gt;1500,$C478&lt;1,$C478&gt;12,$D478&lt;1,$D478&gt;31),"نامعتبر",RIGHT("0000"&amp;$B478,4)&amp;"/"&amp;RIGHT("00"&amp;$C478,2)&amp;"/"&amp;RIGHT("00"&amp;$D478,2)))</f>
        <v/>
      </c>
      <c r="F478">
        <f>IF($A478="","",IF(Issues!$D481="",0,Issues!$D481))</f>
        <v/>
      </c>
      <c r="G478">
        <f>IF($A478="","",Issues!$E481)</f>
        <v/>
      </c>
      <c r="H478">
        <f>IF($A478="","",IF(COUNTIFS(ETxnType,"پاس چک",ETxnChk,$A478)&gt;0,"پاس شده","پاس نشده"))</f>
        <v/>
      </c>
      <c r="I478">
        <f>IF($A478="","",IFERROR(INDEX(BClrDate,MATCH($A478,BClrChk,0)),""))</f>
        <v/>
      </c>
      <c r="J478">
        <f>IF($A478="","",Issues!$G481)</f>
        <v/>
      </c>
      <c r="K478">
        <f>IF(OR($E478="",$E478="نامعتبر"),"",LEFT($E478,4)&amp;MID($E478,6,2)&amp;RIGHT($E478,2)&amp;"|"&amp;RIGHT("00000"&amp;473,5))</f>
        <v/>
      </c>
      <c r="M478">
        <f>IF(Sync!$M478&lt;&gt;"پاس چک","",IF(Sync!$P478="","",Sync!$P478))</f>
        <v/>
      </c>
      <c r="N478">
        <f>IF($M478="","",IF(ISNUMBER(Sync!$L478),IF(AND(Sync!$L478&gt;=10000101,Sync!$L478&lt;=99991231),RIGHT("0000"&amp;INT(Sync!$L478/10000),4)&amp;"/"&amp;RIGHT("00"&amp;INT(MOD(Sync!$L478,10000)/100),2)&amp;"/"&amp;RIGHT("00"&amp;MOD(Sync!$L478,100),2),""),IFERROR(RIGHT("0000"&amp;VALUE(TRIM(LEFT(Sync!$L478,FIND("/",Sync!$L478)-1))),4)&amp;"/"&amp;RIGHT("00"&amp;VALUE(TRIM(LEFT(MID(Sync!$L478,FIND("/",Sync!$L478)+1,20),FIND("/",MID(Sync!$L478,FIND("/",Sync!$L478)+1,20))-1))),2)&amp;"/"&amp;RIGHT("00"&amp;VALUE(TRIM(MID(MID(Sync!$L478,FIND("/",Sync!$L478)+1,20),FIND("/",MID(Sync!$L478,FIND("/",Sync!$L478)+1,20))+1,20))),2),"")))</f>
        <v/>
      </c>
    </row>
    <row r="479">
      <c r="A479">
        <f>IF(Issues!$B482="","",Issues!$B482)</f>
        <v/>
      </c>
      <c r="B479">
        <f>IF($A479="","",IF(ISNUMBER(Issues!$C482),IF(AND(Issues!$C482&gt;=10000101,Issues!$C482&lt;=99991231),INT(Issues!$C482/10000),""),IFERROR(VALUE(TRIM(LEFT(Issues!$C482,FIND("/",Issues!$C482)-1))),"")))</f>
        <v/>
      </c>
      <c r="C479">
        <f>IF(OR($A479="",$B479=""),"",IF(ISNUMBER(Issues!$C482),INT(MOD(Issues!$C482,10000)/100),IFERROR(VALUE(TRIM(LEFT(MID(Issues!$C482,FIND("/",Issues!$C482)+1,20),FIND("/",MID(Issues!$C482,FIND("/",Issues!$C482)+1,20))-1))),"")))</f>
        <v/>
      </c>
      <c r="D479">
        <f>IF(OR($A479="",$B479=""),"",IF(ISNUMBER(Issues!$C482),MOD(Issues!$C482,100),IFERROR(VALUE(TRIM(MID(MID(Issues!$C482,FIND("/",Issues!$C482)+1,20),FIND("/",MID(Issues!$C482,FIND("/",Issues!$C482)+1,20))+1,20))),"")))</f>
        <v/>
      </c>
      <c r="E479">
        <f>IF($A479="","",IF(OR($B479="",$C479="",$D479="",$B479&lt;1300,$B479&gt;1500,$C479&lt;1,$C479&gt;12,$D479&lt;1,$D479&gt;31),"نامعتبر",RIGHT("0000"&amp;$B479,4)&amp;"/"&amp;RIGHT("00"&amp;$C479,2)&amp;"/"&amp;RIGHT("00"&amp;$D479,2)))</f>
        <v/>
      </c>
      <c r="F479">
        <f>IF($A479="","",IF(Issues!$D482="",0,Issues!$D482))</f>
        <v/>
      </c>
      <c r="G479">
        <f>IF($A479="","",Issues!$E482)</f>
        <v/>
      </c>
      <c r="H479">
        <f>IF($A479="","",IF(COUNTIFS(ETxnType,"پاس چک",ETxnChk,$A479)&gt;0,"پاس شده","پاس نشده"))</f>
        <v/>
      </c>
      <c r="I479">
        <f>IF($A479="","",IFERROR(INDEX(BClrDate,MATCH($A479,BClrChk,0)),""))</f>
        <v/>
      </c>
      <c r="J479">
        <f>IF($A479="","",Issues!$G482)</f>
        <v/>
      </c>
      <c r="K479">
        <f>IF(OR($E479="",$E479="نامعتبر"),"",LEFT($E479,4)&amp;MID($E479,6,2)&amp;RIGHT($E479,2)&amp;"|"&amp;RIGHT("00000"&amp;474,5))</f>
        <v/>
      </c>
      <c r="M479">
        <f>IF(Sync!$M479&lt;&gt;"پاس چک","",IF(Sync!$P479="","",Sync!$P479))</f>
        <v/>
      </c>
      <c r="N479">
        <f>IF($M479="","",IF(ISNUMBER(Sync!$L479),IF(AND(Sync!$L479&gt;=10000101,Sync!$L479&lt;=99991231),RIGHT("0000"&amp;INT(Sync!$L479/10000),4)&amp;"/"&amp;RIGHT("00"&amp;INT(MOD(Sync!$L479,10000)/100),2)&amp;"/"&amp;RIGHT("00"&amp;MOD(Sync!$L479,100),2),""),IFERROR(RIGHT("0000"&amp;VALUE(TRIM(LEFT(Sync!$L479,FIND("/",Sync!$L479)-1))),4)&amp;"/"&amp;RIGHT("00"&amp;VALUE(TRIM(LEFT(MID(Sync!$L479,FIND("/",Sync!$L479)+1,20),FIND("/",MID(Sync!$L479,FIND("/",Sync!$L479)+1,20))-1))),2)&amp;"/"&amp;RIGHT("00"&amp;VALUE(TRIM(MID(MID(Sync!$L479,FIND("/",Sync!$L479)+1,20),FIND("/",MID(Sync!$L479,FIND("/",Sync!$L479)+1,20))+1,20))),2),"")))</f>
        <v/>
      </c>
    </row>
    <row r="480">
      <c r="A480">
        <f>IF(Issues!$B483="","",Issues!$B483)</f>
        <v/>
      </c>
      <c r="B480">
        <f>IF($A480="","",IF(ISNUMBER(Issues!$C483),IF(AND(Issues!$C483&gt;=10000101,Issues!$C483&lt;=99991231),INT(Issues!$C483/10000),""),IFERROR(VALUE(TRIM(LEFT(Issues!$C483,FIND("/",Issues!$C483)-1))),"")))</f>
        <v/>
      </c>
      <c r="C480">
        <f>IF(OR($A480="",$B480=""),"",IF(ISNUMBER(Issues!$C483),INT(MOD(Issues!$C483,10000)/100),IFERROR(VALUE(TRIM(LEFT(MID(Issues!$C483,FIND("/",Issues!$C483)+1,20),FIND("/",MID(Issues!$C483,FIND("/",Issues!$C483)+1,20))-1))),"")))</f>
        <v/>
      </c>
      <c r="D480">
        <f>IF(OR($A480="",$B480=""),"",IF(ISNUMBER(Issues!$C483),MOD(Issues!$C483,100),IFERROR(VALUE(TRIM(MID(MID(Issues!$C483,FIND("/",Issues!$C483)+1,20),FIND("/",MID(Issues!$C483,FIND("/",Issues!$C483)+1,20))+1,20))),"")))</f>
        <v/>
      </c>
      <c r="E480">
        <f>IF($A480="","",IF(OR($B480="",$C480="",$D480="",$B480&lt;1300,$B480&gt;1500,$C480&lt;1,$C480&gt;12,$D480&lt;1,$D480&gt;31),"نامعتبر",RIGHT("0000"&amp;$B480,4)&amp;"/"&amp;RIGHT("00"&amp;$C480,2)&amp;"/"&amp;RIGHT("00"&amp;$D480,2)))</f>
        <v/>
      </c>
      <c r="F480">
        <f>IF($A480="","",IF(Issues!$D483="",0,Issues!$D483))</f>
        <v/>
      </c>
      <c r="G480">
        <f>IF($A480="","",Issues!$E483)</f>
        <v/>
      </c>
      <c r="H480">
        <f>IF($A480="","",IF(COUNTIFS(ETxnType,"پاس چک",ETxnChk,$A480)&gt;0,"پاس شده","پاس نشده"))</f>
        <v/>
      </c>
      <c r="I480">
        <f>IF($A480="","",IFERROR(INDEX(BClrDate,MATCH($A480,BClrChk,0)),""))</f>
        <v/>
      </c>
      <c r="J480">
        <f>IF($A480="","",Issues!$G483)</f>
        <v/>
      </c>
      <c r="K480">
        <f>IF(OR($E480="",$E480="نامعتبر"),"",LEFT($E480,4)&amp;MID($E480,6,2)&amp;RIGHT($E480,2)&amp;"|"&amp;RIGHT("00000"&amp;475,5))</f>
        <v/>
      </c>
      <c r="M480">
        <f>IF(Sync!$M480&lt;&gt;"پاس چک","",IF(Sync!$P480="","",Sync!$P480))</f>
        <v/>
      </c>
      <c r="N480">
        <f>IF($M480="","",IF(ISNUMBER(Sync!$L480),IF(AND(Sync!$L480&gt;=10000101,Sync!$L480&lt;=99991231),RIGHT("0000"&amp;INT(Sync!$L480/10000),4)&amp;"/"&amp;RIGHT("00"&amp;INT(MOD(Sync!$L480,10000)/100),2)&amp;"/"&amp;RIGHT("00"&amp;MOD(Sync!$L480,100),2),""),IFERROR(RIGHT("0000"&amp;VALUE(TRIM(LEFT(Sync!$L480,FIND("/",Sync!$L480)-1))),4)&amp;"/"&amp;RIGHT("00"&amp;VALUE(TRIM(LEFT(MID(Sync!$L480,FIND("/",Sync!$L480)+1,20),FIND("/",MID(Sync!$L480,FIND("/",Sync!$L480)+1,20))-1))),2)&amp;"/"&amp;RIGHT("00"&amp;VALUE(TRIM(MID(MID(Sync!$L480,FIND("/",Sync!$L480)+1,20),FIND("/",MID(Sync!$L480,FIND("/",Sync!$L480)+1,20))+1,20))),2),"")))</f>
        <v/>
      </c>
    </row>
    <row r="481">
      <c r="A481">
        <f>IF(Issues!$B484="","",Issues!$B484)</f>
        <v/>
      </c>
      <c r="B481">
        <f>IF($A481="","",IF(ISNUMBER(Issues!$C484),IF(AND(Issues!$C484&gt;=10000101,Issues!$C484&lt;=99991231),INT(Issues!$C484/10000),""),IFERROR(VALUE(TRIM(LEFT(Issues!$C484,FIND("/",Issues!$C484)-1))),"")))</f>
        <v/>
      </c>
      <c r="C481">
        <f>IF(OR($A481="",$B481=""),"",IF(ISNUMBER(Issues!$C484),INT(MOD(Issues!$C484,10000)/100),IFERROR(VALUE(TRIM(LEFT(MID(Issues!$C484,FIND("/",Issues!$C484)+1,20),FIND("/",MID(Issues!$C484,FIND("/",Issues!$C484)+1,20))-1))),"")))</f>
        <v/>
      </c>
      <c r="D481">
        <f>IF(OR($A481="",$B481=""),"",IF(ISNUMBER(Issues!$C484),MOD(Issues!$C484,100),IFERROR(VALUE(TRIM(MID(MID(Issues!$C484,FIND("/",Issues!$C484)+1,20),FIND("/",MID(Issues!$C484,FIND("/",Issues!$C484)+1,20))+1,20))),"")))</f>
        <v/>
      </c>
      <c r="E481">
        <f>IF($A481="","",IF(OR($B481="",$C481="",$D481="",$B481&lt;1300,$B481&gt;1500,$C481&lt;1,$C481&gt;12,$D481&lt;1,$D481&gt;31),"نامعتبر",RIGHT("0000"&amp;$B481,4)&amp;"/"&amp;RIGHT("00"&amp;$C481,2)&amp;"/"&amp;RIGHT("00"&amp;$D481,2)))</f>
        <v/>
      </c>
      <c r="F481">
        <f>IF($A481="","",IF(Issues!$D484="",0,Issues!$D484))</f>
        <v/>
      </c>
      <c r="G481">
        <f>IF($A481="","",Issues!$E484)</f>
        <v/>
      </c>
      <c r="H481">
        <f>IF($A481="","",IF(COUNTIFS(ETxnType,"پاس چک",ETxnChk,$A481)&gt;0,"پاس شده","پاس نشده"))</f>
        <v/>
      </c>
      <c r="I481">
        <f>IF($A481="","",IFERROR(INDEX(BClrDate,MATCH($A481,BClrChk,0)),""))</f>
        <v/>
      </c>
      <c r="J481">
        <f>IF($A481="","",Issues!$G484)</f>
        <v/>
      </c>
      <c r="K481">
        <f>IF(OR($E481="",$E481="نامعتبر"),"",LEFT($E481,4)&amp;MID($E481,6,2)&amp;RIGHT($E481,2)&amp;"|"&amp;RIGHT("00000"&amp;476,5))</f>
        <v/>
      </c>
      <c r="M481">
        <f>IF(Sync!$M481&lt;&gt;"پاس چک","",IF(Sync!$P481="","",Sync!$P481))</f>
        <v/>
      </c>
      <c r="N481">
        <f>IF($M481="","",IF(ISNUMBER(Sync!$L481),IF(AND(Sync!$L481&gt;=10000101,Sync!$L481&lt;=99991231),RIGHT("0000"&amp;INT(Sync!$L481/10000),4)&amp;"/"&amp;RIGHT("00"&amp;INT(MOD(Sync!$L481,10000)/100),2)&amp;"/"&amp;RIGHT("00"&amp;MOD(Sync!$L481,100),2),""),IFERROR(RIGHT("0000"&amp;VALUE(TRIM(LEFT(Sync!$L481,FIND("/",Sync!$L481)-1))),4)&amp;"/"&amp;RIGHT("00"&amp;VALUE(TRIM(LEFT(MID(Sync!$L481,FIND("/",Sync!$L481)+1,20),FIND("/",MID(Sync!$L481,FIND("/",Sync!$L481)+1,20))-1))),2)&amp;"/"&amp;RIGHT("00"&amp;VALUE(TRIM(MID(MID(Sync!$L481,FIND("/",Sync!$L481)+1,20),FIND("/",MID(Sync!$L481,FIND("/",Sync!$L481)+1,20))+1,20))),2),"")))</f>
        <v/>
      </c>
    </row>
    <row r="482">
      <c r="A482">
        <f>IF(Issues!$B485="","",Issues!$B485)</f>
        <v/>
      </c>
      <c r="B482">
        <f>IF($A482="","",IF(ISNUMBER(Issues!$C485),IF(AND(Issues!$C485&gt;=10000101,Issues!$C485&lt;=99991231),INT(Issues!$C485/10000),""),IFERROR(VALUE(TRIM(LEFT(Issues!$C485,FIND("/",Issues!$C485)-1))),"")))</f>
        <v/>
      </c>
      <c r="C482">
        <f>IF(OR($A482="",$B482=""),"",IF(ISNUMBER(Issues!$C485),INT(MOD(Issues!$C485,10000)/100),IFERROR(VALUE(TRIM(LEFT(MID(Issues!$C485,FIND("/",Issues!$C485)+1,20),FIND("/",MID(Issues!$C485,FIND("/",Issues!$C485)+1,20))-1))),"")))</f>
        <v/>
      </c>
      <c r="D482">
        <f>IF(OR($A482="",$B482=""),"",IF(ISNUMBER(Issues!$C485),MOD(Issues!$C485,100),IFERROR(VALUE(TRIM(MID(MID(Issues!$C485,FIND("/",Issues!$C485)+1,20),FIND("/",MID(Issues!$C485,FIND("/",Issues!$C485)+1,20))+1,20))),"")))</f>
        <v/>
      </c>
      <c r="E482">
        <f>IF($A482="","",IF(OR($B482="",$C482="",$D482="",$B482&lt;1300,$B482&gt;1500,$C482&lt;1,$C482&gt;12,$D482&lt;1,$D482&gt;31),"نامعتبر",RIGHT("0000"&amp;$B482,4)&amp;"/"&amp;RIGHT("00"&amp;$C482,2)&amp;"/"&amp;RIGHT("00"&amp;$D482,2)))</f>
        <v/>
      </c>
      <c r="F482">
        <f>IF($A482="","",IF(Issues!$D485="",0,Issues!$D485))</f>
        <v/>
      </c>
      <c r="G482">
        <f>IF($A482="","",Issues!$E485)</f>
        <v/>
      </c>
      <c r="H482">
        <f>IF($A482="","",IF(COUNTIFS(ETxnType,"پاس چک",ETxnChk,$A482)&gt;0,"پاس شده","پاس نشده"))</f>
        <v/>
      </c>
      <c r="I482">
        <f>IF($A482="","",IFERROR(INDEX(BClrDate,MATCH($A482,BClrChk,0)),""))</f>
        <v/>
      </c>
      <c r="J482">
        <f>IF($A482="","",Issues!$G485)</f>
        <v/>
      </c>
      <c r="K482">
        <f>IF(OR($E482="",$E482="نامعتبر"),"",LEFT($E482,4)&amp;MID($E482,6,2)&amp;RIGHT($E482,2)&amp;"|"&amp;RIGHT("00000"&amp;477,5))</f>
        <v/>
      </c>
      <c r="M482">
        <f>IF(Sync!$M482&lt;&gt;"پاس چک","",IF(Sync!$P482="","",Sync!$P482))</f>
        <v/>
      </c>
      <c r="N482">
        <f>IF($M482="","",IF(ISNUMBER(Sync!$L482),IF(AND(Sync!$L482&gt;=10000101,Sync!$L482&lt;=99991231),RIGHT("0000"&amp;INT(Sync!$L482/10000),4)&amp;"/"&amp;RIGHT("00"&amp;INT(MOD(Sync!$L482,10000)/100),2)&amp;"/"&amp;RIGHT("00"&amp;MOD(Sync!$L482,100),2),""),IFERROR(RIGHT("0000"&amp;VALUE(TRIM(LEFT(Sync!$L482,FIND("/",Sync!$L482)-1))),4)&amp;"/"&amp;RIGHT("00"&amp;VALUE(TRIM(LEFT(MID(Sync!$L482,FIND("/",Sync!$L482)+1,20),FIND("/",MID(Sync!$L482,FIND("/",Sync!$L482)+1,20))-1))),2)&amp;"/"&amp;RIGHT("00"&amp;VALUE(TRIM(MID(MID(Sync!$L482,FIND("/",Sync!$L482)+1,20),FIND("/",MID(Sync!$L482,FIND("/",Sync!$L482)+1,20))+1,20))),2),"")))</f>
        <v/>
      </c>
    </row>
    <row r="483">
      <c r="A483">
        <f>IF(Issues!$B486="","",Issues!$B486)</f>
        <v/>
      </c>
      <c r="B483">
        <f>IF($A483="","",IF(ISNUMBER(Issues!$C486),IF(AND(Issues!$C486&gt;=10000101,Issues!$C486&lt;=99991231),INT(Issues!$C486/10000),""),IFERROR(VALUE(TRIM(LEFT(Issues!$C486,FIND("/",Issues!$C486)-1))),"")))</f>
        <v/>
      </c>
      <c r="C483">
        <f>IF(OR($A483="",$B483=""),"",IF(ISNUMBER(Issues!$C486),INT(MOD(Issues!$C486,10000)/100),IFERROR(VALUE(TRIM(LEFT(MID(Issues!$C486,FIND("/",Issues!$C486)+1,20),FIND("/",MID(Issues!$C486,FIND("/",Issues!$C486)+1,20))-1))),"")))</f>
        <v/>
      </c>
      <c r="D483">
        <f>IF(OR($A483="",$B483=""),"",IF(ISNUMBER(Issues!$C486),MOD(Issues!$C486,100),IFERROR(VALUE(TRIM(MID(MID(Issues!$C486,FIND("/",Issues!$C486)+1,20),FIND("/",MID(Issues!$C486,FIND("/",Issues!$C486)+1,20))+1,20))),"")))</f>
        <v/>
      </c>
      <c r="E483">
        <f>IF($A483="","",IF(OR($B483="",$C483="",$D483="",$B483&lt;1300,$B483&gt;1500,$C483&lt;1,$C483&gt;12,$D483&lt;1,$D483&gt;31),"نامعتبر",RIGHT("0000"&amp;$B483,4)&amp;"/"&amp;RIGHT("00"&amp;$C483,2)&amp;"/"&amp;RIGHT("00"&amp;$D483,2)))</f>
        <v/>
      </c>
      <c r="F483">
        <f>IF($A483="","",IF(Issues!$D486="",0,Issues!$D486))</f>
        <v/>
      </c>
      <c r="G483">
        <f>IF($A483="","",Issues!$E486)</f>
        <v/>
      </c>
      <c r="H483">
        <f>IF($A483="","",IF(COUNTIFS(ETxnType,"پاس چک",ETxnChk,$A483)&gt;0,"پاس شده","پاس نشده"))</f>
        <v/>
      </c>
      <c r="I483">
        <f>IF($A483="","",IFERROR(INDEX(BClrDate,MATCH($A483,BClrChk,0)),""))</f>
        <v/>
      </c>
      <c r="J483">
        <f>IF($A483="","",Issues!$G486)</f>
        <v/>
      </c>
      <c r="K483">
        <f>IF(OR($E483="",$E483="نامعتبر"),"",LEFT($E483,4)&amp;MID($E483,6,2)&amp;RIGHT($E483,2)&amp;"|"&amp;RIGHT("00000"&amp;478,5))</f>
        <v/>
      </c>
      <c r="M483">
        <f>IF(Sync!$M483&lt;&gt;"پاس چک","",IF(Sync!$P483="","",Sync!$P483))</f>
        <v/>
      </c>
      <c r="N483">
        <f>IF($M483="","",IF(ISNUMBER(Sync!$L483),IF(AND(Sync!$L483&gt;=10000101,Sync!$L483&lt;=99991231),RIGHT("0000"&amp;INT(Sync!$L483/10000),4)&amp;"/"&amp;RIGHT("00"&amp;INT(MOD(Sync!$L483,10000)/100),2)&amp;"/"&amp;RIGHT("00"&amp;MOD(Sync!$L483,100),2),""),IFERROR(RIGHT("0000"&amp;VALUE(TRIM(LEFT(Sync!$L483,FIND("/",Sync!$L483)-1))),4)&amp;"/"&amp;RIGHT("00"&amp;VALUE(TRIM(LEFT(MID(Sync!$L483,FIND("/",Sync!$L483)+1,20),FIND("/",MID(Sync!$L483,FIND("/",Sync!$L483)+1,20))-1))),2)&amp;"/"&amp;RIGHT("00"&amp;VALUE(TRIM(MID(MID(Sync!$L483,FIND("/",Sync!$L483)+1,20),FIND("/",MID(Sync!$L483,FIND("/",Sync!$L483)+1,20))+1,20))),2),"")))</f>
        <v/>
      </c>
    </row>
    <row r="484">
      <c r="A484">
        <f>IF(Issues!$B487="","",Issues!$B487)</f>
        <v/>
      </c>
      <c r="B484">
        <f>IF($A484="","",IF(ISNUMBER(Issues!$C487),IF(AND(Issues!$C487&gt;=10000101,Issues!$C487&lt;=99991231),INT(Issues!$C487/10000),""),IFERROR(VALUE(TRIM(LEFT(Issues!$C487,FIND("/",Issues!$C487)-1))),"")))</f>
        <v/>
      </c>
      <c r="C484">
        <f>IF(OR($A484="",$B484=""),"",IF(ISNUMBER(Issues!$C487),INT(MOD(Issues!$C487,10000)/100),IFERROR(VALUE(TRIM(LEFT(MID(Issues!$C487,FIND("/",Issues!$C487)+1,20),FIND("/",MID(Issues!$C487,FIND("/",Issues!$C487)+1,20))-1))),"")))</f>
        <v/>
      </c>
      <c r="D484">
        <f>IF(OR($A484="",$B484=""),"",IF(ISNUMBER(Issues!$C487),MOD(Issues!$C487,100),IFERROR(VALUE(TRIM(MID(MID(Issues!$C487,FIND("/",Issues!$C487)+1,20),FIND("/",MID(Issues!$C487,FIND("/",Issues!$C487)+1,20))+1,20))),"")))</f>
        <v/>
      </c>
      <c r="E484">
        <f>IF($A484="","",IF(OR($B484="",$C484="",$D484="",$B484&lt;1300,$B484&gt;1500,$C484&lt;1,$C484&gt;12,$D484&lt;1,$D484&gt;31),"نامعتبر",RIGHT("0000"&amp;$B484,4)&amp;"/"&amp;RIGHT("00"&amp;$C484,2)&amp;"/"&amp;RIGHT("00"&amp;$D484,2)))</f>
        <v/>
      </c>
      <c r="F484">
        <f>IF($A484="","",IF(Issues!$D487="",0,Issues!$D487))</f>
        <v/>
      </c>
      <c r="G484">
        <f>IF($A484="","",Issues!$E487)</f>
        <v/>
      </c>
      <c r="H484">
        <f>IF($A484="","",IF(COUNTIFS(ETxnType,"پاس چک",ETxnChk,$A484)&gt;0,"پاس شده","پاس نشده"))</f>
        <v/>
      </c>
      <c r="I484">
        <f>IF($A484="","",IFERROR(INDEX(BClrDate,MATCH($A484,BClrChk,0)),""))</f>
        <v/>
      </c>
      <c r="J484">
        <f>IF($A484="","",Issues!$G487)</f>
        <v/>
      </c>
      <c r="K484">
        <f>IF(OR($E484="",$E484="نامعتبر"),"",LEFT($E484,4)&amp;MID($E484,6,2)&amp;RIGHT($E484,2)&amp;"|"&amp;RIGHT("00000"&amp;479,5))</f>
        <v/>
      </c>
      <c r="M484">
        <f>IF(Sync!$M484&lt;&gt;"پاس چک","",IF(Sync!$P484="","",Sync!$P484))</f>
        <v/>
      </c>
      <c r="N484">
        <f>IF($M484="","",IF(ISNUMBER(Sync!$L484),IF(AND(Sync!$L484&gt;=10000101,Sync!$L484&lt;=99991231),RIGHT("0000"&amp;INT(Sync!$L484/10000),4)&amp;"/"&amp;RIGHT("00"&amp;INT(MOD(Sync!$L484,10000)/100),2)&amp;"/"&amp;RIGHT("00"&amp;MOD(Sync!$L484,100),2),""),IFERROR(RIGHT("0000"&amp;VALUE(TRIM(LEFT(Sync!$L484,FIND("/",Sync!$L484)-1))),4)&amp;"/"&amp;RIGHT("00"&amp;VALUE(TRIM(LEFT(MID(Sync!$L484,FIND("/",Sync!$L484)+1,20),FIND("/",MID(Sync!$L484,FIND("/",Sync!$L484)+1,20))-1))),2)&amp;"/"&amp;RIGHT("00"&amp;VALUE(TRIM(MID(MID(Sync!$L484,FIND("/",Sync!$L484)+1,20),FIND("/",MID(Sync!$L484,FIND("/",Sync!$L484)+1,20))+1,20))),2),"")))</f>
        <v/>
      </c>
    </row>
    <row r="485">
      <c r="A485">
        <f>IF(Issues!$B488="","",Issues!$B488)</f>
        <v/>
      </c>
      <c r="B485">
        <f>IF($A485="","",IF(ISNUMBER(Issues!$C488),IF(AND(Issues!$C488&gt;=10000101,Issues!$C488&lt;=99991231),INT(Issues!$C488/10000),""),IFERROR(VALUE(TRIM(LEFT(Issues!$C488,FIND("/",Issues!$C488)-1))),"")))</f>
        <v/>
      </c>
      <c r="C485">
        <f>IF(OR($A485="",$B485=""),"",IF(ISNUMBER(Issues!$C488),INT(MOD(Issues!$C488,10000)/100),IFERROR(VALUE(TRIM(LEFT(MID(Issues!$C488,FIND("/",Issues!$C488)+1,20),FIND("/",MID(Issues!$C488,FIND("/",Issues!$C488)+1,20))-1))),"")))</f>
        <v/>
      </c>
      <c r="D485">
        <f>IF(OR($A485="",$B485=""),"",IF(ISNUMBER(Issues!$C488),MOD(Issues!$C488,100),IFERROR(VALUE(TRIM(MID(MID(Issues!$C488,FIND("/",Issues!$C488)+1,20),FIND("/",MID(Issues!$C488,FIND("/",Issues!$C488)+1,20))+1,20))),"")))</f>
        <v/>
      </c>
      <c r="E485">
        <f>IF($A485="","",IF(OR($B485="",$C485="",$D485="",$B485&lt;1300,$B485&gt;1500,$C485&lt;1,$C485&gt;12,$D485&lt;1,$D485&gt;31),"نامعتبر",RIGHT("0000"&amp;$B485,4)&amp;"/"&amp;RIGHT("00"&amp;$C485,2)&amp;"/"&amp;RIGHT("00"&amp;$D485,2)))</f>
        <v/>
      </c>
      <c r="F485">
        <f>IF($A485="","",IF(Issues!$D488="",0,Issues!$D488))</f>
        <v/>
      </c>
      <c r="G485">
        <f>IF($A485="","",Issues!$E488)</f>
        <v/>
      </c>
      <c r="H485">
        <f>IF($A485="","",IF(COUNTIFS(ETxnType,"پاس چک",ETxnChk,$A485)&gt;0,"پاس شده","پاس نشده"))</f>
        <v/>
      </c>
      <c r="I485">
        <f>IF($A485="","",IFERROR(INDEX(BClrDate,MATCH($A485,BClrChk,0)),""))</f>
        <v/>
      </c>
      <c r="J485">
        <f>IF($A485="","",Issues!$G488)</f>
        <v/>
      </c>
      <c r="K485">
        <f>IF(OR($E485="",$E485="نامعتبر"),"",LEFT($E485,4)&amp;MID($E485,6,2)&amp;RIGHT($E485,2)&amp;"|"&amp;RIGHT("00000"&amp;480,5))</f>
        <v/>
      </c>
      <c r="M485">
        <f>IF(Sync!$M485&lt;&gt;"پاس چک","",IF(Sync!$P485="","",Sync!$P485))</f>
        <v/>
      </c>
      <c r="N485">
        <f>IF($M485="","",IF(ISNUMBER(Sync!$L485),IF(AND(Sync!$L485&gt;=10000101,Sync!$L485&lt;=99991231),RIGHT("0000"&amp;INT(Sync!$L485/10000),4)&amp;"/"&amp;RIGHT("00"&amp;INT(MOD(Sync!$L485,10000)/100),2)&amp;"/"&amp;RIGHT("00"&amp;MOD(Sync!$L485,100),2),""),IFERROR(RIGHT("0000"&amp;VALUE(TRIM(LEFT(Sync!$L485,FIND("/",Sync!$L485)-1))),4)&amp;"/"&amp;RIGHT("00"&amp;VALUE(TRIM(LEFT(MID(Sync!$L485,FIND("/",Sync!$L485)+1,20),FIND("/",MID(Sync!$L485,FIND("/",Sync!$L485)+1,20))-1))),2)&amp;"/"&amp;RIGHT("00"&amp;VALUE(TRIM(MID(MID(Sync!$L485,FIND("/",Sync!$L485)+1,20),FIND("/",MID(Sync!$L485,FIND("/",Sync!$L485)+1,20))+1,20))),2),"")))</f>
        <v/>
      </c>
    </row>
    <row r="486">
      <c r="A486">
        <f>IF(Issues!$B489="","",Issues!$B489)</f>
        <v/>
      </c>
      <c r="B486">
        <f>IF($A486="","",IF(ISNUMBER(Issues!$C489),IF(AND(Issues!$C489&gt;=10000101,Issues!$C489&lt;=99991231),INT(Issues!$C489/10000),""),IFERROR(VALUE(TRIM(LEFT(Issues!$C489,FIND("/",Issues!$C489)-1))),"")))</f>
        <v/>
      </c>
      <c r="C486">
        <f>IF(OR($A486="",$B486=""),"",IF(ISNUMBER(Issues!$C489),INT(MOD(Issues!$C489,10000)/100),IFERROR(VALUE(TRIM(LEFT(MID(Issues!$C489,FIND("/",Issues!$C489)+1,20),FIND("/",MID(Issues!$C489,FIND("/",Issues!$C489)+1,20))-1))),"")))</f>
        <v/>
      </c>
      <c r="D486">
        <f>IF(OR($A486="",$B486=""),"",IF(ISNUMBER(Issues!$C489),MOD(Issues!$C489,100),IFERROR(VALUE(TRIM(MID(MID(Issues!$C489,FIND("/",Issues!$C489)+1,20),FIND("/",MID(Issues!$C489,FIND("/",Issues!$C489)+1,20))+1,20))),"")))</f>
        <v/>
      </c>
      <c r="E486">
        <f>IF($A486="","",IF(OR($B486="",$C486="",$D486="",$B486&lt;1300,$B486&gt;1500,$C486&lt;1,$C486&gt;12,$D486&lt;1,$D486&gt;31),"نامعتبر",RIGHT("0000"&amp;$B486,4)&amp;"/"&amp;RIGHT("00"&amp;$C486,2)&amp;"/"&amp;RIGHT("00"&amp;$D486,2)))</f>
        <v/>
      </c>
      <c r="F486">
        <f>IF($A486="","",IF(Issues!$D489="",0,Issues!$D489))</f>
        <v/>
      </c>
      <c r="G486">
        <f>IF($A486="","",Issues!$E489)</f>
        <v/>
      </c>
      <c r="H486">
        <f>IF($A486="","",IF(COUNTIFS(ETxnType,"پاس چک",ETxnChk,$A486)&gt;0,"پاس شده","پاس نشده"))</f>
        <v/>
      </c>
      <c r="I486">
        <f>IF($A486="","",IFERROR(INDEX(BClrDate,MATCH($A486,BClrChk,0)),""))</f>
        <v/>
      </c>
      <c r="J486">
        <f>IF($A486="","",Issues!$G489)</f>
        <v/>
      </c>
      <c r="K486">
        <f>IF(OR($E486="",$E486="نامعتبر"),"",LEFT($E486,4)&amp;MID($E486,6,2)&amp;RIGHT($E486,2)&amp;"|"&amp;RIGHT("00000"&amp;481,5))</f>
        <v/>
      </c>
      <c r="M486">
        <f>IF(Sync!$M486&lt;&gt;"پاس چک","",IF(Sync!$P486="","",Sync!$P486))</f>
        <v/>
      </c>
      <c r="N486">
        <f>IF($M486="","",IF(ISNUMBER(Sync!$L486),IF(AND(Sync!$L486&gt;=10000101,Sync!$L486&lt;=99991231),RIGHT("0000"&amp;INT(Sync!$L486/10000),4)&amp;"/"&amp;RIGHT("00"&amp;INT(MOD(Sync!$L486,10000)/100),2)&amp;"/"&amp;RIGHT("00"&amp;MOD(Sync!$L486,100),2),""),IFERROR(RIGHT("0000"&amp;VALUE(TRIM(LEFT(Sync!$L486,FIND("/",Sync!$L486)-1))),4)&amp;"/"&amp;RIGHT("00"&amp;VALUE(TRIM(LEFT(MID(Sync!$L486,FIND("/",Sync!$L486)+1,20),FIND("/",MID(Sync!$L486,FIND("/",Sync!$L486)+1,20))-1))),2)&amp;"/"&amp;RIGHT("00"&amp;VALUE(TRIM(MID(MID(Sync!$L486,FIND("/",Sync!$L486)+1,20),FIND("/",MID(Sync!$L486,FIND("/",Sync!$L486)+1,20))+1,20))),2),"")))</f>
        <v/>
      </c>
    </row>
    <row r="487">
      <c r="A487">
        <f>IF(Issues!$B490="","",Issues!$B490)</f>
        <v/>
      </c>
      <c r="B487">
        <f>IF($A487="","",IF(ISNUMBER(Issues!$C490),IF(AND(Issues!$C490&gt;=10000101,Issues!$C490&lt;=99991231),INT(Issues!$C490/10000),""),IFERROR(VALUE(TRIM(LEFT(Issues!$C490,FIND("/",Issues!$C490)-1))),"")))</f>
        <v/>
      </c>
      <c r="C487">
        <f>IF(OR($A487="",$B487=""),"",IF(ISNUMBER(Issues!$C490),INT(MOD(Issues!$C490,10000)/100),IFERROR(VALUE(TRIM(LEFT(MID(Issues!$C490,FIND("/",Issues!$C490)+1,20),FIND("/",MID(Issues!$C490,FIND("/",Issues!$C490)+1,20))-1))),"")))</f>
        <v/>
      </c>
      <c r="D487">
        <f>IF(OR($A487="",$B487=""),"",IF(ISNUMBER(Issues!$C490),MOD(Issues!$C490,100),IFERROR(VALUE(TRIM(MID(MID(Issues!$C490,FIND("/",Issues!$C490)+1,20),FIND("/",MID(Issues!$C490,FIND("/",Issues!$C490)+1,20))+1,20))),"")))</f>
        <v/>
      </c>
      <c r="E487">
        <f>IF($A487="","",IF(OR($B487="",$C487="",$D487="",$B487&lt;1300,$B487&gt;1500,$C487&lt;1,$C487&gt;12,$D487&lt;1,$D487&gt;31),"نامعتبر",RIGHT("0000"&amp;$B487,4)&amp;"/"&amp;RIGHT("00"&amp;$C487,2)&amp;"/"&amp;RIGHT("00"&amp;$D487,2)))</f>
        <v/>
      </c>
      <c r="F487">
        <f>IF($A487="","",IF(Issues!$D490="",0,Issues!$D490))</f>
        <v/>
      </c>
      <c r="G487">
        <f>IF($A487="","",Issues!$E490)</f>
        <v/>
      </c>
      <c r="H487">
        <f>IF($A487="","",IF(COUNTIFS(ETxnType,"پاس چک",ETxnChk,$A487)&gt;0,"پاس شده","پاس نشده"))</f>
        <v/>
      </c>
      <c r="I487">
        <f>IF($A487="","",IFERROR(INDEX(BClrDate,MATCH($A487,BClrChk,0)),""))</f>
        <v/>
      </c>
      <c r="J487">
        <f>IF($A487="","",Issues!$G490)</f>
        <v/>
      </c>
      <c r="K487">
        <f>IF(OR($E487="",$E487="نامعتبر"),"",LEFT($E487,4)&amp;MID($E487,6,2)&amp;RIGHT($E487,2)&amp;"|"&amp;RIGHT("00000"&amp;482,5))</f>
        <v/>
      </c>
      <c r="M487">
        <f>IF(Sync!$M487&lt;&gt;"پاس چک","",IF(Sync!$P487="","",Sync!$P487))</f>
        <v/>
      </c>
      <c r="N487">
        <f>IF($M487="","",IF(ISNUMBER(Sync!$L487),IF(AND(Sync!$L487&gt;=10000101,Sync!$L487&lt;=99991231),RIGHT("0000"&amp;INT(Sync!$L487/10000),4)&amp;"/"&amp;RIGHT("00"&amp;INT(MOD(Sync!$L487,10000)/100),2)&amp;"/"&amp;RIGHT("00"&amp;MOD(Sync!$L487,100),2),""),IFERROR(RIGHT("0000"&amp;VALUE(TRIM(LEFT(Sync!$L487,FIND("/",Sync!$L487)-1))),4)&amp;"/"&amp;RIGHT("00"&amp;VALUE(TRIM(LEFT(MID(Sync!$L487,FIND("/",Sync!$L487)+1,20),FIND("/",MID(Sync!$L487,FIND("/",Sync!$L487)+1,20))-1))),2)&amp;"/"&amp;RIGHT("00"&amp;VALUE(TRIM(MID(MID(Sync!$L487,FIND("/",Sync!$L487)+1,20),FIND("/",MID(Sync!$L487,FIND("/",Sync!$L487)+1,20))+1,20))),2),"")))</f>
        <v/>
      </c>
    </row>
    <row r="488">
      <c r="A488">
        <f>IF(Issues!$B491="","",Issues!$B491)</f>
        <v/>
      </c>
      <c r="B488">
        <f>IF($A488="","",IF(ISNUMBER(Issues!$C491),IF(AND(Issues!$C491&gt;=10000101,Issues!$C491&lt;=99991231),INT(Issues!$C491/10000),""),IFERROR(VALUE(TRIM(LEFT(Issues!$C491,FIND("/",Issues!$C491)-1))),"")))</f>
        <v/>
      </c>
      <c r="C488">
        <f>IF(OR($A488="",$B488=""),"",IF(ISNUMBER(Issues!$C491),INT(MOD(Issues!$C491,10000)/100),IFERROR(VALUE(TRIM(LEFT(MID(Issues!$C491,FIND("/",Issues!$C491)+1,20),FIND("/",MID(Issues!$C491,FIND("/",Issues!$C491)+1,20))-1))),"")))</f>
        <v/>
      </c>
      <c r="D488">
        <f>IF(OR($A488="",$B488=""),"",IF(ISNUMBER(Issues!$C491),MOD(Issues!$C491,100),IFERROR(VALUE(TRIM(MID(MID(Issues!$C491,FIND("/",Issues!$C491)+1,20),FIND("/",MID(Issues!$C491,FIND("/",Issues!$C491)+1,20))+1,20))),"")))</f>
        <v/>
      </c>
      <c r="E488">
        <f>IF($A488="","",IF(OR($B488="",$C488="",$D488="",$B488&lt;1300,$B488&gt;1500,$C488&lt;1,$C488&gt;12,$D488&lt;1,$D488&gt;31),"نامعتبر",RIGHT("0000"&amp;$B488,4)&amp;"/"&amp;RIGHT("00"&amp;$C488,2)&amp;"/"&amp;RIGHT("00"&amp;$D488,2)))</f>
        <v/>
      </c>
      <c r="F488">
        <f>IF($A488="","",IF(Issues!$D491="",0,Issues!$D491))</f>
        <v/>
      </c>
      <c r="G488">
        <f>IF($A488="","",Issues!$E491)</f>
        <v/>
      </c>
      <c r="H488">
        <f>IF($A488="","",IF(COUNTIFS(ETxnType,"پاس چک",ETxnChk,$A488)&gt;0,"پاس شده","پاس نشده"))</f>
        <v/>
      </c>
      <c r="I488">
        <f>IF($A488="","",IFERROR(INDEX(BClrDate,MATCH($A488,BClrChk,0)),""))</f>
        <v/>
      </c>
      <c r="J488">
        <f>IF($A488="","",Issues!$G491)</f>
        <v/>
      </c>
      <c r="K488">
        <f>IF(OR($E488="",$E488="نامعتبر"),"",LEFT($E488,4)&amp;MID($E488,6,2)&amp;RIGHT($E488,2)&amp;"|"&amp;RIGHT("00000"&amp;483,5))</f>
        <v/>
      </c>
      <c r="M488">
        <f>IF(Sync!$M488&lt;&gt;"پاس چک","",IF(Sync!$P488="","",Sync!$P488))</f>
        <v/>
      </c>
      <c r="N488">
        <f>IF($M488="","",IF(ISNUMBER(Sync!$L488),IF(AND(Sync!$L488&gt;=10000101,Sync!$L488&lt;=99991231),RIGHT("0000"&amp;INT(Sync!$L488/10000),4)&amp;"/"&amp;RIGHT("00"&amp;INT(MOD(Sync!$L488,10000)/100),2)&amp;"/"&amp;RIGHT("00"&amp;MOD(Sync!$L488,100),2),""),IFERROR(RIGHT("0000"&amp;VALUE(TRIM(LEFT(Sync!$L488,FIND("/",Sync!$L488)-1))),4)&amp;"/"&amp;RIGHT("00"&amp;VALUE(TRIM(LEFT(MID(Sync!$L488,FIND("/",Sync!$L488)+1,20),FIND("/",MID(Sync!$L488,FIND("/",Sync!$L488)+1,20))-1))),2)&amp;"/"&amp;RIGHT("00"&amp;VALUE(TRIM(MID(MID(Sync!$L488,FIND("/",Sync!$L488)+1,20),FIND("/",MID(Sync!$L488,FIND("/",Sync!$L488)+1,20))+1,20))),2),"")))</f>
        <v/>
      </c>
    </row>
    <row r="489">
      <c r="A489">
        <f>IF(Issues!$B492="","",Issues!$B492)</f>
        <v/>
      </c>
      <c r="B489">
        <f>IF($A489="","",IF(ISNUMBER(Issues!$C492),IF(AND(Issues!$C492&gt;=10000101,Issues!$C492&lt;=99991231),INT(Issues!$C492/10000),""),IFERROR(VALUE(TRIM(LEFT(Issues!$C492,FIND("/",Issues!$C492)-1))),"")))</f>
        <v/>
      </c>
      <c r="C489">
        <f>IF(OR($A489="",$B489=""),"",IF(ISNUMBER(Issues!$C492),INT(MOD(Issues!$C492,10000)/100),IFERROR(VALUE(TRIM(LEFT(MID(Issues!$C492,FIND("/",Issues!$C492)+1,20),FIND("/",MID(Issues!$C492,FIND("/",Issues!$C492)+1,20))-1))),"")))</f>
        <v/>
      </c>
      <c r="D489">
        <f>IF(OR($A489="",$B489=""),"",IF(ISNUMBER(Issues!$C492),MOD(Issues!$C492,100),IFERROR(VALUE(TRIM(MID(MID(Issues!$C492,FIND("/",Issues!$C492)+1,20),FIND("/",MID(Issues!$C492,FIND("/",Issues!$C492)+1,20))+1,20))),"")))</f>
        <v/>
      </c>
      <c r="E489">
        <f>IF($A489="","",IF(OR($B489="",$C489="",$D489="",$B489&lt;1300,$B489&gt;1500,$C489&lt;1,$C489&gt;12,$D489&lt;1,$D489&gt;31),"نامعتبر",RIGHT("0000"&amp;$B489,4)&amp;"/"&amp;RIGHT("00"&amp;$C489,2)&amp;"/"&amp;RIGHT("00"&amp;$D489,2)))</f>
        <v/>
      </c>
      <c r="F489">
        <f>IF($A489="","",IF(Issues!$D492="",0,Issues!$D492))</f>
        <v/>
      </c>
      <c r="G489">
        <f>IF($A489="","",Issues!$E492)</f>
        <v/>
      </c>
      <c r="H489">
        <f>IF($A489="","",IF(COUNTIFS(ETxnType,"پاس چک",ETxnChk,$A489)&gt;0,"پاس شده","پاس نشده"))</f>
        <v/>
      </c>
      <c r="I489">
        <f>IF($A489="","",IFERROR(INDEX(BClrDate,MATCH($A489,BClrChk,0)),""))</f>
        <v/>
      </c>
      <c r="J489">
        <f>IF($A489="","",Issues!$G492)</f>
        <v/>
      </c>
      <c r="K489">
        <f>IF(OR($E489="",$E489="نامعتبر"),"",LEFT($E489,4)&amp;MID($E489,6,2)&amp;RIGHT($E489,2)&amp;"|"&amp;RIGHT("00000"&amp;484,5))</f>
        <v/>
      </c>
      <c r="M489">
        <f>IF(Sync!$M489&lt;&gt;"پاس چک","",IF(Sync!$P489="","",Sync!$P489))</f>
        <v/>
      </c>
      <c r="N489">
        <f>IF($M489="","",IF(ISNUMBER(Sync!$L489),IF(AND(Sync!$L489&gt;=10000101,Sync!$L489&lt;=99991231),RIGHT("0000"&amp;INT(Sync!$L489/10000),4)&amp;"/"&amp;RIGHT("00"&amp;INT(MOD(Sync!$L489,10000)/100),2)&amp;"/"&amp;RIGHT("00"&amp;MOD(Sync!$L489,100),2),""),IFERROR(RIGHT("0000"&amp;VALUE(TRIM(LEFT(Sync!$L489,FIND("/",Sync!$L489)-1))),4)&amp;"/"&amp;RIGHT("00"&amp;VALUE(TRIM(LEFT(MID(Sync!$L489,FIND("/",Sync!$L489)+1,20),FIND("/",MID(Sync!$L489,FIND("/",Sync!$L489)+1,20))-1))),2)&amp;"/"&amp;RIGHT("00"&amp;VALUE(TRIM(MID(MID(Sync!$L489,FIND("/",Sync!$L489)+1,20),FIND("/",MID(Sync!$L489,FIND("/",Sync!$L489)+1,20))+1,20))),2),"")))</f>
        <v/>
      </c>
    </row>
    <row r="490">
      <c r="A490">
        <f>IF(Issues!$B493="","",Issues!$B493)</f>
        <v/>
      </c>
      <c r="B490">
        <f>IF($A490="","",IF(ISNUMBER(Issues!$C493),IF(AND(Issues!$C493&gt;=10000101,Issues!$C493&lt;=99991231),INT(Issues!$C493/10000),""),IFERROR(VALUE(TRIM(LEFT(Issues!$C493,FIND("/",Issues!$C493)-1))),"")))</f>
        <v/>
      </c>
      <c r="C490">
        <f>IF(OR($A490="",$B490=""),"",IF(ISNUMBER(Issues!$C493),INT(MOD(Issues!$C493,10000)/100),IFERROR(VALUE(TRIM(LEFT(MID(Issues!$C493,FIND("/",Issues!$C493)+1,20),FIND("/",MID(Issues!$C493,FIND("/",Issues!$C493)+1,20))-1))),"")))</f>
        <v/>
      </c>
      <c r="D490">
        <f>IF(OR($A490="",$B490=""),"",IF(ISNUMBER(Issues!$C493),MOD(Issues!$C493,100),IFERROR(VALUE(TRIM(MID(MID(Issues!$C493,FIND("/",Issues!$C493)+1,20),FIND("/",MID(Issues!$C493,FIND("/",Issues!$C493)+1,20))+1,20))),"")))</f>
        <v/>
      </c>
      <c r="E490">
        <f>IF($A490="","",IF(OR($B490="",$C490="",$D490="",$B490&lt;1300,$B490&gt;1500,$C490&lt;1,$C490&gt;12,$D490&lt;1,$D490&gt;31),"نامعتبر",RIGHT("0000"&amp;$B490,4)&amp;"/"&amp;RIGHT("00"&amp;$C490,2)&amp;"/"&amp;RIGHT("00"&amp;$D490,2)))</f>
        <v/>
      </c>
      <c r="F490">
        <f>IF($A490="","",IF(Issues!$D493="",0,Issues!$D493))</f>
        <v/>
      </c>
      <c r="G490">
        <f>IF($A490="","",Issues!$E493)</f>
        <v/>
      </c>
      <c r="H490">
        <f>IF($A490="","",IF(COUNTIFS(ETxnType,"پاس چک",ETxnChk,$A490)&gt;0,"پاس شده","پاس نشده"))</f>
        <v/>
      </c>
      <c r="I490">
        <f>IF($A490="","",IFERROR(INDEX(BClrDate,MATCH($A490,BClrChk,0)),""))</f>
        <v/>
      </c>
      <c r="J490">
        <f>IF($A490="","",Issues!$G493)</f>
        <v/>
      </c>
      <c r="K490">
        <f>IF(OR($E490="",$E490="نامعتبر"),"",LEFT($E490,4)&amp;MID($E490,6,2)&amp;RIGHT($E490,2)&amp;"|"&amp;RIGHT("00000"&amp;485,5))</f>
        <v/>
      </c>
      <c r="M490">
        <f>IF(Sync!$M490&lt;&gt;"پاس چک","",IF(Sync!$P490="","",Sync!$P490))</f>
        <v/>
      </c>
      <c r="N490">
        <f>IF($M490="","",IF(ISNUMBER(Sync!$L490),IF(AND(Sync!$L490&gt;=10000101,Sync!$L490&lt;=99991231),RIGHT("0000"&amp;INT(Sync!$L490/10000),4)&amp;"/"&amp;RIGHT("00"&amp;INT(MOD(Sync!$L490,10000)/100),2)&amp;"/"&amp;RIGHT("00"&amp;MOD(Sync!$L490,100),2),""),IFERROR(RIGHT("0000"&amp;VALUE(TRIM(LEFT(Sync!$L490,FIND("/",Sync!$L490)-1))),4)&amp;"/"&amp;RIGHT("00"&amp;VALUE(TRIM(LEFT(MID(Sync!$L490,FIND("/",Sync!$L490)+1,20),FIND("/",MID(Sync!$L490,FIND("/",Sync!$L490)+1,20))-1))),2)&amp;"/"&amp;RIGHT("00"&amp;VALUE(TRIM(MID(MID(Sync!$L490,FIND("/",Sync!$L490)+1,20),FIND("/",MID(Sync!$L490,FIND("/",Sync!$L490)+1,20))+1,20))),2),"")))</f>
        <v/>
      </c>
    </row>
    <row r="491">
      <c r="A491">
        <f>IF(Issues!$B494="","",Issues!$B494)</f>
        <v/>
      </c>
      <c r="B491">
        <f>IF($A491="","",IF(ISNUMBER(Issues!$C494),IF(AND(Issues!$C494&gt;=10000101,Issues!$C494&lt;=99991231),INT(Issues!$C494/10000),""),IFERROR(VALUE(TRIM(LEFT(Issues!$C494,FIND("/",Issues!$C494)-1))),"")))</f>
        <v/>
      </c>
      <c r="C491">
        <f>IF(OR($A491="",$B491=""),"",IF(ISNUMBER(Issues!$C494),INT(MOD(Issues!$C494,10000)/100),IFERROR(VALUE(TRIM(LEFT(MID(Issues!$C494,FIND("/",Issues!$C494)+1,20),FIND("/",MID(Issues!$C494,FIND("/",Issues!$C494)+1,20))-1))),"")))</f>
        <v/>
      </c>
      <c r="D491">
        <f>IF(OR($A491="",$B491=""),"",IF(ISNUMBER(Issues!$C494),MOD(Issues!$C494,100),IFERROR(VALUE(TRIM(MID(MID(Issues!$C494,FIND("/",Issues!$C494)+1,20),FIND("/",MID(Issues!$C494,FIND("/",Issues!$C494)+1,20))+1,20))),"")))</f>
        <v/>
      </c>
      <c r="E491">
        <f>IF($A491="","",IF(OR($B491="",$C491="",$D491="",$B491&lt;1300,$B491&gt;1500,$C491&lt;1,$C491&gt;12,$D491&lt;1,$D491&gt;31),"نامعتبر",RIGHT("0000"&amp;$B491,4)&amp;"/"&amp;RIGHT("00"&amp;$C491,2)&amp;"/"&amp;RIGHT("00"&amp;$D491,2)))</f>
        <v/>
      </c>
      <c r="F491">
        <f>IF($A491="","",IF(Issues!$D494="",0,Issues!$D494))</f>
        <v/>
      </c>
      <c r="G491">
        <f>IF($A491="","",Issues!$E494)</f>
        <v/>
      </c>
      <c r="H491">
        <f>IF($A491="","",IF(COUNTIFS(ETxnType,"پاس چک",ETxnChk,$A491)&gt;0,"پاس شده","پاس نشده"))</f>
        <v/>
      </c>
      <c r="I491">
        <f>IF($A491="","",IFERROR(INDEX(BClrDate,MATCH($A491,BClrChk,0)),""))</f>
        <v/>
      </c>
      <c r="J491">
        <f>IF($A491="","",Issues!$G494)</f>
        <v/>
      </c>
      <c r="K491">
        <f>IF(OR($E491="",$E491="نامعتبر"),"",LEFT($E491,4)&amp;MID($E491,6,2)&amp;RIGHT($E491,2)&amp;"|"&amp;RIGHT("00000"&amp;486,5))</f>
        <v/>
      </c>
      <c r="M491">
        <f>IF(Sync!$M491&lt;&gt;"پاس چک","",IF(Sync!$P491="","",Sync!$P491))</f>
        <v/>
      </c>
      <c r="N491">
        <f>IF($M491="","",IF(ISNUMBER(Sync!$L491),IF(AND(Sync!$L491&gt;=10000101,Sync!$L491&lt;=99991231),RIGHT("0000"&amp;INT(Sync!$L491/10000),4)&amp;"/"&amp;RIGHT("00"&amp;INT(MOD(Sync!$L491,10000)/100),2)&amp;"/"&amp;RIGHT("00"&amp;MOD(Sync!$L491,100),2),""),IFERROR(RIGHT("0000"&amp;VALUE(TRIM(LEFT(Sync!$L491,FIND("/",Sync!$L491)-1))),4)&amp;"/"&amp;RIGHT("00"&amp;VALUE(TRIM(LEFT(MID(Sync!$L491,FIND("/",Sync!$L491)+1,20),FIND("/",MID(Sync!$L491,FIND("/",Sync!$L491)+1,20))-1))),2)&amp;"/"&amp;RIGHT("00"&amp;VALUE(TRIM(MID(MID(Sync!$L491,FIND("/",Sync!$L491)+1,20),FIND("/",MID(Sync!$L491,FIND("/",Sync!$L491)+1,20))+1,20))),2),"")))</f>
        <v/>
      </c>
    </row>
    <row r="492">
      <c r="A492">
        <f>IF(Issues!$B495="","",Issues!$B495)</f>
        <v/>
      </c>
      <c r="B492">
        <f>IF($A492="","",IF(ISNUMBER(Issues!$C495),IF(AND(Issues!$C495&gt;=10000101,Issues!$C495&lt;=99991231),INT(Issues!$C495/10000),""),IFERROR(VALUE(TRIM(LEFT(Issues!$C495,FIND("/",Issues!$C495)-1))),"")))</f>
        <v/>
      </c>
      <c r="C492">
        <f>IF(OR($A492="",$B492=""),"",IF(ISNUMBER(Issues!$C495),INT(MOD(Issues!$C495,10000)/100),IFERROR(VALUE(TRIM(LEFT(MID(Issues!$C495,FIND("/",Issues!$C495)+1,20),FIND("/",MID(Issues!$C495,FIND("/",Issues!$C495)+1,20))-1))),"")))</f>
        <v/>
      </c>
      <c r="D492">
        <f>IF(OR($A492="",$B492=""),"",IF(ISNUMBER(Issues!$C495),MOD(Issues!$C495,100),IFERROR(VALUE(TRIM(MID(MID(Issues!$C495,FIND("/",Issues!$C495)+1,20),FIND("/",MID(Issues!$C495,FIND("/",Issues!$C495)+1,20))+1,20))),"")))</f>
        <v/>
      </c>
      <c r="E492">
        <f>IF($A492="","",IF(OR($B492="",$C492="",$D492="",$B492&lt;1300,$B492&gt;1500,$C492&lt;1,$C492&gt;12,$D492&lt;1,$D492&gt;31),"نامعتبر",RIGHT("0000"&amp;$B492,4)&amp;"/"&amp;RIGHT("00"&amp;$C492,2)&amp;"/"&amp;RIGHT("00"&amp;$D492,2)))</f>
        <v/>
      </c>
      <c r="F492">
        <f>IF($A492="","",IF(Issues!$D495="",0,Issues!$D495))</f>
        <v/>
      </c>
      <c r="G492">
        <f>IF($A492="","",Issues!$E495)</f>
        <v/>
      </c>
      <c r="H492">
        <f>IF($A492="","",IF(COUNTIFS(ETxnType,"پاس چک",ETxnChk,$A492)&gt;0,"پاس شده","پاس نشده"))</f>
        <v/>
      </c>
      <c r="I492">
        <f>IF($A492="","",IFERROR(INDEX(BClrDate,MATCH($A492,BClrChk,0)),""))</f>
        <v/>
      </c>
      <c r="J492">
        <f>IF($A492="","",Issues!$G495)</f>
        <v/>
      </c>
      <c r="K492">
        <f>IF(OR($E492="",$E492="نامعتبر"),"",LEFT($E492,4)&amp;MID($E492,6,2)&amp;RIGHT($E492,2)&amp;"|"&amp;RIGHT("00000"&amp;487,5))</f>
        <v/>
      </c>
      <c r="M492">
        <f>IF(Sync!$M492&lt;&gt;"پاس چک","",IF(Sync!$P492="","",Sync!$P492))</f>
        <v/>
      </c>
      <c r="N492">
        <f>IF($M492="","",IF(ISNUMBER(Sync!$L492),IF(AND(Sync!$L492&gt;=10000101,Sync!$L492&lt;=99991231),RIGHT("0000"&amp;INT(Sync!$L492/10000),4)&amp;"/"&amp;RIGHT("00"&amp;INT(MOD(Sync!$L492,10000)/100),2)&amp;"/"&amp;RIGHT("00"&amp;MOD(Sync!$L492,100),2),""),IFERROR(RIGHT("0000"&amp;VALUE(TRIM(LEFT(Sync!$L492,FIND("/",Sync!$L492)-1))),4)&amp;"/"&amp;RIGHT("00"&amp;VALUE(TRIM(LEFT(MID(Sync!$L492,FIND("/",Sync!$L492)+1,20),FIND("/",MID(Sync!$L492,FIND("/",Sync!$L492)+1,20))-1))),2)&amp;"/"&amp;RIGHT("00"&amp;VALUE(TRIM(MID(MID(Sync!$L492,FIND("/",Sync!$L492)+1,20),FIND("/",MID(Sync!$L492,FIND("/",Sync!$L492)+1,20))+1,20))),2),"")))</f>
        <v/>
      </c>
    </row>
    <row r="493">
      <c r="A493">
        <f>IF(Issues!$B496="","",Issues!$B496)</f>
        <v/>
      </c>
      <c r="B493">
        <f>IF($A493="","",IF(ISNUMBER(Issues!$C496),IF(AND(Issues!$C496&gt;=10000101,Issues!$C496&lt;=99991231),INT(Issues!$C496/10000),""),IFERROR(VALUE(TRIM(LEFT(Issues!$C496,FIND("/",Issues!$C496)-1))),"")))</f>
        <v/>
      </c>
      <c r="C493">
        <f>IF(OR($A493="",$B493=""),"",IF(ISNUMBER(Issues!$C496),INT(MOD(Issues!$C496,10000)/100),IFERROR(VALUE(TRIM(LEFT(MID(Issues!$C496,FIND("/",Issues!$C496)+1,20),FIND("/",MID(Issues!$C496,FIND("/",Issues!$C496)+1,20))-1))),"")))</f>
        <v/>
      </c>
      <c r="D493">
        <f>IF(OR($A493="",$B493=""),"",IF(ISNUMBER(Issues!$C496),MOD(Issues!$C496,100),IFERROR(VALUE(TRIM(MID(MID(Issues!$C496,FIND("/",Issues!$C496)+1,20),FIND("/",MID(Issues!$C496,FIND("/",Issues!$C496)+1,20))+1,20))),"")))</f>
        <v/>
      </c>
      <c r="E493">
        <f>IF($A493="","",IF(OR($B493="",$C493="",$D493="",$B493&lt;1300,$B493&gt;1500,$C493&lt;1,$C493&gt;12,$D493&lt;1,$D493&gt;31),"نامعتبر",RIGHT("0000"&amp;$B493,4)&amp;"/"&amp;RIGHT("00"&amp;$C493,2)&amp;"/"&amp;RIGHT("00"&amp;$D493,2)))</f>
        <v/>
      </c>
      <c r="F493">
        <f>IF($A493="","",IF(Issues!$D496="",0,Issues!$D496))</f>
        <v/>
      </c>
      <c r="G493">
        <f>IF($A493="","",Issues!$E496)</f>
        <v/>
      </c>
      <c r="H493">
        <f>IF($A493="","",IF(COUNTIFS(ETxnType,"پاس چک",ETxnChk,$A493)&gt;0,"پاس شده","پاس نشده"))</f>
        <v/>
      </c>
      <c r="I493">
        <f>IF($A493="","",IFERROR(INDEX(BClrDate,MATCH($A493,BClrChk,0)),""))</f>
        <v/>
      </c>
      <c r="J493">
        <f>IF($A493="","",Issues!$G496)</f>
        <v/>
      </c>
      <c r="K493">
        <f>IF(OR($E493="",$E493="نامعتبر"),"",LEFT($E493,4)&amp;MID($E493,6,2)&amp;RIGHT($E493,2)&amp;"|"&amp;RIGHT("00000"&amp;488,5))</f>
        <v/>
      </c>
      <c r="M493">
        <f>IF(Sync!$M493&lt;&gt;"پاس چک","",IF(Sync!$P493="","",Sync!$P493))</f>
        <v/>
      </c>
      <c r="N493">
        <f>IF($M493="","",IF(ISNUMBER(Sync!$L493),IF(AND(Sync!$L493&gt;=10000101,Sync!$L493&lt;=99991231),RIGHT("0000"&amp;INT(Sync!$L493/10000),4)&amp;"/"&amp;RIGHT("00"&amp;INT(MOD(Sync!$L493,10000)/100),2)&amp;"/"&amp;RIGHT("00"&amp;MOD(Sync!$L493,100),2),""),IFERROR(RIGHT("0000"&amp;VALUE(TRIM(LEFT(Sync!$L493,FIND("/",Sync!$L493)-1))),4)&amp;"/"&amp;RIGHT("00"&amp;VALUE(TRIM(LEFT(MID(Sync!$L493,FIND("/",Sync!$L493)+1,20),FIND("/",MID(Sync!$L493,FIND("/",Sync!$L493)+1,20))-1))),2)&amp;"/"&amp;RIGHT("00"&amp;VALUE(TRIM(MID(MID(Sync!$L493,FIND("/",Sync!$L493)+1,20),FIND("/",MID(Sync!$L493,FIND("/",Sync!$L493)+1,20))+1,20))),2),"")))</f>
        <v/>
      </c>
    </row>
    <row r="494">
      <c r="A494">
        <f>IF(Issues!$B497="","",Issues!$B497)</f>
        <v/>
      </c>
      <c r="B494">
        <f>IF($A494="","",IF(ISNUMBER(Issues!$C497),IF(AND(Issues!$C497&gt;=10000101,Issues!$C497&lt;=99991231),INT(Issues!$C497/10000),""),IFERROR(VALUE(TRIM(LEFT(Issues!$C497,FIND("/",Issues!$C497)-1))),"")))</f>
        <v/>
      </c>
      <c r="C494">
        <f>IF(OR($A494="",$B494=""),"",IF(ISNUMBER(Issues!$C497),INT(MOD(Issues!$C497,10000)/100),IFERROR(VALUE(TRIM(LEFT(MID(Issues!$C497,FIND("/",Issues!$C497)+1,20),FIND("/",MID(Issues!$C497,FIND("/",Issues!$C497)+1,20))-1))),"")))</f>
        <v/>
      </c>
      <c r="D494">
        <f>IF(OR($A494="",$B494=""),"",IF(ISNUMBER(Issues!$C497),MOD(Issues!$C497,100),IFERROR(VALUE(TRIM(MID(MID(Issues!$C497,FIND("/",Issues!$C497)+1,20),FIND("/",MID(Issues!$C497,FIND("/",Issues!$C497)+1,20))+1,20))),"")))</f>
        <v/>
      </c>
      <c r="E494">
        <f>IF($A494="","",IF(OR($B494="",$C494="",$D494="",$B494&lt;1300,$B494&gt;1500,$C494&lt;1,$C494&gt;12,$D494&lt;1,$D494&gt;31),"نامعتبر",RIGHT("0000"&amp;$B494,4)&amp;"/"&amp;RIGHT("00"&amp;$C494,2)&amp;"/"&amp;RIGHT("00"&amp;$D494,2)))</f>
        <v/>
      </c>
      <c r="F494">
        <f>IF($A494="","",IF(Issues!$D497="",0,Issues!$D497))</f>
        <v/>
      </c>
      <c r="G494">
        <f>IF($A494="","",Issues!$E497)</f>
        <v/>
      </c>
      <c r="H494">
        <f>IF($A494="","",IF(COUNTIFS(ETxnType,"پاس چک",ETxnChk,$A494)&gt;0,"پاس شده","پاس نشده"))</f>
        <v/>
      </c>
      <c r="I494">
        <f>IF($A494="","",IFERROR(INDEX(BClrDate,MATCH($A494,BClrChk,0)),""))</f>
        <v/>
      </c>
      <c r="J494">
        <f>IF($A494="","",Issues!$G497)</f>
        <v/>
      </c>
      <c r="K494">
        <f>IF(OR($E494="",$E494="نامعتبر"),"",LEFT($E494,4)&amp;MID($E494,6,2)&amp;RIGHT($E494,2)&amp;"|"&amp;RIGHT("00000"&amp;489,5))</f>
        <v/>
      </c>
      <c r="M494">
        <f>IF(Sync!$M494&lt;&gt;"پاس چک","",IF(Sync!$P494="","",Sync!$P494))</f>
        <v/>
      </c>
      <c r="N494">
        <f>IF($M494="","",IF(ISNUMBER(Sync!$L494),IF(AND(Sync!$L494&gt;=10000101,Sync!$L494&lt;=99991231),RIGHT("0000"&amp;INT(Sync!$L494/10000),4)&amp;"/"&amp;RIGHT("00"&amp;INT(MOD(Sync!$L494,10000)/100),2)&amp;"/"&amp;RIGHT("00"&amp;MOD(Sync!$L494,100),2),""),IFERROR(RIGHT("0000"&amp;VALUE(TRIM(LEFT(Sync!$L494,FIND("/",Sync!$L494)-1))),4)&amp;"/"&amp;RIGHT("00"&amp;VALUE(TRIM(LEFT(MID(Sync!$L494,FIND("/",Sync!$L494)+1,20),FIND("/",MID(Sync!$L494,FIND("/",Sync!$L494)+1,20))-1))),2)&amp;"/"&amp;RIGHT("00"&amp;VALUE(TRIM(MID(MID(Sync!$L494,FIND("/",Sync!$L494)+1,20),FIND("/",MID(Sync!$L494,FIND("/",Sync!$L494)+1,20))+1,20))),2),"")))</f>
        <v/>
      </c>
    </row>
    <row r="495">
      <c r="A495">
        <f>IF(Issues!$B498="","",Issues!$B498)</f>
        <v/>
      </c>
      <c r="B495">
        <f>IF($A495="","",IF(ISNUMBER(Issues!$C498),IF(AND(Issues!$C498&gt;=10000101,Issues!$C498&lt;=99991231),INT(Issues!$C498/10000),""),IFERROR(VALUE(TRIM(LEFT(Issues!$C498,FIND("/",Issues!$C498)-1))),"")))</f>
        <v/>
      </c>
      <c r="C495">
        <f>IF(OR($A495="",$B495=""),"",IF(ISNUMBER(Issues!$C498),INT(MOD(Issues!$C498,10000)/100),IFERROR(VALUE(TRIM(LEFT(MID(Issues!$C498,FIND("/",Issues!$C498)+1,20),FIND("/",MID(Issues!$C498,FIND("/",Issues!$C498)+1,20))-1))),"")))</f>
        <v/>
      </c>
      <c r="D495">
        <f>IF(OR($A495="",$B495=""),"",IF(ISNUMBER(Issues!$C498),MOD(Issues!$C498,100),IFERROR(VALUE(TRIM(MID(MID(Issues!$C498,FIND("/",Issues!$C498)+1,20),FIND("/",MID(Issues!$C498,FIND("/",Issues!$C498)+1,20))+1,20))),"")))</f>
        <v/>
      </c>
      <c r="E495">
        <f>IF($A495="","",IF(OR($B495="",$C495="",$D495="",$B495&lt;1300,$B495&gt;1500,$C495&lt;1,$C495&gt;12,$D495&lt;1,$D495&gt;31),"نامعتبر",RIGHT("0000"&amp;$B495,4)&amp;"/"&amp;RIGHT("00"&amp;$C495,2)&amp;"/"&amp;RIGHT("00"&amp;$D495,2)))</f>
        <v/>
      </c>
      <c r="F495">
        <f>IF($A495="","",IF(Issues!$D498="",0,Issues!$D498))</f>
        <v/>
      </c>
      <c r="G495">
        <f>IF($A495="","",Issues!$E498)</f>
        <v/>
      </c>
      <c r="H495">
        <f>IF($A495="","",IF(COUNTIFS(ETxnType,"پاس چک",ETxnChk,$A495)&gt;0,"پاس شده","پاس نشده"))</f>
        <v/>
      </c>
      <c r="I495">
        <f>IF($A495="","",IFERROR(INDEX(BClrDate,MATCH($A495,BClrChk,0)),""))</f>
        <v/>
      </c>
      <c r="J495">
        <f>IF($A495="","",Issues!$G498)</f>
        <v/>
      </c>
      <c r="K495">
        <f>IF(OR($E495="",$E495="نامعتبر"),"",LEFT($E495,4)&amp;MID($E495,6,2)&amp;RIGHT($E495,2)&amp;"|"&amp;RIGHT("00000"&amp;490,5))</f>
        <v/>
      </c>
      <c r="M495">
        <f>IF(Sync!$M495&lt;&gt;"پاس چک","",IF(Sync!$P495="","",Sync!$P495))</f>
        <v/>
      </c>
      <c r="N495">
        <f>IF($M495="","",IF(ISNUMBER(Sync!$L495),IF(AND(Sync!$L495&gt;=10000101,Sync!$L495&lt;=99991231),RIGHT("0000"&amp;INT(Sync!$L495/10000),4)&amp;"/"&amp;RIGHT("00"&amp;INT(MOD(Sync!$L495,10000)/100),2)&amp;"/"&amp;RIGHT("00"&amp;MOD(Sync!$L495,100),2),""),IFERROR(RIGHT("0000"&amp;VALUE(TRIM(LEFT(Sync!$L495,FIND("/",Sync!$L495)-1))),4)&amp;"/"&amp;RIGHT("00"&amp;VALUE(TRIM(LEFT(MID(Sync!$L495,FIND("/",Sync!$L495)+1,20),FIND("/",MID(Sync!$L495,FIND("/",Sync!$L495)+1,20))-1))),2)&amp;"/"&amp;RIGHT("00"&amp;VALUE(TRIM(MID(MID(Sync!$L495,FIND("/",Sync!$L495)+1,20),FIND("/",MID(Sync!$L495,FIND("/",Sync!$L495)+1,20))+1,20))),2),"")))</f>
        <v/>
      </c>
    </row>
    <row r="496">
      <c r="A496">
        <f>IF(Issues!$B499="","",Issues!$B499)</f>
        <v/>
      </c>
      <c r="B496">
        <f>IF($A496="","",IF(ISNUMBER(Issues!$C499),IF(AND(Issues!$C499&gt;=10000101,Issues!$C499&lt;=99991231),INT(Issues!$C499/10000),""),IFERROR(VALUE(TRIM(LEFT(Issues!$C499,FIND("/",Issues!$C499)-1))),"")))</f>
        <v/>
      </c>
      <c r="C496">
        <f>IF(OR($A496="",$B496=""),"",IF(ISNUMBER(Issues!$C499),INT(MOD(Issues!$C499,10000)/100),IFERROR(VALUE(TRIM(LEFT(MID(Issues!$C499,FIND("/",Issues!$C499)+1,20),FIND("/",MID(Issues!$C499,FIND("/",Issues!$C499)+1,20))-1))),"")))</f>
        <v/>
      </c>
      <c r="D496">
        <f>IF(OR($A496="",$B496=""),"",IF(ISNUMBER(Issues!$C499),MOD(Issues!$C499,100),IFERROR(VALUE(TRIM(MID(MID(Issues!$C499,FIND("/",Issues!$C499)+1,20),FIND("/",MID(Issues!$C499,FIND("/",Issues!$C499)+1,20))+1,20))),"")))</f>
        <v/>
      </c>
      <c r="E496">
        <f>IF($A496="","",IF(OR($B496="",$C496="",$D496="",$B496&lt;1300,$B496&gt;1500,$C496&lt;1,$C496&gt;12,$D496&lt;1,$D496&gt;31),"نامعتبر",RIGHT("0000"&amp;$B496,4)&amp;"/"&amp;RIGHT("00"&amp;$C496,2)&amp;"/"&amp;RIGHT("00"&amp;$D496,2)))</f>
        <v/>
      </c>
      <c r="F496">
        <f>IF($A496="","",IF(Issues!$D499="",0,Issues!$D499))</f>
        <v/>
      </c>
      <c r="G496">
        <f>IF($A496="","",Issues!$E499)</f>
        <v/>
      </c>
      <c r="H496">
        <f>IF($A496="","",IF(COUNTIFS(ETxnType,"پاس چک",ETxnChk,$A496)&gt;0,"پاس شده","پاس نشده"))</f>
        <v/>
      </c>
      <c r="I496">
        <f>IF($A496="","",IFERROR(INDEX(BClrDate,MATCH($A496,BClrChk,0)),""))</f>
        <v/>
      </c>
      <c r="J496">
        <f>IF($A496="","",Issues!$G499)</f>
        <v/>
      </c>
      <c r="K496">
        <f>IF(OR($E496="",$E496="نامعتبر"),"",LEFT($E496,4)&amp;MID($E496,6,2)&amp;RIGHT($E496,2)&amp;"|"&amp;RIGHT("00000"&amp;491,5))</f>
        <v/>
      </c>
      <c r="M496">
        <f>IF(Sync!$M496&lt;&gt;"پاس چک","",IF(Sync!$P496="","",Sync!$P496))</f>
        <v/>
      </c>
      <c r="N496">
        <f>IF($M496="","",IF(ISNUMBER(Sync!$L496),IF(AND(Sync!$L496&gt;=10000101,Sync!$L496&lt;=99991231),RIGHT("0000"&amp;INT(Sync!$L496/10000),4)&amp;"/"&amp;RIGHT("00"&amp;INT(MOD(Sync!$L496,10000)/100),2)&amp;"/"&amp;RIGHT("00"&amp;MOD(Sync!$L496,100),2),""),IFERROR(RIGHT("0000"&amp;VALUE(TRIM(LEFT(Sync!$L496,FIND("/",Sync!$L496)-1))),4)&amp;"/"&amp;RIGHT("00"&amp;VALUE(TRIM(LEFT(MID(Sync!$L496,FIND("/",Sync!$L496)+1,20),FIND("/",MID(Sync!$L496,FIND("/",Sync!$L496)+1,20))-1))),2)&amp;"/"&amp;RIGHT("00"&amp;VALUE(TRIM(MID(MID(Sync!$L496,FIND("/",Sync!$L496)+1,20),FIND("/",MID(Sync!$L496,FIND("/",Sync!$L496)+1,20))+1,20))),2),"")))</f>
        <v/>
      </c>
    </row>
    <row r="497">
      <c r="A497">
        <f>IF(Issues!$B500="","",Issues!$B500)</f>
        <v/>
      </c>
      <c r="B497">
        <f>IF($A497="","",IF(ISNUMBER(Issues!$C500),IF(AND(Issues!$C500&gt;=10000101,Issues!$C500&lt;=99991231),INT(Issues!$C500/10000),""),IFERROR(VALUE(TRIM(LEFT(Issues!$C500,FIND("/",Issues!$C500)-1))),"")))</f>
        <v/>
      </c>
      <c r="C497">
        <f>IF(OR($A497="",$B497=""),"",IF(ISNUMBER(Issues!$C500),INT(MOD(Issues!$C500,10000)/100),IFERROR(VALUE(TRIM(LEFT(MID(Issues!$C500,FIND("/",Issues!$C500)+1,20),FIND("/",MID(Issues!$C500,FIND("/",Issues!$C500)+1,20))-1))),"")))</f>
        <v/>
      </c>
      <c r="D497">
        <f>IF(OR($A497="",$B497=""),"",IF(ISNUMBER(Issues!$C500),MOD(Issues!$C500,100),IFERROR(VALUE(TRIM(MID(MID(Issues!$C500,FIND("/",Issues!$C500)+1,20),FIND("/",MID(Issues!$C500,FIND("/",Issues!$C500)+1,20))+1,20))),"")))</f>
        <v/>
      </c>
      <c r="E497">
        <f>IF($A497="","",IF(OR($B497="",$C497="",$D497="",$B497&lt;1300,$B497&gt;1500,$C497&lt;1,$C497&gt;12,$D497&lt;1,$D497&gt;31),"نامعتبر",RIGHT("0000"&amp;$B497,4)&amp;"/"&amp;RIGHT("00"&amp;$C497,2)&amp;"/"&amp;RIGHT("00"&amp;$D497,2)))</f>
        <v/>
      </c>
      <c r="F497">
        <f>IF($A497="","",IF(Issues!$D500="",0,Issues!$D500))</f>
        <v/>
      </c>
      <c r="G497">
        <f>IF($A497="","",Issues!$E500)</f>
        <v/>
      </c>
      <c r="H497">
        <f>IF($A497="","",IF(COUNTIFS(ETxnType,"پاس چک",ETxnChk,$A497)&gt;0,"پاس شده","پاس نشده"))</f>
        <v/>
      </c>
      <c r="I497">
        <f>IF($A497="","",IFERROR(INDEX(BClrDate,MATCH($A497,BClrChk,0)),""))</f>
        <v/>
      </c>
      <c r="J497">
        <f>IF($A497="","",Issues!$G500)</f>
        <v/>
      </c>
      <c r="K497">
        <f>IF(OR($E497="",$E497="نامعتبر"),"",LEFT($E497,4)&amp;MID($E497,6,2)&amp;RIGHT($E497,2)&amp;"|"&amp;RIGHT("00000"&amp;492,5))</f>
        <v/>
      </c>
      <c r="M497">
        <f>IF(Sync!$M497&lt;&gt;"پاس چک","",IF(Sync!$P497="","",Sync!$P497))</f>
        <v/>
      </c>
      <c r="N497">
        <f>IF($M497="","",IF(ISNUMBER(Sync!$L497),IF(AND(Sync!$L497&gt;=10000101,Sync!$L497&lt;=99991231),RIGHT("0000"&amp;INT(Sync!$L497/10000),4)&amp;"/"&amp;RIGHT("00"&amp;INT(MOD(Sync!$L497,10000)/100),2)&amp;"/"&amp;RIGHT("00"&amp;MOD(Sync!$L497,100),2),""),IFERROR(RIGHT("0000"&amp;VALUE(TRIM(LEFT(Sync!$L497,FIND("/",Sync!$L497)-1))),4)&amp;"/"&amp;RIGHT("00"&amp;VALUE(TRIM(LEFT(MID(Sync!$L497,FIND("/",Sync!$L497)+1,20),FIND("/",MID(Sync!$L497,FIND("/",Sync!$L497)+1,20))-1))),2)&amp;"/"&amp;RIGHT("00"&amp;VALUE(TRIM(MID(MID(Sync!$L497,FIND("/",Sync!$L497)+1,20),FIND("/",MID(Sync!$L497,FIND("/",Sync!$L497)+1,20))+1,20))),2),"")))</f>
        <v/>
      </c>
    </row>
    <row r="498">
      <c r="A498">
        <f>IF(Issues!$B501="","",Issues!$B501)</f>
        <v/>
      </c>
      <c r="B498">
        <f>IF($A498="","",IF(ISNUMBER(Issues!$C501),IF(AND(Issues!$C501&gt;=10000101,Issues!$C501&lt;=99991231),INT(Issues!$C501/10000),""),IFERROR(VALUE(TRIM(LEFT(Issues!$C501,FIND("/",Issues!$C501)-1))),"")))</f>
        <v/>
      </c>
      <c r="C498">
        <f>IF(OR($A498="",$B498=""),"",IF(ISNUMBER(Issues!$C501),INT(MOD(Issues!$C501,10000)/100),IFERROR(VALUE(TRIM(LEFT(MID(Issues!$C501,FIND("/",Issues!$C501)+1,20),FIND("/",MID(Issues!$C501,FIND("/",Issues!$C501)+1,20))-1))),"")))</f>
        <v/>
      </c>
      <c r="D498">
        <f>IF(OR($A498="",$B498=""),"",IF(ISNUMBER(Issues!$C501),MOD(Issues!$C501,100),IFERROR(VALUE(TRIM(MID(MID(Issues!$C501,FIND("/",Issues!$C501)+1,20),FIND("/",MID(Issues!$C501,FIND("/",Issues!$C501)+1,20))+1,20))),"")))</f>
        <v/>
      </c>
      <c r="E498">
        <f>IF($A498="","",IF(OR($B498="",$C498="",$D498="",$B498&lt;1300,$B498&gt;1500,$C498&lt;1,$C498&gt;12,$D498&lt;1,$D498&gt;31),"نامعتبر",RIGHT("0000"&amp;$B498,4)&amp;"/"&amp;RIGHT("00"&amp;$C498,2)&amp;"/"&amp;RIGHT("00"&amp;$D498,2)))</f>
        <v/>
      </c>
      <c r="F498">
        <f>IF($A498="","",IF(Issues!$D501="",0,Issues!$D501))</f>
        <v/>
      </c>
      <c r="G498">
        <f>IF($A498="","",Issues!$E501)</f>
        <v/>
      </c>
      <c r="H498">
        <f>IF($A498="","",IF(COUNTIFS(ETxnType,"پاس چک",ETxnChk,$A498)&gt;0,"پاس شده","پاس نشده"))</f>
        <v/>
      </c>
      <c r="I498">
        <f>IF($A498="","",IFERROR(INDEX(BClrDate,MATCH($A498,BClrChk,0)),""))</f>
        <v/>
      </c>
      <c r="J498">
        <f>IF($A498="","",Issues!$G501)</f>
        <v/>
      </c>
      <c r="K498">
        <f>IF(OR($E498="",$E498="نامعتبر"),"",LEFT($E498,4)&amp;MID($E498,6,2)&amp;RIGHT($E498,2)&amp;"|"&amp;RIGHT("00000"&amp;493,5))</f>
        <v/>
      </c>
      <c r="M498">
        <f>IF(Sync!$M498&lt;&gt;"پاس چک","",IF(Sync!$P498="","",Sync!$P498))</f>
        <v/>
      </c>
      <c r="N498">
        <f>IF($M498="","",IF(ISNUMBER(Sync!$L498),IF(AND(Sync!$L498&gt;=10000101,Sync!$L498&lt;=99991231),RIGHT("0000"&amp;INT(Sync!$L498/10000),4)&amp;"/"&amp;RIGHT("00"&amp;INT(MOD(Sync!$L498,10000)/100),2)&amp;"/"&amp;RIGHT("00"&amp;MOD(Sync!$L498,100),2),""),IFERROR(RIGHT("0000"&amp;VALUE(TRIM(LEFT(Sync!$L498,FIND("/",Sync!$L498)-1))),4)&amp;"/"&amp;RIGHT("00"&amp;VALUE(TRIM(LEFT(MID(Sync!$L498,FIND("/",Sync!$L498)+1,20),FIND("/",MID(Sync!$L498,FIND("/",Sync!$L498)+1,20))-1))),2)&amp;"/"&amp;RIGHT("00"&amp;VALUE(TRIM(MID(MID(Sync!$L498,FIND("/",Sync!$L498)+1,20),FIND("/",MID(Sync!$L498,FIND("/",Sync!$L498)+1,20))+1,20))),2),"")))</f>
        <v/>
      </c>
    </row>
    <row r="499">
      <c r="A499">
        <f>IF(Issues!$B502="","",Issues!$B502)</f>
        <v/>
      </c>
      <c r="B499">
        <f>IF($A499="","",IF(ISNUMBER(Issues!$C502),IF(AND(Issues!$C502&gt;=10000101,Issues!$C502&lt;=99991231),INT(Issues!$C502/10000),""),IFERROR(VALUE(TRIM(LEFT(Issues!$C502,FIND("/",Issues!$C502)-1))),"")))</f>
        <v/>
      </c>
      <c r="C499">
        <f>IF(OR($A499="",$B499=""),"",IF(ISNUMBER(Issues!$C502),INT(MOD(Issues!$C502,10000)/100),IFERROR(VALUE(TRIM(LEFT(MID(Issues!$C502,FIND("/",Issues!$C502)+1,20),FIND("/",MID(Issues!$C502,FIND("/",Issues!$C502)+1,20))-1))),"")))</f>
        <v/>
      </c>
      <c r="D499">
        <f>IF(OR($A499="",$B499=""),"",IF(ISNUMBER(Issues!$C502),MOD(Issues!$C502,100),IFERROR(VALUE(TRIM(MID(MID(Issues!$C502,FIND("/",Issues!$C502)+1,20),FIND("/",MID(Issues!$C502,FIND("/",Issues!$C502)+1,20))+1,20))),"")))</f>
        <v/>
      </c>
      <c r="E499">
        <f>IF($A499="","",IF(OR($B499="",$C499="",$D499="",$B499&lt;1300,$B499&gt;1500,$C499&lt;1,$C499&gt;12,$D499&lt;1,$D499&gt;31),"نامعتبر",RIGHT("0000"&amp;$B499,4)&amp;"/"&amp;RIGHT("00"&amp;$C499,2)&amp;"/"&amp;RIGHT("00"&amp;$D499,2)))</f>
        <v/>
      </c>
      <c r="F499">
        <f>IF($A499="","",IF(Issues!$D502="",0,Issues!$D502))</f>
        <v/>
      </c>
      <c r="G499">
        <f>IF($A499="","",Issues!$E502)</f>
        <v/>
      </c>
      <c r="H499">
        <f>IF($A499="","",IF(COUNTIFS(ETxnType,"پاس چک",ETxnChk,$A499)&gt;0,"پاس شده","پاس نشده"))</f>
        <v/>
      </c>
      <c r="I499">
        <f>IF($A499="","",IFERROR(INDEX(BClrDate,MATCH($A499,BClrChk,0)),""))</f>
        <v/>
      </c>
      <c r="J499">
        <f>IF($A499="","",Issues!$G502)</f>
        <v/>
      </c>
      <c r="K499">
        <f>IF(OR($E499="",$E499="نامعتبر"),"",LEFT($E499,4)&amp;MID($E499,6,2)&amp;RIGHT($E499,2)&amp;"|"&amp;RIGHT("00000"&amp;494,5))</f>
        <v/>
      </c>
      <c r="M499">
        <f>IF(Sync!$M499&lt;&gt;"پاس چک","",IF(Sync!$P499="","",Sync!$P499))</f>
        <v/>
      </c>
      <c r="N499">
        <f>IF($M499="","",IF(ISNUMBER(Sync!$L499),IF(AND(Sync!$L499&gt;=10000101,Sync!$L499&lt;=99991231),RIGHT("0000"&amp;INT(Sync!$L499/10000),4)&amp;"/"&amp;RIGHT("00"&amp;INT(MOD(Sync!$L499,10000)/100),2)&amp;"/"&amp;RIGHT("00"&amp;MOD(Sync!$L499,100),2),""),IFERROR(RIGHT("0000"&amp;VALUE(TRIM(LEFT(Sync!$L499,FIND("/",Sync!$L499)-1))),4)&amp;"/"&amp;RIGHT("00"&amp;VALUE(TRIM(LEFT(MID(Sync!$L499,FIND("/",Sync!$L499)+1,20),FIND("/",MID(Sync!$L499,FIND("/",Sync!$L499)+1,20))-1))),2)&amp;"/"&amp;RIGHT("00"&amp;VALUE(TRIM(MID(MID(Sync!$L499,FIND("/",Sync!$L499)+1,20),FIND("/",MID(Sync!$L499,FIND("/",Sync!$L499)+1,20))+1,20))),2),"")))</f>
        <v/>
      </c>
    </row>
    <row r="500">
      <c r="A500">
        <f>IF(Issues!$B503="","",Issues!$B503)</f>
        <v/>
      </c>
      <c r="B500">
        <f>IF($A500="","",IF(ISNUMBER(Issues!$C503),IF(AND(Issues!$C503&gt;=10000101,Issues!$C503&lt;=99991231),INT(Issues!$C503/10000),""),IFERROR(VALUE(TRIM(LEFT(Issues!$C503,FIND("/",Issues!$C503)-1))),"")))</f>
        <v/>
      </c>
      <c r="C500">
        <f>IF(OR($A500="",$B500=""),"",IF(ISNUMBER(Issues!$C503),INT(MOD(Issues!$C503,10000)/100),IFERROR(VALUE(TRIM(LEFT(MID(Issues!$C503,FIND("/",Issues!$C503)+1,20),FIND("/",MID(Issues!$C503,FIND("/",Issues!$C503)+1,20))-1))),"")))</f>
        <v/>
      </c>
      <c r="D500">
        <f>IF(OR($A500="",$B500=""),"",IF(ISNUMBER(Issues!$C503),MOD(Issues!$C503,100),IFERROR(VALUE(TRIM(MID(MID(Issues!$C503,FIND("/",Issues!$C503)+1,20),FIND("/",MID(Issues!$C503,FIND("/",Issues!$C503)+1,20))+1,20))),"")))</f>
        <v/>
      </c>
      <c r="E500">
        <f>IF($A500="","",IF(OR($B500="",$C500="",$D500="",$B500&lt;1300,$B500&gt;1500,$C500&lt;1,$C500&gt;12,$D500&lt;1,$D500&gt;31),"نامعتبر",RIGHT("0000"&amp;$B500,4)&amp;"/"&amp;RIGHT("00"&amp;$C500,2)&amp;"/"&amp;RIGHT("00"&amp;$D500,2)))</f>
        <v/>
      </c>
      <c r="F500">
        <f>IF($A500="","",IF(Issues!$D503="",0,Issues!$D503))</f>
        <v/>
      </c>
      <c r="G500">
        <f>IF($A500="","",Issues!$E503)</f>
        <v/>
      </c>
      <c r="H500">
        <f>IF($A500="","",IF(COUNTIFS(ETxnType,"پاس چک",ETxnChk,$A500)&gt;0,"پاس شده","پاس نشده"))</f>
        <v/>
      </c>
      <c r="I500">
        <f>IF($A500="","",IFERROR(INDEX(BClrDate,MATCH($A500,BClrChk,0)),""))</f>
        <v/>
      </c>
      <c r="J500">
        <f>IF($A500="","",Issues!$G503)</f>
        <v/>
      </c>
      <c r="K500">
        <f>IF(OR($E500="",$E500="نامعتبر"),"",LEFT($E500,4)&amp;MID($E500,6,2)&amp;RIGHT($E500,2)&amp;"|"&amp;RIGHT("00000"&amp;495,5))</f>
        <v/>
      </c>
      <c r="M500">
        <f>IF(Sync!$M500&lt;&gt;"پاس چک","",IF(Sync!$P500="","",Sync!$P500))</f>
        <v/>
      </c>
      <c r="N500">
        <f>IF($M500="","",IF(ISNUMBER(Sync!$L500),IF(AND(Sync!$L500&gt;=10000101,Sync!$L500&lt;=99991231),RIGHT("0000"&amp;INT(Sync!$L500/10000),4)&amp;"/"&amp;RIGHT("00"&amp;INT(MOD(Sync!$L500,10000)/100),2)&amp;"/"&amp;RIGHT("00"&amp;MOD(Sync!$L500,100),2),""),IFERROR(RIGHT("0000"&amp;VALUE(TRIM(LEFT(Sync!$L500,FIND("/",Sync!$L500)-1))),4)&amp;"/"&amp;RIGHT("00"&amp;VALUE(TRIM(LEFT(MID(Sync!$L500,FIND("/",Sync!$L500)+1,20),FIND("/",MID(Sync!$L500,FIND("/",Sync!$L500)+1,20))-1))),2)&amp;"/"&amp;RIGHT("00"&amp;VALUE(TRIM(MID(MID(Sync!$L500,FIND("/",Sync!$L500)+1,20),FIND("/",MID(Sync!$L500,FIND("/",Sync!$L500)+1,20))+1,20))),2),"")))</f>
        <v/>
      </c>
    </row>
    <row r="501">
      <c r="A501">
        <f>IF(Issues!$B504="","",Issues!$B504)</f>
        <v/>
      </c>
      <c r="B501">
        <f>IF($A501="","",IF(ISNUMBER(Issues!$C504),IF(AND(Issues!$C504&gt;=10000101,Issues!$C504&lt;=99991231),INT(Issues!$C504/10000),""),IFERROR(VALUE(TRIM(LEFT(Issues!$C504,FIND("/",Issues!$C504)-1))),"")))</f>
        <v/>
      </c>
      <c r="C501">
        <f>IF(OR($A501="",$B501=""),"",IF(ISNUMBER(Issues!$C504),INT(MOD(Issues!$C504,10000)/100),IFERROR(VALUE(TRIM(LEFT(MID(Issues!$C504,FIND("/",Issues!$C504)+1,20),FIND("/",MID(Issues!$C504,FIND("/",Issues!$C504)+1,20))-1))),"")))</f>
        <v/>
      </c>
      <c r="D501">
        <f>IF(OR($A501="",$B501=""),"",IF(ISNUMBER(Issues!$C504),MOD(Issues!$C504,100),IFERROR(VALUE(TRIM(MID(MID(Issues!$C504,FIND("/",Issues!$C504)+1,20),FIND("/",MID(Issues!$C504,FIND("/",Issues!$C504)+1,20))+1,20))),"")))</f>
        <v/>
      </c>
      <c r="E501">
        <f>IF($A501="","",IF(OR($B501="",$C501="",$D501="",$B501&lt;1300,$B501&gt;1500,$C501&lt;1,$C501&gt;12,$D501&lt;1,$D501&gt;31),"نامعتبر",RIGHT("0000"&amp;$B501,4)&amp;"/"&amp;RIGHT("00"&amp;$C501,2)&amp;"/"&amp;RIGHT("00"&amp;$D501,2)))</f>
        <v/>
      </c>
      <c r="F501">
        <f>IF($A501="","",IF(Issues!$D504="",0,Issues!$D504))</f>
        <v/>
      </c>
      <c r="G501">
        <f>IF($A501="","",Issues!$E504)</f>
        <v/>
      </c>
      <c r="H501">
        <f>IF($A501="","",IF(COUNTIFS(ETxnType,"پاس چک",ETxnChk,$A501)&gt;0,"پاس شده","پاس نشده"))</f>
        <v/>
      </c>
      <c r="I501">
        <f>IF($A501="","",IFERROR(INDEX(BClrDate,MATCH($A501,BClrChk,0)),""))</f>
        <v/>
      </c>
      <c r="J501">
        <f>IF($A501="","",Issues!$G504)</f>
        <v/>
      </c>
      <c r="K501">
        <f>IF(OR($E501="",$E501="نامعتبر"),"",LEFT($E501,4)&amp;MID($E501,6,2)&amp;RIGHT($E501,2)&amp;"|"&amp;RIGHT("00000"&amp;496,5))</f>
        <v/>
      </c>
      <c r="M501">
        <f>IF(Sync!$M501&lt;&gt;"پاس چک","",IF(Sync!$P501="","",Sync!$P501))</f>
        <v/>
      </c>
      <c r="N501">
        <f>IF($M501="","",IF(ISNUMBER(Sync!$L501),IF(AND(Sync!$L501&gt;=10000101,Sync!$L501&lt;=99991231),RIGHT("0000"&amp;INT(Sync!$L501/10000),4)&amp;"/"&amp;RIGHT("00"&amp;INT(MOD(Sync!$L501,10000)/100),2)&amp;"/"&amp;RIGHT("00"&amp;MOD(Sync!$L501,100),2),""),IFERROR(RIGHT("0000"&amp;VALUE(TRIM(LEFT(Sync!$L501,FIND("/",Sync!$L501)-1))),4)&amp;"/"&amp;RIGHT("00"&amp;VALUE(TRIM(LEFT(MID(Sync!$L501,FIND("/",Sync!$L501)+1,20),FIND("/",MID(Sync!$L501,FIND("/",Sync!$L501)+1,20))-1))),2)&amp;"/"&amp;RIGHT("00"&amp;VALUE(TRIM(MID(MID(Sync!$L501,FIND("/",Sync!$L501)+1,20),FIND("/",MID(Sync!$L501,FIND("/",Sync!$L501)+1,20))+1,20))),2),"")))</f>
        <v/>
      </c>
    </row>
    <row r="502">
      <c r="A502">
        <f>IF(Issues!$B505="","",Issues!$B505)</f>
        <v/>
      </c>
      <c r="B502">
        <f>IF($A502="","",IF(ISNUMBER(Issues!$C505),IF(AND(Issues!$C505&gt;=10000101,Issues!$C505&lt;=99991231),INT(Issues!$C505/10000),""),IFERROR(VALUE(TRIM(LEFT(Issues!$C505,FIND("/",Issues!$C505)-1))),"")))</f>
        <v/>
      </c>
      <c r="C502">
        <f>IF(OR($A502="",$B502=""),"",IF(ISNUMBER(Issues!$C505),INT(MOD(Issues!$C505,10000)/100),IFERROR(VALUE(TRIM(LEFT(MID(Issues!$C505,FIND("/",Issues!$C505)+1,20),FIND("/",MID(Issues!$C505,FIND("/",Issues!$C505)+1,20))-1))),"")))</f>
        <v/>
      </c>
      <c r="D502">
        <f>IF(OR($A502="",$B502=""),"",IF(ISNUMBER(Issues!$C505),MOD(Issues!$C505,100),IFERROR(VALUE(TRIM(MID(MID(Issues!$C505,FIND("/",Issues!$C505)+1,20),FIND("/",MID(Issues!$C505,FIND("/",Issues!$C505)+1,20))+1,20))),"")))</f>
        <v/>
      </c>
      <c r="E502">
        <f>IF($A502="","",IF(OR($B502="",$C502="",$D502="",$B502&lt;1300,$B502&gt;1500,$C502&lt;1,$C502&gt;12,$D502&lt;1,$D502&gt;31),"نامعتبر",RIGHT("0000"&amp;$B502,4)&amp;"/"&amp;RIGHT("00"&amp;$C502,2)&amp;"/"&amp;RIGHT("00"&amp;$D502,2)))</f>
        <v/>
      </c>
      <c r="F502">
        <f>IF($A502="","",IF(Issues!$D505="",0,Issues!$D505))</f>
        <v/>
      </c>
      <c r="G502">
        <f>IF($A502="","",Issues!$E505)</f>
        <v/>
      </c>
      <c r="H502">
        <f>IF($A502="","",IF(COUNTIFS(ETxnType,"پاس چک",ETxnChk,$A502)&gt;0,"پاس شده","پاس نشده"))</f>
        <v/>
      </c>
      <c r="I502">
        <f>IF($A502="","",IFERROR(INDEX(BClrDate,MATCH($A502,BClrChk,0)),""))</f>
        <v/>
      </c>
      <c r="J502">
        <f>IF($A502="","",Issues!$G505)</f>
        <v/>
      </c>
      <c r="K502">
        <f>IF(OR($E502="",$E502="نامعتبر"),"",LEFT($E502,4)&amp;MID($E502,6,2)&amp;RIGHT($E502,2)&amp;"|"&amp;RIGHT("00000"&amp;497,5))</f>
        <v/>
      </c>
      <c r="M502">
        <f>IF(Sync!$M502&lt;&gt;"پاس چک","",IF(Sync!$P502="","",Sync!$P502))</f>
        <v/>
      </c>
      <c r="N502">
        <f>IF($M502="","",IF(ISNUMBER(Sync!$L502),IF(AND(Sync!$L502&gt;=10000101,Sync!$L502&lt;=99991231),RIGHT("0000"&amp;INT(Sync!$L502/10000),4)&amp;"/"&amp;RIGHT("00"&amp;INT(MOD(Sync!$L502,10000)/100),2)&amp;"/"&amp;RIGHT("00"&amp;MOD(Sync!$L502,100),2),""),IFERROR(RIGHT("0000"&amp;VALUE(TRIM(LEFT(Sync!$L502,FIND("/",Sync!$L502)-1))),4)&amp;"/"&amp;RIGHT("00"&amp;VALUE(TRIM(LEFT(MID(Sync!$L502,FIND("/",Sync!$L502)+1,20),FIND("/",MID(Sync!$L502,FIND("/",Sync!$L502)+1,20))-1))),2)&amp;"/"&amp;RIGHT("00"&amp;VALUE(TRIM(MID(MID(Sync!$L502,FIND("/",Sync!$L502)+1,20),FIND("/",MID(Sync!$L502,FIND("/",Sync!$L502)+1,20))+1,20))),2),"")))</f>
        <v/>
      </c>
    </row>
    <row r="503">
      <c r="A503">
        <f>IF(Issues!$B506="","",Issues!$B506)</f>
        <v/>
      </c>
      <c r="B503">
        <f>IF($A503="","",IF(ISNUMBER(Issues!$C506),IF(AND(Issues!$C506&gt;=10000101,Issues!$C506&lt;=99991231),INT(Issues!$C506/10000),""),IFERROR(VALUE(TRIM(LEFT(Issues!$C506,FIND("/",Issues!$C506)-1))),"")))</f>
        <v/>
      </c>
      <c r="C503">
        <f>IF(OR($A503="",$B503=""),"",IF(ISNUMBER(Issues!$C506),INT(MOD(Issues!$C506,10000)/100),IFERROR(VALUE(TRIM(LEFT(MID(Issues!$C506,FIND("/",Issues!$C506)+1,20),FIND("/",MID(Issues!$C506,FIND("/",Issues!$C506)+1,20))-1))),"")))</f>
        <v/>
      </c>
      <c r="D503">
        <f>IF(OR($A503="",$B503=""),"",IF(ISNUMBER(Issues!$C506),MOD(Issues!$C506,100),IFERROR(VALUE(TRIM(MID(MID(Issues!$C506,FIND("/",Issues!$C506)+1,20),FIND("/",MID(Issues!$C506,FIND("/",Issues!$C506)+1,20))+1,20))),"")))</f>
        <v/>
      </c>
      <c r="E503">
        <f>IF($A503="","",IF(OR($B503="",$C503="",$D503="",$B503&lt;1300,$B503&gt;1500,$C503&lt;1,$C503&gt;12,$D503&lt;1,$D503&gt;31),"نامعتبر",RIGHT("0000"&amp;$B503,4)&amp;"/"&amp;RIGHT("00"&amp;$C503,2)&amp;"/"&amp;RIGHT("00"&amp;$D503,2)))</f>
        <v/>
      </c>
      <c r="F503">
        <f>IF($A503="","",IF(Issues!$D506="",0,Issues!$D506))</f>
        <v/>
      </c>
      <c r="G503">
        <f>IF($A503="","",Issues!$E506)</f>
        <v/>
      </c>
      <c r="H503">
        <f>IF($A503="","",IF(COUNTIFS(ETxnType,"پاس چک",ETxnChk,$A503)&gt;0,"پاس شده","پاس نشده"))</f>
        <v/>
      </c>
      <c r="I503">
        <f>IF($A503="","",IFERROR(INDEX(BClrDate,MATCH($A503,BClrChk,0)),""))</f>
        <v/>
      </c>
      <c r="J503">
        <f>IF($A503="","",Issues!$G506)</f>
        <v/>
      </c>
      <c r="K503">
        <f>IF(OR($E503="",$E503="نامعتبر"),"",LEFT($E503,4)&amp;MID($E503,6,2)&amp;RIGHT($E503,2)&amp;"|"&amp;RIGHT("00000"&amp;498,5))</f>
        <v/>
      </c>
      <c r="M503">
        <f>IF(Sync!$M503&lt;&gt;"پاس چک","",IF(Sync!$P503="","",Sync!$P503))</f>
        <v/>
      </c>
      <c r="N503">
        <f>IF($M503="","",IF(ISNUMBER(Sync!$L503),IF(AND(Sync!$L503&gt;=10000101,Sync!$L503&lt;=99991231),RIGHT("0000"&amp;INT(Sync!$L503/10000),4)&amp;"/"&amp;RIGHT("00"&amp;INT(MOD(Sync!$L503,10000)/100),2)&amp;"/"&amp;RIGHT("00"&amp;MOD(Sync!$L503,100),2),""),IFERROR(RIGHT("0000"&amp;VALUE(TRIM(LEFT(Sync!$L503,FIND("/",Sync!$L503)-1))),4)&amp;"/"&amp;RIGHT("00"&amp;VALUE(TRIM(LEFT(MID(Sync!$L503,FIND("/",Sync!$L503)+1,20),FIND("/",MID(Sync!$L503,FIND("/",Sync!$L503)+1,20))-1))),2)&amp;"/"&amp;RIGHT("00"&amp;VALUE(TRIM(MID(MID(Sync!$L503,FIND("/",Sync!$L503)+1,20),FIND("/",MID(Sync!$L503,FIND("/",Sync!$L503)+1,20))+1,20))),2),"")))</f>
        <v/>
      </c>
    </row>
    <row r="504">
      <c r="A504">
        <f>IF(Issues!$B507="","",Issues!$B507)</f>
        <v/>
      </c>
      <c r="B504">
        <f>IF($A504="","",IF(ISNUMBER(Issues!$C507),IF(AND(Issues!$C507&gt;=10000101,Issues!$C507&lt;=99991231),INT(Issues!$C507/10000),""),IFERROR(VALUE(TRIM(LEFT(Issues!$C507,FIND("/",Issues!$C507)-1))),"")))</f>
        <v/>
      </c>
      <c r="C504">
        <f>IF(OR($A504="",$B504=""),"",IF(ISNUMBER(Issues!$C507),INT(MOD(Issues!$C507,10000)/100),IFERROR(VALUE(TRIM(LEFT(MID(Issues!$C507,FIND("/",Issues!$C507)+1,20),FIND("/",MID(Issues!$C507,FIND("/",Issues!$C507)+1,20))-1))),"")))</f>
        <v/>
      </c>
      <c r="D504">
        <f>IF(OR($A504="",$B504=""),"",IF(ISNUMBER(Issues!$C507),MOD(Issues!$C507,100),IFERROR(VALUE(TRIM(MID(MID(Issues!$C507,FIND("/",Issues!$C507)+1,20),FIND("/",MID(Issues!$C507,FIND("/",Issues!$C507)+1,20))+1,20))),"")))</f>
        <v/>
      </c>
      <c r="E504">
        <f>IF($A504="","",IF(OR($B504="",$C504="",$D504="",$B504&lt;1300,$B504&gt;1500,$C504&lt;1,$C504&gt;12,$D504&lt;1,$D504&gt;31),"نامعتبر",RIGHT("0000"&amp;$B504,4)&amp;"/"&amp;RIGHT("00"&amp;$C504,2)&amp;"/"&amp;RIGHT("00"&amp;$D504,2)))</f>
        <v/>
      </c>
      <c r="F504">
        <f>IF($A504="","",IF(Issues!$D507="",0,Issues!$D507))</f>
        <v/>
      </c>
      <c r="G504">
        <f>IF($A504="","",Issues!$E507)</f>
        <v/>
      </c>
      <c r="H504">
        <f>IF($A504="","",IF(COUNTIFS(ETxnType,"پاس چک",ETxnChk,$A504)&gt;0,"پاس شده","پاس نشده"))</f>
        <v/>
      </c>
      <c r="I504">
        <f>IF($A504="","",IFERROR(INDEX(BClrDate,MATCH($A504,BClrChk,0)),""))</f>
        <v/>
      </c>
      <c r="J504">
        <f>IF($A504="","",Issues!$G507)</f>
        <v/>
      </c>
      <c r="K504">
        <f>IF(OR($E504="",$E504="نامعتبر"),"",LEFT($E504,4)&amp;MID($E504,6,2)&amp;RIGHT($E504,2)&amp;"|"&amp;RIGHT("00000"&amp;499,5))</f>
        <v/>
      </c>
      <c r="M504">
        <f>IF(Sync!$M504&lt;&gt;"پاس چک","",IF(Sync!$P504="","",Sync!$P504))</f>
        <v/>
      </c>
      <c r="N504">
        <f>IF($M504="","",IF(ISNUMBER(Sync!$L504),IF(AND(Sync!$L504&gt;=10000101,Sync!$L504&lt;=99991231),RIGHT("0000"&amp;INT(Sync!$L504/10000),4)&amp;"/"&amp;RIGHT("00"&amp;INT(MOD(Sync!$L504,10000)/100),2)&amp;"/"&amp;RIGHT("00"&amp;MOD(Sync!$L504,100),2),""),IFERROR(RIGHT("0000"&amp;VALUE(TRIM(LEFT(Sync!$L504,FIND("/",Sync!$L504)-1))),4)&amp;"/"&amp;RIGHT("00"&amp;VALUE(TRIM(LEFT(MID(Sync!$L504,FIND("/",Sync!$L504)+1,20),FIND("/",MID(Sync!$L504,FIND("/",Sync!$L504)+1,20))-1))),2)&amp;"/"&amp;RIGHT("00"&amp;VALUE(TRIM(MID(MID(Sync!$L504,FIND("/",Sync!$L504)+1,20),FIND("/",MID(Sync!$L504,FIND("/",Sync!$L504)+1,20))+1,20))),2),"")))</f>
        <v/>
      </c>
    </row>
    <row r="505">
      <c r="A505">
        <f>IF(Issues!$B508="","",Issues!$B508)</f>
        <v/>
      </c>
      <c r="B505">
        <f>IF($A505="","",IF(ISNUMBER(Issues!$C508),IF(AND(Issues!$C508&gt;=10000101,Issues!$C508&lt;=99991231),INT(Issues!$C508/10000),""),IFERROR(VALUE(TRIM(LEFT(Issues!$C508,FIND("/",Issues!$C508)-1))),"")))</f>
        <v/>
      </c>
      <c r="C505">
        <f>IF(OR($A505="",$B505=""),"",IF(ISNUMBER(Issues!$C508),INT(MOD(Issues!$C508,10000)/100),IFERROR(VALUE(TRIM(LEFT(MID(Issues!$C508,FIND("/",Issues!$C508)+1,20),FIND("/",MID(Issues!$C508,FIND("/",Issues!$C508)+1,20))-1))),"")))</f>
        <v/>
      </c>
      <c r="D505">
        <f>IF(OR($A505="",$B505=""),"",IF(ISNUMBER(Issues!$C508),MOD(Issues!$C508,100),IFERROR(VALUE(TRIM(MID(MID(Issues!$C508,FIND("/",Issues!$C508)+1,20),FIND("/",MID(Issues!$C508,FIND("/",Issues!$C508)+1,20))+1,20))),"")))</f>
        <v/>
      </c>
      <c r="E505">
        <f>IF($A505="","",IF(OR($B505="",$C505="",$D505="",$B505&lt;1300,$B505&gt;1500,$C505&lt;1,$C505&gt;12,$D505&lt;1,$D505&gt;31),"نامعتبر",RIGHT("0000"&amp;$B505,4)&amp;"/"&amp;RIGHT("00"&amp;$C505,2)&amp;"/"&amp;RIGHT("00"&amp;$D505,2)))</f>
        <v/>
      </c>
      <c r="F505">
        <f>IF($A505="","",IF(Issues!$D508="",0,Issues!$D508))</f>
        <v/>
      </c>
      <c r="G505">
        <f>IF($A505="","",Issues!$E508)</f>
        <v/>
      </c>
      <c r="H505">
        <f>IF($A505="","",IF(COUNTIFS(ETxnType,"پاس چک",ETxnChk,$A505)&gt;0,"پاس شده","پاس نشده"))</f>
        <v/>
      </c>
      <c r="I505">
        <f>IF($A505="","",IFERROR(INDEX(BClrDate,MATCH($A505,BClrChk,0)),""))</f>
        <v/>
      </c>
      <c r="J505">
        <f>IF($A505="","",Issues!$G508)</f>
        <v/>
      </c>
      <c r="K505">
        <f>IF(OR($E505="",$E505="نامعتبر"),"",LEFT($E505,4)&amp;MID($E505,6,2)&amp;RIGHT($E505,2)&amp;"|"&amp;RIGHT("00000"&amp;500,5))</f>
        <v/>
      </c>
      <c r="M505">
        <f>IF(Sync!$M505&lt;&gt;"پاس چک","",IF(Sync!$P505="","",Sync!$P505))</f>
        <v/>
      </c>
      <c r="N505">
        <f>IF($M505="","",IF(ISNUMBER(Sync!$L505),IF(AND(Sync!$L505&gt;=10000101,Sync!$L505&lt;=99991231),RIGHT("0000"&amp;INT(Sync!$L505/10000),4)&amp;"/"&amp;RIGHT("00"&amp;INT(MOD(Sync!$L505,10000)/100),2)&amp;"/"&amp;RIGHT("00"&amp;MOD(Sync!$L505,100),2),""),IFERROR(RIGHT("0000"&amp;VALUE(TRIM(LEFT(Sync!$L505,FIND("/",Sync!$L505)-1))),4)&amp;"/"&amp;RIGHT("00"&amp;VALUE(TRIM(LEFT(MID(Sync!$L505,FIND("/",Sync!$L505)+1,20),FIND("/",MID(Sync!$L505,FIND("/",Sync!$L505)+1,20))-1))),2)&amp;"/"&amp;RIGHT("00"&amp;VALUE(TRIM(MID(MID(Sync!$L505,FIND("/",Sync!$L505)+1,20),FIND("/",MID(Sync!$L505,FIND("/",Sync!$L505)+1,20))+1,20))),2),"")))</f>
        <v/>
      </c>
    </row>
    <row r="506">
      <c r="M506">
        <f>IF(Sync!$M506&lt;&gt;"پاس چک","",IF(Sync!$P506="","",Sync!$P506))</f>
        <v/>
      </c>
      <c r="N506">
        <f>IF($M506="","",IF(ISNUMBER(Sync!$L506),IF(AND(Sync!$L506&gt;=10000101,Sync!$L506&lt;=99991231),RIGHT("0000"&amp;INT(Sync!$L506/10000),4)&amp;"/"&amp;RIGHT("00"&amp;INT(MOD(Sync!$L506,10000)/100),2)&amp;"/"&amp;RIGHT("00"&amp;MOD(Sync!$L506,100),2),""),IFERROR(RIGHT("0000"&amp;VALUE(TRIM(LEFT(Sync!$L506,FIND("/",Sync!$L506)-1))),4)&amp;"/"&amp;RIGHT("00"&amp;VALUE(TRIM(LEFT(MID(Sync!$L506,FIND("/",Sync!$L506)+1,20),FIND("/",MID(Sync!$L506,FIND("/",Sync!$L506)+1,20))-1))),2)&amp;"/"&amp;RIGHT("00"&amp;VALUE(TRIM(MID(MID(Sync!$L506,FIND("/",Sync!$L506)+1,20),FIND("/",MID(Sync!$L506,FIND("/",Sync!$L506)+1,20))+1,20))),2),"")))</f>
        <v/>
      </c>
    </row>
    <row r="507">
      <c r="M507">
        <f>IF(Sync!$M507&lt;&gt;"پاس چک","",IF(Sync!$P507="","",Sync!$P507))</f>
        <v/>
      </c>
      <c r="N507">
        <f>IF($M507="","",IF(ISNUMBER(Sync!$L507),IF(AND(Sync!$L507&gt;=10000101,Sync!$L507&lt;=99991231),RIGHT("0000"&amp;INT(Sync!$L507/10000),4)&amp;"/"&amp;RIGHT("00"&amp;INT(MOD(Sync!$L507,10000)/100),2)&amp;"/"&amp;RIGHT("00"&amp;MOD(Sync!$L507,100),2),""),IFERROR(RIGHT("0000"&amp;VALUE(TRIM(LEFT(Sync!$L507,FIND("/",Sync!$L507)-1))),4)&amp;"/"&amp;RIGHT("00"&amp;VALUE(TRIM(LEFT(MID(Sync!$L507,FIND("/",Sync!$L507)+1,20),FIND("/",MID(Sync!$L507,FIND("/",Sync!$L507)+1,20))-1))),2)&amp;"/"&amp;RIGHT("00"&amp;VALUE(TRIM(MID(MID(Sync!$L507,FIND("/",Sync!$L507)+1,20),FIND("/",MID(Sync!$L507,FIND("/",Sync!$L507)+1,20))+1,20))),2),"")))</f>
        <v/>
      </c>
    </row>
    <row r="508">
      <c r="M508">
        <f>IF(Sync!$M508&lt;&gt;"پاس چک","",IF(Sync!$P508="","",Sync!$P508))</f>
        <v/>
      </c>
      <c r="N508">
        <f>IF($M508="","",IF(ISNUMBER(Sync!$L508),IF(AND(Sync!$L508&gt;=10000101,Sync!$L508&lt;=99991231),RIGHT("0000"&amp;INT(Sync!$L508/10000),4)&amp;"/"&amp;RIGHT("00"&amp;INT(MOD(Sync!$L508,10000)/100),2)&amp;"/"&amp;RIGHT("00"&amp;MOD(Sync!$L508,100),2),""),IFERROR(RIGHT("0000"&amp;VALUE(TRIM(LEFT(Sync!$L508,FIND("/",Sync!$L508)-1))),4)&amp;"/"&amp;RIGHT("00"&amp;VALUE(TRIM(LEFT(MID(Sync!$L508,FIND("/",Sync!$L508)+1,20),FIND("/",MID(Sync!$L508,FIND("/",Sync!$L508)+1,20))-1))),2)&amp;"/"&amp;RIGHT("00"&amp;VALUE(TRIM(MID(MID(Sync!$L508,FIND("/",Sync!$L508)+1,20),FIND("/",MID(Sync!$L508,FIND("/",Sync!$L508)+1,20))+1,20))),2),"")))</f>
        <v/>
      </c>
    </row>
    <row r="509">
      <c r="M509">
        <f>IF(Sync!$M509&lt;&gt;"پاس چک","",IF(Sync!$P509="","",Sync!$P509))</f>
        <v/>
      </c>
      <c r="N509">
        <f>IF($M509="","",IF(ISNUMBER(Sync!$L509),IF(AND(Sync!$L509&gt;=10000101,Sync!$L509&lt;=99991231),RIGHT("0000"&amp;INT(Sync!$L509/10000),4)&amp;"/"&amp;RIGHT("00"&amp;INT(MOD(Sync!$L509,10000)/100),2)&amp;"/"&amp;RIGHT("00"&amp;MOD(Sync!$L509,100),2),""),IFERROR(RIGHT("0000"&amp;VALUE(TRIM(LEFT(Sync!$L509,FIND("/",Sync!$L509)-1))),4)&amp;"/"&amp;RIGHT("00"&amp;VALUE(TRIM(LEFT(MID(Sync!$L509,FIND("/",Sync!$L509)+1,20),FIND("/",MID(Sync!$L509,FIND("/",Sync!$L509)+1,20))-1))),2)&amp;"/"&amp;RIGHT("00"&amp;VALUE(TRIM(MID(MID(Sync!$L509,FIND("/",Sync!$L509)+1,20),FIND("/",MID(Sync!$L509,FIND("/",Sync!$L509)+1,20))+1,20))),2),"")))</f>
        <v/>
      </c>
    </row>
    <row r="510">
      <c r="M510">
        <f>IF(Sync!$M510&lt;&gt;"پاس چک","",IF(Sync!$P510="","",Sync!$P510))</f>
        <v/>
      </c>
      <c r="N510">
        <f>IF($M510="","",IF(ISNUMBER(Sync!$L510),IF(AND(Sync!$L510&gt;=10000101,Sync!$L510&lt;=99991231),RIGHT("0000"&amp;INT(Sync!$L510/10000),4)&amp;"/"&amp;RIGHT("00"&amp;INT(MOD(Sync!$L510,10000)/100),2)&amp;"/"&amp;RIGHT("00"&amp;MOD(Sync!$L510,100),2),""),IFERROR(RIGHT("0000"&amp;VALUE(TRIM(LEFT(Sync!$L510,FIND("/",Sync!$L510)-1))),4)&amp;"/"&amp;RIGHT("00"&amp;VALUE(TRIM(LEFT(MID(Sync!$L510,FIND("/",Sync!$L510)+1,20),FIND("/",MID(Sync!$L510,FIND("/",Sync!$L510)+1,20))-1))),2)&amp;"/"&amp;RIGHT("00"&amp;VALUE(TRIM(MID(MID(Sync!$L510,FIND("/",Sync!$L510)+1,20),FIND("/",MID(Sync!$L510,FIND("/",Sync!$L510)+1,20))+1,20))),2),"")))</f>
        <v/>
      </c>
    </row>
    <row r="511">
      <c r="M511">
        <f>IF(Sync!$M511&lt;&gt;"پاس چک","",IF(Sync!$P511="","",Sync!$P511))</f>
        <v/>
      </c>
      <c r="N511">
        <f>IF($M511="","",IF(ISNUMBER(Sync!$L511),IF(AND(Sync!$L511&gt;=10000101,Sync!$L511&lt;=99991231),RIGHT("0000"&amp;INT(Sync!$L511/10000),4)&amp;"/"&amp;RIGHT("00"&amp;INT(MOD(Sync!$L511,10000)/100),2)&amp;"/"&amp;RIGHT("00"&amp;MOD(Sync!$L511,100),2),""),IFERROR(RIGHT("0000"&amp;VALUE(TRIM(LEFT(Sync!$L511,FIND("/",Sync!$L511)-1))),4)&amp;"/"&amp;RIGHT("00"&amp;VALUE(TRIM(LEFT(MID(Sync!$L511,FIND("/",Sync!$L511)+1,20),FIND("/",MID(Sync!$L511,FIND("/",Sync!$L511)+1,20))-1))),2)&amp;"/"&amp;RIGHT("00"&amp;VALUE(TRIM(MID(MID(Sync!$L511,FIND("/",Sync!$L511)+1,20),FIND("/",MID(Sync!$L511,FIND("/",Sync!$L511)+1,20))+1,20))),2),"")))</f>
        <v/>
      </c>
    </row>
    <row r="512">
      <c r="M512">
        <f>IF(Sync!$M512&lt;&gt;"پاس چک","",IF(Sync!$P512="","",Sync!$P512))</f>
        <v/>
      </c>
      <c r="N512">
        <f>IF($M512="","",IF(ISNUMBER(Sync!$L512),IF(AND(Sync!$L512&gt;=10000101,Sync!$L512&lt;=99991231),RIGHT("0000"&amp;INT(Sync!$L512/10000),4)&amp;"/"&amp;RIGHT("00"&amp;INT(MOD(Sync!$L512,10000)/100),2)&amp;"/"&amp;RIGHT("00"&amp;MOD(Sync!$L512,100),2),""),IFERROR(RIGHT("0000"&amp;VALUE(TRIM(LEFT(Sync!$L512,FIND("/",Sync!$L512)-1))),4)&amp;"/"&amp;RIGHT("00"&amp;VALUE(TRIM(LEFT(MID(Sync!$L512,FIND("/",Sync!$L512)+1,20),FIND("/",MID(Sync!$L512,FIND("/",Sync!$L512)+1,20))-1))),2)&amp;"/"&amp;RIGHT("00"&amp;VALUE(TRIM(MID(MID(Sync!$L512,FIND("/",Sync!$L512)+1,20),FIND("/",MID(Sync!$L512,FIND("/",Sync!$L512)+1,20))+1,20))),2),"")))</f>
        <v/>
      </c>
    </row>
    <row r="513">
      <c r="M513">
        <f>IF(Sync!$M513&lt;&gt;"پاس چک","",IF(Sync!$P513="","",Sync!$P513))</f>
        <v/>
      </c>
      <c r="N513">
        <f>IF($M513="","",IF(ISNUMBER(Sync!$L513),IF(AND(Sync!$L513&gt;=10000101,Sync!$L513&lt;=99991231),RIGHT("0000"&amp;INT(Sync!$L513/10000),4)&amp;"/"&amp;RIGHT("00"&amp;INT(MOD(Sync!$L513,10000)/100),2)&amp;"/"&amp;RIGHT("00"&amp;MOD(Sync!$L513,100),2),""),IFERROR(RIGHT("0000"&amp;VALUE(TRIM(LEFT(Sync!$L513,FIND("/",Sync!$L513)-1))),4)&amp;"/"&amp;RIGHT("00"&amp;VALUE(TRIM(LEFT(MID(Sync!$L513,FIND("/",Sync!$L513)+1,20),FIND("/",MID(Sync!$L513,FIND("/",Sync!$L513)+1,20))-1))),2)&amp;"/"&amp;RIGHT("00"&amp;VALUE(TRIM(MID(MID(Sync!$L513,FIND("/",Sync!$L513)+1,20),FIND("/",MID(Sync!$L513,FIND("/",Sync!$L513)+1,20))+1,20))),2),"")))</f>
        <v/>
      </c>
    </row>
    <row r="514">
      <c r="M514">
        <f>IF(Sync!$M514&lt;&gt;"پاس چک","",IF(Sync!$P514="","",Sync!$P514))</f>
        <v/>
      </c>
      <c r="N514">
        <f>IF($M514="","",IF(ISNUMBER(Sync!$L514),IF(AND(Sync!$L514&gt;=10000101,Sync!$L514&lt;=99991231),RIGHT("0000"&amp;INT(Sync!$L514/10000),4)&amp;"/"&amp;RIGHT("00"&amp;INT(MOD(Sync!$L514,10000)/100),2)&amp;"/"&amp;RIGHT("00"&amp;MOD(Sync!$L514,100),2),""),IFERROR(RIGHT("0000"&amp;VALUE(TRIM(LEFT(Sync!$L514,FIND("/",Sync!$L514)-1))),4)&amp;"/"&amp;RIGHT("00"&amp;VALUE(TRIM(LEFT(MID(Sync!$L514,FIND("/",Sync!$L514)+1,20),FIND("/",MID(Sync!$L514,FIND("/",Sync!$L514)+1,20))-1))),2)&amp;"/"&amp;RIGHT("00"&amp;VALUE(TRIM(MID(MID(Sync!$L514,FIND("/",Sync!$L514)+1,20),FIND("/",MID(Sync!$L514,FIND("/",Sync!$L514)+1,20))+1,20))),2),"")))</f>
        <v/>
      </c>
    </row>
    <row r="515">
      <c r="M515">
        <f>IF(Sync!$M515&lt;&gt;"پاس چک","",IF(Sync!$P515="","",Sync!$P515))</f>
        <v/>
      </c>
      <c r="N515">
        <f>IF($M515="","",IF(ISNUMBER(Sync!$L515),IF(AND(Sync!$L515&gt;=10000101,Sync!$L515&lt;=99991231),RIGHT("0000"&amp;INT(Sync!$L515/10000),4)&amp;"/"&amp;RIGHT("00"&amp;INT(MOD(Sync!$L515,10000)/100),2)&amp;"/"&amp;RIGHT("00"&amp;MOD(Sync!$L515,100),2),""),IFERROR(RIGHT("0000"&amp;VALUE(TRIM(LEFT(Sync!$L515,FIND("/",Sync!$L515)-1))),4)&amp;"/"&amp;RIGHT("00"&amp;VALUE(TRIM(LEFT(MID(Sync!$L515,FIND("/",Sync!$L515)+1,20),FIND("/",MID(Sync!$L515,FIND("/",Sync!$L515)+1,20))-1))),2)&amp;"/"&amp;RIGHT("00"&amp;VALUE(TRIM(MID(MID(Sync!$L515,FIND("/",Sync!$L515)+1,20),FIND("/",MID(Sync!$L515,FIND("/",Sync!$L515)+1,20))+1,20))),2),"")))</f>
        <v/>
      </c>
    </row>
    <row r="516">
      <c r="M516">
        <f>IF(Sync!$M516&lt;&gt;"پاس چک","",IF(Sync!$P516="","",Sync!$P516))</f>
        <v/>
      </c>
      <c r="N516">
        <f>IF($M516="","",IF(ISNUMBER(Sync!$L516),IF(AND(Sync!$L516&gt;=10000101,Sync!$L516&lt;=99991231),RIGHT("0000"&amp;INT(Sync!$L516/10000),4)&amp;"/"&amp;RIGHT("00"&amp;INT(MOD(Sync!$L516,10000)/100),2)&amp;"/"&amp;RIGHT("00"&amp;MOD(Sync!$L516,100),2),""),IFERROR(RIGHT("0000"&amp;VALUE(TRIM(LEFT(Sync!$L516,FIND("/",Sync!$L516)-1))),4)&amp;"/"&amp;RIGHT("00"&amp;VALUE(TRIM(LEFT(MID(Sync!$L516,FIND("/",Sync!$L516)+1,20),FIND("/",MID(Sync!$L516,FIND("/",Sync!$L516)+1,20))-1))),2)&amp;"/"&amp;RIGHT("00"&amp;VALUE(TRIM(MID(MID(Sync!$L516,FIND("/",Sync!$L516)+1,20),FIND("/",MID(Sync!$L516,FIND("/",Sync!$L516)+1,20))+1,20))),2),"")))</f>
        <v/>
      </c>
    </row>
    <row r="517">
      <c r="M517">
        <f>IF(Sync!$M517&lt;&gt;"پاس چک","",IF(Sync!$P517="","",Sync!$P517))</f>
        <v/>
      </c>
      <c r="N517">
        <f>IF($M517="","",IF(ISNUMBER(Sync!$L517),IF(AND(Sync!$L517&gt;=10000101,Sync!$L517&lt;=99991231),RIGHT("0000"&amp;INT(Sync!$L517/10000),4)&amp;"/"&amp;RIGHT("00"&amp;INT(MOD(Sync!$L517,10000)/100),2)&amp;"/"&amp;RIGHT("00"&amp;MOD(Sync!$L517,100),2),""),IFERROR(RIGHT("0000"&amp;VALUE(TRIM(LEFT(Sync!$L517,FIND("/",Sync!$L517)-1))),4)&amp;"/"&amp;RIGHT("00"&amp;VALUE(TRIM(LEFT(MID(Sync!$L517,FIND("/",Sync!$L517)+1,20),FIND("/",MID(Sync!$L517,FIND("/",Sync!$L517)+1,20))-1))),2)&amp;"/"&amp;RIGHT("00"&amp;VALUE(TRIM(MID(MID(Sync!$L517,FIND("/",Sync!$L517)+1,20),FIND("/",MID(Sync!$L517,FIND("/",Sync!$L517)+1,20))+1,20))),2),"")))</f>
        <v/>
      </c>
    </row>
    <row r="518">
      <c r="M518">
        <f>IF(Sync!$M518&lt;&gt;"پاس چک","",IF(Sync!$P518="","",Sync!$P518))</f>
        <v/>
      </c>
      <c r="N518">
        <f>IF($M518="","",IF(ISNUMBER(Sync!$L518),IF(AND(Sync!$L518&gt;=10000101,Sync!$L518&lt;=99991231),RIGHT("0000"&amp;INT(Sync!$L518/10000),4)&amp;"/"&amp;RIGHT("00"&amp;INT(MOD(Sync!$L518,10000)/100),2)&amp;"/"&amp;RIGHT("00"&amp;MOD(Sync!$L518,100),2),""),IFERROR(RIGHT("0000"&amp;VALUE(TRIM(LEFT(Sync!$L518,FIND("/",Sync!$L518)-1))),4)&amp;"/"&amp;RIGHT("00"&amp;VALUE(TRIM(LEFT(MID(Sync!$L518,FIND("/",Sync!$L518)+1,20),FIND("/",MID(Sync!$L518,FIND("/",Sync!$L518)+1,20))-1))),2)&amp;"/"&amp;RIGHT("00"&amp;VALUE(TRIM(MID(MID(Sync!$L518,FIND("/",Sync!$L518)+1,20),FIND("/",MID(Sync!$L518,FIND("/",Sync!$L518)+1,20))+1,20))),2),"")))</f>
        <v/>
      </c>
    </row>
    <row r="519">
      <c r="M519">
        <f>IF(Sync!$M519&lt;&gt;"پاس چک","",IF(Sync!$P519="","",Sync!$P519))</f>
        <v/>
      </c>
      <c r="N519">
        <f>IF($M519="","",IF(ISNUMBER(Sync!$L519),IF(AND(Sync!$L519&gt;=10000101,Sync!$L519&lt;=99991231),RIGHT("0000"&amp;INT(Sync!$L519/10000),4)&amp;"/"&amp;RIGHT("00"&amp;INT(MOD(Sync!$L519,10000)/100),2)&amp;"/"&amp;RIGHT("00"&amp;MOD(Sync!$L519,100),2),""),IFERROR(RIGHT("0000"&amp;VALUE(TRIM(LEFT(Sync!$L519,FIND("/",Sync!$L519)-1))),4)&amp;"/"&amp;RIGHT("00"&amp;VALUE(TRIM(LEFT(MID(Sync!$L519,FIND("/",Sync!$L519)+1,20),FIND("/",MID(Sync!$L519,FIND("/",Sync!$L519)+1,20))-1))),2)&amp;"/"&amp;RIGHT("00"&amp;VALUE(TRIM(MID(MID(Sync!$L519,FIND("/",Sync!$L519)+1,20),FIND("/",MID(Sync!$L519,FIND("/",Sync!$L519)+1,20))+1,20))),2),"")))</f>
        <v/>
      </c>
    </row>
    <row r="520">
      <c r="M520">
        <f>IF(Sync!$M520&lt;&gt;"پاس چک","",IF(Sync!$P520="","",Sync!$P520))</f>
        <v/>
      </c>
      <c r="N520">
        <f>IF($M520="","",IF(ISNUMBER(Sync!$L520),IF(AND(Sync!$L520&gt;=10000101,Sync!$L520&lt;=99991231),RIGHT("0000"&amp;INT(Sync!$L520/10000),4)&amp;"/"&amp;RIGHT("00"&amp;INT(MOD(Sync!$L520,10000)/100),2)&amp;"/"&amp;RIGHT("00"&amp;MOD(Sync!$L520,100),2),""),IFERROR(RIGHT("0000"&amp;VALUE(TRIM(LEFT(Sync!$L520,FIND("/",Sync!$L520)-1))),4)&amp;"/"&amp;RIGHT("00"&amp;VALUE(TRIM(LEFT(MID(Sync!$L520,FIND("/",Sync!$L520)+1,20),FIND("/",MID(Sync!$L520,FIND("/",Sync!$L520)+1,20))-1))),2)&amp;"/"&amp;RIGHT("00"&amp;VALUE(TRIM(MID(MID(Sync!$L520,FIND("/",Sync!$L520)+1,20),FIND("/",MID(Sync!$L520,FIND("/",Sync!$L520)+1,20))+1,20))),2),"")))</f>
        <v/>
      </c>
    </row>
    <row r="521">
      <c r="M521">
        <f>IF(Sync!$M521&lt;&gt;"پاس چک","",IF(Sync!$P521="","",Sync!$P521))</f>
        <v/>
      </c>
      <c r="N521">
        <f>IF($M521="","",IF(ISNUMBER(Sync!$L521),IF(AND(Sync!$L521&gt;=10000101,Sync!$L521&lt;=99991231),RIGHT("0000"&amp;INT(Sync!$L521/10000),4)&amp;"/"&amp;RIGHT("00"&amp;INT(MOD(Sync!$L521,10000)/100),2)&amp;"/"&amp;RIGHT("00"&amp;MOD(Sync!$L521,100),2),""),IFERROR(RIGHT("0000"&amp;VALUE(TRIM(LEFT(Sync!$L521,FIND("/",Sync!$L521)-1))),4)&amp;"/"&amp;RIGHT("00"&amp;VALUE(TRIM(LEFT(MID(Sync!$L521,FIND("/",Sync!$L521)+1,20),FIND("/",MID(Sync!$L521,FIND("/",Sync!$L521)+1,20))-1))),2)&amp;"/"&amp;RIGHT("00"&amp;VALUE(TRIM(MID(MID(Sync!$L521,FIND("/",Sync!$L521)+1,20),FIND("/",MID(Sync!$L521,FIND("/",Sync!$L521)+1,20))+1,20))),2),"")))</f>
        <v/>
      </c>
    </row>
    <row r="522">
      <c r="M522">
        <f>IF(Sync!$M522&lt;&gt;"پاس چک","",IF(Sync!$P522="","",Sync!$P522))</f>
        <v/>
      </c>
      <c r="N522">
        <f>IF($M522="","",IF(ISNUMBER(Sync!$L522),IF(AND(Sync!$L522&gt;=10000101,Sync!$L522&lt;=99991231),RIGHT("0000"&amp;INT(Sync!$L522/10000),4)&amp;"/"&amp;RIGHT("00"&amp;INT(MOD(Sync!$L522,10000)/100),2)&amp;"/"&amp;RIGHT("00"&amp;MOD(Sync!$L522,100),2),""),IFERROR(RIGHT("0000"&amp;VALUE(TRIM(LEFT(Sync!$L522,FIND("/",Sync!$L522)-1))),4)&amp;"/"&amp;RIGHT("00"&amp;VALUE(TRIM(LEFT(MID(Sync!$L522,FIND("/",Sync!$L522)+1,20),FIND("/",MID(Sync!$L522,FIND("/",Sync!$L522)+1,20))-1))),2)&amp;"/"&amp;RIGHT("00"&amp;VALUE(TRIM(MID(MID(Sync!$L522,FIND("/",Sync!$L522)+1,20),FIND("/",MID(Sync!$L522,FIND("/",Sync!$L522)+1,20))+1,20))),2),"")))</f>
        <v/>
      </c>
    </row>
    <row r="523">
      <c r="M523">
        <f>IF(Sync!$M523&lt;&gt;"پاس چک","",IF(Sync!$P523="","",Sync!$P523))</f>
        <v/>
      </c>
      <c r="N523">
        <f>IF($M523="","",IF(ISNUMBER(Sync!$L523),IF(AND(Sync!$L523&gt;=10000101,Sync!$L523&lt;=99991231),RIGHT("0000"&amp;INT(Sync!$L523/10000),4)&amp;"/"&amp;RIGHT("00"&amp;INT(MOD(Sync!$L523,10000)/100),2)&amp;"/"&amp;RIGHT("00"&amp;MOD(Sync!$L523,100),2),""),IFERROR(RIGHT("0000"&amp;VALUE(TRIM(LEFT(Sync!$L523,FIND("/",Sync!$L523)-1))),4)&amp;"/"&amp;RIGHT("00"&amp;VALUE(TRIM(LEFT(MID(Sync!$L523,FIND("/",Sync!$L523)+1,20),FIND("/",MID(Sync!$L523,FIND("/",Sync!$L523)+1,20))-1))),2)&amp;"/"&amp;RIGHT("00"&amp;VALUE(TRIM(MID(MID(Sync!$L523,FIND("/",Sync!$L523)+1,20),FIND("/",MID(Sync!$L523,FIND("/",Sync!$L523)+1,20))+1,20))),2),"")))</f>
        <v/>
      </c>
    </row>
    <row r="524">
      <c r="M524">
        <f>IF(Sync!$M524&lt;&gt;"پاس چک","",IF(Sync!$P524="","",Sync!$P524))</f>
        <v/>
      </c>
      <c r="N524">
        <f>IF($M524="","",IF(ISNUMBER(Sync!$L524),IF(AND(Sync!$L524&gt;=10000101,Sync!$L524&lt;=99991231),RIGHT("0000"&amp;INT(Sync!$L524/10000),4)&amp;"/"&amp;RIGHT("00"&amp;INT(MOD(Sync!$L524,10000)/100),2)&amp;"/"&amp;RIGHT("00"&amp;MOD(Sync!$L524,100),2),""),IFERROR(RIGHT("0000"&amp;VALUE(TRIM(LEFT(Sync!$L524,FIND("/",Sync!$L524)-1))),4)&amp;"/"&amp;RIGHT("00"&amp;VALUE(TRIM(LEFT(MID(Sync!$L524,FIND("/",Sync!$L524)+1,20),FIND("/",MID(Sync!$L524,FIND("/",Sync!$L524)+1,20))-1))),2)&amp;"/"&amp;RIGHT("00"&amp;VALUE(TRIM(MID(MID(Sync!$L524,FIND("/",Sync!$L524)+1,20),FIND("/",MID(Sync!$L524,FIND("/",Sync!$L524)+1,20))+1,20))),2),"")))</f>
        <v/>
      </c>
    </row>
    <row r="525">
      <c r="M525">
        <f>IF(Sync!$M525&lt;&gt;"پاس چک","",IF(Sync!$P525="","",Sync!$P525))</f>
        <v/>
      </c>
      <c r="N525">
        <f>IF($M525="","",IF(ISNUMBER(Sync!$L525),IF(AND(Sync!$L525&gt;=10000101,Sync!$L525&lt;=99991231),RIGHT("0000"&amp;INT(Sync!$L525/10000),4)&amp;"/"&amp;RIGHT("00"&amp;INT(MOD(Sync!$L525,10000)/100),2)&amp;"/"&amp;RIGHT("00"&amp;MOD(Sync!$L525,100),2),""),IFERROR(RIGHT("0000"&amp;VALUE(TRIM(LEFT(Sync!$L525,FIND("/",Sync!$L525)-1))),4)&amp;"/"&amp;RIGHT("00"&amp;VALUE(TRIM(LEFT(MID(Sync!$L525,FIND("/",Sync!$L525)+1,20),FIND("/",MID(Sync!$L525,FIND("/",Sync!$L525)+1,20))-1))),2)&amp;"/"&amp;RIGHT("00"&amp;VALUE(TRIM(MID(MID(Sync!$L525,FIND("/",Sync!$L525)+1,20),FIND("/",MID(Sync!$L525,FIND("/",Sync!$L525)+1,20))+1,20))),2),"")))</f>
        <v/>
      </c>
    </row>
    <row r="526">
      <c r="M526">
        <f>IF(Sync!$M526&lt;&gt;"پاس چک","",IF(Sync!$P526="","",Sync!$P526))</f>
        <v/>
      </c>
      <c r="N526">
        <f>IF($M526="","",IF(ISNUMBER(Sync!$L526),IF(AND(Sync!$L526&gt;=10000101,Sync!$L526&lt;=99991231),RIGHT("0000"&amp;INT(Sync!$L526/10000),4)&amp;"/"&amp;RIGHT("00"&amp;INT(MOD(Sync!$L526,10000)/100),2)&amp;"/"&amp;RIGHT("00"&amp;MOD(Sync!$L526,100),2),""),IFERROR(RIGHT("0000"&amp;VALUE(TRIM(LEFT(Sync!$L526,FIND("/",Sync!$L526)-1))),4)&amp;"/"&amp;RIGHT("00"&amp;VALUE(TRIM(LEFT(MID(Sync!$L526,FIND("/",Sync!$L526)+1,20),FIND("/",MID(Sync!$L526,FIND("/",Sync!$L526)+1,20))-1))),2)&amp;"/"&amp;RIGHT("00"&amp;VALUE(TRIM(MID(MID(Sync!$L526,FIND("/",Sync!$L526)+1,20),FIND("/",MID(Sync!$L526,FIND("/",Sync!$L526)+1,20))+1,20))),2),"")))</f>
        <v/>
      </c>
    </row>
    <row r="527">
      <c r="M527">
        <f>IF(Sync!$M527&lt;&gt;"پاس چک","",IF(Sync!$P527="","",Sync!$P527))</f>
        <v/>
      </c>
      <c r="N527">
        <f>IF($M527="","",IF(ISNUMBER(Sync!$L527),IF(AND(Sync!$L527&gt;=10000101,Sync!$L527&lt;=99991231),RIGHT("0000"&amp;INT(Sync!$L527/10000),4)&amp;"/"&amp;RIGHT("00"&amp;INT(MOD(Sync!$L527,10000)/100),2)&amp;"/"&amp;RIGHT("00"&amp;MOD(Sync!$L527,100),2),""),IFERROR(RIGHT("0000"&amp;VALUE(TRIM(LEFT(Sync!$L527,FIND("/",Sync!$L527)-1))),4)&amp;"/"&amp;RIGHT("00"&amp;VALUE(TRIM(LEFT(MID(Sync!$L527,FIND("/",Sync!$L527)+1,20),FIND("/",MID(Sync!$L527,FIND("/",Sync!$L527)+1,20))-1))),2)&amp;"/"&amp;RIGHT("00"&amp;VALUE(TRIM(MID(MID(Sync!$L527,FIND("/",Sync!$L527)+1,20),FIND("/",MID(Sync!$L527,FIND("/",Sync!$L527)+1,20))+1,20))),2),"")))</f>
        <v/>
      </c>
    </row>
    <row r="528">
      <c r="M528">
        <f>IF(Sync!$M528&lt;&gt;"پاس چک","",IF(Sync!$P528="","",Sync!$P528))</f>
        <v/>
      </c>
      <c r="N528">
        <f>IF($M528="","",IF(ISNUMBER(Sync!$L528),IF(AND(Sync!$L528&gt;=10000101,Sync!$L528&lt;=99991231),RIGHT("0000"&amp;INT(Sync!$L528/10000),4)&amp;"/"&amp;RIGHT("00"&amp;INT(MOD(Sync!$L528,10000)/100),2)&amp;"/"&amp;RIGHT("00"&amp;MOD(Sync!$L528,100),2),""),IFERROR(RIGHT("0000"&amp;VALUE(TRIM(LEFT(Sync!$L528,FIND("/",Sync!$L528)-1))),4)&amp;"/"&amp;RIGHT("00"&amp;VALUE(TRIM(LEFT(MID(Sync!$L528,FIND("/",Sync!$L528)+1,20),FIND("/",MID(Sync!$L528,FIND("/",Sync!$L528)+1,20))-1))),2)&amp;"/"&amp;RIGHT("00"&amp;VALUE(TRIM(MID(MID(Sync!$L528,FIND("/",Sync!$L528)+1,20),FIND("/",MID(Sync!$L528,FIND("/",Sync!$L528)+1,20))+1,20))),2),"")))</f>
        <v/>
      </c>
    </row>
    <row r="529">
      <c r="M529">
        <f>IF(Sync!$M529&lt;&gt;"پاس چک","",IF(Sync!$P529="","",Sync!$P529))</f>
        <v/>
      </c>
      <c r="N529">
        <f>IF($M529="","",IF(ISNUMBER(Sync!$L529),IF(AND(Sync!$L529&gt;=10000101,Sync!$L529&lt;=99991231),RIGHT("0000"&amp;INT(Sync!$L529/10000),4)&amp;"/"&amp;RIGHT("00"&amp;INT(MOD(Sync!$L529,10000)/100),2)&amp;"/"&amp;RIGHT("00"&amp;MOD(Sync!$L529,100),2),""),IFERROR(RIGHT("0000"&amp;VALUE(TRIM(LEFT(Sync!$L529,FIND("/",Sync!$L529)-1))),4)&amp;"/"&amp;RIGHT("00"&amp;VALUE(TRIM(LEFT(MID(Sync!$L529,FIND("/",Sync!$L529)+1,20),FIND("/",MID(Sync!$L529,FIND("/",Sync!$L529)+1,20))-1))),2)&amp;"/"&amp;RIGHT("00"&amp;VALUE(TRIM(MID(MID(Sync!$L529,FIND("/",Sync!$L529)+1,20),FIND("/",MID(Sync!$L529,FIND("/",Sync!$L529)+1,20))+1,20))),2),"")))</f>
        <v/>
      </c>
    </row>
    <row r="530">
      <c r="M530">
        <f>IF(Sync!$M530&lt;&gt;"پاس چک","",IF(Sync!$P530="","",Sync!$P530))</f>
        <v/>
      </c>
      <c r="N530">
        <f>IF($M530="","",IF(ISNUMBER(Sync!$L530),IF(AND(Sync!$L530&gt;=10000101,Sync!$L530&lt;=99991231),RIGHT("0000"&amp;INT(Sync!$L530/10000),4)&amp;"/"&amp;RIGHT("00"&amp;INT(MOD(Sync!$L530,10000)/100),2)&amp;"/"&amp;RIGHT("00"&amp;MOD(Sync!$L530,100),2),""),IFERROR(RIGHT("0000"&amp;VALUE(TRIM(LEFT(Sync!$L530,FIND("/",Sync!$L530)-1))),4)&amp;"/"&amp;RIGHT("00"&amp;VALUE(TRIM(LEFT(MID(Sync!$L530,FIND("/",Sync!$L530)+1,20),FIND("/",MID(Sync!$L530,FIND("/",Sync!$L530)+1,20))-1))),2)&amp;"/"&amp;RIGHT("00"&amp;VALUE(TRIM(MID(MID(Sync!$L530,FIND("/",Sync!$L530)+1,20),FIND("/",MID(Sync!$L530,FIND("/",Sync!$L530)+1,20))+1,20))),2),"")))</f>
        <v/>
      </c>
    </row>
    <row r="531">
      <c r="M531">
        <f>IF(Sync!$M531&lt;&gt;"پاس چک","",IF(Sync!$P531="","",Sync!$P531))</f>
        <v/>
      </c>
      <c r="N531">
        <f>IF($M531="","",IF(ISNUMBER(Sync!$L531),IF(AND(Sync!$L531&gt;=10000101,Sync!$L531&lt;=99991231),RIGHT("0000"&amp;INT(Sync!$L531/10000),4)&amp;"/"&amp;RIGHT("00"&amp;INT(MOD(Sync!$L531,10000)/100),2)&amp;"/"&amp;RIGHT("00"&amp;MOD(Sync!$L531,100),2),""),IFERROR(RIGHT("0000"&amp;VALUE(TRIM(LEFT(Sync!$L531,FIND("/",Sync!$L531)-1))),4)&amp;"/"&amp;RIGHT("00"&amp;VALUE(TRIM(LEFT(MID(Sync!$L531,FIND("/",Sync!$L531)+1,20),FIND("/",MID(Sync!$L531,FIND("/",Sync!$L531)+1,20))-1))),2)&amp;"/"&amp;RIGHT("00"&amp;VALUE(TRIM(MID(MID(Sync!$L531,FIND("/",Sync!$L531)+1,20),FIND("/",MID(Sync!$L531,FIND("/",Sync!$L531)+1,20))+1,20))),2),"")))</f>
        <v/>
      </c>
    </row>
    <row r="532">
      <c r="M532">
        <f>IF(Sync!$M532&lt;&gt;"پاس چک","",IF(Sync!$P532="","",Sync!$P532))</f>
        <v/>
      </c>
      <c r="N532">
        <f>IF($M532="","",IF(ISNUMBER(Sync!$L532),IF(AND(Sync!$L532&gt;=10000101,Sync!$L532&lt;=99991231),RIGHT("0000"&amp;INT(Sync!$L532/10000),4)&amp;"/"&amp;RIGHT("00"&amp;INT(MOD(Sync!$L532,10000)/100),2)&amp;"/"&amp;RIGHT("00"&amp;MOD(Sync!$L532,100),2),""),IFERROR(RIGHT("0000"&amp;VALUE(TRIM(LEFT(Sync!$L532,FIND("/",Sync!$L532)-1))),4)&amp;"/"&amp;RIGHT("00"&amp;VALUE(TRIM(LEFT(MID(Sync!$L532,FIND("/",Sync!$L532)+1,20),FIND("/",MID(Sync!$L532,FIND("/",Sync!$L532)+1,20))-1))),2)&amp;"/"&amp;RIGHT("00"&amp;VALUE(TRIM(MID(MID(Sync!$L532,FIND("/",Sync!$L532)+1,20),FIND("/",MID(Sync!$L532,FIND("/",Sync!$L532)+1,20))+1,20))),2),"")))</f>
        <v/>
      </c>
    </row>
    <row r="533">
      <c r="M533">
        <f>IF(Sync!$M533&lt;&gt;"پاس چک","",IF(Sync!$P533="","",Sync!$P533))</f>
        <v/>
      </c>
      <c r="N533">
        <f>IF($M533="","",IF(ISNUMBER(Sync!$L533),IF(AND(Sync!$L533&gt;=10000101,Sync!$L533&lt;=99991231),RIGHT("0000"&amp;INT(Sync!$L533/10000),4)&amp;"/"&amp;RIGHT("00"&amp;INT(MOD(Sync!$L533,10000)/100),2)&amp;"/"&amp;RIGHT("00"&amp;MOD(Sync!$L533,100),2),""),IFERROR(RIGHT("0000"&amp;VALUE(TRIM(LEFT(Sync!$L533,FIND("/",Sync!$L533)-1))),4)&amp;"/"&amp;RIGHT("00"&amp;VALUE(TRIM(LEFT(MID(Sync!$L533,FIND("/",Sync!$L533)+1,20),FIND("/",MID(Sync!$L533,FIND("/",Sync!$L533)+1,20))-1))),2)&amp;"/"&amp;RIGHT("00"&amp;VALUE(TRIM(MID(MID(Sync!$L533,FIND("/",Sync!$L533)+1,20),FIND("/",MID(Sync!$L533,FIND("/",Sync!$L533)+1,20))+1,20))),2),"")))</f>
        <v/>
      </c>
    </row>
    <row r="534">
      <c r="M534">
        <f>IF(Sync!$M534&lt;&gt;"پاس چک","",IF(Sync!$P534="","",Sync!$P534))</f>
        <v/>
      </c>
      <c r="N534">
        <f>IF($M534="","",IF(ISNUMBER(Sync!$L534),IF(AND(Sync!$L534&gt;=10000101,Sync!$L534&lt;=99991231),RIGHT("0000"&amp;INT(Sync!$L534/10000),4)&amp;"/"&amp;RIGHT("00"&amp;INT(MOD(Sync!$L534,10000)/100),2)&amp;"/"&amp;RIGHT("00"&amp;MOD(Sync!$L534,100),2),""),IFERROR(RIGHT("0000"&amp;VALUE(TRIM(LEFT(Sync!$L534,FIND("/",Sync!$L534)-1))),4)&amp;"/"&amp;RIGHT("00"&amp;VALUE(TRIM(LEFT(MID(Sync!$L534,FIND("/",Sync!$L534)+1,20),FIND("/",MID(Sync!$L534,FIND("/",Sync!$L534)+1,20))-1))),2)&amp;"/"&amp;RIGHT("00"&amp;VALUE(TRIM(MID(MID(Sync!$L534,FIND("/",Sync!$L534)+1,20),FIND("/",MID(Sync!$L534,FIND("/",Sync!$L534)+1,20))+1,20))),2),"")))</f>
        <v/>
      </c>
    </row>
    <row r="535">
      <c r="M535">
        <f>IF(Sync!$M535&lt;&gt;"پاس چک","",IF(Sync!$P535="","",Sync!$P535))</f>
        <v/>
      </c>
      <c r="N535">
        <f>IF($M535="","",IF(ISNUMBER(Sync!$L535),IF(AND(Sync!$L535&gt;=10000101,Sync!$L535&lt;=99991231),RIGHT("0000"&amp;INT(Sync!$L535/10000),4)&amp;"/"&amp;RIGHT("00"&amp;INT(MOD(Sync!$L535,10000)/100),2)&amp;"/"&amp;RIGHT("00"&amp;MOD(Sync!$L535,100),2),""),IFERROR(RIGHT("0000"&amp;VALUE(TRIM(LEFT(Sync!$L535,FIND("/",Sync!$L535)-1))),4)&amp;"/"&amp;RIGHT("00"&amp;VALUE(TRIM(LEFT(MID(Sync!$L535,FIND("/",Sync!$L535)+1,20),FIND("/",MID(Sync!$L535,FIND("/",Sync!$L535)+1,20))-1))),2)&amp;"/"&amp;RIGHT("00"&amp;VALUE(TRIM(MID(MID(Sync!$L535,FIND("/",Sync!$L535)+1,20),FIND("/",MID(Sync!$L535,FIND("/",Sync!$L535)+1,20))+1,20))),2),"")))</f>
        <v/>
      </c>
    </row>
    <row r="536">
      <c r="M536">
        <f>IF(Sync!$M536&lt;&gt;"پاس چک","",IF(Sync!$P536="","",Sync!$P536))</f>
        <v/>
      </c>
      <c r="N536">
        <f>IF($M536="","",IF(ISNUMBER(Sync!$L536),IF(AND(Sync!$L536&gt;=10000101,Sync!$L536&lt;=99991231),RIGHT("0000"&amp;INT(Sync!$L536/10000),4)&amp;"/"&amp;RIGHT("00"&amp;INT(MOD(Sync!$L536,10000)/100),2)&amp;"/"&amp;RIGHT("00"&amp;MOD(Sync!$L536,100),2),""),IFERROR(RIGHT("0000"&amp;VALUE(TRIM(LEFT(Sync!$L536,FIND("/",Sync!$L536)-1))),4)&amp;"/"&amp;RIGHT("00"&amp;VALUE(TRIM(LEFT(MID(Sync!$L536,FIND("/",Sync!$L536)+1,20),FIND("/",MID(Sync!$L536,FIND("/",Sync!$L536)+1,20))-1))),2)&amp;"/"&amp;RIGHT("00"&amp;VALUE(TRIM(MID(MID(Sync!$L536,FIND("/",Sync!$L536)+1,20),FIND("/",MID(Sync!$L536,FIND("/",Sync!$L536)+1,20))+1,20))),2),"")))</f>
        <v/>
      </c>
    </row>
    <row r="537">
      <c r="M537">
        <f>IF(Sync!$M537&lt;&gt;"پاس چک","",IF(Sync!$P537="","",Sync!$P537))</f>
        <v/>
      </c>
      <c r="N537">
        <f>IF($M537="","",IF(ISNUMBER(Sync!$L537),IF(AND(Sync!$L537&gt;=10000101,Sync!$L537&lt;=99991231),RIGHT("0000"&amp;INT(Sync!$L537/10000),4)&amp;"/"&amp;RIGHT("00"&amp;INT(MOD(Sync!$L537,10000)/100),2)&amp;"/"&amp;RIGHT("00"&amp;MOD(Sync!$L537,100),2),""),IFERROR(RIGHT("0000"&amp;VALUE(TRIM(LEFT(Sync!$L537,FIND("/",Sync!$L537)-1))),4)&amp;"/"&amp;RIGHT("00"&amp;VALUE(TRIM(LEFT(MID(Sync!$L537,FIND("/",Sync!$L537)+1,20),FIND("/",MID(Sync!$L537,FIND("/",Sync!$L537)+1,20))-1))),2)&amp;"/"&amp;RIGHT("00"&amp;VALUE(TRIM(MID(MID(Sync!$L537,FIND("/",Sync!$L537)+1,20),FIND("/",MID(Sync!$L537,FIND("/",Sync!$L537)+1,20))+1,20))),2),"")))</f>
        <v/>
      </c>
    </row>
    <row r="538">
      <c r="M538">
        <f>IF(Sync!$M538&lt;&gt;"پاس چک","",IF(Sync!$P538="","",Sync!$P538))</f>
        <v/>
      </c>
      <c r="N538">
        <f>IF($M538="","",IF(ISNUMBER(Sync!$L538),IF(AND(Sync!$L538&gt;=10000101,Sync!$L538&lt;=99991231),RIGHT("0000"&amp;INT(Sync!$L538/10000),4)&amp;"/"&amp;RIGHT("00"&amp;INT(MOD(Sync!$L538,10000)/100),2)&amp;"/"&amp;RIGHT("00"&amp;MOD(Sync!$L538,100),2),""),IFERROR(RIGHT("0000"&amp;VALUE(TRIM(LEFT(Sync!$L538,FIND("/",Sync!$L538)-1))),4)&amp;"/"&amp;RIGHT("00"&amp;VALUE(TRIM(LEFT(MID(Sync!$L538,FIND("/",Sync!$L538)+1,20),FIND("/",MID(Sync!$L538,FIND("/",Sync!$L538)+1,20))-1))),2)&amp;"/"&amp;RIGHT("00"&amp;VALUE(TRIM(MID(MID(Sync!$L538,FIND("/",Sync!$L538)+1,20),FIND("/",MID(Sync!$L538,FIND("/",Sync!$L538)+1,20))+1,20))),2),"")))</f>
        <v/>
      </c>
    </row>
    <row r="539">
      <c r="M539">
        <f>IF(Sync!$M539&lt;&gt;"پاس چک","",IF(Sync!$P539="","",Sync!$P539))</f>
        <v/>
      </c>
      <c r="N539">
        <f>IF($M539="","",IF(ISNUMBER(Sync!$L539),IF(AND(Sync!$L539&gt;=10000101,Sync!$L539&lt;=99991231),RIGHT("0000"&amp;INT(Sync!$L539/10000),4)&amp;"/"&amp;RIGHT("00"&amp;INT(MOD(Sync!$L539,10000)/100),2)&amp;"/"&amp;RIGHT("00"&amp;MOD(Sync!$L539,100),2),""),IFERROR(RIGHT("0000"&amp;VALUE(TRIM(LEFT(Sync!$L539,FIND("/",Sync!$L539)-1))),4)&amp;"/"&amp;RIGHT("00"&amp;VALUE(TRIM(LEFT(MID(Sync!$L539,FIND("/",Sync!$L539)+1,20),FIND("/",MID(Sync!$L539,FIND("/",Sync!$L539)+1,20))-1))),2)&amp;"/"&amp;RIGHT("00"&amp;VALUE(TRIM(MID(MID(Sync!$L539,FIND("/",Sync!$L539)+1,20),FIND("/",MID(Sync!$L539,FIND("/",Sync!$L539)+1,20))+1,20))),2),"")))</f>
        <v/>
      </c>
    </row>
    <row r="540">
      <c r="M540">
        <f>IF(Sync!$M540&lt;&gt;"پاس چک","",IF(Sync!$P540="","",Sync!$P540))</f>
        <v/>
      </c>
      <c r="N540">
        <f>IF($M540="","",IF(ISNUMBER(Sync!$L540),IF(AND(Sync!$L540&gt;=10000101,Sync!$L540&lt;=99991231),RIGHT("0000"&amp;INT(Sync!$L540/10000),4)&amp;"/"&amp;RIGHT("00"&amp;INT(MOD(Sync!$L540,10000)/100),2)&amp;"/"&amp;RIGHT("00"&amp;MOD(Sync!$L540,100),2),""),IFERROR(RIGHT("0000"&amp;VALUE(TRIM(LEFT(Sync!$L540,FIND("/",Sync!$L540)-1))),4)&amp;"/"&amp;RIGHT("00"&amp;VALUE(TRIM(LEFT(MID(Sync!$L540,FIND("/",Sync!$L540)+1,20),FIND("/",MID(Sync!$L540,FIND("/",Sync!$L540)+1,20))-1))),2)&amp;"/"&amp;RIGHT("00"&amp;VALUE(TRIM(MID(MID(Sync!$L540,FIND("/",Sync!$L540)+1,20),FIND("/",MID(Sync!$L540,FIND("/",Sync!$L540)+1,20))+1,20))),2),"")))</f>
        <v/>
      </c>
    </row>
    <row r="541">
      <c r="M541">
        <f>IF(Sync!$M541&lt;&gt;"پاس چک","",IF(Sync!$P541="","",Sync!$P541))</f>
        <v/>
      </c>
      <c r="N541">
        <f>IF($M541="","",IF(ISNUMBER(Sync!$L541),IF(AND(Sync!$L541&gt;=10000101,Sync!$L541&lt;=99991231),RIGHT("0000"&amp;INT(Sync!$L541/10000),4)&amp;"/"&amp;RIGHT("00"&amp;INT(MOD(Sync!$L541,10000)/100),2)&amp;"/"&amp;RIGHT("00"&amp;MOD(Sync!$L541,100),2),""),IFERROR(RIGHT("0000"&amp;VALUE(TRIM(LEFT(Sync!$L541,FIND("/",Sync!$L541)-1))),4)&amp;"/"&amp;RIGHT("00"&amp;VALUE(TRIM(LEFT(MID(Sync!$L541,FIND("/",Sync!$L541)+1,20),FIND("/",MID(Sync!$L541,FIND("/",Sync!$L541)+1,20))-1))),2)&amp;"/"&amp;RIGHT("00"&amp;VALUE(TRIM(MID(MID(Sync!$L541,FIND("/",Sync!$L541)+1,20),FIND("/",MID(Sync!$L541,FIND("/",Sync!$L541)+1,20))+1,20))),2),"")))</f>
        <v/>
      </c>
    </row>
    <row r="542">
      <c r="M542">
        <f>IF(Sync!$M542&lt;&gt;"پاس چک","",IF(Sync!$P542="","",Sync!$P542))</f>
        <v/>
      </c>
      <c r="N542">
        <f>IF($M542="","",IF(ISNUMBER(Sync!$L542),IF(AND(Sync!$L542&gt;=10000101,Sync!$L542&lt;=99991231),RIGHT("0000"&amp;INT(Sync!$L542/10000),4)&amp;"/"&amp;RIGHT("00"&amp;INT(MOD(Sync!$L542,10000)/100),2)&amp;"/"&amp;RIGHT("00"&amp;MOD(Sync!$L542,100),2),""),IFERROR(RIGHT("0000"&amp;VALUE(TRIM(LEFT(Sync!$L542,FIND("/",Sync!$L542)-1))),4)&amp;"/"&amp;RIGHT("00"&amp;VALUE(TRIM(LEFT(MID(Sync!$L542,FIND("/",Sync!$L542)+1,20),FIND("/",MID(Sync!$L542,FIND("/",Sync!$L542)+1,20))-1))),2)&amp;"/"&amp;RIGHT("00"&amp;VALUE(TRIM(MID(MID(Sync!$L542,FIND("/",Sync!$L542)+1,20),FIND("/",MID(Sync!$L542,FIND("/",Sync!$L542)+1,20))+1,20))),2),"")))</f>
        <v/>
      </c>
    </row>
    <row r="543">
      <c r="M543">
        <f>IF(Sync!$M543&lt;&gt;"پاس چک","",IF(Sync!$P543="","",Sync!$P543))</f>
        <v/>
      </c>
      <c r="N543">
        <f>IF($M543="","",IF(ISNUMBER(Sync!$L543),IF(AND(Sync!$L543&gt;=10000101,Sync!$L543&lt;=99991231),RIGHT("0000"&amp;INT(Sync!$L543/10000),4)&amp;"/"&amp;RIGHT("00"&amp;INT(MOD(Sync!$L543,10000)/100),2)&amp;"/"&amp;RIGHT("00"&amp;MOD(Sync!$L543,100),2),""),IFERROR(RIGHT("0000"&amp;VALUE(TRIM(LEFT(Sync!$L543,FIND("/",Sync!$L543)-1))),4)&amp;"/"&amp;RIGHT("00"&amp;VALUE(TRIM(LEFT(MID(Sync!$L543,FIND("/",Sync!$L543)+1,20),FIND("/",MID(Sync!$L543,FIND("/",Sync!$L543)+1,20))-1))),2)&amp;"/"&amp;RIGHT("00"&amp;VALUE(TRIM(MID(MID(Sync!$L543,FIND("/",Sync!$L543)+1,20),FIND("/",MID(Sync!$L543,FIND("/",Sync!$L543)+1,20))+1,20))),2),"")))</f>
        <v/>
      </c>
    </row>
    <row r="544">
      <c r="M544">
        <f>IF(Sync!$M544&lt;&gt;"پاس چک","",IF(Sync!$P544="","",Sync!$P544))</f>
        <v/>
      </c>
      <c r="N544">
        <f>IF($M544="","",IF(ISNUMBER(Sync!$L544),IF(AND(Sync!$L544&gt;=10000101,Sync!$L544&lt;=99991231),RIGHT("0000"&amp;INT(Sync!$L544/10000),4)&amp;"/"&amp;RIGHT("00"&amp;INT(MOD(Sync!$L544,10000)/100),2)&amp;"/"&amp;RIGHT("00"&amp;MOD(Sync!$L544,100),2),""),IFERROR(RIGHT("0000"&amp;VALUE(TRIM(LEFT(Sync!$L544,FIND("/",Sync!$L544)-1))),4)&amp;"/"&amp;RIGHT("00"&amp;VALUE(TRIM(LEFT(MID(Sync!$L544,FIND("/",Sync!$L544)+1,20),FIND("/",MID(Sync!$L544,FIND("/",Sync!$L544)+1,20))-1))),2)&amp;"/"&amp;RIGHT("00"&amp;VALUE(TRIM(MID(MID(Sync!$L544,FIND("/",Sync!$L544)+1,20),FIND("/",MID(Sync!$L544,FIND("/",Sync!$L544)+1,20))+1,20))),2),"")))</f>
        <v/>
      </c>
    </row>
    <row r="545">
      <c r="M545">
        <f>IF(Sync!$M545&lt;&gt;"پاس چک","",IF(Sync!$P545="","",Sync!$P545))</f>
        <v/>
      </c>
      <c r="N545">
        <f>IF($M545="","",IF(ISNUMBER(Sync!$L545),IF(AND(Sync!$L545&gt;=10000101,Sync!$L545&lt;=99991231),RIGHT("0000"&amp;INT(Sync!$L545/10000),4)&amp;"/"&amp;RIGHT("00"&amp;INT(MOD(Sync!$L545,10000)/100),2)&amp;"/"&amp;RIGHT("00"&amp;MOD(Sync!$L545,100),2),""),IFERROR(RIGHT("0000"&amp;VALUE(TRIM(LEFT(Sync!$L545,FIND("/",Sync!$L545)-1))),4)&amp;"/"&amp;RIGHT("00"&amp;VALUE(TRIM(LEFT(MID(Sync!$L545,FIND("/",Sync!$L545)+1,20),FIND("/",MID(Sync!$L545,FIND("/",Sync!$L545)+1,20))-1))),2)&amp;"/"&amp;RIGHT("00"&amp;VALUE(TRIM(MID(MID(Sync!$L545,FIND("/",Sync!$L545)+1,20),FIND("/",MID(Sync!$L545,FIND("/",Sync!$L545)+1,20))+1,20))),2),"")))</f>
        <v/>
      </c>
    </row>
    <row r="546">
      <c r="M546">
        <f>IF(Sync!$M546&lt;&gt;"پاس چک","",IF(Sync!$P546="","",Sync!$P546))</f>
        <v/>
      </c>
      <c r="N546">
        <f>IF($M546="","",IF(ISNUMBER(Sync!$L546),IF(AND(Sync!$L546&gt;=10000101,Sync!$L546&lt;=99991231),RIGHT("0000"&amp;INT(Sync!$L546/10000),4)&amp;"/"&amp;RIGHT("00"&amp;INT(MOD(Sync!$L546,10000)/100),2)&amp;"/"&amp;RIGHT("00"&amp;MOD(Sync!$L546,100),2),""),IFERROR(RIGHT("0000"&amp;VALUE(TRIM(LEFT(Sync!$L546,FIND("/",Sync!$L546)-1))),4)&amp;"/"&amp;RIGHT("00"&amp;VALUE(TRIM(LEFT(MID(Sync!$L546,FIND("/",Sync!$L546)+1,20),FIND("/",MID(Sync!$L546,FIND("/",Sync!$L546)+1,20))-1))),2)&amp;"/"&amp;RIGHT("00"&amp;VALUE(TRIM(MID(MID(Sync!$L546,FIND("/",Sync!$L546)+1,20),FIND("/",MID(Sync!$L546,FIND("/",Sync!$L546)+1,20))+1,20))),2),"")))</f>
        <v/>
      </c>
    </row>
    <row r="547">
      <c r="M547">
        <f>IF(Sync!$M547&lt;&gt;"پاس چک","",IF(Sync!$P547="","",Sync!$P547))</f>
        <v/>
      </c>
      <c r="N547">
        <f>IF($M547="","",IF(ISNUMBER(Sync!$L547),IF(AND(Sync!$L547&gt;=10000101,Sync!$L547&lt;=99991231),RIGHT("0000"&amp;INT(Sync!$L547/10000),4)&amp;"/"&amp;RIGHT("00"&amp;INT(MOD(Sync!$L547,10000)/100),2)&amp;"/"&amp;RIGHT("00"&amp;MOD(Sync!$L547,100),2),""),IFERROR(RIGHT("0000"&amp;VALUE(TRIM(LEFT(Sync!$L547,FIND("/",Sync!$L547)-1))),4)&amp;"/"&amp;RIGHT("00"&amp;VALUE(TRIM(LEFT(MID(Sync!$L547,FIND("/",Sync!$L547)+1,20),FIND("/",MID(Sync!$L547,FIND("/",Sync!$L547)+1,20))-1))),2)&amp;"/"&amp;RIGHT("00"&amp;VALUE(TRIM(MID(MID(Sync!$L547,FIND("/",Sync!$L547)+1,20),FIND("/",MID(Sync!$L547,FIND("/",Sync!$L547)+1,20))+1,20))),2),"")))</f>
        <v/>
      </c>
    </row>
    <row r="548">
      <c r="M548">
        <f>IF(Sync!$M548&lt;&gt;"پاس چک","",IF(Sync!$P548="","",Sync!$P548))</f>
        <v/>
      </c>
      <c r="N548">
        <f>IF($M548="","",IF(ISNUMBER(Sync!$L548),IF(AND(Sync!$L548&gt;=10000101,Sync!$L548&lt;=99991231),RIGHT("0000"&amp;INT(Sync!$L548/10000),4)&amp;"/"&amp;RIGHT("00"&amp;INT(MOD(Sync!$L548,10000)/100),2)&amp;"/"&amp;RIGHT("00"&amp;MOD(Sync!$L548,100),2),""),IFERROR(RIGHT("0000"&amp;VALUE(TRIM(LEFT(Sync!$L548,FIND("/",Sync!$L548)-1))),4)&amp;"/"&amp;RIGHT("00"&amp;VALUE(TRIM(LEFT(MID(Sync!$L548,FIND("/",Sync!$L548)+1,20),FIND("/",MID(Sync!$L548,FIND("/",Sync!$L548)+1,20))-1))),2)&amp;"/"&amp;RIGHT("00"&amp;VALUE(TRIM(MID(MID(Sync!$L548,FIND("/",Sync!$L548)+1,20),FIND("/",MID(Sync!$L548,FIND("/",Sync!$L548)+1,20))+1,20))),2),"")))</f>
        <v/>
      </c>
    </row>
    <row r="549">
      <c r="M549">
        <f>IF(Sync!$M549&lt;&gt;"پاس چک","",IF(Sync!$P549="","",Sync!$P549))</f>
        <v/>
      </c>
      <c r="N549">
        <f>IF($M549="","",IF(ISNUMBER(Sync!$L549),IF(AND(Sync!$L549&gt;=10000101,Sync!$L549&lt;=99991231),RIGHT("0000"&amp;INT(Sync!$L549/10000),4)&amp;"/"&amp;RIGHT("00"&amp;INT(MOD(Sync!$L549,10000)/100),2)&amp;"/"&amp;RIGHT("00"&amp;MOD(Sync!$L549,100),2),""),IFERROR(RIGHT("0000"&amp;VALUE(TRIM(LEFT(Sync!$L549,FIND("/",Sync!$L549)-1))),4)&amp;"/"&amp;RIGHT("00"&amp;VALUE(TRIM(LEFT(MID(Sync!$L549,FIND("/",Sync!$L549)+1,20),FIND("/",MID(Sync!$L549,FIND("/",Sync!$L549)+1,20))-1))),2)&amp;"/"&amp;RIGHT("00"&amp;VALUE(TRIM(MID(MID(Sync!$L549,FIND("/",Sync!$L549)+1,20),FIND("/",MID(Sync!$L549,FIND("/",Sync!$L549)+1,20))+1,20))),2),"")))</f>
        <v/>
      </c>
    </row>
    <row r="550">
      <c r="M550">
        <f>IF(Sync!$M550&lt;&gt;"پاس چک","",IF(Sync!$P550="","",Sync!$P550))</f>
        <v/>
      </c>
      <c r="N550">
        <f>IF($M550="","",IF(ISNUMBER(Sync!$L550),IF(AND(Sync!$L550&gt;=10000101,Sync!$L550&lt;=99991231),RIGHT("0000"&amp;INT(Sync!$L550/10000),4)&amp;"/"&amp;RIGHT("00"&amp;INT(MOD(Sync!$L550,10000)/100),2)&amp;"/"&amp;RIGHT("00"&amp;MOD(Sync!$L550,100),2),""),IFERROR(RIGHT("0000"&amp;VALUE(TRIM(LEFT(Sync!$L550,FIND("/",Sync!$L550)-1))),4)&amp;"/"&amp;RIGHT("00"&amp;VALUE(TRIM(LEFT(MID(Sync!$L550,FIND("/",Sync!$L550)+1,20),FIND("/",MID(Sync!$L550,FIND("/",Sync!$L550)+1,20))-1))),2)&amp;"/"&amp;RIGHT("00"&amp;VALUE(TRIM(MID(MID(Sync!$L550,FIND("/",Sync!$L550)+1,20),FIND("/",MID(Sync!$L550,FIND("/",Sync!$L550)+1,20))+1,20))),2),"")))</f>
        <v/>
      </c>
    </row>
    <row r="551">
      <c r="M551">
        <f>IF(Sync!$M551&lt;&gt;"پاس چک","",IF(Sync!$P551="","",Sync!$P551))</f>
        <v/>
      </c>
      <c r="N551">
        <f>IF($M551="","",IF(ISNUMBER(Sync!$L551),IF(AND(Sync!$L551&gt;=10000101,Sync!$L551&lt;=99991231),RIGHT("0000"&amp;INT(Sync!$L551/10000),4)&amp;"/"&amp;RIGHT("00"&amp;INT(MOD(Sync!$L551,10000)/100),2)&amp;"/"&amp;RIGHT("00"&amp;MOD(Sync!$L551,100),2),""),IFERROR(RIGHT("0000"&amp;VALUE(TRIM(LEFT(Sync!$L551,FIND("/",Sync!$L551)-1))),4)&amp;"/"&amp;RIGHT("00"&amp;VALUE(TRIM(LEFT(MID(Sync!$L551,FIND("/",Sync!$L551)+1,20),FIND("/",MID(Sync!$L551,FIND("/",Sync!$L551)+1,20))-1))),2)&amp;"/"&amp;RIGHT("00"&amp;VALUE(TRIM(MID(MID(Sync!$L551,FIND("/",Sync!$L551)+1,20),FIND("/",MID(Sync!$L551,FIND("/",Sync!$L551)+1,20))+1,20))),2),"")))</f>
        <v/>
      </c>
    </row>
    <row r="552">
      <c r="M552">
        <f>IF(Sync!$M552&lt;&gt;"پاس چک","",IF(Sync!$P552="","",Sync!$P552))</f>
        <v/>
      </c>
      <c r="N552">
        <f>IF($M552="","",IF(ISNUMBER(Sync!$L552),IF(AND(Sync!$L552&gt;=10000101,Sync!$L552&lt;=99991231),RIGHT("0000"&amp;INT(Sync!$L552/10000),4)&amp;"/"&amp;RIGHT("00"&amp;INT(MOD(Sync!$L552,10000)/100),2)&amp;"/"&amp;RIGHT("00"&amp;MOD(Sync!$L552,100),2),""),IFERROR(RIGHT("0000"&amp;VALUE(TRIM(LEFT(Sync!$L552,FIND("/",Sync!$L552)-1))),4)&amp;"/"&amp;RIGHT("00"&amp;VALUE(TRIM(LEFT(MID(Sync!$L552,FIND("/",Sync!$L552)+1,20),FIND("/",MID(Sync!$L552,FIND("/",Sync!$L552)+1,20))-1))),2)&amp;"/"&amp;RIGHT("00"&amp;VALUE(TRIM(MID(MID(Sync!$L552,FIND("/",Sync!$L552)+1,20),FIND("/",MID(Sync!$L552,FIND("/",Sync!$L552)+1,20))+1,20))),2),"")))</f>
        <v/>
      </c>
    </row>
    <row r="553">
      <c r="M553">
        <f>IF(Sync!$M553&lt;&gt;"پاس چک","",IF(Sync!$P553="","",Sync!$P553))</f>
        <v/>
      </c>
      <c r="N553">
        <f>IF($M553="","",IF(ISNUMBER(Sync!$L553),IF(AND(Sync!$L553&gt;=10000101,Sync!$L553&lt;=99991231),RIGHT("0000"&amp;INT(Sync!$L553/10000),4)&amp;"/"&amp;RIGHT("00"&amp;INT(MOD(Sync!$L553,10000)/100),2)&amp;"/"&amp;RIGHT("00"&amp;MOD(Sync!$L553,100),2),""),IFERROR(RIGHT("0000"&amp;VALUE(TRIM(LEFT(Sync!$L553,FIND("/",Sync!$L553)-1))),4)&amp;"/"&amp;RIGHT("00"&amp;VALUE(TRIM(LEFT(MID(Sync!$L553,FIND("/",Sync!$L553)+1,20),FIND("/",MID(Sync!$L553,FIND("/",Sync!$L553)+1,20))-1))),2)&amp;"/"&amp;RIGHT("00"&amp;VALUE(TRIM(MID(MID(Sync!$L553,FIND("/",Sync!$L553)+1,20),FIND("/",MID(Sync!$L553,FIND("/",Sync!$L553)+1,20))+1,20))),2),"")))</f>
        <v/>
      </c>
    </row>
    <row r="554">
      <c r="M554">
        <f>IF(Sync!$M554&lt;&gt;"پاس چک","",IF(Sync!$P554="","",Sync!$P554))</f>
        <v/>
      </c>
      <c r="N554">
        <f>IF($M554="","",IF(ISNUMBER(Sync!$L554),IF(AND(Sync!$L554&gt;=10000101,Sync!$L554&lt;=99991231),RIGHT("0000"&amp;INT(Sync!$L554/10000),4)&amp;"/"&amp;RIGHT("00"&amp;INT(MOD(Sync!$L554,10000)/100),2)&amp;"/"&amp;RIGHT("00"&amp;MOD(Sync!$L554,100),2),""),IFERROR(RIGHT("0000"&amp;VALUE(TRIM(LEFT(Sync!$L554,FIND("/",Sync!$L554)-1))),4)&amp;"/"&amp;RIGHT("00"&amp;VALUE(TRIM(LEFT(MID(Sync!$L554,FIND("/",Sync!$L554)+1,20),FIND("/",MID(Sync!$L554,FIND("/",Sync!$L554)+1,20))-1))),2)&amp;"/"&amp;RIGHT("00"&amp;VALUE(TRIM(MID(MID(Sync!$L554,FIND("/",Sync!$L554)+1,20),FIND("/",MID(Sync!$L554,FIND("/",Sync!$L554)+1,20))+1,20))),2),"")))</f>
        <v/>
      </c>
    </row>
    <row r="555">
      <c r="M555">
        <f>IF(Sync!$M555&lt;&gt;"پاس چک","",IF(Sync!$P555="","",Sync!$P555))</f>
        <v/>
      </c>
      <c r="N555">
        <f>IF($M555="","",IF(ISNUMBER(Sync!$L555),IF(AND(Sync!$L555&gt;=10000101,Sync!$L555&lt;=99991231),RIGHT("0000"&amp;INT(Sync!$L555/10000),4)&amp;"/"&amp;RIGHT("00"&amp;INT(MOD(Sync!$L555,10000)/100),2)&amp;"/"&amp;RIGHT("00"&amp;MOD(Sync!$L555,100),2),""),IFERROR(RIGHT("0000"&amp;VALUE(TRIM(LEFT(Sync!$L555,FIND("/",Sync!$L555)-1))),4)&amp;"/"&amp;RIGHT("00"&amp;VALUE(TRIM(LEFT(MID(Sync!$L555,FIND("/",Sync!$L555)+1,20),FIND("/",MID(Sync!$L555,FIND("/",Sync!$L555)+1,20))-1))),2)&amp;"/"&amp;RIGHT("00"&amp;VALUE(TRIM(MID(MID(Sync!$L555,FIND("/",Sync!$L555)+1,20),FIND("/",MID(Sync!$L555,FIND("/",Sync!$L555)+1,20))+1,20))),2),"")))</f>
        <v/>
      </c>
    </row>
    <row r="556">
      <c r="M556">
        <f>IF(Sync!$M556&lt;&gt;"پاس چک","",IF(Sync!$P556="","",Sync!$P556))</f>
        <v/>
      </c>
      <c r="N556">
        <f>IF($M556="","",IF(ISNUMBER(Sync!$L556),IF(AND(Sync!$L556&gt;=10000101,Sync!$L556&lt;=99991231),RIGHT("0000"&amp;INT(Sync!$L556/10000),4)&amp;"/"&amp;RIGHT("00"&amp;INT(MOD(Sync!$L556,10000)/100),2)&amp;"/"&amp;RIGHT("00"&amp;MOD(Sync!$L556,100),2),""),IFERROR(RIGHT("0000"&amp;VALUE(TRIM(LEFT(Sync!$L556,FIND("/",Sync!$L556)-1))),4)&amp;"/"&amp;RIGHT("00"&amp;VALUE(TRIM(LEFT(MID(Sync!$L556,FIND("/",Sync!$L556)+1,20),FIND("/",MID(Sync!$L556,FIND("/",Sync!$L556)+1,20))-1))),2)&amp;"/"&amp;RIGHT("00"&amp;VALUE(TRIM(MID(MID(Sync!$L556,FIND("/",Sync!$L556)+1,20),FIND("/",MID(Sync!$L556,FIND("/",Sync!$L556)+1,20))+1,20))),2),"")))</f>
        <v/>
      </c>
    </row>
    <row r="557">
      <c r="M557">
        <f>IF(Sync!$M557&lt;&gt;"پاس چک","",IF(Sync!$P557="","",Sync!$P557))</f>
        <v/>
      </c>
      <c r="N557">
        <f>IF($M557="","",IF(ISNUMBER(Sync!$L557),IF(AND(Sync!$L557&gt;=10000101,Sync!$L557&lt;=99991231),RIGHT("0000"&amp;INT(Sync!$L557/10000),4)&amp;"/"&amp;RIGHT("00"&amp;INT(MOD(Sync!$L557,10000)/100),2)&amp;"/"&amp;RIGHT("00"&amp;MOD(Sync!$L557,100),2),""),IFERROR(RIGHT("0000"&amp;VALUE(TRIM(LEFT(Sync!$L557,FIND("/",Sync!$L557)-1))),4)&amp;"/"&amp;RIGHT("00"&amp;VALUE(TRIM(LEFT(MID(Sync!$L557,FIND("/",Sync!$L557)+1,20),FIND("/",MID(Sync!$L557,FIND("/",Sync!$L557)+1,20))-1))),2)&amp;"/"&amp;RIGHT("00"&amp;VALUE(TRIM(MID(MID(Sync!$L557,FIND("/",Sync!$L557)+1,20),FIND("/",MID(Sync!$L557,FIND("/",Sync!$L557)+1,20))+1,20))),2),"")))</f>
        <v/>
      </c>
    </row>
    <row r="558">
      <c r="M558">
        <f>IF(Sync!$M558&lt;&gt;"پاس چک","",IF(Sync!$P558="","",Sync!$P558))</f>
        <v/>
      </c>
      <c r="N558">
        <f>IF($M558="","",IF(ISNUMBER(Sync!$L558),IF(AND(Sync!$L558&gt;=10000101,Sync!$L558&lt;=99991231),RIGHT("0000"&amp;INT(Sync!$L558/10000),4)&amp;"/"&amp;RIGHT("00"&amp;INT(MOD(Sync!$L558,10000)/100),2)&amp;"/"&amp;RIGHT("00"&amp;MOD(Sync!$L558,100),2),""),IFERROR(RIGHT("0000"&amp;VALUE(TRIM(LEFT(Sync!$L558,FIND("/",Sync!$L558)-1))),4)&amp;"/"&amp;RIGHT("00"&amp;VALUE(TRIM(LEFT(MID(Sync!$L558,FIND("/",Sync!$L558)+1,20),FIND("/",MID(Sync!$L558,FIND("/",Sync!$L558)+1,20))-1))),2)&amp;"/"&amp;RIGHT("00"&amp;VALUE(TRIM(MID(MID(Sync!$L558,FIND("/",Sync!$L558)+1,20),FIND("/",MID(Sync!$L558,FIND("/",Sync!$L558)+1,20))+1,20))),2),"")))</f>
        <v/>
      </c>
    </row>
    <row r="559">
      <c r="M559">
        <f>IF(Sync!$M559&lt;&gt;"پاس چک","",IF(Sync!$P559="","",Sync!$P559))</f>
        <v/>
      </c>
      <c r="N559">
        <f>IF($M559="","",IF(ISNUMBER(Sync!$L559),IF(AND(Sync!$L559&gt;=10000101,Sync!$L559&lt;=99991231),RIGHT("0000"&amp;INT(Sync!$L559/10000),4)&amp;"/"&amp;RIGHT("00"&amp;INT(MOD(Sync!$L559,10000)/100),2)&amp;"/"&amp;RIGHT("00"&amp;MOD(Sync!$L559,100),2),""),IFERROR(RIGHT("0000"&amp;VALUE(TRIM(LEFT(Sync!$L559,FIND("/",Sync!$L559)-1))),4)&amp;"/"&amp;RIGHT("00"&amp;VALUE(TRIM(LEFT(MID(Sync!$L559,FIND("/",Sync!$L559)+1,20),FIND("/",MID(Sync!$L559,FIND("/",Sync!$L559)+1,20))-1))),2)&amp;"/"&amp;RIGHT("00"&amp;VALUE(TRIM(MID(MID(Sync!$L559,FIND("/",Sync!$L559)+1,20),FIND("/",MID(Sync!$L559,FIND("/",Sync!$L559)+1,20))+1,20))),2),"")))</f>
        <v/>
      </c>
    </row>
    <row r="560">
      <c r="M560">
        <f>IF(Sync!$M560&lt;&gt;"پاس چک","",IF(Sync!$P560="","",Sync!$P560))</f>
        <v/>
      </c>
      <c r="N560">
        <f>IF($M560="","",IF(ISNUMBER(Sync!$L560),IF(AND(Sync!$L560&gt;=10000101,Sync!$L560&lt;=99991231),RIGHT("0000"&amp;INT(Sync!$L560/10000),4)&amp;"/"&amp;RIGHT("00"&amp;INT(MOD(Sync!$L560,10000)/100),2)&amp;"/"&amp;RIGHT("00"&amp;MOD(Sync!$L560,100),2),""),IFERROR(RIGHT("0000"&amp;VALUE(TRIM(LEFT(Sync!$L560,FIND("/",Sync!$L560)-1))),4)&amp;"/"&amp;RIGHT("00"&amp;VALUE(TRIM(LEFT(MID(Sync!$L560,FIND("/",Sync!$L560)+1,20),FIND("/",MID(Sync!$L560,FIND("/",Sync!$L560)+1,20))-1))),2)&amp;"/"&amp;RIGHT("00"&amp;VALUE(TRIM(MID(MID(Sync!$L560,FIND("/",Sync!$L560)+1,20),FIND("/",MID(Sync!$L560,FIND("/",Sync!$L560)+1,20))+1,20))),2),"")))</f>
        <v/>
      </c>
    </row>
    <row r="561">
      <c r="M561">
        <f>IF(Sync!$M561&lt;&gt;"پاس چک","",IF(Sync!$P561="","",Sync!$P561))</f>
        <v/>
      </c>
      <c r="N561">
        <f>IF($M561="","",IF(ISNUMBER(Sync!$L561),IF(AND(Sync!$L561&gt;=10000101,Sync!$L561&lt;=99991231),RIGHT("0000"&amp;INT(Sync!$L561/10000),4)&amp;"/"&amp;RIGHT("00"&amp;INT(MOD(Sync!$L561,10000)/100),2)&amp;"/"&amp;RIGHT("00"&amp;MOD(Sync!$L561,100),2),""),IFERROR(RIGHT("0000"&amp;VALUE(TRIM(LEFT(Sync!$L561,FIND("/",Sync!$L561)-1))),4)&amp;"/"&amp;RIGHT("00"&amp;VALUE(TRIM(LEFT(MID(Sync!$L561,FIND("/",Sync!$L561)+1,20),FIND("/",MID(Sync!$L561,FIND("/",Sync!$L561)+1,20))-1))),2)&amp;"/"&amp;RIGHT("00"&amp;VALUE(TRIM(MID(MID(Sync!$L561,FIND("/",Sync!$L561)+1,20),FIND("/",MID(Sync!$L561,FIND("/",Sync!$L561)+1,20))+1,20))),2),"")))</f>
        <v/>
      </c>
    </row>
    <row r="562">
      <c r="M562">
        <f>IF(Sync!$M562&lt;&gt;"پاس چک","",IF(Sync!$P562="","",Sync!$P562))</f>
        <v/>
      </c>
      <c r="N562">
        <f>IF($M562="","",IF(ISNUMBER(Sync!$L562),IF(AND(Sync!$L562&gt;=10000101,Sync!$L562&lt;=99991231),RIGHT("0000"&amp;INT(Sync!$L562/10000),4)&amp;"/"&amp;RIGHT("00"&amp;INT(MOD(Sync!$L562,10000)/100),2)&amp;"/"&amp;RIGHT("00"&amp;MOD(Sync!$L562,100),2),""),IFERROR(RIGHT("0000"&amp;VALUE(TRIM(LEFT(Sync!$L562,FIND("/",Sync!$L562)-1))),4)&amp;"/"&amp;RIGHT("00"&amp;VALUE(TRIM(LEFT(MID(Sync!$L562,FIND("/",Sync!$L562)+1,20),FIND("/",MID(Sync!$L562,FIND("/",Sync!$L562)+1,20))-1))),2)&amp;"/"&amp;RIGHT("00"&amp;VALUE(TRIM(MID(MID(Sync!$L562,FIND("/",Sync!$L562)+1,20),FIND("/",MID(Sync!$L562,FIND("/",Sync!$L562)+1,20))+1,20))),2),"")))</f>
        <v/>
      </c>
    </row>
    <row r="563">
      <c r="M563">
        <f>IF(Sync!$M563&lt;&gt;"پاس چک","",IF(Sync!$P563="","",Sync!$P563))</f>
        <v/>
      </c>
      <c r="N563">
        <f>IF($M563="","",IF(ISNUMBER(Sync!$L563),IF(AND(Sync!$L563&gt;=10000101,Sync!$L563&lt;=99991231),RIGHT("0000"&amp;INT(Sync!$L563/10000),4)&amp;"/"&amp;RIGHT("00"&amp;INT(MOD(Sync!$L563,10000)/100),2)&amp;"/"&amp;RIGHT("00"&amp;MOD(Sync!$L563,100),2),""),IFERROR(RIGHT("0000"&amp;VALUE(TRIM(LEFT(Sync!$L563,FIND("/",Sync!$L563)-1))),4)&amp;"/"&amp;RIGHT("00"&amp;VALUE(TRIM(LEFT(MID(Sync!$L563,FIND("/",Sync!$L563)+1,20),FIND("/",MID(Sync!$L563,FIND("/",Sync!$L563)+1,20))-1))),2)&amp;"/"&amp;RIGHT("00"&amp;VALUE(TRIM(MID(MID(Sync!$L563,FIND("/",Sync!$L563)+1,20),FIND("/",MID(Sync!$L563,FIND("/",Sync!$L563)+1,20))+1,20))),2),"")))</f>
        <v/>
      </c>
    </row>
    <row r="564">
      <c r="M564">
        <f>IF(Sync!$M564&lt;&gt;"پاس چک","",IF(Sync!$P564="","",Sync!$P564))</f>
        <v/>
      </c>
      <c r="N564">
        <f>IF($M564="","",IF(ISNUMBER(Sync!$L564),IF(AND(Sync!$L564&gt;=10000101,Sync!$L564&lt;=99991231),RIGHT("0000"&amp;INT(Sync!$L564/10000),4)&amp;"/"&amp;RIGHT("00"&amp;INT(MOD(Sync!$L564,10000)/100),2)&amp;"/"&amp;RIGHT("00"&amp;MOD(Sync!$L564,100),2),""),IFERROR(RIGHT("0000"&amp;VALUE(TRIM(LEFT(Sync!$L564,FIND("/",Sync!$L564)-1))),4)&amp;"/"&amp;RIGHT("00"&amp;VALUE(TRIM(LEFT(MID(Sync!$L564,FIND("/",Sync!$L564)+1,20),FIND("/",MID(Sync!$L564,FIND("/",Sync!$L564)+1,20))-1))),2)&amp;"/"&amp;RIGHT("00"&amp;VALUE(TRIM(MID(MID(Sync!$L564,FIND("/",Sync!$L564)+1,20),FIND("/",MID(Sync!$L564,FIND("/",Sync!$L564)+1,20))+1,20))),2),"")))</f>
        <v/>
      </c>
    </row>
    <row r="565">
      <c r="M565">
        <f>IF(Sync!$M565&lt;&gt;"پاس چک","",IF(Sync!$P565="","",Sync!$P565))</f>
        <v/>
      </c>
      <c r="N565">
        <f>IF($M565="","",IF(ISNUMBER(Sync!$L565),IF(AND(Sync!$L565&gt;=10000101,Sync!$L565&lt;=99991231),RIGHT("0000"&amp;INT(Sync!$L565/10000),4)&amp;"/"&amp;RIGHT("00"&amp;INT(MOD(Sync!$L565,10000)/100),2)&amp;"/"&amp;RIGHT("00"&amp;MOD(Sync!$L565,100),2),""),IFERROR(RIGHT("0000"&amp;VALUE(TRIM(LEFT(Sync!$L565,FIND("/",Sync!$L565)-1))),4)&amp;"/"&amp;RIGHT("00"&amp;VALUE(TRIM(LEFT(MID(Sync!$L565,FIND("/",Sync!$L565)+1,20),FIND("/",MID(Sync!$L565,FIND("/",Sync!$L565)+1,20))-1))),2)&amp;"/"&amp;RIGHT("00"&amp;VALUE(TRIM(MID(MID(Sync!$L565,FIND("/",Sync!$L565)+1,20),FIND("/",MID(Sync!$L565,FIND("/",Sync!$L565)+1,20))+1,20))),2),"")))</f>
        <v/>
      </c>
    </row>
    <row r="566">
      <c r="M566">
        <f>IF(Sync!$M566&lt;&gt;"پاس چک","",IF(Sync!$P566="","",Sync!$P566))</f>
        <v/>
      </c>
      <c r="N566">
        <f>IF($M566="","",IF(ISNUMBER(Sync!$L566),IF(AND(Sync!$L566&gt;=10000101,Sync!$L566&lt;=99991231),RIGHT("0000"&amp;INT(Sync!$L566/10000),4)&amp;"/"&amp;RIGHT("00"&amp;INT(MOD(Sync!$L566,10000)/100),2)&amp;"/"&amp;RIGHT("00"&amp;MOD(Sync!$L566,100),2),""),IFERROR(RIGHT("0000"&amp;VALUE(TRIM(LEFT(Sync!$L566,FIND("/",Sync!$L566)-1))),4)&amp;"/"&amp;RIGHT("00"&amp;VALUE(TRIM(LEFT(MID(Sync!$L566,FIND("/",Sync!$L566)+1,20),FIND("/",MID(Sync!$L566,FIND("/",Sync!$L566)+1,20))-1))),2)&amp;"/"&amp;RIGHT("00"&amp;VALUE(TRIM(MID(MID(Sync!$L566,FIND("/",Sync!$L566)+1,20),FIND("/",MID(Sync!$L566,FIND("/",Sync!$L566)+1,20))+1,20))),2),"")))</f>
        <v/>
      </c>
    </row>
    <row r="567">
      <c r="M567">
        <f>IF(Sync!$M567&lt;&gt;"پاس چک","",IF(Sync!$P567="","",Sync!$P567))</f>
        <v/>
      </c>
      <c r="N567">
        <f>IF($M567="","",IF(ISNUMBER(Sync!$L567),IF(AND(Sync!$L567&gt;=10000101,Sync!$L567&lt;=99991231),RIGHT("0000"&amp;INT(Sync!$L567/10000),4)&amp;"/"&amp;RIGHT("00"&amp;INT(MOD(Sync!$L567,10000)/100),2)&amp;"/"&amp;RIGHT("00"&amp;MOD(Sync!$L567,100),2),""),IFERROR(RIGHT("0000"&amp;VALUE(TRIM(LEFT(Sync!$L567,FIND("/",Sync!$L567)-1))),4)&amp;"/"&amp;RIGHT("00"&amp;VALUE(TRIM(LEFT(MID(Sync!$L567,FIND("/",Sync!$L567)+1,20),FIND("/",MID(Sync!$L567,FIND("/",Sync!$L567)+1,20))-1))),2)&amp;"/"&amp;RIGHT("00"&amp;VALUE(TRIM(MID(MID(Sync!$L567,FIND("/",Sync!$L567)+1,20),FIND("/",MID(Sync!$L567,FIND("/",Sync!$L567)+1,20))+1,20))),2),"")))</f>
        <v/>
      </c>
    </row>
    <row r="568">
      <c r="M568">
        <f>IF(Sync!$M568&lt;&gt;"پاس چک","",IF(Sync!$P568="","",Sync!$P568))</f>
        <v/>
      </c>
      <c r="N568">
        <f>IF($M568="","",IF(ISNUMBER(Sync!$L568),IF(AND(Sync!$L568&gt;=10000101,Sync!$L568&lt;=99991231),RIGHT("0000"&amp;INT(Sync!$L568/10000),4)&amp;"/"&amp;RIGHT("00"&amp;INT(MOD(Sync!$L568,10000)/100),2)&amp;"/"&amp;RIGHT("00"&amp;MOD(Sync!$L568,100),2),""),IFERROR(RIGHT("0000"&amp;VALUE(TRIM(LEFT(Sync!$L568,FIND("/",Sync!$L568)-1))),4)&amp;"/"&amp;RIGHT("00"&amp;VALUE(TRIM(LEFT(MID(Sync!$L568,FIND("/",Sync!$L568)+1,20),FIND("/",MID(Sync!$L568,FIND("/",Sync!$L568)+1,20))-1))),2)&amp;"/"&amp;RIGHT("00"&amp;VALUE(TRIM(MID(MID(Sync!$L568,FIND("/",Sync!$L568)+1,20),FIND("/",MID(Sync!$L568,FIND("/",Sync!$L568)+1,20))+1,20))),2),"")))</f>
        <v/>
      </c>
    </row>
    <row r="569">
      <c r="M569">
        <f>IF(Sync!$M569&lt;&gt;"پاس چک","",IF(Sync!$P569="","",Sync!$P569))</f>
        <v/>
      </c>
      <c r="N569">
        <f>IF($M569="","",IF(ISNUMBER(Sync!$L569),IF(AND(Sync!$L569&gt;=10000101,Sync!$L569&lt;=99991231),RIGHT("0000"&amp;INT(Sync!$L569/10000),4)&amp;"/"&amp;RIGHT("00"&amp;INT(MOD(Sync!$L569,10000)/100),2)&amp;"/"&amp;RIGHT("00"&amp;MOD(Sync!$L569,100),2),""),IFERROR(RIGHT("0000"&amp;VALUE(TRIM(LEFT(Sync!$L569,FIND("/",Sync!$L569)-1))),4)&amp;"/"&amp;RIGHT("00"&amp;VALUE(TRIM(LEFT(MID(Sync!$L569,FIND("/",Sync!$L569)+1,20),FIND("/",MID(Sync!$L569,FIND("/",Sync!$L569)+1,20))-1))),2)&amp;"/"&amp;RIGHT("00"&amp;VALUE(TRIM(MID(MID(Sync!$L569,FIND("/",Sync!$L569)+1,20),FIND("/",MID(Sync!$L569,FIND("/",Sync!$L569)+1,20))+1,20))),2),"")))</f>
        <v/>
      </c>
    </row>
    <row r="570">
      <c r="M570">
        <f>IF(Sync!$M570&lt;&gt;"پاس چک","",IF(Sync!$P570="","",Sync!$P570))</f>
        <v/>
      </c>
      <c r="N570">
        <f>IF($M570="","",IF(ISNUMBER(Sync!$L570),IF(AND(Sync!$L570&gt;=10000101,Sync!$L570&lt;=99991231),RIGHT("0000"&amp;INT(Sync!$L570/10000),4)&amp;"/"&amp;RIGHT("00"&amp;INT(MOD(Sync!$L570,10000)/100),2)&amp;"/"&amp;RIGHT("00"&amp;MOD(Sync!$L570,100),2),""),IFERROR(RIGHT("0000"&amp;VALUE(TRIM(LEFT(Sync!$L570,FIND("/",Sync!$L570)-1))),4)&amp;"/"&amp;RIGHT("00"&amp;VALUE(TRIM(LEFT(MID(Sync!$L570,FIND("/",Sync!$L570)+1,20),FIND("/",MID(Sync!$L570,FIND("/",Sync!$L570)+1,20))-1))),2)&amp;"/"&amp;RIGHT("00"&amp;VALUE(TRIM(MID(MID(Sync!$L570,FIND("/",Sync!$L570)+1,20),FIND("/",MID(Sync!$L570,FIND("/",Sync!$L570)+1,20))+1,20))),2),"")))</f>
        <v/>
      </c>
    </row>
    <row r="571">
      <c r="M571">
        <f>IF(Sync!$M571&lt;&gt;"پاس چک","",IF(Sync!$P571="","",Sync!$P571))</f>
        <v/>
      </c>
      <c r="N571">
        <f>IF($M571="","",IF(ISNUMBER(Sync!$L571),IF(AND(Sync!$L571&gt;=10000101,Sync!$L571&lt;=99991231),RIGHT("0000"&amp;INT(Sync!$L571/10000),4)&amp;"/"&amp;RIGHT("00"&amp;INT(MOD(Sync!$L571,10000)/100),2)&amp;"/"&amp;RIGHT("00"&amp;MOD(Sync!$L571,100),2),""),IFERROR(RIGHT("0000"&amp;VALUE(TRIM(LEFT(Sync!$L571,FIND("/",Sync!$L571)-1))),4)&amp;"/"&amp;RIGHT("00"&amp;VALUE(TRIM(LEFT(MID(Sync!$L571,FIND("/",Sync!$L571)+1,20),FIND("/",MID(Sync!$L571,FIND("/",Sync!$L571)+1,20))-1))),2)&amp;"/"&amp;RIGHT("00"&amp;VALUE(TRIM(MID(MID(Sync!$L571,FIND("/",Sync!$L571)+1,20),FIND("/",MID(Sync!$L571,FIND("/",Sync!$L571)+1,20))+1,20))),2),"")))</f>
        <v/>
      </c>
    </row>
    <row r="572">
      <c r="M572">
        <f>IF(Sync!$M572&lt;&gt;"پاس چک","",IF(Sync!$P572="","",Sync!$P572))</f>
        <v/>
      </c>
      <c r="N572">
        <f>IF($M572="","",IF(ISNUMBER(Sync!$L572),IF(AND(Sync!$L572&gt;=10000101,Sync!$L572&lt;=99991231),RIGHT("0000"&amp;INT(Sync!$L572/10000),4)&amp;"/"&amp;RIGHT("00"&amp;INT(MOD(Sync!$L572,10000)/100),2)&amp;"/"&amp;RIGHT("00"&amp;MOD(Sync!$L572,100),2),""),IFERROR(RIGHT("0000"&amp;VALUE(TRIM(LEFT(Sync!$L572,FIND("/",Sync!$L572)-1))),4)&amp;"/"&amp;RIGHT("00"&amp;VALUE(TRIM(LEFT(MID(Sync!$L572,FIND("/",Sync!$L572)+1,20),FIND("/",MID(Sync!$L572,FIND("/",Sync!$L572)+1,20))-1))),2)&amp;"/"&amp;RIGHT("00"&amp;VALUE(TRIM(MID(MID(Sync!$L572,FIND("/",Sync!$L572)+1,20),FIND("/",MID(Sync!$L572,FIND("/",Sync!$L572)+1,20))+1,20))),2),"")))</f>
        <v/>
      </c>
    </row>
    <row r="573">
      <c r="M573">
        <f>IF(Sync!$M573&lt;&gt;"پاس چک","",IF(Sync!$P573="","",Sync!$P573))</f>
        <v/>
      </c>
      <c r="N573">
        <f>IF($M573="","",IF(ISNUMBER(Sync!$L573),IF(AND(Sync!$L573&gt;=10000101,Sync!$L573&lt;=99991231),RIGHT("0000"&amp;INT(Sync!$L573/10000),4)&amp;"/"&amp;RIGHT("00"&amp;INT(MOD(Sync!$L573,10000)/100),2)&amp;"/"&amp;RIGHT("00"&amp;MOD(Sync!$L573,100),2),""),IFERROR(RIGHT("0000"&amp;VALUE(TRIM(LEFT(Sync!$L573,FIND("/",Sync!$L573)-1))),4)&amp;"/"&amp;RIGHT("00"&amp;VALUE(TRIM(LEFT(MID(Sync!$L573,FIND("/",Sync!$L573)+1,20),FIND("/",MID(Sync!$L573,FIND("/",Sync!$L573)+1,20))-1))),2)&amp;"/"&amp;RIGHT("00"&amp;VALUE(TRIM(MID(MID(Sync!$L573,FIND("/",Sync!$L573)+1,20),FIND("/",MID(Sync!$L573,FIND("/",Sync!$L573)+1,20))+1,20))),2),"")))</f>
        <v/>
      </c>
    </row>
    <row r="574">
      <c r="M574">
        <f>IF(Sync!$M574&lt;&gt;"پاس چک","",IF(Sync!$P574="","",Sync!$P574))</f>
        <v/>
      </c>
      <c r="N574">
        <f>IF($M574="","",IF(ISNUMBER(Sync!$L574),IF(AND(Sync!$L574&gt;=10000101,Sync!$L574&lt;=99991231),RIGHT("0000"&amp;INT(Sync!$L574/10000),4)&amp;"/"&amp;RIGHT("00"&amp;INT(MOD(Sync!$L574,10000)/100),2)&amp;"/"&amp;RIGHT("00"&amp;MOD(Sync!$L574,100),2),""),IFERROR(RIGHT("0000"&amp;VALUE(TRIM(LEFT(Sync!$L574,FIND("/",Sync!$L574)-1))),4)&amp;"/"&amp;RIGHT("00"&amp;VALUE(TRIM(LEFT(MID(Sync!$L574,FIND("/",Sync!$L574)+1,20),FIND("/",MID(Sync!$L574,FIND("/",Sync!$L574)+1,20))-1))),2)&amp;"/"&amp;RIGHT("00"&amp;VALUE(TRIM(MID(MID(Sync!$L574,FIND("/",Sync!$L574)+1,20),FIND("/",MID(Sync!$L574,FIND("/",Sync!$L574)+1,20))+1,20))),2),"")))</f>
        <v/>
      </c>
    </row>
    <row r="575">
      <c r="M575">
        <f>IF(Sync!$M575&lt;&gt;"پاس چک","",IF(Sync!$P575="","",Sync!$P575))</f>
        <v/>
      </c>
      <c r="N575">
        <f>IF($M575="","",IF(ISNUMBER(Sync!$L575),IF(AND(Sync!$L575&gt;=10000101,Sync!$L575&lt;=99991231),RIGHT("0000"&amp;INT(Sync!$L575/10000),4)&amp;"/"&amp;RIGHT("00"&amp;INT(MOD(Sync!$L575,10000)/100),2)&amp;"/"&amp;RIGHT("00"&amp;MOD(Sync!$L575,100),2),""),IFERROR(RIGHT("0000"&amp;VALUE(TRIM(LEFT(Sync!$L575,FIND("/",Sync!$L575)-1))),4)&amp;"/"&amp;RIGHT("00"&amp;VALUE(TRIM(LEFT(MID(Sync!$L575,FIND("/",Sync!$L575)+1,20),FIND("/",MID(Sync!$L575,FIND("/",Sync!$L575)+1,20))-1))),2)&amp;"/"&amp;RIGHT("00"&amp;VALUE(TRIM(MID(MID(Sync!$L575,FIND("/",Sync!$L575)+1,20),FIND("/",MID(Sync!$L575,FIND("/",Sync!$L575)+1,20))+1,20))),2),"")))</f>
        <v/>
      </c>
    </row>
    <row r="576">
      <c r="M576">
        <f>IF(Sync!$M576&lt;&gt;"پاس چک","",IF(Sync!$P576="","",Sync!$P576))</f>
        <v/>
      </c>
      <c r="N576">
        <f>IF($M576="","",IF(ISNUMBER(Sync!$L576),IF(AND(Sync!$L576&gt;=10000101,Sync!$L576&lt;=99991231),RIGHT("0000"&amp;INT(Sync!$L576/10000),4)&amp;"/"&amp;RIGHT("00"&amp;INT(MOD(Sync!$L576,10000)/100),2)&amp;"/"&amp;RIGHT("00"&amp;MOD(Sync!$L576,100),2),""),IFERROR(RIGHT("0000"&amp;VALUE(TRIM(LEFT(Sync!$L576,FIND("/",Sync!$L576)-1))),4)&amp;"/"&amp;RIGHT("00"&amp;VALUE(TRIM(LEFT(MID(Sync!$L576,FIND("/",Sync!$L576)+1,20),FIND("/",MID(Sync!$L576,FIND("/",Sync!$L576)+1,20))-1))),2)&amp;"/"&amp;RIGHT("00"&amp;VALUE(TRIM(MID(MID(Sync!$L576,FIND("/",Sync!$L576)+1,20),FIND("/",MID(Sync!$L576,FIND("/",Sync!$L576)+1,20))+1,20))),2),"")))</f>
        <v/>
      </c>
    </row>
    <row r="577">
      <c r="M577">
        <f>IF(Sync!$M577&lt;&gt;"پاس چک","",IF(Sync!$P577="","",Sync!$P577))</f>
        <v/>
      </c>
      <c r="N577">
        <f>IF($M577="","",IF(ISNUMBER(Sync!$L577),IF(AND(Sync!$L577&gt;=10000101,Sync!$L577&lt;=99991231),RIGHT("0000"&amp;INT(Sync!$L577/10000),4)&amp;"/"&amp;RIGHT("00"&amp;INT(MOD(Sync!$L577,10000)/100),2)&amp;"/"&amp;RIGHT("00"&amp;MOD(Sync!$L577,100),2),""),IFERROR(RIGHT("0000"&amp;VALUE(TRIM(LEFT(Sync!$L577,FIND("/",Sync!$L577)-1))),4)&amp;"/"&amp;RIGHT("00"&amp;VALUE(TRIM(LEFT(MID(Sync!$L577,FIND("/",Sync!$L577)+1,20),FIND("/",MID(Sync!$L577,FIND("/",Sync!$L577)+1,20))-1))),2)&amp;"/"&amp;RIGHT("00"&amp;VALUE(TRIM(MID(MID(Sync!$L577,FIND("/",Sync!$L577)+1,20),FIND("/",MID(Sync!$L577,FIND("/",Sync!$L577)+1,20))+1,20))),2),"")))</f>
        <v/>
      </c>
    </row>
    <row r="578">
      <c r="M578">
        <f>IF(Sync!$M578&lt;&gt;"پاس چک","",IF(Sync!$P578="","",Sync!$P578))</f>
        <v/>
      </c>
      <c r="N578">
        <f>IF($M578="","",IF(ISNUMBER(Sync!$L578),IF(AND(Sync!$L578&gt;=10000101,Sync!$L578&lt;=99991231),RIGHT("0000"&amp;INT(Sync!$L578/10000),4)&amp;"/"&amp;RIGHT("00"&amp;INT(MOD(Sync!$L578,10000)/100),2)&amp;"/"&amp;RIGHT("00"&amp;MOD(Sync!$L578,100),2),""),IFERROR(RIGHT("0000"&amp;VALUE(TRIM(LEFT(Sync!$L578,FIND("/",Sync!$L578)-1))),4)&amp;"/"&amp;RIGHT("00"&amp;VALUE(TRIM(LEFT(MID(Sync!$L578,FIND("/",Sync!$L578)+1,20),FIND("/",MID(Sync!$L578,FIND("/",Sync!$L578)+1,20))-1))),2)&amp;"/"&amp;RIGHT("00"&amp;VALUE(TRIM(MID(MID(Sync!$L578,FIND("/",Sync!$L578)+1,20),FIND("/",MID(Sync!$L578,FIND("/",Sync!$L578)+1,20))+1,20))),2),"")))</f>
        <v/>
      </c>
    </row>
    <row r="579">
      <c r="M579">
        <f>IF(Sync!$M579&lt;&gt;"پاس چک","",IF(Sync!$P579="","",Sync!$P579))</f>
        <v/>
      </c>
      <c r="N579">
        <f>IF($M579="","",IF(ISNUMBER(Sync!$L579),IF(AND(Sync!$L579&gt;=10000101,Sync!$L579&lt;=99991231),RIGHT("0000"&amp;INT(Sync!$L579/10000),4)&amp;"/"&amp;RIGHT("00"&amp;INT(MOD(Sync!$L579,10000)/100),2)&amp;"/"&amp;RIGHT("00"&amp;MOD(Sync!$L579,100),2),""),IFERROR(RIGHT("0000"&amp;VALUE(TRIM(LEFT(Sync!$L579,FIND("/",Sync!$L579)-1))),4)&amp;"/"&amp;RIGHT("00"&amp;VALUE(TRIM(LEFT(MID(Sync!$L579,FIND("/",Sync!$L579)+1,20),FIND("/",MID(Sync!$L579,FIND("/",Sync!$L579)+1,20))-1))),2)&amp;"/"&amp;RIGHT("00"&amp;VALUE(TRIM(MID(MID(Sync!$L579,FIND("/",Sync!$L579)+1,20),FIND("/",MID(Sync!$L579,FIND("/",Sync!$L579)+1,20))+1,20))),2),"")))</f>
        <v/>
      </c>
    </row>
    <row r="580">
      <c r="M580">
        <f>IF(Sync!$M580&lt;&gt;"پاس چک","",IF(Sync!$P580="","",Sync!$P580))</f>
        <v/>
      </c>
      <c r="N580">
        <f>IF($M580="","",IF(ISNUMBER(Sync!$L580),IF(AND(Sync!$L580&gt;=10000101,Sync!$L580&lt;=99991231),RIGHT("0000"&amp;INT(Sync!$L580/10000),4)&amp;"/"&amp;RIGHT("00"&amp;INT(MOD(Sync!$L580,10000)/100),2)&amp;"/"&amp;RIGHT("00"&amp;MOD(Sync!$L580,100),2),""),IFERROR(RIGHT("0000"&amp;VALUE(TRIM(LEFT(Sync!$L580,FIND("/",Sync!$L580)-1))),4)&amp;"/"&amp;RIGHT("00"&amp;VALUE(TRIM(LEFT(MID(Sync!$L580,FIND("/",Sync!$L580)+1,20),FIND("/",MID(Sync!$L580,FIND("/",Sync!$L580)+1,20))-1))),2)&amp;"/"&amp;RIGHT("00"&amp;VALUE(TRIM(MID(MID(Sync!$L580,FIND("/",Sync!$L580)+1,20),FIND("/",MID(Sync!$L580,FIND("/",Sync!$L580)+1,20))+1,20))),2),"")))</f>
        <v/>
      </c>
    </row>
    <row r="581">
      <c r="M581">
        <f>IF(Sync!$M581&lt;&gt;"پاس چک","",IF(Sync!$P581="","",Sync!$P581))</f>
        <v/>
      </c>
      <c r="N581">
        <f>IF($M581="","",IF(ISNUMBER(Sync!$L581),IF(AND(Sync!$L581&gt;=10000101,Sync!$L581&lt;=99991231),RIGHT("0000"&amp;INT(Sync!$L581/10000),4)&amp;"/"&amp;RIGHT("00"&amp;INT(MOD(Sync!$L581,10000)/100),2)&amp;"/"&amp;RIGHT("00"&amp;MOD(Sync!$L581,100),2),""),IFERROR(RIGHT("0000"&amp;VALUE(TRIM(LEFT(Sync!$L581,FIND("/",Sync!$L581)-1))),4)&amp;"/"&amp;RIGHT("00"&amp;VALUE(TRIM(LEFT(MID(Sync!$L581,FIND("/",Sync!$L581)+1,20),FIND("/",MID(Sync!$L581,FIND("/",Sync!$L581)+1,20))-1))),2)&amp;"/"&amp;RIGHT("00"&amp;VALUE(TRIM(MID(MID(Sync!$L581,FIND("/",Sync!$L581)+1,20),FIND("/",MID(Sync!$L581,FIND("/",Sync!$L581)+1,20))+1,20))),2),"")))</f>
        <v/>
      </c>
    </row>
    <row r="582">
      <c r="M582">
        <f>IF(Sync!$M582&lt;&gt;"پاس چک","",IF(Sync!$P582="","",Sync!$P582))</f>
        <v/>
      </c>
      <c r="N582">
        <f>IF($M582="","",IF(ISNUMBER(Sync!$L582),IF(AND(Sync!$L582&gt;=10000101,Sync!$L582&lt;=99991231),RIGHT("0000"&amp;INT(Sync!$L582/10000),4)&amp;"/"&amp;RIGHT("00"&amp;INT(MOD(Sync!$L582,10000)/100),2)&amp;"/"&amp;RIGHT("00"&amp;MOD(Sync!$L582,100),2),""),IFERROR(RIGHT("0000"&amp;VALUE(TRIM(LEFT(Sync!$L582,FIND("/",Sync!$L582)-1))),4)&amp;"/"&amp;RIGHT("00"&amp;VALUE(TRIM(LEFT(MID(Sync!$L582,FIND("/",Sync!$L582)+1,20),FIND("/",MID(Sync!$L582,FIND("/",Sync!$L582)+1,20))-1))),2)&amp;"/"&amp;RIGHT("00"&amp;VALUE(TRIM(MID(MID(Sync!$L582,FIND("/",Sync!$L582)+1,20),FIND("/",MID(Sync!$L582,FIND("/",Sync!$L582)+1,20))+1,20))),2),"")))</f>
        <v/>
      </c>
    </row>
    <row r="583">
      <c r="M583">
        <f>IF(Sync!$M583&lt;&gt;"پاس چک","",IF(Sync!$P583="","",Sync!$P583))</f>
        <v/>
      </c>
      <c r="N583">
        <f>IF($M583="","",IF(ISNUMBER(Sync!$L583),IF(AND(Sync!$L583&gt;=10000101,Sync!$L583&lt;=99991231),RIGHT("0000"&amp;INT(Sync!$L583/10000),4)&amp;"/"&amp;RIGHT("00"&amp;INT(MOD(Sync!$L583,10000)/100),2)&amp;"/"&amp;RIGHT("00"&amp;MOD(Sync!$L583,100),2),""),IFERROR(RIGHT("0000"&amp;VALUE(TRIM(LEFT(Sync!$L583,FIND("/",Sync!$L583)-1))),4)&amp;"/"&amp;RIGHT("00"&amp;VALUE(TRIM(LEFT(MID(Sync!$L583,FIND("/",Sync!$L583)+1,20),FIND("/",MID(Sync!$L583,FIND("/",Sync!$L583)+1,20))-1))),2)&amp;"/"&amp;RIGHT("00"&amp;VALUE(TRIM(MID(MID(Sync!$L583,FIND("/",Sync!$L583)+1,20),FIND("/",MID(Sync!$L583,FIND("/",Sync!$L583)+1,20))+1,20))),2),"")))</f>
        <v/>
      </c>
    </row>
    <row r="584">
      <c r="M584">
        <f>IF(Sync!$M584&lt;&gt;"پاس چک","",IF(Sync!$P584="","",Sync!$P584))</f>
        <v/>
      </c>
      <c r="N584">
        <f>IF($M584="","",IF(ISNUMBER(Sync!$L584),IF(AND(Sync!$L584&gt;=10000101,Sync!$L584&lt;=99991231),RIGHT("0000"&amp;INT(Sync!$L584/10000),4)&amp;"/"&amp;RIGHT("00"&amp;INT(MOD(Sync!$L584,10000)/100),2)&amp;"/"&amp;RIGHT("00"&amp;MOD(Sync!$L584,100),2),""),IFERROR(RIGHT("0000"&amp;VALUE(TRIM(LEFT(Sync!$L584,FIND("/",Sync!$L584)-1))),4)&amp;"/"&amp;RIGHT("00"&amp;VALUE(TRIM(LEFT(MID(Sync!$L584,FIND("/",Sync!$L584)+1,20),FIND("/",MID(Sync!$L584,FIND("/",Sync!$L584)+1,20))-1))),2)&amp;"/"&amp;RIGHT("00"&amp;VALUE(TRIM(MID(MID(Sync!$L584,FIND("/",Sync!$L584)+1,20),FIND("/",MID(Sync!$L584,FIND("/",Sync!$L584)+1,20))+1,20))),2),"")))</f>
        <v/>
      </c>
    </row>
    <row r="585">
      <c r="M585">
        <f>IF(Sync!$M585&lt;&gt;"پاس چک","",IF(Sync!$P585="","",Sync!$P585))</f>
        <v/>
      </c>
      <c r="N585">
        <f>IF($M585="","",IF(ISNUMBER(Sync!$L585),IF(AND(Sync!$L585&gt;=10000101,Sync!$L585&lt;=99991231),RIGHT("0000"&amp;INT(Sync!$L585/10000),4)&amp;"/"&amp;RIGHT("00"&amp;INT(MOD(Sync!$L585,10000)/100),2)&amp;"/"&amp;RIGHT("00"&amp;MOD(Sync!$L585,100),2),""),IFERROR(RIGHT("0000"&amp;VALUE(TRIM(LEFT(Sync!$L585,FIND("/",Sync!$L585)-1))),4)&amp;"/"&amp;RIGHT("00"&amp;VALUE(TRIM(LEFT(MID(Sync!$L585,FIND("/",Sync!$L585)+1,20),FIND("/",MID(Sync!$L585,FIND("/",Sync!$L585)+1,20))-1))),2)&amp;"/"&amp;RIGHT("00"&amp;VALUE(TRIM(MID(MID(Sync!$L585,FIND("/",Sync!$L585)+1,20),FIND("/",MID(Sync!$L585,FIND("/",Sync!$L585)+1,20))+1,20))),2),"")))</f>
        <v/>
      </c>
    </row>
    <row r="586">
      <c r="M586">
        <f>IF(Sync!$M586&lt;&gt;"پاس چک","",IF(Sync!$P586="","",Sync!$P586))</f>
        <v/>
      </c>
      <c r="N586">
        <f>IF($M586="","",IF(ISNUMBER(Sync!$L586),IF(AND(Sync!$L586&gt;=10000101,Sync!$L586&lt;=99991231),RIGHT("0000"&amp;INT(Sync!$L586/10000),4)&amp;"/"&amp;RIGHT("00"&amp;INT(MOD(Sync!$L586,10000)/100),2)&amp;"/"&amp;RIGHT("00"&amp;MOD(Sync!$L586,100),2),""),IFERROR(RIGHT("0000"&amp;VALUE(TRIM(LEFT(Sync!$L586,FIND("/",Sync!$L586)-1))),4)&amp;"/"&amp;RIGHT("00"&amp;VALUE(TRIM(LEFT(MID(Sync!$L586,FIND("/",Sync!$L586)+1,20),FIND("/",MID(Sync!$L586,FIND("/",Sync!$L586)+1,20))-1))),2)&amp;"/"&amp;RIGHT("00"&amp;VALUE(TRIM(MID(MID(Sync!$L586,FIND("/",Sync!$L586)+1,20),FIND("/",MID(Sync!$L586,FIND("/",Sync!$L586)+1,20))+1,20))),2),"")))</f>
        <v/>
      </c>
    </row>
    <row r="587">
      <c r="M587">
        <f>IF(Sync!$M587&lt;&gt;"پاس چک","",IF(Sync!$P587="","",Sync!$P587))</f>
        <v/>
      </c>
      <c r="N587">
        <f>IF($M587="","",IF(ISNUMBER(Sync!$L587),IF(AND(Sync!$L587&gt;=10000101,Sync!$L587&lt;=99991231),RIGHT("0000"&amp;INT(Sync!$L587/10000),4)&amp;"/"&amp;RIGHT("00"&amp;INT(MOD(Sync!$L587,10000)/100),2)&amp;"/"&amp;RIGHT("00"&amp;MOD(Sync!$L587,100),2),""),IFERROR(RIGHT("0000"&amp;VALUE(TRIM(LEFT(Sync!$L587,FIND("/",Sync!$L587)-1))),4)&amp;"/"&amp;RIGHT("00"&amp;VALUE(TRIM(LEFT(MID(Sync!$L587,FIND("/",Sync!$L587)+1,20),FIND("/",MID(Sync!$L587,FIND("/",Sync!$L587)+1,20))-1))),2)&amp;"/"&amp;RIGHT("00"&amp;VALUE(TRIM(MID(MID(Sync!$L587,FIND("/",Sync!$L587)+1,20),FIND("/",MID(Sync!$L587,FIND("/",Sync!$L587)+1,20))+1,20))),2),"")))</f>
        <v/>
      </c>
    </row>
    <row r="588">
      <c r="M588">
        <f>IF(Sync!$M588&lt;&gt;"پاس چک","",IF(Sync!$P588="","",Sync!$P588))</f>
        <v/>
      </c>
      <c r="N588">
        <f>IF($M588="","",IF(ISNUMBER(Sync!$L588),IF(AND(Sync!$L588&gt;=10000101,Sync!$L588&lt;=99991231),RIGHT("0000"&amp;INT(Sync!$L588/10000),4)&amp;"/"&amp;RIGHT("00"&amp;INT(MOD(Sync!$L588,10000)/100),2)&amp;"/"&amp;RIGHT("00"&amp;MOD(Sync!$L588,100),2),""),IFERROR(RIGHT("0000"&amp;VALUE(TRIM(LEFT(Sync!$L588,FIND("/",Sync!$L588)-1))),4)&amp;"/"&amp;RIGHT("00"&amp;VALUE(TRIM(LEFT(MID(Sync!$L588,FIND("/",Sync!$L588)+1,20),FIND("/",MID(Sync!$L588,FIND("/",Sync!$L588)+1,20))-1))),2)&amp;"/"&amp;RIGHT("00"&amp;VALUE(TRIM(MID(MID(Sync!$L588,FIND("/",Sync!$L588)+1,20),FIND("/",MID(Sync!$L588,FIND("/",Sync!$L588)+1,20))+1,20))),2),"")))</f>
        <v/>
      </c>
    </row>
    <row r="589">
      <c r="M589">
        <f>IF(Sync!$M589&lt;&gt;"پاس چک","",IF(Sync!$P589="","",Sync!$P589))</f>
        <v/>
      </c>
      <c r="N589">
        <f>IF($M589="","",IF(ISNUMBER(Sync!$L589),IF(AND(Sync!$L589&gt;=10000101,Sync!$L589&lt;=99991231),RIGHT("0000"&amp;INT(Sync!$L589/10000),4)&amp;"/"&amp;RIGHT("00"&amp;INT(MOD(Sync!$L589,10000)/100),2)&amp;"/"&amp;RIGHT("00"&amp;MOD(Sync!$L589,100),2),""),IFERROR(RIGHT("0000"&amp;VALUE(TRIM(LEFT(Sync!$L589,FIND("/",Sync!$L589)-1))),4)&amp;"/"&amp;RIGHT("00"&amp;VALUE(TRIM(LEFT(MID(Sync!$L589,FIND("/",Sync!$L589)+1,20),FIND("/",MID(Sync!$L589,FIND("/",Sync!$L589)+1,20))-1))),2)&amp;"/"&amp;RIGHT("00"&amp;VALUE(TRIM(MID(MID(Sync!$L589,FIND("/",Sync!$L589)+1,20),FIND("/",MID(Sync!$L589,FIND("/",Sync!$L589)+1,20))+1,20))),2),"")))</f>
        <v/>
      </c>
    </row>
    <row r="590">
      <c r="M590">
        <f>IF(Sync!$M590&lt;&gt;"پاس چک","",IF(Sync!$P590="","",Sync!$P590))</f>
        <v/>
      </c>
      <c r="N590">
        <f>IF($M590="","",IF(ISNUMBER(Sync!$L590),IF(AND(Sync!$L590&gt;=10000101,Sync!$L590&lt;=99991231),RIGHT("0000"&amp;INT(Sync!$L590/10000),4)&amp;"/"&amp;RIGHT("00"&amp;INT(MOD(Sync!$L590,10000)/100),2)&amp;"/"&amp;RIGHT("00"&amp;MOD(Sync!$L590,100),2),""),IFERROR(RIGHT("0000"&amp;VALUE(TRIM(LEFT(Sync!$L590,FIND("/",Sync!$L590)-1))),4)&amp;"/"&amp;RIGHT("00"&amp;VALUE(TRIM(LEFT(MID(Sync!$L590,FIND("/",Sync!$L590)+1,20),FIND("/",MID(Sync!$L590,FIND("/",Sync!$L590)+1,20))-1))),2)&amp;"/"&amp;RIGHT("00"&amp;VALUE(TRIM(MID(MID(Sync!$L590,FIND("/",Sync!$L590)+1,20),FIND("/",MID(Sync!$L590,FIND("/",Sync!$L590)+1,20))+1,20))),2),"")))</f>
        <v/>
      </c>
    </row>
    <row r="591">
      <c r="M591">
        <f>IF(Sync!$M591&lt;&gt;"پاس چک","",IF(Sync!$P591="","",Sync!$P591))</f>
        <v/>
      </c>
      <c r="N591">
        <f>IF($M591="","",IF(ISNUMBER(Sync!$L591),IF(AND(Sync!$L591&gt;=10000101,Sync!$L591&lt;=99991231),RIGHT("0000"&amp;INT(Sync!$L591/10000),4)&amp;"/"&amp;RIGHT("00"&amp;INT(MOD(Sync!$L591,10000)/100),2)&amp;"/"&amp;RIGHT("00"&amp;MOD(Sync!$L591,100),2),""),IFERROR(RIGHT("0000"&amp;VALUE(TRIM(LEFT(Sync!$L591,FIND("/",Sync!$L591)-1))),4)&amp;"/"&amp;RIGHT("00"&amp;VALUE(TRIM(LEFT(MID(Sync!$L591,FIND("/",Sync!$L591)+1,20),FIND("/",MID(Sync!$L591,FIND("/",Sync!$L591)+1,20))-1))),2)&amp;"/"&amp;RIGHT("00"&amp;VALUE(TRIM(MID(MID(Sync!$L591,FIND("/",Sync!$L591)+1,20),FIND("/",MID(Sync!$L591,FIND("/",Sync!$L591)+1,20))+1,20))),2),"")))</f>
        <v/>
      </c>
    </row>
    <row r="592">
      <c r="M592">
        <f>IF(Sync!$M592&lt;&gt;"پاس چک","",IF(Sync!$P592="","",Sync!$P592))</f>
        <v/>
      </c>
      <c r="N592">
        <f>IF($M592="","",IF(ISNUMBER(Sync!$L592),IF(AND(Sync!$L592&gt;=10000101,Sync!$L592&lt;=99991231),RIGHT("0000"&amp;INT(Sync!$L592/10000),4)&amp;"/"&amp;RIGHT("00"&amp;INT(MOD(Sync!$L592,10000)/100),2)&amp;"/"&amp;RIGHT("00"&amp;MOD(Sync!$L592,100),2),""),IFERROR(RIGHT("0000"&amp;VALUE(TRIM(LEFT(Sync!$L592,FIND("/",Sync!$L592)-1))),4)&amp;"/"&amp;RIGHT("00"&amp;VALUE(TRIM(LEFT(MID(Sync!$L592,FIND("/",Sync!$L592)+1,20),FIND("/",MID(Sync!$L592,FIND("/",Sync!$L592)+1,20))-1))),2)&amp;"/"&amp;RIGHT("00"&amp;VALUE(TRIM(MID(MID(Sync!$L592,FIND("/",Sync!$L592)+1,20),FIND("/",MID(Sync!$L592,FIND("/",Sync!$L592)+1,20))+1,20))),2),"")))</f>
        <v/>
      </c>
    </row>
    <row r="593">
      <c r="M593">
        <f>IF(Sync!$M593&lt;&gt;"پاس چک","",IF(Sync!$P593="","",Sync!$P593))</f>
        <v/>
      </c>
      <c r="N593">
        <f>IF($M593="","",IF(ISNUMBER(Sync!$L593),IF(AND(Sync!$L593&gt;=10000101,Sync!$L593&lt;=99991231),RIGHT("0000"&amp;INT(Sync!$L593/10000),4)&amp;"/"&amp;RIGHT("00"&amp;INT(MOD(Sync!$L593,10000)/100),2)&amp;"/"&amp;RIGHT("00"&amp;MOD(Sync!$L593,100),2),""),IFERROR(RIGHT("0000"&amp;VALUE(TRIM(LEFT(Sync!$L593,FIND("/",Sync!$L593)-1))),4)&amp;"/"&amp;RIGHT("00"&amp;VALUE(TRIM(LEFT(MID(Sync!$L593,FIND("/",Sync!$L593)+1,20),FIND("/",MID(Sync!$L593,FIND("/",Sync!$L593)+1,20))-1))),2)&amp;"/"&amp;RIGHT("00"&amp;VALUE(TRIM(MID(MID(Sync!$L593,FIND("/",Sync!$L593)+1,20),FIND("/",MID(Sync!$L593,FIND("/",Sync!$L593)+1,20))+1,20))),2),"")))</f>
        <v/>
      </c>
    </row>
    <row r="594">
      <c r="M594">
        <f>IF(Sync!$M594&lt;&gt;"پاس چک","",IF(Sync!$P594="","",Sync!$P594))</f>
        <v/>
      </c>
      <c r="N594">
        <f>IF($M594="","",IF(ISNUMBER(Sync!$L594),IF(AND(Sync!$L594&gt;=10000101,Sync!$L594&lt;=99991231),RIGHT("0000"&amp;INT(Sync!$L594/10000),4)&amp;"/"&amp;RIGHT("00"&amp;INT(MOD(Sync!$L594,10000)/100),2)&amp;"/"&amp;RIGHT("00"&amp;MOD(Sync!$L594,100),2),""),IFERROR(RIGHT("0000"&amp;VALUE(TRIM(LEFT(Sync!$L594,FIND("/",Sync!$L594)-1))),4)&amp;"/"&amp;RIGHT("00"&amp;VALUE(TRIM(LEFT(MID(Sync!$L594,FIND("/",Sync!$L594)+1,20),FIND("/",MID(Sync!$L594,FIND("/",Sync!$L594)+1,20))-1))),2)&amp;"/"&amp;RIGHT("00"&amp;VALUE(TRIM(MID(MID(Sync!$L594,FIND("/",Sync!$L594)+1,20),FIND("/",MID(Sync!$L594,FIND("/",Sync!$L594)+1,20))+1,20))),2),"")))</f>
        <v/>
      </c>
    </row>
    <row r="595">
      <c r="M595">
        <f>IF(Sync!$M595&lt;&gt;"پاس چک","",IF(Sync!$P595="","",Sync!$P595))</f>
        <v/>
      </c>
      <c r="N595">
        <f>IF($M595="","",IF(ISNUMBER(Sync!$L595),IF(AND(Sync!$L595&gt;=10000101,Sync!$L595&lt;=99991231),RIGHT("0000"&amp;INT(Sync!$L595/10000),4)&amp;"/"&amp;RIGHT("00"&amp;INT(MOD(Sync!$L595,10000)/100),2)&amp;"/"&amp;RIGHT("00"&amp;MOD(Sync!$L595,100),2),""),IFERROR(RIGHT("0000"&amp;VALUE(TRIM(LEFT(Sync!$L595,FIND("/",Sync!$L595)-1))),4)&amp;"/"&amp;RIGHT("00"&amp;VALUE(TRIM(LEFT(MID(Sync!$L595,FIND("/",Sync!$L595)+1,20),FIND("/",MID(Sync!$L595,FIND("/",Sync!$L595)+1,20))-1))),2)&amp;"/"&amp;RIGHT("00"&amp;VALUE(TRIM(MID(MID(Sync!$L595,FIND("/",Sync!$L595)+1,20),FIND("/",MID(Sync!$L595,FIND("/",Sync!$L595)+1,20))+1,20))),2),"")))</f>
        <v/>
      </c>
    </row>
    <row r="596">
      <c r="M596">
        <f>IF(Sync!$M596&lt;&gt;"پاس چک","",IF(Sync!$P596="","",Sync!$P596))</f>
        <v/>
      </c>
      <c r="N596">
        <f>IF($M596="","",IF(ISNUMBER(Sync!$L596),IF(AND(Sync!$L596&gt;=10000101,Sync!$L596&lt;=99991231),RIGHT("0000"&amp;INT(Sync!$L596/10000),4)&amp;"/"&amp;RIGHT("00"&amp;INT(MOD(Sync!$L596,10000)/100),2)&amp;"/"&amp;RIGHT("00"&amp;MOD(Sync!$L596,100),2),""),IFERROR(RIGHT("0000"&amp;VALUE(TRIM(LEFT(Sync!$L596,FIND("/",Sync!$L596)-1))),4)&amp;"/"&amp;RIGHT("00"&amp;VALUE(TRIM(LEFT(MID(Sync!$L596,FIND("/",Sync!$L596)+1,20),FIND("/",MID(Sync!$L596,FIND("/",Sync!$L596)+1,20))-1))),2)&amp;"/"&amp;RIGHT("00"&amp;VALUE(TRIM(MID(MID(Sync!$L596,FIND("/",Sync!$L596)+1,20),FIND("/",MID(Sync!$L596,FIND("/",Sync!$L596)+1,20))+1,20))),2),"")))</f>
        <v/>
      </c>
    </row>
    <row r="597">
      <c r="M597">
        <f>IF(Sync!$M597&lt;&gt;"پاس چک","",IF(Sync!$P597="","",Sync!$P597))</f>
        <v/>
      </c>
      <c r="N597">
        <f>IF($M597="","",IF(ISNUMBER(Sync!$L597),IF(AND(Sync!$L597&gt;=10000101,Sync!$L597&lt;=99991231),RIGHT("0000"&amp;INT(Sync!$L597/10000),4)&amp;"/"&amp;RIGHT("00"&amp;INT(MOD(Sync!$L597,10000)/100),2)&amp;"/"&amp;RIGHT("00"&amp;MOD(Sync!$L597,100),2),""),IFERROR(RIGHT("0000"&amp;VALUE(TRIM(LEFT(Sync!$L597,FIND("/",Sync!$L597)-1))),4)&amp;"/"&amp;RIGHT("00"&amp;VALUE(TRIM(LEFT(MID(Sync!$L597,FIND("/",Sync!$L597)+1,20),FIND("/",MID(Sync!$L597,FIND("/",Sync!$L597)+1,20))-1))),2)&amp;"/"&amp;RIGHT("00"&amp;VALUE(TRIM(MID(MID(Sync!$L597,FIND("/",Sync!$L597)+1,20),FIND("/",MID(Sync!$L597,FIND("/",Sync!$L597)+1,20))+1,20))),2),"")))</f>
        <v/>
      </c>
    </row>
    <row r="598">
      <c r="M598">
        <f>IF(Sync!$M598&lt;&gt;"پاس چک","",IF(Sync!$P598="","",Sync!$P598))</f>
        <v/>
      </c>
      <c r="N598">
        <f>IF($M598="","",IF(ISNUMBER(Sync!$L598),IF(AND(Sync!$L598&gt;=10000101,Sync!$L598&lt;=99991231),RIGHT("0000"&amp;INT(Sync!$L598/10000),4)&amp;"/"&amp;RIGHT("00"&amp;INT(MOD(Sync!$L598,10000)/100),2)&amp;"/"&amp;RIGHT("00"&amp;MOD(Sync!$L598,100),2),""),IFERROR(RIGHT("0000"&amp;VALUE(TRIM(LEFT(Sync!$L598,FIND("/",Sync!$L598)-1))),4)&amp;"/"&amp;RIGHT("00"&amp;VALUE(TRIM(LEFT(MID(Sync!$L598,FIND("/",Sync!$L598)+1,20),FIND("/",MID(Sync!$L598,FIND("/",Sync!$L598)+1,20))-1))),2)&amp;"/"&amp;RIGHT("00"&amp;VALUE(TRIM(MID(MID(Sync!$L598,FIND("/",Sync!$L598)+1,20),FIND("/",MID(Sync!$L598,FIND("/",Sync!$L598)+1,20))+1,20))),2),"")))</f>
        <v/>
      </c>
    </row>
    <row r="599">
      <c r="M599">
        <f>IF(Sync!$M599&lt;&gt;"پاس چک","",IF(Sync!$P599="","",Sync!$P599))</f>
        <v/>
      </c>
      <c r="N599">
        <f>IF($M599="","",IF(ISNUMBER(Sync!$L599),IF(AND(Sync!$L599&gt;=10000101,Sync!$L599&lt;=99991231),RIGHT("0000"&amp;INT(Sync!$L599/10000),4)&amp;"/"&amp;RIGHT("00"&amp;INT(MOD(Sync!$L599,10000)/100),2)&amp;"/"&amp;RIGHT("00"&amp;MOD(Sync!$L599,100),2),""),IFERROR(RIGHT("0000"&amp;VALUE(TRIM(LEFT(Sync!$L599,FIND("/",Sync!$L599)-1))),4)&amp;"/"&amp;RIGHT("00"&amp;VALUE(TRIM(LEFT(MID(Sync!$L599,FIND("/",Sync!$L599)+1,20),FIND("/",MID(Sync!$L599,FIND("/",Sync!$L599)+1,20))-1))),2)&amp;"/"&amp;RIGHT("00"&amp;VALUE(TRIM(MID(MID(Sync!$L599,FIND("/",Sync!$L599)+1,20),FIND("/",MID(Sync!$L599,FIND("/",Sync!$L599)+1,20))+1,20))),2),"")))</f>
        <v/>
      </c>
    </row>
    <row r="600">
      <c r="M600">
        <f>IF(Sync!$M600&lt;&gt;"پاس چک","",IF(Sync!$P600="","",Sync!$P600))</f>
        <v/>
      </c>
      <c r="N600">
        <f>IF($M600="","",IF(ISNUMBER(Sync!$L600),IF(AND(Sync!$L600&gt;=10000101,Sync!$L600&lt;=99991231),RIGHT("0000"&amp;INT(Sync!$L600/10000),4)&amp;"/"&amp;RIGHT("00"&amp;INT(MOD(Sync!$L600,10000)/100),2)&amp;"/"&amp;RIGHT("00"&amp;MOD(Sync!$L600,100),2),""),IFERROR(RIGHT("0000"&amp;VALUE(TRIM(LEFT(Sync!$L600,FIND("/",Sync!$L600)-1))),4)&amp;"/"&amp;RIGHT("00"&amp;VALUE(TRIM(LEFT(MID(Sync!$L600,FIND("/",Sync!$L600)+1,20),FIND("/",MID(Sync!$L600,FIND("/",Sync!$L600)+1,20))-1))),2)&amp;"/"&amp;RIGHT("00"&amp;VALUE(TRIM(MID(MID(Sync!$L600,FIND("/",Sync!$L600)+1,20),FIND("/",MID(Sync!$L600,FIND("/",Sync!$L600)+1,20))+1,20))),2),"")))</f>
        <v/>
      </c>
    </row>
    <row r="601">
      <c r="M601">
        <f>IF(Sync!$M601&lt;&gt;"پاس چک","",IF(Sync!$P601="","",Sync!$P601))</f>
        <v/>
      </c>
      <c r="N601">
        <f>IF($M601="","",IF(ISNUMBER(Sync!$L601),IF(AND(Sync!$L601&gt;=10000101,Sync!$L601&lt;=99991231),RIGHT("0000"&amp;INT(Sync!$L601/10000),4)&amp;"/"&amp;RIGHT("00"&amp;INT(MOD(Sync!$L601,10000)/100),2)&amp;"/"&amp;RIGHT("00"&amp;MOD(Sync!$L601,100),2),""),IFERROR(RIGHT("0000"&amp;VALUE(TRIM(LEFT(Sync!$L601,FIND("/",Sync!$L601)-1))),4)&amp;"/"&amp;RIGHT("00"&amp;VALUE(TRIM(LEFT(MID(Sync!$L601,FIND("/",Sync!$L601)+1,20),FIND("/",MID(Sync!$L601,FIND("/",Sync!$L601)+1,20))-1))),2)&amp;"/"&amp;RIGHT("00"&amp;VALUE(TRIM(MID(MID(Sync!$L601,FIND("/",Sync!$L601)+1,20),FIND("/",MID(Sync!$L601,FIND("/",Sync!$L601)+1,20))+1,20))),2),"")))</f>
        <v/>
      </c>
    </row>
    <row r="602">
      <c r="M602">
        <f>IF(Sync!$M602&lt;&gt;"پاس چک","",IF(Sync!$P602="","",Sync!$P602))</f>
        <v/>
      </c>
      <c r="N602">
        <f>IF($M602="","",IF(ISNUMBER(Sync!$L602),IF(AND(Sync!$L602&gt;=10000101,Sync!$L602&lt;=99991231),RIGHT("0000"&amp;INT(Sync!$L602/10000),4)&amp;"/"&amp;RIGHT("00"&amp;INT(MOD(Sync!$L602,10000)/100),2)&amp;"/"&amp;RIGHT("00"&amp;MOD(Sync!$L602,100),2),""),IFERROR(RIGHT("0000"&amp;VALUE(TRIM(LEFT(Sync!$L602,FIND("/",Sync!$L602)-1))),4)&amp;"/"&amp;RIGHT("00"&amp;VALUE(TRIM(LEFT(MID(Sync!$L602,FIND("/",Sync!$L602)+1,20),FIND("/",MID(Sync!$L602,FIND("/",Sync!$L602)+1,20))-1))),2)&amp;"/"&amp;RIGHT("00"&amp;VALUE(TRIM(MID(MID(Sync!$L602,FIND("/",Sync!$L602)+1,20),FIND("/",MID(Sync!$L602,FIND("/",Sync!$L602)+1,20))+1,20))),2),"")))</f>
        <v/>
      </c>
    </row>
    <row r="603">
      <c r="M603">
        <f>IF(Sync!$M603&lt;&gt;"پاس چک","",IF(Sync!$P603="","",Sync!$P603))</f>
        <v/>
      </c>
      <c r="N603">
        <f>IF($M603="","",IF(ISNUMBER(Sync!$L603),IF(AND(Sync!$L603&gt;=10000101,Sync!$L603&lt;=99991231),RIGHT("0000"&amp;INT(Sync!$L603/10000),4)&amp;"/"&amp;RIGHT("00"&amp;INT(MOD(Sync!$L603,10000)/100),2)&amp;"/"&amp;RIGHT("00"&amp;MOD(Sync!$L603,100),2),""),IFERROR(RIGHT("0000"&amp;VALUE(TRIM(LEFT(Sync!$L603,FIND("/",Sync!$L603)-1))),4)&amp;"/"&amp;RIGHT("00"&amp;VALUE(TRIM(LEFT(MID(Sync!$L603,FIND("/",Sync!$L603)+1,20),FIND("/",MID(Sync!$L603,FIND("/",Sync!$L603)+1,20))-1))),2)&amp;"/"&amp;RIGHT("00"&amp;VALUE(TRIM(MID(MID(Sync!$L603,FIND("/",Sync!$L603)+1,20),FIND("/",MID(Sync!$L603,FIND("/",Sync!$L603)+1,20))+1,20))),2),"")))</f>
        <v/>
      </c>
    </row>
    <row r="604">
      <c r="M604">
        <f>IF(Sync!$M604&lt;&gt;"پاس چک","",IF(Sync!$P604="","",Sync!$P604))</f>
        <v/>
      </c>
      <c r="N604">
        <f>IF($M604="","",IF(ISNUMBER(Sync!$L604),IF(AND(Sync!$L604&gt;=10000101,Sync!$L604&lt;=99991231),RIGHT("0000"&amp;INT(Sync!$L604/10000),4)&amp;"/"&amp;RIGHT("00"&amp;INT(MOD(Sync!$L604,10000)/100),2)&amp;"/"&amp;RIGHT("00"&amp;MOD(Sync!$L604,100),2),""),IFERROR(RIGHT("0000"&amp;VALUE(TRIM(LEFT(Sync!$L604,FIND("/",Sync!$L604)-1))),4)&amp;"/"&amp;RIGHT("00"&amp;VALUE(TRIM(LEFT(MID(Sync!$L604,FIND("/",Sync!$L604)+1,20),FIND("/",MID(Sync!$L604,FIND("/",Sync!$L604)+1,20))-1))),2)&amp;"/"&amp;RIGHT("00"&amp;VALUE(TRIM(MID(MID(Sync!$L604,FIND("/",Sync!$L604)+1,20),FIND("/",MID(Sync!$L604,FIND("/",Sync!$L604)+1,20))+1,20))),2),"")))</f>
        <v/>
      </c>
    </row>
    <row r="605">
      <c r="M605">
        <f>IF(Sync!$M605&lt;&gt;"پاس چک","",IF(Sync!$P605="","",Sync!$P605))</f>
        <v/>
      </c>
      <c r="N605">
        <f>IF($M605="","",IF(ISNUMBER(Sync!$L605),IF(AND(Sync!$L605&gt;=10000101,Sync!$L605&lt;=99991231),RIGHT("0000"&amp;INT(Sync!$L605/10000),4)&amp;"/"&amp;RIGHT("00"&amp;INT(MOD(Sync!$L605,10000)/100),2)&amp;"/"&amp;RIGHT("00"&amp;MOD(Sync!$L605,100),2),""),IFERROR(RIGHT("0000"&amp;VALUE(TRIM(LEFT(Sync!$L605,FIND("/",Sync!$L605)-1))),4)&amp;"/"&amp;RIGHT("00"&amp;VALUE(TRIM(LEFT(MID(Sync!$L605,FIND("/",Sync!$L605)+1,20),FIND("/",MID(Sync!$L605,FIND("/",Sync!$L605)+1,20))-1))),2)&amp;"/"&amp;RIGHT("00"&amp;VALUE(TRIM(MID(MID(Sync!$L605,FIND("/",Sync!$L605)+1,20),FIND("/",MID(Sync!$L605,FIND("/",Sync!$L605)+1,20))+1,20))),2),"")))</f>
        <v/>
      </c>
    </row>
    <row r="606">
      <c r="M606">
        <f>IF(Sync!$M606&lt;&gt;"پاس چک","",IF(Sync!$P606="","",Sync!$P606))</f>
        <v/>
      </c>
      <c r="N606">
        <f>IF($M606="","",IF(ISNUMBER(Sync!$L606),IF(AND(Sync!$L606&gt;=10000101,Sync!$L606&lt;=99991231),RIGHT("0000"&amp;INT(Sync!$L606/10000),4)&amp;"/"&amp;RIGHT("00"&amp;INT(MOD(Sync!$L606,10000)/100),2)&amp;"/"&amp;RIGHT("00"&amp;MOD(Sync!$L606,100),2),""),IFERROR(RIGHT("0000"&amp;VALUE(TRIM(LEFT(Sync!$L606,FIND("/",Sync!$L606)-1))),4)&amp;"/"&amp;RIGHT("00"&amp;VALUE(TRIM(LEFT(MID(Sync!$L606,FIND("/",Sync!$L606)+1,20),FIND("/",MID(Sync!$L606,FIND("/",Sync!$L606)+1,20))-1))),2)&amp;"/"&amp;RIGHT("00"&amp;VALUE(TRIM(MID(MID(Sync!$L606,FIND("/",Sync!$L606)+1,20),FIND("/",MID(Sync!$L606,FIND("/",Sync!$L606)+1,20))+1,20))),2),"")))</f>
        <v/>
      </c>
    </row>
    <row r="607">
      <c r="M607">
        <f>IF(Sync!$M607&lt;&gt;"پاس چک","",IF(Sync!$P607="","",Sync!$P607))</f>
        <v/>
      </c>
      <c r="N607">
        <f>IF($M607="","",IF(ISNUMBER(Sync!$L607),IF(AND(Sync!$L607&gt;=10000101,Sync!$L607&lt;=99991231),RIGHT("0000"&amp;INT(Sync!$L607/10000),4)&amp;"/"&amp;RIGHT("00"&amp;INT(MOD(Sync!$L607,10000)/100),2)&amp;"/"&amp;RIGHT("00"&amp;MOD(Sync!$L607,100),2),""),IFERROR(RIGHT("0000"&amp;VALUE(TRIM(LEFT(Sync!$L607,FIND("/",Sync!$L607)-1))),4)&amp;"/"&amp;RIGHT("00"&amp;VALUE(TRIM(LEFT(MID(Sync!$L607,FIND("/",Sync!$L607)+1,20),FIND("/",MID(Sync!$L607,FIND("/",Sync!$L607)+1,20))-1))),2)&amp;"/"&amp;RIGHT("00"&amp;VALUE(TRIM(MID(MID(Sync!$L607,FIND("/",Sync!$L607)+1,20),FIND("/",MID(Sync!$L607,FIND("/",Sync!$L607)+1,20))+1,20))),2),"")))</f>
        <v/>
      </c>
    </row>
    <row r="608">
      <c r="M608">
        <f>IF(Sync!$M608&lt;&gt;"پاس چک","",IF(Sync!$P608="","",Sync!$P608))</f>
        <v/>
      </c>
      <c r="N608">
        <f>IF($M608="","",IF(ISNUMBER(Sync!$L608),IF(AND(Sync!$L608&gt;=10000101,Sync!$L608&lt;=99991231),RIGHT("0000"&amp;INT(Sync!$L608/10000),4)&amp;"/"&amp;RIGHT("00"&amp;INT(MOD(Sync!$L608,10000)/100),2)&amp;"/"&amp;RIGHT("00"&amp;MOD(Sync!$L608,100),2),""),IFERROR(RIGHT("0000"&amp;VALUE(TRIM(LEFT(Sync!$L608,FIND("/",Sync!$L608)-1))),4)&amp;"/"&amp;RIGHT("00"&amp;VALUE(TRIM(LEFT(MID(Sync!$L608,FIND("/",Sync!$L608)+1,20),FIND("/",MID(Sync!$L608,FIND("/",Sync!$L608)+1,20))-1))),2)&amp;"/"&amp;RIGHT("00"&amp;VALUE(TRIM(MID(MID(Sync!$L608,FIND("/",Sync!$L608)+1,20),FIND("/",MID(Sync!$L608,FIND("/",Sync!$L608)+1,20))+1,20))),2),"")))</f>
        <v/>
      </c>
    </row>
    <row r="609">
      <c r="M609">
        <f>IF(Sync!$M609&lt;&gt;"پاس چک","",IF(Sync!$P609="","",Sync!$P609))</f>
        <v/>
      </c>
      <c r="N609">
        <f>IF($M609="","",IF(ISNUMBER(Sync!$L609),IF(AND(Sync!$L609&gt;=10000101,Sync!$L609&lt;=99991231),RIGHT("0000"&amp;INT(Sync!$L609/10000),4)&amp;"/"&amp;RIGHT("00"&amp;INT(MOD(Sync!$L609,10000)/100),2)&amp;"/"&amp;RIGHT("00"&amp;MOD(Sync!$L609,100),2),""),IFERROR(RIGHT("0000"&amp;VALUE(TRIM(LEFT(Sync!$L609,FIND("/",Sync!$L609)-1))),4)&amp;"/"&amp;RIGHT("00"&amp;VALUE(TRIM(LEFT(MID(Sync!$L609,FIND("/",Sync!$L609)+1,20),FIND("/",MID(Sync!$L609,FIND("/",Sync!$L609)+1,20))-1))),2)&amp;"/"&amp;RIGHT("00"&amp;VALUE(TRIM(MID(MID(Sync!$L609,FIND("/",Sync!$L609)+1,20),FIND("/",MID(Sync!$L609,FIND("/",Sync!$L609)+1,20))+1,20))),2),"")))</f>
        <v/>
      </c>
    </row>
    <row r="610">
      <c r="M610">
        <f>IF(Sync!$M610&lt;&gt;"پاس چک","",IF(Sync!$P610="","",Sync!$P610))</f>
        <v/>
      </c>
      <c r="N610">
        <f>IF($M610="","",IF(ISNUMBER(Sync!$L610),IF(AND(Sync!$L610&gt;=10000101,Sync!$L610&lt;=99991231),RIGHT("0000"&amp;INT(Sync!$L610/10000),4)&amp;"/"&amp;RIGHT("00"&amp;INT(MOD(Sync!$L610,10000)/100),2)&amp;"/"&amp;RIGHT("00"&amp;MOD(Sync!$L610,100),2),""),IFERROR(RIGHT("0000"&amp;VALUE(TRIM(LEFT(Sync!$L610,FIND("/",Sync!$L610)-1))),4)&amp;"/"&amp;RIGHT("00"&amp;VALUE(TRIM(LEFT(MID(Sync!$L610,FIND("/",Sync!$L610)+1,20),FIND("/",MID(Sync!$L610,FIND("/",Sync!$L610)+1,20))-1))),2)&amp;"/"&amp;RIGHT("00"&amp;VALUE(TRIM(MID(MID(Sync!$L610,FIND("/",Sync!$L610)+1,20),FIND("/",MID(Sync!$L610,FIND("/",Sync!$L610)+1,20))+1,20))),2),"")))</f>
        <v/>
      </c>
    </row>
    <row r="611">
      <c r="M611">
        <f>IF(Sync!$M611&lt;&gt;"پاس چک","",IF(Sync!$P611="","",Sync!$P611))</f>
        <v/>
      </c>
      <c r="N611">
        <f>IF($M611="","",IF(ISNUMBER(Sync!$L611),IF(AND(Sync!$L611&gt;=10000101,Sync!$L611&lt;=99991231),RIGHT("0000"&amp;INT(Sync!$L611/10000),4)&amp;"/"&amp;RIGHT("00"&amp;INT(MOD(Sync!$L611,10000)/100),2)&amp;"/"&amp;RIGHT("00"&amp;MOD(Sync!$L611,100),2),""),IFERROR(RIGHT("0000"&amp;VALUE(TRIM(LEFT(Sync!$L611,FIND("/",Sync!$L611)-1))),4)&amp;"/"&amp;RIGHT("00"&amp;VALUE(TRIM(LEFT(MID(Sync!$L611,FIND("/",Sync!$L611)+1,20),FIND("/",MID(Sync!$L611,FIND("/",Sync!$L611)+1,20))-1))),2)&amp;"/"&amp;RIGHT("00"&amp;VALUE(TRIM(MID(MID(Sync!$L611,FIND("/",Sync!$L611)+1,20),FIND("/",MID(Sync!$L611,FIND("/",Sync!$L611)+1,20))+1,20))),2),"")))</f>
        <v/>
      </c>
    </row>
    <row r="612">
      <c r="M612">
        <f>IF(Sync!$M612&lt;&gt;"پاس چک","",IF(Sync!$P612="","",Sync!$P612))</f>
        <v/>
      </c>
      <c r="N612">
        <f>IF($M612="","",IF(ISNUMBER(Sync!$L612),IF(AND(Sync!$L612&gt;=10000101,Sync!$L612&lt;=99991231),RIGHT("0000"&amp;INT(Sync!$L612/10000),4)&amp;"/"&amp;RIGHT("00"&amp;INT(MOD(Sync!$L612,10000)/100),2)&amp;"/"&amp;RIGHT("00"&amp;MOD(Sync!$L612,100),2),""),IFERROR(RIGHT("0000"&amp;VALUE(TRIM(LEFT(Sync!$L612,FIND("/",Sync!$L612)-1))),4)&amp;"/"&amp;RIGHT("00"&amp;VALUE(TRIM(LEFT(MID(Sync!$L612,FIND("/",Sync!$L612)+1,20),FIND("/",MID(Sync!$L612,FIND("/",Sync!$L612)+1,20))-1))),2)&amp;"/"&amp;RIGHT("00"&amp;VALUE(TRIM(MID(MID(Sync!$L612,FIND("/",Sync!$L612)+1,20),FIND("/",MID(Sync!$L612,FIND("/",Sync!$L612)+1,20))+1,20))),2),"")))</f>
        <v/>
      </c>
    </row>
    <row r="613">
      <c r="M613">
        <f>IF(Sync!$M613&lt;&gt;"پاس چک","",IF(Sync!$P613="","",Sync!$P613))</f>
        <v/>
      </c>
      <c r="N613">
        <f>IF($M613="","",IF(ISNUMBER(Sync!$L613),IF(AND(Sync!$L613&gt;=10000101,Sync!$L613&lt;=99991231),RIGHT("0000"&amp;INT(Sync!$L613/10000),4)&amp;"/"&amp;RIGHT("00"&amp;INT(MOD(Sync!$L613,10000)/100),2)&amp;"/"&amp;RIGHT("00"&amp;MOD(Sync!$L613,100),2),""),IFERROR(RIGHT("0000"&amp;VALUE(TRIM(LEFT(Sync!$L613,FIND("/",Sync!$L613)-1))),4)&amp;"/"&amp;RIGHT("00"&amp;VALUE(TRIM(LEFT(MID(Sync!$L613,FIND("/",Sync!$L613)+1,20),FIND("/",MID(Sync!$L613,FIND("/",Sync!$L613)+1,20))-1))),2)&amp;"/"&amp;RIGHT("00"&amp;VALUE(TRIM(MID(MID(Sync!$L613,FIND("/",Sync!$L613)+1,20),FIND("/",MID(Sync!$L613,FIND("/",Sync!$L613)+1,20))+1,20))),2),"")))</f>
        <v/>
      </c>
    </row>
    <row r="614">
      <c r="M614">
        <f>IF(Sync!$M614&lt;&gt;"پاس چک","",IF(Sync!$P614="","",Sync!$P614))</f>
        <v/>
      </c>
      <c r="N614">
        <f>IF($M614="","",IF(ISNUMBER(Sync!$L614),IF(AND(Sync!$L614&gt;=10000101,Sync!$L614&lt;=99991231),RIGHT("0000"&amp;INT(Sync!$L614/10000),4)&amp;"/"&amp;RIGHT("00"&amp;INT(MOD(Sync!$L614,10000)/100),2)&amp;"/"&amp;RIGHT("00"&amp;MOD(Sync!$L614,100),2),""),IFERROR(RIGHT("0000"&amp;VALUE(TRIM(LEFT(Sync!$L614,FIND("/",Sync!$L614)-1))),4)&amp;"/"&amp;RIGHT("00"&amp;VALUE(TRIM(LEFT(MID(Sync!$L614,FIND("/",Sync!$L614)+1,20),FIND("/",MID(Sync!$L614,FIND("/",Sync!$L614)+1,20))-1))),2)&amp;"/"&amp;RIGHT("00"&amp;VALUE(TRIM(MID(MID(Sync!$L614,FIND("/",Sync!$L614)+1,20),FIND("/",MID(Sync!$L614,FIND("/",Sync!$L614)+1,20))+1,20))),2),"")))</f>
        <v/>
      </c>
    </row>
    <row r="615">
      <c r="M615">
        <f>IF(Sync!$M615&lt;&gt;"پاس چک","",IF(Sync!$P615="","",Sync!$P615))</f>
        <v/>
      </c>
      <c r="N615">
        <f>IF($M615="","",IF(ISNUMBER(Sync!$L615),IF(AND(Sync!$L615&gt;=10000101,Sync!$L615&lt;=99991231),RIGHT("0000"&amp;INT(Sync!$L615/10000),4)&amp;"/"&amp;RIGHT("00"&amp;INT(MOD(Sync!$L615,10000)/100),2)&amp;"/"&amp;RIGHT("00"&amp;MOD(Sync!$L615,100),2),""),IFERROR(RIGHT("0000"&amp;VALUE(TRIM(LEFT(Sync!$L615,FIND("/",Sync!$L615)-1))),4)&amp;"/"&amp;RIGHT("00"&amp;VALUE(TRIM(LEFT(MID(Sync!$L615,FIND("/",Sync!$L615)+1,20),FIND("/",MID(Sync!$L615,FIND("/",Sync!$L615)+1,20))-1))),2)&amp;"/"&amp;RIGHT("00"&amp;VALUE(TRIM(MID(MID(Sync!$L615,FIND("/",Sync!$L615)+1,20),FIND("/",MID(Sync!$L615,FIND("/",Sync!$L615)+1,20))+1,20))),2),"")))</f>
        <v/>
      </c>
    </row>
    <row r="616">
      <c r="M616">
        <f>IF(Sync!$M616&lt;&gt;"پاس چک","",IF(Sync!$P616="","",Sync!$P616))</f>
        <v/>
      </c>
      <c r="N616">
        <f>IF($M616="","",IF(ISNUMBER(Sync!$L616),IF(AND(Sync!$L616&gt;=10000101,Sync!$L616&lt;=99991231),RIGHT("0000"&amp;INT(Sync!$L616/10000),4)&amp;"/"&amp;RIGHT("00"&amp;INT(MOD(Sync!$L616,10000)/100),2)&amp;"/"&amp;RIGHT("00"&amp;MOD(Sync!$L616,100),2),""),IFERROR(RIGHT("0000"&amp;VALUE(TRIM(LEFT(Sync!$L616,FIND("/",Sync!$L616)-1))),4)&amp;"/"&amp;RIGHT("00"&amp;VALUE(TRIM(LEFT(MID(Sync!$L616,FIND("/",Sync!$L616)+1,20),FIND("/",MID(Sync!$L616,FIND("/",Sync!$L616)+1,20))-1))),2)&amp;"/"&amp;RIGHT("00"&amp;VALUE(TRIM(MID(MID(Sync!$L616,FIND("/",Sync!$L616)+1,20),FIND("/",MID(Sync!$L616,FIND("/",Sync!$L616)+1,20))+1,20))),2),"")))</f>
        <v/>
      </c>
    </row>
    <row r="617">
      <c r="M617">
        <f>IF(Sync!$M617&lt;&gt;"پاس چک","",IF(Sync!$P617="","",Sync!$P617))</f>
        <v/>
      </c>
      <c r="N617">
        <f>IF($M617="","",IF(ISNUMBER(Sync!$L617),IF(AND(Sync!$L617&gt;=10000101,Sync!$L617&lt;=99991231),RIGHT("0000"&amp;INT(Sync!$L617/10000),4)&amp;"/"&amp;RIGHT("00"&amp;INT(MOD(Sync!$L617,10000)/100),2)&amp;"/"&amp;RIGHT("00"&amp;MOD(Sync!$L617,100),2),""),IFERROR(RIGHT("0000"&amp;VALUE(TRIM(LEFT(Sync!$L617,FIND("/",Sync!$L617)-1))),4)&amp;"/"&amp;RIGHT("00"&amp;VALUE(TRIM(LEFT(MID(Sync!$L617,FIND("/",Sync!$L617)+1,20),FIND("/",MID(Sync!$L617,FIND("/",Sync!$L617)+1,20))-1))),2)&amp;"/"&amp;RIGHT("00"&amp;VALUE(TRIM(MID(MID(Sync!$L617,FIND("/",Sync!$L617)+1,20),FIND("/",MID(Sync!$L617,FIND("/",Sync!$L617)+1,20))+1,20))),2),"")))</f>
        <v/>
      </c>
    </row>
    <row r="618">
      <c r="M618">
        <f>IF(Sync!$M618&lt;&gt;"پاس چک","",IF(Sync!$P618="","",Sync!$P618))</f>
        <v/>
      </c>
      <c r="N618">
        <f>IF($M618="","",IF(ISNUMBER(Sync!$L618),IF(AND(Sync!$L618&gt;=10000101,Sync!$L618&lt;=99991231),RIGHT("0000"&amp;INT(Sync!$L618/10000),4)&amp;"/"&amp;RIGHT("00"&amp;INT(MOD(Sync!$L618,10000)/100),2)&amp;"/"&amp;RIGHT("00"&amp;MOD(Sync!$L618,100),2),""),IFERROR(RIGHT("0000"&amp;VALUE(TRIM(LEFT(Sync!$L618,FIND("/",Sync!$L618)-1))),4)&amp;"/"&amp;RIGHT("00"&amp;VALUE(TRIM(LEFT(MID(Sync!$L618,FIND("/",Sync!$L618)+1,20),FIND("/",MID(Sync!$L618,FIND("/",Sync!$L618)+1,20))-1))),2)&amp;"/"&amp;RIGHT("00"&amp;VALUE(TRIM(MID(MID(Sync!$L618,FIND("/",Sync!$L618)+1,20),FIND("/",MID(Sync!$L618,FIND("/",Sync!$L618)+1,20))+1,20))),2),"")))</f>
        <v/>
      </c>
    </row>
    <row r="619">
      <c r="M619">
        <f>IF(Sync!$M619&lt;&gt;"پاس چک","",IF(Sync!$P619="","",Sync!$P619))</f>
        <v/>
      </c>
      <c r="N619">
        <f>IF($M619="","",IF(ISNUMBER(Sync!$L619),IF(AND(Sync!$L619&gt;=10000101,Sync!$L619&lt;=99991231),RIGHT("0000"&amp;INT(Sync!$L619/10000),4)&amp;"/"&amp;RIGHT("00"&amp;INT(MOD(Sync!$L619,10000)/100),2)&amp;"/"&amp;RIGHT("00"&amp;MOD(Sync!$L619,100),2),""),IFERROR(RIGHT("0000"&amp;VALUE(TRIM(LEFT(Sync!$L619,FIND("/",Sync!$L619)-1))),4)&amp;"/"&amp;RIGHT("00"&amp;VALUE(TRIM(LEFT(MID(Sync!$L619,FIND("/",Sync!$L619)+1,20),FIND("/",MID(Sync!$L619,FIND("/",Sync!$L619)+1,20))-1))),2)&amp;"/"&amp;RIGHT("00"&amp;VALUE(TRIM(MID(MID(Sync!$L619,FIND("/",Sync!$L619)+1,20),FIND("/",MID(Sync!$L619,FIND("/",Sync!$L619)+1,20))+1,20))),2),"")))</f>
        <v/>
      </c>
    </row>
    <row r="620">
      <c r="M620">
        <f>IF(Sync!$M620&lt;&gt;"پاس چک","",IF(Sync!$P620="","",Sync!$P620))</f>
        <v/>
      </c>
      <c r="N620">
        <f>IF($M620="","",IF(ISNUMBER(Sync!$L620),IF(AND(Sync!$L620&gt;=10000101,Sync!$L620&lt;=99991231),RIGHT("0000"&amp;INT(Sync!$L620/10000),4)&amp;"/"&amp;RIGHT("00"&amp;INT(MOD(Sync!$L620,10000)/100),2)&amp;"/"&amp;RIGHT("00"&amp;MOD(Sync!$L620,100),2),""),IFERROR(RIGHT("0000"&amp;VALUE(TRIM(LEFT(Sync!$L620,FIND("/",Sync!$L620)-1))),4)&amp;"/"&amp;RIGHT("00"&amp;VALUE(TRIM(LEFT(MID(Sync!$L620,FIND("/",Sync!$L620)+1,20),FIND("/",MID(Sync!$L620,FIND("/",Sync!$L620)+1,20))-1))),2)&amp;"/"&amp;RIGHT("00"&amp;VALUE(TRIM(MID(MID(Sync!$L620,FIND("/",Sync!$L620)+1,20),FIND("/",MID(Sync!$L620,FIND("/",Sync!$L620)+1,20))+1,20))),2),"")))</f>
        <v/>
      </c>
    </row>
    <row r="621">
      <c r="M621">
        <f>IF(Sync!$M621&lt;&gt;"پاس چک","",IF(Sync!$P621="","",Sync!$P621))</f>
        <v/>
      </c>
      <c r="N621">
        <f>IF($M621="","",IF(ISNUMBER(Sync!$L621),IF(AND(Sync!$L621&gt;=10000101,Sync!$L621&lt;=99991231),RIGHT("0000"&amp;INT(Sync!$L621/10000),4)&amp;"/"&amp;RIGHT("00"&amp;INT(MOD(Sync!$L621,10000)/100),2)&amp;"/"&amp;RIGHT("00"&amp;MOD(Sync!$L621,100),2),""),IFERROR(RIGHT("0000"&amp;VALUE(TRIM(LEFT(Sync!$L621,FIND("/",Sync!$L621)-1))),4)&amp;"/"&amp;RIGHT("00"&amp;VALUE(TRIM(LEFT(MID(Sync!$L621,FIND("/",Sync!$L621)+1,20),FIND("/",MID(Sync!$L621,FIND("/",Sync!$L621)+1,20))-1))),2)&amp;"/"&amp;RIGHT("00"&amp;VALUE(TRIM(MID(MID(Sync!$L621,FIND("/",Sync!$L621)+1,20),FIND("/",MID(Sync!$L621,FIND("/",Sync!$L621)+1,20))+1,20))),2),"")))</f>
        <v/>
      </c>
    </row>
    <row r="622">
      <c r="M622">
        <f>IF(Sync!$M622&lt;&gt;"پاس چک","",IF(Sync!$P622="","",Sync!$P622))</f>
        <v/>
      </c>
      <c r="N622">
        <f>IF($M622="","",IF(ISNUMBER(Sync!$L622),IF(AND(Sync!$L622&gt;=10000101,Sync!$L622&lt;=99991231),RIGHT("0000"&amp;INT(Sync!$L622/10000),4)&amp;"/"&amp;RIGHT("00"&amp;INT(MOD(Sync!$L622,10000)/100),2)&amp;"/"&amp;RIGHT("00"&amp;MOD(Sync!$L622,100),2),""),IFERROR(RIGHT("0000"&amp;VALUE(TRIM(LEFT(Sync!$L622,FIND("/",Sync!$L622)-1))),4)&amp;"/"&amp;RIGHT("00"&amp;VALUE(TRIM(LEFT(MID(Sync!$L622,FIND("/",Sync!$L622)+1,20),FIND("/",MID(Sync!$L622,FIND("/",Sync!$L622)+1,20))-1))),2)&amp;"/"&amp;RIGHT("00"&amp;VALUE(TRIM(MID(MID(Sync!$L622,FIND("/",Sync!$L622)+1,20),FIND("/",MID(Sync!$L622,FIND("/",Sync!$L622)+1,20))+1,20))),2),"")))</f>
        <v/>
      </c>
    </row>
    <row r="623">
      <c r="M623">
        <f>IF(Sync!$M623&lt;&gt;"پاس چک","",IF(Sync!$P623="","",Sync!$P623))</f>
        <v/>
      </c>
      <c r="N623">
        <f>IF($M623="","",IF(ISNUMBER(Sync!$L623),IF(AND(Sync!$L623&gt;=10000101,Sync!$L623&lt;=99991231),RIGHT("0000"&amp;INT(Sync!$L623/10000),4)&amp;"/"&amp;RIGHT("00"&amp;INT(MOD(Sync!$L623,10000)/100),2)&amp;"/"&amp;RIGHT("00"&amp;MOD(Sync!$L623,100),2),""),IFERROR(RIGHT("0000"&amp;VALUE(TRIM(LEFT(Sync!$L623,FIND("/",Sync!$L623)-1))),4)&amp;"/"&amp;RIGHT("00"&amp;VALUE(TRIM(LEFT(MID(Sync!$L623,FIND("/",Sync!$L623)+1,20),FIND("/",MID(Sync!$L623,FIND("/",Sync!$L623)+1,20))-1))),2)&amp;"/"&amp;RIGHT("00"&amp;VALUE(TRIM(MID(MID(Sync!$L623,FIND("/",Sync!$L623)+1,20),FIND("/",MID(Sync!$L623,FIND("/",Sync!$L623)+1,20))+1,20))),2),"")))</f>
        <v/>
      </c>
    </row>
    <row r="624">
      <c r="M624">
        <f>IF(Sync!$M624&lt;&gt;"پاس چک","",IF(Sync!$P624="","",Sync!$P624))</f>
        <v/>
      </c>
      <c r="N624">
        <f>IF($M624="","",IF(ISNUMBER(Sync!$L624),IF(AND(Sync!$L624&gt;=10000101,Sync!$L624&lt;=99991231),RIGHT("0000"&amp;INT(Sync!$L624/10000),4)&amp;"/"&amp;RIGHT("00"&amp;INT(MOD(Sync!$L624,10000)/100),2)&amp;"/"&amp;RIGHT("00"&amp;MOD(Sync!$L624,100),2),""),IFERROR(RIGHT("0000"&amp;VALUE(TRIM(LEFT(Sync!$L624,FIND("/",Sync!$L624)-1))),4)&amp;"/"&amp;RIGHT("00"&amp;VALUE(TRIM(LEFT(MID(Sync!$L624,FIND("/",Sync!$L624)+1,20),FIND("/",MID(Sync!$L624,FIND("/",Sync!$L624)+1,20))-1))),2)&amp;"/"&amp;RIGHT("00"&amp;VALUE(TRIM(MID(MID(Sync!$L624,FIND("/",Sync!$L624)+1,20),FIND("/",MID(Sync!$L624,FIND("/",Sync!$L624)+1,20))+1,20))),2),"")))</f>
        <v/>
      </c>
    </row>
    <row r="625">
      <c r="M625">
        <f>IF(Sync!$M625&lt;&gt;"پاس چک","",IF(Sync!$P625="","",Sync!$P625))</f>
        <v/>
      </c>
      <c r="N625">
        <f>IF($M625="","",IF(ISNUMBER(Sync!$L625),IF(AND(Sync!$L625&gt;=10000101,Sync!$L625&lt;=99991231),RIGHT("0000"&amp;INT(Sync!$L625/10000),4)&amp;"/"&amp;RIGHT("00"&amp;INT(MOD(Sync!$L625,10000)/100),2)&amp;"/"&amp;RIGHT("00"&amp;MOD(Sync!$L625,100),2),""),IFERROR(RIGHT("0000"&amp;VALUE(TRIM(LEFT(Sync!$L625,FIND("/",Sync!$L625)-1))),4)&amp;"/"&amp;RIGHT("00"&amp;VALUE(TRIM(LEFT(MID(Sync!$L625,FIND("/",Sync!$L625)+1,20),FIND("/",MID(Sync!$L625,FIND("/",Sync!$L625)+1,20))-1))),2)&amp;"/"&amp;RIGHT("00"&amp;VALUE(TRIM(MID(MID(Sync!$L625,FIND("/",Sync!$L625)+1,20),FIND("/",MID(Sync!$L625,FIND("/",Sync!$L625)+1,20))+1,20))),2),"")))</f>
        <v/>
      </c>
    </row>
    <row r="626">
      <c r="M626">
        <f>IF(Sync!$M626&lt;&gt;"پاس چک","",IF(Sync!$P626="","",Sync!$P626))</f>
        <v/>
      </c>
      <c r="N626">
        <f>IF($M626="","",IF(ISNUMBER(Sync!$L626),IF(AND(Sync!$L626&gt;=10000101,Sync!$L626&lt;=99991231),RIGHT("0000"&amp;INT(Sync!$L626/10000),4)&amp;"/"&amp;RIGHT("00"&amp;INT(MOD(Sync!$L626,10000)/100),2)&amp;"/"&amp;RIGHT("00"&amp;MOD(Sync!$L626,100),2),""),IFERROR(RIGHT("0000"&amp;VALUE(TRIM(LEFT(Sync!$L626,FIND("/",Sync!$L626)-1))),4)&amp;"/"&amp;RIGHT("00"&amp;VALUE(TRIM(LEFT(MID(Sync!$L626,FIND("/",Sync!$L626)+1,20),FIND("/",MID(Sync!$L626,FIND("/",Sync!$L626)+1,20))-1))),2)&amp;"/"&amp;RIGHT("00"&amp;VALUE(TRIM(MID(MID(Sync!$L626,FIND("/",Sync!$L626)+1,20),FIND("/",MID(Sync!$L626,FIND("/",Sync!$L626)+1,20))+1,20))),2),"")))</f>
        <v/>
      </c>
    </row>
    <row r="627">
      <c r="M627">
        <f>IF(Sync!$M627&lt;&gt;"پاس چک","",IF(Sync!$P627="","",Sync!$P627))</f>
        <v/>
      </c>
      <c r="N627">
        <f>IF($M627="","",IF(ISNUMBER(Sync!$L627),IF(AND(Sync!$L627&gt;=10000101,Sync!$L627&lt;=99991231),RIGHT("0000"&amp;INT(Sync!$L627/10000),4)&amp;"/"&amp;RIGHT("00"&amp;INT(MOD(Sync!$L627,10000)/100),2)&amp;"/"&amp;RIGHT("00"&amp;MOD(Sync!$L627,100),2),""),IFERROR(RIGHT("0000"&amp;VALUE(TRIM(LEFT(Sync!$L627,FIND("/",Sync!$L627)-1))),4)&amp;"/"&amp;RIGHT("00"&amp;VALUE(TRIM(LEFT(MID(Sync!$L627,FIND("/",Sync!$L627)+1,20),FIND("/",MID(Sync!$L627,FIND("/",Sync!$L627)+1,20))-1))),2)&amp;"/"&amp;RIGHT("00"&amp;VALUE(TRIM(MID(MID(Sync!$L627,FIND("/",Sync!$L627)+1,20),FIND("/",MID(Sync!$L627,FIND("/",Sync!$L627)+1,20))+1,20))),2),"")))</f>
        <v/>
      </c>
    </row>
    <row r="628">
      <c r="M628">
        <f>IF(Sync!$M628&lt;&gt;"پاس چک","",IF(Sync!$P628="","",Sync!$P628))</f>
        <v/>
      </c>
      <c r="N628">
        <f>IF($M628="","",IF(ISNUMBER(Sync!$L628),IF(AND(Sync!$L628&gt;=10000101,Sync!$L628&lt;=99991231),RIGHT("0000"&amp;INT(Sync!$L628/10000),4)&amp;"/"&amp;RIGHT("00"&amp;INT(MOD(Sync!$L628,10000)/100),2)&amp;"/"&amp;RIGHT("00"&amp;MOD(Sync!$L628,100),2),""),IFERROR(RIGHT("0000"&amp;VALUE(TRIM(LEFT(Sync!$L628,FIND("/",Sync!$L628)-1))),4)&amp;"/"&amp;RIGHT("00"&amp;VALUE(TRIM(LEFT(MID(Sync!$L628,FIND("/",Sync!$L628)+1,20),FIND("/",MID(Sync!$L628,FIND("/",Sync!$L628)+1,20))-1))),2)&amp;"/"&amp;RIGHT("00"&amp;VALUE(TRIM(MID(MID(Sync!$L628,FIND("/",Sync!$L628)+1,20),FIND("/",MID(Sync!$L628,FIND("/",Sync!$L628)+1,20))+1,20))),2),"")))</f>
        <v/>
      </c>
    </row>
    <row r="629">
      <c r="M629">
        <f>IF(Sync!$M629&lt;&gt;"پاس چک","",IF(Sync!$P629="","",Sync!$P629))</f>
        <v/>
      </c>
      <c r="N629">
        <f>IF($M629="","",IF(ISNUMBER(Sync!$L629),IF(AND(Sync!$L629&gt;=10000101,Sync!$L629&lt;=99991231),RIGHT("0000"&amp;INT(Sync!$L629/10000),4)&amp;"/"&amp;RIGHT("00"&amp;INT(MOD(Sync!$L629,10000)/100),2)&amp;"/"&amp;RIGHT("00"&amp;MOD(Sync!$L629,100),2),""),IFERROR(RIGHT("0000"&amp;VALUE(TRIM(LEFT(Sync!$L629,FIND("/",Sync!$L629)-1))),4)&amp;"/"&amp;RIGHT("00"&amp;VALUE(TRIM(LEFT(MID(Sync!$L629,FIND("/",Sync!$L629)+1,20),FIND("/",MID(Sync!$L629,FIND("/",Sync!$L629)+1,20))-1))),2)&amp;"/"&amp;RIGHT("00"&amp;VALUE(TRIM(MID(MID(Sync!$L629,FIND("/",Sync!$L629)+1,20),FIND("/",MID(Sync!$L629,FIND("/",Sync!$L629)+1,20))+1,20))),2),"")))</f>
        <v/>
      </c>
    </row>
    <row r="630">
      <c r="M630">
        <f>IF(Sync!$M630&lt;&gt;"پاس چک","",IF(Sync!$P630="","",Sync!$P630))</f>
        <v/>
      </c>
      <c r="N630">
        <f>IF($M630="","",IF(ISNUMBER(Sync!$L630),IF(AND(Sync!$L630&gt;=10000101,Sync!$L630&lt;=99991231),RIGHT("0000"&amp;INT(Sync!$L630/10000),4)&amp;"/"&amp;RIGHT("00"&amp;INT(MOD(Sync!$L630,10000)/100),2)&amp;"/"&amp;RIGHT("00"&amp;MOD(Sync!$L630,100),2),""),IFERROR(RIGHT("0000"&amp;VALUE(TRIM(LEFT(Sync!$L630,FIND("/",Sync!$L630)-1))),4)&amp;"/"&amp;RIGHT("00"&amp;VALUE(TRIM(LEFT(MID(Sync!$L630,FIND("/",Sync!$L630)+1,20),FIND("/",MID(Sync!$L630,FIND("/",Sync!$L630)+1,20))-1))),2)&amp;"/"&amp;RIGHT("00"&amp;VALUE(TRIM(MID(MID(Sync!$L630,FIND("/",Sync!$L630)+1,20),FIND("/",MID(Sync!$L630,FIND("/",Sync!$L630)+1,20))+1,20))),2),"")))</f>
        <v/>
      </c>
    </row>
    <row r="631">
      <c r="M631">
        <f>IF(Sync!$M631&lt;&gt;"پاس چک","",IF(Sync!$P631="","",Sync!$P631))</f>
        <v/>
      </c>
      <c r="N631">
        <f>IF($M631="","",IF(ISNUMBER(Sync!$L631),IF(AND(Sync!$L631&gt;=10000101,Sync!$L631&lt;=99991231),RIGHT("0000"&amp;INT(Sync!$L631/10000),4)&amp;"/"&amp;RIGHT("00"&amp;INT(MOD(Sync!$L631,10000)/100),2)&amp;"/"&amp;RIGHT("00"&amp;MOD(Sync!$L631,100),2),""),IFERROR(RIGHT("0000"&amp;VALUE(TRIM(LEFT(Sync!$L631,FIND("/",Sync!$L631)-1))),4)&amp;"/"&amp;RIGHT("00"&amp;VALUE(TRIM(LEFT(MID(Sync!$L631,FIND("/",Sync!$L631)+1,20),FIND("/",MID(Sync!$L631,FIND("/",Sync!$L631)+1,20))-1))),2)&amp;"/"&amp;RIGHT("00"&amp;VALUE(TRIM(MID(MID(Sync!$L631,FIND("/",Sync!$L631)+1,20),FIND("/",MID(Sync!$L631,FIND("/",Sync!$L631)+1,20))+1,20))),2),"")))</f>
        <v/>
      </c>
    </row>
    <row r="632">
      <c r="M632">
        <f>IF(Sync!$M632&lt;&gt;"پاس چک","",IF(Sync!$P632="","",Sync!$P632))</f>
        <v/>
      </c>
      <c r="N632">
        <f>IF($M632="","",IF(ISNUMBER(Sync!$L632),IF(AND(Sync!$L632&gt;=10000101,Sync!$L632&lt;=99991231),RIGHT("0000"&amp;INT(Sync!$L632/10000),4)&amp;"/"&amp;RIGHT("00"&amp;INT(MOD(Sync!$L632,10000)/100),2)&amp;"/"&amp;RIGHT("00"&amp;MOD(Sync!$L632,100),2),""),IFERROR(RIGHT("0000"&amp;VALUE(TRIM(LEFT(Sync!$L632,FIND("/",Sync!$L632)-1))),4)&amp;"/"&amp;RIGHT("00"&amp;VALUE(TRIM(LEFT(MID(Sync!$L632,FIND("/",Sync!$L632)+1,20),FIND("/",MID(Sync!$L632,FIND("/",Sync!$L632)+1,20))-1))),2)&amp;"/"&amp;RIGHT("00"&amp;VALUE(TRIM(MID(MID(Sync!$L632,FIND("/",Sync!$L632)+1,20),FIND("/",MID(Sync!$L632,FIND("/",Sync!$L632)+1,20))+1,20))),2),"")))</f>
        <v/>
      </c>
    </row>
    <row r="633">
      <c r="M633">
        <f>IF(Sync!$M633&lt;&gt;"پاس چک","",IF(Sync!$P633="","",Sync!$P633))</f>
        <v/>
      </c>
      <c r="N633">
        <f>IF($M633="","",IF(ISNUMBER(Sync!$L633),IF(AND(Sync!$L633&gt;=10000101,Sync!$L633&lt;=99991231),RIGHT("0000"&amp;INT(Sync!$L633/10000),4)&amp;"/"&amp;RIGHT("00"&amp;INT(MOD(Sync!$L633,10000)/100),2)&amp;"/"&amp;RIGHT("00"&amp;MOD(Sync!$L633,100),2),""),IFERROR(RIGHT("0000"&amp;VALUE(TRIM(LEFT(Sync!$L633,FIND("/",Sync!$L633)-1))),4)&amp;"/"&amp;RIGHT("00"&amp;VALUE(TRIM(LEFT(MID(Sync!$L633,FIND("/",Sync!$L633)+1,20),FIND("/",MID(Sync!$L633,FIND("/",Sync!$L633)+1,20))-1))),2)&amp;"/"&amp;RIGHT("00"&amp;VALUE(TRIM(MID(MID(Sync!$L633,FIND("/",Sync!$L633)+1,20),FIND("/",MID(Sync!$L633,FIND("/",Sync!$L633)+1,20))+1,20))),2),"")))</f>
        <v/>
      </c>
    </row>
    <row r="634">
      <c r="M634">
        <f>IF(Sync!$M634&lt;&gt;"پاس چک","",IF(Sync!$P634="","",Sync!$P634))</f>
        <v/>
      </c>
      <c r="N634">
        <f>IF($M634="","",IF(ISNUMBER(Sync!$L634),IF(AND(Sync!$L634&gt;=10000101,Sync!$L634&lt;=99991231),RIGHT("0000"&amp;INT(Sync!$L634/10000),4)&amp;"/"&amp;RIGHT("00"&amp;INT(MOD(Sync!$L634,10000)/100),2)&amp;"/"&amp;RIGHT("00"&amp;MOD(Sync!$L634,100),2),""),IFERROR(RIGHT("0000"&amp;VALUE(TRIM(LEFT(Sync!$L634,FIND("/",Sync!$L634)-1))),4)&amp;"/"&amp;RIGHT("00"&amp;VALUE(TRIM(LEFT(MID(Sync!$L634,FIND("/",Sync!$L634)+1,20),FIND("/",MID(Sync!$L634,FIND("/",Sync!$L634)+1,20))-1))),2)&amp;"/"&amp;RIGHT("00"&amp;VALUE(TRIM(MID(MID(Sync!$L634,FIND("/",Sync!$L634)+1,20),FIND("/",MID(Sync!$L634,FIND("/",Sync!$L634)+1,20))+1,20))),2),"")))</f>
        <v/>
      </c>
    </row>
    <row r="635">
      <c r="M635">
        <f>IF(Sync!$M635&lt;&gt;"پاس چک","",IF(Sync!$P635="","",Sync!$P635))</f>
        <v/>
      </c>
      <c r="N635">
        <f>IF($M635="","",IF(ISNUMBER(Sync!$L635),IF(AND(Sync!$L635&gt;=10000101,Sync!$L635&lt;=99991231),RIGHT("0000"&amp;INT(Sync!$L635/10000),4)&amp;"/"&amp;RIGHT("00"&amp;INT(MOD(Sync!$L635,10000)/100),2)&amp;"/"&amp;RIGHT("00"&amp;MOD(Sync!$L635,100),2),""),IFERROR(RIGHT("0000"&amp;VALUE(TRIM(LEFT(Sync!$L635,FIND("/",Sync!$L635)-1))),4)&amp;"/"&amp;RIGHT("00"&amp;VALUE(TRIM(LEFT(MID(Sync!$L635,FIND("/",Sync!$L635)+1,20),FIND("/",MID(Sync!$L635,FIND("/",Sync!$L635)+1,20))-1))),2)&amp;"/"&amp;RIGHT("00"&amp;VALUE(TRIM(MID(MID(Sync!$L635,FIND("/",Sync!$L635)+1,20),FIND("/",MID(Sync!$L635,FIND("/",Sync!$L635)+1,20))+1,20))),2),"")))</f>
        <v/>
      </c>
    </row>
    <row r="636">
      <c r="M636">
        <f>IF(Sync!$M636&lt;&gt;"پاس چک","",IF(Sync!$P636="","",Sync!$P636))</f>
        <v/>
      </c>
      <c r="N636">
        <f>IF($M636="","",IF(ISNUMBER(Sync!$L636),IF(AND(Sync!$L636&gt;=10000101,Sync!$L636&lt;=99991231),RIGHT("0000"&amp;INT(Sync!$L636/10000),4)&amp;"/"&amp;RIGHT("00"&amp;INT(MOD(Sync!$L636,10000)/100),2)&amp;"/"&amp;RIGHT("00"&amp;MOD(Sync!$L636,100),2),""),IFERROR(RIGHT("0000"&amp;VALUE(TRIM(LEFT(Sync!$L636,FIND("/",Sync!$L636)-1))),4)&amp;"/"&amp;RIGHT("00"&amp;VALUE(TRIM(LEFT(MID(Sync!$L636,FIND("/",Sync!$L636)+1,20),FIND("/",MID(Sync!$L636,FIND("/",Sync!$L636)+1,20))-1))),2)&amp;"/"&amp;RIGHT("00"&amp;VALUE(TRIM(MID(MID(Sync!$L636,FIND("/",Sync!$L636)+1,20),FIND("/",MID(Sync!$L636,FIND("/",Sync!$L636)+1,20))+1,20))),2),"")))</f>
        <v/>
      </c>
    </row>
    <row r="637">
      <c r="M637">
        <f>IF(Sync!$M637&lt;&gt;"پاس چک","",IF(Sync!$P637="","",Sync!$P637))</f>
        <v/>
      </c>
      <c r="N637">
        <f>IF($M637="","",IF(ISNUMBER(Sync!$L637),IF(AND(Sync!$L637&gt;=10000101,Sync!$L637&lt;=99991231),RIGHT("0000"&amp;INT(Sync!$L637/10000),4)&amp;"/"&amp;RIGHT("00"&amp;INT(MOD(Sync!$L637,10000)/100),2)&amp;"/"&amp;RIGHT("00"&amp;MOD(Sync!$L637,100),2),""),IFERROR(RIGHT("0000"&amp;VALUE(TRIM(LEFT(Sync!$L637,FIND("/",Sync!$L637)-1))),4)&amp;"/"&amp;RIGHT("00"&amp;VALUE(TRIM(LEFT(MID(Sync!$L637,FIND("/",Sync!$L637)+1,20),FIND("/",MID(Sync!$L637,FIND("/",Sync!$L637)+1,20))-1))),2)&amp;"/"&amp;RIGHT("00"&amp;VALUE(TRIM(MID(MID(Sync!$L637,FIND("/",Sync!$L637)+1,20),FIND("/",MID(Sync!$L637,FIND("/",Sync!$L637)+1,20))+1,20))),2),"")))</f>
        <v/>
      </c>
    </row>
    <row r="638">
      <c r="M638">
        <f>IF(Sync!$M638&lt;&gt;"پاس چک","",IF(Sync!$P638="","",Sync!$P638))</f>
        <v/>
      </c>
      <c r="N638">
        <f>IF($M638="","",IF(ISNUMBER(Sync!$L638),IF(AND(Sync!$L638&gt;=10000101,Sync!$L638&lt;=99991231),RIGHT("0000"&amp;INT(Sync!$L638/10000),4)&amp;"/"&amp;RIGHT("00"&amp;INT(MOD(Sync!$L638,10000)/100),2)&amp;"/"&amp;RIGHT("00"&amp;MOD(Sync!$L638,100),2),""),IFERROR(RIGHT("0000"&amp;VALUE(TRIM(LEFT(Sync!$L638,FIND("/",Sync!$L638)-1))),4)&amp;"/"&amp;RIGHT("00"&amp;VALUE(TRIM(LEFT(MID(Sync!$L638,FIND("/",Sync!$L638)+1,20),FIND("/",MID(Sync!$L638,FIND("/",Sync!$L638)+1,20))-1))),2)&amp;"/"&amp;RIGHT("00"&amp;VALUE(TRIM(MID(MID(Sync!$L638,FIND("/",Sync!$L638)+1,20),FIND("/",MID(Sync!$L638,FIND("/",Sync!$L638)+1,20))+1,20))),2),"")))</f>
        <v/>
      </c>
    </row>
    <row r="639">
      <c r="M639">
        <f>IF(Sync!$M639&lt;&gt;"پاس چک","",IF(Sync!$P639="","",Sync!$P639))</f>
        <v/>
      </c>
      <c r="N639">
        <f>IF($M639="","",IF(ISNUMBER(Sync!$L639),IF(AND(Sync!$L639&gt;=10000101,Sync!$L639&lt;=99991231),RIGHT("0000"&amp;INT(Sync!$L639/10000),4)&amp;"/"&amp;RIGHT("00"&amp;INT(MOD(Sync!$L639,10000)/100),2)&amp;"/"&amp;RIGHT("00"&amp;MOD(Sync!$L639,100),2),""),IFERROR(RIGHT("0000"&amp;VALUE(TRIM(LEFT(Sync!$L639,FIND("/",Sync!$L639)-1))),4)&amp;"/"&amp;RIGHT("00"&amp;VALUE(TRIM(LEFT(MID(Sync!$L639,FIND("/",Sync!$L639)+1,20),FIND("/",MID(Sync!$L639,FIND("/",Sync!$L639)+1,20))-1))),2)&amp;"/"&amp;RIGHT("00"&amp;VALUE(TRIM(MID(MID(Sync!$L639,FIND("/",Sync!$L639)+1,20),FIND("/",MID(Sync!$L639,FIND("/",Sync!$L639)+1,20))+1,20))),2),"")))</f>
        <v/>
      </c>
    </row>
    <row r="640">
      <c r="M640">
        <f>IF(Sync!$M640&lt;&gt;"پاس چک","",IF(Sync!$P640="","",Sync!$P640))</f>
        <v/>
      </c>
      <c r="N640">
        <f>IF($M640="","",IF(ISNUMBER(Sync!$L640),IF(AND(Sync!$L640&gt;=10000101,Sync!$L640&lt;=99991231),RIGHT("0000"&amp;INT(Sync!$L640/10000),4)&amp;"/"&amp;RIGHT("00"&amp;INT(MOD(Sync!$L640,10000)/100),2)&amp;"/"&amp;RIGHT("00"&amp;MOD(Sync!$L640,100),2),""),IFERROR(RIGHT("0000"&amp;VALUE(TRIM(LEFT(Sync!$L640,FIND("/",Sync!$L640)-1))),4)&amp;"/"&amp;RIGHT("00"&amp;VALUE(TRIM(LEFT(MID(Sync!$L640,FIND("/",Sync!$L640)+1,20),FIND("/",MID(Sync!$L640,FIND("/",Sync!$L640)+1,20))-1))),2)&amp;"/"&amp;RIGHT("00"&amp;VALUE(TRIM(MID(MID(Sync!$L640,FIND("/",Sync!$L640)+1,20),FIND("/",MID(Sync!$L640,FIND("/",Sync!$L640)+1,20))+1,20))),2),"")))</f>
        <v/>
      </c>
    </row>
    <row r="641">
      <c r="M641">
        <f>IF(Sync!$M641&lt;&gt;"پاس چک","",IF(Sync!$P641="","",Sync!$P641))</f>
        <v/>
      </c>
      <c r="N641">
        <f>IF($M641="","",IF(ISNUMBER(Sync!$L641),IF(AND(Sync!$L641&gt;=10000101,Sync!$L641&lt;=99991231),RIGHT("0000"&amp;INT(Sync!$L641/10000),4)&amp;"/"&amp;RIGHT("00"&amp;INT(MOD(Sync!$L641,10000)/100),2)&amp;"/"&amp;RIGHT("00"&amp;MOD(Sync!$L641,100),2),""),IFERROR(RIGHT("0000"&amp;VALUE(TRIM(LEFT(Sync!$L641,FIND("/",Sync!$L641)-1))),4)&amp;"/"&amp;RIGHT("00"&amp;VALUE(TRIM(LEFT(MID(Sync!$L641,FIND("/",Sync!$L641)+1,20),FIND("/",MID(Sync!$L641,FIND("/",Sync!$L641)+1,20))-1))),2)&amp;"/"&amp;RIGHT("00"&amp;VALUE(TRIM(MID(MID(Sync!$L641,FIND("/",Sync!$L641)+1,20),FIND("/",MID(Sync!$L641,FIND("/",Sync!$L641)+1,20))+1,20))),2),"")))</f>
        <v/>
      </c>
    </row>
    <row r="642">
      <c r="M642">
        <f>IF(Sync!$M642&lt;&gt;"پاس چک","",IF(Sync!$P642="","",Sync!$P642))</f>
        <v/>
      </c>
      <c r="N642">
        <f>IF($M642="","",IF(ISNUMBER(Sync!$L642),IF(AND(Sync!$L642&gt;=10000101,Sync!$L642&lt;=99991231),RIGHT("0000"&amp;INT(Sync!$L642/10000),4)&amp;"/"&amp;RIGHT("00"&amp;INT(MOD(Sync!$L642,10000)/100),2)&amp;"/"&amp;RIGHT("00"&amp;MOD(Sync!$L642,100),2),""),IFERROR(RIGHT("0000"&amp;VALUE(TRIM(LEFT(Sync!$L642,FIND("/",Sync!$L642)-1))),4)&amp;"/"&amp;RIGHT("00"&amp;VALUE(TRIM(LEFT(MID(Sync!$L642,FIND("/",Sync!$L642)+1,20),FIND("/",MID(Sync!$L642,FIND("/",Sync!$L642)+1,20))-1))),2)&amp;"/"&amp;RIGHT("00"&amp;VALUE(TRIM(MID(MID(Sync!$L642,FIND("/",Sync!$L642)+1,20),FIND("/",MID(Sync!$L642,FIND("/",Sync!$L642)+1,20))+1,20))),2),"")))</f>
        <v/>
      </c>
    </row>
    <row r="643">
      <c r="M643">
        <f>IF(Sync!$M643&lt;&gt;"پاس چک","",IF(Sync!$P643="","",Sync!$P643))</f>
        <v/>
      </c>
      <c r="N643">
        <f>IF($M643="","",IF(ISNUMBER(Sync!$L643),IF(AND(Sync!$L643&gt;=10000101,Sync!$L643&lt;=99991231),RIGHT("0000"&amp;INT(Sync!$L643/10000),4)&amp;"/"&amp;RIGHT("00"&amp;INT(MOD(Sync!$L643,10000)/100),2)&amp;"/"&amp;RIGHT("00"&amp;MOD(Sync!$L643,100),2),""),IFERROR(RIGHT("0000"&amp;VALUE(TRIM(LEFT(Sync!$L643,FIND("/",Sync!$L643)-1))),4)&amp;"/"&amp;RIGHT("00"&amp;VALUE(TRIM(LEFT(MID(Sync!$L643,FIND("/",Sync!$L643)+1,20),FIND("/",MID(Sync!$L643,FIND("/",Sync!$L643)+1,20))-1))),2)&amp;"/"&amp;RIGHT("00"&amp;VALUE(TRIM(MID(MID(Sync!$L643,FIND("/",Sync!$L643)+1,20),FIND("/",MID(Sync!$L643,FIND("/",Sync!$L643)+1,20))+1,20))),2),"")))</f>
        <v/>
      </c>
    </row>
    <row r="644">
      <c r="M644">
        <f>IF(Sync!$M644&lt;&gt;"پاس چک","",IF(Sync!$P644="","",Sync!$P644))</f>
        <v/>
      </c>
      <c r="N644">
        <f>IF($M644="","",IF(ISNUMBER(Sync!$L644),IF(AND(Sync!$L644&gt;=10000101,Sync!$L644&lt;=99991231),RIGHT("0000"&amp;INT(Sync!$L644/10000),4)&amp;"/"&amp;RIGHT("00"&amp;INT(MOD(Sync!$L644,10000)/100),2)&amp;"/"&amp;RIGHT("00"&amp;MOD(Sync!$L644,100),2),""),IFERROR(RIGHT("0000"&amp;VALUE(TRIM(LEFT(Sync!$L644,FIND("/",Sync!$L644)-1))),4)&amp;"/"&amp;RIGHT("00"&amp;VALUE(TRIM(LEFT(MID(Sync!$L644,FIND("/",Sync!$L644)+1,20),FIND("/",MID(Sync!$L644,FIND("/",Sync!$L644)+1,20))-1))),2)&amp;"/"&amp;RIGHT("00"&amp;VALUE(TRIM(MID(MID(Sync!$L644,FIND("/",Sync!$L644)+1,20),FIND("/",MID(Sync!$L644,FIND("/",Sync!$L644)+1,20))+1,20))),2),"")))</f>
        <v/>
      </c>
    </row>
    <row r="645">
      <c r="M645">
        <f>IF(Sync!$M645&lt;&gt;"پاس چک","",IF(Sync!$P645="","",Sync!$P645))</f>
        <v/>
      </c>
      <c r="N645">
        <f>IF($M645="","",IF(ISNUMBER(Sync!$L645),IF(AND(Sync!$L645&gt;=10000101,Sync!$L645&lt;=99991231),RIGHT("0000"&amp;INT(Sync!$L645/10000),4)&amp;"/"&amp;RIGHT("00"&amp;INT(MOD(Sync!$L645,10000)/100),2)&amp;"/"&amp;RIGHT("00"&amp;MOD(Sync!$L645,100),2),""),IFERROR(RIGHT("0000"&amp;VALUE(TRIM(LEFT(Sync!$L645,FIND("/",Sync!$L645)-1))),4)&amp;"/"&amp;RIGHT("00"&amp;VALUE(TRIM(LEFT(MID(Sync!$L645,FIND("/",Sync!$L645)+1,20),FIND("/",MID(Sync!$L645,FIND("/",Sync!$L645)+1,20))-1))),2)&amp;"/"&amp;RIGHT("00"&amp;VALUE(TRIM(MID(MID(Sync!$L645,FIND("/",Sync!$L645)+1,20),FIND("/",MID(Sync!$L645,FIND("/",Sync!$L645)+1,20))+1,20))),2),"")))</f>
        <v/>
      </c>
    </row>
    <row r="646">
      <c r="M646">
        <f>IF(Sync!$M646&lt;&gt;"پاس چک","",IF(Sync!$P646="","",Sync!$P646))</f>
        <v/>
      </c>
      <c r="N646">
        <f>IF($M646="","",IF(ISNUMBER(Sync!$L646),IF(AND(Sync!$L646&gt;=10000101,Sync!$L646&lt;=99991231),RIGHT("0000"&amp;INT(Sync!$L646/10000),4)&amp;"/"&amp;RIGHT("00"&amp;INT(MOD(Sync!$L646,10000)/100),2)&amp;"/"&amp;RIGHT("00"&amp;MOD(Sync!$L646,100),2),""),IFERROR(RIGHT("0000"&amp;VALUE(TRIM(LEFT(Sync!$L646,FIND("/",Sync!$L646)-1))),4)&amp;"/"&amp;RIGHT("00"&amp;VALUE(TRIM(LEFT(MID(Sync!$L646,FIND("/",Sync!$L646)+1,20),FIND("/",MID(Sync!$L646,FIND("/",Sync!$L646)+1,20))-1))),2)&amp;"/"&amp;RIGHT("00"&amp;VALUE(TRIM(MID(MID(Sync!$L646,FIND("/",Sync!$L646)+1,20),FIND("/",MID(Sync!$L646,FIND("/",Sync!$L646)+1,20))+1,20))),2),"")))</f>
        <v/>
      </c>
    </row>
    <row r="647">
      <c r="M647">
        <f>IF(Sync!$M647&lt;&gt;"پاس چک","",IF(Sync!$P647="","",Sync!$P647))</f>
        <v/>
      </c>
      <c r="N647">
        <f>IF($M647="","",IF(ISNUMBER(Sync!$L647),IF(AND(Sync!$L647&gt;=10000101,Sync!$L647&lt;=99991231),RIGHT("0000"&amp;INT(Sync!$L647/10000),4)&amp;"/"&amp;RIGHT("00"&amp;INT(MOD(Sync!$L647,10000)/100),2)&amp;"/"&amp;RIGHT("00"&amp;MOD(Sync!$L647,100),2),""),IFERROR(RIGHT("0000"&amp;VALUE(TRIM(LEFT(Sync!$L647,FIND("/",Sync!$L647)-1))),4)&amp;"/"&amp;RIGHT("00"&amp;VALUE(TRIM(LEFT(MID(Sync!$L647,FIND("/",Sync!$L647)+1,20),FIND("/",MID(Sync!$L647,FIND("/",Sync!$L647)+1,20))-1))),2)&amp;"/"&amp;RIGHT("00"&amp;VALUE(TRIM(MID(MID(Sync!$L647,FIND("/",Sync!$L647)+1,20),FIND("/",MID(Sync!$L647,FIND("/",Sync!$L647)+1,20))+1,20))),2),"")))</f>
        <v/>
      </c>
    </row>
    <row r="648">
      <c r="M648">
        <f>IF(Sync!$M648&lt;&gt;"پاس چک","",IF(Sync!$P648="","",Sync!$P648))</f>
        <v/>
      </c>
      <c r="N648">
        <f>IF($M648="","",IF(ISNUMBER(Sync!$L648),IF(AND(Sync!$L648&gt;=10000101,Sync!$L648&lt;=99991231),RIGHT("0000"&amp;INT(Sync!$L648/10000),4)&amp;"/"&amp;RIGHT("00"&amp;INT(MOD(Sync!$L648,10000)/100),2)&amp;"/"&amp;RIGHT("00"&amp;MOD(Sync!$L648,100),2),""),IFERROR(RIGHT("0000"&amp;VALUE(TRIM(LEFT(Sync!$L648,FIND("/",Sync!$L648)-1))),4)&amp;"/"&amp;RIGHT("00"&amp;VALUE(TRIM(LEFT(MID(Sync!$L648,FIND("/",Sync!$L648)+1,20),FIND("/",MID(Sync!$L648,FIND("/",Sync!$L648)+1,20))-1))),2)&amp;"/"&amp;RIGHT("00"&amp;VALUE(TRIM(MID(MID(Sync!$L648,FIND("/",Sync!$L648)+1,20),FIND("/",MID(Sync!$L648,FIND("/",Sync!$L648)+1,20))+1,20))),2),"")))</f>
        <v/>
      </c>
    </row>
    <row r="649">
      <c r="M649">
        <f>IF(Sync!$M649&lt;&gt;"پاس چک","",IF(Sync!$P649="","",Sync!$P649))</f>
        <v/>
      </c>
      <c r="N649">
        <f>IF($M649="","",IF(ISNUMBER(Sync!$L649),IF(AND(Sync!$L649&gt;=10000101,Sync!$L649&lt;=99991231),RIGHT("0000"&amp;INT(Sync!$L649/10000),4)&amp;"/"&amp;RIGHT("00"&amp;INT(MOD(Sync!$L649,10000)/100),2)&amp;"/"&amp;RIGHT("00"&amp;MOD(Sync!$L649,100),2),""),IFERROR(RIGHT("0000"&amp;VALUE(TRIM(LEFT(Sync!$L649,FIND("/",Sync!$L649)-1))),4)&amp;"/"&amp;RIGHT("00"&amp;VALUE(TRIM(LEFT(MID(Sync!$L649,FIND("/",Sync!$L649)+1,20),FIND("/",MID(Sync!$L649,FIND("/",Sync!$L649)+1,20))-1))),2)&amp;"/"&amp;RIGHT("00"&amp;VALUE(TRIM(MID(MID(Sync!$L649,FIND("/",Sync!$L649)+1,20),FIND("/",MID(Sync!$L649,FIND("/",Sync!$L649)+1,20))+1,20))),2),"")))</f>
        <v/>
      </c>
    </row>
    <row r="650">
      <c r="M650">
        <f>IF(Sync!$M650&lt;&gt;"پاس چک","",IF(Sync!$P650="","",Sync!$P650))</f>
        <v/>
      </c>
      <c r="N650">
        <f>IF($M650="","",IF(ISNUMBER(Sync!$L650),IF(AND(Sync!$L650&gt;=10000101,Sync!$L650&lt;=99991231),RIGHT("0000"&amp;INT(Sync!$L650/10000),4)&amp;"/"&amp;RIGHT("00"&amp;INT(MOD(Sync!$L650,10000)/100),2)&amp;"/"&amp;RIGHT("00"&amp;MOD(Sync!$L650,100),2),""),IFERROR(RIGHT("0000"&amp;VALUE(TRIM(LEFT(Sync!$L650,FIND("/",Sync!$L650)-1))),4)&amp;"/"&amp;RIGHT("00"&amp;VALUE(TRIM(LEFT(MID(Sync!$L650,FIND("/",Sync!$L650)+1,20),FIND("/",MID(Sync!$L650,FIND("/",Sync!$L650)+1,20))-1))),2)&amp;"/"&amp;RIGHT("00"&amp;VALUE(TRIM(MID(MID(Sync!$L650,FIND("/",Sync!$L650)+1,20),FIND("/",MID(Sync!$L650,FIND("/",Sync!$L650)+1,20))+1,20))),2),"")))</f>
        <v/>
      </c>
    </row>
    <row r="651">
      <c r="M651">
        <f>IF(Sync!$M651&lt;&gt;"پاس چک","",IF(Sync!$P651="","",Sync!$P651))</f>
        <v/>
      </c>
      <c r="N651">
        <f>IF($M651="","",IF(ISNUMBER(Sync!$L651),IF(AND(Sync!$L651&gt;=10000101,Sync!$L651&lt;=99991231),RIGHT("0000"&amp;INT(Sync!$L651/10000),4)&amp;"/"&amp;RIGHT("00"&amp;INT(MOD(Sync!$L651,10000)/100),2)&amp;"/"&amp;RIGHT("00"&amp;MOD(Sync!$L651,100),2),""),IFERROR(RIGHT("0000"&amp;VALUE(TRIM(LEFT(Sync!$L651,FIND("/",Sync!$L651)-1))),4)&amp;"/"&amp;RIGHT("00"&amp;VALUE(TRIM(LEFT(MID(Sync!$L651,FIND("/",Sync!$L651)+1,20),FIND("/",MID(Sync!$L651,FIND("/",Sync!$L651)+1,20))-1))),2)&amp;"/"&amp;RIGHT("00"&amp;VALUE(TRIM(MID(MID(Sync!$L651,FIND("/",Sync!$L651)+1,20),FIND("/",MID(Sync!$L651,FIND("/",Sync!$L651)+1,20))+1,20))),2),"")))</f>
        <v/>
      </c>
    </row>
    <row r="652">
      <c r="M652">
        <f>IF(Sync!$M652&lt;&gt;"پاس چک","",IF(Sync!$P652="","",Sync!$P652))</f>
        <v/>
      </c>
      <c r="N652">
        <f>IF($M652="","",IF(ISNUMBER(Sync!$L652),IF(AND(Sync!$L652&gt;=10000101,Sync!$L652&lt;=99991231),RIGHT("0000"&amp;INT(Sync!$L652/10000),4)&amp;"/"&amp;RIGHT("00"&amp;INT(MOD(Sync!$L652,10000)/100),2)&amp;"/"&amp;RIGHT("00"&amp;MOD(Sync!$L652,100),2),""),IFERROR(RIGHT("0000"&amp;VALUE(TRIM(LEFT(Sync!$L652,FIND("/",Sync!$L652)-1))),4)&amp;"/"&amp;RIGHT("00"&amp;VALUE(TRIM(LEFT(MID(Sync!$L652,FIND("/",Sync!$L652)+1,20),FIND("/",MID(Sync!$L652,FIND("/",Sync!$L652)+1,20))-1))),2)&amp;"/"&amp;RIGHT("00"&amp;VALUE(TRIM(MID(MID(Sync!$L652,FIND("/",Sync!$L652)+1,20),FIND("/",MID(Sync!$L652,FIND("/",Sync!$L652)+1,20))+1,20))),2),"")))</f>
        <v/>
      </c>
    </row>
    <row r="653">
      <c r="M653">
        <f>IF(Sync!$M653&lt;&gt;"پاس چک","",IF(Sync!$P653="","",Sync!$P653))</f>
        <v/>
      </c>
      <c r="N653">
        <f>IF($M653="","",IF(ISNUMBER(Sync!$L653),IF(AND(Sync!$L653&gt;=10000101,Sync!$L653&lt;=99991231),RIGHT("0000"&amp;INT(Sync!$L653/10000),4)&amp;"/"&amp;RIGHT("00"&amp;INT(MOD(Sync!$L653,10000)/100),2)&amp;"/"&amp;RIGHT("00"&amp;MOD(Sync!$L653,100),2),""),IFERROR(RIGHT("0000"&amp;VALUE(TRIM(LEFT(Sync!$L653,FIND("/",Sync!$L653)-1))),4)&amp;"/"&amp;RIGHT("00"&amp;VALUE(TRIM(LEFT(MID(Sync!$L653,FIND("/",Sync!$L653)+1,20),FIND("/",MID(Sync!$L653,FIND("/",Sync!$L653)+1,20))-1))),2)&amp;"/"&amp;RIGHT("00"&amp;VALUE(TRIM(MID(MID(Sync!$L653,FIND("/",Sync!$L653)+1,20),FIND("/",MID(Sync!$L653,FIND("/",Sync!$L653)+1,20))+1,20))),2),"")))</f>
        <v/>
      </c>
    </row>
    <row r="654">
      <c r="M654">
        <f>IF(Sync!$M654&lt;&gt;"پاس چک","",IF(Sync!$P654="","",Sync!$P654))</f>
        <v/>
      </c>
      <c r="N654">
        <f>IF($M654="","",IF(ISNUMBER(Sync!$L654),IF(AND(Sync!$L654&gt;=10000101,Sync!$L654&lt;=99991231),RIGHT("0000"&amp;INT(Sync!$L654/10000),4)&amp;"/"&amp;RIGHT("00"&amp;INT(MOD(Sync!$L654,10000)/100),2)&amp;"/"&amp;RIGHT("00"&amp;MOD(Sync!$L654,100),2),""),IFERROR(RIGHT("0000"&amp;VALUE(TRIM(LEFT(Sync!$L654,FIND("/",Sync!$L654)-1))),4)&amp;"/"&amp;RIGHT("00"&amp;VALUE(TRIM(LEFT(MID(Sync!$L654,FIND("/",Sync!$L654)+1,20),FIND("/",MID(Sync!$L654,FIND("/",Sync!$L654)+1,20))-1))),2)&amp;"/"&amp;RIGHT("00"&amp;VALUE(TRIM(MID(MID(Sync!$L654,FIND("/",Sync!$L654)+1,20),FIND("/",MID(Sync!$L654,FIND("/",Sync!$L654)+1,20))+1,20))),2),"")))</f>
        <v/>
      </c>
    </row>
    <row r="655">
      <c r="M655">
        <f>IF(Sync!$M655&lt;&gt;"پاس چک","",IF(Sync!$P655="","",Sync!$P655))</f>
        <v/>
      </c>
      <c r="N655">
        <f>IF($M655="","",IF(ISNUMBER(Sync!$L655),IF(AND(Sync!$L655&gt;=10000101,Sync!$L655&lt;=99991231),RIGHT("0000"&amp;INT(Sync!$L655/10000),4)&amp;"/"&amp;RIGHT("00"&amp;INT(MOD(Sync!$L655,10000)/100),2)&amp;"/"&amp;RIGHT("00"&amp;MOD(Sync!$L655,100),2),""),IFERROR(RIGHT("0000"&amp;VALUE(TRIM(LEFT(Sync!$L655,FIND("/",Sync!$L655)-1))),4)&amp;"/"&amp;RIGHT("00"&amp;VALUE(TRIM(LEFT(MID(Sync!$L655,FIND("/",Sync!$L655)+1,20),FIND("/",MID(Sync!$L655,FIND("/",Sync!$L655)+1,20))-1))),2)&amp;"/"&amp;RIGHT("00"&amp;VALUE(TRIM(MID(MID(Sync!$L655,FIND("/",Sync!$L655)+1,20),FIND("/",MID(Sync!$L655,FIND("/",Sync!$L655)+1,20))+1,20))),2),"")))</f>
        <v/>
      </c>
    </row>
    <row r="656">
      <c r="M656">
        <f>IF(Sync!$M656&lt;&gt;"پاس چک","",IF(Sync!$P656="","",Sync!$P656))</f>
        <v/>
      </c>
      <c r="N656">
        <f>IF($M656="","",IF(ISNUMBER(Sync!$L656),IF(AND(Sync!$L656&gt;=10000101,Sync!$L656&lt;=99991231),RIGHT("0000"&amp;INT(Sync!$L656/10000),4)&amp;"/"&amp;RIGHT("00"&amp;INT(MOD(Sync!$L656,10000)/100),2)&amp;"/"&amp;RIGHT("00"&amp;MOD(Sync!$L656,100),2),""),IFERROR(RIGHT("0000"&amp;VALUE(TRIM(LEFT(Sync!$L656,FIND("/",Sync!$L656)-1))),4)&amp;"/"&amp;RIGHT("00"&amp;VALUE(TRIM(LEFT(MID(Sync!$L656,FIND("/",Sync!$L656)+1,20),FIND("/",MID(Sync!$L656,FIND("/",Sync!$L656)+1,20))-1))),2)&amp;"/"&amp;RIGHT("00"&amp;VALUE(TRIM(MID(MID(Sync!$L656,FIND("/",Sync!$L656)+1,20),FIND("/",MID(Sync!$L656,FIND("/",Sync!$L656)+1,20))+1,20))),2),"")))</f>
        <v/>
      </c>
    </row>
    <row r="657">
      <c r="M657">
        <f>IF(Sync!$M657&lt;&gt;"پاس چک","",IF(Sync!$P657="","",Sync!$P657))</f>
        <v/>
      </c>
      <c r="N657">
        <f>IF($M657="","",IF(ISNUMBER(Sync!$L657),IF(AND(Sync!$L657&gt;=10000101,Sync!$L657&lt;=99991231),RIGHT("0000"&amp;INT(Sync!$L657/10000),4)&amp;"/"&amp;RIGHT("00"&amp;INT(MOD(Sync!$L657,10000)/100),2)&amp;"/"&amp;RIGHT("00"&amp;MOD(Sync!$L657,100),2),""),IFERROR(RIGHT("0000"&amp;VALUE(TRIM(LEFT(Sync!$L657,FIND("/",Sync!$L657)-1))),4)&amp;"/"&amp;RIGHT("00"&amp;VALUE(TRIM(LEFT(MID(Sync!$L657,FIND("/",Sync!$L657)+1,20),FIND("/",MID(Sync!$L657,FIND("/",Sync!$L657)+1,20))-1))),2)&amp;"/"&amp;RIGHT("00"&amp;VALUE(TRIM(MID(MID(Sync!$L657,FIND("/",Sync!$L657)+1,20),FIND("/",MID(Sync!$L657,FIND("/",Sync!$L657)+1,20))+1,20))),2),"")))</f>
        <v/>
      </c>
    </row>
    <row r="658">
      <c r="M658">
        <f>IF(Sync!$M658&lt;&gt;"پاس چک","",IF(Sync!$P658="","",Sync!$P658))</f>
        <v/>
      </c>
      <c r="N658">
        <f>IF($M658="","",IF(ISNUMBER(Sync!$L658),IF(AND(Sync!$L658&gt;=10000101,Sync!$L658&lt;=99991231),RIGHT("0000"&amp;INT(Sync!$L658/10000),4)&amp;"/"&amp;RIGHT("00"&amp;INT(MOD(Sync!$L658,10000)/100),2)&amp;"/"&amp;RIGHT("00"&amp;MOD(Sync!$L658,100),2),""),IFERROR(RIGHT("0000"&amp;VALUE(TRIM(LEFT(Sync!$L658,FIND("/",Sync!$L658)-1))),4)&amp;"/"&amp;RIGHT("00"&amp;VALUE(TRIM(LEFT(MID(Sync!$L658,FIND("/",Sync!$L658)+1,20),FIND("/",MID(Sync!$L658,FIND("/",Sync!$L658)+1,20))-1))),2)&amp;"/"&amp;RIGHT("00"&amp;VALUE(TRIM(MID(MID(Sync!$L658,FIND("/",Sync!$L658)+1,20),FIND("/",MID(Sync!$L658,FIND("/",Sync!$L658)+1,20))+1,20))),2),"")))</f>
        <v/>
      </c>
    </row>
    <row r="659">
      <c r="M659">
        <f>IF(Sync!$M659&lt;&gt;"پاس چک","",IF(Sync!$P659="","",Sync!$P659))</f>
        <v/>
      </c>
      <c r="N659">
        <f>IF($M659="","",IF(ISNUMBER(Sync!$L659),IF(AND(Sync!$L659&gt;=10000101,Sync!$L659&lt;=99991231),RIGHT("0000"&amp;INT(Sync!$L659/10000),4)&amp;"/"&amp;RIGHT("00"&amp;INT(MOD(Sync!$L659,10000)/100),2)&amp;"/"&amp;RIGHT("00"&amp;MOD(Sync!$L659,100),2),""),IFERROR(RIGHT("0000"&amp;VALUE(TRIM(LEFT(Sync!$L659,FIND("/",Sync!$L659)-1))),4)&amp;"/"&amp;RIGHT("00"&amp;VALUE(TRIM(LEFT(MID(Sync!$L659,FIND("/",Sync!$L659)+1,20),FIND("/",MID(Sync!$L659,FIND("/",Sync!$L659)+1,20))-1))),2)&amp;"/"&amp;RIGHT("00"&amp;VALUE(TRIM(MID(MID(Sync!$L659,FIND("/",Sync!$L659)+1,20),FIND("/",MID(Sync!$L659,FIND("/",Sync!$L659)+1,20))+1,20))),2),"")))</f>
        <v/>
      </c>
    </row>
    <row r="660">
      <c r="M660">
        <f>IF(Sync!$M660&lt;&gt;"پاس چک","",IF(Sync!$P660="","",Sync!$P660))</f>
        <v/>
      </c>
      <c r="N660">
        <f>IF($M660="","",IF(ISNUMBER(Sync!$L660),IF(AND(Sync!$L660&gt;=10000101,Sync!$L660&lt;=99991231),RIGHT("0000"&amp;INT(Sync!$L660/10000),4)&amp;"/"&amp;RIGHT("00"&amp;INT(MOD(Sync!$L660,10000)/100),2)&amp;"/"&amp;RIGHT("00"&amp;MOD(Sync!$L660,100),2),""),IFERROR(RIGHT("0000"&amp;VALUE(TRIM(LEFT(Sync!$L660,FIND("/",Sync!$L660)-1))),4)&amp;"/"&amp;RIGHT("00"&amp;VALUE(TRIM(LEFT(MID(Sync!$L660,FIND("/",Sync!$L660)+1,20),FIND("/",MID(Sync!$L660,FIND("/",Sync!$L660)+1,20))-1))),2)&amp;"/"&amp;RIGHT("00"&amp;VALUE(TRIM(MID(MID(Sync!$L660,FIND("/",Sync!$L660)+1,20),FIND("/",MID(Sync!$L660,FIND("/",Sync!$L660)+1,20))+1,20))),2),"")))</f>
        <v/>
      </c>
    </row>
    <row r="661">
      <c r="M661">
        <f>IF(Sync!$M661&lt;&gt;"پاس چک","",IF(Sync!$P661="","",Sync!$P661))</f>
        <v/>
      </c>
      <c r="N661">
        <f>IF($M661="","",IF(ISNUMBER(Sync!$L661),IF(AND(Sync!$L661&gt;=10000101,Sync!$L661&lt;=99991231),RIGHT("0000"&amp;INT(Sync!$L661/10000),4)&amp;"/"&amp;RIGHT("00"&amp;INT(MOD(Sync!$L661,10000)/100),2)&amp;"/"&amp;RIGHT("00"&amp;MOD(Sync!$L661,100),2),""),IFERROR(RIGHT("0000"&amp;VALUE(TRIM(LEFT(Sync!$L661,FIND("/",Sync!$L661)-1))),4)&amp;"/"&amp;RIGHT("00"&amp;VALUE(TRIM(LEFT(MID(Sync!$L661,FIND("/",Sync!$L661)+1,20),FIND("/",MID(Sync!$L661,FIND("/",Sync!$L661)+1,20))-1))),2)&amp;"/"&amp;RIGHT("00"&amp;VALUE(TRIM(MID(MID(Sync!$L661,FIND("/",Sync!$L661)+1,20),FIND("/",MID(Sync!$L661,FIND("/",Sync!$L661)+1,20))+1,20))),2),"")))</f>
        <v/>
      </c>
    </row>
    <row r="662">
      <c r="M662">
        <f>IF(Sync!$M662&lt;&gt;"پاس چک","",IF(Sync!$P662="","",Sync!$P662))</f>
        <v/>
      </c>
      <c r="N662">
        <f>IF($M662="","",IF(ISNUMBER(Sync!$L662),IF(AND(Sync!$L662&gt;=10000101,Sync!$L662&lt;=99991231),RIGHT("0000"&amp;INT(Sync!$L662/10000),4)&amp;"/"&amp;RIGHT("00"&amp;INT(MOD(Sync!$L662,10000)/100),2)&amp;"/"&amp;RIGHT("00"&amp;MOD(Sync!$L662,100),2),""),IFERROR(RIGHT("0000"&amp;VALUE(TRIM(LEFT(Sync!$L662,FIND("/",Sync!$L662)-1))),4)&amp;"/"&amp;RIGHT("00"&amp;VALUE(TRIM(LEFT(MID(Sync!$L662,FIND("/",Sync!$L662)+1,20),FIND("/",MID(Sync!$L662,FIND("/",Sync!$L662)+1,20))-1))),2)&amp;"/"&amp;RIGHT("00"&amp;VALUE(TRIM(MID(MID(Sync!$L662,FIND("/",Sync!$L662)+1,20),FIND("/",MID(Sync!$L662,FIND("/",Sync!$L662)+1,20))+1,20))),2),"")))</f>
        <v/>
      </c>
    </row>
    <row r="663">
      <c r="M663">
        <f>IF(Sync!$M663&lt;&gt;"پاس چک","",IF(Sync!$P663="","",Sync!$P663))</f>
        <v/>
      </c>
      <c r="N663">
        <f>IF($M663="","",IF(ISNUMBER(Sync!$L663),IF(AND(Sync!$L663&gt;=10000101,Sync!$L663&lt;=99991231),RIGHT("0000"&amp;INT(Sync!$L663/10000),4)&amp;"/"&amp;RIGHT("00"&amp;INT(MOD(Sync!$L663,10000)/100),2)&amp;"/"&amp;RIGHT("00"&amp;MOD(Sync!$L663,100),2),""),IFERROR(RIGHT("0000"&amp;VALUE(TRIM(LEFT(Sync!$L663,FIND("/",Sync!$L663)-1))),4)&amp;"/"&amp;RIGHT("00"&amp;VALUE(TRIM(LEFT(MID(Sync!$L663,FIND("/",Sync!$L663)+1,20),FIND("/",MID(Sync!$L663,FIND("/",Sync!$L663)+1,20))-1))),2)&amp;"/"&amp;RIGHT("00"&amp;VALUE(TRIM(MID(MID(Sync!$L663,FIND("/",Sync!$L663)+1,20),FIND("/",MID(Sync!$L663,FIND("/",Sync!$L663)+1,20))+1,20))),2),"")))</f>
        <v/>
      </c>
    </row>
    <row r="664">
      <c r="M664">
        <f>IF(Sync!$M664&lt;&gt;"پاس چک","",IF(Sync!$P664="","",Sync!$P664))</f>
        <v/>
      </c>
      <c r="N664">
        <f>IF($M664="","",IF(ISNUMBER(Sync!$L664),IF(AND(Sync!$L664&gt;=10000101,Sync!$L664&lt;=99991231),RIGHT("0000"&amp;INT(Sync!$L664/10000),4)&amp;"/"&amp;RIGHT("00"&amp;INT(MOD(Sync!$L664,10000)/100),2)&amp;"/"&amp;RIGHT("00"&amp;MOD(Sync!$L664,100),2),""),IFERROR(RIGHT("0000"&amp;VALUE(TRIM(LEFT(Sync!$L664,FIND("/",Sync!$L664)-1))),4)&amp;"/"&amp;RIGHT("00"&amp;VALUE(TRIM(LEFT(MID(Sync!$L664,FIND("/",Sync!$L664)+1,20),FIND("/",MID(Sync!$L664,FIND("/",Sync!$L664)+1,20))-1))),2)&amp;"/"&amp;RIGHT("00"&amp;VALUE(TRIM(MID(MID(Sync!$L664,FIND("/",Sync!$L664)+1,20),FIND("/",MID(Sync!$L664,FIND("/",Sync!$L664)+1,20))+1,20))),2),"")))</f>
        <v/>
      </c>
    </row>
    <row r="665">
      <c r="M665">
        <f>IF(Sync!$M665&lt;&gt;"پاس چک","",IF(Sync!$P665="","",Sync!$P665))</f>
        <v/>
      </c>
      <c r="N665">
        <f>IF($M665="","",IF(ISNUMBER(Sync!$L665),IF(AND(Sync!$L665&gt;=10000101,Sync!$L665&lt;=99991231),RIGHT("0000"&amp;INT(Sync!$L665/10000),4)&amp;"/"&amp;RIGHT("00"&amp;INT(MOD(Sync!$L665,10000)/100),2)&amp;"/"&amp;RIGHT("00"&amp;MOD(Sync!$L665,100),2),""),IFERROR(RIGHT("0000"&amp;VALUE(TRIM(LEFT(Sync!$L665,FIND("/",Sync!$L665)-1))),4)&amp;"/"&amp;RIGHT("00"&amp;VALUE(TRIM(LEFT(MID(Sync!$L665,FIND("/",Sync!$L665)+1,20),FIND("/",MID(Sync!$L665,FIND("/",Sync!$L665)+1,20))-1))),2)&amp;"/"&amp;RIGHT("00"&amp;VALUE(TRIM(MID(MID(Sync!$L665,FIND("/",Sync!$L665)+1,20),FIND("/",MID(Sync!$L665,FIND("/",Sync!$L665)+1,20))+1,20))),2),"")))</f>
        <v/>
      </c>
    </row>
    <row r="666">
      <c r="M666">
        <f>IF(Sync!$M666&lt;&gt;"پاس چک","",IF(Sync!$P666="","",Sync!$P666))</f>
        <v/>
      </c>
      <c r="N666">
        <f>IF($M666="","",IF(ISNUMBER(Sync!$L666),IF(AND(Sync!$L666&gt;=10000101,Sync!$L666&lt;=99991231),RIGHT("0000"&amp;INT(Sync!$L666/10000),4)&amp;"/"&amp;RIGHT("00"&amp;INT(MOD(Sync!$L666,10000)/100),2)&amp;"/"&amp;RIGHT("00"&amp;MOD(Sync!$L666,100),2),""),IFERROR(RIGHT("0000"&amp;VALUE(TRIM(LEFT(Sync!$L666,FIND("/",Sync!$L666)-1))),4)&amp;"/"&amp;RIGHT("00"&amp;VALUE(TRIM(LEFT(MID(Sync!$L666,FIND("/",Sync!$L666)+1,20),FIND("/",MID(Sync!$L666,FIND("/",Sync!$L666)+1,20))-1))),2)&amp;"/"&amp;RIGHT("00"&amp;VALUE(TRIM(MID(MID(Sync!$L666,FIND("/",Sync!$L666)+1,20),FIND("/",MID(Sync!$L666,FIND("/",Sync!$L666)+1,20))+1,20))),2),"")))</f>
        <v/>
      </c>
    </row>
    <row r="667">
      <c r="M667">
        <f>IF(Sync!$M667&lt;&gt;"پاس چک","",IF(Sync!$P667="","",Sync!$P667))</f>
        <v/>
      </c>
      <c r="N667">
        <f>IF($M667="","",IF(ISNUMBER(Sync!$L667),IF(AND(Sync!$L667&gt;=10000101,Sync!$L667&lt;=99991231),RIGHT("0000"&amp;INT(Sync!$L667/10000),4)&amp;"/"&amp;RIGHT("00"&amp;INT(MOD(Sync!$L667,10000)/100),2)&amp;"/"&amp;RIGHT("00"&amp;MOD(Sync!$L667,100),2),""),IFERROR(RIGHT("0000"&amp;VALUE(TRIM(LEFT(Sync!$L667,FIND("/",Sync!$L667)-1))),4)&amp;"/"&amp;RIGHT("00"&amp;VALUE(TRIM(LEFT(MID(Sync!$L667,FIND("/",Sync!$L667)+1,20),FIND("/",MID(Sync!$L667,FIND("/",Sync!$L667)+1,20))-1))),2)&amp;"/"&amp;RIGHT("00"&amp;VALUE(TRIM(MID(MID(Sync!$L667,FIND("/",Sync!$L667)+1,20),FIND("/",MID(Sync!$L667,FIND("/",Sync!$L667)+1,20))+1,20))),2),"")))</f>
        <v/>
      </c>
    </row>
    <row r="668">
      <c r="M668">
        <f>IF(Sync!$M668&lt;&gt;"پاس چک","",IF(Sync!$P668="","",Sync!$P668))</f>
        <v/>
      </c>
      <c r="N668">
        <f>IF($M668="","",IF(ISNUMBER(Sync!$L668),IF(AND(Sync!$L668&gt;=10000101,Sync!$L668&lt;=99991231),RIGHT("0000"&amp;INT(Sync!$L668/10000),4)&amp;"/"&amp;RIGHT("00"&amp;INT(MOD(Sync!$L668,10000)/100),2)&amp;"/"&amp;RIGHT("00"&amp;MOD(Sync!$L668,100),2),""),IFERROR(RIGHT("0000"&amp;VALUE(TRIM(LEFT(Sync!$L668,FIND("/",Sync!$L668)-1))),4)&amp;"/"&amp;RIGHT("00"&amp;VALUE(TRIM(LEFT(MID(Sync!$L668,FIND("/",Sync!$L668)+1,20),FIND("/",MID(Sync!$L668,FIND("/",Sync!$L668)+1,20))-1))),2)&amp;"/"&amp;RIGHT("00"&amp;VALUE(TRIM(MID(MID(Sync!$L668,FIND("/",Sync!$L668)+1,20),FIND("/",MID(Sync!$L668,FIND("/",Sync!$L668)+1,20))+1,20))),2),"")))</f>
        <v/>
      </c>
    </row>
    <row r="669">
      <c r="M669">
        <f>IF(Sync!$M669&lt;&gt;"پاس چک","",IF(Sync!$P669="","",Sync!$P669))</f>
        <v/>
      </c>
      <c r="N669">
        <f>IF($M669="","",IF(ISNUMBER(Sync!$L669),IF(AND(Sync!$L669&gt;=10000101,Sync!$L669&lt;=99991231),RIGHT("0000"&amp;INT(Sync!$L669/10000),4)&amp;"/"&amp;RIGHT("00"&amp;INT(MOD(Sync!$L669,10000)/100),2)&amp;"/"&amp;RIGHT("00"&amp;MOD(Sync!$L669,100),2),""),IFERROR(RIGHT("0000"&amp;VALUE(TRIM(LEFT(Sync!$L669,FIND("/",Sync!$L669)-1))),4)&amp;"/"&amp;RIGHT("00"&amp;VALUE(TRIM(LEFT(MID(Sync!$L669,FIND("/",Sync!$L669)+1,20),FIND("/",MID(Sync!$L669,FIND("/",Sync!$L669)+1,20))-1))),2)&amp;"/"&amp;RIGHT("00"&amp;VALUE(TRIM(MID(MID(Sync!$L669,FIND("/",Sync!$L669)+1,20),FIND("/",MID(Sync!$L669,FIND("/",Sync!$L669)+1,20))+1,20))),2),"")))</f>
        <v/>
      </c>
    </row>
    <row r="670">
      <c r="M670">
        <f>IF(Sync!$M670&lt;&gt;"پاس چک","",IF(Sync!$P670="","",Sync!$P670))</f>
        <v/>
      </c>
      <c r="N670">
        <f>IF($M670="","",IF(ISNUMBER(Sync!$L670),IF(AND(Sync!$L670&gt;=10000101,Sync!$L670&lt;=99991231),RIGHT("0000"&amp;INT(Sync!$L670/10000),4)&amp;"/"&amp;RIGHT("00"&amp;INT(MOD(Sync!$L670,10000)/100),2)&amp;"/"&amp;RIGHT("00"&amp;MOD(Sync!$L670,100),2),""),IFERROR(RIGHT("0000"&amp;VALUE(TRIM(LEFT(Sync!$L670,FIND("/",Sync!$L670)-1))),4)&amp;"/"&amp;RIGHT("00"&amp;VALUE(TRIM(LEFT(MID(Sync!$L670,FIND("/",Sync!$L670)+1,20),FIND("/",MID(Sync!$L670,FIND("/",Sync!$L670)+1,20))-1))),2)&amp;"/"&amp;RIGHT("00"&amp;VALUE(TRIM(MID(MID(Sync!$L670,FIND("/",Sync!$L670)+1,20),FIND("/",MID(Sync!$L670,FIND("/",Sync!$L670)+1,20))+1,20))),2),"")))</f>
        <v/>
      </c>
    </row>
    <row r="671">
      <c r="M671">
        <f>IF(Sync!$M671&lt;&gt;"پاس چک","",IF(Sync!$P671="","",Sync!$P671))</f>
        <v/>
      </c>
      <c r="N671">
        <f>IF($M671="","",IF(ISNUMBER(Sync!$L671),IF(AND(Sync!$L671&gt;=10000101,Sync!$L671&lt;=99991231),RIGHT("0000"&amp;INT(Sync!$L671/10000),4)&amp;"/"&amp;RIGHT("00"&amp;INT(MOD(Sync!$L671,10000)/100),2)&amp;"/"&amp;RIGHT("00"&amp;MOD(Sync!$L671,100),2),""),IFERROR(RIGHT("0000"&amp;VALUE(TRIM(LEFT(Sync!$L671,FIND("/",Sync!$L671)-1))),4)&amp;"/"&amp;RIGHT("00"&amp;VALUE(TRIM(LEFT(MID(Sync!$L671,FIND("/",Sync!$L671)+1,20),FIND("/",MID(Sync!$L671,FIND("/",Sync!$L671)+1,20))-1))),2)&amp;"/"&amp;RIGHT("00"&amp;VALUE(TRIM(MID(MID(Sync!$L671,FIND("/",Sync!$L671)+1,20),FIND("/",MID(Sync!$L671,FIND("/",Sync!$L671)+1,20))+1,20))),2),"")))</f>
        <v/>
      </c>
    </row>
    <row r="672">
      <c r="M672">
        <f>IF(Sync!$M672&lt;&gt;"پاس چک","",IF(Sync!$P672="","",Sync!$P672))</f>
        <v/>
      </c>
      <c r="N672">
        <f>IF($M672="","",IF(ISNUMBER(Sync!$L672),IF(AND(Sync!$L672&gt;=10000101,Sync!$L672&lt;=99991231),RIGHT("0000"&amp;INT(Sync!$L672/10000),4)&amp;"/"&amp;RIGHT("00"&amp;INT(MOD(Sync!$L672,10000)/100),2)&amp;"/"&amp;RIGHT("00"&amp;MOD(Sync!$L672,100),2),""),IFERROR(RIGHT("0000"&amp;VALUE(TRIM(LEFT(Sync!$L672,FIND("/",Sync!$L672)-1))),4)&amp;"/"&amp;RIGHT("00"&amp;VALUE(TRIM(LEFT(MID(Sync!$L672,FIND("/",Sync!$L672)+1,20),FIND("/",MID(Sync!$L672,FIND("/",Sync!$L672)+1,20))-1))),2)&amp;"/"&amp;RIGHT("00"&amp;VALUE(TRIM(MID(MID(Sync!$L672,FIND("/",Sync!$L672)+1,20),FIND("/",MID(Sync!$L672,FIND("/",Sync!$L672)+1,20))+1,20))),2),"")))</f>
        <v/>
      </c>
    </row>
    <row r="673">
      <c r="M673">
        <f>IF(Sync!$M673&lt;&gt;"پاس چک","",IF(Sync!$P673="","",Sync!$P673))</f>
        <v/>
      </c>
      <c r="N673">
        <f>IF($M673="","",IF(ISNUMBER(Sync!$L673),IF(AND(Sync!$L673&gt;=10000101,Sync!$L673&lt;=99991231),RIGHT("0000"&amp;INT(Sync!$L673/10000),4)&amp;"/"&amp;RIGHT("00"&amp;INT(MOD(Sync!$L673,10000)/100),2)&amp;"/"&amp;RIGHT("00"&amp;MOD(Sync!$L673,100),2),""),IFERROR(RIGHT("0000"&amp;VALUE(TRIM(LEFT(Sync!$L673,FIND("/",Sync!$L673)-1))),4)&amp;"/"&amp;RIGHT("00"&amp;VALUE(TRIM(LEFT(MID(Sync!$L673,FIND("/",Sync!$L673)+1,20),FIND("/",MID(Sync!$L673,FIND("/",Sync!$L673)+1,20))-1))),2)&amp;"/"&amp;RIGHT("00"&amp;VALUE(TRIM(MID(MID(Sync!$L673,FIND("/",Sync!$L673)+1,20),FIND("/",MID(Sync!$L673,FIND("/",Sync!$L673)+1,20))+1,20))),2),"")))</f>
        <v/>
      </c>
    </row>
    <row r="674">
      <c r="M674">
        <f>IF(Sync!$M674&lt;&gt;"پاس چک","",IF(Sync!$P674="","",Sync!$P674))</f>
        <v/>
      </c>
      <c r="N674">
        <f>IF($M674="","",IF(ISNUMBER(Sync!$L674),IF(AND(Sync!$L674&gt;=10000101,Sync!$L674&lt;=99991231),RIGHT("0000"&amp;INT(Sync!$L674/10000),4)&amp;"/"&amp;RIGHT("00"&amp;INT(MOD(Sync!$L674,10000)/100),2)&amp;"/"&amp;RIGHT("00"&amp;MOD(Sync!$L674,100),2),""),IFERROR(RIGHT("0000"&amp;VALUE(TRIM(LEFT(Sync!$L674,FIND("/",Sync!$L674)-1))),4)&amp;"/"&amp;RIGHT("00"&amp;VALUE(TRIM(LEFT(MID(Sync!$L674,FIND("/",Sync!$L674)+1,20),FIND("/",MID(Sync!$L674,FIND("/",Sync!$L674)+1,20))-1))),2)&amp;"/"&amp;RIGHT("00"&amp;VALUE(TRIM(MID(MID(Sync!$L674,FIND("/",Sync!$L674)+1,20),FIND("/",MID(Sync!$L674,FIND("/",Sync!$L674)+1,20))+1,20))),2),"")))</f>
        <v/>
      </c>
    </row>
    <row r="675">
      <c r="M675">
        <f>IF(Sync!$M675&lt;&gt;"پاس چک","",IF(Sync!$P675="","",Sync!$P675))</f>
        <v/>
      </c>
      <c r="N675">
        <f>IF($M675="","",IF(ISNUMBER(Sync!$L675),IF(AND(Sync!$L675&gt;=10000101,Sync!$L675&lt;=99991231),RIGHT("0000"&amp;INT(Sync!$L675/10000),4)&amp;"/"&amp;RIGHT("00"&amp;INT(MOD(Sync!$L675,10000)/100),2)&amp;"/"&amp;RIGHT("00"&amp;MOD(Sync!$L675,100),2),""),IFERROR(RIGHT("0000"&amp;VALUE(TRIM(LEFT(Sync!$L675,FIND("/",Sync!$L675)-1))),4)&amp;"/"&amp;RIGHT("00"&amp;VALUE(TRIM(LEFT(MID(Sync!$L675,FIND("/",Sync!$L675)+1,20),FIND("/",MID(Sync!$L675,FIND("/",Sync!$L675)+1,20))-1))),2)&amp;"/"&amp;RIGHT("00"&amp;VALUE(TRIM(MID(MID(Sync!$L675,FIND("/",Sync!$L675)+1,20),FIND("/",MID(Sync!$L675,FIND("/",Sync!$L675)+1,20))+1,20))),2),"")))</f>
        <v/>
      </c>
    </row>
    <row r="676">
      <c r="M676">
        <f>IF(Sync!$M676&lt;&gt;"پاس چک","",IF(Sync!$P676="","",Sync!$P676))</f>
        <v/>
      </c>
      <c r="N676">
        <f>IF($M676="","",IF(ISNUMBER(Sync!$L676),IF(AND(Sync!$L676&gt;=10000101,Sync!$L676&lt;=99991231),RIGHT("0000"&amp;INT(Sync!$L676/10000),4)&amp;"/"&amp;RIGHT("00"&amp;INT(MOD(Sync!$L676,10000)/100),2)&amp;"/"&amp;RIGHT("00"&amp;MOD(Sync!$L676,100),2),""),IFERROR(RIGHT("0000"&amp;VALUE(TRIM(LEFT(Sync!$L676,FIND("/",Sync!$L676)-1))),4)&amp;"/"&amp;RIGHT("00"&amp;VALUE(TRIM(LEFT(MID(Sync!$L676,FIND("/",Sync!$L676)+1,20),FIND("/",MID(Sync!$L676,FIND("/",Sync!$L676)+1,20))-1))),2)&amp;"/"&amp;RIGHT("00"&amp;VALUE(TRIM(MID(MID(Sync!$L676,FIND("/",Sync!$L676)+1,20),FIND("/",MID(Sync!$L676,FIND("/",Sync!$L676)+1,20))+1,20))),2),"")))</f>
        <v/>
      </c>
    </row>
    <row r="677">
      <c r="M677">
        <f>IF(Sync!$M677&lt;&gt;"پاس چک","",IF(Sync!$P677="","",Sync!$P677))</f>
        <v/>
      </c>
      <c r="N677">
        <f>IF($M677="","",IF(ISNUMBER(Sync!$L677),IF(AND(Sync!$L677&gt;=10000101,Sync!$L677&lt;=99991231),RIGHT("0000"&amp;INT(Sync!$L677/10000),4)&amp;"/"&amp;RIGHT("00"&amp;INT(MOD(Sync!$L677,10000)/100),2)&amp;"/"&amp;RIGHT("00"&amp;MOD(Sync!$L677,100),2),""),IFERROR(RIGHT("0000"&amp;VALUE(TRIM(LEFT(Sync!$L677,FIND("/",Sync!$L677)-1))),4)&amp;"/"&amp;RIGHT("00"&amp;VALUE(TRIM(LEFT(MID(Sync!$L677,FIND("/",Sync!$L677)+1,20),FIND("/",MID(Sync!$L677,FIND("/",Sync!$L677)+1,20))-1))),2)&amp;"/"&amp;RIGHT("00"&amp;VALUE(TRIM(MID(MID(Sync!$L677,FIND("/",Sync!$L677)+1,20),FIND("/",MID(Sync!$L677,FIND("/",Sync!$L677)+1,20))+1,20))),2),"")))</f>
        <v/>
      </c>
    </row>
    <row r="678">
      <c r="M678">
        <f>IF(Sync!$M678&lt;&gt;"پاس چک","",IF(Sync!$P678="","",Sync!$P678))</f>
        <v/>
      </c>
      <c r="N678">
        <f>IF($M678="","",IF(ISNUMBER(Sync!$L678),IF(AND(Sync!$L678&gt;=10000101,Sync!$L678&lt;=99991231),RIGHT("0000"&amp;INT(Sync!$L678/10000),4)&amp;"/"&amp;RIGHT("00"&amp;INT(MOD(Sync!$L678,10000)/100),2)&amp;"/"&amp;RIGHT("00"&amp;MOD(Sync!$L678,100),2),""),IFERROR(RIGHT("0000"&amp;VALUE(TRIM(LEFT(Sync!$L678,FIND("/",Sync!$L678)-1))),4)&amp;"/"&amp;RIGHT("00"&amp;VALUE(TRIM(LEFT(MID(Sync!$L678,FIND("/",Sync!$L678)+1,20),FIND("/",MID(Sync!$L678,FIND("/",Sync!$L678)+1,20))-1))),2)&amp;"/"&amp;RIGHT("00"&amp;VALUE(TRIM(MID(MID(Sync!$L678,FIND("/",Sync!$L678)+1,20),FIND("/",MID(Sync!$L678,FIND("/",Sync!$L678)+1,20))+1,20))),2),"")))</f>
        <v/>
      </c>
    </row>
    <row r="679">
      <c r="M679">
        <f>IF(Sync!$M679&lt;&gt;"پاس چک","",IF(Sync!$P679="","",Sync!$P679))</f>
        <v/>
      </c>
      <c r="N679">
        <f>IF($M679="","",IF(ISNUMBER(Sync!$L679),IF(AND(Sync!$L679&gt;=10000101,Sync!$L679&lt;=99991231),RIGHT("0000"&amp;INT(Sync!$L679/10000),4)&amp;"/"&amp;RIGHT("00"&amp;INT(MOD(Sync!$L679,10000)/100),2)&amp;"/"&amp;RIGHT("00"&amp;MOD(Sync!$L679,100),2),""),IFERROR(RIGHT("0000"&amp;VALUE(TRIM(LEFT(Sync!$L679,FIND("/",Sync!$L679)-1))),4)&amp;"/"&amp;RIGHT("00"&amp;VALUE(TRIM(LEFT(MID(Sync!$L679,FIND("/",Sync!$L679)+1,20),FIND("/",MID(Sync!$L679,FIND("/",Sync!$L679)+1,20))-1))),2)&amp;"/"&amp;RIGHT("00"&amp;VALUE(TRIM(MID(MID(Sync!$L679,FIND("/",Sync!$L679)+1,20),FIND("/",MID(Sync!$L679,FIND("/",Sync!$L679)+1,20))+1,20))),2),"")))</f>
        <v/>
      </c>
    </row>
    <row r="680">
      <c r="M680">
        <f>IF(Sync!$M680&lt;&gt;"پاس چک","",IF(Sync!$P680="","",Sync!$P680))</f>
        <v/>
      </c>
      <c r="N680">
        <f>IF($M680="","",IF(ISNUMBER(Sync!$L680),IF(AND(Sync!$L680&gt;=10000101,Sync!$L680&lt;=99991231),RIGHT("0000"&amp;INT(Sync!$L680/10000),4)&amp;"/"&amp;RIGHT("00"&amp;INT(MOD(Sync!$L680,10000)/100),2)&amp;"/"&amp;RIGHT("00"&amp;MOD(Sync!$L680,100),2),""),IFERROR(RIGHT("0000"&amp;VALUE(TRIM(LEFT(Sync!$L680,FIND("/",Sync!$L680)-1))),4)&amp;"/"&amp;RIGHT("00"&amp;VALUE(TRIM(LEFT(MID(Sync!$L680,FIND("/",Sync!$L680)+1,20),FIND("/",MID(Sync!$L680,FIND("/",Sync!$L680)+1,20))-1))),2)&amp;"/"&amp;RIGHT("00"&amp;VALUE(TRIM(MID(MID(Sync!$L680,FIND("/",Sync!$L680)+1,20),FIND("/",MID(Sync!$L680,FIND("/",Sync!$L680)+1,20))+1,20))),2),"")))</f>
        <v/>
      </c>
    </row>
    <row r="681">
      <c r="M681">
        <f>IF(Sync!$M681&lt;&gt;"پاس چک","",IF(Sync!$P681="","",Sync!$P681))</f>
        <v/>
      </c>
      <c r="N681">
        <f>IF($M681="","",IF(ISNUMBER(Sync!$L681),IF(AND(Sync!$L681&gt;=10000101,Sync!$L681&lt;=99991231),RIGHT("0000"&amp;INT(Sync!$L681/10000),4)&amp;"/"&amp;RIGHT("00"&amp;INT(MOD(Sync!$L681,10000)/100),2)&amp;"/"&amp;RIGHT("00"&amp;MOD(Sync!$L681,100),2),""),IFERROR(RIGHT("0000"&amp;VALUE(TRIM(LEFT(Sync!$L681,FIND("/",Sync!$L681)-1))),4)&amp;"/"&amp;RIGHT("00"&amp;VALUE(TRIM(LEFT(MID(Sync!$L681,FIND("/",Sync!$L681)+1,20),FIND("/",MID(Sync!$L681,FIND("/",Sync!$L681)+1,20))-1))),2)&amp;"/"&amp;RIGHT("00"&amp;VALUE(TRIM(MID(MID(Sync!$L681,FIND("/",Sync!$L681)+1,20),FIND("/",MID(Sync!$L681,FIND("/",Sync!$L681)+1,20))+1,20))),2),"")))</f>
        <v/>
      </c>
    </row>
    <row r="682">
      <c r="M682">
        <f>IF(Sync!$M682&lt;&gt;"پاس چک","",IF(Sync!$P682="","",Sync!$P682))</f>
        <v/>
      </c>
      <c r="N682">
        <f>IF($M682="","",IF(ISNUMBER(Sync!$L682),IF(AND(Sync!$L682&gt;=10000101,Sync!$L682&lt;=99991231),RIGHT("0000"&amp;INT(Sync!$L682/10000),4)&amp;"/"&amp;RIGHT("00"&amp;INT(MOD(Sync!$L682,10000)/100),2)&amp;"/"&amp;RIGHT("00"&amp;MOD(Sync!$L682,100),2),""),IFERROR(RIGHT("0000"&amp;VALUE(TRIM(LEFT(Sync!$L682,FIND("/",Sync!$L682)-1))),4)&amp;"/"&amp;RIGHT("00"&amp;VALUE(TRIM(LEFT(MID(Sync!$L682,FIND("/",Sync!$L682)+1,20),FIND("/",MID(Sync!$L682,FIND("/",Sync!$L682)+1,20))-1))),2)&amp;"/"&amp;RIGHT("00"&amp;VALUE(TRIM(MID(MID(Sync!$L682,FIND("/",Sync!$L682)+1,20),FIND("/",MID(Sync!$L682,FIND("/",Sync!$L682)+1,20))+1,20))),2),"")))</f>
        <v/>
      </c>
    </row>
    <row r="683">
      <c r="M683">
        <f>IF(Sync!$M683&lt;&gt;"پاس چک","",IF(Sync!$P683="","",Sync!$P683))</f>
        <v/>
      </c>
      <c r="N683">
        <f>IF($M683="","",IF(ISNUMBER(Sync!$L683),IF(AND(Sync!$L683&gt;=10000101,Sync!$L683&lt;=99991231),RIGHT("0000"&amp;INT(Sync!$L683/10000),4)&amp;"/"&amp;RIGHT("00"&amp;INT(MOD(Sync!$L683,10000)/100),2)&amp;"/"&amp;RIGHT("00"&amp;MOD(Sync!$L683,100),2),""),IFERROR(RIGHT("0000"&amp;VALUE(TRIM(LEFT(Sync!$L683,FIND("/",Sync!$L683)-1))),4)&amp;"/"&amp;RIGHT("00"&amp;VALUE(TRIM(LEFT(MID(Sync!$L683,FIND("/",Sync!$L683)+1,20),FIND("/",MID(Sync!$L683,FIND("/",Sync!$L683)+1,20))-1))),2)&amp;"/"&amp;RIGHT("00"&amp;VALUE(TRIM(MID(MID(Sync!$L683,FIND("/",Sync!$L683)+1,20),FIND("/",MID(Sync!$L683,FIND("/",Sync!$L683)+1,20))+1,20))),2),"")))</f>
        <v/>
      </c>
    </row>
    <row r="684">
      <c r="M684">
        <f>IF(Sync!$M684&lt;&gt;"پاس چک","",IF(Sync!$P684="","",Sync!$P684))</f>
        <v/>
      </c>
      <c r="N684">
        <f>IF($M684="","",IF(ISNUMBER(Sync!$L684),IF(AND(Sync!$L684&gt;=10000101,Sync!$L684&lt;=99991231),RIGHT("0000"&amp;INT(Sync!$L684/10000),4)&amp;"/"&amp;RIGHT("00"&amp;INT(MOD(Sync!$L684,10000)/100),2)&amp;"/"&amp;RIGHT("00"&amp;MOD(Sync!$L684,100),2),""),IFERROR(RIGHT("0000"&amp;VALUE(TRIM(LEFT(Sync!$L684,FIND("/",Sync!$L684)-1))),4)&amp;"/"&amp;RIGHT("00"&amp;VALUE(TRIM(LEFT(MID(Sync!$L684,FIND("/",Sync!$L684)+1,20),FIND("/",MID(Sync!$L684,FIND("/",Sync!$L684)+1,20))-1))),2)&amp;"/"&amp;RIGHT("00"&amp;VALUE(TRIM(MID(MID(Sync!$L684,FIND("/",Sync!$L684)+1,20),FIND("/",MID(Sync!$L684,FIND("/",Sync!$L684)+1,20))+1,20))),2),"")))</f>
        <v/>
      </c>
    </row>
    <row r="685">
      <c r="M685">
        <f>IF(Sync!$M685&lt;&gt;"پاس چک","",IF(Sync!$P685="","",Sync!$P685))</f>
        <v/>
      </c>
      <c r="N685">
        <f>IF($M685="","",IF(ISNUMBER(Sync!$L685),IF(AND(Sync!$L685&gt;=10000101,Sync!$L685&lt;=99991231),RIGHT("0000"&amp;INT(Sync!$L685/10000),4)&amp;"/"&amp;RIGHT("00"&amp;INT(MOD(Sync!$L685,10000)/100),2)&amp;"/"&amp;RIGHT("00"&amp;MOD(Sync!$L685,100),2),""),IFERROR(RIGHT("0000"&amp;VALUE(TRIM(LEFT(Sync!$L685,FIND("/",Sync!$L685)-1))),4)&amp;"/"&amp;RIGHT("00"&amp;VALUE(TRIM(LEFT(MID(Sync!$L685,FIND("/",Sync!$L685)+1,20),FIND("/",MID(Sync!$L685,FIND("/",Sync!$L685)+1,20))-1))),2)&amp;"/"&amp;RIGHT("00"&amp;VALUE(TRIM(MID(MID(Sync!$L685,FIND("/",Sync!$L685)+1,20),FIND("/",MID(Sync!$L685,FIND("/",Sync!$L685)+1,20))+1,20))),2),"")))</f>
        <v/>
      </c>
    </row>
    <row r="686">
      <c r="M686">
        <f>IF(Sync!$M686&lt;&gt;"پاس چک","",IF(Sync!$P686="","",Sync!$P686))</f>
        <v/>
      </c>
      <c r="N686">
        <f>IF($M686="","",IF(ISNUMBER(Sync!$L686),IF(AND(Sync!$L686&gt;=10000101,Sync!$L686&lt;=99991231),RIGHT("0000"&amp;INT(Sync!$L686/10000),4)&amp;"/"&amp;RIGHT("00"&amp;INT(MOD(Sync!$L686,10000)/100),2)&amp;"/"&amp;RIGHT("00"&amp;MOD(Sync!$L686,100),2),""),IFERROR(RIGHT("0000"&amp;VALUE(TRIM(LEFT(Sync!$L686,FIND("/",Sync!$L686)-1))),4)&amp;"/"&amp;RIGHT("00"&amp;VALUE(TRIM(LEFT(MID(Sync!$L686,FIND("/",Sync!$L686)+1,20),FIND("/",MID(Sync!$L686,FIND("/",Sync!$L686)+1,20))-1))),2)&amp;"/"&amp;RIGHT("00"&amp;VALUE(TRIM(MID(MID(Sync!$L686,FIND("/",Sync!$L686)+1,20),FIND("/",MID(Sync!$L686,FIND("/",Sync!$L686)+1,20))+1,20))),2),"")))</f>
        <v/>
      </c>
    </row>
    <row r="687">
      <c r="M687">
        <f>IF(Sync!$M687&lt;&gt;"پاس چک","",IF(Sync!$P687="","",Sync!$P687))</f>
        <v/>
      </c>
      <c r="N687">
        <f>IF($M687="","",IF(ISNUMBER(Sync!$L687),IF(AND(Sync!$L687&gt;=10000101,Sync!$L687&lt;=99991231),RIGHT("0000"&amp;INT(Sync!$L687/10000),4)&amp;"/"&amp;RIGHT("00"&amp;INT(MOD(Sync!$L687,10000)/100),2)&amp;"/"&amp;RIGHT("00"&amp;MOD(Sync!$L687,100),2),""),IFERROR(RIGHT("0000"&amp;VALUE(TRIM(LEFT(Sync!$L687,FIND("/",Sync!$L687)-1))),4)&amp;"/"&amp;RIGHT("00"&amp;VALUE(TRIM(LEFT(MID(Sync!$L687,FIND("/",Sync!$L687)+1,20),FIND("/",MID(Sync!$L687,FIND("/",Sync!$L687)+1,20))-1))),2)&amp;"/"&amp;RIGHT("00"&amp;VALUE(TRIM(MID(MID(Sync!$L687,FIND("/",Sync!$L687)+1,20),FIND("/",MID(Sync!$L687,FIND("/",Sync!$L687)+1,20))+1,20))),2),"")))</f>
        <v/>
      </c>
    </row>
    <row r="688">
      <c r="M688">
        <f>IF(Sync!$M688&lt;&gt;"پاس چک","",IF(Sync!$P688="","",Sync!$P688))</f>
        <v/>
      </c>
      <c r="N688">
        <f>IF($M688="","",IF(ISNUMBER(Sync!$L688),IF(AND(Sync!$L688&gt;=10000101,Sync!$L688&lt;=99991231),RIGHT("0000"&amp;INT(Sync!$L688/10000),4)&amp;"/"&amp;RIGHT("00"&amp;INT(MOD(Sync!$L688,10000)/100),2)&amp;"/"&amp;RIGHT("00"&amp;MOD(Sync!$L688,100),2),""),IFERROR(RIGHT("0000"&amp;VALUE(TRIM(LEFT(Sync!$L688,FIND("/",Sync!$L688)-1))),4)&amp;"/"&amp;RIGHT("00"&amp;VALUE(TRIM(LEFT(MID(Sync!$L688,FIND("/",Sync!$L688)+1,20),FIND("/",MID(Sync!$L688,FIND("/",Sync!$L688)+1,20))-1))),2)&amp;"/"&amp;RIGHT("00"&amp;VALUE(TRIM(MID(MID(Sync!$L688,FIND("/",Sync!$L688)+1,20),FIND("/",MID(Sync!$L688,FIND("/",Sync!$L688)+1,20))+1,20))),2),"")))</f>
        <v/>
      </c>
    </row>
    <row r="689">
      <c r="M689">
        <f>IF(Sync!$M689&lt;&gt;"پاس چک","",IF(Sync!$P689="","",Sync!$P689))</f>
        <v/>
      </c>
      <c r="N689">
        <f>IF($M689="","",IF(ISNUMBER(Sync!$L689),IF(AND(Sync!$L689&gt;=10000101,Sync!$L689&lt;=99991231),RIGHT("0000"&amp;INT(Sync!$L689/10000),4)&amp;"/"&amp;RIGHT("00"&amp;INT(MOD(Sync!$L689,10000)/100),2)&amp;"/"&amp;RIGHT("00"&amp;MOD(Sync!$L689,100),2),""),IFERROR(RIGHT("0000"&amp;VALUE(TRIM(LEFT(Sync!$L689,FIND("/",Sync!$L689)-1))),4)&amp;"/"&amp;RIGHT("00"&amp;VALUE(TRIM(LEFT(MID(Sync!$L689,FIND("/",Sync!$L689)+1,20),FIND("/",MID(Sync!$L689,FIND("/",Sync!$L689)+1,20))-1))),2)&amp;"/"&amp;RIGHT("00"&amp;VALUE(TRIM(MID(MID(Sync!$L689,FIND("/",Sync!$L689)+1,20),FIND("/",MID(Sync!$L689,FIND("/",Sync!$L689)+1,20))+1,20))),2),"")))</f>
        <v/>
      </c>
    </row>
    <row r="690">
      <c r="M690">
        <f>IF(Sync!$M690&lt;&gt;"پاس چک","",IF(Sync!$P690="","",Sync!$P690))</f>
        <v/>
      </c>
      <c r="N690">
        <f>IF($M690="","",IF(ISNUMBER(Sync!$L690),IF(AND(Sync!$L690&gt;=10000101,Sync!$L690&lt;=99991231),RIGHT("0000"&amp;INT(Sync!$L690/10000),4)&amp;"/"&amp;RIGHT("00"&amp;INT(MOD(Sync!$L690,10000)/100),2)&amp;"/"&amp;RIGHT("00"&amp;MOD(Sync!$L690,100),2),""),IFERROR(RIGHT("0000"&amp;VALUE(TRIM(LEFT(Sync!$L690,FIND("/",Sync!$L690)-1))),4)&amp;"/"&amp;RIGHT("00"&amp;VALUE(TRIM(LEFT(MID(Sync!$L690,FIND("/",Sync!$L690)+1,20),FIND("/",MID(Sync!$L690,FIND("/",Sync!$L690)+1,20))-1))),2)&amp;"/"&amp;RIGHT("00"&amp;VALUE(TRIM(MID(MID(Sync!$L690,FIND("/",Sync!$L690)+1,20),FIND("/",MID(Sync!$L690,FIND("/",Sync!$L690)+1,20))+1,20))),2),"")))</f>
        <v/>
      </c>
    </row>
    <row r="691">
      <c r="M691">
        <f>IF(Sync!$M691&lt;&gt;"پاس چک","",IF(Sync!$P691="","",Sync!$P691))</f>
        <v/>
      </c>
      <c r="N691">
        <f>IF($M691="","",IF(ISNUMBER(Sync!$L691),IF(AND(Sync!$L691&gt;=10000101,Sync!$L691&lt;=99991231),RIGHT("0000"&amp;INT(Sync!$L691/10000),4)&amp;"/"&amp;RIGHT("00"&amp;INT(MOD(Sync!$L691,10000)/100),2)&amp;"/"&amp;RIGHT("00"&amp;MOD(Sync!$L691,100),2),""),IFERROR(RIGHT("0000"&amp;VALUE(TRIM(LEFT(Sync!$L691,FIND("/",Sync!$L691)-1))),4)&amp;"/"&amp;RIGHT("00"&amp;VALUE(TRIM(LEFT(MID(Sync!$L691,FIND("/",Sync!$L691)+1,20),FIND("/",MID(Sync!$L691,FIND("/",Sync!$L691)+1,20))-1))),2)&amp;"/"&amp;RIGHT("00"&amp;VALUE(TRIM(MID(MID(Sync!$L691,FIND("/",Sync!$L691)+1,20),FIND("/",MID(Sync!$L691,FIND("/",Sync!$L691)+1,20))+1,20))),2),"")))</f>
        <v/>
      </c>
    </row>
    <row r="692">
      <c r="M692">
        <f>IF(Sync!$M692&lt;&gt;"پاس چک","",IF(Sync!$P692="","",Sync!$P692))</f>
        <v/>
      </c>
      <c r="N692">
        <f>IF($M692="","",IF(ISNUMBER(Sync!$L692),IF(AND(Sync!$L692&gt;=10000101,Sync!$L692&lt;=99991231),RIGHT("0000"&amp;INT(Sync!$L692/10000),4)&amp;"/"&amp;RIGHT("00"&amp;INT(MOD(Sync!$L692,10000)/100),2)&amp;"/"&amp;RIGHT("00"&amp;MOD(Sync!$L692,100),2),""),IFERROR(RIGHT("0000"&amp;VALUE(TRIM(LEFT(Sync!$L692,FIND("/",Sync!$L692)-1))),4)&amp;"/"&amp;RIGHT("00"&amp;VALUE(TRIM(LEFT(MID(Sync!$L692,FIND("/",Sync!$L692)+1,20),FIND("/",MID(Sync!$L692,FIND("/",Sync!$L692)+1,20))-1))),2)&amp;"/"&amp;RIGHT("00"&amp;VALUE(TRIM(MID(MID(Sync!$L692,FIND("/",Sync!$L692)+1,20),FIND("/",MID(Sync!$L692,FIND("/",Sync!$L692)+1,20))+1,20))),2),"")))</f>
        <v/>
      </c>
    </row>
    <row r="693">
      <c r="M693">
        <f>IF(Sync!$M693&lt;&gt;"پاس چک","",IF(Sync!$P693="","",Sync!$P693))</f>
        <v/>
      </c>
      <c r="N693">
        <f>IF($M693="","",IF(ISNUMBER(Sync!$L693),IF(AND(Sync!$L693&gt;=10000101,Sync!$L693&lt;=99991231),RIGHT("0000"&amp;INT(Sync!$L693/10000),4)&amp;"/"&amp;RIGHT("00"&amp;INT(MOD(Sync!$L693,10000)/100),2)&amp;"/"&amp;RIGHT("00"&amp;MOD(Sync!$L693,100),2),""),IFERROR(RIGHT("0000"&amp;VALUE(TRIM(LEFT(Sync!$L693,FIND("/",Sync!$L693)-1))),4)&amp;"/"&amp;RIGHT("00"&amp;VALUE(TRIM(LEFT(MID(Sync!$L693,FIND("/",Sync!$L693)+1,20),FIND("/",MID(Sync!$L693,FIND("/",Sync!$L693)+1,20))-1))),2)&amp;"/"&amp;RIGHT("00"&amp;VALUE(TRIM(MID(MID(Sync!$L693,FIND("/",Sync!$L693)+1,20),FIND("/",MID(Sync!$L693,FIND("/",Sync!$L693)+1,20))+1,20))),2),"")))</f>
        <v/>
      </c>
    </row>
    <row r="694">
      <c r="M694">
        <f>IF(Sync!$M694&lt;&gt;"پاس چک","",IF(Sync!$P694="","",Sync!$P694))</f>
        <v/>
      </c>
      <c r="N694">
        <f>IF($M694="","",IF(ISNUMBER(Sync!$L694),IF(AND(Sync!$L694&gt;=10000101,Sync!$L694&lt;=99991231),RIGHT("0000"&amp;INT(Sync!$L694/10000),4)&amp;"/"&amp;RIGHT("00"&amp;INT(MOD(Sync!$L694,10000)/100),2)&amp;"/"&amp;RIGHT("00"&amp;MOD(Sync!$L694,100),2),""),IFERROR(RIGHT("0000"&amp;VALUE(TRIM(LEFT(Sync!$L694,FIND("/",Sync!$L694)-1))),4)&amp;"/"&amp;RIGHT("00"&amp;VALUE(TRIM(LEFT(MID(Sync!$L694,FIND("/",Sync!$L694)+1,20),FIND("/",MID(Sync!$L694,FIND("/",Sync!$L694)+1,20))-1))),2)&amp;"/"&amp;RIGHT("00"&amp;VALUE(TRIM(MID(MID(Sync!$L694,FIND("/",Sync!$L694)+1,20),FIND("/",MID(Sync!$L694,FIND("/",Sync!$L694)+1,20))+1,20))),2),"")))</f>
        <v/>
      </c>
    </row>
    <row r="695">
      <c r="M695">
        <f>IF(Sync!$M695&lt;&gt;"پاس چک","",IF(Sync!$P695="","",Sync!$P695))</f>
        <v/>
      </c>
      <c r="N695">
        <f>IF($M695="","",IF(ISNUMBER(Sync!$L695),IF(AND(Sync!$L695&gt;=10000101,Sync!$L695&lt;=99991231),RIGHT("0000"&amp;INT(Sync!$L695/10000),4)&amp;"/"&amp;RIGHT("00"&amp;INT(MOD(Sync!$L695,10000)/100),2)&amp;"/"&amp;RIGHT("00"&amp;MOD(Sync!$L695,100),2),""),IFERROR(RIGHT("0000"&amp;VALUE(TRIM(LEFT(Sync!$L695,FIND("/",Sync!$L695)-1))),4)&amp;"/"&amp;RIGHT("00"&amp;VALUE(TRIM(LEFT(MID(Sync!$L695,FIND("/",Sync!$L695)+1,20),FIND("/",MID(Sync!$L695,FIND("/",Sync!$L695)+1,20))-1))),2)&amp;"/"&amp;RIGHT("00"&amp;VALUE(TRIM(MID(MID(Sync!$L695,FIND("/",Sync!$L695)+1,20),FIND("/",MID(Sync!$L695,FIND("/",Sync!$L695)+1,20))+1,20))),2),"")))</f>
        <v/>
      </c>
    </row>
    <row r="696">
      <c r="M696">
        <f>IF(Sync!$M696&lt;&gt;"پاس چک","",IF(Sync!$P696="","",Sync!$P696))</f>
        <v/>
      </c>
      <c r="N696">
        <f>IF($M696="","",IF(ISNUMBER(Sync!$L696),IF(AND(Sync!$L696&gt;=10000101,Sync!$L696&lt;=99991231),RIGHT("0000"&amp;INT(Sync!$L696/10000),4)&amp;"/"&amp;RIGHT("00"&amp;INT(MOD(Sync!$L696,10000)/100),2)&amp;"/"&amp;RIGHT("00"&amp;MOD(Sync!$L696,100),2),""),IFERROR(RIGHT("0000"&amp;VALUE(TRIM(LEFT(Sync!$L696,FIND("/",Sync!$L696)-1))),4)&amp;"/"&amp;RIGHT("00"&amp;VALUE(TRIM(LEFT(MID(Sync!$L696,FIND("/",Sync!$L696)+1,20),FIND("/",MID(Sync!$L696,FIND("/",Sync!$L696)+1,20))-1))),2)&amp;"/"&amp;RIGHT("00"&amp;VALUE(TRIM(MID(MID(Sync!$L696,FIND("/",Sync!$L696)+1,20),FIND("/",MID(Sync!$L696,FIND("/",Sync!$L696)+1,20))+1,20))),2),"")))</f>
        <v/>
      </c>
    </row>
    <row r="697">
      <c r="M697">
        <f>IF(Sync!$M697&lt;&gt;"پاس چک","",IF(Sync!$P697="","",Sync!$P697))</f>
        <v/>
      </c>
      <c r="N697">
        <f>IF($M697="","",IF(ISNUMBER(Sync!$L697),IF(AND(Sync!$L697&gt;=10000101,Sync!$L697&lt;=99991231),RIGHT("0000"&amp;INT(Sync!$L697/10000),4)&amp;"/"&amp;RIGHT("00"&amp;INT(MOD(Sync!$L697,10000)/100),2)&amp;"/"&amp;RIGHT("00"&amp;MOD(Sync!$L697,100),2),""),IFERROR(RIGHT("0000"&amp;VALUE(TRIM(LEFT(Sync!$L697,FIND("/",Sync!$L697)-1))),4)&amp;"/"&amp;RIGHT("00"&amp;VALUE(TRIM(LEFT(MID(Sync!$L697,FIND("/",Sync!$L697)+1,20),FIND("/",MID(Sync!$L697,FIND("/",Sync!$L697)+1,20))-1))),2)&amp;"/"&amp;RIGHT("00"&amp;VALUE(TRIM(MID(MID(Sync!$L697,FIND("/",Sync!$L697)+1,20),FIND("/",MID(Sync!$L697,FIND("/",Sync!$L697)+1,20))+1,20))),2),"")))</f>
        <v/>
      </c>
    </row>
    <row r="698">
      <c r="M698">
        <f>IF(Sync!$M698&lt;&gt;"پاس چک","",IF(Sync!$P698="","",Sync!$P698))</f>
        <v/>
      </c>
      <c r="N698">
        <f>IF($M698="","",IF(ISNUMBER(Sync!$L698),IF(AND(Sync!$L698&gt;=10000101,Sync!$L698&lt;=99991231),RIGHT("0000"&amp;INT(Sync!$L698/10000),4)&amp;"/"&amp;RIGHT("00"&amp;INT(MOD(Sync!$L698,10000)/100),2)&amp;"/"&amp;RIGHT("00"&amp;MOD(Sync!$L698,100),2),""),IFERROR(RIGHT("0000"&amp;VALUE(TRIM(LEFT(Sync!$L698,FIND("/",Sync!$L698)-1))),4)&amp;"/"&amp;RIGHT("00"&amp;VALUE(TRIM(LEFT(MID(Sync!$L698,FIND("/",Sync!$L698)+1,20),FIND("/",MID(Sync!$L698,FIND("/",Sync!$L698)+1,20))-1))),2)&amp;"/"&amp;RIGHT("00"&amp;VALUE(TRIM(MID(MID(Sync!$L698,FIND("/",Sync!$L698)+1,20),FIND("/",MID(Sync!$L698,FIND("/",Sync!$L698)+1,20))+1,20))),2),"")))</f>
        <v/>
      </c>
    </row>
    <row r="699">
      <c r="M699">
        <f>IF(Sync!$M699&lt;&gt;"پاس چک","",IF(Sync!$P699="","",Sync!$P699))</f>
        <v/>
      </c>
      <c r="N699">
        <f>IF($M699="","",IF(ISNUMBER(Sync!$L699),IF(AND(Sync!$L699&gt;=10000101,Sync!$L699&lt;=99991231),RIGHT("0000"&amp;INT(Sync!$L699/10000),4)&amp;"/"&amp;RIGHT("00"&amp;INT(MOD(Sync!$L699,10000)/100),2)&amp;"/"&amp;RIGHT("00"&amp;MOD(Sync!$L699,100),2),""),IFERROR(RIGHT("0000"&amp;VALUE(TRIM(LEFT(Sync!$L699,FIND("/",Sync!$L699)-1))),4)&amp;"/"&amp;RIGHT("00"&amp;VALUE(TRIM(LEFT(MID(Sync!$L699,FIND("/",Sync!$L699)+1,20),FIND("/",MID(Sync!$L699,FIND("/",Sync!$L699)+1,20))-1))),2)&amp;"/"&amp;RIGHT("00"&amp;VALUE(TRIM(MID(MID(Sync!$L699,FIND("/",Sync!$L699)+1,20),FIND("/",MID(Sync!$L699,FIND("/",Sync!$L699)+1,20))+1,20))),2),"")))</f>
        <v/>
      </c>
    </row>
    <row r="700">
      <c r="M700">
        <f>IF(Sync!$M700&lt;&gt;"پاس چک","",IF(Sync!$P700="","",Sync!$P700))</f>
        <v/>
      </c>
      <c r="N700">
        <f>IF($M700="","",IF(ISNUMBER(Sync!$L700),IF(AND(Sync!$L700&gt;=10000101,Sync!$L700&lt;=99991231),RIGHT("0000"&amp;INT(Sync!$L700/10000),4)&amp;"/"&amp;RIGHT("00"&amp;INT(MOD(Sync!$L700,10000)/100),2)&amp;"/"&amp;RIGHT("00"&amp;MOD(Sync!$L700,100),2),""),IFERROR(RIGHT("0000"&amp;VALUE(TRIM(LEFT(Sync!$L700,FIND("/",Sync!$L700)-1))),4)&amp;"/"&amp;RIGHT("00"&amp;VALUE(TRIM(LEFT(MID(Sync!$L700,FIND("/",Sync!$L700)+1,20),FIND("/",MID(Sync!$L700,FIND("/",Sync!$L700)+1,20))-1))),2)&amp;"/"&amp;RIGHT("00"&amp;VALUE(TRIM(MID(MID(Sync!$L700,FIND("/",Sync!$L700)+1,20),FIND("/",MID(Sync!$L700,FIND("/",Sync!$L700)+1,20))+1,20))),2),"")))</f>
        <v/>
      </c>
    </row>
    <row r="701">
      <c r="M701">
        <f>IF(Sync!$M701&lt;&gt;"پاس چک","",IF(Sync!$P701="","",Sync!$P701))</f>
        <v/>
      </c>
      <c r="N701">
        <f>IF($M701="","",IF(ISNUMBER(Sync!$L701),IF(AND(Sync!$L701&gt;=10000101,Sync!$L701&lt;=99991231),RIGHT("0000"&amp;INT(Sync!$L701/10000),4)&amp;"/"&amp;RIGHT("00"&amp;INT(MOD(Sync!$L701,10000)/100),2)&amp;"/"&amp;RIGHT("00"&amp;MOD(Sync!$L701,100),2),""),IFERROR(RIGHT("0000"&amp;VALUE(TRIM(LEFT(Sync!$L701,FIND("/",Sync!$L701)-1))),4)&amp;"/"&amp;RIGHT("00"&amp;VALUE(TRIM(LEFT(MID(Sync!$L701,FIND("/",Sync!$L701)+1,20),FIND("/",MID(Sync!$L701,FIND("/",Sync!$L701)+1,20))-1))),2)&amp;"/"&amp;RIGHT("00"&amp;VALUE(TRIM(MID(MID(Sync!$L701,FIND("/",Sync!$L701)+1,20),FIND("/",MID(Sync!$L701,FIND("/",Sync!$L701)+1,20))+1,20))),2),"")))</f>
        <v/>
      </c>
    </row>
    <row r="702">
      <c r="M702">
        <f>IF(Sync!$M702&lt;&gt;"پاس چک","",IF(Sync!$P702="","",Sync!$P702))</f>
        <v/>
      </c>
      <c r="N702">
        <f>IF($M702="","",IF(ISNUMBER(Sync!$L702),IF(AND(Sync!$L702&gt;=10000101,Sync!$L702&lt;=99991231),RIGHT("0000"&amp;INT(Sync!$L702/10000),4)&amp;"/"&amp;RIGHT("00"&amp;INT(MOD(Sync!$L702,10000)/100),2)&amp;"/"&amp;RIGHT("00"&amp;MOD(Sync!$L702,100),2),""),IFERROR(RIGHT("0000"&amp;VALUE(TRIM(LEFT(Sync!$L702,FIND("/",Sync!$L702)-1))),4)&amp;"/"&amp;RIGHT("00"&amp;VALUE(TRIM(LEFT(MID(Sync!$L702,FIND("/",Sync!$L702)+1,20),FIND("/",MID(Sync!$L702,FIND("/",Sync!$L702)+1,20))-1))),2)&amp;"/"&amp;RIGHT("00"&amp;VALUE(TRIM(MID(MID(Sync!$L702,FIND("/",Sync!$L702)+1,20),FIND("/",MID(Sync!$L702,FIND("/",Sync!$L702)+1,20))+1,20))),2),"")))</f>
        <v/>
      </c>
    </row>
    <row r="703">
      <c r="M703">
        <f>IF(Sync!$M703&lt;&gt;"پاس چک","",IF(Sync!$P703="","",Sync!$P703))</f>
        <v/>
      </c>
      <c r="N703">
        <f>IF($M703="","",IF(ISNUMBER(Sync!$L703),IF(AND(Sync!$L703&gt;=10000101,Sync!$L703&lt;=99991231),RIGHT("0000"&amp;INT(Sync!$L703/10000),4)&amp;"/"&amp;RIGHT("00"&amp;INT(MOD(Sync!$L703,10000)/100),2)&amp;"/"&amp;RIGHT("00"&amp;MOD(Sync!$L703,100),2),""),IFERROR(RIGHT("0000"&amp;VALUE(TRIM(LEFT(Sync!$L703,FIND("/",Sync!$L703)-1))),4)&amp;"/"&amp;RIGHT("00"&amp;VALUE(TRIM(LEFT(MID(Sync!$L703,FIND("/",Sync!$L703)+1,20),FIND("/",MID(Sync!$L703,FIND("/",Sync!$L703)+1,20))-1))),2)&amp;"/"&amp;RIGHT("00"&amp;VALUE(TRIM(MID(MID(Sync!$L703,FIND("/",Sync!$L703)+1,20),FIND("/",MID(Sync!$L703,FIND("/",Sync!$L703)+1,20))+1,20))),2),"")))</f>
        <v/>
      </c>
    </row>
    <row r="704">
      <c r="M704">
        <f>IF(Sync!$M704&lt;&gt;"پاس چک","",IF(Sync!$P704="","",Sync!$P704))</f>
        <v/>
      </c>
      <c r="N704">
        <f>IF($M704="","",IF(ISNUMBER(Sync!$L704),IF(AND(Sync!$L704&gt;=10000101,Sync!$L704&lt;=99991231),RIGHT("0000"&amp;INT(Sync!$L704/10000),4)&amp;"/"&amp;RIGHT("00"&amp;INT(MOD(Sync!$L704,10000)/100),2)&amp;"/"&amp;RIGHT("00"&amp;MOD(Sync!$L704,100),2),""),IFERROR(RIGHT("0000"&amp;VALUE(TRIM(LEFT(Sync!$L704,FIND("/",Sync!$L704)-1))),4)&amp;"/"&amp;RIGHT("00"&amp;VALUE(TRIM(LEFT(MID(Sync!$L704,FIND("/",Sync!$L704)+1,20),FIND("/",MID(Sync!$L704,FIND("/",Sync!$L704)+1,20))-1))),2)&amp;"/"&amp;RIGHT("00"&amp;VALUE(TRIM(MID(MID(Sync!$L704,FIND("/",Sync!$L704)+1,20),FIND("/",MID(Sync!$L704,FIND("/",Sync!$L704)+1,20))+1,20))),2),"")))</f>
        <v/>
      </c>
    </row>
    <row r="705">
      <c r="M705">
        <f>IF(Sync!$M705&lt;&gt;"پاس چک","",IF(Sync!$P705="","",Sync!$P705))</f>
        <v/>
      </c>
      <c r="N705">
        <f>IF($M705="","",IF(ISNUMBER(Sync!$L705),IF(AND(Sync!$L705&gt;=10000101,Sync!$L705&lt;=99991231),RIGHT("0000"&amp;INT(Sync!$L705/10000),4)&amp;"/"&amp;RIGHT("00"&amp;INT(MOD(Sync!$L705,10000)/100),2)&amp;"/"&amp;RIGHT("00"&amp;MOD(Sync!$L705,100),2),""),IFERROR(RIGHT("0000"&amp;VALUE(TRIM(LEFT(Sync!$L705,FIND("/",Sync!$L705)-1))),4)&amp;"/"&amp;RIGHT("00"&amp;VALUE(TRIM(LEFT(MID(Sync!$L705,FIND("/",Sync!$L705)+1,20),FIND("/",MID(Sync!$L705,FIND("/",Sync!$L705)+1,20))-1))),2)&amp;"/"&amp;RIGHT("00"&amp;VALUE(TRIM(MID(MID(Sync!$L705,FIND("/",Sync!$L705)+1,20),FIND("/",MID(Sync!$L705,FIND("/",Sync!$L705)+1,20))+1,20))),2),"")))</f>
        <v/>
      </c>
    </row>
    <row r="706">
      <c r="M706">
        <f>IF(Sync!$M706&lt;&gt;"پاس چک","",IF(Sync!$P706="","",Sync!$P706))</f>
        <v/>
      </c>
      <c r="N706">
        <f>IF($M706="","",IF(ISNUMBER(Sync!$L706),IF(AND(Sync!$L706&gt;=10000101,Sync!$L706&lt;=99991231),RIGHT("0000"&amp;INT(Sync!$L706/10000),4)&amp;"/"&amp;RIGHT("00"&amp;INT(MOD(Sync!$L706,10000)/100),2)&amp;"/"&amp;RIGHT("00"&amp;MOD(Sync!$L706,100),2),""),IFERROR(RIGHT("0000"&amp;VALUE(TRIM(LEFT(Sync!$L706,FIND("/",Sync!$L706)-1))),4)&amp;"/"&amp;RIGHT("00"&amp;VALUE(TRIM(LEFT(MID(Sync!$L706,FIND("/",Sync!$L706)+1,20),FIND("/",MID(Sync!$L706,FIND("/",Sync!$L706)+1,20))-1))),2)&amp;"/"&amp;RIGHT("00"&amp;VALUE(TRIM(MID(MID(Sync!$L706,FIND("/",Sync!$L706)+1,20),FIND("/",MID(Sync!$L706,FIND("/",Sync!$L706)+1,20))+1,20))),2),"")))</f>
        <v/>
      </c>
    </row>
    <row r="707">
      <c r="M707">
        <f>IF(Sync!$M707&lt;&gt;"پاس چک","",IF(Sync!$P707="","",Sync!$P707))</f>
        <v/>
      </c>
      <c r="N707">
        <f>IF($M707="","",IF(ISNUMBER(Sync!$L707),IF(AND(Sync!$L707&gt;=10000101,Sync!$L707&lt;=99991231),RIGHT("0000"&amp;INT(Sync!$L707/10000),4)&amp;"/"&amp;RIGHT("00"&amp;INT(MOD(Sync!$L707,10000)/100),2)&amp;"/"&amp;RIGHT("00"&amp;MOD(Sync!$L707,100),2),""),IFERROR(RIGHT("0000"&amp;VALUE(TRIM(LEFT(Sync!$L707,FIND("/",Sync!$L707)-1))),4)&amp;"/"&amp;RIGHT("00"&amp;VALUE(TRIM(LEFT(MID(Sync!$L707,FIND("/",Sync!$L707)+1,20),FIND("/",MID(Sync!$L707,FIND("/",Sync!$L707)+1,20))-1))),2)&amp;"/"&amp;RIGHT("00"&amp;VALUE(TRIM(MID(MID(Sync!$L707,FIND("/",Sync!$L707)+1,20),FIND("/",MID(Sync!$L707,FIND("/",Sync!$L707)+1,20))+1,20))),2),"")))</f>
        <v/>
      </c>
    </row>
    <row r="708">
      <c r="M708">
        <f>IF(Sync!$M708&lt;&gt;"پاس چک","",IF(Sync!$P708="","",Sync!$P708))</f>
        <v/>
      </c>
      <c r="N708">
        <f>IF($M708="","",IF(ISNUMBER(Sync!$L708),IF(AND(Sync!$L708&gt;=10000101,Sync!$L708&lt;=99991231),RIGHT("0000"&amp;INT(Sync!$L708/10000),4)&amp;"/"&amp;RIGHT("00"&amp;INT(MOD(Sync!$L708,10000)/100),2)&amp;"/"&amp;RIGHT("00"&amp;MOD(Sync!$L708,100),2),""),IFERROR(RIGHT("0000"&amp;VALUE(TRIM(LEFT(Sync!$L708,FIND("/",Sync!$L708)-1))),4)&amp;"/"&amp;RIGHT("00"&amp;VALUE(TRIM(LEFT(MID(Sync!$L708,FIND("/",Sync!$L708)+1,20),FIND("/",MID(Sync!$L708,FIND("/",Sync!$L708)+1,20))-1))),2)&amp;"/"&amp;RIGHT("00"&amp;VALUE(TRIM(MID(MID(Sync!$L708,FIND("/",Sync!$L708)+1,20),FIND("/",MID(Sync!$L708,FIND("/",Sync!$L708)+1,20))+1,20))),2),"")))</f>
        <v/>
      </c>
    </row>
    <row r="709">
      <c r="M709">
        <f>IF(Sync!$M709&lt;&gt;"پاس چک","",IF(Sync!$P709="","",Sync!$P709))</f>
        <v/>
      </c>
      <c r="N709">
        <f>IF($M709="","",IF(ISNUMBER(Sync!$L709),IF(AND(Sync!$L709&gt;=10000101,Sync!$L709&lt;=99991231),RIGHT("0000"&amp;INT(Sync!$L709/10000),4)&amp;"/"&amp;RIGHT("00"&amp;INT(MOD(Sync!$L709,10000)/100),2)&amp;"/"&amp;RIGHT("00"&amp;MOD(Sync!$L709,100),2),""),IFERROR(RIGHT("0000"&amp;VALUE(TRIM(LEFT(Sync!$L709,FIND("/",Sync!$L709)-1))),4)&amp;"/"&amp;RIGHT("00"&amp;VALUE(TRIM(LEFT(MID(Sync!$L709,FIND("/",Sync!$L709)+1,20),FIND("/",MID(Sync!$L709,FIND("/",Sync!$L709)+1,20))-1))),2)&amp;"/"&amp;RIGHT("00"&amp;VALUE(TRIM(MID(MID(Sync!$L709,FIND("/",Sync!$L709)+1,20),FIND("/",MID(Sync!$L709,FIND("/",Sync!$L709)+1,20))+1,20))),2),"")))</f>
        <v/>
      </c>
    </row>
    <row r="710">
      <c r="M710">
        <f>IF(Sync!$M710&lt;&gt;"پاس چک","",IF(Sync!$P710="","",Sync!$P710))</f>
        <v/>
      </c>
      <c r="N710">
        <f>IF($M710="","",IF(ISNUMBER(Sync!$L710),IF(AND(Sync!$L710&gt;=10000101,Sync!$L710&lt;=99991231),RIGHT("0000"&amp;INT(Sync!$L710/10000),4)&amp;"/"&amp;RIGHT("00"&amp;INT(MOD(Sync!$L710,10000)/100),2)&amp;"/"&amp;RIGHT("00"&amp;MOD(Sync!$L710,100),2),""),IFERROR(RIGHT("0000"&amp;VALUE(TRIM(LEFT(Sync!$L710,FIND("/",Sync!$L710)-1))),4)&amp;"/"&amp;RIGHT("00"&amp;VALUE(TRIM(LEFT(MID(Sync!$L710,FIND("/",Sync!$L710)+1,20),FIND("/",MID(Sync!$L710,FIND("/",Sync!$L710)+1,20))-1))),2)&amp;"/"&amp;RIGHT("00"&amp;VALUE(TRIM(MID(MID(Sync!$L710,FIND("/",Sync!$L710)+1,20),FIND("/",MID(Sync!$L710,FIND("/",Sync!$L710)+1,20))+1,20))),2),"")))</f>
        <v/>
      </c>
    </row>
    <row r="711">
      <c r="M711">
        <f>IF(Sync!$M711&lt;&gt;"پاس چک","",IF(Sync!$P711="","",Sync!$P711))</f>
        <v/>
      </c>
      <c r="N711">
        <f>IF($M711="","",IF(ISNUMBER(Sync!$L711),IF(AND(Sync!$L711&gt;=10000101,Sync!$L711&lt;=99991231),RIGHT("0000"&amp;INT(Sync!$L711/10000),4)&amp;"/"&amp;RIGHT("00"&amp;INT(MOD(Sync!$L711,10000)/100),2)&amp;"/"&amp;RIGHT("00"&amp;MOD(Sync!$L711,100),2),""),IFERROR(RIGHT("0000"&amp;VALUE(TRIM(LEFT(Sync!$L711,FIND("/",Sync!$L711)-1))),4)&amp;"/"&amp;RIGHT("00"&amp;VALUE(TRIM(LEFT(MID(Sync!$L711,FIND("/",Sync!$L711)+1,20),FIND("/",MID(Sync!$L711,FIND("/",Sync!$L711)+1,20))-1))),2)&amp;"/"&amp;RIGHT("00"&amp;VALUE(TRIM(MID(MID(Sync!$L711,FIND("/",Sync!$L711)+1,20),FIND("/",MID(Sync!$L711,FIND("/",Sync!$L711)+1,20))+1,20))),2),"")))</f>
        <v/>
      </c>
    </row>
    <row r="712">
      <c r="M712">
        <f>IF(Sync!$M712&lt;&gt;"پاس چک","",IF(Sync!$P712="","",Sync!$P712))</f>
        <v/>
      </c>
      <c r="N712">
        <f>IF($M712="","",IF(ISNUMBER(Sync!$L712),IF(AND(Sync!$L712&gt;=10000101,Sync!$L712&lt;=99991231),RIGHT("0000"&amp;INT(Sync!$L712/10000),4)&amp;"/"&amp;RIGHT("00"&amp;INT(MOD(Sync!$L712,10000)/100),2)&amp;"/"&amp;RIGHT("00"&amp;MOD(Sync!$L712,100),2),""),IFERROR(RIGHT("0000"&amp;VALUE(TRIM(LEFT(Sync!$L712,FIND("/",Sync!$L712)-1))),4)&amp;"/"&amp;RIGHT("00"&amp;VALUE(TRIM(LEFT(MID(Sync!$L712,FIND("/",Sync!$L712)+1,20),FIND("/",MID(Sync!$L712,FIND("/",Sync!$L712)+1,20))-1))),2)&amp;"/"&amp;RIGHT("00"&amp;VALUE(TRIM(MID(MID(Sync!$L712,FIND("/",Sync!$L712)+1,20),FIND("/",MID(Sync!$L712,FIND("/",Sync!$L712)+1,20))+1,20))),2),"")))</f>
        <v/>
      </c>
    </row>
    <row r="713">
      <c r="M713">
        <f>IF(Sync!$M713&lt;&gt;"پاس چک","",IF(Sync!$P713="","",Sync!$P713))</f>
        <v/>
      </c>
      <c r="N713">
        <f>IF($M713="","",IF(ISNUMBER(Sync!$L713),IF(AND(Sync!$L713&gt;=10000101,Sync!$L713&lt;=99991231),RIGHT("0000"&amp;INT(Sync!$L713/10000),4)&amp;"/"&amp;RIGHT("00"&amp;INT(MOD(Sync!$L713,10000)/100),2)&amp;"/"&amp;RIGHT("00"&amp;MOD(Sync!$L713,100),2),""),IFERROR(RIGHT("0000"&amp;VALUE(TRIM(LEFT(Sync!$L713,FIND("/",Sync!$L713)-1))),4)&amp;"/"&amp;RIGHT("00"&amp;VALUE(TRIM(LEFT(MID(Sync!$L713,FIND("/",Sync!$L713)+1,20),FIND("/",MID(Sync!$L713,FIND("/",Sync!$L713)+1,20))-1))),2)&amp;"/"&amp;RIGHT("00"&amp;VALUE(TRIM(MID(MID(Sync!$L713,FIND("/",Sync!$L713)+1,20),FIND("/",MID(Sync!$L713,FIND("/",Sync!$L713)+1,20))+1,20))),2),"")))</f>
        <v/>
      </c>
    </row>
    <row r="714">
      <c r="M714">
        <f>IF(Sync!$M714&lt;&gt;"پاس چک","",IF(Sync!$P714="","",Sync!$P714))</f>
        <v/>
      </c>
      <c r="N714">
        <f>IF($M714="","",IF(ISNUMBER(Sync!$L714),IF(AND(Sync!$L714&gt;=10000101,Sync!$L714&lt;=99991231),RIGHT("0000"&amp;INT(Sync!$L714/10000),4)&amp;"/"&amp;RIGHT("00"&amp;INT(MOD(Sync!$L714,10000)/100),2)&amp;"/"&amp;RIGHT("00"&amp;MOD(Sync!$L714,100),2),""),IFERROR(RIGHT("0000"&amp;VALUE(TRIM(LEFT(Sync!$L714,FIND("/",Sync!$L714)-1))),4)&amp;"/"&amp;RIGHT("00"&amp;VALUE(TRIM(LEFT(MID(Sync!$L714,FIND("/",Sync!$L714)+1,20),FIND("/",MID(Sync!$L714,FIND("/",Sync!$L714)+1,20))-1))),2)&amp;"/"&amp;RIGHT("00"&amp;VALUE(TRIM(MID(MID(Sync!$L714,FIND("/",Sync!$L714)+1,20),FIND("/",MID(Sync!$L714,FIND("/",Sync!$L714)+1,20))+1,20))),2),"")))</f>
        <v/>
      </c>
    </row>
    <row r="715">
      <c r="M715">
        <f>IF(Sync!$M715&lt;&gt;"پاس چک","",IF(Sync!$P715="","",Sync!$P715))</f>
        <v/>
      </c>
      <c r="N715">
        <f>IF($M715="","",IF(ISNUMBER(Sync!$L715),IF(AND(Sync!$L715&gt;=10000101,Sync!$L715&lt;=99991231),RIGHT("0000"&amp;INT(Sync!$L715/10000),4)&amp;"/"&amp;RIGHT("00"&amp;INT(MOD(Sync!$L715,10000)/100),2)&amp;"/"&amp;RIGHT("00"&amp;MOD(Sync!$L715,100),2),""),IFERROR(RIGHT("0000"&amp;VALUE(TRIM(LEFT(Sync!$L715,FIND("/",Sync!$L715)-1))),4)&amp;"/"&amp;RIGHT("00"&amp;VALUE(TRIM(LEFT(MID(Sync!$L715,FIND("/",Sync!$L715)+1,20),FIND("/",MID(Sync!$L715,FIND("/",Sync!$L715)+1,20))-1))),2)&amp;"/"&amp;RIGHT("00"&amp;VALUE(TRIM(MID(MID(Sync!$L715,FIND("/",Sync!$L715)+1,20),FIND("/",MID(Sync!$L715,FIND("/",Sync!$L715)+1,20))+1,20))),2),"")))</f>
        <v/>
      </c>
    </row>
    <row r="716">
      <c r="M716">
        <f>IF(Sync!$M716&lt;&gt;"پاس چک","",IF(Sync!$P716="","",Sync!$P716))</f>
        <v/>
      </c>
      <c r="N716">
        <f>IF($M716="","",IF(ISNUMBER(Sync!$L716),IF(AND(Sync!$L716&gt;=10000101,Sync!$L716&lt;=99991231),RIGHT("0000"&amp;INT(Sync!$L716/10000),4)&amp;"/"&amp;RIGHT("00"&amp;INT(MOD(Sync!$L716,10000)/100),2)&amp;"/"&amp;RIGHT("00"&amp;MOD(Sync!$L716,100),2),""),IFERROR(RIGHT("0000"&amp;VALUE(TRIM(LEFT(Sync!$L716,FIND("/",Sync!$L716)-1))),4)&amp;"/"&amp;RIGHT("00"&amp;VALUE(TRIM(LEFT(MID(Sync!$L716,FIND("/",Sync!$L716)+1,20),FIND("/",MID(Sync!$L716,FIND("/",Sync!$L716)+1,20))-1))),2)&amp;"/"&amp;RIGHT("00"&amp;VALUE(TRIM(MID(MID(Sync!$L716,FIND("/",Sync!$L716)+1,20),FIND("/",MID(Sync!$L716,FIND("/",Sync!$L716)+1,20))+1,20))),2),"")))</f>
        <v/>
      </c>
    </row>
    <row r="717">
      <c r="M717">
        <f>IF(Sync!$M717&lt;&gt;"پاس چک","",IF(Sync!$P717="","",Sync!$P717))</f>
        <v/>
      </c>
      <c r="N717">
        <f>IF($M717="","",IF(ISNUMBER(Sync!$L717),IF(AND(Sync!$L717&gt;=10000101,Sync!$L717&lt;=99991231),RIGHT("0000"&amp;INT(Sync!$L717/10000),4)&amp;"/"&amp;RIGHT("00"&amp;INT(MOD(Sync!$L717,10000)/100),2)&amp;"/"&amp;RIGHT("00"&amp;MOD(Sync!$L717,100),2),""),IFERROR(RIGHT("0000"&amp;VALUE(TRIM(LEFT(Sync!$L717,FIND("/",Sync!$L717)-1))),4)&amp;"/"&amp;RIGHT("00"&amp;VALUE(TRIM(LEFT(MID(Sync!$L717,FIND("/",Sync!$L717)+1,20),FIND("/",MID(Sync!$L717,FIND("/",Sync!$L717)+1,20))-1))),2)&amp;"/"&amp;RIGHT("00"&amp;VALUE(TRIM(MID(MID(Sync!$L717,FIND("/",Sync!$L717)+1,20),FIND("/",MID(Sync!$L717,FIND("/",Sync!$L717)+1,20))+1,20))),2),"")))</f>
        <v/>
      </c>
    </row>
    <row r="718">
      <c r="M718">
        <f>IF(Sync!$M718&lt;&gt;"پاس چک","",IF(Sync!$P718="","",Sync!$P718))</f>
        <v/>
      </c>
      <c r="N718">
        <f>IF($M718="","",IF(ISNUMBER(Sync!$L718),IF(AND(Sync!$L718&gt;=10000101,Sync!$L718&lt;=99991231),RIGHT("0000"&amp;INT(Sync!$L718/10000),4)&amp;"/"&amp;RIGHT("00"&amp;INT(MOD(Sync!$L718,10000)/100),2)&amp;"/"&amp;RIGHT("00"&amp;MOD(Sync!$L718,100),2),""),IFERROR(RIGHT("0000"&amp;VALUE(TRIM(LEFT(Sync!$L718,FIND("/",Sync!$L718)-1))),4)&amp;"/"&amp;RIGHT("00"&amp;VALUE(TRIM(LEFT(MID(Sync!$L718,FIND("/",Sync!$L718)+1,20),FIND("/",MID(Sync!$L718,FIND("/",Sync!$L718)+1,20))-1))),2)&amp;"/"&amp;RIGHT("00"&amp;VALUE(TRIM(MID(MID(Sync!$L718,FIND("/",Sync!$L718)+1,20),FIND("/",MID(Sync!$L718,FIND("/",Sync!$L718)+1,20))+1,20))),2),"")))</f>
        <v/>
      </c>
    </row>
    <row r="719">
      <c r="M719">
        <f>IF(Sync!$M719&lt;&gt;"پاس چک","",IF(Sync!$P719="","",Sync!$P719))</f>
        <v/>
      </c>
      <c r="N719">
        <f>IF($M719="","",IF(ISNUMBER(Sync!$L719),IF(AND(Sync!$L719&gt;=10000101,Sync!$L719&lt;=99991231),RIGHT("0000"&amp;INT(Sync!$L719/10000),4)&amp;"/"&amp;RIGHT("00"&amp;INT(MOD(Sync!$L719,10000)/100),2)&amp;"/"&amp;RIGHT("00"&amp;MOD(Sync!$L719,100),2),""),IFERROR(RIGHT("0000"&amp;VALUE(TRIM(LEFT(Sync!$L719,FIND("/",Sync!$L719)-1))),4)&amp;"/"&amp;RIGHT("00"&amp;VALUE(TRIM(LEFT(MID(Sync!$L719,FIND("/",Sync!$L719)+1,20),FIND("/",MID(Sync!$L719,FIND("/",Sync!$L719)+1,20))-1))),2)&amp;"/"&amp;RIGHT("00"&amp;VALUE(TRIM(MID(MID(Sync!$L719,FIND("/",Sync!$L719)+1,20),FIND("/",MID(Sync!$L719,FIND("/",Sync!$L719)+1,20))+1,20))),2),"")))</f>
        <v/>
      </c>
    </row>
    <row r="720">
      <c r="M720">
        <f>IF(Sync!$M720&lt;&gt;"پاس چک","",IF(Sync!$P720="","",Sync!$P720))</f>
        <v/>
      </c>
      <c r="N720">
        <f>IF($M720="","",IF(ISNUMBER(Sync!$L720),IF(AND(Sync!$L720&gt;=10000101,Sync!$L720&lt;=99991231),RIGHT("0000"&amp;INT(Sync!$L720/10000),4)&amp;"/"&amp;RIGHT("00"&amp;INT(MOD(Sync!$L720,10000)/100),2)&amp;"/"&amp;RIGHT("00"&amp;MOD(Sync!$L720,100),2),""),IFERROR(RIGHT("0000"&amp;VALUE(TRIM(LEFT(Sync!$L720,FIND("/",Sync!$L720)-1))),4)&amp;"/"&amp;RIGHT("00"&amp;VALUE(TRIM(LEFT(MID(Sync!$L720,FIND("/",Sync!$L720)+1,20),FIND("/",MID(Sync!$L720,FIND("/",Sync!$L720)+1,20))-1))),2)&amp;"/"&amp;RIGHT("00"&amp;VALUE(TRIM(MID(MID(Sync!$L720,FIND("/",Sync!$L720)+1,20),FIND("/",MID(Sync!$L720,FIND("/",Sync!$L720)+1,20))+1,20))),2),"")))</f>
        <v/>
      </c>
    </row>
    <row r="721">
      <c r="M721">
        <f>IF(Sync!$M721&lt;&gt;"پاس چک","",IF(Sync!$P721="","",Sync!$P721))</f>
        <v/>
      </c>
      <c r="N721">
        <f>IF($M721="","",IF(ISNUMBER(Sync!$L721),IF(AND(Sync!$L721&gt;=10000101,Sync!$L721&lt;=99991231),RIGHT("0000"&amp;INT(Sync!$L721/10000),4)&amp;"/"&amp;RIGHT("00"&amp;INT(MOD(Sync!$L721,10000)/100),2)&amp;"/"&amp;RIGHT("00"&amp;MOD(Sync!$L721,100),2),""),IFERROR(RIGHT("0000"&amp;VALUE(TRIM(LEFT(Sync!$L721,FIND("/",Sync!$L721)-1))),4)&amp;"/"&amp;RIGHT("00"&amp;VALUE(TRIM(LEFT(MID(Sync!$L721,FIND("/",Sync!$L721)+1,20),FIND("/",MID(Sync!$L721,FIND("/",Sync!$L721)+1,20))-1))),2)&amp;"/"&amp;RIGHT("00"&amp;VALUE(TRIM(MID(MID(Sync!$L721,FIND("/",Sync!$L721)+1,20),FIND("/",MID(Sync!$L721,FIND("/",Sync!$L721)+1,20))+1,20))),2),"")))</f>
        <v/>
      </c>
    </row>
    <row r="722">
      <c r="M722">
        <f>IF(Sync!$M722&lt;&gt;"پاس چک","",IF(Sync!$P722="","",Sync!$P722))</f>
        <v/>
      </c>
      <c r="N722">
        <f>IF($M722="","",IF(ISNUMBER(Sync!$L722),IF(AND(Sync!$L722&gt;=10000101,Sync!$L722&lt;=99991231),RIGHT("0000"&amp;INT(Sync!$L722/10000),4)&amp;"/"&amp;RIGHT("00"&amp;INT(MOD(Sync!$L722,10000)/100),2)&amp;"/"&amp;RIGHT("00"&amp;MOD(Sync!$L722,100),2),""),IFERROR(RIGHT("0000"&amp;VALUE(TRIM(LEFT(Sync!$L722,FIND("/",Sync!$L722)-1))),4)&amp;"/"&amp;RIGHT("00"&amp;VALUE(TRIM(LEFT(MID(Sync!$L722,FIND("/",Sync!$L722)+1,20),FIND("/",MID(Sync!$L722,FIND("/",Sync!$L722)+1,20))-1))),2)&amp;"/"&amp;RIGHT("00"&amp;VALUE(TRIM(MID(MID(Sync!$L722,FIND("/",Sync!$L722)+1,20),FIND("/",MID(Sync!$L722,FIND("/",Sync!$L722)+1,20))+1,20))),2),"")))</f>
        <v/>
      </c>
    </row>
    <row r="723">
      <c r="M723">
        <f>IF(Sync!$M723&lt;&gt;"پاس چک","",IF(Sync!$P723="","",Sync!$P723))</f>
        <v/>
      </c>
      <c r="N723">
        <f>IF($M723="","",IF(ISNUMBER(Sync!$L723),IF(AND(Sync!$L723&gt;=10000101,Sync!$L723&lt;=99991231),RIGHT("0000"&amp;INT(Sync!$L723/10000),4)&amp;"/"&amp;RIGHT("00"&amp;INT(MOD(Sync!$L723,10000)/100),2)&amp;"/"&amp;RIGHT("00"&amp;MOD(Sync!$L723,100),2),""),IFERROR(RIGHT("0000"&amp;VALUE(TRIM(LEFT(Sync!$L723,FIND("/",Sync!$L723)-1))),4)&amp;"/"&amp;RIGHT("00"&amp;VALUE(TRIM(LEFT(MID(Sync!$L723,FIND("/",Sync!$L723)+1,20),FIND("/",MID(Sync!$L723,FIND("/",Sync!$L723)+1,20))-1))),2)&amp;"/"&amp;RIGHT("00"&amp;VALUE(TRIM(MID(MID(Sync!$L723,FIND("/",Sync!$L723)+1,20),FIND("/",MID(Sync!$L723,FIND("/",Sync!$L723)+1,20))+1,20))),2),"")))</f>
        <v/>
      </c>
    </row>
    <row r="724">
      <c r="M724">
        <f>IF(Sync!$M724&lt;&gt;"پاس چک","",IF(Sync!$P724="","",Sync!$P724))</f>
        <v/>
      </c>
      <c r="N724">
        <f>IF($M724="","",IF(ISNUMBER(Sync!$L724),IF(AND(Sync!$L724&gt;=10000101,Sync!$L724&lt;=99991231),RIGHT("0000"&amp;INT(Sync!$L724/10000),4)&amp;"/"&amp;RIGHT("00"&amp;INT(MOD(Sync!$L724,10000)/100),2)&amp;"/"&amp;RIGHT("00"&amp;MOD(Sync!$L724,100),2),""),IFERROR(RIGHT("0000"&amp;VALUE(TRIM(LEFT(Sync!$L724,FIND("/",Sync!$L724)-1))),4)&amp;"/"&amp;RIGHT("00"&amp;VALUE(TRIM(LEFT(MID(Sync!$L724,FIND("/",Sync!$L724)+1,20),FIND("/",MID(Sync!$L724,FIND("/",Sync!$L724)+1,20))-1))),2)&amp;"/"&amp;RIGHT("00"&amp;VALUE(TRIM(MID(MID(Sync!$L724,FIND("/",Sync!$L724)+1,20),FIND("/",MID(Sync!$L724,FIND("/",Sync!$L724)+1,20))+1,20))),2),"")))</f>
        <v/>
      </c>
    </row>
    <row r="725">
      <c r="M725">
        <f>IF(Sync!$M725&lt;&gt;"پاس چک","",IF(Sync!$P725="","",Sync!$P725))</f>
        <v/>
      </c>
      <c r="N725">
        <f>IF($M725="","",IF(ISNUMBER(Sync!$L725),IF(AND(Sync!$L725&gt;=10000101,Sync!$L725&lt;=99991231),RIGHT("0000"&amp;INT(Sync!$L725/10000),4)&amp;"/"&amp;RIGHT("00"&amp;INT(MOD(Sync!$L725,10000)/100),2)&amp;"/"&amp;RIGHT("00"&amp;MOD(Sync!$L725,100),2),""),IFERROR(RIGHT("0000"&amp;VALUE(TRIM(LEFT(Sync!$L725,FIND("/",Sync!$L725)-1))),4)&amp;"/"&amp;RIGHT("00"&amp;VALUE(TRIM(LEFT(MID(Sync!$L725,FIND("/",Sync!$L725)+1,20),FIND("/",MID(Sync!$L725,FIND("/",Sync!$L725)+1,20))-1))),2)&amp;"/"&amp;RIGHT("00"&amp;VALUE(TRIM(MID(MID(Sync!$L725,FIND("/",Sync!$L725)+1,20),FIND("/",MID(Sync!$L725,FIND("/",Sync!$L725)+1,20))+1,20))),2),"")))</f>
        <v/>
      </c>
    </row>
    <row r="726">
      <c r="M726">
        <f>IF(Sync!$M726&lt;&gt;"پاس چک","",IF(Sync!$P726="","",Sync!$P726))</f>
        <v/>
      </c>
      <c r="N726">
        <f>IF($M726="","",IF(ISNUMBER(Sync!$L726),IF(AND(Sync!$L726&gt;=10000101,Sync!$L726&lt;=99991231),RIGHT("0000"&amp;INT(Sync!$L726/10000),4)&amp;"/"&amp;RIGHT("00"&amp;INT(MOD(Sync!$L726,10000)/100),2)&amp;"/"&amp;RIGHT("00"&amp;MOD(Sync!$L726,100),2),""),IFERROR(RIGHT("0000"&amp;VALUE(TRIM(LEFT(Sync!$L726,FIND("/",Sync!$L726)-1))),4)&amp;"/"&amp;RIGHT("00"&amp;VALUE(TRIM(LEFT(MID(Sync!$L726,FIND("/",Sync!$L726)+1,20),FIND("/",MID(Sync!$L726,FIND("/",Sync!$L726)+1,20))-1))),2)&amp;"/"&amp;RIGHT("00"&amp;VALUE(TRIM(MID(MID(Sync!$L726,FIND("/",Sync!$L726)+1,20),FIND("/",MID(Sync!$L726,FIND("/",Sync!$L726)+1,20))+1,20))),2),"")))</f>
        <v/>
      </c>
    </row>
    <row r="727">
      <c r="M727">
        <f>IF(Sync!$M727&lt;&gt;"پاس چک","",IF(Sync!$P727="","",Sync!$P727))</f>
        <v/>
      </c>
      <c r="N727">
        <f>IF($M727="","",IF(ISNUMBER(Sync!$L727),IF(AND(Sync!$L727&gt;=10000101,Sync!$L727&lt;=99991231),RIGHT("0000"&amp;INT(Sync!$L727/10000),4)&amp;"/"&amp;RIGHT("00"&amp;INT(MOD(Sync!$L727,10000)/100),2)&amp;"/"&amp;RIGHT("00"&amp;MOD(Sync!$L727,100),2),""),IFERROR(RIGHT("0000"&amp;VALUE(TRIM(LEFT(Sync!$L727,FIND("/",Sync!$L727)-1))),4)&amp;"/"&amp;RIGHT("00"&amp;VALUE(TRIM(LEFT(MID(Sync!$L727,FIND("/",Sync!$L727)+1,20),FIND("/",MID(Sync!$L727,FIND("/",Sync!$L727)+1,20))-1))),2)&amp;"/"&amp;RIGHT("00"&amp;VALUE(TRIM(MID(MID(Sync!$L727,FIND("/",Sync!$L727)+1,20),FIND("/",MID(Sync!$L727,FIND("/",Sync!$L727)+1,20))+1,20))),2),"")))</f>
        <v/>
      </c>
    </row>
    <row r="728">
      <c r="M728">
        <f>IF(Sync!$M728&lt;&gt;"پاس چک","",IF(Sync!$P728="","",Sync!$P728))</f>
        <v/>
      </c>
      <c r="N728">
        <f>IF($M728="","",IF(ISNUMBER(Sync!$L728),IF(AND(Sync!$L728&gt;=10000101,Sync!$L728&lt;=99991231),RIGHT("0000"&amp;INT(Sync!$L728/10000),4)&amp;"/"&amp;RIGHT("00"&amp;INT(MOD(Sync!$L728,10000)/100),2)&amp;"/"&amp;RIGHT("00"&amp;MOD(Sync!$L728,100),2),""),IFERROR(RIGHT("0000"&amp;VALUE(TRIM(LEFT(Sync!$L728,FIND("/",Sync!$L728)-1))),4)&amp;"/"&amp;RIGHT("00"&amp;VALUE(TRIM(LEFT(MID(Sync!$L728,FIND("/",Sync!$L728)+1,20),FIND("/",MID(Sync!$L728,FIND("/",Sync!$L728)+1,20))-1))),2)&amp;"/"&amp;RIGHT("00"&amp;VALUE(TRIM(MID(MID(Sync!$L728,FIND("/",Sync!$L728)+1,20),FIND("/",MID(Sync!$L728,FIND("/",Sync!$L728)+1,20))+1,20))),2),"")))</f>
        <v/>
      </c>
    </row>
    <row r="729">
      <c r="M729">
        <f>IF(Sync!$M729&lt;&gt;"پاس چک","",IF(Sync!$P729="","",Sync!$P729))</f>
        <v/>
      </c>
      <c r="N729">
        <f>IF($M729="","",IF(ISNUMBER(Sync!$L729),IF(AND(Sync!$L729&gt;=10000101,Sync!$L729&lt;=99991231),RIGHT("0000"&amp;INT(Sync!$L729/10000),4)&amp;"/"&amp;RIGHT("00"&amp;INT(MOD(Sync!$L729,10000)/100),2)&amp;"/"&amp;RIGHT("00"&amp;MOD(Sync!$L729,100),2),""),IFERROR(RIGHT("0000"&amp;VALUE(TRIM(LEFT(Sync!$L729,FIND("/",Sync!$L729)-1))),4)&amp;"/"&amp;RIGHT("00"&amp;VALUE(TRIM(LEFT(MID(Sync!$L729,FIND("/",Sync!$L729)+1,20),FIND("/",MID(Sync!$L729,FIND("/",Sync!$L729)+1,20))-1))),2)&amp;"/"&amp;RIGHT("00"&amp;VALUE(TRIM(MID(MID(Sync!$L729,FIND("/",Sync!$L729)+1,20),FIND("/",MID(Sync!$L729,FIND("/",Sync!$L729)+1,20))+1,20))),2),"")))</f>
        <v/>
      </c>
    </row>
    <row r="730">
      <c r="M730">
        <f>IF(Sync!$M730&lt;&gt;"پاس چک","",IF(Sync!$P730="","",Sync!$P730))</f>
        <v/>
      </c>
      <c r="N730">
        <f>IF($M730="","",IF(ISNUMBER(Sync!$L730),IF(AND(Sync!$L730&gt;=10000101,Sync!$L730&lt;=99991231),RIGHT("0000"&amp;INT(Sync!$L730/10000),4)&amp;"/"&amp;RIGHT("00"&amp;INT(MOD(Sync!$L730,10000)/100),2)&amp;"/"&amp;RIGHT("00"&amp;MOD(Sync!$L730,100),2),""),IFERROR(RIGHT("0000"&amp;VALUE(TRIM(LEFT(Sync!$L730,FIND("/",Sync!$L730)-1))),4)&amp;"/"&amp;RIGHT("00"&amp;VALUE(TRIM(LEFT(MID(Sync!$L730,FIND("/",Sync!$L730)+1,20),FIND("/",MID(Sync!$L730,FIND("/",Sync!$L730)+1,20))-1))),2)&amp;"/"&amp;RIGHT("00"&amp;VALUE(TRIM(MID(MID(Sync!$L730,FIND("/",Sync!$L730)+1,20),FIND("/",MID(Sync!$L730,FIND("/",Sync!$L730)+1,20))+1,20))),2),"")))</f>
        <v/>
      </c>
    </row>
    <row r="731">
      <c r="M731">
        <f>IF(Sync!$M731&lt;&gt;"پاس چک","",IF(Sync!$P731="","",Sync!$P731))</f>
        <v/>
      </c>
      <c r="N731">
        <f>IF($M731="","",IF(ISNUMBER(Sync!$L731),IF(AND(Sync!$L731&gt;=10000101,Sync!$L731&lt;=99991231),RIGHT("0000"&amp;INT(Sync!$L731/10000),4)&amp;"/"&amp;RIGHT("00"&amp;INT(MOD(Sync!$L731,10000)/100),2)&amp;"/"&amp;RIGHT("00"&amp;MOD(Sync!$L731,100),2),""),IFERROR(RIGHT("0000"&amp;VALUE(TRIM(LEFT(Sync!$L731,FIND("/",Sync!$L731)-1))),4)&amp;"/"&amp;RIGHT("00"&amp;VALUE(TRIM(LEFT(MID(Sync!$L731,FIND("/",Sync!$L731)+1,20),FIND("/",MID(Sync!$L731,FIND("/",Sync!$L731)+1,20))-1))),2)&amp;"/"&amp;RIGHT("00"&amp;VALUE(TRIM(MID(MID(Sync!$L731,FIND("/",Sync!$L731)+1,20),FIND("/",MID(Sync!$L731,FIND("/",Sync!$L731)+1,20))+1,20))),2),"")))</f>
        <v/>
      </c>
    </row>
    <row r="732">
      <c r="M732">
        <f>IF(Sync!$M732&lt;&gt;"پاس چک","",IF(Sync!$P732="","",Sync!$P732))</f>
        <v/>
      </c>
      <c r="N732">
        <f>IF($M732="","",IF(ISNUMBER(Sync!$L732),IF(AND(Sync!$L732&gt;=10000101,Sync!$L732&lt;=99991231),RIGHT("0000"&amp;INT(Sync!$L732/10000),4)&amp;"/"&amp;RIGHT("00"&amp;INT(MOD(Sync!$L732,10000)/100),2)&amp;"/"&amp;RIGHT("00"&amp;MOD(Sync!$L732,100),2),""),IFERROR(RIGHT("0000"&amp;VALUE(TRIM(LEFT(Sync!$L732,FIND("/",Sync!$L732)-1))),4)&amp;"/"&amp;RIGHT("00"&amp;VALUE(TRIM(LEFT(MID(Sync!$L732,FIND("/",Sync!$L732)+1,20),FIND("/",MID(Sync!$L732,FIND("/",Sync!$L732)+1,20))-1))),2)&amp;"/"&amp;RIGHT("00"&amp;VALUE(TRIM(MID(MID(Sync!$L732,FIND("/",Sync!$L732)+1,20),FIND("/",MID(Sync!$L732,FIND("/",Sync!$L732)+1,20))+1,20))),2),"")))</f>
        <v/>
      </c>
    </row>
    <row r="733">
      <c r="M733">
        <f>IF(Sync!$M733&lt;&gt;"پاس چک","",IF(Sync!$P733="","",Sync!$P733))</f>
        <v/>
      </c>
      <c r="N733">
        <f>IF($M733="","",IF(ISNUMBER(Sync!$L733),IF(AND(Sync!$L733&gt;=10000101,Sync!$L733&lt;=99991231),RIGHT("0000"&amp;INT(Sync!$L733/10000),4)&amp;"/"&amp;RIGHT("00"&amp;INT(MOD(Sync!$L733,10000)/100),2)&amp;"/"&amp;RIGHT("00"&amp;MOD(Sync!$L733,100),2),""),IFERROR(RIGHT("0000"&amp;VALUE(TRIM(LEFT(Sync!$L733,FIND("/",Sync!$L733)-1))),4)&amp;"/"&amp;RIGHT("00"&amp;VALUE(TRIM(LEFT(MID(Sync!$L733,FIND("/",Sync!$L733)+1,20),FIND("/",MID(Sync!$L733,FIND("/",Sync!$L733)+1,20))-1))),2)&amp;"/"&amp;RIGHT("00"&amp;VALUE(TRIM(MID(MID(Sync!$L733,FIND("/",Sync!$L733)+1,20),FIND("/",MID(Sync!$L733,FIND("/",Sync!$L733)+1,20))+1,20))),2),"")))</f>
        <v/>
      </c>
    </row>
    <row r="734">
      <c r="M734">
        <f>IF(Sync!$M734&lt;&gt;"پاس چک","",IF(Sync!$P734="","",Sync!$P734))</f>
        <v/>
      </c>
      <c r="N734">
        <f>IF($M734="","",IF(ISNUMBER(Sync!$L734),IF(AND(Sync!$L734&gt;=10000101,Sync!$L734&lt;=99991231),RIGHT("0000"&amp;INT(Sync!$L734/10000),4)&amp;"/"&amp;RIGHT("00"&amp;INT(MOD(Sync!$L734,10000)/100),2)&amp;"/"&amp;RIGHT("00"&amp;MOD(Sync!$L734,100),2),""),IFERROR(RIGHT("0000"&amp;VALUE(TRIM(LEFT(Sync!$L734,FIND("/",Sync!$L734)-1))),4)&amp;"/"&amp;RIGHT("00"&amp;VALUE(TRIM(LEFT(MID(Sync!$L734,FIND("/",Sync!$L734)+1,20),FIND("/",MID(Sync!$L734,FIND("/",Sync!$L734)+1,20))-1))),2)&amp;"/"&amp;RIGHT("00"&amp;VALUE(TRIM(MID(MID(Sync!$L734,FIND("/",Sync!$L734)+1,20),FIND("/",MID(Sync!$L734,FIND("/",Sync!$L734)+1,20))+1,20))),2),"")))</f>
        <v/>
      </c>
    </row>
    <row r="735">
      <c r="M735">
        <f>IF(Sync!$M735&lt;&gt;"پاس چک","",IF(Sync!$P735="","",Sync!$P735))</f>
        <v/>
      </c>
      <c r="N735">
        <f>IF($M735="","",IF(ISNUMBER(Sync!$L735),IF(AND(Sync!$L735&gt;=10000101,Sync!$L735&lt;=99991231),RIGHT("0000"&amp;INT(Sync!$L735/10000),4)&amp;"/"&amp;RIGHT("00"&amp;INT(MOD(Sync!$L735,10000)/100),2)&amp;"/"&amp;RIGHT("00"&amp;MOD(Sync!$L735,100),2),""),IFERROR(RIGHT("0000"&amp;VALUE(TRIM(LEFT(Sync!$L735,FIND("/",Sync!$L735)-1))),4)&amp;"/"&amp;RIGHT("00"&amp;VALUE(TRIM(LEFT(MID(Sync!$L735,FIND("/",Sync!$L735)+1,20),FIND("/",MID(Sync!$L735,FIND("/",Sync!$L735)+1,20))-1))),2)&amp;"/"&amp;RIGHT("00"&amp;VALUE(TRIM(MID(MID(Sync!$L735,FIND("/",Sync!$L735)+1,20),FIND("/",MID(Sync!$L735,FIND("/",Sync!$L735)+1,20))+1,20))),2),"")))</f>
        <v/>
      </c>
    </row>
    <row r="736">
      <c r="M736">
        <f>IF(Sync!$M736&lt;&gt;"پاس چک","",IF(Sync!$P736="","",Sync!$P736))</f>
        <v/>
      </c>
      <c r="N736">
        <f>IF($M736="","",IF(ISNUMBER(Sync!$L736),IF(AND(Sync!$L736&gt;=10000101,Sync!$L736&lt;=99991231),RIGHT("0000"&amp;INT(Sync!$L736/10000),4)&amp;"/"&amp;RIGHT("00"&amp;INT(MOD(Sync!$L736,10000)/100),2)&amp;"/"&amp;RIGHT("00"&amp;MOD(Sync!$L736,100),2),""),IFERROR(RIGHT("0000"&amp;VALUE(TRIM(LEFT(Sync!$L736,FIND("/",Sync!$L736)-1))),4)&amp;"/"&amp;RIGHT("00"&amp;VALUE(TRIM(LEFT(MID(Sync!$L736,FIND("/",Sync!$L736)+1,20),FIND("/",MID(Sync!$L736,FIND("/",Sync!$L736)+1,20))-1))),2)&amp;"/"&amp;RIGHT("00"&amp;VALUE(TRIM(MID(MID(Sync!$L736,FIND("/",Sync!$L736)+1,20),FIND("/",MID(Sync!$L736,FIND("/",Sync!$L736)+1,20))+1,20))),2),"")))</f>
        <v/>
      </c>
    </row>
    <row r="737">
      <c r="M737">
        <f>IF(Sync!$M737&lt;&gt;"پاس چک","",IF(Sync!$P737="","",Sync!$P737))</f>
        <v/>
      </c>
      <c r="N737">
        <f>IF($M737="","",IF(ISNUMBER(Sync!$L737),IF(AND(Sync!$L737&gt;=10000101,Sync!$L737&lt;=99991231),RIGHT("0000"&amp;INT(Sync!$L737/10000),4)&amp;"/"&amp;RIGHT("00"&amp;INT(MOD(Sync!$L737,10000)/100),2)&amp;"/"&amp;RIGHT("00"&amp;MOD(Sync!$L737,100),2),""),IFERROR(RIGHT("0000"&amp;VALUE(TRIM(LEFT(Sync!$L737,FIND("/",Sync!$L737)-1))),4)&amp;"/"&amp;RIGHT("00"&amp;VALUE(TRIM(LEFT(MID(Sync!$L737,FIND("/",Sync!$L737)+1,20),FIND("/",MID(Sync!$L737,FIND("/",Sync!$L737)+1,20))-1))),2)&amp;"/"&amp;RIGHT("00"&amp;VALUE(TRIM(MID(MID(Sync!$L737,FIND("/",Sync!$L737)+1,20),FIND("/",MID(Sync!$L737,FIND("/",Sync!$L737)+1,20))+1,20))),2),"")))</f>
        <v/>
      </c>
    </row>
    <row r="738">
      <c r="M738">
        <f>IF(Sync!$M738&lt;&gt;"پاس چک","",IF(Sync!$P738="","",Sync!$P738))</f>
        <v/>
      </c>
      <c r="N738">
        <f>IF($M738="","",IF(ISNUMBER(Sync!$L738),IF(AND(Sync!$L738&gt;=10000101,Sync!$L738&lt;=99991231),RIGHT("0000"&amp;INT(Sync!$L738/10000),4)&amp;"/"&amp;RIGHT("00"&amp;INT(MOD(Sync!$L738,10000)/100),2)&amp;"/"&amp;RIGHT("00"&amp;MOD(Sync!$L738,100),2),""),IFERROR(RIGHT("0000"&amp;VALUE(TRIM(LEFT(Sync!$L738,FIND("/",Sync!$L738)-1))),4)&amp;"/"&amp;RIGHT("00"&amp;VALUE(TRIM(LEFT(MID(Sync!$L738,FIND("/",Sync!$L738)+1,20),FIND("/",MID(Sync!$L738,FIND("/",Sync!$L738)+1,20))-1))),2)&amp;"/"&amp;RIGHT("00"&amp;VALUE(TRIM(MID(MID(Sync!$L738,FIND("/",Sync!$L738)+1,20),FIND("/",MID(Sync!$L738,FIND("/",Sync!$L738)+1,20))+1,20))),2),"")))</f>
        <v/>
      </c>
    </row>
    <row r="739">
      <c r="M739">
        <f>IF(Sync!$M739&lt;&gt;"پاس چک","",IF(Sync!$P739="","",Sync!$P739))</f>
        <v/>
      </c>
      <c r="N739">
        <f>IF($M739="","",IF(ISNUMBER(Sync!$L739),IF(AND(Sync!$L739&gt;=10000101,Sync!$L739&lt;=99991231),RIGHT("0000"&amp;INT(Sync!$L739/10000),4)&amp;"/"&amp;RIGHT("00"&amp;INT(MOD(Sync!$L739,10000)/100),2)&amp;"/"&amp;RIGHT("00"&amp;MOD(Sync!$L739,100),2),""),IFERROR(RIGHT("0000"&amp;VALUE(TRIM(LEFT(Sync!$L739,FIND("/",Sync!$L739)-1))),4)&amp;"/"&amp;RIGHT("00"&amp;VALUE(TRIM(LEFT(MID(Sync!$L739,FIND("/",Sync!$L739)+1,20),FIND("/",MID(Sync!$L739,FIND("/",Sync!$L739)+1,20))-1))),2)&amp;"/"&amp;RIGHT("00"&amp;VALUE(TRIM(MID(MID(Sync!$L739,FIND("/",Sync!$L739)+1,20),FIND("/",MID(Sync!$L739,FIND("/",Sync!$L739)+1,20))+1,20))),2),"")))</f>
        <v/>
      </c>
    </row>
    <row r="740">
      <c r="M740">
        <f>IF(Sync!$M740&lt;&gt;"پاس چک","",IF(Sync!$P740="","",Sync!$P740))</f>
        <v/>
      </c>
      <c r="N740">
        <f>IF($M740="","",IF(ISNUMBER(Sync!$L740),IF(AND(Sync!$L740&gt;=10000101,Sync!$L740&lt;=99991231),RIGHT("0000"&amp;INT(Sync!$L740/10000),4)&amp;"/"&amp;RIGHT("00"&amp;INT(MOD(Sync!$L740,10000)/100),2)&amp;"/"&amp;RIGHT("00"&amp;MOD(Sync!$L740,100),2),""),IFERROR(RIGHT("0000"&amp;VALUE(TRIM(LEFT(Sync!$L740,FIND("/",Sync!$L740)-1))),4)&amp;"/"&amp;RIGHT("00"&amp;VALUE(TRIM(LEFT(MID(Sync!$L740,FIND("/",Sync!$L740)+1,20),FIND("/",MID(Sync!$L740,FIND("/",Sync!$L740)+1,20))-1))),2)&amp;"/"&amp;RIGHT("00"&amp;VALUE(TRIM(MID(MID(Sync!$L740,FIND("/",Sync!$L740)+1,20),FIND("/",MID(Sync!$L740,FIND("/",Sync!$L740)+1,20))+1,20))),2),"")))</f>
        <v/>
      </c>
    </row>
    <row r="741">
      <c r="M741">
        <f>IF(Sync!$M741&lt;&gt;"پاس چک","",IF(Sync!$P741="","",Sync!$P741))</f>
        <v/>
      </c>
      <c r="N741">
        <f>IF($M741="","",IF(ISNUMBER(Sync!$L741),IF(AND(Sync!$L741&gt;=10000101,Sync!$L741&lt;=99991231),RIGHT("0000"&amp;INT(Sync!$L741/10000),4)&amp;"/"&amp;RIGHT("00"&amp;INT(MOD(Sync!$L741,10000)/100),2)&amp;"/"&amp;RIGHT("00"&amp;MOD(Sync!$L741,100),2),""),IFERROR(RIGHT("0000"&amp;VALUE(TRIM(LEFT(Sync!$L741,FIND("/",Sync!$L741)-1))),4)&amp;"/"&amp;RIGHT("00"&amp;VALUE(TRIM(LEFT(MID(Sync!$L741,FIND("/",Sync!$L741)+1,20),FIND("/",MID(Sync!$L741,FIND("/",Sync!$L741)+1,20))-1))),2)&amp;"/"&amp;RIGHT("00"&amp;VALUE(TRIM(MID(MID(Sync!$L741,FIND("/",Sync!$L741)+1,20),FIND("/",MID(Sync!$L741,FIND("/",Sync!$L741)+1,20))+1,20))),2),"")))</f>
        <v/>
      </c>
    </row>
    <row r="742">
      <c r="M742">
        <f>IF(Sync!$M742&lt;&gt;"پاس چک","",IF(Sync!$P742="","",Sync!$P742))</f>
        <v/>
      </c>
      <c r="N742">
        <f>IF($M742="","",IF(ISNUMBER(Sync!$L742),IF(AND(Sync!$L742&gt;=10000101,Sync!$L742&lt;=99991231),RIGHT("0000"&amp;INT(Sync!$L742/10000),4)&amp;"/"&amp;RIGHT("00"&amp;INT(MOD(Sync!$L742,10000)/100),2)&amp;"/"&amp;RIGHT("00"&amp;MOD(Sync!$L742,100),2),""),IFERROR(RIGHT("0000"&amp;VALUE(TRIM(LEFT(Sync!$L742,FIND("/",Sync!$L742)-1))),4)&amp;"/"&amp;RIGHT("00"&amp;VALUE(TRIM(LEFT(MID(Sync!$L742,FIND("/",Sync!$L742)+1,20),FIND("/",MID(Sync!$L742,FIND("/",Sync!$L742)+1,20))-1))),2)&amp;"/"&amp;RIGHT("00"&amp;VALUE(TRIM(MID(MID(Sync!$L742,FIND("/",Sync!$L742)+1,20),FIND("/",MID(Sync!$L742,FIND("/",Sync!$L742)+1,20))+1,20))),2),"")))</f>
        <v/>
      </c>
    </row>
    <row r="743">
      <c r="M743">
        <f>IF(Sync!$M743&lt;&gt;"پاس چک","",IF(Sync!$P743="","",Sync!$P743))</f>
        <v/>
      </c>
      <c r="N743">
        <f>IF($M743="","",IF(ISNUMBER(Sync!$L743),IF(AND(Sync!$L743&gt;=10000101,Sync!$L743&lt;=99991231),RIGHT("0000"&amp;INT(Sync!$L743/10000),4)&amp;"/"&amp;RIGHT("00"&amp;INT(MOD(Sync!$L743,10000)/100),2)&amp;"/"&amp;RIGHT("00"&amp;MOD(Sync!$L743,100),2),""),IFERROR(RIGHT("0000"&amp;VALUE(TRIM(LEFT(Sync!$L743,FIND("/",Sync!$L743)-1))),4)&amp;"/"&amp;RIGHT("00"&amp;VALUE(TRIM(LEFT(MID(Sync!$L743,FIND("/",Sync!$L743)+1,20),FIND("/",MID(Sync!$L743,FIND("/",Sync!$L743)+1,20))-1))),2)&amp;"/"&amp;RIGHT("00"&amp;VALUE(TRIM(MID(MID(Sync!$L743,FIND("/",Sync!$L743)+1,20),FIND("/",MID(Sync!$L743,FIND("/",Sync!$L743)+1,20))+1,20))),2),"")))</f>
        <v/>
      </c>
    </row>
    <row r="744">
      <c r="M744">
        <f>IF(Sync!$M744&lt;&gt;"پاس چک","",IF(Sync!$P744="","",Sync!$P744))</f>
        <v/>
      </c>
      <c r="N744">
        <f>IF($M744="","",IF(ISNUMBER(Sync!$L744),IF(AND(Sync!$L744&gt;=10000101,Sync!$L744&lt;=99991231),RIGHT("0000"&amp;INT(Sync!$L744/10000),4)&amp;"/"&amp;RIGHT("00"&amp;INT(MOD(Sync!$L744,10000)/100),2)&amp;"/"&amp;RIGHT("00"&amp;MOD(Sync!$L744,100),2),""),IFERROR(RIGHT("0000"&amp;VALUE(TRIM(LEFT(Sync!$L744,FIND("/",Sync!$L744)-1))),4)&amp;"/"&amp;RIGHT("00"&amp;VALUE(TRIM(LEFT(MID(Sync!$L744,FIND("/",Sync!$L744)+1,20),FIND("/",MID(Sync!$L744,FIND("/",Sync!$L744)+1,20))-1))),2)&amp;"/"&amp;RIGHT("00"&amp;VALUE(TRIM(MID(MID(Sync!$L744,FIND("/",Sync!$L744)+1,20),FIND("/",MID(Sync!$L744,FIND("/",Sync!$L744)+1,20))+1,20))),2),"")))</f>
        <v/>
      </c>
    </row>
    <row r="745">
      <c r="M745">
        <f>IF(Sync!$M745&lt;&gt;"پاس چک","",IF(Sync!$P745="","",Sync!$P745))</f>
        <v/>
      </c>
      <c r="N745">
        <f>IF($M745="","",IF(ISNUMBER(Sync!$L745),IF(AND(Sync!$L745&gt;=10000101,Sync!$L745&lt;=99991231),RIGHT("0000"&amp;INT(Sync!$L745/10000),4)&amp;"/"&amp;RIGHT("00"&amp;INT(MOD(Sync!$L745,10000)/100),2)&amp;"/"&amp;RIGHT("00"&amp;MOD(Sync!$L745,100),2),""),IFERROR(RIGHT("0000"&amp;VALUE(TRIM(LEFT(Sync!$L745,FIND("/",Sync!$L745)-1))),4)&amp;"/"&amp;RIGHT("00"&amp;VALUE(TRIM(LEFT(MID(Sync!$L745,FIND("/",Sync!$L745)+1,20),FIND("/",MID(Sync!$L745,FIND("/",Sync!$L745)+1,20))-1))),2)&amp;"/"&amp;RIGHT("00"&amp;VALUE(TRIM(MID(MID(Sync!$L745,FIND("/",Sync!$L745)+1,20),FIND("/",MID(Sync!$L745,FIND("/",Sync!$L745)+1,20))+1,20))),2),"")))</f>
        <v/>
      </c>
    </row>
    <row r="746">
      <c r="M746">
        <f>IF(Sync!$M746&lt;&gt;"پاس چک","",IF(Sync!$P746="","",Sync!$P746))</f>
        <v/>
      </c>
      <c r="N746">
        <f>IF($M746="","",IF(ISNUMBER(Sync!$L746),IF(AND(Sync!$L746&gt;=10000101,Sync!$L746&lt;=99991231),RIGHT("0000"&amp;INT(Sync!$L746/10000),4)&amp;"/"&amp;RIGHT("00"&amp;INT(MOD(Sync!$L746,10000)/100),2)&amp;"/"&amp;RIGHT("00"&amp;MOD(Sync!$L746,100),2),""),IFERROR(RIGHT("0000"&amp;VALUE(TRIM(LEFT(Sync!$L746,FIND("/",Sync!$L746)-1))),4)&amp;"/"&amp;RIGHT("00"&amp;VALUE(TRIM(LEFT(MID(Sync!$L746,FIND("/",Sync!$L746)+1,20),FIND("/",MID(Sync!$L746,FIND("/",Sync!$L746)+1,20))-1))),2)&amp;"/"&amp;RIGHT("00"&amp;VALUE(TRIM(MID(MID(Sync!$L746,FIND("/",Sync!$L746)+1,20),FIND("/",MID(Sync!$L746,FIND("/",Sync!$L746)+1,20))+1,20))),2),"")))</f>
        <v/>
      </c>
    </row>
    <row r="747">
      <c r="M747">
        <f>IF(Sync!$M747&lt;&gt;"پاس چک","",IF(Sync!$P747="","",Sync!$P747))</f>
        <v/>
      </c>
      <c r="N747">
        <f>IF($M747="","",IF(ISNUMBER(Sync!$L747),IF(AND(Sync!$L747&gt;=10000101,Sync!$L747&lt;=99991231),RIGHT("0000"&amp;INT(Sync!$L747/10000),4)&amp;"/"&amp;RIGHT("00"&amp;INT(MOD(Sync!$L747,10000)/100),2)&amp;"/"&amp;RIGHT("00"&amp;MOD(Sync!$L747,100),2),""),IFERROR(RIGHT("0000"&amp;VALUE(TRIM(LEFT(Sync!$L747,FIND("/",Sync!$L747)-1))),4)&amp;"/"&amp;RIGHT("00"&amp;VALUE(TRIM(LEFT(MID(Sync!$L747,FIND("/",Sync!$L747)+1,20),FIND("/",MID(Sync!$L747,FIND("/",Sync!$L747)+1,20))-1))),2)&amp;"/"&amp;RIGHT("00"&amp;VALUE(TRIM(MID(MID(Sync!$L747,FIND("/",Sync!$L747)+1,20),FIND("/",MID(Sync!$L747,FIND("/",Sync!$L747)+1,20))+1,20))),2),"")))</f>
        <v/>
      </c>
    </row>
    <row r="748">
      <c r="M748">
        <f>IF(Sync!$M748&lt;&gt;"پاس چک","",IF(Sync!$P748="","",Sync!$P748))</f>
        <v/>
      </c>
      <c r="N748">
        <f>IF($M748="","",IF(ISNUMBER(Sync!$L748),IF(AND(Sync!$L748&gt;=10000101,Sync!$L748&lt;=99991231),RIGHT("0000"&amp;INT(Sync!$L748/10000),4)&amp;"/"&amp;RIGHT("00"&amp;INT(MOD(Sync!$L748,10000)/100),2)&amp;"/"&amp;RIGHT("00"&amp;MOD(Sync!$L748,100),2),""),IFERROR(RIGHT("0000"&amp;VALUE(TRIM(LEFT(Sync!$L748,FIND("/",Sync!$L748)-1))),4)&amp;"/"&amp;RIGHT("00"&amp;VALUE(TRIM(LEFT(MID(Sync!$L748,FIND("/",Sync!$L748)+1,20),FIND("/",MID(Sync!$L748,FIND("/",Sync!$L748)+1,20))-1))),2)&amp;"/"&amp;RIGHT("00"&amp;VALUE(TRIM(MID(MID(Sync!$L748,FIND("/",Sync!$L748)+1,20),FIND("/",MID(Sync!$L748,FIND("/",Sync!$L748)+1,20))+1,20))),2),"")))</f>
        <v/>
      </c>
    </row>
    <row r="749">
      <c r="M749">
        <f>IF(Sync!$M749&lt;&gt;"پاس چک","",IF(Sync!$P749="","",Sync!$P749))</f>
        <v/>
      </c>
      <c r="N749">
        <f>IF($M749="","",IF(ISNUMBER(Sync!$L749),IF(AND(Sync!$L749&gt;=10000101,Sync!$L749&lt;=99991231),RIGHT("0000"&amp;INT(Sync!$L749/10000),4)&amp;"/"&amp;RIGHT("00"&amp;INT(MOD(Sync!$L749,10000)/100),2)&amp;"/"&amp;RIGHT("00"&amp;MOD(Sync!$L749,100),2),""),IFERROR(RIGHT("0000"&amp;VALUE(TRIM(LEFT(Sync!$L749,FIND("/",Sync!$L749)-1))),4)&amp;"/"&amp;RIGHT("00"&amp;VALUE(TRIM(LEFT(MID(Sync!$L749,FIND("/",Sync!$L749)+1,20),FIND("/",MID(Sync!$L749,FIND("/",Sync!$L749)+1,20))-1))),2)&amp;"/"&amp;RIGHT("00"&amp;VALUE(TRIM(MID(MID(Sync!$L749,FIND("/",Sync!$L749)+1,20),FIND("/",MID(Sync!$L749,FIND("/",Sync!$L749)+1,20))+1,20))),2),"")))</f>
        <v/>
      </c>
    </row>
    <row r="750">
      <c r="M750">
        <f>IF(Sync!$M750&lt;&gt;"پاس چک","",IF(Sync!$P750="","",Sync!$P750))</f>
        <v/>
      </c>
      <c r="N750">
        <f>IF($M750="","",IF(ISNUMBER(Sync!$L750),IF(AND(Sync!$L750&gt;=10000101,Sync!$L750&lt;=99991231),RIGHT("0000"&amp;INT(Sync!$L750/10000),4)&amp;"/"&amp;RIGHT("00"&amp;INT(MOD(Sync!$L750,10000)/100),2)&amp;"/"&amp;RIGHT("00"&amp;MOD(Sync!$L750,100),2),""),IFERROR(RIGHT("0000"&amp;VALUE(TRIM(LEFT(Sync!$L750,FIND("/",Sync!$L750)-1))),4)&amp;"/"&amp;RIGHT("00"&amp;VALUE(TRIM(LEFT(MID(Sync!$L750,FIND("/",Sync!$L750)+1,20),FIND("/",MID(Sync!$L750,FIND("/",Sync!$L750)+1,20))-1))),2)&amp;"/"&amp;RIGHT("00"&amp;VALUE(TRIM(MID(MID(Sync!$L750,FIND("/",Sync!$L750)+1,20),FIND("/",MID(Sync!$L750,FIND("/",Sync!$L750)+1,20))+1,20))),2),"")))</f>
        <v/>
      </c>
    </row>
    <row r="751">
      <c r="M751">
        <f>IF(Sync!$M751&lt;&gt;"پاس چک","",IF(Sync!$P751="","",Sync!$P751))</f>
        <v/>
      </c>
      <c r="N751">
        <f>IF($M751="","",IF(ISNUMBER(Sync!$L751),IF(AND(Sync!$L751&gt;=10000101,Sync!$L751&lt;=99991231),RIGHT("0000"&amp;INT(Sync!$L751/10000),4)&amp;"/"&amp;RIGHT("00"&amp;INT(MOD(Sync!$L751,10000)/100),2)&amp;"/"&amp;RIGHT("00"&amp;MOD(Sync!$L751,100),2),""),IFERROR(RIGHT("0000"&amp;VALUE(TRIM(LEFT(Sync!$L751,FIND("/",Sync!$L751)-1))),4)&amp;"/"&amp;RIGHT("00"&amp;VALUE(TRIM(LEFT(MID(Sync!$L751,FIND("/",Sync!$L751)+1,20),FIND("/",MID(Sync!$L751,FIND("/",Sync!$L751)+1,20))-1))),2)&amp;"/"&amp;RIGHT("00"&amp;VALUE(TRIM(MID(MID(Sync!$L751,FIND("/",Sync!$L751)+1,20),FIND("/",MID(Sync!$L751,FIND("/",Sync!$L751)+1,20))+1,20))),2),"")))</f>
        <v/>
      </c>
    </row>
    <row r="752">
      <c r="M752">
        <f>IF(Sync!$M752&lt;&gt;"پاس چک","",IF(Sync!$P752="","",Sync!$P752))</f>
        <v/>
      </c>
      <c r="N752">
        <f>IF($M752="","",IF(ISNUMBER(Sync!$L752),IF(AND(Sync!$L752&gt;=10000101,Sync!$L752&lt;=99991231),RIGHT("0000"&amp;INT(Sync!$L752/10000),4)&amp;"/"&amp;RIGHT("00"&amp;INT(MOD(Sync!$L752,10000)/100),2)&amp;"/"&amp;RIGHT("00"&amp;MOD(Sync!$L752,100),2),""),IFERROR(RIGHT("0000"&amp;VALUE(TRIM(LEFT(Sync!$L752,FIND("/",Sync!$L752)-1))),4)&amp;"/"&amp;RIGHT("00"&amp;VALUE(TRIM(LEFT(MID(Sync!$L752,FIND("/",Sync!$L752)+1,20),FIND("/",MID(Sync!$L752,FIND("/",Sync!$L752)+1,20))-1))),2)&amp;"/"&amp;RIGHT("00"&amp;VALUE(TRIM(MID(MID(Sync!$L752,FIND("/",Sync!$L752)+1,20),FIND("/",MID(Sync!$L752,FIND("/",Sync!$L752)+1,20))+1,20))),2),"")))</f>
        <v/>
      </c>
    </row>
    <row r="753">
      <c r="M753">
        <f>IF(Sync!$M753&lt;&gt;"پاس چک","",IF(Sync!$P753="","",Sync!$P753))</f>
        <v/>
      </c>
      <c r="N753">
        <f>IF($M753="","",IF(ISNUMBER(Sync!$L753),IF(AND(Sync!$L753&gt;=10000101,Sync!$L753&lt;=99991231),RIGHT("0000"&amp;INT(Sync!$L753/10000),4)&amp;"/"&amp;RIGHT("00"&amp;INT(MOD(Sync!$L753,10000)/100),2)&amp;"/"&amp;RIGHT("00"&amp;MOD(Sync!$L753,100),2),""),IFERROR(RIGHT("0000"&amp;VALUE(TRIM(LEFT(Sync!$L753,FIND("/",Sync!$L753)-1))),4)&amp;"/"&amp;RIGHT("00"&amp;VALUE(TRIM(LEFT(MID(Sync!$L753,FIND("/",Sync!$L753)+1,20),FIND("/",MID(Sync!$L753,FIND("/",Sync!$L753)+1,20))-1))),2)&amp;"/"&amp;RIGHT("00"&amp;VALUE(TRIM(MID(MID(Sync!$L753,FIND("/",Sync!$L753)+1,20),FIND("/",MID(Sync!$L753,FIND("/",Sync!$L753)+1,20))+1,20))),2),"")))</f>
        <v/>
      </c>
    </row>
    <row r="754">
      <c r="M754">
        <f>IF(Sync!$M754&lt;&gt;"پاس چک","",IF(Sync!$P754="","",Sync!$P754))</f>
        <v/>
      </c>
      <c r="N754">
        <f>IF($M754="","",IF(ISNUMBER(Sync!$L754),IF(AND(Sync!$L754&gt;=10000101,Sync!$L754&lt;=99991231),RIGHT("0000"&amp;INT(Sync!$L754/10000),4)&amp;"/"&amp;RIGHT("00"&amp;INT(MOD(Sync!$L754,10000)/100),2)&amp;"/"&amp;RIGHT("00"&amp;MOD(Sync!$L754,100),2),""),IFERROR(RIGHT("0000"&amp;VALUE(TRIM(LEFT(Sync!$L754,FIND("/",Sync!$L754)-1))),4)&amp;"/"&amp;RIGHT("00"&amp;VALUE(TRIM(LEFT(MID(Sync!$L754,FIND("/",Sync!$L754)+1,20),FIND("/",MID(Sync!$L754,FIND("/",Sync!$L754)+1,20))-1))),2)&amp;"/"&amp;RIGHT("00"&amp;VALUE(TRIM(MID(MID(Sync!$L754,FIND("/",Sync!$L754)+1,20),FIND("/",MID(Sync!$L754,FIND("/",Sync!$L754)+1,20))+1,20))),2),"")))</f>
        <v/>
      </c>
    </row>
    <row r="755">
      <c r="M755">
        <f>IF(Sync!$M755&lt;&gt;"پاس چک","",IF(Sync!$P755="","",Sync!$P755))</f>
        <v/>
      </c>
      <c r="N755">
        <f>IF($M755="","",IF(ISNUMBER(Sync!$L755),IF(AND(Sync!$L755&gt;=10000101,Sync!$L755&lt;=99991231),RIGHT("0000"&amp;INT(Sync!$L755/10000),4)&amp;"/"&amp;RIGHT("00"&amp;INT(MOD(Sync!$L755,10000)/100),2)&amp;"/"&amp;RIGHT("00"&amp;MOD(Sync!$L755,100),2),""),IFERROR(RIGHT("0000"&amp;VALUE(TRIM(LEFT(Sync!$L755,FIND("/",Sync!$L755)-1))),4)&amp;"/"&amp;RIGHT("00"&amp;VALUE(TRIM(LEFT(MID(Sync!$L755,FIND("/",Sync!$L755)+1,20),FIND("/",MID(Sync!$L755,FIND("/",Sync!$L755)+1,20))-1))),2)&amp;"/"&amp;RIGHT("00"&amp;VALUE(TRIM(MID(MID(Sync!$L755,FIND("/",Sync!$L755)+1,20),FIND("/",MID(Sync!$L755,FIND("/",Sync!$L755)+1,20))+1,20))),2),"")))</f>
        <v/>
      </c>
    </row>
    <row r="756">
      <c r="M756">
        <f>IF(Sync!$M756&lt;&gt;"پاس چک","",IF(Sync!$P756="","",Sync!$P756))</f>
        <v/>
      </c>
      <c r="N756">
        <f>IF($M756="","",IF(ISNUMBER(Sync!$L756),IF(AND(Sync!$L756&gt;=10000101,Sync!$L756&lt;=99991231),RIGHT("0000"&amp;INT(Sync!$L756/10000),4)&amp;"/"&amp;RIGHT("00"&amp;INT(MOD(Sync!$L756,10000)/100),2)&amp;"/"&amp;RIGHT("00"&amp;MOD(Sync!$L756,100),2),""),IFERROR(RIGHT("0000"&amp;VALUE(TRIM(LEFT(Sync!$L756,FIND("/",Sync!$L756)-1))),4)&amp;"/"&amp;RIGHT("00"&amp;VALUE(TRIM(LEFT(MID(Sync!$L756,FIND("/",Sync!$L756)+1,20),FIND("/",MID(Sync!$L756,FIND("/",Sync!$L756)+1,20))-1))),2)&amp;"/"&amp;RIGHT("00"&amp;VALUE(TRIM(MID(MID(Sync!$L756,FIND("/",Sync!$L756)+1,20),FIND("/",MID(Sync!$L756,FIND("/",Sync!$L756)+1,20))+1,20))),2),"")))</f>
        <v/>
      </c>
    </row>
    <row r="757">
      <c r="M757">
        <f>IF(Sync!$M757&lt;&gt;"پاس چک","",IF(Sync!$P757="","",Sync!$P757))</f>
        <v/>
      </c>
      <c r="N757">
        <f>IF($M757="","",IF(ISNUMBER(Sync!$L757),IF(AND(Sync!$L757&gt;=10000101,Sync!$L757&lt;=99991231),RIGHT("0000"&amp;INT(Sync!$L757/10000),4)&amp;"/"&amp;RIGHT("00"&amp;INT(MOD(Sync!$L757,10000)/100),2)&amp;"/"&amp;RIGHT("00"&amp;MOD(Sync!$L757,100),2),""),IFERROR(RIGHT("0000"&amp;VALUE(TRIM(LEFT(Sync!$L757,FIND("/",Sync!$L757)-1))),4)&amp;"/"&amp;RIGHT("00"&amp;VALUE(TRIM(LEFT(MID(Sync!$L757,FIND("/",Sync!$L757)+1,20),FIND("/",MID(Sync!$L757,FIND("/",Sync!$L757)+1,20))-1))),2)&amp;"/"&amp;RIGHT("00"&amp;VALUE(TRIM(MID(MID(Sync!$L757,FIND("/",Sync!$L757)+1,20),FIND("/",MID(Sync!$L757,FIND("/",Sync!$L757)+1,20))+1,20))),2),"")))</f>
        <v/>
      </c>
    </row>
    <row r="758">
      <c r="M758">
        <f>IF(Sync!$M758&lt;&gt;"پاس چک","",IF(Sync!$P758="","",Sync!$P758))</f>
        <v/>
      </c>
      <c r="N758">
        <f>IF($M758="","",IF(ISNUMBER(Sync!$L758),IF(AND(Sync!$L758&gt;=10000101,Sync!$L758&lt;=99991231),RIGHT("0000"&amp;INT(Sync!$L758/10000),4)&amp;"/"&amp;RIGHT("00"&amp;INT(MOD(Sync!$L758,10000)/100),2)&amp;"/"&amp;RIGHT("00"&amp;MOD(Sync!$L758,100),2),""),IFERROR(RIGHT("0000"&amp;VALUE(TRIM(LEFT(Sync!$L758,FIND("/",Sync!$L758)-1))),4)&amp;"/"&amp;RIGHT("00"&amp;VALUE(TRIM(LEFT(MID(Sync!$L758,FIND("/",Sync!$L758)+1,20),FIND("/",MID(Sync!$L758,FIND("/",Sync!$L758)+1,20))-1))),2)&amp;"/"&amp;RIGHT("00"&amp;VALUE(TRIM(MID(MID(Sync!$L758,FIND("/",Sync!$L758)+1,20),FIND("/",MID(Sync!$L758,FIND("/",Sync!$L758)+1,20))+1,20))),2),"")))</f>
        <v/>
      </c>
    </row>
    <row r="759">
      <c r="M759">
        <f>IF(Sync!$M759&lt;&gt;"پاس چک","",IF(Sync!$P759="","",Sync!$P759))</f>
        <v/>
      </c>
      <c r="N759">
        <f>IF($M759="","",IF(ISNUMBER(Sync!$L759),IF(AND(Sync!$L759&gt;=10000101,Sync!$L759&lt;=99991231),RIGHT("0000"&amp;INT(Sync!$L759/10000),4)&amp;"/"&amp;RIGHT("00"&amp;INT(MOD(Sync!$L759,10000)/100),2)&amp;"/"&amp;RIGHT("00"&amp;MOD(Sync!$L759,100),2),""),IFERROR(RIGHT("0000"&amp;VALUE(TRIM(LEFT(Sync!$L759,FIND("/",Sync!$L759)-1))),4)&amp;"/"&amp;RIGHT("00"&amp;VALUE(TRIM(LEFT(MID(Sync!$L759,FIND("/",Sync!$L759)+1,20),FIND("/",MID(Sync!$L759,FIND("/",Sync!$L759)+1,20))-1))),2)&amp;"/"&amp;RIGHT("00"&amp;VALUE(TRIM(MID(MID(Sync!$L759,FIND("/",Sync!$L759)+1,20),FIND("/",MID(Sync!$L759,FIND("/",Sync!$L759)+1,20))+1,20))),2),"")))</f>
        <v/>
      </c>
    </row>
    <row r="760">
      <c r="M760">
        <f>IF(Sync!$M760&lt;&gt;"پاس چک","",IF(Sync!$P760="","",Sync!$P760))</f>
        <v/>
      </c>
      <c r="N760">
        <f>IF($M760="","",IF(ISNUMBER(Sync!$L760),IF(AND(Sync!$L760&gt;=10000101,Sync!$L760&lt;=99991231),RIGHT("0000"&amp;INT(Sync!$L760/10000),4)&amp;"/"&amp;RIGHT("00"&amp;INT(MOD(Sync!$L760,10000)/100),2)&amp;"/"&amp;RIGHT("00"&amp;MOD(Sync!$L760,100),2),""),IFERROR(RIGHT("0000"&amp;VALUE(TRIM(LEFT(Sync!$L760,FIND("/",Sync!$L760)-1))),4)&amp;"/"&amp;RIGHT("00"&amp;VALUE(TRIM(LEFT(MID(Sync!$L760,FIND("/",Sync!$L760)+1,20),FIND("/",MID(Sync!$L760,FIND("/",Sync!$L760)+1,20))-1))),2)&amp;"/"&amp;RIGHT("00"&amp;VALUE(TRIM(MID(MID(Sync!$L760,FIND("/",Sync!$L760)+1,20),FIND("/",MID(Sync!$L760,FIND("/",Sync!$L760)+1,20))+1,20))),2),"")))</f>
        <v/>
      </c>
    </row>
    <row r="761">
      <c r="M761">
        <f>IF(Sync!$M761&lt;&gt;"پاس چک","",IF(Sync!$P761="","",Sync!$P761))</f>
        <v/>
      </c>
      <c r="N761">
        <f>IF($M761="","",IF(ISNUMBER(Sync!$L761),IF(AND(Sync!$L761&gt;=10000101,Sync!$L761&lt;=99991231),RIGHT("0000"&amp;INT(Sync!$L761/10000),4)&amp;"/"&amp;RIGHT("00"&amp;INT(MOD(Sync!$L761,10000)/100),2)&amp;"/"&amp;RIGHT("00"&amp;MOD(Sync!$L761,100),2),""),IFERROR(RIGHT("0000"&amp;VALUE(TRIM(LEFT(Sync!$L761,FIND("/",Sync!$L761)-1))),4)&amp;"/"&amp;RIGHT("00"&amp;VALUE(TRIM(LEFT(MID(Sync!$L761,FIND("/",Sync!$L761)+1,20),FIND("/",MID(Sync!$L761,FIND("/",Sync!$L761)+1,20))-1))),2)&amp;"/"&amp;RIGHT("00"&amp;VALUE(TRIM(MID(MID(Sync!$L761,FIND("/",Sync!$L761)+1,20),FIND("/",MID(Sync!$L761,FIND("/",Sync!$L761)+1,20))+1,20))),2),"")))</f>
        <v/>
      </c>
    </row>
    <row r="762">
      <c r="M762">
        <f>IF(Sync!$M762&lt;&gt;"پاس چک","",IF(Sync!$P762="","",Sync!$P762))</f>
        <v/>
      </c>
      <c r="N762">
        <f>IF($M762="","",IF(ISNUMBER(Sync!$L762),IF(AND(Sync!$L762&gt;=10000101,Sync!$L762&lt;=99991231),RIGHT("0000"&amp;INT(Sync!$L762/10000),4)&amp;"/"&amp;RIGHT("00"&amp;INT(MOD(Sync!$L762,10000)/100),2)&amp;"/"&amp;RIGHT("00"&amp;MOD(Sync!$L762,100),2),""),IFERROR(RIGHT("0000"&amp;VALUE(TRIM(LEFT(Sync!$L762,FIND("/",Sync!$L762)-1))),4)&amp;"/"&amp;RIGHT("00"&amp;VALUE(TRIM(LEFT(MID(Sync!$L762,FIND("/",Sync!$L762)+1,20),FIND("/",MID(Sync!$L762,FIND("/",Sync!$L762)+1,20))-1))),2)&amp;"/"&amp;RIGHT("00"&amp;VALUE(TRIM(MID(MID(Sync!$L762,FIND("/",Sync!$L762)+1,20),FIND("/",MID(Sync!$L762,FIND("/",Sync!$L762)+1,20))+1,20))),2),"")))</f>
        <v/>
      </c>
    </row>
    <row r="763">
      <c r="M763">
        <f>IF(Sync!$M763&lt;&gt;"پاس چک","",IF(Sync!$P763="","",Sync!$P763))</f>
        <v/>
      </c>
      <c r="N763">
        <f>IF($M763="","",IF(ISNUMBER(Sync!$L763),IF(AND(Sync!$L763&gt;=10000101,Sync!$L763&lt;=99991231),RIGHT("0000"&amp;INT(Sync!$L763/10000),4)&amp;"/"&amp;RIGHT("00"&amp;INT(MOD(Sync!$L763,10000)/100),2)&amp;"/"&amp;RIGHT("00"&amp;MOD(Sync!$L763,100),2),""),IFERROR(RIGHT("0000"&amp;VALUE(TRIM(LEFT(Sync!$L763,FIND("/",Sync!$L763)-1))),4)&amp;"/"&amp;RIGHT("00"&amp;VALUE(TRIM(LEFT(MID(Sync!$L763,FIND("/",Sync!$L763)+1,20),FIND("/",MID(Sync!$L763,FIND("/",Sync!$L763)+1,20))-1))),2)&amp;"/"&amp;RIGHT("00"&amp;VALUE(TRIM(MID(MID(Sync!$L763,FIND("/",Sync!$L763)+1,20),FIND("/",MID(Sync!$L763,FIND("/",Sync!$L763)+1,20))+1,20))),2),"")))</f>
        <v/>
      </c>
    </row>
    <row r="764">
      <c r="M764">
        <f>IF(Sync!$M764&lt;&gt;"پاس چک","",IF(Sync!$P764="","",Sync!$P764))</f>
        <v/>
      </c>
      <c r="N764">
        <f>IF($M764="","",IF(ISNUMBER(Sync!$L764),IF(AND(Sync!$L764&gt;=10000101,Sync!$L764&lt;=99991231),RIGHT("0000"&amp;INT(Sync!$L764/10000),4)&amp;"/"&amp;RIGHT("00"&amp;INT(MOD(Sync!$L764,10000)/100),2)&amp;"/"&amp;RIGHT("00"&amp;MOD(Sync!$L764,100),2),""),IFERROR(RIGHT("0000"&amp;VALUE(TRIM(LEFT(Sync!$L764,FIND("/",Sync!$L764)-1))),4)&amp;"/"&amp;RIGHT("00"&amp;VALUE(TRIM(LEFT(MID(Sync!$L764,FIND("/",Sync!$L764)+1,20),FIND("/",MID(Sync!$L764,FIND("/",Sync!$L764)+1,20))-1))),2)&amp;"/"&amp;RIGHT("00"&amp;VALUE(TRIM(MID(MID(Sync!$L764,FIND("/",Sync!$L764)+1,20),FIND("/",MID(Sync!$L764,FIND("/",Sync!$L764)+1,20))+1,20))),2),"")))</f>
        <v/>
      </c>
    </row>
    <row r="765">
      <c r="M765">
        <f>IF(Sync!$M765&lt;&gt;"پاس چک","",IF(Sync!$P765="","",Sync!$P765))</f>
        <v/>
      </c>
      <c r="N765">
        <f>IF($M765="","",IF(ISNUMBER(Sync!$L765),IF(AND(Sync!$L765&gt;=10000101,Sync!$L765&lt;=99991231),RIGHT("0000"&amp;INT(Sync!$L765/10000),4)&amp;"/"&amp;RIGHT("00"&amp;INT(MOD(Sync!$L765,10000)/100),2)&amp;"/"&amp;RIGHT("00"&amp;MOD(Sync!$L765,100),2),""),IFERROR(RIGHT("0000"&amp;VALUE(TRIM(LEFT(Sync!$L765,FIND("/",Sync!$L765)-1))),4)&amp;"/"&amp;RIGHT("00"&amp;VALUE(TRIM(LEFT(MID(Sync!$L765,FIND("/",Sync!$L765)+1,20),FIND("/",MID(Sync!$L765,FIND("/",Sync!$L765)+1,20))-1))),2)&amp;"/"&amp;RIGHT("00"&amp;VALUE(TRIM(MID(MID(Sync!$L765,FIND("/",Sync!$L765)+1,20),FIND("/",MID(Sync!$L765,FIND("/",Sync!$L765)+1,20))+1,20))),2),"")))</f>
        <v/>
      </c>
    </row>
    <row r="766">
      <c r="M766">
        <f>IF(Sync!$M766&lt;&gt;"پاس چک","",IF(Sync!$P766="","",Sync!$P766))</f>
        <v/>
      </c>
      <c r="N766">
        <f>IF($M766="","",IF(ISNUMBER(Sync!$L766),IF(AND(Sync!$L766&gt;=10000101,Sync!$L766&lt;=99991231),RIGHT("0000"&amp;INT(Sync!$L766/10000),4)&amp;"/"&amp;RIGHT("00"&amp;INT(MOD(Sync!$L766,10000)/100),2)&amp;"/"&amp;RIGHT("00"&amp;MOD(Sync!$L766,100),2),""),IFERROR(RIGHT("0000"&amp;VALUE(TRIM(LEFT(Sync!$L766,FIND("/",Sync!$L766)-1))),4)&amp;"/"&amp;RIGHT("00"&amp;VALUE(TRIM(LEFT(MID(Sync!$L766,FIND("/",Sync!$L766)+1,20),FIND("/",MID(Sync!$L766,FIND("/",Sync!$L766)+1,20))-1))),2)&amp;"/"&amp;RIGHT("00"&amp;VALUE(TRIM(MID(MID(Sync!$L766,FIND("/",Sync!$L766)+1,20),FIND("/",MID(Sync!$L766,FIND("/",Sync!$L766)+1,20))+1,20))),2),"")))</f>
        <v/>
      </c>
    </row>
    <row r="767">
      <c r="M767">
        <f>IF(Sync!$M767&lt;&gt;"پاس چک","",IF(Sync!$P767="","",Sync!$P767))</f>
        <v/>
      </c>
      <c r="N767">
        <f>IF($M767="","",IF(ISNUMBER(Sync!$L767),IF(AND(Sync!$L767&gt;=10000101,Sync!$L767&lt;=99991231),RIGHT("0000"&amp;INT(Sync!$L767/10000),4)&amp;"/"&amp;RIGHT("00"&amp;INT(MOD(Sync!$L767,10000)/100),2)&amp;"/"&amp;RIGHT("00"&amp;MOD(Sync!$L767,100),2),""),IFERROR(RIGHT("0000"&amp;VALUE(TRIM(LEFT(Sync!$L767,FIND("/",Sync!$L767)-1))),4)&amp;"/"&amp;RIGHT("00"&amp;VALUE(TRIM(LEFT(MID(Sync!$L767,FIND("/",Sync!$L767)+1,20),FIND("/",MID(Sync!$L767,FIND("/",Sync!$L767)+1,20))-1))),2)&amp;"/"&amp;RIGHT("00"&amp;VALUE(TRIM(MID(MID(Sync!$L767,FIND("/",Sync!$L767)+1,20),FIND("/",MID(Sync!$L767,FIND("/",Sync!$L767)+1,20))+1,20))),2),"")))</f>
        <v/>
      </c>
    </row>
    <row r="768">
      <c r="M768">
        <f>IF(Sync!$M768&lt;&gt;"پاس چک","",IF(Sync!$P768="","",Sync!$P768))</f>
        <v/>
      </c>
      <c r="N768">
        <f>IF($M768="","",IF(ISNUMBER(Sync!$L768),IF(AND(Sync!$L768&gt;=10000101,Sync!$L768&lt;=99991231),RIGHT("0000"&amp;INT(Sync!$L768/10000),4)&amp;"/"&amp;RIGHT("00"&amp;INT(MOD(Sync!$L768,10000)/100),2)&amp;"/"&amp;RIGHT("00"&amp;MOD(Sync!$L768,100),2),""),IFERROR(RIGHT("0000"&amp;VALUE(TRIM(LEFT(Sync!$L768,FIND("/",Sync!$L768)-1))),4)&amp;"/"&amp;RIGHT("00"&amp;VALUE(TRIM(LEFT(MID(Sync!$L768,FIND("/",Sync!$L768)+1,20),FIND("/",MID(Sync!$L768,FIND("/",Sync!$L768)+1,20))-1))),2)&amp;"/"&amp;RIGHT("00"&amp;VALUE(TRIM(MID(MID(Sync!$L768,FIND("/",Sync!$L768)+1,20),FIND("/",MID(Sync!$L768,FIND("/",Sync!$L768)+1,20))+1,20))),2),"")))</f>
        <v/>
      </c>
    </row>
    <row r="769">
      <c r="M769">
        <f>IF(Sync!$M769&lt;&gt;"پاس چک","",IF(Sync!$P769="","",Sync!$P769))</f>
        <v/>
      </c>
      <c r="N769">
        <f>IF($M769="","",IF(ISNUMBER(Sync!$L769),IF(AND(Sync!$L769&gt;=10000101,Sync!$L769&lt;=99991231),RIGHT("0000"&amp;INT(Sync!$L769/10000),4)&amp;"/"&amp;RIGHT("00"&amp;INT(MOD(Sync!$L769,10000)/100),2)&amp;"/"&amp;RIGHT("00"&amp;MOD(Sync!$L769,100),2),""),IFERROR(RIGHT("0000"&amp;VALUE(TRIM(LEFT(Sync!$L769,FIND("/",Sync!$L769)-1))),4)&amp;"/"&amp;RIGHT("00"&amp;VALUE(TRIM(LEFT(MID(Sync!$L769,FIND("/",Sync!$L769)+1,20),FIND("/",MID(Sync!$L769,FIND("/",Sync!$L769)+1,20))-1))),2)&amp;"/"&amp;RIGHT("00"&amp;VALUE(TRIM(MID(MID(Sync!$L769,FIND("/",Sync!$L769)+1,20),FIND("/",MID(Sync!$L769,FIND("/",Sync!$L769)+1,20))+1,20))),2),"")))</f>
        <v/>
      </c>
    </row>
    <row r="770">
      <c r="M770">
        <f>IF(Sync!$M770&lt;&gt;"پاس چک","",IF(Sync!$P770="","",Sync!$P770))</f>
        <v/>
      </c>
      <c r="N770">
        <f>IF($M770="","",IF(ISNUMBER(Sync!$L770),IF(AND(Sync!$L770&gt;=10000101,Sync!$L770&lt;=99991231),RIGHT("0000"&amp;INT(Sync!$L770/10000),4)&amp;"/"&amp;RIGHT("00"&amp;INT(MOD(Sync!$L770,10000)/100),2)&amp;"/"&amp;RIGHT("00"&amp;MOD(Sync!$L770,100),2),""),IFERROR(RIGHT("0000"&amp;VALUE(TRIM(LEFT(Sync!$L770,FIND("/",Sync!$L770)-1))),4)&amp;"/"&amp;RIGHT("00"&amp;VALUE(TRIM(LEFT(MID(Sync!$L770,FIND("/",Sync!$L770)+1,20),FIND("/",MID(Sync!$L770,FIND("/",Sync!$L770)+1,20))-1))),2)&amp;"/"&amp;RIGHT("00"&amp;VALUE(TRIM(MID(MID(Sync!$L770,FIND("/",Sync!$L770)+1,20),FIND("/",MID(Sync!$L770,FIND("/",Sync!$L770)+1,20))+1,20))),2),"")))</f>
        <v/>
      </c>
    </row>
    <row r="771">
      <c r="M771">
        <f>IF(Sync!$M771&lt;&gt;"پاس چک","",IF(Sync!$P771="","",Sync!$P771))</f>
        <v/>
      </c>
      <c r="N771">
        <f>IF($M771="","",IF(ISNUMBER(Sync!$L771),IF(AND(Sync!$L771&gt;=10000101,Sync!$L771&lt;=99991231),RIGHT("0000"&amp;INT(Sync!$L771/10000),4)&amp;"/"&amp;RIGHT("00"&amp;INT(MOD(Sync!$L771,10000)/100),2)&amp;"/"&amp;RIGHT("00"&amp;MOD(Sync!$L771,100),2),""),IFERROR(RIGHT("0000"&amp;VALUE(TRIM(LEFT(Sync!$L771,FIND("/",Sync!$L771)-1))),4)&amp;"/"&amp;RIGHT("00"&amp;VALUE(TRIM(LEFT(MID(Sync!$L771,FIND("/",Sync!$L771)+1,20),FIND("/",MID(Sync!$L771,FIND("/",Sync!$L771)+1,20))-1))),2)&amp;"/"&amp;RIGHT("00"&amp;VALUE(TRIM(MID(MID(Sync!$L771,FIND("/",Sync!$L771)+1,20),FIND("/",MID(Sync!$L771,FIND("/",Sync!$L771)+1,20))+1,20))),2),"")))</f>
        <v/>
      </c>
    </row>
    <row r="772">
      <c r="M772">
        <f>IF(Sync!$M772&lt;&gt;"پاس چک","",IF(Sync!$P772="","",Sync!$P772))</f>
        <v/>
      </c>
      <c r="N772">
        <f>IF($M772="","",IF(ISNUMBER(Sync!$L772),IF(AND(Sync!$L772&gt;=10000101,Sync!$L772&lt;=99991231),RIGHT("0000"&amp;INT(Sync!$L772/10000),4)&amp;"/"&amp;RIGHT("00"&amp;INT(MOD(Sync!$L772,10000)/100),2)&amp;"/"&amp;RIGHT("00"&amp;MOD(Sync!$L772,100),2),""),IFERROR(RIGHT("0000"&amp;VALUE(TRIM(LEFT(Sync!$L772,FIND("/",Sync!$L772)-1))),4)&amp;"/"&amp;RIGHT("00"&amp;VALUE(TRIM(LEFT(MID(Sync!$L772,FIND("/",Sync!$L772)+1,20),FIND("/",MID(Sync!$L772,FIND("/",Sync!$L772)+1,20))-1))),2)&amp;"/"&amp;RIGHT("00"&amp;VALUE(TRIM(MID(MID(Sync!$L772,FIND("/",Sync!$L772)+1,20),FIND("/",MID(Sync!$L772,FIND("/",Sync!$L772)+1,20))+1,20))),2),"")))</f>
        <v/>
      </c>
    </row>
    <row r="773">
      <c r="M773">
        <f>IF(Sync!$M773&lt;&gt;"پاس چک","",IF(Sync!$P773="","",Sync!$P773))</f>
        <v/>
      </c>
      <c r="N773">
        <f>IF($M773="","",IF(ISNUMBER(Sync!$L773),IF(AND(Sync!$L773&gt;=10000101,Sync!$L773&lt;=99991231),RIGHT("0000"&amp;INT(Sync!$L773/10000),4)&amp;"/"&amp;RIGHT("00"&amp;INT(MOD(Sync!$L773,10000)/100),2)&amp;"/"&amp;RIGHT("00"&amp;MOD(Sync!$L773,100),2),""),IFERROR(RIGHT("0000"&amp;VALUE(TRIM(LEFT(Sync!$L773,FIND("/",Sync!$L773)-1))),4)&amp;"/"&amp;RIGHT("00"&amp;VALUE(TRIM(LEFT(MID(Sync!$L773,FIND("/",Sync!$L773)+1,20),FIND("/",MID(Sync!$L773,FIND("/",Sync!$L773)+1,20))-1))),2)&amp;"/"&amp;RIGHT("00"&amp;VALUE(TRIM(MID(MID(Sync!$L773,FIND("/",Sync!$L773)+1,20),FIND("/",MID(Sync!$L773,FIND("/",Sync!$L773)+1,20))+1,20))),2),"")))</f>
        <v/>
      </c>
    </row>
    <row r="774">
      <c r="M774">
        <f>IF(Sync!$M774&lt;&gt;"پاس چک","",IF(Sync!$P774="","",Sync!$P774))</f>
        <v/>
      </c>
      <c r="N774">
        <f>IF($M774="","",IF(ISNUMBER(Sync!$L774),IF(AND(Sync!$L774&gt;=10000101,Sync!$L774&lt;=99991231),RIGHT("0000"&amp;INT(Sync!$L774/10000),4)&amp;"/"&amp;RIGHT("00"&amp;INT(MOD(Sync!$L774,10000)/100),2)&amp;"/"&amp;RIGHT("00"&amp;MOD(Sync!$L774,100),2),""),IFERROR(RIGHT("0000"&amp;VALUE(TRIM(LEFT(Sync!$L774,FIND("/",Sync!$L774)-1))),4)&amp;"/"&amp;RIGHT("00"&amp;VALUE(TRIM(LEFT(MID(Sync!$L774,FIND("/",Sync!$L774)+1,20),FIND("/",MID(Sync!$L774,FIND("/",Sync!$L774)+1,20))-1))),2)&amp;"/"&amp;RIGHT("00"&amp;VALUE(TRIM(MID(MID(Sync!$L774,FIND("/",Sync!$L774)+1,20),FIND("/",MID(Sync!$L774,FIND("/",Sync!$L774)+1,20))+1,20))),2),"")))</f>
        <v/>
      </c>
    </row>
    <row r="775">
      <c r="M775">
        <f>IF(Sync!$M775&lt;&gt;"پاس چک","",IF(Sync!$P775="","",Sync!$P775))</f>
        <v/>
      </c>
      <c r="N775">
        <f>IF($M775="","",IF(ISNUMBER(Sync!$L775),IF(AND(Sync!$L775&gt;=10000101,Sync!$L775&lt;=99991231),RIGHT("0000"&amp;INT(Sync!$L775/10000),4)&amp;"/"&amp;RIGHT("00"&amp;INT(MOD(Sync!$L775,10000)/100),2)&amp;"/"&amp;RIGHT("00"&amp;MOD(Sync!$L775,100),2),""),IFERROR(RIGHT("0000"&amp;VALUE(TRIM(LEFT(Sync!$L775,FIND("/",Sync!$L775)-1))),4)&amp;"/"&amp;RIGHT("00"&amp;VALUE(TRIM(LEFT(MID(Sync!$L775,FIND("/",Sync!$L775)+1,20),FIND("/",MID(Sync!$L775,FIND("/",Sync!$L775)+1,20))-1))),2)&amp;"/"&amp;RIGHT("00"&amp;VALUE(TRIM(MID(MID(Sync!$L775,FIND("/",Sync!$L775)+1,20),FIND("/",MID(Sync!$L775,FIND("/",Sync!$L775)+1,20))+1,20))),2),"")))</f>
        <v/>
      </c>
    </row>
    <row r="776">
      <c r="M776">
        <f>IF(Sync!$M776&lt;&gt;"پاس چک","",IF(Sync!$P776="","",Sync!$P776))</f>
        <v/>
      </c>
      <c r="N776">
        <f>IF($M776="","",IF(ISNUMBER(Sync!$L776),IF(AND(Sync!$L776&gt;=10000101,Sync!$L776&lt;=99991231),RIGHT("0000"&amp;INT(Sync!$L776/10000),4)&amp;"/"&amp;RIGHT("00"&amp;INT(MOD(Sync!$L776,10000)/100),2)&amp;"/"&amp;RIGHT("00"&amp;MOD(Sync!$L776,100),2),""),IFERROR(RIGHT("0000"&amp;VALUE(TRIM(LEFT(Sync!$L776,FIND("/",Sync!$L776)-1))),4)&amp;"/"&amp;RIGHT("00"&amp;VALUE(TRIM(LEFT(MID(Sync!$L776,FIND("/",Sync!$L776)+1,20),FIND("/",MID(Sync!$L776,FIND("/",Sync!$L776)+1,20))-1))),2)&amp;"/"&amp;RIGHT("00"&amp;VALUE(TRIM(MID(MID(Sync!$L776,FIND("/",Sync!$L776)+1,20),FIND("/",MID(Sync!$L776,FIND("/",Sync!$L776)+1,20))+1,20))),2),"")))</f>
        <v/>
      </c>
    </row>
    <row r="777">
      <c r="M777">
        <f>IF(Sync!$M777&lt;&gt;"پاس چک","",IF(Sync!$P777="","",Sync!$P777))</f>
        <v/>
      </c>
      <c r="N777">
        <f>IF($M777="","",IF(ISNUMBER(Sync!$L777),IF(AND(Sync!$L777&gt;=10000101,Sync!$L777&lt;=99991231),RIGHT("0000"&amp;INT(Sync!$L777/10000),4)&amp;"/"&amp;RIGHT("00"&amp;INT(MOD(Sync!$L777,10000)/100),2)&amp;"/"&amp;RIGHT("00"&amp;MOD(Sync!$L777,100),2),""),IFERROR(RIGHT("0000"&amp;VALUE(TRIM(LEFT(Sync!$L777,FIND("/",Sync!$L777)-1))),4)&amp;"/"&amp;RIGHT("00"&amp;VALUE(TRIM(LEFT(MID(Sync!$L777,FIND("/",Sync!$L777)+1,20),FIND("/",MID(Sync!$L777,FIND("/",Sync!$L777)+1,20))-1))),2)&amp;"/"&amp;RIGHT("00"&amp;VALUE(TRIM(MID(MID(Sync!$L777,FIND("/",Sync!$L777)+1,20),FIND("/",MID(Sync!$L777,FIND("/",Sync!$L777)+1,20))+1,20))),2),"")))</f>
        <v/>
      </c>
    </row>
    <row r="778">
      <c r="M778">
        <f>IF(Sync!$M778&lt;&gt;"پاس چک","",IF(Sync!$P778="","",Sync!$P778))</f>
        <v/>
      </c>
      <c r="N778">
        <f>IF($M778="","",IF(ISNUMBER(Sync!$L778),IF(AND(Sync!$L778&gt;=10000101,Sync!$L778&lt;=99991231),RIGHT("0000"&amp;INT(Sync!$L778/10000),4)&amp;"/"&amp;RIGHT("00"&amp;INT(MOD(Sync!$L778,10000)/100),2)&amp;"/"&amp;RIGHT("00"&amp;MOD(Sync!$L778,100),2),""),IFERROR(RIGHT("0000"&amp;VALUE(TRIM(LEFT(Sync!$L778,FIND("/",Sync!$L778)-1))),4)&amp;"/"&amp;RIGHT("00"&amp;VALUE(TRIM(LEFT(MID(Sync!$L778,FIND("/",Sync!$L778)+1,20),FIND("/",MID(Sync!$L778,FIND("/",Sync!$L778)+1,20))-1))),2)&amp;"/"&amp;RIGHT("00"&amp;VALUE(TRIM(MID(MID(Sync!$L778,FIND("/",Sync!$L778)+1,20),FIND("/",MID(Sync!$L778,FIND("/",Sync!$L778)+1,20))+1,20))),2),"")))</f>
        <v/>
      </c>
    </row>
    <row r="779">
      <c r="M779">
        <f>IF(Sync!$M779&lt;&gt;"پاس چک","",IF(Sync!$P779="","",Sync!$P779))</f>
        <v/>
      </c>
      <c r="N779">
        <f>IF($M779="","",IF(ISNUMBER(Sync!$L779),IF(AND(Sync!$L779&gt;=10000101,Sync!$L779&lt;=99991231),RIGHT("0000"&amp;INT(Sync!$L779/10000),4)&amp;"/"&amp;RIGHT("00"&amp;INT(MOD(Sync!$L779,10000)/100),2)&amp;"/"&amp;RIGHT("00"&amp;MOD(Sync!$L779,100),2),""),IFERROR(RIGHT("0000"&amp;VALUE(TRIM(LEFT(Sync!$L779,FIND("/",Sync!$L779)-1))),4)&amp;"/"&amp;RIGHT("00"&amp;VALUE(TRIM(LEFT(MID(Sync!$L779,FIND("/",Sync!$L779)+1,20),FIND("/",MID(Sync!$L779,FIND("/",Sync!$L779)+1,20))-1))),2)&amp;"/"&amp;RIGHT("00"&amp;VALUE(TRIM(MID(MID(Sync!$L779,FIND("/",Sync!$L779)+1,20),FIND("/",MID(Sync!$L779,FIND("/",Sync!$L779)+1,20))+1,20))),2),"")))</f>
        <v/>
      </c>
    </row>
    <row r="780">
      <c r="M780">
        <f>IF(Sync!$M780&lt;&gt;"پاس چک","",IF(Sync!$P780="","",Sync!$P780))</f>
        <v/>
      </c>
      <c r="N780">
        <f>IF($M780="","",IF(ISNUMBER(Sync!$L780),IF(AND(Sync!$L780&gt;=10000101,Sync!$L780&lt;=99991231),RIGHT("0000"&amp;INT(Sync!$L780/10000),4)&amp;"/"&amp;RIGHT("00"&amp;INT(MOD(Sync!$L780,10000)/100),2)&amp;"/"&amp;RIGHT("00"&amp;MOD(Sync!$L780,100),2),""),IFERROR(RIGHT("0000"&amp;VALUE(TRIM(LEFT(Sync!$L780,FIND("/",Sync!$L780)-1))),4)&amp;"/"&amp;RIGHT("00"&amp;VALUE(TRIM(LEFT(MID(Sync!$L780,FIND("/",Sync!$L780)+1,20),FIND("/",MID(Sync!$L780,FIND("/",Sync!$L780)+1,20))-1))),2)&amp;"/"&amp;RIGHT("00"&amp;VALUE(TRIM(MID(MID(Sync!$L780,FIND("/",Sync!$L780)+1,20),FIND("/",MID(Sync!$L780,FIND("/",Sync!$L780)+1,20))+1,20))),2),"")))</f>
        <v/>
      </c>
    </row>
    <row r="781">
      <c r="M781">
        <f>IF(Sync!$M781&lt;&gt;"پاس چک","",IF(Sync!$P781="","",Sync!$P781))</f>
        <v/>
      </c>
      <c r="N781">
        <f>IF($M781="","",IF(ISNUMBER(Sync!$L781),IF(AND(Sync!$L781&gt;=10000101,Sync!$L781&lt;=99991231),RIGHT("0000"&amp;INT(Sync!$L781/10000),4)&amp;"/"&amp;RIGHT("00"&amp;INT(MOD(Sync!$L781,10000)/100),2)&amp;"/"&amp;RIGHT("00"&amp;MOD(Sync!$L781,100),2),""),IFERROR(RIGHT("0000"&amp;VALUE(TRIM(LEFT(Sync!$L781,FIND("/",Sync!$L781)-1))),4)&amp;"/"&amp;RIGHT("00"&amp;VALUE(TRIM(LEFT(MID(Sync!$L781,FIND("/",Sync!$L781)+1,20),FIND("/",MID(Sync!$L781,FIND("/",Sync!$L781)+1,20))-1))),2)&amp;"/"&amp;RIGHT("00"&amp;VALUE(TRIM(MID(MID(Sync!$L781,FIND("/",Sync!$L781)+1,20),FIND("/",MID(Sync!$L781,FIND("/",Sync!$L781)+1,20))+1,20))),2),"")))</f>
        <v/>
      </c>
    </row>
    <row r="782">
      <c r="M782">
        <f>IF(Sync!$M782&lt;&gt;"پاس چک","",IF(Sync!$P782="","",Sync!$P782))</f>
        <v/>
      </c>
      <c r="N782">
        <f>IF($M782="","",IF(ISNUMBER(Sync!$L782),IF(AND(Sync!$L782&gt;=10000101,Sync!$L782&lt;=99991231),RIGHT("0000"&amp;INT(Sync!$L782/10000),4)&amp;"/"&amp;RIGHT("00"&amp;INT(MOD(Sync!$L782,10000)/100),2)&amp;"/"&amp;RIGHT("00"&amp;MOD(Sync!$L782,100),2),""),IFERROR(RIGHT("0000"&amp;VALUE(TRIM(LEFT(Sync!$L782,FIND("/",Sync!$L782)-1))),4)&amp;"/"&amp;RIGHT("00"&amp;VALUE(TRIM(LEFT(MID(Sync!$L782,FIND("/",Sync!$L782)+1,20),FIND("/",MID(Sync!$L782,FIND("/",Sync!$L782)+1,20))-1))),2)&amp;"/"&amp;RIGHT("00"&amp;VALUE(TRIM(MID(MID(Sync!$L782,FIND("/",Sync!$L782)+1,20),FIND("/",MID(Sync!$L782,FIND("/",Sync!$L782)+1,20))+1,20))),2),"")))</f>
        <v/>
      </c>
    </row>
    <row r="783">
      <c r="M783">
        <f>IF(Sync!$M783&lt;&gt;"پاس چک","",IF(Sync!$P783="","",Sync!$P783))</f>
        <v/>
      </c>
      <c r="N783">
        <f>IF($M783="","",IF(ISNUMBER(Sync!$L783),IF(AND(Sync!$L783&gt;=10000101,Sync!$L783&lt;=99991231),RIGHT("0000"&amp;INT(Sync!$L783/10000),4)&amp;"/"&amp;RIGHT("00"&amp;INT(MOD(Sync!$L783,10000)/100),2)&amp;"/"&amp;RIGHT("00"&amp;MOD(Sync!$L783,100),2),""),IFERROR(RIGHT("0000"&amp;VALUE(TRIM(LEFT(Sync!$L783,FIND("/",Sync!$L783)-1))),4)&amp;"/"&amp;RIGHT("00"&amp;VALUE(TRIM(LEFT(MID(Sync!$L783,FIND("/",Sync!$L783)+1,20),FIND("/",MID(Sync!$L783,FIND("/",Sync!$L783)+1,20))-1))),2)&amp;"/"&amp;RIGHT("00"&amp;VALUE(TRIM(MID(MID(Sync!$L783,FIND("/",Sync!$L783)+1,20),FIND("/",MID(Sync!$L783,FIND("/",Sync!$L783)+1,20))+1,20))),2),"")))</f>
        <v/>
      </c>
    </row>
    <row r="784">
      <c r="M784">
        <f>IF(Sync!$M784&lt;&gt;"پاس چک","",IF(Sync!$P784="","",Sync!$P784))</f>
        <v/>
      </c>
      <c r="N784">
        <f>IF($M784="","",IF(ISNUMBER(Sync!$L784),IF(AND(Sync!$L784&gt;=10000101,Sync!$L784&lt;=99991231),RIGHT("0000"&amp;INT(Sync!$L784/10000),4)&amp;"/"&amp;RIGHT("00"&amp;INT(MOD(Sync!$L784,10000)/100),2)&amp;"/"&amp;RIGHT("00"&amp;MOD(Sync!$L784,100),2),""),IFERROR(RIGHT("0000"&amp;VALUE(TRIM(LEFT(Sync!$L784,FIND("/",Sync!$L784)-1))),4)&amp;"/"&amp;RIGHT("00"&amp;VALUE(TRIM(LEFT(MID(Sync!$L784,FIND("/",Sync!$L784)+1,20),FIND("/",MID(Sync!$L784,FIND("/",Sync!$L784)+1,20))-1))),2)&amp;"/"&amp;RIGHT("00"&amp;VALUE(TRIM(MID(MID(Sync!$L784,FIND("/",Sync!$L784)+1,20),FIND("/",MID(Sync!$L784,FIND("/",Sync!$L784)+1,20))+1,20))),2),"")))</f>
        <v/>
      </c>
    </row>
    <row r="785">
      <c r="M785">
        <f>IF(Sync!$M785&lt;&gt;"پاس چک","",IF(Sync!$P785="","",Sync!$P785))</f>
        <v/>
      </c>
      <c r="N785">
        <f>IF($M785="","",IF(ISNUMBER(Sync!$L785),IF(AND(Sync!$L785&gt;=10000101,Sync!$L785&lt;=99991231),RIGHT("0000"&amp;INT(Sync!$L785/10000),4)&amp;"/"&amp;RIGHT("00"&amp;INT(MOD(Sync!$L785,10000)/100),2)&amp;"/"&amp;RIGHT("00"&amp;MOD(Sync!$L785,100),2),""),IFERROR(RIGHT("0000"&amp;VALUE(TRIM(LEFT(Sync!$L785,FIND("/",Sync!$L785)-1))),4)&amp;"/"&amp;RIGHT("00"&amp;VALUE(TRIM(LEFT(MID(Sync!$L785,FIND("/",Sync!$L785)+1,20),FIND("/",MID(Sync!$L785,FIND("/",Sync!$L785)+1,20))-1))),2)&amp;"/"&amp;RIGHT("00"&amp;VALUE(TRIM(MID(MID(Sync!$L785,FIND("/",Sync!$L785)+1,20),FIND("/",MID(Sync!$L785,FIND("/",Sync!$L785)+1,20))+1,20))),2),"")))</f>
        <v/>
      </c>
    </row>
    <row r="786">
      <c r="M786">
        <f>IF(Sync!$M786&lt;&gt;"پاس چک","",IF(Sync!$P786="","",Sync!$P786))</f>
        <v/>
      </c>
      <c r="N786">
        <f>IF($M786="","",IF(ISNUMBER(Sync!$L786),IF(AND(Sync!$L786&gt;=10000101,Sync!$L786&lt;=99991231),RIGHT("0000"&amp;INT(Sync!$L786/10000),4)&amp;"/"&amp;RIGHT("00"&amp;INT(MOD(Sync!$L786,10000)/100),2)&amp;"/"&amp;RIGHT("00"&amp;MOD(Sync!$L786,100),2),""),IFERROR(RIGHT("0000"&amp;VALUE(TRIM(LEFT(Sync!$L786,FIND("/",Sync!$L786)-1))),4)&amp;"/"&amp;RIGHT("00"&amp;VALUE(TRIM(LEFT(MID(Sync!$L786,FIND("/",Sync!$L786)+1,20),FIND("/",MID(Sync!$L786,FIND("/",Sync!$L786)+1,20))-1))),2)&amp;"/"&amp;RIGHT("00"&amp;VALUE(TRIM(MID(MID(Sync!$L786,FIND("/",Sync!$L786)+1,20),FIND("/",MID(Sync!$L786,FIND("/",Sync!$L786)+1,20))+1,20))),2),"")))</f>
        <v/>
      </c>
    </row>
    <row r="787">
      <c r="M787">
        <f>IF(Sync!$M787&lt;&gt;"پاس چک","",IF(Sync!$P787="","",Sync!$P787))</f>
        <v/>
      </c>
      <c r="N787">
        <f>IF($M787="","",IF(ISNUMBER(Sync!$L787),IF(AND(Sync!$L787&gt;=10000101,Sync!$L787&lt;=99991231),RIGHT("0000"&amp;INT(Sync!$L787/10000),4)&amp;"/"&amp;RIGHT("00"&amp;INT(MOD(Sync!$L787,10000)/100),2)&amp;"/"&amp;RIGHT("00"&amp;MOD(Sync!$L787,100),2),""),IFERROR(RIGHT("0000"&amp;VALUE(TRIM(LEFT(Sync!$L787,FIND("/",Sync!$L787)-1))),4)&amp;"/"&amp;RIGHT("00"&amp;VALUE(TRIM(LEFT(MID(Sync!$L787,FIND("/",Sync!$L787)+1,20),FIND("/",MID(Sync!$L787,FIND("/",Sync!$L787)+1,20))-1))),2)&amp;"/"&amp;RIGHT("00"&amp;VALUE(TRIM(MID(MID(Sync!$L787,FIND("/",Sync!$L787)+1,20),FIND("/",MID(Sync!$L787,FIND("/",Sync!$L787)+1,20))+1,20))),2),"")))</f>
        <v/>
      </c>
    </row>
    <row r="788">
      <c r="M788">
        <f>IF(Sync!$M788&lt;&gt;"پاس چک","",IF(Sync!$P788="","",Sync!$P788))</f>
        <v/>
      </c>
      <c r="N788">
        <f>IF($M788="","",IF(ISNUMBER(Sync!$L788),IF(AND(Sync!$L788&gt;=10000101,Sync!$L788&lt;=99991231),RIGHT("0000"&amp;INT(Sync!$L788/10000),4)&amp;"/"&amp;RIGHT("00"&amp;INT(MOD(Sync!$L788,10000)/100),2)&amp;"/"&amp;RIGHT("00"&amp;MOD(Sync!$L788,100),2),""),IFERROR(RIGHT("0000"&amp;VALUE(TRIM(LEFT(Sync!$L788,FIND("/",Sync!$L788)-1))),4)&amp;"/"&amp;RIGHT("00"&amp;VALUE(TRIM(LEFT(MID(Sync!$L788,FIND("/",Sync!$L788)+1,20),FIND("/",MID(Sync!$L788,FIND("/",Sync!$L788)+1,20))-1))),2)&amp;"/"&amp;RIGHT("00"&amp;VALUE(TRIM(MID(MID(Sync!$L788,FIND("/",Sync!$L788)+1,20),FIND("/",MID(Sync!$L788,FIND("/",Sync!$L788)+1,20))+1,20))),2),"")))</f>
        <v/>
      </c>
    </row>
    <row r="789">
      <c r="M789">
        <f>IF(Sync!$M789&lt;&gt;"پاس چک","",IF(Sync!$P789="","",Sync!$P789))</f>
        <v/>
      </c>
      <c r="N789">
        <f>IF($M789="","",IF(ISNUMBER(Sync!$L789),IF(AND(Sync!$L789&gt;=10000101,Sync!$L789&lt;=99991231),RIGHT("0000"&amp;INT(Sync!$L789/10000),4)&amp;"/"&amp;RIGHT("00"&amp;INT(MOD(Sync!$L789,10000)/100),2)&amp;"/"&amp;RIGHT("00"&amp;MOD(Sync!$L789,100),2),""),IFERROR(RIGHT("0000"&amp;VALUE(TRIM(LEFT(Sync!$L789,FIND("/",Sync!$L789)-1))),4)&amp;"/"&amp;RIGHT("00"&amp;VALUE(TRIM(LEFT(MID(Sync!$L789,FIND("/",Sync!$L789)+1,20),FIND("/",MID(Sync!$L789,FIND("/",Sync!$L789)+1,20))-1))),2)&amp;"/"&amp;RIGHT("00"&amp;VALUE(TRIM(MID(MID(Sync!$L789,FIND("/",Sync!$L789)+1,20),FIND("/",MID(Sync!$L789,FIND("/",Sync!$L789)+1,20))+1,20))),2),"")))</f>
        <v/>
      </c>
    </row>
    <row r="790">
      <c r="M790">
        <f>IF(Sync!$M790&lt;&gt;"پاس چک","",IF(Sync!$P790="","",Sync!$P790))</f>
        <v/>
      </c>
      <c r="N790">
        <f>IF($M790="","",IF(ISNUMBER(Sync!$L790),IF(AND(Sync!$L790&gt;=10000101,Sync!$L790&lt;=99991231),RIGHT("0000"&amp;INT(Sync!$L790/10000),4)&amp;"/"&amp;RIGHT("00"&amp;INT(MOD(Sync!$L790,10000)/100),2)&amp;"/"&amp;RIGHT("00"&amp;MOD(Sync!$L790,100),2),""),IFERROR(RIGHT("0000"&amp;VALUE(TRIM(LEFT(Sync!$L790,FIND("/",Sync!$L790)-1))),4)&amp;"/"&amp;RIGHT("00"&amp;VALUE(TRIM(LEFT(MID(Sync!$L790,FIND("/",Sync!$L790)+1,20),FIND("/",MID(Sync!$L790,FIND("/",Sync!$L790)+1,20))-1))),2)&amp;"/"&amp;RIGHT("00"&amp;VALUE(TRIM(MID(MID(Sync!$L790,FIND("/",Sync!$L790)+1,20),FIND("/",MID(Sync!$L790,FIND("/",Sync!$L790)+1,20))+1,20))),2),"")))</f>
        <v/>
      </c>
    </row>
    <row r="791">
      <c r="M791">
        <f>IF(Sync!$M791&lt;&gt;"پاس چک","",IF(Sync!$P791="","",Sync!$P791))</f>
        <v/>
      </c>
      <c r="N791">
        <f>IF($M791="","",IF(ISNUMBER(Sync!$L791),IF(AND(Sync!$L791&gt;=10000101,Sync!$L791&lt;=99991231),RIGHT("0000"&amp;INT(Sync!$L791/10000),4)&amp;"/"&amp;RIGHT("00"&amp;INT(MOD(Sync!$L791,10000)/100),2)&amp;"/"&amp;RIGHT("00"&amp;MOD(Sync!$L791,100),2),""),IFERROR(RIGHT("0000"&amp;VALUE(TRIM(LEFT(Sync!$L791,FIND("/",Sync!$L791)-1))),4)&amp;"/"&amp;RIGHT("00"&amp;VALUE(TRIM(LEFT(MID(Sync!$L791,FIND("/",Sync!$L791)+1,20),FIND("/",MID(Sync!$L791,FIND("/",Sync!$L791)+1,20))-1))),2)&amp;"/"&amp;RIGHT("00"&amp;VALUE(TRIM(MID(MID(Sync!$L791,FIND("/",Sync!$L791)+1,20),FIND("/",MID(Sync!$L791,FIND("/",Sync!$L791)+1,20))+1,20))),2),"")))</f>
        <v/>
      </c>
    </row>
    <row r="792">
      <c r="M792">
        <f>IF(Sync!$M792&lt;&gt;"پاس چک","",IF(Sync!$P792="","",Sync!$P792))</f>
        <v/>
      </c>
      <c r="N792">
        <f>IF($M792="","",IF(ISNUMBER(Sync!$L792),IF(AND(Sync!$L792&gt;=10000101,Sync!$L792&lt;=99991231),RIGHT("0000"&amp;INT(Sync!$L792/10000),4)&amp;"/"&amp;RIGHT("00"&amp;INT(MOD(Sync!$L792,10000)/100),2)&amp;"/"&amp;RIGHT("00"&amp;MOD(Sync!$L792,100),2),""),IFERROR(RIGHT("0000"&amp;VALUE(TRIM(LEFT(Sync!$L792,FIND("/",Sync!$L792)-1))),4)&amp;"/"&amp;RIGHT("00"&amp;VALUE(TRIM(LEFT(MID(Sync!$L792,FIND("/",Sync!$L792)+1,20),FIND("/",MID(Sync!$L792,FIND("/",Sync!$L792)+1,20))-1))),2)&amp;"/"&amp;RIGHT("00"&amp;VALUE(TRIM(MID(MID(Sync!$L792,FIND("/",Sync!$L792)+1,20),FIND("/",MID(Sync!$L792,FIND("/",Sync!$L792)+1,20))+1,20))),2),"")))</f>
        <v/>
      </c>
    </row>
    <row r="793">
      <c r="M793">
        <f>IF(Sync!$M793&lt;&gt;"پاس چک","",IF(Sync!$P793="","",Sync!$P793))</f>
        <v/>
      </c>
      <c r="N793">
        <f>IF($M793="","",IF(ISNUMBER(Sync!$L793),IF(AND(Sync!$L793&gt;=10000101,Sync!$L793&lt;=99991231),RIGHT("0000"&amp;INT(Sync!$L793/10000),4)&amp;"/"&amp;RIGHT("00"&amp;INT(MOD(Sync!$L793,10000)/100),2)&amp;"/"&amp;RIGHT("00"&amp;MOD(Sync!$L793,100),2),""),IFERROR(RIGHT("0000"&amp;VALUE(TRIM(LEFT(Sync!$L793,FIND("/",Sync!$L793)-1))),4)&amp;"/"&amp;RIGHT("00"&amp;VALUE(TRIM(LEFT(MID(Sync!$L793,FIND("/",Sync!$L793)+1,20),FIND("/",MID(Sync!$L793,FIND("/",Sync!$L793)+1,20))-1))),2)&amp;"/"&amp;RIGHT("00"&amp;VALUE(TRIM(MID(MID(Sync!$L793,FIND("/",Sync!$L793)+1,20),FIND("/",MID(Sync!$L793,FIND("/",Sync!$L793)+1,20))+1,20))),2),"")))</f>
        <v/>
      </c>
    </row>
    <row r="794">
      <c r="M794">
        <f>IF(Sync!$M794&lt;&gt;"پاس چک","",IF(Sync!$P794="","",Sync!$P794))</f>
        <v/>
      </c>
      <c r="N794">
        <f>IF($M794="","",IF(ISNUMBER(Sync!$L794),IF(AND(Sync!$L794&gt;=10000101,Sync!$L794&lt;=99991231),RIGHT("0000"&amp;INT(Sync!$L794/10000),4)&amp;"/"&amp;RIGHT("00"&amp;INT(MOD(Sync!$L794,10000)/100),2)&amp;"/"&amp;RIGHT("00"&amp;MOD(Sync!$L794,100),2),""),IFERROR(RIGHT("0000"&amp;VALUE(TRIM(LEFT(Sync!$L794,FIND("/",Sync!$L794)-1))),4)&amp;"/"&amp;RIGHT("00"&amp;VALUE(TRIM(LEFT(MID(Sync!$L794,FIND("/",Sync!$L794)+1,20),FIND("/",MID(Sync!$L794,FIND("/",Sync!$L794)+1,20))-1))),2)&amp;"/"&amp;RIGHT("00"&amp;VALUE(TRIM(MID(MID(Sync!$L794,FIND("/",Sync!$L794)+1,20),FIND("/",MID(Sync!$L794,FIND("/",Sync!$L794)+1,20))+1,20))),2),"")))</f>
        <v/>
      </c>
    </row>
    <row r="795">
      <c r="M795">
        <f>IF(Sync!$M795&lt;&gt;"پاس چک","",IF(Sync!$P795="","",Sync!$P795))</f>
        <v/>
      </c>
      <c r="N795">
        <f>IF($M795="","",IF(ISNUMBER(Sync!$L795),IF(AND(Sync!$L795&gt;=10000101,Sync!$L795&lt;=99991231),RIGHT("0000"&amp;INT(Sync!$L795/10000),4)&amp;"/"&amp;RIGHT("00"&amp;INT(MOD(Sync!$L795,10000)/100),2)&amp;"/"&amp;RIGHT("00"&amp;MOD(Sync!$L795,100),2),""),IFERROR(RIGHT("0000"&amp;VALUE(TRIM(LEFT(Sync!$L795,FIND("/",Sync!$L795)-1))),4)&amp;"/"&amp;RIGHT("00"&amp;VALUE(TRIM(LEFT(MID(Sync!$L795,FIND("/",Sync!$L795)+1,20),FIND("/",MID(Sync!$L795,FIND("/",Sync!$L795)+1,20))-1))),2)&amp;"/"&amp;RIGHT("00"&amp;VALUE(TRIM(MID(MID(Sync!$L795,FIND("/",Sync!$L795)+1,20),FIND("/",MID(Sync!$L795,FIND("/",Sync!$L795)+1,20))+1,20))),2),"")))</f>
        <v/>
      </c>
    </row>
    <row r="796">
      <c r="M796">
        <f>IF(Sync!$M796&lt;&gt;"پاس چک","",IF(Sync!$P796="","",Sync!$P796))</f>
        <v/>
      </c>
      <c r="N796">
        <f>IF($M796="","",IF(ISNUMBER(Sync!$L796),IF(AND(Sync!$L796&gt;=10000101,Sync!$L796&lt;=99991231),RIGHT("0000"&amp;INT(Sync!$L796/10000),4)&amp;"/"&amp;RIGHT("00"&amp;INT(MOD(Sync!$L796,10000)/100),2)&amp;"/"&amp;RIGHT("00"&amp;MOD(Sync!$L796,100),2),""),IFERROR(RIGHT("0000"&amp;VALUE(TRIM(LEFT(Sync!$L796,FIND("/",Sync!$L796)-1))),4)&amp;"/"&amp;RIGHT("00"&amp;VALUE(TRIM(LEFT(MID(Sync!$L796,FIND("/",Sync!$L796)+1,20),FIND("/",MID(Sync!$L796,FIND("/",Sync!$L796)+1,20))-1))),2)&amp;"/"&amp;RIGHT("00"&amp;VALUE(TRIM(MID(MID(Sync!$L796,FIND("/",Sync!$L796)+1,20),FIND("/",MID(Sync!$L796,FIND("/",Sync!$L796)+1,20))+1,20))),2),"")))</f>
        <v/>
      </c>
    </row>
    <row r="797">
      <c r="M797">
        <f>IF(Sync!$M797&lt;&gt;"پاس چک","",IF(Sync!$P797="","",Sync!$P797))</f>
        <v/>
      </c>
      <c r="N797">
        <f>IF($M797="","",IF(ISNUMBER(Sync!$L797),IF(AND(Sync!$L797&gt;=10000101,Sync!$L797&lt;=99991231),RIGHT("0000"&amp;INT(Sync!$L797/10000),4)&amp;"/"&amp;RIGHT("00"&amp;INT(MOD(Sync!$L797,10000)/100),2)&amp;"/"&amp;RIGHT("00"&amp;MOD(Sync!$L797,100),2),""),IFERROR(RIGHT("0000"&amp;VALUE(TRIM(LEFT(Sync!$L797,FIND("/",Sync!$L797)-1))),4)&amp;"/"&amp;RIGHT("00"&amp;VALUE(TRIM(LEFT(MID(Sync!$L797,FIND("/",Sync!$L797)+1,20),FIND("/",MID(Sync!$L797,FIND("/",Sync!$L797)+1,20))-1))),2)&amp;"/"&amp;RIGHT("00"&amp;VALUE(TRIM(MID(MID(Sync!$L797,FIND("/",Sync!$L797)+1,20),FIND("/",MID(Sync!$L797,FIND("/",Sync!$L797)+1,20))+1,20))),2),"")))</f>
        <v/>
      </c>
    </row>
    <row r="798">
      <c r="M798">
        <f>IF(Sync!$M798&lt;&gt;"پاس چک","",IF(Sync!$P798="","",Sync!$P798))</f>
        <v/>
      </c>
      <c r="N798">
        <f>IF($M798="","",IF(ISNUMBER(Sync!$L798),IF(AND(Sync!$L798&gt;=10000101,Sync!$L798&lt;=99991231),RIGHT("0000"&amp;INT(Sync!$L798/10000),4)&amp;"/"&amp;RIGHT("00"&amp;INT(MOD(Sync!$L798,10000)/100),2)&amp;"/"&amp;RIGHT("00"&amp;MOD(Sync!$L798,100),2),""),IFERROR(RIGHT("0000"&amp;VALUE(TRIM(LEFT(Sync!$L798,FIND("/",Sync!$L798)-1))),4)&amp;"/"&amp;RIGHT("00"&amp;VALUE(TRIM(LEFT(MID(Sync!$L798,FIND("/",Sync!$L798)+1,20),FIND("/",MID(Sync!$L798,FIND("/",Sync!$L798)+1,20))-1))),2)&amp;"/"&amp;RIGHT("00"&amp;VALUE(TRIM(MID(MID(Sync!$L798,FIND("/",Sync!$L798)+1,20),FIND("/",MID(Sync!$L798,FIND("/",Sync!$L798)+1,20))+1,20))),2),"")))</f>
        <v/>
      </c>
    </row>
    <row r="799">
      <c r="M799">
        <f>IF(Sync!$M799&lt;&gt;"پاس چک","",IF(Sync!$P799="","",Sync!$P799))</f>
        <v/>
      </c>
      <c r="N799">
        <f>IF($M799="","",IF(ISNUMBER(Sync!$L799),IF(AND(Sync!$L799&gt;=10000101,Sync!$L799&lt;=99991231),RIGHT("0000"&amp;INT(Sync!$L799/10000),4)&amp;"/"&amp;RIGHT("00"&amp;INT(MOD(Sync!$L799,10000)/100),2)&amp;"/"&amp;RIGHT("00"&amp;MOD(Sync!$L799,100),2),""),IFERROR(RIGHT("0000"&amp;VALUE(TRIM(LEFT(Sync!$L799,FIND("/",Sync!$L799)-1))),4)&amp;"/"&amp;RIGHT("00"&amp;VALUE(TRIM(LEFT(MID(Sync!$L799,FIND("/",Sync!$L799)+1,20),FIND("/",MID(Sync!$L799,FIND("/",Sync!$L799)+1,20))-1))),2)&amp;"/"&amp;RIGHT("00"&amp;VALUE(TRIM(MID(MID(Sync!$L799,FIND("/",Sync!$L799)+1,20),FIND("/",MID(Sync!$L799,FIND("/",Sync!$L799)+1,20))+1,20))),2),"")))</f>
        <v/>
      </c>
    </row>
    <row r="800">
      <c r="M800">
        <f>IF(Sync!$M800&lt;&gt;"پاس چک","",IF(Sync!$P800="","",Sync!$P800))</f>
        <v/>
      </c>
      <c r="N800">
        <f>IF($M800="","",IF(ISNUMBER(Sync!$L800),IF(AND(Sync!$L800&gt;=10000101,Sync!$L800&lt;=99991231),RIGHT("0000"&amp;INT(Sync!$L800/10000),4)&amp;"/"&amp;RIGHT("00"&amp;INT(MOD(Sync!$L800,10000)/100),2)&amp;"/"&amp;RIGHT("00"&amp;MOD(Sync!$L800,100),2),""),IFERROR(RIGHT("0000"&amp;VALUE(TRIM(LEFT(Sync!$L800,FIND("/",Sync!$L800)-1))),4)&amp;"/"&amp;RIGHT("00"&amp;VALUE(TRIM(LEFT(MID(Sync!$L800,FIND("/",Sync!$L800)+1,20),FIND("/",MID(Sync!$L800,FIND("/",Sync!$L800)+1,20))-1))),2)&amp;"/"&amp;RIGHT("00"&amp;VALUE(TRIM(MID(MID(Sync!$L800,FIND("/",Sync!$L800)+1,20),FIND("/",MID(Sync!$L800,FIND("/",Sync!$L800)+1,20))+1,20))),2),"")))</f>
        <v/>
      </c>
    </row>
    <row r="801">
      <c r="M801">
        <f>IF(Sync!$M801&lt;&gt;"پاس چک","",IF(Sync!$P801="","",Sync!$P801))</f>
        <v/>
      </c>
      <c r="N801">
        <f>IF($M801="","",IF(ISNUMBER(Sync!$L801),IF(AND(Sync!$L801&gt;=10000101,Sync!$L801&lt;=99991231),RIGHT("0000"&amp;INT(Sync!$L801/10000),4)&amp;"/"&amp;RIGHT("00"&amp;INT(MOD(Sync!$L801,10000)/100),2)&amp;"/"&amp;RIGHT("00"&amp;MOD(Sync!$L801,100),2),""),IFERROR(RIGHT("0000"&amp;VALUE(TRIM(LEFT(Sync!$L801,FIND("/",Sync!$L801)-1))),4)&amp;"/"&amp;RIGHT("00"&amp;VALUE(TRIM(LEFT(MID(Sync!$L801,FIND("/",Sync!$L801)+1,20),FIND("/",MID(Sync!$L801,FIND("/",Sync!$L801)+1,20))-1))),2)&amp;"/"&amp;RIGHT("00"&amp;VALUE(TRIM(MID(MID(Sync!$L801,FIND("/",Sync!$L801)+1,20),FIND("/",MID(Sync!$L801,FIND("/",Sync!$L801)+1,20))+1,20))),2),"")))</f>
        <v/>
      </c>
    </row>
    <row r="802">
      <c r="M802">
        <f>IF(Sync!$M802&lt;&gt;"پاس چک","",IF(Sync!$P802="","",Sync!$P802))</f>
        <v/>
      </c>
      <c r="N802">
        <f>IF($M802="","",IF(ISNUMBER(Sync!$L802),IF(AND(Sync!$L802&gt;=10000101,Sync!$L802&lt;=99991231),RIGHT("0000"&amp;INT(Sync!$L802/10000),4)&amp;"/"&amp;RIGHT("00"&amp;INT(MOD(Sync!$L802,10000)/100),2)&amp;"/"&amp;RIGHT("00"&amp;MOD(Sync!$L802,100),2),""),IFERROR(RIGHT("0000"&amp;VALUE(TRIM(LEFT(Sync!$L802,FIND("/",Sync!$L802)-1))),4)&amp;"/"&amp;RIGHT("00"&amp;VALUE(TRIM(LEFT(MID(Sync!$L802,FIND("/",Sync!$L802)+1,20),FIND("/",MID(Sync!$L802,FIND("/",Sync!$L802)+1,20))-1))),2)&amp;"/"&amp;RIGHT("00"&amp;VALUE(TRIM(MID(MID(Sync!$L802,FIND("/",Sync!$L802)+1,20),FIND("/",MID(Sync!$L802,FIND("/",Sync!$L802)+1,20))+1,20))),2),"")))</f>
        <v/>
      </c>
    </row>
    <row r="803">
      <c r="M803">
        <f>IF(Sync!$M803&lt;&gt;"پاس چک","",IF(Sync!$P803="","",Sync!$P803))</f>
        <v/>
      </c>
      <c r="N803">
        <f>IF($M803="","",IF(ISNUMBER(Sync!$L803),IF(AND(Sync!$L803&gt;=10000101,Sync!$L803&lt;=99991231),RIGHT("0000"&amp;INT(Sync!$L803/10000),4)&amp;"/"&amp;RIGHT("00"&amp;INT(MOD(Sync!$L803,10000)/100),2)&amp;"/"&amp;RIGHT("00"&amp;MOD(Sync!$L803,100),2),""),IFERROR(RIGHT("0000"&amp;VALUE(TRIM(LEFT(Sync!$L803,FIND("/",Sync!$L803)-1))),4)&amp;"/"&amp;RIGHT("00"&amp;VALUE(TRIM(LEFT(MID(Sync!$L803,FIND("/",Sync!$L803)+1,20),FIND("/",MID(Sync!$L803,FIND("/",Sync!$L803)+1,20))-1))),2)&amp;"/"&amp;RIGHT("00"&amp;VALUE(TRIM(MID(MID(Sync!$L803,FIND("/",Sync!$L803)+1,20),FIND("/",MID(Sync!$L803,FIND("/",Sync!$L803)+1,20))+1,20))),2),"")))</f>
        <v/>
      </c>
    </row>
    <row r="804">
      <c r="M804">
        <f>IF(Sync!$M804&lt;&gt;"پاس چک","",IF(Sync!$P804="","",Sync!$P804))</f>
        <v/>
      </c>
      <c r="N804">
        <f>IF($M804="","",IF(ISNUMBER(Sync!$L804),IF(AND(Sync!$L804&gt;=10000101,Sync!$L804&lt;=99991231),RIGHT("0000"&amp;INT(Sync!$L804/10000),4)&amp;"/"&amp;RIGHT("00"&amp;INT(MOD(Sync!$L804,10000)/100),2)&amp;"/"&amp;RIGHT("00"&amp;MOD(Sync!$L804,100),2),""),IFERROR(RIGHT("0000"&amp;VALUE(TRIM(LEFT(Sync!$L804,FIND("/",Sync!$L804)-1))),4)&amp;"/"&amp;RIGHT("00"&amp;VALUE(TRIM(LEFT(MID(Sync!$L804,FIND("/",Sync!$L804)+1,20),FIND("/",MID(Sync!$L804,FIND("/",Sync!$L804)+1,20))-1))),2)&amp;"/"&amp;RIGHT("00"&amp;VALUE(TRIM(MID(MID(Sync!$L804,FIND("/",Sync!$L804)+1,20),FIND("/",MID(Sync!$L804,FIND("/",Sync!$L804)+1,20))+1,20))),2),"")))</f>
        <v/>
      </c>
    </row>
    <row r="805">
      <c r="M805">
        <f>IF(Sync!$M805&lt;&gt;"پاس چک","",IF(Sync!$P805="","",Sync!$P805))</f>
        <v/>
      </c>
      <c r="N805">
        <f>IF($M805="","",IF(ISNUMBER(Sync!$L805),IF(AND(Sync!$L805&gt;=10000101,Sync!$L805&lt;=99991231),RIGHT("0000"&amp;INT(Sync!$L805/10000),4)&amp;"/"&amp;RIGHT("00"&amp;INT(MOD(Sync!$L805,10000)/100),2)&amp;"/"&amp;RIGHT("00"&amp;MOD(Sync!$L805,100),2),""),IFERROR(RIGHT("0000"&amp;VALUE(TRIM(LEFT(Sync!$L805,FIND("/",Sync!$L805)-1))),4)&amp;"/"&amp;RIGHT("00"&amp;VALUE(TRIM(LEFT(MID(Sync!$L805,FIND("/",Sync!$L805)+1,20),FIND("/",MID(Sync!$L805,FIND("/",Sync!$L805)+1,20))-1))),2)&amp;"/"&amp;RIGHT("00"&amp;VALUE(TRIM(MID(MID(Sync!$L805,FIND("/",Sync!$L805)+1,20),FIND("/",MID(Sync!$L805,FIND("/",Sync!$L805)+1,20))+1,20))),2),"")))</f>
        <v/>
      </c>
    </row>
    <row r="806">
      <c r="M806">
        <f>IF(Sync!$M806&lt;&gt;"پاس چک","",IF(Sync!$P806="","",Sync!$P806))</f>
        <v/>
      </c>
      <c r="N806">
        <f>IF($M806="","",IF(ISNUMBER(Sync!$L806),IF(AND(Sync!$L806&gt;=10000101,Sync!$L806&lt;=99991231),RIGHT("0000"&amp;INT(Sync!$L806/10000),4)&amp;"/"&amp;RIGHT("00"&amp;INT(MOD(Sync!$L806,10000)/100),2)&amp;"/"&amp;RIGHT("00"&amp;MOD(Sync!$L806,100),2),""),IFERROR(RIGHT("0000"&amp;VALUE(TRIM(LEFT(Sync!$L806,FIND("/",Sync!$L806)-1))),4)&amp;"/"&amp;RIGHT("00"&amp;VALUE(TRIM(LEFT(MID(Sync!$L806,FIND("/",Sync!$L806)+1,20),FIND("/",MID(Sync!$L806,FIND("/",Sync!$L806)+1,20))-1))),2)&amp;"/"&amp;RIGHT("00"&amp;VALUE(TRIM(MID(MID(Sync!$L806,FIND("/",Sync!$L806)+1,20),FIND("/",MID(Sync!$L806,FIND("/",Sync!$L806)+1,20))+1,20))),2),"")))</f>
        <v/>
      </c>
    </row>
    <row r="807">
      <c r="M807">
        <f>IF(Sync!$M807&lt;&gt;"پاس چک","",IF(Sync!$P807="","",Sync!$P807))</f>
        <v/>
      </c>
      <c r="N807">
        <f>IF($M807="","",IF(ISNUMBER(Sync!$L807),IF(AND(Sync!$L807&gt;=10000101,Sync!$L807&lt;=99991231),RIGHT("0000"&amp;INT(Sync!$L807/10000),4)&amp;"/"&amp;RIGHT("00"&amp;INT(MOD(Sync!$L807,10000)/100),2)&amp;"/"&amp;RIGHT("00"&amp;MOD(Sync!$L807,100),2),""),IFERROR(RIGHT("0000"&amp;VALUE(TRIM(LEFT(Sync!$L807,FIND("/",Sync!$L807)-1))),4)&amp;"/"&amp;RIGHT("00"&amp;VALUE(TRIM(LEFT(MID(Sync!$L807,FIND("/",Sync!$L807)+1,20),FIND("/",MID(Sync!$L807,FIND("/",Sync!$L807)+1,20))-1))),2)&amp;"/"&amp;RIGHT("00"&amp;VALUE(TRIM(MID(MID(Sync!$L807,FIND("/",Sync!$L807)+1,20),FIND("/",MID(Sync!$L807,FIND("/",Sync!$L807)+1,20))+1,20))),2),"")))</f>
        <v/>
      </c>
    </row>
    <row r="808">
      <c r="M808">
        <f>IF(Sync!$M808&lt;&gt;"پاس چک","",IF(Sync!$P808="","",Sync!$P808))</f>
        <v/>
      </c>
      <c r="N808">
        <f>IF($M808="","",IF(ISNUMBER(Sync!$L808),IF(AND(Sync!$L808&gt;=10000101,Sync!$L808&lt;=99991231),RIGHT("0000"&amp;INT(Sync!$L808/10000),4)&amp;"/"&amp;RIGHT("00"&amp;INT(MOD(Sync!$L808,10000)/100),2)&amp;"/"&amp;RIGHT("00"&amp;MOD(Sync!$L808,100),2),""),IFERROR(RIGHT("0000"&amp;VALUE(TRIM(LEFT(Sync!$L808,FIND("/",Sync!$L808)-1))),4)&amp;"/"&amp;RIGHT("00"&amp;VALUE(TRIM(LEFT(MID(Sync!$L808,FIND("/",Sync!$L808)+1,20),FIND("/",MID(Sync!$L808,FIND("/",Sync!$L808)+1,20))-1))),2)&amp;"/"&amp;RIGHT("00"&amp;VALUE(TRIM(MID(MID(Sync!$L808,FIND("/",Sync!$L808)+1,20),FIND("/",MID(Sync!$L808,FIND("/",Sync!$L808)+1,20))+1,20))),2),"")))</f>
        <v/>
      </c>
    </row>
    <row r="809">
      <c r="M809">
        <f>IF(Sync!$M809&lt;&gt;"پاس چک","",IF(Sync!$P809="","",Sync!$P809))</f>
        <v/>
      </c>
      <c r="N809">
        <f>IF($M809="","",IF(ISNUMBER(Sync!$L809),IF(AND(Sync!$L809&gt;=10000101,Sync!$L809&lt;=99991231),RIGHT("0000"&amp;INT(Sync!$L809/10000),4)&amp;"/"&amp;RIGHT("00"&amp;INT(MOD(Sync!$L809,10000)/100),2)&amp;"/"&amp;RIGHT("00"&amp;MOD(Sync!$L809,100),2),""),IFERROR(RIGHT("0000"&amp;VALUE(TRIM(LEFT(Sync!$L809,FIND("/",Sync!$L809)-1))),4)&amp;"/"&amp;RIGHT("00"&amp;VALUE(TRIM(LEFT(MID(Sync!$L809,FIND("/",Sync!$L809)+1,20),FIND("/",MID(Sync!$L809,FIND("/",Sync!$L809)+1,20))-1))),2)&amp;"/"&amp;RIGHT("00"&amp;VALUE(TRIM(MID(MID(Sync!$L809,FIND("/",Sync!$L809)+1,20),FIND("/",MID(Sync!$L809,FIND("/",Sync!$L809)+1,20))+1,20))),2),"")))</f>
        <v/>
      </c>
    </row>
    <row r="810">
      <c r="M810">
        <f>IF(Sync!$M810&lt;&gt;"پاس چک","",IF(Sync!$P810="","",Sync!$P810))</f>
        <v/>
      </c>
      <c r="N810">
        <f>IF($M810="","",IF(ISNUMBER(Sync!$L810),IF(AND(Sync!$L810&gt;=10000101,Sync!$L810&lt;=99991231),RIGHT("0000"&amp;INT(Sync!$L810/10000),4)&amp;"/"&amp;RIGHT("00"&amp;INT(MOD(Sync!$L810,10000)/100),2)&amp;"/"&amp;RIGHT("00"&amp;MOD(Sync!$L810,100),2),""),IFERROR(RIGHT("0000"&amp;VALUE(TRIM(LEFT(Sync!$L810,FIND("/",Sync!$L810)-1))),4)&amp;"/"&amp;RIGHT("00"&amp;VALUE(TRIM(LEFT(MID(Sync!$L810,FIND("/",Sync!$L810)+1,20),FIND("/",MID(Sync!$L810,FIND("/",Sync!$L810)+1,20))-1))),2)&amp;"/"&amp;RIGHT("00"&amp;VALUE(TRIM(MID(MID(Sync!$L810,FIND("/",Sync!$L810)+1,20),FIND("/",MID(Sync!$L810,FIND("/",Sync!$L810)+1,20))+1,20))),2),"")))</f>
        <v/>
      </c>
    </row>
    <row r="811">
      <c r="M811">
        <f>IF(Sync!$M811&lt;&gt;"پاس چک","",IF(Sync!$P811="","",Sync!$P811))</f>
        <v/>
      </c>
      <c r="N811">
        <f>IF($M811="","",IF(ISNUMBER(Sync!$L811),IF(AND(Sync!$L811&gt;=10000101,Sync!$L811&lt;=99991231),RIGHT("0000"&amp;INT(Sync!$L811/10000),4)&amp;"/"&amp;RIGHT("00"&amp;INT(MOD(Sync!$L811,10000)/100),2)&amp;"/"&amp;RIGHT("00"&amp;MOD(Sync!$L811,100),2),""),IFERROR(RIGHT("0000"&amp;VALUE(TRIM(LEFT(Sync!$L811,FIND("/",Sync!$L811)-1))),4)&amp;"/"&amp;RIGHT("00"&amp;VALUE(TRIM(LEFT(MID(Sync!$L811,FIND("/",Sync!$L811)+1,20),FIND("/",MID(Sync!$L811,FIND("/",Sync!$L811)+1,20))-1))),2)&amp;"/"&amp;RIGHT("00"&amp;VALUE(TRIM(MID(MID(Sync!$L811,FIND("/",Sync!$L811)+1,20),FIND("/",MID(Sync!$L811,FIND("/",Sync!$L811)+1,20))+1,20))),2),"")))</f>
        <v/>
      </c>
    </row>
    <row r="812">
      <c r="M812">
        <f>IF(Sync!$M812&lt;&gt;"پاس چک","",IF(Sync!$P812="","",Sync!$P812))</f>
        <v/>
      </c>
      <c r="N812">
        <f>IF($M812="","",IF(ISNUMBER(Sync!$L812),IF(AND(Sync!$L812&gt;=10000101,Sync!$L812&lt;=99991231),RIGHT("0000"&amp;INT(Sync!$L812/10000),4)&amp;"/"&amp;RIGHT("00"&amp;INT(MOD(Sync!$L812,10000)/100),2)&amp;"/"&amp;RIGHT("00"&amp;MOD(Sync!$L812,100),2),""),IFERROR(RIGHT("0000"&amp;VALUE(TRIM(LEFT(Sync!$L812,FIND("/",Sync!$L812)-1))),4)&amp;"/"&amp;RIGHT("00"&amp;VALUE(TRIM(LEFT(MID(Sync!$L812,FIND("/",Sync!$L812)+1,20),FIND("/",MID(Sync!$L812,FIND("/",Sync!$L812)+1,20))-1))),2)&amp;"/"&amp;RIGHT("00"&amp;VALUE(TRIM(MID(MID(Sync!$L812,FIND("/",Sync!$L812)+1,20),FIND("/",MID(Sync!$L812,FIND("/",Sync!$L812)+1,20))+1,20))),2),"")))</f>
        <v/>
      </c>
    </row>
    <row r="813">
      <c r="M813">
        <f>IF(Sync!$M813&lt;&gt;"پاس چک","",IF(Sync!$P813="","",Sync!$P813))</f>
        <v/>
      </c>
      <c r="N813">
        <f>IF($M813="","",IF(ISNUMBER(Sync!$L813),IF(AND(Sync!$L813&gt;=10000101,Sync!$L813&lt;=99991231),RIGHT("0000"&amp;INT(Sync!$L813/10000),4)&amp;"/"&amp;RIGHT("00"&amp;INT(MOD(Sync!$L813,10000)/100),2)&amp;"/"&amp;RIGHT("00"&amp;MOD(Sync!$L813,100),2),""),IFERROR(RIGHT("0000"&amp;VALUE(TRIM(LEFT(Sync!$L813,FIND("/",Sync!$L813)-1))),4)&amp;"/"&amp;RIGHT("00"&amp;VALUE(TRIM(LEFT(MID(Sync!$L813,FIND("/",Sync!$L813)+1,20),FIND("/",MID(Sync!$L813,FIND("/",Sync!$L813)+1,20))-1))),2)&amp;"/"&amp;RIGHT("00"&amp;VALUE(TRIM(MID(MID(Sync!$L813,FIND("/",Sync!$L813)+1,20),FIND("/",MID(Sync!$L813,FIND("/",Sync!$L813)+1,20))+1,20))),2),"")))</f>
        <v/>
      </c>
    </row>
    <row r="814">
      <c r="M814">
        <f>IF(Sync!$M814&lt;&gt;"پاس چک","",IF(Sync!$P814="","",Sync!$P814))</f>
        <v/>
      </c>
      <c r="N814">
        <f>IF($M814="","",IF(ISNUMBER(Sync!$L814),IF(AND(Sync!$L814&gt;=10000101,Sync!$L814&lt;=99991231),RIGHT("0000"&amp;INT(Sync!$L814/10000),4)&amp;"/"&amp;RIGHT("00"&amp;INT(MOD(Sync!$L814,10000)/100),2)&amp;"/"&amp;RIGHT("00"&amp;MOD(Sync!$L814,100),2),""),IFERROR(RIGHT("0000"&amp;VALUE(TRIM(LEFT(Sync!$L814,FIND("/",Sync!$L814)-1))),4)&amp;"/"&amp;RIGHT("00"&amp;VALUE(TRIM(LEFT(MID(Sync!$L814,FIND("/",Sync!$L814)+1,20),FIND("/",MID(Sync!$L814,FIND("/",Sync!$L814)+1,20))-1))),2)&amp;"/"&amp;RIGHT("00"&amp;VALUE(TRIM(MID(MID(Sync!$L814,FIND("/",Sync!$L814)+1,20),FIND("/",MID(Sync!$L814,FIND("/",Sync!$L814)+1,20))+1,20))),2),"")))</f>
        <v/>
      </c>
    </row>
    <row r="815">
      <c r="M815">
        <f>IF(Sync!$M815&lt;&gt;"پاس چک","",IF(Sync!$P815="","",Sync!$P815))</f>
        <v/>
      </c>
      <c r="N815">
        <f>IF($M815="","",IF(ISNUMBER(Sync!$L815),IF(AND(Sync!$L815&gt;=10000101,Sync!$L815&lt;=99991231),RIGHT("0000"&amp;INT(Sync!$L815/10000),4)&amp;"/"&amp;RIGHT("00"&amp;INT(MOD(Sync!$L815,10000)/100),2)&amp;"/"&amp;RIGHT("00"&amp;MOD(Sync!$L815,100),2),""),IFERROR(RIGHT("0000"&amp;VALUE(TRIM(LEFT(Sync!$L815,FIND("/",Sync!$L815)-1))),4)&amp;"/"&amp;RIGHT("00"&amp;VALUE(TRIM(LEFT(MID(Sync!$L815,FIND("/",Sync!$L815)+1,20),FIND("/",MID(Sync!$L815,FIND("/",Sync!$L815)+1,20))-1))),2)&amp;"/"&amp;RIGHT("00"&amp;VALUE(TRIM(MID(MID(Sync!$L815,FIND("/",Sync!$L815)+1,20),FIND("/",MID(Sync!$L815,FIND("/",Sync!$L815)+1,20))+1,20))),2),"")))</f>
        <v/>
      </c>
    </row>
    <row r="816">
      <c r="M816">
        <f>IF(Sync!$M816&lt;&gt;"پاس چک","",IF(Sync!$P816="","",Sync!$P816))</f>
        <v/>
      </c>
      <c r="N816">
        <f>IF($M816="","",IF(ISNUMBER(Sync!$L816),IF(AND(Sync!$L816&gt;=10000101,Sync!$L816&lt;=99991231),RIGHT("0000"&amp;INT(Sync!$L816/10000),4)&amp;"/"&amp;RIGHT("00"&amp;INT(MOD(Sync!$L816,10000)/100),2)&amp;"/"&amp;RIGHT("00"&amp;MOD(Sync!$L816,100),2),""),IFERROR(RIGHT("0000"&amp;VALUE(TRIM(LEFT(Sync!$L816,FIND("/",Sync!$L816)-1))),4)&amp;"/"&amp;RIGHT("00"&amp;VALUE(TRIM(LEFT(MID(Sync!$L816,FIND("/",Sync!$L816)+1,20),FIND("/",MID(Sync!$L816,FIND("/",Sync!$L816)+1,20))-1))),2)&amp;"/"&amp;RIGHT("00"&amp;VALUE(TRIM(MID(MID(Sync!$L816,FIND("/",Sync!$L816)+1,20),FIND("/",MID(Sync!$L816,FIND("/",Sync!$L816)+1,20))+1,20))),2),"")))</f>
        <v/>
      </c>
    </row>
    <row r="817">
      <c r="M817">
        <f>IF(Sync!$M817&lt;&gt;"پاس چک","",IF(Sync!$P817="","",Sync!$P817))</f>
        <v/>
      </c>
      <c r="N817">
        <f>IF($M817="","",IF(ISNUMBER(Sync!$L817),IF(AND(Sync!$L817&gt;=10000101,Sync!$L817&lt;=99991231),RIGHT("0000"&amp;INT(Sync!$L817/10000),4)&amp;"/"&amp;RIGHT("00"&amp;INT(MOD(Sync!$L817,10000)/100),2)&amp;"/"&amp;RIGHT("00"&amp;MOD(Sync!$L817,100),2),""),IFERROR(RIGHT("0000"&amp;VALUE(TRIM(LEFT(Sync!$L817,FIND("/",Sync!$L817)-1))),4)&amp;"/"&amp;RIGHT("00"&amp;VALUE(TRIM(LEFT(MID(Sync!$L817,FIND("/",Sync!$L817)+1,20),FIND("/",MID(Sync!$L817,FIND("/",Sync!$L817)+1,20))-1))),2)&amp;"/"&amp;RIGHT("00"&amp;VALUE(TRIM(MID(MID(Sync!$L817,FIND("/",Sync!$L817)+1,20),FIND("/",MID(Sync!$L817,FIND("/",Sync!$L817)+1,20))+1,20))),2),"")))</f>
        <v/>
      </c>
    </row>
    <row r="818">
      <c r="M818">
        <f>IF(Sync!$M818&lt;&gt;"پاس چک","",IF(Sync!$P818="","",Sync!$P818))</f>
        <v/>
      </c>
      <c r="N818">
        <f>IF($M818="","",IF(ISNUMBER(Sync!$L818),IF(AND(Sync!$L818&gt;=10000101,Sync!$L818&lt;=99991231),RIGHT("0000"&amp;INT(Sync!$L818/10000),4)&amp;"/"&amp;RIGHT("00"&amp;INT(MOD(Sync!$L818,10000)/100),2)&amp;"/"&amp;RIGHT("00"&amp;MOD(Sync!$L818,100),2),""),IFERROR(RIGHT("0000"&amp;VALUE(TRIM(LEFT(Sync!$L818,FIND("/",Sync!$L818)-1))),4)&amp;"/"&amp;RIGHT("00"&amp;VALUE(TRIM(LEFT(MID(Sync!$L818,FIND("/",Sync!$L818)+1,20),FIND("/",MID(Sync!$L818,FIND("/",Sync!$L818)+1,20))-1))),2)&amp;"/"&amp;RIGHT("00"&amp;VALUE(TRIM(MID(MID(Sync!$L818,FIND("/",Sync!$L818)+1,20),FIND("/",MID(Sync!$L818,FIND("/",Sync!$L818)+1,20))+1,20))),2),"")))</f>
        <v/>
      </c>
    </row>
    <row r="819">
      <c r="M819">
        <f>IF(Sync!$M819&lt;&gt;"پاس چک","",IF(Sync!$P819="","",Sync!$P819))</f>
        <v/>
      </c>
      <c r="N819">
        <f>IF($M819="","",IF(ISNUMBER(Sync!$L819),IF(AND(Sync!$L819&gt;=10000101,Sync!$L819&lt;=99991231),RIGHT("0000"&amp;INT(Sync!$L819/10000),4)&amp;"/"&amp;RIGHT("00"&amp;INT(MOD(Sync!$L819,10000)/100),2)&amp;"/"&amp;RIGHT("00"&amp;MOD(Sync!$L819,100),2),""),IFERROR(RIGHT("0000"&amp;VALUE(TRIM(LEFT(Sync!$L819,FIND("/",Sync!$L819)-1))),4)&amp;"/"&amp;RIGHT("00"&amp;VALUE(TRIM(LEFT(MID(Sync!$L819,FIND("/",Sync!$L819)+1,20),FIND("/",MID(Sync!$L819,FIND("/",Sync!$L819)+1,20))-1))),2)&amp;"/"&amp;RIGHT("00"&amp;VALUE(TRIM(MID(MID(Sync!$L819,FIND("/",Sync!$L819)+1,20),FIND("/",MID(Sync!$L819,FIND("/",Sync!$L819)+1,20))+1,20))),2),"")))</f>
        <v/>
      </c>
    </row>
    <row r="820">
      <c r="M820">
        <f>IF(Sync!$M820&lt;&gt;"پاس چک","",IF(Sync!$P820="","",Sync!$P820))</f>
        <v/>
      </c>
      <c r="N820">
        <f>IF($M820="","",IF(ISNUMBER(Sync!$L820),IF(AND(Sync!$L820&gt;=10000101,Sync!$L820&lt;=99991231),RIGHT("0000"&amp;INT(Sync!$L820/10000),4)&amp;"/"&amp;RIGHT("00"&amp;INT(MOD(Sync!$L820,10000)/100),2)&amp;"/"&amp;RIGHT("00"&amp;MOD(Sync!$L820,100),2),""),IFERROR(RIGHT("0000"&amp;VALUE(TRIM(LEFT(Sync!$L820,FIND("/",Sync!$L820)-1))),4)&amp;"/"&amp;RIGHT("00"&amp;VALUE(TRIM(LEFT(MID(Sync!$L820,FIND("/",Sync!$L820)+1,20),FIND("/",MID(Sync!$L820,FIND("/",Sync!$L820)+1,20))-1))),2)&amp;"/"&amp;RIGHT("00"&amp;VALUE(TRIM(MID(MID(Sync!$L820,FIND("/",Sync!$L820)+1,20),FIND("/",MID(Sync!$L820,FIND("/",Sync!$L820)+1,20))+1,20))),2),"")))</f>
        <v/>
      </c>
    </row>
    <row r="821">
      <c r="M821">
        <f>IF(Sync!$M821&lt;&gt;"پاس چک","",IF(Sync!$P821="","",Sync!$P821))</f>
        <v/>
      </c>
      <c r="N821">
        <f>IF($M821="","",IF(ISNUMBER(Sync!$L821),IF(AND(Sync!$L821&gt;=10000101,Sync!$L821&lt;=99991231),RIGHT("0000"&amp;INT(Sync!$L821/10000),4)&amp;"/"&amp;RIGHT("00"&amp;INT(MOD(Sync!$L821,10000)/100),2)&amp;"/"&amp;RIGHT("00"&amp;MOD(Sync!$L821,100),2),""),IFERROR(RIGHT("0000"&amp;VALUE(TRIM(LEFT(Sync!$L821,FIND("/",Sync!$L821)-1))),4)&amp;"/"&amp;RIGHT("00"&amp;VALUE(TRIM(LEFT(MID(Sync!$L821,FIND("/",Sync!$L821)+1,20),FIND("/",MID(Sync!$L821,FIND("/",Sync!$L821)+1,20))-1))),2)&amp;"/"&amp;RIGHT("00"&amp;VALUE(TRIM(MID(MID(Sync!$L821,FIND("/",Sync!$L821)+1,20),FIND("/",MID(Sync!$L821,FIND("/",Sync!$L821)+1,20))+1,20))),2),"")))</f>
        <v/>
      </c>
    </row>
    <row r="822">
      <c r="M822">
        <f>IF(Sync!$M822&lt;&gt;"پاس چک","",IF(Sync!$P822="","",Sync!$P822))</f>
        <v/>
      </c>
      <c r="N822">
        <f>IF($M822="","",IF(ISNUMBER(Sync!$L822),IF(AND(Sync!$L822&gt;=10000101,Sync!$L822&lt;=99991231),RIGHT("0000"&amp;INT(Sync!$L822/10000),4)&amp;"/"&amp;RIGHT("00"&amp;INT(MOD(Sync!$L822,10000)/100),2)&amp;"/"&amp;RIGHT("00"&amp;MOD(Sync!$L822,100),2),""),IFERROR(RIGHT("0000"&amp;VALUE(TRIM(LEFT(Sync!$L822,FIND("/",Sync!$L822)-1))),4)&amp;"/"&amp;RIGHT("00"&amp;VALUE(TRIM(LEFT(MID(Sync!$L822,FIND("/",Sync!$L822)+1,20),FIND("/",MID(Sync!$L822,FIND("/",Sync!$L822)+1,20))-1))),2)&amp;"/"&amp;RIGHT("00"&amp;VALUE(TRIM(MID(MID(Sync!$L822,FIND("/",Sync!$L822)+1,20),FIND("/",MID(Sync!$L822,FIND("/",Sync!$L822)+1,20))+1,20))),2),"")))</f>
        <v/>
      </c>
    </row>
    <row r="823">
      <c r="M823">
        <f>IF(Sync!$M823&lt;&gt;"پاس چک","",IF(Sync!$P823="","",Sync!$P823))</f>
        <v/>
      </c>
      <c r="N823">
        <f>IF($M823="","",IF(ISNUMBER(Sync!$L823),IF(AND(Sync!$L823&gt;=10000101,Sync!$L823&lt;=99991231),RIGHT("0000"&amp;INT(Sync!$L823/10000),4)&amp;"/"&amp;RIGHT("00"&amp;INT(MOD(Sync!$L823,10000)/100),2)&amp;"/"&amp;RIGHT("00"&amp;MOD(Sync!$L823,100),2),""),IFERROR(RIGHT("0000"&amp;VALUE(TRIM(LEFT(Sync!$L823,FIND("/",Sync!$L823)-1))),4)&amp;"/"&amp;RIGHT("00"&amp;VALUE(TRIM(LEFT(MID(Sync!$L823,FIND("/",Sync!$L823)+1,20),FIND("/",MID(Sync!$L823,FIND("/",Sync!$L823)+1,20))-1))),2)&amp;"/"&amp;RIGHT("00"&amp;VALUE(TRIM(MID(MID(Sync!$L823,FIND("/",Sync!$L823)+1,20),FIND("/",MID(Sync!$L823,FIND("/",Sync!$L823)+1,20))+1,20))),2),"")))</f>
        <v/>
      </c>
    </row>
    <row r="824">
      <c r="M824">
        <f>IF(Sync!$M824&lt;&gt;"پاس چک","",IF(Sync!$P824="","",Sync!$P824))</f>
        <v/>
      </c>
      <c r="N824">
        <f>IF($M824="","",IF(ISNUMBER(Sync!$L824),IF(AND(Sync!$L824&gt;=10000101,Sync!$L824&lt;=99991231),RIGHT("0000"&amp;INT(Sync!$L824/10000),4)&amp;"/"&amp;RIGHT("00"&amp;INT(MOD(Sync!$L824,10000)/100),2)&amp;"/"&amp;RIGHT("00"&amp;MOD(Sync!$L824,100),2),""),IFERROR(RIGHT("0000"&amp;VALUE(TRIM(LEFT(Sync!$L824,FIND("/",Sync!$L824)-1))),4)&amp;"/"&amp;RIGHT("00"&amp;VALUE(TRIM(LEFT(MID(Sync!$L824,FIND("/",Sync!$L824)+1,20),FIND("/",MID(Sync!$L824,FIND("/",Sync!$L824)+1,20))-1))),2)&amp;"/"&amp;RIGHT("00"&amp;VALUE(TRIM(MID(MID(Sync!$L824,FIND("/",Sync!$L824)+1,20),FIND("/",MID(Sync!$L824,FIND("/",Sync!$L824)+1,20))+1,20))),2),"")))</f>
        <v/>
      </c>
    </row>
    <row r="825">
      <c r="M825">
        <f>IF(Sync!$M825&lt;&gt;"پاس چک","",IF(Sync!$P825="","",Sync!$P825))</f>
        <v/>
      </c>
      <c r="N825">
        <f>IF($M825="","",IF(ISNUMBER(Sync!$L825),IF(AND(Sync!$L825&gt;=10000101,Sync!$L825&lt;=99991231),RIGHT("0000"&amp;INT(Sync!$L825/10000),4)&amp;"/"&amp;RIGHT("00"&amp;INT(MOD(Sync!$L825,10000)/100),2)&amp;"/"&amp;RIGHT("00"&amp;MOD(Sync!$L825,100),2),""),IFERROR(RIGHT("0000"&amp;VALUE(TRIM(LEFT(Sync!$L825,FIND("/",Sync!$L825)-1))),4)&amp;"/"&amp;RIGHT("00"&amp;VALUE(TRIM(LEFT(MID(Sync!$L825,FIND("/",Sync!$L825)+1,20),FIND("/",MID(Sync!$L825,FIND("/",Sync!$L825)+1,20))-1))),2)&amp;"/"&amp;RIGHT("00"&amp;VALUE(TRIM(MID(MID(Sync!$L825,FIND("/",Sync!$L825)+1,20),FIND("/",MID(Sync!$L825,FIND("/",Sync!$L825)+1,20))+1,20))),2),"")))</f>
        <v/>
      </c>
    </row>
    <row r="826">
      <c r="M826">
        <f>IF(Sync!$M826&lt;&gt;"پاس چک","",IF(Sync!$P826="","",Sync!$P826))</f>
        <v/>
      </c>
      <c r="N826">
        <f>IF($M826="","",IF(ISNUMBER(Sync!$L826),IF(AND(Sync!$L826&gt;=10000101,Sync!$L826&lt;=99991231),RIGHT("0000"&amp;INT(Sync!$L826/10000),4)&amp;"/"&amp;RIGHT("00"&amp;INT(MOD(Sync!$L826,10000)/100),2)&amp;"/"&amp;RIGHT("00"&amp;MOD(Sync!$L826,100),2),""),IFERROR(RIGHT("0000"&amp;VALUE(TRIM(LEFT(Sync!$L826,FIND("/",Sync!$L826)-1))),4)&amp;"/"&amp;RIGHT("00"&amp;VALUE(TRIM(LEFT(MID(Sync!$L826,FIND("/",Sync!$L826)+1,20),FIND("/",MID(Sync!$L826,FIND("/",Sync!$L826)+1,20))-1))),2)&amp;"/"&amp;RIGHT("00"&amp;VALUE(TRIM(MID(MID(Sync!$L826,FIND("/",Sync!$L826)+1,20),FIND("/",MID(Sync!$L826,FIND("/",Sync!$L826)+1,20))+1,20))),2),"")))</f>
        <v/>
      </c>
    </row>
    <row r="827">
      <c r="M827">
        <f>IF(Sync!$M827&lt;&gt;"پاس چک","",IF(Sync!$P827="","",Sync!$P827))</f>
        <v/>
      </c>
      <c r="N827">
        <f>IF($M827="","",IF(ISNUMBER(Sync!$L827),IF(AND(Sync!$L827&gt;=10000101,Sync!$L827&lt;=99991231),RIGHT("0000"&amp;INT(Sync!$L827/10000),4)&amp;"/"&amp;RIGHT("00"&amp;INT(MOD(Sync!$L827,10000)/100),2)&amp;"/"&amp;RIGHT("00"&amp;MOD(Sync!$L827,100),2),""),IFERROR(RIGHT("0000"&amp;VALUE(TRIM(LEFT(Sync!$L827,FIND("/",Sync!$L827)-1))),4)&amp;"/"&amp;RIGHT("00"&amp;VALUE(TRIM(LEFT(MID(Sync!$L827,FIND("/",Sync!$L827)+1,20),FIND("/",MID(Sync!$L827,FIND("/",Sync!$L827)+1,20))-1))),2)&amp;"/"&amp;RIGHT("00"&amp;VALUE(TRIM(MID(MID(Sync!$L827,FIND("/",Sync!$L827)+1,20),FIND("/",MID(Sync!$L827,FIND("/",Sync!$L827)+1,20))+1,20))),2),"")))</f>
        <v/>
      </c>
    </row>
    <row r="828">
      <c r="M828">
        <f>IF(Sync!$M828&lt;&gt;"پاس چک","",IF(Sync!$P828="","",Sync!$P828))</f>
        <v/>
      </c>
      <c r="N828">
        <f>IF($M828="","",IF(ISNUMBER(Sync!$L828),IF(AND(Sync!$L828&gt;=10000101,Sync!$L828&lt;=99991231),RIGHT("0000"&amp;INT(Sync!$L828/10000),4)&amp;"/"&amp;RIGHT("00"&amp;INT(MOD(Sync!$L828,10000)/100),2)&amp;"/"&amp;RIGHT("00"&amp;MOD(Sync!$L828,100),2),""),IFERROR(RIGHT("0000"&amp;VALUE(TRIM(LEFT(Sync!$L828,FIND("/",Sync!$L828)-1))),4)&amp;"/"&amp;RIGHT("00"&amp;VALUE(TRIM(LEFT(MID(Sync!$L828,FIND("/",Sync!$L828)+1,20),FIND("/",MID(Sync!$L828,FIND("/",Sync!$L828)+1,20))-1))),2)&amp;"/"&amp;RIGHT("00"&amp;VALUE(TRIM(MID(MID(Sync!$L828,FIND("/",Sync!$L828)+1,20),FIND("/",MID(Sync!$L828,FIND("/",Sync!$L828)+1,20))+1,20))),2),"")))</f>
        <v/>
      </c>
    </row>
    <row r="829">
      <c r="M829">
        <f>IF(Sync!$M829&lt;&gt;"پاس چک","",IF(Sync!$P829="","",Sync!$P829))</f>
        <v/>
      </c>
      <c r="N829">
        <f>IF($M829="","",IF(ISNUMBER(Sync!$L829),IF(AND(Sync!$L829&gt;=10000101,Sync!$L829&lt;=99991231),RIGHT("0000"&amp;INT(Sync!$L829/10000),4)&amp;"/"&amp;RIGHT("00"&amp;INT(MOD(Sync!$L829,10000)/100),2)&amp;"/"&amp;RIGHT("00"&amp;MOD(Sync!$L829,100),2),""),IFERROR(RIGHT("0000"&amp;VALUE(TRIM(LEFT(Sync!$L829,FIND("/",Sync!$L829)-1))),4)&amp;"/"&amp;RIGHT("00"&amp;VALUE(TRIM(LEFT(MID(Sync!$L829,FIND("/",Sync!$L829)+1,20),FIND("/",MID(Sync!$L829,FIND("/",Sync!$L829)+1,20))-1))),2)&amp;"/"&amp;RIGHT("00"&amp;VALUE(TRIM(MID(MID(Sync!$L829,FIND("/",Sync!$L829)+1,20),FIND("/",MID(Sync!$L829,FIND("/",Sync!$L829)+1,20))+1,20))),2),"")))</f>
        <v/>
      </c>
    </row>
    <row r="830">
      <c r="M830">
        <f>IF(Sync!$M830&lt;&gt;"پاس چک","",IF(Sync!$P830="","",Sync!$P830))</f>
        <v/>
      </c>
      <c r="N830">
        <f>IF($M830="","",IF(ISNUMBER(Sync!$L830),IF(AND(Sync!$L830&gt;=10000101,Sync!$L830&lt;=99991231),RIGHT("0000"&amp;INT(Sync!$L830/10000),4)&amp;"/"&amp;RIGHT("00"&amp;INT(MOD(Sync!$L830,10000)/100),2)&amp;"/"&amp;RIGHT("00"&amp;MOD(Sync!$L830,100),2),""),IFERROR(RIGHT("0000"&amp;VALUE(TRIM(LEFT(Sync!$L830,FIND("/",Sync!$L830)-1))),4)&amp;"/"&amp;RIGHT("00"&amp;VALUE(TRIM(LEFT(MID(Sync!$L830,FIND("/",Sync!$L830)+1,20),FIND("/",MID(Sync!$L830,FIND("/",Sync!$L830)+1,20))-1))),2)&amp;"/"&amp;RIGHT("00"&amp;VALUE(TRIM(MID(MID(Sync!$L830,FIND("/",Sync!$L830)+1,20),FIND("/",MID(Sync!$L830,FIND("/",Sync!$L830)+1,20))+1,20))),2),"")))</f>
        <v/>
      </c>
    </row>
    <row r="831">
      <c r="M831">
        <f>IF(Sync!$M831&lt;&gt;"پاس چک","",IF(Sync!$P831="","",Sync!$P831))</f>
        <v/>
      </c>
      <c r="N831">
        <f>IF($M831="","",IF(ISNUMBER(Sync!$L831),IF(AND(Sync!$L831&gt;=10000101,Sync!$L831&lt;=99991231),RIGHT("0000"&amp;INT(Sync!$L831/10000),4)&amp;"/"&amp;RIGHT("00"&amp;INT(MOD(Sync!$L831,10000)/100),2)&amp;"/"&amp;RIGHT("00"&amp;MOD(Sync!$L831,100),2),""),IFERROR(RIGHT("0000"&amp;VALUE(TRIM(LEFT(Sync!$L831,FIND("/",Sync!$L831)-1))),4)&amp;"/"&amp;RIGHT("00"&amp;VALUE(TRIM(LEFT(MID(Sync!$L831,FIND("/",Sync!$L831)+1,20),FIND("/",MID(Sync!$L831,FIND("/",Sync!$L831)+1,20))-1))),2)&amp;"/"&amp;RIGHT("00"&amp;VALUE(TRIM(MID(MID(Sync!$L831,FIND("/",Sync!$L831)+1,20),FIND("/",MID(Sync!$L831,FIND("/",Sync!$L831)+1,20))+1,20))),2),"")))</f>
        <v/>
      </c>
    </row>
    <row r="832">
      <c r="M832">
        <f>IF(Sync!$M832&lt;&gt;"پاس چک","",IF(Sync!$P832="","",Sync!$P832))</f>
        <v/>
      </c>
      <c r="N832">
        <f>IF($M832="","",IF(ISNUMBER(Sync!$L832),IF(AND(Sync!$L832&gt;=10000101,Sync!$L832&lt;=99991231),RIGHT("0000"&amp;INT(Sync!$L832/10000),4)&amp;"/"&amp;RIGHT("00"&amp;INT(MOD(Sync!$L832,10000)/100),2)&amp;"/"&amp;RIGHT("00"&amp;MOD(Sync!$L832,100),2),""),IFERROR(RIGHT("0000"&amp;VALUE(TRIM(LEFT(Sync!$L832,FIND("/",Sync!$L832)-1))),4)&amp;"/"&amp;RIGHT("00"&amp;VALUE(TRIM(LEFT(MID(Sync!$L832,FIND("/",Sync!$L832)+1,20),FIND("/",MID(Sync!$L832,FIND("/",Sync!$L832)+1,20))-1))),2)&amp;"/"&amp;RIGHT("00"&amp;VALUE(TRIM(MID(MID(Sync!$L832,FIND("/",Sync!$L832)+1,20),FIND("/",MID(Sync!$L832,FIND("/",Sync!$L832)+1,20))+1,20))),2),"")))</f>
        <v/>
      </c>
    </row>
    <row r="833">
      <c r="M833">
        <f>IF(Sync!$M833&lt;&gt;"پاس چک","",IF(Sync!$P833="","",Sync!$P833))</f>
        <v/>
      </c>
      <c r="N833">
        <f>IF($M833="","",IF(ISNUMBER(Sync!$L833),IF(AND(Sync!$L833&gt;=10000101,Sync!$L833&lt;=99991231),RIGHT("0000"&amp;INT(Sync!$L833/10000),4)&amp;"/"&amp;RIGHT("00"&amp;INT(MOD(Sync!$L833,10000)/100),2)&amp;"/"&amp;RIGHT("00"&amp;MOD(Sync!$L833,100),2),""),IFERROR(RIGHT("0000"&amp;VALUE(TRIM(LEFT(Sync!$L833,FIND("/",Sync!$L833)-1))),4)&amp;"/"&amp;RIGHT("00"&amp;VALUE(TRIM(LEFT(MID(Sync!$L833,FIND("/",Sync!$L833)+1,20),FIND("/",MID(Sync!$L833,FIND("/",Sync!$L833)+1,20))-1))),2)&amp;"/"&amp;RIGHT("00"&amp;VALUE(TRIM(MID(MID(Sync!$L833,FIND("/",Sync!$L833)+1,20),FIND("/",MID(Sync!$L833,FIND("/",Sync!$L833)+1,20))+1,20))),2),"")))</f>
        <v/>
      </c>
    </row>
    <row r="834">
      <c r="M834">
        <f>IF(Sync!$M834&lt;&gt;"پاس چک","",IF(Sync!$P834="","",Sync!$P834))</f>
        <v/>
      </c>
      <c r="N834">
        <f>IF($M834="","",IF(ISNUMBER(Sync!$L834),IF(AND(Sync!$L834&gt;=10000101,Sync!$L834&lt;=99991231),RIGHT("0000"&amp;INT(Sync!$L834/10000),4)&amp;"/"&amp;RIGHT("00"&amp;INT(MOD(Sync!$L834,10000)/100),2)&amp;"/"&amp;RIGHT("00"&amp;MOD(Sync!$L834,100),2),""),IFERROR(RIGHT("0000"&amp;VALUE(TRIM(LEFT(Sync!$L834,FIND("/",Sync!$L834)-1))),4)&amp;"/"&amp;RIGHT("00"&amp;VALUE(TRIM(LEFT(MID(Sync!$L834,FIND("/",Sync!$L834)+1,20),FIND("/",MID(Sync!$L834,FIND("/",Sync!$L834)+1,20))-1))),2)&amp;"/"&amp;RIGHT("00"&amp;VALUE(TRIM(MID(MID(Sync!$L834,FIND("/",Sync!$L834)+1,20),FIND("/",MID(Sync!$L834,FIND("/",Sync!$L834)+1,20))+1,20))),2),"")))</f>
        <v/>
      </c>
    </row>
    <row r="835">
      <c r="M835">
        <f>IF(Sync!$M835&lt;&gt;"پاس چک","",IF(Sync!$P835="","",Sync!$P835))</f>
        <v/>
      </c>
      <c r="N835">
        <f>IF($M835="","",IF(ISNUMBER(Sync!$L835),IF(AND(Sync!$L835&gt;=10000101,Sync!$L835&lt;=99991231),RIGHT("0000"&amp;INT(Sync!$L835/10000),4)&amp;"/"&amp;RIGHT("00"&amp;INT(MOD(Sync!$L835,10000)/100),2)&amp;"/"&amp;RIGHT("00"&amp;MOD(Sync!$L835,100),2),""),IFERROR(RIGHT("0000"&amp;VALUE(TRIM(LEFT(Sync!$L835,FIND("/",Sync!$L835)-1))),4)&amp;"/"&amp;RIGHT("00"&amp;VALUE(TRIM(LEFT(MID(Sync!$L835,FIND("/",Sync!$L835)+1,20),FIND("/",MID(Sync!$L835,FIND("/",Sync!$L835)+1,20))-1))),2)&amp;"/"&amp;RIGHT("00"&amp;VALUE(TRIM(MID(MID(Sync!$L835,FIND("/",Sync!$L835)+1,20),FIND("/",MID(Sync!$L835,FIND("/",Sync!$L835)+1,20))+1,20))),2),"")))</f>
        <v/>
      </c>
    </row>
    <row r="836">
      <c r="M836">
        <f>IF(Sync!$M836&lt;&gt;"پاس چک","",IF(Sync!$P836="","",Sync!$P836))</f>
        <v/>
      </c>
      <c r="N836">
        <f>IF($M836="","",IF(ISNUMBER(Sync!$L836),IF(AND(Sync!$L836&gt;=10000101,Sync!$L836&lt;=99991231),RIGHT("0000"&amp;INT(Sync!$L836/10000),4)&amp;"/"&amp;RIGHT("00"&amp;INT(MOD(Sync!$L836,10000)/100),2)&amp;"/"&amp;RIGHT("00"&amp;MOD(Sync!$L836,100),2),""),IFERROR(RIGHT("0000"&amp;VALUE(TRIM(LEFT(Sync!$L836,FIND("/",Sync!$L836)-1))),4)&amp;"/"&amp;RIGHT("00"&amp;VALUE(TRIM(LEFT(MID(Sync!$L836,FIND("/",Sync!$L836)+1,20),FIND("/",MID(Sync!$L836,FIND("/",Sync!$L836)+1,20))-1))),2)&amp;"/"&amp;RIGHT("00"&amp;VALUE(TRIM(MID(MID(Sync!$L836,FIND("/",Sync!$L836)+1,20),FIND("/",MID(Sync!$L836,FIND("/",Sync!$L836)+1,20))+1,20))),2),"")))</f>
        <v/>
      </c>
    </row>
    <row r="837">
      <c r="M837">
        <f>IF(Sync!$M837&lt;&gt;"پاس چک","",IF(Sync!$P837="","",Sync!$P837))</f>
        <v/>
      </c>
      <c r="N837">
        <f>IF($M837="","",IF(ISNUMBER(Sync!$L837),IF(AND(Sync!$L837&gt;=10000101,Sync!$L837&lt;=99991231),RIGHT("0000"&amp;INT(Sync!$L837/10000),4)&amp;"/"&amp;RIGHT("00"&amp;INT(MOD(Sync!$L837,10000)/100),2)&amp;"/"&amp;RIGHT("00"&amp;MOD(Sync!$L837,100),2),""),IFERROR(RIGHT("0000"&amp;VALUE(TRIM(LEFT(Sync!$L837,FIND("/",Sync!$L837)-1))),4)&amp;"/"&amp;RIGHT("00"&amp;VALUE(TRIM(LEFT(MID(Sync!$L837,FIND("/",Sync!$L837)+1,20),FIND("/",MID(Sync!$L837,FIND("/",Sync!$L837)+1,20))-1))),2)&amp;"/"&amp;RIGHT("00"&amp;VALUE(TRIM(MID(MID(Sync!$L837,FIND("/",Sync!$L837)+1,20),FIND("/",MID(Sync!$L837,FIND("/",Sync!$L837)+1,20))+1,20))),2),"")))</f>
        <v/>
      </c>
    </row>
    <row r="838">
      <c r="M838">
        <f>IF(Sync!$M838&lt;&gt;"پاس چک","",IF(Sync!$P838="","",Sync!$P838))</f>
        <v/>
      </c>
      <c r="N838">
        <f>IF($M838="","",IF(ISNUMBER(Sync!$L838),IF(AND(Sync!$L838&gt;=10000101,Sync!$L838&lt;=99991231),RIGHT("0000"&amp;INT(Sync!$L838/10000),4)&amp;"/"&amp;RIGHT("00"&amp;INT(MOD(Sync!$L838,10000)/100),2)&amp;"/"&amp;RIGHT("00"&amp;MOD(Sync!$L838,100),2),""),IFERROR(RIGHT("0000"&amp;VALUE(TRIM(LEFT(Sync!$L838,FIND("/",Sync!$L838)-1))),4)&amp;"/"&amp;RIGHT("00"&amp;VALUE(TRIM(LEFT(MID(Sync!$L838,FIND("/",Sync!$L838)+1,20),FIND("/",MID(Sync!$L838,FIND("/",Sync!$L838)+1,20))-1))),2)&amp;"/"&amp;RIGHT("00"&amp;VALUE(TRIM(MID(MID(Sync!$L838,FIND("/",Sync!$L838)+1,20),FIND("/",MID(Sync!$L838,FIND("/",Sync!$L838)+1,20))+1,20))),2),"")))</f>
        <v/>
      </c>
    </row>
    <row r="839">
      <c r="M839">
        <f>IF(Sync!$M839&lt;&gt;"پاس چک","",IF(Sync!$P839="","",Sync!$P839))</f>
        <v/>
      </c>
      <c r="N839">
        <f>IF($M839="","",IF(ISNUMBER(Sync!$L839),IF(AND(Sync!$L839&gt;=10000101,Sync!$L839&lt;=99991231),RIGHT("0000"&amp;INT(Sync!$L839/10000),4)&amp;"/"&amp;RIGHT("00"&amp;INT(MOD(Sync!$L839,10000)/100),2)&amp;"/"&amp;RIGHT("00"&amp;MOD(Sync!$L839,100),2),""),IFERROR(RIGHT("0000"&amp;VALUE(TRIM(LEFT(Sync!$L839,FIND("/",Sync!$L839)-1))),4)&amp;"/"&amp;RIGHT("00"&amp;VALUE(TRIM(LEFT(MID(Sync!$L839,FIND("/",Sync!$L839)+1,20),FIND("/",MID(Sync!$L839,FIND("/",Sync!$L839)+1,20))-1))),2)&amp;"/"&amp;RIGHT("00"&amp;VALUE(TRIM(MID(MID(Sync!$L839,FIND("/",Sync!$L839)+1,20),FIND("/",MID(Sync!$L839,FIND("/",Sync!$L839)+1,20))+1,20))),2),"")))</f>
        <v/>
      </c>
    </row>
    <row r="840">
      <c r="M840">
        <f>IF(Sync!$M840&lt;&gt;"پاس چک","",IF(Sync!$P840="","",Sync!$P840))</f>
        <v/>
      </c>
      <c r="N840">
        <f>IF($M840="","",IF(ISNUMBER(Sync!$L840),IF(AND(Sync!$L840&gt;=10000101,Sync!$L840&lt;=99991231),RIGHT("0000"&amp;INT(Sync!$L840/10000),4)&amp;"/"&amp;RIGHT("00"&amp;INT(MOD(Sync!$L840,10000)/100),2)&amp;"/"&amp;RIGHT("00"&amp;MOD(Sync!$L840,100),2),""),IFERROR(RIGHT("0000"&amp;VALUE(TRIM(LEFT(Sync!$L840,FIND("/",Sync!$L840)-1))),4)&amp;"/"&amp;RIGHT("00"&amp;VALUE(TRIM(LEFT(MID(Sync!$L840,FIND("/",Sync!$L840)+1,20),FIND("/",MID(Sync!$L840,FIND("/",Sync!$L840)+1,20))-1))),2)&amp;"/"&amp;RIGHT("00"&amp;VALUE(TRIM(MID(MID(Sync!$L840,FIND("/",Sync!$L840)+1,20),FIND("/",MID(Sync!$L840,FIND("/",Sync!$L840)+1,20))+1,20))),2),"")))</f>
        <v/>
      </c>
    </row>
    <row r="841">
      <c r="M841">
        <f>IF(Sync!$M841&lt;&gt;"پاس چک","",IF(Sync!$P841="","",Sync!$P841))</f>
        <v/>
      </c>
      <c r="N841">
        <f>IF($M841="","",IF(ISNUMBER(Sync!$L841),IF(AND(Sync!$L841&gt;=10000101,Sync!$L841&lt;=99991231),RIGHT("0000"&amp;INT(Sync!$L841/10000),4)&amp;"/"&amp;RIGHT("00"&amp;INT(MOD(Sync!$L841,10000)/100),2)&amp;"/"&amp;RIGHT("00"&amp;MOD(Sync!$L841,100),2),""),IFERROR(RIGHT("0000"&amp;VALUE(TRIM(LEFT(Sync!$L841,FIND("/",Sync!$L841)-1))),4)&amp;"/"&amp;RIGHT("00"&amp;VALUE(TRIM(LEFT(MID(Sync!$L841,FIND("/",Sync!$L841)+1,20),FIND("/",MID(Sync!$L841,FIND("/",Sync!$L841)+1,20))-1))),2)&amp;"/"&amp;RIGHT("00"&amp;VALUE(TRIM(MID(MID(Sync!$L841,FIND("/",Sync!$L841)+1,20),FIND("/",MID(Sync!$L841,FIND("/",Sync!$L841)+1,20))+1,20))),2),"")))</f>
        <v/>
      </c>
    </row>
    <row r="842">
      <c r="M842">
        <f>IF(Sync!$M842&lt;&gt;"پاس چک","",IF(Sync!$P842="","",Sync!$P842))</f>
        <v/>
      </c>
      <c r="N842">
        <f>IF($M842="","",IF(ISNUMBER(Sync!$L842),IF(AND(Sync!$L842&gt;=10000101,Sync!$L842&lt;=99991231),RIGHT("0000"&amp;INT(Sync!$L842/10000),4)&amp;"/"&amp;RIGHT("00"&amp;INT(MOD(Sync!$L842,10000)/100),2)&amp;"/"&amp;RIGHT("00"&amp;MOD(Sync!$L842,100),2),""),IFERROR(RIGHT("0000"&amp;VALUE(TRIM(LEFT(Sync!$L842,FIND("/",Sync!$L842)-1))),4)&amp;"/"&amp;RIGHT("00"&amp;VALUE(TRIM(LEFT(MID(Sync!$L842,FIND("/",Sync!$L842)+1,20),FIND("/",MID(Sync!$L842,FIND("/",Sync!$L842)+1,20))-1))),2)&amp;"/"&amp;RIGHT("00"&amp;VALUE(TRIM(MID(MID(Sync!$L842,FIND("/",Sync!$L842)+1,20),FIND("/",MID(Sync!$L842,FIND("/",Sync!$L842)+1,20))+1,20))),2),"")))</f>
        <v/>
      </c>
    </row>
    <row r="843">
      <c r="M843">
        <f>IF(Sync!$M843&lt;&gt;"پاس چک","",IF(Sync!$P843="","",Sync!$P843))</f>
        <v/>
      </c>
      <c r="N843">
        <f>IF($M843="","",IF(ISNUMBER(Sync!$L843),IF(AND(Sync!$L843&gt;=10000101,Sync!$L843&lt;=99991231),RIGHT("0000"&amp;INT(Sync!$L843/10000),4)&amp;"/"&amp;RIGHT("00"&amp;INT(MOD(Sync!$L843,10000)/100),2)&amp;"/"&amp;RIGHT("00"&amp;MOD(Sync!$L843,100),2),""),IFERROR(RIGHT("0000"&amp;VALUE(TRIM(LEFT(Sync!$L843,FIND("/",Sync!$L843)-1))),4)&amp;"/"&amp;RIGHT("00"&amp;VALUE(TRIM(LEFT(MID(Sync!$L843,FIND("/",Sync!$L843)+1,20),FIND("/",MID(Sync!$L843,FIND("/",Sync!$L843)+1,20))-1))),2)&amp;"/"&amp;RIGHT("00"&amp;VALUE(TRIM(MID(MID(Sync!$L843,FIND("/",Sync!$L843)+1,20),FIND("/",MID(Sync!$L843,FIND("/",Sync!$L843)+1,20))+1,20))),2),"")))</f>
        <v/>
      </c>
    </row>
    <row r="844">
      <c r="M844">
        <f>IF(Sync!$M844&lt;&gt;"پاس چک","",IF(Sync!$P844="","",Sync!$P844))</f>
        <v/>
      </c>
      <c r="N844">
        <f>IF($M844="","",IF(ISNUMBER(Sync!$L844),IF(AND(Sync!$L844&gt;=10000101,Sync!$L844&lt;=99991231),RIGHT("0000"&amp;INT(Sync!$L844/10000),4)&amp;"/"&amp;RIGHT("00"&amp;INT(MOD(Sync!$L844,10000)/100),2)&amp;"/"&amp;RIGHT("00"&amp;MOD(Sync!$L844,100),2),""),IFERROR(RIGHT("0000"&amp;VALUE(TRIM(LEFT(Sync!$L844,FIND("/",Sync!$L844)-1))),4)&amp;"/"&amp;RIGHT("00"&amp;VALUE(TRIM(LEFT(MID(Sync!$L844,FIND("/",Sync!$L844)+1,20),FIND("/",MID(Sync!$L844,FIND("/",Sync!$L844)+1,20))-1))),2)&amp;"/"&amp;RIGHT("00"&amp;VALUE(TRIM(MID(MID(Sync!$L844,FIND("/",Sync!$L844)+1,20),FIND("/",MID(Sync!$L844,FIND("/",Sync!$L844)+1,20))+1,20))),2),"")))</f>
        <v/>
      </c>
    </row>
    <row r="845">
      <c r="M845">
        <f>IF(Sync!$M845&lt;&gt;"پاس چک","",IF(Sync!$P845="","",Sync!$P845))</f>
        <v/>
      </c>
      <c r="N845">
        <f>IF($M845="","",IF(ISNUMBER(Sync!$L845),IF(AND(Sync!$L845&gt;=10000101,Sync!$L845&lt;=99991231),RIGHT("0000"&amp;INT(Sync!$L845/10000),4)&amp;"/"&amp;RIGHT("00"&amp;INT(MOD(Sync!$L845,10000)/100),2)&amp;"/"&amp;RIGHT("00"&amp;MOD(Sync!$L845,100),2),""),IFERROR(RIGHT("0000"&amp;VALUE(TRIM(LEFT(Sync!$L845,FIND("/",Sync!$L845)-1))),4)&amp;"/"&amp;RIGHT("00"&amp;VALUE(TRIM(LEFT(MID(Sync!$L845,FIND("/",Sync!$L845)+1,20),FIND("/",MID(Sync!$L845,FIND("/",Sync!$L845)+1,20))-1))),2)&amp;"/"&amp;RIGHT("00"&amp;VALUE(TRIM(MID(MID(Sync!$L845,FIND("/",Sync!$L845)+1,20),FIND("/",MID(Sync!$L845,FIND("/",Sync!$L845)+1,20))+1,20))),2),"")))</f>
        <v/>
      </c>
    </row>
    <row r="846">
      <c r="M846">
        <f>IF(Sync!$M846&lt;&gt;"پاس چک","",IF(Sync!$P846="","",Sync!$P846))</f>
        <v/>
      </c>
      <c r="N846">
        <f>IF($M846="","",IF(ISNUMBER(Sync!$L846),IF(AND(Sync!$L846&gt;=10000101,Sync!$L846&lt;=99991231),RIGHT("0000"&amp;INT(Sync!$L846/10000),4)&amp;"/"&amp;RIGHT("00"&amp;INT(MOD(Sync!$L846,10000)/100),2)&amp;"/"&amp;RIGHT("00"&amp;MOD(Sync!$L846,100),2),""),IFERROR(RIGHT("0000"&amp;VALUE(TRIM(LEFT(Sync!$L846,FIND("/",Sync!$L846)-1))),4)&amp;"/"&amp;RIGHT("00"&amp;VALUE(TRIM(LEFT(MID(Sync!$L846,FIND("/",Sync!$L846)+1,20),FIND("/",MID(Sync!$L846,FIND("/",Sync!$L846)+1,20))-1))),2)&amp;"/"&amp;RIGHT("00"&amp;VALUE(TRIM(MID(MID(Sync!$L846,FIND("/",Sync!$L846)+1,20),FIND("/",MID(Sync!$L846,FIND("/",Sync!$L846)+1,20))+1,20))),2),"")))</f>
        <v/>
      </c>
    </row>
    <row r="847">
      <c r="M847">
        <f>IF(Sync!$M847&lt;&gt;"پاس چک","",IF(Sync!$P847="","",Sync!$P847))</f>
        <v/>
      </c>
      <c r="N847">
        <f>IF($M847="","",IF(ISNUMBER(Sync!$L847),IF(AND(Sync!$L847&gt;=10000101,Sync!$L847&lt;=99991231),RIGHT("0000"&amp;INT(Sync!$L847/10000),4)&amp;"/"&amp;RIGHT("00"&amp;INT(MOD(Sync!$L847,10000)/100),2)&amp;"/"&amp;RIGHT("00"&amp;MOD(Sync!$L847,100),2),""),IFERROR(RIGHT("0000"&amp;VALUE(TRIM(LEFT(Sync!$L847,FIND("/",Sync!$L847)-1))),4)&amp;"/"&amp;RIGHT("00"&amp;VALUE(TRIM(LEFT(MID(Sync!$L847,FIND("/",Sync!$L847)+1,20),FIND("/",MID(Sync!$L847,FIND("/",Sync!$L847)+1,20))-1))),2)&amp;"/"&amp;RIGHT("00"&amp;VALUE(TRIM(MID(MID(Sync!$L847,FIND("/",Sync!$L847)+1,20),FIND("/",MID(Sync!$L847,FIND("/",Sync!$L847)+1,20))+1,20))),2),"")))</f>
        <v/>
      </c>
    </row>
    <row r="848">
      <c r="M848">
        <f>IF(Sync!$M848&lt;&gt;"پاس چک","",IF(Sync!$P848="","",Sync!$P848))</f>
        <v/>
      </c>
      <c r="N848">
        <f>IF($M848="","",IF(ISNUMBER(Sync!$L848),IF(AND(Sync!$L848&gt;=10000101,Sync!$L848&lt;=99991231),RIGHT("0000"&amp;INT(Sync!$L848/10000),4)&amp;"/"&amp;RIGHT("00"&amp;INT(MOD(Sync!$L848,10000)/100),2)&amp;"/"&amp;RIGHT("00"&amp;MOD(Sync!$L848,100),2),""),IFERROR(RIGHT("0000"&amp;VALUE(TRIM(LEFT(Sync!$L848,FIND("/",Sync!$L848)-1))),4)&amp;"/"&amp;RIGHT("00"&amp;VALUE(TRIM(LEFT(MID(Sync!$L848,FIND("/",Sync!$L848)+1,20),FIND("/",MID(Sync!$L848,FIND("/",Sync!$L848)+1,20))-1))),2)&amp;"/"&amp;RIGHT("00"&amp;VALUE(TRIM(MID(MID(Sync!$L848,FIND("/",Sync!$L848)+1,20),FIND("/",MID(Sync!$L848,FIND("/",Sync!$L848)+1,20))+1,20))),2),"")))</f>
        <v/>
      </c>
    </row>
    <row r="849">
      <c r="M849">
        <f>IF(Sync!$M849&lt;&gt;"پاس چک","",IF(Sync!$P849="","",Sync!$P849))</f>
        <v/>
      </c>
      <c r="N849">
        <f>IF($M849="","",IF(ISNUMBER(Sync!$L849),IF(AND(Sync!$L849&gt;=10000101,Sync!$L849&lt;=99991231),RIGHT("0000"&amp;INT(Sync!$L849/10000),4)&amp;"/"&amp;RIGHT("00"&amp;INT(MOD(Sync!$L849,10000)/100),2)&amp;"/"&amp;RIGHT("00"&amp;MOD(Sync!$L849,100),2),""),IFERROR(RIGHT("0000"&amp;VALUE(TRIM(LEFT(Sync!$L849,FIND("/",Sync!$L849)-1))),4)&amp;"/"&amp;RIGHT("00"&amp;VALUE(TRIM(LEFT(MID(Sync!$L849,FIND("/",Sync!$L849)+1,20),FIND("/",MID(Sync!$L849,FIND("/",Sync!$L849)+1,20))-1))),2)&amp;"/"&amp;RIGHT("00"&amp;VALUE(TRIM(MID(MID(Sync!$L849,FIND("/",Sync!$L849)+1,20),FIND("/",MID(Sync!$L849,FIND("/",Sync!$L849)+1,20))+1,20))),2),"")))</f>
        <v/>
      </c>
    </row>
    <row r="850">
      <c r="M850">
        <f>IF(Sync!$M850&lt;&gt;"پاس چک","",IF(Sync!$P850="","",Sync!$P850))</f>
        <v/>
      </c>
      <c r="N850">
        <f>IF($M850="","",IF(ISNUMBER(Sync!$L850),IF(AND(Sync!$L850&gt;=10000101,Sync!$L850&lt;=99991231),RIGHT("0000"&amp;INT(Sync!$L850/10000),4)&amp;"/"&amp;RIGHT("00"&amp;INT(MOD(Sync!$L850,10000)/100),2)&amp;"/"&amp;RIGHT("00"&amp;MOD(Sync!$L850,100),2),""),IFERROR(RIGHT("0000"&amp;VALUE(TRIM(LEFT(Sync!$L850,FIND("/",Sync!$L850)-1))),4)&amp;"/"&amp;RIGHT("00"&amp;VALUE(TRIM(LEFT(MID(Sync!$L850,FIND("/",Sync!$L850)+1,20),FIND("/",MID(Sync!$L850,FIND("/",Sync!$L850)+1,20))-1))),2)&amp;"/"&amp;RIGHT("00"&amp;VALUE(TRIM(MID(MID(Sync!$L850,FIND("/",Sync!$L850)+1,20),FIND("/",MID(Sync!$L850,FIND("/",Sync!$L850)+1,20))+1,20))),2),"")))</f>
        <v/>
      </c>
    </row>
    <row r="851">
      <c r="M851">
        <f>IF(Sync!$M851&lt;&gt;"پاس چک","",IF(Sync!$P851="","",Sync!$P851))</f>
        <v/>
      </c>
      <c r="N851">
        <f>IF($M851="","",IF(ISNUMBER(Sync!$L851),IF(AND(Sync!$L851&gt;=10000101,Sync!$L851&lt;=99991231),RIGHT("0000"&amp;INT(Sync!$L851/10000),4)&amp;"/"&amp;RIGHT("00"&amp;INT(MOD(Sync!$L851,10000)/100),2)&amp;"/"&amp;RIGHT("00"&amp;MOD(Sync!$L851,100),2),""),IFERROR(RIGHT("0000"&amp;VALUE(TRIM(LEFT(Sync!$L851,FIND("/",Sync!$L851)-1))),4)&amp;"/"&amp;RIGHT("00"&amp;VALUE(TRIM(LEFT(MID(Sync!$L851,FIND("/",Sync!$L851)+1,20),FIND("/",MID(Sync!$L851,FIND("/",Sync!$L851)+1,20))-1))),2)&amp;"/"&amp;RIGHT("00"&amp;VALUE(TRIM(MID(MID(Sync!$L851,FIND("/",Sync!$L851)+1,20),FIND("/",MID(Sync!$L851,FIND("/",Sync!$L851)+1,20))+1,20))),2),"")))</f>
        <v/>
      </c>
    </row>
    <row r="852">
      <c r="M852">
        <f>IF(Sync!$M852&lt;&gt;"پاس چک","",IF(Sync!$P852="","",Sync!$P852))</f>
        <v/>
      </c>
      <c r="N852">
        <f>IF($M852="","",IF(ISNUMBER(Sync!$L852),IF(AND(Sync!$L852&gt;=10000101,Sync!$L852&lt;=99991231),RIGHT("0000"&amp;INT(Sync!$L852/10000),4)&amp;"/"&amp;RIGHT("00"&amp;INT(MOD(Sync!$L852,10000)/100),2)&amp;"/"&amp;RIGHT("00"&amp;MOD(Sync!$L852,100),2),""),IFERROR(RIGHT("0000"&amp;VALUE(TRIM(LEFT(Sync!$L852,FIND("/",Sync!$L852)-1))),4)&amp;"/"&amp;RIGHT("00"&amp;VALUE(TRIM(LEFT(MID(Sync!$L852,FIND("/",Sync!$L852)+1,20),FIND("/",MID(Sync!$L852,FIND("/",Sync!$L852)+1,20))-1))),2)&amp;"/"&amp;RIGHT("00"&amp;VALUE(TRIM(MID(MID(Sync!$L852,FIND("/",Sync!$L852)+1,20),FIND("/",MID(Sync!$L852,FIND("/",Sync!$L852)+1,20))+1,20))),2),"")))</f>
        <v/>
      </c>
    </row>
    <row r="853">
      <c r="M853">
        <f>IF(Sync!$M853&lt;&gt;"پاس چک","",IF(Sync!$P853="","",Sync!$P853))</f>
        <v/>
      </c>
      <c r="N853">
        <f>IF($M853="","",IF(ISNUMBER(Sync!$L853),IF(AND(Sync!$L853&gt;=10000101,Sync!$L853&lt;=99991231),RIGHT("0000"&amp;INT(Sync!$L853/10000),4)&amp;"/"&amp;RIGHT("00"&amp;INT(MOD(Sync!$L853,10000)/100),2)&amp;"/"&amp;RIGHT("00"&amp;MOD(Sync!$L853,100),2),""),IFERROR(RIGHT("0000"&amp;VALUE(TRIM(LEFT(Sync!$L853,FIND("/",Sync!$L853)-1))),4)&amp;"/"&amp;RIGHT("00"&amp;VALUE(TRIM(LEFT(MID(Sync!$L853,FIND("/",Sync!$L853)+1,20),FIND("/",MID(Sync!$L853,FIND("/",Sync!$L853)+1,20))-1))),2)&amp;"/"&amp;RIGHT("00"&amp;VALUE(TRIM(MID(MID(Sync!$L853,FIND("/",Sync!$L853)+1,20),FIND("/",MID(Sync!$L853,FIND("/",Sync!$L853)+1,20))+1,20))),2),"")))</f>
        <v/>
      </c>
    </row>
    <row r="854">
      <c r="M854">
        <f>IF(Sync!$M854&lt;&gt;"پاس چک","",IF(Sync!$P854="","",Sync!$P854))</f>
        <v/>
      </c>
      <c r="N854">
        <f>IF($M854="","",IF(ISNUMBER(Sync!$L854),IF(AND(Sync!$L854&gt;=10000101,Sync!$L854&lt;=99991231),RIGHT("0000"&amp;INT(Sync!$L854/10000),4)&amp;"/"&amp;RIGHT("00"&amp;INT(MOD(Sync!$L854,10000)/100),2)&amp;"/"&amp;RIGHT("00"&amp;MOD(Sync!$L854,100),2),""),IFERROR(RIGHT("0000"&amp;VALUE(TRIM(LEFT(Sync!$L854,FIND("/",Sync!$L854)-1))),4)&amp;"/"&amp;RIGHT("00"&amp;VALUE(TRIM(LEFT(MID(Sync!$L854,FIND("/",Sync!$L854)+1,20),FIND("/",MID(Sync!$L854,FIND("/",Sync!$L854)+1,20))-1))),2)&amp;"/"&amp;RIGHT("00"&amp;VALUE(TRIM(MID(MID(Sync!$L854,FIND("/",Sync!$L854)+1,20),FIND("/",MID(Sync!$L854,FIND("/",Sync!$L854)+1,20))+1,20))),2),"")))</f>
        <v/>
      </c>
    </row>
    <row r="855">
      <c r="M855">
        <f>IF(Sync!$M855&lt;&gt;"پاس چک","",IF(Sync!$P855="","",Sync!$P855))</f>
        <v/>
      </c>
      <c r="N855">
        <f>IF($M855="","",IF(ISNUMBER(Sync!$L855),IF(AND(Sync!$L855&gt;=10000101,Sync!$L855&lt;=99991231),RIGHT("0000"&amp;INT(Sync!$L855/10000),4)&amp;"/"&amp;RIGHT("00"&amp;INT(MOD(Sync!$L855,10000)/100),2)&amp;"/"&amp;RIGHT("00"&amp;MOD(Sync!$L855,100),2),""),IFERROR(RIGHT("0000"&amp;VALUE(TRIM(LEFT(Sync!$L855,FIND("/",Sync!$L855)-1))),4)&amp;"/"&amp;RIGHT("00"&amp;VALUE(TRIM(LEFT(MID(Sync!$L855,FIND("/",Sync!$L855)+1,20),FIND("/",MID(Sync!$L855,FIND("/",Sync!$L855)+1,20))-1))),2)&amp;"/"&amp;RIGHT("00"&amp;VALUE(TRIM(MID(MID(Sync!$L855,FIND("/",Sync!$L855)+1,20),FIND("/",MID(Sync!$L855,FIND("/",Sync!$L855)+1,20))+1,20))),2),"")))</f>
        <v/>
      </c>
    </row>
    <row r="856">
      <c r="M856">
        <f>IF(Sync!$M856&lt;&gt;"پاس چک","",IF(Sync!$P856="","",Sync!$P856))</f>
        <v/>
      </c>
      <c r="N856">
        <f>IF($M856="","",IF(ISNUMBER(Sync!$L856),IF(AND(Sync!$L856&gt;=10000101,Sync!$L856&lt;=99991231),RIGHT("0000"&amp;INT(Sync!$L856/10000),4)&amp;"/"&amp;RIGHT("00"&amp;INT(MOD(Sync!$L856,10000)/100),2)&amp;"/"&amp;RIGHT("00"&amp;MOD(Sync!$L856,100),2),""),IFERROR(RIGHT("0000"&amp;VALUE(TRIM(LEFT(Sync!$L856,FIND("/",Sync!$L856)-1))),4)&amp;"/"&amp;RIGHT("00"&amp;VALUE(TRIM(LEFT(MID(Sync!$L856,FIND("/",Sync!$L856)+1,20),FIND("/",MID(Sync!$L856,FIND("/",Sync!$L856)+1,20))-1))),2)&amp;"/"&amp;RIGHT("00"&amp;VALUE(TRIM(MID(MID(Sync!$L856,FIND("/",Sync!$L856)+1,20),FIND("/",MID(Sync!$L856,FIND("/",Sync!$L856)+1,20))+1,20))),2),"")))</f>
        <v/>
      </c>
    </row>
    <row r="857">
      <c r="M857">
        <f>IF(Sync!$M857&lt;&gt;"پاس چک","",IF(Sync!$P857="","",Sync!$P857))</f>
        <v/>
      </c>
      <c r="N857">
        <f>IF($M857="","",IF(ISNUMBER(Sync!$L857),IF(AND(Sync!$L857&gt;=10000101,Sync!$L857&lt;=99991231),RIGHT("0000"&amp;INT(Sync!$L857/10000),4)&amp;"/"&amp;RIGHT("00"&amp;INT(MOD(Sync!$L857,10000)/100),2)&amp;"/"&amp;RIGHT("00"&amp;MOD(Sync!$L857,100),2),""),IFERROR(RIGHT("0000"&amp;VALUE(TRIM(LEFT(Sync!$L857,FIND("/",Sync!$L857)-1))),4)&amp;"/"&amp;RIGHT("00"&amp;VALUE(TRIM(LEFT(MID(Sync!$L857,FIND("/",Sync!$L857)+1,20),FIND("/",MID(Sync!$L857,FIND("/",Sync!$L857)+1,20))-1))),2)&amp;"/"&amp;RIGHT("00"&amp;VALUE(TRIM(MID(MID(Sync!$L857,FIND("/",Sync!$L857)+1,20),FIND("/",MID(Sync!$L857,FIND("/",Sync!$L857)+1,20))+1,20))),2),"")))</f>
        <v/>
      </c>
    </row>
    <row r="858">
      <c r="M858">
        <f>IF(Sync!$M858&lt;&gt;"پاس چک","",IF(Sync!$P858="","",Sync!$P858))</f>
        <v/>
      </c>
      <c r="N858">
        <f>IF($M858="","",IF(ISNUMBER(Sync!$L858),IF(AND(Sync!$L858&gt;=10000101,Sync!$L858&lt;=99991231),RIGHT("0000"&amp;INT(Sync!$L858/10000),4)&amp;"/"&amp;RIGHT("00"&amp;INT(MOD(Sync!$L858,10000)/100),2)&amp;"/"&amp;RIGHT("00"&amp;MOD(Sync!$L858,100),2),""),IFERROR(RIGHT("0000"&amp;VALUE(TRIM(LEFT(Sync!$L858,FIND("/",Sync!$L858)-1))),4)&amp;"/"&amp;RIGHT("00"&amp;VALUE(TRIM(LEFT(MID(Sync!$L858,FIND("/",Sync!$L858)+1,20),FIND("/",MID(Sync!$L858,FIND("/",Sync!$L858)+1,20))-1))),2)&amp;"/"&amp;RIGHT("00"&amp;VALUE(TRIM(MID(MID(Sync!$L858,FIND("/",Sync!$L858)+1,20),FIND("/",MID(Sync!$L858,FIND("/",Sync!$L858)+1,20))+1,20))),2),"")))</f>
        <v/>
      </c>
    </row>
    <row r="859">
      <c r="M859">
        <f>IF(Sync!$M859&lt;&gt;"پاس چک","",IF(Sync!$P859="","",Sync!$P859))</f>
        <v/>
      </c>
      <c r="N859">
        <f>IF($M859="","",IF(ISNUMBER(Sync!$L859),IF(AND(Sync!$L859&gt;=10000101,Sync!$L859&lt;=99991231),RIGHT("0000"&amp;INT(Sync!$L859/10000),4)&amp;"/"&amp;RIGHT("00"&amp;INT(MOD(Sync!$L859,10000)/100),2)&amp;"/"&amp;RIGHT("00"&amp;MOD(Sync!$L859,100),2),""),IFERROR(RIGHT("0000"&amp;VALUE(TRIM(LEFT(Sync!$L859,FIND("/",Sync!$L859)-1))),4)&amp;"/"&amp;RIGHT("00"&amp;VALUE(TRIM(LEFT(MID(Sync!$L859,FIND("/",Sync!$L859)+1,20),FIND("/",MID(Sync!$L859,FIND("/",Sync!$L859)+1,20))-1))),2)&amp;"/"&amp;RIGHT("00"&amp;VALUE(TRIM(MID(MID(Sync!$L859,FIND("/",Sync!$L859)+1,20),FIND("/",MID(Sync!$L859,FIND("/",Sync!$L859)+1,20))+1,20))),2),"")))</f>
        <v/>
      </c>
    </row>
    <row r="860">
      <c r="M860">
        <f>IF(Sync!$M860&lt;&gt;"پاس چک","",IF(Sync!$P860="","",Sync!$P860))</f>
        <v/>
      </c>
      <c r="N860">
        <f>IF($M860="","",IF(ISNUMBER(Sync!$L860),IF(AND(Sync!$L860&gt;=10000101,Sync!$L860&lt;=99991231),RIGHT("0000"&amp;INT(Sync!$L860/10000),4)&amp;"/"&amp;RIGHT("00"&amp;INT(MOD(Sync!$L860,10000)/100),2)&amp;"/"&amp;RIGHT("00"&amp;MOD(Sync!$L860,100),2),""),IFERROR(RIGHT("0000"&amp;VALUE(TRIM(LEFT(Sync!$L860,FIND("/",Sync!$L860)-1))),4)&amp;"/"&amp;RIGHT("00"&amp;VALUE(TRIM(LEFT(MID(Sync!$L860,FIND("/",Sync!$L860)+1,20),FIND("/",MID(Sync!$L860,FIND("/",Sync!$L860)+1,20))-1))),2)&amp;"/"&amp;RIGHT("00"&amp;VALUE(TRIM(MID(MID(Sync!$L860,FIND("/",Sync!$L860)+1,20),FIND("/",MID(Sync!$L860,FIND("/",Sync!$L860)+1,20))+1,20))),2),"")))</f>
        <v/>
      </c>
    </row>
    <row r="861">
      <c r="M861">
        <f>IF(Sync!$M861&lt;&gt;"پاس چک","",IF(Sync!$P861="","",Sync!$P861))</f>
        <v/>
      </c>
      <c r="N861">
        <f>IF($M861="","",IF(ISNUMBER(Sync!$L861),IF(AND(Sync!$L861&gt;=10000101,Sync!$L861&lt;=99991231),RIGHT("0000"&amp;INT(Sync!$L861/10000),4)&amp;"/"&amp;RIGHT("00"&amp;INT(MOD(Sync!$L861,10000)/100),2)&amp;"/"&amp;RIGHT("00"&amp;MOD(Sync!$L861,100),2),""),IFERROR(RIGHT("0000"&amp;VALUE(TRIM(LEFT(Sync!$L861,FIND("/",Sync!$L861)-1))),4)&amp;"/"&amp;RIGHT("00"&amp;VALUE(TRIM(LEFT(MID(Sync!$L861,FIND("/",Sync!$L861)+1,20),FIND("/",MID(Sync!$L861,FIND("/",Sync!$L861)+1,20))-1))),2)&amp;"/"&amp;RIGHT("00"&amp;VALUE(TRIM(MID(MID(Sync!$L861,FIND("/",Sync!$L861)+1,20),FIND("/",MID(Sync!$L861,FIND("/",Sync!$L861)+1,20))+1,20))),2),"")))</f>
        <v/>
      </c>
    </row>
    <row r="862">
      <c r="M862">
        <f>IF(Sync!$M862&lt;&gt;"پاس چک","",IF(Sync!$P862="","",Sync!$P862))</f>
        <v/>
      </c>
      <c r="N862">
        <f>IF($M862="","",IF(ISNUMBER(Sync!$L862),IF(AND(Sync!$L862&gt;=10000101,Sync!$L862&lt;=99991231),RIGHT("0000"&amp;INT(Sync!$L862/10000),4)&amp;"/"&amp;RIGHT("00"&amp;INT(MOD(Sync!$L862,10000)/100),2)&amp;"/"&amp;RIGHT("00"&amp;MOD(Sync!$L862,100),2),""),IFERROR(RIGHT("0000"&amp;VALUE(TRIM(LEFT(Sync!$L862,FIND("/",Sync!$L862)-1))),4)&amp;"/"&amp;RIGHT("00"&amp;VALUE(TRIM(LEFT(MID(Sync!$L862,FIND("/",Sync!$L862)+1,20),FIND("/",MID(Sync!$L862,FIND("/",Sync!$L862)+1,20))-1))),2)&amp;"/"&amp;RIGHT("00"&amp;VALUE(TRIM(MID(MID(Sync!$L862,FIND("/",Sync!$L862)+1,20),FIND("/",MID(Sync!$L862,FIND("/",Sync!$L862)+1,20))+1,20))),2),"")))</f>
        <v/>
      </c>
    </row>
    <row r="863">
      <c r="M863">
        <f>IF(Sync!$M863&lt;&gt;"پاس چک","",IF(Sync!$P863="","",Sync!$P863))</f>
        <v/>
      </c>
      <c r="N863">
        <f>IF($M863="","",IF(ISNUMBER(Sync!$L863),IF(AND(Sync!$L863&gt;=10000101,Sync!$L863&lt;=99991231),RIGHT("0000"&amp;INT(Sync!$L863/10000),4)&amp;"/"&amp;RIGHT("00"&amp;INT(MOD(Sync!$L863,10000)/100),2)&amp;"/"&amp;RIGHT("00"&amp;MOD(Sync!$L863,100),2),""),IFERROR(RIGHT("0000"&amp;VALUE(TRIM(LEFT(Sync!$L863,FIND("/",Sync!$L863)-1))),4)&amp;"/"&amp;RIGHT("00"&amp;VALUE(TRIM(LEFT(MID(Sync!$L863,FIND("/",Sync!$L863)+1,20),FIND("/",MID(Sync!$L863,FIND("/",Sync!$L863)+1,20))-1))),2)&amp;"/"&amp;RIGHT("00"&amp;VALUE(TRIM(MID(MID(Sync!$L863,FIND("/",Sync!$L863)+1,20),FIND("/",MID(Sync!$L863,FIND("/",Sync!$L863)+1,20))+1,20))),2),"")))</f>
        <v/>
      </c>
    </row>
    <row r="864">
      <c r="M864">
        <f>IF(Sync!$M864&lt;&gt;"پاس چک","",IF(Sync!$P864="","",Sync!$P864))</f>
        <v/>
      </c>
      <c r="N864">
        <f>IF($M864="","",IF(ISNUMBER(Sync!$L864),IF(AND(Sync!$L864&gt;=10000101,Sync!$L864&lt;=99991231),RIGHT("0000"&amp;INT(Sync!$L864/10000),4)&amp;"/"&amp;RIGHT("00"&amp;INT(MOD(Sync!$L864,10000)/100),2)&amp;"/"&amp;RIGHT("00"&amp;MOD(Sync!$L864,100),2),""),IFERROR(RIGHT("0000"&amp;VALUE(TRIM(LEFT(Sync!$L864,FIND("/",Sync!$L864)-1))),4)&amp;"/"&amp;RIGHT("00"&amp;VALUE(TRIM(LEFT(MID(Sync!$L864,FIND("/",Sync!$L864)+1,20),FIND("/",MID(Sync!$L864,FIND("/",Sync!$L864)+1,20))-1))),2)&amp;"/"&amp;RIGHT("00"&amp;VALUE(TRIM(MID(MID(Sync!$L864,FIND("/",Sync!$L864)+1,20),FIND("/",MID(Sync!$L864,FIND("/",Sync!$L864)+1,20))+1,20))),2),"")))</f>
        <v/>
      </c>
    </row>
    <row r="865">
      <c r="M865">
        <f>IF(Sync!$M865&lt;&gt;"پاس چک","",IF(Sync!$P865="","",Sync!$P865))</f>
        <v/>
      </c>
      <c r="N865">
        <f>IF($M865="","",IF(ISNUMBER(Sync!$L865),IF(AND(Sync!$L865&gt;=10000101,Sync!$L865&lt;=99991231),RIGHT("0000"&amp;INT(Sync!$L865/10000),4)&amp;"/"&amp;RIGHT("00"&amp;INT(MOD(Sync!$L865,10000)/100),2)&amp;"/"&amp;RIGHT("00"&amp;MOD(Sync!$L865,100),2),""),IFERROR(RIGHT("0000"&amp;VALUE(TRIM(LEFT(Sync!$L865,FIND("/",Sync!$L865)-1))),4)&amp;"/"&amp;RIGHT("00"&amp;VALUE(TRIM(LEFT(MID(Sync!$L865,FIND("/",Sync!$L865)+1,20),FIND("/",MID(Sync!$L865,FIND("/",Sync!$L865)+1,20))-1))),2)&amp;"/"&amp;RIGHT("00"&amp;VALUE(TRIM(MID(MID(Sync!$L865,FIND("/",Sync!$L865)+1,20),FIND("/",MID(Sync!$L865,FIND("/",Sync!$L865)+1,20))+1,20))),2),"")))</f>
        <v/>
      </c>
    </row>
    <row r="866">
      <c r="M866">
        <f>IF(Sync!$M866&lt;&gt;"پاس چک","",IF(Sync!$P866="","",Sync!$P866))</f>
        <v/>
      </c>
      <c r="N866">
        <f>IF($M866="","",IF(ISNUMBER(Sync!$L866),IF(AND(Sync!$L866&gt;=10000101,Sync!$L866&lt;=99991231),RIGHT("0000"&amp;INT(Sync!$L866/10000),4)&amp;"/"&amp;RIGHT("00"&amp;INT(MOD(Sync!$L866,10000)/100),2)&amp;"/"&amp;RIGHT("00"&amp;MOD(Sync!$L866,100),2),""),IFERROR(RIGHT("0000"&amp;VALUE(TRIM(LEFT(Sync!$L866,FIND("/",Sync!$L866)-1))),4)&amp;"/"&amp;RIGHT("00"&amp;VALUE(TRIM(LEFT(MID(Sync!$L866,FIND("/",Sync!$L866)+1,20),FIND("/",MID(Sync!$L866,FIND("/",Sync!$L866)+1,20))-1))),2)&amp;"/"&amp;RIGHT("00"&amp;VALUE(TRIM(MID(MID(Sync!$L866,FIND("/",Sync!$L866)+1,20),FIND("/",MID(Sync!$L866,FIND("/",Sync!$L866)+1,20))+1,20))),2),"")))</f>
        <v/>
      </c>
    </row>
    <row r="867">
      <c r="M867">
        <f>IF(Sync!$M867&lt;&gt;"پاس چک","",IF(Sync!$P867="","",Sync!$P867))</f>
        <v/>
      </c>
      <c r="N867">
        <f>IF($M867="","",IF(ISNUMBER(Sync!$L867),IF(AND(Sync!$L867&gt;=10000101,Sync!$L867&lt;=99991231),RIGHT("0000"&amp;INT(Sync!$L867/10000),4)&amp;"/"&amp;RIGHT("00"&amp;INT(MOD(Sync!$L867,10000)/100),2)&amp;"/"&amp;RIGHT("00"&amp;MOD(Sync!$L867,100),2),""),IFERROR(RIGHT("0000"&amp;VALUE(TRIM(LEFT(Sync!$L867,FIND("/",Sync!$L867)-1))),4)&amp;"/"&amp;RIGHT("00"&amp;VALUE(TRIM(LEFT(MID(Sync!$L867,FIND("/",Sync!$L867)+1,20),FIND("/",MID(Sync!$L867,FIND("/",Sync!$L867)+1,20))-1))),2)&amp;"/"&amp;RIGHT("00"&amp;VALUE(TRIM(MID(MID(Sync!$L867,FIND("/",Sync!$L867)+1,20),FIND("/",MID(Sync!$L867,FIND("/",Sync!$L867)+1,20))+1,20))),2),"")))</f>
        <v/>
      </c>
    </row>
    <row r="868">
      <c r="M868">
        <f>IF(Sync!$M868&lt;&gt;"پاس چک","",IF(Sync!$P868="","",Sync!$P868))</f>
        <v/>
      </c>
      <c r="N868">
        <f>IF($M868="","",IF(ISNUMBER(Sync!$L868),IF(AND(Sync!$L868&gt;=10000101,Sync!$L868&lt;=99991231),RIGHT("0000"&amp;INT(Sync!$L868/10000),4)&amp;"/"&amp;RIGHT("00"&amp;INT(MOD(Sync!$L868,10000)/100),2)&amp;"/"&amp;RIGHT("00"&amp;MOD(Sync!$L868,100),2),""),IFERROR(RIGHT("0000"&amp;VALUE(TRIM(LEFT(Sync!$L868,FIND("/",Sync!$L868)-1))),4)&amp;"/"&amp;RIGHT("00"&amp;VALUE(TRIM(LEFT(MID(Sync!$L868,FIND("/",Sync!$L868)+1,20),FIND("/",MID(Sync!$L868,FIND("/",Sync!$L868)+1,20))-1))),2)&amp;"/"&amp;RIGHT("00"&amp;VALUE(TRIM(MID(MID(Sync!$L868,FIND("/",Sync!$L868)+1,20),FIND("/",MID(Sync!$L868,FIND("/",Sync!$L868)+1,20))+1,20))),2),"")))</f>
        <v/>
      </c>
    </row>
    <row r="869">
      <c r="M869">
        <f>IF(Sync!$M869&lt;&gt;"پاس چک","",IF(Sync!$P869="","",Sync!$P869))</f>
        <v/>
      </c>
      <c r="N869">
        <f>IF($M869="","",IF(ISNUMBER(Sync!$L869),IF(AND(Sync!$L869&gt;=10000101,Sync!$L869&lt;=99991231),RIGHT("0000"&amp;INT(Sync!$L869/10000),4)&amp;"/"&amp;RIGHT("00"&amp;INT(MOD(Sync!$L869,10000)/100),2)&amp;"/"&amp;RIGHT("00"&amp;MOD(Sync!$L869,100),2),""),IFERROR(RIGHT("0000"&amp;VALUE(TRIM(LEFT(Sync!$L869,FIND("/",Sync!$L869)-1))),4)&amp;"/"&amp;RIGHT("00"&amp;VALUE(TRIM(LEFT(MID(Sync!$L869,FIND("/",Sync!$L869)+1,20),FIND("/",MID(Sync!$L869,FIND("/",Sync!$L869)+1,20))-1))),2)&amp;"/"&amp;RIGHT("00"&amp;VALUE(TRIM(MID(MID(Sync!$L869,FIND("/",Sync!$L869)+1,20),FIND("/",MID(Sync!$L869,FIND("/",Sync!$L869)+1,20))+1,20))),2),"")))</f>
        <v/>
      </c>
    </row>
    <row r="870">
      <c r="M870">
        <f>IF(Sync!$M870&lt;&gt;"پاس چک","",IF(Sync!$P870="","",Sync!$P870))</f>
        <v/>
      </c>
      <c r="N870">
        <f>IF($M870="","",IF(ISNUMBER(Sync!$L870),IF(AND(Sync!$L870&gt;=10000101,Sync!$L870&lt;=99991231),RIGHT("0000"&amp;INT(Sync!$L870/10000),4)&amp;"/"&amp;RIGHT("00"&amp;INT(MOD(Sync!$L870,10000)/100),2)&amp;"/"&amp;RIGHT("00"&amp;MOD(Sync!$L870,100),2),""),IFERROR(RIGHT("0000"&amp;VALUE(TRIM(LEFT(Sync!$L870,FIND("/",Sync!$L870)-1))),4)&amp;"/"&amp;RIGHT("00"&amp;VALUE(TRIM(LEFT(MID(Sync!$L870,FIND("/",Sync!$L870)+1,20),FIND("/",MID(Sync!$L870,FIND("/",Sync!$L870)+1,20))-1))),2)&amp;"/"&amp;RIGHT("00"&amp;VALUE(TRIM(MID(MID(Sync!$L870,FIND("/",Sync!$L870)+1,20),FIND("/",MID(Sync!$L870,FIND("/",Sync!$L870)+1,20))+1,20))),2),"")))</f>
        <v/>
      </c>
    </row>
    <row r="871">
      <c r="M871">
        <f>IF(Sync!$M871&lt;&gt;"پاس چک","",IF(Sync!$P871="","",Sync!$P871))</f>
        <v/>
      </c>
      <c r="N871">
        <f>IF($M871="","",IF(ISNUMBER(Sync!$L871),IF(AND(Sync!$L871&gt;=10000101,Sync!$L871&lt;=99991231),RIGHT("0000"&amp;INT(Sync!$L871/10000),4)&amp;"/"&amp;RIGHT("00"&amp;INT(MOD(Sync!$L871,10000)/100),2)&amp;"/"&amp;RIGHT("00"&amp;MOD(Sync!$L871,100),2),""),IFERROR(RIGHT("0000"&amp;VALUE(TRIM(LEFT(Sync!$L871,FIND("/",Sync!$L871)-1))),4)&amp;"/"&amp;RIGHT("00"&amp;VALUE(TRIM(LEFT(MID(Sync!$L871,FIND("/",Sync!$L871)+1,20),FIND("/",MID(Sync!$L871,FIND("/",Sync!$L871)+1,20))-1))),2)&amp;"/"&amp;RIGHT("00"&amp;VALUE(TRIM(MID(MID(Sync!$L871,FIND("/",Sync!$L871)+1,20),FIND("/",MID(Sync!$L871,FIND("/",Sync!$L871)+1,20))+1,20))),2),"")))</f>
        <v/>
      </c>
    </row>
    <row r="872">
      <c r="M872">
        <f>IF(Sync!$M872&lt;&gt;"پاس چک","",IF(Sync!$P872="","",Sync!$P872))</f>
        <v/>
      </c>
      <c r="N872">
        <f>IF($M872="","",IF(ISNUMBER(Sync!$L872),IF(AND(Sync!$L872&gt;=10000101,Sync!$L872&lt;=99991231),RIGHT("0000"&amp;INT(Sync!$L872/10000),4)&amp;"/"&amp;RIGHT("00"&amp;INT(MOD(Sync!$L872,10000)/100),2)&amp;"/"&amp;RIGHT("00"&amp;MOD(Sync!$L872,100),2),""),IFERROR(RIGHT("0000"&amp;VALUE(TRIM(LEFT(Sync!$L872,FIND("/",Sync!$L872)-1))),4)&amp;"/"&amp;RIGHT("00"&amp;VALUE(TRIM(LEFT(MID(Sync!$L872,FIND("/",Sync!$L872)+1,20),FIND("/",MID(Sync!$L872,FIND("/",Sync!$L872)+1,20))-1))),2)&amp;"/"&amp;RIGHT("00"&amp;VALUE(TRIM(MID(MID(Sync!$L872,FIND("/",Sync!$L872)+1,20),FIND("/",MID(Sync!$L872,FIND("/",Sync!$L872)+1,20))+1,20))),2),"")))</f>
        <v/>
      </c>
    </row>
    <row r="873">
      <c r="M873">
        <f>IF(Sync!$M873&lt;&gt;"پاس چک","",IF(Sync!$P873="","",Sync!$P873))</f>
        <v/>
      </c>
      <c r="N873">
        <f>IF($M873="","",IF(ISNUMBER(Sync!$L873),IF(AND(Sync!$L873&gt;=10000101,Sync!$L873&lt;=99991231),RIGHT("0000"&amp;INT(Sync!$L873/10000),4)&amp;"/"&amp;RIGHT("00"&amp;INT(MOD(Sync!$L873,10000)/100),2)&amp;"/"&amp;RIGHT("00"&amp;MOD(Sync!$L873,100),2),""),IFERROR(RIGHT("0000"&amp;VALUE(TRIM(LEFT(Sync!$L873,FIND("/",Sync!$L873)-1))),4)&amp;"/"&amp;RIGHT("00"&amp;VALUE(TRIM(LEFT(MID(Sync!$L873,FIND("/",Sync!$L873)+1,20),FIND("/",MID(Sync!$L873,FIND("/",Sync!$L873)+1,20))-1))),2)&amp;"/"&amp;RIGHT("00"&amp;VALUE(TRIM(MID(MID(Sync!$L873,FIND("/",Sync!$L873)+1,20),FIND("/",MID(Sync!$L873,FIND("/",Sync!$L873)+1,20))+1,20))),2),"")))</f>
        <v/>
      </c>
    </row>
    <row r="874">
      <c r="M874">
        <f>IF(Sync!$M874&lt;&gt;"پاس چک","",IF(Sync!$P874="","",Sync!$P874))</f>
        <v/>
      </c>
      <c r="N874">
        <f>IF($M874="","",IF(ISNUMBER(Sync!$L874),IF(AND(Sync!$L874&gt;=10000101,Sync!$L874&lt;=99991231),RIGHT("0000"&amp;INT(Sync!$L874/10000),4)&amp;"/"&amp;RIGHT("00"&amp;INT(MOD(Sync!$L874,10000)/100),2)&amp;"/"&amp;RIGHT("00"&amp;MOD(Sync!$L874,100),2),""),IFERROR(RIGHT("0000"&amp;VALUE(TRIM(LEFT(Sync!$L874,FIND("/",Sync!$L874)-1))),4)&amp;"/"&amp;RIGHT("00"&amp;VALUE(TRIM(LEFT(MID(Sync!$L874,FIND("/",Sync!$L874)+1,20),FIND("/",MID(Sync!$L874,FIND("/",Sync!$L874)+1,20))-1))),2)&amp;"/"&amp;RIGHT("00"&amp;VALUE(TRIM(MID(MID(Sync!$L874,FIND("/",Sync!$L874)+1,20),FIND("/",MID(Sync!$L874,FIND("/",Sync!$L874)+1,20))+1,20))),2),"")))</f>
        <v/>
      </c>
    </row>
    <row r="875">
      <c r="M875">
        <f>IF(Sync!$M875&lt;&gt;"پاس چک","",IF(Sync!$P875="","",Sync!$P875))</f>
        <v/>
      </c>
      <c r="N875">
        <f>IF($M875="","",IF(ISNUMBER(Sync!$L875),IF(AND(Sync!$L875&gt;=10000101,Sync!$L875&lt;=99991231),RIGHT("0000"&amp;INT(Sync!$L875/10000),4)&amp;"/"&amp;RIGHT("00"&amp;INT(MOD(Sync!$L875,10000)/100),2)&amp;"/"&amp;RIGHT("00"&amp;MOD(Sync!$L875,100),2),""),IFERROR(RIGHT("0000"&amp;VALUE(TRIM(LEFT(Sync!$L875,FIND("/",Sync!$L875)-1))),4)&amp;"/"&amp;RIGHT("00"&amp;VALUE(TRIM(LEFT(MID(Sync!$L875,FIND("/",Sync!$L875)+1,20),FIND("/",MID(Sync!$L875,FIND("/",Sync!$L875)+1,20))-1))),2)&amp;"/"&amp;RIGHT("00"&amp;VALUE(TRIM(MID(MID(Sync!$L875,FIND("/",Sync!$L875)+1,20),FIND("/",MID(Sync!$L875,FIND("/",Sync!$L875)+1,20))+1,20))),2),"")))</f>
        <v/>
      </c>
    </row>
    <row r="876">
      <c r="M876">
        <f>IF(Sync!$M876&lt;&gt;"پاس چک","",IF(Sync!$P876="","",Sync!$P876))</f>
        <v/>
      </c>
      <c r="N876">
        <f>IF($M876="","",IF(ISNUMBER(Sync!$L876),IF(AND(Sync!$L876&gt;=10000101,Sync!$L876&lt;=99991231),RIGHT("0000"&amp;INT(Sync!$L876/10000),4)&amp;"/"&amp;RIGHT("00"&amp;INT(MOD(Sync!$L876,10000)/100),2)&amp;"/"&amp;RIGHT("00"&amp;MOD(Sync!$L876,100),2),""),IFERROR(RIGHT("0000"&amp;VALUE(TRIM(LEFT(Sync!$L876,FIND("/",Sync!$L876)-1))),4)&amp;"/"&amp;RIGHT("00"&amp;VALUE(TRIM(LEFT(MID(Sync!$L876,FIND("/",Sync!$L876)+1,20),FIND("/",MID(Sync!$L876,FIND("/",Sync!$L876)+1,20))-1))),2)&amp;"/"&amp;RIGHT("00"&amp;VALUE(TRIM(MID(MID(Sync!$L876,FIND("/",Sync!$L876)+1,20),FIND("/",MID(Sync!$L876,FIND("/",Sync!$L876)+1,20))+1,20))),2),"")))</f>
        <v/>
      </c>
    </row>
    <row r="877">
      <c r="M877">
        <f>IF(Sync!$M877&lt;&gt;"پاس چک","",IF(Sync!$P877="","",Sync!$P877))</f>
        <v/>
      </c>
      <c r="N877">
        <f>IF($M877="","",IF(ISNUMBER(Sync!$L877),IF(AND(Sync!$L877&gt;=10000101,Sync!$L877&lt;=99991231),RIGHT("0000"&amp;INT(Sync!$L877/10000),4)&amp;"/"&amp;RIGHT("00"&amp;INT(MOD(Sync!$L877,10000)/100),2)&amp;"/"&amp;RIGHT("00"&amp;MOD(Sync!$L877,100),2),""),IFERROR(RIGHT("0000"&amp;VALUE(TRIM(LEFT(Sync!$L877,FIND("/",Sync!$L877)-1))),4)&amp;"/"&amp;RIGHT("00"&amp;VALUE(TRIM(LEFT(MID(Sync!$L877,FIND("/",Sync!$L877)+1,20),FIND("/",MID(Sync!$L877,FIND("/",Sync!$L877)+1,20))-1))),2)&amp;"/"&amp;RIGHT("00"&amp;VALUE(TRIM(MID(MID(Sync!$L877,FIND("/",Sync!$L877)+1,20),FIND("/",MID(Sync!$L877,FIND("/",Sync!$L877)+1,20))+1,20))),2),"")))</f>
        <v/>
      </c>
    </row>
    <row r="878">
      <c r="M878">
        <f>IF(Sync!$M878&lt;&gt;"پاس چک","",IF(Sync!$P878="","",Sync!$P878))</f>
        <v/>
      </c>
      <c r="N878">
        <f>IF($M878="","",IF(ISNUMBER(Sync!$L878),IF(AND(Sync!$L878&gt;=10000101,Sync!$L878&lt;=99991231),RIGHT("0000"&amp;INT(Sync!$L878/10000),4)&amp;"/"&amp;RIGHT("00"&amp;INT(MOD(Sync!$L878,10000)/100),2)&amp;"/"&amp;RIGHT("00"&amp;MOD(Sync!$L878,100),2),""),IFERROR(RIGHT("0000"&amp;VALUE(TRIM(LEFT(Sync!$L878,FIND("/",Sync!$L878)-1))),4)&amp;"/"&amp;RIGHT("00"&amp;VALUE(TRIM(LEFT(MID(Sync!$L878,FIND("/",Sync!$L878)+1,20),FIND("/",MID(Sync!$L878,FIND("/",Sync!$L878)+1,20))-1))),2)&amp;"/"&amp;RIGHT("00"&amp;VALUE(TRIM(MID(MID(Sync!$L878,FIND("/",Sync!$L878)+1,20),FIND("/",MID(Sync!$L878,FIND("/",Sync!$L878)+1,20))+1,20))),2),"")))</f>
        <v/>
      </c>
    </row>
    <row r="879">
      <c r="M879">
        <f>IF(Sync!$M879&lt;&gt;"پاس چک","",IF(Sync!$P879="","",Sync!$P879))</f>
        <v/>
      </c>
      <c r="N879">
        <f>IF($M879="","",IF(ISNUMBER(Sync!$L879),IF(AND(Sync!$L879&gt;=10000101,Sync!$L879&lt;=99991231),RIGHT("0000"&amp;INT(Sync!$L879/10000),4)&amp;"/"&amp;RIGHT("00"&amp;INT(MOD(Sync!$L879,10000)/100),2)&amp;"/"&amp;RIGHT("00"&amp;MOD(Sync!$L879,100),2),""),IFERROR(RIGHT("0000"&amp;VALUE(TRIM(LEFT(Sync!$L879,FIND("/",Sync!$L879)-1))),4)&amp;"/"&amp;RIGHT("00"&amp;VALUE(TRIM(LEFT(MID(Sync!$L879,FIND("/",Sync!$L879)+1,20),FIND("/",MID(Sync!$L879,FIND("/",Sync!$L879)+1,20))-1))),2)&amp;"/"&amp;RIGHT("00"&amp;VALUE(TRIM(MID(MID(Sync!$L879,FIND("/",Sync!$L879)+1,20),FIND("/",MID(Sync!$L879,FIND("/",Sync!$L879)+1,20))+1,20))),2),"")))</f>
        <v/>
      </c>
    </row>
    <row r="880">
      <c r="M880">
        <f>IF(Sync!$M880&lt;&gt;"پاس چک","",IF(Sync!$P880="","",Sync!$P880))</f>
        <v/>
      </c>
      <c r="N880">
        <f>IF($M880="","",IF(ISNUMBER(Sync!$L880),IF(AND(Sync!$L880&gt;=10000101,Sync!$L880&lt;=99991231),RIGHT("0000"&amp;INT(Sync!$L880/10000),4)&amp;"/"&amp;RIGHT("00"&amp;INT(MOD(Sync!$L880,10000)/100),2)&amp;"/"&amp;RIGHT("00"&amp;MOD(Sync!$L880,100),2),""),IFERROR(RIGHT("0000"&amp;VALUE(TRIM(LEFT(Sync!$L880,FIND("/",Sync!$L880)-1))),4)&amp;"/"&amp;RIGHT("00"&amp;VALUE(TRIM(LEFT(MID(Sync!$L880,FIND("/",Sync!$L880)+1,20),FIND("/",MID(Sync!$L880,FIND("/",Sync!$L880)+1,20))-1))),2)&amp;"/"&amp;RIGHT("00"&amp;VALUE(TRIM(MID(MID(Sync!$L880,FIND("/",Sync!$L880)+1,20),FIND("/",MID(Sync!$L880,FIND("/",Sync!$L880)+1,20))+1,20))),2),"")))</f>
        <v/>
      </c>
    </row>
    <row r="881">
      <c r="M881">
        <f>IF(Sync!$M881&lt;&gt;"پاس چک","",IF(Sync!$P881="","",Sync!$P881))</f>
        <v/>
      </c>
      <c r="N881">
        <f>IF($M881="","",IF(ISNUMBER(Sync!$L881),IF(AND(Sync!$L881&gt;=10000101,Sync!$L881&lt;=99991231),RIGHT("0000"&amp;INT(Sync!$L881/10000),4)&amp;"/"&amp;RIGHT("00"&amp;INT(MOD(Sync!$L881,10000)/100),2)&amp;"/"&amp;RIGHT("00"&amp;MOD(Sync!$L881,100),2),""),IFERROR(RIGHT("0000"&amp;VALUE(TRIM(LEFT(Sync!$L881,FIND("/",Sync!$L881)-1))),4)&amp;"/"&amp;RIGHT("00"&amp;VALUE(TRIM(LEFT(MID(Sync!$L881,FIND("/",Sync!$L881)+1,20),FIND("/",MID(Sync!$L881,FIND("/",Sync!$L881)+1,20))-1))),2)&amp;"/"&amp;RIGHT("00"&amp;VALUE(TRIM(MID(MID(Sync!$L881,FIND("/",Sync!$L881)+1,20),FIND("/",MID(Sync!$L881,FIND("/",Sync!$L881)+1,20))+1,20))),2),"")))</f>
        <v/>
      </c>
    </row>
    <row r="882">
      <c r="M882">
        <f>IF(Sync!$M882&lt;&gt;"پاس چک","",IF(Sync!$P882="","",Sync!$P882))</f>
        <v/>
      </c>
      <c r="N882">
        <f>IF($M882="","",IF(ISNUMBER(Sync!$L882),IF(AND(Sync!$L882&gt;=10000101,Sync!$L882&lt;=99991231),RIGHT("0000"&amp;INT(Sync!$L882/10000),4)&amp;"/"&amp;RIGHT("00"&amp;INT(MOD(Sync!$L882,10000)/100),2)&amp;"/"&amp;RIGHT("00"&amp;MOD(Sync!$L882,100),2),""),IFERROR(RIGHT("0000"&amp;VALUE(TRIM(LEFT(Sync!$L882,FIND("/",Sync!$L882)-1))),4)&amp;"/"&amp;RIGHT("00"&amp;VALUE(TRIM(LEFT(MID(Sync!$L882,FIND("/",Sync!$L882)+1,20),FIND("/",MID(Sync!$L882,FIND("/",Sync!$L882)+1,20))-1))),2)&amp;"/"&amp;RIGHT("00"&amp;VALUE(TRIM(MID(MID(Sync!$L882,FIND("/",Sync!$L882)+1,20),FIND("/",MID(Sync!$L882,FIND("/",Sync!$L882)+1,20))+1,20))),2),"")))</f>
        <v/>
      </c>
    </row>
    <row r="883">
      <c r="M883">
        <f>IF(Sync!$M883&lt;&gt;"پاس چک","",IF(Sync!$P883="","",Sync!$P883))</f>
        <v/>
      </c>
      <c r="N883">
        <f>IF($M883="","",IF(ISNUMBER(Sync!$L883),IF(AND(Sync!$L883&gt;=10000101,Sync!$L883&lt;=99991231),RIGHT("0000"&amp;INT(Sync!$L883/10000),4)&amp;"/"&amp;RIGHT("00"&amp;INT(MOD(Sync!$L883,10000)/100),2)&amp;"/"&amp;RIGHT("00"&amp;MOD(Sync!$L883,100),2),""),IFERROR(RIGHT("0000"&amp;VALUE(TRIM(LEFT(Sync!$L883,FIND("/",Sync!$L883)-1))),4)&amp;"/"&amp;RIGHT("00"&amp;VALUE(TRIM(LEFT(MID(Sync!$L883,FIND("/",Sync!$L883)+1,20),FIND("/",MID(Sync!$L883,FIND("/",Sync!$L883)+1,20))-1))),2)&amp;"/"&amp;RIGHT("00"&amp;VALUE(TRIM(MID(MID(Sync!$L883,FIND("/",Sync!$L883)+1,20),FIND("/",MID(Sync!$L883,FIND("/",Sync!$L883)+1,20))+1,20))),2),"")))</f>
        <v/>
      </c>
    </row>
    <row r="884">
      <c r="M884">
        <f>IF(Sync!$M884&lt;&gt;"پاس چک","",IF(Sync!$P884="","",Sync!$P884))</f>
        <v/>
      </c>
      <c r="N884">
        <f>IF($M884="","",IF(ISNUMBER(Sync!$L884),IF(AND(Sync!$L884&gt;=10000101,Sync!$L884&lt;=99991231),RIGHT("0000"&amp;INT(Sync!$L884/10000),4)&amp;"/"&amp;RIGHT("00"&amp;INT(MOD(Sync!$L884,10000)/100),2)&amp;"/"&amp;RIGHT("00"&amp;MOD(Sync!$L884,100),2),""),IFERROR(RIGHT("0000"&amp;VALUE(TRIM(LEFT(Sync!$L884,FIND("/",Sync!$L884)-1))),4)&amp;"/"&amp;RIGHT("00"&amp;VALUE(TRIM(LEFT(MID(Sync!$L884,FIND("/",Sync!$L884)+1,20),FIND("/",MID(Sync!$L884,FIND("/",Sync!$L884)+1,20))-1))),2)&amp;"/"&amp;RIGHT("00"&amp;VALUE(TRIM(MID(MID(Sync!$L884,FIND("/",Sync!$L884)+1,20),FIND("/",MID(Sync!$L884,FIND("/",Sync!$L884)+1,20))+1,20))),2),"")))</f>
        <v/>
      </c>
    </row>
    <row r="885">
      <c r="M885">
        <f>IF(Sync!$M885&lt;&gt;"پاس چک","",IF(Sync!$P885="","",Sync!$P885))</f>
        <v/>
      </c>
      <c r="N885">
        <f>IF($M885="","",IF(ISNUMBER(Sync!$L885),IF(AND(Sync!$L885&gt;=10000101,Sync!$L885&lt;=99991231),RIGHT("0000"&amp;INT(Sync!$L885/10000),4)&amp;"/"&amp;RIGHT("00"&amp;INT(MOD(Sync!$L885,10000)/100),2)&amp;"/"&amp;RIGHT("00"&amp;MOD(Sync!$L885,100),2),""),IFERROR(RIGHT("0000"&amp;VALUE(TRIM(LEFT(Sync!$L885,FIND("/",Sync!$L885)-1))),4)&amp;"/"&amp;RIGHT("00"&amp;VALUE(TRIM(LEFT(MID(Sync!$L885,FIND("/",Sync!$L885)+1,20),FIND("/",MID(Sync!$L885,FIND("/",Sync!$L885)+1,20))-1))),2)&amp;"/"&amp;RIGHT("00"&amp;VALUE(TRIM(MID(MID(Sync!$L885,FIND("/",Sync!$L885)+1,20),FIND("/",MID(Sync!$L885,FIND("/",Sync!$L885)+1,20))+1,20))),2),"")))</f>
        <v/>
      </c>
    </row>
    <row r="886">
      <c r="M886">
        <f>IF(Sync!$M886&lt;&gt;"پاس چک","",IF(Sync!$P886="","",Sync!$P886))</f>
        <v/>
      </c>
      <c r="N886">
        <f>IF($M886="","",IF(ISNUMBER(Sync!$L886),IF(AND(Sync!$L886&gt;=10000101,Sync!$L886&lt;=99991231),RIGHT("0000"&amp;INT(Sync!$L886/10000),4)&amp;"/"&amp;RIGHT("00"&amp;INT(MOD(Sync!$L886,10000)/100),2)&amp;"/"&amp;RIGHT("00"&amp;MOD(Sync!$L886,100),2),""),IFERROR(RIGHT("0000"&amp;VALUE(TRIM(LEFT(Sync!$L886,FIND("/",Sync!$L886)-1))),4)&amp;"/"&amp;RIGHT("00"&amp;VALUE(TRIM(LEFT(MID(Sync!$L886,FIND("/",Sync!$L886)+1,20),FIND("/",MID(Sync!$L886,FIND("/",Sync!$L886)+1,20))-1))),2)&amp;"/"&amp;RIGHT("00"&amp;VALUE(TRIM(MID(MID(Sync!$L886,FIND("/",Sync!$L886)+1,20),FIND("/",MID(Sync!$L886,FIND("/",Sync!$L886)+1,20))+1,20))),2),"")))</f>
        <v/>
      </c>
    </row>
    <row r="887">
      <c r="M887">
        <f>IF(Sync!$M887&lt;&gt;"پاس چک","",IF(Sync!$P887="","",Sync!$P887))</f>
        <v/>
      </c>
      <c r="N887">
        <f>IF($M887="","",IF(ISNUMBER(Sync!$L887),IF(AND(Sync!$L887&gt;=10000101,Sync!$L887&lt;=99991231),RIGHT("0000"&amp;INT(Sync!$L887/10000),4)&amp;"/"&amp;RIGHT("00"&amp;INT(MOD(Sync!$L887,10000)/100),2)&amp;"/"&amp;RIGHT("00"&amp;MOD(Sync!$L887,100),2),""),IFERROR(RIGHT("0000"&amp;VALUE(TRIM(LEFT(Sync!$L887,FIND("/",Sync!$L887)-1))),4)&amp;"/"&amp;RIGHT("00"&amp;VALUE(TRIM(LEFT(MID(Sync!$L887,FIND("/",Sync!$L887)+1,20),FIND("/",MID(Sync!$L887,FIND("/",Sync!$L887)+1,20))-1))),2)&amp;"/"&amp;RIGHT("00"&amp;VALUE(TRIM(MID(MID(Sync!$L887,FIND("/",Sync!$L887)+1,20),FIND("/",MID(Sync!$L887,FIND("/",Sync!$L887)+1,20))+1,20))),2),"")))</f>
        <v/>
      </c>
    </row>
    <row r="888">
      <c r="M888">
        <f>IF(Sync!$M888&lt;&gt;"پاس چک","",IF(Sync!$P888="","",Sync!$P888))</f>
        <v/>
      </c>
      <c r="N888">
        <f>IF($M888="","",IF(ISNUMBER(Sync!$L888),IF(AND(Sync!$L888&gt;=10000101,Sync!$L888&lt;=99991231),RIGHT("0000"&amp;INT(Sync!$L888/10000),4)&amp;"/"&amp;RIGHT("00"&amp;INT(MOD(Sync!$L888,10000)/100),2)&amp;"/"&amp;RIGHT("00"&amp;MOD(Sync!$L888,100),2),""),IFERROR(RIGHT("0000"&amp;VALUE(TRIM(LEFT(Sync!$L888,FIND("/",Sync!$L888)-1))),4)&amp;"/"&amp;RIGHT("00"&amp;VALUE(TRIM(LEFT(MID(Sync!$L888,FIND("/",Sync!$L888)+1,20),FIND("/",MID(Sync!$L888,FIND("/",Sync!$L888)+1,20))-1))),2)&amp;"/"&amp;RIGHT("00"&amp;VALUE(TRIM(MID(MID(Sync!$L888,FIND("/",Sync!$L888)+1,20),FIND("/",MID(Sync!$L888,FIND("/",Sync!$L888)+1,20))+1,20))),2),"")))</f>
        <v/>
      </c>
    </row>
    <row r="889">
      <c r="M889">
        <f>IF(Sync!$M889&lt;&gt;"پاس چک","",IF(Sync!$P889="","",Sync!$P889))</f>
        <v/>
      </c>
      <c r="N889">
        <f>IF($M889="","",IF(ISNUMBER(Sync!$L889),IF(AND(Sync!$L889&gt;=10000101,Sync!$L889&lt;=99991231),RIGHT("0000"&amp;INT(Sync!$L889/10000),4)&amp;"/"&amp;RIGHT("00"&amp;INT(MOD(Sync!$L889,10000)/100),2)&amp;"/"&amp;RIGHT("00"&amp;MOD(Sync!$L889,100),2),""),IFERROR(RIGHT("0000"&amp;VALUE(TRIM(LEFT(Sync!$L889,FIND("/",Sync!$L889)-1))),4)&amp;"/"&amp;RIGHT("00"&amp;VALUE(TRIM(LEFT(MID(Sync!$L889,FIND("/",Sync!$L889)+1,20),FIND("/",MID(Sync!$L889,FIND("/",Sync!$L889)+1,20))-1))),2)&amp;"/"&amp;RIGHT("00"&amp;VALUE(TRIM(MID(MID(Sync!$L889,FIND("/",Sync!$L889)+1,20),FIND("/",MID(Sync!$L889,FIND("/",Sync!$L889)+1,20))+1,20))),2),"")))</f>
        <v/>
      </c>
    </row>
    <row r="890">
      <c r="M890">
        <f>IF(Sync!$M890&lt;&gt;"پاس چک","",IF(Sync!$P890="","",Sync!$P890))</f>
        <v/>
      </c>
      <c r="N890">
        <f>IF($M890="","",IF(ISNUMBER(Sync!$L890),IF(AND(Sync!$L890&gt;=10000101,Sync!$L890&lt;=99991231),RIGHT("0000"&amp;INT(Sync!$L890/10000),4)&amp;"/"&amp;RIGHT("00"&amp;INT(MOD(Sync!$L890,10000)/100),2)&amp;"/"&amp;RIGHT("00"&amp;MOD(Sync!$L890,100),2),""),IFERROR(RIGHT("0000"&amp;VALUE(TRIM(LEFT(Sync!$L890,FIND("/",Sync!$L890)-1))),4)&amp;"/"&amp;RIGHT("00"&amp;VALUE(TRIM(LEFT(MID(Sync!$L890,FIND("/",Sync!$L890)+1,20),FIND("/",MID(Sync!$L890,FIND("/",Sync!$L890)+1,20))-1))),2)&amp;"/"&amp;RIGHT("00"&amp;VALUE(TRIM(MID(MID(Sync!$L890,FIND("/",Sync!$L890)+1,20),FIND("/",MID(Sync!$L890,FIND("/",Sync!$L890)+1,20))+1,20))),2),"")))</f>
        <v/>
      </c>
    </row>
    <row r="891">
      <c r="M891">
        <f>IF(Sync!$M891&lt;&gt;"پاس چک","",IF(Sync!$P891="","",Sync!$P891))</f>
        <v/>
      </c>
      <c r="N891">
        <f>IF($M891="","",IF(ISNUMBER(Sync!$L891),IF(AND(Sync!$L891&gt;=10000101,Sync!$L891&lt;=99991231),RIGHT("0000"&amp;INT(Sync!$L891/10000),4)&amp;"/"&amp;RIGHT("00"&amp;INT(MOD(Sync!$L891,10000)/100),2)&amp;"/"&amp;RIGHT("00"&amp;MOD(Sync!$L891,100),2),""),IFERROR(RIGHT("0000"&amp;VALUE(TRIM(LEFT(Sync!$L891,FIND("/",Sync!$L891)-1))),4)&amp;"/"&amp;RIGHT("00"&amp;VALUE(TRIM(LEFT(MID(Sync!$L891,FIND("/",Sync!$L891)+1,20),FIND("/",MID(Sync!$L891,FIND("/",Sync!$L891)+1,20))-1))),2)&amp;"/"&amp;RIGHT("00"&amp;VALUE(TRIM(MID(MID(Sync!$L891,FIND("/",Sync!$L891)+1,20),FIND("/",MID(Sync!$L891,FIND("/",Sync!$L891)+1,20))+1,20))),2),"")))</f>
        <v/>
      </c>
    </row>
    <row r="892">
      <c r="M892">
        <f>IF(Sync!$M892&lt;&gt;"پاس چک","",IF(Sync!$P892="","",Sync!$P892))</f>
        <v/>
      </c>
      <c r="N892">
        <f>IF($M892="","",IF(ISNUMBER(Sync!$L892),IF(AND(Sync!$L892&gt;=10000101,Sync!$L892&lt;=99991231),RIGHT("0000"&amp;INT(Sync!$L892/10000),4)&amp;"/"&amp;RIGHT("00"&amp;INT(MOD(Sync!$L892,10000)/100),2)&amp;"/"&amp;RIGHT("00"&amp;MOD(Sync!$L892,100),2),""),IFERROR(RIGHT("0000"&amp;VALUE(TRIM(LEFT(Sync!$L892,FIND("/",Sync!$L892)-1))),4)&amp;"/"&amp;RIGHT("00"&amp;VALUE(TRIM(LEFT(MID(Sync!$L892,FIND("/",Sync!$L892)+1,20),FIND("/",MID(Sync!$L892,FIND("/",Sync!$L892)+1,20))-1))),2)&amp;"/"&amp;RIGHT("00"&amp;VALUE(TRIM(MID(MID(Sync!$L892,FIND("/",Sync!$L892)+1,20),FIND("/",MID(Sync!$L892,FIND("/",Sync!$L892)+1,20))+1,20))),2),"")))</f>
        <v/>
      </c>
    </row>
    <row r="893">
      <c r="M893">
        <f>IF(Sync!$M893&lt;&gt;"پاس چک","",IF(Sync!$P893="","",Sync!$P893))</f>
        <v/>
      </c>
      <c r="N893">
        <f>IF($M893="","",IF(ISNUMBER(Sync!$L893),IF(AND(Sync!$L893&gt;=10000101,Sync!$L893&lt;=99991231),RIGHT("0000"&amp;INT(Sync!$L893/10000),4)&amp;"/"&amp;RIGHT("00"&amp;INT(MOD(Sync!$L893,10000)/100),2)&amp;"/"&amp;RIGHT("00"&amp;MOD(Sync!$L893,100),2),""),IFERROR(RIGHT("0000"&amp;VALUE(TRIM(LEFT(Sync!$L893,FIND("/",Sync!$L893)-1))),4)&amp;"/"&amp;RIGHT("00"&amp;VALUE(TRIM(LEFT(MID(Sync!$L893,FIND("/",Sync!$L893)+1,20),FIND("/",MID(Sync!$L893,FIND("/",Sync!$L893)+1,20))-1))),2)&amp;"/"&amp;RIGHT("00"&amp;VALUE(TRIM(MID(MID(Sync!$L893,FIND("/",Sync!$L893)+1,20),FIND("/",MID(Sync!$L893,FIND("/",Sync!$L893)+1,20))+1,20))),2),"")))</f>
        <v/>
      </c>
    </row>
    <row r="894">
      <c r="M894">
        <f>IF(Sync!$M894&lt;&gt;"پاس چک","",IF(Sync!$P894="","",Sync!$P894))</f>
        <v/>
      </c>
      <c r="N894">
        <f>IF($M894="","",IF(ISNUMBER(Sync!$L894),IF(AND(Sync!$L894&gt;=10000101,Sync!$L894&lt;=99991231),RIGHT("0000"&amp;INT(Sync!$L894/10000),4)&amp;"/"&amp;RIGHT("00"&amp;INT(MOD(Sync!$L894,10000)/100),2)&amp;"/"&amp;RIGHT("00"&amp;MOD(Sync!$L894,100),2),""),IFERROR(RIGHT("0000"&amp;VALUE(TRIM(LEFT(Sync!$L894,FIND("/",Sync!$L894)-1))),4)&amp;"/"&amp;RIGHT("00"&amp;VALUE(TRIM(LEFT(MID(Sync!$L894,FIND("/",Sync!$L894)+1,20),FIND("/",MID(Sync!$L894,FIND("/",Sync!$L894)+1,20))-1))),2)&amp;"/"&amp;RIGHT("00"&amp;VALUE(TRIM(MID(MID(Sync!$L894,FIND("/",Sync!$L894)+1,20),FIND("/",MID(Sync!$L894,FIND("/",Sync!$L894)+1,20))+1,20))),2),"")))</f>
        <v/>
      </c>
    </row>
    <row r="895">
      <c r="M895">
        <f>IF(Sync!$M895&lt;&gt;"پاس چک","",IF(Sync!$P895="","",Sync!$P895))</f>
        <v/>
      </c>
      <c r="N895">
        <f>IF($M895="","",IF(ISNUMBER(Sync!$L895),IF(AND(Sync!$L895&gt;=10000101,Sync!$L895&lt;=99991231),RIGHT("0000"&amp;INT(Sync!$L895/10000),4)&amp;"/"&amp;RIGHT("00"&amp;INT(MOD(Sync!$L895,10000)/100),2)&amp;"/"&amp;RIGHT("00"&amp;MOD(Sync!$L895,100),2),""),IFERROR(RIGHT("0000"&amp;VALUE(TRIM(LEFT(Sync!$L895,FIND("/",Sync!$L895)-1))),4)&amp;"/"&amp;RIGHT("00"&amp;VALUE(TRIM(LEFT(MID(Sync!$L895,FIND("/",Sync!$L895)+1,20),FIND("/",MID(Sync!$L895,FIND("/",Sync!$L895)+1,20))-1))),2)&amp;"/"&amp;RIGHT("00"&amp;VALUE(TRIM(MID(MID(Sync!$L895,FIND("/",Sync!$L895)+1,20),FIND("/",MID(Sync!$L895,FIND("/",Sync!$L895)+1,20))+1,20))),2),"")))</f>
        <v/>
      </c>
    </row>
    <row r="896">
      <c r="M896">
        <f>IF(Sync!$M896&lt;&gt;"پاس چک","",IF(Sync!$P896="","",Sync!$P896))</f>
        <v/>
      </c>
      <c r="N896">
        <f>IF($M896="","",IF(ISNUMBER(Sync!$L896),IF(AND(Sync!$L896&gt;=10000101,Sync!$L896&lt;=99991231),RIGHT("0000"&amp;INT(Sync!$L896/10000),4)&amp;"/"&amp;RIGHT("00"&amp;INT(MOD(Sync!$L896,10000)/100),2)&amp;"/"&amp;RIGHT("00"&amp;MOD(Sync!$L896,100),2),""),IFERROR(RIGHT("0000"&amp;VALUE(TRIM(LEFT(Sync!$L896,FIND("/",Sync!$L896)-1))),4)&amp;"/"&amp;RIGHT("00"&amp;VALUE(TRIM(LEFT(MID(Sync!$L896,FIND("/",Sync!$L896)+1,20),FIND("/",MID(Sync!$L896,FIND("/",Sync!$L896)+1,20))-1))),2)&amp;"/"&amp;RIGHT("00"&amp;VALUE(TRIM(MID(MID(Sync!$L896,FIND("/",Sync!$L896)+1,20),FIND("/",MID(Sync!$L896,FIND("/",Sync!$L896)+1,20))+1,20))),2),"")))</f>
        <v/>
      </c>
    </row>
    <row r="897">
      <c r="M897">
        <f>IF(Sync!$M897&lt;&gt;"پاس چک","",IF(Sync!$P897="","",Sync!$P897))</f>
        <v/>
      </c>
      <c r="N897">
        <f>IF($M897="","",IF(ISNUMBER(Sync!$L897),IF(AND(Sync!$L897&gt;=10000101,Sync!$L897&lt;=99991231),RIGHT("0000"&amp;INT(Sync!$L897/10000),4)&amp;"/"&amp;RIGHT("00"&amp;INT(MOD(Sync!$L897,10000)/100),2)&amp;"/"&amp;RIGHT("00"&amp;MOD(Sync!$L897,100),2),""),IFERROR(RIGHT("0000"&amp;VALUE(TRIM(LEFT(Sync!$L897,FIND("/",Sync!$L897)-1))),4)&amp;"/"&amp;RIGHT("00"&amp;VALUE(TRIM(LEFT(MID(Sync!$L897,FIND("/",Sync!$L897)+1,20),FIND("/",MID(Sync!$L897,FIND("/",Sync!$L897)+1,20))-1))),2)&amp;"/"&amp;RIGHT("00"&amp;VALUE(TRIM(MID(MID(Sync!$L897,FIND("/",Sync!$L897)+1,20),FIND("/",MID(Sync!$L897,FIND("/",Sync!$L897)+1,20))+1,20))),2),"")))</f>
        <v/>
      </c>
    </row>
    <row r="898">
      <c r="M898">
        <f>IF(Sync!$M898&lt;&gt;"پاس چک","",IF(Sync!$P898="","",Sync!$P898))</f>
        <v/>
      </c>
      <c r="N898">
        <f>IF($M898="","",IF(ISNUMBER(Sync!$L898),IF(AND(Sync!$L898&gt;=10000101,Sync!$L898&lt;=99991231),RIGHT("0000"&amp;INT(Sync!$L898/10000),4)&amp;"/"&amp;RIGHT("00"&amp;INT(MOD(Sync!$L898,10000)/100),2)&amp;"/"&amp;RIGHT("00"&amp;MOD(Sync!$L898,100),2),""),IFERROR(RIGHT("0000"&amp;VALUE(TRIM(LEFT(Sync!$L898,FIND("/",Sync!$L898)-1))),4)&amp;"/"&amp;RIGHT("00"&amp;VALUE(TRIM(LEFT(MID(Sync!$L898,FIND("/",Sync!$L898)+1,20),FIND("/",MID(Sync!$L898,FIND("/",Sync!$L898)+1,20))-1))),2)&amp;"/"&amp;RIGHT("00"&amp;VALUE(TRIM(MID(MID(Sync!$L898,FIND("/",Sync!$L898)+1,20),FIND("/",MID(Sync!$L898,FIND("/",Sync!$L898)+1,20))+1,20))),2),"")))</f>
        <v/>
      </c>
    </row>
    <row r="899">
      <c r="M899">
        <f>IF(Sync!$M899&lt;&gt;"پاس چک","",IF(Sync!$P899="","",Sync!$P899))</f>
        <v/>
      </c>
      <c r="N899">
        <f>IF($M899="","",IF(ISNUMBER(Sync!$L899),IF(AND(Sync!$L899&gt;=10000101,Sync!$L899&lt;=99991231),RIGHT("0000"&amp;INT(Sync!$L899/10000),4)&amp;"/"&amp;RIGHT("00"&amp;INT(MOD(Sync!$L899,10000)/100),2)&amp;"/"&amp;RIGHT("00"&amp;MOD(Sync!$L899,100),2),""),IFERROR(RIGHT("0000"&amp;VALUE(TRIM(LEFT(Sync!$L899,FIND("/",Sync!$L899)-1))),4)&amp;"/"&amp;RIGHT("00"&amp;VALUE(TRIM(LEFT(MID(Sync!$L899,FIND("/",Sync!$L899)+1,20),FIND("/",MID(Sync!$L899,FIND("/",Sync!$L899)+1,20))-1))),2)&amp;"/"&amp;RIGHT("00"&amp;VALUE(TRIM(MID(MID(Sync!$L899,FIND("/",Sync!$L899)+1,20),FIND("/",MID(Sync!$L899,FIND("/",Sync!$L899)+1,20))+1,20))),2),"")))</f>
        <v/>
      </c>
    </row>
    <row r="900">
      <c r="M900">
        <f>IF(Sync!$M900&lt;&gt;"پاس چک","",IF(Sync!$P900="","",Sync!$P900))</f>
        <v/>
      </c>
      <c r="N900">
        <f>IF($M900="","",IF(ISNUMBER(Sync!$L900),IF(AND(Sync!$L900&gt;=10000101,Sync!$L900&lt;=99991231),RIGHT("0000"&amp;INT(Sync!$L900/10000),4)&amp;"/"&amp;RIGHT("00"&amp;INT(MOD(Sync!$L900,10000)/100),2)&amp;"/"&amp;RIGHT("00"&amp;MOD(Sync!$L900,100),2),""),IFERROR(RIGHT("0000"&amp;VALUE(TRIM(LEFT(Sync!$L900,FIND("/",Sync!$L900)-1))),4)&amp;"/"&amp;RIGHT("00"&amp;VALUE(TRIM(LEFT(MID(Sync!$L900,FIND("/",Sync!$L900)+1,20),FIND("/",MID(Sync!$L900,FIND("/",Sync!$L900)+1,20))-1))),2)&amp;"/"&amp;RIGHT("00"&amp;VALUE(TRIM(MID(MID(Sync!$L900,FIND("/",Sync!$L900)+1,20),FIND("/",MID(Sync!$L900,FIND("/",Sync!$L900)+1,20))+1,20))),2),"")))</f>
        <v/>
      </c>
    </row>
    <row r="901">
      <c r="M901">
        <f>IF(Sync!$M901&lt;&gt;"پاس چک","",IF(Sync!$P901="","",Sync!$P901))</f>
        <v/>
      </c>
      <c r="N901">
        <f>IF($M901="","",IF(ISNUMBER(Sync!$L901),IF(AND(Sync!$L901&gt;=10000101,Sync!$L901&lt;=99991231),RIGHT("0000"&amp;INT(Sync!$L901/10000),4)&amp;"/"&amp;RIGHT("00"&amp;INT(MOD(Sync!$L901,10000)/100),2)&amp;"/"&amp;RIGHT("00"&amp;MOD(Sync!$L901,100),2),""),IFERROR(RIGHT("0000"&amp;VALUE(TRIM(LEFT(Sync!$L901,FIND("/",Sync!$L901)-1))),4)&amp;"/"&amp;RIGHT("00"&amp;VALUE(TRIM(LEFT(MID(Sync!$L901,FIND("/",Sync!$L901)+1,20),FIND("/",MID(Sync!$L901,FIND("/",Sync!$L901)+1,20))-1))),2)&amp;"/"&amp;RIGHT("00"&amp;VALUE(TRIM(MID(MID(Sync!$L901,FIND("/",Sync!$L901)+1,20),FIND("/",MID(Sync!$L901,FIND("/",Sync!$L901)+1,20))+1,20))),2),"")))</f>
        <v/>
      </c>
    </row>
    <row r="902">
      <c r="M902">
        <f>IF(Sync!$M902&lt;&gt;"پاس چک","",IF(Sync!$P902="","",Sync!$P902))</f>
        <v/>
      </c>
      <c r="N902">
        <f>IF($M902="","",IF(ISNUMBER(Sync!$L902),IF(AND(Sync!$L902&gt;=10000101,Sync!$L902&lt;=99991231),RIGHT("0000"&amp;INT(Sync!$L902/10000),4)&amp;"/"&amp;RIGHT("00"&amp;INT(MOD(Sync!$L902,10000)/100),2)&amp;"/"&amp;RIGHT("00"&amp;MOD(Sync!$L902,100),2),""),IFERROR(RIGHT("0000"&amp;VALUE(TRIM(LEFT(Sync!$L902,FIND("/",Sync!$L902)-1))),4)&amp;"/"&amp;RIGHT("00"&amp;VALUE(TRIM(LEFT(MID(Sync!$L902,FIND("/",Sync!$L902)+1,20),FIND("/",MID(Sync!$L902,FIND("/",Sync!$L902)+1,20))-1))),2)&amp;"/"&amp;RIGHT("00"&amp;VALUE(TRIM(MID(MID(Sync!$L902,FIND("/",Sync!$L902)+1,20),FIND("/",MID(Sync!$L902,FIND("/",Sync!$L902)+1,20))+1,20))),2),"")))</f>
        <v/>
      </c>
    </row>
    <row r="903">
      <c r="M903">
        <f>IF(Sync!$M903&lt;&gt;"پاس چک","",IF(Sync!$P903="","",Sync!$P903))</f>
        <v/>
      </c>
      <c r="N903">
        <f>IF($M903="","",IF(ISNUMBER(Sync!$L903),IF(AND(Sync!$L903&gt;=10000101,Sync!$L903&lt;=99991231),RIGHT("0000"&amp;INT(Sync!$L903/10000),4)&amp;"/"&amp;RIGHT("00"&amp;INT(MOD(Sync!$L903,10000)/100),2)&amp;"/"&amp;RIGHT("00"&amp;MOD(Sync!$L903,100),2),""),IFERROR(RIGHT("0000"&amp;VALUE(TRIM(LEFT(Sync!$L903,FIND("/",Sync!$L903)-1))),4)&amp;"/"&amp;RIGHT("00"&amp;VALUE(TRIM(LEFT(MID(Sync!$L903,FIND("/",Sync!$L903)+1,20),FIND("/",MID(Sync!$L903,FIND("/",Sync!$L903)+1,20))-1))),2)&amp;"/"&amp;RIGHT("00"&amp;VALUE(TRIM(MID(MID(Sync!$L903,FIND("/",Sync!$L903)+1,20),FIND("/",MID(Sync!$L903,FIND("/",Sync!$L903)+1,20))+1,20))),2),"")))</f>
        <v/>
      </c>
    </row>
    <row r="904">
      <c r="M904">
        <f>IF(Sync!$M904&lt;&gt;"پاس چک","",IF(Sync!$P904="","",Sync!$P904))</f>
        <v/>
      </c>
      <c r="N904">
        <f>IF($M904="","",IF(ISNUMBER(Sync!$L904),IF(AND(Sync!$L904&gt;=10000101,Sync!$L904&lt;=99991231),RIGHT("0000"&amp;INT(Sync!$L904/10000),4)&amp;"/"&amp;RIGHT("00"&amp;INT(MOD(Sync!$L904,10000)/100),2)&amp;"/"&amp;RIGHT("00"&amp;MOD(Sync!$L904,100),2),""),IFERROR(RIGHT("0000"&amp;VALUE(TRIM(LEFT(Sync!$L904,FIND("/",Sync!$L904)-1))),4)&amp;"/"&amp;RIGHT("00"&amp;VALUE(TRIM(LEFT(MID(Sync!$L904,FIND("/",Sync!$L904)+1,20),FIND("/",MID(Sync!$L904,FIND("/",Sync!$L904)+1,20))-1))),2)&amp;"/"&amp;RIGHT("00"&amp;VALUE(TRIM(MID(MID(Sync!$L904,FIND("/",Sync!$L904)+1,20),FIND("/",MID(Sync!$L904,FIND("/",Sync!$L904)+1,20))+1,20))),2),"")))</f>
        <v/>
      </c>
    </row>
    <row r="905">
      <c r="M905">
        <f>IF(Sync!$M905&lt;&gt;"پاس چک","",IF(Sync!$P905="","",Sync!$P905))</f>
        <v/>
      </c>
      <c r="N905">
        <f>IF($M905="","",IF(ISNUMBER(Sync!$L905),IF(AND(Sync!$L905&gt;=10000101,Sync!$L905&lt;=99991231),RIGHT("0000"&amp;INT(Sync!$L905/10000),4)&amp;"/"&amp;RIGHT("00"&amp;INT(MOD(Sync!$L905,10000)/100),2)&amp;"/"&amp;RIGHT("00"&amp;MOD(Sync!$L905,100),2),""),IFERROR(RIGHT("0000"&amp;VALUE(TRIM(LEFT(Sync!$L905,FIND("/",Sync!$L905)-1))),4)&amp;"/"&amp;RIGHT("00"&amp;VALUE(TRIM(LEFT(MID(Sync!$L905,FIND("/",Sync!$L905)+1,20),FIND("/",MID(Sync!$L905,FIND("/",Sync!$L905)+1,20))-1))),2)&amp;"/"&amp;RIGHT("00"&amp;VALUE(TRIM(MID(MID(Sync!$L905,FIND("/",Sync!$L905)+1,20),FIND("/",MID(Sync!$L905,FIND("/",Sync!$L905)+1,20))+1,20))),2),"")))</f>
        <v/>
      </c>
    </row>
    <row r="906">
      <c r="M906">
        <f>IF(Sync!$M906&lt;&gt;"پاس چک","",IF(Sync!$P906="","",Sync!$P906))</f>
        <v/>
      </c>
      <c r="N906">
        <f>IF($M906="","",IF(ISNUMBER(Sync!$L906),IF(AND(Sync!$L906&gt;=10000101,Sync!$L906&lt;=99991231),RIGHT("0000"&amp;INT(Sync!$L906/10000),4)&amp;"/"&amp;RIGHT("00"&amp;INT(MOD(Sync!$L906,10000)/100),2)&amp;"/"&amp;RIGHT("00"&amp;MOD(Sync!$L906,100),2),""),IFERROR(RIGHT("0000"&amp;VALUE(TRIM(LEFT(Sync!$L906,FIND("/",Sync!$L906)-1))),4)&amp;"/"&amp;RIGHT("00"&amp;VALUE(TRIM(LEFT(MID(Sync!$L906,FIND("/",Sync!$L906)+1,20),FIND("/",MID(Sync!$L906,FIND("/",Sync!$L906)+1,20))-1))),2)&amp;"/"&amp;RIGHT("00"&amp;VALUE(TRIM(MID(MID(Sync!$L906,FIND("/",Sync!$L906)+1,20),FIND("/",MID(Sync!$L906,FIND("/",Sync!$L906)+1,20))+1,20))),2),"")))</f>
        <v/>
      </c>
    </row>
    <row r="907">
      <c r="M907">
        <f>IF(Sync!$M907&lt;&gt;"پاس چک","",IF(Sync!$P907="","",Sync!$P907))</f>
        <v/>
      </c>
      <c r="N907">
        <f>IF($M907="","",IF(ISNUMBER(Sync!$L907),IF(AND(Sync!$L907&gt;=10000101,Sync!$L907&lt;=99991231),RIGHT("0000"&amp;INT(Sync!$L907/10000),4)&amp;"/"&amp;RIGHT("00"&amp;INT(MOD(Sync!$L907,10000)/100),2)&amp;"/"&amp;RIGHT("00"&amp;MOD(Sync!$L907,100),2),""),IFERROR(RIGHT("0000"&amp;VALUE(TRIM(LEFT(Sync!$L907,FIND("/",Sync!$L907)-1))),4)&amp;"/"&amp;RIGHT("00"&amp;VALUE(TRIM(LEFT(MID(Sync!$L907,FIND("/",Sync!$L907)+1,20),FIND("/",MID(Sync!$L907,FIND("/",Sync!$L907)+1,20))-1))),2)&amp;"/"&amp;RIGHT("00"&amp;VALUE(TRIM(MID(MID(Sync!$L907,FIND("/",Sync!$L907)+1,20),FIND("/",MID(Sync!$L907,FIND("/",Sync!$L907)+1,20))+1,20))),2),"")))</f>
        <v/>
      </c>
    </row>
    <row r="908">
      <c r="M908">
        <f>IF(Sync!$M908&lt;&gt;"پاس چک","",IF(Sync!$P908="","",Sync!$P908))</f>
        <v/>
      </c>
      <c r="N908">
        <f>IF($M908="","",IF(ISNUMBER(Sync!$L908),IF(AND(Sync!$L908&gt;=10000101,Sync!$L908&lt;=99991231),RIGHT("0000"&amp;INT(Sync!$L908/10000),4)&amp;"/"&amp;RIGHT("00"&amp;INT(MOD(Sync!$L908,10000)/100),2)&amp;"/"&amp;RIGHT("00"&amp;MOD(Sync!$L908,100),2),""),IFERROR(RIGHT("0000"&amp;VALUE(TRIM(LEFT(Sync!$L908,FIND("/",Sync!$L908)-1))),4)&amp;"/"&amp;RIGHT("00"&amp;VALUE(TRIM(LEFT(MID(Sync!$L908,FIND("/",Sync!$L908)+1,20),FIND("/",MID(Sync!$L908,FIND("/",Sync!$L908)+1,20))-1))),2)&amp;"/"&amp;RIGHT("00"&amp;VALUE(TRIM(MID(MID(Sync!$L908,FIND("/",Sync!$L908)+1,20),FIND("/",MID(Sync!$L908,FIND("/",Sync!$L908)+1,20))+1,20))),2),"")))</f>
        <v/>
      </c>
    </row>
    <row r="909">
      <c r="M909">
        <f>IF(Sync!$M909&lt;&gt;"پاس چک","",IF(Sync!$P909="","",Sync!$P909))</f>
        <v/>
      </c>
      <c r="N909">
        <f>IF($M909="","",IF(ISNUMBER(Sync!$L909),IF(AND(Sync!$L909&gt;=10000101,Sync!$L909&lt;=99991231),RIGHT("0000"&amp;INT(Sync!$L909/10000),4)&amp;"/"&amp;RIGHT("00"&amp;INT(MOD(Sync!$L909,10000)/100),2)&amp;"/"&amp;RIGHT("00"&amp;MOD(Sync!$L909,100),2),""),IFERROR(RIGHT("0000"&amp;VALUE(TRIM(LEFT(Sync!$L909,FIND("/",Sync!$L909)-1))),4)&amp;"/"&amp;RIGHT("00"&amp;VALUE(TRIM(LEFT(MID(Sync!$L909,FIND("/",Sync!$L909)+1,20),FIND("/",MID(Sync!$L909,FIND("/",Sync!$L909)+1,20))-1))),2)&amp;"/"&amp;RIGHT("00"&amp;VALUE(TRIM(MID(MID(Sync!$L909,FIND("/",Sync!$L909)+1,20),FIND("/",MID(Sync!$L909,FIND("/",Sync!$L909)+1,20))+1,20))),2),"")))</f>
        <v/>
      </c>
    </row>
    <row r="910">
      <c r="M910">
        <f>IF(Sync!$M910&lt;&gt;"پاس چک","",IF(Sync!$P910="","",Sync!$P910))</f>
        <v/>
      </c>
      <c r="N910">
        <f>IF($M910="","",IF(ISNUMBER(Sync!$L910),IF(AND(Sync!$L910&gt;=10000101,Sync!$L910&lt;=99991231),RIGHT("0000"&amp;INT(Sync!$L910/10000),4)&amp;"/"&amp;RIGHT("00"&amp;INT(MOD(Sync!$L910,10000)/100),2)&amp;"/"&amp;RIGHT("00"&amp;MOD(Sync!$L910,100),2),""),IFERROR(RIGHT("0000"&amp;VALUE(TRIM(LEFT(Sync!$L910,FIND("/",Sync!$L910)-1))),4)&amp;"/"&amp;RIGHT("00"&amp;VALUE(TRIM(LEFT(MID(Sync!$L910,FIND("/",Sync!$L910)+1,20),FIND("/",MID(Sync!$L910,FIND("/",Sync!$L910)+1,20))-1))),2)&amp;"/"&amp;RIGHT("00"&amp;VALUE(TRIM(MID(MID(Sync!$L910,FIND("/",Sync!$L910)+1,20),FIND("/",MID(Sync!$L910,FIND("/",Sync!$L910)+1,20))+1,20))),2),"")))</f>
        <v/>
      </c>
    </row>
    <row r="911">
      <c r="M911">
        <f>IF(Sync!$M911&lt;&gt;"پاس چک","",IF(Sync!$P911="","",Sync!$P911))</f>
        <v/>
      </c>
      <c r="N911">
        <f>IF($M911="","",IF(ISNUMBER(Sync!$L911),IF(AND(Sync!$L911&gt;=10000101,Sync!$L911&lt;=99991231),RIGHT("0000"&amp;INT(Sync!$L911/10000),4)&amp;"/"&amp;RIGHT("00"&amp;INT(MOD(Sync!$L911,10000)/100),2)&amp;"/"&amp;RIGHT("00"&amp;MOD(Sync!$L911,100),2),""),IFERROR(RIGHT("0000"&amp;VALUE(TRIM(LEFT(Sync!$L911,FIND("/",Sync!$L911)-1))),4)&amp;"/"&amp;RIGHT("00"&amp;VALUE(TRIM(LEFT(MID(Sync!$L911,FIND("/",Sync!$L911)+1,20),FIND("/",MID(Sync!$L911,FIND("/",Sync!$L911)+1,20))-1))),2)&amp;"/"&amp;RIGHT("00"&amp;VALUE(TRIM(MID(MID(Sync!$L911,FIND("/",Sync!$L911)+1,20),FIND("/",MID(Sync!$L911,FIND("/",Sync!$L911)+1,20))+1,20))),2),"")))</f>
        <v/>
      </c>
    </row>
    <row r="912">
      <c r="M912">
        <f>IF(Sync!$M912&lt;&gt;"پاس چک","",IF(Sync!$P912="","",Sync!$P912))</f>
        <v/>
      </c>
      <c r="N912">
        <f>IF($M912="","",IF(ISNUMBER(Sync!$L912),IF(AND(Sync!$L912&gt;=10000101,Sync!$L912&lt;=99991231),RIGHT("0000"&amp;INT(Sync!$L912/10000),4)&amp;"/"&amp;RIGHT("00"&amp;INT(MOD(Sync!$L912,10000)/100),2)&amp;"/"&amp;RIGHT("00"&amp;MOD(Sync!$L912,100),2),""),IFERROR(RIGHT("0000"&amp;VALUE(TRIM(LEFT(Sync!$L912,FIND("/",Sync!$L912)-1))),4)&amp;"/"&amp;RIGHT("00"&amp;VALUE(TRIM(LEFT(MID(Sync!$L912,FIND("/",Sync!$L912)+1,20),FIND("/",MID(Sync!$L912,FIND("/",Sync!$L912)+1,20))-1))),2)&amp;"/"&amp;RIGHT("00"&amp;VALUE(TRIM(MID(MID(Sync!$L912,FIND("/",Sync!$L912)+1,20),FIND("/",MID(Sync!$L912,FIND("/",Sync!$L912)+1,20))+1,20))),2),"")))</f>
        <v/>
      </c>
    </row>
    <row r="913">
      <c r="M913">
        <f>IF(Sync!$M913&lt;&gt;"پاس چک","",IF(Sync!$P913="","",Sync!$P913))</f>
        <v/>
      </c>
      <c r="N913">
        <f>IF($M913="","",IF(ISNUMBER(Sync!$L913),IF(AND(Sync!$L913&gt;=10000101,Sync!$L913&lt;=99991231),RIGHT("0000"&amp;INT(Sync!$L913/10000),4)&amp;"/"&amp;RIGHT("00"&amp;INT(MOD(Sync!$L913,10000)/100),2)&amp;"/"&amp;RIGHT("00"&amp;MOD(Sync!$L913,100),2),""),IFERROR(RIGHT("0000"&amp;VALUE(TRIM(LEFT(Sync!$L913,FIND("/",Sync!$L913)-1))),4)&amp;"/"&amp;RIGHT("00"&amp;VALUE(TRIM(LEFT(MID(Sync!$L913,FIND("/",Sync!$L913)+1,20),FIND("/",MID(Sync!$L913,FIND("/",Sync!$L913)+1,20))-1))),2)&amp;"/"&amp;RIGHT("00"&amp;VALUE(TRIM(MID(MID(Sync!$L913,FIND("/",Sync!$L913)+1,20),FIND("/",MID(Sync!$L913,FIND("/",Sync!$L913)+1,20))+1,20))),2),"")))</f>
        <v/>
      </c>
    </row>
    <row r="914">
      <c r="M914">
        <f>IF(Sync!$M914&lt;&gt;"پاس چک","",IF(Sync!$P914="","",Sync!$P914))</f>
        <v/>
      </c>
      <c r="N914">
        <f>IF($M914="","",IF(ISNUMBER(Sync!$L914),IF(AND(Sync!$L914&gt;=10000101,Sync!$L914&lt;=99991231),RIGHT("0000"&amp;INT(Sync!$L914/10000),4)&amp;"/"&amp;RIGHT("00"&amp;INT(MOD(Sync!$L914,10000)/100),2)&amp;"/"&amp;RIGHT("00"&amp;MOD(Sync!$L914,100),2),""),IFERROR(RIGHT("0000"&amp;VALUE(TRIM(LEFT(Sync!$L914,FIND("/",Sync!$L914)-1))),4)&amp;"/"&amp;RIGHT("00"&amp;VALUE(TRIM(LEFT(MID(Sync!$L914,FIND("/",Sync!$L914)+1,20),FIND("/",MID(Sync!$L914,FIND("/",Sync!$L914)+1,20))-1))),2)&amp;"/"&amp;RIGHT("00"&amp;VALUE(TRIM(MID(MID(Sync!$L914,FIND("/",Sync!$L914)+1,20),FIND("/",MID(Sync!$L914,FIND("/",Sync!$L914)+1,20))+1,20))),2),"")))</f>
        <v/>
      </c>
    </row>
    <row r="915">
      <c r="M915">
        <f>IF(Sync!$M915&lt;&gt;"پاس چک","",IF(Sync!$P915="","",Sync!$P915))</f>
        <v/>
      </c>
      <c r="N915">
        <f>IF($M915="","",IF(ISNUMBER(Sync!$L915),IF(AND(Sync!$L915&gt;=10000101,Sync!$L915&lt;=99991231),RIGHT("0000"&amp;INT(Sync!$L915/10000),4)&amp;"/"&amp;RIGHT("00"&amp;INT(MOD(Sync!$L915,10000)/100),2)&amp;"/"&amp;RIGHT("00"&amp;MOD(Sync!$L915,100),2),""),IFERROR(RIGHT("0000"&amp;VALUE(TRIM(LEFT(Sync!$L915,FIND("/",Sync!$L915)-1))),4)&amp;"/"&amp;RIGHT("00"&amp;VALUE(TRIM(LEFT(MID(Sync!$L915,FIND("/",Sync!$L915)+1,20),FIND("/",MID(Sync!$L915,FIND("/",Sync!$L915)+1,20))-1))),2)&amp;"/"&amp;RIGHT("00"&amp;VALUE(TRIM(MID(MID(Sync!$L915,FIND("/",Sync!$L915)+1,20),FIND("/",MID(Sync!$L915,FIND("/",Sync!$L915)+1,20))+1,20))),2),"")))</f>
        <v/>
      </c>
    </row>
    <row r="916">
      <c r="M916">
        <f>IF(Sync!$M916&lt;&gt;"پاس چک","",IF(Sync!$P916="","",Sync!$P916))</f>
        <v/>
      </c>
      <c r="N916">
        <f>IF($M916="","",IF(ISNUMBER(Sync!$L916),IF(AND(Sync!$L916&gt;=10000101,Sync!$L916&lt;=99991231),RIGHT("0000"&amp;INT(Sync!$L916/10000),4)&amp;"/"&amp;RIGHT("00"&amp;INT(MOD(Sync!$L916,10000)/100),2)&amp;"/"&amp;RIGHT("00"&amp;MOD(Sync!$L916,100),2),""),IFERROR(RIGHT("0000"&amp;VALUE(TRIM(LEFT(Sync!$L916,FIND("/",Sync!$L916)-1))),4)&amp;"/"&amp;RIGHT("00"&amp;VALUE(TRIM(LEFT(MID(Sync!$L916,FIND("/",Sync!$L916)+1,20),FIND("/",MID(Sync!$L916,FIND("/",Sync!$L916)+1,20))-1))),2)&amp;"/"&amp;RIGHT("00"&amp;VALUE(TRIM(MID(MID(Sync!$L916,FIND("/",Sync!$L916)+1,20),FIND("/",MID(Sync!$L916,FIND("/",Sync!$L916)+1,20))+1,20))),2),"")))</f>
        <v/>
      </c>
    </row>
    <row r="917">
      <c r="M917">
        <f>IF(Sync!$M917&lt;&gt;"پاس چک","",IF(Sync!$P917="","",Sync!$P917))</f>
        <v/>
      </c>
      <c r="N917">
        <f>IF($M917="","",IF(ISNUMBER(Sync!$L917),IF(AND(Sync!$L917&gt;=10000101,Sync!$L917&lt;=99991231),RIGHT("0000"&amp;INT(Sync!$L917/10000),4)&amp;"/"&amp;RIGHT("00"&amp;INT(MOD(Sync!$L917,10000)/100),2)&amp;"/"&amp;RIGHT("00"&amp;MOD(Sync!$L917,100),2),""),IFERROR(RIGHT("0000"&amp;VALUE(TRIM(LEFT(Sync!$L917,FIND("/",Sync!$L917)-1))),4)&amp;"/"&amp;RIGHT("00"&amp;VALUE(TRIM(LEFT(MID(Sync!$L917,FIND("/",Sync!$L917)+1,20),FIND("/",MID(Sync!$L917,FIND("/",Sync!$L917)+1,20))-1))),2)&amp;"/"&amp;RIGHT("00"&amp;VALUE(TRIM(MID(MID(Sync!$L917,FIND("/",Sync!$L917)+1,20),FIND("/",MID(Sync!$L917,FIND("/",Sync!$L917)+1,20))+1,20))),2),"")))</f>
        <v/>
      </c>
    </row>
    <row r="918">
      <c r="M918">
        <f>IF(Sync!$M918&lt;&gt;"پاس چک","",IF(Sync!$P918="","",Sync!$P918))</f>
        <v/>
      </c>
      <c r="N918">
        <f>IF($M918="","",IF(ISNUMBER(Sync!$L918),IF(AND(Sync!$L918&gt;=10000101,Sync!$L918&lt;=99991231),RIGHT("0000"&amp;INT(Sync!$L918/10000),4)&amp;"/"&amp;RIGHT("00"&amp;INT(MOD(Sync!$L918,10000)/100),2)&amp;"/"&amp;RIGHT("00"&amp;MOD(Sync!$L918,100),2),""),IFERROR(RIGHT("0000"&amp;VALUE(TRIM(LEFT(Sync!$L918,FIND("/",Sync!$L918)-1))),4)&amp;"/"&amp;RIGHT("00"&amp;VALUE(TRIM(LEFT(MID(Sync!$L918,FIND("/",Sync!$L918)+1,20),FIND("/",MID(Sync!$L918,FIND("/",Sync!$L918)+1,20))-1))),2)&amp;"/"&amp;RIGHT("00"&amp;VALUE(TRIM(MID(MID(Sync!$L918,FIND("/",Sync!$L918)+1,20),FIND("/",MID(Sync!$L918,FIND("/",Sync!$L918)+1,20))+1,20))),2),"")))</f>
        <v/>
      </c>
    </row>
    <row r="919">
      <c r="M919">
        <f>IF(Sync!$M919&lt;&gt;"پاس چک","",IF(Sync!$P919="","",Sync!$P919))</f>
        <v/>
      </c>
      <c r="N919">
        <f>IF($M919="","",IF(ISNUMBER(Sync!$L919),IF(AND(Sync!$L919&gt;=10000101,Sync!$L919&lt;=99991231),RIGHT("0000"&amp;INT(Sync!$L919/10000),4)&amp;"/"&amp;RIGHT("00"&amp;INT(MOD(Sync!$L919,10000)/100),2)&amp;"/"&amp;RIGHT("00"&amp;MOD(Sync!$L919,100),2),""),IFERROR(RIGHT("0000"&amp;VALUE(TRIM(LEFT(Sync!$L919,FIND("/",Sync!$L919)-1))),4)&amp;"/"&amp;RIGHT("00"&amp;VALUE(TRIM(LEFT(MID(Sync!$L919,FIND("/",Sync!$L919)+1,20),FIND("/",MID(Sync!$L919,FIND("/",Sync!$L919)+1,20))-1))),2)&amp;"/"&amp;RIGHT("00"&amp;VALUE(TRIM(MID(MID(Sync!$L919,FIND("/",Sync!$L919)+1,20),FIND("/",MID(Sync!$L919,FIND("/",Sync!$L919)+1,20))+1,20))),2),"")))</f>
        <v/>
      </c>
    </row>
    <row r="920">
      <c r="M920">
        <f>IF(Sync!$M920&lt;&gt;"پاس چک","",IF(Sync!$P920="","",Sync!$P920))</f>
        <v/>
      </c>
      <c r="N920">
        <f>IF($M920="","",IF(ISNUMBER(Sync!$L920),IF(AND(Sync!$L920&gt;=10000101,Sync!$L920&lt;=99991231),RIGHT("0000"&amp;INT(Sync!$L920/10000),4)&amp;"/"&amp;RIGHT("00"&amp;INT(MOD(Sync!$L920,10000)/100),2)&amp;"/"&amp;RIGHT("00"&amp;MOD(Sync!$L920,100),2),""),IFERROR(RIGHT("0000"&amp;VALUE(TRIM(LEFT(Sync!$L920,FIND("/",Sync!$L920)-1))),4)&amp;"/"&amp;RIGHT("00"&amp;VALUE(TRIM(LEFT(MID(Sync!$L920,FIND("/",Sync!$L920)+1,20),FIND("/",MID(Sync!$L920,FIND("/",Sync!$L920)+1,20))-1))),2)&amp;"/"&amp;RIGHT("00"&amp;VALUE(TRIM(MID(MID(Sync!$L920,FIND("/",Sync!$L920)+1,20),FIND("/",MID(Sync!$L920,FIND("/",Sync!$L920)+1,20))+1,20))),2),"")))</f>
        <v/>
      </c>
    </row>
    <row r="921">
      <c r="M921">
        <f>IF(Sync!$M921&lt;&gt;"پاس چک","",IF(Sync!$P921="","",Sync!$P921))</f>
        <v/>
      </c>
      <c r="N921">
        <f>IF($M921="","",IF(ISNUMBER(Sync!$L921),IF(AND(Sync!$L921&gt;=10000101,Sync!$L921&lt;=99991231),RIGHT("0000"&amp;INT(Sync!$L921/10000),4)&amp;"/"&amp;RIGHT("00"&amp;INT(MOD(Sync!$L921,10000)/100),2)&amp;"/"&amp;RIGHT("00"&amp;MOD(Sync!$L921,100),2),""),IFERROR(RIGHT("0000"&amp;VALUE(TRIM(LEFT(Sync!$L921,FIND("/",Sync!$L921)-1))),4)&amp;"/"&amp;RIGHT("00"&amp;VALUE(TRIM(LEFT(MID(Sync!$L921,FIND("/",Sync!$L921)+1,20),FIND("/",MID(Sync!$L921,FIND("/",Sync!$L921)+1,20))-1))),2)&amp;"/"&amp;RIGHT("00"&amp;VALUE(TRIM(MID(MID(Sync!$L921,FIND("/",Sync!$L921)+1,20),FIND("/",MID(Sync!$L921,FIND("/",Sync!$L921)+1,20))+1,20))),2),"")))</f>
        <v/>
      </c>
    </row>
    <row r="922">
      <c r="M922">
        <f>IF(Sync!$M922&lt;&gt;"پاس چک","",IF(Sync!$P922="","",Sync!$P922))</f>
        <v/>
      </c>
      <c r="N922">
        <f>IF($M922="","",IF(ISNUMBER(Sync!$L922),IF(AND(Sync!$L922&gt;=10000101,Sync!$L922&lt;=99991231),RIGHT("0000"&amp;INT(Sync!$L922/10000),4)&amp;"/"&amp;RIGHT("00"&amp;INT(MOD(Sync!$L922,10000)/100),2)&amp;"/"&amp;RIGHT("00"&amp;MOD(Sync!$L922,100),2),""),IFERROR(RIGHT("0000"&amp;VALUE(TRIM(LEFT(Sync!$L922,FIND("/",Sync!$L922)-1))),4)&amp;"/"&amp;RIGHT("00"&amp;VALUE(TRIM(LEFT(MID(Sync!$L922,FIND("/",Sync!$L922)+1,20),FIND("/",MID(Sync!$L922,FIND("/",Sync!$L922)+1,20))-1))),2)&amp;"/"&amp;RIGHT("00"&amp;VALUE(TRIM(MID(MID(Sync!$L922,FIND("/",Sync!$L922)+1,20),FIND("/",MID(Sync!$L922,FIND("/",Sync!$L922)+1,20))+1,20))),2),"")))</f>
        <v/>
      </c>
    </row>
    <row r="923">
      <c r="M923">
        <f>IF(Sync!$M923&lt;&gt;"پاس چک","",IF(Sync!$P923="","",Sync!$P923))</f>
        <v/>
      </c>
      <c r="N923">
        <f>IF($M923="","",IF(ISNUMBER(Sync!$L923),IF(AND(Sync!$L923&gt;=10000101,Sync!$L923&lt;=99991231),RIGHT("0000"&amp;INT(Sync!$L923/10000),4)&amp;"/"&amp;RIGHT("00"&amp;INT(MOD(Sync!$L923,10000)/100),2)&amp;"/"&amp;RIGHT("00"&amp;MOD(Sync!$L923,100),2),""),IFERROR(RIGHT("0000"&amp;VALUE(TRIM(LEFT(Sync!$L923,FIND("/",Sync!$L923)-1))),4)&amp;"/"&amp;RIGHT("00"&amp;VALUE(TRIM(LEFT(MID(Sync!$L923,FIND("/",Sync!$L923)+1,20),FIND("/",MID(Sync!$L923,FIND("/",Sync!$L923)+1,20))-1))),2)&amp;"/"&amp;RIGHT("00"&amp;VALUE(TRIM(MID(MID(Sync!$L923,FIND("/",Sync!$L923)+1,20),FIND("/",MID(Sync!$L923,FIND("/",Sync!$L923)+1,20))+1,20))),2),"")))</f>
        <v/>
      </c>
    </row>
    <row r="924">
      <c r="M924">
        <f>IF(Sync!$M924&lt;&gt;"پاس چک","",IF(Sync!$P924="","",Sync!$P924))</f>
        <v/>
      </c>
      <c r="N924">
        <f>IF($M924="","",IF(ISNUMBER(Sync!$L924),IF(AND(Sync!$L924&gt;=10000101,Sync!$L924&lt;=99991231),RIGHT("0000"&amp;INT(Sync!$L924/10000),4)&amp;"/"&amp;RIGHT("00"&amp;INT(MOD(Sync!$L924,10000)/100),2)&amp;"/"&amp;RIGHT("00"&amp;MOD(Sync!$L924,100),2),""),IFERROR(RIGHT("0000"&amp;VALUE(TRIM(LEFT(Sync!$L924,FIND("/",Sync!$L924)-1))),4)&amp;"/"&amp;RIGHT("00"&amp;VALUE(TRIM(LEFT(MID(Sync!$L924,FIND("/",Sync!$L924)+1,20),FIND("/",MID(Sync!$L924,FIND("/",Sync!$L924)+1,20))-1))),2)&amp;"/"&amp;RIGHT("00"&amp;VALUE(TRIM(MID(MID(Sync!$L924,FIND("/",Sync!$L924)+1,20),FIND("/",MID(Sync!$L924,FIND("/",Sync!$L924)+1,20))+1,20))),2),"")))</f>
        <v/>
      </c>
    </row>
    <row r="925">
      <c r="M925">
        <f>IF(Sync!$M925&lt;&gt;"پاس چک","",IF(Sync!$P925="","",Sync!$P925))</f>
        <v/>
      </c>
      <c r="N925">
        <f>IF($M925="","",IF(ISNUMBER(Sync!$L925),IF(AND(Sync!$L925&gt;=10000101,Sync!$L925&lt;=99991231),RIGHT("0000"&amp;INT(Sync!$L925/10000),4)&amp;"/"&amp;RIGHT("00"&amp;INT(MOD(Sync!$L925,10000)/100),2)&amp;"/"&amp;RIGHT("00"&amp;MOD(Sync!$L925,100),2),""),IFERROR(RIGHT("0000"&amp;VALUE(TRIM(LEFT(Sync!$L925,FIND("/",Sync!$L925)-1))),4)&amp;"/"&amp;RIGHT("00"&amp;VALUE(TRIM(LEFT(MID(Sync!$L925,FIND("/",Sync!$L925)+1,20),FIND("/",MID(Sync!$L925,FIND("/",Sync!$L925)+1,20))-1))),2)&amp;"/"&amp;RIGHT("00"&amp;VALUE(TRIM(MID(MID(Sync!$L925,FIND("/",Sync!$L925)+1,20),FIND("/",MID(Sync!$L925,FIND("/",Sync!$L925)+1,20))+1,20))),2),"")))</f>
        <v/>
      </c>
    </row>
    <row r="926">
      <c r="M926">
        <f>IF(Sync!$M926&lt;&gt;"پاس چک","",IF(Sync!$P926="","",Sync!$P926))</f>
        <v/>
      </c>
      <c r="N926">
        <f>IF($M926="","",IF(ISNUMBER(Sync!$L926),IF(AND(Sync!$L926&gt;=10000101,Sync!$L926&lt;=99991231),RIGHT("0000"&amp;INT(Sync!$L926/10000),4)&amp;"/"&amp;RIGHT("00"&amp;INT(MOD(Sync!$L926,10000)/100),2)&amp;"/"&amp;RIGHT("00"&amp;MOD(Sync!$L926,100),2),""),IFERROR(RIGHT("0000"&amp;VALUE(TRIM(LEFT(Sync!$L926,FIND("/",Sync!$L926)-1))),4)&amp;"/"&amp;RIGHT("00"&amp;VALUE(TRIM(LEFT(MID(Sync!$L926,FIND("/",Sync!$L926)+1,20),FIND("/",MID(Sync!$L926,FIND("/",Sync!$L926)+1,20))-1))),2)&amp;"/"&amp;RIGHT("00"&amp;VALUE(TRIM(MID(MID(Sync!$L926,FIND("/",Sync!$L926)+1,20),FIND("/",MID(Sync!$L926,FIND("/",Sync!$L926)+1,20))+1,20))),2),"")))</f>
        <v/>
      </c>
    </row>
    <row r="927">
      <c r="M927">
        <f>IF(Sync!$M927&lt;&gt;"پاس چک","",IF(Sync!$P927="","",Sync!$P927))</f>
        <v/>
      </c>
      <c r="N927">
        <f>IF($M927="","",IF(ISNUMBER(Sync!$L927),IF(AND(Sync!$L927&gt;=10000101,Sync!$L927&lt;=99991231),RIGHT("0000"&amp;INT(Sync!$L927/10000),4)&amp;"/"&amp;RIGHT("00"&amp;INT(MOD(Sync!$L927,10000)/100),2)&amp;"/"&amp;RIGHT("00"&amp;MOD(Sync!$L927,100),2),""),IFERROR(RIGHT("0000"&amp;VALUE(TRIM(LEFT(Sync!$L927,FIND("/",Sync!$L927)-1))),4)&amp;"/"&amp;RIGHT("00"&amp;VALUE(TRIM(LEFT(MID(Sync!$L927,FIND("/",Sync!$L927)+1,20),FIND("/",MID(Sync!$L927,FIND("/",Sync!$L927)+1,20))-1))),2)&amp;"/"&amp;RIGHT("00"&amp;VALUE(TRIM(MID(MID(Sync!$L927,FIND("/",Sync!$L927)+1,20),FIND("/",MID(Sync!$L927,FIND("/",Sync!$L927)+1,20))+1,20))),2),"")))</f>
        <v/>
      </c>
    </row>
    <row r="928">
      <c r="M928">
        <f>IF(Sync!$M928&lt;&gt;"پاس چک","",IF(Sync!$P928="","",Sync!$P928))</f>
        <v/>
      </c>
      <c r="N928">
        <f>IF($M928="","",IF(ISNUMBER(Sync!$L928),IF(AND(Sync!$L928&gt;=10000101,Sync!$L928&lt;=99991231),RIGHT("0000"&amp;INT(Sync!$L928/10000),4)&amp;"/"&amp;RIGHT("00"&amp;INT(MOD(Sync!$L928,10000)/100),2)&amp;"/"&amp;RIGHT("00"&amp;MOD(Sync!$L928,100),2),""),IFERROR(RIGHT("0000"&amp;VALUE(TRIM(LEFT(Sync!$L928,FIND("/",Sync!$L928)-1))),4)&amp;"/"&amp;RIGHT("00"&amp;VALUE(TRIM(LEFT(MID(Sync!$L928,FIND("/",Sync!$L928)+1,20),FIND("/",MID(Sync!$L928,FIND("/",Sync!$L928)+1,20))-1))),2)&amp;"/"&amp;RIGHT("00"&amp;VALUE(TRIM(MID(MID(Sync!$L928,FIND("/",Sync!$L928)+1,20),FIND("/",MID(Sync!$L928,FIND("/",Sync!$L928)+1,20))+1,20))),2),"")))</f>
        <v/>
      </c>
    </row>
    <row r="929">
      <c r="M929">
        <f>IF(Sync!$M929&lt;&gt;"پاس چک","",IF(Sync!$P929="","",Sync!$P929))</f>
        <v/>
      </c>
      <c r="N929">
        <f>IF($M929="","",IF(ISNUMBER(Sync!$L929),IF(AND(Sync!$L929&gt;=10000101,Sync!$L929&lt;=99991231),RIGHT("0000"&amp;INT(Sync!$L929/10000),4)&amp;"/"&amp;RIGHT("00"&amp;INT(MOD(Sync!$L929,10000)/100),2)&amp;"/"&amp;RIGHT("00"&amp;MOD(Sync!$L929,100),2),""),IFERROR(RIGHT("0000"&amp;VALUE(TRIM(LEFT(Sync!$L929,FIND("/",Sync!$L929)-1))),4)&amp;"/"&amp;RIGHT("00"&amp;VALUE(TRIM(LEFT(MID(Sync!$L929,FIND("/",Sync!$L929)+1,20),FIND("/",MID(Sync!$L929,FIND("/",Sync!$L929)+1,20))-1))),2)&amp;"/"&amp;RIGHT("00"&amp;VALUE(TRIM(MID(MID(Sync!$L929,FIND("/",Sync!$L929)+1,20),FIND("/",MID(Sync!$L929,FIND("/",Sync!$L929)+1,20))+1,20))),2),"")))</f>
        <v/>
      </c>
    </row>
    <row r="930">
      <c r="M930">
        <f>IF(Sync!$M930&lt;&gt;"پاس چک","",IF(Sync!$P930="","",Sync!$P930))</f>
        <v/>
      </c>
      <c r="N930">
        <f>IF($M930="","",IF(ISNUMBER(Sync!$L930),IF(AND(Sync!$L930&gt;=10000101,Sync!$L930&lt;=99991231),RIGHT("0000"&amp;INT(Sync!$L930/10000),4)&amp;"/"&amp;RIGHT("00"&amp;INT(MOD(Sync!$L930,10000)/100),2)&amp;"/"&amp;RIGHT("00"&amp;MOD(Sync!$L930,100),2),""),IFERROR(RIGHT("0000"&amp;VALUE(TRIM(LEFT(Sync!$L930,FIND("/",Sync!$L930)-1))),4)&amp;"/"&amp;RIGHT("00"&amp;VALUE(TRIM(LEFT(MID(Sync!$L930,FIND("/",Sync!$L930)+1,20),FIND("/",MID(Sync!$L930,FIND("/",Sync!$L930)+1,20))-1))),2)&amp;"/"&amp;RIGHT("00"&amp;VALUE(TRIM(MID(MID(Sync!$L930,FIND("/",Sync!$L930)+1,20),FIND("/",MID(Sync!$L930,FIND("/",Sync!$L930)+1,20))+1,20))),2),"")))</f>
        <v/>
      </c>
    </row>
    <row r="931">
      <c r="M931">
        <f>IF(Sync!$M931&lt;&gt;"پاس چک","",IF(Sync!$P931="","",Sync!$P931))</f>
        <v/>
      </c>
      <c r="N931">
        <f>IF($M931="","",IF(ISNUMBER(Sync!$L931),IF(AND(Sync!$L931&gt;=10000101,Sync!$L931&lt;=99991231),RIGHT("0000"&amp;INT(Sync!$L931/10000),4)&amp;"/"&amp;RIGHT("00"&amp;INT(MOD(Sync!$L931,10000)/100),2)&amp;"/"&amp;RIGHT("00"&amp;MOD(Sync!$L931,100),2),""),IFERROR(RIGHT("0000"&amp;VALUE(TRIM(LEFT(Sync!$L931,FIND("/",Sync!$L931)-1))),4)&amp;"/"&amp;RIGHT("00"&amp;VALUE(TRIM(LEFT(MID(Sync!$L931,FIND("/",Sync!$L931)+1,20),FIND("/",MID(Sync!$L931,FIND("/",Sync!$L931)+1,20))-1))),2)&amp;"/"&amp;RIGHT("00"&amp;VALUE(TRIM(MID(MID(Sync!$L931,FIND("/",Sync!$L931)+1,20),FIND("/",MID(Sync!$L931,FIND("/",Sync!$L931)+1,20))+1,20))),2),"")))</f>
        <v/>
      </c>
    </row>
    <row r="932">
      <c r="M932">
        <f>IF(Sync!$M932&lt;&gt;"پاس چک","",IF(Sync!$P932="","",Sync!$P932))</f>
        <v/>
      </c>
      <c r="N932">
        <f>IF($M932="","",IF(ISNUMBER(Sync!$L932),IF(AND(Sync!$L932&gt;=10000101,Sync!$L932&lt;=99991231),RIGHT("0000"&amp;INT(Sync!$L932/10000),4)&amp;"/"&amp;RIGHT("00"&amp;INT(MOD(Sync!$L932,10000)/100),2)&amp;"/"&amp;RIGHT("00"&amp;MOD(Sync!$L932,100),2),""),IFERROR(RIGHT("0000"&amp;VALUE(TRIM(LEFT(Sync!$L932,FIND("/",Sync!$L932)-1))),4)&amp;"/"&amp;RIGHT("00"&amp;VALUE(TRIM(LEFT(MID(Sync!$L932,FIND("/",Sync!$L932)+1,20),FIND("/",MID(Sync!$L932,FIND("/",Sync!$L932)+1,20))-1))),2)&amp;"/"&amp;RIGHT("00"&amp;VALUE(TRIM(MID(MID(Sync!$L932,FIND("/",Sync!$L932)+1,20),FIND("/",MID(Sync!$L932,FIND("/",Sync!$L932)+1,20))+1,20))),2),"")))</f>
        <v/>
      </c>
    </row>
    <row r="933">
      <c r="M933">
        <f>IF(Sync!$M933&lt;&gt;"پاس چک","",IF(Sync!$P933="","",Sync!$P933))</f>
        <v/>
      </c>
      <c r="N933">
        <f>IF($M933="","",IF(ISNUMBER(Sync!$L933),IF(AND(Sync!$L933&gt;=10000101,Sync!$L933&lt;=99991231),RIGHT("0000"&amp;INT(Sync!$L933/10000),4)&amp;"/"&amp;RIGHT("00"&amp;INT(MOD(Sync!$L933,10000)/100),2)&amp;"/"&amp;RIGHT("00"&amp;MOD(Sync!$L933,100),2),""),IFERROR(RIGHT("0000"&amp;VALUE(TRIM(LEFT(Sync!$L933,FIND("/",Sync!$L933)-1))),4)&amp;"/"&amp;RIGHT("00"&amp;VALUE(TRIM(LEFT(MID(Sync!$L933,FIND("/",Sync!$L933)+1,20),FIND("/",MID(Sync!$L933,FIND("/",Sync!$L933)+1,20))-1))),2)&amp;"/"&amp;RIGHT("00"&amp;VALUE(TRIM(MID(MID(Sync!$L933,FIND("/",Sync!$L933)+1,20),FIND("/",MID(Sync!$L933,FIND("/",Sync!$L933)+1,20))+1,20))),2),"")))</f>
        <v/>
      </c>
    </row>
    <row r="934">
      <c r="M934">
        <f>IF(Sync!$M934&lt;&gt;"پاس چک","",IF(Sync!$P934="","",Sync!$P934))</f>
        <v/>
      </c>
      <c r="N934">
        <f>IF($M934="","",IF(ISNUMBER(Sync!$L934),IF(AND(Sync!$L934&gt;=10000101,Sync!$L934&lt;=99991231),RIGHT("0000"&amp;INT(Sync!$L934/10000),4)&amp;"/"&amp;RIGHT("00"&amp;INT(MOD(Sync!$L934,10000)/100),2)&amp;"/"&amp;RIGHT("00"&amp;MOD(Sync!$L934,100),2),""),IFERROR(RIGHT("0000"&amp;VALUE(TRIM(LEFT(Sync!$L934,FIND("/",Sync!$L934)-1))),4)&amp;"/"&amp;RIGHT("00"&amp;VALUE(TRIM(LEFT(MID(Sync!$L934,FIND("/",Sync!$L934)+1,20),FIND("/",MID(Sync!$L934,FIND("/",Sync!$L934)+1,20))-1))),2)&amp;"/"&amp;RIGHT("00"&amp;VALUE(TRIM(MID(MID(Sync!$L934,FIND("/",Sync!$L934)+1,20),FIND("/",MID(Sync!$L934,FIND("/",Sync!$L934)+1,20))+1,20))),2),"")))</f>
        <v/>
      </c>
    </row>
    <row r="935">
      <c r="M935">
        <f>IF(Sync!$M935&lt;&gt;"پاس چک","",IF(Sync!$P935="","",Sync!$P935))</f>
        <v/>
      </c>
      <c r="N935">
        <f>IF($M935="","",IF(ISNUMBER(Sync!$L935),IF(AND(Sync!$L935&gt;=10000101,Sync!$L935&lt;=99991231),RIGHT("0000"&amp;INT(Sync!$L935/10000),4)&amp;"/"&amp;RIGHT("00"&amp;INT(MOD(Sync!$L935,10000)/100),2)&amp;"/"&amp;RIGHT("00"&amp;MOD(Sync!$L935,100),2),""),IFERROR(RIGHT("0000"&amp;VALUE(TRIM(LEFT(Sync!$L935,FIND("/",Sync!$L935)-1))),4)&amp;"/"&amp;RIGHT("00"&amp;VALUE(TRIM(LEFT(MID(Sync!$L935,FIND("/",Sync!$L935)+1,20),FIND("/",MID(Sync!$L935,FIND("/",Sync!$L935)+1,20))-1))),2)&amp;"/"&amp;RIGHT("00"&amp;VALUE(TRIM(MID(MID(Sync!$L935,FIND("/",Sync!$L935)+1,20),FIND("/",MID(Sync!$L935,FIND("/",Sync!$L935)+1,20))+1,20))),2),"")))</f>
        <v/>
      </c>
    </row>
    <row r="936">
      <c r="M936">
        <f>IF(Sync!$M936&lt;&gt;"پاس چک","",IF(Sync!$P936="","",Sync!$P936))</f>
        <v/>
      </c>
      <c r="N936">
        <f>IF($M936="","",IF(ISNUMBER(Sync!$L936),IF(AND(Sync!$L936&gt;=10000101,Sync!$L936&lt;=99991231),RIGHT("0000"&amp;INT(Sync!$L936/10000),4)&amp;"/"&amp;RIGHT("00"&amp;INT(MOD(Sync!$L936,10000)/100),2)&amp;"/"&amp;RIGHT("00"&amp;MOD(Sync!$L936,100),2),""),IFERROR(RIGHT("0000"&amp;VALUE(TRIM(LEFT(Sync!$L936,FIND("/",Sync!$L936)-1))),4)&amp;"/"&amp;RIGHT("00"&amp;VALUE(TRIM(LEFT(MID(Sync!$L936,FIND("/",Sync!$L936)+1,20),FIND("/",MID(Sync!$L936,FIND("/",Sync!$L936)+1,20))-1))),2)&amp;"/"&amp;RIGHT("00"&amp;VALUE(TRIM(MID(MID(Sync!$L936,FIND("/",Sync!$L936)+1,20),FIND("/",MID(Sync!$L936,FIND("/",Sync!$L936)+1,20))+1,20))),2),"")))</f>
        <v/>
      </c>
    </row>
    <row r="937">
      <c r="M937">
        <f>IF(Sync!$M937&lt;&gt;"پاس چک","",IF(Sync!$P937="","",Sync!$P937))</f>
        <v/>
      </c>
      <c r="N937">
        <f>IF($M937="","",IF(ISNUMBER(Sync!$L937),IF(AND(Sync!$L937&gt;=10000101,Sync!$L937&lt;=99991231),RIGHT("0000"&amp;INT(Sync!$L937/10000),4)&amp;"/"&amp;RIGHT("00"&amp;INT(MOD(Sync!$L937,10000)/100),2)&amp;"/"&amp;RIGHT("00"&amp;MOD(Sync!$L937,100),2),""),IFERROR(RIGHT("0000"&amp;VALUE(TRIM(LEFT(Sync!$L937,FIND("/",Sync!$L937)-1))),4)&amp;"/"&amp;RIGHT("00"&amp;VALUE(TRIM(LEFT(MID(Sync!$L937,FIND("/",Sync!$L937)+1,20),FIND("/",MID(Sync!$L937,FIND("/",Sync!$L937)+1,20))-1))),2)&amp;"/"&amp;RIGHT("00"&amp;VALUE(TRIM(MID(MID(Sync!$L937,FIND("/",Sync!$L937)+1,20),FIND("/",MID(Sync!$L937,FIND("/",Sync!$L937)+1,20))+1,20))),2),"")))</f>
        <v/>
      </c>
    </row>
    <row r="938">
      <c r="M938">
        <f>IF(Sync!$M938&lt;&gt;"پاس چک","",IF(Sync!$P938="","",Sync!$P938))</f>
        <v/>
      </c>
      <c r="N938">
        <f>IF($M938="","",IF(ISNUMBER(Sync!$L938),IF(AND(Sync!$L938&gt;=10000101,Sync!$L938&lt;=99991231),RIGHT("0000"&amp;INT(Sync!$L938/10000),4)&amp;"/"&amp;RIGHT("00"&amp;INT(MOD(Sync!$L938,10000)/100),2)&amp;"/"&amp;RIGHT("00"&amp;MOD(Sync!$L938,100),2),""),IFERROR(RIGHT("0000"&amp;VALUE(TRIM(LEFT(Sync!$L938,FIND("/",Sync!$L938)-1))),4)&amp;"/"&amp;RIGHT("00"&amp;VALUE(TRIM(LEFT(MID(Sync!$L938,FIND("/",Sync!$L938)+1,20),FIND("/",MID(Sync!$L938,FIND("/",Sync!$L938)+1,20))-1))),2)&amp;"/"&amp;RIGHT("00"&amp;VALUE(TRIM(MID(MID(Sync!$L938,FIND("/",Sync!$L938)+1,20),FIND("/",MID(Sync!$L938,FIND("/",Sync!$L938)+1,20))+1,20))),2),"")))</f>
        <v/>
      </c>
    </row>
    <row r="939">
      <c r="M939">
        <f>IF(Sync!$M939&lt;&gt;"پاس چک","",IF(Sync!$P939="","",Sync!$P939))</f>
        <v/>
      </c>
      <c r="N939">
        <f>IF($M939="","",IF(ISNUMBER(Sync!$L939),IF(AND(Sync!$L939&gt;=10000101,Sync!$L939&lt;=99991231),RIGHT("0000"&amp;INT(Sync!$L939/10000),4)&amp;"/"&amp;RIGHT("00"&amp;INT(MOD(Sync!$L939,10000)/100),2)&amp;"/"&amp;RIGHT("00"&amp;MOD(Sync!$L939,100),2),""),IFERROR(RIGHT("0000"&amp;VALUE(TRIM(LEFT(Sync!$L939,FIND("/",Sync!$L939)-1))),4)&amp;"/"&amp;RIGHT("00"&amp;VALUE(TRIM(LEFT(MID(Sync!$L939,FIND("/",Sync!$L939)+1,20),FIND("/",MID(Sync!$L939,FIND("/",Sync!$L939)+1,20))-1))),2)&amp;"/"&amp;RIGHT("00"&amp;VALUE(TRIM(MID(MID(Sync!$L939,FIND("/",Sync!$L939)+1,20),FIND("/",MID(Sync!$L939,FIND("/",Sync!$L939)+1,20))+1,20))),2),"")))</f>
        <v/>
      </c>
    </row>
    <row r="940">
      <c r="M940">
        <f>IF(Sync!$M940&lt;&gt;"پاس چک","",IF(Sync!$P940="","",Sync!$P940))</f>
        <v/>
      </c>
      <c r="N940">
        <f>IF($M940="","",IF(ISNUMBER(Sync!$L940),IF(AND(Sync!$L940&gt;=10000101,Sync!$L940&lt;=99991231),RIGHT("0000"&amp;INT(Sync!$L940/10000),4)&amp;"/"&amp;RIGHT("00"&amp;INT(MOD(Sync!$L940,10000)/100),2)&amp;"/"&amp;RIGHT("00"&amp;MOD(Sync!$L940,100),2),""),IFERROR(RIGHT("0000"&amp;VALUE(TRIM(LEFT(Sync!$L940,FIND("/",Sync!$L940)-1))),4)&amp;"/"&amp;RIGHT("00"&amp;VALUE(TRIM(LEFT(MID(Sync!$L940,FIND("/",Sync!$L940)+1,20),FIND("/",MID(Sync!$L940,FIND("/",Sync!$L940)+1,20))-1))),2)&amp;"/"&amp;RIGHT("00"&amp;VALUE(TRIM(MID(MID(Sync!$L940,FIND("/",Sync!$L940)+1,20),FIND("/",MID(Sync!$L940,FIND("/",Sync!$L940)+1,20))+1,20))),2),"")))</f>
        <v/>
      </c>
    </row>
    <row r="941">
      <c r="M941">
        <f>IF(Sync!$M941&lt;&gt;"پاس چک","",IF(Sync!$P941="","",Sync!$P941))</f>
        <v/>
      </c>
      <c r="N941">
        <f>IF($M941="","",IF(ISNUMBER(Sync!$L941),IF(AND(Sync!$L941&gt;=10000101,Sync!$L941&lt;=99991231),RIGHT("0000"&amp;INT(Sync!$L941/10000),4)&amp;"/"&amp;RIGHT("00"&amp;INT(MOD(Sync!$L941,10000)/100),2)&amp;"/"&amp;RIGHT("00"&amp;MOD(Sync!$L941,100),2),""),IFERROR(RIGHT("0000"&amp;VALUE(TRIM(LEFT(Sync!$L941,FIND("/",Sync!$L941)-1))),4)&amp;"/"&amp;RIGHT("00"&amp;VALUE(TRIM(LEFT(MID(Sync!$L941,FIND("/",Sync!$L941)+1,20),FIND("/",MID(Sync!$L941,FIND("/",Sync!$L941)+1,20))-1))),2)&amp;"/"&amp;RIGHT("00"&amp;VALUE(TRIM(MID(MID(Sync!$L941,FIND("/",Sync!$L941)+1,20),FIND("/",MID(Sync!$L941,FIND("/",Sync!$L941)+1,20))+1,20))),2),"")))</f>
        <v/>
      </c>
    </row>
    <row r="942">
      <c r="M942">
        <f>IF(Sync!$M942&lt;&gt;"پاس چک","",IF(Sync!$P942="","",Sync!$P942))</f>
        <v/>
      </c>
      <c r="N942">
        <f>IF($M942="","",IF(ISNUMBER(Sync!$L942),IF(AND(Sync!$L942&gt;=10000101,Sync!$L942&lt;=99991231),RIGHT("0000"&amp;INT(Sync!$L942/10000),4)&amp;"/"&amp;RIGHT("00"&amp;INT(MOD(Sync!$L942,10000)/100),2)&amp;"/"&amp;RIGHT("00"&amp;MOD(Sync!$L942,100),2),""),IFERROR(RIGHT("0000"&amp;VALUE(TRIM(LEFT(Sync!$L942,FIND("/",Sync!$L942)-1))),4)&amp;"/"&amp;RIGHT("00"&amp;VALUE(TRIM(LEFT(MID(Sync!$L942,FIND("/",Sync!$L942)+1,20),FIND("/",MID(Sync!$L942,FIND("/",Sync!$L942)+1,20))-1))),2)&amp;"/"&amp;RIGHT("00"&amp;VALUE(TRIM(MID(MID(Sync!$L942,FIND("/",Sync!$L942)+1,20),FIND("/",MID(Sync!$L942,FIND("/",Sync!$L942)+1,20))+1,20))),2),"")))</f>
        <v/>
      </c>
    </row>
    <row r="943">
      <c r="M943">
        <f>IF(Sync!$M943&lt;&gt;"پاس چک","",IF(Sync!$P943="","",Sync!$P943))</f>
        <v/>
      </c>
      <c r="N943">
        <f>IF($M943="","",IF(ISNUMBER(Sync!$L943),IF(AND(Sync!$L943&gt;=10000101,Sync!$L943&lt;=99991231),RIGHT("0000"&amp;INT(Sync!$L943/10000),4)&amp;"/"&amp;RIGHT("00"&amp;INT(MOD(Sync!$L943,10000)/100),2)&amp;"/"&amp;RIGHT("00"&amp;MOD(Sync!$L943,100),2),""),IFERROR(RIGHT("0000"&amp;VALUE(TRIM(LEFT(Sync!$L943,FIND("/",Sync!$L943)-1))),4)&amp;"/"&amp;RIGHT("00"&amp;VALUE(TRIM(LEFT(MID(Sync!$L943,FIND("/",Sync!$L943)+1,20),FIND("/",MID(Sync!$L943,FIND("/",Sync!$L943)+1,20))-1))),2)&amp;"/"&amp;RIGHT("00"&amp;VALUE(TRIM(MID(MID(Sync!$L943,FIND("/",Sync!$L943)+1,20),FIND("/",MID(Sync!$L943,FIND("/",Sync!$L943)+1,20))+1,20))),2),"")))</f>
        <v/>
      </c>
    </row>
    <row r="944">
      <c r="M944">
        <f>IF(Sync!$M944&lt;&gt;"پاس چک","",IF(Sync!$P944="","",Sync!$P944))</f>
        <v/>
      </c>
      <c r="N944">
        <f>IF($M944="","",IF(ISNUMBER(Sync!$L944),IF(AND(Sync!$L944&gt;=10000101,Sync!$L944&lt;=99991231),RIGHT("0000"&amp;INT(Sync!$L944/10000),4)&amp;"/"&amp;RIGHT("00"&amp;INT(MOD(Sync!$L944,10000)/100),2)&amp;"/"&amp;RIGHT("00"&amp;MOD(Sync!$L944,100),2),""),IFERROR(RIGHT("0000"&amp;VALUE(TRIM(LEFT(Sync!$L944,FIND("/",Sync!$L944)-1))),4)&amp;"/"&amp;RIGHT("00"&amp;VALUE(TRIM(LEFT(MID(Sync!$L944,FIND("/",Sync!$L944)+1,20),FIND("/",MID(Sync!$L944,FIND("/",Sync!$L944)+1,20))-1))),2)&amp;"/"&amp;RIGHT("00"&amp;VALUE(TRIM(MID(MID(Sync!$L944,FIND("/",Sync!$L944)+1,20),FIND("/",MID(Sync!$L944,FIND("/",Sync!$L944)+1,20))+1,20))),2),"")))</f>
        <v/>
      </c>
    </row>
    <row r="945">
      <c r="M945">
        <f>IF(Sync!$M945&lt;&gt;"پاس چک","",IF(Sync!$P945="","",Sync!$P945))</f>
        <v/>
      </c>
      <c r="N945">
        <f>IF($M945="","",IF(ISNUMBER(Sync!$L945),IF(AND(Sync!$L945&gt;=10000101,Sync!$L945&lt;=99991231),RIGHT("0000"&amp;INT(Sync!$L945/10000),4)&amp;"/"&amp;RIGHT("00"&amp;INT(MOD(Sync!$L945,10000)/100),2)&amp;"/"&amp;RIGHT("00"&amp;MOD(Sync!$L945,100),2),""),IFERROR(RIGHT("0000"&amp;VALUE(TRIM(LEFT(Sync!$L945,FIND("/",Sync!$L945)-1))),4)&amp;"/"&amp;RIGHT("00"&amp;VALUE(TRIM(LEFT(MID(Sync!$L945,FIND("/",Sync!$L945)+1,20),FIND("/",MID(Sync!$L945,FIND("/",Sync!$L945)+1,20))-1))),2)&amp;"/"&amp;RIGHT("00"&amp;VALUE(TRIM(MID(MID(Sync!$L945,FIND("/",Sync!$L945)+1,20),FIND("/",MID(Sync!$L945,FIND("/",Sync!$L945)+1,20))+1,20))),2),"")))</f>
        <v/>
      </c>
    </row>
    <row r="946">
      <c r="M946">
        <f>IF(Sync!$M946&lt;&gt;"پاس چک","",IF(Sync!$P946="","",Sync!$P946))</f>
        <v/>
      </c>
      <c r="N946">
        <f>IF($M946="","",IF(ISNUMBER(Sync!$L946),IF(AND(Sync!$L946&gt;=10000101,Sync!$L946&lt;=99991231),RIGHT("0000"&amp;INT(Sync!$L946/10000),4)&amp;"/"&amp;RIGHT("00"&amp;INT(MOD(Sync!$L946,10000)/100),2)&amp;"/"&amp;RIGHT("00"&amp;MOD(Sync!$L946,100),2),""),IFERROR(RIGHT("0000"&amp;VALUE(TRIM(LEFT(Sync!$L946,FIND("/",Sync!$L946)-1))),4)&amp;"/"&amp;RIGHT("00"&amp;VALUE(TRIM(LEFT(MID(Sync!$L946,FIND("/",Sync!$L946)+1,20),FIND("/",MID(Sync!$L946,FIND("/",Sync!$L946)+1,20))-1))),2)&amp;"/"&amp;RIGHT("00"&amp;VALUE(TRIM(MID(MID(Sync!$L946,FIND("/",Sync!$L946)+1,20),FIND("/",MID(Sync!$L946,FIND("/",Sync!$L946)+1,20))+1,20))),2),"")))</f>
        <v/>
      </c>
    </row>
    <row r="947">
      <c r="M947">
        <f>IF(Sync!$M947&lt;&gt;"پاس چک","",IF(Sync!$P947="","",Sync!$P947))</f>
        <v/>
      </c>
      <c r="N947">
        <f>IF($M947="","",IF(ISNUMBER(Sync!$L947),IF(AND(Sync!$L947&gt;=10000101,Sync!$L947&lt;=99991231),RIGHT("0000"&amp;INT(Sync!$L947/10000),4)&amp;"/"&amp;RIGHT("00"&amp;INT(MOD(Sync!$L947,10000)/100),2)&amp;"/"&amp;RIGHT("00"&amp;MOD(Sync!$L947,100),2),""),IFERROR(RIGHT("0000"&amp;VALUE(TRIM(LEFT(Sync!$L947,FIND("/",Sync!$L947)-1))),4)&amp;"/"&amp;RIGHT("00"&amp;VALUE(TRIM(LEFT(MID(Sync!$L947,FIND("/",Sync!$L947)+1,20),FIND("/",MID(Sync!$L947,FIND("/",Sync!$L947)+1,20))-1))),2)&amp;"/"&amp;RIGHT("00"&amp;VALUE(TRIM(MID(MID(Sync!$L947,FIND("/",Sync!$L947)+1,20),FIND("/",MID(Sync!$L947,FIND("/",Sync!$L947)+1,20))+1,20))),2),"")))</f>
        <v/>
      </c>
    </row>
    <row r="948">
      <c r="M948">
        <f>IF(Sync!$M948&lt;&gt;"پاس چک","",IF(Sync!$P948="","",Sync!$P948))</f>
        <v/>
      </c>
      <c r="N948">
        <f>IF($M948="","",IF(ISNUMBER(Sync!$L948),IF(AND(Sync!$L948&gt;=10000101,Sync!$L948&lt;=99991231),RIGHT("0000"&amp;INT(Sync!$L948/10000),4)&amp;"/"&amp;RIGHT("00"&amp;INT(MOD(Sync!$L948,10000)/100),2)&amp;"/"&amp;RIGHT("00"&amp;MOD(Sync!$L948,100),2),""),IFERROR(RIGHT("0000"&amp;VALUE(TRIM(LEFT(Sync!$L948,FIND("/",Sync!$L948)-1))),4)&amp;"/"&amp;RIGHT("00"&amp;VALUE(TRIM(LEFT(MID(Sync!$L948,FIND("/",Sync!$L948)+1,20),FIND("/",MID(Sync!$L948,FIND("/",Sync!$L948)+1,20))-1))),2)&amp;"/"&amp;RIGHT("00"&amp;VALUE(TRIM(MID(MID(Sync!$L948,FIND("/",Sync!$L948)+1,20),FIND("/",MID(Sync!$L948,FIND("/",Sync!$L948)+1,20))+1,20))),2),"")))</f>
        <v/>
      </c>
    </row>
    <row r="949">
      <c r="M949">
        <f>IF(Sync!$M949&lt;&gt;"پاس چک","",IF(Sync!$P949="","",Sync!$P949))</f>
        <v/>
      </c>
      <c r="N949">
        <f>IF($M949="","",IF(ISNUMBER(Sync!$L949),IF(AND(Sync!$L949&gt;=10000101,Sync!$L949&lt;=99991231),RIGHT("0000"&amp;INT(Sync!$L949/10000),4)&amp;"/"&amp;RIGHT("00"&amp;INT(MOD(Sync!$L949,10000)/100),2)&amp;"/"&amp;RIGHT("00"&amp;MOD(Sync!$L949,100),2),""),IFERROR(RIGHT("0000"&amp;VALUE(TRIM(LEFT(Sync!$L949,FIND("/",Sync!$L949)-1))),4)&amp;"/"&amp;RIGHT("00"&amp;VALUE(TRIM(LEFT(MID(Sync!$L949,FIND("/",Sync!$L949)+1,20),FIND("/",MID(Sync!$L949,FIND("/",Sync!$L949)+1,20))-1))),2)&amp;"/"&amp;RIGHT("00"&amp;VALUE(TRIM(MID(MID(Sync!$L949,FIND("/",Sync!$L949)+1,20),FIND("/",MID(Sync!$L949,FIND("/",Sync!$L949)+1,20))+1,20))),2),"")))</f>
        <v/>
      </c>
    </row>
    <row r="950">
      <c r="M950">
        <f>IF(Sync!$M950&lt;&gt;"پاس چک","",IF(Sync!$P950="","",Sync!$P950))</f>
        <v/>
      </c>
      <c r="N950">
        <f>IF($M950="","",IF(ISNUMBER(Sync!$L950),IF(AND(Sync!$L950&gt;=10000101,Sync!$L950&lt;=99991231),RIGHT("0000"&amp;INT(Sync!$L950/10000),4)&amp;"/"&amp;RIGHT("00"&amp;INT(MOD(Sync!$L950,10000)/100),2)&amp;"/"&amp;RIGHT("00"&amp;MOD(Sync!$L950,100),2),""),IFERROR(RIGHT("0000"&amp;VALUE(TRIM(LEFT(Sync!$L950,FIND("/",Sync!$L950)-1))),4)&amp;"/"&amp;RIGHT("00"&amp;VALUE(TRIM(LEFT(MID(Sync!$L950,FIND("/",Sync!$L950)+1,20),FIND("/",MID(Sync!$L950,FIND("/",Sync!$L950)+1,20))-1))),2)&amp;"/"&amp;RIGHT("00"&amp;VALUE(TRIM(MID(MID(Sync!$L950,FIND("/",Sync!$L950)+1,20),FIND("/",MID(Sync!$L950,FIND("/",Sync!$L950)+1,20))+1,20))),2),"")))</f>
        <v/>
      </c>
    </row>
    <row r="951">
      <c r="M951">
        <f>IF(Sync!$M951&lt;&gt;"پاس چک","",IF(Sync!$P951="","",Sync!$P951))</f>
        <v/>
      </c>
      <c r="N951">
        <f>IF($M951="","",IF(ISNUMBER(Sync!$L951),IF(AND(Sync!$L951&gt;=10000101,Sync!$L951&lt;=99991231),RIGHT("0000"&amp;INT(Sync!$L951/10000),4)&amp;"/"&amp;RIGHT("00"&amp;INT(MOD(Sync!$L951,10000)/100),2)&amp;"/"&amp;RIGHT("00"&amp;MOD(Sync!$L951,100),2),""),IFERROR(RIGHT("0000"&amp;VALUE(TRIM(LEFT(Sync!$L951,FIND("/",Sync!$L951)-1))),4)&amp;"/"&amp;RIGHT("00"&amp;VALUE(TRIM(LEFT(MID(Sync!$L951,FIND("/",Sync!$L951)+1,20),FIND("/",MID(Sync!$L951,FIND("/",Sync!$L951)+1,20))-1))),2)&amp;"/"&amp;RIGHT("00"&amp;VALUE(TRIM(MID(MID(Sync!$L951,FIND("/",Sync!$L951)+1,20),FIND("/",MID(Sync!$L951,FIND("/",Sync!$L951)+1,20))+1,20))),2),"")))</f>
        <v/>
      </c>
    </row>
    <row r="952">
      <c r="M952">
        <f>IF(Sync!$M952&lt;&gt;"پاس چک","",IF(Sync!$P952="","",Sync!$P952))</f>
        <v/>
      </c>
      <c r="N952">
        <f>IF($M952="","",IF(ISNUMBER(Sync!$L952),IF(AND(Sync!$L952&gt;=10000101,Sync!$L952&lt;=99991231),RIGHT("0000"&amp;INT(Sync!$L952/10000),4)&amp;"/"&amp;RIGHT("00"&amp;INT(MOD(Sync!$L952,10000)/100),2)&amp;"/"&amp;RIGHT("00"&amp;MOD(Sync!$L952,100),2),""),IFERROR(RIGHT("0000"&amp;VALUE(TRIM(LEFT(Sync!$L952,FIND("/",Sync!$L952)-1))),4)&amp;"/"&amp;RIGHT("00"&amp;VALUE(TRIM(LEFT(MID(Sync!$L952,FIND("/",Sync!$L952)+1,20),FIND("/",MID(Sync!$L952,FIND("/",Sync!$L952)+1,20))-1))),2)&amp;"/"&amp;RIGHT("00"&amp;VALUE(TRIM(MID(MID(Sync!$L952,FIND("/",Sync!$L952)+1,20),FIND("/",MID(Sync!$L952,FIND("/",Sync!$L952)+1,20))+1,20))),2),"")))</f>
        <v/>
      </c>
    </row>
    <row r="953">
      <c r="M953">
        <f>IF(Sync!$M953&lt;&gt;"پاس چک","",IF(Sync!$P953="","",Sync!$P953))</f>
        <v/>
      </c>
      <c r="N953">
        <f>IF($M953="","",IF(ISNUMBER(Sync!$L953),IF(AND(Sync!$L953&gt;=10000101,Sync!$L953&lt;=99991231),RIGHT("0000"&amp;INT(Sync!$L953/10000),4)&amp;"/"&amp;RIGHT("00"&amp;INT(MOD(Sync!$L953,10000)/100),2)&amp;"/"&amp;RIGHT("00"&amp;MOD(Sync!$L953,100),2),""),IFERROR(RIGHT("0000"&amp;VALUE(TRIM(LEFT(Sync!$L953,FIND("/",Sync!$L953)-1))),4)&amp;"/"&amp;RIGHT("00"&amp;VALUE(TRIM(LEFT(MID(Sync!$L953,FIND("/",Sync!$L953)+1,20),FIND("/",MID(Sync!$L953,FIND("/",Sync!$L953)+1,20))-1))),2)&amp;"/"&amp;RIGHT("00"&amp;VALUE(TRIM(MID(MID(Sync!$L953,FIND("/",Sync!$L953)+1,20),FIND("/",MID(Sync!$L953,FIND("/",Sync!$L953)+1,20))+1,20))),2),"")))</f>
        <v/>
      </c>
    </row>
    <row r="954">
      <c r="M954">
        <f>IF(Sync!$M954&lt;&gt;"پاس چک","",IF(Sync!$P954="","",Sync!$P954))</f>
        <v/>
      </c>
      <c r="N954">
        <f>IF($M954="","",IF(ISNUMBER(Sync!$L954),IF(AND(Sync!$L954&gt;=10000101,Sync!$L954&lt;=99991231),RIGHT("0000"&amp;INT(Sync!$L954/10000),4)&amp;"/"&amp;RIGHT("00"&amp;INT(MOD(Sync!$L954,10000)/100),2)&amp;"/"&amp;RIGHT("00"&amp;MOD(Sync!$L954,100),2),""),IFERROR(RIGHT("0000"&amp;VALUE(TRIM(LEFT(Sync!$L954,FIND("/",Sync!$L954)-1))),4)&amp;"/"&amp;RIGHT("00"&amp;VALUE(TRIM(LEFT(MID(Sync!$L954,FIND("/",Sync!$L954)+1,20),FIND("/",MID(Sync!$L954,FIND("/",Sync!$L954)+1,20))-1))),2)&amp;"/"&amp;RIGHT("00"&amp;VALUE(TRIM(MID(MID(Sync!$L954,FIND("/",Sync!$L954)+1,20),FIND("/",MID(Sync!$L954,FIND("/",Sync!$L954)+1,20))+1,20))),2),"")))</f>
        <v/>
      </c>
    </row>
    <row r="955">
      <c r="M955">
        <f>IF(Sync!$M955&lt;&gt;"پاس چک","",IF(Sync!$P955="","",Sync!$P955))</f>
        <v/>
      </c>
      <c r="N955">
        <f>IF($M955="","",IF(ISNUMBER(Sync!$L955),IF(AND(Sync!$L955&gt;=10000101,Sync!$L955&lt;=99991231),RIGHT("0000"&amp;INT(Sync!$L955/10000),4)&amp;"/"&amp;RIGHT("00"&amp;INT(MOD(Sync!$L955,10000)/100),2)&amp;"/"&amp;RIGHT("00"&amp;MOD(Sync!$L955,100),2),""),IFERROR(RIGHT("0000"&amp;VALUE(TRIM(LEFT(Sync!$L955,FIND("/",Sync!$L955)-1))),4)&amp;"/"&amp;RIGHT("00"&amp;VALUE(TRIM(LEFT(MID(Sync!$L955,FIND("/",Sync!$L955)+1,20),FIND("/",MID(Sync!$L955,FIND("/",Sync!$L955)+1,20))-1))),2)&amp;"/"&amp;RIGHT("00"&amp;VALUE(TRIM(MID(MID(Sync!$L955,FIND("/",Sync!$L955)+1,20),FIND("/",MID(Sync!$L955,FIND("/",Sync!$L955)+1,20))+1,20))),2),"")))</f>
        <v/>
      </c>
    </row>
    <row r="956">
      <c r="M956">
        <f>IF(Sync!$M956&lt;&gt;"پاس چک","",IF(Sync!$P956="","",Sync!$P956))</f>
        <v/>
      </c>
      <c r="N956">
        <f>IF($M956="","",IF(ISNUMBER(Sync!$L956),IF(AND(Sync!$L956&gt;=10000101,Sync!$L956&lt;=99991231),RIGHT("0000"&amp;INT(Sync!$L956/10000),4)&amp;"/"&amp;RIGHT("00"&amp;INT(MOD(Sync!$L956,10000)/100),2)&amp;"/"&amp;RIGHT("00"&amp;MOD(Sync!$L956,100),2),""),IFERROR(RIGHT("0000"&amp;VALUE(TRIM(LEFT(Sync!$L956,FIND("/",Sync!$L956)-1))),4)&amp;"/"&amp;RIGHT("00"&amp;VALUE(TRIM(LEFT(MID(Sync!$L956,FIND("/",Sync!$L956)+1,20),FIND("/",MID(Sync!$L956,FIND("/",Sync!$L956)+1,20))-1))),2)&amp;"/"&amp;RIGHT("00"&amp;VALUE(TRIM(MID(MID(Sync!$L956,FIND("/",Sync!$L956)+1,20),FIND("/",MID(Sync!$L956,FIND("/",Sync!$L956)+1,20))+1,20))),2),"")))</f>
        <v/>
      </c>
    </row>
    <row r="957">
      <c r="M957">
        <f>IF(Sync!$M957&lt;&gt;"پاس چک","",IF(Sync!$P957="","",Sync!$P957))</f>
        <v/>
      </c>
      <c r="N957">
        <f>IF($M957="","",IF(ISNUMBER(Sync!$L957),IF(AND(Sync!$L957&gt;=10000101,Sync!$L957&lt;=99991231),RIGHT("0000"&amp;INT(Sync!$L957/10000),4)&amp;"/"&amp;RIGHT("00"&amp;INT(MOD(Sync!$L957,10000)/100),2)&amp;"/"&amp;RIGHT("00"&amp;MOD(Sync!$L957,100),2),""),IFERROR(RIGHT("0000"&amp;VALUE(TRIM(LEFT(Sync!$L957,FIND("/",Sync!$L957)-1))),4)&amp;"/"&amp;RIGHT("00"&amp;VALUE(TRIM(LEFT(MID(Sync!$L957,FIND("/",Sync!$L957)+1,20),FIND("/",MID(Sync!$L957,FIND("/",Sync!$L957)+1,20))-1))),2)&amp;"/"&amp;RIGHT("00"&amp;VALUE(TRIM(MID(MID(Sync!$L957,FIND("/",Sync!$L957)+1,20),FIND("/",MID(Sync!$L957,FIND("/",Sync!$L957)+1,20))+1,20))),2),"")))</f>
        <v/>
      </c>
    </row>
    <row r="958">
      <c r="M958">
        <f>IF(Sync!$M958&lt;&gt;"پاس چک","",IF(Sync!$P958="","",Sync!$P958))</f>
        <v/>
      </c>
      <c r="N958">
        <f>IF($M958="","",IF(ISNUMBER(Sync!$L958),IF(AND(Sync!$L958&gt;=10000101,Sync!$L958&lt;=99991231),RIGHT("0000"&amp;INT(Sync!$L958/10000),4)&amp;"/"&amp;RIGHT("00"&amp;INT(MOD(Sync!$L958,10000)/100),2)&amp;"/"&amp;RIGHT("00"&amp;MOD(Sync!$L958,100),2),""),IFERROR(RIGHT("0000"&amp;VALUE(TRIM(LEFT(Sync!$L958,FIND("/",Sync!$L958)-1))),4)&amp;"/"&amp;RIGHT("00"&amp;VALUE(TRIM(LEFT(MID(Sync!$L958,FIND("/",Sync!$L958)+1,20),FIND("/",MID(Sync!$L958,FIND("/",Sync!$L958)+1,20))-1))),2)&amp;"/"&amp;RIGHT("00"&amp;VALUE(TRIM(MID(MID(Sync!$L958,FIND("/",Sync!$L958)+1,20),FIND("/",MID(Sync!$L958,FIND("/",Sync!$L958)+1,20))+1,20))),2),"")))</f>
        <v/>
      </c>
    </row>
    <row r="959">
      <c r="M959">
        <f>IF(Sync!$M959&lt;&gt;"پاس چک","",IF(Sync!$P959="","",Sync!$P959))</f>
        <v/>
      </c>
      <c r="N959">
        <f>IF($M959="","",IF(ISNUMBER(Sync!$L959),IF(AND(Sync!$L959&gt;=10000101,Sync!$L959&lt;=99991231),RIGHT("0000"&amp;INT(Sync!$L959/10000),4)&amp;"/"&amp;RIGHT("00"&amp;INT(MOD(Sync!$L959,10000)/100),2)&amp;"/"&amp;RIGHT("00"&amp;MOD(Sync!$L959,100),2),""),IFERROR(RIGHT("0000"&amp;VALUE(TRIM(LEFT(Sync!$L959,FIND("/",Sync!$L959)-1))),4)&amp;"/"&amp;RIGHT("00"&amp;VALUE(TRIM(LEFT(MID(Sync!$L959,FIND("/",Sync!$L959)+1,20),FIND("/",MID(Sync!$L959,FIND("/",Sync!$L959)+1,20))-1))),2)&amp;"/"&amp;RIGHT("00"&amp;VALUE(TRIM(MID(MID(Sync!$L959,FIND("/",Sync!$L959)+1,20),FIND("/",MID(Sync!$L959,FIND("/",Sync!$L959)+1,20))+1,20))),2),"")))</f>
        <v/>
      </c>
    </row>
    <row r="960">
      <c r="M960">
        <f>IF(Sync!$M960&lt;&gt;"پاس چک","",IF(Sync!$P960="","",Sync!$P960))</f>
        <v/>
      </c>
      <c r="N960">
        <f>IF($M960="","",IF(ISNUMBER(Sync!$L960),IF(AND(Sync!$L960&gt;=10000101,Sync!$L960&lt;=99991231),RIGHT("0000"&amp;INT(Sync!$L960/10000),4)&amp;"/"&amp;RIGHT("00"&amp;INT(MOD(Sync!$L960,10000)/100),2)&amp;"/"&amp;RIGHT("00"&amp;MOD(Sync!$L960,100),2),""),IFERROR(RIGHT("0000"&amp;VALUE(TRIM(LEFT(Sync!$L960,FIND("/",Sync!$L960)-1))),4)&amp;"/"&amp;RIGHT("00"&amp;VALUE(TRIM(LEFT(MID(Sync!$L960,FIND("/",Sync!$L960)+1,20),FIND("/",MID(Sync!$L960,FIND("/",Sync!$L960)+1,20))-1))),2)&amp;"/"&amp;RIGHT("00"&amp;VALUE(TRIM(MID(MID(Sync!$L960,FIND("/",Sync!$L960)+1,20),FIND("/",MID(Sync!$L960,FIND("/",Sync!$L960)+1,20))+1,20))),2),"")))</f>
        <v/>
      </c>
    </row>
    <row r="961">
      <c r="M961">
        <f>IF(Sync!$M961&lt;&gt;"پاس چک","",IF(Sync!$P961="","",Sync!$P961))</f>
        <v/>
      </c>
      <c r="N961">
        <f>IF($M961="","",IF(ISNUMBER(Sync!$L961),IF(AND(Sync!$L961&gt;=10000101,Sync!$L961&lt;=99991231),RIGHT("0000"&amp;INT(Sync!$L961/10000),4)&amp;"/"&amp;RIGHT("00"&amp;INT(MOD(Sync!$L961,10000)/100),2)&amp;"/"&amp;RIGHT("00"&amp;MOD(Sync!$L961,100),2),""),IFERROR(RIGHT("0000"&amp;VALUE(TRIM(LEFT(Sync!$L961,FIND("/",Sync!$L961)-1))),4)&amp;"/"&amp;RIGHT("00"&amp;VALUE(TRIM(LEFT(MID(Sync!$L961,FIND("/",Sync!$L961)+1,20),FIND("/",MID(Sync!$L961,FIND("/",Sync!$L961)+1,20))-1))),2)&amp;"/"&amp;RIGHT("00"&amp;VALUE(TRIM(MID(MID(Sync!$L961,FIND("/",Sync!$L961)+1,20),FIND("/",MID(Sync!$L961,FIND("/",Sync!$L961)+1,20))+1,20))),2),"")))</f>
        <v/>
      </c>
    </row>
    <row r="962">
      <c r="M962">
        <f>IF(Sync!$M962&lt;&gt;"پاس چک","",IF(Sync!$P962="","",Sync!$P962))</f>
        <v/>
      </c>
      <c r="N962">
        <f>IF($M962="","",IF(ISNUMBER(Sync!$L962),IF(AND(Sync!$L962&gt;=10000101,Sync!$L962&lt;=99991231),RIGHT("0000"&amp;INT(Sync!$L962/10000),4)&amp;"/"&amp;RIGHT("00"&amp;INT(MOD(Sync!$L962,10000)/100),2)&amp;"/"&amp;RIGHT("00"&amp;MOD(Sync!$L962,100),2),""),IFERROR(RIGHT("0000"&amp;VALUE(TRIM(LEFT(Sync!$L962,FIND("/",Sync!$L962)-1))),4)&amp;"/"&amp;RIGHT("00"&amp;VALUE(TRIM(LEFT(MID(Sync!$L962,FIND("/",Sync!$L962)+1,20),FIND("/",MID(Sync!$L962,FIND("/",Sync!$L962)+1,20))-1))),2)&amp;"/"&amp;RIGHT("00"&amp;VALUE(TRIM(MID(MID(Sync!$L962,FIND("/",Sync!$L962)+1,20),FIND("/",MID(Sync!$L962,FIND("/",Sync!$L962)+1,20))+1,20))),2),"")))</f>
        <v/>
      </c>
    </row>
    <row r="963">
      <c r="M963">
        <f>IF(Sync!$M963&lt;&gt;"پاس چک","",IF(Sync!$P963="","",Sync!$P963))</f>
        <v/>
      </c>
      <c r="N963">
        <f>IF($M963="","",IF(ISNUMBER(Sync!$L963),IF(AND(Sync!$L963&gt;=10000101,Sync!$L963&lt;=99991231),RIGHT("0000"&amp;INT(Sync!$L963/10000),4)&amp;"/"&amp;RIGHT("00"&amp;INT(MOD(Sync!$L963,10000)/100),2)&amp;"/"&amp;RIGHT("00"&amp;MOD(Sync!$L963,100),2),""),IFERROR(RIGHT("0000"&amp;VALUE(TRIM(LEFT(Sync!$L963,FIND("/",Sync!$L963)-1))),4)&amp;"/"&amp;RIGHT("00"&amp;VALUE(TRIM(LEFT(MID(Sync!$L963,FIND("/",Sync!$L963)+1,20),FIND("/",MID(Sync!$L963,FIND("/",Sync!$L963)+1,20))-1))),2)&amp;"/"&amp;RIGHT("00"&amp;VALUE(TRIM(MID(MID(Sync!$L963,FIND("/",Sync!$L963)+1,20),FIND("/",MID(Sync!$L963,FIND("/",Sync!$L963)+1,20))+1,20))),2),"")))</f>
        <v/>
      </c>
    </row>
    <row r="964">
      <c r="M964">
        <f>IF(Sync!$M964&lt;&gt;"پاس چک","",IF(Sync!$P964="","",Sync!$P964))</f>
        <v/>
      </c>
      <c r="N964">
        <f>IF($M964="","",IF(ISNUMBER(Sync!$L964),IF(AND(Sync!$L964&gt;=10000101,Sync!$L964&lt;=99991231),RIGHT("0000"&amp;INT(Sync!$L964/10000),4)&amp;"/"&amp;RIGHT("00"&amp;INT(MOD(Sync!$L964,10000)/100),2)&amp;"/"&amp;RIGHT("00"&amp;MOD(Sync!$L964,100),2),""),IFERROR(RIGHT("0000"&amp;VALUE(TRIM(LEFT(Sync!$L964,FIND("/",Sync!$L964)-1))),4)&amp;"/"&amp;RIGHT("00"&amp;VALUE(TRIM(LEFT(MID(Sync!$L964,FIND("/",Sync!$L964)+1,20),FIND("/",MID(Sync!$L964,FIND("/",Sync!$L964)+1,20))-1))),2)&amp;"/"&amp;RIGHT("00"&amp;VALUE(TRIM(MID(MID(Sync!$L964,FIND("/",Sync!$L964)+1,20),FIND("/",MID(Sync!$L964,FIND("/",Sync!$L964)+1,20))+1,20))),2),"")))</f>
        <v/>
      </c>
    </row>
    <row r="965">
      <c r="M965">
        <f>IF(Sync!$M965&lt;&gt;"پاس چک","",IF(Sync!$P965="","",Sync!$P965))</f>
        <v/>
      </c>
      <c r="N965">
        <f>IF($M965="","",IF(ISNUMBER(Sync!$L965),IF(AND(Sync!$L965&gt;=10000101,Sync!$L965&lt;=99991231),RIGHT("0000"&amp;INT(Sync!$L965/10000),4)&amp;"/"&amp;RIGHT("00"&amp;INT(MOD(Sync!$L965,10000)/100),2)&amp;"/"&amp;RIGHT("00"&amp;MOD(Sync!$L965,100),2),""),IFERROR(RIGHT("0000"&amp;VALUE(TRIM(LEFT(Sync!$L965,FIND("/",Sync!$L965)-1))),4)&amp;"/"&amp;RIGHT("00"&amp;VALUE(TRIM(LEFT(MID(Sync!$L965,FIND("/",Sync!$L965)+1,20),FIND("/",MID(Sync!$L965,FIND("/",Sync!$L965)+1,20))-1))),2)&amp;"/"&amp;RIGHT("00"&amp;VALUE(TRIM(MID(MID(Sync!$L965,FIND("/",Sync!$L965)+1,20),FIND("/",MID(Sync!$L965,FIND("/",Sync!$L965)+1,20))+1,20))),2),"")))</f>
        <v/>
      </c>
    </row>
    <row r="966">
      <c r="M966">
        <f>IF(Sync!$M966&lt;&gt;"پاس چک","",IF(Sync!$P966="","",Sync!$P966))</f>
        <v/>
      </c>
      <c r="N966">
        <f>IF($M966="","",IF(ISNUMBER(Sync!$L966),IF(AND(Sync!$L966&gt;=10000101,Sync!$L966&lt;=99991231),RIGHT("0000"&amp;INT(Sync!$L966/10000),4)&amp;"/"&amp;RIGHT("00"&amp;INT(MOD(Sync!$L966,10000)/100),2)&amp;"/"&amp;RIGHT("00"&amp;MOD(Sync!$L966,100),2),""),IFERROR(RIGHT("0000"&amp;VALUE(TRIM(LEFT(Sync!$L966,FIND("/",Sync!$L966)-1))),4)&amp;"/"&amp;RIGHT("00"&amp;VALUE(TRIM(LEFT(MID(Sync!$L966,FIND("/",Sync!$L966)+1,20),FIND("/",MID(Sync!$L966,FIND("/",Sync!$L966)+1,20))-1))),2)&amp;"/"&amp;RIGHT("00"&amp;VALUE(TRIM(MID(MID(Sync!$L966,FIND("/",Sync!$L966)+1,20),FIND("/",MID(Sync!$L966,FIND("/",Sync!$L966)+1,20))+1,20))),2),"")))</f>
        <v/>
      </c>
    </row>
    <row r="967">
      <c r="M967">
        <f>IF(Sync!$M967&lt;&gt;"پاس چک","",IF(Sync!$P967="","",Sync!$P967))</f>
        <v/>
      </c>
      <c r="N967">
        <f>IF($M967="","",IF(ISNUMBER(Sync!$L967),IF(AND(Sync!$L967&gt;=10000101,Sync!$L967&lt;=99991231),RIGHT("0000"&amp;INT(Sync!$L967/10000),4)&amp;"/"&amp;RIGHT("00"&amp;INT(MOD(Sync!$L967,10000)/100),2)&amp;"/"&amp;RIGHT("00"&amp;MOD(Sync!$L967,100),2),""),IFERROR(RIGHT("0000"&amp;VALUE(TRIM(LEFT(Sync!$L967,FIND("/",Sync!$L967)-1))),4)&amp;"/"&amp;RIGHT("00"&amp;VALUE(TRIM(LEFT(MID(Sync!$L967,FIND("/",Sync!$L967)+1,20),FIND("/",MID(Sync!$L967,FIND("/",Sync!$L967)+1,20))-1))),2)&amp;"/"&amp;RIGHT("00"&amp;VALUE(TRIM(MID(MID(Sync!$L967,FIND("/",Sync!$L967)+1,20),FIND("/",MID(Sync!$L967,FIND("/",Sync!$L967)+1,20))+1,20))),2),"")))</f>
        <v/>
      </c>
    </row>
    <row r="968">
      <c r="M968">
        <f>IF(Sync!$M968&lt;&gt;"پاس چک","",IF(Sync!$P968="","",Sync!$P968))</f>
        <v/>
      </c>
      <c r="N968">
        <f>IF($M968="","",IF(ISNUMBER(Sync!$L968),IF(AND(Sync!$L968&gt;=10000101,Sync!$L968&lt;=99991231),RIGHT("0000"&amp;INT(Sync!$L968/10000),4)&amp;"/"&amp;RIGHT("00"&amp;INT(MOD(Sync!$L968,10000)/100),2)&amp;"/"&amp;RIGHT("00"&amp;MOD(Sync!$L968,100),2),""),IFERROR(RIGHT("0000"&amp;VALUE(TRIM(LEFT(Sync!$L968,FIND("/",Sync!$L968)-1))),4)&amp;"/"&amp;RIGHT("00"&amp;VALUE(TRIM(LEFT(MID(Sync!$L968,FIND("/",Sync!$L968)+1,20),FIND("/",MID(Sync!$L968,FIND("/",Sync!$L968)+1,20))-1))),2)&amp;"/"&amp;RIGHT("00"&amp;VALUE(TRIM(MID(MID(Sync!$L968,FIND("/",Sync!$L968)+1,20),FIND("/",MID(Sync!$L968,FIND("/",Sync!$L968)+1,20))+1,20))),2),"")))</f>
        <v/>
      </c>
    </row>
    <row r="969">
      <c r="M969">
        <f>IF(Sync!$M969&lt;&gt;"پاس چک","",IF(Sync!$P969="","",Sync!$P969))</f>
        <v/>
      </c>
      <c r="N969">
        <f>IF($M969="","",IF(ISNUMBER(Sync!$L969),IF(AND(Sync!$L969&gt;=10000101,Sync!$L969&lt;=99991231),RIGHT("0000"&amp;INT(Sync!$L969/10000),4)&amp;"/"&amp;RIGHT("00"&amp;INT(MOD(Sync!$L969,10000)/100),2)&amp;"/"&amp;RIGHT("00"&amp;MOD(Sync!$L969,100),2),""),IFERROR(RIGHT("0000"&amp;VALUE(TRIM(LEFT(Sync!$L969,FIND("/",Sync!$L969)-1))),4)&amp;"/"&amp;RIGHT("00"&amp;VALUE(TRIM(LEFT(MID(Sync!$L969,FIND("/",Sync!$L969)+1,20),FIND("/",MID(Sync!$L969,FIND("/",Sync!$L969)+1,20))-1))),2)&amp;"/"&amp;RIGHT("00"&amp;VALUE(TRIM(MID(MID(Sync!$L969,FIND("/",Sync!$L969)+1,20),FIND("/",MID(Sync!$L969,FIND("/",Sync!$L969)+1,20))+1,20))),2),"")))</f>
        <v/>
      </c>
    </row>
    <row r="970">
      <c r="M970">
        <f>IF(Sync!$M970&lt;&gt;"پاس چک","",IF(Sync!$P970="","",Sync!$P970))</f>
        <v/>
      </c>
      <c r="N970">
        <f>IF($M970="","",IF(ISNUMBER(Sync!$L970),IF(AND(Sync!$L970&gt;=10000101,Sync!$L970&lt;=99991231),RIGHT("0000"&amp;INT(Sync!$L970/10000),4)&amp;"/"&amp;RIGHT("00"&amp;INT(MOD(Sync!$L970,10000)/100),2)&amp;"/"&amp;RIGHT("00"&amp;MOD(Sync!$L970,100),2),""),IFERROR(RIGHT("0000"&amp;VALUE(TRIM(LEFT(Sync!$L970,FIND("/",Sync!$L970)-1))),4)&amp;"/"&amp;RIGHT("00"&amp;VALUE(TRIM(LEFT(MID(Sync!$L970,FIND("/",Sync!$L970)+1,20),FIND("/",MID(Sync!$L970,FIND("/",Sync!$L970)+1,20))-1))),2)&amp;"/"&amp;RIGHT("00"&amp;VALUE(TRIM(MID(MID(Sync!$L970,FIND("/",Sync!$L970)+1,20),FIND("/",MID(Sync!$L970,FIND("/",Sync!$L970)+1,20))+1,20))),2),"")))</f>
        <v/>
      </c>
    </row>
    <row r="971">
      <c r="M971">
        <f>IF(Sync!$M971&lt;&gt;"پاس چک","",IF(Sync!$P971="","",Sync!$P971))</f>
        <v/>
      </c>
      <c r="N971">
        <f>IF($M971="","",IF(ISNUMBER(Sync!$L971),IF(AND(Sync!$L971&gt;=10000101,Sync!$L971&lt;=99991231),RIGHT("0000"&amp;INT(Sync!$L971/10000),4)&amp;"/"&amp;RIGHT("00"&amp;INT(MOD(Sync!$L971,10000)/100),2)&amp;"/"&amp;RIGHT("00"&amp;MOD(Sync!$L971,100),2),""),IFERROR(RIGHT("0000"&amp;VALUE(TRIM(LEFT(Sync!$L971,FIND("/",Sync!$L971)-1))),4)&amp;"/"&amp;RIGHT("00"&amp;VALUE(TRIM(LEFT(MID(Sync!$L971,FIND("/",Sync!$L971)+1,20),FIND("/",MID(Sync!$L971,FIND("/",Sync!$L971)+1,20))-1))),2)&amp;"/"&amp;RIGHT("00"&amp;VALUE(TRIM(MID(MID(Sync!$L971,FIND("/",Sync!$L971)+1,20),FIND("/",MID(Sync!$L971,FIND("/",Sync!$L971)+1,20))+1,20))),2),"")))</f>
        <v/>
      </c>
    </row>
    <row r="972">
      <c r="M972">
        <f>IF(Sync!$M972&lt;&gt;"پاس چک","",IF(Sync!$P972="","",Sync!$P972))</f>
        <v/>
      </c>
      <c r="N972">
        <f>IF($M972="","",IF(ISNUMBER(Sync!$L972),IF(AND(Sync!$L972&gt;=10000101,Sync!$L972&lt;=99991231),RIGHT("0000"&amp;INT(Sync!$L972/10000),4)&amp;"/"&amp;RIGHT("00"&amp;INT(MOD(Sync!$L972,10000)/100),2)&amp;"/"&amp;RIGHT("00"&amp;MOD(Sync!$L972,100),2),""),IFERROR(RIGHT("0000"&amp;VALUE(TRIM(LEFT(Sync!$L972,FIND("/",Sync!$L972)-1))),4)&amp;"/"&amp;RIGHT("00"&amp;VALUE(TRIM(LEFT(MID(Sync!$L972,FIND("/",Sync!$L972)+1,20),FIND("/",MID(Sync!$L972,FIND("/",Sync!$L972)+1,20))-1))),2)&amp;"/"&amp;RIGHT("00"&amp;VALUE(TRIM(MID(MID(Sync!$L972,FIND("/",Sync!$L972)+1,20),FIND("/",MID(Sync!$L972,FIND("/",Sync!$L972)+1,20))+1,20))),2),"")))</f>
        <v/>
      </c>
    </row>
    <row r="973">
      <c r="M973">
        <f>IF(Sync!$M973&lt;&gt;"پاس چک","",IF(Sync!$P973="","",Sync!$P973))</f>
        <v/>
      </c>
      <c r="N973">
        <f>IF($M973="","",IF(ISNUMBER(Sync!$L973),IF(AND(Sync!$L973&gt;=10000101,Sync!$L973&lt;=99991231),RIGHT("0000"&amp;INT(Sync!$L973/10000),4)&amp;"/"&amp;RIGHT("00"&amp;INT(MOD(Sync!$L973,10000)/100),2)&amp;"/"&amp;RIGHT("00"&amp;MOD(Sync!$L973,100),2),""),IFERROR(RIGHT("0000"&amp;VALUE(TRIM(LEFT(Sync!$L973,FIND("/",Sync!$L973)-1))),4)&amp;"/"&amp;RIGHT("00"&amp;VALUE(TRIM(LEFT(MID(Sync!$L973,FIND("/",Sync!$L973)+1,20),FIND("/",MID(Sync!$L973,FIND("/",Sync!$L973)+1,20))-1))),2)&amp;"/"&amp;RIGHT("00"&amp;VALUE(TRIM(MID(MID(Sync!$L973,FIND("/",Sync!$L973)+1,20),FIND("/",MID(Sync!$L973,FIND("/",Sync!$L973)+1,20))+1,20))),2),"")))</f>
        <v/>
      </c>
    </row>
    <row r="974">
      <c r="M974">
        <f>IF(Sync!$M974&lt;&gt;"پاس چک","",IF(Sync!$P974="","",Sync!$P974))</f>
        <v/>
      </c>
      <c r="N974">
        <f>IF($M974="","",IF(ISNUMBER(Sync!$L974),IF(AND(Sync!$L974&gt;=10000101,Sync!$L974&lt;=99991231),RIGHT("0000"&amp;INT(Sync!$L974/10000),4)&amp;"/"&amp;RIGHT("00"&amp;INT(MOD(Sync!$L974,10000)/100),2)&amp;"/"&amp;RIGHT("00"&amp;MOD(Sync!$L974,100),2),""),IFERROR(RIGHT("0000"&amp;VALUE(TRIM(LEFT(Sync!$L974,FIND("/",Sync!$L974)-1))),4)&amp;"/"&amp;RIGHT("00"&amp;VALUE(TRIM(LEFT(MID(Sync!$L974,FIND("/",Sync!$L974)+1,20),FIND("/",MID(Sync!$L974,FIND("/",Sync!$L974)+1,20))-1))),2)&amp;"/"&amp;RIGHT("00"&amp;VALUE(TRIM(MID(MID(Sync!$L974,FIND("/",Sync!$L974)+1,20),FIND("/",MID(Sync!$L974,FIND("/",Sync!$L974)+1,20))+1,20))),2),"")))</f>
        <v/>
      </c>
    </row>
    <row r="975">
      <c r="M975">
        <f>IF(Sync!$M975&lt;&gt;"پاس چک","",IF(Sync!$P975="","",Sync!$P975))</f>
        <v/>
      </c>
      <c r="N975">
        <f>IF($M975="","",IF(ISNUMBER(Sync!$L975),IF(AND(Sync!$L975&gt;=10000101,Sync!$L975&lt;=99991231),RIGHT("0000"&amp;INT(Sync!$L975/10000),4)&amp;"/"&amp;RIGHT("00"&amp;INT(MOD(Sync!$L975,10000)/100),2)&amp;"/"&amp;RIGHT("00"&amp;MOD(Sync!$L975,100),2),""),IFERROR(RIGHT("0000"&amp;VALUE(TRIM(LEFT(Sync!$L975,FIND("/",Sync!$L975)-1))),4)&amp;"/"&amp;RIGHT("00"&amp;VALUE(TRIM(LEFT(MID(Sync!$L975,FIND("/",Sync!$L975)+1,20),FIND("/",MID(Sync!$L975,FIND("/",Sync!$L975)+1,20))-1))),2)&amp;"/"&amp;RIGHT("00"&amp;VALUE(TRIM(MID(MID(Sync!$L975,FIND("/",Sync!$L975)+1,20),FIND("/",MID(Sync!$L975,FIND("/",Sync!$L975)+1,20))+1,20))),2),"")))</f>
        <v/>
      </c>
    </row>
    <row r="976">
      <c r="M976">
        <f>IF(Sync!$M976&lt;&gt;"پاس چک","",IF(Sync!$P976="","",Sync!$P976))</f>
        <v/>
      </c>
      <c r="N976">
        <f>IF($M976="","",IF(ISNUMBER(Sync!$L976),IF(AND(Sync!$L976&gt;=10000101,Sync!$L976&lt;=99991231),RIGHT("0000"&amp;INT(Sync!$L976/10000),4)&amp;"/"&amp;RIGHT("00"&amp;INT(MOD(Sync!$L976,10000)/100),2)&amp;"/"&amp;RIGHT("00"&amp;MOD(Sync!$L976,100),2),""),IFERROR(RIGHT("0000"&amp;VALUE(TRIM(LEFT(Sync!$L976,FIND("/",Sync!$L976)-1))),4)&amp;"/"&amp;RIGHT("00"&amp;VALUE(TRIM(LEFT(MID(Sync!$L976,FIND("/",Sync!$L976)+1,20),FIND("/",MID(Sync!$L976,FIND("/",Sync!$L976)+1,20))-1))),2)&amp;"/"&amp;RIGHT("00"&amp;VALUE(TRIM(MID(MID(Sync!$L976,FIND("/",Sync!$L976)+1,20),FIND("/",MID(Sync!$L976,FIND("/",Sync!$L976)+1,20))+1,20))),2),"")))</f>
        <v/>
      </c>
    </row>
    <row r="977">
      <c r="M977">
        <f>IF(Sync!$M977&lt;&gt;"پاس چک","",IF(Sync!$P977="","",Sync!$P977))</f>
        <v/>
      </c>
      <c r="N977">
        <f>IF($M977="","",IF(ISNUMBER(Sync!$L977),IF(AND(Sync!$L977&gt;=10000101,Sync!$L977&lt;=99991231),RIGHT("0000"&amp;INT(Sync!$L977/10000),4)&amp;"/"&amp;RIGHT("00"&amp;INT(MOD(Sync!$L977,10000)/100),2)&amp;"/"&amp;RIGHT("00"&amp;MOD(Sync!$L977,100),2),""),IFERROR(RIGHT("0000"&amp;VALUE(TRIM(LEFT(Sync!$L977,FIND("/",Sync!$L977)-1))),4)&amp;"/"&amp;RIGHT("00"&amp;VALUE(TRIM(LEFT(MID(Sync!$L977,FIND("/",Sync!$L977)+1,20),FIND("/",MID(Sync!$L977,FIND("/",Sync!$L977)+1,20))-1))),2)&amp;"/"&amp;RIGHT("00"&amp;VALUE(TRIM(MID(MID(Sync!$L977,FIND("/",Sync!$L977)+1,20),FIND("/",MID(Sync!$L977,FIND("/",Sync!$L977)+1,20))+1,20))),2),"")))</f>
        <v/>
      </c>
    </row>
    <row r="978">
      <c r="M978">
        <f>IF(Sync!$M978&lt;&gt;"پاس چک","",IF(Sync!$P978="","",Sync!$P978))</f>
        <v/>
      </c>
      <c r="N978">
        <f>IF($M978="","",IF(ISNUMBER(Sync!$L978),IF(AND(Sync!$L978&gt;=10000101,Sync!$L978&lt;=99991231),RIGHT("0000"&amp;INT(Sync!$L978/10000),4)&amp;"/"&amp;RIGHT("00"&amp;INT(MOD(Sync!$L978,10000)/100),2)&amp;"/"&amp;RIGHT("00"&amp;MOD(Sync!$L978,100),2),""),IFERROR(RIGHT("0000"&amp;VALUE(TRIM(LEFT(Sync!$L978,FIND("/",Sync!$L978)-1))),4)&amp;"/"&amp;RIGHT("00"&amp;VALUE(TRIM(LEFT(MID(Sync!$L978,FIND("/",Sync!$L978)+1,20),FIND("/",MID(Sync!$L978,FIND("/",Sync!$L978)+1,20))-1))),2)&amp;"/"&amp;RIGHT("00"&amp;VALUE(TRIM(MID(MID(Sync!$L978,FIND("/",Sync!$L978)+1,20),FIND("/",MID(Sync!$L978,FIND("/",Sync!$L978)+1,20))+1,20))),2),"")))</f>
        <v/>
      </c>
    </row>
    <row r="979">
      <c r="M979">
        <f>IF(Sync!$M979&lt;&gt;"پاس چک","",IF(Sync!$P979="","",Sync!$P979))</f>
        <v/>
      </c>
      <c r="N979">
        <f>IF($M979="","",IF(ISNUMBER(Sync!$L979),IF(AND(Sync!$L979&gt;=10000101,Sync!$L979&lt;=99991231),RIGHT("0000"&amp;INT(Sync!$L979/10000),4)&amp;"/"&amp;RIGHT("00"&amp;INT(MOD(Sync!$L979,10000)/100),2)&amp;"/"&amp;RIGHT("00"&amp;MOD(Sync!$L979,100),2),""),IFERROR(RIGHT("0000"&amp;VALUE(TRIM(LEFT(Sync!$L979,FIND("/",Sync!$L979)-1))),4)&amp;"/"&amp;RIGHT("00"&amp;VALUE(TRIM(LEFT(MID(Sync!$L979,FIND("/",Sync!$L979)+1,20),FIND("/",MID(Sync!$L979,FIND("/",Sync!$L979)+1,20))-1))),2)&amp;"/"&amp;RIGHT("00"&amp;VALUE(TRIM(MID(MID(Sync!$L979,FIND("/",Sync!$L979)+1,20),FIND("/",MID(Sync!$L979,FIND("/",Sync!$L979)+1,20))+1,20))),2),"")))</f>
        <v/>
      </c>
    </row>
    <row r="980">
      <c r="M980">
        <f>IF(Sync!$M980&lt;&gt;"پاس چک","",IF(Sync!$P980="","",Sync!$P980))</f>
        <v/>
      </c>
      <c r="N980">
        <f>IF($M980="","",IF(ISNUMBER(Sync!$L980),IF(AND(Sync!$L980&gt;=10000101,Sync!$L980&lt;=99991231),RIGHT("0000"&amp;INT(Sync!$L980/10000),4)&amp;"/"&amp;RIGHT("00"&amp;INT(MOD(Sync!$L980,10000)/100),2)&amp;"/"&amp;RIGHT("00"&amp;MOD(Sync!$L980,100),2),""),IFERROR(RIGHT("0000"&amp;VALUE(TRIM(LEFT(Sync!$L980,FIND("/",Sync!$L980)-1))),4)&amp;"/"&amp;RIGHT("00"&amp;VALUE(TRIM(LEFT(MID(Sync!$L980,FIND("/",Sync!$L980)+1,20),FIND("/",MID(Sync!$L980,FIND("/",Sync!$L980)+1,20))-1))),2)&amp;"/"&amp;RIGHT("00"&amp;VALUE(TRIM(MID(MID(Sync!$L980,FIND("/",Sync!$L980)+1,20),FIND("/",MID(Sync!$L980,FIND("/",Sync!$L980)+1,20))+1,20))),2),"")))</f>
        <v/>
      </c>
    </row>
    <row r="981">
      <c r="M981">
        <f>IF(Sync!$M981&lt;&gt;"پاس چک","",IF(Sync!$P981="","",Sync!$P981))</f>
        <v/>
      </c>
      <c r="N981">
        <f>IF($M981="","",IF(ISNUMBER(Sync!$L981),IF(AND(Sync!$L981&gt;=10000101,Sync!$L981&lt;=99991231),RIGHT("0000"&amp;INT(Sync!$L981/10000),4)&amp;"/"&amp;RIGHT("00"&amp;INT(MOD(Sync!$L981,10000)/100),2)&amp;"/"&amp;RIGHT("00"&amp;MOD(Sync!$L981,100),2),""),IFERROR(RIGHT("0000"&amp;VALUE(TRIM(LEFT(Sync!$L981,FIND("/",Sync!$L981)-1))),4)&amp;"/"&amp;RIGHT("00"&amp;VALUE(TRIM(LEFT(MID(Sync!$L981,FIND("/",Sync!$L981)+1,20),FIND("/",MID(Sync!$L981,FIND("/",Sync!$L981)+1,20))-1))),2)&amp;"/"&amp;RIGHT("00"&amp;VALUE(TRIM(MID(MID(Sync!$L981,FIND("/",Sync!$L981)+1,20),FIND("/",MID(Sync!$L981,FIND("/",Sync!$L981)+1,20))+1,20))),2),"")))</f>
        <v/>
      </c>
    </row>
    <row r="982">
      <c r="M982">
        <f>IF(Sync!$M982&lt;&gt;"پاس چک","",IF(Sync!$P982="","",Sync!$P982))</f>
        <v/>
      </c>
      <c r="N982">
        <f>IF($M982="","",IF(ISNUMBER(Sync!$L982),IF(AND(Sync!$L982&gt;=10000101,Sync!$L982&lt;=99991231),RIGHT("0000"&amp;INT(Sync!$L982/10000),4)&amp;"/"&amp;RIGHT("00"&amp;INT(MOD(Sync!$L982,10000)/100),2)&amp;"/"&amp;RIGHT("00"&amp;MOD(Sync!$L982,100),2),""),IFERROR(RIGHT("0000"&amp;VALUE(TRIM(LEFT(Sync!$L982,FIND("/",Sync!$L982)-1))),4)&amp;"/"&amp;RIGHT("00"&amp;VALUE(TRIM(LEFT(MID(Sync!$L982,FIND("/",Sync!$L982)+1,20),FIND("/",MID(Sync!$L982,FIND("/",Sync!$L982)+1,20))-1))),2)&amp;"/"&amp;RIGHT("00"&amp;VALUE(TRIM(MID(MID(Sync!$L982,FIND("/",Sync!$L982)+1,20),FIND("/",MID(Sync!$L982,FIND("/",Sync!$L982)+1,20))+1,20))),2),"")))</f>
        <v/>
      </c>
    </row>
    <row r="983">
      <c r="M983">
        <f>IF(Sync!$M983&lt;&gt;"پاس چک","",IF(Sync!$P983="","",Sync!$P983))</f>
        <v/>
      </c>
      <c r="N983">
        <f>IF($M983="","",IF(ISNUMBER(Sync!$L983),IF(AND(Sync!$L983&gt;=10000101,Sync!$L983&lt;=99991231),RIGHT("0000"&amp;INT(Sync!$L983/10000),4)&amp;"/"&amp;RIGHT("00"&amp;INT(MOD(Sync!$L983,10000)/100),2)&amp;"/"&amp;RIGHT("00"&amp;MOD(Sync!$L983,100),2),""),IFERROR(RIGHT("0000"&amp;VALUE(TRIM(LEFT(Sync!$L983,FIND("/",Sync!$L983)-1))),4)&amp;"/"&amp;RIGHT("00"&amp;VALUE(TRIM(LEFT(MID(Sync!$L983,FIND("/",Sync!$L983)+1,20),FIND("/",MID(Sync!$L983,FIND("/",Sync!$L983)+1,20))-1))),2)&amp;"/"&amp;RIGHT("00"&amp;VALUE(TRIM(MID(MID(Sync!$L983,FIND("/",Sync!$L983)+1,20),FIND("/",MID(Sync!$L983,FIND("/",Sync!$L983)+1,20))+1,20))),2),"")))</f>
        <v/>
      </c>
    </row>
    <row r="984">
      <c r="M984">
        <f>IF(Sync!$M984&lt;&gt;"پاس چک","",IF(Sync!$P984="","",Sync!$P984))</f>
        <v/>
      </c>
      <c r="N984">
        <f>IF($M984="","",IF(ISNUMBER(Sync!$L984),IF(AND(Sync!$L984&gt;=10000101,Sync!$L984&lt;=99991231),RIGHT("0000"&amp;INT(Sync!$L984/10000),4)&amp;"/"&amp;RIGHT("00"&amp;INT(MOD(Sync!$L984,10000)/100),2)&amp;"/"&amp;RIGHT("00"&amp;MOD(Sync!$L984,100),2),""),IFERROR(RIGHT("0000"&amp;VALUE(TRIM(LEFT(Sync!$L984,FIND("/",Sync!$L984)-1))),4)&amp;"/"&amp;RIGHT("00"&amp;VALUE(TRIM(LEFT(MID(Sync!$L984,FIND("/",Sync!$L984)+1,20),FIND("/",MID(Sync!$L984,FIND("/",Sync!$L984)+1,20))-1))),2)&amp;"/"&amp;RIGHT("00"&amp;VALUE(TRIM(MID(MID(Sync!$L984,FIND("/",Sync!$L984)+1,20),FIND("/",MID(Sync!$L984,FIND("/",Sync!$L984)+1,20))+1,20))),2),"")))</f>
        <v/>
      </c>
    </row>
    <row r="985">
      <c r="M985">
        <f>IF(Sync!$M985&lt;&gt;"پاس چک","",IF(Sync!$P985="","",Sync!$P985))</f>
        <v/>
      </c>
      <c r="N985">
        <f>IF($M985="","",IF(ISNUMBER(Sync!$L985),IF(AND(Sync!$L985&gt;=10000101,Sync!$L985&lt;=99991231),RIGHT("0000"&amp;INT(Sync!$L985/10000),4)&amp;"/"&amp;RIGHT("00"&amp;INT(MOD(Sync!$L985,10000)/100),2)&amp;"/"&amp;RIGHT("00"&amp;MOD(Sync!$L985,100),2),""),IFERROR(RIGHT("0000"&amp;VALUE(TRIM(LEFT(Sync!$L985,FIND("/",Sync!$L985)-1))),4)&amp;"/"&amp;RIGHT("00"&amp;VALUE(TRIM(LEFT(MID(Sync!$L985,FIND("/",Sync!$L985)+1,20),FIND("/",MID(Sync!$L985,FIND("/",Sync!$L985)+1,20))-1))),2)&amp;"/"&amp;RIGHT("00"&amp;VALUE(TRIM(MID(MID(Sync!$L985,FIND("/",Sync!$L985)+1,20),FIND("/",MID(Sync!$L985,FIND("/",Sync!$L985)+1,20))+1,20))),2),"")))</f>
        <v/>
      </c>
    </row>
    <row r="986">
      <c r="M986">
        <f>IF(Sync!$M986&lt;&gt;"پاس چک","",IF(Sync!$P986="","",Sync!$P986))</f>
        <v/>
      </c>
      <c r="N986">
        <f>IF($M986="","",IF(ISNUMBER(Sync!$L986),IF(AND(Sync!$L986&gt;=10000101,Sync!$L986&lt;=99991231),RIGHT("0000"&amp;INT(Sync!$L986/10000),4)&amp;"/"&amp;RIGHT("00"&amp;INT(MOD(Sync!$L986,10000)/100),2)&amp;"/"&amp;RIGHT("00"&amp;MOD(Sync!$L986,100),2),""),IFERROR(RIGHT("0000"&amp;VALUE(TRIM(LEFT(Sync!$L986,FIND("/",Sync!$L986)-1))),4)&amp;"/"&amp;RIGHT("00"&amp;VALUE(TRIM(LEFT(MID(Sync!$L986,FIND("/",Sync!$L986)+1,20),FIND("/",MID(Sync!$L986,FIND("/",Sync!$L986)+1,20))-1))),2)&amp;"/"&amp;RIGHT("00"&amp;VALUE(TRIM(MID(MID(Sync!$L986,FIND("/",Sync!$L986)+1,20),FIND("/",MID(Sync!$L986,FIND("/",Sync!$L986)+1,20))+1,20))),2),"")))</f>
        <v/>
      </c>
    </row>
    <row r="987">
      <c r="M987">
        <f>IF(Sync!$M987&lt;&gt;"پاس چک","",IF(Sync!$P987="","",Sync!$P987))</f>
        <v/>
      </c>
      <c r="N987">
        <f>IF($M987="","",IF(ISNUMBER(Sync!$L987),IF(AND(Sync!$L987&gt;=10000101,Sync!$L987&lt;=99991231),RIGHT("0000"&amp;INT(Sync!$L987/10000),4)&amp;"/"&amp;RIGHT("00"&amp;INT(MOD(Sync!$L987,10000)/100),2)&amp;"/"&amp;RIGHT("00"&amp;MOD(Sync!$L987,100),2),""),IFERROR(RIGHT("0000"&amp;VALUE(TRIM(LEFT(Sync!$L987,FIND("/",Sync!$L987)-1))),4)&amp;"/"&amp;RIGHT("00"&amp;VALUE(TRIM(LEFT(MID(Sync!$L987,FIND("/",Sync!$L987)+1,20),FIND("/",MID(Sync!$L987,FIND("/",Sync!$L987)+1,20))-1))),2)&amp;"/"&amp;RIGHT("00"&amp;VALUE(TRIM(MID(MID(Sync!$L987,FIND("/",Sync!$L987)+1,20),FIND("/",MID(Sync!$L987,FIND("/",Sync!$L987)+1,20))+1,20))),2),"")))</f>
        <v/>
      </c>
    </row>
    <row r="988">
      <c r="M988">
        <f>IF(Sync!$M988&lt;&gt;"پاس چک","",IF(Sync!$P988="","",Sync!$P988))</f>
        <v/>
      </c>
      <c r="N988">
        <f>IF($M988="","",IF(ISNUMBER(Sync!$L988),IF(AND(Sync!$L988&gt;=10000101,Sync!$L988&lt;=99991231),RIGHT("0000"&amp;INT(Sync!$L988/10000),4)&amp;"/"&amp;RIGHT("00"&amp;INT(MOD(Sync!$L988,10000)/100),2)&amp;"/"&amp;RIGHT("00"&amp;MOD(Sync!$L988,100),2),""),IFERROR(RIGHT("0000"&amp;VALUE(TRIM(LEFT(Sync!$L988,FIND("/",Sync!$L988)-1))),4)&amp;"/"&amp;RIGHT("00"&amp;VALUE(TRIM(LEFT(MID(Sync!$L988,FIND("/",Sync!$L988)+1,20),FIND("/",MID(Sync!$L988,FIND("/",Sync!$L988)+1,20))-1))),2)&amp;"/"&amp;RIGHT("00"&amp;VALUE(TRIM(MID(MID(Sync!$L988,FIND("/",Sync!$L988)+1,20),FIND("/",MID(Sync!$L988,FIND("/",Sync!$L988)+1,20))+1,20))),2),"")))</f>
        <v/>
      </c>
    </row>
    <row r="989">
      <c r="M989">
        <f>IF(Sync!$M989&lt;&gt;"پاس چک","",IF(Sync!$P989="","",Sync!$P989))</f>
        <v/>
      </c>
      <c r="N989">
        <f>IF($M989="","",IF(ISNUMBER(Sync!$L989),IF(AND(Sync!$L989&gt;=10000101,Sync!$L989&lt;=99991231),RIGHT("0000"&amp;INT(Sync!$L989/10000),4)&amp;"/"&amp;RIGHT("00"&amp;INT(MOD(Sync!$L989,10000)/100),2)&amp;"/"&amp;RIGHT("00"&amp;MOD(Sync!$L989,100),2),""),IFERROR(RIGHT("0000"&amp;VALUE(TRIM(LEFT(Sync!$L989,FIND("/",Sync!$L989)-1))),4)&amp;"/"&amp;RIGHT("00"&amp;VALUE(TRIM(LEFT(MID(Sync!$L989,FIND("/",Sync!$L989)+1,20),FIND("/",MID(Sync!$L989,FIND("/",Sync!$L989)+1,20))-1))),2)&amp;"/"&amp;RIGHT("00"&amp;VALUE(TRIM(MID(MID(Sync!$L989,FIND("/",Sync!$L989)+1,20),FIND("/",MID(Sync!$L989,FIND("/",Sync!$L989)+1,20))+1,20))),2),"")))</f>
        <v/>
      </c>
    </row>
    <row r="990">
      <c r="M990">
        <f>IF(Sync!$M990&lt;&gt;"پاس چک","",IF(Sync!$P990="","",Sync!$P990))</f>
        <v/>
      </c>
      <c r="N990">
        <f>IF($M990="","",IF(ISNUMBER(Sync!$L990),IF(AND(Sync!$L990&gt;=10000101,Sync!$L990&lt;=99991231),RIGHT("0000"&amp;INT(Sync!$L990/10000),4)&amp;"/"&amp;RIGHT("00"&amp;INT(MOD(Sync!$L990,10000)/100),2)&amp;"/"&amp;RIGHT("00"&amp;MOD(Sync!$L990,100),2),""),IFERROR(RIGHT("0000"&amp;VALUE(TRIM(LEFT(Sync!$L990,FIND("/",Sync!$L990)-1))),4)&amp;"/"&amp;RIGHT("00"&amp;VALUE(TRIM(LEFT(MID(Sync!$L990,FIND("/",Sync!$L990)+1,20),FIND("/",MID(Sync!$L990,FIND("/",Sync!$L990)+1,20))-1))),2)&amp;"/"&amp;RIGHT("00"&amp;VALUE(TRIM(MID(MID(Sync!$L990,FIND("/",Sync!$L990)+1,20),FIND("/",MID(Sync!$L990,FIND("/",Sync!$L990)+1,20))+1,20))),2),"")))</f>
        <v/>
      </c>
    </row>
    <row r="991">
      <c r="M991">
        <f>IF(Sync!$M991&lt;&gt;"پاس چک","",IF(Sync!$P991="","",Sync!$P991))</f>
        <v/>
      </c>
      <c r="N991">
        <f>IF($M991="","",IF(ISNUMBER(Sync!$L991),IF(AND(Sync!$L991&gt;=10000101,Sync!$L991&lt;=99991231),RIGHT("0000"&amp;INT(Sync!$L991/10000),4)&amp;"/"&amp;RIGHT("00"&amp;INT(MOD(Sync!$L991,10000)/100),2)&amp;"/"&amp;RIGHT("00"&amp;MOD(Sync!$L991,100),2),""),IFERROR(RIGHT("0000"&amp;VALUE(TRIM(LEFT(Sync!$L991,FIND("/",Sync!$L991)-1))),4)&amp;"/"&amp;RIGHT("00"&amp;VALUE(TRIM(LEFT(MID(Sync!$L991,FIND("/",Sync!$L991)+1,20),FIND("/",MID(Sync!$L991,FIND("/",Sync!$L991)+1,20))-1))),2)&amp;"/"&amp;RIGHT("00"&amp;VALUE(TRIM(MID(MID(Sync!$L991,FIND("/",Sync!$L991)+1,20),FIND("/",MID(Sync!$L991,FIND("/",Sync!$L991)+1,20))+1,20))),2),"")))</f>
        <v/>
      </c>
    </row>
    <row r="992">
      <c r="M992">
        <f>IF(Sync!$M992&lt;&gt;"پاس چک","",IF(Sync!$P992="","",Sync!$P992))</f>
        <v/>
      </c>
      <c r="N992">
        <f>IF($M992="","",IF(ISNUMBER(Sync!$L992),IF(AND(Sync!$L992&gt;=10000101,Sync!$L992&lt;=99991231),RIGHT("0000"&amp;INT(Sync!$L992/10000),4)&amp;"/"&amp;RIGHT("00"&amp;INT(MOD(Sync!$L992,10000)/100),2)&amp;"/"&amp;RIGHT("00"&amp;MOD(Sync!$L992,100),2),""),IFERROR(RIGHT("0000"&amp;VALUE(TRIM(LEFT(Sync!$L992,FIND("/",Sync!$L992)-1))),4)&amp;"/"&amp;RIGHT("00"&amp;VALUE(TRIM(LEFT(MID(Sync!$L992,FIND("/",Sync!$L992)+1,20),FIND("/",MID(Sync!$L992,FIND("/",Sync!$L992)+1,20))-1))),2)&amp;"/"&amp;RIGHT("00"&amp;VALUE(TRIM(MID(MID(Sync!$L992,FIND("/",Sync!$L992)+1,20),FIND("/",MID(Sync!$L992,FIND("/",Sync!$L992)+1,20))+1,20))),2),"")))</f>
        <v/>
      </c>
    </row>
    <row r="993">
      <c r="M993">
        <f>IF(Sync!$M993&lt;&gt;"پاس چک","",IF(Sync!$P993="","",Sync!$P993))</f>
        <v/>
      </c>
      <c r="N993">
        <f>IF($M993="","",IF(ISNUMBER(Sync!$L993),IF(AND(Sync!$L993&gt;=10000101,Sync!$L993&lt;=99991231),RIGHT("0000"&amp;INT(Sync!$L993/10000),4)&amp;"/"&amp;RIGHT("00"&amp;INT(MOD(Sync!$L993,10000)/100),2)&amp;"/"&amp;RIGHT("00"&amp;MOD(Sync!$L993,100),2),""),IFERROR(RIGHT("0000"&amp;VALUE(TRIM(LEFT(Sync!$L993,FIND("/",Sync!$L993)-1))),4)&amp;"/"&amp;RIGHT("00"&amp;VALUE(TRIM(LEFT(MID(Sync!$L993,FIND("/",Sync!$L993)+1,20),FIND("/",MID(Sync!$L993,FIND("/",Sync!$L993)+1,20))-1))),2)&amp;"/"&amp;RIGHT("00"&amp;VALUE(TRIM(MID(MID(Sync!$L993,FIND("/",Sync!$L993)+1,20),FIND("/",MID(Sync!$L993,FIND("/",Sync!$L993)+1,20))+1,20))),2),"")))</f>
        <v/>
      </c>
    </row>
    <row r="994">
      <c r="M994">
        <f>IF(Sync!$M994&lt;&gt;"پاس چک","",IF(Sync!$P994="","",Sync!$P994))</f>
        <v/>
      </c>
      <c r="N994">
        <f>IF($M994="","",IF(ISNUMBER(Sync!$L994),IF(AND(Sync!$L994&gt;=10000101,Sync!$L994&lt;=99991231),RIGHT("0000"&amp;INT(Sync!$L994/10000),4)&amp;"/"&amp;RIGHT("00"&amp;INT(MOD(Sync!$L994,10000)/100),2)&amp;"/"&amp;RIGHT("00"&amp;MOD(Sync!$L994,100),2),""),IFERROR(RIGHT("0000"&amp;VALUE(TRIM(LEFT(Sync!$L994,FIND("/",Sync!$L994)-1))),4)&amp;"/"&amp;RIGHT("00"&amp;VALUE(TRIM(LEFT(MID(Sync!$L994,FIND("/",Sync!$L994)+1,20),FIND("/",MID(Sync!$L994,FIND("/",Sync!$L994)+1,20))-1))),2)&amp;"/"&amp;RIGHT("00"&amp;VALUE(TRIM(MID(MID(Sync!$L994,FIND("/",Sync!$L994)+1,20),FIND("/",MID(Sync!$L994,FIND("/",Sync!$L994)+1,20))+1,20))),2),"")))</f>
        <v/>
      </c>
    </row>
    <row r="995">
      <c r="M995">
        <f>IF(Sync!$M995&lt;&gt;"پاس چک","",IF(Sync!$P995="","",Sync!$P995))</f>
        <v/>
      </c>
      <c r="N995">
        <f>IF($M995="","",IF(ISNUMBER(Sync!$L995),IF(AND(Sync!$L995&gt;=10000101,Sync!$L995&lt;=99991231),RIGHT("0000"&amp;INT(Sync!$L995/10000),4)&amp;"/"&amp;RIGHT("00"&amp;INT(MOD(Sync!$L995,10000)/100),2)&amp;"/"&amp;RIGHT("00"&amp;MOD(Sync!$L995,100),2),""),IFERROR(RIGHT("0000"&amp;VALUE(TRIM(LEFT(Sync!$L995,FIND("/",Sync!$L995)-1))),4)&amp;"/"&amp;RIGHT("00"&amp;VALUE(TRIM(LEFT(MID(Sync!$L995,FIND("/",Sync!$L995)+1,20),FIND("/",MID(Sync!$L995,FIND("/",Sync!$L995)+1,20))-1))),2)&amp;"/"&amp;RIGHT("00"&amp;VALUE(TRIM(MID(MID(Sync!$L995,FIND("/",Sync!$L995)+1,20),FIND("/",MID(Sync!$L995,FIND("/",Sync!$L995)+1,20))+1,20))),2),"")))</f>
        <v/>
      </c>
    </row>
    <row r="996">
      <c r="M996">
        <f>IF(Sync!$M996&lt;&gt;"پاس چک","",IF(Sync!$P996="","",Sync!$P996))</f>
        <v/>
      </c>
      <c r="N996">
        <f>IF($M996="","",IF(ISNUMBER(Sync!$L996),IF(AND(Sync!$L996&gt;=10000101,Sync!$L996&lt;=99991231),RIGHT("0000"&amp;INT(Sync!$L996/10000),4)&amp;"/"&amp;RIGHT("00"&amp;INT(MOD(Sync!$L996,10000)/100),2)&amp;"/"&amp;RIGHT("00"&amp;MOD(Sync!$L996,100),2),""),IFERROR(RIGHT("0000"&amp;VALUE(TRIM(LEFT(Sync!$L996,FIND("/",Sync!$L996)-1))),4)&amp;"/"&amp;RIGHT("00"&amp;VALUE(TRIM(LEFT(MID(Sync!$L996,FIND("/",Sync!$L996)+1,20),FIND("/",MID(Sync!$L996,FIND("/",Sync!$L996)+1,20))-1))),2)&amp;"/"&amp;RIGHT("00"&amp;VALUE(TRIM(MID(MID(Sync!$L996,FIND("/",Sync!$L996)+1,20),FIND("/",MID(Sync!$L996,FIND("/",Sync!$L996)+1,20))+1,20))),2),"")))</f>
        <v/>
      </c>
    </row>
    <row r="997">
      <c r="M997">
        <f>IF(Sync!$M997&lt;&gt;"پاس چک","",IF(Sync!$P997="","",Sync!$P997))</f>
        <v/>
      </c>
      <c r="N997">
        <f>IF($M997="","",IF(ISNUMBER(Sync!$L997),IF(AND(Sync!$L997&gt;=10000101,Sync!$L997&lt;=99991231),RIGHT("0000"&amp;INT(Sync!$L997/10000),4)&amp;"/"&amp;RIGHT("00"&amp;INT(MOD(Sync!$L997,10000)/100),2)&amp;"/"&amp;RIGHT("00"&amp;MOD(Sync!$L997,100),2),""),IFERROR(RIGHT("0000"&amp;VALUE(TRIM(LEFT(Sync!$L997,FIND("/",Sync!$L997)-1))),4)&amp;"/"&amp;RIGHT("00"&amp;VALUE(TRIM(LEFT(MID(Sync!$L997,FIND("/",Sync!$L997)+1,20),FIND("/",MID(Sync!$L997,FIND("/",Sync!$L997)+1,20))-1))),2)&amp;"/"&amp;RIGHT("00"&amp;VALUE(TRIM(MID(MID(Sync!$L997,FIND("/",Sync!$L997)+1,20),FIND("/",MID(Sync!$L997,FIND("/",Sync!$L997)+1,20))+1,20))),2),"")))</f>
        <v/>
      </c>
    </row>
    <row r="998">
      <c r="M998">
        <f>IF(Sync!$M998&lt;&gt;"پاس چک","",IF(Sync!$P998="","",Sync!$P998))</f>
        <v/>
      </c>
      <c r="N998">
        <f>IF($M998="","",IF(ISNUMBER(Sync!$L998),IF(AND(Sync!$L998&gt;=10000101,Sync!$L998&lt;=99991231),RIGHT("0000"&amp;INT(Sync!$L998/10000),4)&amp;"/"&amp;RIGHT("00"&amp;INT(MOD(Sync!$L998,10000)/100),2)&amp;"/"&amp;RIGHT("00"&amp;MOD(Sync!$L998,100),2),""),IFERROR(RIGHT("0000"&amp;VALUE(TRIM(LEFT(Sync!$L998,FIND("/",Sync!$L998)-1))),4)&amp;"/"&amp;RIGHT("00"&amp;VALUE(TRIM(LEFT(MID(Sync!$L998,FIND("/",Sync!$L998)+1,20),FIND("/",MID(Sync!$L998,FIND("/",Sync!$L998)+1,20))-1))),2)&amp;"/"&amp;RIGHT("00"&amp;VALUE(TRIM(MID(MID(Sync!$L998,FIND("/",Sync!$L998)+1,20),FIND("/",MID(Sync!$L998,FIND("/",Sync!$L998)+1,20))+1,20))),2),"")))</f>
        <v/>
      </c>
    </row>
    <row r="999">
      <c r="M999">
        <f>IF(Sync!$M999&lt;&gt;"پاس چک","",IF(Sync!$P999="","",Sync!$P999))</f>
        <v/>
      </c>
      <c r="N999">
        <f>IF($M999="","",IF(ISNUMBER(Sync!$L999),IF(AND(Sync!$L999&gt;=10000101,Sync!$L999&lt;=99991231),RIGHT("0000"&amp;INT(Sync!$L999/10000),4)&amp;"/"&amp;RIGHT("00"&amp;INT(MOD(Sync!$L999,10000)/100),2)&amp;"/"&amp;RIGHT("00"&amp;MOD(Sync!$L999,100),2),""),IFERROR(RIGHT("0000"&amp;VALUE(TRIM(LEFT(Sync!$L999,FIND("/",Sync!$L999)-1))),4)&amp;"/"&amp;RIGHT("00"&amp;VALUE(TRIM(LEFT(MID(Sync!$L999,FIND("/",Sync!$L999)+1,20),FIND("/",MID(Sync!$L999,FIND("/",Sync!$L999)+1,20))-1))),2)&amp;"/"&amp;RIGHT("00"&amp;VALUE(TRIM(MID(MID(Sync!$L999,FIND("/",Sync!$L999)+1,20),FIND("/",MID(Sync!$L999,FIND("/",Sync!$L999)+1,20))+1,20))),2),"")))</f>
        <v/>
      </c>
    </row>
    <row r="1000">
      <c r="M1000">
        <f>IF(Sync!$M1000&lt;&gt;"پاس چک","",IF(Sync!$P1000="","",Sync!$P1000))</f>
        <v/>
      </c>
      <c r="N1000">
        <f>IF($M1000="","",IF(ISNUMBER(Sync!$L1000),IF(AND(Sync!$L1000&gt;=10000101,Sync!$L1000&lt;=99991231),RIGHT("0000"&amp;INT(Sync!$L1000/10000),4)&amp;"/"&amp;RIGHT("00"&amp;INT(MOD(Sync!$L1000,10000)/100),2)&amp;"/"&amp;RIGHT("00"&amp;MOD(Sync!$L1000,100),2),""),IFERROR(RIGHT("0000"&amp;VALUE(TRIM(LEFT(Sync!$L1000,FIND("/",Sync!$L1000)-1))),4)&amp;"/"&amp;RIGHT("00"&amp;VALUE(TRIM(LEFT(MID(Sync!$L1000,FIND("/",Sync!$L1000)+1,20),FIND("/",MID(Sync!$L1000,FIND("/",Sync!$L1000)+1,20))-1))),2)&amp;"/"&amp;RIGHT("00"&amp;VALUE(TRIM(MID(MID(Sync!$L1000,FIND("/",Sync!$L1000)+1,20),FIND("/",MID(Sync!$L1000,FIND("/",Sync!$L1000)+1,20))+1,20))),2),"")))</f>
        <v/>
      </c>
    </row>
    <row r="1001">
      <c r="M1001">
        <f>IF(Sync!$M1001&lt;&gt;"پاس چک","",IF(Sync!$P1001="","",Sync!$P1001))</f>
        <v/>
      </c>
      <c r="N1001">
        <f>IF($M1001="","",IF(ISNUMBER(Sync!$L1001),IF(AND(Sync!$L1001&gt;=10000101,Sync!$L1001&lt;=99991231),RIGHT("0000"&amp;INT(Sync!$L1001/10000),4)&amp;"/"&amp;RIGHT("00"&amp;INT(MOD(Sync!$L1001,10000)/100),2)&amp;"/"&amp;RIGHT("00"&amp;MOD(Sync!$L1001,100),2),""),IFERROR(RIGHT("0000"&amp;VALUE(TRIM(LEFT(Sync!$L1001,FIND("/",Sync!$L1001)-1))),4)&amp;"/"&amp;RIGHT("00"&amp;VALUE(TRIM(LEFT(MID(Sync!$L1001,FIND("/",Sync!$L1001)+1,20),FIND("/",MID(Sync!$L1001,FIND("/",Sync!$L1001)+1,20))-1))),2)&amp;"/"&amp;RIGHT("00"&amp;VALUE(TRIM(MID(MID(Sync!$L1001,FIND("/",Sync!$L1001)+1,20),FIND("/",MID(Sync!$L1001,FIND("/",Sync!$L1001)+1,20))+1,20))),2),"")))</f>
        <v/>
      </c>
    </row>
    <row r="1002">
      <c r="M1002">
        <f>IF(Sync!$M1002&lt;&gt;"پاس چک","",IF(Sync!$P1002="","",Sync!$P1002))</f>
        <v/>
      </c>
      <c r="N1002">
        <f>IF($M1002="","",IF(ISNUMBER(Sync!$L1002),IF(AND(Sync!$L1002&gt;=10000101,Sync!$L1002&lt;=99991231),RIGHT("0000"&amp;INT(Sync!$L1002/10000),4)&amp;"/"&amp;RIGHT("00"&amp;INT(MOD(Sync!$L1002,10000)/100),2)&amp;"/"&amp;RIGHT("00"&amp;MOD(Sync!$L1002,100),2),""),IFERROR(RIGHT("0000"&amp;VALUE(TRIM(LEFT(Sync!$L1002,FIND("/",Sync!$L1002)-1))),4)&amp;"/"&amp;RIGHT("00"&amp;VALUE(TRIM(LEFT(MID(Sync!$L1002,FIND("/",Sync!$L1002)+1,20),FIND("/",MID(Sync!$L1002,FIND("/",Sync!$L1002)+1,20))-1))),2)&amp;"/"&amp;RIGHT("00"&amp;VALUE(TRIM(MID(MID(Sync!$L1002,FIND("/",Sync!$L1002)+1,20),FIND("/",MID(Sync!$L1002,FIND("/",Sync!$L1002)+1,20))+1,20))),2),"")))</f>
        <v/>
      </c>
    </row>
    <row r="1003">
      <c r="M1003">
        <f>IF(Sync!$M1003&lt;&gt;"پاس چک","",IF(Sync!$P1003="","",Sync!$P1003))</f>
        <v/>
      </c>
      <c r="N1003">
        <f>IF($M1003="","",IF(ISNUMBER(Sync!$L1003),IF(AND(Sync!$L1003&gt;=10000101,Sync!$L1003&lt;=99991231),RIGHT("0000"&amp;INT(Sync!$L1003/10000),4)&amp;"/"&amp;RIGHT("00"&amp;INT(MOD(Sync!$L1003,10000)/100),2)&amp;"/"&amp;RIGHT("00"&amp;MOD(Sync!$L1003,100),2),""),IFERROR(RIGHT("0000"&amp;VALUE(TRIM(LEFT(Sync!$L1003,FIND("/",Sync!$L1003)-1))),4)&amp;"/"&amp;RIGHT("00"&amp;VALUE(TRIM(LEFT(MID(Sync!$L1003,FIND("/",Sync!$L1003)+1,20),FIND("/",MID(Sync!$L1003,FIND("/",Sync!$L1003)+1,20))-1))),2)&amp;"/"&amp;RIGHT("00"&amp;VALUE(TRIM(MID(MID(Sync!$L1003,FIND("/",Sync!$L1003)+1,20),FIND("/",MID(Sync!$L1003,FIND("/",Sync!$L1003)+1,20))+1,20))),2),"")))</f>
        <v/>
      </c>
    </row>
    <row r="1004">
      <c r="M1004">
        <f>IF(Sync!$M1004&lt;&gt;"پاس چک","",IF(Sync!$P1004="","",Sync!$P1004))</f>
        <v/>
      </c>
      <c r="N1004">
        <f>IF($M1004="","",IF(ISNUMBER(Sync!$L1004),IF(AND(Sync!$L1004&gt;=10000101,Sync!$L1004&lt;=99991231),RIGHT("0000"&amp;INT(Sync!$L1004/10000),4)&amp;"/"&amp;RIGHT("00"&amp;INT(MOD(Sync!$L1004,10000)/100),2)&amp;"/"&amp;RIGHT("00"&amp;MOD(Sync!$L1004,100),2),""),IFERROR(RIGHT("0000"&amp;VALUE(TRIM(LEFT(Sync!$L1004,FIND("/",Sync!$L1004)-1))),4)&amp;"/"&amp;RIGHT("00"&amp;VALUE(TRIM(LEFT(MID(Sync!$L1004,FIND("/",Sync!$L1004)+1,20),FIND("/",MID(Sync!$L1004,FIND("/",Sync!$L1004)+1,20))-1))),2)&amp;"/"&amp;RIGHT("00"&amp;VALUE(TRIM(MID(MID(Sync!$L1004,FIND("/",Sync!$L1004)+1,20),FIND("/",MID(Sync!$L1004,FIND("/",Sync!$L1004)+1,20))+1,20))),2),"")))</f>
        <v/>
      </c>
    </row>
    <row r="1005">
      <c r="M1005">
        <f>IF(Sync!$M1005&lt;&gt;"پاس چک","",IF(Sync!$P1005="","",Sync!$P1005))</f>
        <v/>
      </c>
      <c r="N1005">
        <f>IF($M1005="","",IF(ISNUMBER(Sync!$L1005),IF(AND(Sync!$L1005&gt;=10000101,Sync!$L1005&lt;=99991231),RIGHT("0000"&amp;INT(Sync!$L1005/10000),4)&amp;"/"&amp;RIGHT("00"&amp;INT(MOD(Sync!$L1005,10000)/100),2)&amp;"/"&amp;RIGHT("00"&amp;MOD(Sync!$L1005,100),2),""),IFERROR(RIGHT("0000"&amp;VALUE(TRIM(LEFT(Sync!$L1005,FIND("/",Sync!$L1005)-1))),4)&amp;"/"&amp;RIGHT("00"&amp;VALUE(TRIM(LEFT(MID(Sync!$L1005,FIND("/",Sync!$L1005)+1,20),FIND("/",MID(Sync!$L1005,FIND("/",Sync!$L1005)+1,20))-1))),2)&amp;"/"&amp;RIGHT("00"&amp;VALUE(TRIM(MID(MID(Sync!$L1005,FIND("/",Sync!$L1005)+1,20),FIND("/",MID(Sync!$L1005,FIND("/",Sync!$L1005)+1,20))+1,20))),2),"")))</f>
        <v/>
      </c>
    </row>
    <row r="1006">
      <c r="M1006">
        <f>IF(Sync!$M1006&lt;&gt;"پاس چک","",IF(Sync!$P1006="","",Sync!$P1006))</f>
        <v/>
      </c>
      <c r="N1006">
        <f>IF($M1006="","",IF(ISNUMBER(Sync!$L1006),IF(AND(Sync!$L1006&gt;=10000101,Sync!$L1006&lt;=99991231),RIGHT("0000"&amp;INT(Sync!$L1006/10000),4)&amp;"/"&amp;RIGHT("00"&amp;INT(MOD(Sync!$L1006,10000)/100),2)&amp;"/"&amp;RIGHT("00"&amp;MOD(Sync!$L1006,100),2),""),IFERROR(RIGHT("0000"&amp;VALUE(TRIM(LEFT(Sync!$L1006,FIND("/",Sync!$L1006)-1))),4)&amp;"/"&amp;RIGHT("00"&amp;VALUE(TRIM(LEFT(MID(Sync!$L1006,FIND("/",Sync!$L1006)+1,20),FIND("/",MID(Sync!$L1006,FIND("/",Sync!$L1006)+1,20))-1))),2)&amp;"/"&amp;RIGHT("00"&amp;VALUE(TRIM(MID(MID(Sync!$L1006,FIND("/",Sync!$L1006)+1,20),FIND("/",MID(Sync!$L1006,FIND("/",Sync!$L1006)+1,20))+1,20))),2),"")))</f>
        <v/>
      </c>
    </row>
    <row r="1007">
      <c r="M1007">
        <f>IF(Sync!$M1007&lt;&gt;"پاس چک","",IF(Sync!$P1007="","",Sync!$P1007))</f>
        <v/>
      </c>
      <c r="N1007">
        <f>IF($M1007="","",IF(ISNUMBER(Sync!$L1007),IF(AND(Sync!$L1007&gt;=10000101,Sync!$L1007&lt;=99991231),RIGHT("0000"&amp;INT(Sync!$L1007/10000),4)&amp;"/"&amp;RIGHT("00"&amp;INT(MOD(Sync!$L1007,10000)/100),2)&amp;"/"&amp;RIGHT("00"&amp;MOD(Sync!$L1007,100),2),""),IFERROR(RIGHT("0000"&amp;VALUE(TRIM(LEFT(Sync!$L1007,FIND("/",Sync!$L1007)-1))),4)&amp;"/"&amp;RIGHT("00"&amp;VALUE(TRIM(LEFT(MID(Sync!$L1007,FIND("/",Sync!$L1007)+1,20),FIND("/",MID(Sync!$L1007,FIND("/",Sync!$L1007)+1,20))-1))),2)&amp;"/"&amp;RIGHT("00"&amp;VALUE(TRIM(MID(MID(Sync!$L1007,FIND("/",Sync!$L1007)+1,20),FIND("/",MID(Sync!$L1007,FIND("/",Sync!$L1007)+1,20))+1,20))),2),"")))</f>
        <v/>
      </c>
    </row>
    <row r="1008">
      <c r="M1008">
        <f>IF(Sync!$M1008&lt;&gt;"پاس چک","",IF(Sync!$P1008="","",Sync!$P1008))</f>
        <v/>
      </c>
      <c r="N1008">
        <f>IF($M1008="","",IF(ISNUMBER(Sync!$L1008),IF(AND(Sync!$L1008&gt;=10000101,Sync!$L1008&lt;=99991231),RIGHT("0000"&amp;INT(Sync!$L1008/10000),4)&amp;"/"&amp;RIGHT("00"&amp;INT(MOD(Sync!$L1008,10000)/100),2)&amp;"/"&amp;RIGHT("00"&amp;MOD(Sync!$L1008,100),2),""),IFERROR(RIGHT("0000"&amp;VALUE(TRIM(LEFT(Sync!$L1008,FIND("/",Sync!$L1008)-1))),4)&amp;"/"&amp;RIGHT("00"&amp;VALUE(TRIM(LEFT(MID(Sync!$L1008,FIND("/",Sync!$L1008)+1,20),FIND("/",MID(Sync!$L1008,FIND("/",Sync!$L1008)+1,20))-1))),2)&amp;"/"&amp;RIGHT("00"&amp;VALUE(TRIM(MID(MID(Sync!$L1008,FIND("/",Sync!$L1008)+1,20),FIND("/",MID(Sync!$L1008,FIND("/",Sync!$L1008)+1,20))+1,20))),2),"")))</f>
        <v/>
      </c>
    </row>
    <row r="1009">
      <c r="M1009">
        <f>IF(Sync!$M1009&lt;&gt;"پاس چک","",IF(Sync!$P1009="","",Sync!$P1009))</f>
        <v/>
      </c>
      <c r="N1009">
        <f>IF($M1009="","",IF(ISNUMBER(Sync!$L1009),IF(AND(Sync!$L1009&gt;=10000101,Sync!$L1009&lt;=99991231),RIGHT("0000"&amp;INT(Sync!$L1009/10000),4)&amp;"/"&amp;RIGHT("00"&amp;INT(MOD(Sync!$L1009,10000)/100),2)&amp;"/"&amp;RIGHT("00"&amp;MOD(Sync!$L1009,100),2),""),IFERROR(RIGHT("0000"&amp;VALUE(TRIM(LEFT(Sync!$L1009,FIND("/",Sync!$L1009)-1))),4)&amp;"/"&amp;RIGHT("00"&amp;VALUE(TRIM(LEFT(MID(Sync!$L1009,FIND("/",Sync!$L1009)+1,20),FIND("/",MID(Sync!$L1009,FIND("/",Sync!$L1009)+1,20))-1))),2)&amp;"/"&amp;RIGHT("00"&amp;VALUE(TRIM(MID(MID(Sync!$L1009,FIND("/",Sync!$L1009)+1,20),FIND("/",MID(Sync!$L1009,FIND("/",Sync!$L1009)+1,20))+1,20))),2),"")))</f>
        <v/>
      </c>
    </row>
    <row r="1010">
      <c r="M1010">
        <f>IF(Sync!$M1010&lt;&gt;"پاس چک","",IF(Sync!$P1010="","",Sync!$P1010))</f>
        <v/>
      </c>
      <c r="N1010">
        <f>IF($M1010="","",IF(ISNUMBER(Sync!$L1010),IF(AND(Sync!$L1010&gt;=10000101,Sync!$L1010&lt;=99991231),RIGHT("0000"&amp;INT(Sync!$L1010/10000),4)&amp;"/"&amp;RIGHT("00"&amp;INT(MOD(Sync!$L1010,10000)/100),2)&amp;"/"&amp;RIGHT("00"&amp;MOD(Sync!$L1010,100),2),""),IFERROR(RIGHT("0000"&amp;VALUE(TRIM(LEFT(Sync!$L1010,FIND("/",Sync!$L1010)-1))),4)&amp;"/"&amp;RIGHT("00"&amp;VALUE(TRIM(LEFT(MID(Sync!$L1010,FIND("/",Sync!$L1010)+1,20),FIND("/",MID(Sync!$L1010,FIND("/",Sync!$L1010)+1,20))-1))),2)&amp;"/"&amp;RIGHT("00"&amp;VALUE(TRIM(MID(MID(Sync!$L1010,FIND("/",Sync!$L1010)+1,20),FIND("/",MID(Sync!$L1010,FIND("/",Sync!$L1010)+1,20))+1,20))),2),"")))</f>
        <v/>
      </c>
    </row>
    <row r="1011">
      <c r="M1011">
        <f>IF(Sync!$M1011&lt;&gt;"پاس چک","",IF(Sync!$P1011="","",Sync!$P1011))</f>
        <v/>
      </c>
      <c r="N1011">
        <f>IF($M1011="","",IF(ISNUMBER(Sync!$L1011),IF(AND(Sync!$L1011&gt;=10000101,Sync!$L1011&lt;=99991231),RIGHT("0000"&amp;INT(Sync!$L1011/10000),4)&amp;"/"&amp;RIGHT("00"&amp;INT(MOD(Sync!$L1011,10000)/100),2)&amp;"/"&amp;RIGHT("00"&amp;MOD(Sync!$L1011,100),2),""),IFERROR(RIGHT("0000"&amp;VALUE(TRIM(LEFT(Sync!$L1011,FIND("/",Sync!$L1011)-1))),4)&amp;"/"&amp;RIGHT("00"&amp;VALUE(TRIM(LEFT(MID(Sync!$L1011,FIND("/",Sync!$L1011)+1,20),FIND("/",MID(Sync!$L1011,FIND("/",Sync!$L1011)+1,20))-1))),2)&amp;"/"&amp;RIGHT("00"&amp;VALUE(TRIM(MID(MID(Sync!$L1011,FIND("/",Sync!$L1011)+1,20),FIND("/",MID(Sync!$L1011,FIND("/",Sync!$L1011)+1,20))+1,20))),2),"")))</f>
        <v/>
      </c>
    </row>
    <row r="1012">
      <c r="M1012">
        <f>IF(Sync!$M1012&lt;&gt;"پاس چک","",IF(Sync!$P1012="","",Sync!$P1012))</f>
        <v/>
      </c>
      <c r="N1012">
        <f>IF($M1012="","",IF(ISNUMBER(Sync!$L1012),IF(AND(Sync!$L1012&gt;=10000101,Sync!$L1012&lt;=99991231),RIGHT("0000"&amp;INT(Sync!$L1012/10000),4)&amp;"/"&amp;RIGHT("00"&amp;INT(MOD(Sync!$L1012,10000)/100),2)&amp;"/"&amp;RIGHT("00"&amp;MOD(Sync!$L1012,100),2),""),IFERROR(RIGHT("0000"&amp;VALUE(TRIM(LEFT(Sync!$L1012,FIND("/",Sync!$L1012)-1))),4)&amp;"/"&amp;RIGHT("00"&amp;VALUE(TRIM(LEFT(MID(Sync!$L1012,FIND("/",Sync!$L1012)+1,20),FIND("/",MID(Sync!$L1012,FIND("/",Sync!$L1012)+1,20))-1))),2)&amp;"/"&amp;RIGHT("00"&amp;VALUE(TRIM(MID(MID(Sync!$L1012,FIND("/",Sync!$L1012)+1,20),FIND("/",MID(Sync!$L1012,FIND("/",Sync!$L1012)+1,20))+1,20))),2),"")))</f>
        <v/>
      </c>
    </row>
    <row r="1013">
      <c r="M1013">
        <f>IF(Sync!$M1013&lt;&gt;"پاس چک","",IF(Sync!$P1013="","",Sync!$P1013))</f>
        <v/>
      </c>
      <c r="N1013">
        <f>IF($M1013="","",IF(ISNUMBER(Sync!$L1013),IF(AND(Sync!$L1013&gt;=10000101,Sync!$L1013&lt;=99991231),RIGHT("0000"&amp;INT(Sync!$L1013/10000),4)&amp;"/"&amp;RIGHT("00"&amp;INT(MOD(Sync!$L1013,10000)/100),2)&amp;"/"&amp;RIGHT("00"&amp;MOD(Sync!$L1013,100),2),""),IFERROR(RIGHT("0000"&amp;VALUE(TRIM(LEFT(Sync!$L1013,FIND("/",Sync!$L1013)-1))),4)&amp;"/"&amp;RIGHT("00"&amp;VALUE(TRIM(LEFT(MID(Sync!$L1013,FIND("/",Sync!$L1013)+1,20),FIND("/",MID(Sync!$L1013,FIND("/",Sync!$L1013)+1,20))-1))),2)&amp;"/"&amp;RIGHT("00"&amp;VALUE(TRIM(MID(MID(Sync!$L1013,FIND("/",Sync!$L1013)+1,20),FIND("/",MID(Sync!$L1013,FIND("/",Sync!$L1013)+1,20))+1,20))),2),"")))</f>
        <v/>
      </c>
    </row>
    <row r="1014">
      <c r="M1014">
        <f>IF(Sync!$M1014&lt;&gt;"پاس چک","",IF(Sync!$P1014="","",Sync!$P1014))</f>
        <v/>
      </c>
      <c r="N1014">
        <f>IF($M1014="","",IF(ISNUMBER(Sync!$L1014),IF(AND(Sync!$L1014&gt;=10000101,Sync!$L1014&lt;=99991231),RIGHT("0000"&amp;INT(Sync!$L1014/10000),4)&amp;"/"&amp;RIGHT("00"&amp;INT(MOD(Sync!$L1014,10000)/100),2)&amp;"/"&amp;RIGHT("00"&amp;MOD(Sync!$L1014,100),2),""),IFERROR(RIGHT("0000"&amp;VALUE(TRIM(LEFT(Sync!$L1014,FIND("/",Sync!$L1014)-1))),4)&amp;"/"&amp;RIGHT("00"&amp;VALUE(TRIM(LEFT(MID(Sync!$L1014,FIND("/",Sync!$L1014)+1,20),FIND("/",MID(Sync!$L1014,FIND("/",Sync!$L1014)+1,20))-1))),2)&amp;"/"&amp;RIGHT("00"&amp;VALUE(TRIM(MID(MID(Sync!$L1014,FIND("/",Sync!$L1014)+1,20),FIND("/",MID(Sync!$L1014,FIND("/",Sync!$L1014)+1,20))+1,20))),2),"")))</f>
        <v/>
      </c>
    </row>
    <row r="1015">
      <c r="M1015">
        <f>IF(Sync!$M1015&lt;&gt;"پاس چک","",IF(Sync!$P1015="","",Sync!$P1015))</f>
        <v/>
      </c>
      <c r="N1015">
        <f>IF($M1015="","",IF(ISNUMBER(Sync!$L1015),IF(AND(Sync!$L1015&gt;=10000101,Sync!$L1015&lt;=99991231),RIGHT("0000"&amp;INT(Sync!$L1015/10000),4)&amp;"/"&amp;RIGHT("00"&amp;INT(MOD(Sync!$L1015,10000)/100),2)&amp;"/"&amp;RIGHT("00"&amp;MOD(Sync!$L1015,100),2),""),IFERROR(RIGHT("0000"&amp;VALUE(TRIM(LEFT(Sync!$L1015,FIND("/",Sync!$L1015)-1))),4)&amp;"/"&amp;RIGHT("00"&amp;VALUE(TRIM(LEFT(MID(Sync!$L1015,FIND("/",Sync!$L1015)+1,20),FIND("/",MID(Sync!$L1015,FIND("/",Sync!$L1015)+1,20))-1))),2)&amp;"/"&amp;RIGHT("00"&amp;VALUE(TRIM(MID(MID(Sync!$L1015,FIND("/",Sync!$L1015)+1,20),FIND("/",MID(Sync!$L1015,FIND("/",Sync!$L1015)+1,20))+1,20))),2),"")))</f>
        <v/>
      </c>
    </row>
    <row r="1016">
      <c r="M1016">
        <f>IF(Sync!$M1016&lt;&gt;"پاس چک","",IF(Sync!$P1016="","",Sync!$P1016))</f>
        <v/>
      </c>
      <c r="N1016">
        <f>IF($M1016="","",IF(ISNUMBER(Sync!$L1016),IF(AND(Sync!$L1016&gt;=10000101,Sync!$L1016&lt;=99991231),RIGHT("0000"&amp;INT(Sync!$L1016/10000),4)&amp;"/"&amp;RIGHT("00"&amp;INT(MOD(Sync!$L1016,10000)/100),2)&amp;"/"&amp;RIGHT("00"&amp;MOD(Sync!$L1016,100),2),""),IFERROR(RIGHT("0000"&amp;VALUE(TRIM(LEFT(Sync!$L1016,FIND("/",Sync!$L1016)-1))),4)&amp;"/"&amp;RIGHT("00"&amp;VALUE(TRIM(LEFT(MID(Sync!$L1016,FIND("/",Sync!$L1016)+1,20),FIND("/",MID(Sync!$L1016,FIND("/",Sync!$L1016)+1,20))-1))),2)&amp;"/"&amp;RIGHT("00"&amp;VALUE(TRIM(MID(MID(Sync!$L1016,FIND("/",Sync!$L1016)+1,20),FIND("/",MID(Sync!$L1016,FIND("/",Sync!$L1016)+1,20))+1,20))),2),"")))</f>
        <v/>
      </c>
    </row>
    <row r="1017">
      <c r="M1017">
        <f>IF(Sync!$M1017&lt;&gt;"پاس چک","",IF(Sync!$P1017="","",Sync!$P1017))</f>
        <v/>
      </c>
      <c r="N1017">
        <f>IF($M1017="","",IF(ISNUMBER(Sync!$L1017),IF(AND(Sync!$L1017&gt;=10000101,Sync!$L1017&lt;=99991231),RIGHT("0000"&amp;INT(Sync!$L1017/10000),4)&amp;"/"&amp;RIGHT("00"&amp;INT(MOD(Sync!$L1017,10000)/100),2)&amp;"/"&amp;RIGHT("00"&amp;MOD(Sync!$L1017,100),2),""),IFERROR(RIGHT("0000"&amp;VALUE(TRIM(LEFT(Sync!$L1017,FIND("/",Sync!$L1017)-1))),4)&amp;"/"&amp;RIGHT("00"&amp;VALUE(TRIM(LEFT(MID(Sync!$L1017,FIND("/",Sync!$L1017)+1,20),FIND("/",MID(Sync!$L1017,FIND("/",Sync!$L1017)+1,20))-1))),2)&amp;"/"&amp;RIGHT("00"&amp;VALUE(TRIM(MID(MID(Sync!$L1017,FIND("/",Sync!$L1017)+1,20),FIND("/",MID(Sync!$L1017,FIND("/",Sync!$L1017)+1,20))+1,20))),2),"")))</f>
        <v/>
      </c>
    </row>
    <row r="1018">
      <c r="M1018">
        <f>IF(Sync!$M1018&lt;&gt;"پاس چک","",IF(Sync!$P1018="","",Sync!$P1018))</f>
        <v/>
      </c>
      <c r="N1018">
        <f>IF($M1018="","",IF(ISNUMBER(Sync!$L1018),IF(AND(Sync!$L1018&gt;=10000101,Sync!$L1018&lt;=99991231),RIGHT("0000"&amp;INT(Sync!$L1018/10000),4)&amp;"/"&amp;RIGHT("00"&amp;INT(MOD(Sync!$L1018,10000)/100),2)&amp;"/"&amp;RIGHT("00"&amp;MOD(Sync!$L1018,100),2),""),IFERROR(RIGHT("0000"&amp;VALUE(TRIM(LEFT(Sync!$L1018,FIND("/",Sync!$L1018)-1))),4)&amp;"/"&amp;RIGHT("00"&amp;VALUE(TRIM(LEFT(MID(Sync!$L1018,FIND("/",Sync!$L1018)+1,20),FIND("/",MID(Sync!$L1018,FIND("/",Sync!$L1018)+1,20))-1))),2)&amp;"/"&amp;RIGHT("00"&amp;VALUE(TRIM(MID(MID(Sync!$L1018,FIND("/",Sync!$L1018)+1,20),FIND("/",MID(Sync!$L1018,FIND("/",Sync!$L1018)+1,20))+1,20))),2),"")))</f>
        <v/>
      </c>
    </row>
    <row r="1019">
      <c r="M1019">
        <f>IF(Sync!$M1019&lt;&gt;"پاس چک","",IF(Sync!$P1019="","",Sync!$P1019))</f>
        <v/>
      </c>
      <c r="N1019">
        <f>IF($M1019="","",IF(ISNUMBER(Sync!$L1019),IF(AND(Sync!$L1019&gt;=10000101,Sync!$L1019&lt;=99991231),RIGHT("0000"&amp;INT(Sync!$L1019/10000),4)&amp;"/"&amp;RIGHT("00"&amp;INT(MOD(Sync!$L1019,10000)/100),2)&amp;"/"&amp;RIGHT("00"&amp;MOD(Sync!$L1019,100),2),""),IFERROR(RIGHT("0000"&amp;VALUE(TRIM(LEFT(Sync!$L1019,FIND("/",Sync!$L1019)-1))),4)&amp;"/"&amp;RIGHT("00"&amp;VALUE(TRIM(LEFT(MID(Sync!$L1019,FIND("/",Sync!$L1019)+1,20),FIND("/",MID(Sync!$L1019,FIND("/",Sync!$L1019)+1,20))-1))),2)&amp;"/"&amp;RIGHT("00"&amp;VALUE(TRIM(MID(MID(Sync!$L1019,FIND("/",Sync!$L1019)+1,20),FIND("/",MID(Sync!$L1019,FIND("/",Sync!$L1019)+1,20))+1,20))),2),"")))</f>
        <v/>
      </c>
    </row>
    <row r="1020">
      <c r="M1020">
        <f>IF(Sync!$M1020&lt;&gt;"پاس چک","",IF(Sync!$P1020="","",Sync!$P1020))</f>
        <v/>
      </c>
      <c r="N1020">
        <f>IF($M1020="","",IF(ISNUMBER(Sync!$L1020),IF(AND(Sync!$L1020&gt;=10000101,Sync!$L1020&lt;=99991231),RIGHT("0000"&amp;INT(Sync!$L1020/10000),4)&amp;"/"&amp;RIGHT("00"&amp;INT(MOD(Sync!$L1020,10000)/100),2)&amp;"/"&amp;RIGHT("00"&amp;MOD(Sync!$L1020,100),2),""),IFERROR(RIGHT("0000"&amp;VALUE(TRIM(LEFT(Sync!$L1020,FIND("/",Sync!$L1020)-1))),4)&amp;"/"&amp;RIGHT("00"&amp;VALUE(TRIM(LEFT(MID(Sync!$L1020,FIND("/",Sync!$L1020)+1,20),FIND("/",MID(Sync!$L1020,FIND("/",Sync!$L1020)+1,20))-1))),2)&amp;"/"&amp;RIGHT("00"&amp;VALUE(TRIM(MID(MID(Sync!$L1020,FIND("/",Sync!$L1020)+1,20),FIND("/",MID(Sync!$L1020,FIND("/",Sync!$L1020)+1,20))+1,20))),2),"")))</f>
        <v/>
      </c>
    </row>
    <row r="1021">
      <c r="M1021">
        <f>IF(Sync!$M1021&lt;&gt;"پاس چک","",IF(Sync!$P1021="","",Sync!$P1021))</f>
        <v/>
      </c>
      <c r="N1021">
        <f>IF($M1021="","",IF(ISNUMBER(Sync!$L1021),IF(AND(Sync!$L1021&gt;=10000101,Sync!$L1021&lt;=99991231),RIGHT("0000"&amp;INT(Sync!$L1021/10000),4)&amp;"/"&amp;RIGHT("00"&amp;INT(MOD(Sync!$L1021,10000)/100),2)&amp;"/"&amp;RIGHT("00"&amp;MOD(Sync!$L1021,100),2),""),IFERROR(RIGHT("0000"&amp;VALUE(TRIM(LEFT(Sync!$L1021,FIND("/",Sync!$L1021)-1))),4)&amp;"/"&amp;RIGHT("00"&amp;VALUE(TRIM(LEFT(MID(Sync!$L1021,FIND("/",Sync!$L1021)+1,20),FIND("/",MID(Sync!$L1021,FIND("/",Sync!$L1021)+1,20))-1))),2)&amp;"/"&amp;RIGHT("00"&amp;VALUE(TRIM(MID(MID(Sync!$L1021,FIND("/",Sync!$L1021)+1,20),FIND("/",MID(Sync!$L1021,FIND("/",Sync!$L1021)+1,20))+1,20))),2),"")))</f>
        <v/>
      </c>
    </row>
    <row r="1022">
      <c r="M1022">
        <f>IF(Sync!$M1022&lt;&gt;"پاس چک","",IF(Sync!$P1022="","",Sync!$P1022))</f>
        <v/>
      </c>
      <c r="N1022">
        <f>IF($M1022="","",IF(ISNUMBER(Sync!$L1022),IF(AND(Sync!$L1022&gt;=10000101,Sync!$L1022&lt;=99991231),RIGHT("0000"&amp;INT(Sync!$L1022/10000),4)&amp;"/"&amp;RIGHT("00"&amp;INT(MOD(Sync!$L1022,10000)/100),2)&amp;"/"&amp;RIGHT("00"&amp;MOD(Sync!$L1022,100),2),""),IFERROR(RIGHT("0000"&amp;VALUE(TRIM(LEFT(Sync!$L1022,FIND("/",Sync!$L1022)-1))),4)&amp;"/"&amp;RIGHT("00"&amp;VALUE(TRIM(LEFT(MID(Sync!$L1022,FIND("/",Sync!$L1022)+1,20),FIND("/",MID(Sync!$L1022,FIND("/",Sync!$L1022)+1,20))-1))),2)&amp;"/"&amp;RIGHT("00"&amp;VALUE(TRIM(MID(MID(Sync!$L1022,FIND("/",Sync!$L1022)+1,20),FIND("/",MID(Sync!$L1022,FIND("/",Sync!$L1022)+1,20))+1,20))),2),"")))</f>
        <v/>
      </c>
    </row>
    <row r="1023">
      <c r="M1023">
        <f>IF(Sync!$M1023&lt;&gt;"پاس چک","",IF(Sync!$P1023="","",Sync!$P1023))</f>
        <v/>
      </c>
      <c r="N1023">
        <f>IF($M1023="","",IF(ISNUMBER(Sync!$L1023),IF(AND(Sync!$L1023&gt;=10000101,Sync!$L1023&lt;=99991231),RIGHT("0000"&amp;INT(Sync!$L1023/10000),4)&amp;"/"&amp;RIGHT("00"&amp;INT(MOD(Sync!$L1023,10000)/100),2)&amp;"/"&amp;RIGHT("00"&amp;MOD(Sync!$L1023,100),2),""),IFERROR(RIGHT("0000"&amp;VALUE(TRIM(LEFT(Sync!$L1023,FIND("/",Sync!$L1023)-1))),4)&amp;"/"&amp;RIGHT("00"&amp;VALUE(TRIM(LEFT(MID(Sync!$L1023,FIND("/",Sync!$L1023)+1,20),FIND("/",MID(Sync!$L1023,FIND("/",Sync!$L1023)+1,20))-1))),2)&amp;"/"&amp;RIGHT("00"&amp;VALUE(TRIM(MID(MID(Sync!$L1023,FIND("/",Sync!$L1023)+1,20),FIND("/",MID(Sync!$L1023,FIND("/",Sync!$L1023)+1,20))+1,20))),2),"")))</f>
        <v/>
      </c>
    </row>
    <row r="1024">
      <c r="M1024">
        <f>IF(Sync!$M1024&lt;&gt;"پاس چک","",IF(Sync!$P1024="","",Sync!$P1024))</f>
        <v/>
      </c>
      <c r="N1024">
        <f>IF($M1024="","",IF(ISNUMBER(Sync!$L1024),IF(AND(Sync!$L1024&gt;=10000101,Sync!$L1024&lt;=99991231),RIGHT("0000"&amp;INT(Sync!$L1024/10000),4)&amp;"/"&amp;RIGHT("00"&amp;INT(MOD(Sync!$L1024,10000)/100),2)&amp;"/"&amp;RIGHT("00"&amp;MOD(Sync!$L1024,100),2),""),IFERROR(RIGHT("0000"&amp;VALUE(TRIM(LEFT(Sync!$L1024,FIND("/",Sync!$L1024)-1))),4)&amp;"/"&amp;RIGHT("00"&amp;VALUE(TRIM(LEFT(MID(Sync!$L1024,FIND("/",Sync!$L1024)+1,20),FIND("/",MID(Sync!$L1024,FIND("/",Sync!$L1024)+1,20))-1))),2)&amp;"/"&amp;RIGHT("00"&amp;VALUE(TRIM(MID(MID(Sync!$L1024,FIND("/",Sync!$L1024)+1,20),FIND("/",MID(Sync!$L1024,FIND("/",Sync!$L1024)+1,20))+1,20))),2),"")))</f>
        <v/>
      </c>
    </row>
    <row r="1025">
      <c r="M1025">
        <f>IF(Sync!$M1025&lt;&gt;"پاس چک","",IF(Sync!$P1025="","",Sync!$P1025))</f>
        <v/>
      </c>
      <c r="N1025">
        <f>IF($M1025="","",IF(ISNUMBER(Sync!$L1025),IF(AND(Sync!$L1025&gt;=10000101,Sync!$L1025&lt;=99991231),RIGHT("0000"&amp;INT(Sync!$L1025/10000),4)&amp;"/"&amp;RIGHT("00"&amp;INT(MOD(Sync!$L1025,10000)/100),2)&amp;"/"&amp;RIGHT("00"&amp;MOD(Sync!$L1025,100),2),""),IFERROR(RIGHT("0000"&amp;VALUE(TRIM(LEFT(Sync!$L1025,FIND("/",Sync!$L1025)-1))),4)&amp;"/"&amp;RIGHT("00"&amp;VALUE(TRIM(LEFT(MID(Sync!$L1025,FIND("/",Sync!$L1025)+1,20),FIND("/",MID(Sync!$L1025,FIND("/",Sync!$L1025)+1,20))-1))),2)&amp;"/"&amp;RIGHT("00"&amp;VALUE(TRIM(MID(MID(Sync!$L1025,FIND("/",Sync!$L1025)+1,20),FIND("/",MID(Sync!$L1025,FIND("/",Sync!$L1025)+1,20))+1,20))),2),"")))</f>
        <v/>
      </c>
    </row>
    <row r="1026">
      <c r="M1026">
        <f>IF(Sync!$M1026&lt;&gt;"پاس چک","",IF(Sync!$P1026="","",Sync!$P1026))</f>
        <v/>
      </c>
      <c r="N1026">
        <f>IF($M1026="","",IF(ISNUMBER(Sync!$L1026),IF(AND(Sync!$L1026&gt;=10000101,Sync!$L1026&lt;=99991231),RIGHT("0000"&amp;INT(Sync!$L1026/10000),4)&amp;"/"&amp;RIGHT("00"&amp;INT(MOD(Sync!$L1026,10000)/100),2)&amp;"/"&amp;RIGHT("00"&amp;MOD(Sync!$L1026,100),2),""),IFERROR(RIGHT("0000"&amp;VALUE(TRIM(LEFT(Sync!$L1026,FIND("/",Sync!$L1026)-1))),4)&amp;"/"&amp;RIGHT("00"&amp;VALUE(TRIM(LEFT(MID(Sync!$L1026,FIND("/",Sync!$L1026)+1,20),FIND("/",MID(Sync!$L1026,FIND("/",Sync!$L1026)+1,20))-1))),2)&amp;"/"&amp;RIGHT("00"&amp;VALUE(TRIM(MID(MID(Sync!$L1026,FIND("/",Sync!$L1026)+1,20),FIND("/",MID(Sync!$L1026,FIND("/",Sync!$L1026)+1,20))+1,20))),2),"")))</f>
        <v/>
      </c>
    </row>
    <row r="1027">
      <c r="M1027">
        <f>IF(Sync!$M1027&lt;&gt;"پاس چک","",IF(Sync!$P1027="","",Sync!$P1027))</f>
        <v/>
      </c>
      <c r="N1027">
        <f>IF($M1027="","",IF(ISNUMBER(Sync!$L1027),IF(AND(Sync!$L1027&gt;=10000101,Sync!$L1027&lt;=99991231),RIGHT("0000"&amp;INT(Sync!$L1027/10000),4)&amp;"/"&amp;RIGHT("00"&amp;INT(MOD(Sync!$L1027,10000)/100),2)&amp;"/"&amp;RIGHT("00"&amp;MOD(Sync!$L1027,100),2),""),IFERROR(RIGHT("0000"&amp;VALUE(TRIM(LEFT(Sync!$L1027,FIND("/",Sync!$L1027)-1))),4)&amp;"/"&amp;RIGHT("00"&amp;VALUE(TRIM(LEFT(MID(Sync!$L1027,FIND("/",Sync!$L1027)+1,20),FIND("/",MID(Sync!$L1027,FIND("/",Sync!$L1027)+1,20))-1))),2)&amp;"/"&amp;RIGHT("00"&amp;VALUE(TRIM(MID(MID(Sync!$L1027,FIND("/",Sync!$L1027)+1,20),FIND("/",MID(Sync!$L1027,FIND("/",Sync!$L1027)+1,20))+1,20))),2),"")))</f>
        <v/>
      </c>
    </row>
    <row r="1028">
      <c r="M1028">
        <f>IF(Sync!$M1028&lt;&gt;"پاس چک","",IF(Sync!$P1028="","",Sync!$P1028))</f>
        <v/>
      </c>
      <c r="N1028">
        <f>IF($M1028="","",IF(ISNUMBER(Sync!$L1028),IF(AND(Sync!$L1028&gt;=10000101,Sync!$L1028&lt;=99991231),RIGHT("0000"&amp;INT(Sync!$L1028/10000),4)&amp;"/"&amp;RIGHT("00"&amp;INT(MOD(Sync!$L1028,10000)/100),2)&amp;"/"&amp;RIGHT("00"&amp;MOD(Sync!$L1028,100),2),""),IFERROR(RIGHT("0000"&amp;VALUE(TRIM(LEFT(Sync!$L1028,FIND("/",Sync!$L1028)-1))),4)&amp;"/"&amp;RIGHT("00"&amp;VALUE(TRIM(LEFT(MID(Sync!$L1028,FIND("/",Sync!$L1028)+1,20),FIND("/",MID(Sync!$L1028,FIND("/",Sync!$L1028)+1,20))-1))),2)&amp;"/"&amp;RIGHT("00"&amp;VALUE(TRIM(MID(MID(Sync!$L1028,FIND("/",Sync!$L1028)+1,20),FIND("/",MID(Sync!$L1028,FIND("/",Sync!$L1028)+1,20))+1,20))),2),"")))</f>
        <v/>
      </c>
    </row>
    <row r="1029">
      <c r="M1029">
        <f>IF(Sync!$M1029&lt;&gt;"پاس چک","",IF(Sync!$P1029="","",Sync!$P1029))</f>
        <v/>
      </c>
      <c r="N1029">
        <f>IF($M1029="","",IF(ISNUMBER(Sync!$L1029),IF(AND(Sync!$L1029&gt;=10000101,Sync!$L1029&lt;=99991231),RIGHT("0000"&amp;INT(Sync!$L1029/10000),4)&amp;"/"&amp;RIGHT("00"&amp;INT(MOD(Sync!$L1029,10000)/100),2)&amp;"/"&amp;RIGHT("00"&amp;MOD(Sync!$L1029,100),2),""),IFERROR(RIGHT("0000"&amp;VALUE(TRIM(LEFT(Sync!$L1029,FIND("/",Sync!$L1029)-1))),4)&amp;"/"&amp;RIGHT("00"&amp;VALUE(TRIM(LEFT(MID(Sync!$L1029,FIND("/",Sync!$L1029)+1,20),FIND("/",MID(Sync!$L1029,FIND("/",Sync!$L1029)+1,20))-1))),2)&amp;"/"&amp;RIGHT("00"&amp;VALUE(TRIM(MID(MID(Sync!$L1029,FIND("/",Sync!$L1029)+1,20),FIND("/",MID(Sync!$L1029,FIND("/",Sync!$L1029)+1,20))+1,20))),2),"")))</f>
        <v/>
      </c>
    </row>
    <row r="1030">
      <c r="M1030">
        <f>IF(Sync!$M1030&lt;&gt;"پاس چک","",IF(Sync!$P1030="","",Sync!$P1030))</f>
        <v/>
      </c>
      <c r="N1030">
        <f>IF($M1030="","",IF(ISNUMBER(Sync!$L1030),IF(AND(Sync!$L1030&gt;=10000101,Sync!$L1030&lt;=99991231),RIGHT("0000"&amp;INT(Sync!$L1030/10000),4)&amp;"/"&amp;RIGHT("00"&amp;INT(MOD(Sync!$L1030,10000)/100),2)&amp;"/"&amp;RIGHT("00"&amp;MOD(Sync!$L1030,100),2),""),IFERROR(RIGHT("0000"&amp;VALUE(TRIM(LEFT(Sync!$L1030,FIND("/",Sync!$L1030)-1))),4)&amp;"/"&amp;RIGHT("00"&amp;VALUE(TRIM(LEFT(MID(Sync!$L1030,FIND("/",Sync!$L1030)+1,20),FIND("/",MID(Sync!$L1030,FIND("/",Sync!$L1030)+1,20))-1))),2)&amp;"/"&amp;RIGHT("00"&amp;VALUE(TRIM(MID(MID(Sync!$L1030,FIND("/",Sync!$L1030)+1,20),FIND("/",MID(Sync!$L1030,FIND("/",Sync!$L1030)+1,20))+1,20))),2),"")))</f>
        <v/>
      </c>
    </row>
    <row r="1031">
      <c r="M1031">
        <f>IF(Sync!$M1031&lt;&gt;"پاس چک","",IF(Sync!$P1031="","",Sync!$P1031))</f>
        <v/>
      </c>
      <c r="N1031">
        <f>IF($M1031="","",IF(ISNUMBER(Sync!$L1031),IF(AND(Sync!$L1031&gt;=10000101,Sync!$L1031&lt;=99991231),RIGHT("0000"&amp;INT(Sync!$L1031/10000),4)&amp;"/"&amp;RIGHT("00"&amp;INT(MOD(Sync!$L1031,10000)/100),2)&amp;"/"&amp;RIGHT("00"&amp;MOD(Sync!$L1031,100),2),""),IFERROR(RIGHT("0000"&amp;VALUE(TRIM(LEFT(Sync!$L1031,FIND("/",Sync!$L1031)-1))),4)&amp;"/"&amp;RIGHT("00"&amp;VALUE(TRIM(LEFT(MID(Sync!$L1031,FIND("/",Sync!$L1031)+1,20),FIND("/",MID(Sync!$L1031,FIND("/",Sync!$L1031)+1,20))-1))),2)&amp;"/"&amp;RIGHT("00"&amp;VALUE(TRIM(MID(MID(Sync!$L1031,FIND("/",Sync!$L1031)+1,20),FIND("/",MID(Sync!$L1031,FIND("/",Sync!$L1031)+1,20))+1,20))),2),"")))</f>
        <v/>
      </c>
    </row>
    <row r="1032">
      <c r="M1032">
        <f>IF(Sync!$M1032&lt;&gt;"پاس چک","",IF(Sync!$P1032="","",Sync!$P1032))</f>
        <v/>
      </c>
      <c r="N1032">
        <f>IF($M1032="","",IF(ISNUMBER(Sync!$L1032),IF(AND(Sync!$L1032&gt;=10000101,Sync!$L1032&lt;=99991231),RIGHT("0000"&amp;INT(Sync!$L1032/10000),4)&amp;"/"&amp;RIGHT("00"&amp;INT(MOD(Sync!$L1032,10000)/100),2)&amp;"/"&amp;RIGHT("00"&amp;MOD(Sync!$L1032,100),2),""),IFERROR(RIGHT("0000"&amp;VALUE(TRIM(LEFT(Sync!$L1032,FIND("/",Sync!$L1032)-1))),4)&amp;"/"&amp;RIGHT("00"&amp;VALUE(TRIM(LEFT(MID(Sync!$L1032,FIND("/",Sync!$L1032)+1,20),FIND("/",MID(Sync!$L1032,FIND("/",Sync!$L1032)+1,20))-1))),2)&amp;"/"&amp;RIGHT("00"&amp;VALUE(TRIM(MID(MID(Sync!$L1032,FIND("/",Sync!$L1032)+1,20),FIND("/",MID(Sync!$L1032,FIND("/",Sync!$L1032)+1,20))+1,20))),2),"")))</f>
        <v/>
      </c>
    </row>
    <row r="1033">
      <c r="M1033">
        <f>IF(Sync!$M1033&lt;&gt;"پاس چک","",IF(Sync!$P1033="","",Sync!$P1033))</f>
        <v/>
      </c>
      <c r="N1033">
        <f>IF($M1033="","",IF(ISNUMBER(Sync!$L1033),IF(AND(Sync!$L1033&gt;=10000101,Sync!$L1033&lt;=99991231),RIGHT("0000"&amp;INT(Sync!$L1033/10000),4)&amp;"/"&amp;RIGHT("00"&amp;INT(MOD(Sync!$L1033,10000)/100),2)&amp;"/"&amp;RIGHT("00"&amp;MOD(Sync!$L1033,100),2),""),IFERROR(RIGHT("0000"&amp;VALUE(TRIM(LEFT(Sync!$L1033,FIND("/",Sync!$L1033)-1))),4)&amp;"/"&amp;RIGHT("00"&amp;VALUE(TRIM(LEFT(MID(Sync!$L1033,FIND("/",Sync!$L1033)+1,20),FIND("/",MID(Sync!$L1033,FIND("/",Sync!$L1033)+1,20))-1))),2)&amp;"/"&amp;RIGHT("00"&amp;VALUE(TRIM(MID(MID(Sync!$L1033,FIND("/",Sync!$L1033)+1,20),FIND("/",MID(Sync!$L1033,FIND("/",Sync!$L1033)+1,20))+1,20))),2),"")))</f>
        <v/>
      </c>
    </row>
    <row r="1034">
      <c r="M1034">
        <f>IF(Sync!$M1034&lt;&gt;"پاس چک","",IF(Sync!$P1034="","",Sync!$P1034))</f>
        <v/>
      </c>
      <c r="N1034">
        <f>IF($M1034="","",IF(ISNUMBER(Sync!$L1034),IF(AND(Sync!$L1034&gt;=10000101,Sync!$L1034&lt;=99991231),RIGHT("0000"&amp;INT(Sync!$L1034/10000),4)&amp;"/"&amp;RIGHT("00"&amp;INT(MOD(Sync!$L1034,10000)/100),2)&amp;"/"&amp;RIGHT("00"&amp;MOD(Sync!$L1034,100),2),""),IFERROR(RIGHT("0000"&amp;VALUE(TRIM(LEFT(Sync!$L1034,FIND("/",Sync!$L1034)-1))),4)&amp;"/"&amp;RIGHT("00"&amp;VALUE(TRIM(LEFT(MID(Sync!$L1034,FIND("/",Sync!$L1034)+1,20),FIND("/",MID(Sync!$L1034,FIND("/",Sync!$L1034)+1,20))-1))),2)&amp;"/"&amp;RIGHT("00"&amp;VALUE(TRIM(MID(MID(Sync!$L1034,FIND("/",Sync!$L1034)+1,20),FIND("/",MID(Sync!$L1034,FIND("/",Sync!$L1034)+1,20))+1,20))),2),"")))</f>
        <v/>
      </c>
    </row>
    <row r="1035">
      <c r="M1035">
        <f>IF(Sync!$M1035&lt;&gt;"پاس چک","",IF(Sync!$P1035="","",Sync!$P1035))</f>
        <v/>
      </c>
      <c r="N1035">
        <f>IF($M1035="","",IF(ISNUMBER(Sync!$L1035),IF(AND(Sync!$L1035&gt;=10000101,Sync!$L1035&lt;=99991231),RIGHT("0000"&amp;INT(Sync!$L1035/10000),4)&amp;"/"&amp;RIGHT("00"&amp;INT(MOD(Sync!$L1035,10000)/100),2)&amp;"/"&amp;RIGHT("00"&amp;MOD(Sync!$L1035,100),2),""),IFERROR(RIGHT("0000"&amp;VALUE(TRIM(LEFT(Sync!$L1035,FIND("/",Sync!$L1035)-1))),4)&amp;"/"&amp;RIGHT("00"&amp;VALUE(TRIM(LEFT(MID(Sync!$L1035,FIND("/",Sync!$L1035)+1,20),FIND("/",MID(Sync!$L1035,FIND("/",Sync!$L1035)+1,20))-1))),2)&amp;"/"&amp;RIGHT("00"&amp;VALUE(TRIM(MID(MID(Sync!$L1035,FIND("/",Sync!$L1035)+1,20),FIND("/",MID(Sync!$L1035,FIND("/",Sync!$L1035)+1,20))+1,20))),2),"")))</f>
        <v/>
      </c>
    </row>
    <row r="1036">
      <c r="M1036">
        <f>IF(Sync!$M1036&lt;&gt;"پاس چک","",IF(Sync!$P1036="","",Sync!$P1036))</f>
        <v/>
      </c>
      <c r="N1036">
        <f>IF($M1036="","",IF(ISNUMBER(Sync!$L1036),IF(AND(Sync!$L1036&gt;=10000101,Sync!$L1036&lt;=99991231),RIGHT("0000"&amp;INT(Sync!$L1036/10000),4)&amp;"/"&amp;RIGHT("00"&amp;INT(MOD(Sync!$L1036,10000)/100),2)&amp;"/"&amp;RIGHT("00"&amp;MOD(Sync!$L1036,100),2),""),IFERROR(RIGHT("0000"&amp;VALUE(TRIM(LEFT(Sync!$L1036,FIND("/",Sync!$L1036)-1))),4)&amp;"/"&amp;RIGHT("00"&amp;VALUE(TRIM(LEFT(MID(Sync!$L1036,FIND("/",Sync!$L1036)+1,20),FIND("/",MID(Sync!$L1036,FIND("/",Sync!$L1036)+1,20))-1))),2)&amp;"/"&amp;RIGHT("00"&amp;VALUE(TRIM(MID(MID(Sync!$L1036,FIND("/",Sync!$L1036)+1,20),FIND("/",MID(Sync!$L1036,FIND("/",Sync!$L1036)+1,20))+1,20))),2),"")))</f>
        <v/>
      </c>
    </row>
    <row r="1037">
      <c r="M1037">
        <f>IF(Sync!$M1037&lt;&gt;"پاس چک","",IF(Sync!$P1037="","",Sync!$P1037))</f>
        <v/>
      </c>
      <c r="N1037">
        <f>IF($M1037="","",IF(ISNUMBER(Sync!$L1037),IF(AND(Sync!$L1037&gt;=10000101,Sync!$L1037&lt;=99991231),RIGHT("0000"&amp;INT(Sync!$L1037/10000),4)&amp;"/"&amp;RIGHT("00"&amp;INT(MOD(Sync!$L1037,10000)/100),2)&amp;"/"&amp;RIGHT("00"&amp;MOD(Sync!$L1037,100),2),""),IFERROR(RIGHT("0000"&amp;VALUE(TRIM(LEFT(Sync!$L1037,FIND("/",Sync!$L1037)-1))),4)&amp;"/"&amp;RIGHT("00"&amp;VALUE(TRIM(LEFT(MID(Sync!$L1037,FIND("/",Sync!$L1037)+1,20),FIND("/",MID(Sync!$L1037,FIND("/",Sync!$L1037)+1,20))-1))),2)&amp;"/"&amp;RIGHT("00"&amp;VALUE(TRIM(MID(MID(Sync!$L1037,FIND("/",Sync!$L1037)+1,20),FIND("/",MID(Sync!$L1037,FIND("/",Sync!$L1037)+1,20))+1,20))),2),"")))</f>
        <v/>
      </c>
    </row>
    <row r="1038">
      <c r="M1038">
        <f>IF(Sync!$M1038&lt;&gt;"پاس چک","",IF(Sync!$P1038="","",Sync!$P1038))</f>
        <v/>
      </c>
      <c r="N1038">
        <f>IF($M1038="","",IF(ISNUMBER(Sync!$L1038),IF(AND(Sync!$L1038&gt;=10000101,Sync!$L1038&lt;=99991231),RIGHT("0000"&amp;INT(Sync!$L1038/10000),4)&amp;"/"&amp;RIGHT("00"&amp;INT(MOD(Sync!$L1038,10000)/100),2)&amp;"/"&amp;RIGHT("00"&amp;MOD(Sync!$L1038,100),2),""),IFERROR(RIGHT("0000"&amp;VALUE(TRIM(LEFT(Sync!$L1038,FIND("/",Sync!$L1038)-1))),4)&amp;"/"&amp;RIGHT("00"&amp;VALUE(TRIM(LEFT(MID(Sync!$L1038,FIND("/",Sync!$L1038)+1,20),FIND("/",MID(Sync!$L1038,FIND("/",Sync!$L1038)+1,20))-1))),2)&amp;"/"&amp;RIGHT("00"&amp;VALUE(TRIM(MID(MID(Sync!$L1038,FIND("/",Sync!$L1038)+1,20),FIND("/",MID(Sync!$L1038,FIND("/",Sync!$L1038)+1,20))+1,20))),2),"")))</f>
        <v/>
      </c>
    </row>
    <row r="1039">
      <c r="M1039">
        <f>IF(Sync!$M1039&lt;&gt;"پاس چک","",IF(Sync!$P1039="","",Sync!$P1039))</f>
        <v/>
      </c>
      <c r="N1039">
        <f>IF($M1039="","",IF(ISNUMBER(Sync!$L1039),IF(AND(Sync!$L1039&gt;=10000101,Sync!$L1039&lt;=99991231),RIGHT("0000"&amp;INT(Sync!$L1039/10000),4)&amp;"/"&amp;RIGHT("00"&amp;INT(MOD(Sync!$L1039,10000)/100),2)&amp;"/"&amp;RIGHT("00"&amp;MOD(Sync!$L1039,100),2),""),IFERROR(RIGHT("0000"&amp;VALUE(TRIM(LEFT(Sync!$L1039,FIND("/",Sync!$L1039)-1))),4)&amp;"/"&amp;RIGHT("00"&amp;VALUE(TRIM(LEFT(MID(Sync!$L1039,FIND("/",Sync!$L1039)+1,20),FIND("/",MID(Sync!$L1039,FIND("/",Sync!$L1039)+1,20))-1))),2)&amp;"/"&amp;RIGHT("00"&amp;VALUE(TRIM(MID(MID(Sync!$L1039,FIND("/",Sync!$L1039)+1,20),FIND("/",MID(Sync!$L1039,FIND("/",Sync!$L1039)+1,20))+1,20))),2),"")))</f>
        <v/>
      </c>
    </row>
    <row r="1040">
      <c r="M1040">
        <f>IF(Sync!$M1040&lt;&gt;"پاس چک","",IF(Sync!$P1040="","",Sync!$P1040))</f>
        <v/>
      </c>
      <c r="N1040">
        <f>IF($M1040="","",IF(ISNUMBER(Sync!$L1040),IF(AND(Sync!$L1040&gt;=10000101,Sync!$L1040&lt;=99991231),RIGHT("0000"&amp;INT(Sync!$L1040/10000),4)&amp;"/"&amp;RIGHT("00"&amp;INT(MOD(Sync!$L1040,10000)/100),2)&amp;"/"&amp;RIGHT("00"&amp;MOD(Sync!$L1040,100),2),""),IFERROR(RIGHT("0000"&amp;VALUE(TRIM(LEFT(Sync!$L1040,FIND("/",Sync!$L1040)-1))),4)&amp;"/"&amp;RIGHT("00"&amp;VALUE(TRIM(LEFT(MID(Sync!$L1040,FIND("/",Sync!$L1040)+1,20),FIND("/",MID(Sync!$L1040,FIND("/",Sync!$L1040)+1,20))-1))),2)&amp;"/"&amp;RIGHT("00"&amp;VALUE(TRIM(MID(MID(Sync!$L1040,FIND("/",Sync!$L1040)+1,20),FIND("/",MID(Sync!$L1040,FIND("/",Sync!$L1040)+1,20))+1,20))),2),"")))</f>
        <v/>
      </c>
    </row>
    <row r="1041">
      <c r="M1041">
        <f>IF(Sync!$M1041&lt;&gt;"پاس چک","",IF(Sync!$P1041="","",Sync!$P1041))</f>
        <v/>
      </c>
      <c r="N1041">
        <f>IF($M1041="","",IF(ISNUMBER(Sync!$L1041),IF(AND(Sync!$L1041&gt;=10000101,Sync!$L1041&lt;=99991231),RIGHT("0000"&amp;INT(Sync!$L1041/10000),4)&amp;"/"&amp;RIGHT("00"&amp;INT(MOD(Sync!$L1041,10000)/100),2)&amp;"/"&amp;RIGHT("00"&amp;MOD(Sync!$L1041,100),2),""),IFERROR(RIGHT("0000"&amp;VALUE(TRIM(LEFT(Sync!$L1041,FIND("/",Sync!$L1041)-1))),4)&amp;"/"&amp;RIGHT("00"&amp;VALUE(TRIM(LEFT(MID(Sync!$L1041,FIND("/",Sync!$L1041)+1,20),FIND("/",MID(Sync!$L1041,FIND("/",Sync!$L1041)+1,20))-1))),2)&amp;"/"&amp;RIGHT("00"&amp;VALUE(TRIM(MID(MID(Sync!$L1041,FIND("/",Sync!$L1041)+1,20),FIND("/",MID(Sync!$L1041,FIND("/",Sync!$L1041)+1,20))+1,20))),2),"")))</f>
        <v/>
      </c>
    </row>
    <row r="1042">
      <c r="M1042">
        <f>IF(Sync!$M1042&lt;&gt;"پاس چک","",IF(Sync!$P1042="","",Sync!$P1042))</f>
        <v/>
      </c>
      <c r="N1042">
        <f>IF($M1042="","",IF(ISNUMBER(Sync!$L1042),IF(AND(Sync!$L1042&gt;=10000101,Sync!$L1042&lt;=99991231),RIGHT("0000"&amp;INT(Sync!$L1042/10000),4)&amp;"/"&amp;RIGHT("00"&amp;INT(MOD(Sync!$L1042,10000)/100),2)&amp;"/"&amp;RIGHT("00"&amp;MOD(Sync!$L1042,100),2),""),IFERROR(RIGHT("0000"&amp;VALUE(TRIM(LEFT(Sync!$L1042,FIND("/",Sync!$L1042)-1))),4)&amp;"/"&amp;RIGHT("00"&amp;VALUE(TRIM(LEFT(MID(Sync!$L1042,FIND("/",Sync!$L1042)+1,20),FIND("/",MID(Sync!$L1042,FIND("/",Sync!$L1042)+1,20))-1))),2)&amp;"/"&amp;RIGHT("00"&amp;VALUE(TRIM(MID(MID(Sync!$L1042,FIND("/",Sync!$L1042)+1,20),FIND("/",MID(Sync!$L1042,FIND("/",Sync!$L1042)+1,20))+1,20))),2),"")))</f>
        <v/>
      </c>
    </row>
    <row r="1043">
      <c r="M1043">
        <f>IF(Sync!$M1043&lt;&gt;"پاس چک","",IF(Sync!$P1043="","",Sync!$P1043))</f>
        <v/>
      </c>
      <c r="N1043">
        <f>IF($M1043="","",IF(ISNUMBER(Sync!$L1043),IF(AND(Sync!$L1043&gt;=10000101,Sync!$L1043&lt;=99991231),RIGHT("0000"&amp;INT(Sync!$L1043/10000),4)&amp;"/"&amp;RIGHT("00"&amp;INT(MOD(Sync!$L1043,10000)/100),2)&amp;"/"&amp;RIGHT("00"&amp;MOD(Sync!$L1043,100),2),""),IFERROR(RIGHT("0000"&amp;VALUE(TRIM(LEFT(Sync!$L1043,FIND("/",Sync!$L1043)-1))),4)&amp;"/"&amp;RIGHT("00"&amp;VALUE(TRIM(LEFT(MID(Sync!$L1043,FIND("/",Sync!$L1043)+1,20),FIND("/",MID(Sync!$L1043,FIND("/",Sync!$L1043)+1,20))-1))),2)&amp;"/"&amp;RIGHT("00"&amp;VALUE(TRIM(MID(MID(Sync!$L1043,FIND("/",Sync!$L1043)+1,20),FIND("/",MID(Sync!$L1043,FIND("/",Sync!$L1043)+1,20))+1,20))),2),"")))</f>
        <v/>
      </c>
    </row>
    <row r="1044">
      <c r="M1044">
        <f>IF(Sync!$M1044&lt;&gt;"پاس چک","",IF(Sync!$P1044="","",Sync!$P1044))</f>
        <v/>
      </c>
      <c r="N1044">
        <f>IF($M1044="","",IF(ISNUMBER(Sync!$L1044),IF(AND(Sync!$L1044&gt;=10000101,Sync!$L1044&lt;=99991231),RIGHT("0000"&amp;INT(Sync!$L1044/10000),4)&amp;"/"&amp;RIGHT("00"&amp;INT(MOD(Sync!$L1044,10000)/100),2)&amp;"/"&amp;RIGHT("00"&amp;MOD(Sync!$L1044,100),2),""),IFERROR(RIGHT("0000"&amp;VALUE(TRIM(LEFT(Sync!$L1044,FIND("/",Sync!$L1044)-1))),4)&amp;"/"&amp;RIGHT("00"&amp;VALUE(TRIM(LEFT(MID(Sync!$L1044,FIND("/",Sync!$L1044)+1,20),FIND("/",MID(Sync!$L1044,FIND("/",Sync!$L1044)+1,20))-1))),2)&amp;"/"&amp;RIGHT("00"&amp;VALUE(TRIM(MID(MID(Sync!$L1044,FIND("/",Sync!$L1044)+1,20),FIND("/",MID(Sync!$L1044,FIND("/",Sync!$L1044)+1,20))+1,20))),2),"")))</f>
        <v/>
      </c>
    </row>
    <row r="1045">
      <c r="M1045">
        <f>IF(Sync!$M1045&lt;&gt;"پاس چک","",IF(Sync!$P1045="","",Sync!$P1045))</f>
        <v/>
      </c>
      <c r="N1045">
        <f>IF($M1045="","",IF(ISNUMBER(Sync!$L1045),IF(AND(Sync!$L1045&gt;=10000101,Sync!$L1045&lt;=99991231),RIGHT("0000"&amp;INT(Sync!$L1045/10000),4)&amp;"/"&amp;RIGHT("00"&amp;INT(MOD(Sync!$L1045,10000)/100),2)&amp;"/"&amp;RIGHT("00"&amp;MOD(Sync!$L1045,100),2),""),IFERROR(RIGHT("0000"&amp;VALUE(TRIM(LEFT(Sync!$L1045,FIND("/",Sync!$L1045)-1))),4)&amp;"/"&amp;RIGHT("00"&amp;VALUE(TRIM(LEFT(MID(Sync!$L1045,FIND("/",Sync!$L1045)+1,20),FIND("/",MID(Sync!$L1045,FIND("/",Sync!$L1045)+1,20))-1))),2)&amp;"/"&amp;RIGHT("00"&amp;VALUE(TRIM(MID(MID(Sync!$L1045,FIND("/",Sync!$L1045)+1,20),FIND("/",MID(Sync!$L1045,FIND("/",Sync!$L1045)+1,20))+1,20))),2),"")))</f>
        <v/>
      </c>
    </row>
    <row r="1046">
      <c r="M1046">
        <f>IF(Sync!$M1046&lt;&gt;"پاس چک","",IF(Sync!$P1046="","",Sync!$P1046))</f>
        <v/>
      </c>
      <c r="N1046">
        <f>IF($M1046="","",IF(ISNUMBER(Sync!$L1046),IF(AND(Sync!$L1046&gt;=10000101,Sync!$L1046&lt;=99991231),RIGHT("0000"&amp;INT(Sync!$L1046/10000),4)&amp;"/"&amp;RIGHT("00"&amp;INT(MOD(Sync!$L1046,10000)/100),2)&amp;"/"&amp;RIGHT("00"&amp;MOD(Sync!$L1046,100),2),""),IFERROR(RIGHT("0000"&amp;VALUE(TRIM(LEFT(Sync!$L1046,FIND("/",Sync!$L1046)-1))),4)&amp;"/"&amp;RIGHT("00"&amp;VALUE(TRIM(LEFT(MID(Sync!$L1046,FIND("/",Sync!$L1046)+1,20),FIND("/",MID(Sync!$L1046,FIND("/",Sync!$L1046)+1,20))-1))),2)&amp;"/"&amp;RIGHT("00"&amp;VALUE(TRIM(MID(MID(Sync!$L1046,FIND("/",Sync!$L1046)+1,20),FIND("/",MID(Sync!$L1046,FIND("/",Sync!$L1046)+1,20))+1,20))),2),"")))</f>
        <v/>
      </c>
    </row>
    <row r="1047">
      <c r="M1047">
        <f>IF(Sync!$M1047&lt;&gt;"پاس چک","",IF(Sync!$P1047="","",Sync!$P1047))</f>
        <v/>
      </c>
      <c r="N1047">
        <f>IF($M1047="","",IF(ISNUMBER(Sync!$L1047),IF(AND(Sync!$L1047&gt;=10000101,Sync!$L1047&lt;=99991231),RIGHT("0000"&amp;INT(Sync!$L1047/10000),4)&amp;"/"&amp;RIGHT("00"&amp;INT(MOD(Sync!$L1047,10000)/100),2)&amp;"/"&amp;RIGHT("00"&amp;MOD(Sync!$L1047,100),2),""),IFERROR(RIGHT("0000"&amp;VALUE(TRIM(LEFT(Sync!$L1047,FIND("/",Sync!$L1047)-1))),4)&amp;"/"&amp;RIGHT("00"&amp;VALUE(TRIM(LEFT(MID(Sync!$L1047,FIND("/",Sync!$L1047)+1,20),FIND("/",MID(Sync!$L1047,FIND("/",Sync!$L1047)+1,20))-1))),2)&amp;"/"&amp;RIGHT("00"&amp;VALUE(TRIM(MID(MID(Sync!$L1047,FIND("/",Sync!$L1047)+1,20),FIND("/",MID(Sync!$L1047,FIND("/",Sync!$L1047)+1,20))+1,20))),2),"")))</f>
        <v/>
      </c>
    </row>
    <row r="1048">
      <c r="M1048">
        <f>IF(Sync!$M1048&lt;&gt;"پاس چک","",IF(Sync!$P1048="","",Sync!$P1048))</f>
        <v/>
      </c>
      <c r="N1048">
        <f>IF($M1048="","",IF(ISNUMBER(Sync!$L1048),IF(AND(Sync!$L1048&gt;=10000101,Sync!$L1048&lt;=99991231),RIGHT("0000"&amp;INT(Sync!$L1048/10000),4)&amp;"/"&amp;RIGHT("00"&amp;INT(MOD(Sync!$L1048,10000)/100),2)&amp;"/"&amp;RIGHT("00"&amp;MOD(Sync!$L1048,100),2),""),IFERROR(RIGHT("0000"&amp;VALUE(TRIM(LEFT(Sync!$L1048,FIND("/",Sync!$L1048)-1))),4)&amp;"/"&amp;RIGHT("00"&amp;VALUE(TRIM(LEFT(MID(Sync!$L1048,FIND("/",Sync!$L1048)+1,20),FIND("/",MID(Sync!$L1048,FIND("/",Sync!$L1048)+1,20))-1))),2)&amp;"/"&amp;RIGHT("00"&amp;VALUE(TRIM(MID(MID(Sync!$L1048,FIND("/",Sync!$L1048)+1,20),FIND("/",MID(Sync!$L1048,FIND("/",Sync!$L1048)+1,20))+1,20))),2),"")))</f>
        <v/>
      </c>
    </row>
    <row r="1049">
      <c r="M1049">
        <f>IF(Sync!$M1049&lt;&gt;"پاس چک","",IF(Sync!$P1049="","",Sync!$P1049))</f>
        <v/>
      </c>
      <c r="N1049">
        <f>IF($M1049="","",IF(ISNUMBER(Sync!$L1049),IF(AND(Sync!$L1049&gt;=10000101,Sync!$L1049&lt;=99991231),RIGHT("0000"&amp;INT(Sync!$L1049/10000),4)&amp;"/"&amp;RIGHT("00"&amp;INT(MOD(Sync!$L1049,10000)/100),2)&amp;"/"&amp;RIGHT("00"&amp;MOD(Sync!$L1049,100),2),""),IFERROR(RIGHT("0000"&amp;VALUE(TRIM(LEFT(Sync!$L1049,FIND("/",Sync!$L1049)-1))),4)&amp;"/"&amp;RIGHT("00"&amp;VALUE(TRIM(LEFT(MID(Sync!$L1049,FIND("/",Sync!$L1049)+1,20),FIND("/",MID(Sync!$L1049,FIND("/",Sync!$L1049)+1,20))-1))),2)&amp;"/"&amp;RIGHT("00"&amp;VALUE(TRIM(MID(MID(Sync!$L1049,FIND("/",Sync!$L1049)+1,20),FIND("/",MID(Sync!$L1049,FIND("/",Sync!$L1049)+1,20))+1,20))),2),"")))</f>
        <v/>
      </c>
    </row>
    <row r="1050">
      <c r="M1050">
        <f>IF(Sync!$M1050&lt;&gt;"پاس چک","",IF(Sync!$P1050="","",Sync!$P1050))</f>
        <v/>
      </c>
      <c r="N1050">
        <f>IF($M1050="","",IF(ISNUMBER(Sync!$L1050),IF(AND(Sync!$L1050&gt;=10000101,Sync!$L1050&lt;=99991231),RIGHT("0000"&amp;INT(Sync!$L1050/10000),4)&amp;"/"&amp;RIGHT("00"&amp;INT(MOD(Sync!$L1050,10000)/100),2)&amp;"/"&amp;RIGHT("00"&amp;MOD(Sync!$L1050,100),2),""),IFERROR(RIGHT("0000"&amp;VALUE(TRIM(LEFT(Sync!$L1050,FIND("/",Sync!$L1050)-1))),4)&amp;"/"&amp;RIGHT("00"&amp;VALUE(TRIM(LEFT(MID(Sync!$L1050,FIND("/",Sync!$L1050)+1,20),FIND("/",MID(Sync!$L1050,FIND("/",Sync!$L1050)+1,20))-1))),2)&amp;"/"&amp;RIGHT("00"&amp;VALUE(TRIM(MID(MID(Sync!$L1050,FIND("/",Sync!$L1050)+1,20),FIND("/",MID(Sync!$L1050,FIND("/",Sync!$L1050)+1,20))+1,20))),2),"")))</f>
        <v/>
      </c>
    </row>
    <row r="1051">
      <c r="M1051">
        <f>IF(Sync!$M1051&lt;&gt;"پاس چک","",IF(Sync!$P1051="","",Sync!$P1051))</f>
        <v/>
      </c>
      <c r="N1051">
        <f>IF($M1051="","",IF(ISNUMBER(Sync!$L1051),IF(AND(Sync!$L1051&gt;=10000101,Sync!$L1051&lt;=99991231),RIGHT("0000"&amp;INT(Sync!$L1051/10000),4)&amp;"/"&amp;RIGHT("00"&amp;INT(MOD(Sync!$L1051,10000)/100),2)&amp;"/"&amp;RIGHT("00"&amp;MOD(Sync!$L1051,100),2),""),IFERROR(RIGHT("0000"&amp;VALUE(TRIM(LEFT(Sync!$L1051,FIND("/",Sync!$L1051)-1))),4)&amp;"/"&amp;RIGHT("00"&amp;VALUE(TRIM(LEFT(MID(Sync!$L1051,FIND("/",Sync!$L1051)+1,20),FIND("/",MID(Sync!$L1051,FIND("/",Sync!$L1051)+1,20))-1))),2)&amp;"/"&amp;RIGHT("00"&amp;VALUE(TRIM(MID(MID(Sync!$L1051,FIND("/",Sync!$L1051)+1,20),FIND("/",MID(Sync!$L1051,FIND("/",Sync!$L1051)+1,20))+1,20))),2),"")))</f>
        <v/>
      </c>
    </row>
    <row r="1052">
      <c r="M1052">
        <f>IF(Sync!$M1052&lt;&gt;"پاس چک","",IF(Sync!$P1052="","",Sync!$P1052))</f>
        <v/>
      </c>
      <c r="N1052">
        <f>IF($M1052="","",IF(ISNUMBER(Sync!$L1052),IF(AND(Sync!$L1052&gt;=10000101,Sync!$L1052&lt;=99991231),RIGHT("0000"&amp;INT(Sync!$L1052/10000),4)&amp;"/"&amp;RIGHT("00"&amp;INT(MOD(Sync!$L1052,10000)/100),2)&amp;"/"&amp;RIGHT("00"&amp;MOD(Sync!$L1052,100),2),""),IFERROR(RIGHT("0000"&amp;VALUE(TRIM(LEFT(Sync!$L1052,FIND("/",Sync!$L1052)-1))),4)&amp;"/"&amp;RIGHT("00"&amp;VALUE(TRIM(LEFT(MID(Sync!$L1052,FIND("/",Sync!$L1052)+1,20),FIND("/",MID(Sync!$L1052,FIND("/",Sync!$L1052)+1,20))-1))),2)&amp;"/"&amp;RIGHT("00"&amp;VALUE(TRIM(MID(MID(Sync!$L1052,FIND("/",Sync!$L1052)+1,20),FIND("/",MID(Sync!$L1052,FIND("/",Sync!$L1052)+1,20))+1,20))),2),"")))</f>
        <v/>
      </c>
    </row>
    <row r="1053">
      <c r="M1053">
        <f>IF(Sync!$M1053&lt;&gt;"پاس چک","",IF(Sync!$P1053="","",Sync!$P1053))</f>
        <v/>
      </c>
      <c r="N1053">
        <f>IF($M1053="","",IF(ISNUMBER(Sync!$L1053),IF(AND(Sync!$L1053&gt;=10000101,Sync!$L1053&lt;=99991231),RIGHT("0000"&amp;INT(Sync!$L1053/10000),4)&amp;"/"&amp;RIGHT("00"&amp;INT(MOD(Sync!$L1053,10000)/100),2)&amp;"/"&amp;RIGHT("00"&amp;MOD(Sync!$L1053,100),2),""),IFERROR(RIGHT("0000"&amp;VALUE(TRIM(LEFT(Sync!$L1053,FIND("/",Sync!$L1053)-1))),4)&amp;"/"&amp;RIGHT("00"&amp;VALUE(TRIM(LEFT(MID(Sync!$L1053,FIND("/",Sync!$L1053)+1,20),FIND("/",MID(Sync!$L1053,FIND("/",Sync!$L1053)+1,20))-1))),2)&amp;"/"&amp;RIGHT("00"&amp;VALUE(TRIM(MID(MID(Sync!$L1053,FIND("/",Sync!$L1053)+1,20),FIND("/",MID(Sync!$L1053,FIND("/",Sync!$L1053)+1,20))+1,20))),2),"")))</f>
        <v/>
      </c>
    </row>
    <row r="1054">
      <c r="M1054">
        <f>IF(Sync!$M1054&lt;&gt;"پاس چک","",IF(Sync!$P1054="","",Sync!$P1054))</f>
        <v/>
      </c>
      <c r="N1054">
        <f>IF($M1054="","",IF(ISNUMBER(Sync!$L1054),IF(AND(Sync!$L1054&gt;=10000101,Sync!$L1054&lt;=99991231),RIGHT("0000"&amp;INT(Sync!$L1054/10000),4)&amp;"/"&amp;RIGHT("00"&amp;INT(MOD(Sync!$L1054,10000)/100),2)&amp;"/"&amp;RIGHT("00"&amp;MOD(Sync!$L1054,100),2),""),IFERROR(RIGHT("0000"&amp;VALUE(TRIM(LEFT(Sync!$L1054,FIND("/",Sync!$L1054)-1))),4)&amp;"/"&amp;RIGHT("00"&amp;VALUE(TRIM(LEFT(MID(Sync!$L1054,FIND("/",Sync!$L1054)+1,20),FIND("/",MID(Sync!$L1054,FIND("/",Sync!$L1054)+1,20))-1))),2)&amp;"/"&amp;RIGHT("00"&amp;VALUE(TRIM(MID(MID(Sync!$L1054,FIND("/",Sync!$L1054)+1,20),FIND("/",MID(Sync!$L1054,FIND("/",Sync!$L1054)+1,20))+1,20))),2),"")))</f>
        <v/>
      </c>
    </row>
    <row r="1055">
      <c r="M1055">
        <f>IF(Sync!$M1055&lt;&gt;"پاس چک","",IF(Sync!$P1055="","",Sync!$P1055))</f>
        <v/>
      </c>
      <c r="N1055">
        <f>IF($M1055="","",IF(ISNUMBER(Sync!$L1055),IF(AND(Sync!$L1055&gt;=10000101,Sync!$L1055&lt;=99991231),RIGHT("0000"&amp;INT(Sync!$L1055/10000),4)&amp;"/"&amp;RIGHT("00"&amp;INT(MOD(Sync!$L1055,10000)/100),2)&amp;"/"&amp;RIGHT("00"&amp;MOD(Sync!$L1055,100),2),""),IFERROR(RIGHT("0000"&amp;VALUE(TRIM(LEFT(Sync!$L1055,FIND("/",Sync!$L1055)-1))),4)&amp;"/"&amp;RIGHT("00"&amp;VALUE(TRIM(LEFT(MID(Sync!$L1055,FIND("/",Sync!$L1055)+1,20),FIND("/",MID(Sync!$L1055,FIND("/",Sync!$L1055)+1,20))-1))),2)&amp;"/"&amp;RIGHT("00"&amp;VALUE(TRIM(MID(MID(Sync!$L1055,FIND("/",Sync!$L1055)+1,20),FIND("/",MID(Sync!$L1055,FIND("/",Sync!$L1055)+1,20))+1,20))),2),"")))</f>
        <v/>
      </c>
    </row>
    <row r="1056">
      <c r="M1056">
        <f>IF(Sync!$M1056&lt;&gt;"پاس چک","",IF(Sync!$P1056="","",Sync!$P1056))</f>
        <v/>
      </c>
      <c r="N1056">
        <f>IF($M1056="","",IF(ISNUMBER(Sync!$L1056),IF(AND(Sync!$L1056&gt;=10000101,Sync!$L1056&lt;=99991231),RIGHT("0000"&amp;INT(Sync!$L1056/10000),4)&amp;"/"&amp;RIGHT("00"&amp;INT(MOD(Sync!$L1056,10000)/100),2)&amp;"/"&amp;RIGHT("00"&amp;MOD(Sync!$L1056,100),2),""),IFERROR(RIGHT("0000"&amp;VALUE(TRIM(LEFT(Sync!$L1056,FIND("/",Sync!$L1056)-1))),4)&amp;"/"&amp;RIGHT("00"&amp;VALUE(TRIM(LEFT(MID(Sync!$L1056,FIND("/",Sync!$L1056)+1,20),FIND("/",MID(Sync!$L1056,FIND("/",Sync!$L1056)+1,20))-1))),2)&amp;"/"&amp;RIGHT("00"&amp;VALUE(TRIM(MID(MID(Sync!$L1056,FIND("/",Sync!$L1056)+1,20),FIND("/",MID(Sync!$L1056,FIND("/",Sync!$L1056)+1,20))+1,20))),2),"")))</f>
        <v/>
      </c>
    </row>
    <row r="1057">
      <c r="M1057">
        <f>IF(Sync!$M1057&lt;&gt;"پاس چک","",IF(Sync!$P1057="","",Sync!$P1057))</f>
        <v/>
      </c>
      <c r="N1057">
        <f>IF($M1057="","",IF(ISNUMBER(Sync!$L1057),IF(AND(Sync!$L1057&gt;=10000101,Sync!$L1057&lt;=99991231),RIGHT("0000"&amp;INT(Sync!$L1057/10000),4)&amp;"/"&amp;RIGHT("00"&amp;INT(MOD(Sync!$L1057,10000)/100),2)&amp;"/"&amp;RIGHT("00"&amp;MOD(Sync!$L1057,100),2),""),IFERROR(RIGHT("0000"&amp;VALUE(TRIM(LEFT(Sync!$L1057,FIND("/",Sync!$L1057)-1))),4)&amp;"/"&amp;RIGHT("00"&amp;VALUE(TRIM(LEFT(MID(Sync!$L1057,FIND("/",Sync!$L1057)+1,20),FIND("/",MID(Sync!$L1057,FIND("/",Sync!$L1057)+1,20))-1))),2)&amp;"/"&amp;RIGHT("00"&amp;VALUE(TRIM(MID(MID(Sync!$L1057,FIND("/",Sync!$L1057)+1,20),FIND("/",MID(Sync!$L1057,FIND("/",Sync!$L1057)+1,20))+1,20))),2),"")))</f>
        <v/>
      </c>
    </row>
    <row r="1058">
      <c r="M1058">
        <f>IF(Sync!$M1058&lt;&gt;"پاس چک","",IF(Sync!$P1058="","",Sync!$P1058))</f>
        <v/>
      </c>
      <c r="N1058">
        <f>IF($M1058="","",IF(ISNUMBER(Sync!$L1058),IF(AND(Sync!$L1058&gt;=10000101,Sync!$L1058&lt;=99991231),RIGHT("0000"&amp;INT(Sync!$L1058/10000),4)&amp;"/"&amp;RIGHT("00"&amp;INT(MOD(Sync!$L1058,10000)/100),2)&amp;"/"&amp;RIGHT("00"&amp;MOD(Sync!$L1058,100),2),""),IFERROR(RIGHT("0000"&amp;VALUE(TRIM(LEFT(Sync!$L1058,FIND("/",Sync!$L1058)-1))),4)&amp;"/"&amp;RIGHT("00"&amp;VALUE(TRIM(LEFT(MID(Sync!$L1058,FIND("/",Sync!$L1058)+1,20),FIND("/",MID(Sync!$L1058,FIND("/",Sync!$L1058)+1,20))-1))),2)&amp;"/"&amp;RIGHT("00"&amp;VALUE(TRIM(MID(MID(Sync!$L1058,FIND("/",Sync!$L1058)+1,20),FIND("/",MID(Sync!$L1058,FIND("/",Sync!$L1058)+1,20))+1,20))),2),"")))</f>
        <v/>
      </c>
    </row>
    <row r="1059">
      <c r="M1059">
        <f>IF(Sync!$M1059&lt;&gt;"پاس چک","",IF(Sync!$P1059="","",Sync!$P1059))</f>
        <v/>
      </c>
      <c r="N1059">
        <f>IF($M1059="","",IF(ISNUMBER(Sync!$L1059),IF(AND(Sync!$L1059&gt;=10000101,Sync!$L1059&lt;=99991231),RIGHT("0000"&amp;INT(Sync!$L1059/10000),4)&amp;"/"&amp;RIGHT("00"&amp;INT(MOD(Sync!$L1059,10000)/100),2)&amp;"/"&amp;RIGHT("00"&amp;MOD(Sync!$L1059,100),2),""),IFERROR(RIGHT("0000"&amp;VALUE(TRIM(LEFT(Sync!$L1059,FIND("/",Sync!$L1059)-1))),4)&amp;"/"&amp;RIGHT("00"&amp;VALUE(TRIM(LEFT(MID(Sync!$L1059,FIND("/",Sync!$L1059)+1,20),FIND("/",MID(Sync!$L1059,FIND("/",Sync!$L1059)+1,20))-1))),2)&amp;"/"&amp;RIGHT("00"&amp;VALUE(TRIM(MID(MID(Sync!$L1059,FIND("/",Sync!$L1059)+1,20),FIND("/",MID(Sync!$L1059,FIND("/",Sync!$L1059)+1,20))+1,20))),2),"")))</f>
        <v/>
      </c>
    </row>
    <row r="1060">
      <c r="M1060">
        <f>IF(Sync!$M1060&lt;&gt;"پاس چک","",IF(Sync!$P1060="","",Sync!$P1060))</f>
        <v/>
      </c>
      <c r="N1060">
        <f>IF($M1060="","",IF(ISNUMBER(Sync!$L1060),IF(AND(Sync!$L1060&gt;=10000101,Sync!$L1060&lt;=99991231),RIGHT("0000"&amp;INT(Sync!$L1060/10000),4)&amp;"/"&amp;RIGHT("00"&amp;INT(MOD(Sync!$L1060,10000)/100),2)&amp;"/"&amp;RIGHT("00"&amp;MOD(Sync!$L1060,100),2),""),IFERROR(RIGHT("0000"&amp;VALUE(TRIM(LEFT(Sync!$L1060,FIND("/",Sync!$L1060)-1))),4)&amp;"/"&amp;RIGHT("00"&amp;VALUE(TRIM(LEFT(MID(Sync!$L1060,FIND("/",Sync!$L1060)+1,20),FIND("/",MID(Sync!$L1060,FIND("/",Sync!$L1060)+1,20))-1))),2)&amp;"/"&amp;RIGHT("00"&amp;VALUE(TRIM(MID(MID(Sync!$L1060,FIND("/",Sync!$L1060)+1,20),FIND("/",MID(Sync!$L1060,FIND("/",Sync!$L1060)+1,20))+1,20))),2),"")))</f>
        <v/>
      </c>
    </row>
    <row r="1061">
      <c r="M1061">
        <f>IF(Sync!$M1061&lt;&gt;"پاس چک","",IF(Sync!$P1061="","",Sync!$P1061))</f>
        <v/>
      </c>
      <c r="N1061">
        <f>IF($M1061="","",IF(ISNUMBER(Sync!$L1061),IF(AND(Sync!$L1061&gt;=10000101,Sync!$L1061&lt;=99991231),RIGHT("0000"&amp;INT(Sync!$L1061/10000),4)&amp;"/"&amp;RIGHT("00"&amp;INT(MOD(Sync!$L1061,10000)/100),2)&amp;"/"&amp;RIGHT("00"&amp;MOD(Sync!$L1061,100),2),""),IFERROR(RIGHT("0000"&amp;VALUE(TRIM(LEFT(Sync!$L1061,FIND("/",Sync!$L1061)-1))),4)&amp;"/"&amp;RIGHT("00"&amp;VALUE(TRIM(LEFT(MID(Sync!$L1061,FIND("/",Sync!$L1061)+1,20),FIND("/",MID(Sync!$L1061,FIND("/",Sync!$L1061)+1,20))-1))),2)&amp;"/"&amp;RIGHT("00"&amp;VALUE(TRIM(MID(MID(Sync!$L1061,FIND("/",Sync!$L1061)+1,20),FIND("/",MID(Sync!$L1061,FIND("/",Sync!$L1061)+1,20))+1,20))),2),"")))</f>
        <v/>
      </c>
    </row>
    <row r="1062">
      <c r="M1062">
        <f>IF(Sync!$M1062&lt;&gt;"پاس چک","",IF(Sync!$P1062="","",Sync!$P1062))</f>
        <v/>
      </c>
      <c r="N1062">
        <f>IF($M1062="","",IF(ISNUMBER(Sync!$L1062),IF(AND(Sync!$L1062&gt;=10000101,Sync!$L1062&lt;=99991231),RIGHT("0000"&amp;INT(Sync!$L1062/10000),4)&amp;"/"&amp;RIGHT("00"&amp;INT(MOD(Sync!$L1062,10000)/100),2)&amp;"/"&amp;RIGHT("00"&amp;MOD(Sync!$L1062,100),2),""),IFERROR(RIGHT("0000"&amp;VALUE(TRIM(LEFT(Sync!$L1062,FIND("/",Sync!$L1062)-1))),4)&amp;"/"&amp;RIGHT("00"&amp;VALUE(TRIM(LEFT(MID(Sync!$L1062,FIND("/",Sync!$L1062)+1,20),FIND("/",MID(Sync!$L1062,FIND("/",Sync!$L1062)+1,20))-1))),2)&amp;"/"&amp;RIGHT("00"&amp;VALUE(TRIM(MID(MID(Sync!$L1062,FIND("/",Sync!$L1062)+1,20),FIND("/",MID(Sync!$L1062,FIND("/",Sync!$L1062)+1,20))+1,20))),2),"")))</f>
        <v/>
      </c>
    </row>
    <row r="1063">
      <c r="M1063">
        <f>IF(Sync!$M1063&lt;&gt;"پاس چک","",IF(Sync!$P1063="","",Sync!$P1063))</f>
        <v/>
      </c>
      <c r="N1063">
        <f>IF($M1063="","",IF(ISNUMBER(Sync!$L1063),IF(AND(Sync!$L1063&gt;=10000101,Sync!$L1063&lt;=99991231),RIGHT("0000"&amp;INT(Sync!$L1063/10000),4)&amp;"/"&amp;RIGHT("00"&amp;INT(MOD(Sync!$L1063,10000)/100),2)&amp;"/"&amp;RIGHT("00"&amp;MOD(Sync!$L1063,100),2),""),IFERROR(RIGHT("0000"&amp;VALUE(TRIM(LEFT(Sync!$L1063,FIND("/",Sync!$L1063)-1))),4)&amp;"/"&amp;RIGHT("00"&amp;VALUE(TRIM(LEFT(MID(Sync!$L1063,FIND("/",Sync!$L1063)+1,20),FIND("/",MID(Sync!$L1063,FIND("/",Sync!$L1063)+1,20))-1))),2)&amp;"/"&amp;RIGHT("00"&amp;VALUE(TRIM(MID(MID(Sync!$L1063,FIND("/",Sync!$L1063)+1,20),FIND("/",MID(Sync!$L1063,FIND("/",Sync!$L1063)+1,20))+1,20))),2),"")))</f>
        <v/>
      </c>
    </row>
    <row r="1064">
      <c r="M1064">
        <f>IF(Sync!$M1064&lt;&gt;"پاس چک","",IF(Sync!$P1064="","",Sync!$P1064))</f>
        <v/>
      </c>
      <c r="N1064">
        <f>IF($M1064="","",IF(ISNUMBER(Sync!$L1064),IF(AND(Sync!$L1064&gt;=10000101,Sync!$L1064&lt;=99991231),RIGHT("0000"&amp;INT(Sync!$L1064/10000),4)&amp;"/"&amp;RIGHT("00"&amp;INT(MOD(Sync!$L1064,10000)/100),2)&amp;"/"&amp;RIGHT("00"&amp;MOD(Sync!$L1064,100),2),""),IFERROR(RIGHT("0000"&amp;VALUE(TRIM(LEFT(Sync!$L1064,FIND("/",Sync!$L1064)-1))),4)&amp;"/"&amp;RIGHT("00"&amp;VALUE(TRIM(LEFT(MID(Sync!$L1064,FIND("/",Sync!$L1064)+1,20),FIND("/",MID(Sync!$L1064,FIND("/",Sync!$L1064)+1,20))-1))),2)&amp;"/"&amp;RIGHT("00"&amp;VALUE(TRIM(MID(MID(Sync!$L1064,FIND("/",Sync!$L1064)+1,20),FIND("/",MID(Sync!$L1064,FIND("/",Sync!$L1064)+1,20))+1,20))),2),"")))</f>
        <v/>
      </c>
    </row>
    <row r="1065">
      <c r="M1065">
        <f>IF(Sync!$M1065&lt;&gt;"پاس چک","",IF(Sync!$P1065="","",Sync!$P1065))</f>
        <v/>
      </c>
      <c r="N1065">
        <f>IF($M1065="","",IF(ISNUMBER(Sync!$L1065),IF(AND(Sync!$L1065&gt;=10000101,Sync!$L1065&lt;=99991231),RIGHT("0000"&amp;INT(Sync!$L1065/10000),4)&amp;"/"&amp;RIGHT("00"&amp;INT(MOD(Sync!$L1065,10000)/100),2)&amp;"/"&amp;RIGHT("00"&amp;MOD(Sync!$L1065,100),2),""),IFERROR(RIGHT("0000"&amp;VALUE(TRIM(LEFT(Sync!$L1065,FIND("/",Sync!$L1065)-1))),4)&amp;"/"&amp;RIGHT("00"&amp;VALUE(TRIM(LEFT(MID(Sync!$L1065,FIND("/",Sync!$L1065)+1,20),FIND("/",MID(Sync!$L1065,FIND("/",Sync!$L1065)+1,20))-1))),2)&amp;"/"&amp;RIGHT("00"&amp;VALUE(TRIM(MID(MID(Sync!$L1065,FIND("/",Sync!$L1065)+1,20),FIND("/",MID(Sync!$L1065,FIND("/",Sync!$L1065)+1,20))+1,20))),2),"")))</f>
        <v/>
      </c>
    </row>
    <row r="1066">
      <c r="M1066">
        <f>IF(Sync!$M1066&lt;&gt;"پاس چک","",IF(Sync!$P1066="","",Sync!$P1066))</f>
        <v/>
      </c>
      <c r="N1066">
        <f>IF($M1066="","",IF(ISNUMBER(Sync!$L1066),IF(AND(Sync!$L1066&gt;=10000101,Sync!$L1066&lt;=99991231),RIGHT("0000"&amp;INT(Sync!$L1066/10000),4)&amp;"/"&amp;RIGHT("00"&amp;INT(MOD(Sync!$L1066,10000)/100),2)&amp;"/"&amp;RIGHT("00"&amp;MOD(Sync!$L1066,100),2),""),IFERROR(RIGHT("0000"&amp;VALUE(TRIM(LEFT(Sync!$L1066,FIND("/",Sync!$L1066)-1))),4)&amp;"/"&amp;RIGHT("00"&amp;VALUE(TRIM(LEFT(MID(Sync!$L1066,FIND("/",Sync!$L1066)+1,20),FIND("/",MID(Sync!$L1066,FIND("/",Sync!$L1066)+1,20))-1))),2)&amp;"/"&amp;RIGHT("00"&amp;VALUE(TRIM(MID(MID(Sync!$L1066,FIND("/",Sync!$L1066)+1,20),FIND("/",MID(Sync!$L1066,FIND("/",Sync!$L1066)+1,20))+1,20))),2),"")))</f>
        <v/>
      </c>
    </row>
    <row r="1067">
      <c r="M1067">
        <f>IF(Sync!$M1067&lt;&gt;"پاس چک","",IF(Sync!$P1067="","",Sync!$P1067))</f>
        <v/>
      </c>
      <c r="N1067">
        <f>IF($M1067="","",IF(ISNUMBER(Sync!$L1067),IF(AND(Sync!$L1067&gt;=10000101,Sync!$L1067&lt;=99991231),RIGHT("0000"&amp;INT(Sync!$L1067/10000),4)&amp;"/"&amp;RIGHT("00"&amp;INT(MOD(Sync!$L1067,10000)/100),2)&amp;"/"&amp;RIGHT("00"&amp;MOD(Sync!$L1067,100),2),""),IFERROR(RIGHT("0000"&amp;VALUE(TRIM(LEFT(Sync!$L1067,FIND("/",Sync!$L1067)-1))),4)&amp;"/"&amp;RIGHT("00"&amp;VALUE(TRIM(LEFT(MID(Sync!$L1067,FIND("/",Sync!$L1067)+1,20),FIND("/",MID(Sync!$L1067,FIND("/",Sync!$L1067)+1,20))-1))),2)&amp;"/"&amp;RIGHT("00"&amp;VALUE(TRIM(MID(MID(Sync!$L1067,FIND("/",Sync!$L1067)+1,20),FIND("/",MID(Sync!$L1067,FIND("/",Sync!$L1067)+1,20))+1,20))),2),"")))</f>
        <v/>
      </c>
    </row>
    <row r="1068">
      <c r="M1068">
        <f>IF(Sync!$M1068&lt;&gt;"پاس چک","",IF(Sync!$P1068="","",Sync!$P1068))</f>
        <v/>
      </c>
      <c r="N1068">
        <f>IF($M1068="","",IF(ISNUMBER(Sync!$L1068),IF(AND(Sync!$L1068&gt;=10000101,Sync!$L1068&lt;=99991231),RIGHT("0000"&amp;INT(Sync!$L1068/10000),4)&amp;"/"&amp;RIGHT("00"&amp;INT(MOD(Sync!$L1068,10000)/100),2)&amp;"/"&amp;RIGHT("00"&amp;MOD(Sync!$L1068,100),2),""),IFERROR(RIGHT("0000"&amp;VALUE(TRIM(LEFT(Sync!$L1068,FIND("/",Sync!$L1068)-1))),4)&amp;"/"&amp;RIGHT("00"&amp;VALUE(TRIM(LEFT(MID(Sync!$L1068,FIND("/",Sync!$L1068)+1,20),FIND("/",MID(Sync!$L1068,FIND("/",Sync!$L1068)+1,20))-1))),2)&amp;"/"&amp;RIGHT("00"&amp;VALUE(TRIM(MID(MID(Sync!$L1068,FIND("/",Sync!$L1068)+1,20),FIND("/",MID(Sync!$L1068,FIND("/",Sync!$L1068)+1,20))+1,20))),2),"")))</f>
        <v/>
      </c>
    </row>
    <row r="1069">
      <c r="M1069">
        <f>IF(Sync!$M1069&lt;&gt;"پاس چک","",IF(Sync!$P1069="","",Sync!$P1069))</f>
        <v/>
      </c>
      <c r="N1069">
        <f>IF($M1069="","",IF(ISNUMBER(Sync!$L1069),IF(AND(Sync!$L1069&gt;=10000101,Sync!$L1069&lt;=99991231),RIGHT("0000"&amp;INT(Sync!$L1069/10000),4)&amp;"/"&amp;RIGHT("00"&amp;INT(MOD(Sync!$L1069,10000)/100),2)&amp;"/"&amp;RIGHT("00"&amp;MOD(Sync!$L1069,100),2),""),IFERROR(RIGHT("0000"&amp;VALUE(TRIM(LEFT(Sync!$L1069,FIND("/",Sync!$L1069)-1))),4)&amp;"/"&amp;RIGHT("00"&amp;VALUE(TRIM(LEFT(MID(Sync!$L1069,FIND("/",Sync!$L1069)+1,20),FIND("/",MID(Sync!$L1069,FIND("/",Sync!$L1069)+1,20))-1))),2)&amp;"/"&amp;RIGHT("00"&amp;VALUE(TRIM(MID(MID(Sync!$L1069,FIND("/",Sync!$L1069)+1,20),FIND("/",MID(Sync!$L1069,FIND("/",Sync!$L1069)+1,20))+1,20))),2),"")))</f>
        <v/>
      </c>
    </row>
    <row r="1070">
      <c r="M1070">
        <f>IF(Sync!$M1070&lt;&gt;"پاس چک","",IF(Sync!$P1070="","",Sync!$P1070))</f>
        <v/>
      </c>
      <c r="N1070">
        <f>IF($M1070="","",IF(ISNUMBER(Sync!$L1070),IF(AND(Sync!$L1070&gt;=10000101,Sync!$L1070&lt;=99991231),RIGHT("0000"&amp;INT(Sync!$L1070/10000),4)&amp;"/"&amp;RIGHT("00"&amp;INT(MOD(Sync!$L1070,10000)/100),2)&amp;"/"&amp;RIGHT("00"&amp;MOD(Sync!$L1070,100),2),""),IFERROR(RIGHT("0000"&amp;VALUE(TRIM(LEFT(Sync!$L1070,FIND("/",Sync!$L1070)-1))),4)&amp;"/"&amp;RIGHT("00"&amp;VALUE(TRIM(LEFT(MID(Sync!$L1070,FIND("/",Sync!$L1070)+1,20),FIND("/",MID(Sync!$L1070,FIND("/",Sync!$L1070)+1,20))-1))),2)&amp;"/"&amp;RIGHT("00"&amp;VALUE(TRIM(MID(MID(Sync!$L1070,FIND("/",Sync!$L1070)+1,20),FIND("/",MID(Sync!$L1070,FIND("/",Sync!$L1070)+1,20))+1,20))),2),"")))</f>
        <v/>
      </c>
    </row>
    <row r="1071">
      <c r="M1071">
        <f>IF(Sync!$M1071&lt;&gt;"پاس چک","",IF(Sync!$P1071="","",Sync!$P1071))</f>
        <v/>
      </c>
      <c r="N1071">
        <f>IF($M1071="","",IF(ISNUMBER(Sync!$L1071),IF(AND(Sync!$L1071&gt;=10000101,Sync!$L1071&lt;=99991231),RIGHT("0000"&amp;INT(Sync!$L1071/10000),4)&amp;"/"&amp;RIGHT("00"&amp;INT(MOD(Sync!$L1071,10000)/100),2)&amp;"/"&amp;RIGHT("00"&amp;MOD(Sync!$L1071,100),2),""),IFERROR(RIGHT("0000"&amp;VALUE(TRIM(LEFT(Sync!$L1071,FIND("/",Sync!$L1071)-1))),4)&amp;"/"&amp;RIGHT("00"&amp;VALUE(TRIM(LEFT(MID(Sync!$L1071,FIND("/",Sync!$L1071)+1,20),FIND("/",MID(Sync!$L1071,FIND("/",Sync!$L1071)+1,20))-1))),2)&amp;"/"&amp;RIGHT("00"&amp;VALUE(TRIM(MID(MID(Sync!$L1071,FIND("/",Sync!$L1071)+1,20),FIND("/",MID(Sync!$L1071,FIND("/",Sync!$L1071)+1,20))+1,20))),2),"")))</f>
        <v/>
      </c>
    </row>
    <row r="1072">
      <c r="M1072">
        <f>IF(Sync!$M1072&lt;&gt;"پاس چک","",IF(Sync!$P1072="","",Sync!$P1072))</f>
        <v/>
      </c>
      <c r="N1072">
        <f>IF($M1072="","",IF(ISNUMBER(Sync!$L1072),IF(AND(Sync!$L1072&gt;=10000101,Sync!$L1072&lt;=99991231),RIGHT("0000"&amp;INT(Sync!$L1072/10000),4)&amp;"/"&amp;RIGHT("00"&amp;INT(MOD(Sync!$L1072,10000)/100),2)&amp;"/"&amp;RIGHT("00"&amp;MOD(Sync!$L1072,100),2),""),IFERROR(RIGHT("0000"&amp;VALUE(TRIM(LEFT(Sync!$L1072,FIND("/",Sync!$L1072)-1))),4)&amp;"/"&amp;RIGHT("00"&amp;VALUE(TRIM(LEFT(MID(Sync!$L1072,FIND("/",Sync!$L1072)+1,20),FIND("/",MID(Sync!$L1072,FIND("/",Sync!$L1072)+1,20))-1))),2)&amp;"/"&amp;RIGHT("00"&amp;VALUE(TRIM(MID(MID(Sync!$L1072,FIND("/",Sync!$L1072)+1,20),FIND("/",MID(Sync!$L1072,FIND("/",Sync!$L1072)+1,20))+1,20))),2),"")))</f>
        <v/>
      </c>
    </row>
    <row r="1073">
      <c r="M1073">
        <f>IF(Sync!$M1073&lt;&gt;"پاس چک","",IF(Sync!$P1073="","",Sync!$P1073))</f>
        <v/>
      </c>
      <c r="N1073">
        <f>IF($M1073="","",IF(ISNUMBER(Sync!$L1073),IF(AND(Sync!$L1073&gt;=10000101,Sync!$L1073&lt;=99991231),RIGHT("0000"&amp;INT(Sync!$L1073/10000),4)&amp;"/"&amp;RIGHT("00"&amp;INT(MOD(Sync!$L1073,10000)/100),2)&amp;"/"&amp;RIGHT("00"&amp;MOD(Sync!$L1073,100),2),""),IFERROR(RIGHT("0000"&amp;VALUE(TRIM(LEFT(Sync!$L1073,FIND("/",Sync!$L1073)-1))),4)&amp;"/"&amp;RIGHT("00"&amp;VALUE(TRIM(LEFT(MID(Sync!$L1073,FIND("/",Sync!$L1073)+1,20),FIND("/",MID(Sync!$L1073,FIND("/",Sync!$L1073)+1,20))-1))),2)&amp;"/"&amp;RIGHT("00"&amp;VALUE(TRIM(MID(MID(Sync!$L1073,FIND("/",Sync!$L1073)+1,20),FIND("/",MID(Sync!$L1073,FIND("/",Sync!$L1073)+1,20))+1,20))),2),"")))</f>
        <v/>
      </c>
    </row>
    <row r="1074">
      <c r="M1074">
        <f>IF(Sync!$M1074&lt;&gt;"پاس چک","",IF(Sync!$P1074="","",Sync!$P1074))</f>
        <v/>
      </c>
      <c r="N1074">
        <f>IF($M1074="","",IF(ISNUMBER(Sync!$L1074),IF(AND(Sync!$L1074&gt;=10000101,Sync!$L1074&lt;=99991231),RIGHT("0000"&amp;INT(Sync!$L1074/10000),4)&amp;"/"&amp;RIGHT("00"&amp;INT(MOD(Sync!$L1074,10000)/100),2)&amp;"/"&amp;RIGHT("00"&amp;MOD(Sync!$L1074,100),2),""),IFERROR(RIGHT("0000"&amp;VALUE(TRIM(LEFT(Sync!$L1074,FIND("/",Sync!$L1074)-1))),4)&amp;"/"&amp;RIGHT("00"&amp;VALUE(TRIM(LEFT(MID(Sync!$L1074,FIND("/",Sync!$L1074)+1,20),FIND("/",MID(Sync!$L1074,FIND("/",Sync!$L1074)+1,20))-1))),2)&amp;"/"&amp;RIGHT("00"&amp;VALUE(TRIM(MID(MID(Sync!$L1074,FIND("/",Sync!$L1074)+1,20),FIND("/",MID(Sync!$L1074,FIND("/",Sync!$L1074)+1,20))+1,20))),2),"")))</f>
        <v/>
      </c>
    </row>
    <row r="1075">
      <c r="M1075">
        <f>IF(Sync!$M1075&lt;&gt;"پاس چک","",IF(Sync!$P1075="","",Sync!$P1075))</f>
        <v/>
      </c>
      <c r="N1075">
        <f>IF($M1075="","",IF(ISNUMBER(Sync!$L1075),IF(AND(Sync!$L1075&gt;=10000101,Sync!$L1075&lt;=99991231),RIGHT("0000"&amp;INT(Sync!$L1075/10000),4)&amp;"/"&amp;RIGHT("00"&amp;INT(MOD(Sync!$L1075,10000)/100),2)&amp;"/"&amp;RIGHT("00"&amp;MOD(Sync!$L1075,100),2),""),IFERROR(RIGHT("0000"&amp;VALUE(TRIM(LEFT(Sync!$L1075,FIND("/",Sync!$L1075)-1))),4)&amp;"/"&amp;RIGHT("00"&amp;VALUE(TRIM(LEFT(MID(Sync!$L1075,FIND("/",Sync!$L1075)+1,20),FIND("/",MID(Sync!$L1075,FIND("/",Sync!$L1075)+1,20))-1))),2)&amp;"/"&amp;RIGHT("00"&amp;VALUE(TRIM(MID(MID(Sync!$L1075,FIND("/",Sync!$L1075)+1,20),FIND("/",MID(Sync!$L1075,FIND("/",Sync!$L1075)+1,20))+1,20))),2),"")))</f>
        <v/>
      </c>
    </row>
    <row r="1076">
      <c r="M1076">
        <f>IF(Sync!$M1076&lt;&gt;"پاس چک","",IF(Sync!$P1076="","",Sync!$P1076))</f>
        <v/>
      </c>
      <c r="N1076">
        <f>IF($M1076="","",IF(ISNUMBER(Sync!$L1076),IF(AND(Sync!$L1076&gt;=10000101,Sync!$L1076&lt;=99991231),RIGHT("0000"&amp;INT(Sync!$L1076/10000),4)&amp;"/"&amp;RIGHT("00"&amp;INT(MOD(Sync!$L1076,10000)/100),2)&amp;"/"&amp;RIGHT("00"&amp;MOD(Sync!$L1076,100),2),""),IFERROR(RIGHT("0000"&amp;VALUE(TRIM(LEFT(Sync!$L1076,FIND("/",Sync!$L1076)-1))),4)&amp;"/"&amp;RIGHT("00"&amp;VALUE(TRIM(LEFT(MID(Sync!$L1076,FIND("/",Sync!$L1076)+1,20),FIND("/",MID(Sync!$L1076,FIND("/",Sync!$L1076)+1,20))-1))),2)&amp;"/"&amp;RIGHT("00"&amp;VALUE(TRIM(MID(MID(Sync!$L1076,FIND("/",Sync!$L1076)+1,20),FIND("/",MID(Sync!$L1076,FIND("/",Sync!$L1076)+1,20))+1,20))),2),"")))</f>
        <v/>
      </c>
    </row>
    <row r="1077">
      <c r="M1077">
        <f>IF(Sync!$M1077&lt;&gt;"پاس چک","",IF(Sync!$P1077="","",Sync!$P1077))</f>
        <v/>
      </c>
      <c r="N1077">
        <f>IF($M1077="","",IF(ISNUMBER(Sync!$L1077),IF(AND(Sync!$L1077&gt;=10000101,Sync!$L1077&lt;=99991231),RIGHT("0000"&amp;INT(Sync!$L1077/10000),4)&amp;"/"&amp;RIGHT("00"&amp;INT(MOD(Sync!$L1077,10000)/100),2)&amp;"/"&amp;RIGHT("00"&amp;MOD(Sync!$L1077,100),2),""),IFERROR(RIGHT("0000"&amp;VALUE(TRIM(LEFT(Sync!$L1077,FIND("/",Sync!$L1077)-1))),4)&amp;"/"&amp;RIGHT("00"&amp;VALUE(TRIM(LEFT(MID(Sync!$L1077,FIND("/",Sync!$L1077)+1,20),FIND("/",MID(Sync!$L1077,FIND("/",Sync!$L1077)+1,20))-1))),2)&amp;"/"&amp;RIGHT("00"&amp;VALUE(TRIM(MID(MID(Sync!$L1077,FIND("/",Sync!$L1077)+1,20),FIND("/",MID(Sync!$L1077,FIND("/",Sync!$L1077)+1,20))+1,20))),2),"")))</f>
        <v/>
      </c>
    </row>
    <row r="1078">
      <c r="M1078">
        <f>IF(Sync!$M1078&lt;&gt;"پاس چک","",IF(Sync!$P1078="","",Sync!$P1078))</f>
        <v/>
      </c>
      <c r="N1078">
        <f>IF($M1078="","",IF(ISNUMBER(Sync!$L1078),IF(AND(Sync!$L1078&gt;=10000101,Sync!$L1078&lt;=99991231),RIGHT("0000"&amp;INT(Sync!$L1078/10000),4)&amp;"/"&amp;RIGHT("00"&amp;INT(MOD(Sync!$L1078,10000)/100),2)&amp;"/"&amp;RIGHT("00"&amp;MOD(Sync!$L1078,100),2),""),IFERROR(RIGHT("0000"&amp;VALUE(TRIM(LEFT(Sync!$L1078,FIND("/",Sync!$L1078)-1))),4)&amp;"/"&amp;RIGHT("00"&amp;VALUE(TRIM(LEFT(MID(Sync!$L1078,FIND("/",Sync!$L1078)+1,20),FIND("/",MID(Sync!$L1078,FIND("/",Sync!$L1078)+1,20))-1))),2)&amp;"/"&amp;RIGHT("00"&amp;VALUE(TRIM(MID(MID(Sync!$L1078,FIND("/",Sync!$L1078)+1,20),FIND("/",MID(Sync!$L1078,FIND("/",Sync!$L1078)+1,20))+1,20))),2),"")))</f>
        <v/>
      </c>
    </row>
    <row r="1079">
      <c r="M1079">
        <f>IF(Sync!$M1079&lt;&gt;"پاس چک","",IF(Sync!$P1079="","",Sync!$P1079))</f>
        <v/>
      </c>
      <c r="N1079">
        <f>IF($M1079="","",IF(ISNUMBER(Sync!$L1079),IF(AND(Sync!$L1079&gt;=10000101,Sync!$L1079&lt;=99991231),RIGHT("0000"&amp;INT(Sync!$L1079/10000),4)&amp;"/"&amp;RIGHT("00"&amp;INT(MOD(Sync!$L1079,10000)/100),2)&amp;"/"&amp;RIGHT("00"&amp;MOD(Sync!$L1079,100),2),""),IFERROR(RIGHT("0000"&amp;VALUE(TRIM(LEFT(Sync!$L1079,FIND("/",Sync!$L1079)-1))),4)&amp;"/"&amp;RIGHT("00"&amp;VALUE(TRIM(LEFT(MID(Sync!$L1079,FIND("/",Sync!$L1079)+1,20),FIND("/",MID(Sync!$L1079,FIND("/",Sync!$L1079)+1,20))-1))),2)&amp;"/"&amp;RIGHT("00"&amp;VALUE(TRIM(MID(MID(Sync!$L1079,FIND("/",Sync!$L1079)+1,20),FIND("/",MID(Sync!$L1079,FIND("/",Sync!$L1079)+1,20))+1,20))),2),"")))</f>
        <v/>
      </c>
    </row>
    <row r="1080">
      <c r="M1080">
        <f>IF(Sync!$M1080&lt;&gt;"پاس چک","",IF(Sync!$P1080="","",Sync!$P1080))</f>
        <v/>
      </c>
      <c r="N1080">
        <f>IF($M1080="","",IF(ISNUMBER(Sync!$L1080),IF(AND(Sync!$L1080&gt;=10000101,Sync!$L1080&lt;=99991231),RIGHT("0000"&amp;INT(Sync!$L1080/10000),4)&amp;"/"&amp;RIGHT("00"&amp;INT(MOD(Sync!$L1080,10000)/100),2)&amp;"/"&amp;RIGHT("00"&amp;MOD(Sync!$L1080,100),2),""),IFERROR(RIGHT("0000"&amp;VALUE(TRIM(LEFT(Sync!$L1080,FIND("/",Sync!$L1080)-1))),4)&amp;"/"&amp;RIGHT("00"&amp;VALUE(TRIM(LEFT(MID(Sync!$L1080,FIND("/",Sync!$L1080)+1,20),FIND("/",MID(Sync!$L1080,FIND("/",Sync!$L1080)+1,20))-1))),2)&amp;"/"&amp;RIGHT("00"&amp;VALUE(TRIM(MID(MID(Sync!$L1080,FIND("/",Sync!$L1080)+1,20),FIND("/",MID(Sync!$L1080,FIND("/",Sync!$L1080)+1,20))+1,20))),2),"")))</f>
        <v/>
      </c>
    </row>
    <row r="1081">
      <c r="M1081">
        <f>IF(Sync!$M1081&lt;&gt;"پاس چک","",IF(Sync!$P1081="","",Sync!$P1081))</f>
        <v/>
      </c>
      <c r="N1081">
        <f>IF($M1081="","",IF(ISNUMBER(Sync!$L1081),IF(AND(Sync!$L1081&gt;=10000101,Sync!$L1081&lt;=99991231),RIGHT("0000"&amp;INT(Sync!$L1081/10000),4)&amp;"/"&amp;RIGHT("00"&amp;INT(MOD(Sync!$L1081,10000)/100),2)&amp;"/"&amp;RIGHT("00"&amp;MOD(Sync!$L1081,100),2),""),IFERROR(RIGHT("0000"&amp;VALUE(TRIM(LEFT(Sync!$L1081,FIND("/",Sync!$L1081)-1))),4)&amp;"/"&amp;RIGHT("00"&amp;VALUE(TRIM(LEFT(MID(Sync!$L1081,FIND("/",Sync!$L1081)+1,20),FIND("/",MID(Sync!$L1081,FIND("/",Sync!$L1081)+1,20))-1))),2)&amp;"/"&amp;RIGHT("00"&amp;VALUE(TRIM(MID(MID(Sync!$L1081,FIND("/",Sync!$L1081)+1,20),FIND("/",MID(Sync!$L1081,FIND("/",Sync!$L1081)+1,20))+1,20))),2),"")))</f>
        <v/>
      </c>
    </row>
    <row r="1082">
      <c r="M1082">
        <f>IF(Sync!$M1082&lt;&gt;"پاس چک","",IF(Sync!$P1082="","",Sync!$P1082))</f>
        <v/>
      </c>
      <c r="N1082">
        <f>IF($M1082="","",IF(ISNUMBER(Sync!$L1082),IF(AND(Sync!$L1082&gt;=10000101,Sync!$L1082&lt;=99991231),RIGHT("0000"&amp;INT(Sync!$L1082/10000),4)&amp;"/"&amp;RIGHT("00"&amp;INT(MOD(Sync!$L1082,10000)/100),2)&amp;"/"&amp;RIGHT("00"&amp;MOD(Sync!$L1082,100),2),""),IFERROR(RIGHT("0000"&amp;VALUE(TRIM(LEFT(Sync!$L1082,FIND("/",Sync!$L1082)-1))),4)&amp;"/"&amp;RIGHT("00"&amp;VALUE(TRIM(LEFT(MID(Sync!$L1082,FIND("/",Sync!$L1082)+1,20),FIND("/",MID(Sync!$L1082,FIND("/",Sync!$L1082)+1,20))-1))),2)&amp;"/"&amp;RIGHT("00"&amp;VALUE(TRIM(MID(MID(Sync!$L1082,FIND("/",Sync!$L1082)+1,20),FIND("/",MID(Sync!$L1082,FIND("/",Sync!$L1082)+1,20))+1,20))),2),"")))</f>
        <v/>
      </c>
    </row>
    <row r="1083">
      <c r="M1083">
        <f>IF(Sync!$M1083&lt;&gt;"پاس چک","",IF(Sync!$P1083="","",Sync!$P1083))</f>
        <v/>
      </c>
      <c r="N1083">
        <f>IF($M1083="","",IF(ISNUMBER(Sync!$L1083),IF(AND(Sync!$L1083&gt;=10000101,Sync!$L1083&lt;=99991231),RIGHT("0000"&amp;INT(Sync!$L1083/10000),4)&amp;"/"&amp;RIGHT("00"&amp;INT(MOD(Sync!$L1083,10000)/100),2)&amp;"/"&amp;RIGHT("00"&amp;MOD(Sync!$L1083,100),2),""),IFERROR(RIGHT("0000"&amp;VALUE(TRIM(LEFT(Sync!$L1083,FIND("/",Sync!$L1083)-1))),4)&amp;"/"&amp;RIGHT("00"&amp;VALUE(TRIM(LEFT(MID(Sync!$L1083,FIND("/",Sync!$L1083)+1,20),FIND("/",MID(Sync!$L1083,FIND("/",Sync!$L1083)+1,20))-1))),2)&amp;"/"&amp;RIGHT("00"&amp;VALUE(TRIM(MID(MID(Sync!$L1083,FIND("/",Sync!$L1083)+1,20),FIND("/",MID(Sync!$L1083,FIND("/",Sync!$L1083)+1,20))+1,20))),2),"")))</f>
        <v/>
      </c>
    </row>
    <row r="1084">
      <c r="M1084">
        <f>IF(Sync!$M1084&lt;&gt;"پاس چک","",IF(Sync!$P1084="","",Sync!$P1084))</f>
        <v/>
      </c>
      <c r="N1084">
        <f>IF($M1084="","",IF(ISNUMBER(Sync!$L1084),IF(AND(Sync!$L1084&gt;=10000101,Sync!$L1084&lt;=99991231),RIGHT("0000"&amp;INT(Sync!$L1084/10000),4)&amp;"/"&amp;RIGHT("00"&amp;INT(MOD(Sync!$L1084,10000)/100),2)&amp;"/"&amp;RIGHT("00"&amp;MOD(Sync!$L1084,100),2),""),IFERROR(RIGHT("0000"&amp;VALUE(TRIM(LEFT(Sync!$L1084,FIND("/",Sync!$L1084)-1))),4)&amp;"/"&amp;RIGHT("00"&amp;VALUE(TRIM(LEFT(MID(Sync!$L1084,FIND("/",Sync!$L1084)+1,20),FIND("/",MID(Sync!$L1084,FIND("/",Sync!$L1084)+1,20))-1))),2)&amp;"/"&amp;RIGHT("00"&amp;VALUE(TRIM(MID(MID(Sync!$L1084,FIND("/",Sync!$L1084)+1,20),FIND("/",MID(Sync!$L1084,FIND("/",Sync!$L1084)+1,20))+1,20))),2),"")))</f>
        <v/>
      </c>
    </row>
    <row r="1085">
      <c r="M1085">
        <f>IF(Sync!$M1085&lt;&gt;"پاس چک","",IF(Sync!$P1085="","",Sync!$P1085))</f>
        <v/>
      </c>
      <c r="N1085">
        <f>IF($M1085="","",IF(ISNUMBER(Sync!$L1085),IF(AND(Sync!$L1085&gt;=10000101,Sync!$L1085&lt;=99991231),RIGHT("0000"&amp;INT(Sync!$L1085/10000),4)&amp;"/"&amp;RIGHT("00"&amp;INT(MOD(Sync!$L1085,10000)/100),2)&amp;"/"&amp;RIGHT("00"&amp;MOD(Sync!$L1085,100),2),""),IFERROR(RIGHT("0000"&amp;VALUE(TRIM(LEFT(Sync!$L1085,FIND("/",Sync!$L1085)-1))),4)&amp;"/"&amp;RIGHT("00"&amp;VALUE(TRIM(LEFT(MID(Sync!$L1085,FIND("/",Sync!$L1085)+1,20),FIND("/",MID(Sync!$L1085,FIND("/",Sync!$L1085)+1,20))-1))),2)&amp;"/"&amp;RIGHT("00"&amp;VALUE(TRIM(MID(MID(Sync!$L1085,FIND("/",Sync!$L1085)+1,20),FIND("/",MID(Sync!$L1085,FIND("/",Sync!$L1085)+1,20))+1,20))),2),"")))</f>
        <v/>
      </c>
    </row>
    <row r="1086">
      <c r="M1086">
        <f>IF(Sync!$M1086&lt;&gt;"پاس چک","",IF(Sync!$P1086="","",Sync!$P1086))</f>
        <v/>
      </c>
      <c r="N1086">
        <f>IF($M1086="","",IF(ISNUMBER(Sync!$L1086),IF(AND(Sync!$L1086&gt;=10000101,Sync!$L1086&lt;=99991231),RIGHT("0000"&amp;INT(Sync!$L1086/10000),4)&amp;"/"&amp;RIGHT("00"&amp;INT(MOD(Sync!$L1086,10000)/100),2)&amp;"/"&amp;RIGHT("00"&amp;MOD(Sync!$L1086,100),2),""),IFERROR(RIGHT("0000"&amp;VALUE(TRIM(LEFT(Sync!$L1086,FIND("/",Sync!$L1086)-1))),4)&amp;"/"&amp;RIGHT("00"&amp;VALUE(TRIM(LEFT(MID(Sync!$L1086,FIND("/",Sync!$L1086)+1,20),FIND("/",MID(Sync!$L1086,FIND("/",Sync!$L1086)+1,20))-1))),2)&amp;"/"&amp;RIGHT("00"&amp;VALUE(TRIM(MID(MID(Sync!$L1086,FIND("/",Sync!$L1086)+1,20),FIND("/",MID(Sync!$L1086,FIND("/",Sync!$L1086)+1,20))+1,20))),2),"")))</f>
        <v/>
      </c>
    </row>
    <row r="1087">
      <c r="M1087">
        <f>IF(Sync!$M1087&lt;&gt;"پاس چک","",IF(Sync!$P1087="","",Sync!$P1087))</f>
        <v/>
      </c>
      <c r="N1087">
        <f>IF($M1087="","",IF(ISNUMBER(Sync!$L1087),IF(AND(Sync!$L1087&gt;=10000101,Sync!$L1087&lt;=99991231),RIGHT("0000"&amp;INT(Sync!$L1087/10000),4)&amp;"/"&amp;RIGHT("00"&amp;INT(MOD(Sync!$L1087,10000)/100),2)&amp;"/"&amp;RIGHT("00"&amp;MOD(Sync!$L1087,100),2),""),IFERROR(RIGHT("0000"&amp;VALUE(TRIM(LEFT(Sync!$L1087,FIND("/",Sync!$L1087)-1))),4)&amp;"/"&amp;RIGHT("00"&amp;VALUE(TRIM(LEFT(MID(Sync!$L1087,FIND("/",Sync!$L1087)+1,20),FIND("/",MID(Sync!$L1087,FIND("/",Sync!$L1087)+1,20))-1))),2)&amp;"/"&amp;RIGHT("00"&amp;VALUE(TRIM(MID(MID(Sync!$L1087,FIND("/",Sync!$L1087)+1,20),FIND("/",MID(Sync!$L1087,FIND("/",Sync!$L1087)+1,20))+1,20))),2),"")))</f>
        <v/>
      </c>
    </row>
    <row r="1088">
      <c r="M1088">
        <f>IF(Sync!$M1088&lt;&gt;"پاس چک","",IF(Sync!$P1088="","",Sync!$P1088))</f>
        <v/>
      </c>
      <c r="N1088">
        <f>IF($M1088="","",IF(ISNUMBER(Sync!$L1088),IF(AND(Sync!$L1088&gt;=10000101,Sync!$L1088&lt;=99991231),RIGHT("0000"&amp;INT(Sync!$L1088/10000),4)&amp;"/"&amp;RIGHT("00"&amp;INT(MOD(Sync!$L1088,10000)/100),2)&amp;"/"&amp;RIGHT("00"&amp;MOD(Sync!$L1088,100),2),""),IFERROR(RIGHT("0000"&amp;VALUE(TRIM(LEFT(Sync!$L1088,FIND("/",Sync!$L1088)-1))),4)&amp;"/"&amp;RIGHT("00"&amp;VALUE(TRIM(LEFT(MID(Sync!$L1088,FIND("/",Sync!$L1088)+1,20),FIND("/",MID(Sync!$L1088,FIND("/",Sync!$L1088)+1,20))-1))),2)&amp;"/"&amp;RIGHT("00"&amp;VALUE(TRIM(MID(MID(Sync!$L1088,FIND("/",Sync!$L1088)+1,20),FIND("/",MID(Sync!$L1088,FIND("/",Sync!$L1088)+1,20))+1,20))),2),"")))</f>
        <v/>
      </c>
    </row>
    <row r="1089">
      <c r="M1089">
        <f>IF(Sync!$M1089&lt;&gt;"پاس چک","",IF(Sync!$P1089="","",Sync!$P1089))</f>
        <v/>
      </c>
      <c r="N1089">
        <f>IF($M1089="","",IF(ISNUMBER(Sync!$L1089),IF(AND(Sync!$L1089&gt;=10000101,Sync!$L1089&lt;=99991231),RIGHT("0000"&amp;INT(Sync!$L1089/10000),4)&amp;"/"&amp;RIGHT("00"&amp;INT(MOD(Sync!$L1089,10000)/100),2)&amp;"/"&amp;RIGHT("00"&amp;MOD(Sync!$L1089,100),2),""),IFERROR(RIGHT("0000"&amp;VALUE(TRIM(LEFT(Sync!$L1089,FIND("/",Sync!$L1089)-1))),4)&amp;"/"&amp;RIGHT("00"&amp;VALUE(TRIM(LEFT(MID(Sync!$L1089,FIND("/",Sync!$L1089)+1,20),FIND("/",MID(Sync!$L1089,FIND("/",Sync!$L1089)+1,20))-1))),2)&amp;"/"&amp;RIGHT("00"&amp;VALUE(TRIM(MID(MID(Sync!$L1089,FIND("/",Sync!$L1089)+1,20),FIND("/",MID(Sync!$L1089,FIND("/",Sync!$L1089)+1,20))+1,20))),2),"")))</f>
        <v/>
      </c>
    </row>
    <row r="1090">
      <c r="M1090">
        <f>IF(Sync!$M1090&lt;&gt;"پاس چک","",IF(Sync!$P1090="","",Sync!$P1090))</f>
        <v/>
      </c>
      <c r="N1090">
        <f>IF($M1090="","",IF(ISNUMBER(Sync!$L1090),IF(AND(Sync!$L1090&gt;=10000101,Sync!$L1090&lt;=99991231),RIGHT("0000"&amp;INT(Sync!$L1090/10000),4)&amp;"/"&amp;RIGHT("00"&amp;INT(MOD(Sync!$L1090,10000)/100),2)&amp;"/"&amp;RIGHT("00"&amp;MOD(Sync!$L1090,100),2),""),IFERROR(RIGHT("0000"&amp;VALUE(TRIM(LEFT(Sync!$L1090,FIND("/",Sync!$L1090)-1))),4)&amp;"/"&amp;RIGHT("00"&amp;VALUE(TRIM(LEFT(MID(Sync!$L1090,FIND("/",Sync!$L1090)+1,20),FIND("/",MID(Sync!$L1090,FIND("/",Sync!$L1090)+1,20))-1))),2)&amp;"/"&amp;RIGHT("00"&amp;VALUE(TRIM(MID(MID(Sync!$L1090,FIND("/",Sync!$L1090)+1,20),FIND("/",MID(Sync!$L1090,FIND("/",Sync!$L1090)+1,20))+1,20))),2),"")))</f>
        <v/>
      </c>
    </row>
    <row r="1091">
      <c r="M1091">
        <f>IF(Sync!$M1091&lt;&gt;"پاس چک","",IF(Sync!$P1091="","",Sync!$P1091))</f>
        <v/>
      </c>
      <c r="N1091">
        <f>IF($M1091="","",IF(ISNUMBER(Sync!$L1091),IF(AND(Sync!$L1091&gt;=10000101,Sync!$L1091&lt;=99991231),RIGHT("0000"&amp;INT(Sync!$L1091/10000),4)&amp;"/"&amp;RIGHT("00"&amp;INT(MOD(Sync!$L1091,10000)/100),2)&amp;"/"&amp;RIGHT("00"&amp;MOD(Sync!$L1091,100),2),""),IFERROR(RIGHT("0000"&amp;VALUE(TRIM(LEFT(Sync!$L1091,FIND("/",Sync!$L1091)-1))),4)&amp;"/"&amp;RIGHT("00"&amp;VALUE(TRIM(LEFT(MID(Sync!$L1091,FIND("/",Sync!$L1091)+1,20),FIND("/",MID(Sync!$L1091,FIND("/",Sync!$L1091)+1,20))-1))),2)&amp;"/"&amp;RIGHT("00"&amp;VALUE(TRIM(MID(MID(Sync!$L1091,FIND("/",Sync!$L1091)+1,20),FIND("/",MID(Sync!$L1091,FIND("/",Sync!$L1091)+1,20))+1,20))),2),"")))</f>
        <v/>
      </c>
    </row>
    <row r="1092">
      <c r="M1092">
        <f>IF(Sync!$M1092&lt;&gt;"پاس چک","",IF(Sync!$P1092="","",Sync!$P1092))</f>
        <v/>
      </c>
      <c r="N1092">
        <f>IF($M1092="","",IF(ISNUMBER(Sync!$L1092),IF(AND(Sync!$L1092&gt;=10000101,Sync!$L1092&lt;=99991231),RIGHT("0000"&amp;INT(Sync!$L1092/10000),4)&amp;"/"&amp;RIGHT("00"&amp;INT(MOD(Sync!$L1092,10000)/100),2)&amp;"/"&amp;RIGHT("00"&amp;MOD(Sync!$L1092,100),2),""),IFERROR(RIGHT("0000"&amp;VALUE(TRIM(LEFT(Sync!$L1092,FIND("/",Sync!$L1092)-1))),4)&amp;"/"&amp;RIGHT("00"&amp;VALUE(TRIM(LEFT(MID(Sync!$L1092,FIND("/",Sync!$L1092)+1,20),FIND("/",MID(Sync!$L1092,FIND("/",Sync!$L1092)+1,20))-1))),2)&amp;"/"&amp;RIGHT("00"&amp;VALUE(TRIM(MID(MID(Sync!$L1092,FIND("/",Sync!$L1092)+1,20),FIND("/",MID(Sync!$L1092,FIND("/",Sync!$L1092)+1,20))+1,20))),2),"")))</f>
        <v/>
      </c>
    </row>
    <row r="1093">
      <c r="M1093">
        <f>IF(Sync!$M1093&lt;&gt;"پاس چک","",IF(Sync!$P1093="","",Sync!$P1093))</f>
        <v/>
      </c>
      <c r="N1093">
        <f>IF($M1093="","",IF(ISNUMBER(Sync!$L1093),IF(AND(Sync!$L1093&gt;=10000101,Sync!$L1093&lt;=99991231),RIGHT("0000"&amp;INT(Sync!$L1093/10000),4)&amp;"/"&amp;RIGHT("00"&amp;INT(MOD(Sync!$L1093,10000)/100),2)&amp;"/"&amp;RIGHT("00"&amp;MOD(Sync!$L1093,100),2),""),IFERROR(RIGHT("0000"&amp;VALUE(TRIM(LEFT(Sync!$L1093,FIND("/",Sync!$L1093)-1))),4)&amp;"/"&amp;RIGHT("00"&amp;VALUE(TRIM(LEFT(MID(Sync!$L1093,FIND("/",Sync!$L1093)+1,20),FIND("/",MID(Sync!$L1093,FIND("/",Sync!$L1093)+1,20))-1))),2)&amp;"/"&amp;RIGHT("00"&amp;VALUE(TRIM(MID(MID(Sync!$L1093,FIND("/",Sync!$L1093)+1,20),FIND("/",MID(Sync!$L1093,FIND("/",Sync!$L1093)+1,20))+1,20))),2),"")))</f>
        <v/>
      </c>
    </row>
    <row r="1094">
      <c r="M1094">
        <f>IF(Sync!$M1094&lt;&gt;"پاس چک","",IF(Sync!$P1094="","",Sync!$P1094))</f>
        <v/>
      </c>
      <c r="N1094">
        <f>IF($M1094="","",IF(ISNUMBER(Sync!$L1094),IF(AND(Sync!$L1094&gt;=10000101,Sync!$L1094&lt;=99991231),RIGHT("0000"&amp;INT(Sync!$L1094/10000),4)&amp;"/"&amp;RIGHT("00"&amp;INT(MOD(Sync!$L1094,10000)/100),2)&amp;"/"&amp;RIGHT("00"&amp;MOD(Sync!$L1094,100),2),""),IFERROR(RIGHT("0000"&amp;VALUE(TRIM(LEFT(Sync!$L1094,FIND("/",Sync!$L1094)-1))),4)&amp;"/"&amp;RIGHT("00"&amp;VALUE(TRIM(LEFT(MID(Sync!$L1094,FIND("/",Sync!$L1094)+1,20),FIND("/",MID(Sync!$L1094,FIND("/",Sync!$L1094)+1,20))-1))),2)&amp;"/"&amp;RIGHT("00"&amp;VALUE(TRIM(MID(MID(Sync!$L1094,FIND("/",Sync!$L1094)+1,20),FIND("/",MID(Sync!$L1094,FIND("/",Sync!$L1094)+1,20))+1,20))),2),"")))</f>
        <v/>
      </c>
    </row>
    <row r="1095">
      <c r="M1095">
        <f>IF(Sync!$M1095&lt;&gt;"پاس چک","",IF(Sync!$P1095="","",Sync!$P1095))</f>
        <v/>
      </c>
      <c r="N1095">
        <f>IF($M1095="","",IF(ISNUMBER(Sync!$L1095),IF(AND(Sync!$L1095&gt;=10000101,Sync!$L1095&lt;=99991231),RIGHT("0000"&amp;INT(Sync!$L1095/10000),4)&amp;"/"&amp;RIGHT("00"&amp;INT(MOD(Sync!$L1095,10000)/100),2)&amp;"/"&amp;RIGHT("00"&amp;MOD(Sync!$L1095,100),2),""),IFERROR(RIGHT("0000"&amp;VALUE(TRIM(LEFT(Sync!$L1095,FIND("/",Sync!$L1095)-1))),4)&amp;"/"&amp;RIGHT("00"&amp;VALUE(TRIM(LEFT(MID(Sync!$L1095,FIND("/",Sync!$L1095)+1,20),FIND("/",MID(Sync!$L1095,FIND("/",Sync!$L1095)+1,20))-1))),2)&amp;"/"&amp;RIGHT("00"&amp;VALUE(TRIM(MID(MID(Sync!$L1095,FIND("/",Sync!$L1095)+1,20),FIND("/",MID(Sync!$L1095,FIND("/",Sync!$L1095)+1,20))+1,20))),2),"")))</f>
        <v/>
      </c>
    </row>
    <row r="1096">
      <c r="M1096">
        <f>IF(Sync!$M1096&lt;&gt;"پاس چک","",IF(Sync!$P1096="","",Sync!$P1096))</f>
        <v/>
      </c>
      <c r="N1096">
        <f>IF($M1096="","",IF(ISNUMBER(Sync!$L1096),IF(AND(Sync!$L1096&gt;=10000101,Sync!$L1096&lt;=99991231),RIGHT("0000"&amp;INT(Sync!$L1096/10000),4)&amp;"/"&amp;RIGHT("00"&amp;INT(MOD(Sync!$L1096,10000)/100),2)&amp;"/"&amp;RIGHT("00"&amp;MOD(Sync!$L1096,100),2),""),IFERROR(RIGHT("0000"&amp;VALUE(TRIM(LEFT(Sync!$L1096,FIND("/",Sync!$L1096)-1))),4)&amp;"/"&amp;RIGHT("00"&amp;VALUE(TRIM(LEFT(MID(Sync!$L1096,FIND("/",Sync!$L1096)+1,20),FIND("/",MID(Sync!$L1096,FIND("/",Sync!$L1096)+1,20))-1))),2)&amp;"/"&amp;RIGHT("00"&amp;VALUE(TRIM(MID(MID(Sync!$L1096,FIND("/",Sync!$L1096)+1,20),FIND("/",MID(Sync!$L1096,FIND("/",Sync!$L1096)+1,20))+1,20))),2),"")))</f>
        <v/>
      </c>
    </row>
    <row r="1097">
      <c r="M1097">
        <f>IF(Sync!$M1097&lt;&gt;"پاس چک","",IF(Sync!$P1097="","",Sync!$P1097))</f>
        <v/>
      </c>
      <c r="N1097">
        <f>IF($M1097="","",IF(ISNUMBER(Sync!$L1097),IF(AND(Sync!$L1097&gt;=10000101,Sync!$L1097&lt;=99991231),RIGHT("0000"&amp;INT(Sync!$L1097/10000),4)&amp;"/"&amp;RIGHT("00"&amp;INT(MOD(Sync!$L1097,10000)/100),2)&amp;"/"&amp;RIGHT("00"&amp;MOD(Sync!$L1097,100),2),""),IFERROR(RIGHT("0000"&amp;VALUE(TRIM(LEFT(Sync!$L1097,FIND("/",Sync!$L1097)-1))),4)&amp;"/"&amp;RIGHT("00"&amp;VALUE(TRIM(LEFT(MID(Sync!$L1097,FIND("/",Sync!$L1097)+1,20),FIND("/",MID(Sync!$L1097,FIND("/",Sync!$L1097)+1,20))-1))),2)&amp;"/"&amp;RIGHT("00"&amp;VALUE(TRIM(MID(MID(Sync!$L1097,FIND("/",Sync!$L1097)+1,20),FIND("/",MID(Sync!$L1097,FIND("/",Sync!$L1097)+1,20))+1,20))),2),"")))</f>
        <v/>
      </c>
    </row>
    <row r="1098">
      <c r="M1098">
        <f>IF(Sync!$M1098&lt;&gt;"پاس چک","",IF(Sync!$P1098="","",Sync!$P1098))</f>
        <v/>
      </c>
      <c r="N1098">
        <f>IF($M1098="","",IF(ISNUMBER(Sync!$L1098),IF(AND(Sync!$L1098&gt;=10000101,Sync!$L1098&lt;=99991231),RIGHT("0000"&amp;INT(Sync!$L1098/10000),4)&amp;"/"&amp;RIGHT("00"&amp;INT(MOD(Sync!$L1098,10000)/100),2)&amp;"/"&amp;RIGHT("00"&amp;MOD(Sync!$L1098,100),2),""),IFERROR(RIGHT("0000"&amp;VALUE(TRIM(LEFT(Sync!$L1098,FIND("/",Sync!$L1098)-1))),4)&amp;"/"&amp;RIGHT("00"&amp;VALUE(TRIM(LEFT(MID(Sync!$L1098,FIND("/",Sync!$L1098)+1,20),FIND("/",MID(Sync!$L1098,FIND("/",Sync!$L1098)+1,20))-1))),2)&amp;"/"&amp;RIGHT("00"&amp;VALUE(TRIM(MID(MID(Sync!$L1098,FIND("/",Sync!$L1098)+1,20),FIND("/",MID(Sync!$L1098,FIND("/",Sync!$L1098)+1,20))+1,20))),2),"")))</f>
        <v/>
      </c>
    </row>
    <row r="1099">
      <c r="M1099">
        <f>IF(Sync!$M1099&lt;&gt;"پاس چک","",IF(Sync!$P1099="","",Sync!$P1099))</f>
        <v/>
      </c>
      <c r="N1099">
        <f>IF($M1099="","",IF(ISNUMBER(Sync!$L1099),IF(AND(Sync!$L1099&gt;=10000101,Sync!$L1099&lt;=99991231),RIGHT("0000"&amp;INT(Sync!$L1099/10000),4)&amp;"/"&amp;RIGHT("00"&amp;INT(MOD(Sync!$L1099,10000)/100),2)&amp;"/"&amp;RIGHT("00"&amp;MOD(Sync!$L1099,100),2),""),IFERROR(RIGHT("0000"&amp;VALUE(TRIM(LEFT(Sync!$L1099,FIND("/",Sync!$L1099)-1))),4)&amp;"/"&amp;RIGHT("00"&amp;VALUE(TRIM(LEFT(MID(Sync!$L1099,FIND("/",Sync!$L1099)+1,20),FIND("/",MID(Sync!$L1099,FIND("/",Sync!$L1099)+1,20))-1))),2)&amp;"/"&amp;RIGHT("00"&amp;VALUE(TRIM(MID(MID(Sync!$L1099,FIND("/",Sync!$L1099)+1,20),FIND("/",MID(Sync!$L1099,FIND("/",Sync!$L1099)+1,20))+1,20))),2),"")))</f>
        <v/>
      </c>
    </row>
    <row r="1100">
      <c r="M1100">
        <f>IF(Sync!$M1100&lt;&gt;"پاس چک","",IF(Sync!$P1100="","",Sync!$P1100))</f>
        <v/>
      </c>
      <c r="N1100">
        <f>IF($M1100="","",IF(ISNUMBER(Sync!$L1100),IF(AND(Sync!$L1100&gt;=10000101,Sync!$L1100&lt;=99991231),RIGHT("0000"&amp;INT(Sync!$L1100/10000),4)&amp;"/"&amp;RIGHT("00"&amp;INT(MOD(Sync!$L1100,10000)/100),2)&amp;"/"&amp;RIGHT("00"&amp;MOD(Sync!$L1100,100),2),""),IFERROR(RIGHT("0000"&amp;VALUE(TRIM(LEFT(Sync!$L1100,FIND("/",Sync!$L1100)-1))),4)&amp;"/"&amp;RIGHT("00"&amp;VALUE(TRIM(LEFT(MID(Sync!$L1100,FIND("/",Sync!$L1100)+1,20),FIND("/",MID(Sync!$L1100,FIND("/",Sync!$L1100)+1,20))-1))),2)&amp;"/"&amp;RIGHT("00"&amp;VALUE(TRIM(MID(MID(Sync!$L1100,FIND("/",Sync!$L1100)+1,20),FIND("/",MID(Sync!$L1100,FIND("/",Sync!$L1100)+1,20))+1,20))),2),"")))</f>
        <v/>
      </c>
    </row>
    <row r="1101">
      <c r="M1101">
        <f>IF(Sync!$M1101&lt;&gt;"پاس چک","",IF(Sync!$P1101="","",Sync!$P1101))</f>
        <v/>
      </c>
      <c r="N1101">
        <f>IF($M1101="","",IF(ISNUMBER(Sync!$L1101),IF(AND(Sync!$L1101&gt;=10000101,Sync!$L1101&lt;=99991231),RIGHT("0000"&amp;INT(Sync!$L1101/10000),4)&amp;"/"&amp;RIGHT("00"&amp;INT(MOD(Sync!$L1101,10000)/100),2)&amp;"/"&amp;RIGHT("00"&amp;MOD(Sync!$L1101,100),2),""),IFERROR(RIGHT("0000"&amp;VALUE(TRIM(LEFT(Sync!$L1101,FIND("/",Sync!$L1101)-1))),4)&amp;"/"&amp;RIGHT("00"&amp;VALUE(TRIM(LEFT(MID(Sync!$L1101,FIND("/",Sync!$L1101)+1,20),FIND("/",MID(Sync!$L1101,FIND("/",Sync!$L1101)+1,20))-1))),2)&amp;"/"&amp;RIGHT("00"&amp;VALUE(TRIM(MID(MID(Sync!$L1101,FIND("/",Sync!$L1101)+1,20),FIND("/",MID(Sync!$L1101,FIND("/",Sync!$L1101)+1,20))+1,20))),2),"")))</f>
        <v/>
      </c>
    </row>
    <row r="1102">
      <c r="M1102">
        <f>IF(Sync!$M1102&lt;&gt;"پاس چک","",IF(Sync!$P1102="","",Sync!$P1102))</f>
        <v/>
      </c>
      <c r="N1102">
        <f>IF($M1102="","",IF(ISNUMBER(Sync!$L1102),IF(AND(Sync!$L1102&gt;=10000101,Sync!$L1102&lt;=99991231),RIGHT("0000"&amp;INT(Sync!$L1102/10000),4)&amp;"/"&amp;RIGHT("00"&amp;INT(MOD(Sync!$L1102,10000)/100),2)&amp;"/"&amp;RIGHT("00"&amp;MOD(Sync!$L1102,100),2),""),IFERROR(RIGHT("0000"&amp;VALUE(TRIM(LEFT(Sync!$L1102,FIND("/",Sync!$L1102)-1))),4)&amp;"/"&amp;RIGHT("00"&amp;VALUE(TRIM(LEFT(MID(Sync!$L1102,FIND("/",Sync!$L1102)+1,20),FIND("/",MID(Sync!$L1102,FIND("/",Sync!$L1102)+1,20))-1))),2)&amp;"/"&amp;RIGHT("00"&amp;VALUE(TRIM(MID(MID(Sync!$L1102,FIND("/",Sync!$L1102)+1,20),FIND("/",MID(Sync!$L1102,FIND("/",Sync!$L1102)+1,20))+1,20))),2),"")))</f>
        <v/>
      </c>
    </row>
    <row r="1103">
      <c r="M1103">
        <f>IF(Sync!$M1103&lt;&gt;"پاس چک","",IF(Sync!$P1103="","",Sync!$P1103))</f>
        <v/>
      </c>
      <c r="N1103">
        <f>IF($M1103="","",IF(ISNUMBER(Sync!$L1103),IF(AND(Sync!$L1103&gt;=10000101,Sync!$L1103&lt;=99991231),RIGHT("0000"&amp;INT(Sync!$L1103/10000),4)&amp;"/"&amp;RIGHT("00"&amp;INT(MOD(Sync!$L1103,10000)/100),2)&amp;"/"&amp;RIGHT("00"&amp;MOD(Sync!$L1103,100),2),""),IFERROR(RIGHT("0000"&amp;VALUE(TRIM(LEFT(Sync!$L1103,FIND("/",Sync!$L1103)-1))),4)&amp;"/"&amp;RIGHT("00"&amp;VALUE(TRIM(LEFT(MID(Sync!$L1103,FIND("/",Sync!$L1103)+1,20),FIND("/",MID(Sync!$L1103,FIND("/",Sync!$L1103)+1,20))-1))),2)&amp;"/"&amp;RIGHT("00"&amp;VALUE(TRIM(MID(MID(Sync!$L1103,FIND("/",Sync!$L1103)+1,20),FIND("/",MID(Sync!$L1103,FIND("/",Sync!$L1103)+1,20))+1,20))),2),"")))</f>
        <v/>
      </c>
    </row>
    <row r="1104">
      <c r="M1104">
        <f>IF(Sync!$M1104&lt;&gt;"پاس چک","",IF(Sync!$P1104="","",Sync!$P1104))</f>
        <v/>
      </c>
      <c r="N1104">
        <f>IF($M1104="","",IF(ISNUMBER(Sync!$L1104),IF(AND(Sync!$L1104&gt;=10000101,Sync!$L1104&lt;=99991231),RIGHT("0000"&amp;INT(Sync!$L1104/10000),4)&amp;"/"&amp;RIGHT("00"&amp;INT(MOD(Sync!$L1104,10000)/100),2)&amp;"/"&amp;RIGHT("00"&amp;MOD(Sync!$L1104,100),2),""),IFERROR(RIGHT("0000"&amp;VALUE(TRIM(LEFT(Sync!$L1104,FIND("/",Sync!$L1104)-1))),4)&amp;"/"&amp;RIGHT("00"&amp;VALUE(TRIM(LEFT(MID(Sync!$L1104,FIND("/",Sync!$L1104)+1,20),FIND("/",MID(Sync!$L1104,FIND("/",Sync!$L1104)+1,20))-1))),2)&amp;"/"&amp;RIGHT("00"&amp;VALUE(TRIM(MID(MID(Sync!$L1104,FIND("/",Sync!$L1104)+1,20),FIND("/",MID(Sync!$L1104,FIND("/",Sync!$L1104)+1,20))+1,20))),2),"")))</f>
        <v/>
      </c>
    </row>
    <row r="1105">
      <c r="M1105">
        <f>IF(Sync!$M1105&lt;&gt;"پاس چک","",IF(Sync!$P1105="","",Sync!$P1105))</f>
        <v/>
      </c>
      <c r="N1105">
        <f>IF($M1105="","",IF(ISNUMBER(Sync!$L1105),IF(AND(Sync!$L1105&gt;=10000101,Sync!$L1105&lt;=99991231),RIGHT("0000"&amp;INT(Sync!$L1105/10000),4)&amp;"/"&amp;RIGHT("00"&amp;INT(MOD(Sync!$L1105,10000)/100),2)&amp;"/"&amp;RIGHT("00"&amp;MOD(Sync!$L1105,100),2),""),IFERROR(RIGHT("0000"&amp;VALUE(TRIM(LEFT(Sync!$L1105,FIND("/",Sync!$L1105)-1))),4)&amp;"/"&amp;RIGHT("00"&amp;VALUE(TRIM(LEFT(MID(Sync!$L1105,FIND("/",Sync!$L1105)+1,20),FIND("/",MID(Sync!$L1105,FIND("/",Sync!$L1105)+1,20))-1))),2)&amp;"/"&amp;RIGHT("00"&amp;VALUE(TRIM(MID(MID(Sync!$L1105,FIND("/",Sync!$L1105)+1,20),FIND("/",MID(Sync!$L1105,FIND("/",Sync!$L1105)+1,20))+1,20))),2),"")))</f>
        <v/>
      </c>
    </row>
    <row r="1106">
      <c r="M1106">
        <f>IF(Sync!$M1106&lt;&gt;"پاس چک","",IF(Sync!$P1106="","",Sync!$P1106))</f>
        <v/>
      </c>
      <c r="N1106">
        <f>IF($M1106="","",IF(ISNUMBER(Sync!$L1106),IF(AND(Sync!$L1106&gt;=10000101,Sync!$L1106&lt;=99991231),RIGHT("0000"&amp;INT(Sync!$L1106/10000),4)&amp;"/"&amp;RIGHT("00"&amp;INT(MOD(Sync!$L1106,10000)/100),2)&amp;"/"&amp;RIGHT("00"&amp;MOD(Sync!$L1106,100),2),""),IFERROR(RIGHT("0000"&amp;VALUE(TRIM(LEFT(Sync!$L1106,FIND("/",Sync!$L1106)-1))),4)&amp;"/"&amp;RIGHT("00"&amp;VALUE(TRIM(LEFT(MID(Sync!$L1106,FIND("/",Sync!$L1106)+1,20),FIND("/",MID(Sync!$L1106,FIND("/",Sync!$L1106)+1,20))-1))),2)&amp;"/"&amp;RIGHT("00"&amp;VALUE(TRIM(MID(MID(Sync!$L1106,FIND("/",Sync!$L1106)+1,20),FIND("/",MID(Sync!$L1106,FIND("/",Sync!$L1106)+1,20))+1,20))),2),"")))</f>
        <v/>
      </c>
    </row>
    <row r="1107">
      <c r="M1107">
        <f>IF(Sync!$M1107&lt;&gt;"پاس چک","",IF(Sync!$P1107="","",Sync!$P1107))</f>
        <v/>
      </c>
      <c r="N1107">
        <f>IF($M1107="","",IF(ISNUMBER(Sync!$L1107),IF(AND(Sync!$L1107&gt;=10000101,Sync!$L1107&lt;=99991231),RIGHT("0000"&amp;INT(Sync!$L1107/10000),4)&amp;"/"&amp;RIGHT("00"&amp;INT(MOD(Sync!$L1107,10000)/100),2)&amp;"/"&amp;RIGHT("00"&amp;MOD(Sync!$L1107,100),2),""),IFERROR(RIGHT("0000"&amp;VALUE(TRIM(LEFT(Sync!$L1107,FIND("/",Sync!$L1107)-1))),4)&amp;"/"&amp;RIGHT("00"&amp;VALUE(TRIM(LEFT(MID(Sync!$L1107,FIND("/",Sync!$L1107)+1,20),FIND("/",MID(Sync!$L1107,FIND("/",Sync!$L1107)+1,20))-1))),2)&amp;"/"&amp;RIGHT("00"&amp;VALUE(TRIM(MID(MID(Sync!$L1107,FIND("/",Sync!$L1107)+1,20),FIND("/",MID(Sync!$L1107,FIND("/",Sync!$L1107)+1,20))+1,20))),2),"")))</f>
        <v/>
      </c>
    </row>
    <row r="1108">
      <c r="M1108">
        <f>IF(Sync!$M1108&lt;&gt;"پاس چک","",IF(Sync!$P1108="","",Sync!$P1108))</f>
        <v/>
      </c>
      <c r="N1108">
        <f>IF($M1108="","",IF(ISNUMBER(Sync!$L1108),IF(AND(Sync!$L1108&gt;=10000101,Sync!$L1108&lt;=99991231),RIGHT("0000"&amp;INT(Sync!$L1108/10000),4)&amp;"/"&amp;RIGHT("00"&amp;INT(MOD(Sync!$L1108,10000)/100),2)&amp;"/"&amp;RIGHT("00"&amp;MOD(Sync!$L1108,100),2),""),IFERROR(RIGHT("0000"&amp;VALUE(TRIM(LEFT(Sync!$L1108,FIND("/",Sync!$L1108)-1))),4)&amp;"/"&amp;RIGHT("00"&amp;VALUE(TRIM(LEFT(MID(Sync!$L1108,FIND("/",Sync!$L1108)+1,20),FIND("/",MID(Sync!$L1108,FIND("/",Sync!$L1108)+1,20))-1))),2)&amp;"/"&amp;RIGHT("00"&amp;VALUE(TRIM(MID(MID(Sync!$L1108,FIND("/",Sync!$L1108)+1,20),FIND("/",MID(Sync!$L1108,FIND("/",Sync!$L1108)+1,20))+1,20))),2),"")))</f>
        <v/>
      </c>
    </row>
    <row r="1109">
      <c r="M1109">
        <f>IF(Sync!$M1109&lt;&gt;"پاس چک","",IF(Sync!$P1109="","",Sync!$P1109))</f>
        <v/>
      </c>
      <c r="N1109">
        <f>IF($M1109="","",IF(ISNUMBER(Sync!$L1109),IF(AND(Sync!$L1109&gt;=10000101,Sync!$L1109&lt;=99991231),RIGHT("0000"&amp;INT(Sync!$L1109/10000),4)&amp;"/"&amp;RIGHT("00"&amp;INT(MOD(Sync!$L1109,10000)/100),2)&amp;"/"&amp;RIGHT("00"&amp;MOD(Sync!$L1109,100),2),""),IFERROR(RIGHT("0000"&amp;VALUE(TRIM(LEFT(Sync!$L1109,FIND("/",Sync!$L1109)-1))),4)&amp;"/"&amp;RIGHT("00"&amp;VALUE(TRIM(LEFT(MID(Sync!$L1109,FIND("/",Sync!$L1109)+1,20),FIND("/",MID(Sync!$L1109,FIND("/",Sync!$L1109)+1,20))-1))),2)&amp;"/"&amp;RIGHT("00"&amp;VALUE(TRIM(MID(MID(Sync!$L1109,FIND("/",Sync!$L1109)+1,20),FIND("/",MID(Sync!$L1109,FIND("/",Sync!$L1109)+1,20))+1,20))),2),"")))</f>
        <v/>
      </c>
    </row>
    <row r="1110">
      <c r="M1110">
        <f>IF(Sync!$M1110&lt;&gt;"پاس چک","",IF(Sync!$P1110="","",Sync!$P1110))</f>
        <v/>
      </c>
      <c r="N1110">
        <f>IF($M1110="","",IF(ISNUMBER(Sync!$L1110),IF(AND(Sync!$L1110&gt;=10000101,Sync!$L1110&lt;=99991231),RIGHT("0000"&amp;INT(Sync!$L1110/10000),4)&amp;"/"&amp;RIGHT("00"&amp;INT(MOD(Sync!$L1110,10000)/100),2)&amp;"/"&amp;RIGHT("00"&amp;MOD(Sync!$L1110,100),2),""),IFERROR(RIGHT("0000"&amp;VALUE(TRIM(LEFT(Sync!$L1110,FIND("/",Sync!$L1110)-1))),4)&amp;"/"&amp;RIGHT("00"&amp;VALUE(TRIM(LEFT(MID(Sync!$L1110,FIND("/",Sync!$L1110)+1,20),FIND("/",MID(Sync!$L1110,FIND("/",Sync!$L1110)+1,20))-1))),2)&amp;"/"&amp;RIGHT("00"&amp;VALUE(TRIM(MID(MID(Sync!$L1110,FIND("/",Sync!$L1110)+1,20),FIND("/",MID(Sync!$L1110,FIND("/",Sync!$L1110)+1,20))+1,20))),2),"")))</f>
        <v/>
      </c>
    </row>
    <row r="1111">
      <c r="M1111">
        <f>IF(Sync!$M1111&lt;&gt;"پاس چک","",IF(Sync!$P1111="","",Sync!$P1111))</f>
        <v/>
      </c>
      <c r="N1111">
        <f>IF($M1111="","",IF(ISNUMBER(Sync!$L1111),IF(AND(Sync!$L1111&gt;=10000101,Sync!$L1111&lt;=99991231),RIGHT("0000"&amp;INT(Sync!$L1111/10000),4)&amp;"/"&amp;RIGHT("00"&amp;INT(MOD(Sync!$L1111,10000)/100),2)&amp;"/"&amp;RIGHT("00"&amp;MOD(Sync!$L1111,100),2),""),IFERROR(RIGHT("0000"&amp;VALUE(TRIM(LEFT(Sync!$L1111,FIND("/",Sync!$L1111)-1))),4)&amp;"/"&amp;RIGHT("00"&amp;VALUE(TRIM(LEFT(MID(Sync!$L1111,FIND("/",Sync!$L1111)+1,20),FIND("/",MID(Sync!$L1111,FIND("/",Sync!$L1111)+1,20))-1))),2)&amp;"/"&amp;RIGHT("00"&amp;VALUE(TRIM(MID(MID(Sync!$L1111,FIND("/",Sync!$L1111)+1,20),FIND("/",MID(Sync!$L1111,FIND("/",Sync!$L1111)+1,20))+1,20))),2),"")))</f>
        <v/>
      </c>
    </row>
    <row r="1112">
      <c r="M1112">
        <f>IF(Sync!$M1112&lt;&gt;"پاس چک","",IF(Sync!$P1112="","",Sync!$P1112))</f>
        <v/>
      </c>
      <c r="N1112">
        <f>IF($M1112="","",IF(ISNUMBER(Sync!$L1112),IF(AND(Sync!$L1112&gt;=10000101,Sync!$L1112&lt;=99991231),RIGHT("0000"&amp;INT(Sync!$L1112/10000),4)&amp;"/"&amp;RIGHT("00"&amp;INT(MOD(Sync!$L1112,10000)/100),2)&amp;"/"&amp;RIGHT("00"&amp;MOD(Sync!$L1112,100),2),""),IFERROR(RIGHT("0000"&amp;VALUE(TRIM(LEFT(Sync!$L1112,FIND("/",Sync!$L1112)-1))),4)&amp;"/"&amp;RIGHT("00"&amp;VALUE(TRIM(LEFT(MID(Sync!$L1112,FIND("/",Sync!$L1112)+1,20),FIND("/",MID(Sync!$L1112,FIND("/",Sync!$L1112)+1,20))-1))),2)&amp;"/"&amp;RIGHT("00"&amp;VALUE(TRIM(MID(MID(Sync!$L1112,FIND("/",Sync!$L1112)+1,20),FIND("/",MID(Sync!$L1112,FIND("/",Sync!$L1112)+1,20))+1,20))),2),"")))</f>
        <v/>
      </c>
    </row>
    <row r="1113">
      <c r="M1113">
        <f>IF(Sync!$M1113&lt;&gt;"پاس چک","",IF(Sync!$P1113="","",Sync!$P1113))</f>
        <v/>
      </c>
      <c r="N1113">
        <f>IF($M1113="","",IF(ISNUMBER(Sync!$L1113),IF(AND(Sync!$L1113&gt;=10000101,Sync!$L1113&lt;=99991231),RIGHT("0000"&amp;INT(Sync!$L1113/10000),4)&amp;"/"&amp;RIGHT("00"&amp;INT(MOD(Sync!$L1113,10000)/100),2)&amp;"/"&amp;RIGHT("00"&amp;MOD(Sync!$L1113,100),2),""),IFERROR(RIGHT("0000"&amp;VALUE(TRIM(LEFT(Sync!$L1113,FIND("/",Sync!$L1113)-1))),4)&amp;"/"&amp;RIGHT("00"&amp;VALUE(TRIM(LEFT(MID(Sync!$L1113,FIND("/",Sync!$L1113)+1,20),FIND("/",MID(Sync!$L1113,FIND("/",Sync!$L1113)+1,20))-1))),2)&amp;"/"&amp;RIGHT("00"&amp;VALUE(TRIM(MID(MID(Sync!$L1113,FIND("/",Sync!$L1113)+1,20),FIND("/",MID(Sync!$L1113,FIND("/",Sync!$L1113)+1,20))+1,20))),2),"")))</f>
        <v/>
      </c>
    </row>
    <row r="1114">
      <c r="M1114">
        <f>IF(Sync!$M1114&lt;&gt;"پاس چک","",IF(Sync!$P1114="","",Sync!$P1114))</f>
        <v/>
      </c>
      <c r="N1114">
        <f>IF($M1114="","",IF(ISNUMBER(Sync!$L1114),IF(AND(Sync!$L1114&gt;=10000101,Sync!$L1114&lt;=99991231),RIGHT("0000"&amp;INT(Sync!$L1114/10000),4)&amp;"/"&amp;RIGHT("00"&amp;INT(MOD(Sync!$L1114,10000)/100),2)&amp;"/"&amp;RIGHT("00"&amp;MOD(Sync!$L1114,100),2),""),IFERROR(RIGHT("0000"&amp;VALUE(TRIM(LEFT(Sync!$L1114,FIND("/",Sync!$L1114)-1))),4)&amp;"/"&amp;RIGHT("00"&amp;VALUE(TRIM(LEFT(MID(Sync!$L1114,FIND("/",Sync!$L1114)+1,20),FIND("/",MID(Sync!$L1114,FIND("/",Sync!$L1114)+1,20))-1))),2)&amp;"/"&amp;RIGHT("00"&amp;VALUE(TRIM(MID(MID(Sync!$L1114,FIND("/",Sync!$L1114)+1,20),FIND("/",MID(Sync!$L1114,FIND("/",Sync!$L1114)+1,20))+1,20))),2),"")))</f>
        <v/>
      </c>
    </row>
    <row r="1115">
      <c r="M1115">
        <f>IF(Sync!$M1115&lt;&gt;"پاس چک","",IF(Sync!$P1115="","",Sync!$P1115))</f>
        <v/>
      </c>
      <c r="N1115">
        <f>IF($M1115="","",IF(ISNUMBER(Sync!$L1115),IF(AND(Sync!$L1115&gt;=10000101,Sync!$L1115&lt;=99991231),RIGHT("0000"&amp;INT(Sync!$L1115/10000),4)&amp;"/"&amp;RIGHT("00"&amp;INT(MOD(Sync!$L1115,10000)/100),2)&amp;"/"&amp;RIGHT("00"&amp;MOD(Sync!$L1115,100),2),""),IFERROR(RIGHT("0000"&amp;VALUE(TRIM(LEFT(Sync!$L1115,FIND("/",Sync!$L1115)-1))),4)&amp;"/"&amp;RIGHT("00"&amp;VALUE(TRIM(LEFT(MID(Sync!$L1115,FIND("/",Sync!$L1115)+1,20),FIND("/",MID(Sync!$L1115,FIND("/",Sync!$L1115)+1,20))-1))),2)&amp;"/"&amp;RIGHT("00"&amp;VALUE(TRIM(MID(MID(Sync!$L1115,FIND("/",Sync!$L1115)+1,20),FIND("/",MID(Sync!$L1115,FIND("/",Sync!$L1115)+1,20))+1,20))),2),"")))</f>
        <v/>
      </c>
    </row>
    <row r="1116">
      <c r="M1116">
        <f>IF(Sync!$M1116&lt;&gt;"پاس چک","",IF(Sync!$P1116="","",Sync!$P1116))</f>
        <v/>
      </c>
      <c r="N1116">
        <f>IF($M1116="","",IF(ISNUMBER(Sync!$L1116),IF(AND(Sync!$L1116&gt;=10000101,Sync!$L1116&lt;=99991231),RIGHT("0000"&amp;INT(Sync!$L1116/10000),4)&amp;"/"&amp;RIGHT("00"&amp;INT(MOD(Sync!$L1116,10000)/100),2)&amp;"/"&amp;RIGHT("00"&amp;MOD(Sync!$L1116,100),2),""),IFERROR(RIGHT("0000"&amp;VALUE(TRIM(LEFT(Sync!$L1116,FIND("/",Sync!$L1116)-1))),4)&amp;"/"&amp;RIGHT("00"&amp;VALUE(TRIM(LEFT(MID(Sync!$L1116,FIND("/",Sync!$L1116)+1,20),FIND("/",MID(Sync!$L1116,FIND("/",Sync!$L1116)+1,20))-1))),2)&amp;"/"&amp;RIGHT("00"&amp;VALUE(TRIM(MID(MID(Sync!$L1116,FIND("/",Sync!$L1116)+1,20),FIND("/",MID(Sync!$L1116,FIND("/",Sync!$L1116)+1,20))+1,20))),2),"")))</f>
        <v/>
      </c>
    </row>
    <row r="1117">
      <c r="M1117">
        <f>IF(Sync!$M1117&lt;&gt;"پاس چک","",IF(Sync!$P1117="","",Sync!$P1117))</f>
        <v/>
      </c>
      <c r="N1117">
        <f>IF($M1117="","",IF(ISNUMBER(Sync!$L1117),IF(AND(Sync!$L1117&gt;=10000101,Sync!$L1117&lt;=99991231),RIGHT("0000"&amp;INT(Sync!$L1117/10000),4)&amp;"/"&amp;RIGHT("00"&amp;INT(MOD(Sync!$L1117,10000)/100),2)&amp;"/"&amp;RIGHT("00"&amp;MOD(Sync!$L1117,100),2),""),IFERROR(RIGHT("0000"&amp;VALUE(TRIM(LEFT(Sync!$L1117,FIND("/",Sync!$L1117)-1))),4)&amp;"/"&amp;RIGHT("00"&amp;VALUE(TRIM(LEFT(MID(Sync!$L1117,FIND("/",Sync!$L1117)+1,20),FIND("/",MID(Sync!$L1117,FIND("/",Sync!$L1117)+1,20))-1))),2)&amp;"/"&amp;RIGHT("00"&amp;VALUE(TRIM(MID(MID(Sync!$L1117,FIND("/",Sync!$L1117)+1,20),FIND("/",MID(Sync!$L1117,FIND("/",Sync!$L1117)+1,20))+1,20))),2),"")))</f>
        <v/>
      </c>
    </row>
    <row r="1118">
      <c r="M1118">
        <f>IF(Sync!$M1118&lt;&gt;"پاس چک","",IF(Sync!$P1118="","",Sync!$P1118))</f>
        <v/>
      </c>
      <c r="N1118">
        <f>IF($M1118="","",IF(ISNUMBER(Sync!$L1118),IF(AND(Sync!$L1118&gt;=10000101,Sync!$L1118&lt;=99991231),RIGHT("0000"&amp;INT(Sync!$L1118/10000),4)&amp;"/"&amp;RIGHT("00"&amp;INT(MOD(Sync!$L1118,10000)/100),2)&amp;"/"&amp;RIGHT("00"&amp;MOD(Sync!$L1118,100),2),""),IFERROR(RIGHT("0000"&amp;VALUE(TRIM(LEFT(Sync!$L1118,FIND("/",Sync!$L1118)-1))),4)&amp;"/"&amp;RIGHT("00"&amp;VALUE(TRIM(LEFT(MID(Sync!$L1118,FIND("/",Sync!$L1118)+1,20),FIND("/",MID(Sync!$L1118,FIND("/",Sync!$L1118)+1,20))-1))),2)&amp;"/"&amp;RIGHT("00"&amp;VALUE(TRIM(MID(MID(Sync!$L1118,FIND("/",Sync!$L1118)+1,20),FIND("/",MID(Sync!$L1118,FIND("/",Sync!$L1118)+1,20))+1,20))),2),"")))</f>
        <v/>
      </c>
    </row>
    <row r="1119">
      <c r="M1119">
        <f>IF(Sync!$M1119&lt;&gt;"پاس چک","",IF(Sync!$P1119="","",Sync!$P1119))</f>
        <v/>
      </c>
      <c r="N1119">
        <f>IF($M1119="","",IF(ISNUMBER(Sync!$L1119),IF(AND(Sync!$L1119&gt;=10000101,Sync!$L1119&lt;=99991231),RIGHT("0000"&amp;INT(Sync!$L1119/10000),4)&amp;"/"&amp;RIGHT("00"&amp;INT(MOD(Sync!$L1119,10000)/100),2)&amp;"/"&amp;RIGHT("00"&amp;MOD(Sync!$L1119,100),2),""),IFERROR(RIGHT("0000"&amp;VALUE(TRIM(LEFT(Sync!$L1119,FIND("/",Sync!$L1119)-1))),4)&amp;"/"&amp;RIGHT("00"&amp;VALUE(TRIM(LEFT(MID(Sync!$L1119,FIND("/",Sync!$L1119)+1,20),FIND("/",MID(Sync!$L1119,FIND("/",Sync!$L1119)+1,20))-1))),2)&amp;"/"&amp;RIGHT("00"&amp;VALUE(TRIM(MID(MID(Sync!$L1119,FIND("/",Sync!$L1119)+1,20),FIND("/",MID(Sync!$L1119,FIND("/",Sync!$L1119)+1,20))+1,20))),2),"")))</f>
        <v/>
      </c>
    </row>
    <row r="1120">
      <c r="M1120">
        <f>IF(Sync!$M1120&lt;&gt;"پاس چک","",IF(Sync!$P1120="","",Sync!$P1120))</f>
        <v/>
      </c>
      <c r="N1120">
        <f>IF($M1120="","",IF(ISNUMBER(Sync!$L1120),IF(AND(Sync!$L1120&gt;=10000101,Sync!$L1120&lt;=99991231),RIGHT("0000"&amp;INT(Sync!$L1120/10000),4)&amp;"/"&amp;RIGHT("00"&amp;INT(MOD(Sync!$L1120,10000)/100),2)&amp;"/"&amp;RIGHT("00"&amp;MOD(Sync!$L1120,100),2),""),IFERROR(RIGHT("0000"&amp;VALUE(TRIM(LEFT(Sync!$L1120,FIND("/",Sync!$L1120)-1))),4)&amp;"/"&amp;RIGHT("00"&amp;VALUE(TRIM(LEFT(MID(Sync!$L1120,FIND("/",Sync!$L1120)+1,20),FIND("/",MID(Sync!$L1120,FIND("/",Sync!$L1120)+1,20))-1))),2)&amp;"/"&amp;RIGHT("00"&amp;VALUE(TRIM(MID(MID(Sync!$L1120,FIND("/",Sync!$L1120)+1,20),FIND("/",MID(Sync!$L1120,FIND("/",Sync!$L1120)+1,20))+1,20))),2),"")))</f>
        <v/>
      </c>
    </row>
    <row r="1121">
      <c r="M1121">
        <f>IF(Sync!$M1121&lt;&gt;"پاس چک","",IF(Sync!$P1121="","",Sync!$P1121))</f>
        <v/>
      </c>
      <c r="N1121">
        <f>IF($M1121="","",IF(ISNUMBER(Sync!$L1121),IF(AND(Sync!$L1121&gt;=10000101,Sync!$L1121&lt;=99991231),RIGHT("0000"&amp;INT(Sync!$L1121/10000),4)&amp;"/"&amp;RIGHT("00"&amp;INT(MOD(Sync!$L1121,10000)/100),2)&amp;"/"&amp;RIGHT("00"&amp;MOD(Sync!$L1121,100),2),""),IFERROR(RIGHT("0000"&amp;VALUE(TRIM(LEFT(Sync!$L1121,FIND("/",Sync!$L1121)-1))),4)&amp;"/"&amp;RIGHT("00"&amp;VALUE(TRIM(LEFT(MID(Sync!$L1121,FIND("/",Sync!$L1121)+1,20),FIND("/",MID(Sync!$L1121,FIND("/",Sync!$L1121)+1,20))-1))),2)&amp;"/"&amp;RIGHT("00"&amp;VALUE(TRIM(MID(MID(Sync!$L1121,FIND("/",Sync!$L1121)+1,20),FIND("/",MID(Sync!$L1121,FIND("/",Sync!$L1121)+1,20))+1,20))),2),"")))</f>
        <v/>
      </c>
    </row>
    <row r="1122">
      <c r="M1122">
        <f>IF(Sync!$M1122&lt;&gt;"پاس چک","",IF(Sync!$P1122="","",Sync!$P1122))</f>
        <v/>
      </c>
      <c r="N1122">
        <f>IF($M1122="","",IF(ISNUMBER(Sync!$L1122),IF(AND(Sync!$L1122&gt;=10000101,Sync!$L1122&lt;=99991231),RIGHT("0000"&amp;INT(Sync!$L1122/10000),4)&amp;"/"&amp;RIGHT("00"&amp;INT(MOD(Sync!$L1122,10000)/100),2)&amp;"/"&amp;RIGHT("00"&amp;MOD(Sync!$L1122,100),2),""),IFERROR(RIGHT("0000"&amp;VALUE(TRIM(LEFT(Sync!$L1122,FIND("/",Sync!$L1122)-1))),4)&amp;"/"&amp;RIGHT("00"&amp;VALUE(TRIM(LEFT(MID(Sync!$L1122,FIND("/",Sync!$L1122)+1,20),FIND("/",MID(Sync!$L1122,FIND("/",Sync!$L1122)+1,20))-1))),2)&amp;"/"&amp;RIGHT("00"&amp;VALUE(TRIM(MID(MID(Sync!$L1122,FIND("/",Sync!$L1122)+1,20),FIND("/",MID(Sync!$L1122,FIND("/",Sync!$L1122)+1,20))+1,20))),2),"")))</f>
        <v/>
      </c>
    </row>
    <row r="1123">
      <c r="M1123">
        <f>IF(Sync!$M1123&lt;&gt;"پاس چک","",IF(Sync!$P1123="","",Sync!$P1123))</f>
        <v/>
      </c>
      <c r="N1123">
        <f>IF($M1123="","",IF(ISNUMBER(Sync!$L1123),IF(AND(Sync!$L1123&gt;=10000101,Sync!$L1123&lt;=99991231),RIGHT("0000"&amp;INT(Sync!$L1123/10000),4)&amp;"/"&amp;RIGHT("00"&amp;INT(MOD(Sync!$L1123,10000)/100),2)&amp;"/"&amp;RIGHT("00"&amp;MOD(Sync!$L1123,100),2),""),IFERROR(RIGHT("0000"&amp;VALUE(TRIM(LEFT(Sync!$L1123,FIND("/",Sync!$L1123)-1))),4)&amp;"/"&amp;RIGHT("00"&amp;VALUE(TRIM(LEFT(MID(Sync!$L1123,FIND("/",Sync!$L1123)+1,20),FIND("/",MID(Sync!$L1123,FIND("/",Sync!$L1123)+1,20))-1))),2)&amp;"/"&amp;RIGHT("00"&amp;VALUE(TRIM(MID(MID(Sync!$L1123,FIND("/",Sync!$L1123)+1,20),FIND("/",MID(Sync!$L1123,FIND("/",Sync!$L1123)+1,20))+1,20))),2),"")))</f>
        <v/>
      </c>
    </row>
    <row r="1124">
      <c r="M1124">
        <f>IF(Sync!$M1124&lt;&gt;"پاس چک","",IF(Sync!$P1124="","",Sync!$P1124))</f>
        <v/>
      </c>
      <c r="N1124">
        <f>IF($M1124="","",IF(ISNUMBER(Sync!$L1124),IF(AND(Sync!$L1124&gt;=10000101,Sync!$L1124&lt;=99991231),RIGHT("0000"&amp;INT(Sync!$L1124/10000),4)&amp;"/"&amp;RIGHT("00"&amp;INT(MOD(Sync!$L1124,10000)/100),2)&amp;"/"&amp;RIGHT("00"&amp;MOD(Sync!$L1124,100),2),""),IFERROR(RIGHT("0000"&amp;VALUE(TRIM(LEFT(Sync!$L1124,FIND("/",Sync!$L1124)-1))),4)&amp;"/"&amp;RIGHT("00"&amp;VALUE(TRIM(LEFT(MID(Sync!$L1124,FIND("/",Sync!$L1124)+1,20),FIND("/",MID(Sync!$L1124,FIND("/",Sync!$L1124)+1,20))-1))),2)&amp;"/"&amp;RIGHT("00"&amp;VALUE(TRIM(MID(MID(Sync!$L1124,FIND("/",Sync!$L1124)+1,20),FIND("/",MID(Sync!$L1124,FIND("/",Sync!$L1124)+1,20))+1,20))),2),"")))</f>
        <v/>
      </c>
    </row>
    <row r="1125">
      <c r="M1125">
        <f>IF(Sync!$M1125&lt;&gt;"پاس چک","",IF(Sync!$P1125="","",Sync!$P1125))</f>
        <v/>
      </c>
      <c r="N1125">
        <f>IF($M1125="","",IF(ISNUMBER(Sync!$L1125),IF(AND(Sync!$L1125&gt;=10000101,Sync!$L1125&lt;=99991231),RIGHT("0000"&amp;INT(Sync!$L1125/10000),4)&amp;"/"&amp;RIGHT("00"&amp;INT(MOD(Sync!$L1125,10000)/100),2)&amp;"/"&amp;RIGHT("00"&amp;MOD(Sync!$L1125,100),2),""),IFERROR(RIGHT("0000"&amp;VALUE(TRIM(LEFT(Sync!$L1125,FIND("/",Sync!$L1125)-1))),4)&amp;"/"&amp;RIGHT("00"&amp;VALUE(TRIM(LEFT(MID(Sync!$L1125,FIND("/",Sync!$L1125)+1,20),FIND("/",MID(Sync!$L1125,FIND("/",Sync!$L1125)+1,20))-1))),2)&amp;"/"&amp;RIGHT("00"&amp;VALUE(TRIM(MID(MID(Sync!$L1125,FIND("/",Sync!$L1125)+1,20),FIND("/",MID(Sync!$L1125,FIND("/",Sync!$L1125)+1,20))+1,20))),2),"")))</f>
        <v/>
      </c>
    </row>
    <row r="1126">
      <c r="M1126">
        <f>IF(Sync!$M1126&lt;&gt;"پاس چک","",IF(Sync!$P1126="","",Sync!$P1126))</f>
        <v/>
      </c>
      <c r="N1126">
        <f>IF($M1126="","",IF(ISNUMBER(Sync!$L1126),IF(AND(Sync!$L1126&gt;=10000101,Sync!$L1126&lt;=99991231),RIGHT("0000"&amp;INT(Sync!$L1126/10000),4)&amp;"/"&amp;RIGHT("00"&amp;INT(MOD(Sync!$L1126,10000)/100),2)&amp;"/"&amp;RIGHT("00"&amp;MOD(Sync!$L1126,100),2),""),IFERROR(RIGHT("0000"&amp;VALUE(TRIM(LEFT(Sync!$L1126,FIND("/",Sync!$L1126)-1))),4)&amp;"/"&amp;RIGHT("00"&amp;VALUE(TRIM(LEFT(MID(Sync!$L1126,FIND("/",Sync!$L1126)+1,20),FIND("/",MID(Sync!$L1126,FIND("/",Sync!$L1126)+1,20))-1))),2)&amp;"/"&amp;RIGHT("00"&amp;VALUE(TRIM(MID(MID(Sync!$L1126,FIND("/",Sync!$L1126)+1,20),FIND("/",MID(Sync!$L1126,FIND("/",Sync!$L1126)+1,20))+1,20))),2),"")))</f>
        <v/>
      </c>
    </row>
    <row r="1127">
      <c r="M1127">
        <f>IF(Sync!$M1127&lt;&gt;"پاس چک","",IF(Sync!$P1127="","",Sync!$P1127))</f>
        <v/>
      </c>
      <c r="N1127">
        <f>IF($M1127="","",IF(ISNUMBER(Sync!$L1127),IF(AND(Sync!$L1127&gt;=10000101,Sync!$L1127&lt;=99991231),RIGHT("0000"&amp;INT(Sync!$L1127/10000),4)&amp;"/"&amp;RIGHT("00"&amp;INT(MOD(Sync!$L1127,10000)/100),2)&amp;"/"&amp;RIGHT("00"&amp;MOD(Sync!$L1127,100),2),""),IFERROR(RIGHT("0000"&amp;VALUE(TRIM(LEFT(Sync!$L1127,FIND("/",Sync!$L1127)-1))),4)&amp;"/"&amp;RIGHT("00"&amp;VALUE(TRIM(LEFT(MID(Sync!$L1127,FIND("/",Sync!$L1127)+1,20),FIND("/",MID(Sync!$L1127,FIND("/",Sync!$L1127)+1,20))-1))),2)&amp;"/"&amp;RIGHT("00"&amp;VALUE(TRIM(MID(MID(Sync!$L1127,FIND("/",Sync!$L1127)+1,20),FIND("/",MID(Sync!$L1127,FIND("/",Sync!$L1127)+1,20))+1,20))),2),"")))</f>
        <v/>
      </c>
    </row>
    <row r="1128">
      <c r="M1128">
        <f>IF(Sync!$M1128&lt;&gt;"پاس چک","",IF(Sync!$P1128="","",Sync!$P1128))</f>
        <v/>
      </c>
      <c r="N1128">
        <f>IF($M1128="","",IF(ISNUMBER(Sync!$L1128),IF(AND(Sync!$L1128&gt;=10000101,Sync!$L1128&lt;=99991231),RIGHT("0000"&amp;INT(Sync!$L1128/10000),4)&amp;"/"&amp;RIGHT("00"&amp;INT(MOD(Sync!$L1128,10000)/100),2)&amp;"/"&amp;RIGHT("00"&amp;MOD(Sync!$L1128,100),2),""),IFERROR(RIGHT("0000"&amp;VALUE(TRIM(LEFT(Sync!$L1128,FIND("/",Sync!$L1128)-1))),4)&amp;"/"&amp;RIGHT("00"&amp;VALUE(TRIM(LEFT(MID(Sync!$L1128,FIND("/",Sync!$L1128)+1,20),FIND("/",MID(Sync!$L1128,FIND("/",Sync!$L1128)+1,20))-1))),2)&amp;"/"&amp;RIGHT("00"&amp;VALUE(TRIM(MID(MID(Sync!$L1128,FIND("/",Sync!$L1128)+1,20),FIND("/",MID(Sync!$L1128,FIND("/",Sync!$L1128)+1,20))+1,20))),2),"")))</f>
        <v/>
      </c>
    </row>
    <row r="1129">
      <c r="M1129">
        <f>IF(Sync!$M1129&lt;&gt;"پاس چک","",IF(Sync!$P1129="","",Sync!$P1129))</f>
        <v/>
      </c>
      <c r="N1129">
        <f>IF($M1129="","",IF(ISNUMBER(Sync!$L1129),IF(AND(Sync!$L1129&gt;=10000101,Sync!$L1129&lt;=99991231),RIGHT("0000"&amp;INT(Sync!$L1129/10000),4)&amp;"/"&amp;RIGHT("00"&amp;INT(MOD(Sync!$L1129,10000)/100),2)&amp;"/"&amp;RIGHT("00"&amp;MOD(Sync!$L1129,100),2),""),IFERROR(RIGHT("0000"&amp;VALUE(TRIM(LEFT(Sync!$L1129,FIND("/",Sync!$L1129)-1))),4)&amp;"/"&amp;RIGHT("00"&amp;VALUE(TRIM(LEFT(MID(Sync!$L1129,FIND("/",Sync!$L1129)+1,20),FIND("/",MID(Sync!$L1129,FIND("/",Sync!$L1129)+1,20))-1))),2)&amp;"/"&amp;RIGHT("00"&amp;VALUE(TRIM(MID(MID(Sync!$L1129,FIND("/",Sync!$L1129)+1,20),FIND("/",MID(Sync!$L1129,FIND("/",Sync!$L1129)+1,20))+1,20))),2),"")))</f>
        <v/>
      </c>
    </row>
    <row r="1130">
      <c r="M1130">
        <f>IF(Sync!$M1130&lt;&gt;"پاس چک","",IF(Sync!$P1130="","",Sync!$P1130))</f>
        <v/>
      </c>
      <c r="N1130">
        <f>IF($M1130="","",IF(ISNUMBER(Sync!$L1130),IF(AND(Sync!$L1130&gt;=10000101,Sync!$L1130&lt;=99991231),RIGHT("0000"&amp;INT(Sync!$L1130/10000),4)&amp;"/"&amp;RIGHT("00"&amp;INT(MOD(Sync!$L1130,10000)/100),2)&amp;"/"&amp;RIGHT("00"&amp;MOD(Sync!$L1130,100),2),""),IFERROR(RIGHT("0000"&amp;VALUE(TRIM(LEFT(Sync!$L1130,FIND("/",Sync!$L1130)-1))),4)&amp;"/"&amp;RIGHT("00"&amp;VALUE(TRIM(LEFT(MID(Sync!$L1130,FIND("/",Sync!$L1130)+1,20),FIND("/",MID(Sync!$L1130,FIND("/",Sync!$L1130)+1,20))-1))),2)&amp;"/"&amp;RIGHT("00"&amp;VALUE(TRIM(MID(MID(Sync!$L1130,FIND("/",Sync!$L1130)+1,20),FIND("/",MID(Sync!$L1130,FIND("/",Sync!$L1130)+1,20))+1,20))),2),"")))</f>
        <v/>
      </c>
    </row>
    <row r="1131">
      <c r="M1131">
        <f>IF(Sync!$M1131&lt;&gt;"پاس چک","",IF(Sync!$P1131="","",Sync!$P1131))</f>
        <v/>
      </c>
      <c r="N1131">
        <f>IF($M1131="","",IF(ISNUMBER(Sync!$L1131),IF(AND(Sync!$L1131&gt;=10000101,Sync!$L1131&lt;=99991231),RIGHT("0000"&amp;INT(Sync!$L1131/10000),4)&amp;"/"&amp;RIGHT("00"&amp;INT(MOD(Sync!$L1131,10000)/100),2)&amp;"/"&amp;RIGHT("00"&amp;MOD(Sync!$L1131,100),2),""),IFERROR(RIGHT("0000"&amp;VALUE(TRIM(LEFT(Sync!$L1131,FIND("/",Sync!$L1131)-1))),4)&amp;"/"&amp;RIGHT("00"&amp;VALUE(TRIM(LEFT(MID(Sync!$L1131,FIND("/",Sync!$L1131)+1,20),FIND("/",MID(Sync!$L1131,FIND("/",Sync!$L1131)+1,20))-1))),2)&amp;"/"&amp;RIGHT("00"&amp;VALUE(TRIM(MID(MID(Sync!$L1131,FIND("/",Sync!$L1131)+1,20),FIND("/",MID(Sync!$L1131,FIND("/",Sync!$L1131)+1,20))+1,20))),2),"")))</f>
        <v/>
      </c>
    </row>
    <row r="1132">
      <c r="M1132">
        <f>IF(Sync!$M1132&lt;&gt;"پاس چک","",IF(Sync!$P1132="","",Sync!$P1132))</f>
        <v/>
      </c>
      <c r="N1132">
        <f>IF($M1132="","",IF(ISNUMBER(Sync!$L1132),IF(AND(Sync!$L1132&gt;=10000101,Sync!$L1132&lt;=99991231),RIGHT("0000"&amp;INT(Sync!$L1132/10000),4)&amp;"/"&amp;RIGHT("00"&amp;INT(MOD(Sync!$L1132,10000)/100),2)&amp;"/"&amp;RIGHT("00"&amp;MOD(Sync!$L1132,100),2),""),IFERROR(RIGHT("0000"&amp;VALUE(TRIM(LEFT(Sync!$L1132,FIND("/",Sync!$L1132)-1))),4)&amp;"/"&amp;RIGHT("00"&amp;VALUE(TRIM(LEFT(MID(Sync!$L1132,FIND("/",Sync!$L1132)+1,20),FIND("/",MID(Sync!$L1132,FIND("/",Sync!$L1132)+1,20))-1))),2)&amp;"/"&amp;RIGHT("00"&amp;VALUE(TRIM(MID(MID(Sync!$L1132,FIND("/",Sync!$L1132)+1,20),FIND("/",MID(Sync!$L1132,FIND("/",Sync!$L1132)+1,20))+1,20))),2),"")))</f>
        <v/>
      </c>
    </row>
    <row r="1133">
      <c r="M1133">
        <f>IF(Sync!$M1133&lt;&gt;"پاس چک","",IF(Sync!$P1133="","",Sync!$P1133))</f>
        <v/>
      </c>
      <c r="N1133">
        <f>IF($M1133="","",IF(ISNUMBER(Sync!$L1133),IF(AND(Sync!$L1133&gt;=10000101,Sync!$L1133&lt;=99991231),RIGHT("0000"&amp;INT(Sync!$L1133/10000),4)&amp;"/"&amp;RIGHT("00"&amp;INT(MOD(Sync!$L1133,10000)/100),2)&amp;"/"&amp;RIGHT("00"&amp;MOD(Sync!$L1133,100),2),""),IFERROR(RIGHT("0000"&amp;VALUE(TRIM(LEFT(Sync!$L1133,FIND("/",Sync!$L1133)-1))),4)&amp;"/"&amp;RIGHT("00"&amp;VALUE(TRIM(LEFT(MID(Sync!$L1133,FIND("/",Sync!$L1133)+1,20),FIND("/",MID(Sync!$L1133,FIND("/",Sync!$L1133)+1,20))-1))),2)&amp;"/"&amp;RIGHT("00"&amp;VALUE(TRIM(MID(MID(Sync!$L1133,FIND("/",Sync!$L1133)+1,20),FIND("/",MID(Sync!$L1133,FIND("/",Sync!$L1133)+1,20))+1,20))),2),"")))</f>
        <v/>
      </c>
    </row>
    <row r="1134">
      <c r="M1134">
        <f>IF(Sync!$M1134&lt;&gt;"پاس چک","",IF(Sync!$P1134="","",Sync!$P1134))</f>
        <v/>
      </c>
      <c r="N1134">
        <f>IF($M1134="","",IF(ISNUMBER(Sync!$L1134),IF(AND(Sync!$L1134&gt;=10000101,Sync!$L1134&lt;=99991231),RIGHT("0000"&amp;INT(Sync!$L1134/10000),4)&amp;"/"&amp;RIGHT("00"&amp;INT(MOD(Sync!$L1134,10000)/100),2)&amp;"/"&amp;RIGHT("00"&amp;MOD(Sync!$L1134,100),2),""),IFERROR(RIGHT("0000"&amp;VALUE(TRIM(LEFT(Sync!$L1134,FIND("/",Sync!$L1134)-1))),4)&amp;"/"&amp;RIGHT("00"&amp;VALUE(TRIM(LEFT(MID(Sync!$L1134,FIND("/",Sync!$L1134)+1,20),FIND("/",MID(Sync!$L1134,FIND("/",Sync!$L1134)+1,20))-1))),2)&amp;"/"&amp;RIGHT("00"&amp;VALUE(TRIM(MID(MID(Sync!$L1134,FIND("/",Sync!$L1134)+1,20),FIND("/",MID(Sync!$L1134,FIND("/",Sync!$L1134)+1,20))+1,20))),2),"")))</f>
        <v/>
      </c>
    </row>
    <row r="1135">
      <c r="M1135">
        <f>IF(Sync!$M1135&lt;&gt;"پاس چک","",IF(Sync!$P1135="","",Sync!$P1135))</f>
        <v/>
      </c>
      <c r="N1135">
        <f>IF($M1135="","",IF(ISNUMBER(Sync!$L1135),IF(AND(Sync!$L1135&gt;=10000101,Sync!$L1135&lt;=99991231),RIGHT("0000"&amp;INT(Sync!$L1135/10000),4)&amp;"/"&amp;RIGHT("00"&amp;INT(MOD(Sync!$L1135,10000)/100),2)&amp;"/"&amp;RIGHT("00"&amp;MOD(Sync!$L1135,100),2),""),IFERROR(RIGHT("0000"&amp;VALUE(TRIM(LEFT(Sync!$L1135,FIND("/",Sync!$L1135)-1))),4)&amp;"/"&amp;RIGHT("00"&amp;VALUE(TRIM(LEFT(MID(Sync!$L1135,FIND("/",Sync!$L1135)+1,20),FIND("/",MID(Sync!$L1135,FIND("/",Sync!$L1135)+1,20))-1))),2)&amp;"/"&amp;RIGHT("00"&amp;VALUE(TRIM(MID(MID(Sync!$L1135,FIND("/",Sync!$L1135)+1,20),FIND("/",MID(Sync!$L1135,FIND("/",Sync!$L1135)+1,20))+1,20))),2),"")))</f>
        <v/>
      </c>
    </row>
    <row r="1136">
      <c r="M1136">
        <f>IF(Sync!$M1136&lt;&gt;"پاس چک","",IF(Sync!$P1136="","",Sync!$P1136))</f>
        <v/>
      </c>
      <c r="N1136">
        <f>IF($M1136="","",IF(ISNUMBER(Sync!$L1136),IF(AND(Sync!$L1136&gt;=10000101,Sync!$L1136&lt;=99991231),RIGHT("0000"&amp;INT(Sync!$L1136/10000),4)&amp;"/"&amp;RIGHT("00"&amp;INT(MOD(Sync!$L1136,10000)/100),2)&amp;"/"&amp;RIGHT("00"&amp;MOD(Sync!$L1136,100),2),""),IFERROR(RIGHT("0000"&amp;VALUE(TRIM(LEFT(Sync!$L1136,FIND("/",Sync!$L1136)-1))),4)&amp;"/"&amp;RIGHT("00"&amp;VALUE(TRIM(LEFT(MID(Sync!$L1136,FIND("/",Sync!$L1136)+1,20),FIND("/",MID(Sync!$L1136,FIND("/",Sync!$L1136)+1,20))-1))),2)&amp;"/"&amp;RIGHT("00"&amp;VALUE(TRIM(MID(MID(Sync!$L1136,FIND("/",Sync!$L1136)+1,20),FIND("/",MID(Sync!$L1136,FIND("/",Sync!$L1136)+1,20))+1,20))),2),"")))</f>
        <v/>
      </c>
    </row>
    <row r="1137">
      <c r="M1137">
        <f>IF(Sync!$M1137&lt;&gt;"پاس چک","",IF(Sync!$P1137="","",Sync!$P1137))</f>
        <v/>
      </c>
      <c r="N1137">
        <f>IF($M1137="","",IF(ISNUMBER(Sync!$L1137),IF(AND(Sync!$L1137&gt;=10000101,Sync!$L1137&lt;=99991231),RIGHT("0000"&amp;INT(Sync!$L1137/10000),4)&amp;"/"&amp;RIGHT("00"&amp;INT(MOD(Sync!$L1137,10000)/100),2)&amp;"/"&amp;RIGHT("00"&amp;MOD(Sync!$L1137,100),2),""),IFERROR(RIGHT("0000"&amp;VALUE(TRIM(LEFT(Sync!$L1137,FIND("/",Sync!$L1137)-1))),4)&amp;"/"&amp;RIGHT("00"&amp;VALUE(TRIM(LEFT(MID(Sync!$L1137,FIND("/",Sync!$L1137)+1,20),FIND("/",MID(Sync!$L1137,FIND("/",Sync!$L1137)+1,20))-1))),2)&amp;"/"&amp;RIGHT("00"&amp;VALUE(TRIM(MID(MID(Sync!$L1137,FIND("/",Sync!$L1137)+1,20),FIND("/",MID(Sync!$L1137,FIND("/",Sync!$L1137)+1,20))+1,20))),2),"")))</f>
        <v/>
      </c>
    </row>
    <row r="1138">
      <c r="M1138">
        <f>IF(Sync!$M1138&lt;&gt;"پاس چک","",IF(Sync!$P1138="","",Sync!$P1138))</f>
        <v/>
      </c>
      <c r="N1138">
        <f>IF($M1138="","",IF(ISNUMBER(Sync!$L1138),IF(AND(Sync!$L1138&gt;=10000101,Sync!$L1138&lt;=99991231),RIGHT("0000"&amp;INT(Sync!$L1138/10000),4)&amp;"/"&amp;RIGHT("00"&amp;INT(MOD(Sync!$L1138,10000)/100),2)&amp;"/"&amp;RIGHT("00"&amp;MOD(Sync!$L1138,100),2),""),IFERROR(RIGHT("0000"&amp;VALUE(TRIM(LEFT(Sync!$L1138,FIND("/",Sync!$L1138)-1))),4)&amp;"/"&amp;RIGHT("00"&amp;VALUE(TRIM(LEFT(MID(Sync!$L1138,FIND("/",Sync!$L1138)+1,20),FIND("/",MID(Sync!$L1138,FIND("/",Sync!$L1138)+1,20))-1))),2)&amp;"/"&amp;RIGHT("00"&amp;VALUE(TRIM(MID(MID(Sync!$L1138,FIND("/",Sync!$L1138)+1,20),FIND("/",MID(Sync!$L1138,FIND("/",Sync!$L1138)+1,20))+1,20))),2),"")))</f>
        <v/>
      </c>
    </row>
    <row r="1139">
      <c r="M1139">
        <f>IF(Sync!$M1139&lt;&gt;"پاس چک","",IF(Sync!$P1139="","",Sync!$P1139))</f>
        <v/>
      </c>
      <c r="N1139">
        <f>IF($M1139="","",IF(ISNUMBER(Sync!$L1139),IF(AND(Sync!$L1139&gt;=10000101,Sync!$L1139&lt;=99991231),RIGHT("0000"&amp;INT(Sync!$L1139/10000),4)&amp;"/"&amp;RIGHT("00"&amp;INT(MOD(Sync!$L1139,10000)/100),2)&amp;"/"&amp;RIGHT("00"&amp;MOD(Sync!$L1139,100),2),""),IFERROR(RIGHT("0000"&amp;VALUE(TRIM(LEFT(Sync!$L1139,FIND("/",Sync!$L1139)-1))),4)&amp;"/"&amp;RIGHT("00"&amp;VALUE(TRIM(LEFT(MID(Sync!$L1139,FIND("/",Sync!$L1139)+1,20),FIND("/",MID(Sync!$L1139,FIND("/",Sync!$L1139)+1,20))-1))),2)&amp;"/"&amp;RIGHT("00"&amp;VALUE(TRIM(MID(MID(Sync!$L1139,FIND("/",Sync!$L1139)+1,20),FIND("/",MID(Sync!$L1139,FIND("/",Sync!$L1139)+1,20))+1,20))),2),"")))</f>
        <v/>
      </c>
    </row>
    <row r="1140">
      <c r="M1140">
        <f>IF(Sync!$M1140&lt;&gt;"پاس چک","",IF(Sync!$P1140="","",Sync!$P1140))</f>
        <v/>
      </c>
      <c r="N1140">
        <f>IF($M1140="","",IF(ISNUMBER(Sync!$L1140),IF(AND(Sync!$L1140&gt;=10000101,Sync!$L1140&lt;=99991231),RIGHT("0000"&amp;INT(Sync!$L1140/10000),4)&amp;"/"&amp;RIGHT("00"&amp;INT(MOD(Sync!$L1140,10000)/100),2)&amp;"/"&amp;RIGHT("00"&amp;MOD(Sync!$L1140,100),2),""),IFERROR(RIGHT("0000"&amp;VALUE(TRIM(LEFT(Sync!$L1140,FIND("/",Sync!$L1140)-1))),4)&amp;"/"&amp;RIGHT("00"&amp;VALUE(TRIM(LEFT(MID(Sync!$L1140,FIND("/",Sync!$L1140)+1,20),FIND("/",MID(Sync!$L1140,FIND("/",Sync!$L1140)+1,20))-1))),2)&amp;"/"&amp;RIGHT("00"&amp;VALUE(TRIM(MID(MID(Sync!$L1140,FIND("/",Sync!$L1140)+1,20),FIND("/",MID(Sync!$L1140,FIND("/",Sync!$L1140)+1,20))+1,20))),2),"")))</f>
        <v/>
      </c>
    </row>
    <row r="1141">
      <c r="M1141">
        <f>IF(Sync!$M1141&lt;&gt;"پاس چک","",IF(Sync!$P1141="","",Sync!$P1141))</f>
        <v/>
      </c>
      <c r="N1141">
        <f>IF($M1141="","",IF(ISNUMBER(Sync!$L1141),IF(AND(Sync!$L1141&gt;=10000101,Sync!$L1141&lt;=99991231),RIGHT("0000"&amp;INT(Sync!$L1141/10000),4)&amp;"/"&amp;RIGHT("00"&amp;INT(MOD(Sync!$L1141,10000)/100),2)&amp;"/"&amp;RIGHT("00"&amp;MOD(Sync!$L1141,100),2),""),IFERROR(RIGHT("0000"&amp;VALUE(TRIM(LEFT(Sync!$L1141,FIND("/",Sync!$L1141)-1))),4)&amp;"/"&amp;RIGHT("00"&amp;VALUE(TRIM(LEFT(MID(Sync!$L1141,FIND("/",Sync!$L1141)+1,20),FIND("/",MID(Sync!$L1141,FIND("/",Sync!$L1141)+1,20))-1))),2)&amp;"/"&amp;RIGHT("00"&amp;VALUE(TRIM(MID(MID(Sync!$L1141,FIND("/",Sync!$L1141)+1,20),FIND("/",MID(Sync!$L1141,FIND("/",Sync!$L1141)+1,20))+1,20))),2),"")))</f>
        <v/>
      </c>
    </row>
    <row r="1142">
      <c r="M1142">
        <f>IF(Sync!$M1142&lt;&gt;"پاس چک","",IF(Sync!$P1142="","",Sync!$P1142))</f>
        <v/>
      </c>
      <c r="N1142">
        <f>IF($M1142="","",IF(ISNUMBER(Sync!$L1142),IF(AND(Sync!$L1142&gt;=10000101,Sync!$L1142&lt;=99991231),RIGHT("0000"&amp;INT(Sync!$L1142/10000),4)&amp;"/"&amp;RIGHT("00"&amp;INT(MOD(Sync!$L1142,10000)/100),2)&amp;"/"&amp;RIGHT("00"&amp;MOD(Sync!$L1142,100),2),""),IFERROR(RIGHT("0000"&amp;VALUE(TRIM(LEFT(Sync!$L1142,FIND("/",Sync!$L1142)-1))),4)&amp;"/"&amp;RIGHT("00"&amp;VALUE(TRIM(LEFT(MID(Sync!$L1142,FIND("/",Sync!$L1142)+1,20),FIND("/",MID(Sync!$L1142,FIND("/",Sync!$L1142)+1,20))-1))),2)&amp;"/"&amp;RIGHT("00"&amp;VALUE(TRIM(MID(MID(Sync!$L1142,FIND("/",Sync!$L1142)+1,20),FIND("/",MID(Sync!$L1142,FIND("/",Sync!$L1142)+1,20))+1,20))),2),"")))</f>
        <v/>
      </c>
    </row>
    <row r="1143">
      <c r="M1143">
        <f>IF(Sync!$M1143&lt;&gt;"پاس چک","",IF(Sync!$P1143="","",Sync!$P1143))</f>
        <v/>
      </c>
      <c r="N1143">
        <f>IF($M1143="","",IF(ISNUMBER(Sync!$L1143),IF(AND(Sync!$L1143&gt;=10000101,Sync!$L1143&lt;=99991231),RIGHT("0000"&amp;INT(Sync!$L1143/10000),4)&amp;"/"&amp;RIGHT("00"&amp;INT(MOD(Sync!$L1143,10000)/100),2)&amp;"/"&amp;RIGHT("00"&amp;MOD(Sync!$L1143,100),2),""),IFERROR(RIGHT("0000"&amp;VALUE(TRIM(LEFT(Sync!$L1143,FIND("/",Sync!$L1143)-1))),4)&amp;"/"&amp;RIGHT("00"&amp;VALUE(TRIM(LEFT(MID(Sync!$L1143,FIND("/",Sync!$L1143)+1,20),FIND("/",MID(Sync!$L1143,FIND("/",Sync!$L1143)+1,20))-1))),2)&amp;"/"&amp;RIGHT("00"&amp;VALUE(TRIM(MID(MID(Sync!$L1143,FIND("/",Sync!$L1143)+1,20),FIND("/",MID(Sync!$L1143,FIND("/",Sync!$L1143)+1,20))+1,20))),2),"")))</f>
        <v/>
      </c>
    </row>
    <row r="1144">
      <c r="M1144">
        <f>IF(Sync!$M1144&lt;&gt;"پاس چک","",IF(Sync!$P1144="","",Sync!$P1144))</f>
        <v/>
      </c>
      <c r="N1144">
        <f>IF($M1144="","",IF(ISNUMBER(Sync!$L1144),IF(AND(Sync!$L1144&gt;=10000101,Sync!$L1144&lt;=99991231),RIGHT("0000"&amp;INT(Sync!$L1144/10000),4)&amp;"/"&amp;RIGHT("00"&amp;INT(MOD(Sync!$L1144,10000)/100),2)&amp;"/"&amp;RIGHT("00"&amp;MOD(Sync!$L1144,100),2),""),IFERROR(RIGHT("0000"&amp;VALUE(TRIM(LEFT(Sync!$L1144,FIND("/",Sync!$L1144)-1))),4)&amp;"/"&amp;RIGHT("00"&amp;VALUE(TRIM(LEFT(MID(Sync!$L1144,FIND("/",Sync!$L1144)+1,20),FIND("/",MID(Sync!$L1144,FIND("/",Sync!$L1144)+1,20))-1))),2)&amp;"/"&amp;RIGHT("00"&amp;VALUE(TRIM(MID(MID(Sync!$L1144,FIND("/",Sync!$L1144)+1,20),FIND("/",MID(Sync!$L1144,FIND("/",Sync!$L1144)+1,20))+1,20))),2),"")))</f>
        <v/>
      </c>
    </row>
    <row r="1145">
      <c r="M1145">
        <f>IF(Sync!$M1145&lt;&gt;"پاس چک","",IF(Sync!$P1145="","",Sync!$P1145))</f>
        <v/>
      </c>
      <c r="N1145">
        <f>IF($M1145="","",IF(ISNUMBER(Sync!$L1145),IF(AND(Sync!$L1145&gt;=10000101,Sync!$L1145&lt;=99991231),RIGHT("0000"&amp;INT(Sync!$L1145/10000),4)&amp;"/"&amp;RIGHT("00"&amp;INT(MOD(Sync!$L1145,10000)/100),2)&amp;"/"&amp;RIGHT("00"&amp;MOD(Sync!$L1145,100),2),""),IFERROR(RIGHT("0000"&amp;VALUE(TRIM(LEFT(Sync!$L1145,FIND("/",Sync!$L1145)-1))),4)&amp;"/"&amp;RIGHT("00"&amp;VALUE(TRIM(LEFT(MID(Sync!$L1145,FIND("/",Sync!$L1145)+1,20),FIND("/",MID(Sync!$L1145,FIND("/",Sync!$L1145)+1,20))-1))),2)&amp;"/"&amp;RIGHT("00"&amp;VALUE(TRIM(MID(MID(Sync!$L1145,FIND("/",Sync!$L1145)+1,20),FIND("/",MID(Sync!$L1145,FIND("/",Sync!$L1145)+1,20))+1,20))),2),"")))</f>
        <v/>
      </c>
    </row>
    <row r="1146">
      <c r="M1146">
        <f>IF(Sync!$M1146&lt;&gt;"پاس چک","",IF(Sync!$P1146="","",Sync!$P1146))</f>
        <v/>
      </c>
      <c r="N1146">
        <f>IF($M1146="","",IF(ISNUMBER(Sync!$L1146),IF(AND(Sync!$L1146&gt;=10000101,Sync!$L1146&lt;=99991231),RIGHT("0000"&amp;INT(Sync!$L1146/10000),4)&amp;"/"&amp;RIGHT("00"&amp;INT(MOD(Sync!$L1146,10000)/100),2)&amp;"/"&amp;RIGHT("00"&amp;MOD(Sync!$L1146,100),2),""),IFERROR(RIGHT("0000"&amp;VALUE(TRIM(LEFT(Sync!$L1146,FIND("/",Sync!$L1146)-1))),4)&amp;"/"&amp;RIGHT("00"&amp;VALUE(TRIM(LEFT(MID(Sync!$L1146,FIND("/",Sync!$L1146)+1,20),FIND("/",MID(Sync!$L1146,FIND("/",Sync!$L1146)+1,20))-1))),2)&amp;"/"&amp;RIGHT("00"&amp;VALUE(TRIM(MID(MID(Sync!$L1146,FIND("/",Sync!$L1146)+1,20),FIND("/",MID(Sync!$L1146,FIND("/",Sync!$L1146)+1,20))+1,20))),2),"")))</f>
        <v/>
      </c>
    </row>
    <row r="1147">
      <c r="M1147">
        <f>IF(Sync!$M1147&lt;&gt;"پاس چک","",IF(Sync!$P1147="","",Sync!$P1147))</f>
        <v/>
      </c>
      <c r="N1147">
        <f>IF($M1147="","",IF(ISNUMBER(Sync!$L1147),IF(AND(Sync!$L1147&gt;=10000101,Sync!$L1147&lt;=99991231),RIGHT("0000"&amp;INT(Sync!$L1147/10000),4)&amp;"/"&amp;RIGHT("00"&amp;INT(MOD(Sync!$L1147,10000)/100),2)&amp;"/"&amp;RIGHT("00"&amp;MOD(Sync!$L1147,100),2),""),IFERROR(RIGHT("0000"&amp;VALUE(TRIM(LEFT(Sync!$L1147,FIND("/",Sync!$L1147)-1))),4)&amp;"/"&amp;RIGHT("00"&amp;VALUE(TRIM(LEFT(MID(Sync!$L1147,FIND("/",Sync!$L1147)+1,20),FIND("/",MID(Sync!$L1147,FIND("/",Sync!$L1147)+1,20))-1))),2)&amp;"/"&amp;RIGHT("00"&amp;VALUE(TRIM(MID(MID(Sync!$L1147,FIND("/",Sync!$L1147)+1,20),FIND("/",MID(Sync!$L1147,FIND("/",Sync!$L1147)+1,20))+1,20))),2),"")))</f>
        <v/>
      </c>
    </row>
    <row r="1148">
      <c r="M1148">
        <f>IF(Sync!$M1148&lt;&gt;"پاس چک","",IF(Sync!$P1148="","",Sync!$P1148))</f>
        <v/>
      </c>
      <c r="N1148">
        <f>IF($M1148="","",IF(ISNUMBER(Sync!$L1148),IF(AND(Sync!$L1148&gt;=10000101,Sync!$L1148&lt;=99991231),RIGHT("0000"&amp;INT(Sync!$L1148/10000),4)&amp;"/"&amp;RIGHT("00"&amp;INT(MOD(Sync!$L1148,10000)/100),2)&amp;"/"&amp;RIGHT("00"&amp;MOD(Sync!$L1148,100),2),""),IFERROR(RIGHT("0000"&amp;VALUE(TRIM(LEFT(Sync!$L1148,FIND("/",Sync!$L1148)-1))),4)&amp;"/"&amp;RIGHT("00"&amp;VALUE(TRIM(LEFT(MID(Sync!$L1148,FIND("/",Sync!$L1148)+1,20),FIND("/",MID(Sync!$L1148,FIND("/",Sync!$L1148)+1,20))-1))),2)&amp;"/"&amp;RIGHT("00"&amp;VALUE(TRIM(MID(MID(Sync!$L1148,FIND("/",Sync!$L1148)+1,20),FIND("/",MID(Sync!$L1148,FIND("/",Sync!$L1148)+1,20))+1,20))),2),"")))</f>
        <v/>
      </c>
    </row>
    <row r="1149">
      <c r="M1149">
        <f>IF(Sync!$M1149&lt;&gt;"پاس چک","",IF(Sync!$P1149="","",Sync!$P1149))</f>
        <v/>
      </c>
      <c r="N1149">
        <f>IF($M1149="","",IF(ISNUMBER(Sync!$L1149),IF(AND(Sync!$L1149&gt;=10000101,Sync!$L1149&lt;=99991231),RIGHT("0000"&amp;INT(Sync!$L1149/10000),4)&amp;"/"&amp;RIGHT("00"&amp;INT(MOD(Sync!$L1149,10000)/100),2)&amp;"/"&amp;RIGHT("00"&amp;MOD(Sync!$L1149,100),2),""),IFERROR(RIGHT("0000"&amp;VALUE(TRIM(LEFT(Sync!$L1149,FIND("/",Sync!$L1149)-1))),4)&amp;"/"&amp;RIGHT("00"&amp;VALUE(TRIM(LEFT(MID(Sync!$L1149,FIND("/",Sync!$L1149)+1,20),FIND("/",MID(Sync!$L1149,FIND("/",Sync!$L1149)+1,20))-1))),2)&amp;"/"&amp;RIGHT("00"&amp;VALUE(TRIM(MID(MID(Sync!$L1149,FIND("/",Sync!$L1149)+1,20),FIND("/",MID(Sync!$L1149,FIND("/",Sync!$L1149)+1,20))+1,20))),2),"")))</f>
        <v/>
      </c>
    </row>
    <row r="1150">
      <c r="M1150">
        <f>IF(Sync!$M1150&lt;&gt;"پاس چک","",IF(Sync!$P1150="","",Sync!$P1150))</f>
        <v/>
      </c>
      <c r="N1150">
        <f>IF($M1150="","",IF(ISNUMBER(Sync!$L1150),IF(AND(Sync!$L1150&gt;=10000101,Sync!$L1150&lt;=99991231),RIGHT("0000"&amp;INT(Sync!$L1150/10000),4)&amp;"/"&amp;RIGHT("00"&amp;INT(MOD(Sync!$L1150,10000)/100),2)&amp;"/"&amp;RIGHT("00"&amp;MOD(Sync!$L1150,100),2),""),IFERROR(RIGHT("0000"&amp;VALUE(TRIM(LEFT(Sync!$L1150,FIND("/",Sync!$L1150)-1))),4)&amp;"/"&amp;RIGHT("00"&amp;VALUE(TRIM(LEFT(MID(Sync!$L1150,FIND("/",Sync!$L1150)+1,20),FIND("/",MID(Sync!$L1150,FIND("/",Sync!$L1150)+1,20))-1))),2)&amp;"/"&amp;RIGHT("00"&amp;VALUE(TRIM(MID(MID(Sync!$L1150,FIND("/",Sync!$L1150)+1,20),FIND("/",MID(Sync!$L1150,FIND("/",Sync!$L1150)+1,20))+1,20))),2),"")))</f>
        <v/>
      </c>
    </row>
    <row r="1151">
      <c r="M1151">
        <f>IF(Sync!$M1151&lt;&gt;"پاس چک","",IF(Sync!$P1151="","",Sync!$P1151))</f>
        <v/>
      </c>
      <c r="N1151">
        <f>IF($M1151="","",IF(ISNUMBER(Sync!$L1151),IF(AND(Sync!$L1151&gt;=10000101,Sync!$L1151&lt;=99991231),RIGHT("0000"&amp;INT(Sync!$L1151/10000),4)&amp;"/"&amp;RIGHT("00"&amp;INT(MOD(Sync!$L1151,10000)/100),2)&amp;"/"&amp;RIGHT("00"&amp;MOD(Sync!$L1151,100),2),""),IFERROR(RIGHT("0000"&amp;VALUE(TRIM(LEFT(Sync!$L1151,FIND("/",Sync!$L1151)-1))),4)&amp;"/"&amp;RIGHT("00"&amp;VALUE(TRIM(LEFT(MID(Sync!$L1151,FIND("/",Sync!$L1151)+1,20),FIND("/",MID(Sync!$L1151,FIND("/",Sync!$L1151)+1,20))-1))),2)&amp;"/"&amp;RIGHT("00"&amp;VALUE(TRIM(MID(MID(Sync!$L1151,FIND("/",Sync!$L1151)+1,20),FIND("/",MID(Sync!$L1151,FIND("/",Sync!$L1151)+1,20))+1,20))),2),"")))</f>
        <v/>
      </c>
    </row>
    <row r="1152">
      <c r="M1152">
        <f>IF(Sync!$M1152&lt;&gt;"پاس چک","",IF(Sync!$P1152="","",Sync!$P1152))</f>
        <v/>
      </c>
      <c r="N1152">
        <f>IF($M1152="","",IF(ISNUMBER(Sync!$L1152),IF(AND(Sync!$L1152&gt;=10000101,Sync!$L1152&lt;=99991231),RIGHT("0000"&amp;INT(Sync!$L1152/10000),4)&amp;"/"&amp;RIGHT("00"&amp;INT(MOD(Sync!$L1152,10000)/100),2)&amp;"/"&amp;RIGHT("00"&amp;MOD(Sync!$L1152,100),2),""),IFERROR(RIGHT("0000"&amp;VALUE(TRIM(LEFT(Sync!$L1152,FIND("/",Sync!$L1152)-1))),4)&amp;"/"&amp;RIGHT("00"&amp;VALUE(TRIM(LEFT(MID(Sync!$L1152,FIND("/",Sync!$L1152)+1,20),FIND("/",MID(Sync!$L1152,FIND("/",Sync!$L1152)+1,20))-1))),2)&amp;"/"&amp;RIGHT("00"&amp;VALUE(TRIM(MID(MID(Sync!$L1152,FIND("/",Sync!$L1152)+1,20),FIND("/",MID(Sync!$L1152,FIND("/",Sync!$L1152)+1,20))+1,20))),2),"")))</f>
        <v/>
      </c>
    </row>
    <row r="1153">
      <c r="M1153">
        <f>IF(Sync!$M1153&lt;&gt;"پاس چک","",IF(Sync!$P1153="","",Sync!$P1153))</f>
        <v/>
      </c>
      <c r="N1153">
        <f>IF($M1153="","",IF(ISNUMBER(Sync!$L1153),IF(AND(Sync!$L1153&gt;=10000101,Sync!$L1153&lt;=99991231),RIGHT("0000"&amp;INT(Sync!$L1153/10000),4)&amp;"/"&amp;RIGHT("00"&amp;INT(MOD(Sync!$L1153,10000)/100),2)&amp;"/"&amp;RIGHT("00"&amp;MOD(Sync!$L1153,100),2),""),IFERROR(RIGHT("0000"&amp;VALUE(TRIM(LEFT(Sync!$L1153,FIND("/",Sync!$L1153)-1))),4)&amp;"/"&amp;RIGHT("00"&amp;VALUE(TRIM(LEFT(MID(Sync!$L1153,FIND("/",Sync!$L1153)+1,20),FIND("/",MID(Sync!$L1153,FIND("/",Sync!$L1153)+1,20))-1))),2)&amp;"/"&amp;RIGHT("00"&amp;VALUE(TRIM(MID(MID(Sync!$L1153,FIND("/",Sync!$L1153)+1,20),FIND("/",MID(Sync!$L1153,FIND("/",Sync!$L1153)+1,20))+1,20))),2),"")))</f>
        <v/>
      </c>
    </row>
    <row r="1154">
      <c r="M1154">
        <f>IF(Sync!$M1154&lt;&gt;"پاس چک","",IF(Sync!$P1154="","",Sync!$P1154))</f>
        <v/>
      </c>
      <c r="N1154">
        <f>IF($M1154="","",IF(ISNUMBER(Sync!$L1154),IF(AND(Sync!$L1154&gt;=10000101,Sync!$L1154&lt;=99991231),RIGHT("0000"&amp;INT(Sync!$L1154/10000),4)&amp;"/"&amp;RIGHT("00"&amp;INT(MOD(Sync!$L1154,10000)/100),2)&amp;"/"&amp;RIGHT("00"&amp;MOD(Sync!$L1154,100),2),""),IFERROR(RIGHT("0000"&amp;VALUE(TRIM(LEFT(Sync!$L1154,FIND("/",Sync!$L1154)-1))),4)&amp;"/"&amp;RIGHT("00"&amp;VALUE(TRIM(LEFT(MID(Sync!$L1154,FIND("/",Sync!$L1154)+1,20),FIND("/",MID(Sync!$L1154,FIND("/",Sync!$L1154)+1,20))-1))),2)&amp;"/"&amp;RIGHT("00"&amp;VALUE(TRIM(MID(MID(Sync!$L1154,FIND("/",Sync!$L1154)+1,20),FIND("/",MID(Sync!$L1154,FIND("/",Sync!$L1154)+1,20))+1,20))),2),"")))</f>
        <v/>
      </c>
    </row>
    <row r="1155">
      <c r="M1155">
        <f>IF(Sync!$M1155&lt;&gt;"پاس چک","",IF(Sync!$P1155="","",Sync!$P1155))</f>
        <v/>
      </c>
      <c r="N1155">
        <f>IF($M1155="","",IF(ISNUMBER(Sync!$L1155),IF(AND(Sync!$L1155&gt;=10000101,Sync!$L1155&lt;=99991231),RIGHT("0000"&amp;INT(Sync!$L1155/10000),4)&amp;"/"&amp;RIGHT("00"&amp;INT(MOD(Sync!$L1155,10000)/100),2)&amp;"/"&amp;RIGHT("00"&amp;MOD(Sync!$L1155,100),2),""),IFERROR(RIGHT("0000"&amp;VALUE(TRIM(LEFT(Sync!$L1155,FIND("/",Sync!$L1155)-1))),4)&amp;"/"&amp;RIGHT("00"&amp;VALUE(TRIM(LEFT(MID(Sync!$L1155,FIND("/",Sync!$L1155)+1,20),FIND("/",MID(Sync!$L1155,FIND("/",Sync!$L1155)+1,20))-1))),2)&amp;"/"&amp;RIGHT("00"&amp;VALUE(TRIM(MID(MID(Sync!$L1155,FIND("/",Sync!$L1155)+1,20),FIND("/",MID(Sync!$L1155,FIND("/",Sync!$L1155)+1,20))+1,20))),2),"")))</f>
        <v/>
      </c>
    </row>
    <row r="1156">
      <c r="M1156">
        <f>IF(Sync!$M1156&lt;&gt;"پاس چک","",IF(Sync!$P1156="","",Sync!$P1156))</f>
        <v/>
      </c>
      <c r="N1156">
        <f>IF($M1156="","",IF(ISNUMBER(Sync!$L1156),IF(AND(Sync!$L1156&gt;=10000101,Sync!$L1156&lt;=99991231),RIGHT("0000"&amp;INT(Sync!$L1156/10000),4)&amp;"/"&amp;RIGHT("00"&amp;INT(MOD(Sync!$L1156,10000)/100),2)&amp;"/"&amp;RIGHT("00"&amp;MOD(Sync!$L1156,100),2),""),IFERROR(RIGHT("0000"&amp;VALUE(TRIM(LEFT(Sync!$L1156,FIND("/",Sync!$L1156)-1))),4)&amp;"/"&amp;RIGHT("00"&amp;VALUE(TRIM(LEFT(MID(Sync!$L1156,FIND("/",Sync!$L1156)+1,20),FIND("/",MID(Sync!$L1156,FIND("/",Sync!$L1156)+1,20))-1))),2)&amp;"/"&amp;RIGHT("00"&amp;VALUE(TRIM(MID(MID(Sync!$L1156,FIND("/",Sync!$L1156)+1,20),FIND("/",MID(Sync!$L1156,FIND("/",Sync!$L1156)+1,20))+1,20))),2),"")))</f>
        <v/>
      </c>
    </row>
    <row r="1157">
      <c r="M1157">
        <f>IF(Sync!$M1157&lt;&gt;"پاس چک","",IF(Sync!$P1157="","",Sync!$P1157))</f>
        <v/>
      </c>
      <c r="N1157">
        <f>IF($M1157="","",IF(ISNUMBER(Sync!$L1157),IF(AND(Sync!$L1157&gt;=10000101,Sync!$L1157&lt;=99991231),RIGHT("0000"&amp;INT(Sync!$L1157/10000),4)&amp;"/"&amp;RIGHT("00"&amp;INT(MOD(Sync!$L1157,10000)/100),2)&amp;"/"&amp;RIGHT("00"&amp;MOD(Sync!$L1157,100),2),""),IFERROR(RIGHT("0000"&amp;VALUE(TRIM(LEFT(Sync!$L1157,FIND("/",Sync!$L1157)-1))),4)&amp;"/"&amp;RIGHT("00"&amp;VALUE(TRIM(LEFT(MID(Sync!$L1157,FIND("/",Sync!$L1157)+1,20),FIND("/",MID(Sync!$L1157,FIND("/",Sync!$L1157)+1,20))-1))),2)&amp;"/"&amp;RIGHT("00"&amp;VALUE(TRIM(MID(MID(Sync!$L1157,FIND("/",Sync!$L1157)+1,20),FIND("/",MID(Sync!$L1157,FIND("/",Sync!$L1157)+1,20))+1,20))),2),"")))</f>
        <v/>
      </c>
    </row>
    <row r="1158">
      <c r="M1158">
        <f>IF(Sync!$M1158&lt;&gt;"پاس چک","",IF(Sync!$P1158="","",Sync!$P1158))</f>
        <v/>
      </c>
      <c r="N1158">
        <f>IF($M1158="","",IF(ISNUMBER(Sync!$L1158),IF(AND(Sync!$L1158&gt;=10000101,Sync!$L1158&lt;=99991231),RIGHT("0000"&amp;INT(Sync!$L1158/10000),4)&amp;"/"&amp;RIGHT("00"&amp;INT(MOD(Sync!$L1158,10000)/100),2)&amp;"/"&amp;RIGHT("00"&amp;MOD(Sync!$L1158,100),2),""),IFERROR(RIGHT("0000"&amp;VALUE(TRIM(LEFT(Sync!$L1158,FIND("/",Sync!$L1158)-1))),4)&amp;"/"&amp;RIGHT("00"&amp;VALUE(TRIM(LEFT(MID(Sync!$L1158,FIND("/",Sync!$L1158)+1,20),FIND("/",MID(Sync!$L1158,FIND("/",Sync!$L1158)+1,20))-1))),2)&amp;"/"&amp;RIGHT("00"&amp;VALUE(TRIM(MID(MID(Sync!$L1158,FIND("/",Sync!$L1158)+1,20),FIND("/",MID(Sync!$L1158,FIND("/",Sync!$L1158)+1,20))+1,20))),2),"")))</f>
        <v/>
      </c>
    </row>
    <row r="1159">
      <c r="M1159">
        <f>IF(Sync!$M1159&lt;&gt;"پاس چک","",IF(Sync!$P1159="","",Sync!$P1159))</f>
        <v/>
      </c>
      <c r="N1159">
        <f>IF($M1159="","",IF(ISNUMBER(Sync!$L1159),IF(AND(Sync!$L1159&gt;=10000101,Sync!$L1159&lt;=99991231),RIGHT("0000"&amp;INT(Sync!$L1159/10000),4)&amp;"/"&amp;RIGHT("00"&amp;INT(MOD(Sync!$L1159,10000)/100),2)&amp;"/"&amp;RIGHT("00"&amp;MOD(Sync!$L1159,100),2),""),IFERROR(RIGHT("0000"&amp;VALUE(TRIM(LEFT(Sync!$L1159,FIND("/",Sync!$L1159)-1))),4)&amp;"/"&amp;RIGHT("00"&amp;VALUE(TRIM(LEFT(MID(Sync!$L1159,FIND("/",Sync!$L1159)+1,20),FIND("/",MID(Sync!$L1159,FIND("/",Sync!$L1159)+1,20))-1))),2)&amp;"/"&amp;RIGHT("00"&amp;VALUE(TRIM(MID(MID(Sync!$L1159,FIND("/",Sync!$L1159)+1,20),FIND("/",MID(Sync!$L1159,FIND("/",Sync!$L1159)+1,20))+1,20))),2),"")))</f>
        <v/>
      </c>
    </row>
    <row r="1160">
      <c r="M1160">
        <f>IF(Sync!$M1160&lt;&gt;"پاس چک","",IF(Sync!$P1160="","",Sync!$P1160))</f>
        <v/>
      </c>
      <c r="N1160">
        <f>IF($M1160="","",IF(ISNUMBER(Sync!$L1160),IF(AND(Sync!$L1160&gt;=10000101,Sync!$L1160&lt;=99991231),RIGHT("0000"&amp;INT(Sync!$L1160/10000),4)&amp;"/"&amp;RIGHT("00"&amp;INT(MOD(Sync!$L1160,10000)/100),2)&amp;"/"&amp;RIGHT("00"&amp;MOD(Sync!$L1160,100),2),""),IFERROR(RIGHT("0000"&amp;VALUE(TRIM(LEFT(Sync!$L1160,FIND("/",Sync!$L1160)-1))),4)&amp;"/"&amp;RIGHT("00"&amp;VALUE(TRIM(LEFT(MID(Sync!$L1160,FIND("/",Sync!$L1160)+1,20),FIND("/",MID(Sync!$L1160,FIND("/",Sync!$L1160)+1,20))-1))),2)&amp;"/"&amp;RIGHT("00"&amp;VALUE(TRIM(MID(MID(Sync!$L1160,FIND("/",Sync!$L1160)+1,20),FIND("/",MID(Sync!$L1160,FIND("/",Sync!$L1160)+1,20))+1,20))),2),"")))</f>
        <v/>
      </c>
    </row>
    <row r="1161">
      <c r="M1161">
        <f>IF(Sync!$M1161&lt;&gt;"پاس چک","",IF(Sync!$P1161="","",Sync!$P1161))</f>
        <v/>
      </c>
      <c r="N1161">
        <f>IF($M1161="","",IF(ISNUMBER(Sync!$L1161),IF(AND(Sync!$L1161&gt;=10000101,Sync!$L1161&lt;=99991231),RIGHT("0000"&amp;INT(Sync!$L1161/10000),4)&amp;"/"&amp;RIGHT("00"&amp;INT(MOD(Sync!$L1161,10000)/100),2)&amp;"/"&amp;RIGHT("00"&amp;MOD(Sync!$L1161,100),2),""),IFERROR(RIGHT("0000"&amp;VALUE(TRIM(LEFT(Sync!$L1161,FIND("/",Sync!$L1161)-1))),4)&amp;"/"&amp;RIGHT("00"&amp;VALUE(TRIM(LEFT(MID(Sync!$L1161,FIND("/",Sync!$L1161)+1,20),FIND("/",MID(Sync!$L1161,FIND("/",Sync!$L1161)+1,20))-1))),2)&amp;"/"&amp;RIGHT("00"&amp;VALUE(TRIM(MID(MID(Sync!$L1161,FIND("/",Sync!$L1161)+1,20),FIND("/",MID(Sync!$L1161,FIND("/",Sync!$L1161)+1,20))+1,20))),2),"")))</f>
        <v/>
      </c>
    </row>
    <row r="1162">
      <c r="M1162">
        <f>IF(Sync!$M1162&lt;&gt;"پاس چک","",IF(Sync!$P1162="","",Sync!$P1162))</f>
        <v/>
      </c>
      <c r="N1162">
        <f>IF($M1162="","",IF(ISNUMBER(Sync!$L1162),IF(AND(Sync!$L1162&gt;=10000101,Sync!$L1162&lt;=99991231),RIGHT("0000"&amp;INT(Sync!$L1162/10000),4)&amp;"/"&amp;RIGHT("00"&amp;INT(MOD(Sync!$L1162,10000)/100),2)&amp;"/"&amp;RIGHT("00"&amp;MOD(Sync!$L1162,100),2),""),IFERROR(RIGHT("0000"&amp;VALUE(TRIM(LEFT(Sync!$L1162,FIND("/",Sync!$L1162)-1))),4)&amp;"/"&amp;RIGHT("00"&amp;VALUE(TRIM(LEFT(MID(Sync!$L1162,FIND("/",Sync!$L1162)+1,20),FIND("/",MID(Sync!$L1162,FIND("/",Sync!$L1162)+1,20))-1))),2)&amp;"/"&amp;RIGHT("00"&amp;VALUE(TRIM(MID(MID(Sync!$L1162,FIND("/",Sync!$L1162)+1,20),FIND("/",MID(Sync!$L1162,FIND("/",Sync!$L1162)+1,20))+1,20))),2),"")))</f>
        <v/>
      </c>
    </row>
    <row r="1163">
      <c r="M1163">
        <f>IF(Sync!$M1163&lt;&gt;"پاس چک","",IF(Sync!$P1163="","",Sync!$P1163))</f>
        <v/>
      </c>
      <c r="N1163">
        <f>IF($M1163="","",IF(ISNUMBER(Sync!$L1163),IF(AND(Sync!$L1163&gt;=10000101,Sync!$L1163&lt;=99991231),RIGHT("0000"&amp;INT(Sync!$L1163/10000),4)&amp;"/"&amp;RIGHT("00"&amp;INT(MOD(Sync!$L1163,10000)/100),2)&amp;"/"&amp;RIGHT("00"&amp;MOD(Sync!$L1163,100),2),""),IFERROR(RIGHT("0000"&amp;VALUE(TRIM(LEFT(Sync!$L1163,FIND("/",Sync!$L1163)-1))),4)&amp;"/"&amp;RIGHT("00"&amp;VALUE(TRIM(LEFT(MID(Sync!$L1163,FIND("/",Sync!$L1163)+1,20),FIND("/",MID(Sync!$L1163,FIND("/",Sync!$L1163)+1,20))-1))),2)&amp;"/"&amp;RIGHT("00"&amp;VALUE(TRIM(MID(MID(Sync!$L1163,FIND("/",Sync!$L1163)+1,20),FIND("/",MID(Sync!$L1163,FIND("/",Sync!$L1163)+1,20))+1,20))),2),"")))</f>
        <v/>
      </c>
    </row>
    <row r="1164">
      <c r="M1164">
        <f>IF(Sync!$M1164&lt;&gt;"پاس چک","",IF(Sync!$P1164="","",Sync!$P1164))</f>
        <v/>
      </c>
      <c r="N1164">
        <f>IF($M1164="","",IF(ISNUMBER(Sync!$L1164),IF(AND(Sync!$L1164&gt;=10000101,Sync!$L1164&lt;=99991231),RIGHT("0000"&amp;INT(Sync!$L1164/10000),4)&amp;"/"&amp;RIGHT("00"&amp;INT(MOD(Sync!$L1164,10000)/100),2)&amp;"/"&amp;RIGHT("00"&amp;MOD(Sync!$L1164,100),2),""),IFERROR(RIGHT("0000"&amp;VALUE(TRIM(LEFT(Sync!$L1164,FIND("/",Sync!$L1164)-1))),4)&amp;"/"&amp;RIGHT("00"&amp;VALUE(TRIM(LEFT(MID(Sync!$L1164,FIND("/",Sync!$L1164)+1,20),FIND("/",MID(Sync!$L1164,FIND("/",Sync!$L1164)+1,20))-1))),2)&amp;"/"&amp;RIGHT("00"&amp;VALUE(TRIM(MID(MID(Sync!$L1164,FIND("/",Sync!$L1164)+1,20),FIND("/",MID(Sync!$L1164,FIND("/",Sync!$L1164)+1,20))+1,20))),2),"")))</f>
        <v/>
      </c>
    </row>
    <row r="1165">
      <c r="M1165">
        <f>IF(Sync!$M1165&lt;&gt;"پاس چک","",IF(Sync!$P1165="","",Sync!$P1165))</f>
        <v/>
      </c>
      <c r="N1165">
        <f>IF($M1165="","",IF(ISNUMBER(Sync!$L1165),IF(AND(Sync!$L1165&gt;=10000101,Sync!$L1165&lt;=99991231),RIGHT("0000"&amp;INT(Sync!$L1165/10000),4)&amp;"/"&amp;RIGHT("00"&amp;INT(MOD(Sync!$L1165,10000)/100),2)&amp;"/"&amp;RIGHT("00"&amp;MOD(Sync!$L1165,100),2),""),IFERROR(RIGHT("0000"&amp;VALUE(TRIM(LEFT(Sync!$L1165,FIND("/",Sync!$L1165)-1))),4)&amp;"/"&amp;RIGHT("00"&amp;VALUE(TRIM(LEFT(MID(Sync!$L1165,FIND("/",Sync!$L1165)+1,20),FIND("/",MID(Sync!$L1165,FIND("/",Sync!$L1165)+1,20))-1))),2)&amp;"/"&amp;RIGHT("00"&amp;VALUE(TRIM(MID(MID(Sync!$L1165,FIND("/",Sync!$L1165)+1,20),FIND("/",MID(Sync!$L1165,FIND("/",Sync!$L1165)+1,20))+1,20))),2),"")))</f>
        <v/>
      </c>
    </row>
    <row r="1166">
      <c r="M1166">
        <f>IF(Sync!$M1166&lt;&gt;"پاس چک","",IF(Sync!$P1166="","",Sync!$P1166))</f>
        <v/>
      </c>
      <c r="N1166">
        <f>IF($M1166="","",IF(ISNUMBER(Sync!$L1166),IF(AND(Sync!$L1166&gt;=10000101,Sync!$L1166&lt;=99991231),RIGHT("0000"&amp;INT(Sync!$L1166/10000),4)&amp;"/"&amp;RIGHT("00"&amp;INT(MOD(Sync!$L1166,10000)/100),2)&amp;"/"&amp;RIGHT("00"&amp;MOD(Sync!$L1166,100),2),""),IFERROR(RIGHT("0000"&amp;VALUE(TRIM(LEFT(Sync!$L1166,FIND("/",Sync!$L1166)-1))),4)&amp;"/"&amp;RIGHT("00"&amp;VALUE(TRIM(LEFT(MID(Sync!$L1166,FIND("/",Sync!$L1166)+1,20),FIND("/",MID(Sync!$L1166,FIND("/",Sync!$L1166)+1,20))-1))),2)&amp;"/"&amp;RIGHT("00"&amp;VALUE(TRIM(MID(MID(Sync!$L1166,FIND("/",Sync!$L1166)+1,20),FIND("/",MID(Sync!$L1166,FIND("/",Sync!$L1166)+1,20))+1,20))),2),"")))</f>
        <v/>
      </c>
    </row>
    <row r="1167">
      <c r="M1167">
        <f>IF(Sync!$M1167&lt;&gt;"پاس چک","",IF(Sync!$P1167="","",Sync!$P1167))</f>
        <v/>
      </c>
      <c r="N1167">
        <f>IF($M1167="","",IF(ISNUMBER(Sync!$L1167),IF(AND(Sync!$L1167&gt;=10000101,Sync!$L1167&lt;=99991231),RIGHT("0000"&amp;INT(Sync!$L1167/10000),4)&amp;"/"&amp;RIGHT("00"&amp;INT(MOD(Sync!$L1167,10000)/100),2)&amp;"/"&amp;RIGHT("00"&amp;MOD(Sync!$L1167,100),2),""),IFERROR(RIGHT("0000"&amp;VALUE(TRIM(LEFT(Sync!$L1167,FIND("/",Sync!$L1167)-1))),4)&amp;"/"&amp;RIGHT("00"&amp;VALUE(TRIM(LEFT(MID(Sync!$L1167,FIND("/",Sync!$L1167)+1,20),FIND("/",MID(Sync!$L1167,FIND("/",Sync!$L1167)+1,20))-1))),2)&amp;"/"&amp;RIGHT("00"&amp;VALUE(TRIM(MID(MID(Sync!$L1167,FIND("/",Sync!$L1167)+1,20),FIND("/",MID(Sync!$L1167,FIND("/",Sync!$L1167)+1,20))+1,20))),2),"")))</f>
        <v/>
      </c>
    </row>
    <row r="1168">
      <c r="M1168">
        <f>IF(Sync!$M1168&lt;&gt;"پاس چک","",IF(Sync!$P1168="","",Sync!$P1168))</f>
        <v/>
      </c>
      <c r="N1168">
        <f>IF($M1168="","",IF(ISNUMBER(Sync!$L1168),IF(AND(Sync!$L1168&gt;=10000101,Sync!$L1168&lt;=99991231),RIGHT("0000"&amp;INT(Sync!$L1168/10000),4)&amp;"/"&amp;RIGHT("00"&amp;INT(MOD(Sync!$L1168,10000)/100),2)&amp;"/"&amp;RIGHT("00"&amp;MOD(Sync!$L1168,100),2),""),IFERROR(RIGHT("0000"&amp;VALUE(TRIM(LEFT(Sync!$L1168,FIND("/",Sync!$L1168)-1))),4)&amp;"/"&amp;RIGHT("00"&amp;VALUE(TRIM(LEFT(MID(Sync!$L1168,FIND("/",Sync!$L1168)+1,20),FIND("/",MID(Sync!$L1168,FIND("/",Sync!$L1168)+1,20))-1))),2)&amp;"/"&amp;RIGHT("00"&amp;VALUE(TRIM(MID(MID(Sync!$L1168,FIND("/",Sync!$L1168)+1,20),FIND("/",MID(Sync!$L1168,FIND("/",Sync!$L1168)+1,20))+1,20))),2),"")))</f>
        <v/>
      </c>
    </row>
    <row r="1169">
      <c r="M1169">
        <f>IF(Sync!$M1169&lt;&gt;"پاس چک","",IF(Sync!$P1169="","",Sync!$P1169))</f>
        <v/>
      </c>
      <c r="N1169">
        <f>IF($M1169="","",IF(ISNUMBER(Sync!$L1169),IF(AND(Sync!$L1169&gt;=10000101,Sync!$L1169&lt;=99991231),RIGHT("0000"&amp;INT(Sync!$L1169/10000),4)&amp;"/"&amp;RIGHT("00"&amp;INT(MOD(Sync!$L1169,10000)/100),2)&amp;"/"&amp;RIGHT("00"&amp;MOD(Sync!$L1169,100),2),""),IFERROR(RIGHT("0000"&amp;VALUE(TRIM(LEFT(Sync!$L1169,FIND("/",Sync!$L1169)-1))),4)&amp;"/"&amp;RIGHT("00"&amp;VALUE(TRIM(LEFT(MID(Sync!$L1169,FIND("/",Sync!$L1169)+1,20),FIND("/",MID(Sync!$L1169,FIND("/",Sync!$L1169)+1,20))-1))),2)&amp;"/"&amp;RIGHT("00"&amp;VALUE(TRIM(MID(MID(Sync!$L1169,FIND("/",Sync!$L1169)+1,20),FIND("/",MID(Sync!$L1169,FIND("/",Sync!$L1169)+1,20))+1,20))),2),"")))</f>
        <v/>
      </c>
    </row>
    <row r="1170">
      <c r="M1170">
        <f>IF(Sync!$M1170&lt;&gt;"پاس چک","",IF(Sync!$P1170="","",Sync!$P1170))</f>
        <v/>
      </c>
      <c r="N1170">
        <f>IF($M1170="","",IF(ISNUMBER(Sync!$L1170),IF(AND(Sync!$L1170&gt;=10000101,Sync!$L1170&lt;=99991231),RIGHT("0000"&amp;INT(Sync!$L1170/10000),4)&amp;"/"&amp;RIGHT("00"&amp;INT(MOD(Sync!$L1170,10000)/100),2)&amp;"/"&amp;RIGHT("00"&amp;MOD(Sync!$L1170,100),2),""),IFERROR(RIGHT("0000"&amp;VALUE(TRIM(LEFT(Sync!$L1170,FIND("/",Sync!$L1170)-1))),4)&amp;"/"&amp;RIGHT("00"&amp;VALUE(TRIM(LEFT(MID(Sync!$L1170,FIND("/",Sync!$L1170)+1,20),FIND("/",MID(Sync!$L1170,FIND("/",Sync!$L1170)+1,20))-1))),2)&amp;"/"&amp;RIGHT("00"&amp;VALUE(TRIM(MID(MID(Sync!$L1170,FIND("/",Sync!$L1170)+1,20),FIND("/",MID(Sync!$L1170,FIND("/",Sync!$L1170)+1,20))+1,20))),2),"")))</f>
        <v/>
      </c>
    </row>
    <row r="1171">
      <c r="M1171">
        <f>IF(Sync!$M1171&lt;&gt;"پاس چک","",IF(Sync!$P1171="","",Sync!$P1171))</f>
        <v/>
      </c>
      <c r="N1171">
        <f>IF($M1171="","",IF(ISNUMBER(Sync!$L1171),IF(AND(Sync!$L1171&gt;=10000101,Sync!$L1171&lt;=99991231),RIGHT("0000"&amp;INT(Sync!$L1171/10000),4)&amp;"/"&amp;RIGHT("00"&amp;INT(MOD(Sync!$L1171,10000)/100),2)&amp;"/"&amp;RIGHT("00"&amp;MOD(Sync!$L1171,100),2),""),IFERROR(RIGHT("0000"&amp;VALUE(TRIM(LEFT(Sync!$L1171,FIND("/",Sync!$L1171)-1))),4)&amp;"/"&amp;RIGHT("00"&amp;VALUE(TRIM(LEFT(MID(Sync!$L1171,FIND("/",Sync!$L1171)+1,20),FIND("/",MID(Sync!$L1171,FIND("/",Sync!$L1171)+1,20))-1))),2)&amp;"/"&amp;RIGHT("00"&amp;VALUE(TRIM(MID(MID(Sync!$L1171,FIND("/",Sync!$L1171)+1,20),FIND("/",MID(Sync!$L1171,FIND("/",Sync!$L1171)+1,20))+1,20))),2),"")))</f>
        <v/>
      </c>
    </row>
    <row r="1172">
      <c r="M1172">
        <f>IF(Sync!$M1172&lt;&gt;"پاس چک","",IF(Sync!$P1172="","",Sync!$P1172))</f>
        <v/>
      </c>
      <c r="N1172">
        <f>IF($M1172="","",IF(ISNUMBER(Sync!$L1172),IF(AND(Sync!$L1172&gt;=10000101,Sync!$L1172&lt;=99991231),RIGHT("0000"&amp;INT(Sync!$L1172/10000),4)&amp;"/"&amp;RIGHT("00"&amp;INT(MOD(Sync!$L1172,10000)/100),2)&amp;"/"&amp;RIGHT("00"&amp;MOD(Sync!$L1172,100),2),""),IFERROR(RIGHT("0000"&amp;VALUE(TRIM(LEFT(Sync!$L1172,FIND("/",Sync!$L1172)-1))),4)&amp;"/"&amp;RIGHT("00"&amp;VALUE(TRIM(LEFT(MID(Sync!$L1172,FIND("/",Sync!$L1172)+1,20),FIND("/",MID(Sync!$L1172,FIND("/",Sync!$L1172)+1,20))-1))),2)&amp;"/"&amp;RIGHT("00"&amp;VALUE(TRIM(MID(MID(Sync!$L1172,FIND("/",Sync!$L1172)+1,20),FIND("/",MID(Sync!$L1172,FIND("/",Sync!$L1172)+1,20))+1,20))),2),"")))</f>
        <v/>
      </c>
    </row>
    <row r="1173">
      <c r="M1173">
        <f>IF(Sync!$M1173&lt;&gt;"پاس چک","",IF(Sync!$P1173="","",Sync!$P1173))</f>
        <v/>
      </c>
      <c r="N1173">
        <f>IF($M1173="","",IF(ISNUMBER(Sync!$L1173),IF(AND(Sync!$L1173&gt;=10000101,Sync!$L1173&lt;=99991231),RIGHT("0000"&amp;INT(Sync!$L1173/10000),4)&amp;"/"&amp;RIGHT("00"&amp;INT(MOD(Sync!$L1173,10000)/100),2)&amp;"/"&amp;RIGHT("00"&amp;MOD(Sync!$L1173,100),2),""),IFERROR(RIGHT("0000"&amp;VALUE(TRIM(LEFT(Sync!$L1173,FIND("/",Sync!$L1173)-1))),4)&amp;"/"&amp;RIGHT("00"&amp;VALUE(TRIM(LEFT(MID(Sync!$L1173,FIND("/",Sync!$L1173)+1,20),FIND("/",MID(Sync!$L1173,FIND("/",Sync!$L1173)+1,20))-1))),2)&amp;"/"&amp;RIGHT("00"&amp;VALUE(TRIM(MID(MID(Sync!$L1173,FIND("/",Sync!$L1173)+1,20),FIND("/",MID(Sync!$L1173,FIND("/",Sync!$L1173)+1,20))+1,20))),2),"")))</f>
        <v/>
      </c>
    </row>
    <row r="1174">
      <c r="M1174">
        <f>IF(Sync!$M1174&lt;&gt;"پاس چک","",IF(Sync!$P1174="","",Sync!$P1174))</f>
        <v/>
      </c>
      <c r="N1174">
        <f>IF($M1174="","",IF(ISNUMBER(Sync!$L1174),IF(AND(Sync!$L1174&gt;=10000101,Sync!$L1174&lt;=99991231),RIGHT("0000"&amp;INT(Sync!$L1174/10000),4)&amp;"/"&amp;RIGHT("00"&amp;INT(MOD(Sync!$L1174,10000)/100),2)&amp;"/"&amp;RIGHT("00"&amp;MOD(Sync!$L1174,100),2),""),IFERROR(RIGHT("0000"&amp;VALUE(TRIM(LEFT(Sync!$L1174,FIND("/",Sync!$L1174)-1))),4)&amp;"/"&amp;RIGHT("00"&amp;VALUE(TRIM(LEFT(MID(Sync!$L1174,FIND("/",Sync!$L1174)+1,20),FIND("/",MID(Sync!$L1174,FIND("/",Sync!$L1174)+1,20))-1))),2)&amp;"/"&amp;RIGHT("00"&amp;VALUE(TRIM(MID(MID(Sync!$L1174,FIND("/",Sync!$L1174)+1,20),FIND("/",MID(Sync!$L1174,FIND("/",Sync!$L1174)+1,20))+1,20))),2),"")))</f>
        <v/>
      </c>
    </row>
    <row r="1175">
      <c r="M1175">
        <f>IF(Sync!$M1175&lt;&gt;"پاس چک","",IF(Sync!$P1175="","",Sync!$P1175))</f>
        <v/>
      </c>
      <c r="N1175">
        <f>IF($M1175="","",IF(ISNUMBER(Sync!$L1175),IF(AND(Sync!$L1175&gt;=10000101,Sync!$L1175&lt;=99991231),RIGHT("0000"&amp;INT(Sync!$L1175/10000),4)&amp;"/"&amp;RIGHT("00"&amp;INT(MOD(Sync!$L1175,10000)/100),2)&amp;"/"&amp;RIGHT("00"&amp;MOD(Sync!$L1175,100),2),""),IFERROR(RIGHT("0000"&amp;VALUE(TRIM(LEFT(Sync!$L1175,FIND("/",Sync!$L1175)-1))),4)&amp;"/"&amp;RIGHT("00"&amp;VALUE(TRIM(LEFT(MID(Sync!$L1175,FIND("/",Sync!$L1175)+1,20),FIND("/",MID(Sync!$L1175,FIND("/",Sync!$L1175)+1,20))-1))),2)&amp;"/"&amp;RIGHT("00"&amp;VALUE(TRIM(MID(MID(Sync!$L1175,FIND("/",Sync!$L1175)+1,20),FIND("/",MID(Sync!$L1175,FIND("/",Sync!$L1175)+1,20))+1,20))),2),"")))</f>
        <v/>
      </c>
    </row>
    <row r="1176">
      <c r="M1176">
        <f>IF(Sync!$M1176&lt;&gt;"پاس چک","",IF(Sync!$P1176="","",Sync!$P1176))</f>
        <v/>
      </c>
      <c r="N1176">
        <f>IF($M1176="","",IF(ISNUMBER(Sync!$L1176),IF(AND(Sync!$L1176&gt;=10000101,Sync!$L1176&lt;=99991231),RIGHT("0000"&amp;INT(Sync!$L1176/10000),4)&amp;"/"&amp;RIGHT("00"&amp;INT(MOD(Sync!$L1176,10000)/100),2)&amp;"/"&amp;RIGHT("00"&amp;MOD(Sync!$L1176,100),2),""),IFERROR(RIGHT("0000"&amp;VALUE(TRIM(LEFT(Sync!$L1176,FIND("/",Sync!$L1176)-1))),4)&amp;"/"&amp;RIGHT("00"&amp;VALUE(TRIM(LEFT(MID(Sync!$L1176,FIND("/",Sync!$L1176)+1,20),FIND("/",MID(Sync!$L1176,FIND("/",Sync!$L1176)+1,20))-1))),2)&amp;"/"&amp;RIGHT("00"&amp;VALUE(TRIM(MID(MID(Sync!$L1176,FIND("/",Sync!$L1176)+1,20),FIND("/",MID(Sync!$L1176,FIND("/",Sync!$L1176)+1,20))+1,20))),2),"")))</f>
        <v/>
      </c>
    </row>
    <row r="1177">
      <c r="M1177">
        <f>IF(Sync!$M1177&lt;&gt;"پاس چک","",IF(Sync!$P1177="","",Sync!$P1177))</f>
        <v/>
      </c>
      <c r="N1177">
        <f>IF($M1177="","",IF(ISNUMBER(Sync!$L1177),IF(AND(Sync!$L1177&gt;=10000101,Sync!$L1177&lt;=99991231),RIGHT("0000"&amp;INT(Sync!$L1177/10000),4)&amp;"/"&amp;RIGHT("00"&amp;INT(MOD(Sync!$L1177,10000)/100),2)&amp;"/"&amp;RIGHT("00"&amp;MOD(Sync!$L1177,100),2),""),IFERROR(RIGHT("0000"&amp;VALUE(TRIM(LEFT(Sync!$L1177,FIND("/",Sync!$L1177)-1))),4)&amp;"/"&amp;RIGHT("00"&amp;VALUE(TRIM(LEFT(MID(Sync!$L1177,FIND("/",Sync!$L1177)+1,20),FIND("/",MID(Sync!$L1177,FIND("/",Sync!$L1177)+1,20))-1))),2)&amp;"/"&amp;RIGHT("00"&amp;VALUE(TRIM(MID(MID(Sync!$L1177,FIND("/",Sync!$L1177)+1,20),FIND("/",MID(Sync!$L1177,FIND("/",Sync!$L1177)+1,20))+1,20))),2),"")))</f>
        <v/>
      </c>
    </row>
    <row r="1178">
      <c r="M1178">
        <f>IF(Sync!$M1178&lt;&gt;"پاس چک","",IF(Sync!$P1178="","",Sync!$P1178))</f>
        <v/>
      </c>
      <c r="N1178">
        <f>IF($M1178="","",IF(ISNUMBER(Sync!$L1178),IF(AND(Sync!$L1178&gt;=10000101,Sync!$L1178&lt;=99991231),RIGHT("0000"&amp;INT(Sync!$L1178/10000),4)&amp;"/"&amp;RIGHT("00"&amp;INT(MOD(Sync!$L1178,10000)/100),2)&amp;"/"&amp;RIGHT("00"&amp;MOD(Sync!$L1178,100),2),""),IFERROR(RIGHT("0000"&amp;VALUE(TRIM(LEFT(Sync!$L1178,FIND("/",Sync!$L1178)-1))),4)&amp;"/"&amp;RIGHT("00"&amp;VALUE(TRIM(LEFT(MID(Sync!$L1178,FIND("/",Sync!$L1178)+1,20),FIND("/",MID(Sync!$L1178,FIND("/",Sync!$L1178)+1,20))-1))),2)&amp;"/"&amp;RIGHT("00"&amp;VALUE(TRIM(MID(MID(Sync!$L1178,FIND("/",Sync!$L1178)+1,20),FIND("/",MID(Sync!$L1178,FIND("/",Sync!$L1178)+1,20))+1,20))),2),"")))</f>
        <v/>
      </c>
    </row>
    <row r="1179">
      <c r="M1179">
        <f>IF(Sync!$M1179&lt;&gt;"پاس چک","",IF(Sync!$P1179="","",Sync!$P1179))</f>
        <v/>
      </c>
      <c r="N1179">
        <f>IF($M1179="","",IF(ISNUMBER(Sync!$L1179),IF(AND(Sync!$L1179&gt;=10000101,Sync!$L1179&lt;=99991231),RIGHT("0000"&amp;INT(Sync!$L1179/10000),4)&amp;"/"&amp;RIGHT("00"&amp;INT(MOD(Sync!$L1179,10000)/100),2)&amp;"/"&amp;RIGHT("00"&amp;MOD(Sync!$L1179,100),2),""),IFERROR(RIGHT("0000"&amp;VALUE(TRIM(LEFT(Sync!$L1179,FIND("/",Sync!$L1179)-1))),4)&amp;"/"&amp;RIGHT("00"&amp;VALUE(TRIM(LEFT(MID(Sync!$L1179,FIND("/",Sync!$L1179)+1,20),FIND("/",MID(Sync!$L1179,FIND("/",Sync!$L1179)+1,20))-1))),2)&amp;"/"&amp;RIGHT("00"&amp;VALUE(TRIM(MID(MID(Sync!$L1179,FIND("/",Sync!$L1179)+1,20),FIND("/",MID(Sync!$L1179,FIND("/",Sync!$L1179)+1,20))+1,20))),2),"")))</f>
        <v/>
      </c>
    </row>
    <row r="1180">
      <c r="M1180">
        <f>IF(Sync!$M1180&lt;&gt;"پاس چک","",IF(Sync!$P1180="","",Sync!$P1180))</f>
        <v/>
      </c>
      <c r="N1180">
        <f>IF($M1180="","",IF(ISNUMBER(Sync!$L1180),IF(AND(Sync!$L1180&gt;=10000101,Sync!$L1180&lt;=99991231),RIGHT("0000"&amp;INT(Sync!$L1180/10000),4)&amp;"/"&amp;RIGHT("00"&amp;INT(MOD(Sync!$L1180,10000)/100),2)&amp;"/"&amp;RIGHT("00"&amp;MOD(Sync!$L1180,100),2),""),IFERROR(RIGHT("0000"&amp;VALUE(TRIM(LEFT(Sync!$L1180,FIND("/",Sync!$L1180)-1))),4)&amp;"/"&amp;RIGHT("00"&amp;VALUE(TRIM(LEFT(MID(Sync!$L1180,FIND("/",Sync!$L1180)+1,20),FIND("/",MID(Sync!$L1180,FIND("/",Sync!$L1180)+1,20))-1))),2)&amp;"/"&amp;RIGHT("00"&amp;VALUE(TRIM(MID(MID(Sync!$L1180,FIND("/",Sync!$L1180)+1,20),FIND("/",MID(Sync!$L1180,FIND("/",Sync!$L1180)+1,20))+1,20))),2),"")))</f>
        <v/>
      </c>
    </row>
    <row r="1181">
      <c r="M1181">
        <f>IF(Sync!$M1181&lt;&gt;"پاس چک","",IF(Sync!$P1181="","",Sync!$P1181))</f>
        <v/>
      </c>
      <c r="N1181">
        <f>IF($M1181="","",IF(ISNUMBER(Sync!$L1181),IF(AND(Sync!$L1181&gt;=10000101,Sync!$L1181&lt;=99991231),RIGHT("0000"&amp;INT(Sync!$L1181/10000),4)&amp;"/"&amp;RIGHT("00"&amp;INT(MOD(Sync!$L1181,10000)/100),2)&amp;"/"&amp;RIGHT("00"&amp;MOD(Sync!$L1181,100),2),""),IFERROR(RIGHT("0000"&amp;VALUE(TRIM(LEFT(Sync!$L1181,FIND("/",Sync!$L1181)-1))),4)&amp;"/"&amp;RIGHT("00"&amp;VALUE(TRIM(LEFT(MID(Sync!$L1181,FIND("/",Sync!$L1181)+1,20),FIND("/",MID(Sync!$L1181,FIND("/",Sync!$L1181)+1,20))-1))),2)&amp;"/"&amp;RIGHT("00"&amp;VALUE(TRIM(MID(MID(Sync!$L1181,FIND("/",Sync!$L1181)+1,20),FIND("/",MID(Sync!$L1181,FIND("/",Sync!$L1181)+1,20))+1,20))),2),"")))</f>
        <v/>
      </c>
    </row>
    <row r="1182">
      <c r="M1182">
        <f>IF(Sync!$M1182&lt;&gt;"پاس چک","",IF(Sync!$P1182="","",Sync!$P1182))</f>
        <v/>
      </c>
      <c r="N1182">
        <f>IF($M1182="","",IF(ISNUMBER(Sync!$L1182),IF(AND(Sync!$L1182&gt;=10000101,Sync!$L1182&lt;=99991231),RIGHT("0000"&amp;INT(Sync!$L1182/10000),4)&amp;"/"&amp;RIGHT("00"&amp;INT(MOD(Sync!$L1182,10000)/100),2)&amp;"/"&amp;RIGHT("00"&amp;MOD(Sync!$L1182,100),2),""),IFERROR(RIGHT("0000"&amp;VALUE(TRIM(LEFT(Sync!$L1182,FIND("/",Sync!$L1182)-1))),4)&amp;"/"&amp;RIGHT("00"&amp;VALUE(TRIM(LEFT(MID(Sync!$L1182,FIND("/",Sync!$L1182)+1,20),FIND("/",MID(Sync!$L1182,FIND("/",Sync!$L1182)+1,20))-1))),2)&amp;"/"&amp;RIGHT("00"&amp;VALUE(TRIM(MID(MID(Sync!$L1182,FIND("/",Sync!$L1182)+1,20),FIND("/",MID(Sync!$L1182,FIND("/",Sync!$L1182)+1,20))+1,20))),2),"")))</f>
        <v/>
      </c>
    </row>
    <row r="1183">
      <c r="M1183">
        <f>IF(Sync!$M1183&lt;&gt;"پاس چک","",IF(Sync!$P1183="","",Sync!$P1183))</f>
        <v/>
      </c>
      <c r="N1183">
        <f>IF($M1183="","",IF(ISNUMBER(Sync!$L1183),IF(AND(Sync!$L1183&gt;=10000101,Sync!$L1183&lt;=99991231),RIGHT("0000"&amp;INT(Sync!$L1183/10000),4)&amp;"/"&amp;RIGHT("00"&amp;INT(MOD(Sync!$L1183,10000)/100),2)&amp;"/"&amp;RIGHT("00"&amp;MOD(Sync!$L1183,100),2),""),IFERROR(RIGHT("0000"&amp;VALUE(TRIM(LEFT(Sync!$L1183,FIND("/",Sync!$L1183)-1))),4)&amp;"/"&amp;RIGHT("00"&amp;VALUE(TRIM(LEFT(MID(Sync!$L1183,FIND("/",Sync!$L1183)+1,20),FIND("/",MID(Sync!$L1183,FIND("/",Sync!$L1183)+1,20))-1))),2)&amp;"/"&amp;RIGHT("00"&amp;VALUE(TRIM(MID(MID(Sync!$L1183,FIND("/",Sync!$L1183)+1,20),FIND("/",MID(Sync!$L1183,FIND("/",Sync!$L1183)+1,20))+1,20))),2),"")))</f>
        <v/>
      </c>
    </row>
    <row r="1184">
      <c r="M1184">
        <f>IF(Sync!$M1184&lt;&gt;"پاس چک","",IF(Sync!$P1184="","",Sync!$P1184))</f>
        <v/>
      </c>
      <c r="N1184">
        <f>IF($M1184="","",IF(ISNUMBER(Sync!$L1184),IF(AND(Sync!$L1184&gt;=10000101,Sync!$L1184&lt;=99991231),RIGHT("0000"&amp;INT(Sync!$L1184/10000),4)&amp;"/"&amp;RIGHT("00"&amp;INT(MOD(Sync!$L1184,10000)/100),2)&amp;"/"&amp;RIGHT("00"&amp;MOD(Sync!$L1184,100),2),""),IFERROR(RIGHT("0000"&amp;VALUE(TRIM(LEFT(Sync!$L1184,FIND("/",Sync!$L1184)-1))),4)&amp;"/"&amp;RIGHT("00"&amp;VALUE(TRIM(LEFT(MID(Sync!$L1184,FIND("/",Sync!$L1184)+1,20),FIND("/",MID(Sync!$L1184,FIND("/",Sync!$L1184)+1,20))-1))),2)&amp;"/"&amp;RIGHT("00"&amp;VALUE(TRIM(MID(MID(Sync!$L1184,FIND("/",Sync!$L1184)+1,20),FIND("/",MID(Sync!$L1184,FIND("/",Sync!$L1184)+1,20))+1,20))),2),"")))</f>
        <v/>
      </c>
    </row>
    <row r="1185">
      <c r="M1185">
        <f>IF(Sync!$M1185&lt;&gt;"پاس چک","",IF(Sync!$P1185="","",Sync!$P1185))</f>
        <v/>
      </c>
      <c r="N1185">
        <f>IF($M1185="","",IF(ISNUMBER(Sync!$L1185),IF(AND(Sync!$L1185&gt;=10000101,Sync!$L1185&lt;=99991231),RIGHT("0000"&amp;INT(Sync!$L1185/10000),4)&amp;"/"&amp;RIGHT("00"&amp;INT(MOD(Sync!$L1185,10000)/100),2)&amp;"/"&amp;RIGHT("00"&amp;MOD(Sync!$L1185,100),2),""),IFERROR(RIGHT("0000"&amp;VALUE(TRIM(LEFT(Sync!$L1185,FIND("/",Sync!$L1185)-1))),4)&amp;"/"&amp;RIGHT("00"&amp;VALUE(TRIM(LEFT(MID(Sync!$L1185,FIND("/",Sync!$L1185)+1,20),FIND("/",MID(Sync!$L1185,FIND("/",Sync!$L1185)+1,20))-1))),2)&amp;"/"&amp;RIGHT("00"&amp;VALUE(TRIM(MID(MID(Sync!$L1185,FIND("/",Sync!$L1185)+1,20),FIND("/",MID(Sync!$L1185,FIND("/",Sync!$L1185)+1,20))+1,20))),2),"")))</f>
        <v/>
      </c>
    </row>
    <row r="1186">
      <c r="M1186">
        <f>IF(Sync!$M1186&lt;&gt;"پاس چک","",IF(Sync!$P1186="","",Sync!$P1186))</f>
        <v/>
      </c>
      <c r="N1186">
        <f>IF($M1186="","",IF(ISNUMBER(Sync!$L1186),IF(AND(Sync!$L1186&gt;=10000101,Sync!$L1186&lt;=99991231),RIGHT("0000"&amp;INT(Sync!$L1186/10000),4)&amp;"/"&amp;RIGHT("00"&amp;INT(MOD(Sync!$L1186,10000)/100),2)&amp;"/"&amp;RIGHT("00"&amp;MOD(Sync!$L1186,100),2),""),IFERROR(RIGHT("0000"&amp;VALUE(TRIM(LEFT(Sync!$L1186,FIND("/",Sync!$L1186)-1))),4)&amp;"/"&amp;RIGHT("00"&amp;VALUE(TRIM(LEFT(MID(Sync!$L1186,FIND("/",Sync!$L1186)+1,20),FIND("/",MID(Sync!$L1186,FIND("/",Sync!$L1186)+1,20))-1))),2)&amp;"/"&amp;RIGHT("00"&amp;VALUE(TRIM(MID(MID(Sync!$L1186,FIND("/",Sync!$L1186)+1,20),FIND("/",MID(Sync!$L1186,FIND("/",Sync!$L1186)+1,20))+1,20))),2),"")))</f>
        <v/>
      </c>
    </row>
    <row r="1187">
      <c r="M1187">
        <f>IF(Sync!$M1187&lt;&gt;"پاس چک","",IF(Sync!$P1187="","",Sync!$P1187))</f>
        <v/>
      </c>
      <c r="N1187">
        <f>IF($M1187="","",IF(ISNUMBER(Sync!$L1187),IF(AND(Sync!$L1187&gt;=10000101,Sync!$L1187&lt;=99991231),RIGHT("0000"&amp;INT(Sync!$L1187/10000),4)&amp;"/"&amp;RIGHT("00"&amp;INT(MOD(Sync!$L1187,10000)/100),2)&amp;"/"&amp;RIGHT("00"&amp;MOD(Sync!$L1187,100),2),""),IFERROR(RIGHT("0000"&amp;VALUE(TRIM(LEFT(Sync!$L1187,FIND("/",Sync!$L1187)-1))),4)&amp;"/"&amp;RIGHT("00"&amp;VALUE(TRIM(LEFT(MID(Sync!$L1187,FIND("/",Sync!$L1187)+1,20),FIND("/",MID(Sync!$L1187,FIND("/",Sync!$L1187)+1,20))-1))),2)&amp;"/"&amp;RIGHT("00"&amp;VALUE(TRIM(MID(MID(Sync!$L1187,FIND("/",Sync!$L1187)+1,20),FIND("/",MID(Sync!$L1187,FIND("/",Sync!$L1187)+1,20))+1,20))),2),"")))</f>
        <v/>
      </c>
    </row>
    <row r="1188">
      <c r="M1188">
        <f>IF(Sync!$M1188&lt;&gt;"پاس چک","",IF(Sync!$P1188="","",Sync!$P1188))</f>
        <v/>
      </c>
      <c r="N1188">
        <f>IF($M1188="","",IF(ISNUMBER(Sync!$L1188),IF(AND(Sync!$L1188&gt;=10000101,Sync!$L1188&lt;=99991231),RIGHT("0000"&amp;INT(Sync!$L1188/10000),4)&amp;"/"&amp;RIGHT("00"&amp;INT(MOD(Sync!$L1188,10000)/100),2)&amp;"/"&amp;RIGHT("00"&amp;MOD(Sync!$L1188,100),2),""),IFERROR(RIGHT("0000"&amp;VALUE(TRIM(LEFT(Sync!$L1188,FIND("/",Sync!$L1188)-1))),4)&amp;"/"&amp;RIGHT("00"&amp;VALUE(TRIM(LEFT(MID(Sync!$L1188,FIND("/",Sync!$L1188)+1,20),FIND("/",MID(Sync!$L1188,FIND("/",Sync!$L1188)+1,20))-1))),2)&amp;"/"&amp;RIGHT("00"&amp;VALUE(TRIM(MID(MID(Sync!$L1188,FIND("/",Sync!$L1188)+1,20),FIND("/",MID(Sync!$L1188,FIND("/",Sync!$L1188)+1,20))+1,20))),2),"")))</f>
        <v/>
      </c>
    </row>
    <row r="1189">
      <c r="M1189">
        <f>IF(Sync!$M1189&lt;&gt;"پاس چک","",IF(Sync!$P1189="","",Sync!$P1189))</f>
        <v/>
      </c>
      <c r="N1189">
        <f>IF($M1189="","",IF(ISNUMBER(Sync!$L1189),IF(AND(Sync!$L1189&gt;=10000101,Sync!$L1189&lt;=99991231),RIGHT("0000"&amp;INT(Sync!$L1189/10000),4)&amp;"/"&amp;RIGHT("00"&amp;INT(MOD(Sync!$L1189,10000)/100),2)&amp;"/"&amp;RIGHT("00"&amp;MOD(Sync!$L1189,100),2),""),IFERROR(RIGHT("0000"&amp;VALUE(TRIM(LEFT(Sync!$L1189,FIND("/",Sync!$L1189)-1))),4)&amp;"/"&amp;RIGHT("00"&amp;VALUE(TRIM(LEFT(MID(Sync!$L1189,FIND("/",Sync!$L1189)+1,20),FIND("/",MID(Sync!$L1189,FIND("/",Sync!$L1189)+1,20))-1))),2)&amp;"/"&amp;RIGHT("00"&amp;VALUE(TRIM(MID(MID(Sync!$L1189,FIND("/",Sync!$L1189)+1,20),FIND("/",MID(Sync!$L1189,FIND("/",Sync!$L1189)+1,20))+1,20))),2),"")))</f>
        <v/>
      </c>
    </row>
    <row r="1190">
      <c r="M1190">
        <f>IF(Sync!$M1190&lt;&gt;"پاس چک","",IF(Sync!$P1190="","",Sync!$P1190))</f>
        <v/>
      </c>
      <c r="N1190">
        <f>IF($M1190="","",IF(ISNUMBER(Sync!$L1190),IF(AND(Sync!$L1190&gt;=10000101,Sync!$L1190&lt;=99991231),RIGHT("0000"&amp;INT(Sync!$L1190/10000),4)&amp;"/"&amp;RIGHT("00"&amp;INT(MOD(Sync!$L1190,10000)/100),2)&amp;"/"&amp;RIGHT("00"&amp;MOD(Sync!$L1190,100),2),""),IFERROR(RIGHT("0000"&amp;VALUE(TRIM(LEFT(Sync!$L1190,FIND("/",Sync!$L1190)-1))),4)&amp;"/"&amp;RIGHT("00"&amp;VALUE(TRIM(LEFT(MID(Sync!$L1190,FIND("/",Sync!$L1190)+1,20),FIND("/",MID(Sync!$L1190,FIND("/",Sync!$L1190)+1,20))-1))),2)&amp;"/"&amp;RIGHT("00"&amp;VALUE(TRIM(MID(MID(Sync!$L1190,FIND("/",Sync!$L1190)+1,20),FIND("/",MID(Sync!$L1190,FIND("/",Sync!$L1190)+1,20))+1,20))),2),"")))</f>
        <v/>
      </c>
    </row>
    <row r="1191">
      <c r="M1191">
        <f>IF(Sync!$M1191&lt;&gt;"پاس چک","",IF(Sync!$P1191="","",Sync!$P1191))</f>
        <v/>
      </c>
      <c r="N1191">
        <f>IF($M1191="","",IF(ISNUMBER(Sync!$L1191),IF(AND(Sync!$L1191&gt;=10000101,Sync!$L1191&lt;=99991231),RIGHT("0000"&amp;INT(Sync!$L1191/10000),4)&amp;"/"&amp;RIGHT("00"&amp;INT(MOD(Sync!$L1191,10000)/100),2)&amp;"/"&amp;RIGHT("00"&amp;MOD(Sync!$L1191,100),2),""),IFERROR(RIGHT("0000"&amp;VALUE(TRIM(LEFT(Sync!$L1191,FIND("/",Sync!$L1191)-1))),4)&amp;"/"&amp;RIGHT("00"&amp;VALUE(TRIM(LEFT(MID(Sync!$L1191,FIND("/",Sync!$L1191)+1,20),FIND("/",MID(Sync!$L1191,FIND("/",Sync!$L1191)+1,20))-1))),2)&amp;"/"&amp;RIGHT("00"&amp;VALUE(TRIM(MID(MID(Sync!$L1191,FIND("/",Sync!$L1191)+1,20),FIND("/",MID(Sync!$L1191,FIND("/",Sync!$L1191)+1,20))+1,20))),2),"")))</f>
        <v/>
      </c>
    </row>
    <row r="1192">
      <c r="M1192">
        <f>IF(Sync!$M1192&lt;&gt;"پاس چک","",IF(Sync!$P1192="","",Sync!$P1192))</f>
        <v/>
      </c>
      <c r="N1192">
        <f>IF($M1192="","",IF(ISNUMBER(Sync!$L1192),IF(AND(Sync!$L1192&gt;=10000101,Sync!$L1192&lt;=99991231),RIGHT("0000"&amp;INT(Sync!$L1192/10000),4)&amp;"/"&amp;RIGHT("00"&amp;INT(MOD(Sync!$L1192,10000)/100),2)&amp;"/"&amp;RIGHT("00"&amp;MOD(Sync!$L1192,100),2),""),IFERROR(RIGHT("0000"&amp;VALUE(TRIM(LEFT(Sync!$L1192,FIND("/",Sync!$L1192)-1))),4)&amp;"/"&amp;RIGHT("00"&amp;VALUE(TRIM(LEFT(MID(Sync!$L1192,FIND("/",Sync!$L1192)+1,20),FIND("/",MID(Sync!$L1192,FIND("/",Sync!$L1192)+1,20))-1))),2)&amp;"/"&amp;RIGHT("00"&amp;VALUE(TRIM(MID(MID(Sync!$L1192,FIND("/",Sync!$L1192)+1,20),FIND("/",MID(Sync!$L1192,FIND("/",Sync!$L1192)+1,20))+1,20))),2),"")))</f>
        <v/>
      </c>
    </row>
    <row r="1193">
      <c r="M1193">
        <f>IF(Sync!$M1193&lt;&gt;"پاس چک","",IF(Sync!$P1193="","",Sync!$P1193))</f>
        <v/>
      </c>
      <c r="N1193">
        <f>IF($M1193="","",IF(ISNUMBER(Sync!$L1193),IF(AND(Sync!$L1193&gt;=10000101,Sync!$L1193&lt;=99991231),RIGHT("0000"&amp;INT(Sync!$L1193/10000),4)&amp;"/"&amp;RIGHT("00"&amp;INT(MOD(Sync!$L1193,10000)/100),2)&amp;"/"&amp;RIGHT("00"&amp;MOD(Sync!$L1193,100),2),""),IFERROR(RIGHT("0000"&amp;VALUE(TRIM(LEFT(Sync!$L1193,FIND("/",Sync!$L1193)-1))),4)&amp;"/"&amp;RIGHT("00"&amp;VALUE(TRIM(LEFT(MID(Sync!$L1193,FIND("/",Sync!$L1193)+1,20),FIND("/",MID(Sync!$L1193,FIND("/",Sync!$L1193)+1,20))-1))),2)&amp;"/"&amp;RIGHT("00"&amp;VALUE(TRIM(MID(MID(Sync!$L1193,FIND("/",Sync!$L1193)+1,20),FIND("/",MID(Sync!$L1193,FIND("/",Sync!$L1193)+1,20))+1,20))),2),"")))</f>
        <v/>
      </c>
    </row>
    <row r="1194">
      <c r="M1194">
        <f>IF(Sync!$M1194&lt;&gt;"پاس چک","",IF(Sync!$P1194="","",Sync!$P1194))</f>
        <v/>
      </c>
      <c r="N1194">
        <f>IF($M1194="","",IF(ISNUMBER(Sync!$L1194),IF(AND(Sync!$L1194&gt;=10000101,Sync!$L1194&lt;=99991231),RIGHT("0000"&amp;INT(Sync!$L1194/10000),4)&amp;"/"&amp;RIGHT("00"&amp;INT(MOD(Sync!$L1194,10000)/100),2)&amp;"/"&amp;RIGHT("00"&amp;MOD(Sync!$L1194,100),2),""),IFERROR(RIGHT("0000"&amp;VALUE(TRIM(LEFT(Sync!$L1194,FIND("/",Sync!$L1194)-1))),4)&amp;"/"&amp;RIGHT("00"&amp;VALUE(TRIM(LEFT(MID(Sync!$L1194,FIND("/",Sync!$L1194)+1,20),FIND("/",MID(Sync!$L1194,FIND("/",Sync!$L1194)+1,20))-1))),2)&amp;"/"&amp;RIGHT("00"&amp;VALUE(TRIM(MID(MID(Sync!$L1194,FIND("/",Sync!$L1194)+1,20),FIND("/",MID(Sync!$L1194,FIND("/",Sync!$L1194)+1,20))+1,20))),2),"")))</f>
        <v/>
      </c>
    </row>
    <row r="1195">
      <c r="M1195">
        <f>IF(Sync!$M1195&lt;&gt;"پاس چک","",IF(Sync!$P1195="","",Sync!$P1195))</f>
        <v/>
      </c>
      <c r="N1195">
        <f>IF($M1195="","",IF(ISNUMBER(Sync!$L1195),IF(AND(Sync!$L1195&gt;=10000101,Sync!$L1195&lt;=99991231),RIGHT("0000"&amp;INT(Sync!$L1195/10000),4)&amp;"/"&amp;RIGHT("00"&amp;INT(MOD(Sync!$L1195,10000)/100),2)&amp;"/"&amp;RIGHT("00"&amp;MOD(Sync!$L1195,100),2),""),IFERROR(RIGHT("0000"&amp;VALUE(TRIM(LEFT(Sync!$L1195,FIND("/",Sync!$L1195)-1))),4)&amp;"/"&amp;RIGHT("00"&amp;VALUE(TRIM(LEFT(MID(Sync!$L1195,FIND("/",Sync!$L1195)+1,20),FIND("/",MID(Sync!$L1195,FIND("/",Sync!$L1195)+1,20))-1))),2)&amp;"/"&amp;RIGHT("00"&amp;VALUE(TRIM(MID(MID(Sync!$L1195,FIND("/",Sync!$L1195)+1,20),FIND("/",MID(Sync!$L1195,FIND("/",Sync!$L1195)+1,20))+1,20))),2),"")))</f>
        <v/>
      </c>
    </row>
    <row r="1196">
      <c r="M1196">
        <f>IF(Sync!$M1196&lt;&gt;"پاس چک","",IF(Sync!$P1196="","",Sync!$P1196))</f>
        <v/>
      </c>
      <c r="N1196">
        <f>IF($M1196="","",IF(ISNUMBER(Sync!$L1196),IF(AND(Sync!$L1196&gt;=10000101,Sync!$L1196&lt;=99991231),RIGHT("0000"&amp;INT(Sync!$L1196/10000),4)&amp;"/"&amp;RIGHT("00"&amp;INT(MOD(Sync!$L1196,10000)/100),2)&amp;"/"&amp;RIGHT("00"&amp;MOD(Sync!$L1196,100),2),""),IFERROR(RIGHT("0000"&amp;VALUE(TRIM(LEFT(Sync!$L1196,FIND("/",Sync!$L1196)-1))),4)&amp;"/"&amp;RIGHT("00"&amp;VALUE(TRIM(LEFT(MID(Sync!$L1196,FIND("/",Sync!$L1196)+1,20),FIND("/",MID(Sync!$L1196,FIND("/",Sync!$L1196)+1,20))-1))),2)&amp;"/"&amp;RIGHT("00"&amp;VALUE(TRIM(MID(MID(Sync!$L1196,FIND("/",Sync!$L1196)+1,20),FIND("/",MID(Sync!$L1196,FIND("/",Sync!$L1196)+1,20))+1,20))),2),"")))</f>
        <v/>
      </c>
    </row>
    <row r="1197">
      <c r="M1197">
        <f>IF(Sync!$M1197&lt;&gt;"پاس چک","",IF(Sync!$P1197="","",Sync!$P1197))</f>
        <v/>
      </c>
      <c r="N1197">
        <f>IF($M1197="","",IF(ISNUMBER(Sync!$L1197),IF(AND(Sync!$L1197&gt;=10000101,Sync!$L1197&lt;=99991231),RIGHT("0000"&amp;INT(Sync!$L1197/10000),4)&amp;"/"&amp;RIGHT("00"&amp;INT(MOD(Sync!$L1197,10000)/100),2)&amp;"/"&amp;RIGHT("00"&amp;MOD(Sync!$L1197,100),2),""),IFERROR(RIGHT("0000"&amp;VALUE(TRIM(LEFT(Sync!$L1197,FIND("/",Sync!$L1197)-1))),4)&amp;"/"&amp;RIGHT("00"&amp;VALUE(TRIM(LEFT(MID(Sync!$L1197,FIND("/",Sync!$L1197)+1,20),FIND("/",MID(Sync!$L1197,FIND("/",Sync!$L1197)+1,20))-1))),2)&amp;"/"&amp;RIGHT("00"&amp;VALUE(TRIM(MID(MID(Sync!$L1197,FIND("/",Sync!$L1197)+1,20),FIND("/",MID(Sync!$L1197,FIND("/",Sync!$L1197)+1,20))+1,20))),2),"")))</f>
        <v/>
      </c>
    </row>
    <row r="1198">
      <c r="M1198">
        <f>IF(Sync!$M1198&lt;&gt;"پاس چک","",IF(Sync!$P1198="","",Sync!$P1198))</f>
        <v/>
      </c>
      <c r="N1198">
        <f>IF($M1198="","",IF(ISNUMBER(Sync!$L1198),IF(AND(Sync!$L1198&gt;=10000101,Sync!$L1198&lt;=99991231),RIGHT("0000"&amp;INT(Sync!$L1198/10000),4)&amp;"/"&amp;RIGHT("00"&amp;INT(MOD(Sync!$L1198,10000)/100),2)&amp;"/"&amp;RIGHT("00"&amp;MOD(Sync!$L1198,100),2),""),IFERROR(RIGHT("0000"&amp;VALUE(TRIM(LEFT(Sync!$L1198,FIND("/",Sync!$L1198)-1))),4)&amp;"/"&amp;RIGHT("00"&amp;VALUE(TRIM(LEFT(MID(Sync!$L1198,FIND("/",Sync!$L1198)+1,20),FIND("/",MID(Sync!$L1198,FIND("/",Sync!$L1198)+1,20))-1))),2)&amp;"/"&amp;RIGHT("00"&amp;VALUE(TRIM(MID(MID(Sync!$L1198,FIND("/",Sync!$L1198)+1,20),FIND("/",MID(Sync!$L1198,FIND("/",Sync!$L1198)+1,20))+1,20))),2),"")))</f>
        <v/>
      </c>
    </row>
    <row r="1199">
      <c r="M1199">
        <f>IF(Sync!$M1199&lt;&gt;"پاس چک","",IF(Sync!$P1199="","",Sync!$P1199))</f>
        <v/>
      </c>
      <c r="N1199">
        <f>IF($M1199="","",IF(ISNUMBER(Sync!$L1199),IF(AND(Sync!$L1199&gt;=10000101,Sync!$L1199&lt;=99991231),RIGHT("0000"&amp;INT(Sync!$L1199/10000),4)&amp;"/"&amp;RIGHT("00"&amp;INT(MOD(Sync!$L1199,10000)/100),2)&amp;"/"&amp;RIGHT("00"&amp;MOD(Sync!$L1199,100),2),""),IFERROR(RIGHT("0000"&amp;VALUE(TRIM(LEFT(Sync!$L1199,FIND("/",Sync!$L1199)-1))),4)&amp;"/"&amp;RIGHT("00"&amp;VALUE(TRIM(LEFT(MID(Sync!$L1199,FIND("/",Sync!$L1199)+1,20),FIND("/",MID(Sync!$L1199,FIND("/",Sync!$L1199)+1,20))-1))),2)&amp;"/"&amp;RIGHT("00"&amp;VALUE(TRIM(MID(MID(Sync!$L1199,FIND("/",Sync!$L1199)+1,20),FIND("/",MID(Sync!$L1199,FIND("/",Sync!$L1199)+1,20))+1,20))),2),"")))</f>
        <v/>
      </c>
    </row>
    <row r="1200">
      <c r="M1200">
        <f>IF(Sync!$M1200&lt;&gt;"پاس چک","",IF(Sync!$P1200="","",Sync!$P1200))</f>
        <v/>
      </c>
      <c r="N1200">
        <f>IF($M1200="","",IF(ISNUMBER(Sync!$L1200),IF(AND(Sync!$L1200&gt;=10000101,Sync!$L1200&lt;=99991231),RIGHT("0000"&amp;INT(Sync!$L1200/10000),4)&amp;"/"&amp;RIGHT("00"&amp;INT(MOD(Sync!$L1200,10000)/100),2)&amp;"/"&amp;RIGHT("00"&amp;MOD(Sync!$L1200,100),2),""),IFERROR(RIGHT("0000"&amp;VALUE(TRIM(LEFT(Sync!$L1200,FIND("/",Sync!$L1200)-1))),4)&amp;"/"&amp;RIGHT("00"&amp;VALUE(TRIM(LEFT(MID(Sync!$L1200,FIND("/",Sync!$L1200)+1,20),FIND("/",MID(Sync!$L1200,FIND("/",Sync!$L1200)+1,20))-1))),2)&amp;"/"&amp;RIGHT("00"&amp;VALUE(TRIM(MID(MID(Sync!$L1200,FIND("/",Sync!$L1200)+1,20),FIND("/",MID(Sync!$L1200,FIND("/",Sync!$L1200)+1,20))+1,20))),2),"")))</f>
        <v/>
      </c>
    </row>
    <row r="1201">
      <c r="M1201">
        <f>IF(Sync!$M1201&lt;&gt;"پاس چک","",IF(Sync!$P1201="","",Sync!$P1201))</f>
        <v/>
      </c>
      <c r="N1201">
        <f>IF($M1201="","",IF(ISNUMBER(Sync!$L1201),IF(AND(Sync!$L1201&gt;=10000101,Sync!$L1201&lt;=99991231),RIGHT("0000"&amp;INT(Sync!$L1201/10000),4)&amp;"/"&amp;RIGHT("00"&amp;INT(MOD(Sync!$L1201,10000)/100),2)&amp;"/"&amp;RIGHT("00"&amp;MOD(Sync!$L1201,100),2),""),IFERROR(RIGHT("0000"&amp;VALUE(TRIM(LEFT(Sync!$L1201,FIND("/",Sync!$L1201)-1))),4)&amp;"/"&amp;RIGHT("00"&amp;VALUE(TRIM(LEFT(MID(Sync!$L1201,FIND("/",Sync!$L1201)+1,20),FIND("/",MID(Sync!$L1201,FIND("/",Sync!$L1201)+1,20))-1))),2)&amp;"/"&amp;RIGHT("00"&amp;VALUE(TRIM(MID(MID(Sync!$L1201,FIND("/",Sync!$L1201)+1,20),FIND("/",MID(Sync!$L1201,FIND("/",Sync!$L1201)+1,20))+1,20))),2),"")))</f>
        <v/>
      </c>
    </row>
    <row r="1202">
      <c r="M1202">
        <f>IF(Sync!$M1202&lt;&gt;"پاس چک","",IF(Sync!$P1202="","",Sync!$P1202))</f>
        <v/>
      </c>
      <c r="N1202">
        <f>IF($M1202="","",IF(ISNUMBER(Sync!$L1202),IF(AND(Sync!$L1202&gt;=10000101,Sync!$L1202&lt;=99991231),RIGHT("0000"&amp;INT(Sync!$L1202/10000),4)&amp;"/"&amp;RIGHT("00"&amp;INT(MOD(Sync!$L1202,10000)/100),2)&amp;"/"&amp;RIGHT("00"&amp;MOD(Sync!$L1202,100),2),""),IFERROR(RIGHT("0000"&amp;VALUE(TRIM(LEFT(Sync!$L1202,FIND("/",Sync!$L1202)-1))),4)&amp;"/"&amp;RIGHT("00"&amp;VALUE(TRIM(LEFT(MID(Sync!$L1202,FIND("/",Sync!$L1202)+1,20),FIND("/",MID(Sync!$L1202,FIND("/",Sync!$L1202)+1,20))-1))),2)&amp;"/"&amp;RIGHT("00"&amp;VALUE(TRIM(MID(MID(Sync!$L1202,FIND("/",Sync!$L1202)+1,20),FIND("/",MID(Sync!$L1202,FIND("/",Sync!$L1202)+1,20))+1,20))),2),"")))</f>
        <v/>
      </c>
    </row>
    <row r="1203">
      <c r="M1203">
        <f>IF(Sync!$M1203&lt;&gt;"پاس چک","",IF(Sync!$P1203="","",Sync!$P1203))</f>
        <v/>
      </c>
      <c r="N1203">
        <f>IF($M1203="","",IF(ISNUMBER(Sync!$L1203),IF(AND(Sync!$L1203&gt;=10000101,Sync!$L1203&lt;=99991231),RIGHT("0000"&amp;INT(Sync!$L1203/10000),4)&amp;"/"&amp;RIGHT("00"&amp;INT(MOD(Sync!$L1203,10000)/100),2)&amp;"/"&amp;RIGHT("00"&amp;MOD(Sync!$L1203,100),2),""),IFERROR(RIGHT("0000"&amp;VALUE(TRIM(LEFT(Sync!$L1203,FIND("/",Sync!$L1203)-1))),4)&amp;"/"&amp;RIGHT("00"&amp;VALUE(TRIM(LEFT(MID(Sync!$L1203,FIND("/",Sync!$L1203)+1,20),FIND("/",MID(Sync!$L1203,FIND("/",Sync!$L1203)+1,20))-1))),2)&amp;"/"&amp;RIGHT("00"&amp;VALUE(TRIM(MID(MID(Sync!$L1203,FIND("/",Sync!$L1203)+1,20),FIND("/",MID(Sync!$L1203,FIND("/",Sync!$L1203)+1,20))+1,20))),2),"")))</f>
        <v/>
      </c>
    </row>
    <row r="1204">
      <c r="M1204">
        <f>IF(Sync!$M1204&lt;&gt;"پاس چک","",IF(Sync!$P1204="","",Sync!$P1204))</f>
        <v/>
      </c>
      <c r="N1204">
        <f>IF($M1204="","",IF(ISNUMBER(Sync!$L1204),IF(AND(Sync!$L1204&gt;=10000101,Sync!$L1204&lt;=99991231),RIGHT("0000"&amp;INT(Sync!$L1204/10000),4)&amp;"/"&amp;RIGHT("00"&amp;INT(MOD(Sync!$L1204,10000)/100),2)&amp;"/"&amp;RIGHT("00"&amp;MOD(Sync!$L1204,100),2),""),IFERROR(RIGHT("0000"&amp;VALUE(TRIM(LEFT(Sync!$L1204,FIND("/",Sync!$L1204)-1))),4)&amp;"/"&amp;RIGHT("00"&amp;VALUE(TRIM(LEFT(MID(Sync!$L1204,FIND("/",Sync!$L1204)+1,20),FIND("/",MID(Sync!$L1204,FIND("/",Sync!$L1204)+1,20))-1))),2)&amp;"/"&amp;RIGHT("00"&amp;VALUE(TRIM(MID(MID(Sync!$L1204,FIND("/",Sync!$L1204)+1,20),FIND("/",MID(Sync!$L1204,FIND("/",Sync!$L1204)+1,20))+1,20))),2),"")))</f>
        <v/>
      </c>
    </row>
    <row r="1205">
      <c r="M1205">
        <f>IF(Sync!$M1205&lt;&gt;"پاس چک","",IF(Sync!$P1205="","",Sync!$P1205))</f>
        <v/>
      </c>
      <c r="N1205">
        <f>IF($M1205="","",IF(ISNUMBER(Sync!$L1205),IF(AND(Sync!$L1205&gt;=10000101,Sync!$L1205&lt;=99991231),RIGHT("0000"&amp;INT(Sync!$L1205/10000),4)&amp;"/"&amp;RIGHT("00"&amp;INT(MOD(Sync!$L1205,10000)/100),2)&amp;"/"&amp;RIGHT("00"&amp;MOD(Sync!$L1205,100),2),""),IFERROR(RIGHT("0000"&amp;VALUE(TRIM(LEFT(Sync!$L1205,FIND("/",Sync!$L1205)-1))),4)&amp;"/"&amp;RIGHT("00"&amp;VALUE(TRIM(LEFT(MID(Sync!$L1205,FIND("/",Sync!$L1205)+1,20),FIND("/",MID(Sync!$L1205,FIND("/",Sync!$L1205)+1,20))-1))),2)&amp;"/"&amp;RIGHT("00"&amp;VALUE(TRIM(MID(MID(Sync!$L1205,FIND("/",Sync!$L1205)+1,20),FIND("/",MID(Sync!$L1205,FIND("/",Sync!$L1205)+1,20))+1,20))),2),"")))</f>
        <v/>
      </c>
    </row>
    <row r="1206">
      <c r="M1206">
        <f>IF(Sync!$M1206&lt;&gt;"پاس چک","",IF(Sync!$P1206="","",Sync!$P1206))</f>
        <v/>
      </c>
      <c r="N1206">
        <f>IF($M1206="","",IF(ISNUMBER(Sync!$L1206),IF(AND(Sync!$L1206&gt;=10000101,Sync!$L1206&lt;=99991231),RIGHT("0000"&amp;INT(Sync!$L1206/10000),4)&amp;"/"&amp;RIGHT("00"&amp;INT(MOD(Sync!$L1206,10000)/100),2)&amp;"/"&amp;RIGHT("00"&amp;MOD(Sync!$L1206,100),2),""),IFERROR(RIGHT("0000"&amp;VALUE(TRIM(LEFT(Sync!$L1206,FIND("/",Sync!$L1206)-1))),4)&amp;"/"&amp;RIGHT("00"&amp;VALUE(TRIM(LEFT(MID(Sync!$L1206,FIND("/",Sync!$L1206)+1,20),FIND("/",MID(Sync!$L1206,FIND("/",Sync!$L1206)+1,20))-1))),2)&amp;"/"&amp;RIGHT("00"&amp;VALUE(TRIM(MID(MID(Sync!$L1206,FIND("/",Sync!$L1206)+1,20),FIND("/",MID(Sync!$L1206,FIND("/",Sync!$L1206)+1,20))+1,20))),2),"")))</f>
        <v/>
      </c>
    </row>
    <row r="1207">
      <c r="M1207">
        <f>IF(Sync!$M1207&lt;&gt;"پاس چک","",IF(Sync!$P1207="","",Sync!$P1207))</f>
        <v/>
      </c>
      <c r="N1207">
        <f>IF($M1207="","",IF(ISNUMBER(Sync!$L1207),IF(AND(Sync!$L1207&gt;=10000101,Sync!$L1207&lt;=99991231),RIGHT("0000"&amp;INT(Sync!$L1207/10000),4)&amp;"/"&amp;RIGHT("00"&amp;INT(MOD(Sync!$L1207,10000)/100),2)&amp;"/"&amp;RIGHT("00"&amp;MOD(Sync!$L1207,100),2),""),IFERROR(RIGHT("0000"&amp;VALUE(TRIM(LEFT(Sync!$L1207,FIND("/",Sync!$L1207)-1))),4)&amp;"/"&amp;RIGHT("00"&amp;VALUE(TRIM(LEFT(MID(Sync!$L1207,FIND("/",Sync!$L1207)+1,20),FIND("/",MID(Sync!$L1207,FIND("/",Sync!$L1207)+1,20))-1))),2)&amp;"/"&amp;RIGHT("00"&amp;VALUE(TRIM(MID(MID(Sync!$L1207,FIND("/",Sync!$L1207)+1,20),FIND("/",MID(Sync!$L1207,FIND("/",Sync!$L1207)+1,20))+1,20))),2),"")))</f>
        <v/>
      </c>
    </row>
    <row r="1208">
      <c r="M1208">
        <f>IF(Sync!$M1208&lt;&gt;"پاس چک","",IF(Sync!$P1208="","",Sync!$P1208))</f>
        <v/>
      </c>
      <c r="N1208">
        <f>IF($M1208="","",IF(ISNUMBER(Sync!$L1208),IF(AND(Sync!$L1208&gt;=10000101,Sync!$L1208&lt;=99991231),RIGHT("0000"&amp;INT(Sync!$L1208/10000),4)&amp;"/"&amp;RIGHT("00"&amp;INT(MOD(Sync!$L1208,10000)/100),2)&amp;"/"&amp;RIGHT("00"&amp;MOD(Sync!$L1208,100),2),""),IFERROR(RIGHT("0000"&amp;VALUE(TRIM(LEFT(Sync!$L1208,FIND("/",Sync!$L1208)-1))),4)&amp;"/"&amp;RIGHT("00"&amp;VALUE(TRIM(LEFT(MID(Sync!$L1208,FIND("/",Sync!$L1208)+1,20),FIND("/",MID(Sync!$L1208,FIND("/",Sync!$L1208)+1,20))-1))),2)&amp;"/"&amp;RIGHT("00"&amp;VALUE(TRIM(MID(MID(Sync!$L1208,FIND("/",Sync!$L1208)+1,20),FIND("/",MID(Sync!$L1208,FIND("/",Sync!$L1208)+1,20))+1,20))),2),"")))</f>
        <v/>
      </c>
    </row>
    <row r="1209">
      <c r="M1209">
        <f>IF(Sync!$M1209&lt;&gt;"پاس چک","",IF(Sync!$P1209="","",Sync!$P1209))</f>
        <v/>
      </c>
      <c r="N1209">
        <f>IF($M1209="","",IF(ISNUMBER(Sync!$L1209),IF(AND(Sync!$L1209&gt;=10000101,Sync!$L1209&lt;=99991231),RIGHT("0000"&amp;INT(Sync!$L1209/10000),4)&amp;"/"&amp;RIGHT("00"&amp;INT(MOD(Sync!$L1209,10000)/100),2)&amp;"/"&amp;RIGHT("00"&amp;MOD(Sync!$L1209,100),2),""),IFERROR(RIGHT("0000"&amp;VALUE(TRIM(LEFT(Sync!$L1209,FIND("/",Sync!$L1209)-1))),4)&amp;"/"&amp;RIGHT("00"&amp;VALUE(TRIM(LEFT(MID(Sync!$L1209,FIND("/",Sync!$L1209)+1,20),FIND("/",MID(Sync!$L1209,FIND("/",Sync!$L1209)+1,20))-1))),2)&amp;"/"&amp;RIGHT("00"&amp;VALUE(TRIM(MID(MID(Sync!$L1209,FIND("/",Sync!$L1209)+1,20),FIND("/",MID(Sync!$L1209,FIND("/",Sync!$L1209)+1,20))+1,20))),2),"")))</f>
        <v/>
      </c>
    </row>
    <row r="1210">
      <c r="M1210">
        <f>IF(Sync!$M1210&lt;&gt;"پاس چک","",IF(Sync!$P1210="","",Sync!$P1210))</f>
        <v/>
      </c>
      <c r="N1210">
        <f>IF($M1210="","",IF(ISNUMBER(Sync!$L1210),IF(AND(Sync!$L1210&gt;=10000101,Sync!$L1210&lt;=99991231),RIGHT("0000"&amp;INT(Sync!$L1210/10000),4)&amp;"/"&amp;RIGHT("00"&amp;INT(MOD(Sync!$L1210,10000)/100),2)&amp;"/"&amp;RIGHT("00"&amp;MOD(Sync!$L1210,100),2),""),IFERROR(RIGHT("0000"&amp;VALUE(TRIM(LEFT(Sync!$L1210,FIND("/",Sync!$L1210)-1))),4)&amp;"/"&amp;RIGHT("00"&amp;VALUE(TRIM(LEFT(MID(Sync!$L1210,FIND("/",Sync!$L1210)+1,20),FIND("/",MID(Sync!$L1210,FIND("/",Sync!$L1210)+1,20))-1))),2)&amp;"/"&amp;RIGHT("00"&amp;VALUE(TRIM(MID(MID(Sync!$L1210,FIND("/",Sync!$L1210)+1,20),FIND("/",MID(Sync!$L1210,FIND("/",Sync!$L1210)+1,20))+1,20))),2),"")))</f>
        <v/>
      </c>
    </row>
    <row r="1211">
      <c r="M1211">
        <f>IF(Sync!$M1211&lt;&gt;"پاس چک","",IF(Sync!$P1211="","",Sync!$P1211))</f>
        <v/>
      </c>
      <c r="N1211">
        <f>IF($M1211="","",IF(ISNUMBER(Sync!$L1211),IF(AND(Sync!$L1211&gt;=10000101,Sync!$L1211&lt;=99991231),RIGHT("0000"&amp;INT(Sync!$L1211/10000),4)&amp;"/"&amp;RIGHT("00"&amp;INT(MOD(Sync!$L1211,10000)/100),2)&amp;"/"&amp;RIGHT("00"&amp;MOD(Sync!$L1211,100),2),""),IFERROR(RIGHT("0000"&amp;VALUE(TRIM(LEFT(Sync!$L1211,FIND("/",Sync!$L1211)-1))),4)&amp;"/"&amp;RIGHT("00"&amp;VALUE(TRIM(LEFT(MID(Sync!$L1211,FIND("/",Sync!$L1211)+1,20),FIND("/",MID(Sync!$L1211,FIND("/",Sync!$L1211)+1,20))-1))),2)&amp;"/"&amp;RIGHT("00"&amp;VALUE(TRIM(MID(MID(Sync!$L1211,FIND("/",Sync!$L1211)+1,20),FIND("/",MID(Sync!$L1211,FIND("/",Sync!$L1211)+1,20))+1,20))),2),"")))</f>
        <v/>
      </c>
    </row>
    <row r="1212">
      <c r="M1212">
        <f>IF(Sync!$M1212&lt;&gt;"پاس چک","",IF(Sync!$P1212="","",Sync!$P1212))</f>
        <v/>
      </c>
      <c r="N1212">
        <f>IF($M1212="","",IF(ISNUMBER(Sync!$L1212),IF(AND(Sync!$L1212&gt;=10000101,Sync!$L1212&lt;=99991231),RIGHT("0000"&amp;INT(Sync!$L1212/10000),4)&amp;"/"&amp;RIGHT("00"&amp;INT(MOD(Sync!$L1212,10000)/100),2)&amp;"/"&amp;RIGHT("00"&amp;MOD(Sync!$L1212,100),2),""),IFERROR(RIGHT("0000"&amp;VALUE(TRIM(LEFT(Sync!$L1212,FIND("/",Sync!$L1212)-1))),4)&amp;"/"&amp;RIGHT("00"&amp;VALUE(TRIM(LEFT(MID(Sync!$L1212,FIND("/",Sync!$L1212)+1,20),FIND("/",MID(Sync!$L1212,FIND("/",Sync!$L1212)+1,20))-1))),2)&amp;"/"&amp;RIGHT("00"&amp;VALUE(TRIM(MID(MID(Sync!$L1212,FIND("/",Sync!$L1212)+1,20),FIND("/",MID(Sync!$L1212,FIND("/",Sync!$L1212)+1,20))+1,20))),2),"")))</f>
        <v/>
      </c>
    </row>
    <row r="1213">
      <c r="M1213">
        <f>IF(Sync!$M1213&lt;&gt;"پاس چک","",IF(Sync!$P1213="","",Sync!$P1213))</f>
        <v/>
      </c>
      <c r="N1213">
        <f>IF($M1213="","",IF(ISNUMBER(Sync!$L1213),IF(AND(Sync!$L1213&gt;=10000101,Sync!$L1213&lt;=99991231),RIGHT("0000"&amp;INT(Sync!$L1213/10000),4)&amp;"/"&amp;RIGHT("00"&amp;INT(MOD(Sync!$L1213,10000)/100),2)&amp;"/"&amp;RIGHT("00"&amp;MOD(Sync!$L1213,100),2),""),IFERROR(RIGHT("0000"&amp;VALUE(TRIM(LEFT(Sync!$L1213,FIND("/",Sync!$L1213)-1))),4)&amp;"/"&amp;RIGHT("00"&amp;VALUE(TRIM(LEFT(MID(Sync!$L1213,FIND("/",Sync!$L1213)+1,20),FIND("/",MID(Sync!$L1213,FIND("/",Sync!$L1213)+1,20))-1))),2)&amp;"/"&amp;RIGHT("00"&amp;VALUE(TRIM(MID(MID(Sync!$L1213,FIND("/",Sync!$L1213)+1,20),FIND("/",MID(Sync!$L1213,FIND("/",Sync!$L1213)+1,20))+1,20))),2),"")))</f>
        <v/>
      </c>
    </row>
    <row r="1214">
      <c r="M1214">
        <f>IF(Sync!$M1214&lt;&gt;"پاس چک","",IF(Sync!$P1214="","",Sync!$P1214))</f>
        <v/>
      </c>
      <c r="N1214">
        <f>IF($M1214="","",IF(ISNUMBER(Sync!$L1214),IF(AND(Sync!$L1214&gt;=10000101,Sync!$L1214&lt;=99991231),RIGHT("0000"&amp;INT(Sync!$L1214/10000),4)&amp;"/"&amp;RIGHT("00"&amp;INT(MOD(Sync!$L1214,10000)/100),2)&amp;"/"&amp;RIGHT("00"&amp;MOD(Sync!$L1214,100),2),""),IFERROR(RIGHT("0000"&amp;VALUE(TRIM(LEFT(Sync!$L1214,FIND("/",Sync!$L1214)-1))),4)&amp;"/"&amp;RIGHT("00"&amp;VALUE(TRIM(LEFT(MID(Sync!$L1214,FIND("/",Sync!$L1214)+1,20),FIND("/",MID(Sync!$L1214,FIND("/",Sync!$L1214)+1,20))-1))),2)&amp;"/"&amp;RIGHT("00"&amp;VALUE(TRIM(MID(MID(Sync!$L1214,FIND("/",Sync!$L1214)+1,20),FIND("/",MID(Sync!$L1214,FIND("/",Sync!$L1214)+1,20))+1,20))),2),"")))</f>
        <v/>
      </c>
    </row>
    <row r="1215">
      <c r="M1215">
        <f>IF(Sync!$M1215&lt;&gt;"پاس چک","",IF(Sync!$P1215="","",Sync!$P1215))</f>
        <v/>
      </c>
      <c r="N1215">
        <f>IF($M1215="","",IF(ISNUMBER(Sync!$L1215),IF(AND(Sync!$L1215&gt;=10000101,Sync!$L1215&lt;=99991231),RIGHT("0000"&amp;INT(Sync!$L1215/10000),4)&amp;"/"&amp;RIGHT("00"&amp;INT(MOD(Sync!$L1215,10000)/100),2)&amp;"/"&amp;RIGHT("00"&amp;MOD(Sync!$L1215,100),2),""),IFERROR(RIGHT("0000"&amp;VALUE(TRIM(LEFT(Sync!$L1215,FIND("/",Sync!$L1215)-1))),4)&amp;"/"&amp;RIGHT("00"&amp;VALUE(TRIM(LEFT(MID(Sync!$L1215,FIND("/",Sync!$L1215)+1,20),FIND("/",MID(Sync!$L1215,FIND("/",Sync!$L1215)+1,20))-1))),2)&amp;"/"&amp;RIGHT("00"&amp;VALUE(TRIM(MID(MID(Sync!$L1215,FIND("/",Sync!$L1215)+1,20),FIND("/",MID(Sync!$L1215,FIND("/",Sync!$L1215)+1,20))+1,20))),2),"")))</f>
        <v/>
      </c>
    </row>
    <row r="1216">
      <c r="M1216">
        <f>IF(Sync!$M1216&lt;&gt;"پاس چک","",IF(Sync!$P1216="","",Sync!$P1216))</f>
        <v/>
      </c>
      <c r="N1216">
        <f>IF($M1216="","",IF(ISNUMBER(Sync!$L1216),IF(AND(Sync!$L1216&gt;=10000101,Sync!$L1216&lt;=99991231),RIGHT("0000"&amp;INT(Sync!$L1216/10000),4)&amp;"/"&amp;RIGHT("00"&amp;INT(MOD(Sync!$L1216,10000)/100),2)&amp;"/"&amp;RIGHT("00"&amp;MOD(Sync!$L1216,100),2),""),IFERROR(RIGHT("0000"&amp;VALUE(TRIM(LEFT(Sync!$L1216,FIND("/",Sync!$L1216)-1))),4)&amp;"/"&amp;RIGHT("00"&amp;VALUE(TRIM(LEFT(MID(Sync!$L1216,FIND("/",Sync!$L1216)+1,20),FIND("/",MID(Sync!$L1216,FIND("/",Sync!$L1216)+1,20))-1))),2)&amp;"/"&amp;RIGHT("00"&amp;VALUE(TRIM(MID(MID(Sync!$L1216,FIND("/",Sync!$L1216)+1,20),FIND("/",MID(Sync!$L1216,FIND("/",Sync!$L1216)+1,20))+1,20))),2),"")))</f>
        <v/>
      </c>
    </row>
    <row r="1217">
      <c r="M1217">
        <f>IF(Sync!$M1217&lt;&gt;"پاس چک","",IF(Sync!$P1217="","",Sync!$P1217))</f>
        <v/>
      </c>
      <c r="N1217">
        <f>IF($M1217="","",IF(ISNUMBER(Sync!$L1217),IF(AND(Sync!$L1217&gt;=10000101,Sync!$L1217&lt;=99991231),RIGHT("0000"&amp;INT(Sync!$L1217/10000),4)&amp;"/"&amp;RIGHT("00"&amp;INT(MOD(Sync!$L1217,10000)/100),2)&amp;"/"&amp;RIGHT("00"&amp;MOD(Sync!$L1217,100),2),""),IFERROR(RIGHT("0000"&amp;VALUE(TRIM(LEFT(Sync!$L1217,FIND("/",Sync!$L1217)-1))),4)&amp;"/"&amp;RIGHT("00"&amp;VALUE(TRIM(LEFT(MID(Sync!$L1217,FIND("/",Sync!$L1217)+1,20),FIND("/",MID(Sync!$L1217,FIND("/",Sync!$L1217)+1,20))-1))),2)&amp;"/"&amp;RIGHT("00"&amp;VALUE(TRIM(MID(MID(Sync!$L1217,FIND("/",Sync!$L1217)+1,20),FIND("/",MID(Sync!$L1217,FIND("/",Sync!$L1217)+1,20))+1,20))),2),"")))</f>
        <v/>
      </c>
    </row>
    <row r="1218">
      <c r="M1218">
        <f>IF(Sync!$M1218&lt;&gt;"پاس چک","",IF(Sync!$P1218="","",Sync!$P1218))</f>
        <v/>
      </c>
      <c r="N1218">
        <f>IF($M1218="","",IF(ISNUMBER(Sync!$L1218),IF(AND(Sync!$L1218&gt;=10000101,Sync!$L1218&lt;=99991231),RIGHT("0000"&amp;INT(Sync!$L1218/10000),4)&amp;"/"&amp;RIGHT("00"&amp;INT(MOD(Sync!$L1218,10000)/100),2)&amp;"/"&amp;RIGHT("00"&amp;MOD(Sync!$L1218,100),2),""),IFERROR(RIGHT("0000"&amp;VALUE(TRIM(LEFT(Sync!$L1218,FIND("/",Sync!$L1218)-1))),4)&amp;"/"&amp;RIGHT("00"&amp;VALUE(TRIM(LEFT(MID(Sync!$L1218,FIND("/",Sync!$L1218)+1,20),FIND("/",MID(Sync!$L1218,FIND("/",Sync!$L1218)+1,20))-1))),2)&amp;"/"&amp;RIGHT("00"&amp;VALUE(TRIM(MID(MID(Sync!$L1218,FIND("/",Sync!$L1218)+1,20),FIND("/",MID(Sync!$L1218,FIND("/",Sync!$L1218)+1,20))+1,20))),2),"")))</f>
        <v/>
      </c>
    </row>
    <row r="1219">
      <c r="M1219">
        <f>IF(Sync!$M1219&lt;&gt;"پاس چک","",IF(Sync!$P1219="","",Sync!$P1219))</f>
        <v/>
      </c>
      <c r="N1219">
        <f>IF($M1219="","",IF(ISNUMBER(Sync!$L1219),IF(AND(Sync!$L1219&gt;=10000101,Sync!$L1219&lt;=99991231),RIGHT("0000"&amp;INT(Sync!$L1219/10000),4)&amp;"/"&amp;RIGHT("00"&amp;INT(MOD(Sync!$L1219,10000)/100),2)&amp;"/"&amp;RIGHT("00"&amp;MOD(Sync!$L1219,100),2),""),IFERROR(RIGHT("0000"&amp;VALUE(TRIM(LEFT(Sync!$L1219,FIND("/",Sync!$L1219)-1))),4)&amp;"/"&amp;RIGHT("00"&amp;VALUE(TRIM(LEFT(MID(Sync!$L1219,FIND("/",Sync!$L1219)+1,20),FIND("/",MID(Sync!$L1219,FIND("/",Sync!$L1219)+1,20))-1))),2)&amp;"/"&amp;RIGHT("00"&amp;VALUE(TRIM(MID(MID(Sync!$L1219,FIND("/",Sync!$L1219)+1,20),FIND("/",MID(Sync!$L1219,FIND("/",Sync!$L1219)+1,20))+1,20))),2),"")))</f>
        <v/>
      </c>
    </row>
    <row r="1220">
      <c r="M1220">
        <f>IF(Sync!$M1220&lt;&gt;"پاس چک","",IF(Sync!$P1220="","",Sync!$P1220))</f>
        <v/>
      </c>
      <c r="N1220">
        <f>IF($M1220="","",IF(ISNUMBER(Sync!$L1220),IF(AND(Sync!$L1220&gt;=10000101,Sync!$L1220&lt;=99991231),RIGHT("0000"&amp;INT(Sync!$L1220/10000),4)&amp;"/"&amp;RIGHT("00"&amp;INT(MOD(Sync!$L1220,10000)/100),2)&amp;"/"&amp;RIGHT("00"&amp;MOD(Sync!$L1220,100),2),""),IFERROR(RIGHT("0000"&amp;VALUE(TRIM(LEFT(Sync!$L1220,FIND("/",Sync!$L1220)-1))),4)&amp;"/"&amp;RIGHT("00"&amp;VALUE(TRIM(LEFT(MID(Sync!$L1220,FIND("/",Sync!$L1220)+1,20),FIND("/",MID(Sync!$L1220,FIND("/",Sync!$L1220)+1,20))-1))),2)&amp;"/"&amp;RIGHT("00"&amp;VALUE(TRIM(MID(MID(Sync!$L1220,FIND("/",Sync!$L1220)+1,20),FIND("/",MID(Sync!$L1220,FIND("/",Sync!$L1220)+1,20))+1,20))),2),"")))</f>
        <v/>
      </c>
    </row>
    <row r="1221">
      <c r="M1221">
        <f>IF(Sync!$M1221&lt;&gt;"پاس چک","",IF(Sync!$P1221="","",Sync!$P1221))</f>
        <v/>
      </c>
      <c r="N1221">
        <f>IF($M1221="","",IF(ISNUMBER(Sync!$L1221),IF(AND(Sync!$L1221&gt;=10000101,Sync!$L1221&lt;=99991231),RIGHT("0000"&amp;INT(Sync!$L1221/10000),4)&amp;"/"&amp;RIGHT("00"&amp;INT(MOD(Sync!$L1221,10000)/100),2)&amp;"/"&amp;RIGHT("00"&amp;MOD(Sync!$L1221,100),2),""),IFERROR(RIGHT("0000"&amp;VALUE(TRIM(LEFT(Sync!$L1221,FIND("/",Sync!$L1221)-1))),4)&amp;"/"&amp;RIGHT("00"&amp;VALUE(TRIM(LEFT(MID(Sync!$L1221,FIND("/",Sync!$L1221)+1,20),FIND("/",MID(Sync!$L1221,FIND("/",Sync!$L1221)+1,20))-1))),2)&amp;"/"&amp;RIGHT("00"&amp;VALUE(TRIM(MID(MID(Sync!$L1221,FIND("/",Sync!$L1221)+1,20),FIND("/",MID(Sync!$L1221,FIND("/",Sync!$L1221)+1,20))+1,20))),2),"")))</f>
        <v/>
      </c>
    </row>
    <row r="1222">
      <c r="M1222">
        <f>IF(Sync!$M1222&lt;&gt;"پاس چک","",IF(Sync!$P1222="","",Sync!$P1222))</f>
        <v/>
      </c>
      <c r="N1222">
        <f>IF($M1222="","",IF(ISNUMBER(Sync!$L1222),IF(AND(Sync!$L1222&gt;=10000101,Sync!$L1222&lt;=99991231),RIGHT("0000"&amp;INT(Sync!$L1222/10000),4)&amp;"/"&amp;RIGHT("00"&amp;INT(MOD(Sync!$L1222,10000)/100),2)&amp;"/"&amp;RIGHT("00"&amp;MOD(Sync!$L1222,100),2),""),IFERROR(RIGHT("0000"&amp;VALUE(TRIM(LEFT(Sync!$L1222,FIND("/",Sync!$L1222)-1))),4)&amp;"/"&amp;RIGHT("00"&amp;VALUE(TRIM(LEFT(MID(Sync!$L1222,FIND("/",Sync!$L1222)+1,20),FIND("/",MID(Sync!$L1222,FIND("/",Sync!$L1222)+1,20))-1))),2)&amp;"/"&amp;RIGHT("00"&amp;VALUE(TRIM(MID(MID(Sync!$L1222,FIND("/",Sync!$L1222)+1,20),FIND("/",MID(Sync!$L1222,FIND("/",Sync!$L1222)+1,20))+1,20))),2),"")))</f>
        <v/>
      </c>
    </row>
    <row r="1223">
      <c r="M1223">
        <f>IF(Sync!$M1223&lt;&gt;"پاس چک","",IF(Sync!$P1223="","",Sync!$P1223))</f>
        <v/>
      </c>
      <c r="N1223">
        <f>IF($M1223="","",IF(ISNUMBER(Sync!$L1223),IF(AND(Sync!$L1223&gt;=10000101,Sync!$L1223&lt;=99991231),RIGHT("0000"&amp;INT(Sync!$L1223/10000),4)&amp;"/"&amp;RIGHT("00"&amp;INT(MOD(Sync!$L1223,10000)/100),2)&amp;"/"&amp;RIGHT("00"&amp;MOD(Sync!$L1223,100),2),""),IFERROR(RIGHT("0000"&amp;VALUE(TRIM(LEFT(Sync!$L1223,FIND("/",Sync!$L1223)-1))),4)&amp;"/"&amp;RIGHT("00"&amp;VALUE(TRIM(LEFT(MID(Sync!$L1223,FIND("/",Sync!$L1223)+1,20),FIND("/",MID(Sync!$L1223,FIND("/",Sync!$L1223)+1,20))-1))),2)&amp;"/"&amp;RIGHT("00"&amp;VALUE(TRIM(MID(MID(Sync!$L1223,FIND("/",Sync!$L1223)+1,20),FIND("/",MID(Sync!$L1223,FIND("/",Sync!$L1223)+1,20))+1,20))),2),"")))</f>
        <v/>
      </c>
    </row>
    <row r="1224">
      <c r="M1224">
        <f>IF(Sync!$M1224&lt;&gt;"پاس چک","",IF(Sync!$P1224="","",Sync!$P1224))</f>
        <v/>
      </c>
      <c r="N1224">
        <f>IF($M1224="","",IF(ISNUMBER(Sync!$L1224),IF(AND(Sync!$L1224&gt;=10000101,Sync!$L1224&lt;=99991231),RIGHT("0000"&amp;INT(Sync!$L1224/10000),4)&amp;"/"&amp;RIGHT("00"&amp;INT(MOD(Sync!$L1224,10000)/100),2)&amp;"/"&amp;RIGHT("00"&amp;MOD(Sync!$L1224,100),2),""),IFERROR(RIGHT("0000"&amp;VALUE(TRIM(LEFT(Sync!$L1224,FIND("/",Sync!$L1224)-1))),4)&amp;"/"&amp;RIGHT("00"&amp;VALUE(TRIM(LEFT(MID(Sync!$L1224,FIND("/",Sync!$L1224)+1,20),FIND("/",MID(Sync!$L1224,FIND("/",Sync!$L1224)+1,20))-1))),2)&amp;"/"&amp;RIGHT("00"&amp;VALUE(TRIM(MID(MID(Sync!$L1224,FIND("/",Sync!$L1224)+1,20),FIND("/",MID(Sync!$L1224,FIND("/",Sync!$L1224)+1,20))+1,20))),2),"")))</f>
        <v/>
      </c>
    </row>
    <row r="1225">
      <c r="M1225">
        <f>IF(Sync!$M1225&lt;&gt;"پاس چک","",IF(Sync!$P1225="","",Sync!$P1225))</f>
        <v/>
      </c>
      <c r="N1225">
        <f>IF($M1225="","",IF(ISNUMBER(Sync!$L1225),IF(AND(Sync!$L1225&gt;=10000101,Sync!$L1225&lt;=99991231),RIGHT("0000"&amp;INT(Sync!$L1225/10000),4)&amp;"/"&amp;RIGHT("00"&amp;INT(MOD(Sync!$L1225,10000)/100),2)&amp;"/"&amp;RIGHT("00"&amp;MOD(Sync!$L1225,100),2),""),IFERROR(RIGHT("0000"&amp;VALUE(TRIM(LEFT(Sync!$L1225,FIND("/",Sync!$L1225)-1))),4)&amp;"/"&amp;RIGHT("00"&amp;VALUE(TRIM(LEFT(MID(Sync!$L1225,FIND("/",Sync!$L1225)+1,20),FIND("/",MID(Sync!$L1225,FIND("/",Sync!$L1225)+1,20))-1))),2)&amp;"/"&amp;RIGHT("00"&amp;VALUE(TRIM(MID(MID(Sync!$L1225,FIND("/",Sync!$L1225)+1,20),FIND("/",MID(Sync!$L1225,FIND("/",Sync!$L1225)+1,20))+1,20))),2),"")))</f>
        <v/>
      </c>
    </row>
    <row r="1226">
      <c r="M1226">
        <f>IF(Sync!$M1226&lt;&gt;"پاس چک","",IF(Sync!$P1226="","",Sync!$P1226))</f>
        <v/>
      </c>
      <c r="N1226">
        <f>IF($M1226="","",IF(ISNUMBER(Sync!$L1226),IF(AND(Sync!$L1226&gt;=10000101,Sync!$L1226&lt;=99991231),RIGHT("0000"&amp;INT(Sync!$L1226/10000),4)&amp;"/"&amp;RIGHT("00"&amp;INT(MOD(Sync!$L1226,10000)/100),2)&amp;"/"&amp;RIGHT("00"&amp;MOD(Sync!$L1226,100),2),""),IFERROR(RIGHT("0000"&amp;VALUE(TRIM(LEFT(Sync!$L1226,FIND("/",Sync!$L1226)-1))),4)&amp;"/"&amp;RIGHT("00"&amp;VALUE(TRIM(LEFT(MID(Sync!$L1226,FIND("/",Sync!$L1226)+1,20),FIND("/",MID(Sync!$L1226,FIND("/",Sync!$L1226)+1,20))-1))),2)&amp;"/"&amp;RIGHT("00"&amp;VALUE(TRIM(MID(MID(Sync!$L1226,FIND("/",Sync!$L1226)+1,20),FIND("/",MID(Sync!$L1226,FIND("/",Sync!$L1226)+1,20))+1,20))),2),"")))</f>
        <v/>
      </c>
    </row>
    <row r="1227">
      <c r="M1227">
        <f>IF(Sync!$M1227&lt;&gt;"پاس چک","",IF(Sync!$P1227="","",Sync!$P1227))</f>
        <v/>
      </c>
      <c r="N1227">
        <f>IF($M1227="","",IF(ISNUMBER(Sync!$L1227),IF(AND(Sync!$L1227&gt;=10000101,Sync!$L1227&lt;=99991231),RIGHT("0000"&amp;INT(Sync!$L1227/10000),4)&amp;"/"&amp;RIGHT("00"&amp;INT(MOD(Sync!$L1227,10000)/100),2)&amp;"/"&amp;RIGHT("00"&amp;MOD(Sync!$L1227,100),2),""),IFERROR(RIGHT("0000"&amp;VALUE(TRIM(LEFT(Sync!$L1227,FIND("/",Sync!$L1227)-1))),4)&amp;"/"&amp;RIGHT("00"&amp;VALUE(TRIM(LEFT(MID(Sync!$L1227,FIND("/",Sync!$L1227)+1,20),FIND("/",MID(Sync!$L1227,FIND("/",Sync!$L1227)+1,20))-1))),2)&amp;"/"&amp;RIGHT("00"&amp;VALUE(TRIM(MID(MID(Sync!$L1227,FIND("/",Sync!$L1227)+1,20),FIND("/",MID(Sync!$L1227,FIND("/",Sync!$L1227)+1,20))+1,20))),2),"")))</f>
        <v/>
      </c>
    </row>
    <row r="1228">
      <c r="M1228">
        <f>IF(Sync!$M1228&lt;&gt;"پاس چک","",IF(Sync!$P1228="","",Sync!$P1228))</f>
        <v/>
      </c>
      <c r="N1228">
        <f>IF($M1228="","",IF(ISNUMBER(Sync!$L1228),IF(AND(Sync!$L1228&gt;=10000101,Sync!$L1228&lt;=99991231),RIGHT("0000"&amp;INT(Sync!$L1228/10000),4)&amp;"/"&amp;RIGHT("00"&amp;INT(MOD(Sync!$L1228,10000)/100),2)&amp;"/"&amp;RIGHT("00"&amp;MOD(Sync!$L1228,100),2),""),IFERROR(RIGHT("0000"&amp;VALUE(TRIM(LEFT(Sync!$L1228,FIND("/",Sync!$L1228)-1))),4)&amp;"/"&amp;RIGHT("00"&amp;VALUE(TRIM(LEFT(MID(Sync!$L1228,FIND("/",Sync!$L1228)+1,20),FIND("/",MID(Sync!$L1228,FIND("/",Sync!$L1228)+1,20))-1))),2)&amp;"/"&amp;RIGHT("00"&amp;VALUE(TRIM(MID(MID(Sync!$L1228,FIND("/",Sync!$L1228)+1,20),FIND("/",MID(Sync!$L1228,FIND("/",Sync!$L1228)+1,20))+1,20))),2),"")))</f>
        <v/>
      </c>
    </row>
    <row r="1229">
      <c r="M1229">
        <f>IF(Sync!$M1229&lt;&gt;"پاس چک","",IF(Sync!$P1229="","",Sync!$P1229))</f>
        <v/>
      </c>
      <c r="N1229">
        <f>IF($M1229="","",IF(ISNUMBER(Sync!$L1229),IF(AND(Sync!$L1229&gt;=10000101,Sync!$L1229&lt;=99991231),RIGHT("0000"&amp;INT(Sync!$L1229/10000),4)&amp;"/"&amp;RIGHT("00"&amp;INT(MOD(Sync!$L1229,10000)/100),2)&amp;"/"&amp;RIGHT("00"&amp;MOD(Sync!$L1229,100),2),""),IFERROR(RIGHT("0000"&amp;VALUE(TRIM(LEFT(Sync!$L1229,FIND("/",Sync!$L1229)-1))),4)&amp;"/"&amp;RIGHT("00"&amp;VALUE(TRIM(LEFT(MID(Sync!$L1229,FIND("/",Sync!$L1229)+1,20),FIND("/",MID(Sync!$L1229,FIND("/",Sync!$L1229)+1,20))-1))),2)&amp;"/"&amp;RIGHT("00"&amp;VALUE(TRIM(MID(MID(Sync!$L1229,FIND("/",Sync!$L1229)+1,20),FIND("/",MID(Sync!$L1229,FIND("/",Sync!$L1229)+1,20))+1,20))),2),"")))</f>
        <v/>
      </c>
    </row>
    <row r="1230">
      <c r="M1230">
        <f>IF(Sync!$M1230&lt;&gt;"پاس چک","",IF(Sync!$P1230="","",Sync!$P1230))</f>
        <v/>
      </c>
      <c r="N1230">
        <f>IF($M1230="","",IF(ISNUMBER(Sync!$L1230),IF(AND(Sync!$L1230&gt;=10000101,Sync!$L1230&lt;=99991231),RIGHT("0000"&amp;INT(Sync!$L1230/10000),4)&amp;"/"&amp;RIGHT("00"&amp;INT(MOD(Sync!$L1230,10000)/100),2)&amp;"/"&amp;RIGHT("00"&amp;MOD(Sync!$L1230,100),2),""),IFERROR(RIGHT("0000"&amp;VALUE(TRIM(LEFT(Sync!$L1230,FIND("/",Sync!$L1230)-1))),4)&amp;"/"&amp;RIGHT("00"&amp;VALUE(TRIM(LEFT(MID(Sync!$L1230,FIND("/",Sync!$L1230)+1,20),FIND("/",MID(Sync!$L1230,FIND("/",Sync!$L1230)+1,20))-1))),2)&amp;"/"&amp;RIGHT("00"&amp;VALUE(TRIM(MID(MID(Sync!$L1230,FIND("/",Sync!$L1230)+1,20),FIND("/",MID(Sync!$L1230,FIND("/",Sync!$L1230)+1,20))+1,20))),2),"")))</f>
        <v/>
      </c>
    </row>
    <row r="1231">
      <c r="M1231">
        <f>IF(Sync!$M1231&lt;&gt;"پاس چک","",IF(Sync!$P1231="","",Sync!$P1231))</f>
        <v/>
      </c>
      <c r="N1231">
        <f>IF($M1231="","",IF(ISNUMBER(Sync!$L1231),IF(AND(Sync!$L1231&gt;=10000101,Sync!$L1231&lt;=99991231),RIGHT("0000"&amp;INT(Sync!$L1231/10000),4)&amp;"/"&amp;RIGHT("00"&amp;INT(MOD(Sync!$L1231,10000)/100),2)&amp;"/"&amp;RIGHT("00"&amp;MOD(Sync!$L1231,100),2),""),IFERROR(RIGHT("0000"&amp;VALUE(TRIM(LEFT(Sync!$L1231,FIND("/",Sync!$L1231)-1))),4)&amp;"/"&amp;RIGHT("00"&amp;VALUE(TRIM(LEFT(MID(Sync!$L1231,FIND("/",Sync!$L1231)+1,20),FIND("/",MID(Sync!$L1231,FIND("/",Sync!$L1231)+1,20))-1))),2)&amp;"/"&amp;RIGHT("00"&amp;VALUE(TRIM(MID(MID(Sync!$L1231,FIND("/",Sync!$L1231)+1,20),FIND("/",MID(Sync!$L1231,FIND("/",Sync!$L1231)+1,20))+1,20))),2),"")))</f>
        <v/>
      </c>
    </row>
    <row r="1232">
      <c r="M1232">
        <f>IF(Sync!$M1232&lt;&gt;"پاس چک","",IF(Sync!$P1232="","",Sync!$P1232))</f>
        <v/>
      </c>
      <c r="N1232">
        <f>IF($M1232="","",IF(ISNUMBER(Sync!$L1232),IF(AND(Sync!$L1232&gt;=10000101,Sync!$L1232&lt;=99991231),RIGHT("0000"&amp;INT(Sync!$L1232/10000),4)&amp;"/"&amp;RIGHT("00"&amp;INT(MOD(Sync!$L1232,10000)/100),2)&amp;"/"&amp;RIGHT("00"&amp;MOD(Sync!$L1232,100),2),""),IFERROR(RIGHT("0000"&amp;VALUE(TRIM(LEFT(Sync!$L1232,FIND("/",Sync!$L1232)-1))),4)&amp;"/"&amp;RIGHT("00"&amp;VALUE(TRIM(LEFT(MID(Sync!$L1232,FIND("/",Sync!$L1232)+1,20),FIND("/",MID(Sync!$L1232,FIND("/",Sync!$L1232)+1,20))-1))),2)&amp;"/"&amp;RIGHT("00"&amp;VALUE(TRIM(MID(MID(Sync!$L1232,FIND("/",Sync!$L1232)+1,20),FIND("/",MID(Sync!$L1232,FIND("/",Sync!$L1232)+1,20))+1,20))),2),"")))</f>
        <v/>
      </c>
    </row>
    <row r="1233">
      <c r="M1233">
        <f>IF(Sync!$M1233&lt;&gt;"پاس چک","",IF(Sync!$P1233="","",Sync!$P1233))</f>
        <v/>
      </c>
      <c r="N1233">
        <f>IF($M1233="","",IF(ISNUMBER(Sync!$L1233),IF(AND(Sync!$L1233&gt;=10000101,Sync!$L1233&lt;=99991231),RIGHT("0000"&amp;INT(Sync!$L1233/10000),4)&amp;"/"&amp;RIGHT("00"&amp;INT(MOD(Sync!$L1233,10000)/100),2)&amp;"/"&amp;RIGHT("00"&amp;MOD(Sync!$L1233,100),2),""),IFERROR(RIGHT("0000"&amp;VALUE(TRIM(LEFT(Sync!$L1233,FIND("/",Sync!$L1233)-1))),4)&amp;"/"&amp;RIGHT("00"&amp;VALUE(TRIM(LEFT(MID(Sync!$L1233,FIND("/",Sync!$L1233)+1,20),FIND("/",MID(Sync!$L1233,FIND("/",Sync!$L1233)+1,20))-1))),2)&amp;"/"&amp;RIGHT("00"&amp;VALUE(TRIM(MID(MID(Sync!$L1233,FIND("/",Sync!$L1233)+1,20),FIND("/",MID(Sync!$L1233,FIND("/",Sync!$L1233)+1,20))+1,20))),2),"")))</f>
        <v/>
      </c>
    </row>
    <row r="1234">
      <c r="M1234">
        <f>IF(Sync!$M1234&lt;&gt;"پاس چک","",IF(Sync!$P1234="","",Sync!$P1234))</f>
        <v/>
      </c>
      <c r="N1234">
        <f>IF($M1234="","",IF(ISNUMBER(Sync!$L1234),IF(AND(Sync!$L1234&gt;=10000101,Sync!$L1234&lt;=99991231),RIGHT("0000"&amp;INT(Sync!$L1234/10000),4)&amp;"/"&amp;RIGHT("00"&amp;INT(MOD(Sync!$L1234,10000)/100),2)&amp;"/"&amp;RIGHT("00"&amp;MOD(Sync!$L1234,100),2),""),IFERROR(RIGHT("0000"&amp;VALUE(TRIM(LEFT(Sync!$L1234,FIND("/",Sync!$L1234)-1))),4)&amp;"/"&amp;RIGHT("00"&amp;VALUE(TRIM(LEFT(MID(Sync!$L1234,FIND("/",Sync!$L1234)+1,20),FIND("/",MID(Sync!$L1234,FIND("/",Sync!$L1234)+1,20))-1))),2)&amp;"/"&amp;RIGHT("00"&amp;VALUE(TRIM(MID(MID(Sync!$L1234,FIND("/",Sync!$L1234)+1,20),FIND("/",MID(Sync!$L1234,FIND("/",Sync!$L1234)+1,20))+1,20))),2),"")))</f>
        <v/>
      </c>
    </row>
    <row r="1235">
      <c r="M1235">
        <f>IF(Sync!$M1235&lt;&gt;"پاس چک","",IF(Sync!$P1235="","",Sync!$P1235))</f>
        <v/>
      </c>
      <c r="N1235">
        <f>IF($M1235="","",IF(ISNUMBER(Sync!$L1235),IF(AND(Sync!$L1235&gt;=10000101,Sync!$L1235&lt;=99991231),RIGHT("0000"&amp;INT(Sync!$L1235/10000),4)&amp;"/"&amp;RIGHT("00"&amp;INT(MOD(Sync!$L1235,10000)/100),2)&amp;"/"&amp;RIGHT("00"&amp;MOD(Sync!$L1235,100),2),""),IFERROR(RIGHT("0000"&amp;VALUE(TRIM(LEFT(Sync!$L1235,FIND("/",Sync!$L1235)-1))),4)&amp;"/"&amp;RIGHT("00"&amp;VALUE(TRIM(LEFT(MID(Sync!$L1235,FIND("/",Sync!$L1235)+1,20),FIND("/",MID(Sync!$L1235,FIND("/",Sync!$L1235)+1,20))-1))),2)&amp;"/"&amp;RIGHT("00"&amp;VALUE(TRIM(MID(MID(Sync!$L1235,FIND("/",Sync!$L1235)+1,20),FIND("/",MID(Sync!$L1235,FIND("/",Sync!$L1235)+1,20))+1,20))),2),"")))</f>
        <v/>
      </c>
    </row>
    <row r="1236">
      <c r="M1236">
        <f>IF(Sync!$M1236&lt;&gt;"پاس چک","",IF(Sync!$P1236="","",Sync!$P1236))</f>
        <v/>
      </c>
      <c r="N1236">
        <f>IF($M1236="","",IF(ISNUMBER(Sync!$L1236),IF(AND(Sync!$L1236&gt;=10000101,Sync!$L1236&lt;=99991231),RIGHT("0000"&amp;INT(Sync!$L1236/10000),4)&amp;"/"&amp;RIGHT("00"&amp;INT(MOD(Sync!$L1236,10000)/100),2)&amp;"/"&amp;RIGHT("00"&amp;MOD(Sync!$L1236,100),2),""),IFERROR(RIGHT("0000"&amp;VALUE(TRIM(LEFT(Sync!$L1236,FIND("/",Sync!$L1236)-1))),4)&amp;"/"&amp;RIGHT("00"&amp;VALUE(TRIM(LEFT(MID(Sync!$L1236,FIND("/",Sync!$L1236)+1,20),FIND("/",MID(Sync!$L1236,FIND("/",Sync!$L1236)+1,20))-1))),2)&amp;"/"&amp;RIGHT("00"&amp;VALUE(TRIM(MID(MID(Sync!$L1236,FIND("/",Sync!$L1236)+1,20),FIND("/",MID(Sync!$L1236,FIND("/",Sync!$L1236)+1,20))+1,20))),2),"")))</f>
        <v/>
      </c>
    </row>
    <row r="1237">
      <c r="M1237">
        <f>IF(Sync!$M1237&lt;&gt;"پاس چک","",IF(Sync!$P1237="","",Sync!$P1237))</f>
        <v/>
      </c>
      <c r="N1237">
        <f>IF($M1237="","",IF(ISNUMBER(Sync!$L1237),IF(AND(Sync!$L1237&gt;=10000101,Sync!$L1237&lt;=99991231),RIGHT("0000"&amp;INT(Sync!$L1237/10000),4)&amp;"/"&amp;RIGHT("00"&amp;INT(MOD(Sync!$L1237,10000)/100),2)&amp;"/"&amp;RIGHT("00"&amp;MOD(Sync!$L1237,100),2),""),IFERROR(RIGHT("0000"&amp;VALUE(TRIM(LEFT(Sync!$L1237,FIND("/",Sync!$L1237)-1))),4)&amp;"/"&amp;RIGHT("00"&amp;VALUE(TRIM(LEFT(MID(Sync!$L1237,FIND("/",Sync!$L1237)+1,20),FIND("/",MID(Sync!$L1237,FIND("/",Sync!$L1237)+1,20))-1))),2)&amp;"/"&amp;RIGHT("00"&amp;VALUE(TRIM(MID(MID(Sync!$L1237,FIND("/",Sync!$L1237)+1,20),FIND("/",MID(Sync!$L1237,FIND("/",Sync!$L1237)+1,20))+1,20))),2),"")))</f>
        <v/>
      </c>
    </row>
    <row r="1238">
      <c r="M1238">
        <f>IF(Sync!$M1238&lt;&gt;"پاس چک","",IF(Sync!$P1238="","",Sync!$P1238))</f>
        <v/>
      </c>
      <c r="N1238">
        <f>IF($M1238="","",IF(ISNUMBER(Sync!$L1238),IF(AND(Sync!$L1238&gt;=10000101,Sync!$L1238&lt;=99991231),RIGHT("0000"&amp;INT(Sync!$L1238/10000),4)&amp;"/"&amp;RIGHT("00"&amp;INT(MOD(Sync!$L1238,10000)/100),2)&amp;"/"&amp;RIGHT("00"&amp;MOD(Sync!$L1238,100),2),""),IFERROR(RIGHT("0000"&amp;VALUE(TRIM(LEFT(Sync!$L1238,FIND("/",Sync!$L1238)-1))),4)&amp;"/"&amp;RIGHT("00"&amp;VALUE(TRIM(LEFT(MID(Sync!$L1238,FIND("/",Sync!$L1238)+1,20),FIND("/",MID(Sync!$L1238,FIND("/",Sync!$L1238)+1,20))-1))),2)&amp;"/"&amp;RIGHT("00"&amp;VALUE(TRIM(MID(MID(Sync!$L1238,FIND("/",Sync!$L1238)+1,20),FIND("/",MID(Sync!$L1238,FIND("/",Sync!$L1238)+1,20))+1,20))),2),"")))</f>
        <v/>
      </c>
    </row>
    <row r="1239">
      <c r="M1239">
        <f>IF(Sync!$M1239&lt;&gt;"پاس چک","",IF(Sync!$P1239="","",Sync!$P1239))</f>
        <v/>
      </c>
      <c r="N1239">
        <f>IF($M1239="","",IF(ISNUMBER(Sync!$L1239),IF(AND(Sync!$L1239&gt;=10000101,Sync!$L1239&lt;=99991231),RIGHT("0000"&amp;INT(Sync!$L1239/10000),4)&amp;"/"&amp;RIGHT("00"&amp;INT(MOD(Sync!$L1239,10000)/100),2)&amp;"/"&amp;RIGHT("00"&amp;MOD(Sync!$L1239,100),2),""),IFERROR(RIGHT("0000"&amp;VALUE(TRIM(LEFT(Sync!$L1239,FIND("/",Sync!$L1239)-1))),4)&amp;"/"&amp;RIGHT("00"&amp;VALUE(TRIM(LEFT(MID(Sync!$L1239,FIND("/",Sync!$L1239)+1,20),FIND("/",MID(Sync!$L1239,FIND("/",Sync!$L1239)+1,20))-1))),2)&amp;"/"&amp;RIGHT("00"&amp;VALUE(TRIM(MID(MID(Sync!$L1239,FIND("/",Sync!$L1239)+1,20),FIND("/",MID(Sync!$L1239,FIND("/",Sync!$L1239)+1,20))+1,20))),2),"")))</f>
        <v/>
      </c>
    </row>
    <row r="1240">
      <c r="M1240">
        <f>IF(Sync!$M1240&lt;&gt;"پاس چک","",IF(Sync!$P1240="","",Sync!$P1240))</f>
        <v/>
      </c>
      <c r="N1240">
        <f>IF($M1240="","",IF(ISNUMBER(Sync!$L1240),IF(AND(Sync!$L1240&gt;=10000101,Sync!$L1240&lt;=99991231),RIGHT("0000"&amp;INT(Sync!$L1240/10000),4)&amp;"/"&amp;RIGHT("00"&amp;INT(MOD(Sync!$L1240,10000)/100),2)&amp;"/"&amp;RIGHT("00"&amp;MOD(Sync!$L1240,100),2),""),IFERROR(RIGHT("0000"&amp;VALUE(TRIM(LEFT(Sync!$L1240,FIND("/",Sync!$L1240)-1))),4)&amp;"/"&amp;RIGHT("00"&amp;VALUE(TRIM(LEFT(MID(Sync!$L1240,FIND("/",Sync!$L1240)+1,20),FIND("/",MID(Sync!$L1240,FIND("/",Sync!$L1240)+1,20))-1))),2)&amp;"/"&amp;RIGHT("00"&amp;VALUE(TRIM(MID(MID(Sync!$L1240,FIND("/",Sync!$L1240)+1,20),FIND("/",MID(Sync!$L1240,FIND("/",Sync!$L1240)+1,20))+1,20))),2),"")))</f>
        <v/>
      </c>
    </row>
    <row r="1241">
      <c r="M1241">
        <f>IF(Sync!$M1241&lt;&gt;"پاس چک","",IF(Sync!$P1241="","",Sync!$P1241))</f>
        <v/>
      </c>
      <c r="N1241">
        <f>IF($M1241="","",IF(ISNUMBER(Sync!$L1241),IF(AND(Sync!$L1241&gt;=10000101,Sync!$L1241&lt;=99991231),RIGHT("0000"&amp;INT(Sync!$L1241/10000),4)&amp;"/"&amp;RIGHT("00"&amp;INT(MOD(Sync!$L1241,10000)/100),2)&amp;"/"&amp;RIGHT("00"&amp;MOD(Sync!$L1241,100),2),""),IFERROR(RIGHT("0000"&amp;VALUE(TRIM(LEFT(Sync!$L1241,FIND("/",Sync!$L1241)-1))),4)&amp;"/"&amp;RIGHT("00"&amp;VALUE(TRIM(LEFT(MID(Sync!$L1241,FIND("/",Sync!$L1241)+1,20),FIND("/",MID(Sync!$L1241,FIND("/",Sync!$L1241)+1,20))-1))),2)&amp;"/"&amp;RIGHT("00"&amp;VALUE(TRIM(MID(MID(Sync!$L1241,FIND("/",Sync!$L1241)+1,20),FIND("/",MID(Sync!$L1241,FIND("/",Sync!$L1241)+1,20))+1,20))),2),"")))</f>
        <v/>
      </c>
    </row>
    <row r="1242">
      <c r="M1242">
        <f>IF(Sync!$M1242&lt;&gt;"پاس چک","",IF(Sync!$P1242="","",Sync!$P1242))</f>
        <v/>
      </c>
      <c r="N1242">
        <f>IF($M1242="","",IF(ISNUMBER(Sync!$L1242),IF(AND(Sync!$L1242&gt;=10000101,Sync!$L1242&lt;=99991231),RIGHT("0000"&amp;INT(Sync!$L1242/10000),4)&amp;"/"&amp;RIGHT("00"&amp;INT(MOD(Sync!$L1242,10000)/100),2)&amp;"/"&amp;RIGHT("00"&amp;MOD(Sync!$L1242,100),2),""),IFERROR(RIGHT("0000"&amp;VALUE(TRIM(LEFT(Sync!$L1242,FIND("/",Sync!$L1242)-1))),4)&amp;"/"&amp;RIGHT("00"&amp;VALUE(TRIM(LEFT(MID(Sync!$L1242,FIND("/",Sync!$L1242)+1,20),FIND("/",MID(Sync!$L1242,FIND("/",Sync!$L1242)+1,20))-1))),2)&amp;"/"&amp;RIGHT("00"&amp;VALUE(TRIM(MID(MID(Sync!$L1242,FIND("/",Sync!$L1242)+1,20),FIND("/",MID(Sync!$L1242,FIND("/",Sync!$L1242)+1,20))+1,20))),2),"")))</f>
        <v/>
      </c>
    </row>
    <row r="1243">
      <c r="M1243">
        <f>IF(Sync!$M1243&lt;&gt;"پاس چک","",IF(Sync!$P1243="","",Sync!$P1243))</f>
        <v/>
      </c>
      <c r="N1243">
        <f>IF($M1243="","",IF(ISNUMBER(Sync!$L1243),IF(AND(Sync!$L1243&gt;=10000101,Sync!$L1243&lt;=99991231),RIGHT("0000"&amp;INT(Sync!$L1243/10000),4)&amp;"/"&amp;RIGHT("00"&amp;INT(MOD(Sync!$L1243,10000)/100),2)&amp;"/"&amp;RIGHT("00"&amp;MOD(Sync!$L1243,100),2),""),IFERROR(RIGHT("0000"&amp;VALUE(TRIM(LEFT(Sync!$L1243,FIND("/",Sync!$L1243)-1))),4)&amp;"/"&amp;RIGHT("00"&amp;VALUE(TRIM(LEFT(MID(Sync!$L1243,FIND("/",Sync!$L1243)+1,20),FIND("/",MID(Sync!$L1243,FIND("/",Sync!$L1243)+1,20))-1))),2)&amp;"/"&amp;RIGHT("00"&amp;VALUE(TRIM(MID(MID(Sync!$L1243,FIND("/",Sync!$L1243)+1,20),FIND("/",MID(Sync!$L1243,FIND("/",Sync!$L1243)+1,20))+1,20))),2),"")))</f>
        <v/>
      </c>
    </row>
    <row r="1244">
      <c r="M1244">
        <f>IF(Sync!$M1244&lt;&gt;"پاس چک","",IF(Sync!$P1244="","",Sync!$P1244))</f>
        <v/>
      </c>
      <c r="N1244">
        <f>IF($M1244="","",IF(ISNUMBER(Sync!$L1244),IF(AND(Sync!$L1244&gt;=10000101,Sync!$L1244&lt;=99991231),RIGHT("0000"&amp;INT(Sync!$L1244/10000),4)&amp;"/"&amp;RIGHT("00"&amp;INT(MOD(Sync!$L1244,10000)/100),2)&amp;"/"&amp;RIGHT("00"&amp;MOD(Sync!$L1244,100),2),""),IFERROR(RIGHT("0000"&amp;VALUE(TRIM(LEFT(Sync!$L1244,FIND("/",Sync!$L1244)-1))),4)&amp;"/"&amp;RIGHT("00"&amp;VALUE(TRIM(LEFT(MID(Sync!$L1244,FIND("/",Sync!$L1244)+1,20),FIND("/",MID(Sync!$L1244,FIND("/",Sync!$L1244)+1,20))-1))),2)&amp;"/"&amp;RIGHT("00"&amp;VALUE(TRIM(MID(MID(Sync!$L1244,FIND("/",Sync!$L1244)+1,20),FIND("/",MID(Sync!$L1244,FIND("/",Sync!$L1244)+1,20))+1,20))),2),"")))</f>
        <v/>
      </c>
    </row>
    <row r="1245">
      <c r="M1245">
        <f>IF(Sync!$M1245&lt;&gt;"پاس چک","",IF(Sync!$P1245="","",Sync!$P1245))</f>
        <v/>
      </c>
      <c r="N1245">
        <f>IF($M1245="","",IF(ISNUMBER(Sync!$L1245),IF(AND(Sync!$L1245&gt;=10000101,Sync!$L1245&lt;=99991231),RIGHT("0000"&amp;INT(Sync!$L1245/10000),4)&amp;"/"&amp;RIGHT("00"&amp;INT(MOD(Sync!$L1245,10000)/100),2)&amp;"/"&amp;RIGHT("00"&amp;MOD(Sync!$L1245,100),2),""),IFERROR(RIGHT("0000"&amp;VALUE(TRIM(LEFT(Sync!$L1245,FIND("/",Sync!$L1245)-1))),4)&amp;"/"&amp;RIGHT("00"&amp;VALUE(TRIM(LEFT(MID(Sync!$L1245,FIND("/",Sync!$L1245)+1,20),FIND("/",MID(Sync!$L1245,FIND("/",Sync!$L1245)+1,20))-1))),2)&amp;"/"&amp;RIGHT("00"&amp;VALUE(TRIM(MID(MID(Sync!$L1245,FIND("/",Sync!$L1245)+1,20),FIND("/",MID(Sync!$L1245,FIND("/",Sync!$L1245)+1,20))+1,20))),2),"")))</f>
        <v/>
      </c>
    </row>
    <row r="1246">
      <c r="M1246">
        <f>IF(Sync!$M1246&lt;&gt;"پاس چک","",IF(Sync!$P1246="","",Sync!$P1246))</f>
        <v/>
      </c>
      <c r="N1246">
        <f>IF($M1246="","",IF(ISNUMBER(Sync!$L1246),IF(AND(Sync!$L1246&gt;=10000101,Sync!$L1246&lt;=99991231),RIGHT("0000"&amp;INT(Sync!$L1246/10000),4)&amp;"/"&amp;RIGHT("00"&amp;INT(MOD(Sync!$L1246,10000)/100),2)&amp;"/"&amp;RIGHT("00"&amp;MOD(Sync!$L1246,100),2),""),IFERROR(RIGHT("0000"&amp;VALUE(TRIM(LEFT(Sync!$L1246,FIND("/",Sync!$L1246)-1))),4)&amp;"/"&amp;RIGHT("00"&amp;VALUE(TRIM(LEFT(MID(Sync!$L1246,FIND("/",Sync!$L1246)+1,20),FIND("/",MID(Sync!$L1246,FIND("/",Sync!$L1246)+1,20))-1))),2)&amp;"/"&amp;RIGHT("00"&amp;VALUE(TRIM(MID(MID(Sync!$L1246,FIND("/",Sync!$L1246)+1,20),FIND("/",MID(Sync!$L1246,FIND("/",Sync!$L1246)+1,20))+1,20))),2),"")))</f>
        <v/>
      </c>
    </row>
    <row r="1247">
      <c r="M1247">
        <f>IF(Sync!$M1247&lt;&gt;"پاس چک","",IF(Sync!$P1247="","",Sync!$P1247))</f>
        <v/>
      </c>
      <c r="N1247">
        <f>IF($M1247="","",IF(ISNUMBER(Sync!$L1247),IF(AND(Sync!$L1247&gt;=10000101,Sync!$L1247&lt;=99991231),RIGHT("0000"&amp;INT(Sync!$L1247/10000),4)&amp;"/"&amp;RIGHT("00"&amp;INT(MOD(Sync!$L1247,10000)/100),2)&amp;"/"&amp;RIGHT("00"&amp;MOD(Sync!$L1247,100),2),""),IFERROR(RIGHT("0000"&amp;VALUE(TRIM(LEFT(Sync!$L1247,FIND("/",Sync!$L1247)-1))),4)&amp;"/"&amp;RIGHT("00"&amp;VALUE(TRIM(LEFT(MID(Sync!$L1247,FIND("/",Sync!$L1247)+1,20),FIND("/",MID(Sync!$L1247,FIND("/",Sync!$L1247)+1,20))-1))),2)&amp;"/"&amp;RIGHT("00"&amp;VALUE(TRIM(MID(MID(Sync!$L1247,FIND("/",Sync!$L1247)+1,20),FIND("/",MID(Sync!$L1247,FIND("/",Sync!$L1247)+1,20))+1,20))),2),"")))</f>
        <v/>
      </c>
    </row>
    <row r="1248">
      <c r="M1248">
        <f>IF(Sync!$M1248&lt;&gt;"پاس چک","",IF(Sync!$P1248="","",Sync!$P1248))</f>
        <v/>
      </c>
      <c r="N1248">
        <f>IF($M1248="","",IF(ISNUMBER(Sync!$L1248),IF(AND(Sync!$L1248&gt;=10000101,Sync!$L1248&lt;=99991231),RIGHT("0000"&amp;INT(Sync!$L1248/10000),4)&amp;"/"&amp;RIGHT("00"&amp;INT(MOD(Sync!$L1248,10000)/100),2)&amp;"/"&amp;RIGHT("00"&amp;MOD(Sync!$L1248,100),2),""),IFERROR(RIGHT("0000"&amp;VALUE(TRIM(LEFT(Sync!$L1248,FIND("/",Sync!$L1248)-1))),4)&amp;"/"&amp;RIGHT("00"&amp;VALUE(TRIM(LEFT(MID(Sync!$L1248,FIND("/",Sync!$L1248)+1,20),FIND("/",MID(Sync!$L1248,FIND("/",Sync!$L1248)+1,20))-1))),2)&amp;"/"&amp;RIGHT("00"&amp;VALUE(TRIM(MID(MID(Sync!$L1248,FIND("/",Sync!$L1248)+1,20),FIND("/",MID(Sync!$L1248,FIND("/",Sync!$L1248)+1,20))+1,20))),2),"")))</f>
        <v/>
      </c>
    </row>
    <row r="1249">
      <c r="M1249">
        <f>IF(Sync!$M1249&lt;&gt;"پاس چک","",IF(Sync!$P1249="","",Sync!$P1249))</f>
        <v/>
      </c>
      <c r="N1249">
        <f>IF($M1249="","",IF(ISNUMBER(Sync!$L1249),IF(AND(Sync!$L1249&gt;=10000101,Sync!$L1249&lt;=99991231),RIGHT("0000"&amp;INT(Sync!$L1249/10000),4)&amp;"/"&amp;RIGHT("00"&amp;INT(MOD(Sync!$L1249,10000)/100),2)&amp;"/"&amp;RIGHT("00"&amp;MOD(Sync!$L1249,100),2),""),IFERROR(RIGHT("0000"&amp;VALUE(TRIM(LEFT(Sync!$L1249,FIND("/",Sync!$L1249)-1))),4)&amp;"/"&amp;RIGHT("00"&amp;VALUE(TRIM(LEFT(MID(Sync!$L1249,FIND("/",Sync!$L1249)+1,20),FIND("/",MID(Sync!$L1249,FIND("/",Sync!$L1249)+1,20))-1))),2)&amp;"/"&amp;RIGHT("00"&amp;VALUE(TRIM(MID(MID(Sync!$L1249,FIND("/",Sync!$L1249)+1,20),FIND("/",MID(Sync!$L1249,FIND("/",Sync!$L1249)+1,20))+1,20))),2),"")))</f>
        <v/>
      </c>
    </row>
    <row r="1250">
      <c r="M1250">
        <f>IF(Sync!$M1250&lt;&gt;"پاس چک","",IF(Sync!$P1250="","",Sync!$P1250))</f>
        <v/>
      </c>
      <c r="N1250">
        <f>IF($M1250="","",IF(ISNUMBER(Sync!$L1250),IF(AND(Sync!$L1250&gt;=10000101,Sync!$L1250&lt;=99991231),RIGHT("0000"&amp;INT(Sync!$L1250/10000),4)&amp;"/"&amp;RIGHT("00"&amp;INT(MOD(Sync!$L1250,10000)/100),2)&amp;"/"&amp;RIGHT("00"&amp;MOD(Sync!$L1250,100),2),""),IFERROR(RIGHT("0000"&amp;VALUE(TRIM(LEFT(Sync!$L1250,FIND("/",Sync!$L1250)-1))),4)&amp;"/"&amp;RIGHT("00"&amp;VALUE(TRIM(LEFT(MID(Sync!$L1250,FIND("/",Sync!$L1250)+1,20),FIND("/",MID(Sync!$L1250,FIND("/",Sync!$L1250)+1,20))-1))),2)&amp;"/"&amp;RIGHT("00"&amp;VALUE(TRIM(MID(MID(Sync!$L1250,FIND("/",Sync!$L1250)+1,20),FIND("/",MID(Sync!$L1250,FIND("/",Sync!$L1250)+1,20))+1,20))),2),"")))</f>
        <v/>
      </c>
    </row>
    <row r="1251">
      <c r="M1251">
        <f>IF(Sync!$M1251&lt;&gt;"پاس چک","",IF(Sync!$P1251="","",Sync!$P1251))</f>
        <v/>
      </c>
      <c r="N1251">
        <f>IF($M1251="","",IF(ISNUMBER(Sync!$L1251),IF(AND(Sync!$L1251&gt;=10000101,Sync!$L1251&lt;=99991231),RIGHT("0000"&amp;INT(Sync!$L1251/10000),4)&amp;"/"&amp;RIGHT("00"&amp;INT(MOD(Sync!$L1251,10000)/100),2)&amp;"/"&amp;RIGHT("00"&amp;MOD(Sync!$L1251,100),2),""),IFERROR(RIGHT("0000"&amp;VALUE(TRIM(LEFT(Sync!$L1251,FIND("/",Sync!$L1251)-1))),4)&amp;"/"&amp;RIGHT("00"&amp;VALUE(TRIM(LEFT(MID(Sync!$L1251,FIND("/",Sync!$L1251)+1,20),FIND("/",MID(Sync!$L1251,FIND("/",Sync!$L1251)+1,20))-1))),2)&amp;"/"&amp;RIGHT("00"&amp;VALUE(TRIM(MID(MID(Sync!$L1251,FIND("/",Sync!$L1251)+1,20),FIND("/",MID(Sync!$L1251,FIND("/",Sync!$L1251)+1,20))+1,20))),2),"")))</f>
        <v/>
      </c>
    </row>
    <row r="1252">
      <c r="M1252">
        <f>IF(Sync!$M1252&lt;&gt;"پاس چک","",IF(Sync!$P1252="","",Sync!$P1252))</f>
        <v/>
      </c>
      <c r="N1252">
        <f>IF($M1252="","",IF(ISNUMBER(Sync!$L1252),IF(AND(Sync!$L1252&gt;=10000101,Sync!$L1252&lt;=99991231),RIGHT("0000"&amp;INT(Sync!$L1252/10000),4)&amp;"/"&amp;RIGHT("00"&amp;INT(MOD(Sync!$L1252,10000)/100),2)&amp;"/"&amp;RIGHT("00"&amp;MOD(Sync!$L1252,100),2),""),IFERROR(RIGHT("0000"&amp;VALUE(TRIM(LEFT(Sync!$L1252,FIND("/",Sync!$L1252)-1))),4)&amp;"/"&amp;RIGHT("00"&amp;VALUE(TRIM(LEFT(MID(Sync!$L1252,FIND("/",Sync!$L1252)+1,20),FIND("/",MID(Sync!$L1252,FIND("/",Sync!$L1252)+1,20))-1))),2)&amp;"/"&amp;RIGHT("00"&amp;VALUE(TRIM(MID(MID(Sync!$L1252,FIND("/",Sync!$L1252)+1,20),FIND("/",MID(Sync!$L1252,FIND("/",Sync!$L1252)+1,20))+1,20))),2),"")))</f>
        <v/>
      </c>
    </row>
    <row r="1253">
      <c r="M1253">
        <f>IF(Sync!$M1253&lt;&gt;"پاس چک","",IF(Sync!$P1253="","",Sync!$P1253))</f>
        <v/>
      </c>
      <c r="N1253">
        <f>IF($M1253="","",IF(ISNUMBER(Sync!$L1253),IF(AND(Sync!$L1253&gt;=10000101,Sync!$L1253&lt;=99991231),RIGHT("0000"&amp;INT(Sync!$L1253/10000),4)&amp;"/"&amp;RIGHT("00"&amp;INT(MOD(Sync!$L1253,10000)/100),2)&amp;"/"&amp;RIGHT("00"&amp;MOD(Sync!$L1253,100),2),""),IFERROR(RIGHT("0000"&amp;VALUE(TRIM(LEFT(Sync!$L1253,FIND("/",Sync!$L1253)-1))),4)&amp;"/"&amp;RIGHT("00"&amp;VALUE(TRIM(LEFT(MID(Sync!$L1253,FIND("/",Sync!$L1253)+1,20),FIND("/",MID(Sync!$L1253,FIND("/",Sync!$L1253)+1,20))-1))),2)&amp;"/"&amp;RIGHT("00"&amp;VALUE(TRIM(MID(MID(Sync!$L1253,FIND("/",Sync!$L1253)+1,20),FIND("/",MID(Sync!$L1253,FIND("/",Sync!$L1253)+1,20))+1,20))),2),"")))</f>
        <v/>
      </c>
    </row>
    <row r="1254">
      <c r="M1254">
        <f>IF(Sync!$M1254&lt;&gt;"پاس چک","",IF(Sync!$P1254="","",Sync!$P1254))</f>
        <v/>
      </c>
      <c r="N1254">
        <f>IF($M1254="","",IF(ISNUMBER(Sync!$L1254),IF(AND(Sync!$L1254&gt;=10000101,Sync!$L1254&lt;=99991231),RIGHT("0000"&amp;INT(Sync!$L1254/10000),4)&amp;"/"&amp;RIGHT("00"&amp;INT(MOD(Sync!$L1254,10000)/100),2)&amp;"/"&amp;RIGHT("00"&amp;MOD(Sync!$L1254,100),2),""),IFERROR(RIGHT("0000"&amp;VALUE(TRIM(LEFT(Sync!$L1254,FIND("/",Sync!$L1254)-1))),4)&amp;"/"&amp;RIGHT("00"&amp;VALUE(TRIM(LEFT(MID(Sync!$L1254,FIND("/",Sync!$L1254)+1,20),FIND("/",MID(Sync!$L1254,FIND("/",Sync!$L1254)+1,20))-1))),2)&amp;"/"&amp;RIGHT("00"&amp;VALUE(TRIM(MID(MID(Sync!$L1254,FIND("/",Sync!$L1254)+1,20),FIND("/",MID(Sync!$L1254,FIND("/",Sync!$L1254)+1,20))+1,20))),2),"")))</f>
        <v/>
      </c>
    </row>
    <row r="1255">
      <c r="M1255">
        <f>IF(Sync!$M1255&lt;&gt;"پاس چک","",IF(Sync!$P1255="","",Sync!$P1255))</f>
        <v/>
      </c>
      <c r="N1255">
        <f>IF($M1255="","",IF(ISNUMBER(Sync!$L1255),IF(AND(Sync!$L1255&gt;=10000101,Sync!$L1255&lt;=99991231),RIGHT("0000"&amp;INT(Sync!$L1255/10000),4)&amp;"/"&amp;RIGHT("00"&amp;INT(MOD(Sync!$L1255,10000)/100),2)&amp;"/"&amp;RIGHT("00"&amp;MOD(Sync!$L1255,100),2),""),IFERROR(RIGHT("0000"&amp;VALUE(TRIM(LEFT(Sync!$L1255,FIND("/",Sync!$L1255)-1))),4)&amp;"/"&amp;RIGHT("00"&amp;VALUE(TRIM(LEFT(MID(Sync!$L1255,FIND("/",Sync!$L1255)+1,20),FIND("/",MID(Sync!$L1255,FIND("/",Sync!$L1255)+1,20))-1))),2)&amp;"/"&amp;RIGHT("00"&amp;VALUE(TRIM(MID(MID(Sync!$L1255,FIND("/",Sync!$L1255)+1,20),FIND("/",MID(Sync!$L1255,FIND("/",Sync!$L1255)+1,20))+1,20))),2),"")))</f>
        <v/>
      </c>
    </row>
    <row r="1256">
      <c r="M1256">
        <f>IF(Sync!$M1256&lt;&gt;"پاس چک","",IF(Sync!$P1256="","",Sync!$P1256))</f>
        <v/>
      </c>
      <c r="N1256">
        <f>IF($M1256="","",IF(ISNUMBER(Sync!$L1256),IF(AND(Sync!$L1256&gt;=10000101,Sync!$L1256&lt;=99991231),RIGHT("0000"&amp;INT(Sync!$L1256/10000),4)&amp;"/"&amp;RIGHT("00"&amp;INT(MOD(Sync!$L1256,10000)/100),2)&amp;"/"&amp;RIGHT("00"&amp;MOD(Sync!$L1256,100),2),""),IFERROR(RIGHT("0000"&amp;VALUE(TRIM(LEFT(Sync!$L1256,FIND("/",Sync!$L1256)-1))),4)&amp;"/"&amp;RIGHT("00"&amp;VALUE(TRIM(LEFT(MID(Sync!$L1256,FIND("/",Sync!$L1256)+1,20),FIND("/",MID(Sync!$L1256,FIND("/",Sync!$L1256)+1,20))-1))),2)&amp;"/"&amp;RIGHT("00"&amp;VALUE(TRIM(MID(MID(Sync!$L1256,FIND("/",Sync!$L1256)+1,20),FIND("/",MID(Sync!$L1256,FIND("/",Sync!$L1256)+1,20))+1,20))),2),"")))</f>
        <v/>
      </c>
    </row>
    <row r="1257">
      <c r="M1257">
        <f>IF(Sync!$M1257&lt;&gt;"پاس چک","",IF(Sync!$P1257="","",Sync!$P1257))</f>
        <v/>
      </c>
      <c r="N1257">
        <f>IF($M1257="","",IF(ISNUMBER(Sync!$L1257),IF(AND(Sync!$L1257&gt;=10000101,Sync!$L1257&lt;=99991231),RIGHT("0000"&amp;INT(Sync!$L1257/10000),4)&amp;"/"&amp;RIGHT("00"&amp;INT(MOD(Sync!$L1257,10000)/100),2)&amp;"/"&amp;RIGHT("00"&amp;MOD(Sync!$L1257,100),2),""),IFERROR(RIGHT("0000"&amp;VALUE(TRIM(LEFT(Sync!$L1257,FIND("/",Sync!$L1257)-1))),4)&amp;"/"&amp;RIGHT("00"&amp;VALUE(TRIM(LEFT(MID(Sync!$L1257,FIND("/",Sync!$L1257)+1,20),FIND("/",MID(Sync!$L1257,FIND("/",Sync!$L1257)+1,20))-1))),2)&amp;"/"&amp;RIGHT("00"&amp;VALUE(TRIM(MID(MID(Sync!$L1257,FIND("/",Sync!$L1257)+1,20),FIND("/",MID(Sync!$L1257,FIND("/",Sync!$L1257)+1,20))+1,20))),2),"")))</f>
        <v/>
      </c>
    </row>
    <row r="1258">
      <c r="M1258">
        <f>IF(Sync!$M1258&lt;&gt;"پاس چک","",IF(Sync!$P1258="","",Sync!$P1258))</f>
        <v/>
      </c>
      <c r="N1258">
        <f>IF($M1258="","",IF(ISNUMBER(Sync!$L1258),IF(AND(Sync!$L1258&gt;=10000101,Sync!$L1258&lt;=99991231),RIGHT("0000"&amp;INT(Sync!$L1258/10000),4)&amp;"/"&amp;RIGHT("00"&amp;INT(MOD(Sync!$L1258,10000)/100),2)&amp;"/"&amp;RIGHT("00"&amp;MOD(Sync!$L1258,100),2),""),IFERROR(RIGHT("0000"&amp;VALUE(TRIM(LEFT(Sync!$L1258,FIND("/",Sync!$L1258)-1))),4)&amp;"/"&amp;RIGHT("00"&amp;VALUE(TRIM(LEFT(MID(Sync!$L1258,FIND("/",Sync!$L1258)+1,20),FIND("/",MID(Sync!$L1258,FIND("/",Sync!$L1258)+1,20))-1))),2)&amp;"/"&amp;RIGHT("00"&amp;VALUE(TRIM(MID(MID(Sync!$L1258,FIND("/",Sync!$L1258)+1,20),FIND("/",MID(Sync!$L1258,FIND("/",Sync!$L1258)+1,20))+1,20))),2),"")))</f>
        <v/>
      </c>
    </row>
    <row r="1259">
      <c r="M1259">
        <f>IF(Sync!$M1259&lt;&gt;"پاس چک","",IF(Sync!$P1259="","",Sync!$P1259))</f>
        <v/>
      </c>
      <c r="N1259">
        <f>IF($M1259="","",IF(ISNUMBER(Sync!$L1259),IF(AND(Sync!$L1259&gt;=10000101,Sync!$L1259&lt;=99991231),RIGHT("0000"&amp;INT(Sync!$L1259/10000),4)&amp;"/"&amp;RIGHT("00"&amp;INT(MOD(Sync!$L1259,10000)/100),2)&amp;"/"&amp;RIGHT("00"&amp;MOD(Sync!$L1259,100),2),""),IFERROR(RIGHT("0000"&amp;VALUE(TRIM(LEFT(Sync!$L1259,FIND("/",Sync!$L1259)-1))),4)&amp;"/"&amp;RIGHT("00"&amp;VALUE(TRIM(LEFT(MID(Sync!$L1259,FIND("/",Sync!$L1259)+1,20),FIND("/",MID(Sync!$L1259,FIND("/",Sync!$L1259)+1,20))-1))),2)&amp;"/"&amp;RIGHT("00"&amp;VALUE(TRIM(MID(MID(Sync!$L1259,FIND("/",Sync!$L1259)+1,20),FIND("/",MID(Sync!$L1259,FIND("/",Sync!$L1259)+1,20))+1,20))),2),"")))</f>
        <v/>
      </c>
    </row>
    <row r="1260">
      <c r="M1260">
        <f>IF(Sync!$M1260&lt;&gt;"پاس چک","",IF(Sync!$P1260="","",Sync!$P1260))</f>
        <v/>
      </c>
      <c r="N1260">
        <f>IF($M1260="","",IF(ISNUMBER(Sync!$L1260),IF(AND(Sync!$L1260&gt;=10000101,Sync!$L1260&lt;=99991231),RIGHT("0000"&amp;INT(Sync!$L1260/10000),4)&amp;"/"&amp;RIGHT("00"&amp;INT(MOD(Sync!$L1260,10000)/100),2)&amp;"/"&amp;RIGHT("00"&amp;MOD(Sync!$L1260,100),2),""),IFERROR(RIGHT("0000"&amp;VALUE(TRIM(LEFT(Sync!$L1260,FIND("/",Sync!$L1260)-1))),4)&amp;"/"&amp;RIGHT("00"&amp;VALUE(TRIM(LEFT(MID(Sync!$L1260,FIND("/",Sync!$L1260)+1,20),FIND("/",MID(Sync!$L1260,FIND("/",Sync!$L1260)+1,20))-1))),2)&amp;"/"&amp;RIGHT("00"&amp;VALUE(TRIM(MID(MID(Sync!$L1260,FIND("/",Sync!$L1260)+1,20),FIND("/",MID(Sync!$L1260,FIND("/",Sync!$L1260)+1,20))+1,20))),2),"")))</f>
        <v/>
      </c>
    </row>
    <row r="1261">
      <c r="M1261">
        <f>IF(Sync!$M1261&lt;&gt;"پاس چک","",IF(Sync!$P1261="","",Sync!$P1261))</f>
        <v/>
      </c>
      <c r="N1261">
        <f>IF($M1261="","",IF(ISNUMBER(Sync!$L1261),IF(AND(Sync!$L1261&gt;=10000101,Sync!$L1261&lt;=99991231),RIGHT("0000"&amp;INT(Sync!$L1261/10000),4)&amp;"/"&amp;RIGHT("00"&amp;INT(MOD(Sync!$L1261,10000)/100),2)&amp;"/"&amp;RIGHT("00"&amp;MOD(Sync!$L1261,100),2),""),IFERROR(RIGHT("0000"&amp;VALUE(TRIM(LEFT(Sync!$L1261,FIND("/",Sync!$L1261)-1))),4)&amp;"/"&amp;RIGHT("00"&amp;VALUE(TRIM(LEFT(MID(Sync!$L1261,FIND("/",Sync!$L1261)+1,20),FIND("/",MID(Sync!$L1261,FIND("/",Sync!$L1261)+1,20))-1))),2)&amp;"/"&amp;RIGHT("00"&amp;VALUE(TRIM(MID(MID(Sync!$L1261,FIND("/",Sync!$L1261)+1,20),FIND("/",MID(Sync!$L1261,FIND("/",Sync!$L1261)+1,20))+1,20))),2),"")))</f>
        <v/>
      </c>
    </row>
    <row r="1262">
      <c r="M1262">
        <f>IF(Sync!$M1262&lt;&gt;"پاس چک","",IF(Sync!$P1262="","",Sync!$P1262))</f>
        <v/>
      </c>
      <c r="N1262">
        <f>IF($M1262="","",IF(ISNUMBER(Sync!$L1262),IF(AND(Sync!$L1262&gt;=10000101,Sync!$L1262&lt;=99991231),RIGHT("0000"&amp;INT(Sync!$L1262/10000),4)&amp;"/"&amp;RIGHT("00"&amp;INT(MOD(Sync!$L1262,10000)/100),2)&amp;"/"&amp;RIGHT("00"&amp;MOD(Sync!$L1262,100),2),""),IFERROR(RIGHT("0000"&amp;VALUE(TRIM(LEFT(Sync!$L1262,FIND("/",Sync!$L1262)-1))),4)&amp;"/"&amp;RIGHT("00"&amp;VALUE(TRIM(LEFT(MID(Sync!$L1262,FIND("/",Sync!$L1262)+1,20),FIND("/",MID(Sync!$L1262,FIND("/",Sync!$L1262)+1,20))-1))),2)&amp;"/"&amp;RIGHT("00"&amp;VALUE(TRIM(MID(MID(Sync!$L1262,FIND("/",Sync!$L1262)+1,20),FIND("/",MID(Sync!$L1262,FIND("/",Sync!$L1262)+1,20))+1,20))),2),"")))</f>
        <v/>
      </c>
    </row>
    <row r="1263">
      <c r="M1263">
        <f>IF(Sync!$M1263&lt;&gt;"پاس چک","",IF(Sync!$P1263="","",Sync!$P1263))</f>
        <v/>
      </c>
      <c r="N1263">
        <f>IF($M1263="","",IF(ISNUMBER(Sync!$L1263),IF(AND(Sync!$L1263&gt;=10000101,Sync!$L1263&lt;=99991231),RIGHT("0000"&amp;INT(Sync!$L1263/10000),4)&amp;"/"&amp;RIGHT("00"&amp;INT(MOD(Sync!$L1263,10000)/100),2)&amp;"/"&amp;RIGHT("00"&amp;MOD(Sync!$L1263,100),2),""),IFERROR(RIGHT("0000"&amp;VALUE(TRIM(LEFT(Sync!$L1263,FIND("/",Sync!$L1263)-1))),4)&amp;"/"&amp;RIGHT("00"&amp;VALUE(TRIM(LEFT(MID(Sync!$L1263,FIND("/",Sync!$L1263)+1,20),FIND("/",MID(Sync!$L1263,FIND("/",Sync!$L1263)+1,20))-1))),2)&amp;"/"&amp;RIGHT("00"&amp;VALUE(TRIM(MID(MID(Sync!$L1263,FIND("/",Sync!$L1263)+1,20),FIND("/",MID(Sync!$L1263,FIND("/",Sync!$L1263)+1,20))+1,20))),2),"")))</f>
        <v/>
      </c>
    </row>
    <row r="1264">
      <c r="M1264">
        <f>IF(Sync!$M1264&lt;&gt;"پاس چک","",IF(Sync!$P1264="","",Sync!$P1264))</f>
        <v/>
      </c>
      <c r="N1264">
        <f>IF($M1264="","",IF(ISNUMBER(Sync!$L1264),IF(AND(Sync!$L1264&gt;=10000101,Sync!$L1264&lt;=99991231),RIGHT("0000"&amp;INT(Sync!$L1264/10000),4)&amp;"/"&amp;RIGHT("00"&amp;INT(MOD(Sync!$L1264,10000)/100),2)&amp;"/"&amp;RIGHT("00"&amp;MOD(Sync!$L1264,100),2),""),IFERROR(RIGHT("0000"&amp;VALUE(TRIM(LEFT(Sync!$L1264,FIND("/",Sync!$L1264)-1))),4)&amp;"/"&amp;RIGHT("00"&amp;VALUE(TRIM(LEFT(MID(Sync!$L1264,FIND("/",Sync!$L1264)+1,20),FIND("/",MID(Sync!$L1264,FIND("/",Sync!$L1264)+1,20))-1))),2)&amp;"/"&amp;RIGHT("00"&amp;VALUE(TRIM(MID(MID(Sync!$L1264,FIND("/",Sync!$L1264)+1,20),FIND("/",MID(Sync!$L1264,FIND("/",Sync!$L1264)+1,20))+1,20))),2),"")))</f>
        <v/>
      </c>
    </row>
    <row r="1265">
      <c r="M1265">
        <f>IF(Sync!$M1265&lt;&gt;"پاس چک","",IF(Sync!$P1265="","",Sync!$P1265))</f>
        <v/>
      </c>
      <c r="N1265">
        <f>IF($M1265="","",IF(ISNUMBER(Sync!$L1265),IF(AND(Sync!$L1265&gt;=10000101,Sync!$L1265&lt;=99991231),RIGHT("0000"&amp;INT(Sync!$L1265/10000),4)&amp;"/"&amp;RIGHT("00"&amp;INT(MOD(Sync!$L1265,10000)/100),2)&amp;"/"&amp;RIGHT("00"&amp;MOD(Sync!$L1265,100),2),""),IFERROR(RIGHT("0000"&amp;VALUE(TRIM(LEFT(Sync!$L1265,FIND("/",Sync!$L1265)-1))),4)&amp;"/"&amp;RIGHT("00"&amp;VALUE(TRIM(LEFT(MID(Sync!$L1265,FIND("/",Sync!$L1265)+1,20),FIND("/",MID(Sync!$L1265,FIND("/",Sync!$L1265)+1,20))-1))),2)&amp;"/"&amp;RIGHT("00"&amp;VALUE(TRIM(MID(MID(Sync!$L1265,FIND("/",Sync!$L1265)+1,20),FIND("/",MID(Sync!$L1265,FIND("/",Sync!$L1265)+1,20))+1,20))),2),"")))</f>
        <v/>
      </c>
    </row>
    <row r="1266">
      <c r="M1266">
        <f>IF(Sync!$M1266&lt;&gt;"پاس چک","",IF(Sync!$P1266="","",Sync!$P1266))</f>
        <v/>
      </c>
      <c r="N1266">
        <f>IF($M1266="","",IF(ISNUMBER(Sync!$L1266),IF(AND(Sync!$L1266&gt;=10000101,Sync!$L1266&lt;=99991231),RIGHT("0000"&amp;INT(Sync!$L1266/10000),4)&amp;"/"&amp;RIGHT("00"&amp;INT(MOD(Sync!$L1266,10000)/100),2)&amp;"/"&amp;RIGHT("00"&amp;MOD(Sync!$L1266,100),2),""),IFERROR(RIGHT("0000"&amp;VALUE(TRIM(LEFT(Sync!$L1266,FIND("/",Sync!$L1266)-1))),4)&amp;"/"&amp;RIGHT("00"&amp;VALUE(TRIM(LEFT(MID(Sync!$L1266,FIND("/",Sync!$L1266)+1,20),FIND("/",MID(Sync!$L1266,FIND("/",Sync!$L1266)+1,20))-1))),2)&amp;"/"&amp;RIGHT("00"&amp;VALUE(TRIM(MID(MID(Sync!$L1266,FIND("/",Sync!$L1266)+1,20),FIND("/",MID(Sync!$L1266,FIND("/",Sync!$L1266)+1,20))+1,20))),2),"")))</f>
        <v/>
      </c>
    </row>
    <row r="1267">
      <c r="M1267">
        <f>IF(Sync!$M1267&lt;&gt;"پاس چک","",IF(Sync!$P1267="","",Sync!$P1267))</f>
        <v/>
      </c>
      <c r="N1267">
        <f>IF($M1267="","",IF(ISNUMBER(Sync!$L1267),IF(AND(Sync!$L1267&gt;=10000101,Sync!$L1267&lt;=99991231),RIGHT("0000"&amp;INT(Sync!$L1267/10000),4)&amp;"/"&amp;RIGHT("00"&amp;INT(MOD(Sync!$L1267,10000)/100),2)&amp;"/"&amp;RIGHT("00"&amp;MOD(Sync!$L1267,100),2),""),IFERROR(RIGHT("0000"&amp;VALUE(TRIM(LEFT(Sync!$L1267,FIND("/",Sync!$L1267)-1))),4)&amp;"/"&amp;RIGHT("00"&amp;VALUE(TRIM(LEFT(MID(Sync!$L1267,FIND("/",Sync!$L1267)+1,20),FIND("/",MID(Sync!$L1267,FIND("/",Sync!$L1267)+1,20))-1))),2)&amp;"/"&amp;RIGHT("00"&amp;VALUE(TRIM(MID(MID(Sync!$L1267,FIND("/",Sync!$L1267)+1,20),FIND("/",MID(Sync!$L1267,FIND("/",Sync!$L1267)+1,20))+1,20))),2),"")))</f>
        <v/>
      </c>
    </row>
    <row r="1268">
      <c r="M1268">
        <f>IF(Sync!$M1268&lt;&gt;"پاس چک","",IF(Sync!$P1268="","",Sync!$P1268))</f>
        <v/>
      </c>
      <c r="N1268">
        <f>IF($M1268="","",IF(ISNUMBER(Sync!$L1268),IF(AND(Sync!$L1268&gt;=10000101,Sync!$L1268&lt;=99991231),RIGHT("0000"&amp;INT(Sync!$L1268/10000),4)&amp;"/"&amp;RIGHT("00"&amp;INT(MOD(Sync!$L1268,10000)/100),2)&amp;"/"&amp;RIGHT("00"&amp;MOD(Sync!$L1268,100),2),""),IFERROR(RIGHT("0000"&amp;VALUE(TRIM(LEFT(Sync!$L1268,FIND("/",Sync!$L1268)-1))),4)&amp;"/"&amp;RIGHT("00"&amp;VALUE(TRIM(LEFT(MID(Sync!$L1268,FIND("/",Sync!$L1268)+1,20),FIND("/",MID(Sync!$L1268,FIND("/",Sync!$L1268)+1,20))-1))),2)&amp;"/"&amp;RIGHT("00"&amp;VALUE(TRIM(MID(MID(Sync!$L1268,FIND("/",Sync!$L1268)+1,20),FIND("/",MID(Sync!$L1268,FIND("/",Sync!$L1268)+1,20))+1,20))),2),"")))</f>
        <v/>
      </c>
    </row>
    <row r="1269">
      <c r="M1269">
        <f>IF(Sync!$M1269&lt;&gt;"پاس چک","",IF(Sync!$P1269="","",Sync!$P1269))</f>
        <v/>
      </c>
      <c r="N1269">
        <f>IF($M1269="","",IF(ISNUMBER(Sync!$L1269),IF(AND(Sync!$L1269&gt;=10000101,Sync!$L1269&lt;=99991231),RIGHT("0000"&amp;INT(Sync!$L1269/10000),4)&amp;"/"&amp;RIGHT("00"&amp;INT(MOD(Sync!$L1269,10000)/100),2)&amp;"/"&amp;RIGHT("00"&amp;MOD(Sync!$L1269,100),2),""),IFERROR(RIGHT("0000"&amp;VALUE(TRIM(LEFT(Sync!$L1269,FIND("/",Sync!$L1269)-1))),4)&amp;"/"&amp;RIGHT("00"&amp;VALUE(TRIM(LEFT(MID(Sync!$L1269,FIND("/",Sync!$L1269)+1,20),FIND("/",MID(Sync!$L1269,FIND("/",Sync!$L1269)+1,20))-1))),2)&amp;"/"&amp;RIGHT("00"&amp;VALUE(TRIM(MID(MID(Sync!$L1269,FIND("/",Sync!$L1269)+1,20),FIND("/",MID(Sync!$L1269,FIND("/",Sync!$L1269)+1,20))+1,20))),2),"")))</f>
        <v/>
      </c>
    </row>
    <row r="1270">
      <c r="M1270">
        <f>IF(Sync!$M1270&lt;&gt;"پاس چک","",IF(Sync!$P1270="","",Sync!$P1270))</f>
        <v/>
      </c>
      <c r="N1270">
        <f>IF($M1270="","",IF(ISNUMBER(Sync!$L1270),IF(AND(Sync!$L1270&gt;=10000101,Sync!$L1270&lt;=99991231),RIGHT("0000"&amp;INT(Sync!$L1270/10000),4)&amp;"/"&amp;RIGHT("00"&amp;INT(MOD(Sync!$L1270,10000)/100),2)&amp;"/"&amp;RIGHT("00"&amp;MOD(Sync!$L1270,100),2),""),IFERROR(RIGHT("0000"&amp;VALUE(TRIM(LEFT(Sync!$L1270,FIND("/",Sync!$L1270)-1))),4)&amp;"/"&amp;RIGHT("00"&amp;VALUE(TRIM(LEFT(MID(Sync!$L1270,FIND("/",Sync!$L1270)+1,20),FIND("/",MID(Sync!$L1270,FIND("/",Sync!$L1270)+1,20))-1))),2)&amp;"/"&amp;RIGHT("00"&amp;VALUE(TRIM(MID(MID(Sync!$L1270,FIND("/",Sync!$L1270)+1,20),FIND("/",MID(Sync!$L1270,FIND("/",Sync!$L1270)+1,20))+1,20))),2),"")))</f>
        <v/>
      </c>
    </row>
    <row r="1271">
      <c r="M1271">
        <f>IF(Sync!$M1271&lt;&gt;"پاس چک","",IF(Sync!$P1271="","",Sync!$P1271))</f>
        <v/>
      </c>
      <c r="N1271">
        <f>IF($M1271="","",IF(ISNUMBER(Sync!$L1271),IF(AND(Sync!$L1271&gt;=10000101,Sync!$L1271&lt;=99991231),RIGHT("0000"&amp;INT(Sync!$L1271/10000),4)&amp;"/"&amp;RIGHT("00"&amp;INT(MOD(Sync!$L1271,10000)/100),2)&amp;"/"&amp;RIGHT("00"&amp;MOD(Sync!$L1271,100),2),""),IFERROR(RIGHT("0000"&amp;VALUE(TRIM(LEFT(Sync!$L1271,FIND("/",Sync!$L1271)-1))),4)&amp;"/"&amp;RIGHT("00"&amp;VALUE(TRIM(LEFT(MID(Sync!$L1271,FIND("/",Sync!$L1271)+1,20),FIND("/",MID(Sync!$L1271,FIND("/",Sync!$L1271)+1,20))-1))),2)&amp;"/"&amp;RIGHT("00"&amp;VALUE(TRIM(MID(MID(Sync!$L1271,FIND("/",Sync!$L1271)+1,20),FIND("/",MID(Sync!$L1271,FIND("/",Sync!$L1271)+1,20))+1,20))),2),"")))</f>
        <v/>
      </c>
    </row>
    <row r="1272">
      <c r="M1272">
        <f>IF(Sync!$M1272&lt;&gt;"پاس چک","",IF(Sync!$P1272="","",Sync!$P1272))</f>
        <v/>
      </c>
      <c r="N1272">
        <f>IF($M1272="","",IF(ISNUMBER(Sync!$L1272),IF(AND(Sync!$L1272&gt;=10000101,Sync!$L1272&lt;=99991231),RIGHT("0000"&amp;INT(Sync!$L1272/10000),4)&amp;"/"&amp;RIGHT("00"&amp;INT(MOD(Sync!$L1272,10000)/100),2)&amp;"/"&amp;RIGHT("00"&amp;MOD(Sync!$L1272,100),2),""),IFERROR(RIGHT("0000"&amp;VALUE(TRIM(LEFT(Sync!$L1272,FIND("/",Sync!$L1272)-1))),4)&amp;"/"&amp;RIGHT("00"&amp;VALUE(TRIM(LEFT(MID(Sync!$L1272,FIND("/",Sync!$L1272)+1,20),FIND("/",MID(Sync!$L1272,FIND("/",Sync!$L1272)+1,20))-1))),2)&amp;"/"&amp;RIGHT("00"&amp;VALUE(TRIM(MID(MID(Sync!$L1272,FIND("/",Sync!$L1272)+1,20),FIND("/",MID(Sync!$L1272,FIND("/",Sync!$L1272)+1,20))+1,20))),2),"")))</f>
        <v/>
      </c>
    </row>
    <row r="1273">
      <c r="M1273">
        <f>IF(Sync!$M1273&lt;&gt;"پاس چک","",IF(Sync!$P1273="","",Sync!$P1273))</f>
        <v/>
      </c>
      <c r="N1273">
        <f>IF($M1273="","",IF(ISNUMBER(Sync!$L1273),IF(AND(Sync!$L1273&gt;=10000101,Sync!$L1273&lt;=99991231),RIGHT("0000"&amp;INT(Sync!$L1273/10000),4)&amp;"/"&amp;RIGHT("00"&amp;INT(MOD(Sync!$L1273,10000)/100),2)&amp;"/"&amp;RIGHT("00"&amp;MOD(Sync!$L1273,100),2),""),IFERROR(RIGHT("0000"&amp;VALUE(TRIM(LEFT(Sync!$L1273,FIND("/",Sync!$L1273)-1))),4)&amp;"/"&amp;RIGHT("00"&amp;VALUE(TRIM(LEFT(MID(Sync!$L1273,FIND("/",Sync!$L1273)+1,20),FIND("/",MID(Sync!$L1273,FIND("/",Sync!$L1273)+1,20))-1))),2)&amp;"/"&amp;RIGHT("00"&amp;VALUE(TRIM(MID(MID(Sync!$L1273,FIND("/",Sync!$L1273)+1,20),FIND("/",MID(Sync!$L1273,FIND("/",Sync!$L1273)+1,20))+1,20))),2),"")))</f>
        <v/>
      </c>
    </row>
    <row r="1274">
      <c r="M1274">
        <f>IF(Sync!$M1274&lt;&gt;"پاس چک","",IF(Sync!$P1274="","",Sync!$P1274))</f>
        <v/>
      </c>
      <c r="N1274">
        <f>IF($M1274="","",IF(ISNUMBER(Sync!$L1274),IF(AND(Sync!$L1274&gt;=10000101,Sync!$L1274&lt;=99991231),RIGHT("0000"&amp;INT(Sync!$L1274/10000),4)&amp;"/"&amp;RIGHT("00"&amp;INT(MOD(Sync!$L1274,10000)/100),2)&amp;"/"&amp;RIGHT("00"&amp;MOD(Sync!$L1274,100),2),""),IFERROR(RIGHT("0000"&amp;VALUE(TRIM(LEFT(Sync!$L1274,FIND("/",Sync!$L1274)-1))),4)&amp;"/"&amp;RIGHT("00"&amp;VALUE(TRIM(LEFT(MID(Sync!$L1274,FIND("/",Sync!$L1274)+1,20),FIND("/",MID(Sync!$L1274,FIND("/",Sync!$L1274)+1,20))-1))),2)&amp;"/"&amp;RIGHT("00"&amp;VALUE(TRIM(MID(MID(Sync!$L1274,FIND("/",Sync!$L1274)+1,20),FIND("/",MID(Sync!$L1274,FIND("/",Sync!$L1274)+1,20))+1,20))),2),"")))</f>
        <v/>
      </c>
    </row>
    <row r="1275">
      <c r="M1275">
        <f>IF(Sync!$M1275&lt;&gt;"پاس چک","",IF(Sync!$P1275="","",Sync!$P1275))</f>
        <v/>
      </c>
      <c r="N1275">
        <f>IF($M1275="","",IF(ISNUMBER(Sync!$L1275),IF(AND(Sync!$L1275&gt;=10000101,Sync!$L1275&lt;=99991231),RIGHT("0000"&amp;INT(Sync!$L1275/10000),4)&amp;"/"&amp;RIGHT("00"&amp;INT(MOD(Sync!$L1275,10000)/100),2)&amp;"/"&amp;RIGHT("00"&amp;MOD(Sync!$L1275,100),2),""),IFERROR(RIGHT("0000"&amp;VALUE(TRIM(LEFT(Sync!$L1275,FIND("/",Sync!$L1275)-1))),4)&amp;"/"&amp;RIGHT("00"&amp;VALUE(TRIM(LEFT(MID(Sync!$L1275,FIND("/",Sync!$L1275)+1,20),FIND("/",MID(Sync!$L1275,FIND("/",Sync!$L1275)+1,20))-1))),2)&amp;"/"&amp;RIGHT("00"&amp;VALUE(TRIM(MID(MID(Sync!$L1275,FIND("/",Sync!$L1275)+1,20),FIND("/",MID(Sync!$L1275,FIND("/",Sync!$L1275)+1,20))+1,20))),2),"")))</f>
        <v/>
      </c>
    </row>
    <row r="1276">
      <c r="M1276">
        <f>IF(Sync!$M1276&lt;&gt;"پاس چک","",IF(Sync!$P1276="","",Sync!$P1276))</f>
        <v/>
      </c>
      <c r="N1276">
        <f>IF($M1276="","",IF(ISNUMBER(Sync!$L1276),IF(AND(Sync!$L1276&gt;=10000101,Sync!$L1276&lt;=99991231),RIGHT("0000"&amp;INT(Sync!$L1276/10000),4)&amp;"/"&amp;RIGHT("00"&amp;INT(MOD(Sync!$L1276,10000)/100),2)&amp;"/"&amp;RIGHT("00"&amp;MOD(Sync!$L1276,100),2),""),IFERROR(RIGHT("0000"&amp;VALUE(TRIM(LEFT(Sync!$L1276,FIND("/",Sync!$L1276)-1))),4)&amp;"/"&amp;RIGHT("00"&amp;VALUE(TRIM(LEFT(MID(Sync!$L1276,FIND("/",Sync!$L1276)+1,20),FIND("/",MID(Sync!$L1276,FIND("/",Sync!$L1276)+1,20))-1))),2)&amp;"/"&amp;RIGHT("00"&amp;VALUE(TRIM(MID(MID(Sync!$L1276,FIND("/",Sync!$L1276)+1,20),FIND("/",MID(Sync!$L1276,FIND("/",Sync!$L1276)+1,20))+1,20))),2),"")))</f>
        <v/>
      </c>
    </row>
    <row r="1277">
      <c r="M1277">
        <f>IF(Sync!$M1277&lt;&gt;"پاس چک","",IF(Sync!$P1277="","",Sync!$P1277))</f>
        <v/>
      </c>
      <c r="N1277">
        <f>IF($M1277="","",IF(ISNUMBER(Sync!$L1277),IF(AND(Sync!$L1277&gt;=10000101,Sync!$L1277&lt;=99991231),RIGHT("0000"&amp;INT(Sync!$L1277/10000),4)&amp;"/"&amp;RIGHT("00"&amp;INT(MOD(Sync!$L1277,10000)/100),2)&amp;"/"&amp;RIGHT("00"&amp;MOD(Sync!$L1277,100),2),""),IFERROR(RIGHT("0000"&amp;VALUE(TRIM(LEFT(Sync!$L1277,FIND("/",Sync!$L1277)-1))),4)&amp;"/"&amp;RIGHT("00"&amp;VALUE(TRIM(LEFT(MID(Sync!$L1277,FIND("/",Sync!$L1277)+1,20),FIND("/",MID(Sync!$L1277,FIND("/",Sync!$L1277)+1,20))-1))),2)&amp;"/"&amp;RIGHT("00"&amp;VALUE(TRIM(MID(MID(Sync!$L1277,FIND("/",Sync!$L1277)+1,20),FIND("/",MID(Sync!$L1277,FIND("/",Sync!$L1277)+1,20))+1,20))),2),"")))</f>
        <v/>
      </c>
    </row>
    <row r="1278">
      <c r="M1278">
        <f>IF(Sync!$M1278&lt;&gt;"پاس چک","",IF(Sync!$P1278="","",Sync!$P1278))</f>
        <v/>
      </c>
      <c r="N1278">
        <f>IF($M1278="","",IF(ISNUMBER(Sync!$L1278),IF(AND(Sync!$L1278&gt;=10000101,Sync!$L1278&lt;=99991231),RIGHT("0000"&amp;INT(Sync!$L1278/10000),4)&amp;"/"&amp;RIGHT("00"&amp;INT(MOD(Sync!$L1278,10000)/100),2)&amp;"/"&amp;RIGHT("00"&amp;MOD(Sync!$L1278,100),2),""),IFERROR(RIGHT("0000"&amp;VALUE(TRIM(LEFT(Sync!$L1278,FIND("/",Sync!$L1278)-1))),4)&amp;"/"&amp;RIGHT("00"&amp;VALUE(TRIM(LEFT(MID(Sync!$L1278,FIND("/",Sync!$L1278)+1,20),FIND("/",MID(Sync!$L1278,FIND("/",Sync!$L1278)+1,20))-1))),2)&amp;"/"&amp;RIGHT("00"&amp;VALUE(TRIM(MID(MID(Sync!$L1278,FIND("/",Sync!$L1278)+1,20),FIND("/",MID(Sync!$L1278,FIND("/",Sync!$L1278)+1,20))+1,20))),2),"")))</f>
        <v/>
      </c>
    </row>
    <row r="1279">
      <c r="M1279">
        <f>IF(Sync!$M1279&lt;&gt;"پاس چک","",IF(Sync!$P1279="","",Sync!$P1279))</f>
        <v/>
      </c>
      <c r="N1279">
        <f>IF($M1279="","",IF(ISNUMBER(Sync!$L1279),IF(AND(Sync!$L1279&gt;=10000101,Sync!$L1279&lt;=99991231),RIGHT("0000"&amp;INT(Sync!$L1279/10000),4)&amp;"/"&amp;RIGHT("00"&amp;INT(MOD(Sync!$L1279,10000)/100),2)&amp;"/"&amp;RIGHT("00"&amp;MOD(Sync!$L1279,100),2),""),IFERROR(RIGHT("0000"&amp;VALUE(TRIM(LEFT(Sync!$L1279,FIND("/",Sync!$L1279)-1))),4)&amp;"/"&amp;RIGHT("00"&amp;VALUE(TRIM(LEFT(MID(Sync!$L1279,FIND("/",Sync!$L1279)+1,20),FIND("/",MID(Sync!$L1279,FIND("/",Sync!$L1279)+1,20))-1))),2)&amp;"/"&amp;RIGHT("00"&amp;VALUE(TRIM(MID(MID(Sync!$L1279,FIND("/",Sync!$L1279)+1,20),FIND("/",MID(Sync!$L1279,FIND("/",Sync!$L1279)+1,20))+1,20))),2),"")))</f>
        <v/>
      </c>
    </row>
    <row r="1280">
      <c r="M1280">
        <f>IF(Sync!$M1280&lt;&gt;"پاس چک","",IF(Sync!$P1280="","",Sync!$P1280))</f>
        <v/>
      </c>
      <c r="N1280">
        <f>IF($M1280="","",IF(ISNUMBER(Sync!$L1280),IF(AND(Sync!$L1280&gt;=10000101,Sync!$L1280&lt;=99991231),RIGHT("0000"&amp;INT(Sync!$L1280/10000),4)&amp;"/"&amp;RIGHT("00"&amp;INT(MOD(Sync!$L1280,10000)/100),2)&amp;"/"&amp;RIGHT("00"&amp;MOD(Sync!$L1280,100),2),""),IFERROR(RIGHT("0000"&amp;VALUE(TRIM(LEFT(Sync!$L1280,FIND("/",Sync!$L1280)-1))),4)&amp;"/"&amp;RIGHT("00"&amp;VALUE(TRIM(LEFT(MID(Sync!$L1280,FIND("/",Sync!$L1280)+1,20),FIND("/",MID(Sync!$L1280,FIND("/",Sync!$L1280)+1,20))-1))),2)&amp;"/"&amp;RIGHT("00"&amp;VALUE(TRIM(MID(MID(Sync!$L1280,FIND("/",Sync!$L1280)+1,20),FIND("/",MID(Sync!$L1280,FIND("/",Sync!$L1280)+1,20))+1,20))),2),"")))</f>
        <v/>
      </c>
    </row>
    <row r="1281">
      <c r="M1281">
        <f>IF(Sync!$M1281&lt;&gt;"پاس چک","",IF(Sync!$P1281="","",Sync!$P1281))</f>
        <v/>
      </c>
      <c r="N1281">
        <f>IF($M1281="","",IF(ISNUMBER(Sync!$L1281),IF(AND(Sync!$L1281&gt;=10000101,Sync!$L1281&lt;=99991231),RIGHT("0000"&amp;INT(Sync!$L1281/10000),4)&amp;"/"&amp;RIGHT("00"&amp;INT(MOD(Sync!$L1281,10000)/100),2)&amp;"/"&amp;RIGHT("00"&amp;MOD(Sync!$L1281,100),2),""),IFERROR(RIGHT("0000"&amp;VALUE(TRIM(LEFT(Sync!$L1281,FIND("/",Sync!$L1281)-1))),4)&amp;"/"&amp;RIGHT("00"&amp;VALUE(TRIM(LEFT(MID(Sync!$L1281,FIND("/",Sync!$L1281)+1,20),FIND("/",MID(Sync!$L1281,FIND("/",Sync!$L1281)+1,20))-1))),2)&amp;"/"&amp;RIGHT("00"&amp;VALUE(TRIM(MID(MID(Sync!$L1281,FIND("/",Sync!$L1281)+1,20),FIND("/",MID(Sync!$L1281,FIND("/",Sync!$L1281)+1,20))+1,20))),2),"")))</f>
        <v/>
      </c>
    </row>
    <row r="1282">
      <c r="M1282">
        <f>IF(Sync!$M1282&lt;&gt;"پاس چک","",IF(Sync!$P1282="","",Sync!$P1282))</f>
        <v/>
      </c>
      <c r="N1282">
        <f>IF($M1282="","",IF(ISNUMBER(Sync!$L1282),IF(AND(Sync!$L1282&gt;=10000101,Sync!$L1282&lt;=99991231),RIGHT("0000"&amp;INT(Sync!$L1282/10000),4)&amp;"/"&amp;RIGHT("00"&amp;INT(MOD(Sync!$L1282,10000)/100),2)&amp;"/"&amp;RIGHT("00"&amp;MOD(Sync!$L1282,100),2),""),IFERROR(RIGHT("0000"&amp;VALUE(TRIM(LEFT(Sync!$L1282,FIND("/",Sync!$L1282)-1))),4)&amp;"/"&amp;RIGHT("00"&amp;VALUE(TRIM(LEFT(MID(Sync!$L1282,FIND("/",Sync!$L1282)+1,20),FIND("/",MID(Sync!$L1282,FIND("/",Sync!$L1282)+1,20))-1))),2)&amp;"/"&amp;RIGHT("00"&amp;VALUE(TRIM(MID(MID(Sync!$L1282,FIND("/",Sync!$L1282)+1,20),FIND("/",MID(Sync!$L1282,FIND("/",Sync!$L1282)+1,20))+1,20))),2),"")))</f>
        <v/>
      </c>
    </row>
    <row r="1283">
      <c r="M1283">
        <f>IF(Sync!$M1283&lt;&gt;"پاس چک","",IF(Sync!$P1283="","",Sync!$P1283))</f>
        <v/>
      </c>
      <c r="N1283">
        <f>IF($M1283="","",IF(ISNUMBER(Sync!$L1283),IF(AND(Sync!$L1283&gt;=10000101,Sync!$L1283&lt;=99991231),RIGHT("0000"&amp;INT(Sync!$L1283/10000),4)&amp;"/"&amp;RIGHT("00"&amp;INT(MOD(Sync!$L1283,10000)/100),2)&amp;"/"&amp;RIGHT("00"&amp;MOD(Sync!$L1283,100),2),""),IFERROR(RIGHT("0000"&amp;VALUE(TRIM(LEFT(Sync!$L1283,FIND("/",Sync!$L1283)-1))),4)&amp;"/"&amp;RIGHT("00"&amp;VALUE(TRIM(LEFT(MID(Sync!$L1283,FIND("/",Sync!$L1283)+1,20),FIND("/",MID(Sync!$L1283,FIND("/",Sync!$L1283)+1,20))-1))),2)&amp;"/"&amp;RIGHT("00"&amp;VALUE(TRIM(MID(MID(Sync!$L1283,FIND("/",Sync!$L1283)+1,20),FIND("/",MID(Sync!$L1283,FIND("/",Sync!$L1283)+1,20))+1,20))),2),"")))</f>
        <v/>
      </c>
    </row>
    <row r="1284">
      <c r="M1284">
        <f>IF(Sync!$M1284&lt;&gt;"پاس چک","",IF(Sync!$P1284="","",Sync!$P1284))</f>
        <v/>
      </c>
      <c r="N1284">
        <f>IF($M1284="","",IF(ISNUMBER(Sync!$L1284),IF(AND(Sync!$L1284&gt;=10000101,Sync!$L1284&lt;=99991231),RIGHT("0000"&amp;INT(Sync!$L1284/10000),4)&amp;"/"&amp;RIGHT("00"&amp;INT(MOD(Sync!$L1284,10000)/100),2)&amp;"/"&amp;RIGHT("00"&amp;MOD(Sync!$L1284,100),2),""),IFERROR(RIGHT("0000"&amp;VALUE(TRIM(LEFT(Sync!$L1284,FIND("/",Sync!$L1284)-1))),4)&amp;"/"&amp;RIGHT("00"&amp;VALUE(TRIM(LEFT(MID(Sync!$L1284,FIND("/",Sync!$L1284)+1,20),FIND("/",MID(Sync!$L1284,FIND("/",Sync!$L1284)+1,20))-1))),2)&amp;"/"&amp;RIGHT("00"&amp;VALUE(TRIM(MID(MID(Sync!$L1284,FIND("/",Sync!$L1284)+1,20),FIND("/",MID(Sync!$L1284,FIND("/",Sync!$L1284)+1,20))+1,20))),2),"")))</f>
        <v/>
      </c>
    </row>
    <row r="1285">
      <c r="M1285">
        <f>IF(Sync!$M1285&lt;&gt;"پاس چک","",IF(Sync!$P1285="","",Sync!$P1285))</f>
        <v/>
      </c>
      <c r="N1285">
        <f>IF($M1285="","",IF(ISNUMBER(Sync!$L1285),IF(AND(Sync!$L1285&gt;=10000101,Sync!$L1285&lt;=99991231),RIGHT("0000"&amp;INT(Sync!$L1285/10000),4)&amp;"/"&amp;RIGHT("00"&amp;INT(MOD(Sync!$L1285,10000)/100),2)&amp;"/"&amp;RIGHT("00"&amp;MOD(Sync!$L1285,100),2),""),IFERROR(RIGHT("0000"&amp;VALUE(TRIM(LEFT(Sync!$L1285,FIND("/",Sync!$L1285)-1))),4)&amp;"/"&amp;RIGHT("00"&amp;VALUE(TRIM(LEFT(MID(Sync!$L1285,FIND("/",Sync!$L1285)+1,20),FIND("/",MID(Sync!$L1285,FIND("/",Sync!$L1285)+1,20))-1))),2)&amp;"/"&amp;RIGHT("00"&amp;VALUE(TRIM(MID(MID(Sync!$L1285,FIND("/",Sync!$L1285)+1,20),FIND("/",MID(Sync!$L1285,FIND("/",Sync!$L1285)+1,20))+1,20))),2),"")))</f>
        <v/>
      </c>
    </row>
    <row r="1286">
      <c r="M1286">
        <f>IF(Sync!$M1286&lt;&gt;"پاس چک","",IF(Sync!$P1286="","",Sync!$P1286))</f>
        <v/>
      </c>
      <c r="N1286">
        <f>IF($M1286="","",IF(ISNUMBER(Sync!$L1286),IF(AND(Sync!$L1286&gt;=10000101,Sync!$L1286&lt;=99991231),RIGHT("0000"&amp;INT(Sync!$L1286/10000),4)&amp;"/"&amp;RIGHT("00"&amp;INT(MOD(Sync!$L1286,10000)/100),2)&amp;"/"&amp;RIGHT("00"&amp;MOD(Sync!$L1286,100),2),""),IFERROR(RIGHT("0000"&amp;VALUE(TRIM(LEFT(Sync!$L1286,FIND("/",Sync!$L1286)-1))),4)&amp;"/"&amp;RIGHT("00"&amp;VALUE(TRIM(LEFT(MID(Sync!$L1286,FIND("/",Sync!$L1286)+1,20),FIND("/",MID(Sync!$L1286,FIND("/",Sync!$L1286)+1,20))-1))),2)&amp;"/"&amp;RIGHT("00"&amp;VALUE(TRIM(MID(MID(Sync!$L1286,FIND("/",Sync!$L1286)+1,20),FIND("/",MID(Sync!$L1286,FIND("/",Sync!$L1286)+1,20))+1,20))),2),"")))</f>
        <v/>
      </c>
    </row>
    <row r="1287">
      <c r="M1287">
        <f>IF(Sync!$M1287&lt;&gt;"پاس چک","",IF(Sync!$P1287="","",Sync!$P1287))</f>
        <v/>
      </c>
      <c r="N1287">
        <f>IF($M1287="","",IF(ISNUMBER(Sync!$L1287),IF(AND(Sync!$L1287&gt;=10000101,Sync!$L1287&lt;=99991231),RIGHT("0000"&amp;INT(Sync!$L1287/10000),4)&amp;"/"&amp;RIGHT("00"&amp;INT(MOD(Sync!$L1287,10000)/100),2)&amp;"/"&amp;RIGHT("00"&amp;MOD(Sync!$L1287,100),2),""),IFERROR(RIGHT("0000"&amp;VALUE(TRIM(LEFT(Sync!$L1287,FIND("/",Sync!$L1287)-1))),4)&amp;"/"&amp;RIGHT("00"&amp;VALUE(TRIM(LEFT(MID(Sync!$L1287,FIND("/",Sync!$L1287)+1,20),FIND("/",MID(Sync!$L1287,FIND("/",Sync!$L1287)+1,20))-1))),2)&amp;"/"&amp;RIGHT("00"&amp;VALUE(TRIM(MID(MID(Sync!$L1287,FIND("/",Sync!$L1287)+1,20),FIND("/",MID(Sync!$L1287,FIND("/",Sync!$L1287)+1,20))+1,20))),2),"")))</f>
        <v/>
      </c>
    </row>
    <row r="1288">
      <c r="M1288">
        <f>IF(Sync!$M1288&lt;&gt;"پاس چک","",IF(Sync!$P1288="","",Sync!$P1288))</f>
        <v/>
      </c>
      <c r="N1288">
        <f>IF($M1288="","",IF(ISNUMBER(Sync!$L1288),IF(AND(Sync!$L1288&gt;=10000101,Sync!$L1288&lt;=99991231),RIGHT("0000"&amp;INT(Sync!$L1288/10000),4)&amp;"/"&amp;RIGHT("00"&amp;INT(MOD(Sync!$L1288,10000)/100),2)&amp;"/"&amp;RIGHT("00"&amp;MOD(Sync!$L1288,100),2),""),IFERROR(RIGHT("0000"&amp;VALUE(TRIM(LEFT(Sync!$L1288,FIND("/",Sync!$L1288)-1))),4)&amp;"/"&amp;RIGHT("00"&amp;VALUE(TRIM(LEFT(MID(Sync!$L1288,FIND("/",Sync!$L1288)+1,20),FIND("/",MID(Sync!$L1288,FIND("/",Sync!$L1288)+1,20))-1))),2)&amp;"/"&amp;RIGHT("00"&amp;VALUE(TRIM(MID(MID(Sync!$L1288,FIND("/",Sync!$L1288)+1,20),FIND("/",MID(Sync!$L1288,FIND("/",Sync!$L1288)+1,20))+1,20))),2),"")))</f>
        <v/>
      </c>
    </row>
    <row r="1289">
      <c r="M1289">
        <f>IF(Sync!$M1289&lt;&gt;"پاس چک","",IF(Sync!$P1289="","",Sync!$P1289))</f>
        <v/>
      </c>
      <c r="N1289">
        <f>IF($M1289="","",IF(ISNUMBER(Sync!$L1289),IF(AND(Sync!$L1289&gt;=10000101,Sync!$L1289&lt;=99991231),RIGHT("0000"&amp;INT(Sync!$L1289/10000),4)&amp;"/"&amp;RIGHT("00"&amp;INT(MOD(Sync!$L1289,10000)/100),2)&amp;"/"&amp;RIGHT("00"&amp;MOD(Sync!$L1289,100),2),""),IFERROR(RIGHT("0000"&amp;VALUE(TRIM(LEFT(Sync!$L1289,FIND("/",Sync!$L1289)-1))),4)&amp;"/"&amp;RIGHT("00"&amp;VALUE(TRIM(LEFT(MID(Sync!$L1289,FIND("/",Sync!$L1289)+1,20),FIND("/",MID(Sync!$L1289,FIND("/",Sync!$L1289)+1,20))-1))),2)&amp;"/"&amp;RIGHT("00"&amp;VALUE(TRIM(MID(MID(Sync!$L1289,FIND("/",Sync!$L1289)+1,20),FIND("/",MID(Sync!$L1289,FIND("/",Sync!$L1289)+1,20))+1,20))),2),"")))</f>
        <v/>
      </c>
    </row>
    <row r="1290">
      <c r="M1290">
        <f>IF(Sync!$M1290&lt;&gt;"پاس چک","",IF(Sync!$P1290="","",Sync!$P1290))</f>
        <v/>
      </c>
      <c r="N1290">
        <f>IF($M1290="","",IF(ISNUMBER(Sync!$L1290),IF(AND(Sync!$L1290&gt;=10000101,Sync!$L1290&lt;=99991231),RIGHT("0000"&amp;INT(Sync!$L1290/10000),4)&amp;"/"&amp;RIGHT("00"&amp;INT(MOD(Sync!$L1290,10000)/100),2)&amp;"/"&amp;RIGHT("00"&amp;MOD(Sync!$L1290,100),2),""),IFERROR(RIGHT("0000"&amp;VALUE(TRIM(LEFT(Sync!$L1290,FIND("/",Sync!$L1290)-1))),4)&amp;"/"&amp;RIGHT("00"&amp;VALUE(TRIM(LEFT(MID(Sync!$L1290,FIND("/",Sync!$L1290)+1,20),FIND("/",MID(Sync!$L1290,FIND("/",Sync!$L1290)+1,20))-1))),2)&amp;"/"&amp;RIGHT("00"&amp;VALUE(TRIM(MID(MID(Sync!$L1290,FIND("/",Sync!$L1290)+1,20),FIND("/",MID(Sync!$L1290,FIND("/",Sync!$L1290)+1,20))+1,20))),2),"")))</f>
        <v/>
      </c>
    </row>
    <row r="1291">
      <c r="M1291">
        <f>IF(Sync!$M1291&lt;&gt;"پاس چک","",IF(Sync!$P1291="","",Sync!$P1291))</f>
        <v/>
      </c>
      <c r="N1291">
        <f>IF($M1291="","",IF(ISNUMBER(Sync!$L1291),IF(AND(Sync!$L1291&gt;=10000101,Sync!$L1291&lt;=99991231),RIGHT("0000"&amp;INT(Sync!$L1291/10000),4)&amp;"/"&amp;RIGHT("00"&amp;INT(MOD(Sync!$L1291,10000)/100),2)&amp;"/"&amp;RIGHT("00"&amp;MOD(Sync!$L1291,100),2),""),IFERROR(RIGHT("0000"&amp;VALUE(TRIM(LEFT(Sync!$L1291,FIND("/",Sync!$L1291)-1))),4)&amp;"/"&amp;RIGHT("00"&amp;VALUE(TRIM(LEFT(MID(Sync!$L1291,FIND("/",Sync!$L1291)+1,20),FIND("/",MID(Sync!$L1291,FIND("/",Sync!$L1291)+1,20))-1))),2)&amp;"/"&amp;RIGHT("00"&amp;VALUE(TRIM(MID(MID(Sync!$L1291,FIND("/",Sync!$L1291)+1,20),FIND("/",MID(Sync!$L1291,FIND("/",Sync!$L1291)+1,20))+1,20))),2),"")))</f>
        <v/>
      </c>
    </row>
    <row r="1292">
      <c r="M1292">
        <f>IF(Sync!$M1292&lt;&gt;"پاس چک","",IF(Sync!$P1292="","",Sync!$P1292))</f>
        <v/>
      </c>
      <c r="N1292">
        <f>IF($M1292="","",IF(ISNUMBER(Sync!$L1292),IF(AND(Sync!$L1292&gt;=10000101,Sync!$L1292&lt;=99991231),RIGHT("0000"&amp;INT(Sync!$L1292/10000),4)&amp;"/"&amp;RIGHT("00"&amp;INT(MOD(Sync!$L1292,10000)/100),2)&amp;"/"&amp;RIGHT("00"&amp;MOD(Sync!$L1292,100),2),""),IFERROR(RIGHT("0000"&amp;VALUE(TRIM(LEFT(Sync!$L1292,FIND("/",Sync!$L1292)-1))),4)&amp;"/"&amp;RIGHT("00"&amp;VALUE(TRIM(LEFT(MID(Sync!$L1292,FIND("/",Sync!$L1292)+1,20),FIND("/",MID(Sync!$L1292,FIND("/",Sync!$L1292)+1,20))-1))),2)&amp;"/"&amp;RIGHT("00"&amp;VALUE(TRIM(MID(MID(Sync!$L1292,FIND("/",Sync!$L1292)+1,20),FIND("/",MID(Sync!$L1292,FIND("/",Sync!$L1292)+1,20))+1,20))),2),"")))</f>
        <v/>
      </c>
    </row>
    <row r="1293">
      <c r="M1293">
        <f>IF(Sync!$M1293&lt;&gt;"پاس چک","",IF(Sync!$P1293="","",Sync!$P1293))</f>
        <v/>
      </c>
      <c r="N1293">
        <f>IF($M1293="","",IF(ISNUMBER(Sync!$L1293),IF(AND(Sync!$L1293&gt;=10000101,Sync!$L1293&lt;=99991231),RIGHT("0000"&amp;INT(Sync!$L1293/10000),4)&amp;"/"&amp;RIGHT("00"&amp;INT(MOD(Sync!$L1293,10000)/100),2)&amp;"/"&amp;RIGHT("00"&amp;MOD(Sync!$L1293,100),2),""),IFERROR(RIGHT("0000"&amp;VALUE(TRIM(LEFT(Sync!$L1293,FIND("/",Sync!$L1293)-1))),4)&amp;"/"&amp;RIGHT("00"&amp;VALUE(TRIM(LEFT(MID(Sync!$L1293,FIND("/",Sync!$L1293)+1,20),FIND("/",MID(Sync!$L1293,FIND("/",Sync!$L1293)+1,20))-1))),2)&amp;"/"&amp;RIGHT("00"&amp;VALUE(TRIM(MID(MID(Sync!$L1293,FIND("/",Sync!$L1293)+1,20),FIND("/",MID(Sync!$L1293,FIND("/",Sync!$L1293)+1,20))+1,20))),2),"")))</f>
        <v/>
      </c>
    </row>
    <row r="1294">
      <c r="M1294">
        <f>IF(Sync!$M1294&lt;&gt;"پاس چک","",IF(Sync!$P1294="","",Sync!$P1294))</f>
        <v/>
      </c>
      <c r="N1294">
        <f>IF($M1294="","",IF(ISNUMBER(Sync!$L1294),IF(AND(Sync!$L1294&gt;=10000101,Sync!$L1294&lt;=99991231),RIGHT("0000"&amp;INT(Sync!$L1294/10000),4)&amp;"/"&amp;RIGHT("00"&amp;INT(MOD(Sync!$L1294,10000)/100),2)&amp;"/"&amp;RIGHT("00"&amp;MOD(Sync!$L1294,100),2),""),IFERROR(RIGHT("0000"&amp;VALUE(TRIM(LEFT(Sync!$L1294,FIND("/",Sync!$L1294)-1))),4)&amp;"/"&amp;RIGHT("00"&amp;VALUE(TRIM(LEFT(MID(Sync!$L1294,FIND("/",Sync!$L1294)+1,20),FIND("/",MID(Sync!$L1294,FIND("/",Sync!$L1294)+1,20))-1))),2)&amp;"/"&amp;RIGHT("00"&amp;VALUE(TRIM(MID(MID(Sync!$L1294,FIND("/",Sync!$L1294)+1,20),FIND("/",MID(Sync!$L1294,FIND("/",Sync!$L1294)+1,20))+1,20))),2),"")))</f>
        <v/>
      </c>
    </row>
    <row r="1295">
      <c r="M1295">
        <f>IF(Sync!$M1295&lt;&gt;"پاس چک","",IF(Sync!$P1295="","",Sync!$P1295))</f>
        <v/>
      </c>
      <c r="N1295">
        <f>IF($M1295="","",IF(ISNUMBER(Sync!$L1295),IF(AND(Sync!$L1295&gt;=10000101,Sync!$L1295&lt;=99991231),RIGHT("0000"&amp;INT(Sync!$L1295/10000),4)&amp;"/"&amp;RIGHT("00"&amp;INT(MOD(Sync!$L1295,10000)/100),2)&amp;"/"&amp;RIGHT("00"&amp;MOD(Sync!$L1295,100),2),""),IFERROR(RIGHT("0000"&amp;VALUE(TRIM(LEFT(Sync!$L1295,FIND("/",Sync!$L1295)-1))),4)&amp;"/"&amp;RIGHT("00"&amp;VALUE(TRIM(LEFT(MID(Sync!$L1295,FIND("/",Sync!$L1295)+1,20),FIND("/",MID(Sync!$L1295,FIND("/",Sync!$L1295)+1,20))-1))),2)&amp;"/"&amp;RIGHT("00"&amp;VALUE(TRIM(MID(MID(Sync!$L1295,FIND("/",Sync!$L1295)+1,20),FIND("/",MID(Sync!$L1295,FIND("/",Sync!$L1295)+1,20))+1,20))),2),"")))</f>
        <v/>
      </c>
    </row>
    <row r="1296">
      <c r="M1296">
        <f>IF(Sync!$M1296&lt;&gt;"پاس چک","",IF(Sync!$P1296="","",Sync!$P1296))</f>
        <v/>
      </c>
      <c r="N1296">
        <f>IF($M1296="","",IF(ISNUMBER(Sync!$L1296),IF(AND(Sync!$L1296&gt;=10000101,Sync!$L1296&lt;=99991231),RIGHT("0000"&amp;INT(Sync!$L1296/10000),4)&amp;"/"&amp;RIGHT("00"&amp;INT(MOD(Sync!$L1296,10000)/100),2)&amp;"/"&amp;RIGHT("00"&amp;MOD(Sync!$L1296,100),2),""),IFERROR(RIGHT("0000"&amp;VALUE(TRIM(LEFT(Sync!$L1296,FIND("/",Sync!$L1296)-1))),4)&amp;"/"&amp;RIGHT("00"&amp;VALUE(TRIM(LEFT(MID(Sync!$L1296,FIND("/",Sync!$L1296)+1,20),FIND("/",MID(Sync!$L1296,FIND("/",Sync!$L1296)+1,20))-1))),2)&amp;"/"&amp;RIGHT("00"&amp;VALUE(TRIM(MID(MID(Sync!$L1296,FIND("/",Sync!$L1296)+1,20),FIND("/",MID(Sync!$L1296,FIND("/",Sync!$L1296)+1,20))+1,20))),2),"")))</f>
        <v/>
      </c>
    </row>
    <row r="1297">
      <c r="M1297">
        <f>IF(Sync!$M1297&lt;&gt;"پاس چک","",IF(Sync!$P1297="","",Sync!$P1297))</f>
        <v/>
      </c>
      <c r="N1297">
        <f>IF($M1297="","",IF(ISNUMBER(Sync!$L1297),IF(AND(Sync!$L1297&gt;=10000101,Sync!$L1297&lt;=99991231),RIGHT("0000"&amp;INT(Sync!$L1297/10000),4)&amp;"/"&amp;RIGHT("00"&amp;INT(MOD(Sync!$L1297,10000)/100),2)&amp;"/"&amp;RIGHT("00"&amp;MOD(Sync!$L1297,100),2),""),IFERROR(RIGHT("0000"&amp;VALUE(TRIM(LEFT(Sync!$L1297,FIND("/",Sync!$L1297)-1))),4)&amp;"/"&amp;RIGHT("00"&amp;VALUE(TRIM(LEFT(MID(Sync!$L1297,FIND("/",Sync!$L1297)+1,20),FIND("/",MID(Sync!$L1297,FIND("/",Sync!$L1297)+1,20))-1))),2)&amp;"/"&amp;RIGHT("00"&amp;VALUE(TRIM(MID(MID(Sync!$L1297,FIND("/",Sync!$L1297)+1,20),FIND("/",MID(Sync!$L1297,FIND("/",Sync!$L1297)+1,20))+1,20))),2),"")))</f>
        <v/>
      </c>
    </row>
    <row r="1298">
      <c r="M1298">
        <f>IF(Sync!$M1298&lt;&gt;"پاس چک","",IF(Sync!$P1298="","",Sync!$P1298))</f>
        <v/>
      </c>
      <c r="N1298">
        <f>IF($M1298="","",IF(ISNUMBER(Sync!$L1298),IF(AND(Sync!$L1298&gt;=10000101,Sync!$L1298&lt;=99991231),RIGHT("0000"&amp;INT(Sync!$L1298/10000),4)&amp;"/"&amp;RIGHT("00"&amp;INT(MOD(Sync!$L1298,10000)/100),2)&amp;"/"&amp;RIGHT("00"&amp;MOD(Sync!$L1298,100),2),""),IFERROR(RIGHT("0000"&amp;VALUE(TRIM(LEFT(Sync!$L1298,FIND("/",Sync!$L1298)-1))),4)&amp;"/"&amp;RIGHT("00"&amp;VALUE(TRIM(LEFT(MID(Sync!$L1298,FIND("/",Sync!$L1298)+1,20),FIND("/",MID(Sync!$L1298,FIND("/",Sync!$L1298)+1,20))-1))),2)&amp;"/"&amp;RIGHT("00"&amp;VALUE(TRIM(MID(MID(Sync!$L1298,FIND("/",Sync!$L1298)+1,20),FIND("/",MID(Sync!$L1298,FIND("/",Sync!$L1298)+1,20))+1,20))),2),"")))</f>
        <v/>
      </c>
    </row>
    <row r="1299">
      <c r="M1299">
        <f>IF(Sync!$M1299&lt;&gt;"پاس چک","",IF(Sync!$P1299="","",Sync!$P1299))</f>
        <v/>
      </c>
      <c r="N1299">
        <f>IF($M1299="","",IF(ISNUMBER(Sync!$L1299),IF(AND(Sync!$L1299&gt;=10000101,Sync!$L1299&lt;=99991231),RIGHT("0000"&amp;INT(Sync!$L1299/10000),4)&amp;"/"&amp;RIGHT("00"&amp;INT(MOD(Sync!$L1299,10000)/100),2)&amp;"/"&amp;RIGHT("00"&amp;MOD(Sync!$L1299,100),2),""),IFERROR(RIGHT("0000"&amp;VALUE(TRIM(LEFT(Sync!$L1299,FIND("/",Sync!$L1299)-1))),4)&amp;"/"&amp;RIGHT("00"&amp;VALUE(TRIM(LEFT(MID(Sync!$L1299,FIND("/",Sync!$L1299)+1,20),FIND("/",MID(Sync!$L1299,FIND("/",Sync!$L1299)+1,20))-1))),2)&amp;"/"&amp;RIGHT("00"&amp;VALUE(TRIM(MID(MID(Sync!$L1299,FIND("/",Sync!$L1299)+1,20),FIND("/",MID(Sync!$L1299,FIND("/",Sync!$L1299)+1,20))+1,20))),2),"")))</f>
        <v/>
      </c>
    </row>
    <row r="1300">
      <c r="M1300">
        <f>IF(Sync!$M1300&lt;&gt;"پاس چک","",IF(Sync!$P1300="","",Sync!$P1300))</f>
        <v/>
      </c>
      <c r="N1300">
        <f>IF($M1300="","",IF(ISNUMBER(Sync!$L1300),IF(AND(Sync!$L1300&gt;=10000101,Sync!$L1300&lt;=99991231),RIGHT("0000"&amp;INT(Sync!$L1300/10000),4)&amp;"/"&amp;RIGHT("00"&amp;INT(MOD(Sync!$L1300,10000)/100),2)&amp;"/"&amp;RIGHT("00"&amp;MOD(Sync!$L1300,100),2),""),IFERROR(RIGHT("0000"&amp;VALUE(TRIM(LEFT(Sync!$L1300,FIND("/",Sync!$L1300)-1))),4)&amp;"/"&amp;RIGHT("00"&amp;VALUE(TRIM(LEFT(MID(Sync!$L1300,FIND("/",Sync!$L1300)+1,20),FIND("/",MID(Sync!$L1300,FIND("/",Sync!$L1300)+1,20))-1))),2)&amp;"/"&amp;RIGHT("00"&amp;VALUE(TRIM(MID(MID(Sync!$L1300,FIND("/",Sync!$L1300)+1,20),FIND("/",MID(Sync!$L1300,FIND("/",Sync!$L1300)+1,20))+1,20))),2),"")))</f>
        <v/>
      </c>
    </row>
    <row r="1301">
      <c r="M1301">
        <f>IF(Sync!$M1301&lt;&gt;"پاس چک","",IF(Sync!$P1301="","",Sync!$P1301))</f>
        <v/>
      </c>
      <c r="N1301">
        <f>IF($M1301="","",IF(ISNUMBER(Sync!$L1301),IF(AND(Sync!$L1301&gt;=10000101,Sync!$L1301&lt;=99991231),RIGHT("0000"&amp;INT(Sync!$L1301/10000),4)&amp;"/"&amp;RIGHT("00"&amp;INT(MOD(Sync!$L1301,10000)/100),2)&amp;"/"&amp;RIGHT("00"&amp;MOD(Sync!$L1301,100),2),""),IFERROR(RIGHT("0000"&amp;VALUE(TRIM(LEFT(Sync!$L1301,FIND("/",Sync!$L1301)-1))),4)&amp;"/"&amp;RIGHT("00"&amp;VALUE(TRIM(LEFT(MID(Sync!$L1301,FIND("/",Sync!$L1301)+1,20),FIND("/",MID(Sync!$L1301,FIND("/",Sync!$L1301)+1,20))-1))),2)&amp;"/"&amp;RIGHT("00"&amp;VALUE(TRIM(MID(MID(Sync!$L1301,FIND("/",Sync!$L1301)+1,20),FIND("/",MID(Sync!$L1301,FIND("/",Sync!$L1301)+1,20))+1,20))),2),"")))</f>
        <v/>
      </c>
    </row>
    <row r="1302">
      <c r="M1302">
        <f>IF(Sync!$M1302&lt;&gt;"پاس چک","",IF(Sync!$P1302="","",Sync!$P1302))</f>
        <v/>
      </c>
      <c r="N1302">
        <f>IF($M1302="","",IF(ISNUMBER(Sync!$L1302),IF(AND(Sync!$L1302&gt;=10000101,Sync!$L1302&lt;=99991231),RIGHT("0000"&amp;INT(Sync!$L1302/10000),4)&amp;"/"&amp;RIGHT("00"&amp;INT(MOD(Sync!$L1302,10000)/100),2)&amp;"/"&amp;RIGHT("00"&amp;MOD(Sync!$L1302,100),2),""),IFERROR(RIGHT("0000"&amp;VALUE(TRIM(LEFT(Sync!$L1302,FIND("/",Sync!$L1302)-1))),4)&amp;"/"&amp;RIGHT("00"&amp;VALUE(TRIM(LEFT(MID(Sync!$L1302,FIND("/",Sync!$L1302)+1,20),FIND("/",MID(Sync!$L1302,FIND("/",Sync!$L1302)+1,20))-1))),2)&amp;"/"&amp;RIGHT("00"&amp;VALUE(TRIM(MID(MID(Sync!$L1302,FIND("/",Sync!$L1302)+1,20),FIND("/",MID(Sync!$L1302,FIND("/",Sync!$L1302)+1,20))+1,20))),2),"")))</f>
        <v/>
      </c>
    </row>
    <row r="1303">
      <c r="M1303">
        <f>IF(Sync!$M1303&lt;&gt;"پاس چک","",IF(Sync!$P1303="","",Sync!$P1303))</f>
        <v/>
      </c>
      <c r="N1303">
        <f>IF($M1303="","",IF(ISNUMBER(Sync!$L1303),IF(AND(Sync!$L1303&gt;=10000101,Sync!$L1303&lt;=99991231),RIGHT("0000"&amp;INT(Sync!$L1303/10000),4)&amp;"/"&amp;RIGHT("00"&amp;INT(MOD(Sync!$L1303,10000)/100),2)&amp;"/"&amp;RIGHT("00"&amp;MOD(Sync!$L1303,100),2),""),IFERROR(RIGHT("0000"&amp;VALUE(TRIM(LEFT(Sync!$L1303,FIND("/",Sync!$L1303)-1))),4)&amp;"/"&amp;RIGHT("00"&amp;VALUE(TRIM(LEFT(MID(Sync!$L1303,FIND("/",Sync!$L1303)+1,20),FIND("/",MID(Sync!$L1303,FIND("/",Sync!$L1303)+1,20))-1))),2)&amp;"/"&amp;RIGHT("00"&amp;VALUE(TRIM(MID(MID(Sync!$L1303,FIND("/",Sync!$L1303)+1,20),FIND("/",MID(Sync!$L1303,FIND("/",Sync!$L1303)+1,20))+1,20))),2),"")))</f>
        <v/>
      </c>
    </row>
    <row r="1304">
      <c r="M1304">
        <f>IF(Sync!$M1304&lt;&gt;"پاس چک","",IF(Sync!$P1304="","",Sync!$P1304))</f>
        <v/>
      </c>
      <c r="N1304">
        <f>IF($M1304="","",IF(ISNUMBER(Sync!$L1304),IF(AND(Sync!$L1304&gt;=10000101,Sync!$L1304&lt;=99991231),RIGHT("0000"&amp;INT(Sync!$L1304/10000),4)&amp;"/"&amp;RIGHT("00"&amp;INT(MOD(Sync!$L1304,10000)/100),2)&amp;"/"&amp;RIGHT("00"&amp;MOD(Sync!$L1304,100),2),""),IFERROR(RIGHT("0000"&amp;VALUE(TRIM(LEFT(Sync!$L1304,FIND("/",Sync!$L1304)-1))),4)&amp;"/"&amp;RIGHT("00"&amp;VALUE(TRIM(LEFT(MID(Sync!$L1304,FIND("/",Sync!$L1304)+1,20),FIND("/",MID(Sync!$L1304,FIND("/",Sync!$L1304)+1,20))-1))),2)&amp;"/"&amp;RIGHT("00"&amp;VALUE(TRIM(MID(MID(Sync!$L1304,FIND("/",Sync!$L1304)+1,20),FIND("/",MID(Sync!$L1304,FIND("/",Sync!$L1304)+1,20))+1,20))),2),"")))</f>
        <v/>
      </c>
    </row>
    <row r="1305">
      <c r="M1305">
        <f>IF(Sync!$M1305&lt;&gt;"پاس چک","",IF(Sync!$P1305="","",Sync!$P1305))</f>
        <v/>
      </c>
      <c r="N1305">
        <f>IF($M1305="","",IF(ISNUMBER(Sync!$L1305),IF(AND(Sync!$L1305&gt;=10000101,Sync!$L1305&lt;=99991231),RIGHT("0000"&amp;INT(Sync!$L1305/10000),4)&amp;"/"&amp;RIGHT("00"&amp;INT(MOD(Sync!$L1305,10000)/100),2)&amp;"/"&amp;RIGHT("00"&amp;MOD(Sync!$L1305,100),2),""),IFERROR(RIGHT("0000"&amp;VALUE(TRIM(LEFT(Sync!$L1305,FIND("/",Sync!$L1305)-1))),4)&amp;"/"&amp;RIGHT("00"&amp;VALUE(TRIM(LEFT(MID(Sync!$L1305,FIND("/",Sync!$L1305)+1,20),FIND("/",MID(Sync!$L1305,FIND("/",Sync!$L1305)+1,20))-1))),2)&amp;"/"&amp;RIGHT("00"&amp;VALUE(TRIM(MID(MID(Sync!$L1305,FIND("/",Sync!$L1305)+1,20),FIND("/",MID(Sync!$L1305,FIND("/",Sync!$L1305)+1,20))+1,20))),2),"")))</f>
        <v/>
      </c>
    </row>
    <row r="1306">
      <c r="M1306">
        <f>IF(Sync!$M1306&lt;&gt;"پاس چک","",IF(Sync!$P1306="","",Sync!$P1306))</f>
        <v/>
      </c>
      <c r="N1306">
        <f>IF($M1306="","",IF(ISNUMBER(Sync!$L1306),IF(AND(Sync!$L1306&gt;=10000101,Sync!$L1306&lt;=99991231),RIGHT("0000"&amp;INT(Sync!$L1306/10000),4)&amp;"/"&amp;RIGHT("00"&amp;INT(MOD(Sync!$L1306,10000)/100),2)&amp;"/"&amp;RIGHT("00"&amp;MOD(Sync!$L1306,100),2),""),IFERROR(RIGHT("0000"&amp;VALUE(TRIM(LEFT(Sync!$L1306,FIND("/",Sync!$L1306)-1))),4)&amp;"/"&amp;RIGHT("00"&amp;VALUE(TRIM(LEFT(MID(Sync!$L1306,FIND("/",Sync!$L1306)+1,20),FIND("/",MID(Sync!$L1306,FIND("/",Sync!$L1306)+1,20))-1))),2)&amp;"/"&amp;RIGHT("00"&amp;VALUE(TRIM(MID(MID(Sync!$L1306,FIND("/",Sync!$L1306)+1,20),FIND("/",MID(Sync!$L1306,FIND("/",Sync!$L1306)+1,20))+1,20))),2),"")))</f>
        <v/>
      </c>
    </row>
    <row r="1307">
      <c r="M1307">
        <f>IF(Sync!$M1307&lt;&gt;"پاس چک","",IF(Sync!$P1307="","",Sync!$P1307))</f>
        <v/>
      </c>
      <c r="N1307">
        <f>IF($M1307="","",IF(ISNUMBER(Sync!$L1307),IF(AND(Sync!$L1307&gt;=10000101,Sync!$L1307&lt;=99991231),RIGHT("0000"&amp;INT(Sync!$L1307/10000),4)&amp;"/"&amp;RIGHT("00"&amp;INT(MOD(Sync!$L1307,10000)/100),2)&amp;"/"&amp;RIGHT("00"&amp;MOD(Sync!$L1307,100),2),""),IFERROR(RIGHT("0000"&amp;VALUE(TRIM(LEFT(Sync!$L1307,FIND("/",Sync!$L1307)-1))),4)&amp;"/"&amp;RIGHT("00"&amp;VALUE(TRIM(LEFT(MID(Sync!$L1307,FIND("/",Sync!$L1307)+1,20),FIND("/",MID(Sync!$L1307,FIND("/",Sync!$L1307)+1,20))-1))),2)&amp;"/"&amp;RIGHT("00"&amp;VALUE(TRIM(MID(MID(Sync!$L1307,FIND("/",Sync!$L1307)+1,20),FIND("/",MID(Sync!$L1307,FIND("/",Sync!$L1307)+1,20))+1,20))),2),"")))</f>
        <v/>
      </c>
    </row>
    <row r="1308">
      <c r="M1308">
        <f>IF(Sync!$M1308&lt;&gt;"پاس چک","",IF(Sync!$P1308="","",Sync!$P1308))</f>
        <v/>
      </c>
      <c r="N1308">
        <f>IF($M1308="","",IF(ISNUMBER(Sync!$L1308),IF(AND(Sync!$L1308&gt;=10000101,Sync!$L1308&lt;=99991231),RIGHT("0000"&amp;INT(Sync!$L1308/10000),4)&amp;"/"&amp;RIGHT("00"&amp;INT(MOD(Sync!$L1308,10000)/100),2)&amp;"/"&amp;RIGHT("00"&amp;MOD(Sync!$L1308,100),2),""),IFERROR(RIGHT("0000"&amp;VALUE(TRIM(LEFT(Sync!$L1308,FIND("/",Sync!$L1308)-1))),4)&amp;"/"&amp;RIGHT("00"&amp;VALUE(TRIM(LEFT(MID(Sync!$L1308,FIND("/",Sync!$L1308)+1,20),FIND("/",MID(Sync!$L1308,FIND("/",Sync!$L1308)+1,20))-1))),2)&amp;"/"&amp;RIGHT("00"&amp;VALUE(TRIM(MID(MID(Sync!$L1308,FIND("/",Sync!$L1308)+1,20),FIND("/",MID(Sync!$L1308,FIND("/",Sync!$L1308)+1,20))+1,20))),2),"")))</f>
        <v/>
      </c>
    </row>
    <row r="1309">
      <c r="M1309">
        <f>IF(Sync!$M1309&lt;&gt;"پاس چک","",IF(Sync!$P1309="","",Sync!$P1309))</f>
        <v/>
      </c>
      <c r="N1309">
        <f>IF($M1309="","",IF(ISNUMBER(Sync!$L1309),IF(AND(Sync!$L1309&gt;=10000101,Sync!$L1309&lt;=99991231),RIGHT("0000"&amp;INT(Sync!$L1309/10000),4)&amp;"/"&amp;RIGHT("00"&amp;INT(MOD(Sync!$L1309,10000)/100),2)&amp;"/"&amp;RIGHT("00"&amp;MOD(Sync!$L1309,100),2),""),IFERROR(RIGHT("0000"&amp;VALUE(TRIM(LEFT(Sync!$L1309,FIND("/",Sync!$L1309)-1))),4)&amp;"/"&amp;RIGHT("00"&amp;VALUE(TRIM(LEFT(MID(Sync!$L1309,FIND("/",Sync!$L1309)+1,20),FIND("/",MID(Sync!$L1309,FIND("/",Sync!$L1309)+1,20))-1))),2)&amp;"/"&amp;RIGHT("00"&amp;VALUE(TRIM(MID(MID(Sync!$L1309,FIND("/",Sync!$L1309)+1,20),FIND("/",MID(Sync!$L1309,FIND("/",Sync!$L1309)+1,20))+1,20))),2),"")))</f>
        <v/>
      </c>
    </row>
    <row r="1310">
      <c r="M1310">
        <f>IF(Sync!$M1310&lt;&gt;"پاس چک","",IF(Sync!$P1310="","",Sync!$P1310))</f>
        <v/>
      </c>
      <c r="N1310">
        <f>IF($M1310="","",IF(ISNUMBER(Sync!$L1310),IF(AND(Sync!$L1310&gt;=10000101,Sync!$L1310&lt;=99991231),RIGHT("0000"&amp;INT(Sync!$L1310/10000),4)&amp;"/"&amp;RIGHT("00"&amp;INT(MOD(Sync!$L1310,10000)/100),2)&amp;"/"&amp;RIGHT("00"&amp;MOD(Sync!$L1310,100),2),""),IFERROR(RIGHT("0000"&amp;VALUE(TRIM(LEFT(Sync!$L1310,FIND("/",Sync!$L1310)-1))),4)&amp;"/"&amp;RIGHT("00"&amp;VALUE(TRIM(LEFT(MID(Sync!$L1310,FIND("/",Sync!$L1310)+1,20),FIND("/",MID(Sync!$L1310,FIND("/",Sync!$L1310)+1,20))-1))),2)&amp;"/"&amp;RIGHT("00"&amp;VALUE(TRIM(MID(MID(Sync!$L1310,FIND("/",Sync!$L1310)+1,20),FIND("/",MID(Sync!$L1310,FIND("/",Sync!$L1310)+1,20))+1,20))),2),"")))</f>
        <v/>
      </c>
    </row>
    <row r="1311">
      <c r="M1311">
        <f>IF(Sync!$M1311&lt;&gt;"پاس چک","",IF(Sync!$P1311="","",Sync!$P1311))</f>
        <v/>
      </c>
      <c r="N1311">
        <f>IF($M1311="","",IF(ISNUMBER(Sync!$L1311),IF(AND(Sync!$L1311&gt;=10000101,Sync!$L1311&lt;=99991231),RIGHT("0000"&amp;INT(Sync!$L1311/10000),4)&amp;"/"&amp;RIGHT("00"&amp;INT(MOD(Sync!$L1311,10000)/100),2)&amp;"/"&amp;RIGHT("00"&amp;MOD(Sync!$L1311,100),2),""),IFERROR(RIGHT("0000"&amp;VALUE(TRIM(LEFT(Sync!$L1311,FIND("/",Sync!$L1311)-1))),4)&amp;"/"&amp;RIGHT("00"&amp;VALUE(TRIM(LEFT(MID(Sync!$L1311,FIND("/",Sync!$L1311)+1,20),FIND("/",MID(Sync!$L1311,FIND("/",Sync!$L1311)+1,20))-1))),2)&amp;"/"&amp;RIGHT("00"&amp;VALUE(TRIM(MID(MID(Sync!$L1311,FIND("/",Sync!$L1311)+1,20),FIND("/",MID(Sync!$L1311,FIND("/",Sync!$L1311)+1,20))+1,20))),2),"")))</f>
        <v/>
      </c>
    </row>
    <row r="1312">
      <c r="M1312">
        <f>IF(Sync!$M1312&lt;&gt;"پاس چک","",IF(Sync!$P1312="","",Sync!$P1312))</f>
        <v/>
      </c>
      <c r="N1312">
        <f>IF($M1312="","",IF(ISNUMBER(Sync!$L1312),IF(AND(Sync!$L1312&gt;=10000101,Sync!$L1312&lt;=99991231),RIGHT("0000"&amp;INT(Sync!$L1312/10000),4)&amp;"/"&amp;RIGHT("00"&amp;INT(MOD(Sync!$L1312,10000)/100),2)&amp;"/"&amp;RIGHT("00"&amp;MOD(Sync!$L1312,100),2),""),IFERROR(RIGHT("0000"&amp;VALUE(TRIM(LEFT(Sync!$L1312,FIND("/",Sync!$L1312)-1))),4)&amp;"/"&amp;RIGHT("00"&amp;VALUE(TRIM(LEFT(MID(Sync!$L1312,FIND("/",Sync!$L1312)+1,20),FIND("/",MID(Sync!$L1312,FIND("/",Sync!$L1312)+1,20))-1))),2)&amp;"/"&amp;RIGHT("00"&amp;VALUE(TRIM(MID(MID(Sync!$L1312,FIND("/",Sync!$L1312)+1,20),FIND("/",MID(Sync!$L1312,FIND("/",Sync!$L1312)+1,20))+1,20))),2),"")))</f>
        <v/>
      </c>
    </row>
    <row r="1313">
      <c r="M1313">
        <f>IF(Sync!$M1313&lt;&gt;"پاس چک","",IF(Sync!$P1313="","",Sync!$P1313))</f>
        <v/>
      </c>
      <c r="N1313">
        <f>IF($M1313="","",IF(ISNUMBER(Sync!$L1313),IF(AND(Sync!$L1313&gt;=10000101,Sync!$L1313&lt;=99991231),RIGHT("0000"&amp;INT(Sync!$L1313/10000),4)&amp;"/"&amp;RIGHT("00"&amp;INT(MOD(Sync!$L1313,10000)/100),2)&amp;"/"&amp;RIGHT("00"&amp;MOD(Sync!$L1313,100),2),""),IFERROR(RIGHT("0000"&amp;VALUE(TRIM(LEFT(Sync!$L1313,FIND("/",Sync!$L1313)-1))),4)&amp;"/"&amp;RIGHT("00"&amp;VALUE(TRIM(LEFT(MID(Sync!$L1313,FIND("/",Sync!$L1313)+1,20),FIND("/",MID(Sync!$L1313,FIND("/",Sync!$L1313)+1,20))-1))),2)&amp;"/"&amp;RIGHT("00"&amp;VALUE(TRIM(MID(MID(Sync!$L1313,FIND("/",Sync!$L1313)+1,20),FIND("/",MID(Sync!$L1313,FIND("/",Sync!$L1313)+1,20))+1,20))),2),"")))</f>
        <v/>
      </c>
    </row>
    <row r="1314">
      <c r="M1314">
        <f>IF(Sync!$M1314&lt;&gt;"پاس چک","",IF(Sync!$P1314="","",Sync!$P1314))</f>
        <v/>
      </c>
      <c r="N1314">
        <f>IF($M1314="","",IF(ISNUMBER(Sync!$L1314),IF(AND(Sync!$L1314&gt;=10000101,Sync!$L1314&lt;=99991231),RIGHT("0000"&amp;INT(Sync!$L1314/10000),4)&amp;"/"&amp;RIGHT("00"&amp;INT(MOD(Sync!$L1314,10000)/100),2)&amp;"/"&amp;RIGHT("00"&amp;MOD(Sync!$L1314,100),2),""),IFERROR(RIGHT("0000"&amp;VALUE(TRIM(LEFT(Sync!$L1314,FIND("/",Sync!$L1314)-1))),4)&amp;"/"&amp;RIGHT("00"&amp;VALUE(TRIM(LEFT(MID(Sync!$L1314,FIND("/",Sync!$L1314)+1,20),FIND("/",MID(Sync!$L1314,FIND("/",Sync!$L1314)+1,20))-1))),2)&amp;"/"&amp;RIGHT("00"&amp;VALUE(TRIM(MID(MID(Sync!$L1314,FIND("/",Sync!$L1314)+1,20),FIND("/",MID(Sync!$L1314,FIND("/",Sync!$L1314)+1,20))+1,20))),2),"")))</f>
        <v/>
      </c>
    </row>
    <row r="1315">
      <c r="M1315">
        <f>IF(Sync!$M1315&lt;&gt;"پاس چک","",IF(Sync!$P1315="","",Sync!$P1315))</f>
        <v/>
      </c>
      <c r="N1315">
        <f>IF($M1315="","",IF(ISNUMBER(Sync!$L1315),IF(AND(Sync!$L1315&gt;=10000101,Sync!$L1315&lt;=99991231),RIGHT("0000"&amp;INT(Sync!$L1315/10000),4)&amp;"/"&amp;RIGHT("00"&amp;INT(MOD(Sync!$L1315,10000)/100),2)&amp;"/"&amp;RIGHT("00"&amp;MOD(Sync!$L1315,100),2),""),IFERROR(RIGHT("0000"&amp;VALUE(TRIM(LEFT(Sync!$L1315,FIND("/",Sync!$L1315)-1))),4)&amp;"/"&amp;RIGHT("00"&amp;VALUE(TRIM(LEFT(MID(Sync!$L1315,FIND("/",Sync!$L1315)+1,20),FIND("/",MID(Sync!$L1315,FIND("/",Sync!$L1315)+1,20))-1))),2)&amp;"/"&amp;RIGHT("00"&amp;VALUE(TRIM(MID(MID(Sync!$L1315,FIND("/",Sync!$L1315)+1,20),FIND("/",MID(Sync!$L1315,FIND("/",Sync!$L1315)+1,20))+1,20))),2),"")))</f>
        <v/>
      </c>
    </row>
    <row r="1316">
      <c r="M1316">
        <f>IF(Sync!$M1316&lt;&gt;"پاس چک","",IF(Sync!$P1316="","",Sync!$P1316))</f>
        <v/>
      </c>
      <c r="N1316">
        <f>IF($M1316="","",IF(ISNUMBER(Sync!$L1316),IF(AND(Sync!$L1316&gt;=10000101,Sync!$L1316&lt;=99991231),RIGHT("0000"&amp;INT(Sync!$L1316/10000),4)&amp;"/"&amp;RIGHT("00"&amp;INT(MOD(Sync!$L1316,10000)/100),2)&amp;"/"&amp;RIGHT("00"&amp;MOD(Sync!$L1316,100),2),""),IFERROR(RIGHT("0000"&amp;VALUE(TRIM(LEFT(Sync!$L1316,FIND("/",Sync!$L1316)-1))),4)&amp;"/"&amp;RIGHT("00"&amp;VALUE(TRIM(LEFT(MID(Sync!$L1316,FIND("/",Sync!$L1316)+1,20),FIND("/",MID(Sync!$L1316,FIND("/",Sync!$L1316)+1,20))-1))),2)&amp;"/"&amp;RIGHT("00"&amp;VALUE(TRIM(MID(MID(Sync!$L1316,FIND("/",Sync!$L1316)+1,20),FIND("/",MID(Sync!$L1316,FIND("/",Sync!$L1316)+1,20))+1,20))),2),"")))</f>
        <v/>
      </c>
    </row>
    <row r="1317">
      <c r="M1317">
        <f>IF(Sync!$M1317&lt;&gt;"پاس چک","",IF(Sync!$P1317="","",Sync!$P1317))</f>
        <v/>
      </c>
      <c r="N1317">
        <f>IF($M1317="","",IF(ISNUMBER(Sync!$L1317),IF(AND(Sync!$L1317&gt;=10000101,Sync!$L1317&lt;=99991231),RIGHT("0000"&amp;INT(Sync!$L1317/10000),4)&amp;"/"&amp;RIGHT("00"&amp;INT(MOD(Sync!$L1317,10000)/100),2)&amp;"/"&amp;RIGHT("00"&amp;MOD(Sync!$L1317,100),2),""),IFERROR(RIGHT("0000"&amp;VALUE(TRIM(LEFT(Sync!$L1317,FIND("/",Sync!$L1317)-1))),4)&amp;"/"&amp;RIGHT("00"&amp;VALUE(TRIM(LEFT(MID(Sync!$L1317,FIND("/",Sync!$L1317)+1,20),FIND("/",MID(Sync!$L1317,FIND("/",Sync!$L1317)+1,20))-1))),2)&amp;"/"&amp;RIGHT("00"&amp;VALUE(TRIM(MID(MID(Sync!$L1317,FIND("/",Sync!$L1317)+1,20),FIND("/",MID(Sync!$L1317,FIND("/",Sync!$L1317)+1,20))+1,20))),2),"")))</f>
        <v/>
      </c>
    </row>
    <row r="1318">
      <c r="M1318">
        <f>IF(Sync!$M1318&lt;&gt;"پاس چک","",IF(Sync!$P1318="","",Sync!$P1318))</f>
        <v/>
      </c>
      <c r="N1318">
        <f>IF($M1318="","",IF(ISNUMBER(Sync!$L1318),IF(AND(Sync!$L1318&gt;=10000101,Sync!$L1318&lt;=99991231),RIGHT("0000"&amp;INT(Sync!$L1318/10000),4)&amp;"/"&amp;RIGHT("00"&amp;INT(MOD(Sync!$L1318,10000)/100),2)&amp;"/"&amp;RIGHT("00"&amp;MOD(Sync!$L1318,100),2),""),IFERROR(RIGHT("0000"&amp;VALUE(TRIM(LEFT(Sync!$L1318,FIND("/",Sync!$L1318)-1))),4)&amp;"/"&amp;RIGHT("00"&amp;VALUE(TRIM(LEFT(MID(Sync!$L1318,FIND("/",Sync!$L1318)+1,20),FIND("/",MID(Sync!$L1318,FIND("/",Sync!$L1318)+1,20))-1))),2)&amp;"/"&amp;RIGHT("00"&amp;VALUE(TRIM(MID(MID(Sync!$L1318,FIND("/",Sync!$L1318)+1,20),FIND("/",MID(Sync!$L1318,FIND("/",Sync!$L1318)+1,20))+1,20))),2),"")))</f>
        <v/>
      </c>
    </row>
    <row r="1319">
      <c r="M1319">
        <f>IF(Sync!$M1319&lt;&gt;"پاس چک","",IF(Sync!$P1319="","",Sync!$P1319))</f>
        <v/>
      </c>
      <c r="N1319">
        <f>IF($M1319="","",IF(ISNUMBER(Sync!$L1319),IF(AND(Sync!$L1319&gt;=10000101,Sync!$L1319&lt;=99991231),RIGHT("0000"&amp;INT(Sync!$L1319/10000),4)&amp;"/"&amp;RIGHT("00"&amp;INT(MOD(Sync!$L1319,10000)/100),2)&amp;"/"&amp;RIGHT("00"&amp;MOD(Sync!$L1319,100),2),""),IFERROR(RIGHT("0000"&amp;VALUE(TRIM(LEFT(Sync!$L1319,FIND("/",Sync!$L1319)-1))),4)&amp;"/"&amp;RIGHT("00"&amp;VALUE(TRIM(LEFT(MID(Sync!$L1319,FIND("/",Sync!$L1319)+1,20),FIND("/",MID(Sync!$L1319,FIND("/",Sync!$L1319)+1,20))-1))),2)&amp;"/"&amp;RIGHT("00"&amp;VALUE(TRIM(MID(MID(Sync!$L1319,FIND("/",Sync!$L1319)+1,20),FIND("/",MID(Sync!$L1319,FIND("/",Sync!$L1319)+1,20))+1,20))),2),"")))</f>
        <v/>
      </c>
    </row>
    <row r="1320">
      <c r="M1320">
        <f>IF(Sync!$M1320&lt;&gt;"پاس چک","",IF(Sync!$P1320="","",Sync!$P1320))</f>
        <v/>
      </c>
      <c r="N1320">
        <f>IF($M1320="","",IF(ISNUMBER(Sync!$L1320),IF(AND(Sync!$L1320&gt;=10000101,Sync!$L1320&lt;=99991231),RIGHT("0000"&amp;INT(Sync!$L1320/10000),4)&amp;"/"&amp;RIGHT("00"&amp;INT(MOD(Sync!$L1320,10000)/100),2)&amp;"/"&amp;RIGHT("00"&amp;MOD(Sync!$L1320,100),2),""),IFERROR(RIGHT("0000"&amp;VALUE(TRIM(LEFT(Sync!$L1320,FIND("/",Sync!$L1320)-1))),4)&amp;"/"&amp;RIGHT("00"&amp;VALUE(TRIM(LEFT(MID(Sync!$L1320,FIND("/",Sync!$L1320)+1,20),FIND("/",MID(Sync!$L1320,FIND("/",Sync!$L1320)+1,20))-1))),2)&amp;"/"&amp;RIGHT("00"&amp;VALUE(TRIM(MID(MID(Sync!$L1320,FIND("/",Sync!$L1320)+1,20),FIND("/",MID(Sync!$L1320,FIND("/",Sync!$L1320)+1,20))+1,20))),2),"")))</f>
        <v/>
      </c>
    </row>
    <row r="1321">
      <c r="M1321">
        <f>IF(Sync!$M1321&lt;&gt;"پاس چک","",IF(Sync!$P1321="","",Sync!$P1321))</f>
        <v/>
      </c>
      <c r="N1321">
        <f>IF($M1321="","",IF(ISNUMBER(Sync!$L1321),IF(AND(Sync!$L1321&gt;=10000101,Sync!$L1321&lt;=99991231),RIGHT("0000"&amp;INT(Sync!$L1321/10000),4)&amp;"/"&amp;RIGHT("00"&amp;INT(MOD(Sync!$L1321,10000)/100),2)&amp;"/"&amp;RIGHT("00"&amp;MOD(Sync!$L1321,100),2),""),IFERROR(RIGHT("0000"&amp;VALUE(TRIM(LEFT(Sync!$L1321,FIND("/",Sync!$L1321)-1))),4)&amp;"/"&amp;RIGHT("00"&amp;VALUE(TRIM(LEFT(MID(Sync!$L1321,FIND("/",Sync!$L1321)+1,20),FIND("/",MID(Sync!$L1321,FIND("/",Sync!$L1321)+1,20))-1))),2)&amp;"/"&amp;RIGHT("00"&amp;VALUE(TRIM(MID(MID(Sync!$L1321,FIND("/",Sync!$L1321)+1,20),FIND("/",MID(Sync!$L1321,FIND("/",Sync!$L1321)+1,20))+1,20))),2),"")))</f>
        <v/>
      </c>
    </row>
    <row r="1322">
      <c r="M1322">
        <f>IF(Sync!$M1322&lt;&gt;"پاس چک","",IF(Sync!$P1322="","",Sync!$P1322))</f>
        <v/>
      </c>
      <c r="N1322">
        <f>IF($M1322="","",IF(ISNUMBER(Sync!$L1322),IF(AND(Sync!$L1322&gt;=10000101,Sync!$L1322&lt;=99991231),RIGHT("0000"&amp;INT(Sync!$L1322/10000),4)&amp;"/"&amp;RIGHT("00"&amp;INT(MOD(Sync!$L1322,10000)/100),2)&amp;"/"&amp;RIGHT("00"&amp;MOD(Sync!$L1322,100),2),""),IFERROR(RIGHT("0000"&amp;VALUE(TRIM(LEFT(Sync!$L1322,FIND("/",Sync!$L1322)-1))),4)&amp;"/"&amp;RIGHT("00"&amp;VALUE(TRIM(LEFT(MID(Sync!$L1322,FIND("/",Sync!$L1322)+1,20),FIND("/",MID(Sync!$L1322,FIND("/",Sync!$L1322)+1,20))-1))),2)&amp;"/"&amp;RIGHT("00"&amp;VALUE(TRIM(MID(MID(Sync!$L1322,FIND("/",Sync!$L1322)+1,20),FIND("/",MID(Sync!$L1322,FIND("/",Sync!$L1322)+1,20))+1,20))),2),"")))</f>
        <v/>
      </c>
    </row>
    <row r="1323">
      <c r="M1323">
        <f>IF(Sync!$M1323&lt;&gt;"پاس چک","",IF(Sync!$P1323="","",Sync!$P1323))</f>
        <v/>
      </c>
      <c r="N1323">
        <f>IF($M1323="","",IF(ISNUMBER(Sync!$L1323),IF(AND(Sync!$L1323&gt;=10000101,Sync!$L1323&lt;=99991231),RIGHT("0000"&amp;INT(Sync!$L1323/10000),4)&amp;"/"&amp;RIGHT("00"&amp;INT(MOD(Sync!$L1323,10000)/100),2)&amp;"/"&amp;RIGHT("00"&amp;MOD(Sync!$L1323,100),2),""),IFERROR(RIGHT("0000"&amp;VALUE(TRIM(LEFT(Sync!$L1323,FIND("/",Sync!$L1323)-1))),4)&amp;"/"&amp;RIGHT("00"&amp;VALUE(TRIM(LEFT(MID(Sync!$L1323,FIND("/",Sync!$L1323)+1,20),FIND("/",MID(Sync!$L1323,FIND("/",Sync!$L1323)+1,20))-1))),2)&amp;"/"&amp;RIGHT("00"&amp;VALUE(TRIM(MID(MID(Sync!$L1323,FIND("/",Sync!$L1323)+1,20),FIND("/",MID(Sync!$L1323,FIND("/",Sync!$L1323)+1,20))+1,20))),2),"")))</f>
        <v/>
      </c>
    </row>
    <row r="1324">
      <c r="M1324">
        <f>IF(Sync!$M1324&lt;&gt;"پاس چک","",IF(Sync!$P1324="","",Sync!$P1324))</f>
        <v/>
      </c>
      <c r="N1324">
        <f>IF($M1324="","",IF(ISNUMBER(Sync!$L1324),IF(AND(Sync!$L1324&gt;=10000101,Sync!$L1324&lt;=99991231),RIGHT("0000"&amp;INT(Sync!$L1324/10000),4)&amp;"/"&amp;RIGHT("00"&amp;INT(MOD(Sync!$L1324,10000)/100),2)&amp;"/"&amp;RIGHT("00"&amp;MOD(Sync!$L1324,100),2),""),IFERROR(RIGHT("0000"&amp;VALUE(TRIM(LEFT(Sync!$L1324,FIND("/",Sync!$L1324)-1))),4)&amp;"/"&amp;RIGHT("00"&amp;VALUE(TRIM(LEFT(MID(Sync!$L1324,FIND("/",Sync!$L1324)+1,20),FIND("/",MID(Sync!$L1324,FIND("/",Sync!$L1324)+1,20))-1))),2)&amp;"/"&amp;RIGHT("00"&amp;VALUE(TRIM(MID(MID(Sync!$L1324,FIND("/",Sync!$L1324)+1,20),FIND("/",MID(Sync!$L1324,FIND("/",Sync!$L1324)+1,20))+1,20))),2),"")))</f>
        <v/>
      </c>
    </row>
    <row r="1325">
      <c r="M1325">
        <f>IF(Sync!$M1325&lt;&gt;"پاس چک","",IF(Sync!$P1325="","",Sync!$P1325))</f>
        <v/>
      </c>
      <c r="N1325">
        <f>IF($M1325="","",IF(ISNUMBER(Sync!$L1325),IF(AND(Sync!$L1325&gt;=10000101,Sync!$L1325&lt;=99991231),RIGHT("0000"&amp;INT(Sync!$L1325/10000),4)&amp;"/"&amp;RIGHT("00"&amp;INT(MOD(Sync!$L1325,10000)/100),2)&amp;"/"&amp;RIGHT("00"&amp;MOD(Sync!$L1325,100),2),""),IFERROR(RIGHT("0000"&amp;VALUE(TRIM(LEFT(Sync!$L1325,FIND("/",Sync!$L1325)-1))),4)&amp;"/"&amp;RIGHT("00"&amp;VALUE(TRIM(LEFT(MID(Sync!$L1325,FIND("/",Sync!$L1325)+1,20),FIND("/",MID(Sync!$L1325,FIND("/",Sync!$L1325)+1,20))-1))),2)&amp;"/"&amp;RIGHT("00"&amp;VALUE(TRIM(MID(MID(Sync!$L1325,FIND("/",Sync!$L1325)+1,20),FIND("/",MID(Sync!$L1325,FIND("/",Sync!$L1325)+1,20))+1,20))),2),"")))</f>
        <v/>
      </c>
    </row>
    <row r="1326">
      <c r="M1326">
        <f>IF(Sync!$M1326&lt;&gt;"پاس چک","",IF(Sync!$P1326="","",Sync!$P1326))</f>
        <v/>
      </c>
      <c r="N1326">
        <f>IF($M1326="","",IF(ISNUMBER(Sync!$L1326),IF(AND(Sync!$L1326&gt;=10000101,Sync!$L1326&lt;=99991231),RIGHT("0000"&amp;INT(Sync!$L1326/10000),4)&amp;"/"&amp;RIGHT("00"&amp;INT(MOD(Sync!$L1326,10000)/100),2)&amp;"/"&amp;RIGHT("00"&amp;MOD(Sync!$L1326,100),2),""),IFERROR(RIGHT("0000"&amp;VALUE(TRIM(LEFT(Sync!$L1326,FIND("/",Sync!$L1326)-1))),4)&amp;"/"&amp;RIGHT("00"&amp;VALUE(TRIM(LEFT(MID(Sync!$L1326,FIND("/",Sync!$L1326)+1,20),FIND("/",MID(Sync!$L1326,FIND("/",Sync!$L1326)+1,20))-1))),2)&amp;"/"&amp;RIGHT("00"&amp;VALUE(TRIM(MID(MID(Sync!$L1326,FIND("/",Sync!$L1326)+1,20),FIND("/",MID(Sync!$L1326,FIND("/",Sync!$L1326)+1,20))+1,20))),2),"")))</f>
        <v/>
      </c>
    </row>
    <row r="1327">
      <c r="M1327">
        <f>IF(Sync!$M1327&lt;&gt;"پاس چک","",IF(Sync!$P1327="","",Sync!$P1327))</f>
        <v/>
      </c>
      <c r="N1327">
        <f>IF($M1327="","",IF(ISNUMBER(Sync!$L1327),IF(AND(Sync!$L1327&gt;=10000101,Sync!$L1327&lt;=99991231),RIGHT("0000"&amp;INT(Sync!$L1327/10000),4)&amp;"/"&amp;RIGHT("00"&amp;INT(MOD(Sync!$L1327,10000)/100),2)&amp;"/"&amp;RIGHT("00"&amp;MOD(Sync!$L1327,100),2),""),IFERROR(RIGHT("0000"&amp;VALUE(TRIM(LEFT(Sync!$L1327,FIND("/",Sync!$L1327)-1))),4)&amp;"/"&amp;RIGHT("00"&amp;VALUE(TRIM(LEFT(MID(Sync!$L1327,FIND("/",Sync!$L1327)+1,20),FIND("/",MID(Sync!$L1327,FIND("/",Sync!$L1327)+1,20))-1))),2)&amp;"/"&amp;RIGHT("00"&amp;VALUE(TRIM(MID(MID(Sync!$L1327,FIND("/",Sync!$L1327)+1,20),FIND("/",MID(Sync!$L1327,FIND("/",Sync!$L1327)+1,20))+1,20))),2),"")))</f>
        <v/>
      </c>
    </row>
    <row r="1328">
      <c r="M1328">
        <f>IF(Sync!$M1328&lt;&gt;"پاس چک","",IF(Sync!$P1328="","",Sync!$P1328))</f>
        <v/>
      </c>
      <c r="N1328">
        <f>IF($M1328="","",IF(ISNUMBER(Sync!$L1328),IF(AND(Sync!$L1328&gt;=10000101,Sync!$L1328&lt;=99991231),RIGHT("0000"&amp;INT(Sync!$L1328/10000),4)&amp;"/"&amp;RIGHT("00"&amp;INT(MOD(Sync!$L1328,10000)/100),2)&amp;"/"&amp;RIGHT("00"&amp;MOD(Sync!$L1328,100),2),""),IFERROR(RIGHT("0000"&amp;VALUE(TRIM(LEFT(Sync!$L1328,FIND("/",Sync!$L1328)-1))),4)&amp;"/"&amp;RIGHT("00"&amp;VALUE(TRIM(LEFT(MID(Sync!$L1328,FIND("/",Sync!$L1328)+1,20),FIND("/",MID(Sync!$L1328,FIND("/",Sync!$L1328)+1,20))-1))),2)&amp;"/"&amp;RIGHT("00"&amp;VALUE(TRIM(MID(MID(Sync!$L1328,FIND("/",Sync!$L1328)+1,20),FIND("/",MID(Sync!$L1328,FIND("/",Sync!$L1328)+1,20))+1,20))),2),"")))</f>
        <v/>
      </c>
    </row>
    <row r="1329">
      <c r="M1329">
        <f>IF(Sync!$M1329&lt;&gt;"پاس چک","",IF(Sync!$P1329="","",Sync!$P1329))</f>
        <v/>
      </c>
      <c r="N1329">
        <f>IF($M1329="","",IF(ISNUMBER(Sync!$L1329),IF(AND(Sync!$L1329&gt;=10000101,Sync!$L1329&lt;=99991231),RIGHT("0000"&amp;INT(Sync!$L1329/10000),4)&amp;"/"&amp;RIGHT("00"&amp;INT(MOD(Sync!$L1329,10000)/100),2)&amp;"/"&amp;RIGHT("00"&amp;MOD(Sync!$L1329,100),2),""),IFERROR(RIGHT("0000"&amp;VALUE(TRIM(LEFT(Sync!$L1329,FIND("/",Sync!$L1329)-1))),4)&amp;"/"&amp;RIGHT("00"&amp;VALUE(TRIM(LEFT(MID(Sync!$L1329,FIND("/",Sync!$L1329)+1,20),FIND("/",MID(Sync!$L1329,FIND("/",Sync!$L1329)+1,20))-1))),2)&amp;"/"&amp;RIGHT("00"&amp;VALUE(TRIM(MID(MID(Sync!$L1329,FIND("/",Sync!$L1329)+1,20),FIND("/",MID(Sync!$L1329,FIND("/",Sync!$L1329)+1,20))+1,20))),2),"")))</f>
        <v/>
      </c>
    </row>
    <row r="1330">
      <c r="M1330">
        <f>IF(Sync!$M1330&lt;&gt;"پاس چک","",IF(Sync!$P1330="","",Sync!$P1330))</f>
        <v/>
      </c>
      <c r="N1330">
        <f>IF($M1330="","",IF(ISNUMBER(Sync!$L1330),IF(AND(Sync!$L1330&gt;=10000101,Sync!$L1330&lt;=99991231),RIGHT("0000"&amp;INT(Sync!$L1330/10000),4)&amp;"/"&amp;RIGHT("00"&amp;INT(MOD(Sync!$L1330,10000)/100),2)&amp;"/"&amp;RIGHT("00"&amp;MOD(Sync!$L1330,100),2),""),IFERROR(RIGHT("0000"&amp;VALUE(TRIM(LEFT(Sync!$L1330,FIND("/",Sync!$L1330)-1))),4)&amp;"/"&amp;RIGHT("00"&amp;VALUE(TRIM(LEFT(MID(Sync!$L1330,FIND("/",Sync!$L1330)+1,20),FIND("/",MID(Sync!$L1330,FIND("/",Sync!$L1330)+1,20))-1))),2)&amp;"/"&amp;RIGHT("00"&amp;VALUE(TRIM(MID(MID(Sync!$L1330,FIND("/",Sync!$L1330)+1,20),FIND("/",MID(Sync!$L1330,FIND("/",Sync!$L1330)+1,20))+1,20))),2),"")))</f>
        <v/>
      </c>
    </row>
    <row r="1331">
      <c r="M1331">
        <f>IF(Sync!$M1331&lt;&gt;"پاس چک","",IF(Sync!$P1331="","",Sync!$P1331))</f>
        <v/>
      </c>
      <c r="N1331">
        <f>IF($M1331="","",IF(ISNUMBER(Sync!$L1331),IF(AND(Sync!$L1331&gt;=10000101,Sync!$L1331&lt;=99991231),RIGHT("0000"&amp;INT(Sync!$L1331/10000),4)&amp;"/"&amp;RIGHT("00"&amp;INT(MOD(Sync!$L1331,10000)/100),2)&amp;"/"&amp;RIGHT("00"&amp;MOD(Sync!$L1331,100),2),""),IFERROR(RIGHT("0000"&amp;VALUE(TRIM(LEFT(Sync!$L1331,FIND("/",Sync!$L1331)-1))),4)&amp;"/"&amp;RIGHT("00"&amp;VALUE(TRIM(LEFT(MID(Sync!$L1331,FIND("/",Sync!$L1331)+1,20),FIND("/",MID(Sync!$L1331,FIND("/",Sync!$L1331)+1,20))-1))),2)&amp;"/"&amp;RIGHT("00"&amp;VALUE(TRIM(MID(MID(Sync!$L1331,FIND("/",Sync!$L1331)+1,20),FIND("/",MID(Sync!$L1331,FIND("/",Sync!$L1331)+1,20))+1,20))),2),"")))</f>
        <v/>
      </c>
    </row>
    <row r="1332">
      <c r="M1332">
        <f>IF(Sync!$M1332&lt;&gt;"پاس چک","",IF(Sync!$P1332="","",Sync!$P1332))</f>
        <v/>
      </c>
      <c r="N1332">
        <f>IF($M1332="","",IF(ISNUMBER(Sync!$L1332),IF(AND(Sync!$L1332&gt;=10000101,Sync!$L1332&lt;=99991231),RIGHT("0000"&amp;INT(Sync!$L1332/10000),4)&amp;"/"&amp;RIGHT("00"&amp;INT(MOD(Sync!$L1332,10000)/100),2)&amp;"/"&amp;RIGHT("00"&amp;MOD(Sync!$L1332,100),2),""),IFERROR(RIGHT("0000"&amp;VALUE(TRIM(LEFT(Sync!$L1332,FIND("/",Sync!$L1332)-1))),4)&amp;"/"&amp;RIGHT("00"&amp;VALUE(TRIM(LEFT(MID(Sync!$L1332,FIND("/",Sync!$L1332)+1,20),FIND("/",MID(Sync!$L1332,FIND("/",Sync!$L1332)+1,20))-1))),2)&amp;"/"&amp;RIGHT("00"&amp;VALUE(TRIM(MID(MID(Sync!$L1332,FIND("/",Sync!$L1332)+1,20),FIND("/",MID(Sync!$L1332,FIND("/",Sync!$L1332)+1,20))+1,20))),2),"")))</f>
        <v/>
      </c>
    </row>
    <row r="1333">
      <c r="M1333">
        <f>IF(Sync!$M1333&lt;&gt;"پاس چک","",IF(Sync!$P1333="","",Sync!$P1333))</f>
        <v/>
      </c>
      <c r="N1333">
        <f>IF($M1333="","",IF(ISNUMBER(Sync!$L1333),IF(AND(Sync!$L1333&gt;=10000101,Sync!$L1333&lt;=99991231),RIGHT("0000"&amp;INT(Sync!$L1333/10000),4)&amp;"/"&amp;RIGHT("00"&amp;INT(MOD(Sync!$L1333,10000)/100),2)&amp;"/"&amp;RIGHT("00"&amp;MOD(Sync!$L1333,100),2),""),IFERROR(RIGHT("0000"&amp;VALUE(TRIM(LEFT(Sync!$L1333,FIND("/",Sync!$L1333)-1))),4)&amp;"/"&amp;RIGHT("00"&amp;VALUE(TRIM(LEFT(MID(Sync!$L1333,FIND("/",Sync!$L1333)+1,20),FIND("/",MID(Sync!$L1333,FIND("/",Sync!$L1333)+1,20))-1))),2)&amp;"/"&amp;RIGHT("00"&amp;VALUE(TRIM(MID(MID(Sync!$L1333,FIND("/",Sync!$L1333)+1,20),FIND("/",MID(Sync!$L1333,FIND("/",Sync!$L1333)+1,20))+1,20))),2),"")))</f>
        <v/>
      </c>
    </row>
    <row r="1334">
      <c r="M1334">
        <f>IF(Sync!$M1334&lt;&gt;"پاس چک","",IF(Sync!$P1334="","",Sync!$P1334))</f>
        <v/>
      </c>
      <c r="N1334">
        <f>IF($M1334="","",IF(ISNUMBER(Sync!$L1334),IF(AND(Sync!$L1334&gt;=10000101,Sync!$L1334&lt;=99991231),RIGHT("0000"&amp;INT(Sync!$L1334/10000),4)&amp;"/"&amp;RIGHT("00"&amp;INT(MOD(Sync!$L1334,10000)/100),2)&amp;"/"&amp;RIGHT("00"&amp;MOD(Sync!$L1334,100),2),""),IFERROR(RIGHT("0000"&amp;VALUE(TRIM(LEFT(Sync!$L1334,FIND("/",Sync!$L1334)-1))),4)&amp;"/"&amp;RIGHT("00"&amp;VALUE(TRIM(LEFT(MID(Sync!$L1334,FIND("/",Sync!$L1334)+1,20),FIND("/",MID(Sync!$L1334,FIND("/",Sync!$L1334)+1,20))-1))),2)&amp;"/"&amp;RIGHT("00"&amp;VALUE(TRIM(MID(MID(Sync!$L1334,FIND("/",Sync!$L1334)+1,20),FIND("/",MID(Sync!$L1334,FIND("/",Sync!$L1334)+1,20))+1,20))),2),"")))</f>
        <v/>
      </c>
    </row>
    <row r="1335">
      <c r="M1335">
        <f>IF(Sync!$M1335&lt;&gt;"پاس چک","",IF(Sync!$P1335="","",Sync!$P1335))</f>
        <v/>
      </c>
      <c r="N1335">
        <f>IF($M1335="","",IF(ISNUMBER(Sync!$L1335),IF(AND(Sync!$L1335&gt;=10000101,Sync!$L1335&lt;=99991231),RIGHT("0000"&amp;INT(Sync!$L1335/10000),4)&amp;"/"&amp;RIGHT("00"&amp;INT(MOD(Sync!$L1335,10000)/100),2)&amp;"/"&amp;RIGHT("00"&amp;MOD(Sync!$L1335,100),2),""),IFERROR(RIGHT("0000"&amp;VALUE(TRIM(LEFT(Sync!$L1335,FIND("/",Sync!$L1335)-1))),4)&amp;"/"&amp;RIGHT("00"&amp;VALUE(TRIM(LEFT(MID(Sync!$L1335,FIND("/",Sync!$L1335)+1,20),FIND("/",MID(Sync!$L1335,FIND("/",Sync!$L1335)+1,20))-1))),2)&amp;"/"&amp;RIGHT("00"&amp;VALUE(TRIM(MID(MID(Sync!$L1335,FIND("/",Sync!$L1335)+1,20),FIND("/",MID(Sync!$L1335,FIND("/",Sync!$L1335)+1,20))+1,20))),2),"")))</f>
        <v/>
      </c>
    </row>
    <row r="1336">
      <c r="M1336">
        <f>IF(Sync!$M1336&lt;&gt;"پاس چک","",IF(Sync!$P1336="","",Sync!$P1336))</f>
        <v/>
      </c>
      <c r="N1336">
        <f>IF($M1336="","",IF(ISNUMBER(Sync!$L1336),IF(AND(Sync!$L1336&gt;=10000101,Sync!$L1336&lt;=99991231),RIGHT("0000"&amp;INT(Sync!$L1336/10000),4)&amp;"/"&amp;RIGHT("00"&amp;INT(MOD(Sync!$L1336,10000)/100),2)&amp;"/"&amp;RIGHT("00"&amp;MOD(Sync!$L1336,100),2),""),IFERROR(RIGHT("0000"&amp;VALUE(TRIM(LEFT(Sync!$L1336,FIND("/",Sync!$L1336)-1))),4)&amp;"/"&amp;RIGHT("00"&amp;VALUE(TRIM(LEFT(MID(Sync!$L1336,FIND("/",Sync!$L1336)+1,20),FIND("/",MID(Sync!$L1336,FIND("/",Sync!$L1336)+1,20))-1))),2)&amp;"/"&amp;RIGHT("00"&amp;VALUE(TRIM(MID(MID(Sync!$L1336,FIND("/",Sync!$L1336)+1,20),FIND("/",MID(Sync!$L1336,FIND("/",Sync!$L1336)+1,20))+1,20))),2),"")))</f>
        <v/>
      </c>
    </row>
    <row r="1337">
      <c r="M1337">
        <f>IF(Sync!$M1337&lt;&gt;"پاس چک","",IF(Sync!$P1337="","",Sync!$P1337))</f>
        <v/>
      </c>
      <c r="N1337">
        <f>IF($M1337="","",IF(ISNUMBER(Sync!$L1337),IF(AND(Sync!$L1337&gt;=10000101,Sync!$L1337&lt;=99991231),RIGHT("0000"&amp;INT(Sync!$L1337/10000),4)&amp;"/"&amp;RIGHT("00"&amp;INT(MOD(Sync!$L1337,10000)/100),2)&amp;"/"&amp;RIGHT("00"&amp;MOD(Sync!$L1337,100),2),""),IFERROR(RIGHT("0000"&amp;VALUE(TRIM(LEFT(Sync!$L1337,FIND("/",Sync!$L1337)-1))),4)&amp;"/"&amp;RIGHT("00"&amp;VALUE(TRIM(LEFT(MID(Sync!$L1337,FIND("/",Sync!$L1337)+1,20),FIND("/",MID(Sync!$L1337,FIND("/",Sync!$L1337)+1,20))-1))),2)&amp;"/"&amp;RIGHT("00"&amp;VALUE(TRIM(MID(MID(Sync!$L1337,FIND("/",Sync!$L1337)+1,20),FIND("/",MID(Sync!$L1337,FIND("/",Sync!$L1337)+1,20))+1,20))),2),"")))</f>
        <v/>
      </c>
    </row>
    <row r="1338">
      <c r="M1338">
        <f>IF(Sync!$M1338&lt;&gt;"پاس چک","",IF(Sync!$P1338="","",Sync!$P1338))</f>
        <v/>
      </c>
      <c r="N1338">
        <f>IF($M1338="","",IF(ISNUMBER(Sync!$L1338),IF(AND(Sync!$L1338&gt;=10000101,Sync!$L1338&lt;=99991231),RIGHT("0000"&amp;INT(Sync!$L1338/10000),4)&amp;"/"&amp;RIGHT("00"&amp;INT(MOD(Sync!$L1338,10000)/100),2)&amp;"/"&amp;RIGHT("00"&amp;MOD(Sync!$L1338,100),2),""),IFERROR(RIGHT("0000"&amp;VALUE(TRIM(LEFT(Sync!$L1338,FIND("/",Sync!$L1338)-1))),4)&amp;"/"&amp;RIGHT("00"&amp;VALUE(TRIM(LEFT(MID(Sync!$L1338,FIND("/",Sync!$L1338)+1,20),FIND("/",MID(Sync!$L1338,FIND("/",Sync!$L1338)+1,20))-1))),2)&amp;"/"&amp;RIGHT("00"&amp;VALUE(TRIM(MID(MID(Sync!$L1338,FIND("/",Sync!$L1338)+1,20),FIND("/",MID(Sync!$L1338,FIND("/",Sync!$L1338)+1,20))+1,20))),2),"")))</f>
        <v/>
      </c>
    </row>
    <row r="1339">
      <c r="M1339">
        <f>IF(Sync!$M1339&lt;&gt;"پاس چک","",IF(Sync!$P1339="","",Sync!$P1339))</f>
        <v/>
      </c>
      <c r="N1339">
        <f>IF($M1339="","",IF(ISNUMBER(Sync!$L1339),IF(AND(Sync!$L1339&gt;=10000101,Sync!$L1339&lt;=99991231),RIGHT("0000"&amp;INT(Sync!$L1339/10000),4)&amp;"/"&amp;RIGHT("00"&amp;INT(MOD(Sync!$L1339,10000)/100),2)&amp;"/"&amp;RIGHT("00"&amp;MOD(Sync!$L1339,100),2),""),IFERROR(RIGHT("0000"&amp;VALUE(TRIM(LEFT(Sync!$L1339,FIND("/",Sync!$L1339)-1))),4)&amp;"/"&amp;RIGHT("00"&amp;VALUE(TRIM(LEFT(MID(Sync!$L1339,FIND("/",Sync!$L1339)+1,20),FIND("/",MID(Sync!$L1339,FIND("/",Sync!$L1339)+1,20))-1))),2)&amp;"/"&amp;RIGHT("00"&amp;VALUE(TRIM(MID(MID(Sync!$L1339,FIND("/",Sync!$L1339)+1,20),FIND("/",MID(Sync!$L1339,FIND("/",Sync!$L1339)+1,20))+1,20))),2),"")))</f>
        <v/>
      </c>
    </row>
    <row r="1340">
      <c r="M1340">
        <f>IF(Sync!$M1340&lt;&gt;"پاس چک","",IF(Sync!$P1340="","",Sync!$P1340))</f>
        <v/>
      </c>
      <c r="N1340">
        <f>IF($M1340="","",IF(ISNUMBER(Sync!$L1340),IF(AND(Sync!$L1340&gt;=10000101,Sync!$L1340&lt;=99991231),RIGHT("0000"&amp;INT(Sync!$L1340/10000),4)&amp;"/"&amp;RIGHT("00"&amp;INT(MOD(Sync!$L1340,10000)/100),2)&amp;"/"&amp;RIGHT("00"&amp;MOD(Sync!$L1340,100),2),""),IFERROR(RIGHT("0000"&amp;VALUE(TRIM(LEFT(Sync!$L1340,FIND("/",Sync!$L1340)-1))),4)&amp;"/"&amp;RIGHT("00"&amp;VALUE(TRIM(LEFT(MID(Sync!$L1340,FIND("/",Sync!$L1340)+1,20),FIND("/",MID(Sync!$L1340,FIND("/",Sync!$L1340)+1,20))-1))),2)&amp;"/"&amp;RIGHT("00"&amp;VALUE(TRIM(MID(MID(Sync!$L1340,FIND("/",Sync!$L1340)+1,20),FIND("/",MID(Sync!$L1340,FIND("/",Sync!$L1340)+1,20))+1,20))),2),"")))</f>
        <v/>
      </c>
    </row>
    <row r="1341">
      <c r="M1341">
        <f>IF(Sync!$M1341&lt;&gt;"پاس چک","",IF(Sync!$P1341="","",Sync!$P1341))</f>
        <v/>
      </c>
      <c r="N1341">
        <f>IF($M1341="","",IF(ISNUMBER(Sync!$L1341),IF(AND(Sync!$L1341&gt;=10000101,Sync!$L1341&lt;=99991231),RIGHT("0000"&amp;INT(Sync!$L1341/10000),4)&amp;"/"&amp;RIGHT("00"&amp;INT(MOD(Sync!$L1341,10000)/100),2)&amp;"/"&amp;RIGHT("00"&amp;MOD(Sync!$L1341,100),2),""),IFERROR(RIGHT("0000"&amp;VALUE(TRIM(LEFT(Sync!$L1341,FIND("/",Sync!$L1341)-1))),4)&amp;"/"&amp;RIGHT("00"&amp;VALUE(TRIM(LEFT(MID(Sync!$L1341,FIND("/",Sync!$L1341)+1,20),FIND("/",MID(Sync!$L1341,FIND("/",Sync!$L1341)+1,20))-1))),2)&amp;"/"&amp;RIGHT("00"&amp;VALUE(TRIM(MID(MID(Sync!$L1341,FIND("/",Sync!$L1341)+1,20),FIND("/",MID(Sync!$L1341,FIND("/",Sync!$L1341)+1,20))+1,20))),2),"")))</f>
        <v/>
      </c>
    </row>
    <row r="1342">
      <c r="M1342">
        <f>IF(Sync!$M1342&lt;&gt;"پاس چک","",IF(Sync!$P1342="","",Sync!$P1342))</f>
        <v/>
      </c>
      <c r="N1342">
        <f>IF($M1342="","",IF(ISNUMBER(Sync!$L1342),IF(AND(Sync!$L1342&gt;=10000101,Sync!$L1342&lt;=99991231),RIGHT("0000"&amp;INT(Sync!$L1342/10000),4)&amp;"/"&amp;RIGHT("00"&amp;INT(MOD(Sync!$L1342,10000)/100),2)&amp;"/"&amp;RIGHT("00"&amp;MOD(Sync!$L1342,100),2),""),IFERROR(RIGHT("0000"&amp;VALUE(TRIM(LEFT(Sync!$L1342,FIND("/",Sync!$L1342)-1))),4)&amp;"/"&amp;RIGHT("00"&amp;VALUE(TRIM(LEFT(MID(Sync!$L1342,FIND("/",Sync!$L1342)+1,20),FIND("/",MID(Sync!$L1342,FIND("/",Sync!$L1342)+1,20))-1))),2)&amp;"/"&amp;RIGHT("00"&amp;VALUE(TRIM(MID(MID(Sync!$L1342,FIND("/",Sync!$L1342)+1,20),FIND("/",MID(Sync!$L1342,FIND("/",Sync!$L1342)+1,20))+1,20))),2),"")))</f>
        <v/>
      </c>
    </row>
    <row r="1343">
      <c r="M1343">
        <f>IF(Sync!$M1343&lt;&gt;"پاس چک","",IF(Sync!$P1343="","",Sync!$P1343))</f>
        <v/>
      </c>
      <c r="N1343">
        <f>IF($M1343="","",IF(ISNUMBER(Sync!$L1343),IF(AND(Sync!$L1343&gt;=10000101,Sync!$L1343&lt;=99991231),RIGHT("0000"&amp;INT(Sync!$L1343/10000),4)&amp;"/"&amp;RIGHT("00"&amp;INT(MOD(Sync!$L1343,10000)/100),2)&amp;"/"&amp;RIGHT("00"&amp;MOD(Sync!$L1343,100),2),""),IFERROR(RIGHT("0000"&amp;VALUE(TRIM(LEFT(Sync!$L1343,FIND("/",Sync!$L1343)-1))),4)&amp;"/"&amp;RIGHT("00"&amp;VALUE(TRIM(LEFT(MID(Sync!$L1343,FIND("/",Sync!$L1343)+1,20),FIND("/",MID(Sync!$L1343,FIND("/",Sync!$L1343)+1,20))-1))),2)&amp;"/"&amp;RIGHT("00"&amp;VALUE(TRIM(MID(MID(Sync!$L1343,FIND("/",Sync!$L1343)+1,20),FIND("/",MID(Sync!$L1343,FIND("/",Sync!$L1343)+1,20))+1,20))),2),"")))</f>
        <v/>
      </c>
    </row>
    <row r="1344">
      <c r="M1344">
        <f>IF(Sync!$M1344&lt;&gt;"پاس چک","",IF(Sync!$P1344="","",Sync!$P1344))</f>
        <v/>
      </c>
      <c r="N1344">
        <f>IF($M1344="","",IF(ISNUMBER(Sync!$L1344),IF(AND(Sync!$L1344&gt;=10000101,Sync!$L1344&lt;=99991231),RIGHT("0000"&amp;INT(Sync!$L1344/10000),4)&amp;"/"&amp;RIGHT("00"&amp;INT(MOD(Sync!$L1344,10000)/100),2)&amp;"/"&amp;RIGHT("00"&amp;MOD(Sync!$L1344,100),2),""),IFERROR(RIGHT("0000"&amp;VALUE(TRIM(LEFT(Sync!$L1344,FIND("/",Sync!$L1344)-1))),4)&amp;"/"&amp;RIGHT("00"&amp;VALUE(TRIM(LEFT(MID(Sync!$L1344,FIND("/",Sync!$L1344)+1,20),FIND("/",MID(Sync!$L1344,FIND("/",Sync!$L1344)+1,20))-1))),2)&amp;"/"&amp;RIGHT("00"&amp;VALUE(TRIM(MID(MID(Sync!$L1344,FIND("/",Sync!$L1344)+1,20),FIND("/",MID(Sync!$L1344,FIND("/",Sync!$L1344)+1,20))+1,20))),2),"")))</f>
        <v/>
      </c>
    </row>
    <row r="1345">
      <c r="M1345">
        <f>IF(Sync!$M1345&lt;&gt;"پاس چک","",IF(Sync!$P1345="","",Sync!$P1345))</f>
        <v/>
      </c>
      <c r="N1345">
        <f>IF($M1345="","",IF(ISNUMBER(Sync!$L1345),IF(AND(Sync!$L1345&gt;=10000101,Sync!$L1345&lt;=99991231),RIGHT("0000"&amp;INT(Sync!$L1345/10000),4)&amp;"/"&amp;RIGHT("00"&amp;INT(MOD(Sync!$L1345,10000)/100),2)&amp;"/"&amp;RIGHT("00"&amp;MOD(Sync!$L1345,100),2),""),IFERROR(RIGHT("0000"&amp;VALUE(TRIM(LEFT(Sync!$L1345,FIND("/",Sync!$L1345)-1))),4)&amp;"/"&amp;RIGHT("00"&amp;VALUE(TRIM(LEFT(MID(Sync!$L1345,FIND("/",Sync!$L1345)+1,20),FIND("/",MID(Sync!$L1345,FIND("/",Sync!$L1345)+1,20))-1))),2)&amp;"/"&amp;RIGHT("00"&amp;VALUE(TRIM(MID(MID(Sync!$L1345,FIND("/",Sync!$L1345)+1,20),FIND("/",MID(Sync!$L1345,FIND("/",Sync!$L1345)+1,20))+1,20))),2),"")))</f>
        <v/>
      </c>
    </row>
    <row r="1346">
      <c r="M1346">
        <f>IF(Sync!$M1346&lt;&gt;"پاس چک","",IF(Sync!$P1346="","",Sync!$P1346))</f>
        <v/>
      </c>
      <c r="N1346">
        <f>IF($M1346="","",IF(ISNUMBER(Sync!$L1346),IF(AND(Sync!$L1346&gt;=10000101,Sync!$L1346&lt;=99991231),RIGHT("0000"&amp;INT(Sync!$L1346/10000),4)&amp;"/"&amp;RIGHT("00"&amp;INT(MOD(Sync!$L1346,10000)/100),2)&amp;"/"&amp;RIGHT("00"&amp;MOD(Sync!$L1346,100),2),""),IFERROR(RIGHT("0000"&amp;VALUE(TRIM(LEFT(Sync!$L1346,FIND("/",Sync!$L1346)-1))),4)&amp;"/"&amp;RIGHT("00"&amp;VALUE(TRIM(LEFT(MID(Sync!$L1346,FIND("/",Sync!$L1346)+1,20),FIND("/",MID(Sync!$L1346,FIND("/",Sync!$L1346)+1,20))-1))),2)&amp;"/"&amp;RIGHT("00"&amp;VALUE(TRIM(MID(MID(Sync!$L1346,FIND("/",Sync!$L1346)+1,20),FIND("/",MID(Sync!$L1346,FIND("/",Sync!$L1346)+1,20))+1,20))),2),"")))</f>
        <v/>
      </c>
    </row>
    <row r="1347">
      <c r="M1347">
        <f>IF(Sync!$M1347&lt;&gt;"پاس چک","",IF(Sync!$P1347="","",Sync!$P1347))</f>
        <v/>
      </c>
      <c r="N1347">
        <f>IF($M1347="","",IF(ISNUMBER(Sync!$L1347),IF(AND(Sync!$L1347&gt;=10000101,Sync!$L1347&lt;=99991231),RIGHT("0000"&amp;INT(Sync!$L1347/10000),4)&amp;"/"&amp;RIGHT("00"&amp;INT(MOD(Sync!$L1347,10000)/100),2)&amp;"/"&amp;RIGHT("00"&amp;MOD(Sync!$L1347,100),2),""),IFERROR(RIGHT("0000"&amp;VALUE(TRIM(LEFT(Sync!$L1347,FIND("/",Sync!$L1347)-1))),4)&amp;"/"&amp;RIGHT("00"&amp;VALUE(TRIM(LEFT(MID(Sync!$L1347,FIND("/",Sync!$L1347)+1,20),FIND("/",MID(Sync!$L1347,FIND("/",Sync!$L1347)+1,20))-1))),2)&amp;"/"&amp;RIGHT("00"&amp;VALUE(TRIM(MID(MID(Sync!$L1347,FIND("/",Sync!$L1347)+1,20),FIND("/",MID(Sync!$L1347,FIND("/",Sync!$L1347)+1,20))+1,20))),2),"")))</f>
        <v/>
      </c>
    </row>
    <row r="1348">
      <c r="M1348">
        <f>IF(Sync!$M1348&lt;&gt;"پاس چک","",IF(Sync!$P1348="","",Sync!$P1348))</f>
        <v/>
      </c>
      <c r="N1348">
        <f>IF($M1348="","",IF(ISNUMBER(Sync!$L1348),IF(AND(Sync!$L1348&gt;=10000101,Sync!$L1348&lt;=99991231),RIGHT("0000"&amp;INT(Sync!$L1348/10000),4)&amp;"/"&amp;RIGHT("00"&amp;INT(MOD(Sync!$L1348,10000)/100),2)&amp;"/"&amp;RIGHT("00"&amp;MOD(Sync!$L1348,100),2),""),IFERROR(RIGHT("0000"&amp;VALUE(TRIM(LEFT(Sync!$L1348,FIND("/",Sync!$L1348)-1))),4)&amp;"/"&amp;RIGHT("00"&amp;VALUE(TRIM(LEFT(MID(Sync!$L1348,FIND("/",Sync!$L1348)+1,20),FIND("/",MID(Sync!$L1348,FIND("/",Sync!$L1348)+1,20))-1))),2)&amp;"/"&amp;RIGHT("00"&amp;VALUE(TRIM(MID(MID(Sync!$L1348,FIND("/",Sync!$L1348)+1,20),FIND("/",MID(Sync!$L1348,FIND("/",Sync!$L1348)+1,20))+1,20))),2),"")))</f>
        <v/>
      </c>
    </row>
    <row r="1349">
      <c r="M1349">
        <f>IF(Sync!$M1349&lt;&gt;"پاس چک","",IF(Sync!$P1349="","",Sync!$P1349))</f>
        <v/>
      </c>
      <c r="N1349">
        <f>IF($M1349="","",IF(ISNUMBER(Sync!$L1349),IF(AND(Sync!$L1349&gt;=10000101,Sync!$L1349&lt;=99991231),RIGHT("0000"&amp;INT(Sync!$L1349/10000),4)&amp;"/"&amp;RIGHT("00"&amp;INT(MOD(Sync!$L1349,10000)/100),2)&amp;"/"&amp;RIGHT("00"&amp;MOD(Sync!$L1349,100),2),""),IFERROR(RIGHT("0000"&amp;VALUE(TRIM(LEFT(Sync!$L1349,FIND("/",Sync!$L1349)-1))),4)&amp;"/"&amp;RIGHT("00"&amp;VALUE(TRIM(LEFT(MID(Sync!$L1349,FIND("/",Sync!$L1349)+1,20),FIND("/",MID(Sync!$L1349,FIND("/",Sync!$L1349)+1,20))-1))),2)&amp;"/"&amp;RIGHT("00"&amp;VALUE(TRIM(MID(MID(Sync!$L1349,FIND("/",Sync!$L1349)+1,20),FIND("/",MID(Sync!$L1349,FIND("/",Sync!$L1349)+1,20))+1,20))),2),"")))</f>
        <v/>
      </c>
    </row>
    <row r="1350">
      <c r="M1350">
        <f>IF(Sync!$M1350&lt;&gt;"پاس چک","",IF(Sync!$P1350="","",Sync!$P1350))</f>
        <v/>
      </c>
      <c r="N1350">
        <f>IF($M1350="","",IF(ISNUMBER(Sync!$L1350),IF(AND(Sync!$L1350&gt;=10000101,Sync!$L1350&lt;=99991231),RIGHT("0000"&amp;INT(Sync!$L1350/10000),4)&amp;"/"&amp;RIGHT("00"&amp;INT(MOD(Sync!$L1350,10000)/100),2)&amp;"/"&amp;RIGHT("00"&amp;MOD(Sync!$L1350,100),2),""),IFERROR(RIGHT("0000"&amp;VALUE(TRIM(LEFT(Sync!$L1350,FIND("/",Sync!$L1350)-1))),4)&amp;"/"&amp;RIGHT("00"&amp;VALUE(TRIM(LEFT(MID(Sync!$L1350,FIND("/",Sync!$L1350)+1,20),FIND("/",MID(Sync!$L1350,FIND("/",Sync!$L1350)+1,20))-1))),2)&amp;"/"&amp;RIGHT("00"&amp;VALUE(TRIM(MID(MID(Sync!$L1350,FIND("/",Sync!$L1350)+1,20),FIND("/",MID(Sync!$L1350,FIND("/",Sync!$L1350)+1,20))+1,20))),2),"")))</f>
        <v/>
      </c>
    </row>
    <row r="1351">
      <c r="M1351">
        <f>IF(Sync!$M1351&lt;&gt;"پاس چک","",IF(Sync!$P1351="","",Sync!$P1351))</f>
        <v/>
      </c>
      <c r="N1351">
        <f>IF($M1351="","",IF(ISNUMBER(Sync!$L1351),IF(AND(Sync!$L1351&gt;=10000101,Sync!$L1351&lt;=99991231),RIGHT("0000"&amp;INT(Sync!$L1351/10000),4)&amp;"/"&amp;RIGHT("00"&amp;INT(MOD(Sync!$L1351,10000)/100),2)&amp;"/"&amp;RIGHT("00"&amp;MOD(Sync!$L1351,100),2),""),IFERROR(RIGHT("0000"&amp;VALUE(TRIM(LEFT(Sync!$L1351,FIND("/",Sync!$L1351)-1))),4)&amp;"/"&amp;RIGHT("00"&amp;VALUE(TRIM(LEFT(MID(Sync!$L1351,FIND("/",Sync!$L1351)+1,20),FIND("/",MID(Sync!$L1351,FIND("/",Sync!$L1351)+1,20))-1))),2)&amp;"/"&amp;RIGHT("00"&amp;VALUE(TRIM(MID(MID(Sync!$L1351,FIND("/",Sync!$L1351)+1,20),FIND("/",MID(Sync!$L1351,FIND("/",Sync!$L1351)+1,20))+1,20))),2),"")))</f>
        <v/>
      </c>
    </row>
    <row r="1352">
      <c r="M1352">
        <f>IF(Sync!$M1352&lt;&gt;"پاس چک","",IF(Sync!$P1352="","",Sync!$P1352))</f>
        <v/>
      </c>
      <c r="N1352">
        <f>IF($M1352="","",IF(ISNUMBER(Sync!$L1352),IF(AND(Sync!$L1352&gt;=10000101,Sync!$L1352&lt;=99991231),RIGHT("0000"&amp;INT(Sync!$L1352/10000),4)&amp;"/"&amp;RIGHT("00"&amp;INT(MOD(Sync!$L1352,10000)/100),2)&amp;"/"&amp;RIGHT("00"&amp;MOD(Sync!$L1352,100),2),""),IFERROR(RIGHT("0000"&amp;VALUE(TRIM(LEFT(Sync!$L1352,FIND("/",Sync!$L1352)-1))),4)&amp;"/"&amp;RIGHT("00"&amp;VALUE(TRIM(LEFT(MID(Sync!$L1352,FIND("/",Sync!$L1352)+1,20),FIND("/",MID(Sync!$L1352,FIND("/",Sync!$L1352)+1,20))-1))),2)&amp;"/"&amp;RIGHT("00"&amp;VALUE(TRIM(MID(MID(Sync!$L1352,FIND("/",Sync!$L1352)+1,20),FIND("/",MID(Sync!$L1352,FIND("/",Sync!$L1352)+1,20))+1,20))),2),"")))</f>
        <v/>
      </c>
    </row>
    <row r="1353">
      <c r="M1353">
        <f>IF(Sync!$M1353&lt;&gt;"پاس چک","",IF(Sync!$P1353="","",Sync!$P1353))</f>
        <v/>
      </c>
      <c r="N1353">
        <f>IF($M1353="","",IF(ISNUMBER(Sync!$L1353),IF(AND(Sync!$L1353&gt;=10000101,Sync!$L1353&lt;=99991231),RIGHT("0000"&amp;INT(Sync!$L1353/10000),4)&amp;"/"&amp;RIGHT("00"&amp;INT(MOD(Sync!$L1353,10000)/100),2)&amp;"/"&amp;RIGHT("00"&amp;MOD(Sync!$L1353,100),2),""),IFERROR(RIGHT("0000"&amp;VALUE(TRIM(LEFT(Sync!$L1353,FIND("/",Sync!$L1353)-1))),4)&amp;"/"&amp;RIGHT("00"&amp;VALUE(TRIM(LEFT(MID(Sync!$L1353,FIND("/",Sync!$L1353)+1,20),FIND("/",MID(Sync!$L1353,FIND("/",Sync!$L1353)+1,20))-1))),2)&amp;"/"&amp;RIGHT("00"&amp;VALUE(TRIM(MID(MID(Sync!$L1353,FIND("/",Sync!$L1353)+1,20),FIND("/",MID(Sync!$L1353,FIND("/",Sync!$L1353)+1,20))+1,20))),2),"")))</f>
        <v/>
      </c>
    </row>
    <row r="1354">
      <c r="M1354">
        <f>IF(Sync!$M1354&lt;&gt;"پاس چک","",IF(Sync!$P1354="","",Sync!$P1354))</f>
        <v/>
      </c>
      <c r="N1354">
        <f>IF($M1354="","",IF(ISNUMBER(Sync!$L1354),IF(AND(Sync!$L1354&gt;=10000101,Sync!$L1354&lt;=99991231),RIGHT("0000"&amp;INT(Sync!$L1354/10000),4)&amp;"/"&amp;RIGHT("00"&amp;INT(MOD(Sync!$L1354,10000)/100),2)&amp;"/"&amp;RIGHT("00"&amp;MOD(Sync!$L1354,100),2),""),IFERROR(RIGHT("0000"&amp;VALUE(TRIM(LEFT(Sync!$L1354,FIND("/",Sync!$L1354)-1))),4)&amp;"/"&amp;RIGHT("00"&amp;VALUE(TRIM(LEFT(MID(Sync!$L1354,FIND("/",Sync!$L1354)+1,20),FIND("/",MID(Sync!$L1354,FIND("/",Sync!$L1354)+1,20))-1))),2)&amp;"/"&amp;RIGHT("00"&amp;VALUE(TRIM(MID(MID(Sync!$L1354,FIND("/",Sync!$L1354)+1,20),FIND("/",MID(Sync!$L1354,FIND("/",Sync!$L1354)+1,20))+1,20))),2),"")))</f>
        <v/>
      </c>
    </row>
    <row r="1355">
      <c r="M1355">
        <f>IF(Sync!$M1355&lt;&gt;"پاس چک","",IF(Sync!$P1355="","",Sync!$P1355))</f>
        <v/>
      </c>
      <c r="N1355">
        <f>IF($M1355="","",IF(ISNUMBER(Sync!$L1355),IF(AND(Sync!$L1355&gt;=10000101,Sync!$L1355&lt;=99991231),RIGHT("0000"&amp;INT(Sync!$L1355/10000),4)&amp;"/"&amp;RIGHT("00"&amp;INT(MOD(Sync!$L1355,10000)/100),2)&amp;"/"&amp;RIGHT("00"&amp;MOD(Sync!$L1355,100),2),""),IFERROR(RIGHT("0000"&amp;VALUE(TRIM(LEFT(Sync!$L1355,FIND("/",Sync!$L1355)-1))),4)&amp;"/"&amp;RIGHT("00"&amp;VALUE(TRIM(LEFT(MID(Sync!$L1355,FIND("/",Sync!$L1355)+1,20),FIND("/",MID(Sync!$L1355,FIND("/",Sync!$L1355)+1,20))-1))),2)&amp;"/"&amp;RIGHT("00"&amp;VALUE(TRIM(MID(MID(Sync!$L1355,FIND("/",Sync!$L1355)+1,20),FIND("/",MID(Sync!$L1355,FIND("/",Sync!$L1355)+1,20))+1,20))),2),"")))</f>
        <v/>
      </c>
    </row>
    <row r="1356">
      <c r="M1356">
        <f>IF(Sync!$M1356&lt;&gt;"پاس چک","",IF(Sync!$P1356="","",Sync!$P1356))</f>
        <v/>
      </c>
      <c r="N1356">
        <f>IF($M1356="","",IF(ISNUMBER(Sync!$L1356),IF(AND(Sync!$L1356&gt;=10000101,Sync!$L1356&lt;=99991231),RIGHT("0000"&amp;INT(Sync!$L1356/10000),4)&amp;"/"&amp;RIGHT("00"&amp;INT(MOD(Sync!$L1356,10000)/100),2)&amp;"/"&amp;RIGHT("00"&amp;MOD(Sync!$L1356,100),2),""),IFERROR(RIGHT("0000"&amp;VALUE(TRIM(LEFT(Sync!$L1356,FIND("/",Sync!$L1356)-1))),4)&amp;"/"&amp;RIGHT("00"&amp;VALUE(TRIM(LEFT(MID(Sync!$L1356,FIND("/",Sync!$L1356)+1,20),FIND("/",MID(Sync!$L1356,FIND("/",Sync!$L1356)+1,20))-1))),2)&amp;"/"&amp;RIGHT("00"&amp;VALUE(TRIM(MID(MID(Sync!$L1356,FIND("/",Sync!$L1356)+1,20),FIND("/",MID(Sync!$L1356,FIND("/",Sync!$L1356)+1,20))+1,20))),2),"")))</f>
        <v/>
      </c>
    </row>
    <row r="1357">
      <c r="M1357">
        <f>IF(Sync!$M1357&lt;&gt;"پاس چک","",IF(Sync!$P1357="","",Sync!$P1357))</f>
        <v/>
      </c>
      <c r="N1357">
        <f>IF($M1357="","",IF(ISNUMBER(Sync!$L1357),IF(AND(Sync!$L1357&gt;=10000101,Sync!$L1357&lt;=99991231),RIGHT("0000"&amp;INT(Sync!$L1357/10000),4)&amp;"/"&amp;RIGHT("00"&amp;INT(MOD(Sync!$L1357,10000)/100),2)&amp;"/"&amp;RIGHT("00"&amp;MOD(Sync!$L1357,100),2),""),IFERROR(RIGHT("0000"&amp;VALUE(TRIM(LEFT(Sync!$L1357,FIND("/",Sync!$L1357)-1))),4)&amp;"/"&amp;RIGHT("00"&amp;VALUE(TRIM(LEFT(MID(Sync!$L1357,FIND("/",Sync!$L1357)+1,20),FIND("/",MID(Sync!$L1357,FIND("/",Sync!$L1357)+1,20))-1))),2)&amp;"/"&amp;RIGHT("00"&amp;VALUE(TRIM(MID(MID(Sync!$L1357,FIND("/",Sync!$L1357)+1,20),FIND("/",MID(Sync!$L1357,FIND("/",Sync!$L1357)+1,20))+1,20))),2),"")))</f>
        <v/>
      </c>
    </row>
    <row r="1358">
      <c r="M1358">
        <f>IF(Sync!$M1358&lt;&gt;"پاس چک","",IF(Sync!$P1358="","",Sync!$P1358))</f>
        <v/>
      </c>
      <c r="N1358">
        <f>IF($M1358="","",IF(ISNUMBER(Sync!$L1358),IF(AND(Sync!$L1358&gt;=10000101,Sync!$L1358&lt;=99991231),RIGHT("0000"&amp;INT(Sync!$L1358/10000),4)&amp;"/"&amp;RIGHT("00"&amp;INT(MOD(Sync!$L1358,10000)/100),2)&amp;"/"&amp;RIGHT("00"&amp;MOD(Sync!$L1358,100),2),""),IFERROR(RIGHT("0000"&amp;VALUE(TRIM(LEFT(Sync!$L1358,FIND("/",Sync!$L1358)-1))),4)&amp;"/"&amp;RIGHT("00"&amp;VALUE(TRIM(LEFT(MID(Sync!$L1358,FIND("/",Sync!$L1358)+1,20),FIND("/",MID(Sync!$L1358,FIND("/",Sync!$L1358)+1,20))-1))),2)&amp;"/"&amp;RIGHT("00"&amp;VALUE(TRIM(MID(MID(Sync!$L1358,FIND("/",Sync!$L1358)+1,20),FIND("/",MID(Sync!$L1358,FIND("/",Sync!$L1358)+1,20))+1,20))),2),"")))</f>
        <v/>
      </c>
    </row>
    <row r="1359">
      <c r="M1359">
        <f>IF(Sync!$M1359&lt;&gt;"پاس چک","",IF(Sync!$P1359="","",Sync!$P1359))</f>
        <v/>
      </c>
      <c r="N1359">
        <f>IF($M1359="","",IF(ISNUMBER(Sync!$L1359),IF(AND(Sync!$L1359&gt;=10000101,Sync!$L1359&lt;=99991231),RIGHT("0000"&amp;INT(Sync!$L1359/10000),4)&amp;"/"&amp;RIGHT("00"&amp;INT(MOD(Sync!$L1359,10000)/100),2)&amp;"/"&amp;RIGHT("00"&amp;MOD(Sync!$L1359,100),2),""),IFERROR(RIGHT("0000"&amp;VALUE(TRIM(LEFT(Sync!$L1359,FIND("/",Sync!$L1359)-1))),4)&amp;"/"&amp;RIGHT("00"&amp;VALUE(TRIM(LEFT(MID(Sync!$L1359,FIND("/",Sync!$L1359)+1,20),FIND("/",MID(Sync!$L1359,FIND("/",Sync!$L1359)+1,20))-1))),2)&amp;"/"&amp;RIGHT("00"&amp;VALUE(TRIM(MID(MID(Sync!$L1359,FIND("/",Sync!$L1359)+1,20),FIND("/",MID(Sync!$L1359,FIND("/",Sync!$L1359)+1,20))+1,20))),2),"")))</f>
        <v/>
      </c>
    </row>
    <row r="1360">
      <c r="M1360">
        <f>IF(Sync!$M1360&lt;&gt;"پاس چک","",IF(Sync!$P1360="","",Sync!$P1360))</f>
        <v/>
      </c>
      <c r="N1360">
        <f>IF($M1360="","",IF(ISNUMBER(Sync!$L1360),IF(AND(Sync!$L1360&gt;=10000101,Sync!$L1360&lt;=99991231),RIGHT("0000"&amp;INT(Sync!$L1360/10000),4)&amp;"/"&amp;RIGHT("00"&amp;INT(MOD(Sync!$L1360,10000)/100),2)&amp;"/"&amp;RIGHT("00"&amp;MOD(Sync!$L1360,100),2),""),IFERROR(RIGHT("0000"&amp;VALUE(TRIM(LEFT(Sync!$L1360,FIND("/",Sync!$L1360)-1))),4)&amp;"/"&amp;RIGHT("00"&amp;VALUE(TRIM(LEFT(MID(Sync!$L1360,FIND("/",Sync!$L1360)+1,20),FIND("/",MID(Sync!$L1360,FIND("/",Sync!$L1360)+1,20))-1))),2)&amp;"/"&amp;RIGHT("00"&amp;VALUE(TRIM(MID(MID(Sync!$L1360,FIND("/",Sync!$L1360)+1,20),FIND("/",MID(Sync!$L1360,FIND("/",Sync!$L1360)+1,20))+1,20))),2),"")))</f>
        <v/>
      </c>
    </row>
    <row r="1361">
      <c r="M1361">
        <f>IF(Sync!$M1361&lt;&gt;"پاس چک","",IF(Sync!$P1361="","",Sync!$P1361))</f>
        <v/>
      </c>
      <c r="N1361">
        <f>IF($M1361="","",IF(ISNUMBER(Sync!$L1361),IF(AND(Sync!$L1361&gt;=10000101,Sync!$L1361&lt;=99991231),RIGHT("0000"&amp;INT(Sync!$L1361/10000),4)&amp;"/"&amp;RIGHT("00"&amp;INT(MOD(Sync!$L1361,10000)/100),2)&amp;"/"&amp;RIGHT("00"&amp;MOD(Sync!$L1361,100),2),""),IFERROR(RIGHT("0000"&amp;VALUE(TRIM(LEFT(Sync!$L1361,FIND("/",Sync!$L1361)-1))),4)&amp;"/"&amp;RIGHT("00"&amp;VALUE(TRIM(LEFT(MID(Sync!$L1361,FIND("/",Sync!$L1361)+1,20),FIND("/",MID(Sync!$L1361,FIND("/",Sync!$L1361)+1,20))-1))),2)&amp;"/"&amp;RIGHT("00"&amp;VALUE(TRIM(MID(MID(Sync!$L1361,FIND("/",Sync!$L1361)+1,20),FIND("/",MID(Sync!$L1361,FIND("/",Sync!$L1361)+1,20))+1,20))),2),"")))</f>
        <v/>
      </c>
    </row>
    <row r="1362">
      <c r="M1362">
        <f>IF(Sync!$M1362&lt;&gt;"پاس چک","",IF(Sync!$P1362="","",Sync!$P1362))</f>
        <v/>
      </c>
      <c r="N1362">
        <f>IF($M1362="","",IF(ISNUMBER(Sync!$L1362),IF(AND(Sync!$L1362&gt;=10000101,Sync!$L1362&lt;=99991231),RIGHT("0000"&amp;INT(Sync!$L1362/10000),4)&amp;"/"&amp;RIGHT("00"&amp;INT(MOD(Sync!$L1362,10000)/100),2)&amp;"/"&amp;RIGHT("00"&amp;MOD(Sync!$L1362,100),2),""),IFERROR(RIGHT("0000"&amp;VALUE(TRIM(LEFT(Sync!$L1362,FIND("/",Sync!$L1362)-1))),4)&amp;"/"&amp;RIGHT("00"&amp;VALUE(TRIM(LEFT(MID(Sync!$L1362,FIND("/",Sync!$L1362)+1,20),FIND("/",MID(Sync!$L1362,FIND("/",Sync!$L1362)+1,20))-1))),2)&amp;"/"&amp;RIGHT("00"&amp;VALUE(TRIM(MID(MID(Sync!$L1362,FIND("/",Sync!$L1362)+1,20),FIND("/",MID(Sync!$L1362,FIND("/",Sync!$L1362)+1,20))+1,20))),2),"")))</f>
        <v/>
      </c>
    </row>
    <row r="1363">
      <c r="M1363">
        <f>IF(Sync!$M1363&lt;&gt;"پاس چک","",IF(Sync!$P1363="","",Sync!$P1363))</f>
        <v/>
      </c>
      <c r="N1363">
        <f>IF($M1363="","",IF(ISNUMBER(Sync!$L1363),IF(AND(Sync!$L1363&gt;=10000101,Sync!$L1363&lt;=99991231),RIGHT("0000"&amp;INT(Sync!$L1363/10000),4)&amp;"/"&amp;RIGHT("00"&amp;INT(MOD(Sync!$L1363,10000)/100),2)&amp;"/"&amp;RIGHT("00"&amp;MOD(Sync!$L1363,100),2),""),IFERROR(RIGHT("0000"&amp;VALUE(TRIM(LEFT(Sync!$L1363,FIND("/",Sync!$L1363)-1))),4)&amp;"/"&amp;RIGHT("00"&amp;VALUE(TRIM(LEFT(MID(Sync!$L1363,FIND("/",Sync!$L1363)+1,20),FIND("/",MID(Sync!$L1363,FIND("/",Sync!$L1363)+1,20))-1))),2)&amp;"/"&amp;RIGHT("00"&amp;VALUE(TRIM(MID(MID(Sync!$L1363,FIND("/",Sync!$L1363)+1,20),FIND("/",MID(Sync!$L1363,FIND("/",Sync!$L1363)+1,20))+1,20))),2),"")))</f>
        <v/>
      </c>
    </row>
    <row r="1364">
      <c r="M1364">
        <f>IF(Sync!$M1364&lt;&gt;"پاس چک","",IF(Sync!$P1364="","",Sync!$P1364))</f>
        <v/>
      </c>
      <c r="N1364">
        <f>IF($M1364="","",IF(ISNUMBER(Sync!$L1364),IF(AND(Sync!$L1364&gt;=10000101,Sync!$L1364&lt;=99991231),RIGHT("0000"&amp;INT(Sync!$L1364/10000),4)&amp;"/"&amp;RIGHT("00"&amp;INT(MOD(Sync!$L1364,10000)/100),2)&amp;"/"&amp;RIGHT("00"&amp;MOD(Sync!$L1364,100),2),""),IFERROR(RIGHT("0000"&amp;VALUE(TRIM(LEFT(Sync!$L1364,FIND("/",Sync!$L1364)-1))),4)&amp;"/"&amp;RIGHT("00"&amp;VALUE(TRIM(LEFT(MID(Sync!$L1364,FIND("/",Sync!$L1364)+1,20),FIND("/",MID(Sync!$L1364,FIND("/",Sync!$L1364)+1,20))-1))),2)&amp;"/"&amp;RIGHT("00"&amp;VALUE(TRIM(MID(MID(Sync!$L1364,FIND("/",Sync!$L1364)+1,20),FIND("/",MID(Sync!$L1364,FIND("/",Sync!$L1364)+1,20))+1,20))),2),"")))</f>
        <v/>
      </c>
    </row>
    <row r="1365">
      <c r="M1365">
        <f>IF(Sync!$M1365&lt;&gt;"پاس چک","",IF(Sync!$P1365="","",Sync!$P1365))</f>
        <v/>
      </c>
      <c r="N1365">
        <f>IF($M1365="","",IF(ISNUMBER(Sync!$L1365),IF(AND(Sync!$L1365&gt;=10000101,Sync!$L1365&lt;=99991231),RIGHT("0000"&amp;INT(Sync!$L1365/10000),4)&amp;"/"&amp;RIGHT("00"&amp;INT(MOD(Sync!$L1365,10000)/100),2)&amp;"/"&amp;RIGHT("00"&amp;MOD(Sync!$L1365,100),2),""),IFERROR(RIGHT("0000"&amp;VALUE(TRIM(LEFT(Sync!$L1365,FIND("/",Sync!$L1365)-1))),4)&amp;"/"&amp;RIGHT("00"&amp;VALUE(TRIM(LEFT(MID(Sync!$L1365,FIND("/",Sync!$L1365)+1,20),FIND("/",MID(Sync!$L1365,FIND("/",Sync!$L1365)+1,20))-1))),2)&amp;"/"&amp;RIGHT("00"&amp;VALUE(TRIM(MID(MID(Sync!$L1365,FIND("/",Sync!$L1365)+1,20),FIND("/",MID(Sync!$L1365,FIND("/",Sync!$L1365)+1,20))+1,20))),2),"")))</f>
        <v/>
      </c>
    </row>
    <row r="1366">
      <c r="M1366">
        <f>IF(Sync!$M1366&lt;&gt;"پاس چک","",IF(Sync!$P1366="","",Sync!$P1366))</f>
        <v/>
      </c>
      <c r="N1366">
        <f>IF($M1366="","",IF(ISNUMBER(Sync!$L1366),IF(AND(Sync!$L1366&gt;=10000101,Sync!$L1366&lt;=99991231),RIGHT("0000"&amp;INT(Sync!$L1366/10000),4)&amp;"/"&amp;RIGHT("00"&amp;INT(MOD(Sync!$L1366,10000)/100),2)&amp;"/"&amp;RIGHT("00"&amp;MOD(Sync!$L1366,100),2),""),IFERROR(RIGHT("0000"&amp;VALUE(TRIM(LEFT(Sync!$L1366,FIND("/",Sync!$L1366)-1))),4)&amp;"/"&amp;RIGHT("00"&amp;VALUE(TRIM(LEFT(MID(Sync!$L1366,FIND("/",Sync!$L1366)+1,20),FIND("/",MID(Sync!$L1366,FIND("/",Sync!$L1366)+1,20))-1))),2)&amp;"/"&amp;RIGHT("00"&amp;VALUE(TRIM(MID(MID(Sync!$L1366,FIND("/",Sync!$L1366)+1,20),FIND("/",MID(Sync!$L1366,FIND("/",Sync!$L1366)+1,20))+1,20))),2),"")))</f>
        <v/>
      </c>
    </row>
    <row r="1367">
      <c r="M1367">
        <f>IF(Sync!$M1367&lt;&gt;"پاس چک","",IF(Sync!$P1367="","",Sync!$P1367))</f>
        <v/>
      </c>
      <c r="N1367">
        <f>IF($M1367="","",IF(ISNUMBER(Sync!$L1367),IF(AND(Sync!$L1367&gt;=10000101,Sync!$L1367&lt;=99991231),RIGHT("0000"&amp;INT(Sync!$L1367/10000),4)&amp;"/"&amp;RIGHT("00"&amp;INT(MOD(Sync!$L1367,10000)/100),2)&amp;"/"&amp;RIGHT("00"&amp;MOD(Sync!$L1367,100),2),""),IFERROR(RIGHT("0000"&amp;VALUE(TRIM(LEFT(Sync!$L1367,FIND("/",Sync!$L1367)-1))),4)&amp;"/"&amp;RIGHT("00"&amp;VALUE(TRIM(LEFT(MID(Sync!$L1367,FIND("/",Sync!$L1367)+1,20),FIND("/",MID(Sync!$L1367,FIND("/",Sync!$L1367)+1,20))-1))),2)&amp;"/"&amp;RIGHT("00"&amp;VALUE(TRIM(MID(MID(Sync!$L1367,FIND("/",Sync!$L1367)+1,20),FIND("/",MID(Sync!$L1367,FIND("/",Sync!$L1367)+1,20))+1,20))),2),"")))</f>
        <v/>
      </c>
    </row>
    <row r="1368">
      <c r="M1368">
        <f>IF(Sync!$M1368&lt;&gt;"پاس چک","",IF(Sync!$P1368="","",Sync!$P1368))</f>
        <v/>
      </c>
      <c r="N1368">
        <f>IF($M1368="","",IF(ISNUMBER(Sync!$L1368),IF(AND(Sync!$L1368&gt;=10000101,Sync!$L1368&lt;=99991231),RIGHT("0000"&amp;INT(Sync!$L1368/10000),4)&amp;"/"&amp;RIGHT("00"&amp;INT(MOD(Sync!$L1368,10000)/100),2)&amp;"/"&amp;RIGHT("00"&amp;MOD(Sync!$L1368,100),2),""),IFERROR(RIGHT("0000"&amp;VALUE(TRIM(LEFT(Sync!$L1368,FIND("/",Sync!$L1368)-1))),4)&amp;"/"&amp;RIGHT("00"&amp;VALUE(TRIM(LEFT(MID(Sync!$L1368,FIND("/",Sync!$L1368)+1,20),FIND("/",MID(Sync!$L1368,FIND("/",Sync!$L1368)+1,20))-1))),2)&amp;"/"&amp;RIGHT("00"&amp;VALUE(TRIM(MID(MID(Sync!$L1368,FIND("/",Sync!$L1368)+1,20),FIND("/",MID(Sync!$L1368,FIND("/",Sync!$L1368)+1,20))+1,20))),2),"")))</f>
        <v/>
      </c>
    </row>
    <row r="1369">
      <c r="M1369">
        <f>IF(Sync!$M1369&lt;&gt;"پاس چک","",IF(Sync!$P1369="","",Sync!$P1369))</f>
        <v/>
      </c>
      <c r="N1369">
        <f>IF($M1369="","",IF(ISNUMBER(Sync!$L1369),IF(AND(Sync!$L1369&gt;=10000101,Sync!$L1369&lt;=99991231),RIGHT("0000"&amp;INT(Sync!$L1369/10000),4)&amp;"/"&amp;RIGHT("00"&amp;INT(MOD(Sync!$L1369,10000)/100),2)&amp;"/"&amp;RIGHT("00"&amp;MOD(Sync!$L1369,100),2),""),IFERROR(RIGHT("0000"&amp;VALUE(TRIM(LEFT(Sync!$L1369,FIND("/",Sync!$L1369)-1))),4)&amp;"/"&amp;RIGHT("00"&amp;VALUE(TRIM(LEFT(MID(Sync!$L1369,FIND("/",Sync!$L1369)+1,20),FIND("/",MID(Sync!$L1369,FIND("/",Sync!$L1369)+1,20))-1))),2)&amp;"/"&amp;RIGHT("00"&amp;VALUE(TRIM(MID(MID(Sync!$L1369,FIND("/",Sync!$L1369)+1,20),FIND("/",MID(Sync!$L1369,FIND("/",Sync!$L1369)+1,20))+1,20))),2),"")))</f>
        <v/>
      </c>
    </row>
    <row r="1370">
      <c r="M1370">
        <f>IF(Sync!$M1370&lt;&gt;"پاس چک","",IF(Sync!$P1370="","",Sync!$P1370))</f>
        <v/>
      </c>
      <c r="N1370">
        <f>IF($M1370="","",IF(ISNUMBER(Sync!$L1370),IF(AND(Sync!$L1370&gt;=10000101,Sync!$L1370&lt;=99991231),RIGHT("0000"&amp;INT(Sync!$L1370/10000),4)&amp;"/"&amp;RIGHT("00"&amp;INT(MOD(Sync!$L1370,10000)/100),2)&amp;"/"&amp;RIGHT("00"&amp;MOD(Sync!$L1370,100),2),""),IFERROR(RIGHT("0000"&amp;VALUE(TRIM(LEFT(Sync!$L1370,FIND("/",Sync!$L1370)-1))),4)&amp;"/"&amp;RIGHT("00"&amp;VALUE(TRIM(LEFT(MID(Sync!$L1370,FIND("/",Sync!$L1370)+1,20),FIND("/",MID(Sync!$L1370,FIND("/",Sync!$L1370)+1,20))-1))),2)&amp;"/"&amp;RIGHT("00"&amp;VALUE(TRIM(MID(MID(Sync!$L1370,FIND("/",Sync!$L1370)+1,20),FIND("/",MID(Sync!$L1370,FIND("/",Sync!$L1370)+1,20))+1,20))),2),"")))</f>
        <v/>
      </c>
    </row>
    <row r="1371">
      <c r="M1371">
        <f>IF(Sync!$M1371&lt;&gt;"پاس چک","",IF(Sync!$P1371="","",Sync!$P1371))</f>
        <v/>
      </c>
      <c r="N1371">
        <f>IF($M1371="","",IF(ISNUMBER(Sync!$L1371),IF(AND(Sync!$L1371&gt;=10000101,Sync!$L1371&lt;=99991231),RIGHT("0000"&amp;INT(Sync!$L1371/10000),4)&amp;"/"&amp;RIGHT("00"&amp;INT(MOD(Sync!$L1371,10000)/100),2)&amp;"/"&amp;RIGHT("00"&amp;MOD(Sync!$L1371,100),2),""),IFERROR(RIGHT("0000"&amp;VALUE(TRIM(LEFT(Sync!$L1371,FIND("/",Sync!$L1371)-1))),4)&amp;"/"&amp;RIGHT("00"&amp;VALUE(TRIM(LEFT(MID(Sync!$L1371,FIND("/",Sync!$L1371)+1,20),FIND("/",MID(Sync!$L1371,FIND("/",Sync!$L1371)+1,20))-1))),2)&amp;"/"&amp;RIGHT("00"&amp;VALUE(TRIM(MID(MID(Sync!$L1371,FIND("/",Sync!$L1371)+1,20),FIND("/",MID(Sync!$L1371,FIND("/",Sync!$L1371)+1,20))+1,20))),2),"")))</f>
        <v/>
      </c>
    </row>
    <row r="1372">
      <c r="M1372">
        <f>IF(Sync!$M1372&lt;&gt;"پاس چک","",IF(Sync!$P1372="","",Sync!$P1372))</f>
        <v/>
      </c>
      <c r="N1372">
        <f>IF($M1372="","",IF(ISNUMBER(Sync!$L1372),IF(AND(Sync!$L1372&gt;=10000101,Sync!$L1372&lt;=99991231),RIGHT("0000"&amp;INT(Sync!$L1372/10000),4)&amp;"/"&amp;RIGHT("00"&amp;INT(MOD(Sync!$L1372,10000)/100),2)&amp;"/"&amp;RIGHT("00"&amp;MOD(Sync!$L1372,100),2),""),IFERROR(RIGHT("0000"&amp;VALUE(TRIM(LEFT(Sync!$L1372,FIND("/",Sync!$L1372)-1))),4)&amp;"/"&amp;RIGHT("00"&amp;VALUE(TRIM(LEFT(MID(Sync!$L1372,FIND("/",Sync!$L1372)+1,20),FIND("/",MID(Sync!$L1372,FIND("/",Sync!$L1372)+1,20))-1))),2)&amp;"/"&amp;RIGHT("00"&amp;VALUE(TRIM(MID(MID(Sync!$L1372,FIND("/",Sync!$L1372)+1,20),FIND("/",MID(Sync!$L1372,FIND("/",Sync!$L1372)+1,20))+1,20))),2),"")))</f>
        <v/>
      </c>
    </row>
    <row r="1373">
      <c r="M1373">
        <f>IF(Sync!$M1373&lt;&gt;"پاس چک","",IF(Sync!$P1373="","",Sync!$P1373))</f>
        <v/>
      </c>
      <c r="N1373">
        <f>IF($M1373="","",IF(ISNUMBER(Sync!$L1373),IF(AND(Sync!$L1373&gt;=10000101,Sync!$L1373&lt;=99991231),RIGHT("0000"&amp;INT(Sync!$L1373/10000),4)&amp;"/"&amp;RIGHT("00"&amp;INT(MOD(Sync!$L1373,10000)/100),2)&amp;"/"&amp;RIGHT("00"&amp;MOD(Sync!$L1373,100),2),""),IFERROR(RIGHT("0000"&amp;VALUE(TRIM(LEFT(Sync!$L1373,FIND("/",Sync!$L1373)-1))),4)&amp;"/"&amp;RIGHT("00"&amp;VALUE(TRIM(LEFT(MID(Sync!$L1373,FIND("/",Sync!$L1373)+1,20),FIND("/",MID(Sync!$L1373,FIND("/",Sync!$L1373)+1,20))-1))),2)&amp;"/"&amp;RIGHT("00"&amp;VALUE(TRIM(MID(MID(Sync!$L1373,FIND("/",Sync!$L1373)+1,20),FIND("/",MID(Sync!$L1373,FIND("/",Sync!$L1373)+1,20))+1,20))),2),"")))</f>
        <v/>
      </c>
    </row>
    <row r="1374">
      <c r="M1374">
        <f>IF(Sync!$M1374&lt;&gt;"پاس چک","",IF(Sync!$P1374="","",Sync!$P1374))</f>
        <v/>
      </c>
      <c r="N1374">
        <f>IF($M1374="","",IF(ISNUMBER(Sync!$L1374),IF(AND(Sync!$L1374&gt;=10000101,Sync!$L1374&lt;=99991231),RIGHT("0000"&amp;INT(Sync!$L1374/10000),4)&amp;"/"&amp;RIGHT("00"&amp;INT(MOD(Sync!$L1374,10000)/100),2)&amp;"/"&amp;RIGHT("00"&amp;MOD(Sync!$L1374,100),2),""),IFERROR(RIGHT("0000"&amp;VALUE(TRIM(LEFT(Sync!$L1374,FIND("/",Sync!$L1374)-1))),4)&amp;"/"&amp;RIGHT("00"&amp;VALUE(TRIM(LEFT(MID(Sync!$L1374,FIND("/",Sync!$L1374)+1,20),FIND("/",MID(Sync!$L1374,FIND("/",Sync!$L1374)+1,20))-1))),2)&amp;"/"&amp;RIGHT("00"&amp;VALUE(TRIM(MID(MID(Sync!$L1374,FIND("/",Sync!$L1374)+1,20),FIND("/",MID(Sync!$L1374,FIND("/",Sync!$L1374)+1,20))+1,20))),2),"")))</f>
        <v/>
      </c>
    </row>
    <row r="1375">
      <c r="M1375">
        <f>IF(Sync!$M1375&lt;&gt;"پاس چک","",IF(Sync!$P1375="","",Sync!$P1375))</f>
        <v/>
      </c>
      <c r="N1375">
        <f>IF($M1375="","",IF(ISNUMBER(Sync!$L1375),IF(AND(Sync!$L1375&gt;=10000101,Sync!$L1375&lt;=99991231),RIGHT("0000"&amp;INT(Sync!$L1375/10000),4)&amp;"/"&amp;RIGHT("00"&amp;INT(MOD(Sync!$L1375,10000)/100),2)&amp;"/"&amp;RIGHT("00"&amp;MOD(Sync!$L1375,100),2),""),IFERROR(RIGHT("0000"&amp;VALUE(TRIM(LEFT(Sync!$L1375,FIND("/",Sync!$L1375)-1))),4)&amp;"/"&amp;RIGHT("00"&amp;VALUE(TRIM(LEFT(MID(Sync!$L1375,FIND("/",Sync!$L1375)+1,20),FIND("/",MID(Sync!$L1375,FIND("/",Sync!$L1375)+1,20))-1))),2)&amp;"/"&amp;RIGHT("00"&amp;VALUE(TRIM(MID(MID(Sync!$L1375,FIND("/",Sync!$L1375)+1,20),FIND("/",MID(Sync!$L1375,FIND("/",Sync!$L1375)+1,20))+1,20))),2),"")))</f>
        <v/>
      </c>
    </row>
    <row r="1376">
      <c r="M1376">
        <f>IF(Sync!$M1376&lt;&gt;"پاس چک","",IF(Sync!$P1376="","",Sync!$P1376))</f>
        <v/>
      </c>
      <c r="N1376">
        <f>IF($M1376="","",IF(ISNUMBER(Sync!$L1376),IF(AND(Sync!$L1376&gt;=10000101,Sync!$L1376&lt;=99991231),RIGHT("0000"&amp;INT(Sync!$L1376/10000),4)&amp;"/"&amp;RIGHT("00"&amp;INT(MOD(Sync!$L1376,10000)/100),2)&amp;"/"&amp;RIGHT("00"&amp;MOD(Sync!$L1376,100),2),""),IFERROR(RIGHT("0000"&amp;VALUE(TRIM(LEFT(Sync!$L1376,FIND("/",Sync!$L1376)-1))),4)&amp;"/"&amp;RIGHT("00"&amp;VALUE(TRIM(LEFT(MID(Sync!$L1376,FIND("/",Sync!$L1376)+1,20),FIND("/",MID(Sync!$L1376,FIND("/",Sync!$L1376)+1,20))-1))),2)&amp;"/"&amp;RIGHT("00"&amp;VALUE(TRIM(MID(MID(Sync!$L1376,FIND("/",Sync!$L1376)+1,20),FIND("/",MID(Sync!$L1376,FIND("/",Sync!$L1376)+1,20))+1,20))),2),"")))</f>
        <v/>
      </c>
    </row>
    <row r="1377">
      <c r="M1377">
        <f>IF(Sync!$M1377&lt;&gt;"پاس چک","",IF(Sync!$P1377="","",Sync!$P1377))</f>
        <v/>
      </c>
      <c r="N1377">
        <f>IF($M1377="","",IF(ISNUMBER(Sync!$L1377),IF(AND(Sync!$L1377&gt;=10000101,Sync!$L1377&lt;=99991231),RIGHT("0000"&amp;INT(Sync!$L1377/10000),4)&amp;"/"&amp;RIGHT("00"&amp;INT(MOD(Sync!$L1377,10000)/100),2)&amp;"/"&amp;RIGHT("00"&amp;MOD(Sync!$L1377,100),2),""),IFERROR(RIGHT("0000"&amp;VALUE(TRIM(LEFT(Sync!$L1377,FIND("/",Sync!$L1377)-1))),4)&amp;"/"&amp;RIGHT("00"&amp;VALUE(TRIM(LEFT(MID(Sync!$L1377,FIND("/",Sync!$L1377)+1,20),FIND("/",MID(Sync!$L1377,FIND("/",Sync!$L1377)+1,20))-1))),2)&amp;"/"&amp;RIGHT("00"&amp;VALUE(TRIM(MID(MID(Sync!$L1377,FIND("/",Sync!$L1377)+1,20),FIND("/",MID(Sync!$L1377,FIND("/",Sync!$L1377)+1,20))+1,20))),2),"")))</f>
        <v/>
      </c>
    </row>
    <row r="1378">
      <c r="M1378">
        <f>IF(Sync!$M1378&lt;&gt;"پاس چک","",IF(Sync!$P1378="","",Sync!$P1378))</f>
        <v/>
      </c>
      <c r="N1378">
        <f>IF($M1378="","",IF(ISNUMBER(Sync!$L1378),IF(AND(Sync!$L1378&gt;=10000101,Sync!$L1378&lt;=99991231),RIGHT("0000"&amp;INT(Sync!$L1378/10000),4)&amp;"/"&amp;RIGHT("00"&amp;INT(MOD(Sync!$L1378,10000)/100),2)&amp;"/"&amp;RIGHT("00"&amp;MOD(Sync!$L1378,100),2),""),IFERROR(RIGHT("0000"&amp;VALUE(TRIM(LEFT(Sync!$L1378,FIND("/",Sync!$L1378)-1))),4)&amp;"/"&amp;RIGHT("00"&amp;VALUE(TRIM(LEFT(MID(Sync!$L1378,FIND("/",Sync!$L1378)+1,20),FIND("/",MID(Sync!$L1378,FIND("/",Sync!$L1378)+1,20))-1))),2)&amp;"/"&amp;RIGHT("00"&amp;VALUE(TRIM(MID(MID(Sync!$L1378,FIND("/",Sync!$L1378)+1,20),FIND("/",MID(Sync!$L1378,FIND("/",Sync!$L1378)+1,20))+1,20))),2),"")))</f>
        <v/>
      </c>
    </row>
    <row r="1379">
      <c r="M1379">
        <f>IF(Sync!$M1379&lt;&gt;"پاس چک","",IF(Sync!$P1379="","",Sync!$P1379))</f>
        <v/>
      </c>
      <c r="N1379">
        <f>IF($M1379="","",IF(ISNUMBER(Sync!$L1379),IF(AND(Sync!$L1379&gt;=10000101,Sync!$L1379&lt;=99991231),RIGHT("0000"&amp;INT(Sync!$L1379/10000),4)&amp;"/"&amp;RIGHT("00"&amp;INT(MOD(Sync!$L1379,10000)/100),2)&amp;"/"&amp;RIGHT("00"&amp;MOD(Sync!$L1379,100),2),""),IFERROR(RIGHT("0000"&amp;VALUE(TRIM(LEFT(Sync!$L1379,FIND("/",Sync!$L1379)-1))),4)&amp;"/"&amp;RIGHT("00"&amp;VALUE(TRIM(LEFT(MID(Sync!$L1379,FIND("/",Sync!$L1379)+1,20),FIND("/",MID(Sync!$L1379,FIND("/",Sync!$L1379)+1,20))-1))),2)&amp;"/"&amp;RIGHT("00"&amp;VALUE(TRIM(MID(MID(Sync!$L1379,FIND("/",Sync!$L1379)+1,20),FIND("/",MID(Sync!$L1379,FIND("/",Sync!$L1379)+1,20))+1,20))),2),"")))</f>
        <v/>
      </c>
    </row>
    <row r="1380">
      <c r="M1380">
        <f>IF(Sync!$M1380&lt;&gt;"پاس چک","",IF(Sync!$P1380="","",Sync!$P1380))</f>
        <v/>
      </c>
      <c r="N1380">
        <f>IF($M1380="","",IF(ISNUMBER(Sync!$L1380),IF(AND(Sync!$L1380&gt;=10000101,Sync!$L1380&lt;=99991231),RIGHT("0000"&amp;INT(Sync!$L1380/10000),4)&amp;"/"&amp;RIGHT("00"&amp;INT(MOD(Sync!$L1380,10000)/100),2)&amp;"/"&amp;RIGHT("00"&amp;MOD(Sync!$L1380,100),2),""),IFERROR(RIGHT("0000"&amp;VALUE(TRIM(LEFT(Sync!$L1380,FIND("/",Sync!$L1380)-1))),4)&amp;"/"&amp;RIGHT("00"&amp;VALUE(TRIM(LEFT(MID(Sync!$L1380,FIND("/",Sync!$L1380)+1,20),FIND("/",MID(Sync!$L1380,FIND("/",Sync!$L1380)+1,20))-1))),2)&amp;"/"&amp;RIGHT("00"&amp;VALUE(TRIM(MID(MID(Sync!$L1380,FIND("/",Sync!$L1380)+1,20),FIND("/",MID(Sync!$L1380,FIND("/",Sync!$L1380)+1,20))+1,20))),2),"")))</f>
        <v/>
      </c>
    </row>
    <row r="1381">
      <c r="M1381">
        <f>IF(Sync!$M1381&lt;&gt;"پاس چک","",IF(Sync!$P1381="","",Sync!$P1381))</f>
        <v/>
      </c>
      <c r="N1381">
        <f>IF($M1381="","",IF(ISNUMBER(Sync!$L1381),IF(AND(Sync!$L1381&gt;=10000101,Sync!$L1381&lt;=99991231),RIGHT("0000"&amp;INT(Sync!$L1381/10000),4)&amp;"/"&amp;RIGHT("00"&amp;INT(MOD(Sync!$L1381,10000)/100),2)&amp;"/"&amp;RIGHT("00"&amp;MOD(Sync!$L1381,100),2),""),IFERROR(RIGHT("0000"&amp;VALUE(TRIM(LEFT(Sync!$L1381,FIND("/",Sync!$L1381)-1))),4)&amp;"/"&amp;RIGHT("00"&amp;VALUE(TRIM(LEFT(MID(Sync!$L1381,FIND("/",Sync!$L1381)+1,20),FIND("/",MID(Sync!$L1381,FIND("/",Sync!$L1381)+1,20))-1))),2)&amp;"/"&amp;RIGHT("00"&amp;VALUE(TRIM(MID(MID(Sync!$L1381,FIND("/",Sync!$L1381)+1,20),FIND("/",MID(Sync!$L1381,FIND("/",Sync!$L1381)+1,20))+1,20))),2),"")))</f>
        <v/>
      </c>
    </row>
    <row r="1382">
      <c r="M1382">
        <f>IF(Sync!$M1382&lt;&gt;"پاس چک","",IF(Sync!$P1382="","",Sync!$P1382))</f>
        <v/>
      </c>
      <c r="N1382">
        <f>IF($M1382="","",IF(ISNUMBER(Sync!$L1382),IF(AND(Sync!$L1382&gt;=10000101,Sync!$L1382&lt;=99991231),RIGHT("0000"&amp;INT(Sync!$L1382/10000),4)&amp;"/"&amp;RIGHT("00"&amp;INT(MOD(Sync!$L1382,10000)/100),2)&amp;"/"&amp;RIGHT("00"&amp;MOD(Sync!$L1382,100),2),""),IFERROR(RIGHT("0000"&amp;VALUE(TRIM(LEFT(Sync!$L1382,FIND("/",Sync!$L1382)-1))),4)&amp;"/"&amp;RIGHT("00"&amp;VALUE(TRIM(LEFT(MID(Sync!$L1382,FIND("/",Sync!$L1382)+1,20),FIND("/",MID(Sync!$L1382,FIND("/",Sync!$L1382)+1,20))-1))),2)&amp;"/"&amp;RIGHT("00"&amp;VALUE(TRIM(MID(MID(Sync!$L1382,FIND("/",Sync!$L1382)+1,20),FIND("/",MID(Sync!$L1382,FIND("/",Sync!$L1382)+1,20))+1,20))),2),"")))</f>
        <v/>
      </c>
    </row>
    <row r="1383">
      <c r="M1383">
        <f>IF(Sync!$M1383&lt;&gt;"پاس چک","",IF(Sync!$P1383="","",Sync!$P1383))</f>
        <v/>
      </c>
      <c r="N1383">
        <f>IF($M1383="","",IF(ISNUMBER(Sync!$L1383),IF(AND(Sync!$L1383&gt;=10000101,Sync!$L1383&lt;=99991231),RIGHT("0000"&amp;INT(Sync!$L1383/10000),4)&amp;"/"&amp;RIGHT("00"&amp;INT(MOD(Sync!$L1383,10000)/100),2)&amp;"/"&amp;RIGHT("00"&amp;MOD(Sync!$L1383,100),2),""),IFERROR(RIGHT("0000"&amp;VALUE(TRIM(LEFT(Sync!$L1383,FIND("/",Sync!$L1383)-1))),4)&amp;"/"&amp;RIGHT("00"&amp;VALUE(TRIM(LEFT(MID(Sync!$L1383,FIND("/",Sync!$L1383)+1,20),FIND("/",MID(Sync!$L1383,FIND("/",Sync!$L1383)+1,20))-1))),2)&amp;"/"&amp;RIGHT("00"&amp;VALUE(TRIM(MID(MID(Sync!$L1383,FIND("/",Sync!$L1383)+1,20),FIND("/",MID(Sync!$L1383,FIND("/",Sync!$L1383)+1,20))+1,20))),2),"")))</f>
        <v/>
      </c>
    </row>
    <row r="1384">
      <c r="M1384">
        <f>IF(Sync!$M1384&lt;&gt;"پاس چک","",IF(Sync!$P1384="","",Sync!$P1384))</f>
        <v/>
      </c>
      <c r="N1384">
        <f>IF($M1384="","",IF(ISNUMBER(Sync!$L1384),IF(AND(Sync!$L1384&gt;=10000101,Sync!$L1384&lt;=99991231),RIGHT("0000"&amp;INT(Sync!$L1384/10000),4)&amp;"/"&amp;RIGHT("00"&amp;INT(MOD(Sync!$L1384,10000)/100),2)&amp;"/"&amp;RIGHT("00"&amp;MOD(Sync!$L1384,100),2),""),IFERROR(RIGHT("0000"&amp;VALUE(TRIM(LEFT(Sync!$L1384,FIND("/",Sync!$L1384)-1))),4)&amp;"/"&amp;RIGHT("00"&amp;VALUE(TRIM(LEFT(MID(Sync!$L1384,FIND("/",Sync!$L1384)+1,20),FIND("/",MID(Sync!$L1384,FIND("/",Sync!$L1384)+1,20))-1))),2)&amp;"/"&amp;RIGHT("00"&amp;VALUE(TRIM(MID(MID(Sync!$L1384,FIND("/",Sync!$L1384)+1,20),FIND("/",MID(Sync!$L1384,FIND("/",Sync!$L1384)+1,20))+1,20))),2),"")))</f>
        <v/>
      </c>
    </row>
    <row r="1385">
      <c r="M1385">
        <f>IF(Sync!$M1385&lt;&gt;"پاس چک","",IF(Sync!$P1385="","",Sync!$P1385))</f>
        <v/>
      </c>
      <c r="N1385">
        <f>IF($M1385="","",IF(ISNUMBER(Sync!$L1385),IF(AND(Sync!$L1385&gt;=10000101,Sync!$L1385&lt;=99991231),RIGHT("0000"&amp;INT(Sync!$L1385/10000),4)&amp;"/"&amp;RIGHT("00"&amp;INT(MOD(Sync!$L1385,10000)/100),2)&amp;"/"&amp;RIGHT("00"&amp;MOD(Sync!$L1385,100),2),""),IFERROR(RIGHT("0000"&amp;VALUE(TRIM(LEFT(Sync!$L1385,FIND("/",Sync!$L1385)-1))),4)&amp;"/"&amp;RIGHT("00"&amp;VALUE(TRIM(LEFT(MID(Sync!$L1385,FIND("/",Sync!$L1385)+1,20),FIND("/",MID(Sync!$L1385,FIND("/",Sync!$L1385)+1,20))-1))),2)&amp;"/"&amp;RIGHT("00"&amp;VALUE(TRIM(MID(MID(Sync!$L1385,FIND("/",Sync!$L1385)+1,20),FIND("/",MID(Sync!$L1385,FIND("/",Sync!$L1385)+1,20))+1,20))),2),"")))</f>
        <v/>
      </c>
    </row>
    <row r="1386">
      <c r="M1386">
        <f>IF(Sync!$M1386&lt;&gt;"پاس چک","",IF(Sync!$P1386="","",Sync!$P1386))</f>
        <v/>
      </c>
      <c r="N1386">
        <f>IF($M1386="","",IF(ISNUMBER(Sync!$L1386),IF(AND(Sync!$L1386&gt;=10000101,Sync!$L1386&lt;=99991231),RIGHT("0000"&amp;INT(Sync!$L1386/10000),4)&amp;"/"&amp;RIGHT("00"&amp;INT(MOD(Sync!$L1386,10000)/100),2)&amp;"/"&amp;RIGHT("00"&amp;MOD(Sync!$L1386,100),2),""),IFERROR(RIGHT("0000"&amp;VALUE(TRIM(LEFT(Sync!$L1386,FIND("/",Sync!$L1386)-1))),4)&amp;"/"&amp;RIGHT("00"&amp;VALUE(TRIM(LEFT(MID(Sync!$L1386,FIND("/",Sync!$L1386)+1,20),FIND("/",MID(Sync!$L1386,FIND("/",Sync!$L1386)+1,20))-1))),2)&amp;"/"&amp;RIGHT("00"&amp;VALUE(TRIM(MID(MID(Sync!$L1386,FIND("/",Sync!$L1386)+1,20),FIND("/",MID(Sync!$L1386,FIND("/",Sync!$L1386)+1,20))+1,20))),2),"")))</f>
        <v/>
      </c>
    </row>
    <row r="1387">
      <c r="M1387">
        <f>IF(Sync!$M1387&lt;&gt;"پاس چک","",IF(Sync!$P1387="","",Sync!$P1387))</f>
        <v/>
      </c>
      <c r="N1387">
        <f>IF($M1387="","",IF(ISNUMBER(Sync!$L1387),IF(AND(Sync!$L1387&gt;=10000101,Sync!$L1387&lt;=99991231),RIGHT("0000"&amp;INT(Sync!$L1387/10000),4)&amp;"/"&amp;RIGHT("00"&amp;INT(MOD(Sync!$L1387,10000)/100),2)&amp;"/"&amp;RIGHT("00"&amp;MOD(Sync!$L1387,100),2),""),IFERROR(RIGHT("0000"&amp;VALUE(TRIM(LEFT(Sync!$L1387,FIND("/",Sync!$L1387)-1))),4)&amp;"/"&amp;RIGHT("00"&amp;VALUE(TRIM(LEFT(MID(Sync!$L1387,FIND("/",Sync!$L1387)+1,20),FIND("/",MID(Sync!$L1387,FIND("/",Sync!$L1387)+1,20))-1))),2)&amp;"/"&amp;RIGHT("00"&amp;VALUE(TRIM(MID(MID(Sync!$L1387,FIND("/",Sync!$L1387)+1,20),FIND("/",MID(Sync!$L1387,FIND("/",Sync!$L1387)+1,20))+1,20))),2),"")))</f>
        <v/>
      </c>
    </row>
    <row r="1388">
      <c r="M1388">
        <f>IF(Sync!$M1388&lt;&gt;"پاس چک","",IF(Sync!$P1388="","",Sync!$P1388))</f>
        <v/>
      </c>
      <c r="N1388">
        <f>IF($M1388="","",IF(ISNUMBER(Sync!$L1388),IF(AND(Sync!$L1388&gt;=10000101,Sync!$L1388&lt;=99991231),RIGHT("0000"&amp;INT(Sync!$L1388/10000),4)&amp;"/"&amp;RIGHT("00"&amp;INT(MOD(Sync!$L1388,10000)/100),2)&amp;"/"&amp;RIGHT("00"&amp;MOD(Sync!$L1388,100),2),""),IFERROR(RIGHT("0000"&amp;VALUE(TRIM(LEFT(Sync!$L1388,FIND("/",Sync!$L1388)-1))),4)&amp;"/"&amp;RIGHT("00"&amp;VALUE(TRIM(LEFT(MID(Sync!$L1388,FIND("/",Sync!$L1388)+1,20),FIND("/",MID(Sync!$L1388,FIND("/",Sync!$L1388)+1,20))-1))),2)&amp;"/"&amp;RIGHT("00"&amp;VALUE(TRIM(MID(MID(Sync!$L1388,FIND("/",Sync!$L1388)+1,20),FIND("/",MID(Sync!$L1388,FIND("/",Sync!$L1388)+1,20))+1,20))),2),"")))</f>
        <v/>
      </c>
    </row>
    <row r="1389">
      <c r="M1389">
        <f>IF(Sync!$M1389&lt;&gt;"پاس چک","",IF(Sync!$P1389="","",Sync!$P1389))</f>
        <v/>
      </c>
      <c r="N1389">
        <f>IF($M1389="","",IF(ISNUMBER(Sync!$L1389),IF(AND(Sync!$L1389&gt;=10000101,Sync!$L1389&lt;=99991231),RIGHT("0000"&amp;INT(Sync!$L1389/10000),4)&amp;"/"&amp;RIGHT("00"&amp;INT(MOD(Sync!$L1389,10000)/100),2)&amp;"/"&amp;RIGHT("00"&amp;MOD(Sync!$L1389,100),2),""),IFERROR(RIGHT("0000"&amp;VALUE(TRIM(LEFT(Sync!$L1389,FIND("/",Sync!$L1389)-1))),4)&amp;"/"&amp;RIGHT("00"&amp;VALUE(TRIM(LEFT(MID(Sync!$L1389,FIND("/",Sync!$L1389)+1,20),FIND("/",MID(Sync!$L1389,FIND("/",Sync!$L1389)+1,20))-1))),2)&amp;"/"&amp;RIGHT("00"&amp;VALUE(TRIM(MID(MID(Sync!$L1389,FIND("/",Sync!$L1389)+1,20),FIND("/",MID(Sync!$L1389,FIND("/",Sync!$L1389)+1,20))+1,20))),2),"")))</f>
        <v/>
      </c>
    </row>
    <row r="1390">
      <c r="M1390">
        <f>IF(Sync!$M1390&lt;&gt;"پاس چک","",IF(Sync!$P1390="","",Sync!$P1390))</f>
        <v/>
      </c>
      <c r="N1390">
        <f>IF($M1390="","",IF(ISNUMBER(Sync!$L1390),IF(AND(Sync!$L1390&gt;=10000101,Sync!$L1390&lt;=99991231),RIGHT("0000"&amp;INT(Sync!$L1390/10000),4)&amp;"/"&amp;RIGHT("00"&amp;INT(MOD(Sync!$L1390,10000)/100),2)&amp;"/"&amp;RIGHT("00"&amp;MOD(Sync!$L1390,100),2),""),IFERROR(RIGHT("0000"&amp;VALUE(TRIM(LEFT(Sync!$L1390,FIND("/",Sync!$L1390)-1))),4)&amp;"/"&amp;RIGHT("00"&amp;VALUE(TRIM(LEFT(MID(Sync!$L1390,FIND("/",Sync!$L1390)+1,20),FIND("/",MID(Sync!$L1390,FIND("/",Sync!$L1390)+1,20))-1))),2)&amp;"/"&amp;RIGHT("00"&amp;VALUE(TRIM(MID(MID(Sync!$L1390,FIND("/",Sync!$L1390)+1,20),FIND("/",MID(Sync!$L1390,FIND("/",Sync!$L1390)+1,20))+1,20))),2),"")))</f>
        <v/>
      </c>
    </row>
    <row r="1391">
      <c r="M1391">
        <f>IF(Sync!$M1391&lt;&gt;"پاس چک","",IF(Sync!$P1391="","",Sync!$P1391))</f>
        <v/>
      </c>
      <c r="N1391">
        <f>IF($M1391="","",IF(ISNUMBER(Sync!$L1391),IF(AND(Sync!$L1391&gt;=10000101,Sync!$L1391&lt;=99991231),RIGHT("0000"&amp;INT(Sync!$L1391/10000),4)&amp;"/"&amp;RIGHT("00"&amp;INT(MOD(Sync!$L1391,10000)/100),2)&amp;"/"&amp;RIGHT("00"&amp;MOD(Sync!$L1391,100),2),""),IFERROR(RIGHT("0000"&amp;VALUE(TRIM(LEFT(Sync!$L1391,FIND("/",Sync!$L1391)-1))),4)&amp;"/"&amp;RIGHT("00"&amp;VALUE(TRIM(LEFT(MID(Sync!$L1391,FIND("/",Sync!$L1391)+1,20),FIND("/",MID(Sync!$L1391,FIND("/",Sync!$L1391)+1,20))-1))),2)&amp;"/"&amp;RIGHT("00"&amp;VALUE(TRIM(MID(MID(Sync!$L1391,FIND("/",Sync!$L1391)+1,20),FIND("/",MID(Sync!$L1391,FIND("/",Sync!$L1391)+1,20))+1,20))),2),"")))</f>
        <v/>
      </c>
    </row>
    <row r="1392">
      <c r="M1392">
        <f>IF(Sync!$M1392&lt;&gt;"پاس چک","",IF(Sync!$P1392="","",Sync!$P1392))</f>
        <v/>
      </c>
      <c r="N1392">
        <f>IF($M1392="","",IF(ISNUMBER(Sync!$L1392),IF(AND(Sync!$L1392&gt;=10000101,Sync!$L1392&lt;=99991231),RIGHT("0000"&amp;INT(Sync!$L1392/10000),4)&amp;"/"&amp;RIGHT("00"&amp;INT(MOD(Sync!$L1392,10000)/100),2)&amp;"/"&amp;RIGHT("00"&amp;MOD(Sync!$L1392,100),2),""),IFERROR(RIGHT("0000"&amp;VALUE(TRIM(LEFT(Sync!$L1392,FIND("/",Sync!$L1392)-1))),4)&amp;"/"&amp;RIGHT("00"&amp;VALUE(TRIM(LEFT(MID(Sync!$L1392,FIND("/",Sync!$L1392)+1,20),FIND("/",MID(Sync!$L1392,FIND("/",Sync!$L1392)+1,20))-1))),2)&amp;"/"&amp;RIGHT("00"&amp;VALUE(TRIM(MID(MID(Sync!$L1392,FIND("/",Sync!$L1392)+1,20),FIND("/",MID(Sync!$L1392,FIND("/",Sync!$L1392)+1,20))+1,20))),2),"")))</f>
        <v/>
      </c>
    </row>
    <row r="1393">
      <c r="M1393">
        <f>IF(Sync!$M1393&lt;&gt;"پاس چک","",IF(Sync!$P1393="","",Sync!$P1393))</f>
        <v/>
      </c>
      <c r="N1393">
        <f>IF($M1393="","",IF(ISNUMBER(Sync!$L1393),IF(AND(Sync!$L1393&gt;=10000101,Sync!$L1393&lt;=99991231),RIGHT("0000"&amp;INT(Sync!$L1393/10000),4)&amp;"/"&amp;RIGHT("00"&amp;INT(MOD(Sync!$L1393,10000)/100),2)&amp;"/"&amp;RIGHT("00"&amp;MOD(Sync!$L1393,100),2),""),IFERROR(RIGHT("0000"&amp;VALUE(TRIM(LEFT(Sync!$L1393,FIND("/",Sync!$L1393)-1))),4)&amp;"/"&amp;RIGHT("00"&amp;VALUE(TRIM(LEFT(MID(Sync!$L1393,FIND("/",Sync!$L1393)+1,20),FIND("/",MID(Sync!$L1393,FIND("/",Sync!$L1393)+1,20))-1))),2)&amp;"/"&amp;RIGHT("00"&amp;VALUE(TRIM(MID(MID(Sync!$L1393,FIND("/",Sync!$L1393)+1,20),FIND("/",MID(Sync!$L1393,FIND("/",Sync!$L1393)+1,20))+1,20))),2),"")))</f>
        <v/>
      </c>
    </row>
    <row r="1394">
      <c r="M1394">
        <f>IF(Sync!$M1394&lt;&gt;"پاس چک","",IF(Sync!$P1394="","",Sync!$P1394))</f>
        <v/>
      </c>
      <c r="N1394">
        <f>IF($M1394="","",IF(ISNUMBER(Sync!$L1394),IF(AND(Sync!$L1394&gt;=10000101,Sync!$L1394&lt;=99991231),RIGHT("0000"&amp;INT(Sync!$L1394/10000),4)&amp;"/"&amp;RIGHT("00"&amp;INT(MOD(Sync!$L1394,10000)/100),2)&amp;"/"&amp;RIGHT("00"&amp;MOD(Sync!$L1394,100),2),""),IFERROR(RIGHT("0000"&amp;VALUE(TRIM(LEFT(Sync!$L1394,FIND("/",Sync!$L1394)-1))),4)&amp;"/"&amp;RIGHT("00"&amp;VALUE(TRIM(LEFT(MID(Sync!$L1394,FIND("/",Sync!$L1394)+1,20),FIND("/",MID(Sync!$L1394,FIND("/",Sync!$L1394)+1,20))-1))),2)&amp;"/"&amp;RIGHT("00"&amp;VALUE(TRIM(MID(MID(Sync!$L1394,FIND("/",Sync!$L1394)+1,20),FIND("/",MID(Sync!$L1394,FIND("/",Sync!$L1394)+1,20))+1,20))),2),"")))</f>
        <v/>
      </c>
    </row>
    <row r="1395">
      <c r="M1395">
        <f>IF(Sync!$M1395&lt;&gt;"پاس چک","",IF(Sync!$P1395="","",Sync!$P1395))</f>
        <v/>
      </c>
      <c r="N1395">
        <f>IF($M1395="","",IF(ISNUMBER(Sync!$L1395),IF(AND(Sync!$L1395&gt;=10000101,Sync!$L1395&lt;=99991231),RIGHT("0000"&amp;INT(Sync!$L1395/10000),4)&amp;"/"&amp;RIGHT("00"&amp;INT(MOD(Sync!$L1395,10000)/100),2)&amp;"/"&amp;RIGHT("00"&amp;MOD(Sync!$L1395,100),2),""),IFERROR(RIGHT("0000"&amp;VALUE(TRIM(LEFT(Sync!$L1395,FIND("/",Sync!$L1395)-1))),4)&amp;"/"&amp;RIGHT("00"&amp;VALUE(TRIM(LEFT(MID(Sync!$L1395,FIND("/",Sync!$L1395)+1,20),FIND("/",MID(Sync!$L1395,FIND("/",Sync!$L1395)+1,20))-1))),2)&amp;"/"&amp;RIGHT("00"&amp;VALUE(TRIM(MID(MID(Sync!$L1395,FIND("/",Sync!$L1395)+1,20),FIND("/",MID(Sync!$L1395,FIND("/",Sync!$L1395)+1,20))+1,20))),2),"")))</f>
        <v/>
      </c>
    </row>
    <row r="1396">
      <c r="M1396">
        <f>IF(Sync!$M1396&lt;&gt;"پاس چک","",IF(Sync!$P1396="","",Sync!$P1396))</f>
        <v/>
      </c>
      <c r="N1396">
        <f>IF($M1396="","",IF(ISNUMBER(Sync!$L1396),IF(AND(Sync!$L1396&gt;=10000101,Sync!$L1396&lt;=99991231),RIGHT("0000"&amp;INT(Sync!$L1396/10000),4)&amp;"/"&amp;RIGHT("00"&amp;INT(MOD(Sync!$L1396,10000)/100),2)&amp;"/"&amp;RIGHT("00"&amp;MOD(Sync!$L1396,100),2),""),IFERROR(RIGHT("0000"&amp;VALUE(TRIM(LEFT(Sync!$L1396,FIND("/",Sync!$L1396)-1))),4)&amp;"/"&amp;RIGHT("00"&amp;VALUE(TRIM(LEFT(MID(Sync!$L1396,FIND("/",Sync!$L1396)+1,20),FIND("/",MID(Sync!$L1396,FIND("/",Sync!$L1396)+1,20))-1))),2)&amp;"/"&amp;RIGHT("00"&amp;VALUE(TRIM(MID(MID(Sync!$L1396,FIND("/",Sync!$L1396)+1,20),FIND("/",MID(Sync!$L1396,FIND("/",Sync!$L1396)+1,20))+1,20))),2),"")))</f>
        <v/>
      </c>
    </row>
    <row r="1397">
      <c r="M1397">
        <f>IF(Sync!$M1397&lt;&gt;"پاس چک","",IF(Sync!$P1397="","",Sync!$P1397))</f>
        <v/>
      </c>
      <c r="N1397">
        <f>IF($M1397="","",IF(ISNUMBER(Sync!$L1397),IF(AND(Sync!$L1397&gt;=10000101,Sync!$L1397&lt;=99991231),RIGHT("0000"&amp;INT(Sync!$L1397/10000),4)&amp;"/"&amp;RIGHT("00"&amp;INT(MOD(Sync!$L1397,10000)/100),2)&amp;"/"&amp;RIGHT("00"&amp;MOD(Sync!$L1397,100),2),""),IFERROR(RIGHT("0000"&amp;VALUE(TRIM(LEFT(Sync!$L1397,FIND("/",Sync!$L1397)-1))),4)&amp;"/"&amp;RIGHT("00"&amp;VALUE(TRIM(LEFT(MID(Sync!$L1397,FIND("/",Sync!$L1397)+1,20),FIND("/",MID(Sync!$L1397,FIND("/",Sync!$L1397)+1,20))-1))),2)&amp;"/"&amp;RIGHT("00"&amp;VALUE(TRIM(MID(MID(Sync!$L1397,FIND("/",Sync!$L1397)+1,20),FIND("/",MID(Sync!$L1397,FIND("/",Sync!$L1397)+1,20))+1,20))),2),"")))</f>
        <v/>
      </c>
    </row>
    <row r="1398">
      <c r="M1398">
        <f>IF(Sync!$M1398&lt;&gt;"پاس چک","",IF(Sync!$P1398="","",Sync!$P1398))</f>
        <v/>
      </c>
      <c r="N1398">
        <f>IF($M1398="","",IF(ISNUMBER(Sync!$L1398),IF(AND(Sync!$L1398&gt;=10000101,Sync!$L1398&lt;=99991231),RIGHT("0000"&amp;INT(Sync!$L1398/10000),4)&amp;"/"&amp;RIGHT("00"&amp;INT(MOD(Sync!$L1398,10000)/100),2)&amp;"/"&amp;RIGHT("00"&amp;MOD(Sync!$L1398,100),2),""),IFERROR(RIGHT("0000"&amp;VALUE(TRIM(LEFT(Sync!$L1398,FIND("/",Sync!$L1398)-1))),4)&amp;"/"&amp;RIGHT("00"&amp;VALUE(TRIM(LEFT(MID(Sync!$L1398,FIND("/",Sync!$L1398)+1,20),FIND("/",MID(Sync!$L1398,FIND("/",Sync!$L1398)+1,20))-1))),2)&amp;"/"&amp;RIGHT("00"&amp;VALUE(TRIM(MID(MID(Sync!$L1398,FIND("/",Sync!$L1398)+1,20),FIND("/",MID(Sync!$L1398,FIND("/",Sync!$L1398)+1,20))+1,20))),2),"")))</f>
        <v/>
      </c>
    </row>
    <row r="1399">
      <c r="M1399">
        <f>IF(Sync!$M1399&lt;&gt;"پاس چک","",IF(Sync!$P1399="","",Sync!$P1399))</f>
        <v/>
      </c>
      <c r="N1399">
        <f>IF($M1399="","",IF(ISNUMBER(Sync!$L1399),IF(AND(Sync!$L1399&gt;=10000101,Sync!$L1399&lt;=99991231),RIGHT("0000"&amp;INT(Sync!$L1399/10000),4)&amp;"/"&amp;RIGHT("00"&amp;INT(MOD(Sync!$L1399,10000)/100),2)&amp;"/"&amp;RIGHT("00"&amp;MOD(Sync!$L1399,100),2),""),IFERROR(RIGHT("0000"&amp;VALUE(TRIM(LEFT(Sync!$L1399,FIND("/",Sync!$L1399)-1))),4)&amp;"/"&amp;RIGHT("00"&amp;VALUE(TRIM(LEFT(MID(Sync!$L1399,FIND("/",Sync!$L1399)+1,20),FIND("/",MID(Sync!$L1399,FIND("/",Sync!$L1399)+1,20))-1))),2)&amp;"/"&amp;RIGHT("00"&amp;VALUE(TRIM(MID(MID(Sync!$L1399,FIND("/",Sync!$L1399)+1,20),FIND("/",MID(Sync!$L1399,FIND("/",Sync!$L1399)+1,20))+1,20))),2),"")))</f>
        <v/>
      </c>
    </row>
    <row r="1400">
      <c r="M1400">
        <f>IF(Sync!$M1400&lt;&gt;"پاس چک","",IF(Sync!$P1400="","",Sync!$P1400))</f>
        <v/>
      </c>
      <c r="N1400">
        <f>IF($M1400="","",IF(ISNUMBER(Sync!$L1400),IF(AND(Sync!$L1400&gt;=10000101,Sync!$L1400&lt;=99991231),RIGHT("0000"&amp;INT(Sync!$L1400/10000),4)&amp;"/"&amp;RIGHT("00"&amp;INT(MOD(Sync!$L1400,10000)/100),2)&amp;"/"&amp;RIGHT("00"&amp;MOD(Sync!$L1400,100),2),""),IFERROR(RIGHT("0000"&amp;VALUE(TRIM(LEFT(Sync!$L1400,FIND("/",Sync!$L1400)-1))),4)&amp;"/"&amp;RIGHT("00"&amp;VALUE(TRIM(LEFT(MID(Sync!$L1400,FIND("/",Sync!$L1400)+1,20),FIND("/",MID(Sync!$L1400,FIND("/",Sync!$L1400)+1,20))-1))),2)&amp;"/"&amp;RIGHT("00"&amp;VALUE(TRIM(MID(MID(Sync!$L1400,FIND("/",Sync!$L1400)+1,20),FIND("/",MID(Sync!$L1400,FIND("/",Sync!$L1400)+1,20))+1,20))),2),"")))</f>
        <v/>
      </c>
    </row>
    <row r="1401">
      <c r="M1401">
        <f>IF(Sync!$M1401&lt;&gt;"پاس چک","",IF(Sync!$P1401="","",Sync!$P1401))</f>
        <v/>
      </c>
      <c r="N1401">
        <f>IF($M1401="","",IF(ISNUMBER(Sync!$L1401),IF(AND(Sync!$L1401&gt;=10000101,Sync!$L1401&lt;=99991231),RIGHT("0000"&amp;INT(Sync!$L1401/10000),4)&amp;"/"&amp;RIGHT("00"&amp;INT(MOD(Sync!$L1401,10000)/100),2)&amp;"/"&amp;RIGHT("00"&amp;MOD(Sync!$L1401,100),2),""),IFERROR(RIGHT("0000"&amp;VALUE(TRIM(LEFT(Sync!$L1401,FIND("/",Sync!$L1401)-1))),4)&amp;"/"&amp;RIGHT("00"&amp;VALUE(TRIM(LEFT(MID(Sync!$L1401,FIND("/",Sync!$L1401)+1,20),FIND("/",MID(Sync!$L1401,FIND("/",Sync!$L1401)+1,20))-1))),2)&amp;"/"&amp;RIGHT("00"&amp;VALUE(TRIM(MID(MID(Sync!$L1401,FIND("/",Sync!$L1401)+1,20),FIND("/",MID(Sync!$L1401,FIND("/",Sync!$L1401)+1,20))+1,20))),2),"")))</f>
        <v/>
      </c>
    </row>
    <row r="1402">
      <c r="M1402">
        <f>IF(Sync!$M1402&lt;&gt;"پاس چک","",IF(Sync!$P1402="","",Sync!$P1402))</f>
        <v/>
      </c>
      <c r="N1402">
        <f>IF($M1402="","",IF(ISNUMBER(Sync!$L1402),IF(AND(Sync!$L1402&gt;=10000101,Sync!$L1402&lt;=99991231),RIGHT("0000"&amp;INT(Sync!$L1402/10000),4)&amp;"/"&amp;RIGHT("00"&amp;INT(MOD(Sync!$L1402,10000)/100),2)&amp;"/"&amp;RIGHT("00"&amp;MOD(Sync!$L1402,100),2),""),IFERROR(RIGHT("0000"&amp;VALUE(TRIM(LEFT(Sync!$L1402,FIND("/",Sync!$L1402)-1))),4)&amp;"/"&amp;RIGHT("00"&amp;VALUE(TRIM(LEFT(MID(Sync!$L1402,FIND("/",Sync!$L1402)+1,20),FIND("/",MID(Sync!$L1402,FIND("/",Sync!$L1402)+1,20))-1))),2)&amp;"/"&amp;RIGHT("00"&amp;VALUE(TRIM(MID(MID(Sync!$L1402,FIND("/",Sync!$L1402)+1,20),FIND("/",MID(Sync!$L1402,FIND("/",Sync!$L1402)+1,20))+1,20))),2),"")))</f>
        <v/>
      </c>
    </row>
    <row r="1403">
      <c r="M1403">
        <f>IF(Sync!$M1403&lt;&gt;"پاس چک","",IF(Sync!$P1403="","",Sync!$P1403))</f>
        <v/>
      </c>
      <c r="N1403">
        <f>IF($M1403="","",IF(ISNUMBER(Sync!$L1403),IF(AND(Sync!$L1403&gt;=10000101,Sync!$L1403&lt;=99991231),RIGHT("0000"&amp;INT(Sync!$L1403/10000),4)&amp;"/"&amp;RIGHT("00"&amp;INT(MOD(Sync!$L1403,10000)/100),2)&amp;"/"&amp;RIGHT("00"&amp;MOD(Sync!$L1403,100),2),""),IFERROR(RIGHT("0000"&amp;VALUE(TRIM(LEFT(Sync!$L1403,FIND("/",Sync!$L1403)-1))),4)&amp;"/"&amp;RIGHT("00"&amp;VALUE(TRIM(LEFT(MID(Sync!$L1403,FIND("/",Sync!$L1403)+1,20),FIND("/",MID(Sync!$L1403,FIND("/",Sync!$L1403)+1,20))-1))),2)&amp;"/"&amp;RIGHT("00"&amp;VALUE(TRIM(MID(MID(Sync!$L1403,FIND("/",Sync!$L1403)+1,20),FIND("/",MID(Sync!$L1403,FIND("/",Sync!$L1403)+1,20))+1,20))),2),"")))</f>
        <v/>
      </c>
    </row>
    <row r="1404">
      <c r="M1404">
        <f>IF(Sync!$M1404&lt;&gt;"پاس چک","",IF(Sync!$P1404="","",Sync!$P1404))</f>
        <v/>
      </c>
      <c r="N1404">
        <f>IF($M1404="","",IF(ISNUMBER(Sync!$L1404),IF(AND(Sync!$L1404&gt;=10000101,Sync!$L1404&lt;=99991231),RIGHT("0000"&amp;INT(Sync!$L1404/10000),4)&amp;"/"&amp;RIGHT("00"&amp;INT(MOD(Sync!$L1404,10000)/100),2)&amp;"/"&amp;RIGHT("00"&amp;MOD(Sync!$L1404,100),2),""),IFERROR(RIGHT("0000"&amp;VALUE(TRIM(LEFT(Sync!$L1404,FIND("/",Sync!$L1404)-1))),4)&amp;"/"&amp;RIGHT("00"&amp;VALUE(TRIM(LEFT(MID(Sync!$L1404,FIND("/",Sync!$L1404)+1,20),FIND("/",MID(Sync!$L1404,FIND("/",Sync!$L1404)+1,20))-1))),2)&amp;"/"&amp;RIGHT("00"&amp;VALUE(TRIM(MID(MID(Sync!$L1404,FIND("/",Sync!$L1404)+1,20),FIND("/",MID(Sync!$L1404,FIND("/",Sync!$L1404)+1,20))+1,20))),2),"")))</f>
        <v/>
      </c>
    </row>
    <row r="1405">
      <c r="M1405">
        <f>IF(Sync!$M1405&lt;&gt;"پاس چک","",IF(Sync!$P1405="","",Sync!$P1405))</f>
        <v/>
      </c>
      <c r="N1405">
        <f>IF($M1405="","",IF(ISNUMBER(Sync!$L1405),IF(AND(Sync!$L1405&gt;=10000101,Sync!$L1405&lt;=99991231),RIGHT("0000"&amp;INT(Sync!$L1405/10000),4)&amp;"/"&amp;RIGHT("00"&amp;INT(MOD(Sync!$L1405,10000)/100),2)&amp;"/"&amp;RIGHT("00"&amp;MOD(Sync!$L1405,100),2),""),IFERROR(RIGHT("0000"&amp;VALUE(TRIM(LEFT(Sync!$L1405,FIND("/",Sync!$L1405)-1))),4)&amp;"/"&amp;RIGHT("00"&amp;VALUE(TRIM(LEFT(MID(Sync!$L1405,FIND("/",Sync!$L1405)+1,20),FIND("/",MID(Sync!$L1405,FIND("/",Sync!$L1405)+1,20))-1))),2)&amp;"/"&amp;RIGHT("00"&amp;VALUE(TRIM(MID(MID(Sync!$L1405,FIND("/",Sync!$L1405)+1,20),FIND("/",MID(Sync!$L1405,FIND("/",Sync!$L1405)+1,20))+1,20))),2),"")))</f>
        <v/>
      </c>
    </row>
    <row r="1406">
      <c r="M1406">
        <f>IF(Sync!$M1406&lt;&gt;"پاس چک","",IF(Sync!$P1406="","",Sync!$P1406))</f>
        <v/>
      </c>
      <c r="N1406">
        <f>IF($M1406="","",IF(ISNUMBER(Sync!$L1406),IF(AND(Sync!$L1406&gt;=10000101,Sync!$L1406&lt;=99991231),RIGHT("0000"&amp;INT(Sync!$L1406/10000),4)&amp;"/"&amp;RIGHT("00"&amp;INT(MOD(Sync!$L1406,10000)/100),2)&amp;"/"&amp;RIGHT("00"&amp;MOD(Sync!$L1406,100),2),""),IFERROR(RIGHT("0000"&amp;VALUE(TRIM(LEFT(Sync!$L1406,FIND("/",Sync!$L1406)-1))),4)&amp;"/"&amp;RIGHT("00"&amp;VALUE(TRIM(LEFT(MID(Sync!$L1406,FIND("/",Sync!$L1406)+1,20),FIND("/",MID(Sync!$L1406,FIND("/",Sync!$L1406)+1,20))-1))),2)&amp;"/"&amp;RIGHT("00"&amp;VALUE(TRIM(MID(MID(Sync!$L1406,FIND("/",Sync!$L1406)+1,20),FIND("/",MID(Sync!$L1406,FIND("/",Sync!$L1406)+1,20))+1,20))),2),"")))</f>
        <v/>
      </c>
    </row>
    <row r="1407">
      <c r="M1407">
        <f>IF(Sync!$M1407&lt;&gt;"پاس چک","",IF(Sync!$P1407="","",Sync!$P1407))</f>
        <v/>
      </c>
      <c r="N1407">
        <f>IF($M1407="","",IF(ISNUMBER(Sync!$L1407),IF(AND(Sync!$L1407&gt;=10000101,Sync!$L1407&lt;=99991231),RIGHT("0000"&amp;INT(Sync!$L1407/10000),4)&amp;"/"&amp;RIGHT("00"&amp;INT(MOD(Sync!$L1407,10000)/100),2)&amp;"/"&amp;RIGHT("00"&amp;MOD(Sync!$L1407,100),2),""),IFERROR(RIGHT("0000"&amp;VALUE(TRIM(LEFT(Sync!$L1407,FIND("/",Sync!$L1407)-1))),4)&amp;"/"&amp;RIGHT("00"&amp;VALUE(TRIM(LEFT(MID(Sync!$L1407,FIND("/",Sync!$L1407)+1,20),FIND("/",MID(Sync!$L1407,FIND("/",Sync!$L1407)+1,20))-1))),2)&amp;"/"&amp;RIGHT("00"&amp;VALUE(TRIM(MID(MID(Sync!$L1407,FIND("/",Sync!$L1407)+1,20),FIND("/",MID(Sync!$L1407,FIND("/",Sync!$L1407)+1,20))+1,20))),2),"")))</f>
        <v/>
      </c>
    </row>
    <row r="1408">
      <c r="M1408">
        <f>IF(Sync!$M1408&lt;&gt;"پاس چک","",IF(Sync!$P1408="","",Sync!$P1408))</f>
        <v/>
      </c>
      <c r="N1408">
        <f>IF($M1408="","",IF(ISNUMBER(Sync!$L1408),IF(AND(Sync!$L1408&gt;=10000101,Sync!$L1408&lt;=99991231),RIGHT("0000"&amp;INT(Sync!$L1408/10000),4)&amp;"/"&amp;RIGHT("00"&amp;INT(MOD(Sync!$L1408,10000)/100),2)&amp;"/"&amp;RIGHT("00"&amp;MOD(Sync!$L1408,100),2),""),IFERROR(RIGHT("0000"&amp;VALUE(TRIM(LEFT(Sync!$L1408,FIND("/",Sync!$L1408)-1))),4)&amp;"/"&amp;RIGHT("00"&amp;VALUE(TRIM(LEFT(MID(Sync!$L1408,FIND("/",Sync!$L1408)+1,20),FIND("/",MID(Sync!$L1408,FIND("/",Sync!$L1408)+1,20))-1))),2)&amp;"/"&amp;RIGHT("00"&amp;VALUE(TRIM(MID(MID(Sync!$L1408,FIND("/",Sync!$L1408)+1,20),FIND("/",MID(Sync!$L1408,FIND("/",Sync!$L1408)+1,20))+1,20))),2),"")))</f>
        <v/>
      </c>
    </row>
    <row r="1409">
      <c r="M1409">
        <f>IF(Sync!$M1409&lt;&gt;"پاس چک","",IF(Sync!$P1409="","",Sync!$P1409))</f>
        <v/>
      </c>
      <c r="N1409">
        <f>IF($M1409="","",IF(ISNUMBER(Sync!$L1409),IF(AND(Sync!$L1409&gt;=10000101,Sync!$L1409&lt;=99991231),RIGHT("0000"&amp;INT(Sync!$L1409/10000),4)&amp;"/"&amp;RIGHT("00"&amp;INT(MOD(Sync!$L1409,10000)/100),2)&amp;"/"&amp;RIGHT("00"&amp;MOD(Sync!$L1409,100),2),""),IFERROR(RIGHT("0000"&amp;VALUE(TRIM(LEFT(Sync!$L1409,FIND("/",Sync!$L1409)-1))),4)&amp;"/"&amp;RIGHT("00"&amp;VALUE(TRIM(LEFT(MID(Sync!$L1409,FIND("/",Sync!$L1409)+1,20),FIND("/",MID(Sync!$L1409,FIND("/",Sync!$L1409)+1,20))-1))),2)&amp;"/"&amp;RIGHT("00"&amp;VALUE(TRIM(MID(MID(Sync!$L1409,FIND("/",Sync!$L1409)+1,20),FIND("/",MID(Sync!$L1409,FIND("/",Sync!$L1409)+1,20))+1,20))),2),"")))</f>
        <v/>
      </c>
    </row>
    <row r="1410">
      <c r="M1410">
        <f>IF(Sync!$M1410&lt;&gt;"پاس چک","",IF(Sync!$P1410="","",Sync!$P1410))</f>
        <v/>
      </c>
      <c r="N1410">
        <f>IF($M1410="","",IF(ISNUMBER(Sync!$L1410),IF(AND(Sync!$L1410&gt;=10000101,Sync!$L1410&lt;=99991231),RIGHT("0000"&amp;INT(Sync!$L1410/10000),4)&amp;"/"&amp;RIGHT("00"&amp;INT(MOD(Sync!$L1410,10000)/100),2)&amp;"/"&amp;RIGHT("00"&amp;MOD(Sync!$L1410,100),2),""),IFERROR(RIGHT("0000"&amp;VALUE(TRIM(LEFT(Sync!$L1410,FIND("/",Sync!$L1410)-1))),4)&amp;"/"&amp;RIGHT("00"&amp;VALUE(TRIM(LEFT(MID(Sync!$L1410,FIND("/",Sync!$L1410)+1,20),FIND("/",MID(Sync!$L1410,FIND("/",Sync!$L1410)+1,20))-1))),2)&amp;"/"&amp;RIGHT("00"&amp;VALUE(TRIM(MID(MID(Sync!$L1410,FIND("/",Sync!$L1410)+1,20),FIND("/",MID(Sync!$L1410,FIND("/",Sync!$L1410)+1,20))+1,20))),2),"")))</f>
        <v/>
      </c>
    </row>
    <row r="1411">
      <c r="M1411">
        <f>IF(Sync!$M1411&lt;&gt;"پاس چک","",IF(Sync!$P1411="","",Sync!$P1411))</f>
        <v/>
      </c>
      <c r="N1411">
        <f>IF($M1411="","",IF(ISNUMBER(Sync!$L1411),IF(AND(Sync!$L1411&gt;=10000101,Sync!$L1411&lt;=99991231),RIGHT("0000"&amp;INT(Sync!$L1411/10000),4)&amp;"/"&amp;RIGHT("00"&amp;INT(MOD(Sync!$L1411,10000)/100),2)&amp;"/"&amp;RIGHT("00"&amp;MOD(Sync!$L1411,100),2),""),IFERROR(RIGHT("0000"&amp;VALUE(TRIM(LEFT(Sync!$L1411,FIND("/",Sync!$L1411)-1))),4)&amp;"/"&amp;RIGHT("00"&amp;VALUE(TRIM(LEFT(MID(Sync!$L1411,FIND("/",Sync!$L1411)+1,20),FIND("/",MID(Sync!$L1411,FIND("/",Sync!$L1411)+1,20))-1))),2)&amp;"/"&amp;RIGHT("00"&amp;VALUE(TRIM(MID(MID(Sync!$L1411,FIND("/",Sync!$L1411)+1,20),FIND("/",MID(Sync!$L1411,FIND("/",Sync!$L1411)+1,20))+1,20))),2),"")))</f>
        <v/>
      </c>
    </row>
    <row r="1412">
      <c r="M1412">
        <f>IF(Sync!$M1412&lt;&gt;"پاس چک","",IF(Sync!$P1412="","",Sync!$P1412))</f>
        <v/>
      </c>
      <c r="N1412">
        <f>IF($M1412="","",IF(ISNUMBER(Sync!$L1412),IF(AND(Sync!$L1412&gt;=10000101,Sync!$L1412&lt;=99991231),RIGHT("0000"&amp;INT(Sync!$L1412/10000),4)&amp;"/"&amp;RIGHT("00"&amp;INT(MOD(Sync!$L1412,10000)/100),2)&amp;"/"&amp;RIGHT("00"&amp;MOD(Sync!$L1412,100),2),""),IFERROR(RIGHT("0000"&amp;VALUE(TRIM(LEFT(Sync!$L1412,FIND("/",Sync!$L1412)-1))),4)&amp;"/"&amp;RIGHT("00"&amp;VALUE(TRIM(LEFT(MID(Sync!$L1412,FIND("/",Sync!$L1412)+1,20),FIND("/",MID(Sync!$L1412,FIND("/",Sync!$L1412)+1,20))-1))),2)&amp;"/"&amp;RIGHT("00"&amp;VALUE(TRIM(MID(MID(Sync!$L1412,FIND("/",Sync!$L1412)+1,20),FIND("/",MID(Sync!$L1412,FIND("/",Sync!$L1412)+1,20))+1,20))),2),"")))</f>
        <v/>
      </c>
    </row>
    <row r="1413">
      <c r="M1413">
        <f>IF(Sync!$M1413&lt;&gt;"پاس چک","",IF(Sync!$P1413="","",Sync!$P1413))</f>
        <v/>
      </c>
      <c r="N1413">
        <f>IF($M1413="","",IF(ISNUMBER(Sync!$L1413),IF(AND(Sync!$L1413&gt;=10000101,Sync!$L1413&lt;=99991231),RIGHT("0000"&amp;INT(Sync!$L1413/10000),4)&amp;"/"&amp;RIGHT("00"&amp;INT(MOD(Sync!$L1413,10000)/100),2)&amp;"/"&amp;RIGHT("00"&amp;MOD(Sync!$L1413,100),2),""),IFERROR(RIGHT("0000"&amp;VALUE(TRIM(LEFT(Sync!$L1413,FIND("/",Sync!$L1413)-1))),4)&amp;"/"&amp;RIGHT("00"&amp;VALUE(TRIM(LEFT(MID(Sync!$L1413,FIND("/",Sync!$L1413)+1,20),FIND("/",MID(Sync!$L1413,FIND("/",Sync!$L1413)+1,20))-1))),2)&amp;"/"&amp;RIGHT("00"&amp;VALUE(TRIM(MID(MID(Sync!$L1413,FIND("/",Sync!$L1413)+1,20),FIND("/",MID(Sync!$L1413,FIND("/",Sync!$L1413)+1,20))+1,20))),2),"")))</f>
        <v/>
      </c>
    </row>
    <row r="1414">
      <c r="M1414">
        <f>IF(Sync!$M1414&lt;&gt;"پاس چک","",IF(Sync!$P1414="","",Sync!$P1414))</f>
        <v/>
      </c>
      <c r="N1414">
        <f>IF($M1414="","",IF(ISNUMBER(Sync!$L1414),IF(AND(Sync!$L1414&gt;=10000101,Sync!$L1414&lt;=99991231),RIGHT("0000"&amp;INT(Sync!$L1414/10000),4)&amp;"/"&amp;RIGHT("00"&amp;INT(MOD(Sync!$L1414,10000)/100),2)&amp;"/"&amp;RIGHT("00"&amp;MOD(Sync!$L1414,100),2),""),IFERROR(RIGHT("0000"&amp;VALUE(TRIM(LEFT(Sync!$L1414,FIND("/",Sync!$L1414)-1))),4)&amp;"/"&amp;RIGHT("00"&amp;VALUE(TRIM(LEFT(MID(Sync!$L1414,FIND("/",Sync!$L1414)+1,20),FIND("/",MID(Sync!$L1414,FIND("/",Sync!$L1414)+1,20))-1))),2)&amp;"/"&amp;RIGHT("00"&amp;VALUE(TRIM(MID(MID(Sync!$L1414,FIND("/",Sync!$L1414)+1,20),FIND("/",MID(Sync!$L1414,FIND("/",Sync!$L1414)+1,20))+1,20))),2),"")))</f>
        <v/>
      </c>
    </row>
    <row r="1415">
      <c r="M1415">
        <f>IF(Sync!$M1415&lt;&gt;"پاس چک","",IF(Sync!$P1415="","",Sync!$P1415))</f>
        <v/>
      </c>
      <c r="N1415">
        <f>IF($M1415="","",IF(ISNUMBER(Sync!$L1415),IF(AND(Sync!$L1415&gt;=10000101,Sync!$L1415&lt;=99991231),RIGHT("0000"&amp;INT(Sync!$L1415/10000),4)&amp;"/"&amp;RIGHT("00"&amp;INT(MOD(Sync!$L1415,10000)/100),2)&amp;"/"&amp;RIGHT("00"&amp;MOD(Sync!$L1415,100),2),""),IFERROR(RIGHT("0000"&amp;VALUE(TRIM(LEFT(Sync!$L1415,FIND("/",Sync!$L1415)-1))),4)&amp;"/"&amp;RIGHT("00"&amp;VALUE(TRIM(LEFT(MID(Sync!$L1415,FIND("/",Sync!$L1415)+1,20),FIND("/",MID(Sync!$L1415,FIND("/",Sync!$L1415)+1,20))-1))),2)&amp;"/"&amp;RIGHT("00"&amp;VALUE(TRIM(MID(MID(Sync!$L1415,FIND("/",Sync!$L1415)+1,20),FIND("/",MID(Sync!$L1415,FIND("/",Sync!$L1415)+1,20))+1,20))),2),"")))</f>
        <v/>
      </c>
    </row>
    <row r="1416">
      <c r="M1416">
        <f>IF(Sync!$M1416&lt;&gt;"پاس چک","",IF(Sync!$P1416="","",Sync!$P1416))</f>
        <v/>
      </c>
      <c r="N1416">
        <f>IF($M1416="","",IF(ISNUMBER(Sync!$L1416),IF(AND(Sync!$L1416&gt;=10000101,Sync!$L1416&lt;=99991231),RIGHT("0000"&amp;INT(Sync!$L1416/10000),4)&amp;"/"&amp;RIGHT("00"&amp;INT(MOD(Sync!$L1416,10000)/100),2)&amp;"/"&amp;RIGHT("00"&amp;MOD(Sync!$L1416,100),2),""),IFERROR(RIGHT("0000"&amp;VALUE(TRIM(LEFT(Sync!$L1416,FIND("/",Sync!$L1416)-1))),4)&amp;"/"&amp;RIGHT("00"&amp;VALUE(TRIM(LEFT(MID(Sync!$L1416,FIND("/",Sync!$L1416)+1,20),FIND("/",MID(Sync!$L1416,FIND("/",Sync!$L1416)+1,20))-1))),2)&amp;"/"&amp;RIGHT("00"&amp;VALUE(TRIM(MID(MID(Sync!$L1416,FIND("/",Sync!$L1416)+1,20),FIND("/",MID(Sync!$L1416,FIND("/",Sync!$L1416)+1,20))+1,20))),2),"")))</f>
        <v/>
      </c>
    </row>
    <row r="1417">
      <c r="M1417">
        <f>IF(Sync!$M1417&lt;&gt;"پاس چک","",IF(Sync!$P1417="","",Sync!$P1417))</f>
        <v/>
      </c>
      <c r="N1417">
        <f>IF($M1417="","",IF(ISNUMBER(Sync!$L1417),IF(AND(Sync!$L1417&gt;=10000101,Sync!$L1417&lt;=99991231),RIGHT("0000"&amp;INT(Sync!$L1417/10000),4)&amp;"/"&amp;RIGHT("00"&amp;INT(MOD(Sync!$L1417,10000)/100),2)&amp;"/"&amp;RIGHT("00"&amp;MOD(Sync!$L1417,100),2),""),IFERROR(RIGHT("0000"&amp;VALUE(TRIM(LEFT(Sync!$L1417,FIND("/",Sync!$L1417)-1))),4)&amp;"/"&amp;RIGHT("00"&amp;VALUE(TRIM(LEFT(MID(Sync!$L1417,FIND("/",Sync!$L1417)+1,20),FIND("/",MID(Sync!$L1417,FIND("/",Sync!$L1417)+1,20))-1))),2)&amp;"/"&amp;RIGHT("00"&amp;VALUE(TRIM(MID(MID(Sync!$L1417,FIND("/",Sync!$L1417)+1,20),FIND("/",MID(Sync!$L1417,FIND("/",Sync!$L1417)+1,20))+1,20))),2),"")))</f>
        <v/>
      </c>
    </row>
    <row r="1418">
      <c r="M1418">
        <f>IF(Sync!$M1418&lt;&gt;"پاس چک","",IF(Sync!$P1418="","",Sync!$P1418))</f>
        <v/>
      </c>
      <c r="N1418">
        <f>IF($M1418="","",IF(ISNUMBER(Sync!$L1418),IF(AND(Sync!$L1418&gt;=10000101,Sync!$L1418&lt;=99991231),RIGHT("0000"&amp;INT(Sync!$L1418/10000),4)&amp;"/"&amp;RIGHT("00"&amp;INT(MOD(Sync!$L1418,10000)/100),2)&amp;"/"&amp;RIGHT("00"&amp;MOD(Sync!$L1418,100),2),""),IFERROR(RIGHT("0000"&amp;VALUE(TRIM(LEFT(Sync!$L1418,FIND("/",Sync!$L1418)-1))),4)&amp;"/"&amp;RIGHT("00"&amp;VALUE(TRIM(LEFT(MID(Sync!$L1418,FIND("/",Sync!$L1418)+1,20),FIND("/",MID(Sync!$L1418,FIND("/",Sync!$L1418)+1,20))-1))),2)&amp;"/"&amp;RIGHT("00"&amp;VALUE(TRIM(MID(MID(Sync!$L1418,FIND("/",Sync!$L1418)+1,20),FIND("/",MID(Sync!$L1418,FIND("/",Sync!$L1418)+1,20))+1,20))),2),"")))</f>
        <v/>
      </c>
    </row>
    <row r="1419">
      <c r="M1419">
        <f>IF(Sync!$M1419&lt;&gt;"پاس چک","",IF(Sync!$P1419="","",Sync!$P1419))</f>
        <v/>
      </c>
      <c r="N1419">
        <f>IF($M1419="","",IF(ISNUMBER(Sync!$L1419),IF(AND(Sync!$L1419&gt;=10000101,Sync!$L1419&lt;=99991231),RIGHT("0000"&amp;INT(Sync!$L1419/10000),4)&amp;"/"&amp;RIGHT("00"&amp;INT(MOD(Sync!$L1419,10000)/100),2)&amp;"/"&amp;RIGHT("00"&amp;MOD(Sync!$L1419,100),2),""),IFERROR(RIGHT("0000"&amp;VALUE(TRIM(LEFT(Sync!$L1419,FIND("/",Sync!$L1419)-1))),4)&amp;"/"&amp;RIGHT("00"&amp;VALUE(TRIM(LEFT(MID(Sync!$L1419,FIND("/",Sync!$L1419)+1,20),FIND("/",MID(Sync!$L1419,FIND("/",Sync!$L1419)+1,20))-1))),2)&amp;"/"&amp;RIGHT("00"&amp;VALUE(TRIM(MID(MID(Sync!$L1419,FIND("/",Sync!$L1419)+1,20),FIND("/",MID(Sync!$L1419,FIND("/",Sync!$L1419)+1,20))+1,20))),2),"")))</f>
        <v/>
      </c>
    </row>
    <row r="1420">
      <c r="M1420">
        <f>IF(Sync!$M1420&lt;&gt;"پاس چک","",IF(Sync!$P1420="","",Sync!$P1420))</f>
        <v/>
      </c>
      <c r="N1420">
        <f>IF($M1420="","",IF(ISNUMBER(Sync!$L1420),IF(AND(Sync!$L1420&gt;=10000101,Sync!$L1420&lt;=99991231),RIGHT("0000"&amp;INT(Sync!$L1420/10000),4)&amp;"/"&amp;RIGHT("00"&amp;INT(MOD(Sync!$L1420,10000)/100),2)&amp;"/"&amp;RIGHT("00"&amp;MOD(Sync!$L1420,100),2),""),IFERROR(RIGHT("0000"&amp;VALUE(TRIM(LEFT(Sync!$L1420,FIND("/",Sync!$L1420)-1))),4)&amp;"/"&amp;RIGHT("00"&amp;VALUE(TRIM(LEFT(MID(Sync!$L1420,FIND("/",Sync!$L1420)+1,20),FIND("/",MID(Sync!$L1420,FIND("/",Sync!$L1420)+1,20))-1))),2)&amp;"/"&amp;RIGHT("00"&amp;VALUE(TRIM(MID(MID(Sync!$L1420,FIND("/",Sync!$L1420)+1,20),FIND("/",MID(Sync!$L1420,FIND("/",Sync!$L1420)+1,20))+1,20))),2),"")))</f>
        <v/>
      </c>
    </row>
    <row r="1421">
      <c r="M1421">
        <f>IF(Sync!$M1421&lt;&gt;"پاس چک","",IF(Sync!$P1421="","",Sync!$P1421))</f>
        <v/>
      </c>
      <c r="N1421">
        <f>IF($M1421="","",IF(ISNUMBER(Sync!$L1421),IF(AND(Sync!$L1421&gt;=10000101,Sync!$L1421&lt;=99991231),RIGHT("0000"&amp;INT(Sync!$L1421/10000),4)&amp;"/"&amp;RIGHT("00"&amp;INT(MOD(Sync!$L1421,10000)/100),2)&amp;"/"&amp;RIGHT("00"&amp;MOD(Sync!$L1421,100),2),""),IFERROR(RIGHT("0000"&amp;VALUE(TRIM(LEFT(Sync!$L1421,FIND("/",Sync!$L1421)-1))),4)&amp;"/"&amp;RIGHT("00"&amp;VALUE(TRIM(LEFT(MID(Sync!$L1421,FIND("/",Sync!$L1421)+1,20),FIND("/",MID(Sync!$L1421,FIND("/",Sync!$L1421)+1,20))-1))),2)&amp;"/"&amp;RIGHT("00"&amp;VALUE(TRIM(MID(MID(Sync!$L1421,FIND("/",Sync!$L1421)+1,20),FIND("/",MID(Sync!$L1421,FIND("/",Sync!$L1421)+1,20))+1,20))),2),"")))</f>
        <v/>
      </c>
    </row>
    <row r="1422">
      <c r="M1422">
        <f>IF(Sync!$M1422&lt;&gt;"پاس چک","",IF(Sync!$P1422="","",Sync!$P1422))</f>
        <v/>
      </c>
      <c r="N1422">
        <f>IF($M1422="","",IF(ISNUMBER(Sync!$L1422),IF(AND(Sync!$L1422&gt;=10000101,Sync!$L1422&lt;=99991231),RIGHT("0000"&amp;INT(Sync!$L1422/10000),4)&amp;"/"&amp;RIGHT("00"&amp;INT(MOD(Sync!$L1422,10000)/100),2)&amp;"/"&amp;RIGHT("00"&amp;MOD(Sync!$L1422,100),2),""),IFERROR(RIGHT("0000"&amp;VALUE(TRIM(LEFT(Sync!$L1422,FIND("/",Sync!$L1422)-1))),4)&amp;"/"&amp;RIGHT("00"&amp;VALUE(TRIM(LEFT(MID(Sync!$L1422,FIND("/",Sync!$L1422)+1,20),FIND("/",MID(Sync!$L1422,FIND("/",Sync!$L1422)+1,20))-1))),2)&amp;"/"&amp;RIGHT("00"&amp;VALUE(TRIM(MID(MID(Sync!$L1422,FIND("/",Sync!$L1422)+1,20),FIND("/",MID(Sync!$L1422,FIND("/",Sync!$L1422)+1,20))+1,20))),2),"")))</f>
        <v/>
      </c>
    </row>
    <row r="1423">
      <c r="M1423">
        <f>IF(Sync!$M1423&lt;&gt;"پاس چک","",IF(Sync!$P1423="","",Sync!$P1423))</f>
        <v/>
      </c>
      <c r="N1423">
        <f>IF($M1423="","",IF(ISNUMBER(Sync!$L1423),IF(AND(Sync!$L1423&gt;=10000101,Sync!$L1423&lt;=99991231),RIGHT("0000"&amp;INT(Sync!$L1423/10000),4)&amp;"/"&amp;RIGHT("00"&amp;INT(MOD(Sync!$L1423,10000)/100),2)&amp;"/"&amp;RIGHT("00"&amp;MOD(Sync!$L1423,100),2),""),IFERROR(RIGHT("0000"&amp;VALUE(TRIM(LEFT(Sync!$L1423,FIND("/",Sync!$L1423)-1))),4)&amp;"/"&amp;RIGHT("00"&amp;VALUE(TRIM(LEFT(MID(Sync!$L1423,FIND("/",Sync!$L1423)+1,20),FIND("/",MID(Sync!$L1423,FIND("/",Sync!$L1423)+1,20))-1))),2)&amp;"/"&amp;RIGHT("00"&amp;VALUE(TRIM(MID(MID(Sync!$L1423,FIND("/",Sync!$L1423)+1,20),FIND("/",MID(Sync!$L1423,FIND("/",Sync!$L1423)+1,20))+1,20))),2),"")))</f>
        <v/>
      </c>
    </row>
    <row r="1424">
      <c r="M1424">
        <f>IF(Sync!$M1424&lt;&gt;"پاس چک","",IF(Sync!$P1424="","",Sync!$P1424))</f>
        <v/>
      </c>
      <c r="N1424">
        <f>IF($M1424="","",IF(ISNUMBER(Sync!$L1424),IF(AND(Sync!$L1424&gt;=10000101,Sync!$L1424&lt;=99991231),RIGHT("0000"&amp;INT(Sync!$L1424/10000),4)&amp;"/"&amp;RIGHT("00"&amp;INT(MOD(Sync!$L1424,10000)/100),2)&amp;"/"&amp;RIGHT("00"&amp;MOD(Sync!$L1424,100),2),""),IFERROR(RIGHT("0000"&amp;VALUE(TRIM(LEFT(Sync!$L1424,FIND("/",Sync!$L1424)-1))),4)&amp;"/"&amp;RIGHT("00"&amp;VALUE(TRIM(LEFT(MID(Sync!$L1424,FIND("/",Sync!$L1424)+1,20),FIND("/",MID(Sync!$L1424,FIND("/",Sync!$L1424)+1,20))-1))),2)&amp;"/"&amp;RIGHT("00"&amp;VALUE(TRIM(MID(MID(Sync!$L1424,FIND("/",Sync!$L1424)+1,20),FIND("/",MID(Sync!$L1424,FIND("/",Sync!$L1424)+1,20))+1,20))),2),"")))</f>
        <v/>
      </c>
    </row>
    <row r="1425">
      <c r="M1425">
        <f>IF(Sync!$M1425&lt;&gt;"پاس چک","",IF(Sync!$P1425="","",Sync!$P1425))</f>
        <v/>
      </c>
      <c r="N1425">
        <f>IF($M1425="","",IF(ISNUMBER(Sync!$L1425),IF(AND(Sync!$L1425&gt;=10000101,Sync!$L1425&lt;=99991231),RIGHT("0000"&amp;INT(Sync!$L1425/10000),4)&amp;"/"&amp;RIGHT("00"&amp;INT(MOD(Sync!$L1425,10000)/100),2)&amp;"/"&amp;RIGHT("00"&amp;MOD(Sync!$L1425,100),2),""),IFERROR(RIGHT("0000"&amp;VALUE(TRIM(LEFT(Sync!$L1425,FIND("/",Sync!$L1425)-1))),4)&amp;"/"&amp;RIGHT("00"&amp;VALUE(TRIM(LEFT(MID(Sync!$L1425,FIND("/",Sync!$L1425)+1,20),FIND("/",MID(Sync!$L1425,FIND("/",Sync!$L1425)+1,20))-1))),2)&amp;"/"&amp;RIGHT("00"&amp;VALUE(TRIM(MID(MID(Sync!$L1425,FIND("/",Sync!$L1425)+1,20),FIND("/",MID(Sync!$L1425,FIND("/",Sync!$L1425)+1,20))+1,20))),2),"")))</f>
        <v/>
      </c>
    </row>
    <row r="1426">
      <c r="M1426">
        <f>IF(Sync!$M1426&lt;&gt;"پاس چک","",IF(Sync!$P1426="","",Sync!$P1426))</f>
        <v/>
      </c>
      <c r="N1426">
        <f>IF($M1426="","",IF(ISNUMBER(Sync!$L1426),IF(AND(Sync!$L1426&gt;=10000101,Sync!$L1426&lt;=99991231),RIGHT("0000"&amp;INT(Sync!$L1426/10000),4)&amp;"/"&amp;RIGHT("00"&amp;INT(MOD(Sync!$L1426,10000)/100),2)&amp;"/"&amp;RIGHT("00"&amp;MOD(Sync!$L1426,100),2),""),IFERROR(RIGHT("0000"&amp;VALUE(TRIM(LEFT(Sync!$L1426,FIND("/",Sync!$L1426)-1))),4)&amp;"/"&amp;RIGHT("00"&amp;VALUE(TRIM(LEFT(MID(Sync!$L1426,FIND("/",Sync!$L1426)+1,20),FIND("/",MID(Sync!$L1426,FIND("/",Sync!$L1426)+1,20))-1))),2)&amp;"/"&amp;RIGHT("00"&amp;VALUE(TRIM(MID(MID(Sync!$L1426,FIND("/",Sync!$L1426)+1,20),FIND("/",MID(Sync!$L1426,FIND("/",Sync!$L1426)+1,20))+1,20))),2),"")))</f>
        <v/>
      </c>
    </row>
    <row r="1427">
      <c r="M1427">
        <f>IF(Sync!$M1427&lt;&gt;"پاس چک","",IF(Sync!$P1427="","",Sync!$P1427))</f>
        <v/>
      </c>
      <c r="N1427">
        <f>IF($M1427="","",IF(ISNUMBER(Sync!$L1427),IF(AND(Sync!$L1427&gt;=10000101,Sync!$L1427&lt;=99991231),RIGHT("0000"&amp;INT(Sync!$L1427/10000),4)&amp;"/"&amp;RIGHT("00"&amp;INT(MOD(Sync!$L1427,10000)/100),2)&amp;"/"&amp;RIGHT("00"&amp;MOD(Sync!$L1427,100),2),""),IFERROR(RIGHT("0000"&amp;VALUE(TRIM(LEFT(Sync!$L1427,FIND("/",Sync!$L1427)-1))),4)&amp;"/"&amp;RIGHT("00"&amp;VALUE(TRIM(LEFT(MID(Sync!$L1427,FIND("/",Sync!$L1427)+1,20),FIND("/",MID(Sync!$L1427,FIND("/",Sync!$L1427)+1,20))-1))),2)&amp;"/"&amp;RIGHT("00"&amp;VALUE(TRIM(MID(MID(Sync!$L1427,FIND("/",Sync!$L1427)+1,20),FIND("/",MID(Sync!$L1427,FIND("/",Sync!$L1427)+1,20))+1,20))),2),"")))</f>
        <v/>
      </c>
    </row>
    <row r="1428">
      <c r="M1428">
        <f>IF(Sync!$M1428&lt;&gt;"پاس چک","",IF(Sync!$P1428="","",Sync!$P1428))</f>
        <v/>
      </c>
      <c r="N1428">
        <f>IF($M1428="","",IF(ISNUMBER(Sync!$L1428),IF(AND(Sync!$L1428&gt;=10000101,Sync!$L1428&lt;=99991231),RIGHT("0000"&amp;INT(Sync!$L1428/10000),4)&amp;"/"&amp;RIGHT("00"&amp;INT(MOD(Sync!$L1428,10000)/100),2)&amp;"/"&amp;RIGHT("00"&amp;MOD(Sync!$L1428,100),2),""),IFERROR(RIGHT("0000"&amp;VALUE(TRIM(LEFT(Sync!$L1428,FIND("/",Sync!$L1428)-1))),4)&amp;"/"&amp;RIGHT("00"&amp;VALUE(TRIM(LEFT(MID(Sync!$L1428,FIND("/",Sync!$L1428)+1,20),FIND("/",MID(Sync!$L1428,FIND("/",Sync!$L1428)+1,20))-1))),2)&amp;"/"&amp;RIGHT("00"&amp;VALUE(TRIM(MID(MID(Sync!$L1428,FIND("/",Sync!$L1428)+1,20),FIND("/",MID(Sync!$L1428,FIND("/",Sync!$L1428)+1,20))+1,20))),2),"")))</f>
        <v/>
      </c>
    </row>
    <row r="1429">
      <c r="M1429">
        <f>IF(Sync!$M1429&lt;&gt;"پاس چک","",IF(Sync!$P1429="","",Sync!$P1429))</f>
        <v/>
      </c>
      <c r="N1429">
        <f>IF($M1429="","",IF(ISNUMBER(Sync!$L1429),IF(AND(Sync!$L1429&gt;=10000101,Sync!$L1429&lt;=99991231),RIGHT("0000"&amp;INT(Sync!$L1429/10000),4)&amp;"/"&amp;RIGHT("00"&amp;INT(MOD(Sync!$L1429,10000)/100),2)&amp;"/"&amp;RIGHT("00"&amp;MOD(Sync!$L1429,100),2),""),IFERROR(RIGHT("0000"&amp;VALUE(TRIM(LEFT(Sync!$L1429,FIND("/",Sync!$L1429)-1))),4)&amp;"/"&amp;RIGHT("00"&amp;VALUE(TRIM(LEFT(MID(Sync!$L1429,FIND("/",Sync!$L1429)+1,20),FIND("/",MID(Sync!$L1429,FIND("/",Sync!$L1429)+1,20))-1))),2)&amp;"/"&amp;RIGHT("00"&amp;VALUE(TRIM(MID(MID(Sync!$L1429,FIND("/",Sync!$L1429)+1,20),FIND("/",MID(Sync!$L1429,FIND("/",Sync!$L1429)+1,20))+1,20))),2),"")))</f>
        <v/>
      </c>
    </row>
    <row r="1430">
      <c r="M1430">
        <f>IF(Sync!$M1430&lt;&gt;"پاس چک","",IF(Sync!$P1430="","",Sync!$P1430))</f>
        <v/>
      </c>
      <c r="N1430">
        <f>IF($M1430="","",IF(ISNUMBER(Sync!$L1430),IF(AND(Sync!$L1430&gt;=10000101,Sync!$L1430&lt;=99991231),RIGHT("0000"&amp;INT(Sync!$L1430/10000),4)&amp;"/"&amp;RIGHT("00"&amp;INT(MOD(Sync!$L1430,10000)/100),2)&amp;"/"&amp;RIGHT("00"&amp;MOD(Sync!$L1430,100),2),""),IFERROR(RIGHT("0000"&amp;VALUE(TRIM(LEFT(Sync!$L1430,FIND("/",Sync!$L1430)-1))),4)&amp;"/"&amp;RIGHT("00"&amp;VALUE(TRIM(LEFT(MID(Sync!$L1430,FIND("/",Sync!$L1430)+1,20),FIND("/",MID(Sync!$L1430,FIND("/",Sync!$L1430)+1,20))-1))),2)&amp;"/"&amp;RIGHT("00"&amp;VALUE(TRIM(MID(MID(Sync!$L1430,FIND("/",Sync!$L1430)+1,20),FIND("/",MID(Sync!$L1430,FIND("/",Sync!$L1430)+1,20))+1,20))),2),"")))</f>
        <v/>
      </c>
    </row>
    <row r="1431">
      <c r="M1431">
        <f>IF(Sync!$M1431&lt;&gt;"پاس چک","",IF(Sync!$P1431="","",Sync!$P1431))</f>
        <v/>
      </c>
      <c r="N1431">
        <f>IF($M1431="","",IF(ISNUMBER(Sync!$L1431),IF(AND(Sync!$L1431&gt;=10000101,Sync!$L1431&lt;=99991231),RIGHT("0000"&amp;INT(Sync!$L1431/10000),4)&amp;"/"&amp;RIGHT("00"&amp;INT(MOD(Sync!$L1431,10000)/100),2)&amp;"/"&amp;RIGHT("00"&amp;MOD(Sync!$L1431,100),2),""),IFERROR(RIGHT("0000"&amp;VALUE(TRIM(LEFT(Sync!$L1431,FIND("/",Sync!$L1431)-1))),4)&amp;"/"&amp;RIGHT("00"&amp;VALUE(TRIM(LEFT(MID(Sync!$L1431,FIND("/",Sync!$L1431)+1,20),FIND("/",MID(Sync!$L1431,FIND("/",Sync!$L1431)+1,20))-1))),2)&amp;"/"&amp;RIGHT("00"&amp;VALUE(TRIM(MID(MID(Sync!$L1431,FIND("/",Sync!$L1431)+1,20),FIND("/",MID(Sync!$L1431,FIND("/",Sync!$L1431)+1,20))+1,20))),2),"")))</f>
        <v/>
      </c>
    </row>
    <row r="1432">
      <c r="M1432">
        <f>IF(Sync!$M1432&lt;&gt;"پاس چک","",IF(Sync!$P1432="","",Sync!$P1432))</f>
        <v/>
      </c>
      <c r="N1432">
        <f>IF($M1432="","",IF(ISNUMBER(Sync!$L1432),IF(AND(Sync!$L1432&gt;=10000101,Sync!$L1432&lt;=99991231),RIGHT("0000"&amp;INT(Sync!$L1432/10000),4)&amp;"/"&amp;RIGHT("00"&amp;INT(MOD(Sync!$L1432,10000)/100),2)&amp;"/"&amp;RIGHT("00"&amp;MOD(Sync!$L1432,100),2),""),IFERROR(RIGHT("0000"&amp;VALUE(TRIM(LEFT(Sync!$L1432,FIND("/",Sync!$L1432)-1))),4)&amp;"/"&amp;RIGHT("00"&amp;VALUE(TRIM(LEFT(MID(Sync!$L1432,FIND("/",Sync!$L1432)+1,20),FIND("/",MID(Sync!$L1432,FIND("/",Sync!$L1432)+1,20))-1))),2)&amp;"/"&amp;RIGHT("00"&amp;VALUE(TRIM(MID(MID(Sync!$L1432,FIND("/",Sync!$L1432)+1,20),FIND("/",MID(Sync!$L1432,FIND("/",Sync!$L1432)+1,20))+1,20))),2),"")))</f>
        <v/>
      </c>
    </row>
    <row r="1433">
      <c r="M1433">
        <f>IF(Sync!$M1433&lt;&gt;"پاس چک","",IF(Sync!$P1433="","",Sync!$P1433))</f>
        <v/>
      </c>
      <c r="N1433">
        <f>IF($M1433="","",IF(ISNUMBER(Sync!$L1433),IF(AND(Sync!$L1433&gt;=10000101,Sync!$L1433&lt;=99991231),RIGHT("0000"&amp;INT(Sync!$L1433/10000),4)&amp;"/"&amp;RIGHT("00"&amp;INT(MOD(Sync!$L1433,10000)/100),2)&amp;"/"&amp;RIGHT("00"&amp;MOD(Sync!$L1433,100),2),""),IFERROR(RIGHT("0000"&amp;VALUE(TRIM(LEFT(Sync!$L1433,FIND("/",Sync!$L1433)-1))),4)&amp;"/"&amp;RIGHT("00"&amp;VALUE(TRIM(LEFT(MID(Sync!$L1433,FIND("/",Sync!$L1433)+1,20),FIND("/",MID(Sync!$L1433,FIND("/",Sync!$L1433)+1,20))-1))),2)&amp;"/"&amp;RIGHT("00"&amp;VALUE(TRIM(MID(MID(Sync!$L1433,FIND("/",Sync!$L1433)+1,20),FIND("/",MID(Sync!$L1433,FIND("/",Sync!$L1433)+1,20))+1,20))),2),"")))</f>
        <v/>
      </c>
    </row>
    <row r="1434">
      <c r="M1434">
        <f>IF(Sync!$M1434&lt;&gt;"پاس چک","",IF(Sync!$P1434="","",Sync!$P1434))</f>
        <v/>
      </c>
      <c r="N1434">
        <f>IF($M1434="","",IF(ISNUMBER(Sync!$L1434),IF(AND(Sync!$L1434&gt;=10000101,Sync!$L1434&lt;=99991231),RIGHT("0000"&amp;INT(Sync!$L1434/10000),4)&amp;"/"&amp;RIGHT("00"&amp;INT(MOD(Sync!$L1434,10000)/100),2)&amp;"/"&amp;RIGHT("00"&amp;MOD(Sync!$L1434,100),2),""),IFERROR(RIGHT("0000"&amp;VALUE(TRIM(LEFT(Sync!$L1434,FIND("/",Sync!$L1434)-1))),4)&amp;"/"&amp;RIGHT("00"&amp;VALUE(TRIM(LEFT(MID(Sync!$L1434,FIND("/",Sync!$L1434)+1,20),FIND("/",MID(Sync!$L1434,FIND("/",Sync!$L1434)+1,20))-1))),2)&amp;"/"&amp;RIGHT("00"&amp;VALUE(TRIM(MID(MID(Sync!$L1434,FIND("/",Sync!$L1434)+1,20),FIND("/",MID(Sync!$L1434,FIND("/",Sync!$L1434)+1,20))+1,20))),2),"")))</f>
        <v/>
      </c>
    </row>
    <row r="1435">
      <c r="M1435">
        <f>IF(Sync!$M1435&lt;&gt;"پاس چک","",IF(Sync!$P1435="","",Sync!$P1435))</f>
        <v/>
      </c>
      <c r="N1435">
        <f>IF($M1435="","",IF(ISNUMBER(Sync!$L1435),IF(AND(Sync!$L1435&gt;=10000101,Sync!$L1435&lt;=99991231),RIGHT("0000"&amp;INT(Sync!$L1435/10000),4)&amp;"/"&amp;RIGHT("00"&amp;INT(MOD(Sync!$L1435,10000)/100),2)&amp;"/"&amp;RIGHT("00"&amp;MOD(Sync!$L1435,100),2),""),IFERROR(RIGHT("0000"&amp;VALUE(TRIM(LEFT(Sync!$L1435,FIND("/",Sync!$L1435)-1))),4)&amp;"/"&amp;RIGHT("00"&amp;VALUE(TRIM(LEFT(MID(Sync!$L1435,FIND("/",Sync!$L1435)+1,20),FIND("/",MID(Sync!$L1435,FIND("/",Sync!$L1435)+1,20))-1))),2)&amp;"/"&amp;RIGHT("00"&amp;VALUE(TRIM(MID(MID(Sync!$L1435,FIND("/",Sync!$L1435)+1,20),FIND("/",MID(Sync!$L1435,FIND("/",Sync!$L1435)+1,20))+1,20))),2),"")))</f>
        <v/>
      </c>
    </row>
    <row r="1436">
      <c r="M1436">
        <f>IF(Sync!$M1436&lt;&gt;"پاس چک","",IF(Sync!$P1436="","",Sync!$P1436))</f>
        <v/>
      </c>
      <c r="N1436">
        <f>IF($M1436="","",IF(ISNUMBER(Sync!$L1436),IF(AND(Sync!$L1436&gt;=10000101,Sync!$L1436&lt;=99991231),RIGHT("0000"&amp;INT(Sync!$L1436/10000),4)&amp;"/"&amp;RIGHT("00"&amp;INT(MOD(Sync!$L1436,10000)/100),2)&amp;"/"&amp;RIGHT("00"&amp;MOD(Sync!$L1436,100),2),""),IFERROR(RIGHT("0000"&amp;VALUE(TRIM(LEFT(Sync!$L1436,FIND("/",Sync!$L1436)-1))),4)&amp;"/"&amp;RIGHT("00"&amp;VALUE(TRIM(LEFT(MID(Sync!$L1436,FIND("/",Sync!$L1436)+1,20),FIND("/",MID(Sync!$L1436,FIND("/",Sync!$L1436)+1,20))-1))),2)&amp;"/"&amp;RIGHT("00"&amp;VALUE(TRIM(MID(MID(Sync!$L1436,FIND("/",Sync!$L1436)+1,20),FIND("/",MID(Sync!$L1436,FIND("/",Sync!$L1436)+1,20))+1,20))),2),"")))</f>
        <v/>
      </c>
    </row>
    <row r="1437">
      <c r="M1437">
        <f>IF(Sync!$M1437&lt;&gt;"پاس چک","",IF(Sync!$P1437="","",Sync!$P1437))</f>
        <v/>
      </c>
      <c r="N1437">
        <f>IF($M1437="","",IF(ISNUMBER(Sync!$L1437),IF(AND(Sync!$L1437&gt;=10000101,Sync!$L1437&lt;=99991231),RIGHT("0000"&amp;INT(Sync!$L1437/10000),4)&amp;"/"&amp;RIGHT("00"&amp;INT(MOD(Sync!$L1437,10000)/100),2)&amp;"/"&amp;RIGHT("00"&amp;MOD(Sync!$L1437,100),2),""),IFERROR(RIGHT("0000"&amp;VALUE(TRIM(LEFT(Sync!$L1437,FIND("/",Sync!$L1437)-1))),4)&amp;"/"&amp;RIGHT("00"&amp;VALUE(TRIM(LEFT(MID(Sync!$L1437,FIND("/",Sync!$L1437)+1,20),FIND("/",MID(Sync!$L1437,FIND("/",Sync!$L1437)+1,20))-1))),2)&amp;"/"&amp;RIGHT("00"&amp;VALUE(TRIM(MID(MID(Sync!$L1437,FIND("/",Sync!$L1437)+1,20),FIND("/",MID(Sync!$L1437,FIND("/",Sync!$L1437)+1,20))+1,20))),2),"")))</f>
        <v/>
      </c>
    </row>
    <row r="1438">
      <c r="M1438">
        <f>IF(Sync!$M1438&lt;&gt;"پاس چک","",IF(Sync!$P1438="","",Sync!$P1438))</f>
        <v/>
      </c>
      <c r="N1438">
        <f>IF($M1438="","",IF(ISNUMBER(Sync!$L1438),IF(AND(Sync!$L1438&gt;=10000101,Sync!$L1438&lt;=99991231),RIGHT("0000"&amp;INT(Sync!$L1438/10000),4)&amp;"/"&amp;RIGHT("00"&amp;INT(MOD(Sync!$L1438,10000)/100),2)&amp;"/"&amp;RIGHT("00"&amp;MOD(Sync!$L1438,100),2),""),IFERROR(RIGHT("0000"&amp;VALUE(TRIM(LEFT(Sync!$L1438,FIND("/",Sync!$L1438)-1))),4)&amp;"/"&amp;RIGHT("00"&amp;VALUE(TRIM(LEFT(MID(Sync!$L1438,FIND("/",Sync!$L1438)+1,20),FIND("/",MID(Sync!$L1438,FIND("/",Sync!$L1438)+1,20))-1))),2)&amp;"/"&amp;RIGHT("00"&amp;VALUE(TRIM(MID(MID(Sync!$L1438,FIND("/",Sync!$L1438)+1,20),FIND("/",MID(Sync!$L1438,FIND("/",Sync!$L1438)+1,20))+1,20))),2),"")))</f>
        <v/>
      </c>
    </row>
    <row r="1439">
      <c r="M1439">
        <f>IF(Sync!$M1439&lt;&gt;"پاس چک","",IF(Sync!$P1439="","",Sync!$P1439))</f>
        <v/>
      </c>
      <c r="N1439">
        <f>IF($M1439="","",IF(ISNUMBER(Sync!$L1439),IF(AND(Sync!$L1439&gt;=10000101,Sync!$L1439&lt;=99991231),RIGHT("0000"&amp;INT(Sync!$L1439/10000),4)&amp;"/"&amp;RIGHT("00"&amp;INT(MOD(Sync!$L1439,10000)/100),2)&amp;"/"&amp;RIGHT("00"&amp;MOD(Sync!$L1439,100),2),""),IFERROR(RIGHT("0000"&amp;VALUE(TRIM(LEFT(Sync!$L1439,FIND("/",Sync!$L1439)-1))),4)&amp;"/"&amp;RIGHT("00"&amp;VALUE(TRIM(LEFT(MID(Sync!$L1439,FIND("/",Sync!$L1439)+1,20),FIND("/",MID(Sync!$L1439,FIND("/",Sync!$L1439)+1,20))-1))),2)&amp;"/"&amp;RIGHT("00"&amp;VALUE(TRIM(MID(MID(Sync!$L1439,FIND("/",Sync!$L1439)+1,20),FIND("/",MID(Sync!$L1439,FIND("/",Sync!$L1439)+1,20))+1,20))),2),"")))</f>
        <v/>
      </c>
    </row>
    <row r="1440">
      <c r="M1440">
        <f>IF(Sync!$M1440&lt;&gt;"پاس چک","",IF(Sync!$P1440="","",Sync!$P1440))</f>
        <v/>
      </c>
      <c r="N1440">
        <f>IF($M1440="","",IF(ISNUMBER(Sync!$L1440),IF(AND(Sync!$L1440&gt;=10000101,Sync!$L1440&lt;=99991231),RIGHT("0000"&amp;INT(Sync!$L1440/10000),4)&amp;"/"&amp;RIGHT("00"&amp;INT(MOD(Sync!$L1440,10000)/100),2)&amp;"/"&amp;RIGHT("00"&amp;MOD(Sync!$L1440,100),2),""),IFERROR(RIGHT("0000"&amp;VALUE(TRIM(LEFT(Sync!$L1440,FIND("/",Sync!$L1440)-1))),4)&amp;"/"&amp;RIGHT("00"&amp;VALUE(TRIM(LEFT(MID(Sync!$L1440,FIND("/",Sync!$L1440)+1,20),FIND("/",MID(Sync!$L1440,FIND("/",Sync!$L1440)+1,20))-1))),2)&amp;"/"&amp;RIGHT("00"&amp;VALUE(TRIM(MID(MID(Sync!$L1440,FIND("/",Sync!$L1440)+1,20),FIND("/",MID(Sync!$L1440,FIND("/",Sync!$L1440)+1,20))+1,20))),2),"")))</f>
        <v/>
      </c>
    </row>
    <row r="1441">
      <c r="M1441">
        <f>IF(Sync!$M1441&lt;&gt;"پاس چک","",IF(Sync!$P1441="","",Sync!$P1441))</f>
        <v/>
      </c>
      <c r="N1441">
        <f>IF($M1441="","",IF(ISNUMBER(Sync!$L1441),IF(AND(Sync!$L1441&gt;=10000101,Sync!$L1441&lt;=99991231),RIGHT("0000"&amp;INT(Sync!$L1441/10000),4)&amp;"/"&amp;RIGHT("00"&amp;INT(MOD(Sync!$L1441,10000)/100),2)&amp;"/"&amp;RIGHT("00"&amp;MOD(Sync!$L1441,100),2),""),IFERROR(RIGHT("0000"&amp;VALUE(TRIM(LEFT(Sync!$L1441,FIND("/",Sync!$L1441)-1))),4)&amp;"/"&amp;RIGHT("00"&amp;VALUE(TRIM(LEFT(MID(Sync!$L1441,FIND("/",Sync!$L1441)+1,20),FIND("/",MID(Sync!$L1441,FIND("/",Sync!$L1441)+1,20))-1))),2)&amp;"/"&amp;RIGHT("00"&amp;VALUE(TRIM(MID(MID(Sync!$L1441,FIND("/",Sync!$L1441)+1,20),FIND("/",MID(Sync!$L1441,FIND("/",Sync!$L1441)+1,20))+1,20))),2),"")))</f>
        <v/>
      </c>
    </row>
    <row r="1442">
      <c r="M1442">
        <f>IF(Sync!$M1442&lt;&gt;"پاس چک","",IF(Sync!$P1442="","",Sync!$P1442))</f>
        <v/>
      </c>
      <c r="N1442">
        <f>IF($M1442="","",IF(ISNUMBER(Sync!$L1442),IF(AND(Sync!$L1442&gt;=10000101,Sync!$L1442&lt;=99991231),RIGHT("0000"&amp;INT(Sync!$L1442/10000),4)&amp;"/"&amp;RIGHT("00"&amp;INT(MOD(Sync!$L1442,10000)/100),2)&amp;"/"&amp;RIGHT("00"&amp;MOD(Sync!$L1442,100),2),""),IFERROR(RIGHT("0000"&amp;VALUE(TRIM(LEFT(Sync!$L1442,FIND("/",Sync!$L1442)-1))),4)&amp;"/"&amp;RIGHT("00"&amp;VALUE(TRIM(LEFT(MID(Sync!$L1442,FIND("/",Sync!$L1442)+1,20),FIND("/",MID(Sync!$L1442,FIND("/",Sync!$L1442)+1,20))-1))),2)&amp;"/"&amp;RIGHT("00"&amp;VALUE(TRIM(MID(MID(Sync!$L1442,FIND("/",Sync!$L1442)+1,20),FIND("/",MID(Sync!$L1442,FIND("/",Sync!$L1442)+1,20))+1,20))),2),"")))</f>
        <v/>
      </c>
    </row>
    <row r="1443">
      <c r="M1443">
        <f>IF(Sync!$M1443&lt;&gt;"پاس چک","",IF(Sync!$P1443="","",Sync!$P1443))</f>
        <v/>
      </c>
      <c r="N1443">
        <f>IF($M1443="","",IF(ISNUMBER(Sync!$L1443),IF(AND(Sync!$L1443&gt;=10000101,Sync!$L1443&lt;=99991231),RIGHT("0000"&amp;INT(Sync!$L1443/10000),4)&amp;"/"&amp;RIGHT("00"&amp;INT(MOD(Sync!$L1443,10000)/100),2)&amp;"/"&amp;RIGHT("00"&amp;MOD(Sync!$L1443,100),2),""),IFERROR(RIGHT("0000"&amp;VALUE(TRIM(LEFT(Sync!$L1443,FIND("/",Sync!$L1443)-1))),4)&amp;"/"&amp;RIGHT("00"&amp;VALUE(TRIM(LEFT(MID(Sync!$L1443,FIND("/",Sync!$L1443)+1,20),FIND("/",MID(Sync!$L1443,FIND("/",Sync!$L1443)+1,20))-1))),2)&amp;"/"&amp;RIGHT("00"&amp;VALUE(TRIM(MID(MID(Sync!$L1443,FIND("/",Sync!$L1443)+1,20),FIND("/",MID(Sync!$L1443,FIND("/",Sync!$L1443)+1,20))+1,20))),2),"")))</f>
        <v/>
      </c>
    </row>
    <row r="1444">
      <c r="M1444">
        <f>IF(Sync!$M1444&lt;&gt;"پاس چک","",IF(Sync!$P1444="","",Sync!$P1444))</f>
        <v/>
      </c>
      <c r="N1444">
        <f>IF($M1444="","",IF(ISNUMBER(Sync!$L1444),IF(AND(Sync!$L1444&gt;=10000101,Sync!$L1444&lt;=99991231),RIGHT("0000"&amp;INT(Sync!$L1444/10000),4)&amp;"/"&amp;RIGHT("00"&amp;INT(MOD(Sync!$L1444,10000)/100),2)&amp;"/"&amp;RIGHT("00"&amp;MOD(Sync!$L1444,100),2),""),IFERROR(RIGHT("0000"&amp;VALUE(TRIM(LEFT(Sync!$L1444,FIND("/",Sync!$L1444)-1))),4)&amp;"/"&amp;RIGHT("00"&amp;VALUE(TRIM(LEFT(MID(Sync!$L1444,FIND("/",Sync!$L1444)+1,20),FIND("/",MID(Sync!$L1444,FIND("/",Sync!$L1444)+1,20))-1))),2)&amp;"/"&amp;RIGHT("00"&amp;VALUE(TRIM(MID(MID(Sync!$L1444,FIND("/",Sync!$L1444)+1,20),FIND("/",MID(Sync!$L1444,FIND("/",Sync!$L1444)+1,20))+1,20))),2),"")))</f>
        <v/>
      </c>
    </row>
    <row r="1445">
      <c r="M1445">
        <f>IF(Sync!$M1445&lt;&gt;"پاس چک","",IF(Sync!$P1445="","",Sync!$P1445))</f>
        <v/>
      </c>
      <c r="N1445">
        <f>IF($M1445="","",IF(ISNUMBER(Sync!$L1445),IF(AND(Sync!$L1445&gt;=10000101,Sync!$L1445&lt;=99991231),RIGHT("0000"&amp;INT(Sync!$L1445/10000),4)&amp;"/"&amp;RIGHT("00"&amp;INT(MOD(Sync!$L1445,10000)/100),2)&amp;"/"&amp;RIGHT("00"&amp;MOD(Sync!$L1445,100),2),""),IFERROR(RIGHT("0000"&amp;VALUE(TRIM(LEFT(Sync!$L1445,FIND("/",Sync!$L1445)-1))),4)&amp;"/"&amp;RIGHT("00"&amp;VALUE(TRIM(LEFT(MID(Sync!$L1445,FIND("/",Sync!$L1445)+1,20),FIND("/",MID(Sync!$L1445,FIND("/",Sync!$L1445)+1,20))-1))),2)&amp;"/"&amp;RIGHT("00"&amp;VALUE(TRIM(MID(MID(Sync!$L1445,FIND("/",Sync!$L1445)+1,20),FIND("/",MID(Sync!$L1445,FIND("/",Sync!$L1445)+1,20))+1,20))),2),"")))</f>
        <v/>
      </c>
    </row>
    <row r="1446">
      <c r="M1446">
        <f>IF(Sync!$M1446&lt;&gt;"پاس چک","",IF(Sync!$P1446="","",Sync!$P1446))</f>
        <v/>
      </c>
      <c r="N1446">
        <f>IF($M1446="","",IF(ISNUMBER(Sync!$L1446),IF(AND(Sync!$L1446&gt;=10000101,Sync!$L1446&lt;=99991231),RIGHT("0000"&amp;INT(Sync!$L1446/10000),4)&amp;"/"&amp;RIGHT("00"&amp;INT(MOD(Sync!$L1446,10000)/100),2)&amp;"/"&amp;RIGHT("00"&amp;MOD(Sync!$L1446,100),2),""),IFERROR(RIGHT("0000"&amp;VALUE(TRIM(LEFT(Sync!$L1446,FIND("/",Sync!$L1446)-1))),4)&amp;"/"&amp;RIGHT("00"&amp;VALUE(TRIM(LEFT(MID(Sync!$L1446,FIND("/",Sync!$L1446)+1,20),FIND("/",MID(Sync!$L1446,FIND("/",Sync!$L1446)+1,20))-1))),2)&amp;"/"&amp;RIGHT("00"&amp;VALUE(TRIM(MID(MID(Sync!$L1446,FIND("/",Sync!$L1446)+1,20),FIND("/",MID(Sync!$L1446,FIND("/",Sync!$L1446)+1,20))+1,20))),2),"")))</f>
        <v/>
      </c>
    </row>
    <row r="1447">
      <c r="M1447">
        <f>IF(Sync!$M1447&lt;&gt;"پاس چک","",IF(Sync!$P1447="","",Sync!$P1447))</f>
        <v/>
      </c>
      <c r="N1447">
        <f>IF($M1447="","",IF(ISNUMBER(Sync!$L1447),IF(AND(Sync!$L1447&gt;=10000101,Sync!$L1447&lt;=99991231),RIGHT("0000"&amp;INT(Sync!$L1447/10000),4)&amp;"/"&amp;RIGHT("00"&amp;INT(MOD(Sync!$L1447,10000)/100),2)&amp;"/"&amp;RIGHT("00"&amp;MOD(Sync!$L1447,100),2),""),IFERROR(RIGHT("0000"&amp;VALUE(TRIM(LEFT(Sync!$L1447,FIND("/",Sync!$L1447)-1))),4)&amp;"/"&amp;RIGHT("00"&amp;VALUE(TRIM(LEFT(MID(Sync!$L1447,FIND("/",Sync!$L1447)+1,20),FIND("/",MID(Sync!$L1447,FIND("/",Sync!$L1447)+1,20))-1))),2)&amp;"/"&amp;RIGHT("00"&amp;VALUE(TRIM(MID(MID(Sync!$L1447,FIND("/",Sync!$L1447)+1,20),FIND("/",MID(Sync!$L1447,FIND("/",Sync!$L1447)+1,20))+1,20))),2),"")))</f>
        <v/>
      </c>
    </row>
    <row r="1448">
      <c r="M1448">
        <f>IF(Sync!$M1448&lt;&gt;"پاس چک","",IF(Sync!$P1448="","",Sync!$P1448))</f>
        <v/>
      </c>
      <c r="N1448">
        <f>IF($M1448="","",IF(ISNUMBER(Sync!$L1448),IF(AND(Sync!$L1448&gt;=10000101,Sync!$L1448&lt;=99991231),RIGHT("0000"&amp;INT(Sync!$L1448/10000),4)&amp;"/"&amp;RIGHT("00"&amp;INT(MOD(Sync!$L1448,10000)/100),2)&amp;"/"&amp;RIGHT("00"&amp;MOD(Sync!$L1448,100),2),""),IFERROR(RIGHT("0000"&amp;VALUE(TRIM(LEFT(Sync!$L1448,FIND("/",Sync!$L1448)-1))),4)&amp;"/"&amp;RIGHT("00"&amp;VALUE(TRIM(LEFT(MID(Sync!$L1448,FIND("/",Sync!$L1448)+1,20),FIND("/",MID(Sync!$L1448,FIND("/",Sync!$L1448)+1,20))-1))),2)&amp;"/"&amp;RIGHT("00"&amp;VALUE(TRIM(MID(MID(Sync!$L1448,FIND("/",Sync!$L1448)+1,20),FIND("/",MID(Sync!$L1448,FIND("/",Sync!$L1448)+1,20))+1,20))),2),"")))</f>
        <v/>
      </c>
    </row>
    <row r="1449">
      <c r="M1449">
        <f>IF(Sync!$M1449&lt;&gt;"پاس چک","",IF(Sync!$P1449="","",Sync!$P1449))</f>
        <v/>
      </c>
      <c r="N1449">
        <f>IF($M1449="","",IF(ISNUMBER(Sync!$L1449),IF(AND(Sync!$L1449&gt;=10000101,Sync!$L1449&lt;=99991231),RIGHT("0000"&amp;INT(Sync!$L1449/10000),4)&amp;"/"&amp;RIGHT("00"&amp;INT(MOD(Sync!$L1449,10000)/100),2)&amp;"/"&amp;RIGHT("00"&amp;MOD(Sync!$L1449,100),2),""),IFERROR(RIGHT("0000"&amp;VALUE(TRIM(LEFT(Sync!$L1449,FIND("/",Sync!$L1449)-1))),4)&amp;"/"&amp;RIGHT("00"&amp;VALUE(TRIM(LEFT(MID(Sync!$L1449,FIND("/",Sync!$L1449)+1,20),FIND("/",MID(Sync!$L1449,FIND("/",Sync!$L1449)+1,20))-1))),2)&amp;"/"&amp;RIGHT("00"&amp;VALUE(TRIM(MID(MID(Sync!$L1449,FIND("/",Sync!$L1449)+1,20),FIND("/",MID(Sync!$L1449,FIND("/",Sync!$L1449)+1,20))+1,20))),2),"")))</f>
        <v/>
      </c>
    </row>
    <row r="1450">
      <c r="M1450">
        <f>IF(Sync!$M1450&lt;&gt;"پاس چک","",IF(Sync!$P1450="","",Sync!$P1450))</f>
        <v/>
      </c>
      <c r="N1450">
        <f>IF($M1450="","",IF(ISNUMBER(Sync!$L1450),IF(AND(Sync!$L1450&gt;=10000101,Sync!$L1450&lt;=99991231),RIGHT("0000"&amp;INT(Sync!$L1450/10000),4)&amp;"/"&amp;RIGHT("00"&amp;INT(MOD(Sync!$L1450,10000)/100),2)&amp;"/"&amp;RIGHT("00"&amp;MOD(Sync!$L1450,100),2),""),IFERROR(RIGHT("0000"&amp;VALUE(TRIM(LEFT(Sync!$L1450,FIND("/",Sync!$L1450)-1))),4)&amp;"/"&amp;RIGHT("00"&amp;VALUE(TRIM(LEFT(MID(Sync!$L1450,FIND("/",Sync!$L1450)+1,20),FIND("/",MID(Sync!$L1450,FIND("/",Sync!$L1450)+1,20))-1))),2)&amp;"/"&amp;RIGHT("00"&amp;VALUE(TRIM(MID(MID(Sync!$L1450,FIND("/",Sync!$L1450)+1,20),FIND("/",MID(Sync!$L1450,FIND("/",Sync!$L1450)+1,20))+1,20))),2),"")))</f>
        <v/>
      </c>
    </row>
    <row r="1451">
      <c r="M1451">
        <f>IF(Sync!$M1451&lt;&gt;"پاس چک","",IF(Sync!$P1451="","",Sync!$P1451))</f>
        <v/>
      </c>
      <c r="N1451">
        <f>IF($M1451="","",IF(ISNUMBER(Sync!$L1451),IF(AND(Sync!$L1451&gt;=10000101,Sync!$L1451&lt;=99991231),RIGHT("0000"&amp;INT(Sync!$L1451/10000),4)&amp;"/"&amp;RIGHT("00"&amp;INT(MOD(Sync!$L1451,10000)/100),2)&amp;"/"&amp;RIGHT("00"&amp;MOD(Sync!$L1451,100),2),""),IFERROR(RIGHT("0000"&amp;VALUE(TRIM(LEFT(Sync!$L1451,FIND("/",Sync!$L1451)-1))),4)&amp;"/"&amp;RIGHT("00"&amp;VALUE(TRIM(LEFT(MID(Sync!$L1451,FIND("/",Sync!$L1451)+1,20),FIND("/",MID(Sync!$L1451,FIND("/",Sync!$L1451)+1,20))-1))),2)&amp;"/"&amp;RIGHT("00"&amp;VALUE(TRIM(MID(MID(Sync!$L1451,FIND("/",Sync!$L1451)+1,20),FIND("/",MID(Sync!$L1451,FIND("/",Sync!$L1451)+1,20))+1,20))),2),"")))</f>
        <v/>
      </c>
    </row>
    <row r="1452">
      <c r="M1452">
        <f>IF(Sync!$M1452&lt;&gt;"پاس چک","",IF(Sync!$P1452="","",Sync!$P1452))</f>
        <v/>
      </c>
      <c r="N1452">
        <f>IF($M1452="","",IF(ISNUMBER(Sync!$L1452),IF(AND(Sync!$L1452&gt;=10000101,Sync!$L1452&lt;=99991231),RIGHT("0000"&amp;INT(Sync!$L1452/10000),4)&amp;"/"&amp;RIGHT("00"&amp;INT(MOD(Sync!$L1452,10000)/100),2)&amp;"/"&amp;RIGHT("00"&amp;MOD(Sync!$L1452,100),2),""),IFERROR(RIGHT("0000"&amp;VALUE(TRIM(LEFT(Sync!$L1452,FIND("/",Sync!$L1452)-1))),4)&amp;"/"&amp;RIGHT("00"&amp;VALUE(TRIM(LEFT(MID(Sync!$L1452,FIND("/",Sync!$L1452)+1,20),FIND("/",MID(Sync!$L1452,FIND("/",Sync!$L1452)+1,20))-1))),2)&amp;"/"&amp;RIGHT("00"&amp;VALUE(TRIM(MID(MID(Sync!$L1452,FIND("/",Sync!$L1452)+1,20),FIND("/",MID(Sync!$L1452,FIND("/",Sync!$L1452)+1,20))+1,20))),2),"")))</f>
        <v/>
      </c>
    </row>
    <row r="1453">
      <c r="M1453">
        <f>IF(Sync!$M1453&lt;&gt;"پاس چک","",IF(Sync!$P1453="","",Sync!$P1453))</f>
        <v/>
      </c>
      <c r="N1453">
        <f>IF($M1453="","",IF(ISNUMBER(Sync!$L1453),IF(AND(Sync!$L1453&gt;=10000101,Sync!$L1453&lt;=99991231),RIGHT("0000"&amp;INT(Sync!$L1453/10000),4)&amp;"/"&amp;RIGHT("00"&amp;INT(MOD(Sync!$L1453,10000)/100),2)&amp;"/"&amp;RIGHT("00"&amp;MOD(Sync!$L1453,100),2),""),IFERROR(RIGHT("0000"&amp;VALUE(TRIM(LEFT(Sync!$L1453,FIND("/",Sync!$L1453)-1))),4)&amp;"/"&amp;RIGHT("00"&amp;VALUE(TRIM(LEFT(MID(Sync!$L1453,FIND("/",Sync!$L1453)+1,20),FIND("/",MID(Sync!$L1453,FIND("/",Sync!$L1453)+1,20))-1))),2)&amp;"/"&amp;RIGHT("00"&amp;VALUE(TRIM(MID(MID(Sync!$L1453,FIND("/",Sync!$L1453)+1,20),FIND("/",MID(Sync!$L1453,FIND("/",Sync!$L1453)+1,20))+1,20))),2),"")))</f>
        <v/>
      </c>
    </row>
    <row r="1454">
      <c r="M1454">
        <f>IF(Sync!$M1454&lt;&gt;"پاس چک","",IF(Sync!$P1454="","",Sync!$P1454))</f>
        <v/>
      </c>
      <c r="N1454">
        <f>IF($M1454="","",IF(ISNUMBER(Sync!$L1454),IF(AND(Sync!$L1454&gt;=10000101,Sync!$L1454&lt;=99991231),RIGHT("0000"&amp;INT(Sync!$L1454/10000),4)&amp;"/"&amp;RIGHT("00"&amp;INT(MOD(Sync!$L1454,10000)/100),2)&amp;"/"&amp;RIGHT("00"&amp;MOD(Sync!$L1454,100),2),""),IFERROR(RIGHT("0000"&amp;VALUE(TRIM(LEFT(Sync!$L1454,FIND("/",Sync!$L1454)-1))),4)&amp;"/"&amp;RIGHT("00"&amp;VALUE(TRIM(LEFT(MID(Sync!$L1454,FIND("/",Sync!$L1454)+1,20),FIND("/",MID(Sync!$L1454,FIND("/",Sync!$L1454)+1,20))-1))),2)&amp;"/"&amp;RIGHT("00"&amp;VALUE(TRIM(MID(MID(Sync!$L1454,FIND("/",Sync!$L1454)+1,20),FIND("/",MID(Sync!$L1454,FIND("/",Sync!$L1454)+1,20))+1,20))),2),"")))</f>
        <v/>
      </c>
    </row>
    <row r="1455">
      <c r="M1455">
        <f>IF(Sync!$M1455&lt;&gt;"پاس چک","",IF(Sync!$P1455="","",Sync!$P1455))</f>
        <v/>
      </c>
      <c r="N1455">
        <f>IF($M1455="","",IF(ISNUMBER(Sync!$L1455),IF(AND(Sync!$L1455&gt;=10000101,Sync!$L1455&lt;=99991231),RIGHT("0000"&amp;INT(Sync!$L1455/10000),4)&amp;"/"&amp;RIGHT("00"&amp;INT(MOD(Sync!$L1455,10000)/100),2)&amp;"/"&amp;RIGHT("00"&amp;MOD(Sync!$L1455,100),2),""),IFERROR(RIGHT("0000"&amp;VALUE(TRIM(LEFT(Sync!$L1455,FIND("/",Sync!$L1455)-1))),4)&amp;"/"&amp;RIGHT("00"&amp;VALUE(TRIM(LEFT(MID(Sync!$L1455,FIND("/",Sync!$L1455)+1,20),FIND("/",MID(Sync!$L1455,FIND("/",Sync!$L1455)+1,20))-1))),2)&amp;"/"&amp;RIGHT("00"&amp;VALUE(TRIM(MID(MID(Sync!$L1455,FIND("/",Sync!$L1455)+1,20),FIND("/",MID(Sync!$L1455,FIND("/",Sync!$L1455)+1,20))+1,20))),2),"")))</f>
        <v/>
      </c>
    </row>
    <row r="1456">
      <c r="M1456">
        <f>IF(Sync!$M1456&lt;&gt;"پاس چک","",IF(Sync!$P1456="","",Sync!$P1456))</f>
        <v/>
      </c>
      <c r="N1456">
        <f>IF($M1456="","",IF(ISNUMBER(Sync!$L1456),IF(AND(Sync!$L1456&gt;=10000101,Sync!$L1456&lt;=99991231),RIGHT("0000"&amp;INT(Sync!$L1456/10000),4)&amp;"/"&amp;RIGHT("00"&amp;INT(MOD(Sync!$L1456,10000)/100),2)&amp;"/"&amp;RIGHT("00"&amp;MOD(Sync!$L1456,100),2),""),IFERROR(RIGHT("0000"&amp;VALUE(TRIM(LEFT(Sync!$L1456,FIND("/",Sync!$L1456)-1))),4)&amp;"/"&amp;RIGHT("00"&amp;VALUE(TRIM(LEFT(MID(Sync!$L1456,FIND("/",Sync!$L1456)+1,20),FIND("/",MID(Sync!$L1456,FIND("/",Sync!$L1456)+1,20))-1))),2)&amp;"/"&amp;RIGHT("00"&amp;VALUE(TRIM(MID(MID(Sync!$L1456,FIND("/",Sync!$L1456)+1,20),FIND("/",MID(Sync!$L1456,FIND("/",Sync!$L1456)+1,20))+1,20))),2),"")))</f>
        <v/>
      </c>
    </row>
    <row r="1457">
      <c r="M1457">
        <f>IF(Sync!$M1457&lt;&gt;"پاس چک","",IF(Sync!$P1457="","",Sync!$P1457))</f>
        <v/>
      </c>
      <c r="N1457">
        <f>IF($M1457="","",IF(ISNUMBER(Sync!$L1457),IF(AND(Sync!$L1457&gt;=10000101,Sync!$L1457&lt;=99991231),RIGHT("0000"&amp;INT(Sync!$L1457/10000),4)&amp;"/"&amp;RIGHT("00"&amp;INT(MOD(Sync!$L1457,10000)/100),2)&amp;"/"&amp;RIGHT("00"&amp;MOD(Sync!$L1457,100),2),""),IFERROR(RIGHT("0000"&amp;VALUE(TRIM(LEFT(Sync!$L1457,FIND("/",Sync!$L1457)-1))),4)&amp;"/"&amp;RIGHT("00"&amp;VALUE(TRIM(LEFT(MID(Sync!$L1457,FIND("/",Sync!$L1457)+1,20),FIND("/",MID(Sync!$L1457,FIND("/",Sync!$L1457)+1,20))-1))),2)&amp;"/"&amp;RIGHT("00"&amp;VALUE(TRIM(MID(MID(Sync!$L1457,FIND("/",Sync!$L1457)+1,20),FIND("/",MID(Sync!$L1457,FIND("/",Sync!$L1457)+1,20))+1,20))),2),"")))</f>
        <v/>
      </c>
    </row>
    <row r="1458">
      <c r="M1458">
        <f>IF(Sync!$M1458&lt;&gt;"پاس چک","",IF(Sync!$P1458="","",Sync!$P1458))</f>
        <v/>
      </c>
      <c r="N1458">
        <f>IF($M1458="","",IF(ISNUMBER(Sync!$L1458),IF(AND(Sync!$L1458&gt;=10000101,Sync!$L1458&lt;=99991231),RIGHT("0000"&amp;INT(Sync!$L1458/10000),4)&amp;"/"&amp;RIGHT("00"&amp;INT(MOD(Sync!$L1458,10000)/100),2)&amp;"/"&amp;RIGHT("00"&amp;MOD(Sync!$L1458,100),2),""),IFERROR(RIGHT("0000"&amp;VALUE(TRIM(LEFT(Sync!$L1458,FIND("/",Sync!$L1458)-1))),4)&amp;"/"&amp;RIGHT("00"&amp;VALUE(TRIM(LEFT(MID(Sync!$L1458,FIND("/",Sync!$L1458)+1,20),FIND("/",MID(Sync!$L1458,FIND("/",Sync!$L1458)+1,20))-1))),2)&amp;"/"&amp;RIGHT("00"&amp;VALUE(TRIM(MID(MID(Sync!$L1458,FIND("/",Sync!$L1458)+1,20),FIND("/",MID(Sync!$L1458,FIND("/",Sync!$L1458)+1,20))+1,20))),2),"")))</f>
        <v/>
      </c>
    </row>
    <row r="1459">
      <c r="M1459">
        <f>IF(Sync!$M1459&lt;&gt;"پاس چک","",IF(Sync!$P1459="","",Sync!$P1459))</f>
        <v/>
      </c>
      <c r="N1459">
        <f>IF($M1459="","",IF(ISNUMBER(Sync!$L1459),IF(AND(Sync!$L1459&gt;=10000101,Sync!$L1459&lt;=99991231),RIGHT("0000"&amp;INT(Sync!$L1459/10000),4)&amp;"/"&amp;RIGHT("00"&amp;INT(MOD(Sync!$L1459,10000)/100),2)&amp;"/"&amp;RIGHT("00"&amp;MOD(Sync!$L1459,100),2),""),IFERROR(RIGHT("0000"&amp;VALUE(TRIM(LEFT(Sync!$L1459,FIND("/",Sync!$L1459)-1))),4)&amp;"/"&amp;RIGHT("00"&amp;VALUE(TRIM(LEFT(MID(Sync!$L1459,FIND("/",Sync!$L1459)+1,20),FIND("/",MID(Sync!$L1459,FIND("/",Sync!$L1459)+1,20))-1))),2)&amp;"/"&amp;RIGHT("00"&amp;VALUE(TRIM(MID(MID(Sync!$L1459,FIND("/",Sync!$L1459)+1,20),FIND("/",MID(Sync!$L1459,FIND("/",Sync!$L1459)+1,20))+1,20))),2),"")))</f>
        <v/>
      </c>
    </row>
    <row r="1460">
      <c r="M1460">
        <f>IF(Sync!$M1460&lt;&gt;"پاس چک","",IF(Sync!$P1460="","",Sync!$P1460))</f>
        <v/>
      </c>
      <c r="N1460">
        <f>IF($M1460="","",IF(ISNUMBER(Sync!$L1460),IF(AND(Sync!$L1460&gt;=10000101,Sync!$L1460&lt;=99991231),RIGHT("0000"&amp;INT(Sync!$L1460/10000),4)&amp;"/"&amp;RIGHT("00"&amp;INT(MOD(Sync!$L1460,10000)/100),2)&amp;"/"&amp;RIGHT("00"&amp;MOD(Sync!$L1460,100),2),""),IFERROR(RIGHT("0000"&amp;VALUE(TRIM(LEFT(Sync!$L1460,FIND("/",Sync!$L1460)-1))),4)&amp;"/"&amp;RIGHT("00"&amp;VALUE(TRIM(LEFT(MID(Sync!$L1460,FIND("/",Sync!$L1460)+1,20),FIND("/",MID(Sync!$L1460,FIND("/",Sync!$L1460)+1,20))-1))),2)&amp;"/"&amp;RIGHT("00"&amp;VALUE(TRIM(MID(MID(Sync!$L1460,FIND("/",Sync!$L1460)+1,20),FIND("/",MID(Sync!$L1460,FIND("/",Sync!$L1460)+1,20))+1,20))),2),"")))</f>
        <v/>
      </c>
    </row>
    <row r="1461">
      <c r="M1461">
        <f>IF(Sync!$M1461&lt;&gt;"پاس چک","",IF(Sync!$P1461="","",Sync!$P1461))</f>
        <v/>
      </c>
      <c r="N1461">
        <f>IF($M1461="","",IF(ISNUMBER(Sync!$L1461),IF(AND(Sync!$L1461&gt;=10000101,Sync!$L1461&lt;=99991231),RIGHT("0000"&amp;INT(Sync!$L1461/10000),4)&amp;"/"&amp;RIGHT("00"&amp;INT(MOD(Sync!$L1461,10000)/100),2)&amp;"/"&amp;RIGHT("00"&amp;MOD(Sync!$L1461,100),2),""),IFERROR(RIGHT("0000"&amp;VALUE(TRIM(LEFT(Sync!$L1461,FIND("/",Sync!$L1461)-1))),4)&amp;"/"&amp;RIGHT("00"&amp;VALUE(TRIM(LEFT(MID(Sync!$L1461,FIND("/",Sync!$L1461)+1,20),FIND("/",MID(Sync!$L1461,FIND("/",Sync!$L1461)+1,20))-1))),2)&amp;"/"&amp;RIGHT("00"&amp;VALUE(TRIM(MID(MID(Sync!$L1461,FIND("/",Sync!$L1461)+1,20),FIND("/",MID(Sync!$L1461,FIND("/",Sync!$L1461)+1,20))+1,20))),2),"")))</f>
        <v/>
      </c>
    </row>
    <row r="1462">
      <c r="M1462">
        <f>IF(Sync!$M1462&lt;&gt;"پاس چک","",IF(Sync!$P1462="","",Sync!$P1462))</f>
        <v/>
      </c>
      <c r="N1462">
        <f>IF($M1462="","",IF(ISNUMBER(Sync!$L1462),IF(AND(Sync!$L1462&gt;=10000101,Sync!$L1462&lt;=99991231),RIGHT("0000"&amp;INT(Sync!$L1462/10000),4)&amp;"/"&amp;RIGHT("00"&amp;INT(MOD(Sync!$L1462,10000)/100),2)&amp;"/"&amp;RIGHT("00"&amp;MOD(Sync!$L1462,100),2),""),IFERROR(RIGHT("0000"&amp;VALUE(TRIM(LEFT(Sync!$L1462,FIND("/",Sync!$L1462)-1))),4)&amp;"/"&amp;RIGHT("00"&amp;VALUE(TRIM(LEFT(MID(Sync!$L1462,FIND("/",Sync!$L1462)+1,20),FIND("/",MID(Sync!$L1462,FIND("/",Sync!$L1462)+1,20))-1))),2)&amp;"/"&amp;RIGHT("00"&amp;VALUE(TRIM(MID(MID(Sync!$L1462,FIND("/",Sync!$L1462)+1,20),FIND("/",MID(Sync!$L1462,FIND("/",Sync!$L1462)+1,20))+1,20))),2),"")))</f>
        <v/>
      </c>
    </row>
    <row r="1463">
      <c r="M1463">
        <f>IF(Sync!$M1463&lt;&gt;"پاس چک","",IF(Sync!$P1463="","",Sync!$P1463))</f>
        <v/>
      </c>
      <c r="N1463">
        <f>IF($M1463="","",IF(ISNUMBER(Sync!$L1463),IF(AND(Sync!$L1463&gt;=10000101,Sync!$L1463&lt;=99991231),RIGHT("0000"&amp;INT(Sync!$L1463/10000),4)&amp;"/"&amp;RIGHT("00"&amp;INT(MOD(Sync!$L1463,10000)/100),2)&amp;"/"&amp;RIGHT("00"&amp;MOD(Sync!$L1463,100),2),""),IFERROR(RIGHT("0000"&amp;VALUE(TRIM(LEFT(Sync!$L1463,FIND("/",Sync!$L1463)-1))),4)&amp;"/"&amp;RIGHT("00"&amp;VALUE(TRIM(LEFT(MID(Sync!$L1463,FIND("/",Sync!$L1463)+1,20),FIND("/",MID(Sync!$L1463,FIND("/",Sync!$L1463)+1,20))-1))),2)&amp;"/"&amp;RIGHT("00"&amp;VALUE(TRIM(MID(MID(Sync!$L1463,FIND("/",Sync!$L1463)+1,20),FIND("/",MID(Sync!$L1463,FIND("/",Sync!$L1463)+1,20))+1,20))),2),"")))</f>
        <v/>
      </c>
    </row>
    <row r="1464">
      <c r="M1464">
        <f>IF(Sync!$M1464&lt;&gt;"پاس چک","",IF(Sync!$P1464="","",Sync!$P1464))</f>
        <v/>
      </c>
      <c r="N1464">
        <f>IF($M1464="","",IF(ISNUMBER(Sync!$L1464),IF(AND(Sync!$L1464&gt;=10000101,Sync!$L1464&lt;=99991231),RIGHT("0000"&amp;INT(Sync!$L1464/10000),4)&amp;"/"&amp;RIGHT("00"&amp;INT(MOD(Sync!$L1464,10000)/100),2)&amp;"/"&amp;RIGHT("00"&amp;MOD(Sync!$L1464,100),2),""),IFERROR(RIGHT("0000"&amp;VALUE(TRIM(LEFT(Sync!$L1464,FIND("/",Sync!$L1464)-1))),4)&amp;"/"&amp;RIGHT("00"&amp;VALUE(TRIM(LEFT(MID(Sync!$L1464,FIND("/",Sync!$L1464)+1,20),FIND("/",MID(Sync!$L1464,FIND("/",Sync!$L1464)+1,20))-1))),2)&amp;"/"&amp;RIGHT("00"&amp;VALUE(TRIM(MID(MID(Sync!$L1464,FIND("/",Sync!$L1464)+1,20),FIND("/",MID(Sync!$L1464,FIND("/",Sync!$L1464)+1,20))+1,20))),2),"")))</f>
        <v/>
      </c>
    </row>
    <row r="1465">
      <c r="M1465">
        <f>IF(Sync!$M1465&lt;&gt;"پاس چک","",IF(Sync!$P1465="","",Sync!$P1465))</f>
        <v/>
      </c>
      <c r="N1465">
        <f>IF($M1465="","",IF(ISNUMBER(Sync!$L1465),IF(AND(Sync!$L1465&gt;=10000101,Sync!$L1465&lt;=99991231),RIGHT("0000"&amp;INT(Sync!$L1465/10000),4)&amp;"/"&amp;RIGHT("00"&amp;INT(MOD(Sync!$L1465,10000)/100),2)&amp;"/"&amp;RIGHT("00"&amp;MOD(Sync!$L1465,100),2),""),IFERROR(RIGHT("0000"&amp;VALUE(TRIM(LEFT(Sync!$L1465,FIND("/",Sync!$L1465)-1))),4)&amp;"/"&amp;RIGHT("00"&amp;VALUE(TRIM(LEFT(MID(Sync!$L1465,FIND("/",Sync!$L1465)+1,20),FIND("/",MID(Sync!$L1465,FIND("/",Sync!$L1465)+1,20))-1))),2)&amp;"/"&amp;RIGHT("00"&amp;VALUE(TRIM(MID(MID(Sync!$L1465,FIND("/",Sync!$L1465)+1,20),FIND("/",MID(Sync!$L1465,FIND("/",Sync!$L1465)+1,20))+1,20))),2),"")))</f>
        <v/>
      </c>
    </row>
    <row r="1466">
      <c r="M1466">
        <f>IF(Sync!$M1466&lt;&gt;"پاس چک","",IF(Sync!$P1466="","",Sync!$P1466))</f>
        <v/>
      </c>
      <c r="N1466">
        <f>IF($M1466="","",IF(ISNUMBER(Sync!$L1466),IF(AND(Sync!$L1466&gt;=10000101,Sync!$L1466&lt;=99991231),RIGHT("0000"&amp;INT(Sync!$L1466/10000),4)&amp;"/"&amp;RIGHT("00"&amp;INT(MOD(Sync!$L1466,10000)/100),2)&amp;"/"&amp;RIGHT("00"&amp;MOD(Sync!$L1466,100),2),""),IFERROR(RIGHT("0000"&amp;VALUE(TRIM(LEFT(Sync!$L1466,FIND("/",Sync!$L1466)-1))),4)&amp;"/"&amp;RIGHT("00"&amp;VALUE(TRIM(LEFT(MID(Sync!$L1466,FIND("/",Sync!$L1466)+1,20),FIND("/",MID(Sync!$L1466,FIND("/",Sync!$L1466)+1,20))-1))),2)&amp;"/"&amp;RIGHT("00"&amp;VALUE(TRIM(MID(MID(Sync!$L1466,FIND("/",Sync!$L1466)+1,20),FIND("/",MID(Sync!$L1466,FIND("/",Sync!$L1466)+1,20))+1,20))),2),"")))</f>
        <v/>
      </c>
    </row>
    <row r="1467">
      <c r="M1467">
        <f>IF(Sync!$M1467&lt;&gt;"پاس چک","",IF(Sync!$P1467="","",Sync!$P1467))</f>
        <v/>
      </c>
      <c r="N1467">
        <f>IF($M1467="","",IF(ISNUMBER(Sync!$L1467),IF(AND(Sync!$L1467&gt;=10000101,Sync!$L1467&lt;=99991231),RIGHT("0000"&amp;INT(Sync!$L1467/10000),4)&amp;"/"&amp;RIGHT("00"&amp;INT(MOD(Sync!$L1467,10000)/100),2)&amp;"/"&amp;RIGHT("00"&amp;MOD(Sync!$L1467,100),2),""),IFERROR(RIGHT("0000"&amp;VALUE(TRIM(LEFT(Sync!$L1467,FIND("/",Sync!$L1467)-1))),4)&amp;"/"&amp;RIGHT("00"&amp;VALUE(TRIM(LEFT(MID(Sync!$L1467,FIND("/",Sync!$L1467)+1,20),FIND("/",MID(Sync!$L1467,FIND("/",Sync!$L1467)+1,20))-1))),2)&amp;"/"&amp;RIGHT("00"&amp;VALUE(TRIM(MID(MID(Sync!$L1467,FIND("/",Sync!$L1467)+1,20),FIND("/",MID(Sync!$L1467,FIND("/",Sync!$L1467)+1,20))+1,20))),2),"")))</f>
        <v/>
      </c>
    </row>
    <row r="1468">
      <c r="M1468">
        <f>IF(Sync!$M1468&lt;&gt;"پاس چک","",IF(Sync!$P1468="","",Sync!$P1468))</f>
        <v/>
      </c>
      <c r="N1468">
        <f>IF($M1468="","",IF(ISNUMBER(Sync!$L1468),IF(AND(Sync!$L1468&gt;=10000101,Sync!$L1468&lt;=99991231),RIGHT("0000"&amp;INT(Sync!$L1468/10000),4)&amp;"/"&amp;RIGHT("00"&amp;INT(MOD(Sync!$L1468,10000)/100),2)&amp;"/"&amp;RIGHT("00"&amp;MOD(Sync!$L1468,100),2),""),IFERROR(RIGHT("0000"&amp;VALUE(TRIM(LEFT(Sync!$L1468,FIND("/",Sync!$L1468)-1))),4)&amp;"/"&amp;RIGHT("00"&amp;VALUE(TRIM(LEFT(MID(Sync!$L1468,FIND("/",Sync!$L1468)+1,20),FIND("/",MID(Sync!$L1468,FIND("/",Sync!$L1468)+1,20))-1))),2)&amp;"/"&amp;RIGHT("00"&amp;VALUE(TRIM(MID(MID(Sync!$L1468,FIND("/",Sync!$L1468)+1,20),FIND("/",MID(Sync!$L1468,FIND("/",Sync!$L1468)+1,20))+1,20))),2),"")))</f>
        <v/>
      </c>
    </row>
    <row r="1469">
      <c r="M1469">
        <f>IF(Sync!$M1469&lt;&gt;"پاس چک","",IF(Sync!$P1469="","",Sync!$P1469))</f>
        <v/>
      </c>
      <c r="N1469">
        <f>IF($M1469="","",IF(ISNUMBER(Sync!$L1469),IF(AND(Sync!$L1469&gt;=10000101,Sync!$L1469&lt;=99991231),RIGHT("0000"&amp;INT(Sync!$L1469/10000),4)&amp;"/"&amp;RIGHT("00"&amp;INT(MOD(Sync!$L1469,10000)/100),2)&amp;"/"&amp;RIGHT("00"&amp;MOD(Sync!$L1469,100),2),""),IFERROR(RIGHT("0000"&amp;VALUE(TRIM(LEFT(Sync!$L1469,FIND("/",Sync!$L1469)-1))),4)&amp;"/"&amp;RIGHT("00"&amp;VALUE(TRIM(LEFT(MID(Sync!$L1469,FIND("/",Sync!$L1469)+1,20),FIND("/",MID(Sync!$L1469,FIND("/",Sync!$L1469)+1,20))-1))),2)&amp;"/"&amp;RIGHT("00"&amp;VALUE(TRIM(MID(MID(Sync!$L1469,FIND("/",Sync!$L1469)+1,20),FIND("/",MID(Sync!$L1469,FIND("/",Sync!$L1469)+1,20))+1,20))),2),"")))</f>
        <v/>
      </c>
    </row>
    <row r="1470">
      <c r="M1470">
        <f>IF(Sync!$M1470&lt;&gt;"پاس چک","",IF(Sync!$P1470="","",Sync!$P1470))</f>
        <v/>
      </c>
      <c r="N1470">
        <f>IF($M1470="","",IF(ISNUMBER(Sync!$L1470),IF(AND(Sync!$L1470&gt;=10000101,Sync!$L1470&lt;=99991231),RIGHT("0000"&amp;INT(Sync!$L1470/10000),4)&amp;"/"&amp;RIGHT("00"&amp;INT(MOD(Sync!$L1470,10000)/100),2)&amp;"/"&amp;RIGHT("00"&amp;MOD(Sync!$L1470,100),2),""),IFERROR(RIGHT("0000"&amp;VALUE(TRIM(LEFT(Sync!$L1470,FIND("/",Sync!$L1470)-1))),4)&amp;"/"&amp;RIGHT("00"&amp;VALUE(TRIM(LEFT(MID(Sync!$L1470,FIND("/",Sync!$L1470)+1,20),FIND("/",MID(Sync!$L1470,FIND("/",Sync!$L1470)+1,20))-1))),2)&amp;"/"&amp;RIGHT("00"&amp;VALUE(TRIM(MID(MID(Sync!$L1470,FIND("/",Sync!$L1470)+1,20),FIND("/",MID(Sync!$L1470,FIND("/",Sync!$L1470)+1,20))+1,20))),2),"")))</f>
        <v/>
      </c>
    </row>
    <row r="1471">
      <c r="M1471">
        <f>IF(Sync!$M1471&lt;&gt;"پاس چک","",IF(Sync!$P1471="","",Sync!$P1471))</f>
        <v/>
      </c>
      <c r="N1471">
        <f>IF($M1471="","",IF(ISNUMBER(Sync!$L1471),IF(AND(Sync!$L1471&gt;=10000101,Sync!$L1471&lt;=99991231),RIGHT("0000"&amp;INT(Sync!$L1471/10000),4)&amp;"/"&amp;RIGHT("00"&amp;INT(MOD(Sync!$L1471,10000)/100),2)&amp;"/"&amp;RIGHT("00"&amp;MOD(Sync!$L1471,100),2),""),IFERROR(RIGHT("0000"&amp;VALUE(TRIM(LEFT(Sync!$L1471,FIND("/",Sync!$L1471)-1))),4)&amp;"/"&amp;RIGHT("00"&amp;VALUE(TRIM(LEFT(MID(Sync!$L1471,FIND("/",Sync!$L1471)+1,20),FIND("/",MID(Sync!$L1471,FIND("/",Sync!$L1471)+1,20))-1))),2)&amp;"/"&amp;RIGHT("00"&amp;VALUE(TRIM(MID(MID(Sync!$L1471,FIND("/",Sync!$L1471)+1,20),FIND("/",MID(Sync!$L1471,FIND("/",Sync!$L1471)+1,20))+1,20))),2),"")))</f>
        <v/>
      </c>
    </row>
    <row r="1472">
      <c r="M1472">
        <f>IF(Sync!$M1472&lt;&gt;"پاس چک","",IF(Sync!$P1472="","",Sync!$P1472))</f>
        <v/>
      </c>
      <c r="N1472">
        <f>IF($M1472="","",IF(ISNUMBER(Sync!$L1472),IF(AND(Sync!$L1472&gt;=10000101,Sync!$L1472&lt;=99991231),RIGHT("0000"&amp;INT(Sync!$L1472/10000),4)&amp;"/"&amp;RIGHT("00"&amp;INT(MOD(Sync!$L1472,10000)/100),2)&amp;"/"&amp;RIGHT("00"&amp;MOD(Sync!$L1472,100),2),""),IFERROR(RIGHT("0000"&amp;VALUE(TRIM(LEFT(Sync!$L1472,FIND("/",Sync!$L1472)-1))),4)&amp;"/"&amp;RIGHT("00"&amp;VALUE(TRIM(LEFT(MID(Sync!$L1472,FIND("/",Sync!$L1472)+1,20),FIND("/",MID(Sync!$L1472,FIND("/",Sync!$L1472)+1,20))-1))),2)&amp;"/"&amp;RIGHT("00"&amp;VALUE(TRIM(MID(MID(Sync!$L1472,FIND("/",Sync!$L1472)+1,20),FIND("/",MID(Sync!$L1472,FIND("/",Sync!$L1472)+1,20))+1,20))),2),"")))</f>
        <v/>
      </c>
    </row>
    <row r="1473">
      <c r="M1473">
        <f>IF(Sync!$M1473&lt;&gt;"پاس چک","",IF(Sync!$P1473="","",Sync!$P1473))</f>
        <v/>
      </c>
      <c r="N1473">
        <f>IF($M1473="","",IF(ISNUMBER(Sync!$L1473),IF(AND(Sync!$L1473&gt;=10000101,Sync!$L1473&lt;=99991231),RIGHT("0000"&amp;INT(Sync!$L1473/10000),4)&amp;"/"&amp;RIGHT("00"&amp;INT(MOD(Sync!$L1473,10000)/100),2)&amp;"/"&amp;RIGHT("00"&amp;MOD(Sync!$L1473,100),2),""),IFERROR(RIGHT("0000"&amp;VALUE(TRIM(LEFT(Sync!$L1473,FIND("/",Sync!$L1473)-1))),4)&amp;"/"&amp;RIGHT("00"&amp;VALUE(TRIM(LEFT(MID(Sync!$L1473,FIND("/",Sync!$L1473)+1,20),FIND("/",MID(Sync!$L1473,FIND("/",Sync!$L1473)+1,20))-1))),2)&amp;"/"&amp;RIGHT("00"&amp;VALUE(TRIM(MID(MID(Sync!$L1473,FIND("/",Sync!$L1473)+1,20),FIND("/",MID(Sync!$L1473,FIND("/",Sync!$L1473)+1,20))+1,20))),2),"")))</f>
        <v/>
      </c>
    </row>
    <row r="1474">
      <c r="M1474">
        <f>IF(Sync!$M1474&lt;&gt;"پاس چک","",IF(Sync!$P1474="","",Sync!$P1474))</f>
        <v/>
      </c>
      <c r="N1474">
        <f>IF($M1474="","",IF(ISNUMBER(Sync!$L1474),IF(AND(Sync!$L1474&gt;=10000101,Sync!$L1474&lt;=99991231),RIGHT("0000"&amp;INT(Sync!$L1474/10000),4)&amp;"/"&amp;RIGHT("00"&amp;INT(MOD(Sync!$L1474,10000)/100),2)&amp;"/"&amp;RIGHT("00"&amp;MOD(Sync!$L1474,100),2),""),IFERROR(RIGHT("0000"&amp;VALUE(TRIM(LEFT(Sync!$L1474,FIND("/",Sync!$L1474)-1))),4)&amp;"/"&amp;RIGHT("00"&amp;VALUE(TRIM(LEFT(MID(Sync!$L1474,FIND("/",Sync!$L1474)+1,20),FIND("/",MID(Sync!$L1474,FIND("/",Sync!$L1474)+1,20))-1))),2)&amp;"/"&amp;RIGHT("00"&amp;VALUE(TRIM(MID(MID(Sync!$L1474,FIND("/",Sync!$L1474)+1,20),FIND("/",MID(Sync!$L1474,FIND("/",Sync!$L1474)+1,20))+1,20))),2),"")))</f>
        <v/>
      </c>
    </row>
    <row r="1475">
      <c r="M1475">
        <f>IF(Sync!$M1475&lt;&gt;"پاس چک","",IF(Sync!$P1475="","",Sync!$P1475))</f>
        <v/>
      </c>
      <c r="N1475">
        <f>IF($M1475="","",IF(ISNUMBER(Sync!$L1475),IF(AND(Sync!$L1475&gt;=10000101,Sync!$L1475&lt;=99991231),RIGHT("0000"&amp;INT(Sync!$L1475/10000),4)&amp;"/"&amp;RIGHT("00"&amp;INT(MOD(Sync!$L1475,10000)/100),2)&amp;"/"&amp;RIGHT("00"&amp;MOD(Sync!$L1475,100),2),""),IFERROR(RIGHT("0000"&amp;VALUE(TRIM(LEFT(Sync!$L1475,FIND("/",Sync!$L1475)-1))),4)&amp;"/"&amp;RIGHT("00"&amp;VALUE(TRIM(LEFT(MID(Sync!$L1475,FIND("/",Sync!$L1475)+1,20),FIND("/",MID(Sync!$L1475,FIND("/",Sync!$L1475)+1,20))-1))),2)&amp;"/"&amp;RIGHT("00"&amp;VALUE(TRIM(MID(MID(Sync!$L1475,FIND("/",Sync!$L1475)+1,20),FIND("/",MID(Sync!$L1475,FIND("/",Sync!$L1475)+1,20))+1,20))),2),"")))</f>
        <v/>
      </c>
    </row>
    <row r="1476">
      <c r="M1476">
        <f>IF(Sync!$M1476&lt;&gt;"پاس چک","",IF(Sync!$P1476="","",Sync!$P1476))</f>
        <v/>
      </c>
      <c r="N1476">
        <f>IF($M1476="","",IF(ISNUMBER(Sync!$L1476),IF(AND(Sync!$L1476&gt;=10000101,Sync!$L1476&lt;=99991231),RIGHT("0000"&amp;INT(Sync!$L1476/10000),4)&amp;"/"&amp;RIGHT("00"&amp;INT(MOD(Sync!$L1476,10000)/100),2)&amp;"/"&amp;RIGHT("00"&amp;MOD(Sync!$L1476,100),2),""),IFERROR(RIGHT("0000"&amp;VALUE(TRIM(LEFT(Sync!$L1476,FIND("/",Sync!$L1476)-1))),4)&amp;"/"&amp;RIGHT("00"&amp;VALUE(TRIM(LEFT(MID(Sync!$L1476,FIND("/",Sync!$L1476)+1,20),FIND("/",MID(Sync!$L1476,FIND("/",Sync!$L1476)+1,20))-1))),2)&amp;"/"&amp;RIGHT("00"&amp;VALUE(TRIM(MID(MID(Sync!$L1476,FIND("/",Sync!$L1476)+1,20),FIND("/",MID(Sync!$L1476,FIND("/",Sync!$L1476)+1,20))+1,20))),2),"")))</f>
        <v/>
      </c>
    </row>
    <row r="1477">
      <c r="M1477">
        <f>IF(Sync!$M1477&lt;&gt;"پاس چک","",IF(Sync!$P1477="","",Sync!$P1477))</f>
        <v/>
      </c>
      <c r="N1477">
        <f>IF($M1477="","",IF(ISNUMBER(Sync!$L1477),IF(AND(Sync!$L1477&gt;=10000101,Sync!$L1477&lt;=99991231),RIGHT("0000"&amp;INT(Sync!$L1477/10000),4)&amp;"/"&amp;RIGHT("00"&amp;INT(MOD(Sync!$L1477,10000)/100),2)&amp;"/"&amp;RIGHT("00"&amp;MOD(Sync!$L1477,100),2),""),IFERROR(RIGHT("0000"&amp;VALUE(TRIM(LEFT(Sync!$L1477,FIND("/",Sync!$L1477)-1))),4)&amp;"/"&amp;RIGHT("00"&amp;VALUE(TRIM(LEFT(MID(Sync!$L1477,FIND("/",Sync!$L1477)+1,20),FIND("/",MID(Sync!$L1477,FIND("/",Sync!$L1477)+1,20))-1))),2)&amp;"/"&amp;RIGHT("00"&amp;VALUE(TRIM(MID(MID(Sync!$L1477,FIND("/",Sync!$L1477)+1,20),FIND("/",MID(Sync!$L1477,FIND("/",Sync!$L1477)+1,20))+1,20))),2),"")))</f>
        <v/>
      </c>
    </row>
    <row r="1478">
      <c r="M1478">
        <f>IF(Sync!$M1478&lt;&gt;"پاس چک","",IF(Sync!$P1478="","",Sync!$P1478))</f>
        <v/>
      </c>
      <c r="N1478">
        <f>IF($M1478="","",IF(ISNUMBER(Sync!$L1478),IF(AND(Sync!$L1478&gt;=10000101,Sync!$L1478&lt;=99991231),RIGHT("0000"&amp;INT(Sync!$L1478/10000),4)&amp;"/"&amp;RIGHT("00"&amp;INT(MOD(Sync!$L1478,10000)/100),2)&amp;"/"&amp;RIGHT("00"&amp;MOD(Sync!$L1478,100),2),""),IFERROR(RIGHT("0000"&amp;VALUE(TRIM(LEFT(Sync!$L1478,FIND("/",Sync!$L1478)-1))),4)&amp;"/"&amp;RIGHT("00"&amp;VALUE(TRIM(LEFT(MID(Sync!$L1478,FIND("/",Sync!$L1478)+1,20),FIND("/",MID(Sync!$L1478,FIND("/",Sync!$L1478)+1,20))-1))),2)&amp;"/"&amp;RIGHT("00"&amp;VALUE(TRIM(MID(MID(Sync!$L1478,FIND("/",Sync!$L1478)+1,20),FIND("/",MID(Sync!$L1478,FIND("/",Sync!$L1478)+1,20))+1,20))),2),"")))</f>
        <v/>
      </c>
    </row>
    <row r="1479">
      <c r="M1479">
        <f>IF(Sync!$M1479&lt;&gt;"پاس چک","",IF(Sync!$P1479="","",Sync!$P1479))</f>
        <v/>
      </c>
      <c r="N1479">
        <f>IF($M1479="","",IF(ISNUMBER(Sync!$L1479),IF(AND(Sync!$L1479&gt;=10000101,Sync!$L1479&lt;=99991231),RIGHT("0000"&amp;INT(Sync!$L1479/10000),4)&amp;"/"&amp;RIGHT("00"&amp;INT(MOD(Sync!$L1479,10000)/100),2)&amp;"/"&amp;RIGHT("00"&amp;MOD(Sync!$L1479,100),2),""),IFERROR(RIGHT("0000"&amp;VALUE(TRIM(LEFT(Sync!$L1479,FIND("/",Sync!$L1479)-1))),4)&amp;"/"&amp;RIGHT("00"&amp;VALUE(TRIM(LEFT(MID(Sync!$L1479,FIND("/",Sync!$L1479)+1,20),FIND("/",MID(Sync!$L1479,FIND("/",Sync!$L1479)+1,20))-1))),2)&amp;"/"&amp;RIGHT("00"&amp;VALUE(TRIM(MID(MID(Sync!$L1479,FIND("/",Sync!$L1479)+1,20),FIND("/",MID(Sync!$L1479,FIND("/",Sync!$L1479)+1,20))+1,20))),2),"")))</f>
        <v/>
      </c>
    </row>
    <row r="1480">
      <c r="M1480">
        <f>IF(Sync!$M1480&lt;&gt;"پاس چک","",IF(Sync!$P1480="","",Sync!$P1480))</f>
        <v/>
      </c>
      <c r="N1480">
        <f>IF($M1480="","",IF(ISNUMBER(Sync!$L1480),IF(AND(Sync!$L1480&gt;=10000101,Sync!$L1480&lt;=99991231),RIGHT("0000"&amp;INT(Sync!$L1480/10000),4)&amp;"/"&amp;RIGHT("00"&amp;INT(MOD(Sync!$L1480,10000)/100),2)&amp;"/"&amp;RIGHT("00"&amp;MOD(Sync!$L1480,100),2),""),IFERROR(RIGHT("0000"&amp;VALUE(TRIM(LEFT(Sync!$L1480,FIND("/",Sync!$L1480)-1))),4)&amp;"/"&amp;RIGHT("00"&amp;VALUE(TRIM(LEFT(MID(Sync!$L1480,FIND("/",Sync!$L1480)+1,20),FIND("/",MID(Sync!$L1480,FIND("/",Sync!$L1480)+1,20))-1))),2)&amp;"/"&amp;RIGHT("00"&amp;VALUE(TRIM(MID(MID(Sync!$L1480,FIND("/",Sync!$L1480)+1,20),FIND("/",MID(Sync!$L1480,FIND("/",Sync!$L1480)+1,20))+1,20))),2),"")))</f>
        <v/>
      </c>
    </row>
    <row r="1481">
      <c r="M1481">
        <f>IF(Sync!$M1481&lt;&gt;"پاس چک","",IF(Sync!$P1481="","",Sync!$P1481))</f>
        <v/>
      </c>
      <c r="N1481">
        <f>IF($M1481="","",IF(ISNUMBER(Sync!$L1481),IF(AND(Sync!$L1481&gt;=10000101,Sync!$L1481&lt;=99991231),RIGHT("0000"&amp;INT(Sync!$L1481/10000),4)&amp;"/"&amp;RIGHT("00"&amp;INT(MOD(Sync!$L1481,10000)/100),2)&amp;"/"&amp;RIGHT("00"&amp;MOD(Sync!$L1481,100),2),""),IFERROR(RIGHT("0000"&amp;VALUE(TRIM(LEFT(Sync!$L1481,FIND("/",Sync!$L1481)-1))),4)&amp;"/"&amp;RIGHT("00"&amp;VALUE(TRIM(LEFT(MID(Sync!$L1481,FIND("/",Sync!$L1481)+1,20),FIND("/",MID(Sync!$L1481,FIND("/",Sync!$L1481)+1,20))-1))),2)&amp;"/"&amp;RIGHT("00"&amp;VALUE(TRIM(MID(MID(Sync!$L1481,FIND("/",Sync!$L1481)+1,20),FIND("/",MID(Sync!$L1481,FIND("/",Sync!$L1481)+1,20))+1,20))),2),"")))</f>
        <v/>
      </c>
    </row>
    <row r="1482">
      <c r="M1482">
        <f>IF(Sync!$M1482&lt;&gt;"پاس چک","",IF(Sync!$P1482="","",Sync!$P1482))</f>
        <v/>
      </c>
      <c r="N1482">
        <f>IF($M1482="","",IF(ISNUMBER(Sync!$L1482),IF(AND(Sync!$L1482&gt;=10000101,Sync!$L1482&lt;=99991231),RIGHT("0000"&amp;INT(Sync!$L1482/10000),4)&amp;"/"&amp;RIGHT("00"&amp;INT(MOD(Sync!$L1482,10000)/100),2)&amp;"/"&amp;RIGHT("00"&amp;MOD(Sync!$L1482,100),2),""),IFERROR(RIGHT("0000"&amp;VALUE(TRIM(LEFT(Sync!$L1482,FIND("/",Sync!$L1482)-1))),4)&amp;"/"&amp;RIGHT("00"&amp;VALUE(TRIM(LEFT(MID(Sync!$L1482,FIND("/",Sync!$L1482)+1,20),FIND("/",MID(Sync!$L1482,FIND("/",Sync!$L1482)+1,20))-1))),2)&amp;"/"&amp;RIGHT("00"&amp;VALUE(TRIM(MID(MID(Sync!$L1482,FIND("/",Sync!$L1482)+1,20),FIND("/",MID(Sync!$L1482,FIND("/",Sync!$L1482)+1,20))+1,20))),2),"")))</f>
        <v/>
      </c>
    </row>
    <row r="1483">
      <c r="M1483">
        <f>IF(Sync!$M1483&lt;&gt;"پاس چک","",IF(Sync!$P1483="","",Sync!$P1483))</f>
        <v/>
      </c>
      <c r="N1483">
        <f>IF($M1483="","",IF(ISNUMBER(Sync!$L1483),IF(AND(Sync!$L1483&gt;=10000101,Sync!$L1483&lt;=99991231),RIGHT("0000"&amp;INT(Sync!$L1483/10000),4)&amp;"/"&amp;RIGHT("00"&amp;INT(MOD(Sync!$L1483,10000)/100),2)&amp;"/"&amp;RIGHT("00"&amp;MOD(Sync!$L1483,100),2),""),IFERROR(RIGHT("0000"&amp;VALUE(TRIM(LEFT(Sync!$L1483,FIND("/",Sync!$L1483)-1))),4)&amp;"/"&amp;RIGHT("00"&amp;VALUE(TRIM(LEFT(MID(Sync!$L1483,FIND("/",Sync!$L1483)+1,20),FIND("/",MID(Sync!$L1483,FIND("/",Sync!$L1483)+1,20))-1))),2)&amp;"/"&amp;RIGHT("00"&amp;VALUE(TRIM(MID(MID(Sync!$L1483,FIND("/",Sync!$L1483)+1,20),FIND("/",MID(Sync!$L1483,FIND("/",Sync!$L1483)+1,20))+1,20))),2),"")))</f>
        <v/>
      </c>
    </row>
    <row r="1484">
      <c r="M1484">
        <f>IF(Sync!$M1484&lt;&gt;"پاس چک","",IF(Sync!$P1484="","",Sync!$P1484))</f>
        <v/>
      </c>
      <c r="N1484">
        <f>IF($M1484="","",IF(ISNUMBER(Sync!$L1484),IF(AND(Sync!$L1484&gt;=10000101,Sync!$L1484&lt;=99991231),RIGHT("0000"&amp;INT(Sync!$L1484/10000),4)&amp;"/"&amp;RIGHT("00"&amp;INT(MOD(Sync!$L1484,10000)/100),2)&amp;"/"&amp;RIGHT("00"&amp;MOD(Sync!$L1484,100),2),""),IFERROR(RIGHT("0000"&amp;VALUE(TRIM(LEFT(Sync!$L1484,FIND("/",Sync!$L1484)-1))),4)&amp;"/"&amp;RIGHT("00"&amp;VALUE(TRIM(LEFT(MID(Sync!$L1484,FIND("/",Sync!$L1484)+1,20),FIND("/",MID(Sync!$L1484,FIND("/",Sync!$L1484)+1,20))-1))),2)&amp;"/"&amp;RIGHT("00"&amp;VALUE(TRIM(MID(MID(Sync!$L1484,FIND("/",Sync!$L1484)+1,20),FIND("/",MID(Sync!$L1484,FIND("/",Sync!$L1484)+1,20))+1,20))),2),"")))</f>
        <v/>
      </c>
    </row>
    <row r="1485">
      <c r="M1485">
        <f>IF(Sync!$M1485&lt;&gt;"پاس چک","",IF(Sync!$P1485="","",Sync!$P1485))</f>
        <v/>
      </c>
      <c r="N1485">
        <f>IF($M1485="","",IF(ISNUMBER(Sync!$L1485),IF(AND(Sync!$L1485&gt;=10000101,Sync!$L1485&lt;=99991231),RIGHT("0000"&amp;INT(Sync!$L1485/10000),4)&amp;"/"&amp;RIGHT("00"&amp;INT(MOD(Sync!$L1485,10000)/100),2)&amp;"/"&amp;RIGHT("00"&amp;MOD(Sync!$L1485,100),2),""),IFERROR(RIGHT("0000"&amp;VALUE(TRIM(LEFT(Sync!$L1485,FIND("/",Sync!$L1485)-1))),4)&amp;"/"&amp;RIGHT("00"&amp;VALUE(TRIM(LEFT(MID(Sync!$L1485,FIND("/",Sync!$L1485)+1,20),FIND("/",MID(Sync!$L1485,FIND("/",Sync!$L1485)+1,20))-1))),2)&amp;"/"&amp;RIGHT("00"&amp;VALUE(TRIM(MID(MID(Sync!$L1485,FIND("/",Sync!$L1485)+1,20),FIND("/",MID(Sync!$L1485,FIND("/",Sync!$L1485)+1,20))+1,20))),2),"")))</f>
        <v/>
      </c>
    </row>
    <row r="1486">
      <c r="M1486">
        <f>IF(Sync!$M1486&lt;&gt;"پاس چک","",IF(Sync!$P1486="","",Sync!$P1486))</f>
        <v/>
      </c>
      <c r="N1486">
        <f>IF($M1486="","",IF(ISNUMBER(Sync!$L1486),IF(AND(Sync!$L1486&gt;=10000101,Sync!$L1486&lt;=99991231),RIGHT("0000"&amp;INT(Sync!$L1486/10000),4)&amp;"/"&amp;RIGHT("00"&amp;INT(MOD(Sync!$L1486,10000)/100),2)&amp;"/"&amp;RIGHT("00"&amp;MOD(Sync!$L1486,100),2),""),IFERROR(RIGHT("0000"&amp;VALUE(TRIM(LEFT(Sync!$L1486,FIND("/",Sync!$L1486)-1))),4)&amp;"/"&amp;RIGHT("00"&amp;VALUE(TRIM(LEFT(MID(Sync!$L1486,FIND("/",Sync!$L1486)+1,20),FIND("/",MID(Sync!$L1486,FIND("/",Sync!$L1486)+1,20))-1))),2)&amp;"/"&amp;RIGHT("00"&amp;VALUE(TRIM(MID(MID(Sync!$L1486,FIND("/",Sync!$L1486)+1,20),FIND("/",MID(Sync!$L1486,FIND("/",Sync!$L1486)+1,20))+1,20))),2),"")))</f>
        <v/>
      </c>
    </row>
    <row r="1487">
      <c r="M1487">
        <f>IF(Sync!$M1487&lt;&gt;"پاس چک","",IF(Sync!$P1487="","",Sync!$P1487))</f>
        <v/>
      </c>
      <c r="N1487">
        <f>IF($M1487="","",IF(ISNUMBER(Sync!$L1487),IF(AND(Sync!$L1487&gt;=10000101,Sync!$L1487&lt;=99991231),RIGHT("0000"&amp;INT(Sync!$L1487/10000),4)&amp;"/"&amp;RIGHT("00"&amp;INT(MOD(Sync!$L1487,10000)/100),2)&amp;"/"&amp;RIGHT("00"&amp;MOD(Sync!$L1487,100),2),""),IFERROR(RIGHT("0000"&amp;VALUE(TRIM(LEFT(Sync!$L1487,FIND("/",Sync!$L1487)-1))),4)&amp;"/"&amp;RIGHT("00"&amp;VALUE(TRIM(LEFT(MID(Sync!$L1487,FIND("/",Sync!$L1487)+1,20),FIND("/",MID(Sync!$L1487,FIND("/",Sync!$L1487)+1,20))-1))),2)&amp;"/"&amp;RIGHT("00"&amp;VALUE(TRIM(MID(MID(Sync!$L1487,FIND("/",Sync!$L1487)+1,20),FIND("/",MID(Sync!$L1487,FIND("/",Sync!$L1487)+1,20))+1,20))),2),"")))</f>
        <v/>
      </c>
    </row>
    <row r="1488">
      <c r="M1488">
        <f>IF(Sync!$M1488&lt;&gt;"پاس چک","",IF(Sync!$P1488="","",Sync!$P1488))</f>
        <v/>
      </c>
      <c r="N1488">
        <f>IF($M1488="","",IF(ISNUMBER(Sync!$L1488),IF(AND(Sync!$L1488&gt;=10000101,Sync!$L1488&lt;=99991231),RIGHT("0000"&amp;INT(Sync!$L1488/10000),4)&amp;"/"&amp;RIGHT("00"&amp;INT(MOD(Sync!$L1488,10000)/100),2)&amp;"/"&amp;RIGHT("00"&amp;MOD(Sync!$L1488,100),2),""),IFERROR(RIGHT("0000"&amp;VALUE(TRIM(LEFT(Sync!$L1488,FIND("/",Sync!$L1488)-1))),4)&amp;"/"&amp;RIGHT("00"&amp;VALUE(TRIM(LEFT(MID(Sync!$L1488,FIND("/",Sync!$L1488)+1,20),FIND("/",MID(Sync!$L1488,FIND("/",Sync!$L1488)+1,20))-1))),2)&amp;"/"&amp;RIGHT("00"&amp;VALUE(TRIM(MID(MID(Sync!$L1488,FIND("/",Sync!$L1488)+1,20),FIND("/",MID(Sync!$L1488,FIND("/",Sync!$L1488)+1,20))+1,20))),2),"")))</f>
        <v/>
      </c>
    </row>
    <row r="1489">
      <c r="M1489">
        <f>IF(Sync!$M1489&lt;&gt;"پاس چک","",IF(Sync!$P1489="","",Sync!$P1489))</f>
        <v/>
      </c>
      <c r="N1489">
        <f>IF($M1489="","",IF(ISNUMBER(Sync!$L1489),IF(AND(Sync!$L1489&gt;=10000101,Sync!$L1489&lt;=99991231),RIGHT("0000"&amp;INT(Sync!$L1489/10000),4)&amp;"/"&amp;RIGHT("00"&amp;INT(MOD(Sync!$L1489,10000)/100),2)&amp;"/"&amp;RIGHT("00"&amp;MOD(Sync!$L1489,100),2),""),IFERROR(RIGHT("0000"&amp;VALUE(TRIM(LEFT(Sync!$L1489,FIND("/",Sync!$L1489)-1))),4)&amp;"/"&amp;RIGHT("00"&amp;VALUE(TRIM(LEFT(MID(Sync!$L1489,FIND("/",Sync!$L1489)+1,20),FIND("/",MID(Sync!$L1489,FIND("/",Sync!$L1489)+1,20))-1))),2)&amp;"/"&amp;RIGHT("00"&amp;VALUE(TRIM(MID(MID(Sync!$L1489,FIND("/",Sync!$L1489)+1,20),FIND("/",MID(Sync!$L1489,FIND("/",Sync!$L1489)+1,20))+1,20))),2),"")))</f>
        <v/>
      </c>
    </row>
    <row r="1490">
      <c r="M1490">
        <f>IF(Sync!$M1490&lt;&gt;"پاس چک","",IF(Sync!$P1490="","",Sync!$P1490))</f>
        <v/>
      </c>
      <c r="N1490">
        <f>IF($M1490="","",IF(ISNUMBER(Sync!$L1490),IF(AND(Sync!$L1490&gt;=10000101,Sync!$L1490&lt;=99991231),RIGHT("0000"&amp;INT(Sync!$L1490/10000),4)&amp;"/"&amp;RIGHT("00"&amp;INT(MOD(Sync!$L1490,10000)/100),2)&amp;"/"&amp;RIGHT("00"&amp;MOD(Sync!$L1490,100),2),""),IFERROR(RIGHT("0000"&amp;VALUE(TRIM(LEFT(Sync!$L1490,FIND("/",Sync!$L1490)-1))),4)&amp;"/"&amp;RIGHT("00"&amp;VALUE(TRIM(LEFT(MID(Sync!$L1490,FIND("/",Sync!$L1490)+1,20),FIND("/",MID(Sync!$L1490,FIND("/",Sync!$L1490)+1,20))-1))),2)&amp;"/"&amp;RIGHT("00"&amp;VALUE(TRIM(MID(MID(Sync!$L1490,FIND("/",Sync!$L1490)+1,20),FIND("/",MID(Sync!$L1490,FIND("/",Sync!$L1490)+1,20))+1,20))),2),"")))</f>
        <v/>
      </c>
    </row>
    <row r="1491">
      <c r="M1491">
        <f>IF(Sync!$M1491&lt;&gt;"پاس چک","",IF(Sync!$P1491="","",Sync!$P1491))</f>
        <v/>
      </c>
      <c r="N1491">
        <f>IF($M1491="","",IF(ISNUMBER(Sync!$L1491),IF(AND(Sync!$L1491&gt;=10000101,Sync!$L1491&lt;=99991231),RIGHT("0000"&amp;INT(Sync!$L1491/10000),4)&amp;"/"&amp;RIGHT("00"&amp;INT(MOD(Sync!$L1491,10000)/100),2)&amp;"/"&amp;RIGHT("00"&amp;MOD(Sync!$L1491,100),2),""),IFERROR(RIGHT("0000"&amp;VALUE(TRIM(LEFT(Sync!$L1491,FIND("/",Sync!$L1491)-1))),4)&amp;"/"&amp;RIGHT("00"&amp;VALUE(TRIM(LEFT(MID(Sync!$L1491,FIND("/",Sync!$L1491)+1,20),FIND("/",MID(Sync!$L1491,FIND("/",Sync!$L1491)+1,20))-1))),2)&amp;"/"&amp;RIGHT("00"&amp;VALUE(TRIM(MID(MID(Sync!$L1491,FIND("/",Sync!$L1491)+1,20),FIND("/",MID(Sync!$L1491,FIND("/",Sync!$L1491)+1,20))+1,20))),2),"")))</f>
        <v/>
      </c>
    </row>
    <row r="1492">
      <c r="M1492">
        <f>IF(Sync!$M1492&lt;&gt;"پاس چک","",IF(Sync!$P1492="","",Sync!$P1492))</f>
        <v/>
      </c>
      <c r="N1492">
        <f>IF($M1492="","",IF(ISNUMBER(Sync!$L1492),IF(AND(Sync!$L1492&gt;=10000101,Sync!$L1492&lt;=99991231),RIGHT("0000"&amp;INT(Sync!$L1492/10000),4)&amp;"/"&amp;RIGHT("00"&amp;INT(MOD(Sync!$L1492,10000)/100),2)&amp;"/"&amp;RIGHT("00"&amp;MOD(Sync!$L1492,100),2),""),IFERROR(RIGHT("0000"&amp;VALUE(TRIM(LEFT(Sync!$L1492,FIND("/",Sync!$L1492)-1))),4)&amp;"/"&amp;RIGHT("00"&amp;VALUE(TRIM(LEFT(MID(Sync!$L1492,FIND("/",Sync!$L1492)+1,20),FIND("/",MID(Sync!$L1492,FIND("/",Sync!$L1492)+1,20))-1))),2)&amp;"/"&amp;RIGHT("00"&amp;VALUE(TRIM(MID(MID(Sync!$L1492,FIND("/",Sync!$L1492)+1,20),FIND("/",MID(Sync!$L1492,FIND("/",Sync!$L1492)+1,20))+1,20))),2),"")))</f>
        <v/>
      </c>
    </row>
    <row r="1493">
      <c r="M1493">
        <f>IF(Sync!$M1493&lt;&gt;"پاس چک","",IF(Sync!$P1493="","",Sync!$P1493))</f>
        <v/>
      </c>
      <c r="N1493">
        <f>IF($M1493="","",IF(ISNUMBER(Sync!$L1493),IF(AND(Sync!$L1493&gt;=10000101,Sync!$L1493&lt;=99991231),RIGHT("0000"&amp;INT(Sync!$L1493/10000),4)&amp;"/"&amp;RIGHT("00"&amp;INT(MOD(Sync!$L1493,10000)/100),2)&amp;"/"&amp;RIGHT("00"&amp;MOD(Sync!$L1493,100),2),""),IFERROR(RIGHT("0000"&amp;VALUE(TRIM(LEFT(Sync!$L1493,FIND("/",Sync!$L1493)-1))),4)&amp;"/"&amp;RIGHT("00"&amp;VALUE(TRIM(LEFT(MID(Sync!$L1493,FIND("/",Sync!$L1493)+1,20),FIND("/",MID(Sync!$L1493,FIND("/",Sync!$L1493)+1,20))-1))),2)&amp;"/"&amp;RIGHT("00"&amp;VALUE(TRIM(MID(MID(Sync!$L1493,FIND("/",Sync!$L1493)+1,20),FIND("/",MID(Sync!$L1493,FIND("/",Sync!$L1493)+1,20))+1,20))),2),"")))</f>
        <v/>
      </c>
    </row>
    <row r="1494">
      <c r="M1494">
        <f>IF(Sync!$M1494&lt;&gt;"پاس چک","",IF(Sync!$P1494="","",Sync!$P1494))</f>
        <v/>
      </c>
      <c r="N1494">
        <f>IF($M1494="","",IF(ISNUMBER(Sync!$L1494),IF(AND(Sync!$L1494&gt;=10000101,Sync!$L1494&lt;=99991231),RIGHT("0000"&amp;INT(Sync!$L1494/10000),4)&amp;"/"&amp;RIGHT("00"&amp;INT(MOD(Sync!$L1494,10000)/100),2)&amp;"/"&amp;RIGHT("00"&amp;MOD(Sync!$L1494,100),2),""),IFERROR(RIGHT("0000"&amp;VALUE(TRIM(LEFT(Sync!$L1494,FIND("/",Sync!$L1494)-1))),4)&amp;"/"&amp;RIGHT("00"&amp;VALUE(TRIM(LEFT(MID(Sync!$L1494,FIND("/",Sync!$L1494)+1,20),FIND("/",MID(Sync!$L1494,FIND("/",Sync!$L1494)+1,20))-1))),2)&amp;"/"&amp;RIGHT("00"&amp;VALUE(TRIM(MID(MID(Sync!$L1494,FIND("/",Sync!$L1494)+1,20),FIND("/",MID(Sync!$L1494,FIND("/",Sync!$L1494)+1,20))+1,20))),2),"")))</f>
        <v/>
      </c>
    </row>
    <row r="1495">
      <c r="M1495">
        <f>IF(Sync!$M1495&lt;&gt;"پاس چک","",IF(Sync!$P1495="","",Sync!$P1495))</f>
        <v/>
      </c>
      <c r="N1495">
        <f>IF($M1495="","",IF(ISNUMBER(Sync!$L1495),IF(AND(Sync!$L1495&gt;=10000101,Sync!$L1495&lt;=99991231),RIGHT("0000"&amp;INT(Sync!$L1495/10000),4)&amp;"/"&amp;RIGHT("00"&amp;INT(MOD(Sync!$L1495,10000)/100),2)&amp;"/"&amp;RIGHT("00"&amp;MOD(Sync!$L1495,100),2),""),IFERROR(RIGHT("0000"&amp;VALUE(TRIM(LEFT(Sync!$L1495,FIND("/",Sync!$L1495)-1))),4)&amp;"/"&amp;RIGHT("00"&amp;VALUE(TRIM(LEFT(MID(Sync!$L1495,FIND("/",Sync!$L1495)+1,20),FIND("/",MID(Sync!$L1495,FIND("/",Sync!$L1495)+1,20))-1))),2)&amp;"/"&amp;RIGHT("00"&amp;VALUE(TRIM(MID(MID(Sync!$L1495,FIND("/",Sync!$L1495)+1,20),FIND("/",MID(Sync!$L1495,FIND("/",Sync!$L1495)+1,20))+1,20))),2),"")))</f>
        <v/>
      </c>
    </row>
    <row r="1496">
      <c r="M1496">
        <f>IF(Sync!$M1496&lt;&gt;"پاس چک","",IF(Sync!$P1496="","",Sync!$P1496))</f>
        <v/>
      </c>
      <c r="N1496">
        <f>IF($M1496="","",IF(ISNUMBER(Sync!$L1496),IF(AND(Sync!$L1496&gt;=10000101,Sync!$L1496&lt;=99991231),RIGHT("0000"&amp;INT(Sync!$L1496/10000),4)&amp;"/"&amp;RIGHT("00"&amp;INT(MOD(Sync!$L1496,10000)/100),2)&amp;"/"&amp;RIGHT("00"&amp;MOD(Sync!$L1496,100),2),""),IFERROR(RIGHT("0000"&amp;VALUE(TRIM(LEFT(Sync!$L1496,FIND("/",Sync!$L1496)-1))),4)&amp;"/"&amp;RIGHT("00"&amp;VALUE(TRIM(LEFT(MID(Sync!$L1496,FIND("/",Sync!$L1496)+1,20),FIND("/",MID(Sync!$L1496,FIND("/",Sync!$L1496)+1,20))-1))),2)&amp;"/"&amp;RIGHT("00"&amp;VALUE(TRIM(MID(MID(Sync!$L1496,FIND("/",Sync!$L1496)+1,20),FIND("/",MID(Sync!$L1496,FIND("/",Sync!$L1496)+1,20))+1,20))),2),"")))</f>
        <v/>
      </c>
    </row>
    <row r="1497">
      <c r="M1497">
        <f>IF(Sync!$M1497&lt;&gt;"پاس چک","",IF(Sync!$P1497="","",Sync!$P1497))</f>
        <v/>
      </c>
      <c r="N1497">
        <f>IF($M1497="","",IF(ISNUMBER(Sync!$L1497),IF(AND(Sync!$L1497&gt;=10000101,Sync!$L1497&lt;=99991231),RIGHT("0000"&amp;INT(Sync!$L1497/10000),4)&amp;"/"&amp;RIGHT("00"&amp;INT(MOD(Sync!$L1497,10000)/100),2)&amp;"/"&amp;RIGHT("00"&amp;MOD(Sync!$L1497,100),2),""),IFERROR(RIGHT("0000"&amp;VALUE(TRIM(LEFT(Sync!$L1497,FIND("/",Sync!$L1497)-1))),4)&amp;"/"&amp;RIGHT("00"&amp;VALUE(TRIM(LEFT(MID(Sync!$L1497,FIND("/",Sync!$L1497)+1,20),FIND("/",MID(Sync!$L1497,FIND("/",Sync!$L1497)+1,20))-1))),2)&amp;"/"&amp;RIGHT("00"&amp;VALUE(TRIM(MID(MID(Sync!$L1497,FIND("/",Sync!$L1497)+1,20),FIND("/",MID(Sync!$L1497,FIND("/",Sync!$L1497)+1,20))+1,20))),2),"")))</f>
        <v/>
      </c>
    </row>
    <row r="1498">
      <c r="M1498">
        <f>IF(Sync!$M1498&lt;&gt;"پاس چک","",IF(Sync!$P1498="","",Sync!$P1498))</f>
        <v/>
      </c>
      <c r="N1498">
        <f>IF($M1498="","",IF(ISNUMBER(Sync!$L1498),IF(AND(Sync!$L1498&gt;=10000101,Sync!$L1498&lt;=99991231),RIGHT("0000"&amp;INT(Sync!$L1498/10000),4)&amp;"/"&amp;RIGHT("00"&amp;INT(MOD(Sync!$L1498,10000)/100),2)&amp;"/"&amp;RIGHT("00"&amp;MOD(Sync!$L1498,100),2),""),IFERROR(RIGHT("0000"&amp;VALUE(TRIM(LEFT(Sync!$L1498,FIND("/",Sync!$L1498)-1))),4)&amp;"/"&amp;RIGHT("00"&amp;VALUE(TRIM(LEFT(MID(Sync!$L1498,FIND("/",Sync!$L1498)+1,20),FIND("/",MID(Sync!$L1498,FIND("/",Sync!$L1498)+1,20))-1))),2)&amp;"/"&amp;RIGHT("00"&amp;VALUE(TRIM(MID(MID(Sync!$L1498,FIND("/",Sync!$L1498)+1,20),FIND("/",MID(Sync!$L1498,FIND("/",Sync!$L1498)+1,20))+1,20))),2),"")))</f>
        <v/>
      </c>
    </row>
    <row r="1499">
      <c r="M1499">
        <f>IF(Sync!$M1499&lt;&gt;"پاس چک","",IF(Sync!$P1499="","",Sync!$P1499))</f>
        <v/>
      </c>
      <c r="N1499">
        <f>IF($M1499="","",IF(ISNUMBER(Sync!$L1499),IF(AND(Sync!$L1499&gt;=10000101,Sync!$L1499&lt;=99991231),RIGHT("0000"&amp;INT(Sync!$L1499/10000),4)&amp;"/"&amp;RIGHT("00"&amp;INT(MOD(Sync!$L1499,10000)/100),2)&amp;"/"&amp;RIGHT("00"&amp;MOD(Sync!$L1499,100),2),""),IFERROR(RIGHT("0000"&amp;VALUE(TRIM(LEFT(Sync!$L1499,FIND("/",Sync!$L1499)-1))),4)&amp;"/"&amp;RIGHT("00"&amp;VALUE(TRIM(LEFT(MID(Sync!$L1499,FIND("/",Sync!$L1499)+1,20),FIND("/",MID(Sync!$L1499,FIND("/",Sync!$L1499)+1,20))-1))),2)&amp;"/"&amp;RIGHT("00"&amp;VALUE(TRIM(MID(MID(Sync!$L1499,FIND("/",Sync!$L1499)+1,20),FIND("/",MID(Sync!$L1499,FIND("/",Sync!$L1499)+1,20))+1,20))),2),"")))</f>
        <v/>
      </c>
    </row>
    <row r="1500">
      <c r="M1500">
        <f>IF(Sync!$M1500&lt;&gt;"پاس چک","",IF(Sync!$P1500="","",Sync!$P1500))</f>
        <v/>
      </c>
      <c r="N1500">
        <f>IF($M1500="","",IF(ISNUMBER(Sync!$L1500),IF(AND(Sync!$L1500&gt;=10000101,Sync!$L1500&lt;=99991231),RIGHT("0000"&amp;INT(Sync!$L1500/10000),4)&amp;"/"&amp;RIGHT("00"&amp;INT(MOD(Sync!$L1500,10000)/100),2)&amp;"/"&amp;RIGHT("00"&amp;MOD(Sync!$L1500,100),2),""),IFERROR(RIGHT("0000"&amp;VALUE(TRIM(LEFT(Sync!$L1500,FIND("/",Sync!$L1500)-1))),4)&amp;"/"&amp;RIGHT("00"&amp;VALUE(TRIM(LEFT(MID(Sync!$L1500,FIND("/",Sync!$L1500)+1,20),FIND("/",MID(Sync!$L1500,FIND("/",Sync!$L1500)+1,20))-1))),2)&amp;"/"&amp;RIGHT("00"&amp;VALUE(TRIM(MID(MID(Sync!$L1500,FIND("/",Sync!$L1500)+1,20),FIND("/",MID(Sync!$L1500,FIND("/",Sync!$L1500)+1,20))+1,20))),2),"")))</f>
        <v/>
      </c>
    </row>
    <row r="1501">
      <c r="M1501">
        <f>IF(Sync!$M1501&lt;&gt;"پاس چک","",IF(Sync!$P1501="","",Sync!$P1501))</f>
        <v/>
      </c>
      <c r="N1501">
        <f>IF($M1501="","",IF(ISNUMBER(Sync!$L1501),IF(AND(Sync!$L1501&gt;=10000101,Sync!$L1501&lt;=99991231),RIGHT("0000"&amp;INT(Sync!$L1501/10000),4)&amp;"/"&amp;RIGHT("00"&amp;INT(MOD(Sync!$L1501,10000)/100),2)&amp;"/"&amp;RIGHT("00"&amp;MOD(Sync!$L1501,100),2),""),IFERROR(RIGHT("0000"&amp;VALUE(TRIM(LEFT(Sync!$L1501,FIND("/",Sync!$L1501)-1))),4)&amp;"/"&amp;RIGHT("00"&amp;VALUE(TRIM(LEFT(MID(Sync!$L1501,FIND("/",Sync!$L1501)+1,20),FIND("/",MID(Sync!$L1501,FIND("/",Sync!$L1501)+1,20))-1))),2)&amp;"/"&amp;RIGHT("00"&amp;VALUE(TRIM(MID(MID(Sync!$L1501,FIND("/",Sync!$L1501)+1,20),FIND("/",MID(Sync!$L1501,FIND("/",Sync!$L1501)+1,20))+1,20))),2),"")))</f>
        <v/>
      </c>
    </row>
    <row r="1502">
      <c r="M1502">
        <f>IF(Sync!$M1502&lt;&gt;"پاس چک","",IF(Sync!$P1502="","",Sync!$P1502))</f>
        <v/>
      </c>
      <c r="N1502">
        <f>IF($M1502="","",IF(ISNUMBER(Sync!$L1502),IF(AND(Sync!$L1502&gt;=10000101,Sync!$L1502&lt;=99991231),RIGHT("0000"&amp;INT(Sync!$L1502/10000),4)&amp;"/"&amp;RIGHT("00"&amp;INT(MOD(Sync!$L1502,10000)/100),2)&amp;"/"&amp;RIGHT("00"&amp;MOD(Sync!$L1502,100),2),""),IFERROR(RIGHT("0000"&amp;VALUE(TRIM(LEFT(Sync!$L1502,FIND("/",Sync!$L1502)-1))),4)&amp;"/"&amp;RIGHT("00"&amp;VALUE(TRIM(LEFT(MID(Sync!$L1502,FIND("/",Sync!$L1502)+1,20),FIND("/",MID(Sync!$L1502,FIND("/",Sync!$L1502)+1,20))-1))),2)&amp;"/"&amp;RIGHT("00"&amp;VALUE(TRIM(MID(MID(Sync!$L1502,FIND("/",Sync!$L1502)+1,20),FIND("/",MID(Sync!$L1502,FIND("/",Sync!$L1502)+1,20))+1,20))),2),"")))</f>
        <v/>
      </c>
    </row>
    <row r="1503">
      <c r="M1503">
        <f>IF(Sync!$M1503&lt;&gt;"پاس چک","",IF(Sync!$P1503="","",Sync!$P1503))</f>
        <v/>
      </c>
      <c r="N1503">
        <f>IF($M1503="","",IF(ISNUMBER(Sync!$L1503),IF(AND(Sync!$L1503&gt;=10000101,Sync!$L1503&lt;=99991231),RIGHT("0000"&amp;INT(Sync!$L1503/10000),4)&amp;"/"&amp;RIGHT("00"&amp;INT(MOD(Sync!$L1503,10000)/100),2)&amp;"/"&amp;RIGHT("00"&amp;MOD(Sync!$L1503,100),2),""),IFERROR(RIGHT("0000"&amp;VALUE(TRIM(LEFT(Sync!$L1503,FIND("/",Sync!$L1503)-1))),4)&amp;"/"&amp;RIGHT("00"&amp;VALUE(TRIM(LEFT(MID(Sync!$L1503,FIND("/",Sync!$L1503)+1,20),FIND("/",MID(Sync!$L1503,FIND("/",Sync!$L1503)+1,20))-1))),2)&amp;"/"&amp;RIGHT("00"&amp;VALUE(TRIM(MID(MID(Sync!$L1503,FIND("/",Sync!$L1503)+1,20),FIND("/",MID(Sync!$L1503,FIND("/",Sync!$L1503)+1,20))+1,20))),2),"")))</f>
        <v/>
      </c>
    </row>
    <row r="1504">
      <c r="M1504">
        <f>IF(Sync!$M1504&lt;&gt;"پاس چک","",IF(Sync!$P1504="","",Sync!$P1504))</f>
        <v/>
      </c>
      <c r="N1504">
        <f>IF($M1504="","",IF(ISNUMBER(Sync!$L1504),IF(AND(Sync!$L1504&gt;=10000101,Sync!$L1504&lt;=99991231),RIGHT("0000"&amp;INT(Sync!$L1504/10000),4)&amp;"/"&amp;RIGHT("00"&amp;INT(MOD(Sync!$L1504,10000)/100),2)&amp;"/"&amp;RIGHT("00"&amp;MOD(Sync!$L1504,100),2),""),IFERROR(RIGHT("0000"&amp;VALUE(TRIM(LEFT(Sync!$L1504,FIND("/",Sync!$L1504)-1))),4)&amp;"/"&amp;RIGHT("00"&amp;VALUE(TRIM(LEFT(MID(Sync!$L1504,FIND("/",Sync!$L1504)+1,20),FIND("/",MID(Sync!$L1504,FIND("/",Sync!$L1504)+1,20))-1))),2)&amp;"/"&amp;RIGHT("00"&amp;VALUE(TRIM(MID(MID(Sync!$L1504,FIND("/",Sync!$L1504)+1,20),FIND("/",MID(Sync!$L1504,FIND("/",Sync!$L1504)+1,20))+1,20))),2),"")))</f>
        <v/>
      </c>
    </row>
    <row r="1505">
      <c r="M1505">
        <f>IF(Sync!$M1505&lt;&gt;"پاس چک","",IF(Sync!$P1505="","",Sync!$P1505))</f>
        <v/>
      </c>
      <c r="N1505">
        <f>IF($M1505="","",IF(ISNUMBER(Sync!$L1505),IF(AND(Sync!$L1505&gt;=10000101,Sync!$L1505&lt;=99991231),RIGHT("0000"&amp;INT(Sync!$L1505/10000),4)&amp;"/"&amp;RIGHT("00"&amp;INT(MOD(Sync!$L1505,10000)/100),2)&amp;"/"&amp;RIGHT("00"&amp;MOD(Sync!$L1505,100),2),""),IFERROR(RIGHT("0000"&amp;VALUE(TRIM(LEFT(Sync!$L1505,FIND("/",Sync!$L1505)-1))),4)&amp;"/"&amp;RIGHT("00"&amp;VALUE(TRIM(LEFT(MID(Sync!$L1505,FIND("/",Sync!$L1505)+1,20),FIND("/",MID(Sync!$L1505,FIND("/",Sync!$L1505)+1,20))-1))),2)&amp;"/"&amp;RIGHT("00"&amp;VALUE(TRIM(MID(MID(Sync!$L1505,FIND("/",Sync!$L1505)+1,20),FIND("/",MID(Sync!$L1505,FIND("/",Sync!$L1505)+1,20))+1,20))),2),"")))</f>
        <v/>
      </c>
    </row>
    <row r="1506">
      <c r="M1506">
        <f>IF(Sync!$M1506&lt;&gt;"پاس چک","",IF(Sync!$P1506="","",Sync!$P1506))</f>
        <v/>
      </c>
      <c r="N1506">
        <f>IF($M1506="","",IF(ISNUMBER(Sync!$L1506),IF(AND(Sync!$L1506&gt;=10000101,Sync!$L1506&lt;=99991231),RIGHT("0000"&amp;INT(Sync!$L1506/10000),4)&amp;"/"&amp;RIGHT("00"&amp;INT(MOD(Sync!$L1506,10000)/100),2)&amp;"/"&amp;RIGHT("00"&amp;MOD(Sync!$L1506,100),2),""),IFERROR(RIGHT("0000"&amp;VALUE(TRIM(LEFT(Sync!$L1506,FIND("/",Sync!$L1506)-1))),4)&amp;"/"&amp;RIGHT("00"&amp;VALUE(TRIM(LEFT(MID(Sync!$L1506,FIND("/",Sync!$L1506)+1,20),FIND("/",MID(Sync!$L1506,FIND("/",Sync!$L1506)+1,20))-1))),2)&amp;"/"&amp;RIGHT("00"&amp;VALUE(TRIM(MID(MID(Sync!$L1506,FIND("/",Sync!$L1506)+1,20),FIND("/",MID(Sync!$L1506,FIND("/",Sync!$L1506)+1,20))+1,20))),2),"")))</f>
        <v/>
      </c>
    </row>
    <row r="1507">
      <c r="M1507">
        <f>IF(Sync!$M1507&lt;&gt;"پاس چک","",IF(Sync!$P1507="","",Sync!$P1507))</f>
        <v/>
      </c>
      <c r="N1507">
        <f>IF($M1507="","",IF(ISNUMBER(Sync!$L1507),IF(AND(Sync!$L1507&gt;=10000101,Sync!$L1507&lt;=99991231),RIGHT("0000"&amp;INT(Sync!$L1507/10000),4)&amp;"/"&amp;RIGHT("00"&amp;INT(MOD(Sync!$L1507,10000)/100),2)&amp;"/"&amp;RIGHT("00"&amp;MOD(Sync!$L1507,100),2),""),IFERROR(RIGHT("0000"&amp;VALUE(TRIM(LEFT(Sync!$L1507,FIND("/",Sync!$L1507)-1))),4)&amp;"/"&amp;RIGHT("00"&amp;VALUE(TRIM(LEFT(MID(Sync!$L1507,FIND("/",Sync!$L1507)+1,20),FIND("/",MID(Sync!$L1507,FIND("/",Sync!$L1507)+1,20))-1))),2)&amp;"/"&amp;RIGHT("00"&amp;VALUE(TRIM(MID(MID(Sync!$L1507,FIND("/",Sync!$L1507)+1,20),FIND("/",MID(Sync!$L1507,FIND("/",Sync!$L1507)+1,20))+1,20))),2),"")))</f>
        <v/>
      </c>
    </row>
    <row r="1508">
      <c r="M1508">
        <f>IF(Sync!$M1508&lt;&gt;"پاس چک","",IF(Sync!$P1508="","",Sync!$P1508))</f>
        <v/>
      </c>
      <c r="N1508">
        <f>IF($M1508="","",IF(ISNUMBER(Sync!$L1508),IF(AND(Sync!$L1508&gt;=10000101,Sync!$L1508&lt;=99991231),RIGHT("0000"&amp;INT(Sync!$L1508/10000),4)&amp;"/"&amp;RIGHT("00"&amp;INT(MOD(Sync!$L1508,10000)/100),2)&amp;"/"&amp;RIGHT("00"&amp;MOD(Sync!$L1508,100),2),""),IFERROR(RIGHT("0000"&amp;VALUE(TRIM(LEFT(Sync!$L1508,FIND("/",Sync!$L1508)-1))),4)&amp;"/"&amp;RIGHT("00"&amp;VALUE(TRIM(LEFT(MID(Sync!$L1508,FIND("/",Sync!$L1508)+1,20),FIND("/",MID(Sync!$L1508,FIND("/",Sync!$L1508)+1,20))-1))),2)&amp;"/"&amp;RIGHT("00"&amp;VALUE(TRIM(MID(MID(Sync!$L1508,FIND("/",Sync!$L1508)+1,20),FIND("/",MID(Sync!$L1508,FIND("/",Sync!$L1508)+1,20))+1,20))),2),"")))</f>
        <v/>
      </c>
    </row>
    <row r="1509">
      <c r="M1509">
        <f>IF(Sync!$M1509&lt;&gt;"پاس چک","",IF(Sync!$P1509="","",Sync!$P1509))</f>
        <v/>
      </c>
      <c r="N1509">
        <f>IF($M1509="","",IF(ISNUMBER(Sync!$L1509),IF(AND(Sync!$L1509&gt;=10000101,Sync!$L1509&lt;=99991231),RIGHT("0000"&amp;INT(Sync!$L1509/10000),4)&amp;"/"&amp;RIGHT("00"&amp;INT(MOD(Sync!$L1509,10000)/100),2)&amp;"/"&amp;RIGHT("00"&amp;MOD(Sync!$L1509,100),2),""),IFERROR(RIGHT("0000"&amp;VALUE(TRIM(LEFT(Sync!$L1509,FIND("/",Sync!$L1509)-1))),4)&amp;"/"&amp;RIGHT("00"&amp;VALUE(TRIM(LEFT(MID(Sync!$L1509,FIND("/",Sync!$L1509)+1,20),FIND("/",MID(Sync!$L1509,FIND("/",Sync!$L1509)+1,20))-1))),2)&amp;"/"&amp;RIGHT("00"&amp;VALUE(TRIM(MID(MID(Sync!$L1509,FIND("/",Sync!$L1509)+1,20),FIND("/",MID(Sync!$L1509,FIND("/",Sync!$L1509)+1,20))+1,20))),2),"")))</f>
        <v/>
      </c>
    </row>
    <row r="1510">
      <c r="M1510">
        <f>IF(Sync!$M1510&lt;&gt;"پاس چک","",IF(Sync!$P1510="","",Sync!$P1510))</f>
        <v/>
      </c>
      <c r="N1510">
        <f>IF($M1510="","",IF(ISNUMBER(Sync!$L1510),IF(AND(Sync!$L1510&gt;=10000101,Sync!$L1510&lt;=99991231),RIGHT("0000"&amp;INT(Sync!$L1510/10000),4)&amp;"/"&amp;RIGHT("00"&amp;INT(MOD(Sync!$L1510,10000)/100),2)&amp;"/"&amp;RIGHT("00"&amp;MOD(Sync!$L1510,100),2),""),IFERROR(RIGHT("0000"&amp;VALUE(TRIM(LEFT(Sync!$L1510,FIND("/",Sync!$L1510)-1))),4)&amp;"/"&amp;RIGHT("00"&amp;VALUE(TRIM(LEFT(MID(Sync!$L1510,FIND("/",Sync!$L1510)+1,20),FIND("/",MID(Sync!$L1510,FIND("/",Sync!$L1510)+1,20))-1))),2)&amp;"/"&amp;RIGHT("00"&amp;VALUE(TRIM(MID(MID(Sync!$L1510,FIND("/",Sync!$L1510)+1,20),FIND("/",MID(Sync!$L1510,FIND("/",Sync!$L1510)+1,20))+1,20))),2),"")))</f>
        <v/>
      </c>
    </row>
    <row r="1511">
      <c r="M1511">
        <f>IF(Sync!$M1511&lt;&gt;"پاس چک","",IF(Sync!$P1511="","",Sync!$P1511))</f>
        <v/>
      </c>
      <c r="N1511">
        <f>IF($M1511="","",IF(ISNUMBER(Sync!$L1511),IF(AND(Sync!$L1511&gt;=10000101,Sync!$L1511&lt;=99991231),RIGHT("0000"&amp;INT(Sync!$L1511/10000),4)&amp;"/"&amp;RIGHT("00"&amp;INT(MOD(Sync!$L1511,10000)/100),2)&amp;"/"&amp;RIGHT("00"&amp;MOD(Sync!$L1511,100),2),""),IFERROR(RIGHT("0000"&amp;VALUE(TRIM(LEFT(Sync!$L1511,FIND("/",Sync!$L1511)-1))),4)&amp;"/"&amp;RIGHT("00"&amp;VALUE(TRIM(LEFT(MID(Sync!$L1511,FIND("/",Sync!$L1511)+1,20),FIND("/",MID(Sync!$L1511,FIND("/",Sync!$L1511)+1,20))-1))),2)&amp;"/"&amp;RIGHT("00"&amp;VALUE(TRIM(MID(MID(Sync!$L1511,FIND("/",Sync!$L1511)+1,20),FIND("/",MID(Sync!$L1511,FIND("/",Sync!$L1511)+1,20))+1,20))),2),"")))</f>
        <v/>
      </c>
    </row>
    <row r="1512">
      <c r="M1512">
        <f>IF(Sync!$M1512&lt;&gt;"پاس چک","",IF(Sync!$P1512="","",Sync!$P1512))</f>
        <v/>
      </c>
      <c r="N1512">
        <f>IF($M1512="","",IF(ISNUMBER(Sync!$L1512),IF(AND(Sync!$L1512&gt;=10000101,Sync!$L1512&lt;=99991231),RIGHT("0000"&amp;INT(Sync!$L1512/10000),4)&amp;"/"&amp;RIGHT("00"&amp;INT(MOD(Sync!$L1512,10000)/100),2)&amp;"/"&amp;RIGHT("00"&amp;MOD(Sync!$L1512,100),2),""),IFERROR(RIGHT("0000"&amp;VALUE(TRIM(LEFT(Sync!$L1512,FIND("/",Sync!$L1512)-1))),4)&amp;"/"&amp;RIGHT("00"&amp;VALUE(TRIM(LEFT(MID(Sync!$L1512,FIND("/",Sync!$L1512)+1,20),FIND("/",MID(Sync!$L1512,FIND("/",Sync!$L1512)+1,20))-1))),2)&amp;"/"&amp;RIGHT("00"&amp;VALUE(TRIM(MID(MID(Sync!$L1512,FIND("/",Sync!$L1512)+1,20),FIND("/",MID(Sync!$L1512,FIND("/",Sync!$L1512)+1,20))+1,20))),2),"")))</f>
        <v/>
      </c>
    </row>
    <row r="1513">
      <c r="M1513">
        <f>IF(Sync!$M1513&lt;&gt;"پاس چک","",IF(Sync!$P1513="","",Sync!$P1513))</f>
        <v/>
      </c>
      <c r="N1513">
        <f>IF($M1513="","",IF(ISNUMBER(Sync!$L1513),IF(AND(Sync!$L1513&gt;=10000101,Sync!$L1513&lt;=99991231),RIGHT("0000"&amp;INT(Sync!$L1513/10000),4)&amp;"/"&amp;RIGHT("00"&amp;INT(MOD(Sync!$L1513,10000)/100),2)&amp;"/"&amp;RIGHT("00"&amp;MOD(Sync!$L1513,100),2),""),IFERROR(RIGHT("0000"&amp;VALUE(TRIM(LEFT(Sync!$L1513,FIND("/",Sync!$L1513)-1))),4)&amp;"/"&amp;RIGHT("00"&amp;VALUE(TRIM(LEFT(MID(Sync!$L1513,FIND("/",Sync!$L1513)+1,20),FIND("/",MID(Sync!$L1513,FIND("/",Sync!$L1513)+1,20))-1))),2)&amp;"/"&amp;RIGHT("00"&amp;VALUE(TRIM(MID(MID(Sync!$L1513,FIND("/",Sync!$L1513)+1,20),FIND("/",MID(Sync!$L1513,FIND("/",Sync!$L1513)+1,20))+1,20))),2),"")))</f>
        <v/>
      </c>
    </row>
    <row r="1514">
      <c r="M1514">
        <f>IF(Sync!$M1514&lt;&gt;"پاس چک","",IF(Sync!$P1514="","",Sync!$P1514))</f>
        <v/>
      </c>
      <c r="N1514">
        <f>IF($M1514="","",IF(ISNUMBER(Sync!$L1514),IF(AND(Sync!$L1514&gt;=10000101,Sync!$L1514&lt;=99991231),RIGHT("0000"&amp;INT(Sync!$L1514/10000),4)&amp;"/"&amp;RIGHT("00"&amp;INT(MOD(Sync!$L1514,10000)/100),2)&amp;"/"&amp;RIGHT("00"&amp;MOD(Sync!$L1514,100),2),""),IFERROR(RIGHT("0000"&amp;VALUE(TRIM(LEFT(Sync!$L1514,FIND("/",Sync!$L1514)-1))),4)&amp;"/"&amp;RIGHT("00"&amp;VALUE(TRIM(LEFT(MID(Sync!$L1514,FIND("/",Sync!$L1514)+1,20),FIND("/",MID(Sync!$L1514,FIND("/",Sync!$L1514)+1,20))-1))),2)&amp;"/"&amp;RIGHT("00"&amp;VALUE(TRIM(MID(MID(Sync!$L1514,FIND("/",Sync!$L1514)+1,20),FIND("/",MID(Sync!$L1514,FIND("/",Sync!$L1514)+1,20))+1,20))),2),"")))</f>
        <v/>
      </c>
    </row>
    <row r="1515">
      <c r="M1515">
        <f>IF(Sync!$M1515&lt;&gt;"پاس چک","",IF(Sync!$P1515="","",Sync!$P1515))</f>
        <v/>
      </c>
      <c r="N1515">
        <f>IF($M1515="","",IF(ISNUMBER(Sync!$L1515),IF(AND(Sync!$L1515&gt;=10000101,Sync!$L1515&lt;=99991231),RIGHT("0000"&amp;INT(Sync!$L1515/10000),4)&amp;"/"&amp;RIGHT("00"&amp;INT(MOD(Sync!$L1515,10000)/100),2)&amp;"/"&amp;RIGHT("00"&amp;MOD(Sync!$L1515,100),2),""),IFERROR(RIGHT("0000"&amp;VALUE(TRIM(LEFT(Sync!$L1515,FIND("/",Sync!$L1515)-1))),4)&amp;"/"&amp;RIGHT("00"&amp;VALUE(TRIM(LEFT(MID(Sync!$L1515,FIND("/",Sync!$L1515)+1,20),FIND("/",MID(Sync!$L1515,FIND("/",Sync!$L1515)+1,20))-1))),2)&amp;"/"&amp;RIGHT("00"&amp;VALUE(TRIM(MID(MID(Sync!$L1515,FIND("/",Sync!$L1515)+1,20),FIND("/",MID(Sync!$L1515,FIND("/",Sync!$L1515)+1,20))+1,20))),2),"")))</f>
        <v/>
      </c>
    </row>
    <row r="1516">
      <c r="M1516">
        <f>IF(Sync!$M1516&lt;&gt;"پاس چک","",IF(Sync!$P1516="","",Sync!$P1516))</f>
        <v/>
      </c>
      <c r="N1516">
        <f>IF($M1516="","",IF(ISNUMBER(Sync!$L1516),IF(AND(Sync!$L1516&gt;=10000101,Sync!$L1516&lt;=99991231),RIGHT("0000"&amp;INT(Sync!$L1516/10000),4)&amp;"/"&amp;RIGHT("00"&amp;INT(MOD(Sync!$L1516,10000)/100),2)&amp;"/"&amp;RIGHT("00"&amp;MOD(Sync!$L1516,100),2),""),IFERROR(RIGHT("0000"&amp;VALUE(TRIM(LEFT(Sync!$L1516,FIND("/",Sync!$L1516)-1))),4)&amp;"/"&amp;RIGHT("00"&amp;VALUE(TRIM(LEFT(MID(Sync!$L1516,FIND("/",Sync!$L1516)+1,20),FIND("/",MID(Sync!$L1516,FIND("/",Sync!$L1516)+1,20))-1))),2)&amp;"/"&amp;RIGHT("00"&amp;VALUE(TRIM(MID(MID(Sync!$L1516,FIND("/",Sync!$L1516)+1,20),FIND("/",MID(Sync!$L1516,FIND("/",Sync!$L1516)+1,20))+1,20))),2),"")))</f>
        <v/>
      </c>
    </row>
    <row r="1517">
      <c r="M1517">
        <f>IF(Sync!$M1517&lt;&gt;"پاس چک","",IF(Sync!$P1517="","",Sync!$P1517))</f>
        <v/>
      </c>
      <c r="N1517">
        <f>IF($M1517="","",IF(ISNUMBER(Sync!$L1517),IF(AND(Sync!$L1517&gt;=10000101,Sync!$L1517&lt;=99991231),RIGHT("0000"&amp;INT(Sync!$L1517/10000),4)&amp;"/"&amp;RIGHT("00"&amp;INT(MOD(Sync!$L1517,10000)/100),2)&amp;"/"&amp;RIGHT("00"&amp;MOD(Sync!$L1517,100),2),""),IFERROR(RIGHT("0000"&amp;VALUE(TRIM(LEFT(Sync!$L1517,FIND("/",Sync!$L1517)-1))),4)&amp;"/"&amp;RIGHT("00"&amp;VALUE(TRIM(LEFT(MID(Sync!$L1517,FIND("/",Sync!$L1517)+1,20),FIND("/",MID(Sync!$L1517,FIND("/",Sync!$L1517)+1,20))-1))),2)&amp;"/"&amp;RIGHT("00"&amp;VALUE(TRIM(MID(MID(Sync!$L1517,FIND("/",Sync!$L1517)+1,20),FIND("/",MID(Sync!$L1517,FIND("/",Sync!$L1517)+1,20))+1,20))),2),"")))</f>
        <v/>
      </c>
    </row>
    <row r="1518">
      <c r="M1518">
        <f>IF(Sync!$M1518&lt;&gt;"پاس چک","",IF(Sync!$P1518="","",Sync!$P1518))</f>
        <v/>
      </c>
      <c r="N1518">
        <f>IF($M1518="","",IF(ISNUMBER(Sync!$L1518),IF(AND(Sync!$L1518&gt;=10000101,Sync!$L1518&lt;=99991231),RIGHT("0000"&amp;INT(Sync!$L1518/10000),4)&amp;"/"&amp;RIGHT("00"&amp;INT(MOD(Sync!$L1518,10000)/100),2)&amp;"/"&amp;RIGHT("00"&amp;MOD(Sync!$L1518,100),2),""),IFERROR(RIGHT("0000"&amp;VALUE(TRIM(LEFT(Sync!$L1518,FIND("/",Sync!$L1518)-1))),4)&amp;"/"&amp;RIGHT("00"&amp;VALUE(TRIM(LEFT(MID(Sync!$L1518,FIND("/",Sync!$L1518)+1,20),FIND("/",MID(Sync!$L1518,FIND("/",Sync!$L1518)+1,20))-1))),2)&amp;"/"&amp;RIGHT("00"&amp;VALUE(TRIM(MID(MID(Sync!$L1518,FIND("/",Sync!$L1518)+1,20),FIND("/",MID(Sync!$L1518,FIND("/",Sync!$L1518)+1,20))+1,20))),2),"")))</f>
        <v/>
      </c>
    </row>
    <row r="1519">
      <c r="M1519">
        <f>IF(Sync!$M1519&lt;&gt;"پاس چک","",IF(Sync!$P1519="","",Sync!$P1519))</f>
        <v/>
      </c>
      <c r="N1519">
        <f>IF($M1519="","",IF(ISNUMBER(Sync!$L1519),IF(AND(Sync!$L1519&gt;=10000101,Sync!$L1519&lt;=99991231),RIGHT("0000"&amp;INT(Sync!$L1519/10000),4)&amp;"/"&amp;RIGHT("00"&amp;INT(MOD(Sync!$L1519,10000)/100),2)&amp;"/"&amp;RIGHT("00"&amp;MOD(Sync!$L1519,100),2),""),IFERROR(RIGHT("0000"&amp;VALUE(TRIM(LEFT(Sync!$L1519,FIND("/",Sync!$L1519)-1))),4)&amp;"/"&amp;RIGHT("00"&amp;VALUE(TRIM(LEFT(MID(Sync!$L1519,FIND("/",Sync!$L1519)+1,20),FIND("/",MID(Sync!$L1519,FIND("/",Sync!$L1519)+1,20))-1))),2)&amp;"/"&amp;RIGHT("00"&amp;VALUE(TRIM(MID(MID(Sync!$L1519,FIND("/",Sync!$L1519)+1,20),FIND("/",MID(Sync!$L1519,FIND("/",Sync!$L1519)+1,20))+1,20))),2),"")))</f>
        <v/>
      </c>
    </row>
    <row r="1520">
      <c r="M1520">
        <f>IF(Sync!$M1520&lt;&gt;"پاس چک","",IF(Sync!$P1520="","",Sync!$P1520))</f>
        <v/>
      </c>
      <c r="N1520">
        <f>IF($M1520="","",IF(ISNUMBER(Sync!$L1520),IF(AND(Sync!$L1520&gt;=10000101,Sync!$L1520&lt;=99991231),RIGHT("0000"&amp;INT(Sync!$L1520/10000),4)&amp;"/"&amp;RIGHT("00"&amp;INT(MOD(Sync!$L1520,10000)/100),2)&amp;"/"&amp;RIGHT("00"&amp;MOD(Sync!$L1520,100),2),""),IFERROR(RIGHT("0000"&amp;VALUE(TRIM(LEFT(Sync!$L1520,FIND("/",Sync!$L1520)-1))),4)&amp;"/"&amp;RIGHT("00"&amp;VALUE(TRIM(LEFT(MID(Sync!$L1520,FIND("/",Sync!$L1520)+1,20),FIND("/",MID(Sync!$L1520,FIND("/",Sync!$L1520)+1,20))-1))),2)&amp;"/"&amp;RIGHT("00"&amp;VALUE(TRIM(MID(MID(Sync!$L1520,FIND("/",Sync!$L1520)+1,20),FIND("/",MID(Sync!$L1520,FIND("/",Sync!$L1520)+1,20))+1,20))),2),"")))</f>
        <v/>
      </c>
    </row>
    <row r="1521">
      <c r="M1521">
        <f>IF(Sync!$M1521&lt;&gt;"پاس چک","",IF(Sync!$P1521="","",Sync!$P1521))</f>
        <v/>
      </c>
      <c r="N1521">
        <f>IF($M1521="","",IF(ISNUMBER(Sync!$L1521),IF(AND(Sync!$L1521&gt;=10000101,Sync!$L1521&lt;=99991231),RIGHT("0000"&amp;INT(Sync!$L1521/10000),4)&amp;"/"&amp;RIGHT("00"&amp;INT(MOD(Sync!$L1521,10000)/100),2)&amp;"/"&amp;RIGHT("00"&amp;MOD(Sync!$L1521,100),2),""),IFERROR(RIGHT("0000"&amp;VALUE(TRIM(LEFT(Sync!$L1521,FIND("/",Sync!$L1521)-1))),4)&amp;"/"&amp;RIGHT("00"&amp;VALUE(TRIM(LEFT(MID(Sync!$L1521,FIND("/",Sync!$L1521)+1,20),FIND("/",MID(Sync!$L1521,FIND("/",Sync!$L1521)+1,20))-1))),2)&amp;"/"&amp;RIGHT("00"&amp;VALUE(TRIM(MID(MID(Sync!$L1521,FIND("/",Sync!$L1521)+1,20),FIND("/",MID(Sync!$L1521,FIND("/",Sync!$L1521)+1,20))+1,20))),2),"")))</f>
        <v/>
      </c>
    </row>
    <row r="1522">
      <c r="M1522">
        <f>IF(Sync!$M1522&lt;&gt;"پاس چک","",IF(Sync!$P1522="","",Sync!$P1522))</f>
        <v/>
      </c>
      <c r="N1522">
        <f>IF($M1522="","",IF(ISNUMBER(Sync!$L1522),IF(AND(Sync!$L1522&gt;=10000101,Sync!$L1522&lt;=99991231),RIGHT("0000"&amp;INT(Sync!$L1522/10000),4)&amp;"/"&amp;RIGHT("00"&amp;INT(MOD(Sync!$L1522,10000)/100),2)&amp;"/"&amp;RIGHT("00"&amp;MOD(Sync!$L1522,100),2),""),IFERROR(RIGHT("0000"&amp;VALUE(TRIM(LEFT(Sync!$L1522,FIND("/",Sync!$L1522)-1))),4)&amp;"/"&amp;RIGHT("00"&amp;VALUE(TRIM(LEFT(MID(Sync!$L1522,FIND("/",Sync!$L1522)+1,20),FIND("/",MID(Sync!$L1522,FIND("/",Sync!$L1522)+1,20))-1))),2)&amp;"/"&amp;RIGHT("00"&amp;VALUE(TRIM(MID(MID(Sync!$L1522,FIND("/",Sync!$L1522)+1,20),FIND("/",MID(Sync!$L1522,FIND("/",Sync!$L1522)+1,20))+1,20))),2),"")))</f>
        <v/>
      </c>
    </row>
    <row r="1523">
      <c r="M1523">
        <f>IF(Sync!$M1523&lt;&gt;"پاس چک","",IF(Sync!$P1523="","",Sync!$P1523))</f>
        <v/>
      </c>
      <c r="N1523">
        <f>IF($M1523="","",IF(ISNUMBER(Sync!$L1523),IF(AND(Sync!$L1523&gt;=10000101,Sync!$L1523&lt;=99991231),RIGHT("0000"&amp;INT(Sync!$L1523/10000),4)&amp;"/"&amp;RIGHT("00"&amp;INT(MOD(Sync!$L1523,10000)/100),2)&amp;"/"&amp;RIGHT("00"&amp;MOD(Sync!$L1523,100),2),""),IFERROR(RIGHT("0000"&amp;VALUE(TRIM(LEFT(Sync!$L1523,FIND("/",Sync!$L1523)-1))),4)&amp;"/"&amp;RIGHT("00"&amp;VALUE(TRIM(LEFT(MID(Sync!$L1523,FIND("/",Sync!$L1523)+1,20),FIND("/",MID(Sync!$L1523,FIND("/",Sync!$L1523)+1,20))-1))),2)&amp;"/"&amp;RIGHT("00"&amp;VALUE(TRIM(MID(MID(Sync!$L1523,FIND("/",Sync!$L1523)+1,20),FIND("/",MID(Sync!$L1523,FIND("/",Sync!$L1523)+1,20))+1,20))),2),"")))</f>
        <v/>
      </c>
    </row>
    <row r="1524">
      <c r="M1524">
        <f>IF(Sync!$M1524&lt;&gt;"پاس چک","",IF(Sync!$P1524="","",Sync!$P1524))</f>
        <v/>
      </c>
      <c r="N1524">
        <f>IF($M1524="","",IF(ISNUMBER(Sync!$L1524),IF(AND(Sync!$L1524&gt;=10000101,Sync!$L1524&lt;=99991231),RIGHT("0000"&amp;INT(Sync!$L1524/10000),4)&amp;"/"&amp;RIGHT("00"&amp;INT(MOD(Sync!$L1524,10000)/100),2)&amp;"/"&amp;RIGHT("00"&amp;MOD(Sync!$L1524,100),2),""),IFERROR(RIGHT("0000"&amp;VALUE(TRIM(LEFT(Sync!$L1524,FIND("/",Sync!$L1524)-1))),4)&amp;"/"&amp;RIGHT("00"&amp;VALUE(TRIM(LEFT(MID(Sync!$L1524,FIND("/",Sync!$L1524)+1,20),FIND("/",MID(Sync!$L1524,FIND("/",Sync!$L1524)+1,20))-1))),2)&amp;"/"&amp;RIGHT("00"&amp;VALUE(TRIM(MID(MID(Sync!$L1524,FIND("/",Sync!$L1524)+1,20),FIND("/",MID(Sync!$L1524,FIND("/",Sync!$L1524)+1,20))+1,20))),2),"")))</f>
        <v/>
      </c>
    </row>
    <row r="1525">
      <c r="M1525">
        <f>IF(Sync!$M1525&lt;&gt;"پاس چک","",IF(Sync!$P1525="","",Sync!$P1525))</f>
        <v/>
      </c>
      <c r="N1525">
        <f>IF($M1525="","",IF(ISNUMBER(Sync!$L1525),IF(AND(Sync!$L1525&gt;=10000101,Sync!$L1525&lt;=99991231),RIGHT("0000"&amp;INT(Sync!$L1525/10000),4)&amp;"/"&amp;RIGHT("00"&amp;INT(MOD(Sync!$L1525,10000)/100),2)&amp;"/"&amp;RIGHT("00"&amp;MOD(Sync!$L1525,100),2),""),IFERROR(RIGHT("0000"&amp;VALUE(TRIM(LEFT(Sync!$L1525,FIND("/",Sync!$L1525)-1))),4)&amp;"/"&amp;RIGHT("00"&amp;VALUE(TRIM(LEFT(MID(Sync!$L1525,FIND("/",Sync!$L1525)+1,20),FIND("/",MID(Sync!$L1525,FIND("/",Sync!$L1525)+1,20))-1))),2)&amp;"/"&amp;RIGHT("00"&amp;VALUE(TRIM(MID(MID(Sync!$L1525,FIND("/",Sync!$L1525)+1,20),FIND("/",MID(Sync!$L1525,FIND("/",Sync!$L1525)+1,20))+1,20))),2),"")))</f>
        <v/>
      </c>
    </row>
    <row r="1526">
      <c r="M1526">
        <f>IF(Sync!$M1526&lt;&gt;"پاس چک","",IF(Sync!$P1526="","",Sync!$P1526))</f>
        <v/>
      </c>
      <c r="N1526">
        <f>IF($M1526="","",IF(ISNUMBER(Sync!$L1526),IF(AND(Sync!$L1526&gt;=10000101,Sync!$L1526&lt;=99991231),RIGHT("0000"&amp;INT(Sync!$L1526/10000),4)&amp;"/"&amp;RIGHT("00"&amp;INT(MOD(Sync!$L1526,10000)/100),2)&amp;"/"&amp;RIGHT("00"&amp;MOD(Sync!$L1526,100),2),""),IFERROR(RIGHT("0000"&amp;VALUE(TRIM(LEFT(Sync!$L1526,FIND("/",Sync!$L1526)-1))),4)&amp;"/"&amp;RIGHT("00"&amp;VALUE(TRIM(LEFT(MID(Sync!$L1526,FIND("/",Sync!$L1526)+1,20),FIND("/",MID(Sync!$L1526,FIND("/",Sync!$L1526)+1,20))-1))),2)&amp;"/"&amp;RIGHT("00"&amp;VALUE(TRIM(MID(MID(Sync!$L1526,FIND("/",Sync!$L1526)+1,20),FIND("/",MID(Sync!$L1526,FIND("/",Sync!$L1526)+1,20))+1,20))),2),"")))</f>
        <v/>
      </c>
    </row>
    <row r="1527">
      <c r="M1527">
        <f>IF(Sync!$M1527&lt;&gt;"پاس چک","",IF(Sync!$P1527="","",Sync!$P1527))</f>
        <v/>
      </c>
      <c r="N1527">
        <f>IF($M1527="","",IF(ISNUMBER(Sync!$L1527),IF(AND(Sync!$L1527&gt;=10000101,Sync!$L1527&lt;=99991231),RIGHT("0000"&amp;INT(Sync!$L1527/10000),4)&amp;"/"&amp;RIGHT("00"&amp;INT(MOD(Sync!$L1527,10000)/100),2)&amp;"/"&amp;RIGHT("00"&amp;MOD(Sync!$L1527,100),2),""),IFERROR(RIGHT("0000"&amp;VALUE(TRIM(LEFT(Sync!$L1527,FIND("/",Sync!$L1527)-1))),4)&amp;"/"&amp;RIGHT("00"&amp;VALUE(TRIM(LEFT(MID(Sync!$L1527,FIND("/",Sync!$L1527)+1,20),FIND("/",MID(Sync!$L1527,FIND("/",Sync!$L1527)+1,20))-1))),2)&amp;"/"&amp;RIGHT("00"&amp;VALUE(TRIM(MID(MID(Sync!$L1527,FIND("/",Sync!$L1527)+1,20),FIND("/",MID(Sync!$L1527,FIND("/",Sync!$L1527)+1,20))+1,20))),2),"")))</f>
        <v/>
      </c>
    </row>
    <row r="1528">
      <c r="M1528">
        <f>IF(Sync!$M1528&lt;&gt;"پاس چک","",IF(Sync!$P1528="","",Sync!$P1528))</f>
        <v/>
      </c>
      <c r="N1528">
        <f>IF($M1528="","",IF(ISNUMBER(Sync!$L1528),IF(AND(Sync!$L1528&gt;=10000101,Sync!$L1528&lt;=99991231),RIGHT("0000"&amp;INT(Sync!$L1528/10000),4)&amp;"/"&amp;RIGHT("00"&amp;INT(MOD(Sync!$L1528,10000)/100),2)&amp;"/"&amp;RIGHT("00"&amp;MOD(Sync!$L1528,100),2),""),IFERROR(RIGHT("0000"&amp;VALUE(TRIM(LEFT(Sync!$L1528,FIND("/",Sync!$L1528)-1))),4)&amp;"/"&amp;RIGHT("00"&amp;VALUE(TRIM(LEFT(MID(Sync!$L1528,FIND("/",Sync!$L1528)+1,20),FIND("/",MID(Sync!$L1528,FIND("/",Sync!$L1528)+1,20))-1))),2)&amp;"/"&amp;RIGHT("00"&amp;VALUE(TRIM(MID(MID(Sync!$L1528,FIND("/",Sync!$L1528)+1,20),FIND("/",MID(Sync!$L1528,FIND("/",Sync!$L1528)+1,20))+1,20))),2),"")))</f>
        <v/>
      </c>
    </row>
    <row r="1529">
      <c r="M1529">
        <f>IF(Sync!$M1529&lt;&gt;"پاس چک","",IF(Sync!$P1529="","",Sync!$P1529))</f>
        <v/>
      </c>
      <c r="N1529">
        <f>IF($M1529="","",IF(ISNUMBER(Sync!$L1529),IF(AND(Sync!$L1529&gt;=10000101,Sync!$L1529&lt;=99991231),RIGHT("0000"&amp;INT(Sync!$L1529/10000),4)&amp;"/"&amp;RIGHT("00"&amp;INT(MOD(Sync!$L1529,10000)/100),2)&amp;"/"&amp;RIGHT("00"&amp;MOD(Sync!$L1529,100),2),""),IFERROR(RIGHT("0000"&amp;VALUE(TRIM(LEFT(Sync!$L1529,FIND("/",Sync!$L1529)-1))),4)&amp;"/"&amp;RIGHT("00"&amp;VALUE(TRIM(LEFT(MID(Sync!$L1529,FIND("/",Sync!$L1529)+1,20),FIND("/",MID(Sync!$L1529,FIND("/",Sync!$L1529)+1,20))-1))),2)&amp;"/"&amp;RIGHT("00"&amp;VALUE(TRIM(MID(MID(Sync!$L1529,FIND("/",Sync!$L1529)+1,20),FIND("/",MID(Sync!$L1529,FIND("/",Sync!$L1529)+1,20))+1,20))),2),"")))</f>
        <v/>
      </c>
    </row>
    <row r="1530">
      <c r="M1530">
        <f>IF(Sync!$M1530&lt;&gt;"پاس چک","",IF(Sync!$P1530="","",Sync!$P1530))</f>
        <v/>
      </c>
      <c r="N1530">
        <f>IF($M1530="","",IF(ISNUMBER(Sync!$L1530),IF(AND(Sync!$L1530&gt;=10000101,Sync!$L1530&lt;=99991231),RIGHT("0000"&amp;INT(Sync!$L1530/10000),4)&amp;"/"&amp;RIGHT("00"&amp;INT(MOD(Sync!$L1530,10000)/100),2)&amp;"/"&amp;RIGHT("00"&amp;MOD(Sync!$L1530,100),2),""),IFERROR(RIGHT("0000"&amp;VALUE(TRIM(LEFT(Sync!$L1530,FIND("/",Sync!$L1530)-1))),4)&amp;"/"&amp;RIGHT("00"&amp;VALUE(TRIM(LEFT(MID(Sync!$L1530,FIND("/",Sync!$L1530)+1,20),FIND("/",MID(Sync!$L1530,FIND("/",Sync!$L1530)+1,20))-1))),2)&amp;"/"&amp;RIGHT("00"&amp;VALUE(TRIM(MID(MID(Sync!$L1530,FIND("/",Sync!$L1530)+1,20),FIND("/",MID(Sync!$L1530,FIND("/",Sync!$L1530)+1,20))+1,20))),2),"")))</f>
        <v/>
      </c>
    </row>
    <row r="1531">
      <c r="M1531">
        <f>IF(Sync!$M1531&lt;&gt;"پاس چک","",IF(Sync!$P1531="","",Sync!$P1531))</f>
        <v/>
      </c>
      <c r="N1531">
        <f>IF($M1531="","",IF(ISNUMBER(Sync!$L1531),IF(AND(Sync!$L1531&gt;=10000101,Sync!$L1531&lt;=99991231),RIGHT("0000"&amp;INT(Sync!$L1531/10000),4)&amp;"/"&amp;RIGHT("00"&amp;INT(MOD(Sync!$L1531,10000)/100),2)&amp;"/"&amp;RIGHT("00"&amp;MOD(Sync!$L1531,100),2),""),IFERROR(RIGHT("0000"&amp;VALUE(TRIM(LEFT(Sync!$L1531,FIND("/",Sync!$L1531)-1))),4)&amp;"/"&amp;RIGHT("00"&amp;VALUE(TRIM(LEFT(MID(Sync!$L1531,FIND("/",Sync!$L1531)+1,20),FIND("/",MID(Sync!$L1531,FIND("/",Sync!$L1531)+1,20))-1))),2)&amp;"/"&amp;RIGHT("00"&amp;VALUE(TRIM(MID(MID(Sync!$L1531,FIND("/",Sync!$L1531)+1,20),FIND("/",MID(Sync!$L1531,FIND("/",Sync!$L1531)+1,20))+1,20))),2),"")))</f>
        <v/>
      </c>
    </row>
    <row r="1532">
      <c r="M1532">
        <f>IF(Sync!$M1532&lt;&gt;"پاس چک","",IF(Sync!$P1532="","",Sync!$P1532))</f>
        <v/>
      </c>
      <c r="N1532">
        <f>IF($M1532="","",IF(ISNUMBER(Sync!$L1532),IF(AND(Sync!$L1532&gt;=10000101,Sync!$L1532&lt;=99991231),RIGHT("0000"&amp;INT(Sync!$L1532/10000),4)&amp;"/"&amp;RIGHT("00"&amp;INT(MOD(Sync!$L1532,10000)/100),2)&amp;"/"&amp;RIGHT("00"&amp;MOD(Sync!$L1532,100),2),""),IFERROR(RIGHT("0000"&amp;VALUE(TRIM(LEFT(Sync!$L1532,FIND("/",Sync!$L1532)-1))),4)&amp;"/"&amp;RIGHT("00"&amp;VALUE(TRIM(LEFT(MID(Sync!$L1532,FIND("/",Sync!$L1532)+1,20),FIND("/",MID(Sync!$L1532,FIND("/",Sync!$L1532)+1,20))-1))),2)&amp;"/"&amp;RIGHT("00"&amp;VALUE(TRIM(MID(MID(Sync!$L1532,FIND("/",Sync!$L1532)+1,20),FIND("/",MID(Sync!$L1532,FIND("/",Sync!$L1532)+1,20))+1,20))),2),"")))</f>
        <v/>
      </c>
    </row>
    <row r="1533">
      <c r="M1533">
        <f>IF(Sync!$M1533&lt;&gt;"پاس چک","",IF(Sync!$P1533="","",Sync!$P1533))</f>
        <v/>
      </c>
      <c r="N1533">
        <f>IF($M1533="","",IF(ISNUMBER(Sync!$L1533),IF(AND(Sync!$L1533&gt;=10000101,Sync!$L1533&lt;=99991231),RIGHT("0000"&amp;INT(Sync!$L1533/10000),4)&amp;"/"&amp;RIGHT("00"&amp;INT(MOD(Sync!$L1533,10000)/100),2)&amp;"/"&amp;RIGHT("00"&amp;MOD(Sync!$L1533,100),2),""),IFERROR(RIGHT("0000"&amp;VALUE(TRIM(LEFT(Sync!$L1533,FIND("/",Sync!$L1533)-1))),4)&amp;"/"&amp;RIGHT("00"&amp;VALUE(TRIM(LEFT(MID(Sync!$L1533,FIND("/",Sync!$L1533)+1,20),FIND("/",MID(Sync!$L1533,FIND("/",Sync!$L1533)+1,20))-1))),2)&amp;"/"&amp;RIGHT("00"&amp;VALUE(TRIM(MID(MID(Sync!$L1533,FIND("/",Sync!$L1533)+1,20),FIND("/",MID(Sync!$L1533,FIND("/",Sync!$L1533)+1,20))+1,20))),2),"")))</f>
        <v/>
      </c>
    </row>
    <row r="1534">
      <c r="M1534">
        <f>IF(Sync!$M1534&lt;&gt;"پاس چک","",IF(Sync!$P1534="","",Sync!$P1534))</f>
        <v/>
      </c>
      <c r="N1534">
        <f>IF($M1534="","",IF(ISNUMBER(Sync!$L1534),IF(AND(Sync!$L1534&gt;=10000101,Sync!$L1534&lt;=99991231),RIGHT("0000"&amp;INT(Sync!$L1534/10000),4)&amp;"/"&amp;RIGHT("00"&amp;INT(MOD(Sync!$L1534,10000)/100),2)&amp;"/"&amp;RIGHT("00"&amp;MOD(Sync!$L1534,100),2),""),IFERROR(RIGHT("0000"&amp;VALUE(TRIM(LEFT(Sync!$L1534,FIND("/",Sync!$L1534)-1))),4)&amp;"/"&amp;RIGHT("00"&amp;VALUE(TRIM(LEFT(MID(Sync!$L1534,FIND("/",Sync!$L1534)+1,20),FIND("/",MID(Sync!$L1534,FIND("/",Sync!$L1534)+1,20))-1))),2)&amp;"/"&amp;RIGHT("00"&amp;VALUE(TRIM(MID(MID(Sync!$L1534,FIND("/",Sync!$L1534)+1,20),FIND("/",MID(Sync!$L1534,FIND("/",Sync!$L1534)+1,20))+1,20))),2),"")))</f>
        <v/>
      </c>
    </row>
    <row r="1535">
      <c r="M1535">
        <f>IF(Sync!$M1535&lt;&gt;"پاس چک","",IF(Sync!$P1535="","",Sync!$P1535))</f>
        <v/>
      </c>
      <c r="N1535">
        <f>IF($M1535="","",IF(ISNUMBER(Sync!$L1535),IF(AND(Sync!$L1535&gt;=10000101,Sync!$L1535&lt;=99991231),RIGHT("0000"&amp;INT(Sync!$L1535/10000),4)&amp;"/"&amp;RIGHT("00"&amp;INT(MOD(Sync!$L1535,10000)/100),2)&amp;"/"&amp;RIGHT("00"&amp;MOD(Sync!$L1535,100),2),""),IFERROR(RIGHT("0000"&amp;VALUE(TRIM(LEFT(Sync!$L1535,FIND("/",Sync!$L1535)-1))),4)&amp;"/"&amp;RIGHT("00"&amp;VALUE(TRIM(LEFT(MID(Sync!$L1535,FIND("/",Sync!$L1535)+1,20),FIND("/",MID(Sync!$L1535,FIND("/",Sync!$L1535)+1,20))-1))),2)&amp;"/"&amp;RIGHT("00"&amp;VALUE(TRIM(MID(MID(Sync!$L1535,FIND("/",Sync!$L1535)+1,20),FIND("/",MID(Sync!$L1535,FIND("/",Sync!$L1535)+1,20))+1,20))),2),"")))</f>
        <v/>
      </c>
    </row>
    <row r="1536">
      <c r="M1536">
        <f>IF(Sync!$M1536&lt;&gt;"پاس چک","",IF(Sync!$P1536="","",Sync!$P1536))</f>
        <v/>
      </c>
      <c r="N1536">
        <f>IF($M1536="","",IF(ISNUMBER(Sync!$L1536),IF(AND(Sync!$L1536&gt;=10000101,Sync!$L1536&lt;=99991231),RIGHT("0000"&amp;INT(Sync!$L1536/10000),4)&amp;"/"&amp;RIGHT("00"&amp;INT(MOD(Sync!$L1536,10000)/100),2)&amp;"/"&amp;RIGHT("00"&amp;MOD(Sync!$L1536,100),2),""),IFERROR(RIGHT("0000"&amp;VALUE(TRIM(LEFT(Sync!$L1536,FIND("/",Sync!$L1536)-1))),4)&amp;"/"&amp;RIGHT("00"&amp;VALUE(TRIM(LEFT(MID(Sync!$L1536,FIND("/",Sync!$L1536)+1,20),FIND("/",MID(Sync!$L1536,FIND("/",Sync!$L1536)+1,20))-1))),2)&amp;"/"&amp;RIGHT("00"&amp;VALUE(TRIM(MID(MID(Sync!$L1536,FIND("/",Sync!$L1536)+1,20),FIND("/",MID(Sync!$L1536,FIND("/",Sync!$L1536)+1,20))+1,20))),2),"")))</f>
        <v/>
      </c>
    </row>
    <row r="1537">
      <c r="M1537">
        <f>IF(Sync!$M1537&lt;&gt;"پاس چک","",IF(Sync!$P1537="","",Sync!$P1537))</f>
        <v/>
      </c>
      <c r="N1537">
        <f>IF($M1537="","",IF(ISNUMBER(Sync!$L1537),IF(AND(Sync!$L1537&gt;=10000101,Sync!$L1537&lt;=99991231),RIGHT("0000"&amp;INT(Sync!$L1537/10000),4)&amp;"/"&amp;RIGHT("00"&amp;INT(MOD(Sync!$L1537,10000)/100),2)&amp;"/"&amp;RIGHT("00"&amp;MOD(Sync!$L1537,100),2),""),IFERROR(RIGHT("0000"&amp;VALUE(TRIM(LEFT(Sync!$L1537,FIND("/",Sync!$L1537)-1))),4)&amp;"/"&amp;RIGHT("00"&amp;VALUE(TRIM(LEFT(MID(Sync!$L1537,FIND("/",Sync!$L1537)+1,20),FIND("/",MID(Sync!$L1537,FIND("/",Sync!$L1537)+1,20))-1))),2)&amp;"/"&amp;RIGHT("00"&amp;VALUE(TRIM(MID(MID(Sync!$L1537,FIND("/",Sync!$L1537)+1,20),FIND("/",MID(Sync!$L1537,FIND("/",Sync!$L1537)+1,20))+1,20))),2),"")))</f>
        <v/>
      </c>
    </row>
    <row r="1538">
      <c r="M1538">
        <f>IF(Sync!$M1538&lt;&gt;"پاس چک","",IF(Sync!$P1538="","",Sync!$P1538))</f>
        <v/>
      </c>
      <c r="N1538">
        <f>IF($M1538="","",IF(ISNUMBER(Sync!$L1538),IF(AND(Sync!$L1538&gt;=10000101,Sync!$L1538&lt;=99991231),RIGHT("0000"&amp;INT(Sync!$L1538/10000),4)&amp;"/"&amp;RIGHT("00"&amp;INT(MOD(Sync!$L1538,10000)/100),2)&amp;"/"&amp;RIGHT("00"&amp;MOD(Sync!$L1538,100),2),""),IFERROR(RIGHT("0000"&amp;VALUE(TRIM(LEFT(Sync!$L1538,FIND("/",Sync!$L1538)-1))),4)&amp;"/"&amp;RIGHT("00"&amp;VALUE(TRIM(LEFT(MID(Sync!$L1538,FIND("/",Sync!$L1538)+1,20),FIND("/",MID(Sync!$L1538,FIND("/",Sync!$L1538)+1,20))-1))),2)&amp;"/"&amp;RIGHT("00"&amp;VALUE(TRIM(MID(MID(Sync!$L1538,FIND("/",Sync!$L1538)+1,20),FIND("/",MID(Sync!$L1538,FIND("/",Sync!$L1538)+1,20))+1,20))),2),"")))</f>
        <v/>
      </c>
    </row>
    <row r="1539">
      <c r="M1539">
        <f>IF(Sync!$M1539&lt;&gt;"پاس چک","",IF(Sync!$P1539="","",Sync!$P1539))</f>
        <v/>
      </c>
      <c r="N1539">
        <f>IF($M1539="","",IF(ISNUMBER(Sync!$L1539),IF(AND(Sync!$L1539&gt;=10000101,Sync!$L1539&lt;=99991231),RIGHT("0000"&amp;INT(Sync!$L1539/10000),4)&amp;"/"&amp;RIGHT("00"&amp;INT(MOD(Sync!$L1539,10000)/100),2)&amp;"/"&amp;RIGHT("00"&amp;MOD(Sync!$L1539,100),2),""),IFERROR(RIGHT("0000"&amp;VALUE(TRIM(LEFT(Sync!$L1539,FIND("/",Sync!$L1539)-1))),4)&amp;"/"&amp;RIGHT("00"&amp;VALUE(TRIM(LEFT(MID(Sync!$L1539,FIND("/",Sync!$L1539)+1,20),FIND("/",MID(Sync!$L1539,FIND("/",Sync!$L1539)+1,20))-1))),2)&amp;"/"&amp;RIGHT("00"&amp;VALUE(TRIM(MID(MID(Sync!$L1539,FIND("/",Sync!$L1539)+1,20),FIND("/",MID(Sync!$L1539,FIND("/",Sync!$L1539)+1,20))+1,20))),2),"")))</f>
        <v/>
      </c>
    </row>
    <row r="1540">
      <c r="M1540">
        <f>IF(Sync!$M1540&lt;&gt;"پاس چک","",IF(Sync!$P1540="","",Sync!$P1540))</f>
        <v/>
      </c>
      <c r="N1540">
        <f>IF($M1540="","",IF(ISNUMBER(Sync!$L1540),IF(AND(Sync!$L1540&gt;=10000101,Sync!$L1540&lt;=99991231),RIGHT("0000"&amp;INT(Sync!$L1540/10000),4)&amp;"/"&amp;RIGHT("00"&amp;INT(MOD(Sync!$L1540,10000)/100),2)&amp;"/"&amp;RIGHT("00"&amp;MOD(Sync!$L1540,100),2),""),IFERROR(RIGHT("0000"&amp;VALUE(TRIM(LEFT(Sync!$L1540,FIND("/",Sync!$L1540)-1))),4)&amp;"/"&amp;RIGHT("00"&amp;VALUE(TRIM(LEFT(MID(Sync!$L1540,FIND("/",Sync!$L1540)+1,20),FIND("/",MID(Sync!$L1540,FIND("/",Sync!$L1540)+1,20))-1))),2)&amp;"/"&amp;RIGHT("00"&amp;VALUE(TRIM(MID(MID(Sync!$L1540,FIND("/",Sync!$L1540)+1,20),FIND("/",MID(Sync!$L1540,FIND("/",Sync!$L1540)+1,20))+1,20))),2),"")))</f>
        <v/>
      </c>
    </row>
    <row r="1541">
      <c r="M1541">
        <f>IF(Sync!$M1541&lt;&gt;"پاس چک","",IF(Sync!$P1541="","",Sync!$P1541))</f>
        <v/>
      </c>
      <c r="N1541">
        <f>IF($M1541="","",IF(ISNUMBER(Sync!$L1541),IF(AND(Sync!$L1541&gt;=10000101,Sync!$L1541&lt;=99991231),RIGHT("0000"&amp;INT(Sync!$L1541/10000),4)&amp;"/"&amp;RIGHT("00"&amp;INT(MOD(Sync!$L1541,10000)/100),2)&amp;"/"&amp;RIGHT("00"&amp;MOD(Sync!$L1541,100),2),""),IFERROR(RIGHT("0000"&amp;VALUE(TRIM(LEFT(Sync!$L1541,FIND("/",Sync!$L1541)-1))),4)&amp;"/"&amp;RIGHT("00"&amp;VALUE(TRIM(LEFT(MID(Sync!$L1541,FIND("/",Sync!$L1541)+1,20),FIND("/",MID(Sync!$L1541,FIND("/",Sync!$L1541)+1,20))-1))),2)&amp;"/"&amp;RIGHT("00"&amp;VALUE(TRIM(MID(MID(Sync!$L1541,FIND("/",Sync!$L1541)+1,20),FIND("/",MID(Sync!$L1541,FIND("/",Sync!$L1541)+1,20))+1,20))),2),"")))</f>
        <v/>
      </c>
    </row>
    <row r="1542">
      <c r="M1542">
        <f>IF(Sync!$M1542&lt;&gt;"پاس چک","",IF(Sync!$P1542="","",Sync!$P1542))</f>
        <v/>
      </c>
      <c r="N1542">
        <f>IF($M1542="","",IF(ISNUMBER(Sync!$L1542),IF(AND(Sync!$L1542&gt;=10000101,Sync!$L1542&lt;=99991231),RIGHT("0000"&amp;INT(Sync!$L1542/10000),4)&amp;"/"&amp;RIGHT("00"&amp;INT(MOD(Sync!$L1542,10000)/100),2)&amp;"/"&amp;RIGHT("00"&amp;MOD(Sync!$L1542,100),2),""),IFERROR(RIGHT("0000"&amp;VALUE(TRIM(LEFT(Sync!$L1542,FIND("/",Sync!$L1542)-1))),4)&amp;"/"&amp;RIGHT("00"&amp;VALUE(TRIM(LEFT(MID(Sync!$L1542,FIND("/",Sync!$L1542)+1,20),FIND("/",MID(Sync!$L1542,FIND("/",Sync!$L1542)+1,20))-1))),2)&amp;"/"&amp;RIGHT("00"&amp;VALUE(TRIM(MID(MID(Sync!$L1542,FIND("/",Sync!$L1542)+1,20),FIND("/",MID(Sync!$L1542,FIND("/",Sync!$L1542)+1,20))+1,20))),2),"")))</f>
        <v/>
      </c>
    </row>
    <row r="1543">
      <c r="M1543">
        <f>IF(Sync!$M1543&lt;&gt;"پاس چک","",IF(Sync!$P1543="","",Sync!$P1543))</f>
        <v/>
      </c>
      <c r="N1543">
        <f>IF($M1543="","",IF(ISNUMBER(Sync!$L1543),IF(AND(Sync!$L1543&gt;=10000101,Sync!$L1543&lt;=99991231),RIGHT("0000"&amp;INT(Sync!$L1543/10000),4)&amp;"/"&amp;RIGHT("00"&amp;INT(MOD(Sync!$L1543,10000)/100),2)&amp;"/"&amp;RIGHT("00"&amp;MOD(Sync!$L1543,100),2),""),IFERROR(RIGHT("0000"&amp;VALUE(TRIM(LEFT(Sync!$L1543,FIND("/",Sync!$L1543)-1))),4)&amp;"/"&amp;RIGHT("00"&amp;VALUE(TRIM(LEFT(MID(Sync!$L1543,FIND("/",Sync!$L1543)+1,20),FIND("/",MID(Sync!$L1543,FIND("/",Sync!$L1543)+1,20))-1))),2)&amp;"/"&amp;RIGHT("00"&amp;VALUE(TRIM(MID(MID(Sync!$L1543,FIND("/",Sync!$L1543)+1,20),FIND("/",MID(Sync!$L1543,FIND("/",Sync!$L1543)+1,20))+1,20))),2),"")))</f>
        <v/>
      </c>
    </row>
    <row r="1544">
      <c r="M1544">
        <f>IF(Sync!$M1544&lt;&gt;"پاس چک","",IF(Sync!$P1544="","",Sync!$P1544))</f>
        <v/>
      </c>
      <c r="N1544">
        <f>IF($M1544="","",IF(ISNUMBER(Sync!$L1544),IF(AND(Sync!$L1544&gt;=10000101,Sync!$L1544&lt;=99991231),RIGHT("0000"&amp;INT(Sync!$L1544/10000),4)&amp;"/"&amp;RIGHT("00"&amp;INT(MOD(Sync!$L1544,10000)/100),2)&amp;"/"&amp;RIGHT("00"&amp;MOD(Sync!$L1544,100),2),""),IFERROR(RIGHT("0000"&amp;VALUE(TRIM(LEFT(Sync!$L1544,FIND("/",Sync!$L1544)-1))),4)&amp;"/"&amp;RIGHT("00"&amp;VALUE(TRIM(LEFT(MID(Sync!$L1544,FIND("/",Sync!$L1544)+1,20),FIND("/",MID(Sync!$L1544,FIND("/",Sync!$L1544)+1,20))-1))),2)&amp;"/"&amp;RIGHT("00"&amp;VALUE(TRIM(MID(MID(Sync!$L1544,FIND("/",Sync!$L1544)+1,20),FIND("/",MID(Sync!$L1544,FIND("/",Sync!$L1544)+1,20))+1,20))),2),"")))</f>
        <v/>
      </c>
    </row>
    <row r="1545">
      <c r="M1545">
        <f>IF(Sync!$M1545&lt;&gt;"پاس چک","",IF(Sync!$P1545="","",Sync!$P1545))</f>
        <v/>
      </c>
      <c r="N1545">
        <f>IF($M1545="","",IF(ISNUMBER(Sync!$L1545),IF(AND(Sync!$L1545&gt;=10000101,Sync!$L1545&lt;=99991231),RIGHT("0000"&amp;INT(Sync!$L1545/10000),4)&amp;"/"&amp;RIGHT("00"&amp;INT(MOD(Sync!$L1545,10000)/100),2)&amp;"/"&amp;RIGHT("00"&amp;MOD(Sync!$L1545,100),2),""),IFERROR(RIGHT("0000"&amp;VALUE(TRIM(LEFT(Sync!$L1545,FIND("/",Sync!$L1545)-1))),4)&amp;"/"&amp;RIGHT("00"&amp;VALUE(TRIM(LEFT(MID(Sync!$L1545,FIND("/",Sync!$L1545)+1,20),FIND("/",MID(Sync!$L1545,FIND("/",Sync!$L1545)+1,20))-1))),2)&amp;"/"&amp;RIGHT("00"&amp;VALUE(TRIM(MID(MID(Sync!$L1545,FIND("/",Sync!$L1545)+1,20),FIND("/",MID(Sync!$L1545,FIND("/",Sync!$L1545)+1,20))+1,20))),2),"")))</f>
        <v/>
      </c>
    </row>
    <row r="1546">
      <c r="M1546">
        <f>IF(Sync!$M1546&lt;&gt;"پاس چک","",IF(Sync!$P1546="","",Sync!$P1546))</f>
        <v/>
      </c>
      <c r="N1546">
        <f>IF($M1546="","",IF(ISNUMBER(Sync!$L1546),IF(AND(Sync!$L1546&gt;=10000101,Sync!$L1546&lt;=99991231),RIGHT("0000"&amp;INT(Sync!$L1546/10000),4)&amp;"/"&amp;RIGHT("00"&amp;INT(MOD(Sync!$L1546,10000)/100),2)&amp;"/"&amp;RIGHT("00"&amp;MOD(Sync!$L1546,100),2),""),IFERROR(RIGHT("0000"&amp;VALUE(TRIM(LEFT(Sync!$L1546,FIND("/",Sync!$L1546)-1))),4)&amp;"/"&amp;RIGHT("00"&amp;VALUE(TRIM(LEFT(MID(Sync!$L1546,FIND("/",Sync!$L1546)+1,20),FIND("/",MID(Sync!$L1546,FIND("/",Sync!$L1546)+1,20))-1))),2)&amp;"/"&amp;RIGHT("00"&amp;VALUE(TRIM(MID(MID(Sync!$L1546,FIND("/",Sync!$L1546)+1,20),FIND("/",MID(Sync!$L1546,FIND("/",Sync!$L1546)+1,20))+1,20))),2),"")))</f>
        <v/>
      </c>
    </row>
    <row r="1547">
      <c r="M1547">
        <f>IF(Sync!$M1547&lt;&gt;"پاس چک","",IF(Sync!$P1547="","",Sync!$P1547))</f>
        <v/>
      </c>
      <c r="N1547">
        <f>IF($M1547="","",IF(ISNUMBER(Sync!$L1547),IF(AND(Sync!$L1547&gt;=10000101,Sync!$L1547&lt;=99991231),RIGHT("0000"&amp;INT(Sync!$L1547/10000),4)&amp;"/"&amp;RIGHT("00"&amp;INT(MOD(Sync!$L1547,10000)/100),2)&amp;"/"&amp;RIGHT("00"&amp;MOD(Sync!$L1547,100),2),""),IFERROR(RIGHT("0000"&amp;VALUE(TRIM(LEFT(Sync!$L1547,FIND("/",Sync!$L1547)-1))),4)&amp;"/"&amp;RIGHT("00"&amp;VALUE(TRIM(LEFT(MID(Sync!$L1547,FIND("/",Sync!$L1547)+1,20),FIND("/",MID(Sync!$L1547,FIND("/",Sync!$L1547)+1,20))-1))),2)&amp;"/"&amp;RIGHT("00"&amp;VALUE(TRIM(MID(MID(Sync!$L1547,FIND("/",Sync!$L1547)+1,20),FIND("/",MID(Sync!$L1547,FIND("/",Sync!$L1547)+1,20))+1,20))),2),"")))</f>
        <v/>
      </c>
    </row>
    <row r="1548">
      <c r="M1548">
        <f>IF(Sync!$M1548&lt;&gt;"پاس چک","",IF(Sync!$P1548="","",Sync!$P1548))</f>
        <v/>
      </c>
      <c r="N1548">
        <f>IF($M1548="","",IF(ISNUMBER(Sync!$L1548),IF(AND(Sync!$L1548&gt;=10000101,Sync!$L1548&lt;=99991231),RIGHT("0000"&amp;INT(Sync!$L1548/10000),4)&amp;"/"&amp;RIGHT("00"&amp;INT(MOD(Sync!$L1548,10000)/100),2)&amp;"/"&amp;RIGHT("00"&amp;MOD(Sync!$L1548,100),2),""),IFERROR(RIGHT("0000"&amp;VALUE(TRIM(LEFT(Sync!$L1548,FIND("/",Sync!$L1548)-1))),4)&amp;"/"&amp;RIGHT("00"&amp;VALUE(TRIM(LEFT(MID(Sync!$L1548,FIND("/",Sync!$L1548)+1,20),FIND("/",MID(Sync!$L1548,FIND("/",Sync!$L1548)+1,20))-1))),2)&amp;"/"&amp;RIGHT("00"&amp;VALUE(TRIM(MID(MID(Sync!$L1548,FIND("/",Sync!$L1548)+1,20),FIND("/",MID(Sync!$L1548,FIND("/",Sync!$L1548)+1,20))+1,20))),2),"")))</f>
        <v/>
      </c>
    </row>
    <row r="1549">
      <c r="M1549">
        <f>IF(Sync!$M1549&lt;&gt;"پاس چک","",IF(Sync!$P1549="","",Sync!$P1549))</f>
        <v/>
      </c>
      <c r="N1549">
        <f>IF($M1549="","",IF(ISNUMBER(Sync!$L1549),IF(AND(Sync!$L1549&gt;=10000101,Sync!$L1549&lt;=99991231),RIGHT("0000"&amp;INT(Sync!$L1549/10000),4)&amp;"/"&amp;RIGHT("00"&amp;INT(MOD(Sync!$L1549,10000)/100),2)&amp;"/"&amp;RIGHT("00"&amp;MOD(Sync!$L1549,100),2),""),IFERROR(RIGHT("0000"&amp;VALUE(TRIM(LEFT(Sync!$L1549,FIND("/",Sync!$L1549)-1))),4)&amp;"/"&amp;RIGHT("00"&amp;VALUE(TRIM(LEFT(MID(Sync!$L1549,FIND("/",Sync!$L1549)+1,20),FIND("/",MID(Sync!$L1549,FIND("/",Sync!$L1549)+1,20))-1))),2)&amp;"/"&amp;RIGHT("00"&amp;VALUE(TRIM(MID(MID(Sync!$L1549,FIND("/",Sync!$L1549)+1,20),FIND("/",MID(Sync!$L1549,FIND("/",Sync!$L1549)+1,20))+1,20))),2),"")))</f>
        <v/>
      </c>
    </row>
    <row r="1550">
      <c r="M1550">
        <f>IF(Sync!$M1550&lt;&gt;"پاس چک","",IF(Sync!$P1550="","",Sync!$P1550))</f>
        <v/>
      </c>
      <c r="N1550">
        <f>IF($M1550="","",IF(ISNUMBER(Sync!$L1550),IF(AND(Sync!$L1550&gt;=10000101,Sync!$L1550&lt;=99991231),RIGHT("0000"&amp;INT(Sync!$L1550/10000),4)&amp;"/"&amp;RIGHT("00"&amp;INT(MOD(Sync!$L1550,10000)/100),2)&amp;"/"&amp;RIGHT("00"&amp;MOD(Sync!$L1550,100),2),""),IFERROR(RIGHT("0000"&amp;VALUE(TRIM(LEFT(Sync!$L1550,FIND("/",Sync!$L1550)-1))),4)&amp;"/"&amp;RIGHT("00"&amp;VALUE(TRIM(LEFT(MID(Sync!$L1550,FIND("/",Sync!$L1550)+1,20),FIND("/",MID(Sync!$L1550,FIND("/",Sync!$L1550)+1,20))-1))),2)&amp;"/"&amp;RIGHT("00"&amp;VALUE(TRIM(MID(MID(Sync!$L1550,FIND("/",Sync!$L1550)+1,20),FIND("/",MID(Sync!$L1550,FIND("/",Sync!$L1550)+1,20))+1,20))),2),"")))</f>
        <v/>
      </c>
    </row>
    <row r="1551">
      <c r="M1551">
        <f>IF(Sync!$M1551&lt;&gt;"پاس چک","",IF(Sync!$P1551="","",Sync!$P1551))</f>
        <v/>
      </c>
      <c r="N1551">
        <f>IF($M1551="","",IF(ISNUMBER(Sync!$L1551),IF(AND(Sync!$L1551&gt;=10000101,Sync!$L1551&lt;=99991231),RIGHT("0000"&amp;INT(Sync!$L1551/10000),4)&amp;"/"&amp;RIGHT("00"&amp;INT(MOD(Sync!$L1551,10000)/100),2)&amp;"/"&amp;RIGHT("00"&amp;MOD(Sync!$L1551,100),2),""),IFERROR(RIGHT("0000"&amp;VALUE(TRIM(LEFT(Sync!$L1551,FIND("/",Sync!$L1551)-1))),4)&amp;"/"&amp;RIGHT("00"&amp;VALUE(TRIM(LEFT(MID(Sync!$L1551,FIND("/",Sync!$L1551)+1,20),FIND("/",MID(Sync!$L1551,FIND("/",Sync!$L1551)+1,20))-1))),2)&amp;"/"&amp;RIGHT("00"&amp;VALUE(TRIM(MID(MID(Sync!$L1551,FIND("/",Sync!$L1551)+1,20),FIND("/",MID(Sync!$L1551,FIND("/",Sync!$L1551)+1,20))+1,20))),2),"")))</f>
        <v/>
      </c>
    </row>
    <row r="1552">
      <c r="M1552">
        <f>IF(Sync!$M1552&lt;&gt;"پاس چک","",IF(Sync!$P1552="","",Sync!$P1552))</f>
        <v/>
      </c>
      <c r="N1552">
        <f>IF($M1552="","",IF(ISNUMBER(Sync!$L1552),IF(AND(Sync!$L1552&gt;=10000101,Sync!$L1552&lt;=99991231),RIGHT("0000"&amp;INT(Sync!$L1552/10000),4)&amp;"/"&amp;RIGHT("00"&amp;INT(MOD(Sync!$L1552,10000)/100),2)&amp;"/"&amp;RIGHT("00"&amp;MOD(Sync!$L1552,100),2),""),IFERROR(RIGHT("0000"&amp;VALUE(TRIM(LEFT(Sync!$L1552,FIND("/",Sync!$L1552)-1))),4)&amp;"/"&amp;RIGHT("00"&amp;VALUE(TRIM(LEFT(MID(Sync!$L1552,FIND("/",Sync!$L1552)+1,20),FIND("/",MID(Sync!$L1552,FIND("/",Sync!$L1552)+1,20))-1))),2)&amp;"/"&amp;RIGHT("00"&amp;VALUE(TRIM(MID(MID(Sync!$L1552,FIND("/",Sync!$L1552)+1,20),FIND("/",MID(Sync!$L1552,FIND("/",Sync!$L1552)+1,20))+1,20))),2),"")))</f>
        <v/>
      </c>
    </row>
    <row r="1553">
      <c r="M1553">
        <f>IF(Sync!$M1553&lt;&gt;"پاس چک","",IF(Sync!$P1553="","",Sync!$P1553))</f>
        <v/>
      </c>
      <c r="N1553">
        <f>IF($M1553="","",IF(ISNUMBER(Sync!$L1553),IF(AND(Sync!$L1553&gt;=10000101,Sync!$L1553&lt;=99991231),RIGHT("0000"&amp;INT(Sync!$L1553/10000),4)&amp;"/"&amp;RIGHT("00"&amp;INT(MOD(Sync!$L1553,10000)/100),2)&amp;"/"&amp;RIGHT("00"&amp;MOD(Sync!$L1553,100),2),""),IFERROR(RIGHT("0000"&amp;VALUE(TRIM(LEFT(Sync!$L1553,FIND("/",Sync!$L1553)-1))),4)&amp;"/"&amp;RIGHT("00"&amp;VALUE(TRIM(LEFT(MID(Sync!$L1553,FIND("/",Sync!$L1553)+1,20),FIND("/",MID(Sync!$L1553,FIND("/",Sync!$L1553)+1,20))-1))),2)&amp;"/"&amp;RIGHT("00"&amp;VALUE(TRIM(MID(MID(Sync!$L1553,FIND("/",Sync!$L1553)+1,20),FIND("/",MID(Sync!$L1553,FIND("/",Sync!$L1553)+1,20))+1,20))),2),"")))</f>
        <v/>
      </c>
    </row>
    <row r="1554">
      <c r="M1554">
        <f>IF(Sync!$M1554&lt;&gt;"پاس چک","",IF(Sync!$P1554="","",Sync!$P1554))</f>
        <v/>
      </c>
      <c r="N1554">
        <f>IF($M1554="","",IF(ISNUMBER(Sync!$L1554),IF(AND(Sync!$L1554&gt;=10000101,Sync!$L1554&lt;=99991231),RIGHT("0000"&amp;INT(Sync!$L1554/10000),4)&amp;"/"&amp;RIGHT("00"&amp;INT(MOD(Sync!$L1554,10000)/100),2)&amp;"/"&amp;RIGHT("00"&amp;MOD(Sync!$L1554,100),2),""),IFERROR(RIGHT("0000"&amp;VALUE(TRIM(LEFT(Sync!$L1554,FIND("/",Sync!$L1554)-1))),4)&amp;"/"&amp;RIGHT("00"&amp;VALUE(TRIM(LEFT(MID(Sync!$L1554,FIND("/",Sync!$L1554)+1,20),FIND("/",MID(Sync!$L1554,FIND("/",Sync!$L1554)+1,20))-1))),2)&amp;"/"&amp;RIGHT("00"&amp;VALUE(TRIM(MID(MID(Sync!$L1554,FIND("/",Sync!$L1554)+1,20),FIND("/",MID(Sync!$L1554,FIND("/",Sync!$L1554)+1,20))+1,20))),2),"")))</f>
        <v/>
      </c>
    </row>
    <row r="1555">
      <c r="M1555">
        <f>IF(Sync!$M1555&lt;&gt;"پاس چک","",IF(Sync!$P1555="","",Sync!$P1555))</f>
        <v/>
      </c>
      <c r="N1555">
        <f>IF($M1555="","",IF(ISNUMBER(Sync!$L1555),IF(AND(Sync!$L1555&gt;=10000101,Sync!$L1555&lt;=99991231),RIGHT("0000"&amp;INT(Sync!$L1555/10000),4)&amp;"/"&amp;RIGHT("00"&amp;INT(MOD(Sync!$L1555,10000)/100),2)&amp;"/"&amp;RIGHT("00"&amp;MOD(Sync!$L1555,100),2),""),IFERROR(RIGHT("0000"&amp;VALUE(TRIM(LEFT(Sync!$L1555,FIND("/",Sync!$L1555)-1))),4)&amp;"/"&amp;RIGHT("00"&amp;VALUE(TRIM(LEFT(MID(Sync!$L1555,FIND("/",Sync!$L1555)+1,20),FIND("/",MID(Sync!$L1555,FIND("/",Sync!$L1555)+1,20))-1))),2)&amp;"/"&amp;RIGHT("00"&amp;VALUE(TRIM(MID(MID(Sync!$L1555,FIND("/",Sync!$L1555)+1,20),FIND("/",MID(Sync!$L1555,FIND("/",Sync!$L1555)+1,20))+1,20))),2),"")))</f>
        <v/>
      </c>
    </row>
    <row r="1556">
      <c r="M1556">
        <f>IF(Sync!$M1556&lt;&gt;"پاس چک","",IF(Sync!$P1556="","",Sync!$P1556))</f>
        <v/>
      </c>
      <c r="N1556">
        <f>IF($M1556="","",IF(ISNUMBER(Sync!$L1556),IF(AND(Sync!$L1556&gt;=10000101,Sync!$L1556&lt;=99991231),RIGHT("0000"&amp;INT(Sync!$L1556/10000),4)&amp;"/"&amp;RIGHT("00"&amp;INT(MOD(Sync!$L1556,10000)/100),2)&amp;"/"&amp;RIGHT("00"&amp;MOD(Sync!$L1556,100),2),""),IFERROR(RIGHT("0000"&amp;VALUE(TRIM(LEFT(Sync!$L1556,FIND("/",Sync!$L1556)-1))),4)&amp;"/"&amp;RIGHT("00"&amp;VALUE(TRIM(LEFT(MID(Sync!$L1556,FIND("/",Sync!$L1556)+1,20),FIND("/",MID(Sync!$L1556,FIND("/",Sync!$L1556)+1,20))-1))),2)&amp;"/"&amp;RIGHT("00"&amp;VALUE(TRIM(MID(MID(Sync!$L1556,FIND("/",Sync!$L1556)+1,20),FIND("/",MID(Sync!$L1556,FIND("/",Sync!$L1556)+1,20))+1,20))),2),"")))</f>
        <v/>
      </c>
    </row>
    <row r="1557">
      <c r="M1557">
        <f>IF(Sync!$M1557&lt;&gt;"پاس چک","",IF(Sync!$P1557="","",Sync!$P1557))</f>
        <v/>
      </c>
      <c r="N1557">
        <f>IF($M1557="","",IF(ISNUMBER(Sync!$L1557),IF(AND(Sync!$L1557&gt;=10000101,Sync!$L1557&lt;=99991231),RIGHT("0000"&amp;INT(Sync!$L1557/10000),4)&amp;"/"&amp;RIGHT("00"&amp;INT(MOD(Sync!$L1557,10000)/100),2)&amp;"/"&amp;RIGHT("00"&amp;MOD(Sync!$L1557,100),2),""),IFERROR(RIGHT("0000"&amp;VALUE(TRIM(LEFT(Sync!$L1557,FIND("/",Sync!$L1557)-1))),4)&amp;"/"&amp;RIGHT("00"&amp;VALUE(TRIM(LEFT(MID(Sync!$L1557,FIND("/",Sync!$L1557)+1,20),FIND("/",MID(Sync!$L1557,FIND("/",Sync!$L1557)+1,20))-1))),2)&amp;"/"&amp;RIGHT("00"&amp;VALUE(TRIM(MID(MID(Sync!$L1557,FIND("/",Sync!$L1557)+1,20),FIND("/",MID(Sync!$L1557,FIND("/",Sync!$L1557)+1,20))+1,20))),2),"")))</f>
        <v/>
      </c>
    </row>
    <row r="1558">
      <c r="M1558">
        <f>IF(Sync!$M1558&lt;&gt;"پاس چک","",IF(Sync!$P1558="","",Sync!$P1558))</f>
        <v/>
      </c>
      <c r="N1558">
        <f>IF($M1558="","",IF(ISNUMBER(Sync!$L1558),IF(AND(Sync!$L1558&gt;=10000101,Sync!$L1558&lt;=99991231),RIGHT("0000"&amp;INT(Sync!$L1558/10000),4)&amp;"/"&amp;RIGHT("00"&amp;INT(MOD(Sync!$L1558,10000)/100),2)&amp;"/"&amp;RIGHT("00"&amp;MOD(Sync!$L1558,100),2),""),IFERROR(RIGHT("0000"&amp;VALUE(TRIM(LEFT(Sync!$L1558,FIND("/",Sync!$L1558)-1))),4)&amp;"/"&amp;RIGHT("00"&amp;VALUE(TRIM(LEFT(MID(Sync!$L1558,FIND("/",Sync!$L1558)+1,20),FIND("/",MID(Sync!$L1558,FIND("/",Sync!$L1558)+1,20))-1))),2)&amp;"/"&amp;RIGHT("00"&amp;VALUE(TRIM(MID(MID(Sync!$L1558,FIND("/",Sync!$L1558)+1,20),FIND("/",MID(Sync!$L1558,FIND("/",Sync!$L1558)+1,20))+1,20))),2),"")))</f>
        <v/>
      </c>
    </row>
    <row r="1559">
      <c r="M1559">
        <f>IF(Sync!$M1559&lt;&gt;"پاس چک","",IF(Sync!$P1559="","",Sync!$P1559))</f>
        <v/>
      </c>
      <c r="N1559">
        <f>IF($M1559="","",IF(ISNUMBER(Sync!$L1559),IF(AND(Sync!$L1559&gt;=10000101,Sync!$L1559&lt;=99991231),RIGHT("0000"&amp;INT(Sync!$L1559/10000),4)&amp;"/"&amp;RIGHT("00"&amp;INT(MOD(Sync!$L1559,10000)/100),2)&amp;"/"&amp;RIGHT("00"&amp;MOD(Sync!$L1559,100),2),""),IFERROR(RIGHT("0000"&amp;VALUE(TRIM(LEFT(Sync!$L1559,FIND("/",Sync!$L1559)-1))),4)&amp;"/"&amp;RIGHT("00"&amp;VALUE(TRIM(LEFT(MID(Sync!$L1559,FIND("/",Sync!$L1559)+1,20),FIND("/",MID(Sync!$L1559,FIND("/",Sync!$L1559)+1,20))-1))),2)&amp;"/"&amp;RIGHT("00"&amp;VALUE(TRIM(MID(MID(Sync!$L1559,FIND("/",Sync!$L1559)+1,20),FIND("/",MID(Sync!$L1559,FIND("/",Sync!$L1559)+1,20))+1,20))),2),"")))</f>
        <v/>
      </c>
    </row>
    <row r="1560">
      <c r="M1560">
        <f>IF(Sync!$M1560&lt;&gt;"پاس چک","",IF(Sync!$P1560="","",Sync!$P1560))</f>
        <v/>
      </c>
      <c r="N1560">
        <f>IF($M1560="","",IF(ISNUMBER(Sync!$L1560),IF(AND(Sync!$L1560&gt;=10000101,Sync!$L1560&lt;=99991231),RIGHT("0000"&amp;INT(Sync!$L1560/10000),4)&amp;"/"&amp;RIGHT("00"&amp;INT(MOD(Sync!$L1560,10000)/100),2)&amp;"/"&amp;RIGHT("00"&amp;MOD(Sync!$L1560,100),2),""),IFERROR(RIGHT("0000"&amp;VALUE(TRIM(LEFT(Sync!$L1560,FIND("/",Sync!$L1560)-1))),4)&amp;"/"&amp;RIGHT("00"&amp;VALUE(TRIM(LEFT(MID(Sync!$L1560,FIND("/",Sync!$L1560)+1,20),FIND("/",MID(Sync!$L1560,FIND("/",Sync!$L1560)+1,20))-1))),2)&amp;"/"&amp;RIGHT("00"&amp;VALUE(TRIM(MID(MID(Sync!$L1560,FIND("/",Sync!$L1560)+1,20),FIND("/",MID(Sync!$L1560,FIND("/",Sync!$L1560)+1,20))+1,20))),2),"")))</f>
        <v/>
      </c>
    </row>
    <row r="1561">
      <c r="M1561">
        <f>IF(Sync!$M1561&lt;&gt;"پاس چک","",IF(Sync!$P1561="","",Sync!$P1561))</f>
        <v/>
      </c>
      <c r="N1561">
        <f>IF($M1561="","",IF(ISNUMBER(Sync!$L1561),IF(AND(Sync!$L1561&gt;=10000101,Sync!$L1561&lt;=99991231),RIGHT("0000"&amp;INT(Sync!$L1561/10000),4)&amp;"/"&amp;RIGHT("00"&amp;INT(MOD(Sync!$L1561,10000)/100),2)&amp;"/"&amp;RIGHT("00"&amp;MOD(Sync!$L1561,100),2),""),IFERROR(RIGHT("0000"&amp;VALUE(TRIM(LEFT(Sync!$L1561,FIND("/",Sync!$L1561)-1))),4)&amp;"/"&amp;RIGHT("00"&amp;VALUE(TRIM(LEFT(MID(Sync!$L1561,FIND("/",Sync!$L1561)+1,20),FIND("/",MID(Sync!$L1561,FIND("/",Sync!$L1561)+1,20))-1))),2)&amp;"/"&amp;RIGHT("00"&amp;VALUE(TRIM(MID(MID(Sync!$L1561,FIND("/",Sync!$L1561)+1,20),FIND("/",MID(Sync!$L1561,FIND("/",Sync!$L1561)+1,20))+1,20))),2),"")))</f>
        <v/>
      </c>
    </row>
    <row r="1562">
      <c r="M1562">
        <f>IF(Sync!$M1562&lt;&gt;"پاس چک","",IF(Sync!$P1562="","",Sync!$P1562))</f>
        <v/>
      </c>
      <c r="N1562">
        <f>IF($M1562="","",IF(ISNUMBER(Sync!$L1562),IF(AND(Sync!$L1562&gt;=10000101,Sync!$L1562&lt;=99991231),RIGHT("0000"&amp;INT(Sync!$L1562/10000),4)&amp;"/"&amp;RIGHT("00"&amp;INT(MOD(Sync!$L1562,10000)/100),2)&amp;"/"&amp;RIGHT("00"&amp;MOD(Sync!$L1562,100),2),""),IFERROR(RIGHT("0000"&amp;VALUE(TRIM(LEFT(Sync!$L1562,FIND("/",Sync!$L1562)-1))),4)&amp;"/"&amp;RIGHT("00"&amp;VALUE(TRIM(LEFT(MID(Sync!$L1562,FIND("/",Sync!$L1562)+1,20),FIND("/",MID(Sync!$L1562,FIND("/",Sync!$L1562)+1,20))-1))),2)&amp;"/"&amp;RIGHT("00"&amp;VALUE(TRIM(MID(MID(Sync!$L1562,FIND("/",Sync!$L1562)+1,20),FIND("/",MID(Sync!$L1562,FIND("/",Sync!$L1562)+1,20))+1,20))),2),"")))</f>
        <v/>
      </c>
    </row>
    <row r="1563">
      <c r="M1563">
        <f>IF(Sync!$M1563&lt;&gt;"پاس چک","",IF(Sync!$P1563="","",Sync!$P1563))</f>
        <v/>
      </c>
      <c r="N1563">
        <f>IF($M1563="","",IF(ISNUMBER(Sync!$L1563),IF(AND(Sync!$L1563&gt;=10000101,Sync!$L1563&lt;=99991231),RIGHT("0000"&amp;INT(Sync!$L1563/10000),4)&amp;"/"&amp;RIGHT("00"&amp;INT(MOD(Sync!$L1563,10000)/100),2)&amp;"/"&amp;RIGHT("00"&amp;MOD(Sync!$L1563,100),2),""),IFERROR(RIGHT("0000"&amp;VALUE(TRIM(LEFT(Sync!$L1563,FIND("/",Sync!$L1563)-1))),4)&amp;"/"&amp;RIGHT("00"&amp;VALUE(TRIM(LEFT(MID(Sync!$L1563,FIND("/",Sync!$L1563)+1,20),FIND("/",MID(Sync!$L1563,FIND("/",Sync!$L1563)+1,20))-1))),2)&amp;"/"&amp;RIGHT("00"&amp;VALUE(TRIM(MID(MID(Sync!$L1563,FIND("/",Sync!$L1563)+1,20),FIND("/",MID(Sync!$L1563,FIND("/",Sync!$L1563)+1,20))+1,20))),2),"")))</f>
        <v/>
      </c>
    </row>
    <row r="1564">
      <c r="M1564">
        <f>IF(Sync!$M1564&lt;&gt;"پاس چک","",IF(Sync!$P1564="","",Sync!$P1564))</f>
        <v/>
      </c>
      <c r="N1564">
        <f>IF($M1564="","",IF(ISNUMBER(Sync!$L1564),IF(AND(Sync!$L1564&gt;=10000101,Sync!$L1564&lt;=99991231),RIGHT("0000"&amp;INT(Sync!$L1564/10000),4)&amp;"/"&amp;RIGHT("00"&amp;INT(MOD(Sync!$L1564,10000)/100),2)&amp;"/"&amp;RIGHT("00"&amp;MOD(Sync!$L1564,100),2),""),IFERROR(RIGHT("0000"&amp;VALUE(TRIM(LEFT(Sync!$L1564,FIND("/",Sync!$L1564)-1))),4)&amp;"/"&amp;RIGHT("00"&amp;VALUE(TRIM(LEFT(MID(Sync!$L1564,FIND("/",Sync!$L1564)+1,20),FIND("/",MID(Sync!$L1564,FIND("/",Sync!$L1564)+1,20))-1))),2)&amp;"/"&amp;RIGHT("00"&amp;VALUE(TRIM(MID(MID(Sync!$L1564,FIND("/",Sync!$L1564)+1,20),FIND("/",MID(Sync!$L1564,FIND("/",Sync!$L1564)+1,20))+1,20))),2),"")))</f>
        <v/>
      </c>
    </row>
    <row r="1565">
      <c r="M1565">
        <f>IF(Sync!$M1565&lt;&gt;"پاس چک","",IF(Sync!$P1565="","",Sync!$P1565))</f>
        <v/>
      </c>
      <c r="N1565">
        <f>IF($M1565="","",IF(ISNUMBER(Sync!$L1565),IF(AND(Sync!$L1565&gt;=10000101,Sync!$L1565&lt;=99991231),RIGHT("0000"&amp;INT(Sync!$L1565/10000),4)&amp;"/"&amp;RIGHT("00"&amp;INT(MOD(Sync!$L1565,10000)/100),2)&amp;"/"&amp;RIGHT("00"&amp;MOD(Sync!$L1565,100),2),""),IFERROR(RIGHT("0000"&amp;VALUE(TRIM(LEFT(Sync!$L1565,FIND("/",Sync!$L1565)-1))),4)&amp;"/"&amp;RIGHT("00"&amp;VALUE(TRIM(LEFT(MID(Sync!$L1565,FIND("/",Sync!$L1565)+1,20),FIND("/",MID(Sync!$L1565,FIND("/",Sync!$L1565)+1,20))-1))),2)&amp;"/"&amp;RIGHT("00"&amp;VALUE(TRIM(MID(MID(Sync!$L1565,FIND("/",Sync!$L1565)+1,20),FIND("/",MID(Sync!$L1565,FIND("/",Sync!$L1565)+1,20))+1,20))),2),"")))</f>
        <v/>
      </c>
    </row>
    <row r="1566">
      <c r="M1566">
        <f>IF(Sync!$M1566&lt;&gt;"پاس چک","",IF(Sync!$P1566="","",Sync!$P1566))</f>
        <v/>
      </c>
      <c r="N1566">
        <f>IF($M1566="","",IF(ISNUMBER(Sync!$L1566),IF(AND(Sync!$L1566&gt;=10000101,Sync!$L1566&lt;=99991231),RIGHT("0000"&amp;INT(Sync!$L1566/10000),4)&amp;"/"&amp;RIGHT("00"&amp;INT(MOD(Sync!$L1566,10000)/100),2)&amp;"/"&amp;RIGHT("00"&amp;MOD(Sync!$L1566,100),2),""),IFERROR(RIGHT("0000"&amp;VALUE(TRIM(LEFT(Sync!$L1566,FIND("/",Sync!$L1566)-1))),4)&amp;"/"&amp;RIGHT("00"&amp;VALUE(TRIM(LEFT(MID(Sync!$L1566,FIND("/",Sync!$L1566)+1,20),FIND("/",MID(Sync!$L1566,FIND("/",Sync!$L1566)+1,20))-1))),2)&amp;"/"&amp;RIGHT("00"&amp;VALUE(TRIM(MID(MID(Sync!$L1566,FIND("/",Sync!$L1566)+1,20),FIND("/",MID(Sync!$L1566,FIND("/",Sync!$L1566)+1,20))+1,20))),2),"")))</f>
        <v/>
      </c>
    </row>
    <row r="1567">
      <c r="M1567">
        <f>IF(Sync!$M1567&lt;&gt;"پاس چک","",IF(Sync!$P1567="","",Sync!$P1567))</f>
        <v/>
      </c>
      <c r="N1567">
        <f>IF($M1567="","",IF(ISNUMBER(Sync!$L1567),IF(AND(Sync!$L1567&gt;=10000101,Sync!$L1567&lt;=99991231),RIGHT("0000"&amp;INT(Sync!$L1567/10000),4)&amp;"/"&amp;RIGHT("00"&amp;INT(MOD(Sync!$L1567,10000)/100),2)&amp;"/"&amp;RIGHT("00"&amp;MOD(Sync!$L1567,100),2),""),IFERROR(RIGHT("0000"&amp;VALUE(TRIM(LEFT(Sync!$L1567,FIND("/",Sync!$L1567)-1))),4)&amp;"/"&amp;RIGHT("00"&amp;VALUE(TRIM(LEFT(MID(Sync!$L1567,FIND("/",Sync!$L1567)+1,20),FIND("/",MID(Sync!$L1567,FIND("/",Sync!$L1567)+1,20))-1))),2)&amp;"/"&amp;RIGHT("00"&amp;VALUE(TRIM(MID(MID(Sync!$L1567,FIND("/",Sync!$L1567)+1,20),FIND("/",MID(Sync!$L1567,FIND("/",Sync!$L1567)+1,20))+1,20))),2),"")))</f>
        <v/>
      </c>
    </row>
    <row r="1568">
      <c r="M1568">
        <f>IF(Sync!$M1568&lt;&gt;"پاس چک","",IF(Sync!$P1568="","",Sync!$P1568))</f>
        <v/>
      </c>
      <c r="N1568">
        <f>IF($M1568="","",IF(ISNUMBER(Sync!$L1568),IF(AND(Sync!$L1568&gt;=10000101,Sync!$L1568&lt;=99991231),RIGHT("0000"&amp;INT(Sync!$L1568/10000),4)&amp;"/"&amp;RIGHT("00"&amp;INT(MOD(Sync!$L1568,10000)/100),2)&amp;"/"&amp;RIGHT("00"&amp;MOD(Sync!$L1568,100),2),""),IFERROR(RIGHT("0000"&amp;VALUE(TRIM(LEFT(Sync!$L1568,FIND("/",Sync!$L1568)-1))),4)&amp;"/"&amp;RIGHT("00"&amp;VALUE(TRIM(LEFT(MID(Sync!$L1568,FIND("/",Sync!$L1568)+1,20),FIND("/",MID(Sync!$L1568,FIND("/",Sync!$L1568)+1,20))-1))),2)&amp;"/"&amp;RIGHT("00"&amp;VALUE(TRIM(MID(MID(Sync!$L1568,FIND("/",Sync!$L1568)+1,20),FIND("/",MID(Sync!$L1568,FIND("/",Sync!$L1568)+1,20))+1,20))),2),"")))</f>
        <v/>
      </c>
    </row>
    <row r="1569">
      <c r="M1569">
        <f>IF(Sync!$M1569&lt;&gt;"پاس چک","",IF(Sync!$P1569="","",Sync!$P1569))</f>
        <v/>
      </c>
      <c r="N1569">
        <f>IF($M1569="","",IF(ISNUMBER(Sync!$L1569),IF(AND(Sync!$L1569&gt;=10000101,Sync!$L1569&lt;=99991231),RIGHT("0000"&amp;INT(Sync!$L1569/10000),4)&amp;"/"&amp;RIGHT("00"&amp;INT(MOD(Sync!$L1569,10000)/100),2)&amp;"/"&amp;RIGHT("00"&amp;MOD(Sync!$L1569,100),2),""),IFERROR(RIGHT("0000"&amp;VALUE(TRIM(LEFT(Sync!$L1569,FIND("/",Sync!$L1569)-1))),4)&amp;"/"&amp;RIGHT("00"&amp;VALUE(TRIM(LEFT(MID(Sync!$L1569,FIND("/",Sync!$L1569)+1,20),FIND("/",MID(Sync!$L1569,FIND("/",Sync!$L1569)+1,20))-1))),2)&amp;"/"&amp;RIGHT("00"&amp;VALUE(TRIM(MID(MID(Sync!$L1569,FIND("/",Sync!$L1569)+1,20),FIND("/",MID(Sync!$L1569,FIND("/",Sync!$L1569)+1,20))+1,20))),2),"")))</f>
        <v/>
      </c>
    </row>
    <row r="1570">
      <c r="M1570">
        <f>IF(Sync!$M1570&lt;&gt;"پاس چک","",IF(Sync!$P1570="","",Sync!$P1570))</f>
        <v/>
      </c>
      <c r="N1570">
        <f>IF($M1570="","",IF(ISNUMBER(Sync!$L1570),IF(AND(Sync!$L1570&gt;=10000101,Sync!$L1570&lt;=99991231),RIGHT("0000"&amp;INT(Sync!$L1570/10000),4)&amp;"/"&amp;RIGHT("00"&amp;INT(MOD(Sync!$L1570,10000)/100),2)&amp;"/"&amp;RIGHT("00"&amp;MOD(Sync!$L1570,100),2),""),IFERROR(RIGHT("0000"&amp;VALUE(TRIM(LEFT(Sync!$L1570,FIND("/",Sync!$L1570)-1))),4)&amp;"/"&amp;RIGHT("00"&amp;VALUE(TRIM(LEFT(MID(Sync!$L1570,FIND("/",Sync!$L1570)+1,20),FIND("/",MID(Sync!$L1570,FIND("/",Sync!$L1570)+1,20))-1))),2)&amp;"/"&amp;RIGHT("00"&amp;VALUE(TRIM(MID(MID(Sync!$L1570,FIND("/",Sync!$L1570)+1,20),FIND("/",MID(Sync!$L1570,FIND("/",Sync!$L1570)+1,20))+1,20))),2),"")))</f>
        <v/>
      </c>
    </row>
    <row r="1571">
      <c r="M1571">
        <f>IF(Sync!$M1571&lt;&gt;"پاس چک","",IF(Sync!$P1571="","",Sync!$P1571))</f>
        <v/>
      </c>
      <c r="N1571">
        <f>IF($M1571="","",IF(ISNUMBER(Sync!$L1571),IF(AND(Sync!$L1571&gt;=10000101,Sync!$L1571&lt;=99991231),RIGHT("0000"&amp;INT(Sync!$L1571/10000),4)&amp;"/"&amp;RIGHT("00"&amp;INT(MOD(Sync!$L1571,10000)/100),2)&amp;"/"&amp;RIGHT("00"&amp;MOD(Sync!$L1571,100),2),""),IFERROR(RIGHT("0000"&amp;VALUE(TRIM(LEFT(Sync!$L1571,FIND("/",Sync!$L1571)-1))),4)&amp;"/"&amp;RIGHT("00"&amp;VALUE(TRIM(LEFT(MID(Sync!$L1571,FIND("/",Sync!$L1571)+1,20),FIND("/",MID(Sync!$L1571,FIND("/",Sync!$L1571)+1,20))-1))),2)&amp;"/"&amp;RIGHT("00"&amp;VALUE(TRIM(MID(MID(Sync!$L1571,FIND("/",Sync!$L1571)+1,20),FIND("/",MID(Sync!$L1571,FIND("/",Sync!$L1571)+1,20))+1,20))),2),"")))</f>
        <v/>
      </c>
    </row>
    <row r="1572">
      <c r="M1572">
        <f>IF(Sync!$M1572&lt;&gt;"پاس چک","",IF(Sync!$P1572="","",Sync!$P1572))</f>
        <v/>
      </c>
      <c r="N1572">
        <f>IF($M1572="","",IF(ISNUMBER(Sync!$L1572),IF(AND(Sync!$L1572&gt;=10000101,Sync!$L1572&lt;=99991231),RIGHT("0000"&amp;INT(Sync!$L1572/10000),4)&amp;"/"&amp;RIGHT("00"&amp;INT(MOD(Sync!$L1572,10000)/100),2)&amp;"/"&amp;RIGHT("00"&amp;MOD(Sync!$L1572,100),2),""),IFERROR(RIGHT("0000"&amp;VALUE(TRIM(LEFT(Sync!$L1572,FIND("/",Sync!$L1572)-1))),4)&amp;"/"&amp;RIGHT("00"&amp;VALUE(TRIM(LEFT(MID(Sync!$L1572,FIND("/",Sync!$L1572)+1,20),FIND("/",MID(Sync!$L1572,FIND("/",Sync!$L1572)+1,20))-1))),2)&amp;"/"&amp;RIGHT("00"&amp;VALUE(TRIM(MID(MID(Sync!$L1572,FIND("/",Sync!$L1572)+1,20),FIND("/",MID(Sync!$L1572,FIND("/",Sync!$L1572)+1,20))+1,20))),2),"")))</f>
        <v/>
      </c>
    </row>
    <row r="1573">
      <c r="M1573">
        <f>IF(Sync!$M1573&lt;&gt;"پاس چک","",IF(Sync!$P1573="","",Sync!$P1573))</f>
        <v/>
      </c>
      <c r="N1573">
        <f>IF($M1573="","",IF(ISNUMBER(Sync!$L1573),IF(AND(Sync!$L1573&gt;=10000101,Sync!$L1573&lt;=99991231),RIGHT("0000"&amp;INT(Sync!$L1573/10000),4)&amp;"/"&amp;RIGHT("00"&amp;INT(MOD(Sync!$L1573,10000)/100),2)&amp;"/"&amp;RIGHT("00"&amp;MOD(Sync!$L1573,100),2),""),IFERROR(RIGHT("0000"&amp;VALUE(TRIM(LEFT(Sync!$L1573,FIND("/",Sync!$L1573)-1))),4)&amp;"/"&amp;RIGHT("00"&amp;VALUE(TRIM(LEFT(MID(Sync!$L1573,FIND("/",Sync!$L1573)+1,20),FIND("/",MID(Sync!$L1573,FIND("/",Sync!$L1573)+1,20))-1))),2)&amp;"/"&amp;RIGHT("00"&amp;VALUE(TRIM(MID(MID(Sync!$L1573,FIND("/",Sync!$L1573)+1,20),FIND("/",MID(Sync!$L1573,FIND("/",Sync!$L1573)+1,20))+1,20))),2),"")))</f>
        <v/>
      </c>
    </row>
    <row r="1574">
      <c r="M1574">
        <f>IF(Sync!$M1574&lt;&gt;"پاس چک","",IF(Sync!$P1574="","",Sync!$P1574))</f>
        <v/>
      </c>
      <c r="N1574">
        <f>IF($M1574="","",IF(ISNUMBER(Sync!$L1574),IF(AND(Sync!$L1574&gt;=10000101,Sync!$L1574&lt;=99991231),RIGHT("0000"&amp;INT(Sync!$L1574/10000),4)&amp;"/"&amp;RIGHT("00"&amp;INT(MOD(Sync!$L1574,10000)/100),2)&amp;"/"&amp;RIGHT("00"&amp;MOD(Sync!$L1574,100),2),""),IFERROR(RIGHT("0000"&amp;VALUE(TRIM(LEFT(Sync!$L1574,FIND("/",Sync!$L1574)-1))),4)&amp;"/"&amp;RIGHT("00"&amp;VALUE(TRIM(LEFT(MID(Sync!$L1574,FIND("/",Sync!$L1574)+1,20),FIND("/",MID(Sync!$L1574,FIND("/",Sync!$L1574)+1,20))-1))),2)&amp;"/"&amp;RIGHT("00"&amp;VALUE(TRIM(MID(MID(Sync!$L1574,FIND("/",Sync!$L1574)+1,20),FIND("/",MID(Sync!$L1574,FIND("/",Sync!$L1574)+1,20))+1,20))),2),"")))</f>
        <v/>
      </c>
    </row>
    <row r="1575">
      <c r="M1575">
        <f>IF(Sync!$M1575&lt;&gt;"پاس چک","",IF(Sync!$P1575="","",Sync!$P1575))</f>
        <v/>
      </c>
      <c r="N1575">
        <f>IF($M1575="","",IF(ISNUMBER(Sync!$L1575),IF(AND(Sync!$L1575&gt;=10000101,Sync!$L1575&lt;=99991231),RIGHT("0000"&amp;INT(Sync!$L1575/10000),4)&amp;"/"&amp;RIGHT("00"&amp;INT(MOD(Sync!$L1575,10000)/100),2)&amp;"/"&amp;RIGHT("00"&amp;MOD(Sync!$L1575,100),2),""),IFERROR(RIGHT("0000"&amp;VALUE(TRIM(LEFT(Sync!$L1575,FIND("/",Sync!$L1575)-1))),4)&amp;"/"&amp;RIGHT("00"&amp;VALUE(TRIM(LEFT(MID(Sync!$L1575,FIND("/",Sync!$L1575)+1,20),FIND("/",MID(Sync!$L1575,FIND("/",Sync!$L1575)+1,20))-1))),2)&amp;"/"&amp;RIGHT("00"&amp;VALUE(TRIM(MID(MID(Sync!$L1575,FIND("/",Sync!$L1575)+1,20),FIND("/",MID(Sync!$L1575,FIND("/",Sync!$L1575)+1,20))+1,20))),2),"")))</f>
        <v/>
      </c>
    </row>
    <row r="1576">
      <c r="M1576">
        <f>IF(Sync!$M1576&lt;&gt;"پاس چک","",IF(Sync!$P1576="","",Sync!$P1576))</f>
        <v/>
      </c>
      <c r="N1576">
        <f>IF($M1576="","",IF(ISNUMBER(Sync!$L1576),IF(AND(Sync!$L1576&gt;=10000101,Sync!$L1576&lt;=99991231),RIGHT("0000"&amp;INT(Sync!$L1576/10000),4)&amp;"/"&amp;RIGHT("00"&amp;INT(MOD(Sync!$L1576,10000)/100),2)&amp;"/"&amp;RIGHT("00"&amp;MOD(Sync!$L1576,100),2),""),IFERROR(RIGHT("0000"&amp;VALUE(TRIM(LEFT(Sync!$L1576,FIND("/",Sync!$L1576)-1))),4)&amp;"/"&amp;RIGHT("00"&amp;VALUE(TRIM(LEFT(MID(Sync!$L1576,FIND("/",Sync!$L1576)+1,20),FIND("/",MID(Sync!$L1576,FIND("/",Sync!$L1576)+1,20))-1))),2)&amp;"/"&amp;RIGHT("00"&amp;VALUE(TRIM(MID(MID(Sync!$L1576,FIND("/",Sync!$L1576)+1,20),FIND("/",MID(Sync!$L1576,FIND("/",Sync!$L1576)+1,20))+1,20))),2),"")))</f>
        <v/>
      </c>
    </row>
    <row r="1577">
      <c r="M1577">
        <f>IF(Sync!$M1577&lt;&gt;"پاس چک","",IF(Sync!$P1577="","",Sync!$P1577))</f>
        <v/>
      </c>
      <c r="N1577">
        <f>IF($M1577="","",IF(ISNUMBER(Sync!$L1577),IF(AND(Sync!$L1577&gt;=10000101,Sync!$L1577&lt;=99991231),RIGHT("0000"&amp;INT(Sync!$L1577/10000),4)&amp;"/"&amp;RIGHT("00"&amp;INT(MOD(Sync!$L1577,10000)/100),2)&amp;"/"&amp;RIGHT("00"&amp;MOD(Sync!$L1577,100),2),""),IFERROR(RIGHT("0000"&amp;VALUE(TRIM(LEFT(Sync!$L1577,FIND("/",Sync!$L1577)-1))),4)&amp;"/"&amp;RIGHT("00"&amp;VALUE(TRIM(LEFT(MID(Sync!$L1577,FIND("/",Sync!$L1577)+1,20),FIND("/",MID(Sync!$L1577,FIND("/",Sync!$L1577)+1,20))-1))),2)&amp;"/"&amp;RIGHT("00"&amp;VALUE(TRIM(MID(MID(Sync!$L1577,FIND("/",Sync!$L1577)+1,20),FIND("/",MID(Sync!$L1577,FIND("/",Sync!$L1577)+1,20))+1,20))),2),"")))</f>
        <v/>
      </c>
    </row>
    <row r="1578">
      <c r="M1578">
        <f>IF(Sync!$M1578&lt;&gt;"پاس چک","",IF(Sync!$P1578="","",Sync!$P1578))</f>
        <v/>
      </c>
      <c r="N1578">
        <f>IF($M1578="","",IF(ISNUMBER(Sync!$L1578),IF(AND(Sync!$L1578&gt;=10000101,Sync!$L1578&lt;=99991231),RIGHT("0000"&amp;INT(Sync!$L1578/10000),4)&amp;"/"&amp;RIGHT("00"&amp;INT(MOD(Sync!$L1578,10000)/100),2)&amp;"/"&amp;RIGHT("00"&amp;MOD(Sync!$L1578,100),2),""),IFERROR(RIGHT("0000"&amp;VALUE(TRIM(LEFT(Sync!$L1578,FIND("/",Sync!$L1578)-1))),4)&amp;"/"&amp;RIGHT("00"&amp;VALUE(TRIM(LEFT(MID(Sync!$L1578,FIND("/",Sync!$L1578)+1,20),FIND("/",MID(Sync!$L1578,FIND("/",Sync!$L1578)+1,20))-1))),2)&amp;"/"&amp;RIGHT("00"&amp;VALUE(TRIM(MID(MID(Sync!$L1578,FIND("/",Sync!$L1578)+1,20),FIND("/",MID(Sync!$L1578,FIND("/",Sync!$L1578)+1,20))+1,20))),2),"")))</f>
        <v/>
      </c>
    </row>
    <row r="1579">
      <c r="M1579">
        <f>IF(Sync!$M1579&lt;&gt;"پاس چک","",IF(Sync!$P1579="","",Sync!$P1579))</f>
        <v/>
      </c>
      <c r="N1579">
        <f>IF($M1579="","",IF(ISNUMBER(Sync!$L1579),IF(AND(Sync!$L1579&gt;=10000101,Sync!$L1579&lt;=99991231),RIGHT("0000"&amp;INT(Sync!$L1579/10000),4)&amp;"/"&amp;RIGHT("00"&amp;INT(MOD(Sync!$L1579,10000)/100),2)&amp;"/"&amp;RIGHT("00"&amp;MOD(Sync!$L1579,100),2),""),IFERROR(RIGHT("0000"&amp;VALUE(TRIM(LEFT(Sync!$L1579,FIND("/",Sync!$L1579)-1))),4)&amp;"/"&amp;RIGHT("00"&amp;VALUE(TRIM(LEFT(MID(Sync!$L1579,FIND("/",Sync!$L1579)+1,20),FIND("/",MID(Sync!$L1579,FIND("/",Sync!$L1579)+1,20))-1))),2)&amp;"/"&amp;RIGHT("00"&amp;VALUE(TRIM(MID(MID(Sync!$L1579,FIND("/",Sync!$L1579)+1,20),FIND("/",MID(Sync!$L1579,FIND("/",Sync!$L1579)+1,20))+1,20))),2),"")))</f>
        <v/>
      </c>
    </row>
    <row r="1580">
      <c r="M1580">
        <f>IF(Sync!$M1580&lt;&gt;"پاس چک","",IF(Sync!$P1580="","",Sync!$P1580))</f>
        <v/>
      </c>
      <c r="N1580">
        <f>IF($M1580="","",IF(ISNUMBER(Sync!$L1580),IF(AND(Sync!$L1580&gt;=10000101,Sync!$L1580&lt;=99991231),RIGHT("0000"&amp;INT(Sync!$L1580/10000),4)&amp;"/"&amp;RIGHT("00"&amp;INT(MOD(Sync!$L1580,10000)/100),2)&amp;"/"&amp;RIGHT("00"&amp;MOD(Sync!$L1580,100),2),""),IFERROR(RIGHT("0000"&amp;VALUE(TRIM(LEFT(Sync!$L1580,FIND("/",Sync!$L1580)-1))),4)&amp;"/"&amp;RIGHT("00"&amp;VALUE(TRIM(LEFT(MID(Sync!$L1580,FIND("/",Sync!$L1580)+1,20),FIND("/",MID(Sync!$L1580,FIND("/",Sync!$L1580)+1,20))-1))),2)&amp;"/"&amp;RIGHT("00"&amp;VALUE(TRIM(MID(MID(Sync!$L1580,FIND("/",Sync!$L1580)+1,20),FIND("/",MID(Sync!$L1580,FIND("/",Sync!$L1580)+1,20))+1,20))),2),"")))</f>
        <v/>
      </c>
    </row>
    <row r="1581">
      <c r="M1581">
        <f>IF(Sync!$M1581&lt;&gt;"پاس چک","",IF(Sync!$P1581="","",Sync!$P1581))</f>
        <v/>
      </c>
      <c r="N1581">
        <f>IF($M1581="","",IF(ISNUMBER(Sync!$L1581),IF(AND(Sync!$L1581&gt;=10000101,Sync!$L1581&lt;=99991231),RIGHT("0000"&amp;INT(Sync!$L1581/10000),4)&amp;"/"&amp;RIGHT("00"&amp;INT(MOD(Sync!$L1581,10000)/100),2)&amp;"/"&amp;RIGHT("00"&amp;MOD(Sync!$L1581,100),2),""),IFERROR(RIGHT("0000"&amp;VALUE(TRIM(LEFT(Sync!$L1581,FIND("/",Sync!$L1581)-1))),4)&amp;"/"&amp;RIGHT("00"&amp;VALUE(TRIM(LEFT(MID(Sync!$L1581,FIND("/",Sync!$L1581)+1,20),FIND("/",MID(Sync!$L1581,FIND("/",Sync!$L1581)+1,20))-1))),2)&amp;"/"&amp;RIGHT("00"&amp;VALUE(TRIM(MID(MID(Sync!$L1581,FIND("/",Sync!$L1581)+1,20),FIND("/",MID(Sync!$L1581,FIND("/",Sync!$L1581)+1,20))+1,20))),2),"")))</f>
        <v/>
      </c>
    </row>
    <row r="1582">
      <c r="M1582">
        <f>IF(Sync!$M1582&lt;&gt;"پاس چک","",IF(Sync!$P1582="","",Sync!$P1582))</f>
        <v/>
      </c>
      <c r="N1582">
        <f>IF($M1582="","",IF(ISNUMBER(Sync!$L1582),IF(AND(Sync!$L1582&gt;=10000101,Sync!$L1582&lt;=99991231),RIGHT("0000"&amp;INT(Sync!$L1582/10000),4)&amp;"/"&amp;RIGHT("00"&amp;INT(MOD(Sync!$L1582,10000)/100),2)&amp;"/"&amp;RIGHT("00"&amp;MOD(Sync!$L1582,100),2),""),IFERROR(RIGHT("0000"&amp;VALUE(TRIM(LEFT(Sync!$L1582,FIND("/",Sync!$L1582)-1))),4)&amp;"/"&amp;RIGHT("00"&amp;VALUE(TRIM(LEFT(MID(Sync!$L1582,FIND("/",Sync!$L1582)+1,20),FIND("/",MID(Sync!$L1582,FIND("/",Sync!$L1582)+1,20))-1))),2)&amp;"/"&amp;RIGHT("00"&amp;VALUE(TRIM(MID(MID(Sync!$L1582,FIND("/",Sync!$L1582)+1,20),FIND("/",MID(Sync!$L1582,FIND("/",Sync!$L1582)+1,20))+1,20))),2),"")))</f>
        <v/>
      </c>
    </row>
    <row r="1583">
      <c r="M1583">
        <f>IF(Sync!$M1583&lt;&gt;"پاس چک","",IF(Sync!$P1583="","",Sync!$P1583))</f>
        <v/>
      </c>
      <c r="N1583">
        <f>IF($M1583="","",IF(ISNUMBER(Sync!$L1583),IF(AND(Sync!$L1583&gt;=10000101,Sync!$L1583&lt;=99991231),RIGHT("0000"&amp;INT(Sync!$L1583/10000),4)&amp;"/"&amp;RIGHT("00"&amp;INT(MOD(Sync!$L1583,10000)/100),2)&amp;"/"&amp;RIGHT("00"&amp;MOD(Sync!$L1583,100),2),""),IFERROR(RIGHT("0000"&amp;VALUE(TRIM(LEFT(Sync!$L1583,FIND("/",Sync!$L1583)-1))),4)&amp;"/"&amp;RIGHT("00"&amp;VALUE(TRIM(LEFT(MID(Sync!$L1583,FIND("/",Sync!$L1583)+1,20),FIND("/",MID(Sync!$L1583,FIND("/",Sync!$L1583)+1,20))-1))),2)&amp;"/"&amp;RIGHT("00"&amp;VALUE(TRIM(MID(MID(Sync!$L1583,FIND("/",Sync!$L1583)+1,20),FIND("/",MID(Sync!$L1583,FIND("/",Sync!$L1583)+1,20))+1,20))),2),"")))</f>
        <v/>
      </c>
    </row>
    <row r="1584">
      <c r="M1584">
        <f>IF(Sync!$M1584&lt;&gt;"پاس چک","",IF(Sync!$P1584="","",Sync!$P1584))</f>
        <v/>
      </c>
      <c r="N1584">
        <f>IF($M1584="","",IF(ISNUMBER(Sync!$L1584),IF(AND(Sync!$L1584&gt;=10000101,Sync!$L1584&lt;=99991231),RIGHT("0000"&amp;INT(Sync!$L1584/10000),4)&amp;"/"&amp;RIGHT("00"&amp;INT(MOD(Sync!$L1584,10000)/100),2)&amp;"/"&amp;RIGHT("00"&amp;MOD(Sync!$L1584,100),2),""),IFERROR(RIGHT("0000"&amp;VALUE(TRIM(LEFT(Sync!$L1584,FIND("/",Sync!$L1584)-1))),4)&amp;"/"&amp;RIGHT("00"&amp;VALUE(TRIM(LEFT(MID(Sync!$L1584,FIND("/",Sync!$L1584)+1,20),FIND("/",MID(Sync!$L1584,FIND("/",Sync!$L1584)+1,20))-1))),2)&amp;"/"&amp;RIGHT("00"&amp;VALUE(TRIM(MID(MID(Sync!$L1584,FIND("/",Sync!$L1584)+1,20),FIND("/",MID(Sync!$L1584,FIND("/",Sync!$L1584)+1,20))+1,20))),2),"")))</f>
        <v/>
      </c>
    </row>
    <row r="1585">
      <c r="M1585">
        <f>IF(Sync!$M1585&lt;&gt;"پاس چک","",IF(Sync!$P1585="","",Sync!$P1585))</f>
        <v/>
      </c>
      <c r="N1585">
        <f>IF($M1585="","",IF(ISNUMBER(Sync!$L1585),IF(AND(Sync!$L1585&gt;=10000101,Sync!$L1585&lt;=99991231),RIGHT("0000"&amp;INT(Sync!$L1585/10000),4)&amp;"/"&amp;RIGHT("00"&amp;INT(MOD(Sync!$L1585,10000)/100),2)&amp;"/"&amp;RIGHT("00"&amp;MOD(Sync!$L1585,100),2),""),IFERROR(RIGHT("0000"&amp;VALUE(TRIM(LEFT(Sync!$L1585,FIND("/",Sync!$L1585)-1))),4)&amp;"/"&amp;RIGHT("00"&amp;VALUE(TRIM(LEFT(MID(Sync!$L1585,FIND("/",Sync!$L1585)+1,20),FIND("/",MID(Sync!$L1585,FIND("/",Sync!$L1585)+1,20))-1))),2)&amp;"/"&amp;RIGHT("00"&amp;VALUE(TRIM(MID(MID(Sync!$L1585,FIND("/",Sync!$L1585)+1,20),FIND("/",MID(Sync!$L1585,FIND("/",Sync!$L1585)+1,20))+1,20))),2),"")))</f>
        <v/>
      </c>
    </row>
    <row r="1586">
      <c r="M1586">
        <f>IF(Sync!$M1586&lt;&gt;"پاس چک","",IF(Sync!$P1586="","",Sync!$P1586))</f>
        <v/>
      </c>
      <c r="N1586">
        <f>IF($M1586="","",IF(ISNUMBER(Sync!$L1586),IF(AND(Sync!$L1586&gt;=10000101,Sync!$L1586&lt;=99991231),RIGHT("0000"&amp;INT(Sync!$L1586/10000),4)&amp;"/"&amp;RIGHT("00"&amp;INT(MOD(Sync!$L1586,10000)/100),2)&amp;"/"&amp;RIGHT("00"&amp;MOD(Sync!$L1586,100),2),""),IFERROR(RIGHT("0000"&amp;VALUE(TRIM(LEFT(Sync!$L1586,FIND("/",Sync!$L1586)-1))),4)&amp;"/"&amp;RIGHT("00"&amp;VALUE(TRIM(LEFT(MID(Sync!$L1586,FIND("/",Sync!$L1586)+1,20),FIND("/",MID(Sync!$L1586,FIND("/",Sync!$L1586)+1,20))-1))),2)&amp;"/"&amp;RIGHT("00"&amp;VALUE(TRIM(MID(MID(Sync!$L1586,FIND("/",Sync!$L1586)+1,20),FIND("/",MID(Sync!$L1586,FIND("/",Sync!$L1586)+1,20))+1,20))),2),"")))</f>
        <v/>
      </c>
    </row>
    <row r="1587">
      <c r="M1587">
        <f>IF(Sync!$M1587&lt;&gt;"پاس چک","",IF(Sync!$P1587="","",Sync!$P1587))</f>
        <v/>
      </c>
      <c r="N1587">
        <f>IF($M1587="","",IF(ISNUMBER(Sync!$L1587),IF(AND(Sync!$L1587&gt;=10000101,Sync!$L1587&lt;=99991231),RIGHT("0000"&amp;INT(Sync!$L1587/10000),4)&amp;"/"&amp;RIGHT("00"&amp;INT(MOD(Sync!$L1587,10000)/100),2)&amp;"/"&amp;RIGHT("00"&amp;MOD(Sync!$L1587,100),2),""),IFERROR(RIGHT("0000"&amp;VALUE(TRIM(LEFT(Sync!$L1587,FIND("/",Sync!$L1587)-1))),4)&amp;"/"&amp;RIGHT("00"&amp;VALUE(TRIM(LEFT(MID(Sync!$L1587,FIND("/",Sync!$L1587)+1,20),FIND("/",MID(Sync!$L1587,FIND("/",Sync!$L1587)+1,20))-1))),2)&amp;"/"&amp;RIGHT("00"&amp;VALUE(TRIM(MID(MID(Sync!$L1587,FIND("/",Sync!$L1587)+1,20),FIND("/",MID(Sync!$L1587,FIND("/",Sync!$L1587)+1,20))+1,20))),2),"")))</f>
        <v/>
      </c>
    </row>
    <row r="1588">
      <c r="M1588">
        <f>IF(Sync!$M1588&lt;&gt;"پاس چک","",IF(Sync!$P1588="","",Sync!$P1588))</f>
        <v/>
      </c>
      <c r="N1588">
        <f>IF($M1588="","",IF(ISNUMBER(Sync!$L1588),IF(AND(Sync!$L1588&gt;=10000101,Sync!$L1588&lt;=99991231),RIGHT("0000"&amp;INT(Sync!$L1588/10000),4)&amp;"/"&amp;RIGHT("00"&amp;INT(MOD(Sync!$L1588,10000)/100),2)&amp;"/"&amp;RIGHT("00"&amp;MOD(Sync!$L1588,100),2),""),IFERROR(RIGHT("0000"&amp;VALUE(TRIM(LEFT(Sync!$L1588,FIND("/",Sync!$L1588)-1))),4)&amp;"/"&amp;RIGHT("00"&amp;VALUE(TRIM(LEFT(MID(Sync!$L1588,FIND("/",Sync!$L1588)+1,20),FIND("/",MID(Sync!$L1588,FIND("/",Sync!$L1588)+1,20))-1))),2)&amp;"/"&amp;RIGHT("00"&amp;VALUE(TRIM(MID(MID(Sync!$L1588,FIND("/",Sync!$L1588)+1,20),FIND("/",MID(Sync!$L1588,FIND("/",Sync!$L1588)+1,20))+1,20))),2),"")))</f>
        <v/>
      </c>
    </row>
    <row r="1589">
      <c r="M1589">
        <f>IF(Sync!$M1589&lt;&gt;"پاس چک","",IF(Sync!$P1589="","",Sync!$P1589))</f>
        <v/>
      </c>
      <c r="N1589">
        <f>IF($M1589="","",IF(ISNUMBER(Sync!$L1589),IF(AND(Sync!$L1589&gt;=10000101,Sync!$L1589&lt;=99991231),RIGHT("0000"&amp;INT(Sync!$L1589/10000),4)&amp;"/"&amp;RIGHT("00"&amp;INT(MOD(Sync!$L1589,10000)/100),2)&amp;"/"&amp;RIGHT("00"&amp;MOD(Sync!$L1589,100),2),""),IFERROR(RIGHT("0000"&amp;VALUE(TRIM(LEFT(Sync!$L1589,FIND("/",Sync!$L1589)-1))),4)&amp;"/"&amp;RIGHT("00"&amp;VALUE(TRIM(LEFT(MID(Sync!$L1589,FIND("/",Sync!$L1589)+1,20),FIND("/",MID(Sync!$L1589,FIND("/",Sync!$L1589)+1,20))-1))),2)&amp;"/"&amp;RIGHT("00"&amp;VALUE(TRIM(MID(MID(Sync!$L1589,FIND("/",Sync!$L1589)+1,20),FIND("/",MID(Sync!$L1589,FIND("/",Sync!$L1589)+1,20))+1,20))),2),"")))</f>
        <v/>
      </c>
    </row>
    <row r="1590">
      <c r="M1590">
        <f>IF(Sync!$M1590&lt;&gt;"پاس چک","",IF(Sync!$P1590="","",Sync!$P1590))</f>
        <v/>
      </c>
      <c r="N1590">
        <f>IF($M1590="","",IF(ISNUMBER(Sync!$L1590),IF(AND(Sync!$L1590&gt;=10000101,Sync!$L1590&lt;=99991231),RIGHT("0000"&amp;INT(Sync!$L1590/10000),4)&amp;"/"&amp;RIGHT("00"&amp;INT(MOD(Sync!$L1590,10000)/100),2)&amp;"/"&amp;RIGHT("00"&amp;MOD(Sync!$L1590,100),2),""),IFERROR(RIGHT("0000"&amp;VALUE(TRIM(LEFT(Sync!$L1590,FIND("/",Sync!$L1590)-1))),4)&amp;"/"&amp;RIGHT("00"&amp;VALUE(TRIM(LEFT(MID(Sync!$L1590,FIND("/",Sync!$L1590)+1,20),FIND("/",MID(Sync!$L1590,FIND("/",Sync!$L1590)+1,20))-1))),2)&amp;"/"&amp;RIGHT("00"&amp;VALUE(TRIM(MID(MID(Sync!$L1590,FIND("/",Sync!$L1590)+1,20),FIND("/",MID(Sync!$L1590,FIND("/",Sync!$L1590)+1,20))+1,20))),2),"")))</f>
        <v/>
      </c>
    </row>
    <row r="1591">
      <c r="M1591">
        <f>IF(Sync!$M1591&lt;&gt;"پاس چک","",IF(Sync!$P1591="","",Sync!$P1591))</f>
        <v/>
      </c>
      <c r="N1591">
        <f>IF($M1591="","",IF(ISNUMBER(Sync!$L1591),IF(AND(Sync!$L1591&gt;=10000101,Sync!$L1591&lt;=99991231),RIGHT("0000"&amp;INT(Sync!$L1591/10000),4)&amp;"/"&amp;RIGHT("00"&amp;INT(MOD(Sync!$L1591,10000)/100),2)&amp;"/"&amp;RIGHT("00"&amp;MOD(Sync!$L1591,100),2),""),IFERROR(RIGHT("0000"&amp;VALUE(TRIM(LEFT(Sync!$L1591,FIND("/",Sync!$L1591)-1))),4)&amp;"/"&amp;RIGHT("00"&amp;VALUE(TRIM(LEFT(MID(Sync!$L1591,FIND("/",Sync!$L1591)+1,20),FIND("/",MID(Sync!$L1591,FIND("/",Sync!$L1591)+1,20))-1))),2)&amp;"/"&amp;RIGHT("00"&amp;VALUE(TRIM(MID(MID(Sync!$L1591,FIND("/",Sync!$L1591)+1,20),FIND("/",MID(Sync!$L1591,FIND("/",Sync!$L1591)+1,20))+1,20))),2),"")))</f>
        <v/>
      </c>
    </row>
    <row r="1592">
      <c r="M1592">
        <f>IF(Sync!$M1592&lt;&gt;"پاس چک","",IF(Sync!$P1592="","",Sync!$P1592))</f>
        <v/>
      </c>
      <c r="N1592">
        <f>IF($M1592="","",IF(ISNUMBER(Sync!$L1592),IF(AND(Sync!$L1592&gt;=10000101,Sync!$L1592&lt;=99991231),RIGHT("0000"&amp;INT(Sync!$L1592/10000),4)&amp;"/"&amp;RIGHT("00"&amp;INT(MOD(Sync!$L1592,10000)/100),2)&amp;"/"&amp;RIGHT("00"&amp;MOD(Sync!$L1592,100),2),""),IFERROR(RIGHT("0000"&amp;VALUE(TRIM(LEFT(Sync!$L1592,FIND("/",Sync!$L1592)-1))),4)&amp;"/"&amp;RIGHT("00"&amp;VALUE(TRIM(LEFT(MID(Sync!$L1592,FIND("/",Sync!$L1592)+1,20),FIND("/",MID(Sync!$L1592,FIND("/",Sync!$L1592)+1,20))-1))),2)&amp;"/"&amp;RIGHT("00"&amp;VALUE(TRIM(MID(MID(Sync!$L1592,FIND("/",Sync!$L1592)+1,20),FIND("/",MID(Sync!$L1592,FIND("/",Sync!$L1592)+1,20))+1,20))),2),"")))</f>
        <v/>
      </c>
    </row>
    <row r="1593">
      <c r="M1593">
        <f>IF(Sync!$M1593&lt;&gt;"پاس چک","",IF(Sync!$P1593="","",Sync!$P1593))</f>
        <v/>
      </c>
      <c r="N1593">
        <f>IF($M1593="","",IF(ISNUMBER(Sync!$L1593),IF(AND(Sync!$L1593&gt;=10000101,Sync!$L1593&lt;=99991231),RIGHT("0000"&amp;INT(Sync!$L1593/10000),4)&amp;"/"&amp;RIGHT("00"&amp;INT(MOD(Sync!$L1593,10000)/100),2)&amp;"/"&amp;RIGHT("00"&amp;MOD(Sync!$L1593,100),2),""),IFERROR(RIGHT("0000"&amp;VALUE(TRIM(LEFT(Sync!$L1593,FIND("/",Sync!$L1593)-1))),4)&amp;"/"&amp;RIGHT("00"&amp;VALUE(TRIM(LEFT(MID(Sync!$L1593,FIND("/",Sync!$L1593)+1,20),FIND("/",MID(Sync!$L1593,FIND("/",Sync!$L1593)+1,20))-1))),2)&amp;"/"&amp;RIGHT("00"&amp;VALUE(TRIM(MID(MID(Sync!$L1593,FIND("/",Sync!$L1593)+1,20),FIND("/",MID(Sync!$L1593,FIND("/",Sync!$L1593)+1,20))+1,20))),2),"")))</f>
        <v/>
      </c>
    </row>
    <row r="1594">
      <c r="M1594">
        <f>IF(Sync!$M1594&lt;&gt;"پاس چک","",IF(Sync!$P1594="","",Sync!$P1594))</f>
        <v/>
      </c>
      <c r="N1594">
        <f>IF($M1594="","",IF(ISNUMBER(Sync!$L1594),IF(AND(Sync!$L1594&gt;=10000101,Sync!$L1594&lt;=99991231),RIGHT("0000"&amp;INT(Sync!$L1594/10000),4)&amp;"/"&amp;RIGHT("00"&amp;INT(MOD(Sync!$L1594,10000)/100),2)&amp;"/"&amp;RIGHT("00"&amp;MOD(Sync!$L1594,100),2),""),IFERROR(RIGHT("0000"&amp;VALUE(TRIM(LEFT(Sync!$L1594,FIND("/",Sync!$L1594)-1))),4)&amp;"/"&amp;RIGHT("00"&amp;VALUE(TRIM(LEFT(MID(Sync!$L1594,FIND("/",Sync!$L1594)+1,20),FIND("/",MID(Sync!$L1594,FIND("/",Sync!$L1594)+1,20))-1))),2)&amp;"/"&amp;RIGHT("00"&amp;VALUE(TRIM(MID(MID(Sync!$L1594,FIND("/",Sync!$L1594)+1,20),FIND("/",MID(Sync!$L1594,FIND("/",Sync!$L1594)+1,20))+1,20))),2),"")))</f>
        <v/>
      </c>
    </row>
    <row r="1595">
      <c r="M1595">
        <f>IF(Sync!$M1595&lt;&gt;"پاس چک","",IF(Sync!$P1595="","",Sync!$P1595))</f>
        <v/>
      </c>
      <c r="N1595">
        <f>IF($M1595="","",IF(ISNUMBER(Sync!$L1595),IF(AND(Sync!$L1595&gt;=10000101,Sync!$L1595&lt;=99991231),RIGHT("0000"&amp;INT(Sync!$L1595/10000),4)&amp;"/"&amp;RIGHT("00"&amp;INT(MOD(Sync!$L1595,10000)/100),2)&amp;"/"&amp;RIGHT("00"&amp;MOD(Sync!$L1595,100),2),""),IFERROR(RIGHT("0000"&amp;VALUE(TRIM(LEFT(Sync!$L1595,FIND("/",Sync!$L1595)-1))),4)&amp;"/"&amp;RIGHT("00"&amp;VALUE(TRIM(LEFT(MID(Sync!$L1595,FIND("/",Sync!$L1595)+1,20),FIND("/",MID(Sync!$L1595,FIND("/",Sync!$L1595)+1,20))-1))),2)&amp;"/"&amp;RIGHT("00"&amp;VALUE(TRIM(MID(MID(Sync!$L1595,FIND("/",Sync!$L1595)+1,20),FIND("/",MID(Sync!$L1595,FIND("/",Sync!$L1595)+1,20))+1,20))),2),"")))</f>
        <v/>
      </c>
    </row>
    <row r="1596">
      <c r="M1596">
        <f>IF(Sync!$M1596&lt;&gt;"پاس چک","",IF(Sync!$P1596="","",Sync!$P1596))</f>
        <v/>
      </c>
      <c r="N1596">
        <f>IF($M1596="","",IF(ISNUMBER(Sync!$L1596),IF(AND(Sync!$L1596&gt;=10000101,Sync!$L1596&lt;=99991231),RIGHT("0000"&amp;INT(Sync!$L1596/10000),4)&amp;"/"&amp;RIGHT("00"&amp;INT(MOD(Sync!$L1596,10000)/100),2)&amp;"/"&amp;RIGHT("00"&amp;MOD(Sync!$L1596,100),2),""),IFERROR(RIGHT("0000"&amp;VALUE(TRIM(LEFT(Sync!$L1596,FIND("/",Sync!$L1596)-1))),4)&amp;"/"&amp;RIGHT("00"&amp;VALUE(TRIM(LEFT(MID(Sync!$L1596,FIND("/",Sync!$L1596)+1,20),FIND("/",MID(Sync!$L1596,FIND("/",Sync!$L1596)+1,20))-1))),2)&amp;"/"&amp;RIGHT("00"&amp;VALUE(TRIM(MID(MID(Sync!$L1596,FIND("/",Sync!$L1596)+1,20),FIND("/",MID(Sync!$L1596,FIND("/",Sync!$L1596)+1,20))+1,20))),2),"")))</f>
        <v/>
      </c>
    </row>
    <row r="1597">
      <c r="M1597">
        <f>IF(Sync!$M1597&lt;&gt;"پاس چک","",IF(Sync!$P1597="","",Sync!$P1597))</f>
        <v/>
      </c>
      <c r="N1597">
        <f>IF($M1597="","",IF(ISNUMBER(Sync!$L1597),IF(AND(Sync!$L1597&gt;=10000101,Sync!$L1597&lt;=99991231),RIGHT("0000"&amp;INT(Sync!$L1597/10000),4)&amp;"/"&amp;RIGHT("00"&amp;INT(MOD(Sync!$L1597,10000)/100),2)&amp;"/"&amp;RIGHT("00"&amp;MOD(Sync!$L1597,100),2),""),IFERROR(RIGHT("0000"&amp;VALUE(TRIM(LEFT(Sync!$L1597,FIND("/",Sync!$L1597)-1))),4)&amp;"/"&amp;RIGHT("00"&amp;VALUE(TRIM(LEFT(MID(Sync!$L1597,FIND("/",Sync!$L1597)+1,20),FIND("/",MID(Sync!$L1597,FIND("/",Sync!$L1597)+1,20))-1))),2)&amp;"/"&amp;RIGHT("00"&amp;VALUE(TRIM(MID(MID(Sync!$L1597,FIND("/",Sync!$L1597)+1,20),FIND("/",MID(Sync!$L1597,FIND("/",Sync!$L1597)+1,20))+1,20))),2),"")))</f>
        <v/>
      </c>
    </row>
    <row r="1598">
      <c r="M1598">
        <f>IF(Sync!$M1598&lt;&gt;"پاس چک","",IF(Sync!$P1598="","",Sync!$P1598))</f>
        <v/>
      </c>
      <c r="N1598">
        <f>IF($M1598="","",IF(ISNUMBER(Sync!$L1598),IF(AND(Sync!$L1598&gt;=10000101,Sync!$L1598&lt;=99991231),RIGHT("0000"&amp;INT(Sync!$L1598/10000),4)&amp;"/"&amp;RIGHT("00"&amp;INT(MOD(Sync!$L1598,10000)/100),2)&amp;"/"&amp;RIGHT("00"&amp;MOD(Sync!$L1598,100),2),""),IFERROR(RIGHT("0000"&amp;VALUE(TRIM(LEFT(Sync!$L1598,FIND("/",Sync!$L1598)-1))),4)&amp;"/"&amp;RIGHT("00"&amp;VALUE(TRIM(LEFT(MID(Sync!$L1598,FIND("/",Sync!$L1598)+1,20),FIND("/",MID(Sync!$L1598,FIND("/",Sync!$L1598)+1,20))-1))),2)&amp;"/"&amp;RIGHT("00"&amp;VALUE(TRIM(MID(MID(Sync!$L1598,FIND("/",Sync!$L1598)+1,20),FIND("/",MID(Sync!$L1598,FIND("/",Sync!$L1598)+1,20))+1,20))),2),"")))</f>
        <v/>
      </c>
    </row>
    <row r="1599">
      <c r="M1599">
        <f>IF(Sync!$M1599&lt;&gt;"پاس چک","",IF(Sync!$P1599="","",Sync!$P1599))</f>
        <v/>
      </c>
      <c r="N1599">
        <f>IF($M1599="","",IF(ISNUMBER(Sync!$L1599),IF(AND(Sync!$L1599&gt;=10000101,Sync!$L1599&lt;=99991231),RIGHT("0000"&amp;INT(Sync!$L1599/10000),4)&amp;"/"&amp;RIGHT("00"&amp;INT(MOD(Sync!$L1599,10000)/100),2)&amp;"/"&amp;RIGHT("00"&amp;MOD(Sync!$L1599,100),2),""),IFERROR(RIGHT("0000"&amp;VALUE(TRIM(LEFT(Sync!$L1599,FIND("/",Sync!$L1599)-1))),4)&amp;"/"&amp;RIGHT("00"&amp;VALUE(TRIM(LEFT(MID(Sync!$L1599,FIND("/",Sync!$L1599)+1,20),FIND("/",MID(Sync!$L1599,FIND("/",Sync!$L1599)+1,20))-1))),2)&amp;"/"&amp;RIGHT("00"&amp;VALUE(TRIM(MID(MID(Sync!$L1599,FIND("/",Sync!$L1599)+1,20),FIND("/",MID(Sync!$L1599,FIND("/",Sync!$L1599)+1,20))+1,20))),2),"")))</f>
        <v/>
      </c>
    </row>
    <row r="1600">
      <c r="M1600">
        <f>IF(Sync!$M1600&lt;&gt;"پاس چک","",IF(Sync!$P1600="","",Sync!$P1600))</f>
        <v/>
      </c>
      <c r="N1600">
        <f>IF($M1600="","",IF(ISNUMBER(Sync!$L1600),IF(AND(Sync!$L1600&gt;=10000101,Sync!$L1600&lt;=99991231),RIGHT("0000"&amp;INT(Sync!$L1600/10000),4)&amp;"/"&amp;RIGHT("00"&amp;INT(MOD(Sync!$L1600,10000)/100),2)&amp;"/"&amp;RIGHT("00"&amp;MOD(Sync!$L1600,100),2),""),IFERROR(RIGHT("0000"&amp;VALUE(TRIM(LEFT(Sync!$L1600,FIND("/",Sync!$L1600)-1))),4)&amp;"/"&amp;RIGHT("00"&amp;VALUE(TRIM(LEFT(MID(Sync!$L1600,FIND("/",Sync!$L1600)+1,20),FIND("/",MID(Sync!$L1600,FIND("/",Sync!$L1600)+1,20))-1))),2)&amp;"/"&amp;RIGHT("00"&amp;VALUE(TRIM(MID(MID(Sync!$L1600,FIND("/",Sync!$L1600)+1,20),FIND("/",MID(Sync!$L1600,FIND("/",Sync!$L1600)+1,20))+1,20))),2),"")))</f>
        <v/>
      </c>
    </row>
    <row r="1601">
      <c r="M1601">
        <f>IF(Sync!$M1601&lt;&gt;"پاس چک","",IF(Sync!$P1601="","",Sync!$P1601))</f>
        <v/>
      </c>
      <c r="N1601">
        <f>IF($M1601="","",IF(ISNUMBER(Sync!$L1601),IF(AND(Sync!$L1601&gt;=10000101,Sync!$L1601&lt;=99991231),RIGHT("0000"&amp;INT(Sync!$L1601/10000),4)&amp;"/"&amp;RIGHT("00"&amp;INT(MOD(Sync!$L1601,10000)/100),2)&amp;"/"&amp;RIGHT("00"&amp;MOD(Sync!$L1601,100),2),""),IFERROR(RIGHT("0000"&amp;VALUE(TRIM(LEFT(Sync!$L1601,FIND("/",Sync!$L1601)-1))),4)&amp;"/"&amp;RIGHT("00"&amp;VALUE(TRIM(LEFT(MID(Sync!$L1601,FIND("/",Sync!$L1601)+1,20),FIND("/",MID(Sync!$L1601,FIND("/",Sync!$L1601)+1,20))-1))),2)&amp;"/"&amp;RIGHT("00"&amp;VALUE(TRIM(MID(MID(Sync!$L1601,FIND("/",Sync!$L1601)+1,20),FIND("/",MID(Sync!$L1601,FIND("/",Sync!$L1601)+1,20))+1,20))),2),"")))</f>
        <v/>
      </c>
    </row>
    <row r="1602">
      <c r="M1602">
        <f>IF(Sync!$M1602&lt;&gt;"پاس چک","",IF(Sync!$P1602="","",Sync!$P1602))</f>
        <v/>
      </c>
      <c r="N1602">
        <f>IF($M1602="","",IF(ISNUMBER(Sync!$L1602),IF(AND(Sync!$L1602&gt;=10000101,Sync!$L1602&lt;=99991231),RIGHT("0000"&amp;INT(Sync!$L1602/10000),4)&amp;"/"&amp;RIGHT("00"&amp;INT(MOD(Sync!$L1602,10000)/100),2)&amp;"/"&amp;RIGHT("00"&amp;MOD(Sync!$L1602,100),2),""),IFERROR(RIGHT("0000"&amp;VALUE(TRIM(LEFT(Sync!$L1602,FIND("/",Sync!$L1602)-1))),4)&amp;"/"&amp;RIGHT("00"&amp;VALUE(TRIM(LEFT(MID(Sync!$L1602,FIND("/",Sync!$L1602)+1,20),FIND("/",MID(Sync!$L1602,FIND("/",Sync!$L1602)+1,20))-1))),2)&amp;"/"&amp;RIGHT("00"&amp;VALUE(TRIM(MID(MID(Sync!$L1602,FIND("/",Sync!$L1602)+1,20),FIND("/",MID(Sync!$L1602,FIND("/",Sync!$L1602)+1,20))+1,20))),2),"")))</f>
        <v/>
      </c>
    </row>
    <row r="1603">
      <c r="M1603">
        <f>IF(Sync!$M1603&lt;&gt;"پاس چک","",IF(Sync!$P1603="","",Sync!$P1603))</f>
        <v/>
      </c>
      <c r="N1603">
        <f>IF($M1603="","",IF(ISNUMBER(Sync!$L1603),IF(AND(Sync!$L1603&gt;=10000101,Sync!$L1603&lt;=99991231),RIGHT("0000"&amp;INT(Sync!$L1603/10000),4)&amp;"/"&amp;RIGHT("00"&amp;INT(MOD(Sync!$L1603,10000)/100),2)&amp;"/"&amp;RIGHT("00"&amp;MOD(Sync!$L1603,100),2),""),IFERROR(RIGHT("0000"&amp;VALUE(TRIM(LEFT(Sync!$L1603,FIND("/",Sync!$L1603)-1))),4)&amp;"/"&amp;RIGHT("00"&amp;VALUE(TRIM(LEFT(MID(Sync!$L1603,FIND("/",Sync!$L1603)+1,20),FIND("/",MID(Sync!$L1603,FIND("/",Sync!$L1603)+1,20))-1))),2)&amp;"/"&amp;RIGHT("00"&amp;VALUE(TRIM(MID(MID(Sync!$L1603,FIND("/",Sync!$L1603)+1,20),FIND("/",MID(Sync!$L1603,FIND("/",Sync!$L1603)+1,20))+1,20))),2),"")))</f>
        <v/>
      </c>
    </row>
    <row r="1604">
      <c r="M1604">
        <f>IF(Sync!$M1604&lt;&gt;"پاس چک","",IF(Sync!$P1604="","",Sync!$P1604))</f>
        <v/>
      </c>
      <c r="N1604">
        <f>IF($M1604="","",IF(ISNUMBER(Sync!$L1604),IF(AND(Sync!$L1604&gt;=10000101,Sync!$L1604&lt;=99991231),RIGHT("0000"&amp;INT(Sync!$L1604/10000),4)&amp;"/"&amp;RIGHT("00"&amp;INT(MOD(Sync!$L1604,10000)/100),2)&amp;"/"&amp;RIGHT("00"&amp;MOD(Sync!$L1604,100),2),""),IFERROR(RIGHT("0000"&amp;VALUE(TRIM(LEFT(Sync!$L1604,FIND("/",Sync!$L1604)-1))),4)&amp;"/"&amp;RIGHT("00"&amp;VALUE(TRIM(LEFT(MID(Sync!$L1604,FIND("/",Sync!$L1604)+1,20),FIND("/",MID(Sync!$L1604,FIND("/",Sync!$L1604)+1,20))-1))),2)&amp;"/"&amp;RIGHT("00"&amp;VALUE(TRIM(MID(MID(Sync!$L1604,FIND("/",Sync!$L1604)+1,20),FIND("/",MID(Sync!$L1604,FIND("/",Sync!$L1604)+1,20))+1,20))),2),"")))</f>
        <v/>
      </c>
    </row>
    <row r="1605">
      <c r="M1605">
        <f>IF(Sync!$M1605&lt;&gt;"پاس چک","",IF(Sync!$P1605="","",Sync!$P1605))</f>
        <v/>
      </c>
      <c r="N1605">
        <f>IF($M1605="","",IF(ISNUMBER(Sync!$L1605),IF(AND(Sync!$L1605&gt;=10000101,Sync!$L1605&lt;=99991231),RIGHT("0000"&amp;INT(Sync!$L1605/10000),4)&amp;"/"&amp;RIGHT("00"&amp;INT(MOD(Sync!$L1605,10000)/100),2)&amp;"/"&amp;RIGHT("00"&amp;MOD(Sync!$L1605,100),2),""),IFERROR(RIGHT("0000"&amp;VALUE(TRIM(LEFT(Sync!$L1605,FIND("/",Sync!$L1605)-1))),4)&amp;"/"&amp;RIGHT("00"&amp;VALUE(TRIM(LEFT(MID(Sync!$L1605,FIND("/",Sync!$L1605)+1,20),FIND("/",MID(Sync!$L1605,FIND("/",Sync!$L1605)+1,20))-1))),2)&amp;"/"&amp;RIGHT("00"&amp;VALUE(TRIM(MID(MID(Sync!$L1605,FIND("/",Sync!$L1605)+1,20),FIND("/",MID(Sync!$L1605,FIND("/",Sync!$L1605)+1,20))+1,20))),2),"")))</f>
        <v/>
      </c>
    </row>
    <row r="1606">
      <c r="M1606">
        <f>IF(Sync!$M1606&lt;&gt;"پاس چک","",IF(Sync!$P1606="","",Sync!$P1606))</f>
        <v/>
      </c>
      <c r="N1606">
        <f>IF($M1606="","",IF(ISNUMBER(Sync!$L1606),IF(AND(Sync!$L1606&gt;=10000101,Sync!$L1606&lt;=99991231),RIGHT("0000"&amp;INT(Sync!$L1606/10000),4)&amp;"/"&amp;RIGHT("00"&amp;INT(MOD(Sync!$L1606,10000)/100),2)&amp;"/"&amp;RIGHT("00"&amp;MOD(Sync!$L1606,100),2),""),IFERROR(RIGHT("0000"&amp;VALUE(TRIM(LEFT(Sync!$L1606,FIND("/",Sync!$L1606)-1))),4)&amp;"/"&amp;RIGHT("00"&amp;VALUE(TRIM(LEFT(MID(Sync!$L1606,FIND("/",Sync!$L1606)+1,20),FIND("/",MID(Sync!$L1606,FIND("/",Sync!$L1606)+1,20))-1))),2)&amp;"/"&amp;RIGHT("00"&amp;VALUE(TRIM(MID(MID(Sync!$L1606,FIND("/",Sync!$L1606)+1,20),FIND("/",MID(Sync!$L1606,FIND("/",Sync!$L1606)+1,20))+1,20))),2),"")))</f>
        <v/>
      </c>
    </row>
    <row r="1607">
      <c r="M1607">
        <f>IF(Sync!$M1607&lt;&gt;"پاس چک","",IF(Sync!$P1607="","",Sync!$P1607))</f>
        <v/>
      </c>
      <c r="N1607">
        <f>IF($M1607="","",IF(ISNUMBER(Sync!$L1607),IF(AND(Sync!$L1607&gt;=10000101,Sync!$L1607&lt;=99991231),RIGHT("0000"&amp;INT(Sync!$L1607/10000),4)&amp;"/"&amp;RIGHT("00"&amp;INT(MOD(Sync!$L1607,10000)/100),2)&amp;"/"&amp;RIGHT("00"&amp;MOD(Sync!$L1607,100),2),""),IFERROR(RIGHT("0000"&amp;VALUE(TRIM(LEFT(Sync!$L1607,FIND("/",Sync!$L1607)-1))),4)&amp;"/"&amp;RIGHT("00"&amp;VALUE(TRIM(LEFT(MID(Sync!$L1607,FIND("/",Sync!$L1607)+1,20),FIND("/",MID(Sync!$L1607,FIND("/",Sync!$L1607)+1,20))-1))),2)&amp;"/"&amp;RIGHT("00"&amp;VALUE(TRIM(MID(MID(Sync!$L1607,FIND("/",Sync!$L1607)+1,20),FIND("/",MID(Sync!$L1607,FIND("/",Sync!$L1607)+1,20))+1,20))),2),"")))</f>
        <v/>
      </c>
    </row>
    <row r="1608">
      <c r="M1608">
        <f>IF(Sync!$M1608&lt;&gt;"پاس چک","",IF(Sync!$P1608="","",Sync!$P1608))</f>
        <v/>
      </c>
      <c r="N1608">
        <f>IF($M1608="","",IF(ISNUMBER(Sync!$L1608),IF(AND(Sync!$L1608&gt;=10000101,Sync!$L1608&lt;=99991231),RIGHT("0000"&amp;INT(Sync!$L1608/10000),4)&amp;"/"&amp;RIGHT("00"&amp;INT(MOD(Sync!$L1608,10000)/100),2)&amp;"/"&amp;RIGHT("00"&amp;MOD(Sync!$L1608,100),2),""),IFERROR(RIGHT("0000"&amp;VALUE(TRIM(LEFT(Sync!$L1608,FIND("/",Sync!$L1608)-1))),4)&amp;"/"&amp;RIGHT("00"&amp;VALUE(TRIM(LEFT(MID(Sync!$L1608,FIND("/",Sync!$L1608)+1,20),FIND("/",MID(Sync!$L1608,FIND("/",Sync!$L1608)+1,20))-1))),2)&amp;"/"&amp;RIGHT("00"&amp;VALUE(TRIM(MID(MID(Sync!$L1608,FIND("/",Sync!$L1608)+1,20),FIND("/",MID(Sync!$L1608,FIND("/",Sync!$L1608)+1,20))+1,20))),2),"")))</f>
        <v/>
      </c>
    </row>
    <row r="1609">
      <c r="M1609">
        <f>IF(Sync!$M1609&lt;&gt;"پاس چک","",IF(Sync!$P1609="","",Sync!$P1609))</f>
        <v/>
      </c>
      <c r="N1609">
        <f>IF($M1609="","",IF(ISNUMBER(Sync!$L1609),IF(AND(Sync!$L1609&gt;=10000101,Sync!$L1609&lt;=99991231),RIGHT("0000"&amp;INT(Sync!$L1609/10000),4)&amp;"/"&amp;RIGHT("00"&amp;INT(MOD(Sync!$L1609,10000)/100),2)&amp;"/"&amp;RIGHT("00"&amp;MOD(Sync!$L1609,100),2),""),IFERROR(RIGHT("0000"&amp;VALUE(TRIM(LEFT(Sync!$L1609,FIND("/",Sync!$L1609)-1))),4)&amp;"/"&amp;RIGHT("00"&amp;VALUE(TRIM(LEFT(MID(Sync!$L1609,FIND("/",Sync!$L1609)+1,20),FIND("/",MID(Sync!$L1609,FIND("/",Sync!$L1609)+1,20))-1))),2)&amp;"/"&amp;RIGHT("00"&amp;VALUE(TRIM(MID(MID(Sync!$L1609,FIND("/",Sync!$L1609)+1,20),FIND("/",MID(Sync!$L1609,FIND("/",Sync!$L1609)+1,20))+1,20))),2),"")))</f>
        <v/>
      </c>
    </row>
    <row r="1610">
      <c r="M1610">
        <f>IF(Sync!$M1610&lt;&gt;"پاس چک","",IF(Sync!$P1610="","",Sync!$P1610))</f>
        <v/>
      </c>
      <c r="N1610">
        <f>IF($M1610="","",IF(ISNUMBER(Sync!$L1610),IF(AND(Sync!$L1610&gt;=10000101,Sync!$L1610&lt;=99991231),RIGHT("0000"&amp;INT(Sync!$L1610/10000),4)&amp;"/"&amp;RIGHT("00"&amp;INT(MOD(Sync!$L1610,10000)/100),2)&amp;"/"&amp;RIGHT("00"&amp;MOD(Sync!$L1610,100),2),""),IFERROR(RIGHT("0000"&amp;VALUE(TRIM(LEFT(Sync!$L1610,FIND("/",Sync!$L1610)-1))),4)&amp;"/"&amp;RIGHT("00"&amp;VALUE(TRIM(LEFT(MID(Sync!$L1610,FIND("/",Sync!$L1610)+1,20),FIND("/",MID(Sync!$L1610,FIND("/",Sync!$L1610)+1,20))-1))),2)&amp;"/"&amp;RIGHT("00"&amp;VALUE(TRIM(MID(MID(Sync!$L1610,FIND("/",Sync!$L1610)+1,20),FIND("/",MID(Sync!$L1610,FIND("/",Sync!$L1610)+1,20))+1,20))),2),"")))</f>
        <v/>
      </c>
    </row>
    <row r="1611">
      <c r="M1611">
        <f>IF(Sync!$M1611&lt;&gt;"پاس چک","",IF(Sync!$P1611="","",Sync!$P1611))</f>
        <v/>
      </c>
      <c r="N1611">
        <f>IF($M1611="","",IF(ISNUMBER(Sync!$L1611),IF(AND(Sync!$L1611&gt;=10000101,Sync!$L1611&lt;=99991231),RIGHT("0000"&amp;INT(Sync!$L1611/10000),4)&amp;"/"&amp;RIGHT("00"&amp;INT(MOD(Sync!$L1611,10000)/100),2)&amp;"/"&amp;RIGHT("00"&amp;MOD(Sync!$L1611,100),2),""),IFERROR(RIGHT("0000"&amp;VALUE(TRIM(LEFT(Sync!$L1611,FIND("/",Sync!$L1611)-1))),4)&amp;"/"&amp;RIGHT("00"&amp;VALUE(TRIM(LEFT(MID(Sync!$L1611,FIND("/",Sync!$L1611)+1,20),FIND("/",MID(Sync!$L1611,FIND("/",Sync!$L1611)+1,20))-1))),2)&amp;"/"&amp;RIGHT("00"&amp;VALUE(TRIM(MID(MID(Sync!$L1611,FIND("/",Sync!$L1611)+1,20),FIND("/",MID(Sync!$L1611,FIND("/",Sync!$L1611)+1,20))+1,20))),2),"")))</f>
        <v/>
      </c>
    </row>
    <row r="1612">
      <c r="M1612">
        <f>IF(Sync!$M1612&lt;&gt;"پاس چک","",IF(Sync!$P1612="","",Sync!$P1612))</f>
        <v/>
      </c>
      <c r="N1612">
        <f>IF($M1612="","",IF(ISNUMBER(Sync!$L1612),IF(AND(Sync!$L1612&gt;=10000101,Sync!$L1612&lt;=99991231),RIGHT("0000"&amp;INT(Sync!$L1612/10000),4)&amp;"/"&amp;RIGHT("00"&amp;INT(MOD(Sync!$L1612,10000)/100),2)&amp;"/"&amp;RIGHT("00"&amp;MOD(Sync!$L1612,100),2),""),IFERROR(RIGHT("0000"&amp;VALUE(TRIM(LEFT(Sync!$L1612,FIND("/",Sync!$L1612)-1))),4)&amp;"/"&amp;RIGHT("00"&amp;VALUE(TRIM(LEFT(MID(Sync!$L1612,FIND("/",Sync!$L1612)+1,20),FIND("/",MID(Sync!$L1612,FIND("/",Sync!$L1612)+1,20))-1))),2)&amp;"/"&amp;RIGHT("00"&amp;VALUE(TRIM(MID(MID(Sync!$L1612,FIND("/",Sync!$L1612)+1,20),FIND("/",MID(Sync!$L1612,FIND("/",Sync!$L1612)+1,20))+1,20))),2),"")))</f>
        <v/>
      </c>
    </row>
    <row r="1613">
      <c r="M1613">
        <f>IF(Sync!$M1613&lt;&gt;"پاس چک","",IF(Sync!$P1613="","",Sync!$P1613))</f>
        <v/>
      </c>
      <c r="N1613">
        <f>IF($M1613="","",IF(ISNUMBER(Sync!$L1613),IF(AND(Sync!$L1613&gt;=10000101,Sync!$L1613&lt;=99991231),RIGHT("0000"&amp;INT(Sync!$L1613/10000),4)&amp;"/"&amp;RIGHT("00"&amp;INT(MOD(Sync!$L1613,10000)/100),2)&amp;"/"&amp;RIGHT("00"&amp;MOD(Sync!$L1613,100),2),""),IFERROR(RIGHT("0000"&amp;VALUE(TRIM(LEFT(Sync!$L1613,FIND("/",Sync!$L1613)-1))),4)&amp;"/"&amp;RIGHT("00"&amp;VALUE(TRIM(LEFT(MID(Sync!$L1613,FIND("/",Sync!$L1613)+1,20),FIND("/",MID(Sync!$L1613,FIND("/",Sync!$L1613)+1,20))-1))),2)&amp;"/"&amp;RIGHT("00"&amp;VALUE(TRIM(MID(MID(Sync!$L1613,FIND("/",Sync!$L1613)+1,20),FIND("/",MID(Sync!$L1613,FIND("/",Sync!$L1613)+1,20))+1,20))),2),"")))</f>
        <v/>
      </c>
    </row>
    <row r="1614">
      <c r="M1614">
        <f>IF(Sync!$M1614&lt;&gt;"پاس چک","",IF(Sync!$P1614="","",Sync!$P1614))</f>
        <v/>
      </c>
      <c r="N1614">
        <f>IF($M1614="","",IF(ISNUMBER(Sync!$L1614),IF(AND(Sync!$L1614&gt;=10000101,Sync!$L1614&lt;=99991231),RIGHT("0000"&amp;INT(Sync!$L1614/10000),4)&amp;"/"&amp;RIGHT("00"&amp;INT(MOD(Sync!$L1614,10000)/100),2)&amp;"/"&amp;RIGHT("00"&amp;MOD(Sync!$L1614,100),2),""),IFERROR(RIGHT("0000"&amp;VALUE(TRIM(LEFT(Sync!$L1614,FIND("/",Sync!$L1614)-1))),4)&amp;"/"&amp;RIGHT("00"&amp;VALUE(TRIM(LEFT(MID(Sync!$L1614,FIND("/",Sync!$L1614)+1,20),FIND("/",MID(Sync!$L1614,FIND("/",Sync!$L1614)+1,20))-1))),2)&amp;"/"&amp;RIGHT("00"&amp;VALUE(TRIM(MID(MID(Sync!$L1614,FIND("/",Sync!$L1614)+1,20),FIND("/",MID(Sync!$L1614,FIND("/",Sync!$L1614)+1,20))+1,20))),2),"")))</f>
        <v/>
      </c>
    </row>
    <row r="1615">
      <c r="M1615">
        <f>IF(Sync!$M1615&lt;&gt;"پاس چک","",IF(Sync!$P1615="","",Sync!$P1615))</f>
        <v/>
      </c>
      <c r="N1615">
        <f>IF($M1615="","",IF(ISNUMBER(Sync!$L1615),IF(AND(Sync!$L1615&gt;=10000101,Sync!$L1615&lt;=99991231),RIGHT("0000"&amp;INT(Sync!$L1615/10000),4)&amp;"/"&amp;RIGHT("00"&amp;INT(MOD(Sync!$L1615,10000)/100),2)&amp;"/"&amp;RIGHT("00"&amp;MOD(Sync!$L1615,100),2),""),IFERROR(RIGHT("0000"&amp;VALUE(TRIM(LEFT(Sync!$L1615,FIND("/",Sync!$L1615)-1))),4)&amp;"/"&amp;RIGHT("00"&amp;VALUE(TRIM(LEFT(MID(Sync!$L1615,FIND("/",Sync!$L1615)+1,20),FIND("/",MID(Sync!$L1615,FIND("/",Sync!$L1615)+1,20))-1))),2)&amp;"/"&amp;RIGHT("00"&amp;VALUE(TRIM(MID(MID(Sync!$L1615,FIND("/",Sync!$L1615)+1,20),FIND("/",MID(Sync!$L1615,FIND("/",Sync!$L1615)+1,20))+1,20))),2),"")))</f>
        <v/>
      </c>
    </row>
    <row r="1616">
      <c r="M1616">
        <f>IF(Sync!$M1616&lt;&gt;"پاس چک","",IF(Sync!$P1616="","",Sync!$P1616))</f>
        <v/>
      </c>
      <c r="N1616">
        <f>IF($M1616="","",IF(ISNUMBER(Sync!$L1616),IF(AND(Sync!$L1616&gt;=10000101,Sync!$L1616&lt;=99991231),RIGHT("0000"&amp;INT(Sync!$L1616/10000),4)&amp;"/"&amp;RIGHT("00"&amp;INT(MOD(Sync!$L1616,10000)/100),2)&amp;"/"&amp;RIGHT("00"&amp;MOD(Sync!$L1616,100),2),""),IFERROR(RIGHT("0000"&amp;VALUE(TRIM(LEFT(Sync!$L1616,FIND("/",Sync!$L1616)-1))),4)&amp;"/"&amp;RIGHT("00"&amp;VALUE(TRIM(LEFT(MID(Sync!$L1616,FIND("/",Sync!$L1616)+1,20),FIND("/",MID(Sync!$L1616,FIND("/",Sync!$L1616)+1,20))-1))),2)&amp;"/"&amp;RIGHT("00"&amp;VALUE(TRIM(MID(MID(Sync!$L1616,FIND("/",Sync!$L1616)+1,20),FIND("/",MID(Sync!$L1616,FIND("/",Sync!$L1616)+1,20))+1,20))),2),"")))</f>
        <v/>
      </c>
    </row>
    <row r="1617">
      <c r="M1617">
        <f>IF(Sync!$M1617&lt;&gt;"پاس چک","",IF(Sync!$P1617="","",Sync!$P1617))</f>
        <v/>
      </c>
      <c r="N1617">
        <f>IF($M1617="","",IF(ISNUMBER(Sync!$L1617),IF(AND(Sync!$L1617&gt;=10000101,Sync!$L1617&lt;=99991231),RIGHT("0000"&amp;INT(Sync!$L1617/10000),4)&amp;"/"&amp;RIGHT("00"&amp;INT(MOD(Sync!$L1617,10000)/100),2)&amp;"/"&amp;RIGHT("00"&amp;MOD(Sync!$L1617,100),2),""),IFERROR(RIGHT("0000"&amp;VALUE(TRIM(LEFT(Sync!$L1617,FIND("/",Sync!$L1617)-1))),4)&amp;"/"&amp;RIGHT("00"&amp;VALUE(TRIM(LEFT(MID(Sync!$L1617,FIND("/",Sync!$L1617)+1,20),FIND("/",MID(Sync!$L1617,FIND("/",Sync!$L1617)+1,20))-1))),2)&amp;"/"&amp;RIGHT("00"&amp;VALUE(TRIM(MID(MID(Sync!$L1617,FIND("/",Sync!$L1617)+1,20),FIND("/",MID(Sync!$L1617,FIND("/",Sync!$L1617)+1,20))+1,20))),2),"")))</f>
        <v/>
      </c>
    </row>
    <row r="1618">
      <c r="M1618">
        <f>IF(Sync!$M1618&lt;&gt;"پاس چک","",IF(Sync!$P1618="","",Sync!$P1618))</f>
        <v/>
      </c>
      <c r="N1618">
        <f>IF($M1618="","",IF(ISNUMBER(Sync!$L1618),IF(AND(Sync!$L1618&gt;=10000101,Sync!$L1618&lt;=99991231),RIGHT("0000"&amp;INT(Sync!$L1618/10000),4)&amp;"/"&amp;RIGHT("00"&amp;INT(MOD(Sync!$L1618,10000)/100),2)&amp;"/"&amp;RIGHT("00"&amp;MOD(Sync!$L1618,100),2),""),IFERROR(RIGHT("0000"&amp;VALUE(TRIM(LEFT(Sync!$L1618,FIND("/",Sync!$L1618)-1))),4)&amp;"/"&amp;RIGHT("00"&amp;VALUE(TRIM(LEFT(MID(Sync!$L1618,FIND("/",Sync!$L1618)+1,20),FIND("/",MID(Sync!$L1618,FIND("/",Sync!$L1618)+1,20))-1))),2)&amp;"/"&amp;RIGHT("00"&amp;VALUE(TRIM(MID(MID(Sync!$L1618,FIND("/",Sync!$L1618)+1,20),FIND("/",MID(Sync!$L1618,FIND("/",Sync!$L1618)+1,20))+1,20))),2),"")))</f>
        <v/>
      </c>
    </row>
    <row r="1619">
      <c r="M1619">
        <f>IF(Sync!$M1619&lt;&gt;"پاس چک","",IF(Sync!$P1619="","",Sync!$P1619))</f>
        <v/>
      </c>
      <c r="N1619">
        <f>IF($M1619="","",IF(ISNUMBER(Sync!$L1619),IF(AND(Sync!$L1619&gt;=10000101,Sync!$L1619&lt;=99991231),RIGHT("0000"&amp;INT(Sync!$L1619/10000),4)&amp;"/"&amp;RIGHT("00"&amp;INT(MOD(Sync!$L1619,10000)/100),2)&amp;"/"&amp;RIGHT("00"&amp;MOD(Sync!$L1619,100),2),""),IFERROR(RIGHT("0000"&amp;VALUE(TRIM(LEFT(Sync!$L1619,FIND("/",Sync!$L1619)-1))),4)&amp;"/"&amp;RIGHT("00"&amp;VALUE(TRIM(LEFT(MID(Sync!$L1619,FIND("/",Sync!$L1619)+1,20),FIND("/",MID(Sync!$L1619,FIND("/",Sync!$L1619)+1,20))-1))),2)&amp;"/"&amp;RIGHT("00"&amp;VALUE(TRIM(MID(MID(Sync!$L1619,FIND("/",Sync!$L1619)+1,20),FIND("/",MID(Sync!$L1619,FIND("/",Sync!$L1619)+1,20))+1,20))),2),"")))</f>
        <v/>
      </c>
    </row>
    <row r="1620">
      <c r="M1620">
        <f>IF(Sync!$M1620&lt;&gt;"پاس چک","",IF(Sync!$P1620="","",Sync!$P1620))</f>
        <v/>
      </c>
      <c r="N1620">
        <f>IF($M1620="","",IF(ISNUMBER(Sync!$L1620),IF(AND(Sync!$L1620&gt;=10000101,Sync!$L1620&lt;=99991231),RIGHT("0000"&amp;INT(Sync!$L1620/10000),4)&amp;"/"&amp;RIGHT("00"&amp;INT(MOD(Sync!$L1620,10000)/100),2)&amp;"/"&amp;RIGHT("00"&amp;MOD(Sync!$L1620,100),2),""),IFERROR(RIGHT("0000"&amp;VALUE(TRIM(LEFT(Sync!$L1620,FIND("/",Sync!$L1620)-1))),4)&amp;"/"&amp;RIGHT("00"&amp;VALUE(TRIM(LEFT(MID(Sync!$L1620,FIND("/",Sync!$L1620)+1,20),FIND("/",MID(Sync!$L1620,FIND("/",Sync!$L1620)+1,20))-1))),2)&amp;"/"&amp;RIGHT("00"&amp;VALUE(TRIM(MID(MID(Sync!$L1620,FIND("/",Sync!$L1620)+1,20),FIND("/",MID(Sync!$L1620,FIND("/",Sync!$L1620)+1,20))+1,20))),2),"")))</f>
        <v/>
      </c>
    </row>
    <row r="1621">
      <c r="M1621">
        <f>IF(Sync!$M1621&lt;&gt;"پاس چک","",IF(Sync!$P1621="","",Sync!$P1621))</f>
        <v/>
      </c>
      <c r="N1621">
        <f>IF($M1621="","",IF(ISNUMBER(Sync!$L1621),IF(AND(Sync!$L1621&gt;=10000101,Sync!$L1621&lt;=99991231),RIGHT("0000"&amp;INT(Sync!$L1621/10000),4)&amp;"/"&amp;RIGHT("00"&amp;INT(MOD(Sync!$L1621,10000)/100),2)&amp;"/"&amp;RIGHT("00"&amp;MOD(Sync!$L1621,100),2),""),IFERROR(RIGHT("0000"&amp;VALUE(TRIM(LEFT(Sync!$L1621,FIND("/",Sync!$L1621)-1))),4)&amp;"/"&amp;RIGHT("00"&amp;VALUE(TRIM(LEFT(MID(Sync!$L1621,FIND("/",Sync!$L1621)+1,20),FIND("/",MID(Sync!$L1621,FIND("/",Sync!$L1621)+1,20))-1))),2)&amp;"/"&amp;RIGHT("00"&amp;VALUE(TRIM(MID(MID(Sync!$L1621,FIND("/",Sync!$L1621)+1,20),FIND("/",MID(Sync!$L1621,FIND("/",Sync!$L1621)+1,20))+1,20))),2),"")))</f>
        <v/>
      </c>
    </row>
    <row r="1622">
      <c r="M1622">
        <f>IF(Sync!$M1622&lt;&gt;"پاس چک","",IF(Sync!$P1622="","",Sync!$P1622))</f>
        <v/>
      </c>
      <c r="N1622">
        <f>IF($M1622="","",IF(ISNUMBER(Sync!$L1622),IF(AND(Sync!$L1622&gt;=10000101,Sync!$L1622&lt;=99991231),RIGHT("0000"&amp;INT(Sync!$L1622/10000),4)&amp;"/"&amp;RIGHT("00"&amp;INT(MOD(Sync!$L1622,10000)/100),2)&amp;"/"&amp;RIGHT("00"&amp;MOD(Sync!$L1622,100),2),""),IFERROR(RIGHT("0000"&amp;VALUE(TRIM(LEFT(Sync!$L1622,FIND("/",Sync!$L1622)-1))),4)&amp;"/"&amp;RIGHT("00"&amp;VALUE(TRIM(LEFT(MID(Sync!$L1622,FIND("/",Sync!$L1622)+1,20),FIND("/",MID(Sync!$L1622,FIND("/",Sync!$L1622)+1,20))-1))),2)&amp;"/"&amp;RIGHT("00"&amp;VALUE(TRIM(MID(MID(Sync!$L1622,FIND("/",Sync!$L1622)+1,20),FIND("/",MID(Sync!$L1622,FIND("/",Sync!$L1622)+1,20))+1,20))),2),"")))</f>
        <v/>
      </c>
    </row>
    <row r="1623">
      <c r="M1623">
        <f>IF(Sync!$M1623&lt;&gt;"پاس چک","",IF(Sync!$P1623="","",Sync!$P1623))</f>
        <v/>
      </c>
      <c r="N1623">
        <f>IF($M1623="","",IF(ISNUMBER(Sync!$L1623),IF(AND(Sync!$L1623&gt;=10000101,Sync!$L1623&lt;=99991231),RIGHT("0000"&amp;INT(Sync!$L1623/10000),4)&amp;"/"&amp;RIGHT("00"&amp;INT(MOD(Sync!$L1623,10000)/100),2)&amp;"/"&amp;RIGHT("00"&amp;MOD(Sync!$L1623,100),2),""),IFERROR(RIGHT("0000"&amp;VALUE(TRIM(LEFT(Sync!$L1623,FIND("/",Sync!$L1623)-1))),4)&amp;"/"&amp;RIGHT("00"&amp;VALUE(TRIM(LEFT(MID(Sync!$L1623,FIND("/",Sync!$L1623)+1,20),FIND("/",MID(Sync!$L1623,FIND("/",Sync!$L1623)+1,20))-1))),2)&amp;"/"&amp;RIGHT("00"&amp;VALUE(TRIM(MID(MID(Sync!$L1623,FIND("/",Sync!$L1623)+1,20),FIND("/",MID(Sync!$L1623,FIND("/",Sync!$L1623)+1,20))+1,20))),2),"")))</f>
        <v/>
      </c>
    </row>
    <row r="1624">
      <c r="M1624">
        <f>IF(Sync!$M1624&lt;&gt;"پاس چک","",IF(Sync!$P1624="","",Sync!$P1624))</f>
        <v/>
      </c>
      <c r="N1624">
        <f>IF($M1624="","",IF(ISNUMBER(Sync!$L1624),IF(AND(Sync!$L1624&gt;=10000101,Sync!$L1624&lt;=99991231),RIGHT("0000"&amp;INT(Sync!$L1624/10000),4)&amp;"/"&amp;RIGHT("00"&amp;INT(MOD(Sync!$L1624,10000)/100),2)&amp;"/"&amp;RIGHT("00"&amp;MOD(Sync!$L1624,100),2),""),IFERROR(RIGHT("0000"&amp;VALUE(TRIM(LEFT(Sync!$L1624,FIND("/",Sync!$L1624)-1))),4)&amp;"/"&amp;RIGHT("00"&amp;VALUE(TRIM(LEFT(MID(Sync!$L1624,FIND("/",Sync!$L1624)+1,20),FIND("/",MID(Sync!$L1624,FIND("/",Sync!$L1624)+1,20))-1))),2)&amp;"/"&amp;RIGHT("00"&amp;VALUE(TRIM(MID(MID(Sync!$L1624,FIND("/",Sync!$L1624)+1,20),FIND("/",MID(Sync!$L1624,FIND("/",Sync!$L1624)+1,20))+1,20))),2),"")))</f>
        <v/>
      </c>
    </row>
    <row r="1625">
      <c r="M1625">
        <f>IF(Sync!$M1625&lt;&gt;"پاس چک","",IF(Sync!$P1625="","",Sync!$P1625))</f>
        <v/>
      </c>
      <c r="N1625">
        <f>IF($M1625="","",IF(ISNUMBER(Sync!$L1625),IF(AND(Sync!$L1625&gt;=10000101,Sync!$L1625&lt;=99991231),RIGHT("0000"&amp;INT(Sync!$L1625/10000),4)&amp;"/"&amp;RIGHT("00"&amp;INT(MOD(Sync!$L1625,10000)/100),2)&amp;"/"&amp;RIGHT("00"&amp;MOD(Sync!$L1625,100),2),""),IFERROR(RIGHT("0000"&amp;VALUE(TRIM(LEFT(Sync!$L1625,FIND("/",Sync!$L1625)-1))),4)&amp;"/"&amp;RIGHT("00"&amp;VALUE(TRIM(LEFT(MID(Sync!$L1625,FIND("/",Sync!$L1625)+1,20),FIND("/",MID(Sync!$L1625,FIND("/",Sync!$L1625)+1,20))-1))),2)&amp;"/"&amp;RIGHT("00"&amp;VALUE(TRIM(MID(MID(Sync!$L1625,FIND("/",Sync!$L1625)+1,20),FIND("/",MID(Sync!$L1625,FIND("/",Sync!$L1625)+1,20))+1,20))),2),"")))</f>
        <v/>
      </c>
    </row>
    <row r="1626">
      <c r="M1626">
        <f>IF(Sync!$M1626&lt;&gt;"پاس چک","",IF(Sync!$P1626="","",Sync!$P1626))</f>
        <v/>
      </c>
      <c r="N1626">
        <f>IF($M1626="","",IF(ISNUMBER(Sync!$L1626),IF(AND(Sync!$L1626&gt;=10000101,Sync!$L1626&lt;=99991231),RIGHT("0000"&amp;INT(Sync!$L1626/10000),4)&amp;"/"&amp;RIGHT("00"&amp;INT(MOD(Sync!$L1626,10000)/100),2)&amp;"/"&amp;RIGHT("00"&amp;MOD(Sync!$L1626,100),2),""),IFERROR(RIGHT("0000"&amp;VALUE(TRIM(LEFT(Sync!$L1626,FIND("/",Sync!$L1626)-1))),4)&amp;"/"&amp;RIGHT("00"&amp;VALUE(TRIM(LEFT(MID(Sync!$L1626,FIND("/",Sync!$L1626)+1,20),FIND("/",MID(Sync!$L1626,FIND("/",Sync!$L1626)+1,20))-1))),2)&amp;"/"&amp;RIGHT("00"&amp;VALUE(TRIM(MID(MID(Sync!$L1626,FIND("/",Sync!$L1626)+1,20),FIND("/",MID(Sync!$L1626,FIND("/",Sync!$L1626)+1,20))+1,20))),2),"")))</f>
        <v/>
      </c>
    </row>
    <row r="1627">
      <c r="M1627">
        <f>IF(Sync!$M1627&lt;&gt;"پاس چک","",IF(Sync!$P1627="","",Sync!$P1627))</f>
        <v/>
      </c>
      <c r="N1627">
        <f>IF($M1627="","",IF(ISNUMBER(Sync!$L1627),IF(AND(Sync!$L1627&gt;=10000101,Sync!$L1627&lt;=99991231),RIGHT("0000"&amp;INT(Sync!$L1627/10000),4)&amp;"/"&amp;RIGHT("00"&amp;INT(MOD(Sync!$L1627,10000)/100),2)&amp;"/"&amp;RIGHT("00"&amp;MOD(Sync!$L1627,100),2),""),IFERROR(RIGHT("0000"&amp;VALUE(TRIM(LEFT(Sync!$L1627,FIND("/",Sync!$L1627)-1))),4)&amp;"/"&amp;RIGHT("00"&amp;VALUE(TRIM(LEFT(MID(Sync!$L1627,FIND("/",Sync!$L1627)+1,20),FIND("/",MID(Sync!$L1627,FIND("/",Sync!$L1627)+1,20))-1))),2)&amp;"/"&amp;RIGHT("00"&amp;VALUE(TRIM(MID(MID(Sync!$L1627,FIND("/",Sync!$L1627)+1,20),FIND("/",MID(Sync!$L1627,FIND("/",Sync!$L1627)+1,20))+1,20))),2),"")))</f>
        <v/>
      </c>
    </row>
    <row r="1628">
      <c r="M1628">
        <f>IF(Sync!$M1628&lt;&gt;"پاس چک","",IF(Sync!$P1628="","",Sync!$P1628))</f>
        <v/>
      </c>
      <c r="N1628">
        <f>IF($M1628="","",IF(ISNUMBER(Sync!$L1628),IF(AND(Sync!$L1628&gt;=10000101,Sync!$L1628&lt;=99991231),RIGHT("0000"&amp;INT(Sync!$L1628/10000),4)&amp;"/"&amp;RIGHT("00"&amp;INT(MOD(Sync!$L1628,10000)/100),2)&amp;"/"&amp;RIGHT("00"&amp;MOD(Sync!$L1628,100),2),""),IFERROR(RIGHT("0000"&amp;VALUE(TRIM(LEFT(Sync!$L1628,FIND("/",Sync!$L1628)-1))),4)&amp;"/"&amp;RIGHT("00"&amp;VALUE(TRIM(LEFT(MID(Sync!$L1628,FIND("/",Sync!$L1628)+1,20),FIND("/",MID(Sync!$L1628,FIND("/",Sync!$L1628)+1,20))-1))),2)&amp;"/"&amp;RIGHT("00"&amp;VALUE(TRIM(MID(MID(Sync!$L1628,FIND("/",Sync!$L1628)+1,20),FIND("/",MID(Sync!$L1628,FIND("/",Sync!$L1628)+1,20))+1,20))),2),"")))</f>
        <v/>
      </c>
    </row>
    <row r="1629">
      <c r="M1629">
        <f>IF(Sync!$M1629&lt;&gt;"پاس چک","",IF(Sync!$P1629="","",Sync!$P1629))</f>
        <v/>
      </c>
      <c r="N1629">
        <f>IF($M1629="","",IF(ISNUMBER(Sync!$L1629),IF(AND(Sync!$L1629&gt;=10000101,Sync!$L1629&lt;=99991231),RIGHT("0000"&amp;INT(Sync!$L1629/10000),4)&amp;"/"&amp;RIGHT("00"&amp;INT(MOD(Sync!$L1629,10000)/100),2)&amp;"/"&amp;RIGHT("00"&amp;MOD(Sync!$L1629,100),2),""),IFERROR(RIGHT("0000"&amp;VALUE(TRIM(LEFT(Sync!$L1629,FIND("/",Sync!$L1629)-1))),4)&amp;"/"&amp;RIGHT("00"&amp;VALUE(TRIM(LEFT(MID(Sync!$L1629,FIND("/",Sync!$L1629)+1,20),FIND("/",MID(Sync!$L1629,FIND("/",Sync!$L1629)+1,20))-1))),2)&amp;"/"&amp;RIGHT("00"&amp;VALUE(TRIM(MID(MID(Sync!$L1629,FIND("/",Sync!$L1629)+1,20),FIND("/",MID(Sync!$L1629,FIND("/",Sync!$L1629)+1,20))+1,20))),2),"")))</f>
        <v/>
      </c>
    </row>
    <row r="1630">
      <c r="M1630">
        <f>IF(Sync!$M1630&lt;&gt;"پاس چک","",IF(Sync!$P1630="","",Sync!$P1630))</f>
        <v/>
      </c>
      <c r="N1630">
        <f>IF($M1630="","",IF(ISNUMBER(Sync!$L1630),IF(AND(Sync!$L1630&gt;=10000101,Sync!$L1630&lt;=99991231),RIGHT("0000"&amp;INT(Sync!$L1630/10000),4)&amp;"/"&amp;RIGHT("00"&amp;INT(MOD(Sync!$L1630,10000)/100),2)&amp;"/"&amp;RIGHT("00"&amp;MOD(Sync!$L1630,100),2),""),IFERROR(RIGHT("0000"&amp;VALUE(TRIM(LEFT(Sync!$L1630,FIND("/",Sync!$L1630)-1))),4)&amp;"/"&amp;RIGHT("00"&amp;VALUE(TRIM(LEFT(MID(Sync!$L1630,FIND("/",Sync!$L1630)+1,20),FIND("/",MID(Sync!$L1630,FIND("/",Sync!$L1630)+1,20))-1))),2)&amp;"/"&amp;RIGHT("00"&amp;VALUE(TRIM(MID(MID(Sync!$L1630,FIND("/",Sync!$L1630)+1,20),FIND("/",MID(Sync!$L1630,FIND("/",Sync!$L1630)+1,20))+1,20))),2),"")))</f>
        <v/>
      </c>
    </row>
    <row r="1631">
      <c r="M1631">
        <f>IF(Sync!$M1631&lt;&gt;"پاس چک","",IF(Sync!$P1631="","",Sync!$P1631))</f>
        <v/>
      </c>
      <c r="N1631">
        <f>IF($M1631="","",IF(ISNUMBER(Sync!$L1631),IF(AND(Sync!$L1631&gt;=10000101,Sync!$L1631&lt;=99991231),RIGHT("0000"&amp;INT(Sync!$L1631/10000),4)&amp;"/"&amp;RIGHT("00"&amp;INT(MOD(Sync!$L1631,10000)/100),2)&amp;"/"&amp;RIGHT("00"&amp;MOD(Sync!$L1631,100),2),""),IFERROR(RIGHT("0000"&amp;VALUE(TRIM(LEFT(Sync!$L1631,FIND("/",Sync!$L1631)-1))),4)&amp;"/"&amp;RIGHT("00"&amp;VALUE(TRIM(LEFT(MID(Sync!$L1631,FIND("/",Sync!$L1631)+1,20),FIND("/",MID(Sync!$L1631,FIND("/",Sync!$L1631)+1,20))-1))),2)&amp;"/"&amp;RIGHT("00"&amp;VALUE(TRIM(MID(MID(Sync!$L1631,FIND("/",Sync!$L1631)+1,20),FIND("/",MID(Sync!$L1631,FIND("/",Sync!$L1631)+1,20))+1,20))),2),"")))</f>
        <v/>
      </c>
    </row>
    <row r="1632">
      <c r="M1632">
        <f>IF(Sync!$M1632&lt;&gt;"پاس چک","",IF(Sync!$P1632="","",Sync!$P1632))</f>
        <v/>
      </c>
      <c r="N1632">
        <f>IF($M1632="","",IF(ISNUMBER(Sync!$L1632),IF(AND(Sync!$L1632&gt;=10000101,Sync!$L1632&lt;=99991231),RIGHT("0000"&amp;INT(Sync!$L1632/10000),4)&amp;"/"&amp;RIGHT("00"&amp;INT(MOD(Sync!$L1632,10000)/100),2)&amp;"/"&amp;RIGHT("00"&amp;MOD(Sync!$L1632,100),2),""),IFERROR(RIGHT("0000"&amp;VALUE(TRIM(LEFT(Sync!$L1632,FIND("/",Sync!$L1632)-1))),4)&amp;"/"&amp;RIGHT("00"&amp;VALUE(TRIM(LEFT(MID(Sync!$L1632,FIND("/",Sync!$L1632)+1,20),FIND("/",MID(Sync!$L1632,FIND("/",Sync!$L1632)+1,20))-1))),2)&amp;"/"&amp;RIGHT("00"&amp;VALUE(TRIM(MID(MID(Sync!$L1632,FIND("/",Sync!$L1632)+1,20),FIND("/",MID(Sync!$L1632,FIND("/",Sync!$L1632)+1,20))+1,20))),2),"")))</f>
        <v/>
      </c>
    </row>
    <row r="1633">
      <c r="M1633">
        <f>IF(Sync!$M1633&lt;&gt;"پاس چک","",IF(Sync!$P1633="","",Sync!$P1633))</f>
        <v/>
      </c>
      <c r="N1633">
        <f>IF($M1633="","",IF(ISNUMBER(Sync!$L1633),IF(AND(Sync!$L1633&gt;=10000101,Sync!$L1633&lt;=99991231),RIGHT("0000"&amp;INT(Sync!$L1633/10000),4)&amp;"/"&amp;RIGHT("00"&amp;INT(MOD(Sync!$L1633,10000)/100),2)&amp;"/"&amp;RIGHT("00"&amp;MOD(Sync!$L1633,100),2),""),IFERROR(RIGHT("0000"&amp;VALUE(TRIM(LEFT(Sync!$L1633,FIND("/",Sync!$L1633)-1))),4)&amp;"/"&amp;RIGHT("00"&amp;VALUE(TRIM(LEFT(MID(Sync!$L1633,FIND("/",Sync!$L1633)+1,20),FIND("/",MID(Sync!$L1633,FIND("/",Sync!$L1633)+1,20))-1))),2)&amp;"/"&amp;RIGHT("00"&amp;VALUE(TRIM(MID(MID(Sync!$L1633,FIND("/",Sync!$L1633)+1,20),FIND("/",MID(Sync!$L1633,FIND("/",Sync!$L1633)+1,20))+1,20))),2),"")))</f>
        <v/>
      </c>
    </row>
    <row r="1634">
      <c r="M1634">
        <f>IF(Sync!$M1634&lt;&gt;"پاس چک","",IF(Sync!$P1634="","",Sync!$P1634))</f>
        <v/>
      </c>
      <c r="N1634">
        <f>IF($M1634="","",IF(ISNUMBER(Sync!$L1634),IF(AND(Sync!$L1634&gt;=10000101,Sync!$L1634&lt;=99991231),RIGHT("0000"&amp;INT(Sync!$L1634/10000),4)&amp;"/"&amp;RIGHT("00"&amp;INT(MOD(Sync!$L1634,10000)/100),2)&amp;"/"&amp;RIGHT("00"&amp;MOD(Sync!$L1634,100),2),""),IFERROR(RIGHT("0000"&amp;VALUE(TRIM(LEFT(Sync!$L1634,FIND("/",Sync!$L1634)-1))),4)&amp;"/"&amp;RIGHT("00"&amp;VALUE(TRIM(LEFT(MID(Sync!$L1634,FIND("/",Sync!$L1634)+1,20),FIND("/",MID(Sync!$L1634,FIND("/",Sync!$L1634)+1,20))-1))),2)&amp;"/"&amp;RIGHT("00"&amp;VALUE(TRIM(MID(MID(Sync!$L1634,FIND("/",Sync!$L1634)+1,20),FIND("/",MID(Sync!$L1634,FIND("/",Sync!$L1634)+1,20))+1,20))),2),"")))</f>
        <v/>
      </c>
    </row>
    <row r="1635">
      <c r="M1635">
        <f>IF(Sync!$M1635&lt;&gt;"پاس چک","",IF(Sync!$P1635="","",Sync!$P1635))</f>
        <v/>
      </c>
      <c r="N1635">
        <f>IF($M1635="","",IF(ISNUMBER(Sync!$L1635),IF(AND(Sync!$L1635&gt;=10000101,Sync!$L1635&lt;=99991231),RIGHT("0000"&amp;INT(Sync!$L1635/10000),4)&amp;"/"&amp;RIGHT("00"&amp;INT(MOD(Sync!$L1635,10000)/100),2)&amp;"/"&amp;RIGHT("00"&amp;MOD(Sync!$L1635,100),2),""),IFERROR(RIGHT("0000"&amp;VALUE(TRIM(LEFT(Sync!$L1635,FIND("/",Sync!$L1635)-1))),4)&amp;"/"&amp;RIGHT("00"&amp;VALUE(TRIM(LEFT(MID(Sync!$L1635,FIND("/",Sync!$L1635)+1,20),FIND("/",MID(Sync!$L1635,FIND("/",Sync!$L1635)+1,20))-1))),2)&amp;"/"&amp;RIGHT("00"&amp;VALUE(TRIM(MID(MID(Sync!$L1635,FIND("/",Sync!$L1635)+1,20),FIND("/",MID(Sync!$L1635,FIND("/",Sync!$L1635)+1,20))+1,20))),2),"")))</f>
        <v/>
      </c>
    </row>
    <row r="1636">
      <c r="M1636">
        <f>IF(Sync!$M1636&lt;&gt;"پاس چک","",IF(Sync!$P1636="","",Sync!$P1636))</f>
        <v/>
      </c>
      <c r="N1636">
        <f>IF($M1636="","",IF(ISNUMBER(Sync!$L1636),IF(AND(Sync!$L1636&gt;=10000101,Sync!$L1636&lt;=99991231),RIGHT("0000"&amp;INT(Sync!$L1636/10000),4)&amp;"/"&amp;RIGHT("00"&amp;INT(MOD(Sync!$L1636,10000)/100),2)&amp;"/"&amp;RIGHT("00"&amp;MOD(Sync!$L1636,100),2),""),IFERROR(RIGHT("0000"&amp;VALUE(TRIM(LEFT(Sync!$L1636,FIND("/",Sync!$L1636)-1))),4)&amp;"/"&amp;RIGHT("00"&amp;VALUE(TRIM(LEFT(MID(Sync!$L1636,FIND("/",Sync!$L1636)+1,20),FIND("/",MID(Sync!$L1636,FIND("/",Sync!$L1636)+1,20))-1))),2)&amp;"/"&amp;RIGHT("00"&amp;VALUE(TRIM(MID(MID(Sync!$L1636,FIND("/",Sync!$L1636)+1,20),FIND("/",MID(Sync!$L1636,FIND("/",Sync!$L1636)+1,20))+1,20))),2),"")))</f>
        <v/>
      </c>
    </row>
    <row r="1637">
      <c r="M1637">
        <f>IF(Sync!$M1637&lt;&gt;"پاس چک","",IF(Sync!$P1637="","",Sync!$P1637))</f>
        <v/>
      </c>
      <c r="N1637">
        <f>IF($M1637="","",IF(ISNUMBER(Sync!$L1637),IF(AND(Sync!$L1637&gt;=10000101,Sync!$L1637&lt;=99991231),RIGHT("0000"&amp;INT(Sync!$L1637/10000),4)&amp;"/"&amp;RIGHT("00"&amp;INT(MOD(Sync!$L1637,10000)/100),2)&amp;"/"&amp;RIGHT("00"&amp;MOD(Sync!$L1637,100),2),""),IFERROR(RIGHT("0000"&amp;VALUE(TRIM(LEFT(Sync!$L1637,FIND("/",Sync!$L1637)-1))),4)&amp;"/"&amp;RIGHT("00"&amp;VALUE(TRIM(LEFT(MID(Sync!$L1637,FIND("/",Sync!$L1637)+1,20),FIND("/",MID(Sync!$L1637,FIND("/",Sync!$L1637)+1,20))-1))),2)&amp;"/"&amp;RIGHT("00"&amp;VALUE(TRIM(MID(MID(Sync!$L1637,FIND("/",Sync!$L1637)+1,20),FIND("/",MID(Sync!$L1637,FIND("/",Sync!$L1637)+1,20))+1,20))),2),"")))</f>
        <v/>
      </c>
    </row>
    <row r="1638">
      <c r="M1638">
        <f>IF(Sync!$M1638&lt;&gt;"پاس چک","",IF(Sync!$P1638="","",Sync!$P1638))</f>
        <v/>
      </c>
      <c r="N1638">
        <f>IF($M1638="","",IF(ISNUMBER(Sync!$L1638),IF(AND(Sync!$L1638&gt;=10000101,Sync!$L1638&lt;=99991231),RIGHT("0000"&amp;INT(Sync!$L1638/10000),4)&amp;"/"&amp;RIGHT("00"&amp;INT(MOD(Sync!$L1638,10000)/100),2)&amp;"/"&amp;RIGHT("00"&amp;MOD(Sync!$L1638,100),2),""),IFERROR(RIGHT("0000"&amp;VALUE(TRIM(LEFT(Sync!$L1638,FIND("/",Sync!$L1638)-1))),4)&amp;"/"&amp;RIGHT("00"&amp;VALUE(TRIM(LEFT(MID(Sync!$L1638,FIND("/",Sync!$L1638)+1,20),FIND("/",MID(Sync!$L1638,FIND("/",Sync!$L1638)+1,20))-1))),2)&amp;"/"&amp;RIGHT("00"&amp;VALUE(TRIM(MID(MID(Sync!$L1638,FIND("/",Sync!$L1638)+1,20),FIND("/",MID(Sync!$L1638,FIND("/",Sync!$L1638)+1,20))+1,20))),2),"")))</f>
        <v/>
      </c>
    </row>
    <row r="1639">
      <c r="M1639">
        <f>IF(Sync!$M1639&lt;&gt;"پاس چک","",IF(Sync!$P1639="","",Sync!$P1639))</f>
        <v/>
      </c>
      <c r="N1639">
        <f>IF($M1639="","",IF(ISNUMBER(Sync!$L1639),IF(AND(Sync!$L1639&gt;=10000101,Sync!$L1639&lt;=99991231),RIGHT("0000"&amp;INT(Sync!$L1639/10000),4)&amp;"/"&amp;RIGHT("00"&amp;INT(MOD(Sync!$L1639,10000)/100),2)&amp;"/"&amp;RIGHT("00"&amp;MOD(Sync!$L1639,100),2),""),IFERROR(RIGHT("0000"&amp;VALUE(TRIM(LEFT(Sync!$L1639,FIND("/",Sync!$L1639)-1))),4)&amp;"/"&amp;RIGHT("00"&amp;VALUE(TRIM(LEFT(MID(Sync!$L1639,FIND("/",Sync!$L1639)+1,20),FIND("/",MID(Sync!$L1639,FIND("/",Sync!$L1639)+1,20))-1))),2)&amp;"/"&amp;RIGHT("00"&amp;VALUE(TRIM(MID(MID(Sync!$L1639,FIND("/",Sync!$L1639)+1,20),FIND("/",MID(Sync!$L1639,FIND("/",Sync!$L1639)+1,20))+1,20))),2),"")))</f>
        <v/>
      </c>
    </row>
    <row r="1640">
      <c r="M1640">
        <f>IF(Sync!$M1640&lt;&gt;"پاس چک","",IF(Sync!$P1640="","",Sync!$P1640))</f>
        <v/>
      </c>
      <c r="N1640">
        <f>IF($M1640="","",IF(ISNUMBER(Sync!$L1640),IF(AND(Sync!$L1640&gt;=10000101,Sync!$L1640&lt;=99991231),RIGHT("0000"&amp;INT(Sync!$L1640/10000),4)&amp;"/"&amp;RIGHT("00"&amp;INT(MOD(Sync!$L1640,10000)/100),2)&amp;"/"&amp;RIGHT("00"&amp;MOD(Sync!$L1640,100),2),""),IFERROR(RIGHT("0000"&amp;VALUE(TRIM(LEFT(Sync!$L1640,FIND("/",Sync!$L1640)-1))),4)&amp;"/"&amp;RIGHT("00"&amp;VALUE(TRIM(LEFT(MID(Sync!$L1640,FIND("/",Sync!$L1640)+1,20),FIND("/",MID(Sync!$L1640,FIND("/",Sync!$L1640)+1,20))-1))),2)&amp;"/"&amp;RIGHT("00"&amp;VALUE(TRIM(MID(MID(Sync!$L1640,FIND("/",Sync!$L1640)+1,20),FIND("/",MID(Sync!$L1640,FIND("/",Sync!$L1640)+1,20))+1,20))),2),"")))</f>
        <v/>
      </c>
    </row>
    <row r="1641">
      <c r="M1641">
        <f>IF(Sync!$M1641&lt;&gt;"پاس چک","",IF(Sync!$P1641="","",Sync!$P1641))</f>
        <v/>
      </c>
      <c r="N1641">
        <f>IF($M1641="","",IF(ISNUMBER(Sync!$L1641),IF(AND(Sync!$L1641&gt;=10000101,Sync!$L1641&lt;=99991231),RIGHT("0000"&amp;INT(Sync!$L1641/10000),4)&amp;"/"&amp;RIGHT("00"&amp;INT(MOD(Sync!$L1641,10000)/100),2)&amp;"/"&amp;RIGHT("00"&amp;MOD(Sync!$L1641,100),2),""),IFERROR(RIGHT("0000"&amp;VALUE(TRIM(LEFT(Sync!$L1641,FIND("/",Sync!$L1641)-1))),4)&amp;"/"&amp;RIGHT("00"&amp;VALUE(TRIM(LEFT(MID(Sync!$L1641,FIND("/",Sync!$L1641)+1,20),FIND("/",MID(Sync!$L1641,FIND("/",Sync!$L1641)+1,20))-1))),2)&amp;"/"&amp;RIGHT("00"&amp;VALUE(TRIM(MID(MID(Sync!$L1641,FIND("/",Sync!$L1641)+1,20),FIND("/",MID(Sync!$L1641,FIND("/",Sync!$L1641)+1,20))+1,20))),2),"")))</f>
        <v/>
      </c>
    </row>
    <row r="1642">
      <c r="M1642">
        <f>IF(Sync!$M1642&lt;&gt;"پاس چک","",IF(Sync!$P1642="","",Sync!$P1642))</f>
        <v/>
      </c>
      <c r="N1642">
        <f>IF($M1642="","",IF(ISNUMBER(Sync!$L1642),IF(AND(Sync!$L1642&gt;=10000101,Sync!$L1642&lt;=99991231),RIGHT("0000"&amp;INT(Sync!$L1642/10000),4)&amp;"/"&amp;RIGHT("00"&amp;INT(MOD(Sync!$L1642,10000)/100),2)&amp;"/"&amp;RIGHT("00"&amp;MOD(Sync!$L1642,100),2),""),IFERROR(RIGHT("0000"&amp;VALUE(TRIM(LEFT(Sync!$L1642,FIND("/",Sync!$L1642)-1))),4)&amp;"/"&amp;RIGHT("00"&amp;VALUE(TRIM(LEFT(MID(Sync!$L1642,FIND("/",Sync!$L1642)+1,20),FIND("/",MID(Sync!$L1642,FIND("/",Sync!$L1642)+1,20))-1))),2)&amp;"/"&amp;RIGHT("00"&amp;VALUE(TRIM(MID(MID(Sync!$L1642,FIND("/",Sync!$L1642)+1,20),FIND("/",MID(Sync!$L1642,FIND("/",Sync!$L1642)+1,20))+1,20))),2),"")))</f>
        <v/>
      </c>
    </row>
    <row r="1643">
      <c r="M1643">
        <f>IF(Sync!$M1643&lt;&gt;"پاس چک","",IF(Sync!$P1643="","",Sync!$P1643))</f>
        <v/>
      </c>
      <c r="N1643">
        <f>IF($M1643="","",IF(ISNUMBER(Sync!$L1643),IF(AND(Sync!$L1643&gt;=10000101,Sync!$L1643&lt;=99991231),RIGHT("0000"&amp;INT(Sync!$L1643/10000),4)&amp;"/"&amp;RIGHT("00"&amp;INT(MOD(Sync!$L1643,10000)/100),2)&amp;"/"&amp;RIGHT("00"&amp;MOD(Sync!$L1643,100),2),""),IFERROR(RIGHT("0000"&amp;VALUE(TRIM(LEFT(Sync!$L1643,FIND("/",Sync!$L1643)-1))),4)&amp;"/"&amp;RIGHT("00"&amp;VALUE(TRIM(LEFT(MID(Sync!$L1643,FIND("/",Sync!$L1643)+1,20),FIND("/",MID(Sync!$L1643,FIND("/",Sync!$L1643)+1,20))-1))),2)&amp;"/"&amp;RIGHT("00"&amp;VALUE(TRIM(MID(MID(Sync!$L1643,FIND("/",Sync!$L1643)+1,20),FIND("/",MID(Sync!$L1643,FIND("/",Sync!$L1643)+1,20))+1,20))),2),"")))</f>
        <v/>
      </c>
    </row>
    <row r="1644">
      <c r="M1644">
        <f>IF(Sync!$M1644&lt;&gt;"پاس چک","",IF(Sync!$P1644="","",Sync!$P1644))</f>
        <v/>
      </c>
      <c r="N1644">
        <f>IF($M1644="","",IF(ISNUMBER(Sync!$L1644),IF(AND(Sync!$L1644&gt;=10000101,Sync!$L1644&lt;=99991231),RIGHT("0000"&amp;INT(Sync!$L1644/10000),4)&amp;"/"&amp;RIGHT("00"&amp;INT(MOD(Sync!$L1644,10000)/100),2)&amp;"/"&amp;RIGHT("00"&amp;MOD(Sync!$L1644,100),2),""),IFERROR(RIGHT("0000"&amp;VALUE(TRIM(LEFT(Sync!$L1644,FIND("/",Sync!$L1644)-1))),4)&amp;"/"&amp;RIGHT("00"&amp;VALUE(TRIM(LEFT(MID(Sync!$L1644,FIND("/",Sync!$L1644)+1,20),FIND("/",MID(Sync!$L1644,FIND("/",Sync!$L1644)+1,20))-1))),2)&amp;"/"&amp;RIGHT("00"&amp;VALUE(TRIM(MID(MID(Sync!$L1644,FIND("/",Sync!$L1644)+1,20),FIND("/",MID(Sync!$L1644,FIND("/",Sync!$L1644)+1,20))+1,20))),2),"")))</f>
        <v/>
      </c>
    </row>
    <row r="1645">
      <c r="M1645">
        <f>IF(Sync!$M1645&lt;&gt;"پاس چک","",IF(Sync!$P1645="","",Sync!$P1645))</f>
        <v/>
      </c>
      <c r="N1645">
        <f>IF($M1645="","",IF(ISNUMBER(Sync!$L1645),IF(AND(Sync!$L1645&gt;=10000101,Sync!$L1645&lt;=99991231),RIGHT("0000"&amp;INT(Sync!$L1645/10000),4)&amp;"/"&amp;RIGHT("00"&amp;INT(MOD(Sync!$L1645,10000)/100),2)&amp;"/"&amp;RIGHT("00"&amp;MOD(Sync!$L1645,100),2),""),IFERROR(RIGHT("0000"&amp;VALUE(TRIM(LEFT(Sync!$L1645,FIND("/",Sync!$L1645)-1))),4)&amp;"/"&amp;RIGHT("00"&amp;VALUE(TRIM(LEFT(MID(Sync!$L1645,FIND("/",Sync!$L1645)+1,20),FIND("/",MID(Sync!$L1645,FIND("/",Sync!$L1645)+1,20))-1))),2)&amp;"/"&amp;RIGHT("00"&amp;VALUE(TRIM(MID(MID(Sync!$L1645,FIND("/",Sync!$L1645)+1,20),FIND("/",MID(Sync!$L1645,FIND("/",Sync!$L1645)+1,20))+1,20))),2),"")))</f>
        <v/>
      </c>
    </row>
    <row r="1646">
      <c r="M1646">
        <f>IF(Sync!$M1646&lt;&gt;"پاس چک","",IF(Sync!$P1646="","",Sync!$P1646))</f>
        <v/>
      </c>
      <c r="N1646">
        <f>IF($M1646="","",IF(ISNUMBER(Sync!$L1646),IF(AND(Sync!$L1646&gt;=10000101,Sync!$L1646&lt;=99991231),RIGHT("0000"&amp;INT(Sync!$L1646/10000),4)&amp;"/"&amp;RIGHT("00"&amp;INT(MOD(Sync!$L1646,10000)/100),2)&amp;"/"&amp;RIGHT("00"&amp;MOD(Sync!$L1646,100),2),""),IFERROR(RIGHT("0000"&amp;VALUE(TRIM(LEFT(Sync!$L1646,FIND("/",Sync!$L1646)-1))),4)&amp;"/"&amp;RIGHT("00"&amp;VALUE(TRIM(LEFT(MID(Sync!$L1646,FIND("/",Sync!$L1646)+1,20),FIND("/",MID(Sync!$L1646,FIND("/",Sync!$L1646)+1,20))-1))),2)&amp;"/"&amp;RIGHT("00"&amp;VALUE(TRIM(MID(MID(Sync!$L1646,FIND("/",Sync!$L1646)+1,20),FIND("/",MID(Sync!$L1646,FIND("/",Sync!$L1646)+1,20))+1,20))),2),"")))</f>
        <v/>
      </c>
    </row>
    <row r="1647">
      <c r="M1647">
        <f>IF(Sync!$M1647&lt;&gt;"پاس چک","",IF(Sync!$P1647="","",Sync!$P1647))</f>
        <v/>
      </c>
      <c r="N1647">
        <f>IF($M1647="","",IF(ISNUMBER(Sync!$L1647),IF(AND(Sync!$L1647&gt;=10000101,Sync!$L1647&lt;=99991231),RIGHT("0000"&amp;INT(Sync!$L1647/10000),4)&amp;"/"&amp;RIGHT("00"&amp;INT(MOD(Sync!$L1647,10000)/100),2)&amp;"/"&amp;RIGHT("00"&amp;MOD(Sync!$L1647,100),2),""),IFERROR(RIGHT("0000"&amp;VALUE(TRIM(LEFT(Sync!$L1647,FIND("/",Sync!$L1647)-1))),4)&amp;"/"&amp;RIGHT("00"&amp;VALUE(TRIM(LEFT(MID(Sync!$L1647,FIND("/",Sync!$L1647)+1,20),FIND("/",MID(Sync!$L1647,FIND("/",Sync!$L1647)+1,20))-1))),2)&amp;"/"&amp;RIGHT("00"&amp;VALUE(TRIM(MID(MID(Sync!$L1647,FIND("/",Sync!$L1647)+1,20),FIND("/",MID(Sync!$L1647,FIND("/",Sync!$L1647)+1,20))+1,20))),2),"")))</f>
        <v/>
      </c>
    </row>
    <row r="1648">
      <c r="M1648">
        <f>IF(Sync!$M1648&lt;&gt;"پاس چک","",IF(Sync!$P1648="","",Sync!$P1648))</f>
        <v/>
      </c>
      <c r="N1648">
        <f>IF($M1648="","",IF(ISNUMBER(Sync!$L1648),IF(AND(Sync!$L1648&gt;=10000101,Sync!$L1648&lt;=99991231),RIGHT("0000"&amp;INT(Sync!$L1648/10000),4)&amp;"/"&amp;RIGHT("00"&amp;INT(MOD(Sync!$L1648,10000)/100),2)&amp;"/"&amp;RIGHT("00"&amp;MOD(Sync!$L1648,100),2),""),IFERROR(RIGHT("0000"&amp;VALUE(TRIM(LEFT(Sync!$L1648,FIND("/",Sync!$L1648)-1))),4)&amp;"/"&amp;RIGHT("00"&amp;VALUE(TRIM(LEFT(MID(Sync!$L1648,FIND("/",Sync!$L1648)+1,20),FIND("/",MID(Sync!$L1648,FIND("/",Sync!$L1648)+1,20))-1))),2)&amp;"/"&amp;RIGHT("00"&amp;VALUE(TRIM(MID(MID(Sync!$L1648,FIND("/",Sync!$L1648)+1,20),FIND("/",MID(Sync!$L1648,FIND("/",Sync!$L1648)+1,20))+1,20))),2),"")))</f>
        <v/>
      </c>
    </row>
    <row r="1649">
      <c r="M1649">
        <f>IF(Sync!$M1649&lt;&gt;"پاس چک","",IF(Sync!$P1649="","",Sync!$P1649))</f>
        <v/>
      </c>
      <c r="N1649">
        <f>IF($M1649="","",IF(ISNUMBER(Sync!$L1649),IF(AND(Sync!$L1649&gt;=10000101,Sync!$L1649&lt;=99991231),RIGHT("0000"&amp;INT(Sync!$L1649/10000),4)&amp;"/"&amp;RIGHT("00"&amp;INT(MOD(Sync!$L1649,10000)/100),2)&amp;"/"&amp;RIGHT("00"&amp;MOD(Sync!$L1649,100),2),""),IFERROR(RIGHT("0000"&amp;VALUE(TRIM(LEFT(Sync!$L1649,FIND("/",Sync!$L1649)-1))),4)&amp;"/"&amp;RIGHT("00"&amp;VALUE(TRIM(LEFT(MID(Sync!$L1649,FIND("/",Sync!$L1649)+1,20),FIND("/",MID(Sync!$L1649,FIND("/",Sync!$L1649)+1,20))-1))),2)&amp;"/"&amp;RIGHT("00"&amp;VALUE(TRIM(MID(MID(Sync!$L1649,FIND("/",Sync!$L1649)+1,20),FIND("/",MID(Sync!$L1649,FIND("/",Sync!$L1649)+1,20))+1,20))),2),"")))</f>
        <v/>
      </c>
    </row>
    <row r="1650">
      <c r="M1650">
        <f>IF(Sync!$M1650&lt;&gt;"پاس چک","",IF(Sync!$P1650="","",Sync!$P1650))</f>
        <v/>
      </c>
      <c r="N1650">
        <f>IF($M1650="","",IF(ISNUMBER(Sync!$L1650),IF(AND(Sync!$L1650&gt;=10000101,Sync!$L1650&lt;=99991231),RIGHT("0000"&amp;INT(Sync!$L1650/10000),4)&amp;"/"&amp;RIGHT("00"&amp;INT(MOD(Sync!$L1650,10000)/100),2)&amp;"/"&amp;RIGHT("00"&amp;MOD(Sync!$L1650,100),2),""),IFERROR(RIGHT("0000"&amp;VALUE(TRIM(LEFT(Sync!$L1650,FIND("/",Sync!$L1650)-1))),4)&amp;"/"&amp;RIGHT("00"&amp;VALUE(TRIM(LEFT(MID(Sync!$L1650,FIND("/",Sync!$L1650)+1,20),FIND("/",MID(Sync!$L1650,FIND("/",Sync!$L1650)+1,20))-1))),2)&amp;"/"&amp;RIGHT("00"&amp;VALUE(TRIM(MID(MID(Sync!$L1650,FIND("/",Sync!$L1650)+1,20),FIND("/",MID(Sync!$L1650,FIND("/",Sync!$L1650)+1,20))+1,20))),2),"")))</f>
        <v/>
      </c>
    </row>
    <row r="1651">
      <c r="M1651">
        <f>IF(Sync!$M1651&lt;&gt;"پاس چک","",IF(Sync!$P1651="","",Sync!$P1651))</f>
        <v/>
      </c>
      <c r="N1651">
        <f>IF($M1651="","",IF(ISNUMBER(Sync!$L1651),IF(AND(Sync!$L1651&gt;=10000101,Sync!$L1651&lt;=99991231),RIGHT("0000"&amp;INT(Sync!$L1651/10000),4)&amp;"/"&amp;RIGHT("00"&amp;INT(MOD(Sync!$L1651,10000)/100),2)&amp;"/"&amp;RIGHT("00"&amp;MOD(Sync!$L1651,100),2),""),IFERROR(RIGHT("0000"&amp;VALUE(TRIM(LEFT(Sync!$L1651,FIND("/",Sync!$L1651)-1))),4)&amp;"/"&amp;RIGHT("00"&amp;VALUE(TRIM(LEFT(MID(Sync!$L1651,FIND("/",Sync!$L1651)+1,20),FIND("/",MID(Sync!$L1651,FIND("/",Sync!$L1651)+1,20))-1))),2)&amp;"/"&amp;RIGHT("00"&amp;VALUE(TRIM(MID(MID(Sync!$L1651,FIND("/",Sync!$L1651)+1,20),FIND("/",MID(Sync!$L1651,FIND("/",Sync!$L1651)+1,20))+1,20))),2),"")))</f>
        <v/>
      </c>
    </row>
    <row r="1652">
      <c r="M1652">
        <f>IF(Sync!$M1652&lt;&gt;"پاس چک","",IF(Sync!$P1652="","",Sync!$P1652))</f>
        <v/>
      </c>
      <c r="N1652">
        <f>IF($M1652="","",IF(ISNUMBER(Sync!$L1652),IF(AND(Sync!$L1652&gt;=10000101,Sync!$L1652&lt;=99991231),RIGHT("0000"&amp;INT(Sync!$L1652/10000),4)&amp;"/"&amp;RIGHT("00"&amp;INT(MOD(Sync!$L1652,10000)/100),2)&amp;"/"&amp;RIGHT("00"&amp;MOD(Sync!$L1652,100),2),""),IFERROR(RIGHT("0000"&amp;VALUE(TRIM(LEFT(Sync!$L1652,FIND("/",Sync!$L1652)-1))),4)&amp;"/"&amp;RIGHT("00"&amp;VALUE(TRIM(LEFT(MID(Sync!$L1652,FIND("/",Sync!$L1652)+1,20),FIND("/",MID(Sync!$L1652,FIND("/",Sync!$L1652)+1,20))-1))),2)&amp;"/"&amp;RIGHT("00"&amp;VALUE(TRIM(MID(MID(Sync!$L1652,FIND("/",Sync!$L1652)+1,20),FIND("/",MID(Sync!$L1652,FIND("/",Sync!$L1652)+1,20))+1,20))),2),"")))</f>
        <v/>
      </c>
    </row>
    <row r="1653">
      <c r="M1653">
        <f>IF(Sync!$M1653&lt;&gt;"پاس چک","",IF(Sync!$P1653="","",Sync!$P1653))</f>
        <v/>
      </c>
      <c r="N1653">
        <f>IF($M1653="","",IF(ISNUMBER(Sync!$L1653),IF(AND(Sync!$L1653&gt;=10000101,Sync!$L1653&lt;=99991231),RIGHT("0000"&amp;INT(Sync!$L1653/10000),4)&amp;"/"&amp;RIGHT("00"&amp;INT(MOD(Sync!$L1653,10000)/100),2)&amp;"/"&amp;RIGHT("00"&amp;MOD(Sync!$L1653,100),2),""),IFERROR(RIGHT("0000"&amp;VALUE(TRIM(LEFT(Sync!$L1653,FIND("/",Sync!$L1653)-1))),4)&amp;"/"&amp;RIGHT("00"&amp;VALUE(TRIM(LEFT(MID(Sync!$L1653,FIND("/",Sync!$L1653)+1,20),FIND("/",MID(Sync!$L1653,FIND("/",Sync!$L1653)+1,20))-1))),2)&amp;"/"&amp;RIGHT("00"&amp;VALUE(TRIM(MID(MID(Sync!$L1653,FIND("/",Sync!$L1653)+1,20),FIND("/",MID(Sync!$L1653,FIND("/",Sync!$L1653)+1,20))+1,20))),2),"")))</f>
        <v/>
      </c>
    </row>
    <row r="1654">
      <c r="M1654">
        <f>IF(Sync!$M1654&lt;&gt;"پاس چک","",IF(Sync!$P1654="","",Sync!$P1654))</f>
        <v/>
      </c>
      <c r="N1654">
        <f>IF($M1654="","",IF(ISNUMBER(Sync!$L1654),IF(AND(Sync!$L1654&gt;=10000101,Sync!$L1654&lt;=99991231),RIGHT("0000"&amp;INT(Sync!$L1654/10000),4)&amp;"/"&amp;RIGHT("00"&amp;INT(MOD(Sync!$L1654,10000)/100),2)&amp;"/"&amp;RIGHT("00"&amp;MOD(Sync!$L1654,100),2),""),IFERROR(RIGHT("0000"&amp;VALUE(TRIM(LEFT(Sync!$L1654,FIND("/",Sync!$L1654)-1))),4)&amp;"/"&amp;RIGHT("00"&amp;VALUE(TRIM(LEFT(MID(Sync!$L1654,FIND("/",Sync!$L1654)+1,20),FIND("/",MID(Sync!$L1654,FIND("/",Sync!$L1654)+1,20))-1))),2)&amp;"/"&amp;RIGHT("00"&amp;VALUE(TRIM(MID(MID(Sync!$L1654,FIND("/",Sync!$L1654)+1,20),FIND("/",MID(Sync!$L1654,FIND("/",Sync!$L1654)+1,20))+1,20))),2),"")))</f>
        <v/>
      </c>
    </row>
    <row r="1655">
      <c r="M1655">
        <f>IF(Sync!$M1655&lt;&gt;"پاس چک","",IF(Sync!$P1655="","",Sync!$P1655))</f>
        <v/>
      </c>
      <c r="N1655">
        <f>IF($M1655="","",IF(ISNUMBER(Sync!$L1655),IF(AND(Sync!$L1655&gt;=10000101,Sync!$L1655&lt;=99991231),RIGHT("0000"&amp;INT(Sync!$L1655/10000),4)&amp;"/"&amp;RIGHT("00"&amp;INT(MOD(Sync!$L1655,10000)/100),2)&amp;"/"&amp;RIGHT("00"&amp;MOD(Sync!$L1655,100),2),""),IFERROR(RIGHT("0000"&amp;VALUE(TRIM(LEFT(Sync!$L1655,FIND("/",Sync!$L1655)-1))),4)&amp;"/"&amp;RIGHT("00"&amp;VALUE(TRIM(LEFT(MID(Sync!$L1655,FIND("/",Sync!$L1655)+1,20),FIND("/",MID(Sync!$L1655,FIND("/",Sync!$L1655)+1,20))-1))),2)&amp;"/"&amp;RIGHT("00"&amp;VALUE(TRIM(MID(MID(Sync!$L1655,FIND("/",Sync!$L1655)+1,20),FIND("/",MID(Sync!$L1655,FIND("/",Sync!$L1655)+1,20))+1,20))),2),"")))</f>
        <v/>
      </c>
    </row>
    <row r="1656">
      <c r="M1656">
        <f>IF(Sync!$M1656&lt;&gt;"پاس چک","",IF(Sync!$P1656="","",Sync!$P1656))</f>
        <v/>
      </c>
      <c r="N1656">
        <f>IF($M1656="","",IF(ISNUMBER(Sync!$L1656),IF(AND(Sync!$L1656&gt;=10000101,Sync!$L1656&lt;=99991231),RIGHT("0000"&amp;INT(Sync!$L1656/10000),4)&amp;"/"&amp;RIGHT("00"&amp;INT(MOD(Sync!$L1656,10000)/100),2)&amp;"/"&amp;RIGHT("00"&amp;MOD(Sync!$L1656,100),2),""),IFERROR(RIGHT("0000"&amp;VALUE(TRIM(LEFT(Sync!$L1656,FIND("/",Sync!$L1656)-1))),4)&amp;"/"&amp;RIGHT("00"&amp;VALUE(TRIM(LEFT(MID(Sync!$L1656,FIND("/",Sync!$L1656)+1,20),FIND("/",MID(Sync!$L1656,FIND("/",Sync!$L1656)+1,20))-1))),2)&amp;"/"&amp;RIGHT("00"&amp;VALUE(TRIM(MID(MID(Sync!$L1656,FIND("/",Sync!$L1656)+1,20),FIND("/",MID(Sync!$L1656,FIND("/",Sync!$L1656)+1,20))+1,20))),2),"")))</f>
        <v/>
      </c>
    </row>
    <row r="1657">
      <c r="M1657">
        <f>IF(Sync!$M1657&lt;&gt;"پاس چک","",IF(Sync!$P1657="","",Sync!$P1657))</f>
        <v/>
      </c>
      <c r="N1657">
        <f>IF($M1657="","",IF(ISNUMBER(Sync!$L1657),IF(AND(Sync!$L1657&gt;=10000101,Sync!$L1657&lt;=99991231),RIGHT("0000"&amp;INT(Sync!$L1657/10000),4)&amp;"/"&amp;RIGHT("00"&amp;INT(MOD(Sync!$L1657,10000)/100),2)&amp;"/"&amp;RIGHT("00"&amp;MOD(Sync!$L1657,100),2),""),IFERROR(RIGHT("0000"&amp;VALUE(TRIM(LEFT(Sync!$L1657,FIND("/",Sync!$L1657)-1))),4)&amp;"/"&amp;RIGHT("00"&amp;VALUE(TRIM(LEFT(MID(Sync!$L1657,FIND("/",Sync!$L1657)+1,20),FIND("/",MID(Sync!$L1657,FIND("/",Sync!$L1657)+1,20))-1))),2)&amp;"/"&amp;RIGHT("00"&amp;VALUE(TRIM(MID(MID(Sync!$L1657,FIND("/",Sync!$L1657)+1,20),FIND("/",MID(Sync!$L1657,FIND("/",Sync!$L1657)+1,20))+1,20))),2),"")))</f>
        <v/>
      </c>
    </row>
    <row r="1658">
      <c r="M1658">
        <f>IF(Sync!$M1658&lt;&gt;"پاس چک","",IF(Sync!$P1658="","",Sync!$P1658))</f>
        <v/>
      </c>
      <c r="N1658">
        <f>IF($M1658="","",IF(ISNUMBER(Sync!$L1658),IF(AND(Sync!$L1658&gt;=10000101,Sync!$L1658&lt;=99991231),RIGHT("0000"&amp;INT(Sync!$L1658/10000),4)&amp;"/"&amp;RIGHT("00"&amp;INT(MOD(Sync!$L1658,10000)/100),2)&amp;"/"&amp;RIGHT("00"&amp;MOD(Sync!$L1658,100),2),""),IFERROR(RIGHT("0000"&amp;VALUE(TRIM(LEFT(Sync!$L1658,FIND("/",Sync!$L1658)-1))),4)&amp;"/"&amp;RIGHT("00"&amp;VALUE(TRIM(LEFT(MID(Sync!$L1658,FIND("/",Sync!$L1658)+1,20),FIND("/",MID(Sync!$L1658,FIND("/",Sync!$L1658)+1,20))-1))),2)&amp;"/"&amp;RIGHT("00"&amp;VALUE(TRIM(MID(MID(Sync!$L1658,FIND("/",Sync!$L1658)+1,20),FIND("/",MID(Sync!$L1658,FIND("/",Sync!$L1658)+1,20))+1,20))),2),"")))</f>
        <v/>
      </c>
    </row>
    <row r="1659">
      <c r="M1659">
        <f>IF(Sync!$M1659&lt;&gt;"پاس چک","",IF(Sync!$P1659="","",Sync!$P1659))</f>
        <v/>
      </c>
      <c r="N1659">
        <f>IF($M1659="","",IF(ISNUMBER(Sync!$L1659),IF(AND(Sync!$L1659&gt;=10000101,Sync!$L1659&lt;=99991231),RIGHT("0000"&amp;INT(Sync!$L1659/10000),4)&amp;"/"&amp;RIGHT("00"&amp;INT(MOD(Sync!$L1659,10000)/100),2)&amp;"/"&amp;RIGHT("00"&amp;MOD(Sync!$L1659,100),2),""),IFERROR(RIGHT("0000"&amp;VALUE(TRIM(LEFT(Sync!$L1659,FIND("/",Sync!$L1659)-1))),4)&amp;"/"&amp;RIGHT("00"&amp;VALUE(TRIM(LEFT(MID(Sync!$L1659,FIND("/",Sync!$L1659)+1,20),FIND("/",MID(Sync!$L1659,FIND("/",Sync!$L1659)+1,20))-1))),2)&amp;"/"&amp;RIGHT("00"&amp;VALUE(TRIM(MID(MID(Sync!$L1659,FIND("/",Sync!$L1659)+1,20),FIND("/",MID(Sync!$L1659,FIND("/",Sync!$L1659)+1,20))+1,20))),2),"")))</f>
        <v/>
      </c>
    </row>
    <row r="1660">
      <c r="M1660">
        <f>IF(Sync!$M1660&lt;&gt;"پاس چک","",IF(Sync!$P1660="","",Sync!$P1660))</f>
        <v/>
      </c>
      <c r="N1660">
        <f>IF($M1660="","",IF(ISNUMBER(Sync!$L1660),IF(AND(Sync!$L1660&gt;=10000101,Sync!$L1660&lt;=99991231),RIGHT("0000"&amp;INT(Sync!$L1660/10000),4)&amp;"/"&amp;RIGHT("00"&amp;INT(MOD(Sync!$L1660,10000)/100),2)&amp;"/"&amp;RIGHT("00"&amp;MOD(Sync!$L1660,100),2),""),IFERROR(RIGHT("0000"&amp;VALUE(TRIM(LEFT(Sync!$L1660,FIND("/",Sync!$L1660)-1))),4)&amp;"/"&amp;RIGHT("00"&amp;VALUE(TRIM(LEFT(MID(Sync!$L1660,FIND("/",Sync!$L1660)+1,20),FIND("/",MID(Sync!$L1660,FIND("/",Sync!$L1660)+1,20))-1))),2)&amp;"/"&amp;RIGHT("00"&amp;VALUE(TRIM(MID(MID(Sync!$L1660,FIND("/",Sync!$L1660)+1,20),FIND("/",MID(Sync!$L1660,FIND("/",Sync!$L1660)+1,20))+1,20))),2),"")))</f>
        <v/>
      </c>
    </row>
    <row r="1661">
      <c r="M1661">
        <f>IF(Sync!$M1661&lt;&gt;"پاس چک","",IF(Sync!$P1661="","",Sync!$P1661))</f>
        <v/>
      </c>
      <c r="N1661">
        <f>IF($M1661="","",IF(ISNUMBER(Sync!$L1661),IF(AND(Sync!$L1661&gt;=10000101,Sync!$L1661&lt;=99991231),RIGHT("0000"&amp;INT(Sync!$L1661/10000),4)&amp;"/"&amp;RIGHT("00"&amp;INT(MOD(Sync!$L1661,10000)/100),2)&amp;"/"&amp;RIGHT("00"&amp;MOD(Sync!$L1661,100),2),""),IFERROR(RIGHT("0000"&amp;VALUE(TRIM(LEFT(Sync!$L1661,FIND("/",Sync!$L1661)-1))),4)&amp;"/"&amp;RIGHT("00"&amp;VALUE(TRIM(LEFT(MID(Sync!$L1661,FIND("/",Sync!$L1661)+1,20),FIND("/",MID(Sync!$L1661,FIND("/",Sync!$L1661)+1,20))-1))),2)&amp;"/"&amp;RIGHT("00"&amp;VALUE(TRIM(MID(MID(Sync!$L1661,FIND("/",Sync!$L1661)+1,20),FIND("/",MID(Sync!$L1661,FIND("/",Sync!$L1661)+1,20))+1,20))),2),"")))</f>
        <v/>
      </c>
    </row>
    <row r="1662">
      <c r="M1662">
        <f>IF(Sync!$M1662&lt;&gt;"پاس چک","",IF(Sync!$P1662="","",Sync!$P1662))</f>
        <v/>
      </c>
      <c r="N1662">
        <f>IF($M1662="","",IF(ISNUMBER(Sync!$L1662),IF(AND(Sync!$L1662&gt;=10000101,Sync!$L1662&lt;=99991231),RIGHT("0000"&amp;INT(Sync!$L1662/10000),4)&amp;"/"&amp;RIGHT("00"&amp;INT(MOD(Sync!$L1662,10000)/100),2)&amp;"/"&amp;RIGHT("00"&amp;MOD(Sync!$L1662,100),2),""),IFERROR(RIGHT("0000"&amp;VALUE(TRIM(LEFT(Sync!$L1662,FIND("/",Sync!$L1662)-1))),4)&amp;"/"&amp;RIGHT("00"&amp;VALUE(TRIM(LEFT(MID(Sync!$L1662,FIND("/",Sync!$L1662)+1,20),FIND("/",MID(Sync!$L1662,FIND("/",Sync!$L1662)+1,20))-1))),2)&amp;"/"&amp;RIGHT("00"&amp;VALUE(TRIM(MID(MID(Sync!$L1662,FIND("/",Sync!$L1662)+1,20),FIND("/",MID(Sync!$L1662,FIND("/",Sync!$L1662)+1,20))+1,20))),2),"")))</f>
        <v/>
      </c>
    </row>
    <row r="1663">
      <c r="M1663">
        <f>IF(Sync!$M1663&lt;&gt;"پاس چک","",IF(Sync!$P1663="","",Sync!$P1663))</f>
        <v/>
      </c>
      <c r="N1663">
        <f>IF($M1663="","",IF(ISNUMBER(Sync!$L1663),IF(AND(Sync!$L1663&gt;=10000101,Sync!$L1663&lt;=99991231),RIGHT("0000"&amp;INT(Sync!$L1663/10000),4)&amp;"/"&amp;RIGHT("00"&amp;INT(MOD(Sync!$L1663,10000)/100),2)&amp;"/"&amp;RIGHT("00"&amp;MOD(Sync!$L1663,100),2),""),IFERROR(RIGHT("0000"&amp;VALUE(TRIM(LEFT(Sync!$L1663,FIND("/",Sync!$L1663)-1))),4)&amp;"/"&amp;RIGHT("00"&amp;VALUE(TRIM(LEFT(MID(Sync!$L1663,FIND("/",Sync!$L1663)+1,20),FIND("/",MID(Sync!$L1663,FIND("/",Sync!$L1663)+1,20))-1))),2)&amp;"/"&amp;RIGHT("00"&amp;VALUE(TRIM(MID(MID(Sync!$L1663,FIND("/",Sync!$L1663)+1,20),FIND("/",MID(Sync!$L1663,FIND("/",Sync!$L1663)+1,20))+1,20))),2),"")))</f>
        <v/>
      </c>
    </row>
    <row r="1664">
      <c r="M1664">
        <f>IF(Sync!$M1664&lt;&gt;"پاس چک","",IF(Sync!$P1664="","",Sync!$P1664))</f>
        <v/>
      </c>
      <c r="N1664">
        <f>IF($M1664="","",IF(ISNUMBER(Sync!$L1664),IF(AND(Sync!$L1664&gt;=10000101,Sync!$L1664&lt;=99991231),RIGHT("0000"&amp;INT(Sync!$L1664/10000),4)&amp;"/"&amp;RIGHT("00"&amp;INT(MOD(Sync!$L1664,10000)/100),2)&amp;"/"&amp;RIGHT("00"&amp;MOD(Sync!$L1664,100),2),""),IFERROR(RIGHT("0000"&amp;VALUE(TRIM(LEFT(Sync!$L1664,FIND("/",Sync!$L1664)-1))),4)&amp;"/"&amp;RIGHT("00"&amp;VALUE(TRIM(LEFT(MID(Sync!$L1664,FIND("/",Sync!$L1664)+1,20),FIND("/",MID(Sync!$L1664,FIND("/",Sync!$L1664)+1,20))-1))),2)&amp;"/"&amp;RIGHT("00"&amp;VALUE(TRIM(MID(MID(Sync!$L1664,FIND("/",Sync!$L1664)+1,20),FIND("/",MID(Sync!$L1664,FIND("/",Sync!$L1664)+1,20))+1,20))),2),"")))</f>
        <v/>
      </c>
    </row>
    <row r="1665">
      <c r="M1665">
        <f>IF(Sync!$M1665&lt;&gt;"پاس چک","",IF(Sync!$P1665="","",Sync!$P1665))</f>
        <v/>
      </c>
      <c r="N1665">
        <f>IF($M1665="","",IF(ISNUMBER(Sync!$L1665),IF(AND(Sync!$L1665&gt;=10000101,Sync!$L1665&lt;=99991231),RIGHT("0000"&amp;INT(Sync!$L1665/10000),4)&amp;"/"&amp;RIGHT("00"&amp;INT(MOD(Sync!$L1665,10000)/100),2)&amp;"/"&amp;RIGHT("00"&amp;MOD(Sync!$L1665,100),2),""),IFERROR(RIGHT("0000"&amp;VALUE(TRIM(LEFT(Sync!$L1665,FIND("/",Sync!$L1665)-1))),4)&amp;"/"&amp;RIGHT("00"&amp;VALUE(TRIM(LEFT(MID(Sync!$L1665,FIND("/",Sync!$L1665)+1,20),FIND("/",MID(Sync!$L1665,FIND("/",Sync!$L1665)+1,20))-1))),2)&amp;"/"&amp;RIGHT("00"&amp;VALUE(TRIM(MID(MID(Sync!$L1665,FIND("/",Sync!$L1665)+1,20),FIND("/",MID(Sync!$L1665,FIND("/",Sync!$L1665)+1,20))+1,20))),2),"")))</f>
        <v/>
      </c>
    </row>
    <row r="1666">
      <c r="M1666">
        <f>IF(Sync!$M1666&lt;&gt;"پاس چک","",IF(Sync!$P1666="","",Sync!$P1666))</f>
        <v/>
      </c>
      <c r="N1666">
        <f>IF($M1666="","",IF(ISNUMBER(Sync!$L1666),IF(AND(Sync!$L1666&gt;=10000101,Sync!$L1666&lt;=99991231),RIGHT("0000"&amp;INT(Sync!$L1666/10000),4)&amp;"/"&amp;RIGHT("00"&amp;INT(MOD(Sync!$L1666,10000)/100),2)&amp;"/"&amp;RIGHT("00"&amp;MOD(Sync!$L1666,100),2),""),IFERROR(RIGHT("0000"&amp;VALUE(TRIM(LEFT(Sync!$L1666,FIND("/",Sync!$L1666)-1))),4)&amp;"/"&amp;RIGHT("00"&amp;VALUE(TRIM(LEFT(MID(Sync!$L1666,FIND("/",Sync!$L1666)+1,20),FIND("/",MID(Sync!$L1666,FIND("/",Sync!$L1666)+1,20))-1))),2)&amp;"/"&amp;RIGHT("00"&amp;VALUE(TRIM(MID(MID(Sync!$L1666,FIND("/",Sync!$L1666)+1,20),FIND("/",MID(Sync!$L1666,FIND("/",Sync!$L1666)+1,20))+1,20))),2),"")))</f>
        <v/>
      </c>
    </row>
    <row r="1667">
      <c r="M1667">
        <f>IF(Sync!$M1667&lt;&gt;"پاس چک","",IF(Sync!$P1667="","",Sync!$P1667))</f>
        <v/>
      </c>
      <c r="N1667">
        <f>IF($M1667="","",IF(ISNUMBER(Sync!$L1667),IF(AND(Sync!$L1667&gt;=10000101,Sync!$L1667&lt;=99991231),RIGHT("0000"&amp;INT(Sync!$L1667/10000),4)&amp;"/"&amp;RIGHT("00"&amp;INT(MOD(Sync!$L1667,10000)/100),2)&amp;"/"&amp;RIGHT("00"&amp;MOD(Sync!$L1667,100),2),""),IFERROR(RIGHT("0000"&amp;VALUE(TRIM(LEFT(Sync!$L1667,FIND("/",Sync!$L1667)-1))),4)&amp;"/"&amp;RIGHT("00"&amp;VALUE(TRIM(LEFT(MID(Sync!$L1667,FIND("/",Sync!$L1667)+1,20),FIND("/",MID(Sync!$L1667,FIND("/",Sync!$L1667)+1,20))-1))),2)&amp;"/"&amp;RIGHT("00"&amp;VALUE(TRIM(MID(MID(Sync!$L1667,FIND("/",Sync!$L1667)+1,20),FIND("/",MID(Sync!$L1667,FIND("/",Sync!$L1667)+1,20))+1,20))),2),"")))</f>
        <v/>
      </c>
    </row>
    <row r="1668">
      <c r="M1668">
        <f>IF(Sync!$M1668&lt;&gt;"پاس چک","",IF(Sync!$P1668="","",Sync!$P1668))</f>
        <v/>
      </c>
      <c r="N1668">
        <f>IF($M1668="","",IF(ISNUMBER(Sync!$L1668),IF(AND(Sync!$L1668&gt;=10000101,Sync!$L1668&lt;=99991231),RIGHT("0000"&amp;INT(Sync!$L1668/10000),4)&amp;"/"&amp;RIGHT("00"&amp;INT(MOD(Sync!$L1668,10000)/100),2)&amp;"/"&amp;RIGHT("00"&amp;MOD(Sync!$L1668,100),2),""),IFERROR(RIGHT("0000"&amp;VALUE(TRIM(LEFT(Sync!$L1668,FIND("/",Sync!$L1668)-1))),4)&amp;"/"&amp;RIGHT("00"&amp;VALUE(TRIM(LEFT(MID(Sync!$L1668,FIND("/",Sync!$L1668)+1,20),FIND("/",MID(Sync!$L1668,FIND("/",Sync!$L1668)+1,20))-1))),2)&amp;"/"&amp;RIGHT("00"&amp;VALUE(TRIM(MID(MID(Sync!$L1668,FIND("/",Sync!$L1668)+1,20),FIND("/",MID(Sync!$L1668,FIND("/",Sync!$L1668)+1,20))+1,20))),2),"")))</f>
        <v/>
      </c>
    </row>
    <row r="1669">
      <c r="M1669">
        <f>IF(Sync!$M1669&lt;&gt;"پاس چک","",IF(Sync!$P1669="","",Sync!$P1669))</f>
        <v/>
      </c>
      <c r="N1669">
        <f>IF($M1669="","",IF(ISNUMBER(Sync!$L1669),IF(AND(Sync!$L1669&gt;=10000101,Sync!$L1669&lt;=99991231),RIGHT("0000"&amp;INT(Sync!$L1669/10000),4)&amp;"/"&amp;RIGHT("00"&amp;INT(MOD(Sync!$L1669,10000)/100),2)&amp;"/"&amp;RIGHT("00"&amp;MOD(Sync!$L1669,100),2),""),IFERROR(RIGHT("0000"&amp;VALUE(TRIM(LEFT(Sync!$L1669,FIND("/",Sync!$L1669)-1))),4)&amp;"/"&amp;RIGHT("00"&amp;VALUE(TRIM(LEFT(MID(Sync!$L1669,FIND("/",Sync!$L1669)+1,20),FIND("/",MID(Sync!$L1669,FIND("/",Sync!$L1669)+1,20))-1))),2)&amp;"/"&amp;RIGHT("00"&amp;VALUE(TRIM(MID(MID(Sync!$L1669,FIND("/",Sync!$L1669)+1,20),FIND("/",MID(Sync!$L1669,FIND("/",Sync!$L1669)+1,20))+1,20))),2),"")))</f>
        <v/>
      </c>
    </row>
    <row r="1670">
      <c r="M1670">
        <f>IF(Sync!$M1670&lt;&gt;"پاس چک","",IF(Sync!$P1670="","",Sync!$P1670))</f>
        <v/>
      </c>
      <c r="N1670">
        <f>IF($M1670="","",IF(ISNUMBER(Sync!$L1670),IF(AND(Sync!$L1670&gt;=10000101,Sync!$L1670&lt;=99991231),RIGHT("0000"&amp;INT(Sync!$L1670/10000),4)&amp;"/"&amp;RIGHT("00"&amp;INT(MOD(Sync!$L1670,10000)/100),2)&amp;"/"&amp;RIGHT("00"&amp;MOD(Sync!$L1670,100),2),""),IFERROR(RIGHT("0000"&amp;VALUE(TRIM(LEFT(Sync!$L1670,FIND("/",Sync!$L1670)-1))),4)&amp;"/"&amp;RIGHT("00"&amp;VALUE(TRIM(LEFT(MID(Sync!$L1670,FIND("/",Sync!$L1670)+1,20),FIND("/",MID(Sync!$L1670,FIND("/",Sync!$L1670)+1,20))-1))),2)&amp;"/"&amp;RIGHT("00"&amp;VALUE(TRIM(MID(MID(Sync!$L1670,FIND("/",Sync!$L1670)+1,20),FIND("/",MID(Sync!$L1670,FIND("/",Sync!$L1670)+1,20))+1,20))),2),"")))</f>
        <v/>
      </c>
    </row>
    <row r="1671">
      <c r="M1671">
        <f>IF(Sync!$M1671&lt;&gt;"پاس چک","",IF(Sync!$P1671="","",Sync!$P1671))</f>
        <v/>
      </c>
      <c r="N1671">
        <f>IF($M1671="","",IF(ISNUMBER(Sync!$L1671),IF(AND(Sync!$L1671&gt;=10000101,Sync!$L1671&lt;=99991231),RIGHT("0000"&amp;INT(Sync!$L1671/10000),4)&amp;"/"&amp;RIGHT("00"&amp;INT(MOD(Sync!$L1671,10000)/100),2)&amp;"/"&amp;RIGHT("00"&amp;MOD(Sync!$L1671,100),2),""),IFERROR(RIGHT("0000"&amp;VALUE(TRIM(LEFT(Sync!$L1671,FIND("/",Sync!$L1671)-1))),4)&amp;"/"&amp;RIGHT("00"&amp;VALUE(TRIM(LEFT(MID(Sync!$L1671,FIND("/",Sync!$L1671)+1,20),FIND("/",MID(Sync!$L1671,FIND("/",Sync!$L1671)+1,20))-1))),2)&amp;"/"&amp;RIGHT("00"&amp;VALUE(TRIM(MID(MID(Sync!$L1671,FIND("/",Sync!$L1671)+1,20),FIND("/",MID(Sync!$L1671,FIND("/",Sync!$L1671)+1,20))+1,20))),2),"")))</f>
        <v/>
      </c>
    </row>
    <row r="1672">
      <c r="M1672">
        <f>IF(Sync!$M1672&lt;&gt;"پاس چک","",IF(Sync!$P1672="","",Sync!$P1672))</f>
        <v/>
      </c>
      <c r="N1672">
        <f>IF($M1672="","",IF(ISNUMBER(Sync!$L1672),IF(AND(Sync!$L1672&gt;=10000101,Sync!$L1672&lt;=99991231),RIGHT("0000"&amp;INT(Sync!$L1672/10000),4)&amp;"/"&amp;RIGHT("00"&amp;INT(MOD(Sync!$L1672,10000)/100),2)&amp;"/"&amp;RIGHT("00"&amp;MOD(Sync!$L1672,100),2),""),IFERROR(RIGHT("0000"&amp;VALUE(TRIM(LEFT(Sync!$L1672,FIND("/",Sync!$L1672)-1))),4)&amp;"/"&amp;RIGHT("00"&amp;VALUE(TRIM(LEFT(MID(Sync!$L1672,FIND("/",Sync!$L1672)+1,20),FIND("/",MID(Sync!$L1672,FIND("/",Sync!$L1672)+1,20))-1))),2)&amp;"/"&amp;RIGHT("00"&amp;VALUE(TRIM(MID(MID(Sync!$L1672,FIND("/",Sync!$L1672)+1,20),FIND("/",MID(Sync!$L1672,FIND("/",Sync!$L1672)+1,20))+1,20))),2),"")))</f>
        <v/>
      </c>
    </row>
    <row r="1673">
      <c r="M1673">
        <f>IF(Sync!$M1673&lt;&gt;"پاس چک","",IF(Sync!$P1673="","",Sync!$P1673))</f>
        <v/>
      </c>
      <c r="N1673">
        <f>IF($M1673="","",IF(ISNUMBER(Sync!$L1673),IF(AND(Sync!$L1673&gt;=10000101,Sync!$L1673&lt;=99991231),RIGHT("0000"&amp;INT(Sync!$L1673/10000),4)&amp;"/"&amp;RIGHT("00"&amp;INT(MOD(Sync!$L1673,10000)/100),2)&amp;"/"&amp;RIGHT("00"&amp;MOD(Sync!$L1673,100),2),""),IFERROR(RIGHT("0000"&amp;VALUE(TRIM(LEFT(Sync!$L1673,FIND("/",Sync!$L1673)-1))),4)&amp;"/"&amp;RIGHT("00"&amp;VALUE(TRIM(LEFT(MID(Sync!$L1673,FIND("/",Sync!$L1673)+1,20),FIND("/",MID(Sync!$L1673,FIND("/",Sync!$L1673)+1,20))-1))),2)&amp;"/"&amp;RIGHT("00"&amp;VALUE(TRIM(MID(MID(Sync!$L1673,FIND("/",Sync!$L1673)+1,20),FIND("/",MID(Sync!$L1673,FIND("/",Sync!$L1673)+1,20))+1,20))),2),"")))</f>
        <v/>
      </c>
    </row>
    <row r="1674">
      <c r="M1674">
        <f>IF(Sync!$M1674&lt;&gt;"پاس چک","",IF(Sync!$P1674="","",Sync!$P1674))</f>
        <v/>
      </c>
      <c r="N1674">
        <f>IF($M1674="","",IF(ISNUMBER(Sync!$L1674),IF(AND(Sync!$L1674&gt;=10000101,Sync!$L1674&lt;=99991231),RIGHT("0000"&amp;INT(Sync!$L1674/10000),4)&amp;"/"&amp;RIGHT("00"&amp;INT(MOD(Sync!$L1674,10000)/100),2)&amp;"/"&amp;RIGHT("00"&amp;MOD(Sync!$L1674,100),2),""),IFERROR(RIGHT("0000"&amp;VALUE(TRIM(LEFT(Sync!$L1674,FIND("/",Sync!$L1674)-1))),4)&amp;"/"&amp;RIGHT("00"&amp;VALUE(TRIM(LEFT(MID(Sync!$L1674,FIND("/",Sync!$L1674)+1,20),FIND("/",MID(Sync!$L1674,FIND("/",Sync!$L1674)+1,20))-1))),2)&amp;"/"&amp;RIGHT("00"&amp;VALUE(TRIM(MID(MID(Sync!$L1674,FIND("/",Sync!$L1674)+1,20),FIND("/",MID(Sync!$L1674,FIND("/",Sync!$L1674)+1,20))+1,20))),2),"")))</f>
        <v/>
      </c>
    </row>
    <row r="1675">
      <c r="M1675">
        <f>IF(Sync!$M1675&lt;&gt;"پاس چک","",IF(Sync!$P1675="","",Sync!$P1675))</f>
        <v/>
      </c>
      <c r="N1675">
        <f>IF($M1675="","",IF(ISNUMBER(Sync!$L1675),IF(AND(Sync!$L1675&gt;=10000101,Sync!$L1675&lt;=99991231),RIGHT("0000"&amp;INT(Sync!$L1675/10000),4)&amp;"/"&amp;RIGHT("00"&amp;INT(MOD(Sync!$L1675,10000)/100),2)&amp;"/"&amp;RIGHT("00"&amp;MOD(Sync!$L1675,100),2),""),IFERROR(RIGHT("0000"&amp;VALUE(TRIM(LEFT(Sync!$L1675,FIND("/",Sync!$L1675)-1))),4)&amp;"/"&amp;RIGHT("00"&amp;VALUE(TRIM(LEFT(MID(Sync!$L1675,FIND("/",Sync!$L1675)+1,20),FIND("/",MID(Sync!$L1675,FIND("/",Sync!$L1675)+1,20))-1))),2)&amp;"/"&amp;RIGHT("00"&amp;VALUE(TRIM(MID(MID(Sync!$L1675,FIND("/",Sync!$L1675)+1,20),FIND("/",MID(Sync!$L1675,FIND("/",Sync!$L1675)+1,20))+1,20))),2),"")))</f>
        <v/>
      </c>
    </row>
    <row r="1676">
      <c r="M1676">
        <f>IF(Sync!$M1676&lt;&gt;"پاس چک","",IF(Sync!$P1676="","",Sync!$P1676))</f>
        <v/>
      </c>
      <c r="N1676">
        <f>IF($M1676="","",IF(ISNUMBER(Sync!$L1676),IF(AND(Sync!$L1676&gt;=10000101,Sync!$L1676&lt;=99991231),RIGHT("0000"&amp;INT(Sync!$L1676/10000),4)&amp;"/"&amp;RIGHT("00"&amp;INT(MOD(Sync!$L1676,10000)/100),2)&amp;"/"&amp;RIGHT("00"&amp;MOD(Sync!$L1676,100),2),""),IFERROR(RIGHT("0000"&amp;VALUE(TRIM(LEFT(Sync!$L1676,FIND("/",Sync!$L1676)-1))),4)&amp;"/"&amp;RIGHT("00"&amp;VALUE(TRIM(LEFT(MID(Sync!$L1676,FIND("/",Sync!$L1676)+1,20),FIND("/",MID(Sync!$L1676,FIND("/",Sync!$L1676)+1,20))-1))),2)&amp;"/"&amp;RIGHT("00"&amp;VALUE(TRIM(MID(MID(Sync!$L1676,FIND("/",Sync!$L1676)+1,20),FIND("/",MID(Sync!$L1676,FIND("/",Sync!$L1676)+1,20))+1,20))),2),"")))</f>
        <v/>
      </c>
    </row>
    <row r="1677">
      <c r="M1677">
        <f>IF(Sync!$M1677&lt;&gt;"پاس چک","",IF(Sync!$P1677="","",Sync!$P1677))</f>
        <v/>
      </c>
      <c r="N1677">
        <f>IF($M1677="","",IF(ISNUMBER(Sync!$L1677),IF(AND(Sync!$L1677&gt;=10000101,Sync!$L1677&lt;=99991231),RIGHT("0000"&amp;INT(Sync!$L1677/10000),4)&amp;"/"&amp;RIGHT("00"&amp;INT(MOD(Sync!$L1677,10000)/100),2)&amp;"/"&amp;RIGHT("00"&amp;MOD(Sync!$L1677,100),2),""),IFERROR(RIGHT("0000"&amp;VALUE(TRIM(LEFT(Sync!$L1677,FIND("/",Sync!$L1677)-1))),4)&amp;"/"&amp;RIGHT("00"&amp;VALUE(TRIM(LEFT(MID(Sync!$L1677,FIND("/",Sync!$L1677)+1,20),FIND("/",MID(Sync!$L1677,FIND("/",Sync!$L1677)+1,20))-1))),2)&amp;"/"&amp;RIGHT("00"&amp;VALUE(TRIM(MID(MID(Sync!$L1677,FIND("/",Sync!$L1677)+1,20),FIND("/",MID(Sync!$L1677,FIND("/",Sync!$L1677)+1,20))+1,20))),2),"")))</f>
        <v/>
      </c>
    </row>
    <row r="1678">
      <c r="M1678">
        <f>IF(Sync!$M1678&lt;&gt;"پاس چک","",IF(Sync!$P1678="","",Sync!$P1678))</f>
        <v/>
      </c>
      <c r="N1678">
        <f>IF($M1678="","",IF(ISNUMBER(Sync!$L1678),IF(AND(Sync!$L1678&gt;=10000101,Sync!$L1678&lt;=99991231),RIGHT("0000"&amp;INT(Sync!$L1678/10000),4)&amp;"/"&amp;RIGHT("00"&amp;INT(MOD(Sync!$L1678,10000)/100),2)&amp;"/"&amp;RIGHT("00"&amp;MOD(Sync!$L1678,100),2),""),IFERROR(RIGHT("0000"&amp;VALUE(TRIM(LEFT(Sync!$L1678,FIND("/",Sync!$L1678)-1))),4)&amp;"/"&amp;RIGHT("00"&amp;VALUE(TRIM(LEFT(MID(Sync!$L1678,FIND("/",Sync!$L1678)+1,20),FIND("/",MID(Sync!$L1678,FIND("/",Sync!$L1678)+1,20))-1))),2)&amp;"/"&amp;RIGHT("00"&amp;VALUE(TRIM(MID(MID(Sync!$L1678,FIND("/",Sync!$L1678)+1,20),FIND("/",MID(Sync!$L1678,FIND("/",Sync!$L1678)+1,20))+1,20))),2),"")))</f>
        <v/>
      </c>
    </row>
    <row r="1679">
      <c r="M1679">
        <f>IF(Sync!$M1679&lt;&gt;"پاس چک","",IF(Sync!$P1679="","",Sync!$P1679))</f>
        <v/>
      </c>
      <c r="N1679">
        <f>IF($M1679="","",IF(ISNUMBER(Sync!$L1679),IF(AND(Sync!$L1679&gt;=10000101,Sync!$L1679&lt;=99991231),RIGHT("0000"&amp;INT(Sync!$L1679/10000),4)&amp;"/"&amp;RIGHT("00"&amp;INT(MOD(Sync!$L1679,10000)/100),2)&amp;"/"&amp;RIGHT("00"&amp;MOD(Sync!$L1679,100),2),""),IFERROR(RIGHT("0000"&amp;VALUE(TRIM(LEFT(Sync!$L1679,FIND("/",Sync!$L1679)-1))),4)&amp;"/"&amp;RIGHT("00"&amp;VALUE(TRIM(LEFT(MID(Sync!$L1679,FIND("/",Sync!$L1679)+1,20),FIND("/",MID(Sync!$L1679,FIND("/",Sync!$L1679)+1,20))-1))),2)&amp;"/"&amp;RIGHT("00"&amp;VALUE(TRIM(MID(MID(Sync!$L1679,FIND("/",Sync!$L1679)+1,20),FIND("/",MID(Sync!$L1679,FIND("/",Sync!$L1679)+1,20))+1,20))),2),"")))</f>
        <v/>
      </c>
    </row>
    <row r="1680">
      <c r="M1680">
        <f>IF(Sync!$M1680&lt;&gt;"پاس چک","",IF(Sync!$P1680="","",Sync!$P1680))</f>
        <v/>
      </c>
      <c r="N1680">
        <f>IF($M1680="","",IF(ISNUMBER(Sync!$L1680),IF(AND(Sync!$L1680&gt;=10000101,Sync!$L1680&lt;=99991231),RIGHT("0000"&amp;INT(Sync!$L1680/10000),4)&amp;"/"&amp;RIGHT("00"&amp;INT(MOD(Sync!$L1680,10000)/100),2)&amp;"/"&amp;RIGHT("00"&amp;MOD(Sync!$L1680,100),2),""),IFERROR(RIGHT("0000"&amp;VALUE(TRIM(LEFT(Sync!$L1680,FIND("/",Sync!$L1680)-1))),4)&amp;"/"&amp;RIGHT("00"&amp;VALUE(TRIM(LEFT(MID(Sync!$L1680,FIND("/",Sync!$L1680)+1,20),FIND("/",MID(Sync!$L1680,FIND("/",Sync!$L1680)+1,20))-1))),2)&amp;"/"&amp;RIGHT("00"&amp;VALUE(TRIM(MID(MID(Sync!$L1680,FIND("/",Sync!$L1680)+1,20),FIND("/",MID(Sync!$L1680,FIND("/",Sync!$L1680)+1,20))+1,20))),2),"")))</f>
        <v/>
      </c>
    </row>
    <row r="1681">
      <c r="M1681">
        <f>IF(Sync!$M1681&lt;&gt;"پاس چک","",IF(Sync!$P1681="","",Sync!$P1681))</f>
        <v/>
      </c>
      <c r="N1681">
        <f>IF($M1681="","",IF(ISNUMBER(Sync!$L1681),IF(AND(Sync!$L1681&gt;=10000101,Sync!$L1681&lt;=99991231),RIGHT("0000"&amp;INT(Sync!$L1681/10000),4)&amp;"/"&amp;RIGHT("00"&amp;INT(MOD(Sync!$L1681,10000)/100),2)&amp;"/"&amp;RIGHT("00"&amp;MOD(Sync!$L1681,100),2),""),IFERROR(RIGHT("0000"&amp;VALUE(TRIM(LEFT(Sync!$L1681,FIND("/",Sync!$L1681)-1))),4)&amp;"/"&amp;RIGHT("00"&amp;VALUE(TRIM(LEFT(MID(Sync!$L1681,FIND("/",Sync!$L1681)+1,20),FIND("/",MID(Sync!$L1681,FIND("/",Sync!$L1681)+1,20))-1))),2)&amp;"/"&amp;RIGHT("00"&amp;VALUE(TRIM(MID(MID(Sync!$L1681,FIND("/",Sync!$L1681)+1,20),FIND("/",MID(Sync!$L1681,FIND("/",Sync!$L1681)+1,20))+1,20))),2),"")))</f>
        <v/>
      </c>
    </row>
    <row r="1682">
      <c r="M1682">
        <f>IF(Sync!$M1682&lt;&gt;"پاس چک","",IF(Sync!$P1682="","",Sync!$P1682))</f>
        <v/>
      </c>
      <c r="N1682">
        <f>IF($M1682="","",IF(ISNUMBER(Sync!$L1682),IF(AND(Sync!$L1682&gt;=10000101,Sync!$L1682&lt;=99991231),RIGHT("0000"&amp;INT(Sync!$L1682/10000),4)&amp;"/"&amp;RIGHT("00"&amp;INT(MOD(Sync!$L1682,10000)/100),2)&amp;"/"&amp;RIGHT("00"&amp;MOD(Sync!$L1682,100),2),""),IFERROR(RIGHT("0000"&amp;VALUE(TRIM(LEFT(Sync!$L1682,FIND("/",Sync!$L1682)-1))),4)&amp;"/"&amp;RIGHT("00"&amp;VALUE(TRIM(LEFT(MID(Sync!$L1682,FIND("/",Sync!$L1682)+1,20),FIND("/",MID(Sync!$L1682,FIND("/",Sync!$L1682)+1,20))-1))),2)&amp;"/"&amp;RIGHT("00"&amp;VALUE(TRIM(MID(MID(Sync!$L1682,FIND("/",Sync!$L1682)+1,20),FIND("/",MID(Sync!$L1682,FIND("/",Sync!$L1682)+1,20))+1,20))),2),"")))</f>
        <v/>
      </c>
    </row>
    <row r="1683">
      <c r="M1683">
        <f>IF(Sync!$M1683&lt;&gt;"پاس چک","",IF(Sync!$P1683="","",Sync!$P1683))</f>
        <v/>
      </c>
      <c r="N1683">
        <f>IF($M1683="","",IF(ISNUMBER(Sync!$L1683),IF(AND(Sync!$L1683&gt;=10000101,Sync!$L1683&lt;=99991231),RIGHT("0000"&amp;INT(Sync!$L1683/10000),4)&amp;"/"&amp;RIGHT("00"&amp;INT(MOD(Sync!$L1683,10000)/100),2)&amp;"/"&amp;RIGHT("00"&amp;MOD(Sync!$L1683,100),2),""),IFERROR(RIGHT("0000"&amp;VALUE(TRIM(LEFT(Sync!$L1683,FIND("/",Sync!$L1683)-1))),4)&amp;"/"&amp;RIGHT("00"&amp;VALUE(TRIM(LEFT(MID(Sync!$L1683,FIND("/",Sync!$L1683)+1,20),FIND("/",MID(Sync!$L1683,FIND("/",Sync!$L1683)+1,20))-1))),2)&amp;"/"&amp;RIGHT("00"&amp;VALUE(TRIM(MID(MID(Sync!$L1683,FIND("/",Sync!$L1683)+1,20),FIND("/",MID(Sync!$L1683,FIND("/",Sync!$L1683)+1,20))+1,20))),2),"")))</f>
        <v/>
      </c>
    </row>
    <row r="1684">
      <c r="M1684">
        <f>IF(Sync!$M1684&lt;&gt;"پاس چک","",IF(Sync!$P1684="","",Sync!$P1684))</f>
        <v/>
      </c>
      <c r="N1684">
        <f>IF($M1684="","",IF(ISNUMBER(Sync!$L1684),IF(AND(Sync!$L1684&gt;=10000101,Sync!$L1684&lt;=99991231),RIGHT("0000"&amp;INT(Sync!$L1684/10000),4)&amp;"/"&amp;RIGHT("00"&amp;INT(MOD(Sync!$L1684,10000)/100),2)&amp;"/"&amp;RIGHT("00"&amp;MOD(Sync!$L1684,100),2),""),IFERROR(RIGHT("0000"&amp;VALUE(TRIM(LEFT(Sync!$L1684,FIND("/",Sync!$L1684)-1))),4)&amp;"/"&amp;RIGHT("00"&amp;VALUE(TRIM(LEFT(MID(Sync!$L1684,FIND("/",Sync!$L1684)+1,20),FIND("/",MID(Sync!$L1684,FIND("/",Sync!$L1684)+1,20))-1))),2)&amp;"/"&amp;RIGHT("00"&amp;VALUE(TRIM(MID(MID(Sync!$L1684,FIND("/",Sync!$L1684)+1,20),FIND("/",MID(Sync!$L1684,FIND("/",Sync!$L1684)+1,20))+1,20))),2),"")))</f>
        <v/>
      </c>
    </row>
    <row r="1685">
      <c r="M1685">
        <f>IF(Sync!$M1685&lt;&gt;"پاس چک","",IF(Sync!$P1685="","",Sync!$P1685))</f>
        <v/>
      </c>
      <c r="N1685">
        <f>IF($M1685="","",IF(ISNUMBER(Sync!$L1685),IF(AND(Sync!$L1685&gt;=10000101,Sync!$L1685&lt;=99991231),RIGHT("0000"&amp;INT(Sync!$L1685/10000),4)&amp;"/"&amp;RIGHT("00"&amp;INT(MOD(Sync!$L1685,10000)/100),2)&amp;"/"&amp;RIGHT("00"&amp;MOD(Sync!$L1685,100),2),""),IFERROR(RIGHT("0000"&amp;VALUE(TRIM(LEFT(Sync!$L1685,FIND("/",Sync!$L1685)-1))),4)&amp;"/"&amp;RIGHT("00"&amp;VALUE(TRIM(LEFT(MID(Sync!$L1685,FIND("/",Sync!$L1685)+1,20),FIND("/",MID(Sync!$L1685,FIND("/",Sync!$L1685)+1,20))-1))),2)&amp;"/"&amp;RIGHT("00"&amp;VALUE(TRIM(MID(MID(Sync!$L1685,FIND("/",Sync!$L1685)+1,20),FIND("/",MID(Sync!$L1685,FIND("/",Sync!$L1685)+1,20))+1,20))),2),"")))</f>
        <v/>
      </c>
    </row>
    <row r="1686">
      <c r="M1686">
        <f>IF(Sync!$M1686&lt;&gt;"پاس چک","",IF(Sync!$P1686="","",Sync!$P1686))</f>
        <v/>
      </c>
      <c r="N1686">
        <f>IF($M1686="","",IF(ISNUMBER(Sync!$L1686),IF(AND(Sync!$L1686&gt;=10000101,Sync!$L1686&lt;=99991231),RIGHT("0000"&amp;INT(Sync!$L1686/10000),4)&amp;"/"&amp;RIGHT("00"&amp;INT(MOD(Sync!$L1686,10000)/100),2)&amp;"/"&amp;RIGHT("00"&amp;MOD(Sync!$L1686,100),2),""),IFERROR(RIGHT("0000"&amp;VALUE(TRIM(LEFT(Sync!$L1686,FIND("/",Sync!$L1686)-1))),4)&amp;"/"&amp;RIGHT("00"&amp;VALUE(TRIM(LEFT(MID(Sync!$L1686,FIND("/",Sync!$L1686)+1,20),FIND("/",MID(Sync!$L1686,FIND("/",Sync!$L1686)+1,20))-1))),2)&amp;"/"&amp;RIGHT("00"&amp;VALUE(TRIM(MID(MID(Sync!$L1686,FIND("/",Sync!$L1686)+1,20),FIND("/",MID(Sync!$L1686,FIND("/",Sync!$L1686)+1,20))+1,20))),2),"")))</f>
        <v/>
      </c>
    </row>
    <row r="1687">
      <c r="M1687">
        <f>IF(Sync!$M1687&lt;&gt;"پاس چک","",IF(Sync!$P1687="","",Sync!$P1687))</f>
        <v/>
      </c>
      <c r="N1687">
        <f>IF($M1687="","",IF(ISNUMBER(Sync!$L1687),IF(AND(Sync!$L1687&gt;=10000101,Sync!$L1687&lt;=99991231),RIGHT("0000"&amp;INT(Sync!$L1687/10000),4)&amp;"/"&amp;RIGHT("00"&amp;INT(MOD(Sync!$L1687,10000)/100),2)&amp;"/"&amp;RIGHT("00"&amp;MOD(Sync!$L1687,100),2),""),IFERROR(RIGHT("0000"&amp;VALUE(TRIM(LEFT(Sync!$L1687,FIND("/",Sync!$L1687)-1))),4)&amp;"/"&amp;RIGHT("00"&amp;VALUE(TRIM(LEFT(MID(Sync!$L1687,FIND("/",Sync!$L1687)+1,20),FIND("/",MID(Sync!$L1687,FIND("/",Sync!$L1687)+1,20))-1))),2)&amp;"/"&amp;RIGHT("00"&amp;VALUE(TRIM(MID(MID(Sync!$L1687,FIND("/",Sync!$L1687)+1,20),FIND("/",MID(Sync!$L1687,FIND("/",Sync!$L1687)+1,20))+1,20))),2),"")))</f>
        <v/>
      </c>
    </row>
    <row r="1688">
      <c r="M1688">
        <f>IF(Sync!$M1688&lt;&gt;"پاس چک","",IF(Sync!$P1688="","",Sync!$P1688))</f>
        <v/>
      </c>
      <c r="N1688">
        <f>IF($M1688="","",IF(ISNUMBER(Sync!$L1688),IF(AND(Sync!$L1688&gt;=10000101,Sync!$L1688&lt;=99991231),RIGHT("0000"&amp;INT(Sync!$L1688/10000),4)&amp;"/"&amp;RIGHT("00"&amp;INT(MOD(Sync!$L1688,10000)/100),2)&amp;"/"&amp;RIGHT("00"&amp;MOD(Sync!$L1688,100),2),""),IFERROR(RIGHT("0000"&amp;VALUE(TRIM(LEFT(Sync!$L1688,FIND("/",Sync!$L1688)-1))),4)&amp;"/"&amp;RIGHT("00"&amp;VALUE(TRIM(LEFT(MID(Sync!$L1688,FIND("/",Sync!$L1688)+1,20),FIND("/",MID(Sync!$L1688,FIND("/",Sync!$L1688)+1,20))-1))),2)&amp;"/"&amp;RIGHT("00"&amp;VALUE(TRIM(MID(MID(Sync!$L1688,FIND("/",Sync!$L1688)+1,20),FIND("/",MID(Sync!$L1688,FIND("/",Sync!$L1688)+1,20))+1,20))),2),"")))</f>
        <v/>
      </c>
    </row>
    <row r="1689">
      <c r="M1689">
        <f>IF(Sync!$M1689&lt;&gt;"پاس چک","",IF(Sync!$P1689="","",Sync!$P1689))</f>
        <v/>
      </c>
      <c r="N1689">
        <f>IF($M1689="","",IF(ISNUMBER(Sync!$L1689),IF(AND(Sync!$L1689&gt;=10000101,Sync!$L1689&lt;=99991231),RIGHT("0000"&amp;INT(Sync!$L1689/10000),4)&amp;"/"&amp;RIGHT("00"&amp;INT(MOD(Sync!$L1689,10000)/100),2)&amp;"/"&amp;RIGHT("00"&amp;MOD(Sync!$L1689,100),2),""),IFERROR(RIGHT("0000"&amp;VALUE(TRIM(LEFT(Sync!$L1689,FIND("/",Sync!$L1689)-1))),4)&amp;"/"&amp;RIGHT("00"&amp;VALUE(TRIM(LEFT(MID(Sync!$L1689,FIND("/",Sync!$L1689)+1,20),FIND("/",MID(Sync!$L1689,FIND("/",Sync!$L1689)+1,20))-1))),2)&amp;"/"&amp;RIGHT("00"&amp;VALUE(TRIM(MID(MID(Sync!$L1689,FIND("/",Sync!$L1689)+1,20),FIND("/",MID(Sync!$L1689,FIND("/",Sync!$L1689)+1,20))+1,20))),2),"")))</f>
        <v/>
      </c>
    </row>
    <row r="1690">
      <c r="M1690">
        <f>IF(Sync!$M1690&lt;&gt;"پاس چک","",IF(Sync!$P1690="","",Sync!$P1690))</f>
        <v/>
      </c>
      <c r="N1690">
        <f>IF($M1690="","",IF(ISNUMBER(Sync!$L1690),IF(AND(Sync!$L1690&gt;=10000101,Sync!$L1690&lt;=99991231),RIGHT("0000"&amp;INT(Sync!$L1690/10000),4)&amp;"/"&amp;RIGHT("00"&amp;INT(MOD(Sync!$L1690,10000)/100),2)&amp;"/"&amp;RIGHT("00"&amp;MOD(Sync!$L1690,100),2),""),IFERROR(RIGHT("0000"&amp;VALUE(TRIM(LEFT(Sync!$L1690,FIND("/",Sync!$L1690)-1))),4)&amp;"/"&amp;RIGHT("00"&amp;VALUE(TRIM(LEFT(MID(Sync!$L1690,FIND("/",Sync!$L1690)+1,20),FIND("/",MID(Sync!$L1690,FIND("/",Sync!$L1690)+1,20))-1))),2)&amp;"/"&amp;RIGHT("00"&amp;VALUE(TRIM(MID(MID(Sync!$L1690,FIND("/",Sync!$L1690)+1,20),FIND("/",MID(Sync!$L1690,FIND("/",Sync!$L1690)+1,20))+1,20))),2),"")))</f>
        <v/>
      </c>
    </row>
    <row r="1691">
      <c r="M1691">
        <f>IF(Sync!$M1691&lt;&gt;"پاس چک","",IF(Sync!$P1691="","",Sync!$P1691))</f>
        <v/>
      </c>
      <c r="N1691">
        <f>IF($M1691="","",IF(ISNUMBER(Sync!$L1691),IF(AND(Sync!$L1691&gt;=10000101,Sync!$L1691&lt;=99991231),RIGHT("0000"&amp;INT(Sync!$L1691/10000),4)&amp;"/"&amp;RIGHT("00"&amp;INT(MOD(Sync!$L1691,10000)/100),2)&amp;"/"&amp;RIGHT("00"&amp;MOD(Sync!$L1691,100),2),""),IFERROR(RIGHT("0000"&amp;VALUE(TRIM(LEFT(Sync!$L1691,FIND("/",Sync!$L1691)-1))),4)&amp;"/"&amp;RIGHT("00"&amp;VALUE(TRIM(LEFT(MID(Sync!$L1691,FIND("/",Sync!$L1691)+1,20),FIND("/",MID(Sync!$L1691,FIND("/",Sync!$L1691)+1,20))-1))),2)&amp;"/"&amp;RIGHT("00"&amp;VALUE(TRIM(MID(MID(Sync!$L1691,FIND("/",Sync!$L1691)+1,20),FIND("/",MID(Sync!$L1691,FIND("/",Sync!$L1691)+1,20))+1,20))),2),"")))</f>
        <v/>
      </c>
    </row>
    <row r="1692">
      <c r="M1692">
        <f>IF(Sync!$M1692&lt;&gt;"پاس چک","",IF(Sync!$P1692="","",Sync!$P1692))</f>
        <v/>
      </c>
      <c r="N1692">
        <f>IF($M1692="","",IF(ISNUMBER(Sync!$L1692),IF(AND(Sync!$L1692&gt;=10000101,Sync!$L1692&lt;=99991231),RIGHT("0000"&amp;INT(Sync!$L1692/10000),4)&amp;"/"&amp;RIGHT("00"&amp;INT(MOD(Sync!$L1692,10000)/100),2)&amp;"/"&amp;RIGHT("00"&amp;MOD(Sync!$L1692,100),2),""),IFERROR(RIGHT("0000"&amp;VALUE(TRIM(LEFT(Sync!$L1692,FIND("/",Sync!$L1692)-1))),4)&amp;"/"&amp;RIGHT("00"&amp;VALUE(TRIM(LEFT(MID(Sync!$L1692,FIND("/",Sync!$L1692)+1,20),FIND("/",MID(Sync!$L1692,FIND("/",Sync!$L1692)+1,20))-1))),2)&amp;"/"&amp;RIGHT("00"&amp;VALUE(TRIM(MID(MID(Sync!$L1692,FIND("/",Sync!$L1692)+1,20),FIND("/",MID(Sync!$L1692,FIND("/",Sync!$L1692)+1,20))+1,20))),2),"")))</f>
        <v/>
      </c>
    </row>
    <row r="1693">
      <c r="M1693">
        <f>IF(Sync!$M1693&lt;&gt;"پاس چک","",IF(Sync!$P1693="","",Sync!$P1693))</f>
        <v/>
      </c>
      <c r="N1693">
        <f>IF($M1693="","",IF(ISNUMBER(Sync!$L1693),IF(AND(Sync!$L1693&gt;=10000101,Sync!$L1693&lt;=99991231),RIGHT("0000"&amp;INT(Sync!$L1693/10000),4)&amp;"/"&amp;RIGHT("00"&amp;INT(MOD(Sync!$L1693,10000)/100),2)&amp;"/"&amp;RIGHT("00"&amp;MOD(Sync!$L1693,100),2),""),IFERROR(RIGHT("0000"&amp;VALUE(TRIM(LEFT(Sync!$L1693,FIND("/",Sync!$L1693)-1))),4)&amp;"/"&amp;RIGHT("00"&amp;VALUE(TRIM(LEFT(MID(Sync!$L1693,FIND("/",Sync!$L1693)+1,20),FIND("/",MID(Sync!$L1693,FIND("/",Sync!$L1693)+1,20))-1))),2)&amp;"/"&amp;RIGHT("00"&amp;VALUE(TRIM(MID(MID(Sync!$L1693,FIND("/",Sync!$L1693)+1,20),FIND("/",MID(Sync!$L1693,FIND("/",Sync!$L1693)+1,20))+1,20))),2),"")))</f>
        <v/>
      </c>
    </row>
    <row r="1694">
      <c r="M1694">
        <f>IF(Sync!$M1694&lt;&gt;"پاس چک","",IF(Sync!$P1694="","",Sync!$P1694))</f>
        <v/>
      </c>
      <c r="N1694">
        <f>IF($M1694="","",IF(ISNUMBER(Sync!$L1694),IF(AND(Sync!$L1694&gt;=10000101,Sync!$L1694&lt;=99991231),RIGHT("0000"&amp;INT(Sync!$L1694/10000),4)&amp;"/"&amp;RIGHT("00"&amp;INT(MOD(Sync!$L1694,10000)/100),2)&amp;"/"&amp;RIGHT("00"&amp;MOD(Sync!$L1694,100),2),""),IFERROR(RIGHT("0000"&amp;VALUE(TRIM(LEFT(Sync!$L1694,FIND("/",Sync!$L1694)-1))),4)&amp;"/"&amp;RIGHT("00"&amp;VALUE(TRIM(LEFT(MID(Sync!$L1694,FIND("/",Sync!$L1694)+1,20),FIND("/",MID(Sync!$L1694,FIND("/",Sync!$L1694)+1,20))-1))),2)&amp;"/"&amp;RIGHT("00"&amp;VALUE(TRIM(MID(MID(Sync!$L1694,FIND("/",Sync!$L1694)+1,20),FIND("/",MID(Sync!$L1694,FIND("/",Sync!$L1694)+1,20))+1,20))),2),"")))</f>
        <v/>
      </c>
    </row>
    <row r="1695">
      <c r="M1695">
        <f>IF(Sync!$M1695&lt;&gt;"پاس چک","",IF(Sync!$P1695="","",Sync!$P1695))</f>
        <v/>
      </c>
      <c r="N1695">
        <f>IF($M1695="","",IF(ISNUMBER(Sync!$L1695),IF(AND(Sync!$L1695&gt;=10000101,Sync!$L1695&lt;=99991231),RIGHT("0000"&amp;INT(Sync!$L1695/10000),4)&amp;"/"&amp;RIGHT("00"&amp;INT(MOD(Sync!$L1695,10000)/100),2)&amp;"/"&amp;RIGHT("00"&amp;MOD(Sync!$L1695,100),2),""),IFERROR(RIGHT("0000"&amp;VALUE(TRIM(LEFT(Sync!$L1695,FIND("/",Sync!$L1695)-1))),4)&amp;"/"&amp;RIGHT("00"&amp;VALUE(TRIM(LEFT(MID(Sync!$L1695,FIND("/",Sync!$L1695)+1,20),FIND("/",MID(Sync!$L1695,FIND("/",Sync!$L1695)+1,20))-1))),2)&amp;"/"&amp;RIGHT("00"&amp;VALUE(TRIM(MID(MID(Sync!$L1695,FIND("/",Sync!$L1695)+1,20),FIND("/",MID(Sync!$L1695,FIND("/",Sync!$L1695)+1,20))+1,20))),2),"")))</f>
        <v/>
      </c>
    </row>
    <row r="1696">
      <c r="M1696">
        <f>IF(Sync!$M1696&lt;&gt;"پاس چک","",IF(Sync!$P1696="","",Sync!$P1696))</f>
        <v/>
      </c>
      <c r="N1696">
        <f>IF($M1696="","",IF(ISNUMBER(Sync!$L1696),IF(AND(Sync!$L1696&gt;=10000101,Sync!$L1696&lt;=99991231),RIGHT("0000"&amp;INT(Sync!$L1696/10000),4)&amp;"/"&amp;RIGHT("00"&amp;INT(MOD(Sync!$L1696,10000)/100),2)&amp;"/"&amp;RIGHT("00"&amp;MOD(Sync!$L1696,100),2),""),IFERROR(RIGHT("0000"&amp;VALUE(TRIM(LEFT(Sync!$L1696,FIND("/",Sync!$L1696)-1))),4)&amp;"/"&amp;RIGHT("00"&amp;VALUE(TRIM(LEFT(MID(Sync!$L1696,FIND("/",Sync!$L1696)+1,20),FIND("/",MID(Sync!$L1696,FIND("/",Sync!$L1696)+1,20))-1))),2)&amp;"/"&amp;RIGHT("00"&amp;VALUE(TRIM(MID(MID(Sync!$L1696,FIND("/",Sync!$L1696)+1,20),FIND("/",MID(Sync!$L1696,FIND("/",Sync!$L1696)+1,20))+1,20))),2),"")))</f>
        <v/>
      </c>
    </row>
    <row r="1697">
      <c r="M1697">
        <f>IF(Sync!$M1697&lt;&gt;"پاس چک","",IF(Sync!$P1697="","",Sync!$P1697))</f>
        <v/>
      </c>
      <c r="N1697">
        <f>IF($M1697="","",IF(ISNUMBER(Sync!$L1697),IF(AND(Sync!$L1697&gt;=10000101,Sync!$L1697&lt;=99991231),RIGHT("0000"&amp;INT(Sync!$L1697/10000),4)&amp;"/"&amp;RIGHT("00"&amp;INT(MOD(Sync!$L1697,10000)/100),2)&amp;"/"&amp;RIGHT("00"&amp;MOD(Sync!$L1697,100),2),""),IFERROR(RIGHT("0000"&amp;VALUE(TRIM(LEFT(Sync!$L1697,FIND("/",Sync!$L1697)-1))),4)&amp;"/"&amp;RIGHT("00"&amp;VALUE(TRIM(LEFT(MID(Sync!$L1697,FIND("/",Sync!$L1697)+1,20),FIND("/",MID(Sync!$L1697,FIND("/",Sync!$L1697)+1,20))-1))),2)&amp;"/"&amp;RIGHT("00"&amp;VALUE(TRIM(MID(MID(Sync!$L1697,FIND("/",Sync!$L1697)+1,20),FIND("/",MID(Sync!$L1697,FIND("/",Sync!$L1697)+1,20))+1,20))),2),"")))</f>
        <v/>
      </c>
    </row>
    <row r="1698">
      <c r="M1698">
        <f>IF(Sync!$M1698&lt;&gt;"پاس چک","",IF(Sync!$P1698="","",Sync!$P1698))</f>
        <v/>
      </c>
      <c r="N1698">
        <f>IF($M1698="","",IF(ISNUMBER(Sync!$L1698),IF(AND(Sync!$L1698&gt;=10000101,Sync!$L1698&lt;=99991231),RIGHT("0000"&amp;INT(Sync!$L1698/10000),4)&amp;"/"&amp;RIGHT("00"&amp;INT(MOD(Sync!$L1698,10000)/100),2)&amp;"/"&amp;RIGHT("00"&amp;MOD(Sync!$L1698,100),2),""),IFERROR(RIGHT("0000"&amp;VALUE(TRIM(LEFT(Sync!$L1698,FIND("/",Sync!$L1698)-1))),4)&amp;"/"&amp;RIGHT("00"&amp;VALUE(TRIM(LEFT(MID(Sync!$L1698,FIND("/",Sync!$L1698)+1,20),FIND("/",MID(Sync!$L1698,FIND("/",Sync!$L1698)+1,20))-1))),2)&amp;"/"&amp;RIGHT("00"&amp;VALUE(TRIM(MID(MID(Sync!$L1698,FIND("/",Sync!$L1698)+1,20),FIND("/",MID(Sync!$L1698,FIND("/",Sync!$L1698)+1,20))+1,20))),2),"")))</f>
        <v/>
      </c>
    </row>
    <row r="1699">
      <c r="M1699">
        <f>IF(Sync!$M1699&lt;&gt;"پاس چک","",IF(Sync!$P1699="","",Sync!$P1699))</f>
        <v/>
      </c>
      <c r="N1699">
        <f>IF($M1699="","",IF(ISNUMBER(Sync!$L1699),IF(AND(Sync!$L1699&gt;=10000101,Sync!$L1699&lt;=99991231),RIGHT("0000"&amp;INT(Sync!$L1699/10000),4)&amp;"/"&amp;RIGHT("00"&amp;INT(MOD(Sync!$L1699,10000)/100),2)&amp;"/"&amp;RIGHT("00"&amp;MOD(Sync!$L1699,100),2),""),IFERROR(RIGHT("0000"&amp;VALUE(TRIM(LEFT(Sync!$L1699,FIND("/",Sync!$L1699)-1))),4)&amp;"/"&amp;RIGHT("00"&amp;VALUE(TRIM(LEFT(MID(Sync!$L1699,FIND("/",Sync!$L1699)+1,20),FIND("/",MID(Sync!$L1699,FIND("/",Sync!$L1699)+1,20))-1))),2)&amp;"/"&amp;RIGHT("00"&amp;VALUE(TRIM(MID(MID(Sync!$L1699,FIND("/",Sync!$L1699)+1,20),FIND("/",MID(Sync!$L1699,FIND("/",Sync!$L1699)+1,20))+1,20))),2),"")))</f>
        <v/>
      </c>
    </row>
    <row r="1700">
      <c r="M1700">
        <f>IF(Sync!$M1700&lt;&gt;"پاس چک","",IF(Sync!$P1700="","",Sync!$P1700))</f>
        <v/>
      </c>
      <c r="N1700">
        <f>IF($M1700="","",IF(ISNUMBER(Sync!$L1700),IF(AND(Sync!$L1700&gt;=10000101,Sync!$L1700&lt;=99991231),RIGHT("0000"&amp;INT(Sync!$L1700/10000),4)&amp;"/"&amp;RIGHT("00"&amp;INT(MOD(Sync!$L1700,10000)/100),2)&amp;"/"&amp;RIGHT("00"&amp;MOD(Sync!$L1700,100),2),""),IFERROR(RIGHT("0000"&amp;VALUE(TRIM(LEFT(Sync!$L1700,FIND("/",Sync!$L1700)-1))),4)&amp;"/"&amp;RIGHT("00"&amp;VALUE(TRIM(LEFT(MID(Sync!$L1700,FIND("/",Sync!$L1700)+1,20),FIND("/",MID(Sync!$L1700,FIND("/",Sync!$L1700)+1,20))-1))),2)&amp;"/"&amp;RIGHT("00"&amp;VALUE(TRIM(MID(MID(Sync!$L1700,FIND("/",Sync!$L1700)+1,20),FIND("/",MID(Sync!$L1700,FIND("/",Sync!$L1700)+1,20))+1,20))),2),"")))</f>
        <v/>
      </c>
    </row>
    <row r="1701">
      <c r="M1701">
        <f>IF(Sync!$M1701&lt;&gt;"پاس چک","",IF(Sync!$P1701="","",Sync!$P1701))</f>
        <v/>
      </c>
      <c r="N1701">
        <f>IF($M1701="","",IF(ISNUMBER(Sync!$L1701),IF(AND(Sync!$L1701&gt;=10000101,Sync!$L1701&lt;=99991231),RIGHT("0000"&amp;INT(Sync!$L1701/10000),4)&amp;"/"&amp;RIGHT("00"&amp;INT(MOD(Sync!$L1701,10000)/100),2)&amp;"/"&amp;RIGHT("00"&amp;MOD(Sync!$L1701,100),2),""),IFERROR(RIGHT("0000"&amp;VALUE(TRIM(LEFT(Sync!$L1701,FIND("/",Sync!$L1701)-1))),4)&amp;"/"&amp;RIGHT("00"&amp;VALUE(TRIM(LEFT(MID(Sync!$L1701,FIND("/",Sync!$L1701)+1,20),FIND("/",MID(Sync!$L1701,FIND("/",Sync!$L1701)+1,20))-1))),2)&amp;"/"&amp;RIGHT("00"&amp;VALUE(TRIM(MID(MID(Sync!$L1701,FIND("/",Sync!$L1701)+1,20),FIND("/",MID(Sync!$L1701,FIND("/",Sync!$L1701)+1,20))+1,20))),2),"")))</f>
        <v/>
      </c>
    </row>
    <row r="1702">
      <c r="M1702">
        <f>IF(Sync!$M1702&lt;&gt;"پاس چک","",IF(Sync!$P1702="","",Sync!$P1702))</f>
        <v/>
      </c>
      <c r="N1702">
        <f>IF($M1702="","",IF(ISNUMBER(Sync!$L1702),IF(AND(Sync!$L1702&gt;=10000101,Sync!$L1702&lt;=99991231),RIGHT("0000"&amp;INT(Sync!$L1702/10000),4)&amp;"/"&amp;RIGHT("00"&amp;INT(MOD(Sync!$L1702,10000)/100),2)&amp;"/"&amp;RIGHT("00"&amp;MOD(Sync!$L1702,100),2),""),IFERROR(RIGHT("0000"&amp;VALUE(TRIM(LEFT(Sync!$L1702,FIND("/",Sync!$L1702)-1))),4)&amp;"/"&amp;RIGHT("00"&amp;VALUE(TRIM(LEFT(MID(Sync!$L1702,FIND("/",Sync!$L1702)+1,20),FIND("/",MID(Sync!$L1702,FIND("/",Sync!$L1702)+1,20))-1))),2)&amp;"/"&amp;RIGHT("00"&amp;VALUE(TRIM(MID(MID(Sync!$L1702,FIND("/",Sync!$L1702)+1,20),FIND("/",MID(Sync!$L1702,FIND("/",Sync!$L1702)+1,20))+1,20))),2),"")))</f>
        <v/>
      </c>
    </row>
    <row r="1703">
      <c r="M1703">
        <f>IF(Sync!$M1703&lt;&gt;"پاس چک","",IF(Sync!$P1703="","",Sync!$P1703))</f>
        <v/>
      </c>
      <c r="N1703">
        <f>IF($M1703="","",IF(ISNUMBER(Sync!$L1703),IF(AND(Sync!$L1703&gt;=10000101,Sync!$L1703&lt;=99991231),RIGHT("0000"&amp;INT(Sync!$L1703/10000),4)&amp;"/"&amp;RIGHT("00"&amp;INT(MOD(Sync!$L1703,10000)/100),2)&amp;"/"&amp;RIGHT("00"&amp;MOD(Sync!$L1703,100),2),""),IFERROR(RIGHT("0000"&amp;VALUE(TRIM(LEFT(Sync!$L1703,FIND("/",Sync!$L1703)-1))),4)&amp;"/"&amp;RIGHT("00"&amp;VALUE(TRIM(LEFT(MID(Sync!$L1703,FIND("/",Sync!$L1703)+1,20),FIND("/",MID(Sync!$L1703,FIND("/",Sync!$L1703)+1,20))-1))),2)&amp;"/"&amp;RIGHT("00"&amp;VALUE(TRIM(MID(MID(Sync!$L1703,FIND("/",Sync!$L1703)+1,20),FIND("/",MID(Sync!$L1703,FIND("/",Sync!$L1703)+1,20))+1,20))),2),"")))</f>
        <v/>
      </c>
    </row>
    <row r="1704">
      <c r="M1704">
        <f>IF(Sync!$M1704&lt;&gt;"پاس چک","",IF(Sync!$P1704="","",Sync!$P1704))</f>
        <v/>
      </c>
      <c r="N1704">
        <f>IF($M1704="","",IF(ISNUMBER(Sync!$L1704),IF(AND(Sync!$L1704&gt;=10000101,Sync!$L1704&lt;=99991231),RIGHT("0000"&amp;INT(Sync!$L1704/10000),4)&amp;"/"&amp;RIGHT("00"&amp;INT(MOD(Sync!$L1704,10000)/100),2)&amp;"/"&amp;RIGHT("00"&amp;MOD(Sync!$L1704,100),2),""),IFERROR(RIGHT("0000"&amp;VALUE(TRIM(LEFT(Sync!$L1704,FIND("/",Sync!$L1704)-1))),4)&amp;"/"&amp;RIGHT("00"&amp;VALUE(TRIM(LEFT(MID(Sync!$L1704,FIND("/",Sync!$L1704)+1,20),FIND("/",MID(Sync!$L1704,FIND("/",Sync!$L1704)+1,20))-1))),2)&amp;"/"&amp;RIGHT("00"&amp;VALUE(TRIM(MID(MID(Sync!$L1704,FIND("/",Sync!$L1704)+1,20),FIND("/",MID(Sync!$L1704,FIND("/",Sync!$L1704)+1,20))+1,20))),2),"")))</f>
        <v/>
      </c>
    </row>
    <row r="1705">
      <c r="M1705">
        <f>IF(Sync!$M1705&lt;&gt;"پاس چک","",IF(Sync!$P1705="","",Sync!$P1705))</f>
        <v/>
      </c>
      <c r="N1705">
        <f>IF($M1705="","",IF(ISNUMBER(Sync!$L1705),IF(AND(Sync!$L1705&gt;=10000101,Sync!$L1705&lt;=99991231),RIGHT("0000"&amp;INT(Sync!$L1705/10000),4)&amp;"/"&amp;RIGHT("00"&amp;INT(MOD(Sync!$L1705,10000)/100),2)&amp;"/"&amp;RIGHT("00"&amp;MOD(Sync!$L1705,100),2),""),IFERROR(RIGHT("0000"&amp;VALUE(TRIM(LEFT(Sync!$L1705,FIND("/",Sync!$L1705)-1))),4)&amp;"/"&amp;RIGHT("00"&amp;VALUE(TRIM(LEFT(MID(Sync!$L1705,FIND("/",Sync!$L1705)+1,20),FIND("/",MID(Sync!$L1705,FIND("/",Sync!$L1705)+1,20))-1))),2)&amp;"/"&amp;RIGHT("00"&amp;VALUE(TRIM(MID(MID(Sync!$L1705,FIND("/",Sync!$L1705)+1,20),FIND("/",MID(Sync!$L1705,FIND("/",Sync!$L1705)+1,20))+1,20))),2),"")))</f>
        <v/>
      </c>
    </row>
    <row r="1706">
      <c r="M1706">
        <f>IF(Sync!$M1706&lt;&gt;"پاس چک","",IF(Sync!$P1706="","",Sync!$P1706))</f>
        <v/>
      </c>
      <c r="N1706">
        <f>IF($M1706="","",IF(ISNUMBER(Sync!$L1706),IF(AND(Sync!$L1706&gt;=10000101,Sync!$L1706&lt;=99991231),RIGHT("0000"&amp;INT(Sync!$L1706/10000),4)&amp;"/"&amp;RIGHT("00"&amp;INT(MOD(Sync!$L1706,10000)/100),2)&amp;"/"&amp;RIGHT("00"&amp;MOD(Sync!$L1706,100),2),""),IFERROR(RIGHT("0000"&amp;VALUE(TRIM(LEFT(Sync!$L1706,FIND("/",Sync!$L1706)-1))),4)&amp;"/"&amp;RIGHT("00"&amp;VALUE(TRIM(LEFT(MID(Sync!$L1706,FIND("/",Sync!$L1706)+1,20),FIND("/",MID(Sync!$L1706,FIND("/",Sync!$L1706)+1,20))-1))),2)&amp;"/"&amp;RIGHT("00"&amp;VALUE(TRIM(MID(MID(Sync!$L1706,FIND("/",Sync!$L1706)+1,20),FIND("/",MID(Sync!$L1706,FIND("/",Sync!$L1706)+1,20))+1,20))),2),"")))</f>
        <v/>
      </c>
    </row>
    <row r="1707">
      <c r="M1707">
        <f>IF(Sync!$M1707&lt;&gt;"پاس چک","",IF(Sync!$P1707="","",Sync!$P1707))</f>
        <v/>
      </c>
      <c r="N1707">
        <f>IF($M1707="","",IF(ISNUMBER(Sync!$L1707),IF(AND(Sync!$L1707&gt;=10000101,Sync!$L1707&lt;=99991231),RIGHT("0000"&amp;INT(Sync!$L1707/10000),4)&amp;"/"&amp;RIGHT("00"&amp;INT(MOD(Sync!$L1707,10000)/100),2)&amp;"/"&amp;RIGHT("00"&amp;MOD(Sync!$L1707,100),2),""),IFERROR(RIGHT("0000"&amp;VALUE(TRIM(LEFT(Sync!$L1707,FIND("/",Sync!$L1707)-1))),4)&amp;"/"&amp;RIGHT("00"&amp;VALUE(TRIM(LEFT(MID(Sync!$L1707,FIND("/",Sync!$L1707)+1,20),FIND("/",MID(Sync!$L1707,FIND("/",Sync!$L1707)+1,20))-1))),2)&amp;"/"&amp;RIGHT("00"&amp;VALUE(TRIM(MID(MID(Sync!$L1707,FIND("/",Sync!$L1707)+1,20),FIND("/",MID(Sync!$L1707,FIND("/",Sync!$L1707)+1,20))+1,20))),2),"")))</f>
        <v/>
      </c>
    </row>
    <row r="1708">
      <c r="M1708">
        <f>IF(Sync!$M1708&lt;&gt;"پاس چک","",IF(Sync!$P1708="","",Sync!$P1708))</f>
        <v/>
      </c>
      <c r="N1708">
        <f>IF($M1708="","",IF(ISNUMBER(Sync!$L1708),IF(AND(Sync!$L1708&gt;=10000101,Sync!$L1708&lt;=99991231),RIGHT("0000"&amp;INT(Sync!$L1708/10000),4)&amp;"/"&amp;RIGHT("00"&amp;INT(MOD(Sync!$L1708,10000)/100),2)&amp;"/"&amp;RIGHT("00"&amp;MOD(Sync!$L1708,100),2),""),IFERROR(RIGHT("0000"&amp;VALUE(TRIM(LEFT(Sync!$L1708,FIND("/",Sync!$L1708)-1))),4)&amp;"/"&amp;RIGHT("00"&amp;VALUE(TRIM(LEFT(MID(Sync!$L1708,FIND("/",Sync!$L1708)+1,20),FIND("/",MID(Sync!$L1708,FIND("/",Sync!$L1708)+1,20))-1))),2)&amp;"/"&amp;RIGHT("00"&amp;VALUE(TRIM(MID(MID(Sync!$L1708,FIND("/",Sync!$L1708)+1,20),FIND("/",MID(Sync!$L1708,FIND("/",Sync!$L1708)+1,20))+1,20))),2),"")))</f>
        <v/>
      </c>
    </row>
    <row r="1709">
      <c r="M1709">
        <f>IF(Sync!$M1709&lt;&gt;"پاس چک","",IF(Sync!$P1709="","",Sync!$P1709))</f>
        <v/>
      </c>
      <c r="N1709">
        <f>IF($M1709="","",IF(ISNUMBER(Sync!$L1709),IF(AND(Sync!$L1709&gt;=10000101,Sync!$L1709&lt;=99991231),RIGHT("0000"&amp;INT(Sync!$L1709/10000),4)&amp;"/"&amp;RIGHT("00"&amp;INT(MOD(Sync!$L1709,10000)/100),2)&amp;"/"&amp;RIGHT("00"&amp;MOD(Sync!$L1709,100),2),""),IFERROR(RIGHT("0000"&amp;VALUE(TRIM(LEFT(Sync!$L1709,FIND("/",Sync!$L1709)-1))),4)&amp;"/"&amp;RIGHT("00"&amp;VALUE(TRIM(LEFT(MID(Sync!$L1709,FIND("/",Sync!$L1709)+1,20),FIND("/",MID(Sync!$L1709,FIND("/",Sync!$L1709)+1,20))-1))),2)&amp;"/"&amp;RIGHT("00"&amp;VALUE(TRIM(MID(MID(Sync!$L1709,FIND("/",Sync!$L1709)+1,20),FIND("/",MID(Sync!$L1709,FIND("/",Sync!$L1709)+1,20))+1,20))),2),"")))</f>
        <v/>
      </c>
    </row>
    <row r="1710">
      <c r="M1710">
        <f>IF(Sync!$M1710&lt;&gt;"پاس چک","",IF(Sync!$P1710="","",Sync!$P1710))</f>
        <v/>
      </c>
      <c r="N1710">
        <f>IF($M1710="","",IF(ISNUMBER(Sync!$L1710),IF(AND(Sync!$L1710&gt;=10000101,Sync!$L1710&lt;=99991231),RIGHT("0000"&amp;INT(Sync!$L1710/10000),4)&amp;"/"&amp;RIGHT("00"&amp;INT(MOD(Sync!$L1710,10000)/100),2)&amp;"/"&amp;RIGHT("00"&amp;MOD(Sync!$L1710,100),2),""),IFERROR(RIGHT("0000"&amp;VALUE(TRIM(LEFT(Sync!$L1710,FIND("/",Sync!$L1710)-1))),4)&amp;"/"&amp;RIGHT("00"&amp;VALUE(TRIM(LEFT(MID(Sync!$L1710,FIND("/",Sync!$L1710)+1,20),FIND("/",MID(Sync!$L1710,FIND("/",Sync!$L1710)+1,20))-1))),2)&amp;"/"&amp;RIGHT("00"&amp;VALUE(TRIM(MID(MID(Sync!$L1710,FIND("/",Sync!$L1710)+1,20),FIND("/",MID(Sync!$L1710,FIND("/",Sync!$L1710)+1,20))+1,20))),2),"")))</f>
        <v/>
      </c>
    </row>
    <row r="1711">
      <c r="M1711">
        <f>IF(Sync!$M1711&lt;&gt;"پاس چک","",IF(Sync!$P1711="","",Sync!$P1711))</f>
        <v/>
      </c>
      <c r="N1711">
        <f>IF($M1711="","",IF(ISNUMBER(Sync!$L1711),IF(AND(Sync!$L1711&gt;=10000101,Sync!$L1711&lt;=99991231),RIGHT("0000"&amp;INT(Sync!$L1711/10000),4)&amp;"/"&amp;RIGHT("00"&amp;INT(MOD(Sync!$L1711,10000)/100),2)&amp;"/"&amp;RIGHT("00"&amp;MOD(Sync!$L1711,100),2),""),IFERROR(RIGHT("0000"&amp;VALUE(TRIM(LEFT(Sync!$L1711,FIND("/",Sync!$L1711)-1))),4)&amp;"/"&amp;RIGHT("00"&amp;VALUE(TRIM(LEFT(MID(Sync!$L1711,FIND("/",Sync!$L1711)+1,20),FIND("/",MID(Sync!$L1711,FIND("/",Sync!$L1711)+1,20))-1))),2)&amp;"/"&amp;RIGHT("00"&amp;VALUE(TRIM(MID(MID(Sync!$L1711,FIND("/",Sync!$L1711)+1,20),FIND("/",MID(Sync!$L1711,FIND("/",Sync!$L1711)+1,20))+1,20))),2),"")))</f>
        <v/>
      </c>
    </row>
    <row r="1712">
      <c r="M1712">
        <f>IF(Sync!$M1712&lt;&gt;"پاس چک","",IF(Sync!$P1712="","",Sync!$P1712))</f>
        <v/>
      </c>
      <c r="N1712">
        <f>IF($M1712="","",IF(ISNUMBER(Sync!$L1712),IF(AND(Sync!$L1712&gt;=10000101,Sync!$L1712&lt;=99991231),RIGHT("0000"&amp;INT(Sync!$L1712/10000),4)&amp;"/"&amp;RIGHT("00"&amp;INT(MOD(Sync!$L1712,10000)/100),2)&amp;"/"&amp;RIGHT("00"&amp;MOD(Sync!$L1712,100),2),""),IFERROR(RIGHT("0000"&amp;VALUE(TRIM(LEFT(Sync!$L1712,FIND("/",Sync!$L1712)-1))),4)&amp;"/"&amp;RIGHT("00"&amp;VALUE(TRIM(LEFT(MID(Sync!$L1712,FIND("/",Sync!$L1712)+1,20),FIND("/",MID(Sync!$L1712,FIND("/",Sync!$L1712)+1,20))-1))),2)&amp;"/"&amp;RIGHT("00"&amp;VALUE(TRIM(MID(MID(Sync!$L1712,FIND("/",Sync!$L1712)+1,20),FIND("/",MID(Sync!$L1712,FIND("/",Sync!$L1712)+1,20))+1,20))),2),"")))</f>
        <v/>
      </c>
    </row>
    <row r="1713">
      <c r="M1713">
        <f>IF(Sync!$M1713&lt;&gt;"پاس چک","",IF(Sync!$P1713="","",Sync!$P1713))</f>
        <v/>
      </c>
      <c r="N1713">
        <f>IF($M1713="","",IF(ISNUMBER(Sync!$L1713),IF(AND(Sync!$L1713&gt;=10000101,Sync!$L1713&lt;=99991231),RIGHT("0000"&amp;INT(Sync!$L1713/10000),4)&amp;"/"&amp;RIGHT("00"&amp;INT(MOD(Sync!$L1713,10000)/100),2)&amp;"/"&amp;RIGHT("00"&amp;MOD(Sync!$L1713,100),2),""),IFERROR(RIGHT("0000"&amp;VALUE(TRIM(LEFT(Sync!$L1713,FIND("/",Sync!$L1713)-1))),4)&amp;"/"&amp;RIGHT("00"&amp;VALUE(TRIM(LEFT(MID(Sync!$L1713,FIND("/",Sync!$L1713)+1,20),FIND("/",MID(Sync!$L1713,FIND("/",Sync!$L1713)+1,20))-1))),2)&amp;"/"&amp;RIGHT("00"&amp;VALUE(TRIM(MID(MID(Sync!$L1713,FIND("/",Sync!$L1713)+1,20),FIND("/",MID(Sync!$L1713,FIND("/",Sync!$L1713)+1,20))+1,20))),2),"")))</f>
        <v/>
      </c>
    </row>
    <row r="1714">
      <c r="M1714">
        <f>IF(Sync!$M1714&lt;&gt;"پاس چک","",IF(Sync!$P1714="","",Sync!$P1714))</f>
        <v/>
      </c>
      <c r="N1714">
        <f>IF($M1714="","",IF(ISNUMBER(Sync!$L1714),IF(AND(Sync!$L1714&gt;=10000101,Sync!$L1714&lt;=99991231),RIGHT("0000"&amp;INT(Sync!$L1714/10000),4)&amp;"/"&amp;RIGHT("00"&amp;INT(MOD(Sync!$L1714,10000)/100),2)&amp;"/"&amp;RIGHT("00"&amp;MOD(Sync!$L1714,100),2),""),IFERROR(RIGHT("0000"&amp;VALUE(TRIM(LEFT(Sync!$L1714,FIND("/",Sync!$L1714)-1))),4)&amp;"/"&amp;RIGHT("00"&amp;VALUE(TRIM(LEFT(MID(Sync!$L1714,FIND("/",Sync!$L1714)+1,20),FIND("/",MID(Sync!$L1714,FIND("/",Sync!$L1714)+1,20))-1))),2)&amp;"/"&amp;RIGHT("00"&amp;VALUE(TRIM(MID(MID(Sync!$L1714,FIND("/",Sync!$L1714)+1,20),FIND("/",MID(Sync!$L1714,FIND("/",Sync!$L1714)+1,20))+1,20))),2),"")))</f>
        <v/>
      </c>
    </row>
    <row r="1715">
      <c r="M1715">
        <f>IF(Sync!$M1715&lt;&gt;"پاس چک","",IF(Sync!$P1715="","",Sync!$P1715))</f>
        <v/>
      </c>
      <c r="N1715">
        <f>IF($M1715="","",IF(ISNUMBER(Sync!$L1715),IF(AND(Sync!$L1715&gt;=10000101,Sync!$L1715&lt;=99991231),RIGHT("0000"&amp;INT(Sync!$L1715/10000),4)&amp;"/"&amp;RIGHT("00"&amp;INT(MOD(Sync!$L1715,10000)/100),2)&amp;"/"&amp;RIGHT("00"&amp;MOD(Sync!$L1715,100),2),""),IFERROR(RIGHT("0000"&amp;VALUE(TRIM(LEFT(Sync!$L1715,FIND("/",Sync!$L1715)-1))),4)&amp;"/"&amp;RIGHT("00"&amp;VALUE(TRIM(LEFT(MID(Sync!$L1715,FIND("/",Sync!$L1715)+1,20),FIND("/",MID(Sync!$L1715,FIND("/",Sync!$L1715)+1,20))-1))),2)&amp;"/"&amp;RIGHT("00"&amp;VALUE(TRIM(MID(MID(Sync!$L1715,FIND("/",Sync!$L1715)+1,20),FIND("/",MID(Sync!$L1715,FIND("/",Sync!$L1715)+1,20))+1,20))),2),"")))</f>
        <v/>
      </c>
    </row>
    <row r="1716">
      <c r="M1716">
        <f>IF(Sync!$M1716&lt;&gt;"پاس چک","",IF(Sync!$P1716="","",Sync!$P1716))</f>
        <v/>
      </c>
      <c r="N1716">
        <f>IF($M1716="","",IF(ISNUMBER(Sync!$L1716),IF(AND(Sync!$L1716&gt;=10000101,Sync!$L1716&lt;=99991231),RIGHT("0000"&amp;INT(Sync!$L1716/10000),4)&amp;"/"&amp;RIGHT("00"&amp;INT(MOD(Sync!$L1716,10000)/100),2)&amp;"/"&amp;RIGHT("00"&amp;MOD(Sync!$L1716,100),2),""),IFERROR(RIGHT("0000"&amp;VALUE(TRIM(LEFT(Sync!$L1716,FIND("/",Sync!$L1716)-1))),4)&amp;"/"&amp;RIGHT("00"&amp;VALUE(TRIM(LEFT(MID(Sync!$L1716,FIND("/",Sync!$L1716)+1,20),FIND("/",MID(Sync!$L1716,FIND("/",Sync!$L1716)+1,20))-1))),2)&amp;"/"&amp;RIGHT("00"&amp;VALUE(TRIM(MID(MID(Sync!$L1716,FIND("/",Sync!$L1716)+1,20),FIND("/",MID(Sync!$L1716,FIND("/",Sync!$L1716)+1,20))+1,20))),2),"")))</f>
        <v/>
      </c>
    </row>
    <row r="1717">
      <c r="M1717">
        <f>IF(Sync!$M1717&lt;&gt;"پاس چک","",IF(Sync!$P1717="","",Sync!$P1717))</f>
        <v/>
      </c>
      <c r="N1717">
        <f>IF($M1717="","",IF(ISNUMBER(Sync!$L1717),IF(AND(Sync!$L1717&gt;=10000101,Sync!$L1717&lt;=99991231),RIGHT("0000"&amp;INT(Sync!$L1717/10000),4)&amp;"/"&amp;RIGHT("00"&amp;INT(MOD(Sync!$L1717,10000)/100),2)&amp;"/"&amp;RIGHT("00"&amp;MOD(Sync!$L1717,100),2),""),IFERROR(RIGHT("0000"&amp;VALUE(TRIM(LEFT(Sync!$L1717,FIND("/",Sync!$L1717)-1))),4)&amp;"/"&amp;RIGHT("00"&amp;VALUE(TRIM(LEFT(MID(Sync!$L1717,FIND("/",Sync!$L1717)+1,20),FIND("/",MID(Sync!$L1717,FIND("/",Sync!$L1717)+1,20))-1))),2)&amp;"/"&amp;RIGHT("00"&amp;VALUE(TRIM(MID(MID(Sync!$L1717,FIND("/",Sync!$L1717)+1,20),FIND("/",MID(Sync!$L1717,FIND("/",Sync!$L1717)+1,20))+1,20))),2),"")))</f>
        <v/>
      </c>
    </row>
    <row r="1718">
      <c r="M1718">
        <f>IF(Sync!$M1718&lt;&gt;"پاس چک","",IF(Sync!$P1718="","",Sync!$P1718))</f>
        <v/>
      </c>
      <c r="N1718">
        <f>IF($M1718="","",IF(ISNUMBER(Sync!$L1718),IF(AND(Sync!$L1718&gt;=10000101,Sync!$L1718&lt;=99991231),RIGHT("0000"&amp;INT(Sync!$L1718/10000),4)&amp;"/"&amp;RIGHT("00"&amp;INT(MOD(Sync!$L1718,10000)/100),2)&amp;"/"&amp;RIGHT("00"&amp;MOD(Sync!$L1718,100),2),""),IFERROR(RIGHT("0000"&amp;VALUE(TRIM(LEFT(Sync!$L1718,FIND("/",Sync!$L1718)-1))),4)&amp;"/"&amp;RIGHT("00"&amp;VALUE(TRIM(LEFT(MID(Sync!$L1718,FIND("/",Sync!$L1718)+1,20),FIND("/",MID(Sync!$L1718,FIND("/",Sync!$L1718)+1,20))-1))),2)&amp;"/"&amp;RIGHT("00"&amp;VALUE(TRIM(MID(MID(Sync!$L1718,FIND("/",Sync!$L1718)+1,20),FIND("/",MID(Sync!$L1718,FIND("/",Sync!$L1718)+1,20))+1,20))),2),"")))</f>
        <v/>
      </c>
    </row>
    <row r="1719">
      <c r="M1719">
        <f>IF(Sync!$M1719&lt;&gt;"پاس چک","",IF(Sync!$P1719="","",Sync!$P1719))</f>
        <v/>
      </c>
      <c r="N1719">
        <f>IF($M1719="","",IF(ISNUMBER(Sync!$L1719),IF(AND(Sync!$L1719&gt;=10000101,Sync!$L1719&lt;=99991231),RIGHT("0000"&amp;INT(Sync!$L1719/10000),4)&amp;"/"&amp;RIGHT("00"&amp;INT(MOD(Sync!$L1719,10000)/100),2)&amp;"/"&amp;RIGHT("00"&amp;MOD(Sync!$L1719,100),2),""),IFERROR(RIGHT("0000"&amp;VALUE(TRIM(LEFT(Sync!$L1719,FIND("/",Sync!$L1719)-1))),4)&amp;"/"&amp;RIGHT("00"&amp;VALUE(TRIM(LEFT(MID(Sync!$L1719,FIND("/",Sync!$L1719)+1,20),FIND("/",MID(Sync!$L1719,FIND("/",Sync!$L1719)+1,20))-1))),2)&amp;"/"&amp;RIGHT("00"&amp;VALUE(TRIM(MID(MID(Sync!$L1719,FIND("/",Sync!$L1719)+1,20),FIND("/",MID(Sync!$L1719,FIND("/",Sync!$L1719)+1,20))+1,20))),2),"")))</f>
        <v/>
      </c>
    </row>
    <row r="1720">
      <c r="M1720">
        <f>IF(Sync!$M1720&lt;&gt;"پاس چک","",IF(Sync!$P1720="","",Sync!$P1720))</f>
        <v/>
      </c>
      <c r="N1720">
        <f>IF($M1720="","",IF(ISNUMBER(Sync!$L1720),IF(AND(Sync!$L1720&gt;=10000101,Sync!$L1720&lt;=99991231),RIGHT("0000"&amp;INT(Sync!$L1720/10000),4)&amp;"/"&amp;RIGHT("00"&amp;INT(MOD(Sync!$L1720,10000)/100),2)&amp;"/"&amp;RIGHT("00"&amp;MOD(Sync!$L1720,100),2),""),IFERROR(RIGHT("0000"&amp;VALUE(TRIM(LEFT(Sync!$L1720,FIND("/",Sync!$L1720)-1))),4)&amp;"/"&amp;RIGHT("00"&amp;VALUE(TRIM(LEFT(MID(Sync!$L1720,FIND("/",Sync!$L1720)+1,20),FIND("/",MID(Sync!$L1720,FIND("/",Sync!$L1720)+1,20))-1))),2)&amp;"/"&amp;RIGHT("00"&amp;VALUE(TRIM(MID(MID(Sync!$L1720,FIND("/",Sync!$L1720)+1,20),FIND("/",MID(Sync!$L1720,FIND("/",Sync!$L1720)+1,20))+1,20))),2),"")))</f>
        <v/>
      </c>
    </row>
    <row r="1721">
      <c r="M1721">
        <f>IF(Sync!$M1721&lt;&gt;"پاس چک","",IF(Sync!$P1721="","",Sync!$P1721))</f>
        <v/>
      </c>
      <c r="N1721">
        <f>IF($M1721="","",IF(ISNUMBER(Sync!$L1721),IF(AND(Sync!$L1721&gt;=10000101,Sync!$L1721&lt;=99991231),RIGHT("0000"&amp;INT(Sync!$L1721/10000),4)&amp;"/"&amp;RIGHT("00"&amp;INT(MOD(Sync!$L1721,10000)/100),2)&amp;"/"&amp;RIGHT("00"&amp;MOD(Sync!$L1721,100),2),""),IFERROR(RIGHT("0000"&amp;VALUE(TRIM(LEFT(Sync!$L1721,FIND("/",Sync!$L1721)-1))),4)&amp;"/"&amp;RIGHT("00"&amp;VALUE(TRIM(LEFT(MID(Sync!$L1721,FIND("/",Sync!$L1721)+1,20),FIND("/",MID(Sync!$L1721,FIND("/",Sync!$L1721)+1,20))-1))),2)&amp;"/"&amp;RIGHT("00"&amp;VALUE(TRIM(MID(MID(Sync!$L1721,FIND("/",Sync!$L1721)+1,20),FIND("/",MID(Sync!$L1721,FIND("/",Sync!$L1721)+1,20))+1,20))),2),"")))</f>
        <v/>
      </c>
    </row>
    <row r="1722">
      <c r="M1722">
        <f>IF(Sync!$M1722&lt;&gt;"پاس چک","",IF(Sync!$P1722="","",Sync!$P1722))</f>
        <v/>
      </c>
      <c r="N1722">
        <f>IF($M1722="","",IF(ISNUMBER(Sync!$L1722),IF(AND(Sync!$L1722&gt;=10000101,Sync!$L1722&lt;=99991231),RIGHT("0000"&amp;INT(Sync!$L1722/10000),4)&amp;"/"&amp;RIGHT("00"&amp;INT(MOD(Sync!$L1722,10000)/100),2)&amp;"/"&amp;RIGHT("00"&amp;MOD(Sync!$L1722,100),2),""),IFERROR(RIGHT("0000"&amp;VALUE(TRIM(LEFT(Sync!$L1722,FIND("/",Sync!$L1722)-1))),4)&amp;"/"&amp;RIGHT("00"&amp;VALUE(TRIM(LEFT(MID(Sync!$L1722,FIND("/",Sync!$L1722)+1,20),FIND("/",MID(Sync!$L1722,FIND("/",Sync!$L1722)+1,20))-1))),2)&amp;"/"&amp;RIGHT("00"&amp;VALUE(TRIM(MID(MID(Sync!$L1722,FIND("/",Sync!$L1722)+1,20),FIND("/",MID(Sync!$L1722,FIND("/",Sync!$L1722)+1,20))+1,20))),2),"")))</f>
        <v/>
      </c>
    </row>
    <row r="1723">
      <c r="M1723">
        <f>IF(Sync!$M1723&lt;&gt;"پاس چک","",IF(Sync!$P1723="","",Sync!$P1723))</f>
        <v/>
      </c>
      <c r="N1723">
        <f>IF($M1723="","",IF(ISNUMBER(Sync!$L1723),IF(AND(Sync!$L1723&gt;=10000101,Sync!$L1723&lt;=99991231),RIGHT("0000"&amp;INT(Sync!$L1723/10000),4)&amp;"/"&amp;RIGHT("00"&amp;INT(MOD(Sync!$L1723,10000)/100),2)&amp;"/"&amp;RIGHT("00"&amp;MOD(Sync!$L1723,100),2),""),IFERROR(RIGHT("0000"&amp;VALUE(TRIM(LEFT(Sync!$L1723,FIND("/",Sync!$L1723)-1))),4)&amp;"/"&amp;RIGHT("00"&amp;VALUE(TRIM(LEFT(MID(Sync!$L1723,FIND("/",Sync!$L1723)+1,20),FIND("/",MID(Sync!$L1723,FIND("/",Sync!$L1723)+1,20))-1))),2)&amp;"/"&amp;RIGHT("00"&amp;VALUE(TRIM(MID(MID(Sync!$L1723,FIND("/",Sync!$L1723)+1,20),FIND("/",MID(Sync!$L1723,FIND("/",Sync!$L1723)+1,20))+1,20))),2),"")))</f>
        <v/>
      </c>
    </row>
    <row r="1724">
      <c r="M1724">
        <f>IF(Sync!$M1724&lt;&gt;"پاس چک","",IF(Sync!$P1724="","",Sync!$P1724))</f>
        <v/>
      </c>
      <c r="N1724">
        <f>IF($M1724="","",IF(ISNUMBER(Sync!$L1724),IF(AND(Sync!$L1724&gt;=10000101,Sync!$L1724&lt;=99991231),RIGHT("0000"&amp;INT(Sync!$L1724/10000),4)&amp;"/"&amp;RIGHT("00"&amp;INT(MOD(Sync!$L1724,10000)/100),2)&amp;"/"&amp;RIGHT("00"&amp;MOD(Sync!$L1724,100),2),""),IFERROR(RIGHT("0000"&amp;VALUE(TRIM(LEFT(Sync!$L1724,FIND("/",Sync!$L1724)-1))),4)&amp;"/"&amp;RIGHT("00"&amp;VALUE(TRIM(LEFT(MID(Sync!$L1724,FIND("/",Sync!$L1724)+1,20),FIND("/",MID(Sync!$L1724,FIND("/",Sync!$L1724)+1,20))-1))),2)&amp;"/"&amp;RIGHT("00"&amp;VALUE(TRIM(MID(MID(Sync!$L1724,FIND("/",Sync!$L1724)+1,20),FIND("/",MID(Sync!$L1724,FIND("/",Sync!$L1724)+1,20))+1,20))),2),"")))</f>
        <v/>
      </c>
    </row>
    <row r="1725">
      <c r="M1725">
        <f>IF(Sync!$M1725&lt;&gt;"پاس چک","",IF(Sync!$P1725="","",Sync!$P1725))</f>
        <v/>
      </c>
      <c r="N1725">
        <f>IF($M1725="","",IF(ISNUMBER(Sync!$L1725),IF(AND(Sync!$L1725&gt;=10000101,Sync!$L1725&lt;=99991231),RIGHT("0000"&amp;INT(Sync!$L1725/10000),4)&amp;"/"&amp;RIGHT("00"&amp;INT(MOD(Sync!$L1725,10000)/100),2)&amp;"/"&amp;RIGHT("00"&amp;MOD(Sync!$L1725,100),2),""),IFERROR(RIGHT("0000"&amp;VALUE(TRIM(LEFT(Sync!$L1725,FIND("/",Sync!$L1725)-1))),4)&amp;"/"&amp;RIGHT("00"&amp;VALUE(TRIM(LEFT(MID(Sync!$L1725,FIND("/",Sync!$L1725)+1,20),FIND("/",MID(Sync!$L1725,FIND("/",Sync!$L1725)+1,20))-1))),2)&amp;"/"&amp;RIGHT("00"&amp;VALUE(TRIM(MID(MID(Sync!$L1725,FIND("/",Sync!$L1725)+1,20),FIND("/",MID(Sync!$L1725,FIND("/",Sync!$L1725)+1,20))+1,20))),2),"")))</f>
        <v/>
      </c>
    </row>
    <row r="1726">
      <c r="M1726">
        <f>IF(Sync!$M1726&lt;&gt;"پاس چک","",IF(Sync!$P1726="","",Sync!$P1726))</f>
        <v/>
      </c>
      <c r="N1726">
        <f>IF($M1726="","",IF(ISNUMBER(Sync!$L1726),IF(AND(Sync!$L1726&gt;=10000101,Sync!$L1726&lt;=99991231),RIGHT("0000"&amp;INT(Sync!$L1726/10000),4)&amp;"/"&amp;RIGHT("00"&amp;INT(MOD(Sync!$L1726,10000)/100),2)&amp;"/"&amp;RIGHT("00"&amp;MOD(Sync!$L1726,100),2),""),IFERROR(RIGHT("0000"&amp;VALUE(TRIM(LEFT(Sync!$L1726,FIND("/",Sync!$L1726)-1))),4)&amp;"/"&amp;RIGHT("00"&amp;VALUE(TRIM(LEFT(MID(Sync!$L1726,FIND("/",Sync!$L1726)+1,20),FIND("/",MID(Sync!$L1726,FIND("/",Sync!$L1726)+1,20))-1))),2)&amp;"/"&amp;RIGHT("00"&amp;VALUE(TRIM(MID(MID(Sync!$L1726,FIND("/",Sync!$L1726)+1,20),FIND("/",MID(Sync!$L1726,FIND("/",Sync!$L1726)+1,20))+1,20))),2),"")))</f>
        <v/>
      </c>
    </row>
    <row r="1727">
      <c r="M1727">
        <f>IF(Sync!$M1727&lt;&gt;"پاس چک","",IF(Sync!$P1727="","",Sync!$P1727))</f>
        <v/>
      </c>
      <c r="N1727">
        <f>IF($M1727="","",IF(ISNUMBER(Sync!$L1727),IF(AND(Sync!$L1727&gt;=10000101,Sync!$L1727&lt;=99991231),RIGHT("0000"&amp;INT(Sync!$L1727/10000),4)&amp;"/"&amp;RIGHT("00"&amp;INT(MOD(Sync!$L1727,10000)/100),2)&amp;"/"&amp;RIGHT("00"&amp;MOD(Sync!$L1727,100),2),""),IFERROR(RIGHT("0000"&amp;VALUE(TRIM(LEFT(Sync!$L1727,FIND("/",Sync!$L1727)-1))),4)&amp;"/"&amp;RIGHT("00"&amp;VALUE(TRIM(LEFT(MID(Sync!$L1727,FIND("/",Sync!$L1727)+1,20),FIND("/",MID(Sync!$L1727,FIND("/",Sync!$L1727)+1,20))-1))),2)&amp;"/"&amp;RIGHT("00"&amp;VALUE(TRIM(MID(MID(Sync!$L1727,FIND("/",Sync!$L1727)+1,20),FIND("/",MID(Sync!$L1727,FIND("/",Sync!$L1727)+1,20))+1,20))),2),"")))</f>
        <v/>
      </c>
    </row>
    <row r="1728">
      <c r="M1728">
        <f>IF(Sync!$M1728&lt;&gt;"پاس چک","",IF(Sync!$P1728="","",Sync!$P1728))</f>
        <v/>
      </c>
      <c r="N1728">
        <f>IF($M1728="","",IF(ISNUMBER(Sync!$L1728),IF(AND(Sync!$L1728&gt;=10000101,Sync!$L1728&lt;=99991231),RIGHT("0000"&amp;INT(Sync!$L1728/10000),4)&amp;"/"&amp;RIGHT("00"&amp;INT(MOD(Sync!$L1728,10000)/100),2)&amp;"/"&amp;RIGHT("00"&amp;MOD(Sync!$L1728,100),2),""),IFERROR(RIGHT("0000"&amp;VALUE(TRIM(LEFT(Sync!$L1728,FIND("/",Sync!$L1728)-1))),4)&amp;"/"&amp;RIGHT("00"&amp;VALUE(TRIM(LEFT(MID(Sync!$L1728,FIND("/",Sync!$L1728)+1,20),FIND("/",MID(Sync!$L1728,FIND("/",Sync!$L1728)+1,20))-1))),2)&amp;"/"&amp;RIGHT("00"&amp;VALUE(TRIM(MID(MID(Sync!$L1728,FIND("/",Sync!$L1728)+1,20),FIND("/",MID(Sync!$L1728,FIND("/",Sync!$L1728)+1,20))+1,20))),2),"")))</f>
        <v/>
      </c>
    </row>
    <row r="1729">
      <c r="M1729">
        <f>IF(Sync!$M1729&lt;&gt;"پاس چک","",IF(Sync!$P1729="","",Sync!$P1729))</f>
        <v/>
      </c>
      <c r="N1729">
        <f>IF($M1729="","",IF(ISNUMBER(Sync!$L1729),IF(AND(Sync!$L1729&gt;=10000101,Sync!$L1729&lt;=99991231),RIGHT("0000"&amp;INT(Sync!$L1729/10000),4)&amp;"/"&amp;RIGHT("00"&amp;INT(MOD(Sync!$L1729,10000)/100),2)&amp;"/"&amp;RIGHT("00"&amp;MOD(Sync!$L1729,100),2),""),IFERROR(RIGHT("0000"&amp;VALUE(TRIM(LEFT(Sync!$L1729,FIND("/",Sync!$L1729)-1))),4)&amp;"/"&amp;RIGHT("00"&amp;VALUE(TRIM(LEFT(MID(Sync!$L1729,FIND("/",Sync!$L1729)+1,20),FIND("/",MID(Sync!$L1729,FIND("/",Sync!$L1729)+1,20))-1))),2)&amp;"/"&amp;RIGHT("00"&amp;VALUE(TRIM(MID(MID(Sync!$L1729,FIND("/",Sync!$L1729)+1,20),FIND("/",MID(Sync!$L1729,FIND("/",Sync!$L1729)+1,20))+1,20))),2),"")))</f>
        <v/>
      </c>
    </row>
    <row r="1730">
      <c r="M1730">
        <f>IF(Sync!$M1730&lt;&gt;"پاس چک","",IF(Sync!$P1730="","",Sync!$P1730))</f>
        <v/>
      </c>
      <c r="N1730">
        <f>IF($M1730="","",IF(ISNUMBER(Sync!$L1730),IF(AND(Sync!$L1730&gt;=10000101,Sync!$L1730&lt;=99991231),RIGHT("0000"&amp;INT(Sync!$L1730/10000),4)&amp;"/"&amp;RIGHT("00"&amp;INT(MOD(Sync!$L1730,10000)/100),2)&amp;"/"&amp;RIGHT("00"&amp;MOD(Sync!$L1730,100),2),""),IFERROR(RIGHT("0000"&amp;VALUE(TRIM(LEFT(Sync!$L1730,FIND("/",Sync!$L1730)-1))),4)&amp;"/"&amp;RIGHT("00"&amp;VALUE(TRIM(LEFT(MID(Sync!$L1730,FIND("/",Sync!$L1730)+1,20),FIND("/",MID(Sync!$L1730,FIND("/",Sync!$L1730)+1,20))-1))),2)&amp;"/"&amp;RIGHT("00"&amp;VALUE(TRIM(MID(MID(Sync!$L1730,FIND("/",Sync!$L1730)+1,20),FIND("/",MID(Sync!$L1730,FIND("/",Sync!$L1730)+1,20))+1,20))),2),"")))</f>
        <v/>
      </c>
    </row>
    <row r="1731">
      <c r="M1731">
        <f>IF(Sync!$M1731&lt;&gt;"پاس چک","",IF(Sync!$P1731="","",Sync!$P1731))</f>
        <v/>
      </c>
      <c r="N1731">
        <f>IF($M1731="","",IF(ISNUMBER(Sync!$L1731),IF(AND(Sync!$L1731&gt;=10000101,Sync!$L1731&lt;=99991231),RIGHT("0000"&amp;INT(Sync!$L1731/10000),4)&amp;"/"&amp;RIGHT("00"&amp;INT(MOD(Sync!$L1731,10000)/100),2)&amp;"/"&amp;RIGHT("00"&amp;MOD(Sync!$L1731,100),2),""),IFERROR(RIGHT("0000"&amp;VALUE(TRIM(LEFT(Sync!$L1731,FIND("/",Sync!$L1731)-1))),4)&amp;"/"&amp;RIGHT("00"&amp;VALUE(TRIM(LEFT(MID(Sync!$L1731,FIND("/",Sync!$L1731)+1,20),FIND("/",MID(Sync!$L1731,FIND("/",Sync!$L1731)+1,20))-1))),2)&amp;"/"&amp;RIGHT("00"&amp;VALUE(TRIM(MID(MID(Sync!$L1731,FIND("/",Sync!$L1731)+1,20),FIND("/",MID(Sync!$L1731,FIND("/",Sync!$L1731)+1,20))+1,20))),2),"")))</f>
        <v/>
      </c>
    </row>
    <row r="1732">
      <c r="M1732">
        <f>IF(Sync!$M1732&lt;&gt;"پاس چک","",IF(Sync!$P1732="","",Sync!$P1732))</f>
        <v/>
      </c>
      <c r="N1732">
        <f>IF($M1732="","",IF(ISNUMBER(Sync!$L1732),IF(AND(Sync!$L1732&gt;=10000101,Sync!$L1732&lt;=99991231),RIGHT("0000"&amp;INT(Sync!$L1732/10000),4)&amp;"/"&amp;RIGHT("00"&amp;INT(MOD(Sync!$L1732,10000)/100),2)&amp;"/"&amp;RIGHT("00"&amp;MOD(Sync!$L1732,100),2),""),IFERROR(RIGHT("0000"&amp;VALUE(TRIM(LEFT(Sync!$L1732,FIND("/",Sync!$L1732)-1))),4)&amp;"/"&amp;RIGHT("00"&amp;VALUE(TRIM(LEFT(MID(Sync!$L1732,FIND("/",Sync!$L1732)+1,20),FIND("/",MID(Sync!$L1732,FIND("/",Sync!$L1732)+1,20))-1))),2)&amp;"/"&amp;RIGHT("00"&amp;VALUE(TRIM(MID(MID(Sync!$L1732,FIND("/",Sync!$L1732)+1,20),FIND("/",MID(Sync!$L1732,FIND("/",Sync!$L1732)+1,20))+1,20))),2),"")))</f>
        <v/>
      </c>
    </row>
    <row r="1733">
      <c r="M1733">
        <f>IF(Sync!$M1733&lt;&gt;"پاس چک","",IF(Sync!$P1733="","",Sync!$P1733))</f>
        <v/>
      </c>
      <c r="N1733">
        <f>IF($M1733="","",IF(ISNUMBER(Sync!$L1733),IF(AND(Sync!$L1733&gt;=10000101,Sync!$L1733&lt;=99991231),RIGHT("0000"&amp;INT(Sync!$L1733/10000),4)&amp;"/"&amp;RIGHT("00"&amp;INT(MOD(Sync!$L1733,10000)/100),2)&amp;"/"&amp;RIGHT("00"&amp;MOD(Sync!$L1733,100),2),""),IFERROR(RIGHT("0000"&amp;VALUE(TRIM(LEFT(Sync!$L1733,FIND("/",Sync!$L1733)-1))),4)&amp;"/"&amp;RIGHT("00"&amp;VALUE(TRIM(LEFT(MID(Sync!$L1733,FIND("/",Sync!$L1733)+1,20),FIND("/",MID(Sync!$L1733,FIND("/",Sync!$L1733)+1,20))-1))),2)&amp;"/"&amp;RIGHT("00"&amp;VALUE(TRIM(MID(MID(Sync!$L1733,FIND("/",Sync!$L1733)+1,20),FIND("/",MID(Sync!$L1733,FIND("/",Sync!$L1733)+1,20))+1,20))),2),"")))</f>
        <v/>
      </c>
    </row>
    <row r="1734">
      <c r="M1734">
        <f>IF(Sync!$M1734&lt;&gt;"پاس چک","",IF(Sync!$P1734="","",Sync!$P1734))</f>
        <v/>
      </c>
      <c r="N1734">
        <f>IF($M1734="","",IF(ISNUMBER(Sync!$L1734),IF(AND(Sync!$L1734&gt;=10000101,Sync!$L1734&lt;=99991231),RIGHT("0000"&amp;INT(Sync!$L1734/10000),4)&amp;"/"&amp;RIGHT("00"&amp;INT(MOD(Sync!$L1734,10000)/100),2)&amp;"/"&amp;RIGHT("00"&amp;MOD(Sync!$L1734,100),2),""),IFERROR(RIGHT("0000"&amp;VALUE(TRIM(LEFT(Sync!$L1734,FIND("/",Sync!$L1734)-1))),4)&amp;"/"&amp;RIGHT("00"&amp;VALUE(TRIM(LEFT(MID(Sync!$L1734,FIND("/",Sync!$L1734)+1,20),FIND("/",MID(Sync!$L1734,FIND("/",Sync!$L1734)+1,20))-1))),2)&amp;"/"&amp;RIGHT("00"&amp;VALUE(TRIM(MID(MID(Sync!$L1734,FIND("/",Sync!$L1734)+1,20),FIND("/",MID(Sync!$L1734,FIND("/",Sync!$L1734)+1,20))+1,20))),2),"")))</f>
        <v/>
      </c>
    </row>
    <row r="1735">
      <c r="M1735">
        <f>IF(Sync!$M1735&lt;&gt;"پاس چک","",IF(Sync!$P1735="","",Sync!$P1735))</f>
        <v/>
      </c>
      <c r="N1735">
        <f>IF($M1735="","",IF(ISNUMBER(Sync!$L1735),IF(AND(Sync!$L1735&gt;=10000101,Sync!$L1735&lt;=99991231),RIGHT("0000"&amp;INT(Sync!$L1735/10000),4)&amp;"/"&amp;RIGHT("00"&amp;INT(MOD(Sync!$L1735,10000)/100),2)&amp;"/"&amp;RIGHT("00"&amp;MOD(Sync!$L1735,100),2),""),IFERROR(RIGHT("0000"&amp;VALUE(TRIM(LEFT(Sync!$L1735,FIND("/",Sync!$L1735)-1))),4)&amp;"/"&amp;RIGHT("00"&amp;VALUE(TRIM(LEFT(MID(Sync!$L1735,FIND("/",Sync!$L1735)+1,20),FIND("/",MID(Sync!$L1735,FIND("/",Sync!$L1735)+1,20))-1))),2)&amp;"/"&amp;RIGHT("00"&amp;VALUE(TRIM(MID(MID(Sync!$L1735,FIND("/",Sync!$L1735)+1,20),FIND("/",MID(Sync!$L1735,FIND("/",Sync!$L1735)+1,20))+1,20))),2),"")))</f>
        <v/>
      </c>
    </row>
    <row r="1736">
      <c r="M1736">
        <f>IF(Sync!$M1736&lt;&gt;"پاس چک","",IF(Sync!$P1736="","",Sync!$P1736))</f>
        <v/>
      </c>
      <c r="N1736">
        <f>IF($M1736="","",IF(ISNUMBER(Sync!$L1736),IF(AND(Sync!$L1736&gt;=10000101,Sync!$L1736&lt;=99991231),RIGHT("0000"&amp;INT(Sync!$L1736/10000),4)&amp;"/"&amp;RIGHT("00"&amp;INT(MOD(Sync!$L1736,10000)/100),2)&amp;"/"&amp;RIGHT("00"&amp;MOD(Sync!$L1736,100),2),""),IFERROR(RIGHT("0000"&amp;VALUE(TRIM(LEFT(Sync!$L1736,FIND("/",Sync!$L1736)-1))),4)&amp;"/"&amp;RIGHT("00"&amp;VALUE(TRIM(LEFT(MID(Sync!$L1736,FIND("/",Sync!$L1736)+1,20),FIND("/",MID(Sync!$L1736,FIND("/",Sync!$L1736)+1,20))-1))),2)&amp;"/"&amp;RIGHT("00"&amp;VALUE(TRIM(MID(MID(Sync!$L1736,FIND("/",Sync!$L1736)+1,20),FIND("/",MID(Sync!$L1736,FIND("/",Sync!$L1736)+1,20))+1,20))),2),"")))</f>
        <v/>
      </c>
    </row>
    <row r="1737">
      <c r="M1737">
        <f>IF(Sync!$M1737&lt;&gt;"پاس چک","",IF(Sync!$P1737="","",Sync!$P1737))</f>
        <v/>
      </c>
      <c r="N1737">
        <f>IF($M1737="","",IF(ISNUMBER(Sync!$L1737),IF(AND(Sync!$L1737&gt;=10000101,Sync!$L1737&lt;=99991231),RIGHT("0000"&amp;INT(Sync!$L1737/10000),4)&amp;"/"&amp;RIGHT("00"&amp;INT(MOD(Sync!$L1737,10000)/100),2)&amp;"/"&amp;RIGHT("00"&amp;MOD(Sync!$L1737,100),2),""),IFERROR(RIGHT("0000"&amp;VALUE(TRIM(LEFT(Sync!$L1737,FIND("/",Sync!$L1737)-1))),4)&amp;"/"&amp;RIGHT("00"&amp;VALUE(TRIM(LEFT(MID(Sync!$L1737,FIND("/",Sync!$L1737)+1,20),FIND("/",MID(Sync!$L1737,FIND("/",Sync!$L1737)+1,20))-1))),2)&amp;"/"&amp;RIGHT("00"&amp;VALUE(TRIM(MID(MID(Sync!$L1737,FIND("/",Sync!$L1737)+1,20),FIND("/",MID(Sync!$L1737,FIND("/",Sync!$L1737)+1,20))+1,20))),2),"")))</f>
        <v/>
      </c>
    </row>
    <row r="1738">
      <c r="M1738">
        <f>IF(Sync!$M1738&lt;&gt;"پاس چک","",IF(Sync!$P1738="","",Sync!$P1738))</f>
        <v/>
      </c>
      <c r="N1738">
        <f>IF($M1738="","",IF(ISNUMBER(Sync!$L1738),IF(AND(Sync!$L1738&gt;=10000101,Sync!$L1738&lt;=99991231),RIGHT("0000"&amp;INT(Sync!$L1738/10000),4)&amp;"/"&amp;RIGHT("00"&amp;INT(MOD(Sync!$L1738,10000)/100),2)&amp;"/"&amp;RIGHT("00"&amp;MOD(Sync!$L1738,100),2),""),IFERROR(RIGHT("0000"&amp;VALUE(TRIM(LEFT(Sync!$L1738,FIND("/",Sync!$L1738)-1))),4)&amp;"/"&amp;RIGHT("00"&amp;VALUE(TRIM(LEFT(MID(Sync!$L1738,FIND("/",Sync!$L1738)+1,20),FIND("/",MID(Sync!$L1738,FIND("/",Sync!$L1738)+1,20))-1))),2)&amp;"/"&amp;RIGHT("00"&amp;VALUE(TRIM(MID(MID(Sync!$L1738,FIND("/",Sync!$L1738)+1,20),FIND("/",MID(Sync!$L1738,FIND("/",Sync!$L1738)+1,20))+1,20))),2),"")))</f>
        <v/>
      </c>
    </row>
    <row r="1739">
      <c r="M1739">
        <f>IF(Sync!$M1739&lt;&gt;"پاس چک","",IF(Sync!$P1739="","",Sync!$P1739))</f>
        <v/>
      </c>
      <c r="N1739">
        <f>IF($M1739="","",IF(ISNUMBER(Sync!$L1739),IF(AND(Sync!$L1739&gt;=10000101,Sync!$L1739&lt;=99991231),RIGHT("0000"&amp;INT(Sync!$L1739/10000),4)&amp;"/"&amp;RIGHT("00"&amp;INT(MOD(Sync!$L1739,10000)/100),2)&amp;"/"&amp;RIGHT("00"&amp;MOD(Sync!$L1739,100),2),""),IFERROR(RIGHT("0000"&amp;VALUE(TRIM(LEFT(Sync!$L1739,FIND("/",Sync!$L1739)-1))),4)&amp;"/"&amp;RIGHT("00"&amp;VALUE(TRIM(LEFT(MID(Sync!$L1739,FIND("/",Sync!$L1739)+1,20),FIND("/",MID(Sync!$L1739,FIND("/",Sync!$L1739)+1,20))-1))),2)&amp;"/"&amp;RIGHT("00"&amp;VALUE(TRIM(MID(MID(Sync!$L1739,FIND("/",Sync!$L1739)+1,20),FIND("/",MID(Sync!$L1739,FIND("/",Sync!$L1739)+1,20))+1,20))),2),"")))</f>
        <v/>
      </c>
    </row>
    <row r="1740">
      <c r="M1740">
        <f>IF(Sync!$M1740&lt;&gt;"پاس چک","",IF(Sync!$P1740="","",Sync!$P1740))</f>
        <v/>
      </c>
      <c r="N1740">
        <f>IF($M1740="","",IF(ISNUMBER(Sync!$L1740),IF(AND(Sync!$L1740&gt;=10000101,Sync!$L1740&lt;=99991231),RIGHT("0000"&amp;INT(Sync!$L1740/10000),4)&amp;"/"&amp;RIGHT("00"&amp;INT(MOD(Sync!$L1740,10000)/100),2)&amp;"/"&amp;RIGHT("00"&amp;MOD(Sync!$L1740,100),2),""),IFERROR(RIGHT("0000"&amp;VALUE(TRIM(LEFT(Sync!$L1740,FIND("/",Sync!$L1740)-1))),4)&amp;"/"&amp;RIGHT("00"&amp;VALUE(TRIM(LEFT(MID(Sync!$L1740,FIND("/",Sync!$L1740)+1,20),FIND("/",MID(Sync!$L1740,FIND("/",Sync!$L1740)+1,20))-1))),2)&amp;"/"&amp;RIGHT("00"&amp;VALUE(TRIM(MID(MID(Sync!$L1740,FIND("/",Sync!$L1740)+1,20),FIND("/",MID(Sync!$L1740,FIND("/",Sync!$L1740)+1,20))+1,20))),2),"")))</f>
        <v/>
      </c>
    </row>
    <row r="1741">
      <c r="M1741">
        <f>IF(Sync!$M1741&lt;&gt;"پاس چک","",IF(Sync!$P1741="","",Sync!$P1741))</f>
        <v/>
      </c>
      <c r="N1741">
        <f>IF($M1741="","",IF(ISNUMBER(Sync!$L1741),IF(AND(Sync!$L1741&gt;=10000101,Sync!$L1741&lt;=99991231),RIGHT("0000"&amp;INT(Sync!$L1741/10000),4)&amp;"/"&amp;RIGHT("00"&amp;INT(MOD(Sync!$L1741,10000)/100),2)&amp;"/"&amp;RIGHT("00"&amp;MOD(Sync!$L1741,100),2),""),IFERROR(RIGHT("0000"&amp;VALUE(TRIM(LEFT(Sync!$L1741,FIND("/",Sync!$L1741)-1))),4)&amp;"/"&amp;RIGHT("00"&amp;VALUE(TRIM(LEFT(MID(Sync!$L1741,FIND("/",Sync!$L1741)+1,20),FIND("/",MID(Sync!$L1741,FIND("/",Sync!$L1741)+1,20))-1))),2)&amp;"/"&amp;RIGHT("00"&amp;VALUE(TRIM(MID(MID(Sync!$L1741,FIND("/",Sync!$L1741)+1,20),FIND("/",MID(Sync!$L1741,FIND("/",Sync!$L1741)+1,20))+1,20))),2),"")))</f>
        <v/>
      </c>
    </row>
    <row r="1742">
      <c r="M1742">
        <f>IF(Sync!$M1742&lt;&gt;"پاس چک","",IF(Sync!$P1742="","",Sync!$P1742))</f>
        <v/>
      </c>
      <c r="N1742">
        <f>IF($M1742="","",IF(ISNUMBER(Sync!$L1742),IF(AND(Sync!$L1742&gt;=10000101,Sync!$L1742&lt;=99991231),RIGHT("0000"&amp;INT(Sync!$L1742/10000),4)&amp;"/"&amp;RIGHT("00"&amp;INT(MOD(Sync!$L1742,10000)/100),2)&amp;"/"&amp;RIGHT("00"&amp;MOD(Sync!$L1742,100),2),""),IFERROR(RIGHT("0000"&amp;VALUE(TRIM(LEFT(Sync!$L1742,FIND("/",Sync!$L1742)-1))),4)&amp;"/"&amp;RIGHT("00"&amp;VALUE(TRIM(LEFT(MID(Sync!$L1742,FIND("/",Sync!$L1742)+1,20),FIND("/",MID(Sync!$L1742,FIND("/",Sync!$L1742)+1,20))-1))),2)&amp;"/"&amp;RIGHT("00"&amp;VALUE(TRIM(MID(MID(Sync!$L1742,FIND("/",Sync!$L1742)+1,20),FIND("/",MID(Sync!$L1742,FIND("/",Sync!$L1742)+1,20))+1,20))),2),"")))</f>
        <v/>
      </c>
    </row>
    <row r="1743">
      <c r="M1743">
        <f>IF(Sync!$M1743&lt;&gt;"پاس چک","",IF(Sync!$P1743="","",Sync!$P1743))</f>
        <v/>
      </c>
      <c r="N1743">
        <f>IF($M1743="","",IF(ISNUMBER(Sync!$L1743),IF(AND(Sync!$L1743&gt;=10000101,Sync!$L1743&lt;=99991231),RIGHT("0000"&amp;INT(Sync!$L1743/10000),4)&amp;"/"&amp;RIGHT("00"&amp;INT(MOD(Sync!$L1743,10000)/100),2)&amp;"/"&amp;RIGHT("00"&amp;MOD(Sync!$L1743,100),2),""),IFERROR(RIGHT("0000"&amp;VALUE(TRIM(LEFT(Sync!$L1743,FIND("/",Sync!$L1743)-1))),4)&amp;"/"&amp;RIGHT("00"&amp;VALUE(TRIM(LEFT(MID(Sync!$L1743,FIND("/",Sync!$L1743)+1,20),FIND("/",MID(Sync!$L1743,FIND("/",Sync!$L1743)+1,20))-1))),2)&amp;"/"&amp;RIGHT("00"&amp;VALUE(TRIM(MID(MID(Sync!$L1743,FIND("/",Sync!$L1743)+1,20),FIND("/",MID(Sync!$L1743,FIND("/",Sync!$L1743)+1,20))+1,20))),2),"")))</f>
        <v/>
      </c>
    </row>
    <row r="1744">
      <c r="M1744">
        <f>IF(Sync!$M1744&lt;&gt;"پاس چک","",IF(Sync!$P1744="","",Sync!$P1744))</f>
        <v/>
      </c>
      <c r="N1744">
        <f>IF($M1744="","",IF(ISNUMBER(Sync!$L1744),IF(AND(Sync!$L1744&gt;=10000101,Sync!$L1744&lt;=99991231),RIGHT("0000"&amp;INT(Sync!$L1744/10000),4)&amp;"/"&amp;RIGHT("00"&amp;INT(MOD(Sync!$L1744,10000)/100),2)&amp;"/"&amp;RIGHT("00"&amp;MOD(Sync!$L1744,100),2),""),IFERROR(RIGHT("0000"&amp;VALUE(TRIM(LEFT(Sync!$L1744,FIND("/",Sync!$L1744)-1))),4)&amp;"/"&amp;RIGHT("00"&amp;VALUE(TRIM(LEFT(MID(Sync!$L1744,FIND("/",Sync!$L1744)+1,20),FIND("/",MID(Sync!$L1744,FIND("/",Sync!$L1744)+1,20))-1))),2)&amp;"/"&amp;RIGHT("00"&amp;VALUE(TRIM(MID(MID(Sync!$L1744,FIND("/",Sync!$L1744)+1,20),FIND("/",MID(Sync!$L1744,FIND("/",Sync!$L1744)+1,20))+1,20))),2),"")))</f>
        <v/>
      </c>
    </row>
    <row r="1745">
      <c r="M1745">
        <f>IF(Sync!$M1745&lt;&gt;"پاس چک","",IF(Sync!$P1745="","",Sync!$P1745))</f>
        <v/>
      </c>
      <c r="N1745">
        <f>IF($M1745="","",IF(ISNUMBER(Sync!$L1745),IF(AND(Sync!$L1745&gt;=10000101,Sync!$L1745&lt;=99991231),RIGHT("0000"&amp;INT(Sync!$L1745/10000),4)&amp;"/"&amp;RIGHT("00"&amp;INT(MOD(Sync!$L1745,10000)/100),2)&amp;"/"&amp;RIGHT("00"&amp;MOD(Sync!$L1745,100),2),""),IFERROR(RIGHT("0000"&amp;VALUE(TRIM(LEFT(Sync!$L1745,FIND("/",Sync!$L1745)-1))),4)&amp;"/"&amp;RIGHT("00"&amp;VALUE(TRIM(LEFT(MID(Sync!$L1745,FIND("/",Sync!$L1745)+1,20),FIND("/",MID(Sync!$L1745,FIND("/",Sync!$L1745)+1,20))-1))),2)&amp;"/"&amp;RIGHT("00"&amp;VALUE(TRIM(MID(MID(Sync!$L1745,FIND("/",Sync!$L1745)+1,20),FIND("/",MID(Sync!$L1745,FIND("/",Sync!$L1745)+1,20))+1,20))),2),"")))</f>
        <v/>
      </c>
    </row>
    <row r="1746">
      <c r="M1746">
        <f>IF(Sync!$M1746&lt;&gt;"پاس چک","",IF(Sync!$P1746="","",Sync!$P1746))</f>
        <v/>
      </c>
      <c r="N1746">
        <f>IF($M1746="","",IF(ISNUMBER(Sync!$L1746),IF(AND(Sync!$L1746&gt;=10000101,Sync!$L1746&lt;=99991231),RIGHT("0000"&amp;INT(Sync!$L1746/10000),4)&amp;"/"&amp;RIGHT("00"&amp;INT(MOD(Sync!$L1746,10000)/100),2)&amp;"/"&amp;RIGHT("00"&amp;MOD(Sync!$L1746,100),2),""),IFERROR(RIGHT("0000"&amp;VALUE(TRIM(LEFT(Sync!$L1746,FIND("/",Sync!$L1746)-1))),4)&amp;"/"&amp;RIGHT("00"&amp;VALUE(TRIM(LEFT(MID(Sync!$L1746,FIND("/",Sync!$L1746)+1,20),FIND("/",MID(Sync!$L1746,FIND("/",Sync!$L1746)+1,20))-1))),2)&amp;"/"&amp;RIGHT("00"&amp;VALUE(TRIM(MID(MID(Sync!$L1746,FIND("/",Sync!$L1746)+1,20),FIND("/",MID(Sync!$L1746,FIND("/",Sync!$L1746)+1,20))+1,20))),2),"")))</f>
        <v/>
      </c>
    </row>
    <row r="1747">
      <c r="M1747">
        <f>IF(Sync!$M1747&lt;&gt;"پاس چک","",IF(Sync!$P1747="","",Sync!$P1747))</f>
        <v/>
      </c>
      <c r="N1747">
        <f>IF($M1747="","",IF(ISNUMBER(Sync!$L1747),IF(AND(Sync!$L1747&gt;=10000101,Sync!$L1747&lt;=99991231),RIGHT("0000"&amp;INT(Sync!$L1747/10000),4)&amp;"/"&amp;RIGHT("00"&amp;INT(MOD(Sync!$L1747,10000)/100),2)&amp;"/"&amp;RIGHT("00"&amp;MOD(Sync!$L1747,100),2),""),IFERROR(RIGHT("0000"&amp;VALUE(TRIM(LEFT(Sync!$L1747,FIND("/",Sync!$L1747)-1))),4)&amp;"/"&amp;RIGHT("00"&amp;VALUE(TRIM(LEFT(MID(Sync!$L1747,FIND("/",Sync!$L1747)+1,20),FIND("/",MID(Sync!$L1747,FIND("/",Sync!$L1747)+1,20))-1))),2)&amp;"/"&amp;RIGHT("00"&amp;VALUE(TRIM(MID(MID(Sync!$L1747,FIND("/",Sync!$L1747)+1,20),FIND("/",MID(Sync!$L1747,FIND("/",Sync!$L1747)+1,20))+1,20))),2),"")))</f>
        <v/>
      </c>
    </row>
    <row r="1748">
      <c r="M1748">
        <f>IF(Sync!$M1748&lt;&gt;"پاس چک","",IF(Sync!$P1748="","",Sync!$P1748))</f>
        <v/>
      </c>
      <c r="N1748">
        <f>IF($M1748="","",IF(ISNUMBER(Sync!$L1748),IF(AND(Sync!$L1748&gt;=10000101,Sync!$L1748&lt;=99991231),RIGHT("0000"&amp;INT(Sync!$L1748/10000),4)&amp;"/"&amp;RIGHT("00"&amp;INT(MOD(Sync!$L1748,10000)/100),2)&amp;"/"&amp;RIGHT("00"&amp;MOD(Sync!$L1748,100),2),""),IFERROR(RIGHT("0000"&amp;VALUE(TRIM(LEFT(Sync!$L1748,FIND("/",Sync!$L1748)-1))),4)&amp;"/"&amp;RIGHT("00"&amp;VALUE(TRIM(LEFT(MID(Sync!$L1748,FIND("/",Sync!$L1748)+1,20),FIND("/",MID(Sync!$L1748,FIND("/",Sync!$L1748)+1,20))-1))),2)&amp;"/"&amp;RIGHT("00"&amp;VALUE(TRIM(MID(MID(Sync!$L1748,FIND("/",Sync!$L1748)+1,20),FIND("/",MID(Sync!$L1748,FIND("/",Sync!$L1748)+1,20))+1,20))),2),"")))</f>
        <v/>
      </c>
    </row>
    <row r="1749">
      <c r="M1749">
        <f>IF(Sync!$M1749&lt;&gt;"پاس چک","",IF(Sync!$P1749="","",Sync!$P1749))</f>
        <v/>
      </c>
      <c r="N1749">
        <f>IF($M1749="","",IF(ISNUMBER(Sync!$L1749),IF(AND(Sync!$L1749&gt;=10000101,Sync!$L1749&lt;=99991231),RIGHT("0000"&amp;INT(Sync!$L1749/10000),4)&amp;"/"&amp;RIGHT("00"&amp;INT(MOD(Sync!$L1749,10000)/100),2)&amp;"/"&amp;RIGHT("00"&amp;MOD(Sync!$L1749,100),2),""),IFERROR(RIGHT("0000"&amp;VALUE(TRIM(LEFT(Sync!$L1749,FIND("/",Sync!$L1749)-1))),4)&amp;"/"&amp;RIGHT("00"&amp;VALUE(TRIM(LEFT(MID(Sync!$L1749,FIND("/",Sync!$L1749)+1,20),FIND("/",MID(Sync!$L1749,FIND("/",Sync!$L1749)+1,20))-1))),2)&amp;"/"&amp;RIGHT("00"&amp;VALUE(TRIM(MID(MID(Sync!$L1749,FIND("/",Sync!$L1749)+1,20),FIND("/",MID(Sync!$L1749,FIND("/",Sync!$L1749)+1,20))+1,20))),2),"")))</f>
        <v/>
      </c>
    </row>
    <row r="1750">
      <c r="M1750">
        <f>IF(Sync!$M1750&lt;&gt;"پاس چک","",IF(Sync!$P1750="","",Sync!$P1750))</f>
        <v/>
      </c>
      <c r="N1750">
        <f>IF($M1750="","",IF(ISNUMBER(Sync!$L1750),IF(AND(Sync!$L1750&gt;=10000101,Sync!$L1750&lt;=99991231),RIGHT("0000"&amp;INT(Sync!$L1750/10000),4)&amp;"/"&amp;RIGHT("00"&amp;INT(MOD(Sync!$L1750,10000)/100),2)&amp;"/"&amp;RIGHT("00"&amp;MOD(Sync!$L1750,100),2),""),IFERROR(RIGHT("0000"&amp;VALUE(TRIM(LEFT(Sync!$L1750,FIND("/",Sync!$L1750)-1))),4)&amp;"/"&amp;RIGHT("00"&amp;VALUE(TRIM(LEFT(MID(Sync!$L1750,FIND("/",Sync!$L1750)+1,20),FIND("/",MID(Sync!$L1750,FIND("/",Sync!$L1750)+1,20))-1))),2)&amp;"/"&amp;RIGHT("00"&amp;VALUE(TRIM(MID(MID(Sync!$L1750,FIND("/",Sync!$L1750)+1,20),FIND("/",MID(Sync!$L1750,FIND("/",Sync!$L1750)+1,20))+1,20))),2),"")))</f>
        <v/>
      </c>
    </row>
    <row r="1751">
      <c r="M1751">
        <f>IF(Sync!$M1751&lt;&gt;"پاس چک","",IF(Sync!$P1751="","",Sync!$P1751))</f>
        <v/>
      </c>
      <c r="N1751">
        <f>IF($M1751="","",IF(ISNUMBER(Sync!$L1751),IF(AND(Sync!$L1751&gt;=10000101,Sync!$L1751&lt;=99991231),RIGHT("0000"&amp;INT(Sync!$L1751/10000),4)&amp;"/"&amp;RIGHT("00"&amp;INT(MOD(Sync!$L1751,10000)/100),2)&amp;"/"&amp;RIGHT("00"&amp;MOD(Sync!$L1751,100),2),""),IFERROR(RIGHT("0000"&amp;VALUE(TRIM(LEFT(Sync!$L1751,FIND("/",Sync!$L1751)-1))),4)&amp;"/"&amp;RIGHT("00"&amp;VALUE(TRIM(LEFT(MID(Sync!$L1751,FIND("/",Sync!$L1751)+1,20),FIND("/",MID(Sync!$L1751,FIND("/",Sync!$L1751)+1,20))-1))),2)&amp;"/"&amp;RIGHT("00"&amp;VALUE(TRIM(MID(MID(Sync!$L1751,FIND("/",Sync!$L1751)+1,20),FIND("/",MID(Sync!$L1751,FIND("/",Sync!$L1751)+1,20))+1,20))),2),"")))</f>
        <v/>
      </c>
    </row>
    <row r="1752">
      <c r="M1752">
        <f>IF(Sync!$M1752&lt;&gt;"پاس چک","",IF(Sync!$P1752="","",Sync!$P1752))</f>
        <v/>
      </c>
      <c r="N1752">
        <f>IF($M1752="","",IF(ISNUMBER(Sync!$L1752),IF(AND(Sync!$L1752&gt;=10000101,Sync!$L1752&lt;=99991231),RIGHT("0000"&amp;INT(Sync!$L1752/10000),4)&amp;"/"&amp;RIGHT("00"&amp;INT(MOD(Sync!$L1752,10000)/100),2)&amp;"/"&amp;RIGHT("00"&amp;MOD(Sync!$L1752,100),2),""),IFERROR(RIGHT("0000"&amp;VALUE(TRIM(LEFT(Sync!$L1752,FIND("/",Sync!$L1752)-1))),4)&amp;"/"&amp;RIGHT("00"&amp;VALUE(TRIM(LEFT(MID(Sync!$L1752,FIND("/",Sync!$L1752)+1,20),FIND("/",MID(Sync!$L1752,FIND("/",Sync!$L1752)+1,20))-1))),2)&amp;"/"&amp;RIGHT("00"&amp;VALUE(TRIM(MID(MID(Sync!$L1752,FIND("/",Sync!$L1752)+1,20),FIND("/",MID(Sync!$L1752,FIND("/",Sync!$L1752)+1,20))+1,20))),2),"")))</f>
        <v/>
      </c>
    </row>
    <row r="1753">
      <c r="M1753">
        <f>IF(Sync!$M1753&lt;&gt;"پاس چک","",IF(Sync!$P1753="","",Sync!$P1753))</f>
        <v/>
      </c>
      <c r="N1753">
        <f>IF($M1753="","",IF(ISNUMBER(Sync!$L1753),IF(AND(Sync!$L1753&gt;=10000101,Sync!$L1753&lt;=99991231),RIGHT("0000"&amp;INT(Sync!$L1753/10000),4)&amp;"/"&amp;RIGHT("00"&amp;INT(MOD(Sync!$L1753,10000)/100),2)&amp;"/"&amp;RIGHT("00"&amp;MOD(Sync!$L1753,100),2),""),IFERROR(RIGHT("0000"&amp;VALUE(TRIM(LEFT(Sync!$L1753,FIND("/",Sync!$L1753)-1))),4)&amp;"/"&amp;RIGHT("00"&amp;VALUE(TRIM(LEFT(MID(Sync!$L1753,FIND("/",Sync!$L1753)+1,20),FIND("/",MID(Sync!$L1753,FIND("/",Sync!$L1753)+1,20))-1))),2)&amp;"/"&amp;RIGHT("00"&amp;VALUE(TRIM(MID(MID(Sync!$L1753,FIND("/",Sync!$L1753)+1,20),FIND("/",MID(Sync!$L1753,FIND("/",Sync!$L1753)+1,20))+1,20))),2),"")))</f>
        <v/>
      </c>
    </row>
    <row r="1754">
      <c r="M1754">
        <f>IF(Sync!$M1754&lt;&gt;"پاس چک","",IF(Sync!$P1754="","",Sync!$P1754))</f>
        <v/>
      </c>
      <c r="N1754">
        <f>IF($M1754="","",IF(ISNUMBER(Sync!$L1754),IF(AND(Sync!$L1754&gt;=10000101,Sync!$L1754&lt;=99991231),RIGHT("0000"&amp;INT(Sync!$L1754/10000),4)&amp;"/"&amp;RIGHT("00"&amp;INT(MOD(Sync!$L1754,10000)/100),2)&amp;"/"&amp;RIGHT("00"&amp;MOD(Sync!$L1754,100),2),""),IFERROR(RIGHT("0000"&amp;VALUE(TRIM(LEFT(Sync!$L1754,FIND("/",Sync!$L1754)-1))),4)&amp;"/"&amp;RIGHT("00"&amp;VALUE(TRIM(LEFT(MID(Sync!$L1754,FIND("/",Sync!$L1754)+1,20),FIND("/",MID(Sync!$L1754,FIND("/",Sync!$L1754)+1,20))-1))),2)&amp;"/"&amp;RIGHT("00"&amp;VALUE(TRIM(MID(MID(Sync!$L1754,FIND("/",Sync!$L1754)+1,20),FIND("/",MID(Sync!$L1754,FIND("/",Sync!$L1754)+1,20))+1,20))),2),"")))</f>
        <v/>
      </c>
    </row>
    <row r="1755">
      <c r="M1755">
        <f>IF(Sync!$M1755&lt;&gt;"پاس چک","",IF(Sync!$P1755="","",Sync!$P1755))</f>
        <v/>
      </c>
      <c r="N1755">
        <f>IF($M1755="","",IF(ISNUMBER(Sync!$L1755),IF(AND(Sync!$L1755&gt;=10000101,Sync!$L1755&lt;=99991231),RIGHT("0000"&amp;INT(Sync!$L1755/10000),4)&amp;"/"&amp;RIGHT("00"&amp;INT(MOD(Sync!$L1755,10000)/100),2)&amp;"/"&amp;RIGHT("00"&amp;MOD(Sync!$L1755,100),2),""),IFERROR(RIGHT("0000"&amp;VALUE(TRIM(LEFT(Sync!$L1755,FIND("/",Sync!$L1755)-1))),4)&amp;"/"&amp;RIGHT("00"&amp;VALUE(TRIM(LEFT(MID(Sync!$L1755,FIND("/",Sync!$L1755)+1,20),FIND("/",MID(Sync!$L1755,FIND("/",Sync!$L1755)+1,20))-1))),2)&amp;"/"&amp;RIGHT("00"&amp;VALUE(TRIM(MID(MID(Sync!$L1755,FIND("/",Sync!$L1755)+1,20),FIND("/",MID(Sync!$L1755,FIND("/",Sync!$L1755)+1,20))+1,20))),2),"")))</f>
        <v/>
      </c>
    </row>
    <row r="1756">
      <c r="M1756">
        <f>IF(Sync!$M1756&lt;&gt;"پاس چک","",IF(Sync!$P1756="","",Sync!$P1756))</f>
        <v/>
      </c>
      <c r="N1756">
        <f>IF($M1756="","",IF(ISNUMBER(Sync!$L1756),IF(AND(Sync!$L1756&gt;=10000101,Sync!$L1756&lt;=99991231),RIGHT("0000"&amp;INT(Sync!$L1756/10000),4)&amp;"/"&amp;RIGHT("00"&amp;INT(MOD(Sync!$L1756,10000)/100),2)&amp;"/"&amp;RIGHT("00"&amp;MOD(Sync!$L1756,100),2),""),IFERROR(RIGHT("0000"&amp;VALUE(TRIM(LEFT(Sync!$L1756,FIND("/",Sync!$L1756)-1))),4)&amp;"/"&amp;RIGHT("00"&amp;VALUE(TRIM(LEFT(MID(Sync!$L1756,FIND("/",Sync!$L1756)+1,20),FIND("/",MID(Sync!$L1756,FIND("/",Sync!$L1756)+1,20))-1))),2)&amp;"/"&amp;RIGHT("00"&amp;VALUE(TRIM(MID(MID(Sync!$L1756,FIND("/",Sync!$L1756)+1,20),FIND("/",MID(Sync!$L1756,FIND("/",Sync!$L1756)+1,20))+1,20))),2),"")))</f>
        <v/>
      </c>
    </row>
    <row r="1757">
      <c r="M1757">
        <f>IF(Sync!$M1757&lt;&gt;"پاس چک","",IF(Sync!$P1757="","",Sync!$P1757))</f>
        <v/>
      </c>
      <c r="N1757">
        <f>IF($M1757="","",IF(ISNUMBER(Sync!$L1757),IF(AND(Sync!$L1757&gt;=10000101,Sync!$L1757&lt;=99991231),RIGHT("0000"&amp;INT(Sync!$L1757/10000),4)&amp;"/"&amp;RIGHT("00"&amp;INT(MOD(Sync!$L1757,10000)/100),2)&amp;"/"&amp;RIGHT("00"&amp;MOD(Sync!$L1757,100),2),""),IFERROR(RIGHT("0000"&amp;VALUE(TRIM(LEFT(Sync!$L1757,FIND("/",Sync!$L1757)-1))),4)&amp;"/"&amp;RIGHT("00"&amp;VALUE(TRIM(LEFT(MID(Sync!$L1757,FIND("/",Sync!$L1757)+1,20),FIND("/",MID(Sync!$L1757,FIND("/",Sync!$L1757)+1,20))-1))),2)&amp;"/"&amp;RIGHT("00"&amp;VALUE(TRIM(MID(MID(Sync!$L1757,FIND("/",Sync!$L1757)+1,20),FIND("/",MID(Sync!$L1757,FIND("/",Sync!$L1757)+1,20))+1,20))),2),"")))</f>
        <v/>
      </c>
    </row>
    <row r="1758">
      <c r="M1758">
        <f>IF(Sync!$M1758&lt;&gt;"پاس چک","",IF(Sync!$P1758="","",Sync!$P1758))</f>
        <v/>
      </c>
      <c r="N1758">
        <f>IF($M1758="","",IF(ISNUMBER(Sync!$L1758),IF(AND(Sync!$L1758&gt;=10000101,Sync!$L1758&lt;=99991231),RIGHT("0000"&amp;INT(Sync!$L1758/10000),4)&amp;"/"&amp;RIGHT("00"&amp;INT(MOD(Sync!$L1758,10000)/100),2)&amp;"/"&amp;RIGHT("00"&amp;MOD(Sync!$L1758,100),2),""),IFERROR(RIGHT("0000"&amp;VALUE(TRIM(LEFT(Sync!$L1758,FIND("/",Sync!$L1758)-1))),4)&amp;"/"&amp;RIGHT("00"&amp;VALUE(TRIM(LEFT(MID(Sync!$L1758,FIND("/",Sync!$L1758)+1,20),FIND("/",MID(Sync!$L1758,FIND("/",Sync!$L1758)+1,20))-1))),2)&amp;"/"&amp;RIGHT("00"&amp;VALUE(TRIM(MID(MID(Sync!$L1758,FIND("/",Sync!$L1758)+1,20),FIND("/",MID(Sync!$L1758,FIND("/",Sync!$L1758)+1,20))+1,20))),2),"")))</f>
        <v/>
      </c>
    </row>
    <row r="1759">
      <c r="M1759">
        <f>IF(Sync!$M1759&lt;&gt;"پاس چک","",IF(Sync!$P1759="","",Sync!$P1759))</f>
        <v/>
      </c>
      <c r="N1759">
        <f>IF($M1759="","",IF(ISNUMBER(Sync!$L1759),IF(AND(Sync!$L1759&gt;=10000101,Sync!$L1759&lt;=99991231),RIGHT("0000"&amp;INT(Sync!$L1759/10000),4)&amp;"/"&amp;RIGHT("00"&amp;INT(MOD(Sync!$L1759,10000)/100),2)&amp;"/"&amp;RIGHT("00"&amp;MOD(Sync!$L1759,100),2),""),IFERROR(RIGHT("0000"&amp;VALUE(TRIM(LEFT(Sync!$L1759,FIND("/",Sync!$L1759)-1))),4)&amp;"/"&amp;RIGHT("00"&amp;VALUE(TRIM(LEFT(MID(Sync!$L1759,FIND("/",Sync!$L1759)+1,20),FIND("/",MID(Sync!$L1759,FIND("/",Sync!$L1759)+1,20))-1))),2)&amp;"/"&amp;RIGHT("00"&amp;VALUE(TRIM(MID(MID(Sync!$L1759,FIND("/",Sync!$L1759)+1,20),FIND("/",MID(Sync!$L1759,FIND("/",Sync!$L1759)+1,20))+1,20))),2),"")))</f>
        <v/>
      </c>
    </row>
    <row r="1760">
      <c r="M1760">
        <f>IF(Sync!$M1760&lt;&gt;"پاس چک","",IF(Sync!$P1760="","",Sync!$P1760))</f>
        <v/>
      </c>
      <c r="N1760">
        <f>IF($M1760="","",IF(ISNUMBER(Sync!$L1760),IF(AND(Sync!$L1760&gt;=10000101,Sync!$L1760&lt;=99991231),RIGHT("0000"&amp;INT(Sync!$L1760/10000),4)&amp;"/"&amp;RIGHT("00"&amp;INT(MOD(Sync!$L1760,10000)/100),2)&amp;"/"&amp;RIGHT("00"&amp;MOD(Sync!$L1760,100),2),""),IFERROR(RIGHT("0000"&amp;VALUE(TRIM(LEFT(Sync!$L1760,FIND("/",Sync!$L1760)-1))),4)&amp;"/"&amp;RIGHT("00"&amp;VALUE(TRIM(LEFT(MID(Sync!$L1760,FIND("/",Sync!$L1760)+1,20),FIND("/",MID(Sync!$L1760,FIND("/",Sync!$L1760)+1,20))-1))),2)&amp;"/"&amp;RIGHT("00"&amp;VALUE(TRIM(MID(MID(Sync!$L1760,FIND("/",Sync!$L1760)+1,20),FIND("/",MID(Sync!$L1760,FIND("/",Sync!$L1760)+1,20))+1,20))),2),"")))</f>
        <v/>
      </c>
    </row>
    <row r="1761">
      <c r="M1761">
        <f>IF(Sync!$M1761&lt;&gt;"پاس چک","",IF(Sync!$P1761="","",Sync!$P1761))</f>
        <v/>
      </c>
      <c r="N1761">
        <f>IF($M1761="","",IF(ISNUMBER(Sync!$L1761),IF(AND(Sync!$L1761&gt;=10000101,Sync!$L1761&lt;=99991231),RIGHT("0000"&amp;INT(Sync!$L1761/10000),4)&amp;"/"&amp;RIGHT("00"&amp;INT(MOD(Sync!$L1761,10000)/100),2)&amp;"/"&amp;RIGHT("00"&amp;MOD(Sync!$L1761,100),2),""),IFERROR(RIGHT("0000"&amp;VALUE(TRIM(LEFT(Sync!$L1761,FIND("/",Sync!$L1761)-1))),4)&amp;"/"&amp;RIGHT("00"&amp;VALUE(TRIM(LEFT(MID(Sync!$L1761,FIND("/",Sync!$L1761)+1,20),FIND("/",MID(Sync!$L1761,FIND("/",Sync!$L1761)+1,20))-1))),2)&amp;"/"&amp;RIGHT("00"&amp;VALUE(TRIM(MID(MID(Sync!$L1761,FIND("/",Sync!$L1761)+1,20),FIND("/",MID(Sync!$L1761,FIND("/",Sync!$L1761)+1,20))+1,20))),2),"")))</f>
        <v/>
      </c>
    </row>
    <row r="1762">
      <c r="M1762">
        <f>IF(Sync!$M1762&lt;&gt;"پاس چک","",IF(Sync!$P1762="","",Sync!$P1762))</f>
        <v/>
      </c>
      <c r="N1762">
        <f>IF($M1762="","",IF(ISNUMBER(Sync!$L1762),IF(AND(Sync!$L1762&gt;=10000101,Sync!$L1762&lt;=99991231),RIGHT("0000"&amp;INT(Sync!$L1762/10000),4)&amp;"/"&amp;RIGHT("00"&amp;INT(MOD(Sync!$L1762,10000)/100),2)&amp;"/"&amp;RIGHT("00"&amp;MOD(Sync!$L1762,100),2),""),IFERROR(RIGHT("0000"&amp;VALUE(TRIM(LEFT(Sync!$L1762,FIND("/",Sync!$L1762)-1))),4)&amp;"/"&amp;RIGHT("00"&amp;VALUE(TRIM(LEFT(MID(Sync!$L1762,FIND("/",Sync!$L1762)+1,20),FIND("/",MID(Sync!$L1762,FIND("/",Sync!$L1762)+1,20))-1))),2)&amp;"/"&amp;RIGHT("00"&amp;VALUE(TRIM(MID(MID(Sync!$L1762,FIND("/",Sync!$L1762)+1,20),FIND("/",MID(Sync!$L1762,FIND("/",Sync!$L1762)+1,20))+1,20))),2),"")))</f>
        <v/>
      </c>
    </row>
    <row r="1763">
      <c r="M1763">
        <f>IF(Sync!$M1763&lt;&gt;"پاس چک","",IF(Sync!$P1763="","",Sync!$P1763))</f>
        <v/>
      </c>
      <c r="N1763">
        <f>IF($M1763="","",IF(ISNUMBER(Sync!$L1763),IF(AND(Sync!$L1763&gt;=10000101,Sync!$L1763&lt;=99991231),RIGHT("0000"&amp;INT(Sync!$L1763/10000),4)&amp;"/"&amp;RIGHT("00"&amp;INT(MOD(Sync!$L1763,10000)/100),2)&amp;"/"&amp;RIGHT("00"&amp;MOD(Sync!$L1763,100),2),""),IFERROR(RIGHT("0000"&amp;VALUE(TRIM(LEFT(Sync!$L1763,FIND("/",Sync!$L1763)-1))),4)&amp;"/"&amp;RIGHT("00"&amp;VALUE(TRIM(LEFT(MID(Sync!$L1763,FIND("/",Sync!$L1763)+1,20),FIND("/",MID(Sync!$L1763,FIND("/",Sync!$L1763)+1,20))-1))),2)&amp;"/"&amp;RIGHT("00"&amp;VALUE(TRIM(MID(MID(Sync!$L1763,FIND("/",Sync!$L1763)+1,20),FIND("/",MID(Sync!$L1763,FIND("/",Sync!$L1763)+1,20))+1,20))),2),"")))</f>
        <v/>
      </c>
    </row>
    <row r="1764">
      <c r="M1764">
        <f>IF(Sync!$M1764&lt;&gt;"پاس چک","",IF(Sync!$P1764="","",Sync!$P1764))</f>
        <v/>
      </c>
      <c r="N1764">
        <f>IF($M1764="","",IF(ISNUMBER(Sync!$L1764),IF(AND(Sync!$L1764&gt;=10000101,Sync!$L1764&lt;=99991231),RIGHT("0000"&amp;INT(Sync!$L1764/10000),4)&amp;"/"&amp;RIGHT("00"&amp;INT(MOD(Sync!$L1764,10000)/100),2)&amp;"/"&amp;RIGHT("00"&amp;MOD(Sync!$L1764,100),2),""),IFERROR(RIGHT("0000"&amp;VALUE(TRIM(LEFT(Sync!$L1764,FIND("/",Sync!$L1764)-1))),4)&amp;"/"&amp;RIGHT("00"&amp;VALUE(TRIM(LEFT(MID(Sync!$L1764,FIND("/",Sync!$L1764)+1,20),FIND("/",MID(Sync!$L1764,FIND("/",Sync!$L1764)+1,20))-1))),2)&amp;"/"&amp;RIGHT("00"&amp;VALUE(TRIM(MID(MID(Sync!$L1764,FIND("/",Sync!$L1764)+1,20),FIND("/",MID(Sync!$L1764,FIND("/",Sync!$L1764)+1,20))+1,20))),2),"")))</f>
        <v/>
      </c>
    </row>
    <row r="1765">
      <c r="M1765">
        <f>IF(Sync!$M1765&lt;&gt;"پاس چک","",IF(Sync!$P1765="","",Sync!$P1765))</f>
        <v/>
      </c>
      <c r="N1765">
        <f>IF($M1765="","",IF(ISNUMBER(Sync!$L1765),IF(AND(Sync!$L1765&gt;=10000101,Sync!$L1765&lt;=99991231),RIGHT("0000"&amp;INT(Sync!$L1765/10000),4)&amp;"/"&amp;RIGHT("00"&amp;INT(MOD(Sync!$L1765,10000)/100),2)&amp;"/"&amp;RIGHT("00"&amp;MOD(Sync!$L1765,100),2),""),IFERROR(RIGHT("0000"&amp;VALUE(TRIM(LEFT(Sync!$L1765,FIND("/",Sync!$L1765)-1))),4)&amp;"/"&amp;RIGHT("00"&amp;VALUE(TRIM(LEFT(MID(Sync!$L1765,FIND("/",Sync!$L1765)+1,20),FIND("/",MID(Sync!$L1765,FIND("/",Sync!$L1765)+1,20))-1))),2)&amp;"/"&amp;RIGHT("00"&amp;VALUE(TRIM(MID(MID(Sync!$L1765,FIND("/",Sync!$L1765)+1,20),FIND("/",MID(Sync!$L1765,FIND("/",Sync!$L1765)+1,20))+1,20))),2),"")))</f>
        <v/>
      </c>
    </row>
    <row r="1766">
      <c r="M1766">
        <f>IF(Sync!$M1766&lt;&gt;"پاس چک","",IF(Sync!$P1766="","",Sync!$P1766))</f>
        <v/>
      </c>
      <c r="N1766">
        <f>IF($M1766="","",IF(ISNUMBER(Sync!$L1766),IF(AND(Sync!$L1766&gt;=10000101,Sync!$L1766&lt;=99991231),RIGHT("0000"&amp;INT(Sync!$L1766/10000),4)&amp;"/"&amp;RIGHT("00"&amp;INT(MOD(Sync!$L1766,10000)/100),2)&amp;"/"&amp;RIGHT("00"&amp;MOD(Sync!$L1766,100),2),""),IFERROR(RIGHT("0000"&amp;VALUE(TRIM(LEFT(Sync!$L1766,FIND("/",Sync!$L1766)-1))),4)&amp;"/"&amp;RIGHT("00"&amp;VALUE(TRIM(LEFT(MID(Sync!$L1766,FIND("/",Sync!$L1766)+1,20),FIND("/",MID(Sync!$L1766,FIND("/",Sync!$L1766)+1,20))-1))),2)&amp;"/"&amp;RIGHT("00"&amp;VALUE(TRIM(MID(MID(Sync!$L1766,FIND("/",Sync!$L1766)+1,20),FIND("/",MID(Sync!$L1766,FIND("/",Sync!$L1766)+1,20))+1,20))),2),"")))</f>
        <v/>
      </c>
    </row>
    <row r="1767">
      <c r="M1767">
        <f>IF(Sync!$M1767&lt;&gt;"پاس چک","",IF(Sync!$P1767="","",Sync!$P1767))</f>
        <v/>
      </c>
      <c r="N1767">
        <f>IF($M1767="","",IF(ISNUMBER(Sync!$L1767),IF(AND(Sync!$L1767&gt;=10000101,Sync!$L1767&lt;=99991231),RIGHT("0000"&amp;INT(Sync!$L1767/10000),4)&amp;"/"&amp;RIGHT("00"&amp;INT(MOD(Sync!$L1767,10000)/100),2)&amp;"/"&amp;RIGHT("00"&amp;MOD(Sync!$L1767,100),2),""),IFERROR(RIGHT("0000"&amp;VALUE(TRIM(LEFT(Sync!$L1767,FIND("/",Sync!$L1767)-1))),4)&amp;"/"&amp;RIGHT("00"&amp;VALUE(TRIM(LEFT(MID(Sync!$L1767,FIND("/",Sync!$L1767)+1,20),FIND("/",MID(Sync!$L1767,FIND("/",Sync!$L1767)+1,20))-1))),2)&amp;"/"&amp;RIGHT("00"&amp;VALUE(TRIM(MID(MID(Sync!$L1767,FIND("/",Sync!$L1767)+1,20),FIND("/",MID(Sync!$L1767,FIND("/",Sync!$L1767)+1,20))+1,20))),2),"")))</f>
        <v/>
      </c>
    </row>
    <row r="1768">
      <c r="M1768">
        <f>IF(Sync!$M1768&lt;&gt;"پاس چک","",IF(Sync!$P1768="","",Sync!$P1768))</f>
        <v/>
      </c>
      <c r="N1768">
        <f>IF($M1768="","",IF(ISNUMBER(Sync!$L1768),IF(AND(Sync!$L1768&gt;=10000101,Sync!$L1768&lt;=99991231),RIGHT("0000"&amp;INT(Sync!$L1768/10000),4)&amp;"/"&amp;RIGHT("00"&amp;INT(MOD(Sync!$L1768,10000)/100),2)&amp;"/"&amp;RIGHT("00"&amp;MOD(Sync!$L1768,100),2),""),IFERROR(RIGHT("0000"&amp;VALUE(TRIM(LEFT(Sync!$L1768,FIND("/",Sync!$L1768)-1))),4)&amp;"/"&amp;RIGHT("00"&amp;VALUE(TRIM(LEFT(MID(Sync!$L1768,FIND("/",Sync!$L1768)+1,20),FIND("/",MID(Sync!$L1768,FIND("/",Sync!$L1768)+1,20))-1))),2)&amp;"/"&amp;RIGHT("00"&amp;VALUE(TRIM(MID(MID(Sync!$L1768,FIND("/",Sync!$L1768)+1,20),FIND("/",MID(Sync!$L1768,FIND("/",Sync!$L1768)+1,20))+1,20))),2),"")))</f>
        <v/>
      </c>
    </row>
    <row r="1769">
      <c r="M1769">
        <f>IF(Sync!$M1769&lt;&gt;"پاس چک","",IF(Sync!$P1769="","",Sync!$P1769))</f>
        <v/>
      </c>
      <c r="N1769">
        <f>IF($M1769="","",IF(ISNUMBER(Sync!$L1769),IF(AND(Sync!$L1769&gt;=10000101,Sync!$L1769&lt;=99991231),RIGHT("0000"&amp;INT(Sync!$L1769/10000),4)&amp;"/"&amp;RIGHT("00"&amp;INT(MOD(Sync!$L1769,10000)/100),2)&amp;"/"&amp;RIGHT("00"&amp;MOD(Sync!$L1769,100),2),""),IFERROR(RIGHT("0000"&amp;VALUE(TRIM(LEFT(Sync!$L1769,FIND("/",Sync!$L1769)-1))),4)&amp;"/"&amp;RIGHT("00"&amp;VALUE(TRIM(LEFT(MID(Sync!$L1769,FIND("/",Sync!$L1769)+1,20),FIND("/",MID(Sync!$L1769,FIND("/",Sync!$L1769)+1,20))-1))),2)&amp;"/"&amp;RIGHT("00"&amp;VALUE(TRIM(MID(MID(Sync!$L1769,FIND("/",Sync!$L1769)+1,20),FIND("/",MID(Sync!$L1769,FIND("/",Sync!$L1769)+1,20))+1,20))),2),"")))</f>
        <v/>
      </c>
    </row>
    <row r="1770">
      <c r="M1770">
        <f>IF(Sync!$M1770&lt;&gt;"پاس چک","",IF(Sync!$P1770="","",Sync!$P1770))</f>
        <v/>
      </c>
      <c r="N1770">
        <f>IF($M1770="","",IF(ISNUMBER(Sync!$L1770),IF(AND(Sync!$L1770&gt;=10000101,Sync!$L1770&lt;=99991231),RIGHT("0000"&amp;INT(Sync!$L1770/10000),4)&amp;"/"&amp;RIGHT("00"&amp;INT(MOD(Sync!$L1770,10000)/100),2)&amp;"/"&amp;RIGHT("00"&amp;MOD(Sync!$L1770,100),2),""),IFERROR(RIGHT("0000"&amp;VALUE(TRIM(LEFT(Sync!$L1770,FIND("/",Sync!$L1770)-1))),4)&amp;"/"&amp;RIGHT("00"&amp;VALUE(TRIM(LEFT(MID(Sync!$L1770,FIND("/",Sync!$L1770)+1,20),FIND("/",MID(Sync!$L1770,FIND("/",Sync!$L1770)+1,20))-1))),2)&amp;"/"&amp;RIGHT("00"&amp;VALUE(TRIM(MID(MID(Sync!$L1770,FIND("/",Sync!$L1770)+1,20),FIND("/",MID(Sync!$L1770,FIND("/",Sync!$L1770)+1,20))+1,20))),2),"")))</f>
        <v/>
      </c>
    </row>
    <row r="1771">
      <c r="M1771">
        <f>IF(Sync!$M1771&lt;&gt;"پاس چک","",IF(Sync!$P1771="","",Sync!$P1771))</f>
        <v/>
      </c>
      <c r="N1771">
        <f>IF($M1771="","",IF(ISNUMBER(Sync!$L1771),IF(AND(Sync!$L1771&gt;=10000101,Sync!$L1771&lt;=99991231),RIGHT("0000"&amp;INT(Sync!$L1771/10000),4)&amp;"/"&amp;RIGHT("00"&amp;INT(MOD(Sync!$L1771,10000)/100),2)&amp;"/"&amp;RIGHT("00"&amp;MOD(Sync!$L1771,100),2),""),IFERROR(RIGHT("0000"&amp;VALUE(TRIM(LEFT(Sync!$L1771,FIND("/",Sync!$L1771)-1))),4)&amp;"/"&amp;RIGHT("00"&amp;VALUE(TRIM(LEFT(MID(Sync!$L1771,FIND("/",Sync!$L1771)+1,20),FIND("/",MID(Sync!$L1771,FIND("/",Sync!$L1771)+1,20))-1))),2)&amp;"/"&amp;RIGHT("00"&amp;VALUE(TRIM(MID(MID(Sync!$L1771,FIND("/",Sync!$L1771)+1,20),FIND("/",MID(Sync!$L1771,FIND("/",Sync!$L1771)+1,20))+1,20))),2),"")))</f>
        <v/>
      </c>
    </row>
    <row r="1772">
      <c r="M1772">
        <f>IF(Sync!$M1772&lt;&gt;"پاس چک","",IF(Sync!$P1772="","",Sync!$P1772))</f>
        <v/>
      </c>
      <c r="N1772">
        <f>IF($M1772="","",IF(ISNUMBER(Sync!$L1772),IF(AND(Sync!$L1772&gt;=10000101,Sync!$L1772&lt;=99991231),RIGHT("0000"&amp;INT(Sync!$L1772/10000),4)&amp;"/"&amp;RIGHT("00"&amp;INT(MOD(Sync!$L1772,10000)/100),2)&amp;"/"&amp;RIGHT("00"&amp;MOD(Sync!$L1772,100),2),""),IFERROR(RIGHT("0000"&amp;VALUE(TRIM(LEFT(Sync!$L1772,FIND("/",Sync!$L1772)-1))),4)&amp;"/"&amp;RIGHT("00"&amp;VALUE(TRIM(LEFT(MID(Sync!$L1772,FIND("/",Sync!$L1772)+1,20),FIND("/",MID(Sync!$L1772,FIND("/",Sync!$L1772)+1,20))-1))),2)&amp;"/"&amp;RIGHT("00"&amp;VALUE(TRIM(MID(MID(Sync!$L1772,FIND("/",Sync!$L1772)+1,20),FIND("/",MID(Sync!$L1772,FIND("/",Sync!$L1772)+1,20))+1,20))),2),"")))</f>
        <v/>
      </c>
    </row>
    <row r="1773">
      <c r="M1773">
        <f>IF(Sync!$M1773&lt;&gt;"پاس چک","",IF(Sync!$P1773="","",Sync!$P1773))</f>
        <v/>
      </c>
      <c r="N1773">
        <f>IF($M1773="","",IF(ISNUMBER(Sync!$L1773),IF(AND(Sync!$L1773&gt;=10000101,Sync!$L1773&lt;=99991231),RIGHT("0000"&amp;INT(Sync!$L1773/10000),4)&amp;"/"&amp;RIGHT("00"&amp;INT(MOD(Sync!$L1773,10000)/100),2)&amp;"/"&amp;RIGHT("00"&amp;MOD(Sync!$L1773,100),2),""),IFERROR(RIGHT("0000"&amp;VALUE(TRIM(LEFT(Sync!$L1773,FIND("/",Sync!$L1773)-1))),4)&amp;"/"&amp;RIGHT("00"&amp;VALUE(TRIM(LEFT(MID(Sync!$L1773,FIND("/",Sync!$L1773)+1,20),FIND("/",MID(Sync!$L1773,FIND("/",Sync!$L1773)+1,20))-1))),2)&amp;"/"&amp;RIGHT("00"&amp;VALUE(TRIM(MID(MID(Sync!$L1773,FIND("/",Sync!$L1773)+1,20),FIND("/",MID(Sync!$L1773,FIND("/",Sync!$L1773)+1,20))+1,20))),2),"")))</f>
        <v/>
      </c>
    </row>
    <row r="1774">
      <c r="M1774">
        <f>IF(Sync!$M1774&lt;&gt;"پاس چک","",IF(Sync!$P1774="","",Sync!$P1774))</f>
        <v/>
      </c>
      <c r="N1774">
        <f>IF($M1774="","",IF(ISNUMBER(Sync!$L1774),IF(AND(Sync!$L1774&gt;=10000101,Sync!$L1774&lt;=99991231),RIGHT("0000"&amp;INT(Sync!$L1774/10000),4)&amp;"/"&amp;RIGHT("00"&amp;INT(MOD(Sync!$L1774,10000)/100),2)&amp;"/"&amp;RIGHT("00"&amp;MOD(Sync!$L1774,100),2),""),IFERROR(RIGHT("0000"&amp;VALUE(TRIM(LEFT(Sync!$L1774,FIND("/",Sync!$L1774)-1))),4)&amp;"/"&amp;RIGHT("00"&amp;VALUE(TRIM(LEFT(MID(Sync!$L1774,FIND("/",Sync!$L1774)+1,20),FIND("/",MID(Sync!$L1774,FIND("/",Sync!$L1774)+1,20))-1))),2)&amp;"/"&amp;RIGHT("00"&amp;VALUE(TRIM(MID(MID(Sync!$L1774,FIND("/",Sync!$L1774)+1,20),FIND("/",MID(Sync!$L1774,FIND("/",Sync!$L1774)+1,20))+1,20))),2),"")))</f>
        <v/>
      </c>
    </row>
    <row r="1775">
      <c r="M1775">
        <f>IF(Sync!$M1775&lt;&gt;"پاس چک","",IF(Sync!$P1775="","",Sync!$P1775))</f>
        <v/>
      </c>
      <c r="N1775">
        <f>IF($M1775="","",IF(ISNUMBER(Sync!$L1775),IF(AND(Sync!$L1775&gt;=10000101,Sync!$L1775&lt;=99991231),RIGHT("0000"&amp;INT(Sync!$L1775/10000),4)&amp;"/"&amp;RIGHT("00"&amp;INT(MOD(Sync!$L1775,10000)/100),2)&amp;"/"&amp;RIGHT("00"&amp;MOD(Sync!$L1775,100),2),""),IFERROR(RIGHT("0000"&amp;VALUE(TRIM(LEFT(Sync!$L1775,FIND("/",Sync!$L1775)-1))),4)&amp;"/"&amp;RIGHT("00"&amp;VALUE(TRIM(LEFT(MID(Sync!$L1775,FIND("/",Sync!$L1775)+1,20),FIND("/",MID(Sync!$L1775,FIND("/",Sync!$L1775)+1,20))-1))),2)&amp;"/"&amp;RIGHT("00"&amp;VALUE(TRIM(MID(MID(Sync!$L1775,FIND("/",Sync!$L1775)+1,20),FIND("/",MID(Sync!$L1775,FIND("/",Sync!$L1775)+1,20))+1,20))),2),"")))</f>
        <v/>
      </c>
    </row>
    <row r="1776">
      <c r="M1776">
        <f>IF(Sync!$M1776&lt;&gt;"پاس چک","",IF(Sync!$P1776="","",Sync!$P1776))</f>
        <v/>
      </c>
      <c r="N1776">
        <f>IF($M1776="","",IF(ISNUMBER(Sync!$L1776),IF(AND(Sync!$L1776&gt;=10000101,Sync!$L1776&lt;=99991231),RIGHT("0000"&amp;INT(Sync!$L1776/10000),4)&amp;"/"&amp;RIGHT("00"&amp;INT(MOD(Sync!$L1776,10000)/100),2)&amp;"/"&amp;RIGHT("00"&amp;MOD(Sync!$L1776,100),2),""),IFERROR(RIGHT("0000"&amp;VALUE(TRIM(LEFT(Sync!$L1776,FIND("/",Sync!$L1776)-1))),4)&amp;"/"&amp;RIGHT("00"&amp;VALUE(TRIM(LEFT(MID(Sync!$L1776,FIND("/",Sync!$L1776)+1,20),FIND("/",MID(Sync!$L1776,FIND("/",Sync!$L1776)+1,20))-1))),2)&amp;"/"&amp;RIGHT("00"&amp;VALUE(TRIM(MID(MID(Sync!$L1776,FIND("/",Sync!$L1776)+1,20),FIND("/",MID(Sync!$L1776,FIND("/",Sync!$L1776)+1,20))+1,20))),2),"")))</f>
        <v/>
      </c>
    </row>
    <row r="1777">
      <c r="M1777">
        <f>IF(Sync!$M1777&lt;&gt;"پاس چک","",IF(Sync!$P1777="","",Sync!$P1777))</f>
        <v/>
      </c>
      <c r="N1777">
        <f>IF($M1777="","",IF(ISNUMBER(Sync!$L1777),IF(AND(Sync!$L1777&gt;=10000101,Sync!$L1777&lt;=99991231),RIGHT("0000"&amp;INT(Sync!$L1777/10000),4)&amp;"/"&amp;RIGHT("00"&amp;INT(MOD(Sync!$L1777,10000)/100),2)&amp;"/"&amp;RIGHT("00"&amp;MOD(Sync!$L1777,100),2),""),IFERROR(RIGHT("0000"&amp;VALUE(TRIM(LEFT(Sync!$L1777,FIND("/",Sync!$L1777)-1))),4)&amp;"/"&amp;RIGHT("00"&amp;VALUE(TRIM(LEFT(MID(Sync!$L1777,FIND("/",Sync!$L1777)+1,20),FIND("/",MID(Sync!$L1777,FIND("/",Sync!$L1777)+1,20))-1))),2)&amp;"/"&amp;RIGHT("00"&amp;VALUE(TRIM(MID(MID(Sync!$L1777,FIND("/",Sync!$L1777)+1,20),FIND("/",MID(Sync!$L1777,FIND("/",Sync!$L1777)+1,20))+1,20))),2),"")))</f>
        <v/>
      </c>
    </row>
    <row r="1778">
      <c r="M1778">
        <f>IF(Sync!$M1778&lt;&gt;"پاس چک","",IF(Sync!$P1778="","",Sync!$P1778))</f>
        <v/>
      </c>
      <c r="N1778">
        <f>IF($M1778="","",IF(ISNUMBER(Sync!$L1778),IF(AND(Sync!$L1778&gt;=10000101,Sync!$L1778&lt;=99991231),RIGHT("0000"&amp;INT(Sync!$L1778/10000),4)&amp;"/"&amp;RIGHT("00"&amp;INT(MOD(Sync!$L1778,10000)/100),2)&amp;"/"&amp;RIGHT("00"&amp;MOD(Sync!$L1778,100),2),""),IFERROR(RIGHT("0000"&amp;VALUE(TRIM(LEFT(Sync!$L1778,FIND("/",Sync!$L1778)-1))),4)&amp;"/"&amp;RIGHT("00"&amp;VALUE(TRIM(LEFT(MID(Sync!$L1778,FIND("/",Sync!$L1778)+1,20),FIND("/",MID(Sync!$L1778,FIND("/",Sync!$L1778)+1,20))-1))),2)&amp;"/"&amp;RIGHT("00"&amp;VALUE(TRIM(MID(MID(Sync!$L1778,FIND("/",Sync!$L1778)+1,20),FIND("/",MID(Sync!$L1778,FIND("/",Sync!$L1778)+1,20))+1,20))),2),"")))</f>
        <v/>
      </c>
    </row>
    <row r="1779">
      <c r="M1779">
        <f>IF(Sync!$M1779&lt;&gt;"پاس چک","",IF(Sync!$P1779="","",Sync!$P1779))</f>
        <v/>
      </c>
      <c r="N1779">
        <f>IF($M1779="","",IF(ISNUMBER(Sync!$L1779),IF(AND(Sync!$L1779&gt;=10000101,Sync!$L1779&lt;=99991231),RIGHT("0000"&amp;INT(Sync!$L1779/10000),4)&amp;"/"&amp;RIGHT("00"&amp;INT(MOD(Sync!$L1779,10000)/100),2)&amp;"/"&amp;RIGHT("00"&amp;MOD(Sync!$L1779,100),2),""),IFERROR(RIGHT("0000"&amp;VALUE(TRIM(LEFT(Sync!$L1779,FIND("/",Sync!$L1779)-1))),4)&amp;"/"&amp;RIGHT("00"&amp;VALUE(TRIM(LEFT(MID(Sync!$L1779,FIND("/",Sync!$L1779)+1,20),FIND("/",MID(Sync!$L1779,FIND("/",Sync!$L1779)+1,20))-1))),2)&amp;"/"&amp;RIGHT("00"&amp;VALUE(TRIM(MID(MID(Sync!$L1779,FIND("/",Sync!$L1779)+1,20),FIND("/",MID(Sync!$L1779,FIND("/",Sync!$L1779)+1,20))+1,20))),2),"")))</f>
        <v/>
      </c>
    </row>
    <row r="1780">
      <c r="M1780">
        <f>IF(Sync!$M1780&lt;&gt;"پاس چک","",IF(Sync!$P1780="","",Sync!$P1780))</f>
        <v/>
      </c>
      <c r="N1780">
        <f>IF($M1780="","",IF(ISNUMBER(Sync!$L1780),IF(AND(Sync!$L1780&gt;=10000101,Sync!$L1780&lt;=99991231),RIGHT("0000"&amp;INT(Sync!$L1780/10000),4)&amp;"/"&amp;RIGHT("00"&amp;INT(MOD(Sync!$L1780,10000)/100),2)&amp;"/"&amp;RIGHT("00"&amp;MOD(Sync!$L1780,100),2),""),IFERROR(RIGHT("0000"&amp;VALUE(TRIM(LEFT(Sync!$L1780,FIND("/",Sync!$L1780)-1))),4)&amp;"/"&amp;RIGHT("00"&amp;VALUE(TRIM(LEFT(MID(Sync!$L1780,FIND("/",Sync!$L1780)+1,20),FIND("/",MID(Sync!$L1780,FIND("/",Sync!$L1780)+1,20))-1))),2)&amp;"/"&amp;RIGHT("00"&amp;VALUE(TRIM(MID(MID(Sync!$L1780,FIND("/",Sync!$L1780)+1,20),FIND("/",MID(Sync!$L1780,FIND("/",Sync!$L1780)+1,20))+1,20))),2),"")))</f>
        <v/>
      </c>
    </row>
    <row r="1781">
      <c r="M1781">
        <f>IF(Sync!$M1781&lt;&gt;"پاس چک","",IF(Sync!$P1781="","",Sync!$P1781))</f>
        <v/>
      </c>
      <c r="N1781">
        <f>IF($M1781="","",IF(ISNUMBER(Sync!$L1781),IF(AND(Sync!$L1781&gt;=10000101,Sync!$L1781&lt;=99991231),RIGHT("0000"&amp;INT(Sync!$L1781/10000),4)&amp;"/"&amp;RIGHT("00"&amp;INT(MOD(Sync!$L1781,10000)/100),2)&amp;"/"&amp;RIGHT("00"&amp;MOD(Sync!$L1781,100),2),""),IFERROR(RIGHT("0000"&amp;VALUE(TRIM(LEFT(Sync!$L1781,FIND("/",Sync!$L1781)-1))),4)&amp;"/"&amp;RIGHT("00"&amp;VALUE(TRIM(LEFT(MID(Sync!$L1781,FIND("/",Sync!$L1781)+1,20),FIND("/",MID(Sync!$L1781,FIND("/",Sync!$L1781)+1,20))-1))),2)&amp;"/"&amp;RIGHT("00"&amp;VALUE(TRIM(MID(MID(Sync!$L1781,FIND("/",Sync!$L1781)+1,20),FIND("/",MID(Sync!$L1781,FIND("/",Sync!$L1781)+1,20))+1,20))),2),"")))</f>
        <v/>
      </c>
    </row>
    <row r="1782">
      <c r="M1782">
        <f>IF(Sync!$M1782&lt;&gt;"پاس چک","",IF(Sync!$P1782="","",Sync!$P1782))</f>
        <v/>
      </c>
      <c r="N1782">
        <f>IF($M1782="","",IF(ISNUMBER(Sync!$L1782),IF(AND(Sync!$L1782&gt;=10000101,Sync!$L1782&lt;=99991231),RIGHT("0000"&amp;INT(Sync!$L1782/10000),4)&amp;"/"&amp;RIGHT("00"&amp;INT(MOD(Sync!$L1782,10000)/100),2)&amp;"/"&amp;RIGHT("00"&amp;MOD(Sync!$L1782,100),2),""),IFERROR(RIGHT("0000"&amp;VALUE(TRIM(LEFT(Sync!$L1782,FIND("/",Sync!$L1782)-1))),4)&amp;"/"&amp;RIGHT("00"&amp;VALUE(TRIM(LEFT(MID(Sync!$L1782,FIND("/",Sync!$L1782)+1,20),FIND("/",MID(Sync!$L1782,FIND("/",Sync!$L1782)+1,20))-1))),2)&amp;"/"&amp;RIGHT("00"&amp;VALUE(TRIM(MID(MID(Sync!$L1782,FIND("/",Sync!$L1782)+1,20),FIND("/",MID(Sync!$L1782,FIND("/",Sync!$L1782)+1,20))+1,20))),2),"")))</f>
        <v/>
      </c>
    </row>
    <row r="1783">
      <c r="M1783">
        <f>IF(Sync!$M1783&lt;&gt;"پاس چک","",IF(Sync!$P1783="","",Sync!$P1783))</f>
        <v/>
      </c>
      <c r="N1783">
        <f>IF($M1783="","",IF(ISNUMBER(Sync!$L1783),IF(AND(Sync!$L1783&gt;=10000101,Sync!$L1783&lt;=99991231),RIGHT("0000"&amp;INT(Sync!$L1783/10000),4)&amp;"/"&amp;RIGHT("00"&amp;INT(MOD(Sync!$L1783,10000)/100),2)&amp;"/"&amp;RIGHT("00"&amp;MOD(Sync!$L1783,100),2),""),IFERROR(RIGHT("0000"&amp;VALUE(TRIM(LEFT(Sync!$L1783,FIND("/",Sync!$L1783)-1))),4)&amp;"/"&amp;RIGHT("00"&amp;VALUE(TRIM(LEFT(MID(Sync!$L1783,FIND("/",Sync!$L1783)+1,20),FIND("/",MID(Sync!$L1783,FIND("/",Sync!$L1783)+1,20))-1))),2)&amp;"/"&amp;RIGHT("00"&amp;VALUE(TRIM(MID(MID(Sync!$L1783,FIND("/",Sync!$L1783)+1,20),FIND("/",MID(Sync!$L1783,FIND("/",Sync!$L1783)+1,20))+1,20))),2),"")))</f>
        <v/>
      </c>
    </row>
    <row r="1784">
      <c r="M1784">
        <f>IF(Sync!$M1784&lt;&gt;"پاس چک","",IF(Sync!$P1784="","",Sync!$P1784))</f>
        <v/>
      </c>
      <c r="N1784">
        <f>IF($M1784="","",IF(ISNUMBER(Sync!$L1784),IF(AND(Sync!$L1784&gt;=10000101,Sync!$L1784&lt;=99991231),RIGHT("0000"&amp;INT(Sync!$L1784/10000),4)&amp;"/"&amp;RIGHT("00"&amp;INT(MOD(Sync!$L1784,10000)/100),2)&amp;"/"&amp;RIGHT("00"&amp;MOD(Sync!$L1784,100),2),""),IFERROR(RIGHT("0000"&amp;VALUE(TRIM(LEFT(Sync!$L1784,FIND("/",Sync!$L1784)-1))),4)&amp;"/"&amp;RIGHT("00"&amp;VALUE(TRIM(LEFT(MID(Sync!$L1784,FIND("/",Sync!$L1784)+1,20),FIND("/",MID(Sync!$L1784,FIND("/",Sync!$L1784)+1,20))-1))),2)&amp;"/"&amp;RIGHT("00"&amp;VALUE(TRIM(MID(MID(Sync!$L1784,FIND("/",Sync!$L1784)+1,20),FIND("/",MID(Sync!$L1784,FIND("/",Sync!$L1784)+1,20))+1,20))),2),"")))</f>
        <v/>
      </c>
    </row>
    <row r="1785">
      <c r="M1785">
        <f>IF(Sync!$M1785&lt;&gt;"پاس چک","",IF(Sync!$P1785="","",Sync!$P1785))</f>
        <v/>
      </c>
      <c r="N1785">
        <f>IF($M1785="","",IF(ISNUMBER(Sync!$L1785),IF(AND(Sync!$L1785&gt;=10000101,Sync!$L1785&lt;=99991231),RIGHT("0000"&amp;INT(Sync!$L1785/10000),4)&amp;"/"&amp;RIGHT("00"&amp;INT(MOD(Sync!$L1785,10000)/100),2)&amp;"/"&amp;RIGHT("00"&amp;MOD(Sync!$L1785,100),2),""),IFERROR(RIGHT("0000"&amp;VALUE(TRIM(LEFT(Sync!$L1785,FIND("/",Sync!$L1785)-1))),4)&amp;"/"&amp;RIGHT("00"&amp;VALUE(TRIM(LEFT(MID(Sync!$L1785,FIND("/",Sync!$L1785)+1,20),FIND("/",MID(Sync!$L1785,FIND("/",Sync!$L1785)+1,20))-1))),2)&amp;"/"&amp;RIGHT("00"&amp;VALUE(TRIM(MID(MID(Sync!$L1785,FIND("/",Sync!$L1785)+1,20),FIND("/",MID(Sync!$L1785,FIND("/",Sync!$L1785)+1,20))+1,20))),2),"")))</f>
        <v/>
      </c>
    </row>
    <row r="1786">
      <c r="M1786">
        <f>IF(Sync!$M1786&lt;&gt;"پاس چک","",IF(Sync!$P1786="","",Sync!$P1786))</f>
        <v/>
      </c>
      <c r="N1786">
        <f>IF($M1786="","",IF(ISNUMBER(Sync!$L1786),IF(AND(Sync!$L1786&gt;=10000101,Sync!$L1786&lt;=99991231),RIGHT("0000"&amp;INT(Sync!$L1786/10000),4)&amp;"/"&amp;RIGHT("00"&amp;INT(MOD(Sync!$L1786,10000)/100),2)&amp;"/"&amp;RIGHT("00"&amp;MOD(Sync!$L1786,100),2),""),IFERROR(RIGHT("0000"&amp;VALUE(TRIM(LEFT(Sync!$L1786,FIND("/",Sync!$L1786)-1))),4)&amp;"/"&amp;RIGHT("00"&amp;VALUE(TRIM(LEFT(MID(Sync!$L1786,FIND("/",Sync!$L1786)+1,20),FIND("/",MID(Sync!$L1786,FIND("/",Sync!$L1786)+1,20))-1))),2)&amp;"/"&amp;RIGHT("00"&amp;VALUE(TRIM(MID(MID(Sync!$L1786,FIND("/",Sync!$L1786)+1,20),FIND("/",MID(Sync!$L1786,FIND("/",Sync!$L1786)+1,20))+1,20))),2),"")))</f>
        <v/>
      </c>
    </row>
    <row r="1787">
      <c r="M1787">
        <f>IF(Sync!$M1787&lt;&gt;"پاس چک","",IF(Sync!$P1787="","",Sync!$P1787))</f>
        <v/>
      </c>
      <c r="N1787">
        <f>IF($M1787="","",IF(ISNUMBER(Sync!$L1787),IF(AND(Sync!$L1787&gt;=10000101,Sync!$L1787&lt;=99991231),RIGHT("0000"&amp;INT(Sync!$L1787/10000),4)&amp;"/"&amp;RIGHT("00"&amp;INT(MOD(Sync!$L1787,10000)/100),2)&amp;"/"&amp;RIGHT("00"&amp;MOD(Sync!$L1787,100),2),""),IFERROR(RIGHT("0000"&amp;VALUE(TRIM(LEFT(Sync!$L1787,FIND("/",Sync!$L1787)-1))),4)&amp;"/"&amp;RIGHT("00"&amp;VALUE(TRIM(LEFT(MID(Sync!$L1787,FIND("/",Sync!$L1787)+1,20),FIND("/",MID(Sync!$L1787,FIND("/",Sync!$L1787)+1,20))-1))),2)&amp;"/"&amp;RIGHT("00"&amp;VALUE(TRIM(MID(MID(Sync!$L1787,FIND("/",Sync!$L1787)+1,20),FIND("/",MID(Sync!$L1787,FIND("/",Sync!$L1787)+1,20))+1,20))),2),"")))</f>
        <v/>
      </c>
    </row>
    <row r="1788">
      <c r="M1788">
        <f>IF(Sync!$M1788&lt;&gt;"پاس چک","",IF(Sync!$P1788="","",Sync!$P1788))</f>
        <v/>
      </c>
      <c r="N1788">
        <f>IF($M1788="","",IF(ISNUMBER(Sync!$L1788),IF(AND(Sync!$L1788&gt;=10000101,Sync!$L1788&lt;=99991231),RIGHT("0000"&amp;INT(Sync!$L1788/10000),4)&amp;"/"&amp;RIGHT("00"&amp;INT(MOD(Sync!$L1788,10000)/100),2)&amp;"/"&amp;RIGHT("00"&amp;MOD(Sync!$L1788,100),2),""),IFERROR(RIGHT("0000"&amp;VALUE(TRIM(LEFT(Sync!$L1788,FIND("/",Sync!$L1788)-1))),4)&amp;"/"&amp;RIGHT("00"&amp;VALUE(TRIM(LEFT(MID(Sync!$L1788,FIND("/",Sync!$L1788)+1,20),FIND("/",MID(Sync!$L1788,FIND("/",Sync!$L1788)+1,20))-1))),2)&amp;"/"&amp;RIGHT("00"&amp;VALUE(TRIM(MID(MID(Sync!$L1788,FIND("/",Sync!$L1788)+1,20),FIND("/",MID(Sync!$L1788,FIND("/",Sync!$L1788)+1,20))+1,20))),2),"")))</f>
        <v/>
      </c>
    </row>
    <row r="1789">
      <c r="M1789">
        <f>IF(Sync!$M1789&lt;&gt;"پاس چک","",IF(Sync!$P1789="","",Sync!$P1789))</f>
        <v/>
      </c>
      <c r="N1789">
        <f>IF($M1789="","",IF(ISNUMBER(Sync!$L1789),IF(AND(Sync!$L1789&gt;=10000101,Sync!$L1789&lt;=99991231),RIGHT("0000"&amp;INT(Sync!$L1789/10000),4)&amp;"/"&amp;RIGHT("00"&amp;INT(MOD(Sync!$L1789,10000)/100),2)&amp;"/"&amp;RIGHT("00"&amp;MOD(Sync!$L1789,100),2),""),IFERROR(RIGHT("0000"&amp;VALUE(TRIM(LEFT(Sync!$L1789,FIND("/",Sync!$L1789)-1))),4)&amp;"/"&amp;RIGHT("00"&amp;VALUE(TRIM(LEFT(MID(Sync!$L1789,FIND("/",Sync!$L1789)+1,20),FIND("/",MID(Sync!$L1789,FIND("/",Sync!$L1789)+1,20))-1))),2)&amp;"/"&amp;RIGHT("00"&amp;VALUE(TRIM(MID(MID(Sync!$L1789,FIND("/",Sync!$L1789)+1,20),FIND("/",MID(Sync!$L1789,FIND("/",Sync!$L1789)+1,20))+1,20))),2),"")))</f>
        <v/>
      </c>
    </row>
    <row r="1790">
      <c r="M1790">
        <f>IF(Sync!$M1790&lt;&gt;"پاس چک","",IF(Sync!$P1790="","",Sync!$P1790))</f>
        <v/>
      </c>
      <c r="N1790">
        <f>IF($M1790="","",IF(ISNUMBER(Sync!$L1790),IF(AND(Sync!$L1790&gt;=10000101,Sync!$L1790&lt;=99991231),RIGHT("0000"&amp;INT(Sync!$L1790/10000),4)&amp;"/"&amp;RIGHT("00"&amp;INT(MOD(Sync!$L1790,10000)/100),2)&amp;"/"&amp;RIGHT("00"&amp;MOD(Sync!$L1790,100),2),""),IFERROR(RIGHT("0000"&amp;VALUE(TRIM(LEFT(Sync!$L1790,FIND("/",Sync!$L1790)-1))),4)&amp;"/"&amp;RIGHT("00"&amp;VALUE(TRIM(LEFT(MID(Sync!$L1790,FIND("/",Sync!$L1790)+1,20),FIND("/",MID(Sync!$L1790,FIND("/",Sync!$L1790)+1,20))-1))),2)&amp;"/"&amp;RIGHT("00"&amp;VALUE(TRIM(MID(MID(Sync!$L1790,FIND("/",Sync!$L1790)+1,20),FIND("/",MID(Sync!$L1790,FIND("/",Sync!$L1790)+1,20))+1,20))),2),"")))</f>
        <v/>
      </c>
    </row>
    <row r="1791">
      <c r="M1791">
        <f>IF(Sync!$M1791&lt;&gt;"پاس چک","",IF(Sync!$P1791="","",Sync!$P1791))</f>
        <v/>
      </c>
      <c r="N1791">
        <f>IF($M1791="","",IF(ISNUMBER(Sync!$L1791),IF(AND(Sync!$L1791&gt;=10000101,Sync!$L1791&lt;=99991231),RIGHT("0000"&amp;INT(Sync!$L1791/10000),4)&amp;"/"&amp;RIGHT("00"&amp;INT(MOD(Sync!$L1791,10000)/100),2)&amp;"/"&amp;RIGHT("00"&amp;MOD(Sync!$L1791,100),2),""),IFERROR(RIGHT("0000"&amp;VALUE(TRIM(LEFT(Sync!$L1791,FIND("/",Sync!$L1791)-1))),4)&amp;"/"&amp;RIGHT("00"&amp;VALUE(TRIM(LEFT(MID(Sync!$L1791,FIND("/",Sync!$L1791)+1,20),FIND("/",MID(Sync!$L1791,FIND("/",Sync!$L1791)+1,20))-1))),2)&amp;"/"&amp;RIGHT("00"&amp;VALUE(TRIM(MID(MID(Sync!$L1791,FIND("/",Sync!$L1791)+1,20),FIND("/",MID(Sync!$L1791,FIND("/",Sync!$L1791)+1,20))+1,20))),2),"")))</f>
        <v/>
      </c>
    </row>
    <row r="1792">
      <c r="M1792">
        <f>IF(Sync!$M1792&lt;&gt;"پاس چک","",IF(Sync!$P1792="","",Sync!$P1792))</f>
        <v/>
      </c>
      <c r="N1792">
        <f>IF($M1792="","",IF(ISNUMBER(Sync!$L1792),IF(AND(Sync!$L1792&gt;=10000101,Sync!$L1792&lt;=99991231),RIGHT("0000"&amp;INT(Sync!$L1792/10000),4)&amp;"/"&amp;RIGHT("00"&amp;INT(MOD(Sync!$L1792,10000)/100),2)&amp;"/"&amp;RIGHT("00"&amp;MOD(Sync!$L1792,100),2),""),IFERROR(RIGHT("0000"&amp;VALUE(TRIM(LEFT(Sync!$L1792,FIND("/",Sync!$L1792)-1))),4)&amp;"/"&amp;RIGHT("00"&amp;VALUE(TRIM(LEFT(MID(Sync!$L1792,FIND("/",Sync!$L1792)+1,20),FIND("/",MID(Sync!$L1792,FIND("/",Sync!$L1792)+1,20))-1))),2)&amp;"/"&amp;RIGHT("00"&amp;VALUE(TRIM(MID(MID(Sync!$L1792,FIND("/",Sync!$L1792)+1,20),FIND("/",MID(Sync!$L1792,FIND("/",Sync!$L1792)+1,20))+1,20))),2),"")))</f>
        <v/>
      </c>
    </row>
    <row r="1793">
      <c r="M1793">
        <f>IF(Sync!$M1793&lt;&gt;"پاس چک","",IF(Sync!$P1793="","",Sync!$P1793))</f>
        <v/>
      </c>
      <c r="N1793">
        <f>IF($M1793="","",IF(ISNUMBER(Sync!$L1793),IF(AND(Sync!$L1793&gt;=10000101,Sync!$L1793&lt;=99991231),RIGHT("0000"&amp;INT(Sync!$L1793/10000),4)&amp;"/"&amp;RIGHT("00"&amp;INT(MOD(Sync!$L1793,10000)/100),2)&amp;"/"&amp;RIGHT("00"&amp;MOD(Sync!$L1793,100),2),""),IFERROR(RIGHT("0000"&amp;VALUE(TRIM(LEFT(Sync!$L1793,FIND("/",Sync!$L1793)-1))),4)&amp;"/"&amp;RIGHT("00"&amp;VALUE(TRIM(LEFT(MID(Sync!$L1793,FIND("/",Sync!$L1793)+1,20),FIND("/",MID(Sync!$L1793,FIND("/",Sync!$L1793)+1,20))-1))),2)&amp;"/"&amp;RIGHT("00"&amp;VALUE(TRIM(MID(MID(Sync!$L1793,FIND("/",Sync!$L1793)+1,20),FIND("/",MID(Sync!$L1793,FIND("/",Sync!$L1793)+1,20))+1,20))),2),"")))</f>
        <v/>
      </c>
    </row>
    <row r="1794">
      <c r="M1794">
        <f>IF(Sync!$M1794&lt;&gt;"پاس چک","",IF(Sync!$P1794="","",Sync!$P1794))</f>
        <v/>
      </c>
      <c r="N1794">
        <f>IF($M1794="","",IF(ISNUMBER(Sync!$L1794),IF(AND(Sync!$L1794&gt;=10000101,Sync!$L1794&lt;=99991231),RIGHT("0000"&amp;INT(Sync!$L1794/10000),4)&amp;"/"&amp;RIGHT("00"&amp;INT(MOD(Sync!$L1794,10000)/100),2)&amp;"/"&amp;RIGHT("00"&amp;MOD(Sync!$L1794,100),2),""),IFERROR(RIGHT("0000"&amp;VALUE(TRIM(LEFT(Sync!$L1794,FIND("/",Sync!$L1794)-1))),4)&amp;"/"&amp;RIGHT("00"&amp;VALUE(TRIM(LEFT(MID(Sync!$L1794,FIND("/",Sync!$L1794)+1,20),FIND("/",MID(Sync!$L1794,FIND("/",Sync!$L1794)+1,20))-1))),2)&amp;"/"&amp;RIGHT("00"&amp;VALUE(TRIM(MID(MID(Sync!$L1794,FIND("/",Sync!$L1794)+1,20),FIND("/",MID(Sync!$L1794,FIND("/",Sync!$L1794)+1,20))+1,20))),2),"")))</f>
        <v/>
      </c>
    </row>
    <row r="1795">
      <c r="M1795">
        <f>IF(Sync!$M1795&lt;&gt;"پاس چک","",IF(Sync!$P1795="","",Sync!$P1795))</f>
        <v/>
      </c>
      <c r="N1795">
        <f>IF($M1795="","",IF(ISNUMBER(Sync!$L1795),IF(AND(Sync!$L1795&gt;=10000101,Sync!$L1795&lt;=99991231),RIGHT("0000"&amp;INT(Sync!$L1795/10000),4)&amp;"/"&amp;RIGHT("00"&amp;INT(MOD(Sync!$L1795,10000)/100),2)&amp;"/"&amp;RIGHT("00"&amp;MOD(Sync!$L1795,100),2),""),IFERROR(RIGHT("0000"&amp;VALUE(TRIM(LEFT(Sync!$L1795,FIND("/",Sync!$L1795)-1))),4)&amp;"/"&amp;RIGHT("00"&amp;VALUE(TRIM(LEFT(MID(Sync!$L1795,FIND("/",Sync!$L1795)+1,20),FIND("/",MID(Sync!$L1795,FIND("/",Sync!$L1795)+1,20))-1))),2)&amp;"/"&amp;RIGHT("00"&amp;VALUE(TRIM(MID(MID(Sync!$L1795,FIND("/",Sync!$L1795)+1,20),FIND("/",MID(Sync!$L1795,FIND("/",Sync!$L1795)+1,20))+1,20))),2),"")))</f>
        <v/>
      </c>
    </row>
    <row r="1796">
      <c r="M1796">
        <f>IF(Sync!$M1796&lt;&gt;"پاس چک","",IF(Sync!$P1796="","",Sync!$P1796))</f>
        <v/>
      </c>
      <c r="N1796">
        <f>IF($M1796="","",IF(ISNUMBER(Sync!$L1796),IF(AND(Sync!$L1796&gt;=10000101,Sync!$L1796&lt;=99991231),RIGHT("0000"&amp;INT(Sync!$L1796/10000),4)&amp;"/"&amp;RIGHT("00"&amp;INT(MOD(Sync!$L1796,10000)/100),2)&amp;"/"&amp;RIGHT("00"&amp;MOD(Sync!$L1796,100),2),""),IFERROR(RIGHT("0000"&amp;VALUE(TRIM(LEFT(Sync!$L1796,FIND("/",Sync!$L1796)-1))),4)&amp;"/"&amp;RIGHT("00"&amp;VALUE(TRIM(LEFT(MID(Sync!$L1796,FIND("/",Sync!$L1796)+1,20),FIND("/",MID(Sync!$L1796,FIND("/",Sync!$L1796)+1,20))-1))),2)&amp;"/"&amp;RIGHT("00"&amp;VALUE(TRIM(MID(MID(Sync!$L1796,FIND("/",Sync!$L1796)+1,20),FIND("/",MID(Sync!$L1796,FIND("/",Sync!$L1796)+1,20))+1,20))),2),"")))</f>
        <v/>
      </c>
    </row>
    <row r="1797">
      <c r="M1797">
        <f>IF(Sync!$M1797&lt;&gt;"پاس چک","",IF(Sync!$P1797="","",Sync!$P1797))</f>
        <v/>
      </c>
      <c r="N1797">
        <f>IF($M1797="","",IF(ISNUMBER(Sync!$L1797),IF(AND(Sync!$L1797&gt;=10000101,Sync!$L1797&lt;=99991231),RIGHT("0000"&amp;INT(Sync!$L1797/10000),4)&amp;"/"&amp;RIGHT("00"&amp;INT(MOD(Sync!$L1797,10000)/100),2)&amp;"/"&amp;RIGHT("00"&amp;MOD(Sync!$L1797,100),2),""),IFERROR(RIGHT("0000"&amp;VALUE(TRIM(LEFT(Sync!$L1797,FIND("/",Sync!$L1797)-1))),4)&amp;"/"&amp;RIGHT("00"&amp;VALUE(TRIM(LEFT(MID(Sync!$L1797,FIND("/",Sync!$L1797)+1,20),FIND("/",MID(Sync!$L1797,FIND("/",Sync!$L1797)+1,20))-1))),2)&amp;"/"&amp;RIGHT("00"&amp;VALUE(TRIM(MID(MID(Sync!$L1797,FIND("/",Sync!$L1797)+1,20),FIND("/",MID(Sync!$L1797,FIND("/",Sync!$L1797)+1,20))+1,20))),2),"")))</f>
        <v/>
      </c>
    </row>
    <row r="1798">
      <c r="M1798">
        <f>IF(Sync!$M1798&lt;&gt;"پاس چک","",IF(Sync!$P1798="","",Sync!$P1798))</f>
        <v/>
      </c>
      <c r="N1798">
        <f>IF($M1798="","",IF(ISNUMBER(Sync!$L1798),IF(AND(Sync!$L1798&gt;=10000101,Sync!$L1798&lt;=99991231),RIGHT("0000"&amp;INT(Sync!$L1798/10000),4)&amp;"/"&amp;RIGHT("00"&amp;INT(MOD(Sync!$L1798,10000)/100),2)&amp;"/"&amp;RIGHT("00"&amp;MOD(Sync!$L1798,100),2),""),IFERROR(RIGHT("0000"&amp;VALUE(TRIM(LEFT(Sync!$L1798,FIND("/",Sync!$L1798)-1))),4)&amp;"/"&amp;RIGHT("00"&amp;VALUE(TRIM(LEFT(MID(Sync!$L1798,FIND("/",Sync!$L1798)+1,20),FIND("/",MID(Sync!$L1798,FIND("/",Sync!$L1798)+1,20))-1))),2)&amp;"/"&amp;RIGHT("00"&amp;VALUE(TRIM(MID(MID(Sync!$L1798,FIND("/",Sync!$L1798)+1,20),FIND("/",MID(Sync!$L1798,FIND("/",Sync!$L1798)+1,20))+1,20))),2),"")))</f>
        <v/>
      </c>
    </row>
    <row r="1799">
      <c r="M1799">
        <f>IF(Sync!$M1799&lt;&gt;"پاس چک","",IF(Sync!$P1799="","",Sync!$P1799))</f>
        <v/>
      </c>
      <c r="N1799">
        <f>IF($M1799="","",IF(ISNUMBER(Sync!$L1799),IF(AND(Sync!$L1799&gt;=10000101,Sync!$L1799&lt;=99991231),RIGHT("0000"&amp;INT(Sync!$L1799/10000),4)&amp;"/"&amp;RIGHT("00"&amp;INT(MOD(Sync!$L1799,10000)/100),2)&amp;"/"&amp;RIGHT("00"&amp;MOD(Sync!$L1799,100),2),""),IFERROR(RIGHT("0000"&amp;VALUE(TRIM(LEFT(Sync!$L1799,FIND("/",Sync!$L1799)-1))),4)&amp;"/"&amp;RIGHT("00"&amp;VALUE(TRIM(LEFT(MID(Sync!$L1799,FIND("/",Sync!$L1799)+1,20),FIND("/",MID(Sync!$L1799,FIND("/",Sync!$L1799)+1,20))-1))),2)&amp;"/"&amp;RIGHT("00"&amp;VALUE(TRIM(MID(MID(Sync!$L1799,FIND("/",Sync!$L1799)+1,20),FIND("/",MID(Sync!$L1799,FIND("/",Sync!$L1799)+1,20))+1,20))),2),"")))</f>
        <v/>
      </c>
    </row>
    <row r="1800">
      <c r="M1800">
        <f>IF(Sync!$M1800&lt;&gt;"پاس چک","",IF(Sync!$P1800="","",Sync!$P1800))</f>
        <v/>
      </c>
      <c r="N1800">
        <f>IF($M1800="","",IF(ISNUMBER(Sync!$L1800),IF(AND(Sync!$L1800&gt;=10000101,Sync!$L1800&lt;=99991231),RIGHT("0000"&amp;INT(Sync!$L1800/10000),4)&amp;"/"&amp;RIGHT("00"&amp;INT(MOD(Sync!$L1800,10000)/100),2)&amp;"/"&amp;RIGHT("00"&amp;MOD(Sync!$L1800,100),2),""),IFERROR(RIGHT("0000"&amp;VALUE(TRIM(LEFT(Sync!$L1800,FIND("/",Sync!$L1800)-1))),4)&amp;"/"&amp;RIGHT("00"&amp;VALUE(TRIM(LEFT(MID(Sync!$L1800,FIND("/",Sync!$L1800)+1,20),FIND("/",MID(Sync!$L1800,FIND("/",Sync!$L1800)+1,20))-1))),2)&amp;"/"&amp;RIGHT("00"&amp;VALUE(TRIM(MID(MID(Sync!$L1800,FIND("/",Sync!$L1800)+1,20),FIND("/",MID(Sync!$L1800,FIND("/",Sync!$L1800)+1,20))+1,20))),2),"")))</f>
        <v/>
      </c>
    </row>
    <row r="1801">
      <c r="M1801">
        <f>IF(Sync!$M1801&lt;&gt;"پاس چک","",IF(Sync!$P1801="","",Sync!$P1801))</f>
        <v/>
      </c>
      <c r="N1801">
        <f>IF($M1801="","",IF(ISNUMBER(Sync!$L1801),IF(AND(Sync!$L1801&gt;=10000101,Sync!$L1801&lt;=99991231),RIGHT("0000"&amp;INT(Sync!$L1801/10000),4)&amp;"/"&amp;RIGHT("00"&amp;INT(MOD(Sync!$L1801,10000)/100),2)&amp;"/"&amp;RIGHT("00"&amp;MOD(Sync!$L1801,100),2),""),IFERROR(RIGHT("0000"&amp;VALUE(TRIM(LEFT(Sync!$L1801,FIND("/",Sync!$L1801)-1))),4)&amp;"/"&amp;RIGHT("00"&amp;VALUE(TRIM(LEFT(MID(Sync!$L1801,FIND("/",Sync!$L1801)+1,20),FIND("/",MID(Sync!$L1801,FIND("/",Sync!$L1801)+1,20))-1))),2)&amp;"/"&amp;RIGHT("00"&amp;VALUE(TRIM(MID(MID(Sync!$L1801,FIND("/",Sync!$L1801)+1,20),FIND("/",MID(Sync!$L1801,FIND("/",Sync!$L1801)+1,20))+1,20))),2),"")))</f>
        <v/>
      </c>
    </row>
    <row r="1802">
      <c r="M1802">
        <f>IF(Sync!$M1802&lt;&gt;"پاس چک","",IF(Sync!$P1802="","",Sync!$P1802))</f>
        <v/>
      </c>
      <c r="N1802">
        <f>IF($M1802="","",IF(ISNUMBER(Sync!$L1802),IF(AND(Sync!$L1802&gt;=10000101,Sync!$L1802&lt;=99991231),RIGHT("0000"&amp;INT(Sync!$L1802/10000),4)&amp;"/"&amp;RIGHT("00"&amp;INT(MOD(Sync!$L1802,10000)/100),2)&amp;"/"&amp;RIGHT("00"&amp;MOD(Sync!$L1802,100),2),""),IFERROR(RIGHT("0000"&amp;VALUE(TRIM(LEFT(Sync!$L1802,FIND("/",Sync!$L1802)-1))),4)&amp;"/"&amp;RIGHT("00"&amp;VALUE(TRIM(LEFT(MID(Sync!$L1802,FIND("/",Sync!$L1802)+1,20),FIND("/",MID(Sync!$L1802,FIND("/",Sync!$L1802)+1,20))-1))),2)&amp;"/"&amp;RIGHT("00"&amp;VALUE(TRIM(MID(MID(Sync!$L1802,FIND("/",Sync!$L1802)+1,20),FIND("/",MID(Sync!$L1802,FIND("/",Sync!$L1802)+1,20))+1,20))),2),"")))</f>
        <v/>
      </c>
    </row>
    <row r="1803">
      <c r="M1803">
        <f>IF(Sync!$M1803&lt;&gt;"پاس چک","",IF(Sync!$P1803="","",Sync!$P1803))</f>
        <v/>
      </c>
      <c r="N1803">
        <f>IF($M1803="","",IF(ISNUMBER(Sync!$L1803),IF(AND(Sync!$L1803&gt;=10000101,Sync!$L1803&lt;=99991231),RIGHT("0000"&amp;INT(Sync!$L1803/10000),4)&amp;"/"&amp;RIGHT("00"&amp;INT(MOD(Sync!$L1803,10000)/100),2)&amp;"/"&amp;RIGHT("00"&amp;MOD(Sync!$L1803,100),2),""),IFERROR(RIGHT("0000"&amp;VALUE(TRIM(LEFT(Sync!$L1803,FIND("/",Sync!$L1803)-1))),4)&amp;"/"&amp;RIGHT("00"&amp;VALUE(TRIM(LEFT(MID(Sync!$L1803,FIND("/",Sync!$L1803)+1,20),FIND("/",MID(Sync!$L1803,FIND("/",Sync!$L1803)+1,20))-1))),2)&amp;"/"&amp;RIGHT("00"&amp;VALUE(TRIM(MID(MID(Sync!$L1803,FIND("/",Sync!$L1803)+1,20),FIND("/",MID(Sync!$L1803,FIND("/",Sync!$L1803)+1,20))+1,20))),2),"")))</f>
        <v/>
      </c>
    </row>
    <row r="1804">
      <c r="M1804">
        <f>IF(Sync!$M1804&lt;&gt;"پاس چک","",IF(Sync!$P1804="","",Sync!$P1804))</f>
        <v/>
      </c>
      <c r="N1804">
        <f>IF($M1804="","",IF(ISNUMBER(Sync!$L1804),IF(AND(Sync!$L1804&gt;=10000101,Sync!$L1804&lt;=99991231),RIGHT("0000"&amp;INT(Sync!$L1804/10000),4)&amp;"/"&amp;RIGHT("00"&amp;INT(MOD(Sync!$L1804,10000)/100),2)&amp;"/"&amp;RIGHT("00"&amp;MOD(Sync!$L1804,100),2),""),IFERROR(RIGHT("0000"&amp;VALUE(TRIM(LEFT(Sync!$L1804,FIND("/",Sync!$L1804)-1))),4)&amp;"/"&amp;RIGHT("00"&amp;VALUE(TRIM(LEFT(MID(Sync!$L1804,FIND("/",Sync!$L1804)+1,20),FIND("/",MID(Sync!$L1804,FIND("/",Sync!$L1804)+1,20))-1))),2)&amp;"/"&amp;RIGHT("00"&amp;VALUE(TRIM(MID(MID(Sync!$L1804,FIND("/",Sync!$L1804)+1,20),FIND("/",MID(Sync!$L1804,FIND("/",Sync!$L1804)+1,20))+1,20))),2),"")))</f>
        <v/>
      </c>
    </row>
    <row r="1805">
      <c r="M1805">
        <f>IF(Sync!$M1805&lt;&gt;"پاس چک","",IF(Sync!$P1805="","",Sync!$P1805))</f>
        <v/>
      </c>
      <c r="N1805">
        <f>IF($M1805="","",IF(ISNUMBER(Sync!$L1805),IF(AND(Sync!$L1805&gt;=10000101,Sync!$L1805&lt;=99991231),RIGHT("0000"&amp;INT(Sync!$L1805/10000),4)&amp;"/"&amp;RIGHT("00"&amp;INT(MOD(Sync!$L1805,10000)/100),2)&amp;"/"&amp;RIGHT("00"&amp;MOD(Sync!$L1805,100),2),""),IFERROR(RIGHT("0000"&amp;VALUE(TRIM(LEFT(Sync!$L1805,FIND("/",Sync!$L1805)-1))),4)&amp;"/"&amp;RIGHT("00"&amp;VALUE(TRIM(LEFT(MID(Sync!$L1805,FIND("/",Sync!$L1805)+1,20),FIND("/",MID(Sync!$L1805,FIND("/",Sync!$L1805)+1,20))-1))),2)&amp;"/"&amp;RIGHT("00"&amp;VALUE(TRIM(MID(MID(Sync!$L1805,FIND("/",Sync!$L1805)+1,20),FIND("/",MID(Sync!$L1805,FIND("/",Sync!$L1805)+1,20))+1,20))),2),"")))</f>
        <v/>
      </c>
    </row>
    <row r="1806">
      <c r="M1806">
        <f>IF(Sync!$M1806&lt;&gt;"پاس چک","",IF(Sync!$P1806="","",Sync!$P1806))</f>
        <v/>
      </c>
      <c r="N1806">
        <f>IF($M1806="","",IF(ISNUMBER(Sync!$L1806),IF(AND(Sync!$L1806&gt;=10000101,Sync!$L1806&lt;=99991231),RIGHT("0000"&amp;INT(Sync!$L1806/10000),4)&amp;"/"&amp;RIGHT("00"&amp;INT(MOD(Sync!$L1806,10000)/100),2)&amp;"/"&amp;RIGHT("00"&amp;MOD(Sync!$L1806,100),2),""),IFERROR(RIGHT("0000"&amp;VALUE(TRIM(LEFT(Sync!$L1806,FIND("/",Sync!$L1806)-1))),4)&amp;"/"&amp;RIGHT("00"&amp;VALUE(TRIM(LEFT(MID(Sync!$L1806,FIND("/",Sync!$L1806)+1,20),FIND("/",MID(Sync!$L1806,FIND("/",Sync!$L1806)+1,20))-1))),2)&amp;"/"&amp;RIGHT("00"&amp;VALUE(TRIM(MID(MID(Sync!$L1806,FIND("/",Sync!$L1806)+1,20),FIND("/",MID(Sync!$L1806,FIND("/",Sync!$L1806)+1,20))+1,20))),2),"")))</f>
        <v/>
      </c>
    </row>
    <row r="1807">
      <c r="M1807">
        <f>IF(Sync!$M1807&lt;&gt;"پاس چک","",IF(Sync!$P1807="","",Sync!$P1807))</f>
        <v/>
      </c>
      <c r="N1807">
        <f>IF($M1807="","",IF(ISNUMBER(Sync!$L1807),IF(AND(Sync!$L1807&gt;=10000101,Sync!$L1807&lt;=99991231),RIGHT("0000"&amp;INT(Sync!$L1807/10000),4)&amp;"/"&amp;RIGHT("00"&amp;INT(MOD(Sync!$L1807,10000)/100),2)&amp;"/"&amp;RIGHT("00"&amp;MOD(Sync!$L1807,100),2),""),IFERROR(RIGHT("0000"&amp;VALUE(TRIM(LEFT(Sync!$L1807,FIND("/",Sync!$L1807)-1))),4)&amp;"/"&amp;RIGHT("00"&amp;VALUE(TRIM(LEFT(MID(Sync!$L1807,FIND("/",Sync!$L1807)+1,20),FIND("/",MID(Sync!$L1807,FIND("/",Sync!$L1807)+1,20))-1))),2)&amp;"/"&amp;RIGHT("00"&amp;VALUE(TRIM(MID(MID(Sync!$L1807,FIND("/",Sync!$L1807)+1,20),FIND("/",MID(Sync!$L1807,FIND("/",Sync!$L1807)+1,20))+1,20))),2),"")))</f>
        <v/>
      </c>
    </row>
    <row r="1808">
      <c r="M1808">
        <f>IF(Sync!$M1808&lt;&gt;"پاس چک","",IF(Sync!$P1808="","",Sync!$P1808))</f>
        <v/>
      </c>
      <c r="N1808">
        <f>IF($M1808="","",IF(ISNUMBER(Sync!$L1808),IF(AND(Sync!$L1808&gt;=10000101,Sync!$L1808&lt;=99991231),RIGHT("0000"&amp;INT(Sync!$L1808/10000),4)&amp;"/"&amp;RIGHT("00"&amp;INT(MOD(Sync!$L1808,10000)/100),2)&amp;"/"&amp;RIGHT("00"&amp;MOD(Sync!$L1808,100),2),""),IFERROR(RIGHT("0000"&amp;VALUE(TRIM(LEFT(Sync!$L1808,FIND("/",Sync!$L1808)-1))),4)&amp;"/"&amp;RIGHT("00"&amp;VALUE(TRIM(LEFT(MID(Sync!$L1808,FIND("/",Sync!$L1808)+1,20),FIND("/",MID(Sync!$L1808,FIND("/",Sync!$L1808)+1,20))-1))),2)&amp;"/"&amp;RIGHT("00"&amp;VALUE(TRIM(MID(MID(Sync!$L1808,FIND("/",Sync!$L1808)+1,20),FIND("/",MID(Sync!$L1808,FIND("/",Sync!$L1808)+1,20))+1,20))),2),"")))</f>
        <v/>
      </c>
    </row>
    <row r="1809">
      <c r="M1809">
        <f>IF(Sync!$M1809&lt;&gt;"پاس چک","",IF(Sync!$P1809="","",Sync!$P1809))</f>
        <v/>
      </c>
      <c r="N1809">
        <f>IF($M1809="","",IF(ISNUMBER(Sync!$L1809),IF(AND(Sync!$L1809&gt;=10000101,Sync!$L1809&lt;=99991231),RIGHT("0000"&amp;INT(Sync!$L1809/10000),4)&amp;"/"&amp;RIGHT("00"&amp;INT(MOD(Sync!$L1809,10000)/100),2)&amp;"/"&amp;RIGHT("00"&amp;MOD(Sync!$L1809,100),2),""),IFERROR(RIGHT("0000"&amp;VALUE(TRIM(LEFT(Sync!$L1809,FIND("/",Sync!$L1809)-1))),4)&amp;"/"&amp;RIGHT("00"&amp;VALUE(TRIM(LEFT(MID(Sync!$L1809,FIND("/",Sync!$L1809)+1,20),FIND("/",MID(Sync!$L1809,FIND("/",Sync!$L1809)+1,20))-1))),2)&amp;"/"&amp;RIGHT("00"&amp;VALUE(TRIM(MID(MID(Sync!$L1809,FIND("/",Sync!$L1809)+1,20),FIND("/",MID(Sync!$L1809,FIND("/",Sync!$L1809)+1,20))+1,20))),2),"")))</f>
        <v/>
      </c>
    </row>
    <row r="1810">
      <c r="M1810">
        <f>IF(Sync!$M1810&lt;&gt;"پاس چک","",IF(Sync!$P1810="","",Sync!$P1810))</f>
        <v/>
      </c>
      <c r="N1810">
        <f>IF($M1810="","",IF(ISNUMBER(Sync!$L1810),IF(AND(Sync!$L1810&gt;=10000101,Sync!$L1810&lt;=99991231),RIGHT("0000"&amp;INT(Sync!$L1810/10000),4)&amp;"/"&amp;RIGHT("00"&amp;INT(MOD(Sync!$L1810,10000)/100),2)&amp;"/"&amp;RIGHT("00"&amp;MOD(Sync!$L1810,100),2),""),IFERROR(RIGHT("0000"&amp;VALUE(TRIM(LEFT(Sync!$L1810,FIND("/",Sync!$L1810)-1))),4)&amp;"/"&amp;RIGHT("00"&amp;VALUE(TRIM(LEFT(MID(Sync!$L1810,FIND("/",Sync!$L1810)+1,20),FIND("/",MID(Sync!$L1810,FIND("/",Sync!$L1810)+1,20))-1))),2)&amp;"/"&amp;RIGHT("00"&amp;VALUE(TRIM(MID(MID(Sync!$L1810,FIND("/",Sync!$L1810)+1,20),FIND("/",MID(Sync!$L1810,FIND("/",Sync!$L1810)+1,20))+1,20))),2),"")))</f>
        <v/>
      </c>
    </row>
    <row r="1811">
      <c r="M1811">
        <f>IF(Sync!$M1811&lt;&gt;"پاس چک","",IF(Sync!$P1811="","",Sync!$P1811))</f>
        <v/>
      </c>
      <c r="N1811">
        <f>IF($M1811="","",IF(ISNUMBER(Sync!$L1811),IF(AND(Sync!$L1811&gt;=10000101,Sync!$L1811&lt;=99991231),RIGHT("0000"&amp;INT(Sync!$L1811/10000),4)&amp;"/"&amp;RIGHT("00"&amp;INT(MOD(Sync!$L1811,10000)/100),2)&amp;"/"&amp;RIGHT("00"&amp;MOD(Sync!$L1811,100),2),""),IFERROR(RIGHT("0000"&amp;VALUE(TRIM(LEFT(Sync!$L1811,FIND("/",Sync!$L1811)-1))),4)&amp;"/"&amp;RIGHT("00"&amp;VALUE(TRIM(LEFT(MID(Sync!$L1811,FIND("/",Sync!$L1811)+1,20),FIND("/",MID(Sync!$L1811,FIND("/",Sync!$L1811)+1,20))-1))),2)&amp;"/"&amp;RIGHT("00"&amp;VALUE(TRIM(MID(MID(Sync!$L1811,FIND("/",Sync!$L1811)+1,20),FIND("/",MID(Sync!$L1811,FIND("/",Sync!$L1811)+1,20))+1,20))),2),"")))</f>
        <v/>
      </c>
    </row>
    <row r="1812">
      <c r="M1812">
        <f>IF(Sync!$M1812&lt;&gt;"پاس چک","",IF(Sync!$P1812="","",Sync!$P1812))</f>
        <v/>
      </c>
      <c r="N1812">
        <f>IF($M1812="","",IF(ISNUMBER(Sync!$L1812),IF(AND(Sync!$L1812&gt;=10000101,Sync!$L1812&lt;=99991231),RIGHT("0000"&amp;INT(Sync!$L1812/10000),4)&amp;"/"&amp;RIGHT("00"&amp;INT(MOD(Sync!$L1812,10000)/100),2)&amp;"/"&amp;RIGHT("00"&amp;MOD(Sync!$L1812,100),2),""),IFERROR(RIGHT("0000"&amp;VALUE(TRIM(LEFT(Sync!$L1812,FIND("/",Sync!$L1812)-1))),4)&amp;"/"&amp;RIGHT("00"&amp;VALUE(TRIM(LEFT(MID(Sync!$L1812,FIND("/",Sync!$L1812)+1,20),FIND("/",MID(Sync!$L1812,FIND("/",Sync!$L1812)+1,20))-1))),2)&amp;"/"&amp;RIGHT("00"&amp;VALUE(TRIM(MID(MID(Sync!$L1812,FIND("/",Sync!$L1812)+1,20),FIND("/",MID(Sync!$L1812,FIND("/",Sync!$L1812)+1,20))+1,20))),2),"")))</f>
        <v/>
      </c>
    </row>
    <row r="1813">
      <c r="M1813">
        <f>IF(Sync!$M1813&lt;&gt;"پاس چک","",IF(Sync!$P1813="","",Sync!$P1813))</f>
        <v/>
      </c>
      <c r="N1813">
        <f>IF($M1813="","",IF(ISNUMBER(Sync!$L1813),IF(AND(Sync!$L1813&gt;=10000101,Sync!$L1813&lt;=99991231),RIGHT("0000"&amp;INT(Sync!$L1813/10000),4)&amp;"/"&amp;RIGHT("00"&amp;INT(MOD(Sync!$L1813,10000)/100),2)&amp;"/"&amp;RIGHT("00"&amp;MOD(Sync!$L1813,100),2),""),IFERROR(RIGHT("0000"&amp;VALUE(TRIM(LEFT(Sync!$L1813,FIND("/",Sync!$L1813)-1))),4)&amp;"/"&amp;RIGHT("00"&amp;VALUE(TRIM(LEFT(MID(Sync!$L1813,FIND("/",Sync!$L1813)+1,20),FIND("/",MID(Sync!$L1813,FIND("/",Sync!$L1813)+1,20))-1))),2)&amp;"/"&amp;RIGHT("00"&amp;VALUE(TRIM(MID(MID(Sync!$L1813,FIND("/",Sync!$L1813)+1,20),FIND("/",MID(Sync!$L1813,FIND("/",Sync!$L1813)+1,20))+1,20))),2),"")))</f>
        <v/>
      </c>
    </row>
    <row r="1814">
      <c r="M1814">
        <f>IF(Sync!$M1814&lt;&gt;"پاس چک","",IF(Sync!$P1814="","",Sync!$P1814))</f>
        <v/>
      </c>
      <c r="N1814">
        <f>IF($M1814="","",IF(ISNUMBER(Sync!$L1814),IF(AND(Sync!$L1814&gt;=10000101,Sync!$L1814&lt;=99991231),RIGHT("0000"&amp;INT(Sync!$L1814/10000),4)&amp;"/"&amp;RIGHT("00"&amp;INT(MOD(Sync!$L1814,10000)/100),2)&amp;"/"&amp;RIGHT("00"&amp;MOD(Sync!$L1814,100),2),""),IFERROR(RIGHT("0000"&amp;VALUE(TRIM(LEFT(Sync!$L1814,FIND("/",Sync!$L1814)-1))),4)&amp;"/"&amp;RIGHT("00"&amp;VALUE(TRIM(LEFT(MID(Sync!$L1814,FIND("/",Sync!$L1814)+1,20),FIND("/",MID(Sync!$L1814,FIND("/",Sync!$L1814)+1,20))-1))),2)&amp;"/"&amp;RIGHT("00"&amp;VALUE(TRIM(MID(MID(Sync!$L1814,FIND("/",Sync!$L1814)+1,20),FIND("/",MID(Sync!$L1814,FIND("/",Sync!$L1814)+1,20))+1,20))),2),"")))</f>
        <v/>
      </c>
    </row>
    <row r="1815">
      <c r="M1815">
        <f>IF(Sync!$M1815&lt;&gt;"پاس چک","",IF(Sync!$P1815="","",Sync!$P1815))</f>
        <v/>
      </c>
      <c r="N1815">
        <f>IF($M1815="","",IF(ISNUMBER(Sync!$L1815),IF(AND(Sync!$L1815&gt;=10000101,Sync!$L1815&lt;=99991231),RIGHT("0000"&amp;INT(Sync!$L1815/10000),4)&amp;"/"&amp;RIGHT("00"&amp;INT(MOD(Sync!$L1815,10000)/100),2)&amp;"/"&amp;RIGHT("00"&amp;MOD(Sync!$L1815,100),2),""),IFERROR(RIGHT("0000"&amp;VALUE(TRIM(LEFT(Sync!$L1815,FIND("/",Sync!$L1815)-1))),4)&amp;"/"&amp;RIGHT("00"&amp;VALUE(TRIM(LEFT(MID(Sync!$L1815,FIND("/",Sync!$L1815)+1,20),FIND("/",MID(Sync!$L1815,FIND("/",Sync!$L1815)+1,20))-1))),2)&amp;"/"&amp;RIGHT("00"&amp;VALUE(TRIM(MID(MID(Sync!$L1815,FIND("/",Sync!$L1815)+1,20),FIND("/",MID(Sync!$L1815,FIND("/",Sync!$L1815)+1,20))+1,20))),2),"")))</f>
        <v/>
      </c>
    </row>
    <row r="1816">
      <c r="M1816">
        <f>IF(Sync!$M1816&lt;&gt;"پاس چک","",IF(Sync!$P1816="","",Sync!$P1816))</f>
        <v/>
      </c>
      <c r="N1816">
        <f>IF($M1816="","",IF(ISNUMBER(Sync!$L1816),IF(AND(Sync!$L1816&gt;=10000101,Sync!$L1816&lt;=99991231),RIGHT("0000"&amp;INT(Sync!$L1816/10000),4)&amp;"/"&amp;RIGHT("00"&amp;INT(MOD(Sync!$L1816,10000)/100),2)&amp;"/"&amp;RIGHT("00"&amp;MOD(Sync!$L1816,100),2),""),IFERROR(RIGHT("0000"&amp;VALUE(TRIM(LEFT(Sync!$L1816,FIND("/",Sync!$L1816)-1))),4)&amp;"/"&amp;RIGHT("00"&amp;VALUE(TRIM(LEFT(MID(Sync!$L1816,FIND("/",Sync!$L1816)+1,20),FIND("/",MID(Sync!$L1816,FIND("/",Sync!$L1816)+1,20))-1))),2)&amp;"/"&amp;RIGHT("00"&amp;VALUE(TRIM(MID(MID(Sync!$L1816,FIND("/",Sync!$L1816)+1,20),FIND("/",MID(Sync!$L1816,FIND("/",Sync!$L1816)+1,20))+1,20))),2),"")))</f>
        <v/>
      </c>
    </row>
    <row r="1817">
      <c r="M1817">
        <f>IF(Sync!$M1817&lt;&gt;"پاس چک","",IF(Sync!$P1817="","",Sync!$P1817))</f>
        <v/>
      </c>
      <c r="N1817">
        <f>IF($M1817="","",IF(ISNUMBER(Sync!$L1817),IF(AND(Sync!$L1817&gt;=10000101,Sync!$L1817&lt;=99991231),RIGHT("0000"&amp;INT(Sync!$L1817/10000),4)&amp;"/"&amp;RIGHT("00"&amp;INT(MOD(Sync!$L1817,10000)/100),2)&amp;"/"&amp;RIGHT("00"&amp;MOD(Sync!$L1817,100),2),""),IFERROR(RIGHT("0000"&amp;VALUE(TRIM(LEFT(Sync!$L1817,FIND("/",Sync!$L1817)-1))),4)&amp;"/"&amp;RIGHT("00"&amp;VALUE(TRIM(LEFT(MID(Sync!$L1817,FIND("/",Sync!$L1817)+1,20),FIND("/",MID(Sync!$L1817,FIND("/",Sync!$L1817)+1,20))-1))),2)&amp;"/"&amp;RIGHT("00"&amp;VALUE(TRIM(MID(MID(Sync!$L1817,FIND("/",Sync!$L1817)+1,20),FIND("/",MID(Sync!$L1817,FIND("/",Sync!$L1817)+1,20))+1,20))),2),"")))</f>
        <v/>
      </c>
    </row>
    <row r="1818">
      <c r="M1818">
        <f>IF(Sync!$M1818&lt;&gt;"پاس چک","",IF(Sync!$P1818="","",Sync!$P1818))</f>
        <v/>
      </c>
      <c r="N1818">
        <f>IF($M1818="","",IF(ISNUMBER(Sync!$L1818),IF(AND(Sync!$L1818&gt;=10000101,Sync!$L1818&lt;=99991231),RIGHT("0000"&amp;INT(Sync!$L1818/10000),4)&amp;"/"&amp;RIGHT("00"&amp;INT(MOD(Sync!$L1818,10000)/100),2)&amp;"/"&amp;RIGHT("00"&amp;MOD(Sync!$L1818,100),2),""),IFERROR(RIGHT("0000"&amp;VALUE(TRIM(LEFT(Sync!$L1818,FIND("/",Sync!$L1818)-1))),4)&amp;"/"&amp;RIGHT("00"&amp;VALUE(TRIM(LEFT(MID(Sync!$L1818,FIND("/",Sync!$L1818)+1,20),FIND("/",MID(Sync!$L1818,FIND("/",Sync!$L1818)+1,20))-1))),2)&amp;"/"&amp;RIGHT("00"&amp;VALUE(TRIM(MID(MID(Sync!$L1818,FIND("/",Sync!$L1818)+1,20),FIND("/",MID(Sync!$L1818,FIND("/",Sync!$L1818)+1,20))+1,20))),2),"")))</f>
        <v/>
      </c>
    </row>
    <row r="1819">
      <c r="M1819">
        <f>IF(Sync!$M1819&lt;&gt;"پاس چک","",IF(Sync!$P1819="","",Sync!$P1819))</f>
        <v/>
      </c>
      <c r="N1819">
        <f>IF($M1819="","",IF(ISNUMBER(Sync!$L1819),IF(AND(Sync!$L1819&gt;=10000101,Sync!$L1819&lt;=99991231),RIGHT("0000"&amp;INT(Sync!$L1819/10000),4)&amp;"/"&amp;RIGHT("00"&amp;INT(MOD(Sync!$L1819,10000)/100),2)&amp;"/"&amp;RIGHT("00"&amp;MOD(Sync!$L1819,100),2),""),IFERROR(RIGHT("0000"&amp;VALUE(TRIM(LEFT(Sync!$L1819,FIND("/",Sync!$L1819)-1))),4)&amp;"/"&amp;RIGHT("00"&amp;VALUE(TRIM(LEFT(MID(Sync!$L1819,FIND("/",Sync!$L1819)+1,20),FIND("/",MID(Sync!$L1819,FIND("/",Sync!$L1819)+1,20))-1))),2)&amp;"/"&amp;RIGHT("00"&amp;VALUE(TRIM(MID(MID(Sync!$L1819,FIND("/",Sync!$L1819)+1,20),FIND("/",MID(Sync!$L1819,FIND("/",Sync!$L1819)+1,20))+1,20))),2),"")))</f>
        <v/>
      </c>
    </row>
    <row r="1820">
      <c r="M1820">
        <f>IF(Sync!$M1820&lt;&gt;"پاس چک","",IF(Sync!$P1820="","",Sync!$P1820))</f>
        <v/>
      </c>
      <c r="N1820">
        <f>IF($M1820="","",IF(ISNUMBER(Sync!$L1820),IF(AND(Sync!$L1820&gt;=10000101,Sync!$L1820&lt;=99991231),RIGHT("0000"&amp;INT(Sync!$L1820/10000),4)&amp;"/"&amp;RIGHT("00"&amp;INT(MOD(Sync!$L1820,10000)/100),2)&amp;"/"&amp;RIGHT("00"&amp;MOD(Sync!$L1820,100),2),""),IFERROR(RIGHT("0000"&amp;VALUE(TRIM(LEFT(Sync!$L1820,FIND("/",Sync!$L1820)-1))),4)&amp;"/"&amp;RIGHT("00"&amp;VALUE(TRIM(LEFT(MID(Sync!$L1820,FIND("/",Sync!$L1820)+1,20),FIND("/",MID(Sync!$L1820,FIND("/",Sync!$L1820)+1,20))-1))),2)&amp;"/"&amp;RIGHT("00"&amp;VALUE(TRIM(MID(MID(Sync!$L1820,FIND("/",Sync!$L1820)+1,20),FIND("/",MID(Sync!$L1820,FIND("/",Sync!$L1820)+1,20))+1,20))),2),"")))</f>
        <v/>
      </c>
    </row>
    <row r="1821">
      <c r="M1821">
        <f>IF(Sync!$M1821&lt;&gt;"پاس چک","",IF(Sync!$P1821="","",Sync!$P1821))</f>
        <v/>
      </c>
      <c r="N1821">
        <f>IF($M1821="","",IF(ISNUMBER(Sync!$L1821),IF(AND(Sync!$L1821&gt;=10000101,Sync!$L1821&lt;=99991231),RIGHT("0000"&amp;INT(Sync!$L1821/10000),4)&amp;"/"&amp;RIGHT("00"&amp;INT(MOD(Sync!$L1821,10000)/100),2)&amp;"/"&amp;RIGHT("00"&amp;MOD(Sync!$L1821,100),2),""),IFERROR(RIGHT("0000"&amp;VALUE(TRIM(LEFT(Sync!$L1821,FIND("/",Sync!$L1821)-1))),4)&amp;"/"&amp;RIGHT("00"&amp;VALUE(TRIM(LEFT(MID(Sync!$L1821,FIND("/",Sync!$L1821)+1,20),FIND("/",MID(Sync!$L1821,FIND("/",Sync!$L1821)+1,20))-1))),2)&amp;"/"&amp;RIGHT("00"&amp;VALUE(TRIM(MID(MID(Sync!$L1821,FIND("/",Sync!$L1821)+1,20),FIND("/",MID(Sync!$L1821,FIND("/",Sync!$L1821)+1,20))+1,20))),2),"")))</f>
        <v/>
      </c>
    </row>
    <row r="1822">
      <c r="M1822">
        <f>IF(Sync!$M1822&lt;&gt;"پاس چک","",IF(Sync!$P1822="","",Sync!$P1822))</f>
        <v/>
      </c>
      <c r="N1822">
        <f>IF($M1822="","",IF(ISNUMBER(Sync!$L1822),IF(AND(Sync!$L1822&gt;=10000101,Sync!$L1822&lt;=99991231),RIGHT("0000"&amp;INT(Sync!$L1822/10000),4)&amp;"/"&amp;RIGHT("00"&amp;INT(MOD(Sync!$L1822,10000)/100),2)&amp;"/"&amp;RIGHT("00"&amp;MOD(Sync!$L1822,100),2),""),IFERROR(RIGHT("0000"&amp;VALUE(TRIM(LEFT(Sync!$L1822,FIND("/",Sync!$L1822)-1))),4)&amp;"/"&amp;RIGHT("00"&amp;VALUE(TRIM(LEFT(MID(Sync!$L1822,FIND("/",Sync!$L1822)+1,20),FIND("/",MID(Sync!$L1822,FIND("/",Sync!$L1822)+1,20))-1))),2)&amp;"/"&amp;RIGHT("00"&amp;VALUE(TRIM(MID(MID(Sync!$L1822,FIND("/",Sync!$L1822)+1,20),FIND("/",MID(Sync!$L1822,FIND("/",Sync!$L1822)+1,20))+1,20))),2),"")))</f>
        <v/>
      </c>
    </row>
    <row r="1823">
      <c r="M1823">
        <f>IF(Sync!$M1823&lt;&gt;"پاس چک","",IF(Sync!$P1823="","",Sync!$P1823))</f>
        <v/>
      </c>
      <c r="N1823">
        <f>IF($M1823="","",IF(ISNUMBER(Sync!$L1823),IF(AND(Sync!$L1823&gt;=10000101,Sync!$L1823&lt;=99991231),RIGHT("0000"&amp;INT(Sync!$L1823/10000),4)&amp;"/"&amp;RIGHT("00"&amp;INT(MOD(Sync!$L1823,10000)/100),2)&amp;"/"&amp;RIGHT("00"&amp;MOD(Sync!$L1823,100),2),""),IFERROR(RIGHT("0000"&amp;VALUE(TRIM(LEFT(Sync!$L1823,FIND("/",Sync!$L1823)-1))),4)&amp;"/"&amp;RIGHT("00"&amp;VALUE(TRIM(LEFT(MID(Sync!$L1823,FIND("/",Sync!$L1823)+1,20),FIND("/",MID(Sync!$L1823,FIND("/",Sync!$L1823)+1,20))-1))),2)&amp;"/"&amp;RIGHT("00"&amp;VALUE(TRIM(MID(MID(Sync!$L1823,FIND("/",Sync!$L1823)+1,20),FIND("/",MID(Sync!$L1823,FIND("/",Sync!$L1823)+1,20))+1,20))),2),"")))</f>
        <v/>
      </c>
    </row>
    <row r="1824">
      <c r="M1824">
        <f>IF(Sync!$M1824&lt;&gt;"پاس چک","",IF(Sync!$P1824="","",Sync!$P1824))</f>
        <v/>
      </c>
      <c r="N1824">
        <f>IF($M1824="","",IF(ISNUMBER(Sync!$L1824),IF(AND(Sync!$L1824&gt;=10000101,Sync!$L1824&lt;=99991231),RIGHT("0000"&amp;INT(Sync!$L1824/10000),4)&amp;"/"&amp;RIGHT("00"&amp;INT(MOD(Sync!$L1824,10000)/100),2)&amp;"/"&amp;RIGHT("00"&amp;MOD(Sync!$L1824,100),2),""),IFERROR(RIGHT("0000"&amp;VALUE(TRIM(LEFT(Sync!$L1824,FIND("/",Sync!$L1824)-1))),4)&amp;"/"&amp;RIGHT("00"&amp;VALUE(TRIM(LEFT(MID(Sync!$L1824,FIND("/",Sync!$L1824)+1,20),FIND("/",MID(Sync!$L1824,FIND("/",Sync!$L1824)+1,20))-1))),2)&amp;"/"&amp;RIGHT("00"&amp;VALUE(TRIM(MID(MID(Sync!$L1824,FIND("/",Sync!$L1824)+1,20),FIND("/",MID(Sync!$L1824,FIND("/",Sync!$L1824)+1,20))+1,20))),2),"")))</f>
        <v/>
      </c>
    </row>
    <row r="1825">
      <c r="M1825">
        <f>IF(Sync!$M1825&lt;&gt;"پاس چک","",IF(Sync!$P1825="","",Sync!$P1825))</f>
        <v/>
      </c>
      <c r="N1825">
        <f>IF($M1825="","",IF(ISNUMBER(Sync!$L1825),IF(AND(Sync!$L1825&gt;=10000101,Sync!$L1825&lt;=99991231),RIGHT("0000"&amp;INT(Sync!$L1825/10000),4)&amp;"/"&amp;RIGHT("00"&amp;INT(MOD(Sync!$L1825,10000)/100),2)&amp;"/"&amp;RIGHT("00"&amp;MOD(Sync!$L1825,100),2),""),IFERROR(RIGHT("0000"&amp;VALUE(TRIM(LEFT(Sync!$L1825,FIND("/",Sync!$L1825)-1))),4)&amp;"/"&amp;RIGHT("00"&amp;VALUE(TRIM(LEFT(MID(Sync!$L1825,FIND("/",Sync!$L1825)+1,20),FIND("/",MID(Sync!$L1825,FIND("/",Sync!$L1825)+1,20))-1))),2)&amp;"/"&amp;RIGHT("00"&amp;VALUE(TRIM(MID(MID(Sync!$L1825,FIND("/",Sync!$L1825)+1,20),FIND("/",MID(Sync!$L1825,FIND("/",Sync!$L1825)+1,20))+1,20))),2),"")))</f>
        <v/>
      </c>
    </row>
    <row r="1826">
      <c r="M1826">
        <f>IF(Sync!$M1826&lt;&gt;"پاس چک","",IF(Sync!$P1826="","",Sync!$P1826))</f>
        <v/>
      </c>
      <c r="N1826">
        <f>IF($M1826="","",IF(ISNUMBER(Sync!$L1826),IF(AND(Sync!$L1826&gt;=10000101,Sync!$L1826&lt;=99991231),RIGHT("0000"&amp;INT(Sync!$L1826/10000),4)&amp;"/"&amp;RIGHT("00"&amp;INT(MOD(Sync!$L1826,10000)/100),2)&amp;"/"&amp;RIGHT("00"&amp;MOD(Sync!$L1826,100),2),""),IFERROR(RIGHT("0000"&amp;VALUE(TRIM(LEFT(Sync!$L1826,FIND("/",Sync!$L1826)-1))),4)&amp;"/"&amp;RIGHT("00"&amp;VALUE(TRIM(LEFT(MID(Sync!$L1826,FIND("/",Sync!$L1826)+1,20),FIND("/",MID(Sync!$L1826,FIND("/",Sync!$L1826)+1,20))-1))),2)&amp;"/"&amp;RIGHT("00"&amp;VALUE(TRIM(MID(MID(Sync!$L1826,FIND("/",Sync!$L1826)+1,20),FIND("/",MID(Sync!$L1826,FIND("/",Sync!$L1826)+1,20))+1,20))),2),"")))</f>
        <v/>
      </c>
    </row>
    <row r="1827">
      <c r="M1827">
        <f>IF(Sync!$M1827&lt;&gt;"پاس چک","",IF(Sync!$P1827="","",Sync!$P1827))</f>
        <v/>
      </c>
      <c r="N1827">
        <f>IF($M1827="","",IF(ISNUMBER(Sync!$L1827),IF(AND(Sync!$L1827&gt;=10000101,Sync!$L1827&lt;=99991231),RIGHT("0000"&amp;INT(Sync!$L1827/10000),4)&amp;"/"&amp;RIGHT("00"&amp;INT(MOD(Sync!$L1827,10000)/100),2)&amp;"/"&amp;RIGHT("00"&amp;MOD(Sync!$L1827,100),2),""),IFERROR(RIGHT("0000"&amp;VALUE(TRIM(LEFT(Sync!$L1827,FIND("/",Sync!$L1827)-1))),4)&amp;"/"&amp;RIGHT("00"&amp;VALUE(TRIM(LEFT(MID(Sync!$L1827,FIND("/",Sync!$L1827)+1,20),FIND("/",MID(Sync!$L1827,FIND("/",Sync!$L1827)+1,20))-1))),2)&amp;"/"&amp;RIGHT("00"&amp;VALUE(TRIM(MID(MID(Sync!$L1827,FIND("/",Sync!$L1827)+1,20),FIND("/",MID(Sync!$L1827,FIND("/",Sync!$L1827)+1,20))+1,20))),2),"")))</f>
        <v/>
      </c>
    </row>
    <row r="1828">
      <c r="M1828">
        <f>IF(Sync!$M1828&lt;&gt;"پاس چک","",IF(Sync!$P1828="","",Sync!$P1828))</f>
        <v/>
      </c>
      <c r="N1828">
        <f>IF($M1828="","",IF(ISNUMBER(Sync!$L1828),IF(AND(Sync!$L1828&gt;=10000101,Sync!$L1828&lt;=99991231),RIGHT("0000"&amp;INT(Sync!$L1828/10000),4)&amp;"/"&amp;RIGHT("00"&amp;INT(MOD(Sync!$L1828,10000)/100),2)&amp;"/"&amp;RIGHT("00"&amp;MOD(Sync!$L1828,100),2),""),IFERROR(RIGHT("0000"&amp;VALUE(TRIM(LEFT(Sync!$L1828,FIND("/",Sync!$L1828)-1))),4)&amp;"/"&amp;RIGHT("00"&amp;VALUE(TRIM(LEFT(MID(Sync!$L1828,FIND("/",Sync!$L1828)+1,20),FIND("/",MID(Sync!$L1828,FIND("/",Sync!$L1828)+1,20))-1))),2)&amp;"/"&amp;RIGHT("00"&amp;VALUE(TRIM(MID(MID(Sync!$L1828,FIND("/",Sync!$L1828)+1,20),FIND("/",MID(Sync!$L1828,FIND("/",Sync!$L1828)+1,20))+1,20))),2),"")))</f>
        <v/>
      </c>
    </row>
    <row r="1829">
      <c r="M1829">
        <f>IF(Sync!$M1829&lt;&gt;"پاس چک","",IF(Sync!$P1829="","",Sync!$P1829))</f>
        <v/>
      </c>
      <c r="N1829">
        <f>IF($M1829="","",IF(ISNUMBER(Sync!$L1829),IF(AND(Sync!$L1829&gt;=10000101,Sync!$L1829&lt;=99991231),RIGHT("0000"&amp;INT(Sync!$L1829/10000),4)&amp;"/"&amp;RIGHT("00"&amp;INT(MOD(Sync!$L1829,10000)/100),2)&amp;"/"&amp;RIGHT("00"&amp;MOD(Sync!$L1829,100),2),""),IFERROR(RIGHT("0000"&amp;VALUE(TRIM(LEFT(Sync!$L1829,FIND("/",Sync!$L1829)-1))),4)&amp;"/"&amp;RIGHT("00"&amp;VALUE(TRIM(LEFT(MID(Sync!$L1829,FIND("/",Sync!$L1829)+1,20),FIND("/",MID(Sync!$L1829,FIND("/",Sync!$L1829)+1,20))-1))),2)&amp;"/"&amp;RIGHT("00"&amp;VALUE(TRIM(MID(MID(Sync!$L1829,FIND("/",Sync!$L1829)+1,20),FIND("/",MID(Sync!$L1829,FIND("/",Sync!$L1829)+1,20))+1,20))),2),"")))</f>
        <v/>
      </c>
    </row>
    <row r="1830">
      <c r="M1830">
        <f>IF(Sync!$M1830&lt;&gt;"پاس چک","",IF(Sync!$P1830="","",Sync!$P1830))</f>
        <v/>
      </c>
      <c r="N1830">
        <f>IF($M1830="","",IF(ISNUMBER(Sync!$L1830),IF(AND(Sync!$L1830&gt;=10000101,Sync!$L1830&lt;=99991231),RIGHT("0000"&amp;INT(Sync!$L1830/10000),4)&amp;"/"&amp;RIGHT("00"&amp;INT(MOD(Sync!$L1830,10000)/100),2)&amp;"/"&amp;RIGHT("00"&amp;MOD(Sync!$L1830,100),2),""),IFERROR(RIGHT("0000"&amp;VALUE(TRIM(LEFT(Sync!$L1830,FIND("/",Sync!$L1830)-1))),4)&amp;"/"&amp;RIGHT("00"&amp;VALUE(TRIM(LEFT(MID(Sync!$L1830,FIND("/",Sync!$L1830)+1,20),FIND("/",MID(Sync!$L1830,FIND("/",Sync!$L1830)+1,20))-1))),2)&amp;"/"&amp;RIGHT("00"&amp;VALUE(TRIM(MID(MID(Sync!$L1830,FIND("/",Sync!$L1830)+1,20),FIND("/",MID(Sync!$L1830,FIND("/",Sync!$L1830)+1,20))+1,20))),2),"")))</f>
        <v/>
      </c>
    </row>
    <row r="1831">
      <c r="M1831">
        <f>IF(Sync!$M1831&lt;&gt;"پاس چک","",IF(Sync!$P1831="","",Sync!$P1831))</f>
        <v/>
      </c>
      <c r="N1831">
        <f>IF($M1831="","",IF(ISNUMBER(Sync!$L1831),IF(AND(Sync!$L1831&gt;=10000101,Sync!$L1831&lt;=99991231),RIGHT("0000"&amp;INT(Sync!$L1831/10000),4)&amp;"/"&amp;RIGHT("00"&amp;INT(MOD(Sync!$L1831,10000)/100),2)&amp;"/"&amp;RIGHT("00"&amp;MOD(Sync!$L1831,100),2),""),IFERROR(RIGHT("0000"&amp;VALUE(TRIM(LEFT(Sync!$L1831,FIND("/",Sync!$L1831)-1))),4)&amp;"/"&amp;RIGHT("00"&amp;VALUE(TRIM(LEFT(MID(Sync!$L1831,FIND("/",Sync!$L1831)+1,20),FIND("/",MID(Sync!$L1831,FIND("/",Sync!$L1831)+1,20))-1))),2)&amp;"/"&amp;RIGHT("00"&amp;VALUE(TRIM(MID(MID(Sync!$L1831,FIND("/",Sync!$L1831)+1,20),FIND("/",MID(Sync!$L1831,FIND("/",Sync!$L1831)+1,20))+1,20))),2),"")))</f>
        <v/>
      </c>
    </row>
    <row r="1832">
      <c r="M1832">
        <f>IF(Sync!$M1832&lt;&gt;"پاس چک","",IF(Sync!$P1832="","",Sync!$P1832))</f>
        <v/>
      </c>
      <c r="N1832">
        <f>IF($M1832="","",IF(ISNUMBER(Sync!$L1832),IF(AND(Sync!$L1832&gt;=10000101,Sync!$L1832&lt;=99991231),RIGHT("0000"&amp;INT(Sync!$L1832/10000),4)&amp;"/"&amp;RIGHT("00"&amp;INT(MOD(Sync!$L1832,10000)/100),2)&amp;"/"&amp;RIGHT("00"&amp;MOD(Sync!$L1832,100),2),""),IFERROR(RIGHT("0000"&amp;VALUE(TRIM(LEFT(Sync!$L1832,FIND("/",Sync!$L1832)-1))),4)&amp;"/"&amp;RIGHT("00"&amp;VALUE(TRIM(LEFT(MID(Sync!$L1832,FIND("/",Sync!$L1832)+1,20),FIND("/",MID(Sync!$L1832,FIND("/",Sync!$L1832)+1,20))-1))),2)&amp;"/"&amp;RIGHT("00"&amp;VALUE(TRIM(MID(MID(Sync!$L1832,FIND("/",Sync!$L1832)+1,20),FIND("/",MID(Sync!$L1832,FIND("/",Sync!$L1832)+1,20))+1,20))),2),"")))</f>
        <v/>
      </c>
    </row>
    <row r="1833">
      <c r="M1833">
        <f>IF(Sync!$M1833&lt;&gt;"پاس چک","",IF(Sync!$P1833="","",Sync!$P1833))</f>
        <v/>
      </c>
      <c r="N1833">
        <f>IF($M1833="","",IF(ISNUMBER(Sync!$L1833),IF(AND(Sync!$L1833&gt;=10000101,Sync!$L1833&lt;=99991231),RIGHT("0000"&amp;INT(Sync!$L1833/10000),4)&amp;"/"&amp;RIGHT("00"&amp;INT(MOD(Sync!$L1833,10000)/100),2)&amp;"/"&amp;RIGHT("00"&amp;MOD(Sync!$L1833,100),2),""),IFERROR(RIGHT("0000"&amp;VALUE(TRIM(LEFT(Sync!$L1833,FIND("/",Sync!$L1833)-1))),4)&amp;"/"&amp;RIGHT("00"&amp;VALUE(TRIM(LEFT(MID(Sync!$L1833,FIND("/",Sync!$L1833)+1,20),FIND("/",MID(Sync!$L1833,FIND("/",Sync!$L1833)+1,20))-1))),2)&amp;"/"&amp;RIGHT("00"&amp;VALUE(TRIM(MID(MID(Sync!$L1833,FIND("/",Sync!$L1833)+1,20),FIND("/",MID(Sync!$L1833,FIND("/",Sync!$L1833)+1,20))+1,20))),2),"")))</f>
        <v/>
      </c>
    </row>
    <row r="1834">
      <c r="M1834">
        <f>IF(Sync!$M1834&lt;&gt;"پاس چک","",IF(Sync!$P1834="","",Sync!$P1834))</f>
        <v/>
      </c>
      <c r="N1834">
        <f>IF($M1834="","",IF(ISNUMBER(Sync!$L1834),IF(AND(Sync!$L1834&gt;=10000101,Sync!$L1834&lt;=99991231),RIGHT("0000"&amp;INT(Sync!$L1834/10000),4)&amp;"/"&amp;RIGHT("00"&amp;INT(MOD(Sync!$L1834,10000)/100),2)&amp;"/"&amp;RIGHT("00"&amp;MOD(Sync!$L1834,100),2),""),IFERROR(RIGHT("0000"&amp;VALUE(TRIM(LEFT(Sync!$L1834,FIND("/",Sync!$L1834)-1))),4)&amp;"/"&amp;RIGHT("00"&amp;VALUE(TRIM(LEFT(MID(Sync!$L1834,FIND("/",Sync!$L1834)+1,20),FIND("/",MID(Sync!$L1834,FIND("/",Sync!$L1834)+1,20))-1))),2)&amp;"/"&amp;RIGHT("00"&amp;VALUE(TRIM(MID(MID(Sync!$L1834,FIND("/",Sync!$L1834)+1,20),FIND("/",MID(Sync!$L1834,FIND("/",Sync!$L1834)+1,20))+1,20))),2),"")))</f>
        <v/>
      </c>
    </row>
    <row r="1835">
      <c r="M1835">
        <f>IF(Sync!$M1835&lt;&gt;"پاس چک","",IF(Sync!$P1835="","",Sync!$P1835))</f>
        <v/>
      </c>
      <c r="N1835">
        <f>IF($M1835="","",IF(ISNUMBER(Sync!$L1835),IF(AND(Sync!$L1835&gt;=10000101,Sync!$L1835&lt;=99991231),RIGHT("0000"&amp;INT(Sync!$L1835/10000),4)&amp;"/"&amp;RIGHT("00"&amp;INT(MOD(Sync!$L1835,10000)/100),2)&amp;"/"&amp;RIGHT("00"&amp;MOD(Sync!$L1835,100),2),""),IFERROR(RIGHT("0000"&amp;VALUE(TRIM(LEFT(Sync!$L1835,FIND("/",Sync!$L1835)-1))),4)&amp;"/"&amp;RIGHT("00"&amp;VALUE(TRIM(LEFT(MID(Sync!$L1835,FIND("/",Sync!$L1835)+1,20),FIND("/",MID(Sync!$L1835,FIND("/",Sync!$L1835)+1,20))-1))),2)&amp;"/"&amp;RIGHT("00"&amp;VALUE(TRIM(MID(MID(Sync!$L1835,FIND("/",Sync!$L1835)+1,20),FIND("/",MID(Sync!$L1835,FIND("/",Sync!$L1835)+1,20))+1,20))),2),"")))</f>
        <v/>
      </c>
    </row>
    <row r="1836">
      <c r="M1836">
        <f>IF(Sync!$M1836&lt;&gt;"پاس چک","",IF(Sync!$P1836="","",Sync!$P1836))</f>
        <v/>
      </c>
      <c r="N1836">
        <f>IF($M1836="","",IF(ISNUMBER(Sync!$L1836),IF(AND(Sync!$L1836&gt;=10000101,Sync!$L1836&lt;=99991231),RIGHT("0000"&amp;INT(Sync!$L1836/10000),4)&amp;"/"&amp;RIGHT("00"&amp;INT(MOD(Sync!$L1836,10000)/100),2)&amp;"/"&amp;RIGHT("00"&amp;MOD(Sync!$L1836,100),2),""),IFERROR(RIGHT("0000"&amp;VALUE(TRIM(LEFT(Sync!$L1836,FIND("/",Sync!$L1836)-1))),4)&amp;"/"&amp;RIGHT("00"&amp;VALUE(TRIM(LEFT(MID(Sync!$L1836,FIND("/",Sync!$L1836)+1,20),FIND("/",MID(Sync!$L1836,FIND("/",Sync!$L1836)+1,20))-1))),2)&amp;"/"&amp;RIGHT("00"&amp;VALUE(TRIM(MID(MID(Sync!$L1836,FIND("/",Sync!$L1836)+1,20),FIND("/",MID(Sync!$L1836,FIND("/",Sync!$L1836)+1,20))+1,20))),2),"")))</f>
        <v/>
      </c>
    </row>
    <row r="1837">
      <c r="M1837">
        <f>IF(Sync!$M1837&lt;&gt;"پاس چک","",IF(Sync!$P1837="","",Sync!$P1837))</f>
        <v/>
      </c>
      <c r="N1837">
        <f>IF($M1837="","",IF(ISNUMBER(Sync!$L1837),IF(AND(Sync!$L1837&gt;=10000101,Sync!$L1837&lt;=99991231),RIGHT("0000"&amp;INT(Sync!$L1837/10000),4)&amp;"/"&amp;RIGHT("00"&amp;INT(MOD(Sync!$L1837,10000)/100),2)&amp;"/"&amp;RIGHT("00"&amp;MOD(Sync!$L1837,100),2),""),IFERROR(RIGHT("0000"&amp;VALUE(TRIM(LEFT(Sync!$L1837,FIND("/",Sync!$L1837)-1))),4)&amp;"/"&amp;RIGHT("00"&amp;VALUE(TRIM(LEFT(MID(Sync!$L1837,FIND("/",Sync!$L1837)+1,20),FIND("/",MID(Sync!$L1837,FIND("/",Sync!$L1837)+1,20))-1))),2)&amp;"/"&amp;RIGHT("00"&amp;VALUE(TRIM(MID(MID(Sync!$L1837,FIND("/",Sync!$L1837)+1,20),FIND("/",MID(Sync!$L1837,FIND("/",Sync!$L1837)+1,20))+1,20))),2),"")))</f>
        <v/>
      </c>
    </row>
    <row r="1838">
      <c r="M1838">
        <f>IF(Sync!$M1838&lt;&gt;"پاس چک","",IF(Sync!$P1838="","",Sync!$P1838))</f>
        <v/>
      </c>
      <c r="N1838">
        <f>IF($M1838="","",IF(ISNUMBER(Sync!$L1838),IF(AND(Sync!$L1838&gt;=10000101,Sync!$L1838&lt;=99991231),RIGHT("0000"&amp;INT(Sync!$L1838/10000),4)&amp;"/"&amp;RIGHT("00"&amp;INT(MOD(Sync!$L1838,10000)/100),2)&amp;"/"&amp;RIGHT("00"&amp;MOD(Sync!$L1838,100),2),""),IFERROR(RIGHT("0000"&amp;VALUE(TRIM(LEFT(Sync!$L1838,FIND("/",Sync!$L1838)-1))),4)&amp;"/"&amp;RIGHT("00"&amp;VALUE(TRIM(LEFT(MID(Sync!$L1838,FIND("/",Sync!$L1838)+1,20),FIND("/",MID(Sync!$L1838,FIND("/",Sync!$L1838)+1,20))-1))),2)&amp;"/"&amp;RIGHT("00"&amp;VALUE(TRIM(MID(MID(Sync!$L1838,FIND("/",Sync!$L1838)+1,20),FIND("/",MID(Sync!$L1838,FIND("/",Sync!$L1838)+1,20))+1,20))),2),"")))</f>
        <v/>
      </c>
    </row>
    <row r="1839">
      <c r="M1839">
        <f>IF(Sync!$M1839&lt;&gt;"پاس چک","",IF(Sync!$P1839="","",Sync!$P1839))</f>
        <v/>
      </c>
      <c r="N1839">
        <f>IF($M1839="","",IF(ISNUMBER(Sync!$L1839),IF(AND(Sync!$L1839&gt;=10000101,Sync!$L1839&lt;=99991231),RIGHT("0000"&amp;INT(Sync!$L1839/10000),4)&amp;"/"&amp;RIGHT("00"&amp;INT(MOD(Sync!$L1839,10000)/100),2)&amp;"/"&amp;RIGHT("00"&amp;MOD(Sync!$L1839,100),2),""),IFERROR(RIGHT("0000"&amp;VALUE(TRIM(LEFT(Sync!$L1839,FIND("/",Sync!$L1839)-1))),4)&amp;"/"&amp;RIGHT("00"&amp;VALUE(TRIM(LEFT(MID(Sync!$L1839,FIND("/",Sync!$L1839)+1,20),FIND("/",MID(Sync!$L1839,FIND("/",Sync!$L1839)+1,20))-1))),2)&amp;"/"&amp;RIGHT("00"&amp;VALUE(TRIM(MID(MID(Sync!$L1839,FIND("/",Sync!$L1839)+1,20),FIND("/",MID(Sync!$L1839,FIND("/",Sync!$L1839)+1,20))+1,20))),2),"")))</f>
        <v/>
      </c>
    </row>
    <row r="1840">
      <c r="M1840">
        <f>IF(Sync!$M1840&lt;&gt;"پاس چک","",IF(Sync!$P1840="","",Sync!$P1840))</f>
        <v/>
      </c>
      <c r="N1840">
        <f>IF($M1840="","",IF(ISNUMBER(Sync!$L1840),IF(AND(Sync!$L1840&gt;=10000101,Sync!$L1840&lt;=99991231),RIGHT("0000"&amp;INT(Sync!$L1840/10000),4)&amp;"/"&amp;RIGHT("00"&amp;INT(MOD(Sync!$L1840,10000)/100),2)&amp;"/"&amp;RIGHT("00"&amp;MOD(Sync!$L1840,100),2),""),IFERROR(RIGHT("0000"&amp;VALUE(TRIM(LEFT(Sync!$L1840,FIND("/",Sync!$L1840)-1))),4)&amp;"/"&amp;RIGHT("00"&amp;VALUE(TRIM(LEFT(MID(Sync!$L1840,FIND("/",Sync!$L1840)+1,20),FIND("/",MID(Sync!$L1840,FIND("/",Sync!$L1840)+1,20))-1))),2)&amp;"/"&amp;RIGHT("00"&amp;VALUE(TRIM(MID(MID(Sync!$L1840,FIND("/",Sync!$L1840)+1,20),FIND("/",MID(Sync!$L1840,FIND("/",Sync!$L1840)+1,20))+1,20))),2),"")))</f>
        <v/>
      </c>
    </row>
    <row r="1841">
      <c r="M1841">
        <f>IF(Sync!$M1841&lt;&gt;"پاس چک","",IF(Sync!$P1841="","",Sync!$P1841))</f>
        <v/>
      </c>
      <c r="N1841">
        <f>IF($M1841="","",IF(ISNUMBER(Sync!$L1841),IF(AND(Sync!$L1841&gt;=10000101,Sync!$L1841&lt;=99991231),RIGHT("0000"&amp;INT(Sync!$L1841/10000),4)&amp;"/"&amp;RIGHT("00"&amp;INT(MOD(Sync!$L1841,10000)/100),2)&amp;"/"&amp;RIGHT("00"&amp;MOD(Sync!$L1841,100),2),""),IFERROR(RIGHT("0000"&amp;VALUE(TRIM(LEFT(Sync!$L1841,FIND("/",Sync!$L1841)-1))),4)&amp;"/"&amp;RIGHT("00"&amp;VALUE(TRIM(LEFT(MID(Sync!$L1841,FIND("/",Sync!$L1841)+1,20),FIND("/",MID(Sync!$L1841,FIND("/",Sync!$L1841)+1,20))-1))),2)&amp;"/"&amp;RIGHT("00"&amp;VALUE(TRIM(MID(MID(Sync!$L1841,FIND("/",Sync!$L1841)+1,20),FIND("/",MID(Sync!$L1841,FIND("/",Sync!$L1841)+1,20))+1,20))),2),"")))</f>
        <v/>
      </c>
    </row>
    <row r="1842">
      <c r="M1842">
        <f>IF(Sync!$M1842&lt;&gt;"پاس چک","",IF(Sync!$P1842="","",Sync!$P1842))</f>
        <v/>
      </c>
      <c r="N1842">
        <f>IF($M1842="","",IF(ISNUMBER(Sync!$L1842),IF(AND(Sync!$L1842&gt;=10000101,Sync!$L1842&lt;=99991231),RIGHT("0000"&amp;INT(Sync!$L1842/10000),4)&amp;"/"&amp;RIGHT("00"&amp;INT(MOD(Sync!$L1842,10000)/100),2)&amp;"/"&amp;RIGHT("00"&amp;MOD(Sync!$L1842,100),2),""),IFERROR(RIGHT("0000"&amp;VALUE(TRIM(LEFT(Sync!$L1842,FIND("/",Sync!$L1842)-1))),4)&amp;"/"&amp;RIGHT("00"&amp;VALUE(TRIM(LEFT(MID(Sync!$L1842,FIND("/",Sync!$L1842)+1,20),FIND("/",MID(Sync!$L1842,FIND("/",Sync!$L1842)+1,20))-1))),2)&amp;"/"&amp;RIGHT("00"&amp;VALUE(TRIM(MID(MID(Sync!$L1842,FIND("/",Sync!$L1842)+1,20),FIND("/",MID(Sync!$L1842,FIND("/",Sync!$L1842)+1,20))+1,20))),2),"")))</f>
        <v/>
      </c>
    </row>
    <row r="1843">
      <c r="M1843">
        <f>IF(Sync!$M1843&lt;&gt;"پاس چک","",IF(Sync!$P1843="","",Sync!$P1843))</f>
        <v/>
      </c>
      <c r="N1843">
        <f>IF($M1843="","",IF(ISNUMBER(Sync!$L1843),IF(AND(Sync!$L1843&gt;=10000101,Sync!$L1843&lt;=99991231),RIGHT("0000"&amp;INT(Sync!$L1843/10000),4)&amp;"/"&amp;RIGHT("00"&amp;INT(MOD(Sync!$L1843,10000)/100),2)&amp;"/"&amp;RIGHT("00"&amp;MOD(Sync!$L1843,100),2),""),IFERROR(RIGHT("0000"&amp;VALUE(TRIM(LEFT(Sync!$L1843,FIND("/",Sync!$L1843)-1))),4)&amp;"/"&amp;RIGHT("00"&amp;VALUE(TRIM(LEFT(MID(Sync!$L1843,FIND("/",Sync!$L1843)+1,20),FIND("/",MID(Sync!$L1843,FIND("/",Sync!$L1843)+1,20))-1))),2)&amp;"/"&amp;RIGHT("00"&amp;VALUE(TRIM(MID(MID(Sync!$L1843,FIND("/",Sync!$L1843)+1,20),FIND("/",MID(Sync!$L1843,FIND("/",Sync!$L1843)+1,20))+1,20))),2),"")))</f>
        <v/>
      </c>
    </row>
    <row r="1844">
      <c r="M1844">
        <f>IF(Sync!$M1844&lt;&gt;"پاس چک","",IF(Sync!$P1844="","",Sync!$P1844))</f>
        <v/>
      </c>
      <c r="N1844">
        <f>IF($M1844="","",IF(ISNUMBER(Sync!$L1844),IF(AND(Sync!$L1844&gt;=10000101,Sync!$L1844&lt;=99991231),RIGHT("0000"&amp;INT(Sync!$L1844/10000),4)&amp;"/"&amp;RIGHT("00"&amp;INT(MOD(Sync!$L1844,10000)/100),2)&amp;"/"&amp;RIGHT("00"&amp;MOD(Sync!$L1844,100),2),""),IFERROR(RIGHT("0000"&amp;VALUE(TRIM(LEFT(Sync!$L1844,FIND("/",Sync!$L1844)-1))),4)&amp;"/"&amp;RIGHT("00"&amp;VALUE(TRIM(LEFT(MID(Sync!$L1844,FIND("/",Sync!$L1844)+1,20),FIND("/",MID(Sync!$L1844,FIND("/",Sync!$L1844)+1,20))-1))),2)&amp;"/"&amp;RIGHT("00"&amp;VALUE(TRIM(MID(MID(Sync!$L1844,FIND("/",Sync!$L1844)+1,20),FIND("/",MID(Sync!$L1844,FIND("/",Sync!$L1844)+1,20))+1,20))),2),"")))</f>
        <v/>
      </c>
    </row>
    <row r="1845">
      <c r="M1845">
        <f>IF(Sync!$M1845&lt;&gt;"پاس چک","",IF(Sync!$P1845="","",Sync!$P1845))</f>
        <v/>
      </c>
      <c r="N1845">
        <f>IF($M1845="","",IF(ISNUMBER(Sync!$L1845),IF(AND(Sync!$L1845&gt;=10000101,Sync!$L1845&lt;=99991231),RIGHT("0000"&amp;INT(Sync!$L1845/10000),4)&amp;"/"&amp;RIGHT("00"&amp;INT(MOD(Sync!$L1845,10000)/100),2)&amp;"/"&amp;RIGHT("00"&amp;MOD(Sync!$L1845,100),2),""),IFERROR(RIGHT("0000"&amp;VALUE(TRIM(LEFT(Sync!$L1845,FIND("/",Sync!$L1845)-1))),4)&amp;"/"&amp;RIGHT("00"&amp;VALUE(TRIM(LEFT(MID(Sync!$L1845,FIND("/",Sync!$L1845)+1,20),FIND("/",MID(Sync!$L1845,FIND("/",Sync!$L1845)+1,20))-1))),2)&amp;"/"&amp;RIGHT("00"&amp;VALUE(TRIM(MID(MID(Sync!$L1845,FIND("/",Sync!$L1845)+1,20),FIND("/",MID(Sync!$L1845,FIND("/",Sync!$L1845)+1,20))+1,20))),2),"")))</f>
        <v/>
      </c>
    </row>
    <row r="1846">
      <c r="M1846">
        <f>IF(Sync!$M1846&lt;&gt;"پاس چک","",IF(Sync!$P1846="","",Sync!$P1846))</f>
        <v/>
      </c>
      <c r="N1846">
        <f>IF($M1846="","",IF(ISNUMBER(Sync!$L1846),IF(AND(Sync!$L1846&gt;=10000101,Sync!$L1846&lt;=99991231),RIGHT("0000"&amp;INT(Sync!$L1846/10000),4)&amp;"/"&amp;RIGHT("00"&amp;INT(MOD(Sync!$L1846,10000)/100),2)&amp;"/"&amp;RIGHT("00"&amp;MOD(Sync!$L1846,100),2),""),IFERROR(RIGHT("0000"&amp;VALUE(TRIM(LEFT(Sync!$L1846,FIND("/",Sync!$L1846)-1))),4)&amp;"/"&amp;RIGHT("00"&amp;VALUE(TRIM(LEFT(MID(Sync!$L1846,FIND("/",Sync!$L1846)+1,20),FIND("/",MID(Sync!$L1846,FIND("/",Sync!$L1846)+1,20))-1))),2)&amp;"/"&amp;RIGHT("00"&amp;VALUE(TRIM(MID(MID(Sync!$L1846,FIND("/",Sync!$L1846)+1,20),FIND("/",MID(Sync!$L1846,FIND("/",Sync!$L1846)+1,20))+1,20))),2),"")))</f>
        <v/>
      </c>
    </row>
    <row r="1847">
      <c r="M1847">
        <f>IF(Sync!$M1847&lt;&gt;"پاس چک","",IF(Sync!$P1847="","",Sync!$P1847))</f>
        <v/>
      </c>
      <c r="N1847">
        <f>IF($M1847="","",IF(ISNUMBER(Sync!$L1847),IF(AND(Sync!$L1847&gt;=10000101,Sync!$L1847&lt;=99991231),RIGHT("0000"&amp;INT(Sync!$L1847/10000),4)&amp;"/"&amp;RIGHT("00"&amp;INT(MOD(Sync!$L1847,10000)/100),2)&amp;"/"&amp;RIGHT("00"&amp;MOD(Sync!$L1847,100),2),""),IFERROR(RIGHT("0000"&amp;VALUE(TRIM(LEFT(Sync!$L1847,FIND("/",Sync!$L1847)-1))),4)&amp;"/"&amp;RIGHT("00"&amp;VALUE(TRIM(LEFT(MID(Sync!$L1847,FIND("/",Sync!$L1847)+1,20),FIND("/",MID(Sync!$L1847,FIND("/",Sync!$L1847)+1,20))-1))),2)&amp;"/"&amp;RIGHT("00"&amp;VALUE(TRIM(MID(MID(Sync!$L1847,FIND("/",Sync!$L1847)+1,20),FIND("/",MID(Sync!$L1847,FIND("/",Sync!$L1847)+1,20))+1,20))),2),"")))</f>
        <v/>
      </c>
    </row>
    <row r="1848">
      <c r="M1848">
        <f>IF(Sync!$M1848&lt;&gt;"پاس چک","",IF(Sync!$P1848="","",Sync!$P1848))</f>
        <v/>
      </c>
      <c r="N1848">
        <f>IF($M1848="","",IF(ISNUMBER(Sync!$L1848),IF(AND(Sync!$L1848&gt;=10000101,Sync!$L1848&lt;=99991231),RIGHT("0000"&amp;INT(Sync!$L1848/10000),4)&amp;"/"&amp;RIGHT("00"&amp;INT(MOD(Sync!$L1848,10000)/100),2)&amp;"/"&amp;RIGHT("00"&amp;MOD(Sync!$L1848,100),2),""),IFERROR(RIGHT("0000"&amp;VALUE(TRIM(LEFT(Sync!$L1848,FIND("/",Sync!$L1848)-1))),4)&amp;"/"&amp;RIGHT("00"&amp;VALUE(TRIM(LEFT(MID(Sync!$L1848,FIND("/",Sync!$L1848)+1,20),FIND("/",MID(Sync!$L1848,FIND("/",Sync!$L1848)+1,20))-1))),2)&amp;"/"&amp;RIGHT("00"&amp;VALUE(TRIM(MID(MID(Sync!$L1848,FIND("/",Sync!$L1848)+1,20),FIND("/",MID(Sync!$L1848,FIND("/",Sync!$L1848)+1,20))+1,20))),2),"")))</f>
        <v/>
      </c>
    </row>
    <row r="1849">
      <c r="M1849">
        <f>IF(Sync!$M1849&lt;&gt;"پاس چک","",IF(Sync!$P1849="","",Sync!$P1849))</f>
        <v/>
      </c>
      <c r="N1849">
        <f>IF($M1849="","",IF(ISNUMBER(Sync!$L1849),IF(AND(Sync!$L1849&gt;=10000101,Sync!$L1849&lt;=99991231),RIGHT("0000"&amp;INT(Sync!$L1849/10000),4)&amp;"/"&amp;RIGHT("00"&amp;INT(MOD(Sync!$L1849,10000)/100),2)&amp;"/"&amp;RIGHT("00"&amp;MOD(Sync!$L1849,100),2),""),IFERROR(RIGHT("0000"&amp;VALUE(TRIM(LEFT(Sync!$L1849,FIND("/",Sync!$L1849)-1))),4)&amp;"/"&amp;RIGHT("00"&amp;VALUE(TRIM(LEFT(MID(Sync!$L1849,FIND("/",Sync!$L1849)+1,20),FIND("/",MID(Sync!$L1849,FIND("/",Sync!$L1849)+1,20))-1))),2)&amp;"/"&amp;RIGHT("00"&amp;VALUE(TRIM(MID(MID(Sync!$L1849,FIND("/",Sync!$L1849)+1,20),FIND("/",MID(Sync!$L1849,FIND("/",Sync!$L1849)+1,20))+1,20))),2),"")))</f>
        <v/>
      </c>
    </row>
    <row r="1850">
      <c r="M1850">
        <f>IF(Sync!$M1850&lt;&gt;"پاس چک","",IF(Sync!$P1850="","",Sync!$P1850))</f>
        <v/>
      </c>
      <c r="N1850">
        <f>IF($M1850="","",IF(ISNUMBER(Sync!$L1850),IF(AND(Sync!$L1850&gt;=10000101,Sync!$L1850&lt;=99991231),RIGHT("0000"&amp;INT(Sync!$L1850/10000),4)&amp;"/"&amp;RIGHT("00"&amp;INT(MOD(Sync!$L1850,10000)/100),2)&amp;"/"&amp;RIGHT("00"&amp;MOD(Sync!$L1850,100),2),""),IFERROR(RIGHT("0000"&amp;VALUE(TRIM(LEFT(Sync!$L1850,FIND("/",Sync!$L1850)-1))),4)&amp;"/"&amp;RIGHT("00"&amp;VALUE(TRIM(LEFT(MID(Sync!$L1850,FIND("/",Sync!$L1850)+1,20),FIND("/",MID(Sync!$L1850,FIND("/",Sync!$L1850)+1,20))-1))),2)&amp;"/"&amp;RIGHT("00"&amp;VALUE(TRIM(MID(MID(Sync!$L1850,FIND("/",Sync!$L1850)+1,20),FIND("/",MID(Sync!$L1850,FIND("/",Sync!$L1850)+1,20))+1,20))),2),"")))</f>
        <v/>
      </c>
    </row>
    <row r="1851">
      <c r="M1851">
        <f>IF(Sync!$M1851&lt;&gt;"پاس چک","",IF(Sync!$P1851="","",Sync!$P1851))</f>
        <v/>
      </c>
      <c r="N1851">
        <f>IF($M1851="","",IF(ISNUMBER(Sync!$L1851),IF(AND(Sync!$L1851&gt;=10000101,Sync!$L1851&lt;=99991231),RIGHT("0000"&amp;INT(Sync!$L1851/10000),4)&amp;"/"&amp;RIGHT("00"&amp;INT(MOD(Sync!$L1851,10000)/100),2)&amp;"/"&amp;RIGHT("00"&amp;MOD(Sync!$L1851,100),2),""),IFERROR(RIGHT("0000"&amp;VALUE(TRIM(LEFT(Sync!$L1851,FIND("/",Sync!$L1851)-1))),4)&amp;"/"&amp;RIGHT("00"&amp;VALUE(TRIM(LEFT(MID(Sync!$L1851,FIND("/",Sync!$L1851)+1,20),FIND("/",MID(Sync!$L1851,FIND("/",Sync!$L1851)+1,20))-1))),2)&amp;"/"&amp;RIGHT("00"&amp;VALUE(TRIM(MID(MID(Sync!$L1851,FIND("/",Sync!$L1851)+1,20),FIND("/",MID(Sync!$L1851,FIND("/",Sync!$L1851)+1,20))+1,20))),2),"")))</f>
        <v/>
      </c>
    </row>
    <row r="1852">
      <c r="M1852">
        <f>IF(Sync!$M1852&lt;&gt;"پاس چک","",IF(Sync!$P1852="","",Sync!$P1852))</f>
        <v/>
      </c>
      <c r="N1852">
        <f>IF($M1852="","",IF(ISNUMBER(Sync!$L1852),IF(AND(Sync!$L1852&gt;=10000101,Sync!$L1852&lt;=99991231),RIGHT("0000"&amp;INT(Sync!$L1852/10000),4)&amp;"/"&amp;RIGHT("00"&amp;INT(MOD(Sync!$L1852,10000)/100),2)&amp;"/"&amp;RIGHT("00"&amp;MOD(Sync!$L1852,100),2),""),IFERROR(RIGHT("0000"&amp;VALUE(TRIM(LEFT(Sync!$L1852,FIND("/",Sync!$L1852)-1))),4)&amp;"/"&amp;RIGHT("00"&amp;VALUE(TRIM(LEFT(MID(Sync!$L1852,FIND("/",Sync!$L1852)+1,20),FIND("/",MID(Sync!$L1852,FIND("/",Sync!$L1852)+1,20))-1))),2)&amp;"/"&amp;RIGHT("00"&amp;VALUE(TRIM(MID(MID(Sync!$L1852,FIND("/",Sync!$L1852)+1,20),FIND("/",MID(Sync!$L1852,FIND("/",Sync!$L1852)+1,20))+1,20))),2),"")))</f>
        <v/>
      </c>
    </row>
    <row r="1853">
      <c r="M1853">
        <f>IF(Sync!$M1853&lt;&gt;"پاس چک","",IF(Sync!$P1853="","",Sync!$P1853))</f>
        <v/>
      </c>
      <c r="N1853">
        <f>IF($M1853="","",IF(ISNUMBER(Sync!$L1853),IF(AND(Sync!$L1853&gt;=10000101,Sync!$L1853&lt;=99991231),RIGHT("0000"&amp;INT(Sync!$L1853/10000),4)&amp;"/"&amp;RIGHT("00"&amp;INT(MOD(Sync!$L1853,10000)/100),2)&amp;"/"&amp;RIGHT("00"&amp;MOD(Sync!$L1853,100),2),""),IFERROR(RIGHT("0000"&amp;VALUE(TRIM(LEFT(Sync!$L1853,FIND("/",Sync!$L1853)-1))),4)&amp;"/"&amp;RIGHT("00"&amp;VALUE(TRIM(LEFT(MID(Sync!$L1853,FIND("/",Sync!$L1853)+1,20),FIND("/",MID(Sync!$L1853,FIND("/",Sync!$L1853)+1,20))-1))),2)&amp;"/"&amp;RIGHT("00"&amp;VALUE(TRIM(MID(MID(Sync!$L1853,FIND("/",Sync!$L1853)+1,20),FIND("/",MID(Sync!$L1853,FIND("/",Sync!$L1853)+1,20))+1,20))),2),"")))</f>
        <v/>
      </c>
    </row>
    <row r="1854">
      <c r="M1854">
        <f>IF(Sync!$M1854&lt;&gt;"پاس چک","",IF(Sync!$P1854="","",Sync!$P1854))</f>
        <v/>
      </c>
      <c r="N1854">
        <f>IF($M1854="","",IF(ISNUMBER(Sync!$L1854),IF(AND(Sync!$L1854&gt;=10000101,Sync!$L1854&lt;=99991231),RIGHT("0000"&amp;INT(Sync!$L1854/10000),4)&amp;"/"&amp;RIGHT("00"&amp;INT(MOD(Sync!$L1854,10000)/100),2)&amp;"/"&amp;RIGHT("00"&amp;MOD(Sync!$L1854,100),2),""),IFERROR(RIGHT("0000"&amp;VALUE(TRIM(LEFT(Sync!$L1854,FIND("/",Sync!$L1854)-1))),4)&amp;"/"&amp;RIGHT("00"&amp;VALUE(TRIM(LEFT(MID(Sync!$L1854,FIND("/",Sync!$L1854)+1,20),FIND("/",MID(Sync!$L1854,FIND("/",Sync!$L1854)+1,20))-1))),2)&amp;"/"&amp;RIGHT("00"&amp;VALUE(TRIM(MID(MID(Sync!$L1854,FIND("/",Sync!$L1854)+1,20),FIND("/",MID(Sync!$L1854,FIND("/",Sync!$L1854)+1,20))+1,20))),2),"")))</f>
        <v/>
      </c>
    </row>
    <row r="1855">
      <c r="M1855">
        <f>IF(Sync!$M1855&lt;&gt;"پاس چک","",IF(Sync!$P1855="","",Sync!$P1855))</f>
        <v/>
      </c>
      <c r="N1855">
        <f>IF($M1855="","",IF(ISNUMBER(Sync!$L1855),IF(AND(Sync!$L1855&gt;=10000101,Sync!$L1855&lt;=99991231),RIGHT("0000"&amp;INT(Sync!$L1855/10000),4)&amp;"/"&amp;RIGHT("00"&amp;INT(MOD(Sync!$L1855,10000)/100),2)&amp;"/"&amp;RIGHT("00"&amp;MOD(Sync!$L1855,100),2),""),IFERROR(RIGHT("0000"&amp;VALUE(TRIM(LEFT(Sync!$L1855,FIND("/",Sync!$L1855)-1))),4)&amp;"/"&amp;RIGHT("00"&amp;VALUE(TRIM(LEFT(MID(Sync!$L1855,FIND("/",Sync!$L1855)+1,20),FIND("/",MID(Sync!$L1855,FIND("/",Sync!$L1855)+1,20))-1))),2)&amp;"/"&amp;RIGHT("00"&amp;VALUE(TRIM(MID(MID(Sync!$L1855,FIND("/",Sync!$L1855)+1,20),FIND("/",MID(Sync!$L1855,FIND("/",Sync!$L1855)+1,20))+1,20))),2),"")))</f>
        <v/>
      </c>
    </row>
    <row r="1856">
      <c r="M1856">
        <f>IF(Sync!$M1856&lt;&gt;"پاس چک","",IF(Sync!$P1856="","",Sync!$P1856))</f>
        <v/>
      </c>
      <c r="N1856">
        <f>IF($M1856="","",IF(ISNUMBER(Sync!$L1856),IF(AND(Sync!$L1856&gt;=10000101,Sync!$L1856&lt;=99991231),RIGHT("0000"&amp;INT(Sync!$L1856/10000),4)&amp;"/"&amp;RIGHT("00"&amp;INT(MOD(Sync!$L1856,10000)/100),2)&amp;"/"&amp;RIGHT("00"&amp;MOD(Sync!$L1856,100),2),""),IFERROR(RIGHT("0000"&amp;VALUE(TRIM(LEFT(Sync!$L1856,FIND("/",Sync!$L1856)-1))),4)&amp;"/"&amp;RIGHT("00"&amp;VALUE(TRIM(LEFT(MID(Sync!$L1856,FIND("/",Sync!$L1856)+1,20),FIND("/",MID(Sync!$L1856,FIND("/",Sync!$L1856)+1,20))-1))),2)&amp;"/"&amp;RIGHT("00"&amp;VALUE(TRIM(MID(MID(Sync!$L1856,FIND("/",Sync!$L1856)+1,20),FIND("/",MID(Sync!$L1856,FIND("/",Sync!$L1856)+1,20))+1,20))),2),"")))</f>
        <v/>
      </c>
    </row>
    <row r="1857">
      <c r="M1857">
        <f>IF(Sync!$M1857&lt;&gt;"پاس چک","",IF(Sync!$P1857="","",Sync!$P1857))</f>
        <v/>
      </c>
      <c r="N1857">
        <f>IF($M1857="","",IF(ISNUMBER(Sync!$L1857),IF(AND(Sync!$L1857&gt;=10000101,Sync!$L1857&lt;=99991231),RIGHT("0000"&amp;INT(Sync!$L1857/10000),4)&amp;"/"&amp;RIGHT("00"&amp;INT(MOD(Sync!$L1857,10000)/100),2)&amp;"/"&amp;RIGHT("00"&amp;MOD(Sync!$L1857,100),2),""),IFERROR(RIGHT("0000"&amp;VALUE(TRIM(LEFT(Sync!$L1857,FIND("/",Sync!$L1857)-1))),4)&amp;"/"&amp;RIGHT("00"&amp;VALUE(TRIM(LEFT(MID(Sync!$L1857,FIND("/",Sync!$L1857)+1,20),FIND("/",MID(Sync!$L1857,FIND("/",Sync!$L1857)+1,20))-1))),2)&amp;"/"&amp;RIGHT("00"&amp;VALUE(TRIM(MID(MID(Sync!$L1857,FIND("/",Sync!$L1857)+1,20),FIND("/",MID(Sync!$L1857,FIND("/",Sync!$L1857)+1,20))+1,20))),2),"")))</f>
        <v/>
      </c>
    </row>
    <row r="1858">
      <c r="M1858">
        <f>IF(Sync!$M1858&lt;&gt;"پاس چک","",IF(Sync!$P1858="","",Sync!$P1858))</f>
        <v/>
      </c>
      <c r="N1858">
        <f>IF($M1858="","",IF(ISNUMBER(Sync!$L1858),IF(AND(Sync!$L1858&gt;=10000101,Sync!$L1858&lt;=99991231),RIGHT("0000"&amp;INT(Sync!$L1858/10000),4)&amp;"/"&amp;RIGHT("00"&amp;INT(MOD(Sync!$L1858,10000)/100),2)&amp;"/"&amp;RIGHT("00"&amp;MOD(Sync!$L1858,100),2),""),IFERROR(RIGHT("0000"&amp;VALUE(TRIM(LEFT(Sync!$L1858,FIND("/",Sync!$L1858)-1))),4)&amp;"/"&amp;RIGHT("00"&amp;VALUE(TRIM(LEFT(MID(Sync!$L1858,FIND("/",Sync!$L1858)+1,20),FIND("/",MID(Sync!$L1858,FIND("/",Sync!$L1858)+1,20))-1))),2)&amp;"/"&amp;RIGHT("00"&amp;VALUE(TRIM(MID(MID(Sync!$L1858,FIND("/",Sync!$L1858)+1,20),FIND("/",MID(Sync!$L1858,FIND("/",Sync!$L1858)+1,20))+1,20))),2),"")))</f>
        <v/>
      </c>
    </row>
    <row r="1859">
      <c r="M1859">
        <f>IF(Sync!$M1859&lt;&gt;"پاس چک","",IF(Sync!$P1859="","",Sync!$P1859))</f>
        <v/>
      </c>
      <c r="N1859">
        <f>IF($M1859="","",IF(ISNUMBER(Sync!$L1859),IF(AND(Sync!$L1859&gt;=10000101,Sync!$L1859&lt;=99991231),RIGHT("0000"&amp;INT(Sync!$L1859/10000),4)&amp;"/"&amp;RIGHT("00"&amp;INT(MOD(Sync!$L1859,10000)/100),2)&amp;"/"&amp;RIGHT("00"&amp;MOD(Sync!$L1859,100),2),""),IFERROR(RIGHT("0000"&amp;VALUE(TRIM(LEFT(Sync!$L1859,FIND("/",Sync!$L1859)-1))),4)&amp;"/"&amp;RIGHT("00"&amp;VALUE(TRIM(LEFT(MID(Sync!$L1859,FIND("/",Sync!$L1859)+1,20),FIND("/",MID(Sync!$L1859,FIND("/",Sync!$L1859)+1,20))-1))),2)&amp;"/"&amp;RIGHT("00"&amp;VALUE(TRIM(MID(MID(Sync!$L1859,FIND("/",Sync!$L1859)+1,20),FIND("/",MID(Sync!$L1859,FIND("/",Sync!$L1859)+1,20))+1,20))),2),"")))</f>
        <v/>
      </c>
    </row>
    <row r="1860">
      <c r="M1860">
        <f>IF(Sync!$M1860&lt;&gt;"پاس چک","",IF(Sync!$P1860="","",Sync!$P1860))</f>
        <v/>
      </c>
      <c r="N1860">
        <f>IF($M1860="","",IF(ISNUMBER(Sync!$L1860),IF(AND(Sync!$L1860&gt;=10000101,Sync!$L1860&lt;=99991231),RIGHT("0000"&amp;INT(Sync!$L1860/10000),4)&amp;"/"&amp;RIGHT("00"&amp;INT(MOD(Sync!$L1860,10000)/100),2)&amp;"/"&amp;RIGHT("00"&amp;MOD(Sync!$L1860,100),2),""),IFERROR(RIGHT("0000"&amp;VALUE(TRIM(LEFT(Sync!$L1860,FIND("/",Sync!$L1860)-1))),4)&amp;"/"&amp;RIGHT("00"&amp;VALUE(TRIM(LEFT(MID(Sync!$L1860,FIND("/",Sync!$L1860)+1,20),FIND("/",MID(Sync!$L1860,FIND("/",Sync!$L1860)+1,20))-1))),2)&amp;"/"&amp;RIGHT("00"&amp;VALUE(TRIM(MID(MID(Sync!$L1860,FIND("/",Sync!$L1860)+1,20),FIND("/",MID(Sync!$L1860,FIND("/",Sync!$L1860)+1,20))+1,20))),2),"")))</f>
        <v/>
      </c>
    </row>
    <row r="1861">
      <c r="M1861">
        <f>IF(Sync!$M1861&lt;&gt;"پاس چک","",IF(Sync!$P1861="","",Sync!$P1861))</f>
        <v/>
      </c>
      <c r="N1861">
        <f>IF($M1861="","",IF(ISNUMBER(Sync!$L1861),IF(AND(Sync!$L1861&gt;=10000101,Sync!$L1861&lt;=99991231),RIGHT("0000"&amp;INT(Sync!$L1861/10000),4)&amp;"/"&amp;RIGHT("00"&amp;INT(MOD(Sync!$L1861,10000)/100),2)&amp;"/"&amp;RIGHT("00"&amp;MOD(Sync!$L1861,100),2),""),IFERROR(RIGHT("0000"&amp;VALUE(TRIM(LEFT(Sync!$L1861,FIND("/",Sync!$L1861)-1))),4)&amp;"/"&amp;RIGHT("00"&amp;VALUE(TRIM(LEFT(MID(Sync!$L1861,FIND("/",Sync!$L1861)+1,20),FIND("/",MID(Sync!$L1861,FIND("/",Sync!$L1861)+1,20))-1))),2)&amp;"/"&amp;RIGHT("00"&amp;VALUE(TRIM(MID(MID(Sync!$L1861,FIND("/",Sync!$L1861)+1,20),FIND("/",MID(Sync!$L1861,FIND("/",Sync!$L1861)+1,20))+1,20))),2),"")))</f>
        <v/>
      </c>
    </row>
    <row r="1862">
      <c r="M1862">
        <f>IF(Sync!$M1862&lt;&gt;"پاس چک","",IF(Sync!$P1862="","",Sync!$P1862))</f>
        <v/>
      </c>
      <c r="N1862">
        <f>IF($M1862="","",IF(ISNUMBER(Sync!$L1862),IF(AND(Sync!$L1862&gt;=10000101,Sync!$L1862&lt;=99991231),RIGHT("0000"&amp;INT(Sync!$L1862/10000),4)&amp;"/"&amp;RIGHT("00"&amp;INT(MOD(Sync!$L1862,10000)/100),2)&amp;"/"&amp;RIGHT("00"&amp;MOD(Sync!$L1862,100),2),""),IFERROR(RIGHT("0000"&amp;VALUE(TRIM(LEFT(Sync!$L1862,FIND("/",Sync!$L1862)-1))),4)&amp;"/"&amp;RIGHT("00"&amp;VALUE(TRIM(LEFT(MID(Sync!$L1862,FIND("/",Sync!$L1862)+1,20),FIND("/",MID(Sync!$L1862,FIND("/",Sync!$L1862)+1,20))-1))),2)&amp;"/"&amp;RIGHT("00"&amp;VALUE(TRIM(MID(MID(Sync!$L1862,FIND("/",Sync!$L1862)+1,20),FIND("/",MID(Sync!$L1862,FIND("/",Sync!$L1862)+1,20))+1,20))),2),"")))</f>
        <v/>
      </c>
    </row>
    <row r="1863">
      <c r="M1863">
        <f>IF(Sync!$M1863&lt;&gt;"پاس چک","",IF(Sync!$P1863="","",Sync!$P1863))</f>
        <v/>
      </c>
      <c r="N1863">
        <f>IF($M1863="","",IF(ISNUMBER(Sync!$L1863),IF(AND(Sync!$L1863&gt;=10000101,Sync!$L1863&lt;=99991231),RIGHT("0000"&amp;INT(Sync!$L1863/10000),4)&amp;"/"&amp;RIGHT("00"&amp;INT(MOD(Sync!$L1863,10000)/100),2)&amp;"/"&amp;RIGHT("00"&amp;MOD(Sync!$L1863,100),2),""),IFERROR(RIGHT("0000"&amp;VALUE(TRIM(LEFT(Sync!$L1863,FIND("/",Sync!$L1863)-1))),4)&amp;"/"&amp;RIGHT("00"&amp;VALUE(TRIM(LEFT(MID(Sync!$L1863,FIND("/",Sync!$L1863)+1,20),FIND("/",MID(Sync!$L1863,FIND("/",Sync!$L1863)+1,20))-1))),2)&amp;"/"&amp;RIGHT("00"&amp;VALUE(TRIM(MID(MID(Sync!$L1863,FIND("/",Sync!$L1863)+1,20),FIND("/",MID(Sync!$L1863,FIND("/",Sync!$L1863)+1,20))+1,20))),2),"")))</f>
        <v/>
      </c>
    </row>
    <row r="1864">
      <c r="M1864">
        <f>IF(Sync!$M1864&lt;&gt;"پاس چک","",IF(Sync!$P1864="","",Sync!$P1864))</f>
        <v/>
      </c>
      <c r="N1864">
        <f>IF($M1864="","",IF(ISNUMBER(Sync!$L1864),IF(AND(Sync!$L1864&gt;=10000101,Sync!$L1864&lt;=99991231),RIGHT("0000"&amp;INT(Sync!$L1864/10000),4)&amp;"/"&amp;RIGHT("00"&amp;INT(MOD(Sync!$L1864,10000)/100),2)&amp;"/"&amp;RIGHT("00"&amp;MOD(Sync!$L1864,100),2),""),IFERROR(RIGHT("0000"&amp;VALUE(TRIM(LEFT(Sync!$L1864,FIND("/",Sync!$L1864)-1))),4)&amp;"/"&amp;RIGHT("00"&amp;VALUE(TRIM(LEFT(MID(Sync!$L1864,FIND("/",Sync!$L1864)+1,20),FIND("/",MID(Sync!$L1864,FIND("/",Sync!$L1864)+1,20))-1))),2)&amp;"/"&amp;RIGHT("00"&amp;VALUE(TRIM(MID(MID(Sync!$L1864,FIND("/",Sync!$L1864)+1,20),FIND("/",MID(Sync!$L1864,FIND("/",Sync!$L1864)+1,20))+1,20))),2),"")))</f>
        <v/>
      </c>
    </row>
    <row r="1865">
      <c r="M1865">
        <f>IF(Sync!$M1865&lt;&gt;"پاس چک","",IF(Sync!$P1865="","",Sync!$P1865))</f>
        <v/>
      </c>
      <c r="N1865">
        <f>IF($M1865="","",IF(ISNUMBER(Sync!$L1865),IF(AND(Sync!$L1865&gt;=10000101,Sync!$L1865&lt;=99991231),RIGHT("0000"&amp;INT(Sync!$L1865/10000),4)&amp;"/"&amp;RIGHT("00"&amp;INT(MOD(Sync!$L1865,10000)/100),2)&amp;"/"&amp;RIGHT("00"&amp;MOD(Sync!$L1865,100),2),""),IFERROR(RIGHT("0000"&amp;VALUE(TRIM(LEFT(Sync!$L1865,FIND("/",Sync!$L1865)-1))),4)&amp;"/"&amp;RIGHT("00"&amp;VALUE(TRIM(LEFT(MID(Sync!$L1865,FIND("/",Sync!$L1865)+1,20),FIND("/",MID(Sync!$L1865,FIND("/",Sync!$L1865)+1,20))-1))),2)&amp;"/"&amp;RIGHT("00"&amp;VALUE(TRIM(MID(MID(Sync!$L1865,FIND("/",Sync!$L1865)+1,20),FIND("/",MID(Sync!$L1865,FIND("/",Sync!$L1865)+1,20))+1,20))),2),"")))</f>
        <v/>
      </c>
    </row>
    <row r="1866">
      <c r="M1866">
        <f>IF(Sync!$M1866&lt;&gt;"پاس چک","",IF(Sync!$P1866="","",Sync!$P1866))</f>
        <v/>
      </c>
      <c r="N1866">
        <f>IF($M1866="","",IF(ISNUMBER(Sync!$L1866),IF(AND(Sync!$L1866&gt;=10000101,Sync!$L1866&lt;=99991231),RIGHT("0000"&amp;INT(Sync!$L1866/10000),4)&amp;"/"&amp;RIGHT("00"&amp;INT(MOD(Sync!$L1866,10000)/100),2)&amp;"/"&amp;RIGHT("00"&amp;MOD(Sync!$L1866,100),2),""),IFERROR(RIGHT("0000"&amp;VALUE(TRIM(LEFT(Sync!$L1866,FIND("/",Sync!$L1866)-1))),4)&amp;"/"&amp;RIGHT("00"&amp;VALUE(TRIM(LEFT(MID(Sync!$L1866,FIND("/",Sync!$L1866)+1,20),FIND("/",MID(Sync!$L1866,FIND("/",Sync!$L1866)+1,20))-1))),2)&amp;"/"&amp;RIGHT("00"&amp;VALUE(TRIM(MID(MID(Sync!$L1866,FIND("/",Sync!$L1866)+1,20),FIND("/",MID(Sync!$L1866,FIND("/",Sync!$L1866)+1,20))+1,20))),2),"")))</f>
        <v/>
      </c>
    </row>
    <row r="1867">
      <c r="M1867">
        <f>IF(Sync!$M1867&lt;&gt;"پاس چک","",IF(Sync!$P1867="","",Sync!$P1867))</f>
        <v/>
      </c>
      <c r="N1867">
        <f>IF($M1867="","",IF(ISNUMBER(Sync!$L1867),IF(AND(Sync!$L1867&gt;=10000101,Sync!$L1867&lt;=99991231),RIGHT("0000"&amp;INT(Sync!$L1867/10000),4)&amp;"/"&amp;RIGHT("00"&amp;INT(MOD(Sync!$L1867,10000)/100),2)&amp;"/"&amp;RIGHT("00"&amp;MOD(Sync!$L1867,100),2),""),IFERROR(RIGHT("0000"&amp;VALUE(TRIM(LEFT(Sync!$L1867,FIND("/",Sync!$L1867)-1))),4)&amp;"/"&amp;RIGHT("00"&amp;VALUE(TRIM(LEFT(MID(Sync!$L1867,FIND("/",Sync!$L1867)+1,20),FIND("/",MID(Sync!$L1867,FIND("/",Sync!$L1867)+1,20))-1))),2)&amp;"/"&amp;RIGHT("00"&amp;VALUE(TRIM(MID(MID(Sync!$L1867,FIND("/",Sync!$L1867)+1,20),FIND("/",MID(Sync!$L1867,FIND("/",Sync!$L1867)+1,20))+1,20))),2),"")))</f>
        <v/>
      </c>
    </row>
    <row r="1868">
      <c r="M1868">
        <f>IF(Sync!$M1868&lt;&gt;"پاس چک","",IF(Sync!$P1868="","",Sync!$P1868))</f>
        <v/>
      </c>
      <c r="N1868">
        <f>IF($M1868="","",IF(ISNUMBER(Sync!$L1868),IF(AND(Sync!$L1868&gt;=10000101,Sync!$L1868&lt;=99991231),RIGHT("0000"&amp;INT(Sync!$L1868/10000),4)&amp;"/"&amp;RIGHT("00"&amp;INT(MOD(Sync!$L1868,10000)/100),2)&amp;"/"&amp;RIGHT("00"&amp;MOD(Sync!$L1868,100),2),""),IFERROR(RIGHT("0000"&amp;VALUE(TRIM(LEFT(Sync!$L1868,FIND("/",Sync!$L1868)-1))),4)&amp;"/"&amp;RIGHT("00"&amp;VALUE(TRIM(LEFT(MID(Sync!$L1868,FIND("/",Sync!$L1868)+1,20),FIND("/",MID(Sync!$L1868,FIND("/",Sync!$L1868)+1,20))-1))),2)&amp;"/"&amp;RIGHT("00"&amp;VALUE(TRIM(MID(MID(Sync!$L1868,FIND("/",Sync!$L1868)+1,20),FIND("/",MID(Sync!$L1868,FIND("/",Sync!$L1868)+1,20))+1,20))),2),"")))</f>
        <v/>
      </c>
    </row>
    <row r="1869">
      <c r="M1869">
        <f>IF(Sync!$M1869&lt;&gt;"پاس چک","",IF(Sync!$P1869="","",Sync!$P1869))</f>
        <v/>
      </c>
      <c r="N1869">
        <f>IF($M1869="","",IF(ISNUMBER(Sync!$L1869),IF(AND(Sync!$L1869&gt;=10000101,Sync!$L1869&lt;=99991231),RIGHT("0000"&amp;INT(Sync!$L1869/10000),4)&amp;"/"&amp;RIGHT("00"&amp;INT(MOD(Sync!$L1869,10000)/100),2)&amp;"/"&amp;RIGHT("00"&amp;MOD(Sync!$L1869,100),2),""),IFERROR(RIGHT("0000"&amp;VALUE(TRIM(LEFT(Sync!$L1869,FIND("/",Sync!$L1869)-1))),4)&amp;"/"&amp;RIGHT("00"&amp;VALUE(TRIM(LEFT(MID(Sync!$L1869,FIND("/",Sync!$L1869)+1,20),FIND("/",MID(Sync!$L1869,FIND("/",Sync!$L1869)+1,20))-1))),2)&amp;"/"&amp;RIGHT("00"&amp;VALUE(TRIM(MID(MID(Sync!$L1869,FIND("/",Sync!$L1869)+1,20),FIND("/",MID(Sync!$L1869,FIND("/",Sync!$L1869)+1,20))+1,20))),2),"")))</f>
        <v/>
      </c>
    </row>
    <row r="1870">
      <c r="M1870">
        <f>IF(Sync!$M1870&lt;&gt;"پاس چک","",IF(Sync!$P1870="","",Sync!$P1870))</f>
        <v/>
      </c>
      <c r="N1870">
        <f>IF($M1870="","",IF(ISNUMBER(Sync!$L1870),IF(AND(Sync!$L1870&gt;=10000101,Sync!$L1870&lt;=99991231),RIGHT("0000"&amp;INT(Sync!$L1870/10000),4)&amp;"/"&amp;RIGHT("00"&amp;INT(MOD(Sync!$L1870,10000)/100),2)&amp;"/"&amp;RIGHT("00"&amp;MOD(Sync!$L1870,100),2),""),IFERROR(RIGHT("0000"&amp;VALUE(TRIM(LEFT(Sync!$L1870,FIND("/",Sync!$L1870)-1))),4)&amp;"/"&amp;RIGHT("00"&amp;VALUE(TRIM(LEFT(MID(Sync!$L1870,FIND("/",Sync!$L1870)+1,20),FIND("/",MID(Sync!$L1870,FIND("/",Sync!$L1870)+1,20))-1))),2)&amp;"/"&amp;RIGHT("00"&amp;VALUE(TRIM(MID(MID(Sync!$L1870,FIND("/",Sync!$L1870)+1,20),FIND("/",MID(Sync!$L1870,FIND("/",Sync!$L1870)+1,20))+1,20))),2),"")))</f>
        <v/>
      </c>
    </row>
    <row r="1871">
      <c r="M1871">
        <f>IF(Sync!$M1871&lt;&gt;"پاس چک","",IF(Sync!$P1871="","",Sync!$P1871))</f>
        <v/>
      </c>
      <c r="N1871">
        <f>IF($M1871="","",IF(ISNUMBER(Sync!$L1871),IF(AND(Sync!$L1871&gt;=10000101,Sync!$L1871&lt;=99991231),RIGHT("0000"&amp;INT(Sync!$L1871/10000),4)&amp;"/"&amp;RIGHT("00"&amp;INT(MOD(Sync!$L1871,10000)/100),2)&amp;"/"&amp;RIGHT("00"&amp;MOD(Sync!$L1871,100),2),""),IFERROR(RIGHT("0000"&amp;VALUE(TRIM(LEFT(Sync!$L1871,FIND("/",Sync!$L1871)-1))),4)&amp;"/"&amp;RIGHT("00"&amp;VALUE(TRIM(LEFT(MID(Sync!$L1871,FIND("/",Sync!$L1871)+1,20),FIND("/",MID(Sync!$L1871,FIND("/",Sync!$L1871)+1,20))-1))),2)&amp;"/"&amp;RIGHT("00"&amp;VALUE(TRIM(MID(MID(Sync!$L1871,FIND("/",Sync!$L1871)+1,20),FIND("/",MID(Sync!$L1871,FIND("/",Sync!$L1871)+1,20))+1,20))),2),"")))</f>
        <v/>
      </c>
    </row>
    <row r="1872">
      <c r="M1872">
        <f>IF(Sync!$M1872&lt;&gt;"پاس چک","",IF(Sync!$P1872="","",Sync!$P1872))</f>
        <v/>
      </c>
      <c r="N1872">
        <f>IF($M1872="","",IF(ISNUMBER(Sync!$L1872),IF(AND(Sync!$L1872&gt;=10000101,Sync!$L1872&lt;=99991231),RIGHT("0000"&amp;INT(Sync!$L1872/10000),4)&amp;"/"&amp;RIGHT("00"&amp;INT(MOD(Sync!$L1872,10000)/100),2)&amp;"/"&amp;RIGHT("00"&amp;MOD(Sync!$L1872,100),2),""),IFERROR(RIGHT("0000"&amp;VALUE(TRIM(LEFT(Sync!$L1872,FIND("/",Sync!$L1872)-1))),4)&amp;"/"&amp;RIGHT("00"&amp;VALUE(TRIM(LEFT(MID(Sync!$L1872,FIND("/",Sync!$L1872)+1,20),FIND("/",MID(Sync!$L1872,FIND("/",Sync!$L1872)+1,20))-1))),2)&amp;"/"&amp;RIGHT("00"&amp;VALUE(TRIM(MID(MID(Sync!$L1872,FIND("/",Sync!$L1872)+1,20),FIND("/",MID(Sync!$L1872,FIND("/",Sync!$L1872)+1,20))+1,20))),2),"")))</f>
        <v/>
      </c>
    </row>
    <row r="1873">
      <c r="M1873">
        <f>IF(Sync!$M1873&lt;&gt;"پاس چک","",IF(Sync!$P1873="","",Sync!$P1873))</f>
        <v/>
      </c>
      <c r="N1873">
        <f>IF($M1873="","",IF(ISNUMBER(Sync!$L1873),IF(AND(Sync!$L1873&gt;=10000101,Sync!$L1873&lt;=99991231),RIGHT("0000"&amp;INT(Sync!$L1873/10000),4)&amp;"/"&amp;RIGHT("00"&amp;INT(MOD(Sync!$L1873,10000)/100),2)&amp;"/"&amp;RIGHT("00"&amp;MOD(Sync!$L1873,100),2),""),IFERROR(RIGHT("0000"&amp;VALUE(TRIM(LEFT(Sync!$L1873,FIND("/",Sync!$L1873)-1))),4)&amp;"/"&amp;RIGHT("00"&amp;VALUE(TRIM(LEFT(MID(Sync!$L1873,FIND("/",Sync!$L1873)+1,20),FIND("/",MID(Sync!$L1873,FIND("/",Sync!$L1873)+1,20))-1))),2)&amp;"/"&amp;RIGHT("00"&amp;VALUE(TRIM(MID(MID(Sync!$L1873,FIND("/",Sync!$L1873)+1,20),FIND("/",MID(Sync!$L1873,FIND("/",Sync!$L1873)+1,20))+1,20))),2),"")))</f>
        <v/>
      </c>
    </row>
    <row r="1874">
      <c r="M1874">
        <f>IF(Sync!$M1874&lt;&gt;"پاس چک","",IF(Sync!$P1874="","",Sync!$P1874))</f>
        <v/>
      </c>
      <c r="N1874">
        <f>IF($M1874="","",IF(ISNUMBER(Sync!$L1874),IF(AND(Sync!$L1874&gt;=10000101,Sync!$L1874&lt;=99991231),RIGHT("0000"&amp;INT(Sync!$L1874/10000),4)&amp;"/"&amp;RIGHT("00"&amp;INT(MOD(Sync!$L1874,10000)/100),2)&amp;"/"&amp;RIGHT("00"&amp;MOD(Sync!$L1874,100),2),""),IFERROR(RIGHT("0000"&amp;VALUE(TRIM(LEFT(Sync!$L1874,FIND("/",Sync!$L1874)-1))),4)&amp;"/"&amp;RIGHT("00"&amp;VALUE(TRIM(LEFT(MID(Sync!$L1874,FIND("/",Sync!$L1874)+1,20),FIND("/",MID(Sync!$L1874,FIND("/",Sync!$L1874)+1,20))-1))),2)&amp;"/"&amp;RIGHT("00"&amp;VALUE(TRIM(MID(MID(Sync!$L1874,FIND("/",Sync!$L1874)+1,20),FIND("/",MID(Sync!$L1874,FIND("/",Sync!$L1874)+1,20))+1,20))),2),"")))</f>
        <v/>
      </c>
    </row>
    <row r="1875">
      <c r="M1875">
        <f>IF(Sync!$M1875&lt;&gt;"پاس چک","",IF(Sync!$P1875="","",Sync!$P1875))</f>
        <v/>
      </c>
      <c r="N1875">
        <f>IF($M1875="","",IF(ISNUMBER(Sync!$L1875),IF(AND(Sync!$L1875&gt;=10000101,Sync!$L1875&lt;=99991231),RIGHT("0000"&amp;INT(Sync!$L1875/10000),4)&amp;"/"&amp;RIGHT("00"&amp;INT(MOD(Sync!$L1875,10000)/100),2)&amp;"/"&amp;RIGHT("00"&amp;MOD(Sync!$L1875,100),2),""),IFERROR(RIGHT("0000"&amp;VALUE(TRIM(LEFT(Sync!$L1875,FIND("/",Sync!$L1875)-1))),4)&amp;"/"&amp;RIGHT("00"&amp;VALUE(TRIM(LEFT(MID(Sync!$L1875,FIND("/",Sync!$L1875)+1,20),FIND("/",MID(Sync!$L1875,FIND("/",Sync!$L1875)+1,20))-1))),2)&amp;"/"&amp;RIGHT("00"&amp;VALUE(TRIM(MID(MID(Sync!$L1875,FIND("/",Sync!$L1875)+1,20),FIND("/",MID(Sync!$L1875,FIND("/",Sync!$L1875)+1,20))+1,20))),2),"")))</f>
        <v/>
      </c>
    </row>
    <row r="1876">
      <c r="M1876">
        <f>IF(Sync!$M1876&lt;&gt;"پاس چک","",IF(Sync!$P1876="","",Sync!$P1876))</f>
        <v/>
      </c>
      <c r="N1876">
        <f>IF($M1876="","",IF(ISNUMBER(Sync!$L1876),IF(AND(Sync!$L1876&gt;=10000101,Sync!$L1876&lt;=99991231),RIGHT("0000"&amp;INT(Sync!$L1876/10000),4)&amp;"/"&amp;RIGHT("00"&amp;INT(MOD(Sync!$L1876,10000)/100),2)&amp;"/"&amp;RIGHT("00"&amp;MOD(Sync!$L1876,100),2),""),IFERROR(RIGHT("0000"&amp;VALUE(TRIM(LEFT(Sync!$L1876,FIND("/",Sync!$L1876)-1))),4)&amp;"/"&amp;RIGHT("00"&amp;VALUE(TRIM(LEFT(MID(Sync!$L1876,FIND("/",Sync!$L1876)+1,20),FIND("/",MID(Sync!$L1876,FIND("/",Sync!$L1876)+1,20))-1))),2)&amp;"/"&amp;RIGHT("00"&amp;VALUE(TRIM(MID(MID(Sync!$L1876,FIND("/",Sync!$L1876)+1,20),FIND("/",MID(Sync!$L1876,FIND("/",Sync!$L1876)+1,20))+1,20))),2),"")))</f>
        <v/>
      </c>
    </row>
    <row r="1877">
      <c r="M1877">
        <f>IF(Sync!$M1877&lt;&gt;"پاس چک","",IF(Sync!$P1877="","",Sync!$P1877))</f>
        <v/>
      </c>
      <c r="N1877">
        <f>IF($M1877="","",IF(ISNUMBER(Sync!$L1877),IF(AND(Sync!$L1877&gt;=10000101,Sync!$L1877&lt;=99991231),RIGHT("0000"&amp;INT(Sync!$L1877/10000),4)&amp;"/"&amp;RIGHT("00"&amp;INT(MOD(Sync!$L1877,10000)/100),2)&amp;"/"&amp;RIGHT("00"&amp;MOD(Sync!$L1877,100),2),""),IFERROR(RIGHT("0000"&amp;VALUE(TRIM(LEFT(Sync!$L1877,FIND("/",Sync!$L1877)-1))),4)&amp;"/"&amp;RIGHT("00"&amp;VALUE(TRIM(LEFT(MID(Sync!$L1877,FIND("/",Sync!$L1877)+1,20),FIND("/",MID(Sync!$L1877,FIND("/",Sync!$L1877)+1,20))-1))),2)&amp;"/"&amp;RIGHT("00"&amp;VALUE(TRIM(MID(MID(Sync!$L1877,FIND("/",Sync!$L1877)+1,20),FIND("/",MID(Sync!$L1877,FIND("/",Sync!$L1877)+1,20))+1,20))),2),"")))</f>
        <v/>
      </c>
    </row>
    <row r="1878">
      <c r="M1878">
        <f>IF(Sync!$M1878&lt;&gt;"پاس چک","",IF(Sync!$P1878="","",Sync!$P1878))</f>
        <v/>
      </c>
      <c r="N1878">
        <f>IF($M1878="","",IF(ISNUMBER(Sync!$L1878),IF(AND(Sync!$L1878&gt;=10000101,Sync!$L1878&lt;=99991231),RIGHT("0000"&amp;INT(Sync!$L1878/10000),4)&amp;"/"&amp;RIGHT("00"&amp;INT(MOD(Sync!$L1878,10000)/100),2)&amp;"/"&amp;RIGHT("00"&amp;MOD(Sync!$L1878,100),2),""),IFERROR(RIGHT("0000"&amp;VALUE(TRIM(LEFT(Sync!$L1878,FIND("/",Sync!$L1878)-1))),4)&amp;"/"&amp;RIGHT("00"&amp;VALUE(TRIM(LEFT(MID(Sync!$L1878,FIND("/",Sync!$L1878)+1,20),FIND("/",MID(Sync!$L1878,FIND("/",Sync!$L1878)+1,20))-1))),2)&amp;"/"&amp;RIGHT("00"&amp;VALUE(TRIM(MID(MID(Sync!$L1878,FIND("/",Sync!$L1878)+1,20),FIND("/",MID(Sync!$L1878,FIND("/",Sync!$L1878)+1,20))+1,20))),2),"")))</f>
        <v/>
      </c>
    </row>
    <row r="1879">
      <c r="M1879">
        <f>IF(Sync!$M1879&lt;&gt;"پاس چک","",IF(Sync!$P1879="","",Sync!$P1879))</f>
        <v/>
      </c>
      <c r="N1879">
        <f>IF($M1879="","",IF(ISNUMBER(Sync!$L1879),IF(AND(Sync!$L1879&gt;=10000101,Sync!$L1879&lt;=99991231),RIGHT("0000"&amp;INT(Sync!$L1879/10000),4)&amp;"/"&amp;RIGHT("00"&amp;INT(MOD(Sync!$L1879,10000)/100),2)&amp;"/"&amp;RIGHT("00"&amp;MOD(Sync!$L1879,100),2),""),IFERROR(RIGHT("0000"&amp;VALUE(TRIM(LEFT(Sync!$L1879,FIND("/",Sync!$L1879)-1))),4)&amp;"/"&amp;RIGHT("00"&amp;VALUE(TRIM(LEFT(MID(Sync!$L1879,FIND("/",Sync!$L1879)+1,20),FIND("/",MID(Sync!$L1879,FIND("/",Sync!$L1879)+1,20))-1))),2)&amp;"/"&amp;RIGHT("00"&amp;VALUE(TRIM(MID(MID(Sync!$L1879,FIND("/",Sync!$L1879)+1,20),FIND("/",MID(Sync!$L1879,FIND("/",Sync!$L1879)+1,20))+1,20))),2),"")))</f>
        <v/>
      </c>
    </row>
    <row r="1880">
      <c r="M1880">
        <f>IF(Sync!$M1880&lt;&gt;"پاس چک","",IF(Sync!$P1880="","",Sync!$P1880))</f>
        <v/>
      </c>
      <c r="N1880">
        <f>IF($M1880="","",IF(ISNUMBER(Sync!$L1880),IF(AND(Sync!$L1880&gt;=10000101,Sync!$L1880&lt;=99991231),RIGHT("0000"&amp;INT(Sync!$L1880/10000),4)&amp;"/"&amp;RIGHT("00"&amp;INT(MOD(Sync!$L1880,10000)/100),2)&amp;"/"&amp;RIGHT("00"&amp;MOD(Sync!$L1880,100),2),""),IFERROR(RIGHT("0000"&amp;VALUE(TRIM(LEFT(Sync!$L1880,FIND("/",Sync!$L1880)-1))),4)&amp;"/"&amp;RIGHT("00"&amp;VALUE(TRIM(LEFT(MID(Sync!$L1880,FIND("/",Sync!$L1880)+1,20),FIND("/",MID(Sync!$L1880,FIND("/",Sync!$L1880)+1,20))-1))),2)&amp;"/"&amp;RIGHT("00"&amp;VALUE(TRIM(MID(MID(Sync!$L1880,FIND("/",Sync!$L1880)+1,20),FIND("/",MID(Sync!$L1880,FIND("/",Sync!$L1880)+1,20))+1,20))),2),"")))</f>
        <v/>
      </c>
    </row>
    <row r="1881">
      <c r="M1881">
        <f>IF(Sync!$M1881&lt;&gt;"پاس چک","",IF(Sync!$P1881="","",Sync!$P1881))</f>
        <v/>
      </c>
      <c r="N1881">
        <f>IF($M1881="","",IF(ISNUMBER(Sync!$L1881),IF(AND(Sync!$L1881&gt;=10000101,Sync!$L1881&lt;=99991231),RIGHT("0000"&amp;INT(Sync!$L1881/10000),4)&amp;"/"&amp;RIGHT("00"&amp;INT(MOD(Sync!$L1881,10000)/100),2)&amp;"/"&amp;RIGHT("00"&amp;MOD(Sync!$L1881,100),2),""),IFERROR(RIGHT("0000"&amp;VALUE(TRIM(LEFT(Sync!$L1881,FIND("/",Sync!$L1881)-1))),4)&amp;"/"&amp;RIGHT("00"&amp;VALUE(TRIM(LEFT(MID(Sync!$L1881,FIND("/",Sync!$L1881)+1,20),FIND("/",MID(Sync!$L1881,FIND("/",Sync!$L1881)+1,20))-1))),2)&amp;"/"&amp;RIGHT("00"&amp;VALUE(TRIM(MID(MID(Sync!$L1881,FIND("/",Sync!$L1881)+1,20),FIND("/",MID(Sync!$L1881,FIND("/",Sync!$L1881)+1,20))+1,20))),2),"")))</f>
        <v/>
      </c>
    </row>
    <row r="1882">
      <c r="M1882">
        <f>IF(Sync!$M1882&lt;&gt;"پاس چک","",IF(Sync!$P1882="","",Sync!$P1882))</f>
        <v/>
      </c>
      <c r="N1882">
        <f>IF($M1882="","",IF(ISNUMBER(Sync!$L1882),IF(AND(Sync!$L1882&gt;=10000101,Sync!$L1882&lt;=99991231),RIGHT("0000"&amp;INT(Sync!$L1882/10000),4)&amp;"/"&amp;RIGHT("00"&amp;INT(MOD(Sync!$L1882,10000)/100),2)&amp;"/"&amp;RIGHT("00"&amp;MOD(Sync!$L1882,100),2),""),IFERROR(RIGHT("0000"&amp;VALUE(TRIM(LEFT(Sync!$L1882,FIND("/",Sync!$L1882)-1))),4)&amp;"/"&amp;RIGHT("00"&amp;VALUE(TRIM(LEFT(MID(Sync!$L1882,FIND("/",Sync!$L1882)+1,20),FIND("/",MID(Sync!$L1882,FIND("/",Sync!$L1882)+1,20))-1))),2)&amp;"/"&amp;RIGHT("00"&amp;VALUE(TRIM(MID(MID(Sync!$L1882,FIND("/",Sync!$L1882)+1,20),FIND("/",MID(Sync!$L1882,FIND("/",Sync!$L1882)+1,20))+1,20))),2),"")))</f>
        <v/>
      </c>
    </row>
    <row r="1883">
      <c r="M1883">
        <f>IF(Sync!$M1883&lt;&gt;"پاس چک","",IF(Sync!$P1883="","",Sync!$P1883))</f>
        <v/>
      </c>
      <c r="N1883">
        <f>IF($M1883="","",IF(ISNUMBER(Sync!$L1883),IF(AND(Sync!$L1883&gt;=10000101,Sync!$L1883&lt;=99991231),RIGHT("0000"&amp;INT(Sync!$L1883/10000),4)&amp;"/"&amp;RIGHT("00"&amp;INT(MOD(Sync!$L1883,10000)/100),2)&amp;"/"&amp;RIGHT("00"&amp;MOD(Sync!$L1883,100),2),""),IFERROR(RIGHT("0000"&amp;VALUE(TRIM(LEFT(Sync!$L1883,FIND("/",Sync!$L1883)-1))),4)&amp;"/"&amp;RIGHT("00"&amp;VALUE(TRIM(LEFT(MID(Sync!$L1883,FIND("/",Sync!$L1883)+1,20),FIND("/",MID(Sync!$L1883,FIND("/",Sync!$L1883)+1,20))-1))),2)&amp;"/"&amp;RIGHT("00"&amp;VALUE(TRIM(MID(MID(Sync!$L1883,FIND("/",Sync!$L1883)+1,20),FIND("/",MID(Sync!$L1883,FIND("/",Sync!$L1883)+1,20))+1,20))),2),"")))</f>
        <v/>
      </c>
    </row>
    <row r="1884">
      <c r="M1884">
        <f>IF(Sync!$M1884&lt;&gt;"پاس چک","",IF(Sync!$P1884="","",Sync!$P1884))</f>
        <v/>
      </c>
      <c r="N1884">
        <f>IF($M1884="","",IF(ISNUMBER(Sync!$L1884),IF(AND(Sync!$L1884&gt;=10000101,Sync!$L1884&lt;=99991231),RIGHT("0000"&amp;INT(Sync!$L1884/10000),4)&amp;"/"&amp;RIGHT("00"&amp;INT(MOD(Sync!$L1884,10000)/100),2)&amp;"/"&amp;RIGHT("00"&amp;MOD(Sync!$L1884,100),2),""),IFERROR(RIGHT("0000"&amp;VALUE(TRIM(LEFT(Sync!$L1884,FIND("/",Sync!$L1884)-1))),4)&amp;"/"&amp;RIGHT("00"&amp;VALUE(TRIM(LEFT(MID(Sync!$L1884,FIND("/",Sync!$L1884)+1,20),FIND("/",MID(Sync!$L1884,FIND("/",Sync!$L1884)+1,20))-1))),2)&amp;"/"&amp;RIGHT("00"&amp;VALUE(TRIM(MID(MID(Sync!$L1884,FIND("/",Sync!$L1884)+1,20),FIND("/",MID(Sync!$L1884,FIND("/",Sync!$L1884)+1,20))+1,20))),2),"")))</f>
        <v/>
      </c>
    </row>
    <row r="1885">
      <c r="M1885">
        <f>IF(Sync!$M1885&lt;&gt;"پاس چک","",IF(Sync!$P1885="","",Sync!$P1885))</f>
        <v/>
      </c>
      <c r="N1885">
        <f>IF($M1885="","",IF(ISNUMBER(Sync!$L1885),IF(AND(Sync!$L1885&gt;=10000101,Sync!$L1885&lt;=99991231),RIGHT("0000"&amp;INT(Sync!$L1885/10000),4)&amp;"/"&amp;RIGHT("00"&amp;INT(MOD(Sync!$L1885,10000)/100),2)&amp;"/"&amp;RIGHT("00"&amp;MOD(Sync!$L1885,100),2),""),IFERROR(RIGHT("0000"&amp;VALUE(TRIM(LEFT(Sync!$L1885,FIND("/",Sync!$L1885)-1))),4)&amp;"/"&amp;RIGHT("00"&amp;VALUE(TRIM(LEFT(MID(Sync!$L1885,FIND("/",Sync!$L1885)+1,20),FIND("/",MID(Sync!$L1885,FIND("/",Sync!$L1885)+1,20))-1))),2)&amp;"/"&amp;RIGHT("00"&amp;VALUE(TRIM(MID(MID(Sync!$L1885,FIND("/",Sync!$L1885)+1,20),FIND("/",MID(Sync!$L1885,FIND("/",Sync!$L1885)+1,20))+1,20))),2),"")))</f>
        <v/>
      </c>
    </row>
    <row r="1886">
      <c r="M1886">
        <f>IF(Sync!$M1886&lt;&gt;"پاس چک","",IF(Sync!$P1886="","",Sync!$P1886))</f>
        <v/>
      </c>
      <c r="N1886">
        <f>IF($M1886="","",IF(ISNUMBER(Sync!$L1886),IF(AND(Sync!$L1886&gt;=10000101,Sync!$L1886&lt;=99991231),RIGHT("0000"&amp;INT(Sync!$L1886/10000),4)&amp;"/"&amp;RIGHT("00"&amp;INT(MOD(Sync!$L1886,10000)/100),2)&amp;"/"&amp;RIGHT("00"&amp;MOD(Sync!$L1886,100),2),""),IFERROR(RIGHT("0000"&amp;VALUE(TRIM(LEFT(Sync!$L1886,FIND("/",Sync!$L1886)-1))),4)&amp;"/"&amp;RIGHT("00"&amp;VALUE(TRIM(LEFT(MID(Sync!$L1886,FIND("/",Sync!$L1886)+1,20),FIND("/",MID(Sync!$L1886,FIND("/",Sync!$L1886)+1,20))-1))),2)&amp;"/"&amp;RIGHT("00"&amp;VALUE(TRIM(MID(MID(Sync!$L1886,FIND("/",Sync!$L1886)+1,20),FIND("/",MID(Sync!$L1886,FIND("/",Sync!$L1886)+1,20))+1,20))),2),"")))</f>
        <v/>
      </c>
    </row>
    <row r="1887">
      <c r="M1887">
        <f>IF(Sync!$M1887&lt;&gt;"پاس چک","",IF(Sync!$P1887="","",Sync!$P1887))</f>
        <v/>
      </c>
      <c r="N1887">
        <f>IF($M1887="","",IF(ISNUMBER(Sync!$L1887),IF(AND(Sync!$L1887&gt;=10000101,Sync!$L1887&lt;=99991231),RIGHT("0000"&amp;INT(Sync!$L1887/10000),4)&amp;"/"&amp;RIGHT("00"&amp;INT(MOD(Sync!$L1887,10000)/100),2)&amp;"/"&amp;RIGHT("00"&amp;MOD(Sync!$L1887,100),2),""),IFERROR(RIGHT("0000"&amp;VALUE(TRIM(LEFT(Sync!$L1887,FIND("/",Sync!$L1887)-1))),4)&amp;"/"&amp;RIGHT("00"&amp;VALUE(TRIM(LEFT(MID(Sync!$L1887,FIND("/",Sync!$L1887)+1,20),FIND("/",MID(Sync!$L1887,FIND("/",Sync!$L1887)+1,20))-1))),2)&amp;"/"&amp;RIGHT("00"&amp;VALUE(TRIM(MID(MID(Sync!$L1887,FIND("/",Sync!$L1887)+1,20),FIND("/",MID(Sync!$L1887,FIND("/",Sync!$L1887)+1,20))+1,20))),2),"")))</f>
        <v/>
      </c>
    </row>
    <row r="1888">
      <c r="M1888">
        <f>IF(Sync!$M1888&lt;&gt;"پاس چک","",IF(Sync!$P1888="","",Sync!$P1888))</f>
        <v/>
      </c>
      <c r="N1888">
        <f>IF($M1888="","",IF(ISNUMBER(Sync!$L1888),IF(AND(Sync!$L1888&gt;=10000101,Sync!$L1888&lt;=99991231),RIGHT("0000"&amp;INT(Sync!$L1888/10000),4)&amp;"/"&amp;RIGHT("00"&amp;INT(MOD(Sync!$L1888,10000)/100),2)&amp;"/"&amp;RIGHT("00"&amp;MOD(Sync!$L1888,100),2),""),IFERROR(RIGHT("0000"&amp;VALUE(TRIM(LEFT(Sync!$L1888,FIND("/",Sync!$L1888)-1))),4)&amp;"/"&amp;RIGHT("00"&amp;VALUE(TRIM(LEFT(MID(Sync!$L1888,FIND("/",Sync!$L1888)+1,20),FIND("/",MID(Sync!$L1888,FIND("/",Sync!$L1888)+1,20))-1))),2)&amp;"/"&amp;RIGHT("00"&amp;VALUE(TRIM(MID(MID(Sync!$L1888,FIND("/",Sync!$L1888)+1,20),FIND("/",MID(Sync!$L1888,FIND("/",Sync!$L1888)+1,20))+1,20))),2),"")))</f>
        <v/>
      </c>
    </row>
    <row r="1889">
      <c r="M1889">
        <f>IF(Sync!$M1889&lt;&gt;"پاس چک","",IF(Sync!$P1889="","",Sync!$P1889))</f>
        <v/>
      </c>
      <c r="N1889">
        <f>IF($M1889="","",IF(ISNUMBER(Sync!$L1889),IF(AND(Sync!$L1889&gt;=10000101,Sync!$L1889&lt;=99991231),RIGHT("0000"&amp;INT(Sync!$L1889/10000),4)&amp;"/"&amp;RIGHT("00"&amp;INT(MOD(Sync!$L1889,10000)/100),2)&amp;"/"&amp;RIGHT("00"&amp;MOD(Sync!$L1889,100),2),""),IFERROR(RIGHT("0000"&amp;VALUE(TRIM(LEFT(Sync!$L1889,FIND("/",Sync!$L1889)-1))),4)&amp;"/"&amp;RIGHT("00"&amp;VALUE(TRIM(LEFT(MID(Sync!$L1889,FIND("/",Sync!$L1889)+1,20),FIND("/",MID(Sync!$L1889,FIND("/",Sync!$L1889)+1,20))-1))),2)&amp;"/"&amp;RIGHT("00"&amp;VALUE(TRIM(MID(MID(Sync!$L1889,FIND("/",Sync!$L1889)+1,20),FIND("/",MID(Sync!$L1889,FIND("/",Sync!$L1889)+1,20))+1,20))),2),"")))</f>
        <v/>
      </c>
    </row>
    <row r="1890">
      <c r="M1890">
        <f>IF(Sync!$M1890&lt;&gt;"پاس چک","",IF(Sync!$P1890="","",Sync!$P1890))</f>
        <v/>
      </c>
      <c r="N1890">
        <f>IF($M1890="","",IF(ISNUMBER(Sync!$L1890),IF(AND(Sync!$L1890&gt;=10000101,Sync!$L1890&lt;=99991231),RIGHT("0000"&amp;INT(Sync!$L1890/10000),4)&amp;"/"&amp;RIGHT("00"&amp;INT(MOD(Sync!$L1890,10000)/100),2)&amp;"/"&amp;RIGHT("00"&amp;MOD(Sync!$L1890,100),2),""),IFERROR(RIGHT("0000"&amp;VALUE(TRIM(LEFT(Sync!$L1890,FIND("/",Sync!$L1890)-1))),4)&amp;"/"&amp;RIGHT("00"&amp;VALUE(TRIM(LEFT(MID(Sync!$L1890,FIND("/",Sync!$L1890)+1,20),FIND("/",MID(Sync!$L1890,FIND("/",Sync!$L1890)+1,20))-1))),2)&amp;"/"&amp;RIGHT("00"&amp;VALUE(TRIM(MID(MID(Sync!$L1890,FIND("/",Sync!$L1890)+1,20),FIND("/",MID(Sync!$L1890,FIND("/",Sync!$L1890)+1,20))+1,20))),2),"")))</f>
        <v/>
      </c>
    </row>
    <row r="1891">
      <c r="M1891">
        <f>IF(Sync!$M1891&lt;&gt;"پاس چک","",IF(Sync!$P1891="","",Sync!$P1891))</f>
        <v/>
      </c>
      <c r="N1891">
        <f>IF($M1891="","",IF(ISNUMBER(Sync!$L1891),IF(AND(Sync!$L1891&gt;=10000101,Sync!$L1891&lt;=99991231),RIGHT("0000"&amp;INT(Sync!$L1891/10000),4)&amp;"/"&amp;RIGHT("00"&amp;INT(MOD(Sync!$L1891,10000)/100),2)&amp;"/"&amp;RIGHT("00"&amp;MOD(Sync!$L1891,100),2),""),IFERROR(RIGHT("0000"&amp;VALUE(TRIM(LEFT(Sync!$L1891,FIND("/",Sync!$L1891)-1))),4)&amp;"/"&amp;RIGHT("00"&amp;VALUE(TRIM(LEFT(MID(Sync!$L1891,FIND("/",Sync!$L1891)+1,20),FIND("/",MID(Sync!$L1891,FIND("/",Sync!$L1891)+1,20))-1))),2)&amp;"/"&amp;RIGHT("00"&amp;VALUE(TRIM(MID(MID(Sync!$L1891,FIND("/",Sync!$L1891)+1,20),FIND("/",MID(Sync!$L1891,FIND("/",Sync!$L1891)+1,20))+1,20))),2),"")))</f>
        <v/>
      </c>
    </row>
    <row r="1892">
      <c r="M1892">
        <f>IF(Sync!$M1892&lt;&gt;"پاس چک","",IF(Sync!$P1892="","",Sync!$P1892))</f>
        <v/>
      </c>
      <c r="N1892">
        <f>IF($M1892="","",IF(ISNUMBER(Sync!$L1892),IF(AND(Sync!$L1892&gt;=10000101,Sync!$L1892&lt;=99991231),RIGHT("0000"&amp;INT(Sync!$L1892/10000),4)&amp;"/"&amp;RIGHT("00"&amp;INT(MOD(Sync!$L1892,10000)/100),2)&amp;"/"&amp;RIGHT("00"&amp;MOD(Sync!$L1892,100),2),""),IFERROR(RIGHT("0000"&amp;VALUE(TRIM(LEFT(Sync!$L1892,FIND("/",Sync!$L1892)-1))),4)&amp;"/"&amp;RIGHT("00"&amp;VALUE(TRIM(LEFT(MID(Sync!$L1892,FIND("/",Sync!$L1892)+1,20),FIND("/",MID(Sync!$L1892,FIND("/",Sync!$L1892)+1,20))-1))),2)&amp;"/"&amp;RIGHT("00"&amp;VALUE(TRIM(MID(MID(Sync!$L1892,FIND("/",Sync!$L1892)+1,20),FIND("/",MID(Sync!$L1892,FIND("/",Sync!$L1892)+1,20))+1,20))),2),"")))</f>
        <v/>
      </c>
    </row>
    <row r="1893">
      <c r="M1893">
        <f>IF(Sync!$M1893&lt;&gt;"پاس چک","",IF(Sync!$P1893="","",Sync!$P1893))</f>
        <v/>
      </c>
      <c r="N1893">
        <f>IF($M1893="","",IF(ISNUMBER(Sync!$L1893),IF(AND(Sync!$L1893&gt;=10000101,Sync!$L1893&lt;=99991231),RIGHT("0000"&amp;INT(Sync!$L1893/10000),4)&amp;"/"&amp;RIGHT("00"&amp;INT(MOD(Sync!$L1893,10000)/100),2)&amp;"/"&amp;RIGHT("00"&amp;MOD(Sync!$L1893,100),2),""),IFERROR(RIGHT("0000"&amp;VALUE(TRIM(LEFT(Sync!$L1893,FIND("/",Sync!$L1893)-1))),4)&amp;"/"&amp;RIGHT("00"&amp;VALUE(TRIM(LEFT(MID(Sync!$L1893,FIND("/",Sync!$L1893)+1,20),FIND("/",MID(Sync!$L1893,FIND("/",Sync!$L1893)+1,20))-1))),2)&amp;"/"&amp;RIGHT("00"&amp;VALUE(TRIM(MID(MID(Sync!$L1893,FIND("/",Sync!$L1893)+1,20),FIND("/",MID(Sync!$L1893,FIND("/",Sync!$L1893)+1,20))+1,20))),2),"")))</f>
        <v/>
      </c>
    </row>
    <row r="1894">
      <c r="M1894">
        <f>IF(Sync!$M1894&lt;&gt;"پاس چک","",IF(Sync!$P1894="","",Sync!$P1894))</f>
        <v/>
      </c>
      <c r="N1894">
        <f>IF($M1894="","",IF(ISNUMBER(Sync!$L1894),IF(AND(Sync!$L1894&gt;=10000101,Sync!$L1894&lt;=99991231),RIGHT("0000"&amp;INT(Sync!$L1894/10000),4)&amp;"/"&amp;RIGHT("00"&amp;INT(MOD(Sync!$L1894,10000)/100),2)&amp;"/"&amp;RIGHT("00"&amp;MOD(Sync!$L1894,100),2),""),IFERROR(RIGHT("0000"&amp;VALUE(TRIM(LEFT(Sync!$L1894,FIND("/",Sync!$L1894)-1))),4)&amp;"/"&amp;RIGHT("00"&amp;VALUE(TRIM(LEFT(MID(Sync!$L1894,FIND("/",Sync!$L1894)+1,20),FIND("/",MID(Sync!$L1894,FIND("/",Sync!$L1894)+1,20))-1))),2)&amp;"/"&amp;RIGHT("00"&amp;VALUE(TRIM(MID(MID(Sync!$L1894,FIND("/",Sync!$L1894)+1,20),FIND("/",MID(Sync!$L1894,FIND("/",Sync!$L1894)+1,20))+1,20))),2),"")))</f>
        <v/>
      </c>
    </row>
    <row r="1895">
      <c r="M1895">
        <f>IF(Sync!$M1895&lt;&gt;"پاس چک","",IF(Sync!$P1895="","",Sync!$P1895))</f>
        <v/>
      </c>
      <c r="N1895">
        <f>IF($M1895="","",IF(ISNUMBER(Sync!$L1895),IF(AND(Sync!$L1895&gt;=10000101,Sync!$L1895&lt;=99991231),RIGHT("0000"&amp;INT(Sync!$L1895/10000),4)&amp;"/"&amp;RIGHT("00"&amp;INT(MOD(Sync!$L1895,10000)/100),2)&amp;"/"&amp;RIGHT("00"&amp;MOD(Sync!$L1895,100),2),""),IFERROR(RIGHT("0000"&amp;VALUE(TRIM(LEFT(Sync!$L1895,FIND("/",Sync!$L1895)-1))),4)&amp;"/"&amp;RIGHT("00"&amp;VALUE(TRIM(LEFT(MID(Sync!$L1895,FIND("/",Sync!$L1895)+1,20),FIND("/",MID(Sync!$L1895,FIND("/",Sync!$L1895)+1,20))-1))),2)&amp;"/"&amp;RIGHT("00"&amp;VALUE(TRIM(MID(MID(Sync!$L1895,FIND("/",Sync!$L1895)+1,20),FIND("/",MID(Sync!$L1895,FIND("/",Sync!$L1895)+1,20))+1,20))),2),"")))</f>
        <v/>
      </c>
    </row>
    <row r="1896">
      <c r="M1896">
        <f>IF(Sync!$M1896&lt;&gt;"پاس چک","",IF(Sync!$P1896="","",Sync!$P1896))</f>
        <v/>
      </c>
      <c r="N1896">
        <f>IF($M1896="","",IF(ISNUMBER(Sync!$L1896),IF(AND(Sync!$L1896&gt;=10000101,Sync!$L1896&lt;=99991231),RIGHT("0000"&amp;INT(Sync!$L1896/10000),4)&amp;"/"&amp;RIGHT("00"&amp;INT(MOD(Sync!$L1896,10000)/100),2)&amp;"/"&amp;RIGHT("00"&amp;MOD(Sync!$L1896,100),2),""),IFERROR(RIGHT("0000"&amp;VALUE(TRIM(LEFT(Sync!$L1896,FIND("/",Sync!$L1896)-1))),4)&amp;"/"&amp;RIGHT("00"&amp;VALUE(TRIM(LEFT(MID(Sync!$L1896,FIND("/",Sync!$L1896)+1,20),FIND("/",MID(Sync!$L1896,FIND("/",Sync!$L1896)+1,20))-1))),2)&amp;"/"&amp;RIGHT("00"&amp;VALUE(TRIM(MID(MID(Sync!$L1896,FIND("/",Sync!$L1896)+1,20),FIND("/",MID(Sync!$L1896,FIND("/",Sync!$L1896)+1,20))+1,20))),2),"")))</f>
        <v/>
      </c>
    </row>
    <row r="1897">
      <c r="M1897">
        <f>IF(Sync!$M1897&lt;&gt;"پاس چک","",IF(Sync!$P1897="","",Sync!$P1897))</f>
        <v/>
      </c>
      <c r="N1897">
        <f>IF($M1897="","",IF(ISNUMBER(Sync!$L1897),IF(AND(Sync!$L1897&gt;=10000101,Sync!$L1897&lt;=99991231),RIGHT("0000"&amp;INT(Sync!$L1897/10000),4)&amp;"/"&amp;RIGHT("00"&amp;INT(MOD(Sync!$L1897,10000)/100),2)&amp;"/"&amp;RIGHT("00"&amp;MOD(Sync!$L1897,100),2),""),IFERROR(RIGHT("0000"&amp;VALUE(TRIM(LEFT(Sync!$L1897,FIND("/",Sync!$L1897)-1))),4)&amp;"/"&amp;RIGHT("00"&amp;VALUE(TRIM(LEFT(MID(Sync!$L1897,FIND("/",Sync!$L1897)+1,20),FIND("/",MID(Sync!$L1897,FIND("/",Sync!$L1897)+1,20))-1))),2)&amp;"/"&amp;RIGHT("00"&amp;VALUE(TRIM(MID(MID(Sync!$L1897,FIND("/",Sync!$L1897)+1,20),FIND("/",MID(Sync!$L1897,FIND("/",Sync!$L1897)+1,20))+1,20))),2),"")))</f>
        <v/>
      </c>
    </row>
    <row r="1898">
      <c r="M1898">
        <f>IF(Sync!$M1898&lt;&gt;"پاس چک","",IF(Sync!$P1898="","",Sync!$P1898))</f>
        <v/>
      </c>
      <c r="N1898">
        <f>IF($M1898="","",IF(ISNUMBER(Sync!$L1898),IF(AND(Sync!$L1898&gt;=10000101,Sync!$L1898&lt;=99991231),RIGHT("0000"&amp;INT(Sync!$L1898/10000),4)&amp;"/"&amp;RIGHT("00"&amp;INT(MOD(Sync!$L1898,10000)/100),2)&amp;"/"&amp;RIGHT("00"&amp;MOD(Sync!$L1898,100),2),""),IFERROR(RIGHT("0000"&amp;VALUE(TRIM(LEFT(Sync!$L1898,FIND("/",Sync!$L1898)-1))),4)&amp;"/"&amp;RIGHT("00"&amp;VALUE(TRIM(LEFT(MID(Sync!$L1898,FIND("/",Sync!$L1898)+1,20),FIND("/",MID(Sync!$L1898,FIND("/",Sync!$L1898)+1,20))-1))),2)&amp;"/"&amp;RIGHT("00"&amp;VALUE(TRIM(MID(MID(Sync!$L1898,FIND("/",Sync!$L1898)+1,20),FIND("/",MID(Sync!$L1898,FIND("/",Sync!$L1898)+1,20))+1,20))),2),"")))</f>
        <v/>
      </c>
    </row>
    <row r="1899">
      <c r="M1899">
        <f>IF(Sync!$M1899&lt;&gt;"پاس چک","",IF(Sync!$P1899="","",Sync!$P1899))</f>
        <v/>
      </c>
      <c r="N1899">
        <f>IF($M1899="","",IF(ISNUMBER(Sync!$L1899),IF(AND(Sync!$L1899&gt;=10000101,Sync!$L1899&lt;=99991231),RIGHT("0000"&amp;INT(Sync!$L1899/10000),4)&amp;"/"&amp;RIGHT("00"&amp;INT(MOD(Sync!$L1899,10000)/100),2)&amp;"/"&amp;RIGHT("00"&amp;MOD(Sync!$L1899,100),2),""),IFERROR(RIGHT("0000"&amp;VALUE(TRIM(LEFT(Sync!$L1899,FIND("/",Sync!$L1899)-1))),4)&amp;"/"&amp;RIGHT("00"&amp;VALUE(TRIM(LEFT(MID(Sync!$L1899,FIND("/",Sync!$L1899)+1,20),FIND("/",MID(Sync!$L1899,FIND("/",Sync!$L1899)+1,20))-1))),2)&amp;"/"&amp;RIGHT("00"&amp;VALUE(TRIM(MID(MID(Sync!$L1899,FIND("/",Sync!$L1899)+1,20),FIND("/",MID(Sync!$L1899,FIND("/",Sync!$L1899)+1,20))+1,20))),2),"")))</f>
        <v/>
      </c>
    </row>
    <row r="1900">
      <c r="M1900">
        <f>IF(Sync!$M1900&lt;&gt;"پاس چک","",IF(Sync!$P1900="","",Sync!$P1900))</f>
        <v/>
      </c>
      <c r="N1900">
        <f>IF($M1900="","",IF(ISNUMBER(Sync!$L1900),IF(AND(Sync!$L1900&gt;=10000101,Sync!$L1900&lt;=99991231),RIGHT("0000"&amp;INT(Sync!$L1900/10000),4)&amp;"/"&amp;RIGHT("00"&amp;INT(MOD(Sync!$L1900,10000)/100),2)&amp;"/"&amp;RIGHT("00"&amp;MOD(Sync!$L1900,100),2),""),IFERROR(RIGHT("0000"&amp;VALUE(TRIM(LEFT(Sync!$L1900,FIND("/",Sync!$L1900)-1))),4)&amp;"/"&amp;RIGHT("00"&amp;VALUE(TRIM(LEFT(MID(Sync!$L1900,FIND("/",Sync!$L1900)+1,20),FIND("/",MID(Sync!$L1900,FIND("/",Sync!$L1900)+1,20))-1))),2)&amp;"/"&amp;RIGHT("00"&amp;VALUE(TRIM(MID(MID(Sync!$L1900,FIND("/",Sync!$L1900)+1,20),FIND("/",MID(Sync!$L1900,FIND("/",Sync!$L1900)+1,20))+1,20))),2),"")))</f>
        <v/>
      </c>
    </row>
    <row r="1901">
      <c r="M1901">
        <f>IF(Sync!$M1901&lt;&gt;"پاس چک","",IF(Sync!$P1901="","",Sync!$P1901))</f>
        <v/>
      </c>
      <c r="N1901">
        <f>IF($M1901="","",IF(ISNUMBER(Sync!$L1901),IF(AND(Sync!$L1901&gt;=10000101,Sync!$L1901&lt;=99991231),RIGHT("0000"&amp;INT(Sync!$L1901/10000),4)&amp;"/"&amp;RIGHT("00"&amp;INT(MOD(Sync!$L1901,10000)/100),2)&amp;"/"&amp;RIGHT("00"&amp;MOD(Sync!$L1901,100),2),""),IFERROR(RIGHT("0000"&amp;VALUE(TRIM(LEFT(Sync!$L1901,FIND("/",Sync!$L1901)-1))),4)&amp;"/"&amp;RIGHT("00"&amp;VALUE(TRIM(LEFT(MID(Sync!$L1901,FIND("/",Sync!$L1901)+1,20),FIND("/",MID(Sync!$L1901,FIND("/",Sync!$L1901)+1,20))-1))),2)&amp;"/"&amp;RIGHT("00"&amp;VALUE(TRIM(MID(MID(Sync!$L1901,FIND("/",Sync!$L1901)+1,20),FIND("/",MID(Sync!$L1901,FIND("/",Sync!$L1901)+1,20))+1,20))),2),"")))</f>
        <v/>
      </c>
    </row>
    <row r="1902">
      <c r="M1902">
        <f>IF(Sync!$M1902&lt;&gt;"پاس چک","",IF(Sync!$P1902="","",Sync!$P1902))</f>
        <v/>
      </c>
      <c r="N1902">
        <f>IF($M1902="","",IF(ISNUMBER(Sync!$L1902),IF(AND(Sync!$L1902&gt;=10000101,Sync!$L1902&lt;=99991231),RIGHT("0000"&amp;INT(Sync!$L1902/10000),4)&amp;"/"&amp;RIGHT("00"&amp;INT(MOD(Sync!$L1902,10000)/100),2)&amp;"/"&amp;RIGHT("00"&amp;MOD(Sync!$L1902,100),2),""),IFERROR(RIGHT("0000"&amp;VALUE(TRIM(LEFT(Sync!$L1902,FIND("/",Sync!$L1902)-1))),4)&amp;"/"&amp;RIGHT("00"&amp;VALUE(TRIM(LEFT(MID(Sync!$L1902,FIND("/",Sync!$L1902)+1,20),FIND("/",MID(Sync!$L1902,FIND("/",Sync!$L1902)+1,20))-1))),2)&amp;"/"&amp;RIGHT("00"&amp;VALUE(TRIM(MID(MID(Sync!$L1902,FIND("/",Sync!$L1902)+1,20),FIND("/",MID(Sync!$L1902,FIND("/",Sync!$L1902)+1,20))+1,20))),2),"")))</f>
        <v/>
      </c>
    </row>
    <row r="1903">
      <c r="M1903">
        <f>IF(Sync!$M1903&lt;&gt;"پاس چک","",IF(Sync!$P1903="","",Sync!$P1903))</f>
        <v/>
      </c>
      <c r="N1903">
        <f>IF($M1903="","",IF(ISNUMBER(Sync!$L1903),IF(AND(Sync!$L1903&gt;=10000101,Sync!$L1903&lt;=99991231),RIGHT("0000"&amp;INT(Sync!$L1903/10000),4)&amp;"/"&amp;RIGHT("00"&amp;INT(MOD(Sync!$L1903,10000)/100),2)&amp;"/"&amp;RIGHT("00"&amp;MOD(Sync!$L1903,100),2),""),IFERROR(RIGHT("0000"&amp;VALUE(TRIM(LEFT(Sync!$L1903,FIND("/",Sync!$L1903)-1))),4)&amp;"/"&amp;RIGHT("00"&amp;VALUE(TRIM(LEFT(MID(Sync!$L1903,FIND("/",Sync!$L1903)+1,20),FIND("/",MID(Sync!$L1903,FIND("/",Sync!$L1903)+1,20))-1))),2)&amp;"/"&amp;RIGHT("00"&amp;VALUE(TRIM(MID(MID(Sync!$L1903,FIND("/",Sync!$L1903)+1,20),FIND("/",MID(Sync!$L1903,FIND("/",Sync!$L1903)+1,20))+1,20))),2),"")))</f>
        <v/>
      </c>
    </row>
    <row r="1904">
      <c r="M1904">
        <f>IF(Sync!$M1904&lt;&gt;"پاس چک","",IF(Sync!$P1904="","",Sync!$P1904))</f>
        <v/>
      </c>
      <c r="N1904">
        <f>IF($M1904="","",IF(ISNUMBER(Sync!$L1904),IF(AND(Sync!$L1904&gt;=10000101,Sync!$L1904&lt;=99991231),RIGHT("0000"&amp;INT(Sync!$L1904/10000),4)&amp;"/"&amp;RIGHT("00"&amp;INT(MOD(Sync!$L1904,10000)/100),2)&amp;"/"&amp;RIGHT("00"&amp;MOD(Sync!$L1904,100),2),""),IFERROR(RIGHT("0000"&amp;VALUE(TRIM(LEFT(Sync!$L1904,FIND("/",Sync!$L1904)-1))),4)&amp;"/"&amp;RIGHT("00"&amp;VALUE(TRIM(LEFT(MID(Sync!$L1904,FIND("/",Sync!$L1904)+1,20),FIND("/",MID(Sync!$L1904,FIND("/",Sync!$L1904)+1,20))-1))),2)&amp;"/"&amp;RIGHT("00"&amp;VALUE(TRIM(MID(MID(Sync!$L1904,FIND("/",Sync!$L1904)+1,20),FIND("/",MID(Sync!$L1904,FIND("/",Sync!$L1904)+1,20))+1,20))),2),"")))</f>
        <v/>
      </c>
    </row>
    <row r="1905">
      <c r="M1905">
        <f>IF(Sync!$M1905&lt;&gt;"پاس چک","",IF(Sync!$P1905="","",Sync!$P1905))</f>
        <v/>
      </c>
      <c r="N1905">
        <f>IF($M1905="","",IF(ISNUMBER(Sync!$L1905),IF(AND(Sync!$L1905&gt;=10000101,Sync!$L1905&lt;=99991231),RIGHT("0000"&amp;INT(Sync!$L1905/10000),4)&amp;"/"&amp;RIGHT("00"&amp;INT(MOD(Sync!$L1905,10000)/100),2)&amp;"/"&amp;RIGHT("00"&amp;MOD(Sync!$L1905,100),2),""),IFERROR(RIGHT("0000"&amp;VALUE(TRIM(LEFT(Sync!$L1905,FIND("/",Sync!$L1905)-1))),4)&amp;"/"&amp;RIGHT("00"&amp;VALUE(TRIM(LEFT(MID(Sync!$L1905,FIND("/",Sync!$L1905)+1,20),FIND("/",MID(Sync!$L1905,FIND("/",Sync!$L1905)+1,20))-1))),2)&amp;"/"&amp;RIGHT("00"&amp;VALUE(TRIM(MID(MID(Sync!$L1905,FIND("/",Sync!$L1905)+1,20),FIND("/",MID(Sync!$L1905,FIND("/",Sync!$L1905)+1,20))+1,20))),2),"")))</f>
        <v/>
      </c>
    </row>
    <row r="1906">
      <c r="M1906">
        <f>IF(Sync!$M1906&lt;&gt;"پاس چک","",IF(Sync!$P1906="","",Sync!$P1906))</f>
        <v/>
      </c>
      <c r="N1906">
        <f>IF($M1906="","",IF(ISNUMBER(Sync!$L1906),IF(AND(Sync!$L1906&gt;=10000101,Sync!$L1906&lt;=99991231),RIGHT("0000"&amp;INT(Sync!$L1906/10000),4)&amp;"/"&amp;RIGHT("00"&amp;INT(MOD(Sync!$L1906,10000)/100),2)&amp;"/"&amp;RIGHT("00"&amp;MOD(Sync!$L1906,100),2),""),IFERROR(RIGHT("0000"&amp;VALUE(TRIM(LEFT(Sync!$L1906,FIND("/",Sync!$L1906)-1))),4)&amp;"/"&amp;RIGHT("00"&amp;VALUE(TRIM(LEFT(MID(Sync!$L1906,FIND("/",Sync!$L1906)+1,20),FIND("/",MID(Sync!$L1906,FIND("/",Sync!$L1906)+1,20))-1))),2)&amp;"/"&amp;RIGHT("00"&amp;VALUE(TRIM(MID(MID(Sync!$L1906,FIND("/",Sync!$L1906)+1,20),FIND("/",MID(Sync!$L1906,FIND("/",Sync!$L1906)+1,20))+1,20))),2),"")))</f>
        <v/>
      </c>
    </row>
    <row r="1907">
      <c r="M1907">
        <f>IF(Sync!$M1907&lt;&gt;"پاس چک","",IF(Sync!$P1907="","",Sync!$P1907))</f>
        <v/>
      </c>
      <c r="N1907">
        <f>IF($M1907="","",IF(ISNUMBER(Sync!$L1907),IF(AND(Sync!$L1907&gt;=10000101,Sync!$L1907&lt;=99991231),RIGHT("0000"&amp;INT(Sync!$L1907/10000),4)&amp;"/"&amp;RIGHT("00"&amp;INT(MOD(Sync!$L1907,10000)/100),2)&amp;"/"&amp;RIGHT("00"&amp;MOD(Sync!$L1907,100),2),""),IFERROR(RIGHT("0000"&amp;VALUE(TRIM(LEFT(Sync!$L1907,FIND("/",Sync!$L1907)-1))),4)&amp;"/"&amp;RIGHT("00"&amp;VALUE(TRIM(LEFT(MID(Sync!$L1907,FIND("/",Sync!$L1907)+1,20),FIND("/",MID(Sync!$L1907,FIND("/",Sync!$L1907)+1,20))-1))),2)&amp;"/"&amp;RIGHT("00"&amp;VALUE(TRIM(MID(MID(Sync!$L1907,FIND("/",Sync!$L1907)+1,20),FIND("/",MID(Sync!$L1907,FIND("/",Sync!$L1907)+1,20))+1,20))),2),"")))</f>
        <v/>
      </c>
    </row>
    <row r="1908">
      <c r="M1908">
        <f>IF(Sync!$M1908&lt;&gt;"پاس چک","",IF(Sync!$P1908="","",Sync!$P1908))</f>
        <v/>
      </c>
      <c r="N1908">
        <f>IF($M1908="","",IF(ISNUMBER(Sync!$L1908),IF(AND(Sync!$L1908&gt;=10000101,Sync!$L1908&lt;=99991231),RIGHT("0000"&amp;INT(Sync!$L1908/10000),4)&amp;"/"&amp;RIGHT("00"&amp;INT(MOD(Sync!$L1908,10000)/100),2)&amp;"/"&amp;RIGHT("00"&amp;MOD(Sync!$L1908,100),2),""),IFERROR(RIGHT("0000"&amp;VALUE(TRIM(LEFT(Sync!$L1908,FIND("/",Sync!$L1908)-1))),4)&amp;"/"&amp;RIGHT("00"&amp;VALUE(TRIM(LEFT(MID(Sync!$L1908,FIND("/",Sync!$L1908)+1,20),FIND("/",MID(Sync!$L1908,FIND("/",Sync!$L1908)+1,20))-1))),2)&amp;"/"&amp;RIGHT("00"&amp;VALUE(TRIM(MID(MID(Sync!$L1908,FIND("/",Sync!$L1908)+1,20),FIND("/",MID(Sync!$L1908,FIND("/",Sync!$L1908)+1,20))+1,20))),2),"")))</f>
        <v/>
      </c>
    </row>
    <row r="1909">
      <c r="M1909">
        <f>IF(Sync!$M1909&lt;&gt;"پاس چک","",IF(Sync!$P1909="","",Sync!$P1909))</f>
        <v/>
      </c>
      <c r="N1909">
        <f>IF($M1909="","",IF(ISNUMBER(Sync!$L1909),IF(AND(Sync!$L1909&gt;=10000101,Sync!$L1909&lt;=99991231),RIGHT("0000"&amp;INT(Sync!$L1909/10000),4)&amp;"/"&amp;RIGHT("00"&amp;INT(MOD(Sync!$L1909,10000)/100),2)&amp;"/"&amp;RIGHT("00"&amp;MOD(Sync!$L1909,100),2),""),IFERROR(RIGHT("0000"&amp;VALUE(TRIM(LEFT(Sync!$L1909,FIND("/",Sync!$L1909)-1))),4)&amp;"/"&amp;RIGHT("00"&amp;VALUE(TRIM(LEFT(MID(Sync!$L1909,FIND("/",Sync!$L1909)+1,20),FIND("/",MID(Sync!$L1909,FIND("/",Sync!$L1909)+1,20))-1))),2)&amp;"/"&amp;RIGHT("00"&amp;VALUE(TRIM(MID(MID(Sync!$L1909,FIND("/",Sync!$L1909)+1,20),FIND("/",MID(Sync!$L1909,FIND("/",Sync!$L1909)+1,20))+1,20))),2),"")))</f>
        <v/>
      </c>
    </row>
    <row r="1910">
      <c r="M1910">
        <f>IF(Sync!$M1910&lt;&gt;"پاس چک","",IF(Sync!$P1910="","",Sync!$P1910))</f>
        <v/>
      </c>
      <c r="N1910">
        <f>IF($M1910="","",IF(ISNUMBER(Sync!$L1910),IF(AND(Sync!$L1910&gt;=10000101,Sync!$L1910&lt;=99991231),RIGHT("0000"&amp;INT(Sync!$L1910/10000),4)&amp;"/"&amp;RIGHT("00"&amp;INT(MOD(Sync!$L1910,10000)/100),2)&amp;"/"&amp;RIGHT("00"&amp;MOD(Sync!$L1910,100),2),""),IFERROR(RIGHT("0000"&amp;VALUE(TRIM(LEFT(Sync!$L1910,FIND("/",Sync!$L1910)-1))),4)&amp;"/"&amp;RIGHT("00"&amp;VALUE(TRIM(LEFT(MID(Sync!$L1910,FIND("/",Sync!$L1910)+1,20),FIND("/",MID(Sync!$L1910,FIND("/",Sync!$L1910)+1,20))-1))),2)&amp;"/"&amp;RIGHT("00"&amp;VALUE(TRIM(MID(MID(Sync!$L1910,FIND("/",Sync!$L1910)+1,20),FIND("/",MID(Sync!$L1910,FIND("/",Sync!$L1910)+1,20))+1,20))),2),"")))</f>
        <v/>
      </c>
    </row>
    <row r="1911">
      <c r="M1911">
        <f>IF(Sync!$M1911&lt;&gt;"پاس چک","",IF(Sync!$P1911="","",Sync!$P1911))</f>
        <v/>
      </c>
      <c r="N1911">
        <f>IF($M1911="","",IF(ISNUMBER(Sync!$L1911),IF(AND(Sync!$L1911&gt;=10000101,Sync!$L1911&lt;=99991231),RIGHT("0000"&amp;INT(Sync!$L1911/10000),4)&amp;"/"&amp;RIGHT("00"&amp;INT(MOD(Sync!$L1911,10000)/100),2)&amp;"/"&amp;RIGHT("00"&amp;MOD(Sync!$L1911,100),2),""),IFERROR(RIGHT("0000"&amp;VALUE(TRIM(LEFT(Sync!$L1911,FIND("/",Sync!$L1911)-1))),4)&amp;"/"&amp;RIGHT("00"&amp;VALUE(TRIM(LEFT(MID(Sync!$L1911,FIND("/",Sync!$L1911)+1,20),FIND("/",MID(Sync!$L1911,FIND("/",Sync!$L1911)+1,20))-1))),2)&amp;"/"&amp;RIGHT("00"&amp;VALUE(TRIM(MID(MID(Sync!$L1911,FIND("/",Sync!$L1911)+1,20),FIND("/",MID(Sync!$L1911,FIND("/",Sync!$L1911)+1,20))+1,20))),2),"")))</f>
        <v/>
      </c>
    </row>
    <row r="1912">
      <c r="M1912">
        <f>IF(Sync!$M1912&lt;&gt;"پاس چک","",IF(Sync!$P1912="","",Sync!$P1912))</f>
        <v/>
      </c>
      <c r="N1912">
        <f>IF($M1912="","",IF(ISNUMBER(Sync!$L1912),IF(AND(Sync!$L1912&gt;=10000101,Sync!$L1912&lt;=99991231),RIGHT("0000"&amp;INT(Sync!$L1912/10000),4)&amp;"/"&amp;RIGHT("00"&amp;INT(MOD(Sync!$L1912,10000)/100),2)&amp;"/"&amp;RIGHT("00"&amp;MOD(Sync!$L1912,100),2),""),IFERROR(RIGHT("0000"&amp;VALUE(TRIM(LEFT(Sync!$L1912,FIND("/",Sync!$L1912)-1))),4)&amp;"/"&amp;RIGHT("00"&amp;VALUE(TRIM(LEFT(MID(Sync!$L1912,FIND("/",Sync!$L1912)+1,20),FIND("/",MID(Sync!$L1912,FIND("/",Sync!$L1912)+1,20))-1))),2)&amp;"/"&amp;RIGHT("00"&amp;VALUE(TRIM(MID(MID(Sync!$L1912,FIND("/",Sync!$L1912)+1,20),FIND("/",MID(Sync!$L1912,FIND("/",Sync!$L1912)+1,20))+1,20))),2),"")))</f>
        <v/>
      </c>
    </row>
    <row r="1913">
      <c r="M1913">
        <f>IF(Sync!$M1913&lt;&gt;"پاس چک","",IF(Sync!$P1913="","",Sync!$P1913))</f>
        <v/>
      </c>
      <c r="N1913">
        <f>IF($M1913="","",IF(ISNUMBER(Sync!$L1913),IF(AND(Sync!$L1913&gt;=10000101,Sync!$L1913&lt;=99991231),RIGHT("0000"&amp;INT(Sync!$L1913/10000),4)&amp;"/"&amp;RIGHT("00"&amp;INT(MOD(Sync!$L1913,10000)/100),2)&amp;"/"&amp;RIGHT("00"&amp;MOD(Sync!$L1913,100),2),""),IFERROR(RIGHT("0000"&amp;VALUE(TRIM(LEFT(Sync!$L1913,FIND("/",Sync!$L1913)-1))),4)&amp;"/"&amp;RIGHT("00"&amp;VALUE(TRIM(LEFT(MID(Sync!$L1913,FIND("/",Sync!$L1913)+1,20),FIND("/",MID(Sync!$L1913,FIND("/",Sync!$L1913)+1,20))-1))),2)&amp;"/"&amp;RIGHT("00"&amp;VALUE(TRIM(MID(MID(Sync!$L1913,FIND("/",Sync!$L1913)+1,20),FIND("/",MID(Sync!$L1913,FIND("/",Sync!$L1913)+1,20))+1,20))),2),"")))</f>
        <v/>
      </c>
    </row>
    <row r="1914">
      <c r="M1914">
        <f>IF(Sync!$M1914&lt;&gt;"پاس چک","",IF(Sync!$P1914="","",Sync!$P1914))</f>
        <v/>
      </c>
      <c r="N1914">
        <f>IF($M1914="","",IF(ISNUMBER(Sync!$L1914),IF(AND(Sync!$L1914&gt;=10000101,Sync!$L1914&lt;=99991231),RIGHT("0000"&amp;INT(Sync!$L1914/10000),4)&amp;"/"&amp;RIGHT("00"&amp;INT(MOD(Sync!$L1914,10000)/100),2)&amp;"/"&amp;RIGHT("00"&amp;MOD(Sync!$L1914,100),2),""),IFERROR(RIGHT("0000"&amp;VALUE(TRIM(LEFT(Sync!$L1914,FIND("/",Sync!$L1914)-1))),4)&amp;"/"&amp;RIGHT("00"&amp;VALUE(TRIM(LEFT(MID(Sync!$L1914,FIND("/",Sync!$L1914)+1,20),FIND("/",MID(Sync!$L1914,FIND("/",Sync!$L1914)+1,20))-1))),2)&amp;"/"&amp;RIGHT("00"&amp;VALUE(TRIM(MID(MID(Sync!$L1914,FIND("/",Sync!$L1914)+1,20),FIND("/",MID(Sync!$L1914,FIND("/",Sync!$L1914)+1,20))+1,20))),2),"")))</f>
        <v/>
      </c>
    </row>
    <row r="1915">
      <c r="M1915">
        <f>IF(Sync!$M1915&lt;&gt;"پاس چک","",IF(Sync!$P1915="","",Sync!$P1915))</f>
        <v/>
      </c>
      <c r="N1915">
        <f>IF($M1915="","",IF(ISNUMBER(Sync!$L1915),IF(AND(Sync!$L1915&gt;=10000101,Sync!$L1915&lt;=99991231),RIGHT("0000"&amp;INT(Sync!$L1915/10000),4)&amp;"/"&amp;RIGHT("00"&amp;INT(MOD(Sync!$L1915,10000)/100),2)&amp;"/"&amp;RIGHT("00"&amp;MOD(Sync!$L1915,100),2),""),IFERROR(RIGHT("0000"&amp;VALUE(TRIM(LEFT(Sync!$L1915,FIND("/",Sync!$L1915)-1))),4)&amp;"/"&amp;RIGHT("00"&amp;VALUE(TRIM(LEFT(MID(Sync!$L1915,FIND("/",Sync!$L1915)+1,20),FIND("/",MID(Sync!$L1915,FIND("/",Sync!$L1915)+1,20))-1))),2)&amp;"/"&amp;RIGHT("00"&amp;VALUE(TRIM(MID(MID(Sync!$L1915,FIND("/",Sync!$L1915)+1,20),FIND("/",MID(Sync!$L1915,FIND("/",Sync!$L1915)+1,20))+1,20))),2),"")))</f>
        <v/>
      </c>
    </row>
    <row r="1916">
      <c r="M1916">
        <f>IF(Sync!$M1916&lt;&gt;"پاس چک","",IF(Sync!$P1916="","",Sync!$P1916))</f>
        <v/>
      </c>
      <c r="N1916">
        <f>IF($M1916="","",IF(ISNUMBER(Sync!$L1916),IF(AND(Sync!$L1916&gt;=10000101,Sync!$L1916&lt;=99991231),RIGHT("0000"&amp;INT(Sync!$L1916/10000),4)&amp;"/"&amp;RIGHT("00"&amp;INT(MOD(Sync!$L1916,10000)/100),2)&amp;"/"&amp;RIGHT("00"&amp;MOD(Sync!$L1916,100),2),""),IFERROR(RIGHT("0000"&amp;VALUE(TRIM(LEFT(Sync!$L1916,FIND("/",Sync!$L1916)-1))),4)&amp;"/"&amp;RIGHT("00"&amp;VALUE(TRIM(LEFT(MID(Sync!$L1916,FIND("/",Sync!$L1916)+1,20),FIND("/",MID(Sync!$L1916,FIND("/",Sync!$L1916)+1,20))-1))),2)&amp;"/"&amp;RIGHT("00"&amp;VALUE(TRIM(MID(MID(Sync!$L1916,FIND("/",Sync!$L1916)+1,20),FIND("/",MID(Sync!$L1916,FIND("/",Sync!$L1916)+1,20))+1,20))),2),"")))</f>
        <v/>
      </c>
    </row>
    <row r="1917">
      <c r="M1917">
        <f>IF(Sync!$M1917&lt;&gt;"پاس چک","",IF(Sync!$P1917="","",Sync!$P1917))</f>
        <v/>
      </c>
      <c r="N1917">
        <f>IF($M1917="","",IF(ISNUMBER(Sync!$L1917),IF(AND(Sync!$L1917&gt;=10000101,Sync!$L1917&lt;=99991231),RIGHT("0000"&amp;INT(Sync!$L1917/10000),4)&amp;"/"&amp;RIGHT("00"&amp;INT(MOD(Sync!$L1917,10000)/100),2)&amp;"/"&amp;RIGHT("00"&amp;MOD(Sync!$L1917,100),2),""),IFERROR(RIGHT("0000"&amp;VALUE(TRIM(LEFT(Sync!$L1917,FIND("/",Sync!$L1917)-1))),4)&amp;"/"&amp;RIGHT("00"&amp;VALUE(TRIM(LEFT(MID(Sync!$L1917,FIND("/",Sync!$L1917)+1,20),FIND("/",MID(Sync!$L1917,FIND("/",Sync!$L1917)+1,20))-1))),2)&amp;"/"&amp;RIGHT("00"&amp;VALUE(TRIM(MID(MID(Sync!$L1917,FIND("/",Sync!$L1917)+1,20),FIND("/",MID(Sync!$L1917,FIND("/",Sync!$L1917)+1,20))+1,20))),2),"")))</f>
        <v/>
      </c>
    </row>
    <row r="1918">
      <c r="M1918">
        <f>IF(Sync!$M1918&lt;&gt;"پاس چک","",IF(Sync!$P1918="","",Sync!$P1918))</f>
        <v/>
      </c>
      <c r="N1918">
        <f>IF($M1918="","",IF(ISNUMBER(Sync!$L1918),IF(AND(Sync!$L1918&gt;=10000101,Sync!$L1918&lt;=99991231),RIGHT("0000"&amp;INT(Sync!$L1918/10000),4)&amp;"/"&amp;RIGHT("00"&amp;INT(MOD(Sync!$L1918,10000)/100),2)&amp;"/"&amp;RIGHT("00"&amp;MOD(Sync!$L1918,100),2),""),IFERROR(RIGHT("0000"&amp;VALUE(TRIM(LEFT(Sync!$L1918,FIND("/",Sync!$L1918)-1))),4)&amp;"/"&amp;RIGHT("00"&amp;VALUE(TRIM(LEFT(MID(Sync!$L1918,FIND("/",Sync!$L1918)+1,20),FIND("/",MID(Sync!$L1918,FIND("/",Sync!$L1918)+1,20))-1))),2)&amp;"/"&amp;RIGHT("00"&amp;VALUE(TRIM(MID(MID(Sync!$L1918,FIND("/",Sync!$L1918)+1,20),FIND("/",MID(Sync!$L1918,FIND("/",Sync!$L1918)+1,20))+1,20))),2),"")))</f>
        <v/>
      </c>
    </row>
    <row r="1919">
      <c r="M1919">
        <f>IF(Sync!$M1919&lt;&gt;"پاس چک","",IF(Sync!$P1919="","",Sync!$P1919))</f>
        <v/>
      </c>
      <c r="N1919">
        <f>IF($M1919="","",IF(ISNUMBER(Sync!$L1919),IF(AND(Sync!$L1919&gt;=10000101,Sync!$L1919&lt;=99991231),RIGHT("0000"&amp;INT(Sync!$L1919/10000),4)&amp;"/"&amp;RIGHT("00"&amp;INT(MOD(Sync!$L1919,10000)/100),2)&amp;"/"&amp;RIGHT("00"&amp;MOD(Sync!$L1919,100),2),""),IFERROR(RIGHT("0000"&amp;VALUE(TRIM(LEFT(Sync!$L1919,FIND("/",Sync!$L1919)-1))),4)&amp;"/"&amp;RIGHT("00"&amp;VALUE(TRIM(LEFT(MID(Sync!$L1919,FIND("/",Sync!$L1919)+1,20),FIND("/",MID(Sync!$L1919,FIND("/",Sync!$L1919)+1,20))-1))),2)&amp;"/"&amp;RIGHT("00"&amp;VALUE(TRIM(MID(MID(Sync!$L1919,FIND("/",Sync!$L1919)+1,20),FIND("/",MID(Sync!$L1919,FIND("/",Sync!$L1919)+1,20))+1,20))),2),"")))</f>
        <v/>
      </c>
    </row>
    <row r="1920">
      <c r="M1920">
        <f>IF(Sync!$M1920&lt;&gt;"پاس چک","",IF(Sync!$P1920="","",Sync!$P1920))</f>
        <v/>
      </c>
      <c r="N1920">
        <f>IF($M1920="","",IF(ISNUMBER(Sync!$L1920),IF(AND(Sync!$L1920&gt;=10000101,Sync!$L1920&lt;=99991231),RIGHT("0000"&amp;INT(Sync!$L1920/10000),4)&amp;"/"&amp;RIGHT("00"&amp;INT(MOD(Sync!$L1920,10000)/100),2)&amp;"/"&amp;RIGHT("00"&amp;MOD(Sync!$L1920,100),2),""),IFERROR(RIGHT("0000"&amp;VALUE(TRIM(LEFT(Sync!$L1920,FIND("/",Sync!$L1920)-1))),4)&amp;"/"&amp;RIGHT("00"&amp;VALUE(TRIM(LEFT(MID(Sync!$L1920,FIND("/",Sync!$L1920)+1,20),FIND("/",MID(Sync!$L1920,FIND("/",Sync!$L1920)+1,20))-1))),2)&amp;"/"&amp;RIGHT("00"&amp;VALUE(TRIM(MID(MID(Sync!$L1920,FIND("/",Sync!$L1920)+1,20),FIND("/",MID(Sync!$L1920,FIND("/",Sync!$L1920)+1,20))+1,20))),2),"")))</f>
        <v/>
      </c>
    </row>
    <row r="1921">
      <c r="M1921">
        <f>IF(Sync!$M1921&lt;&gt;"پاس چک","",IF(Sync!$P1921="","",Sync!$P1921))</f>
        <v/>
      </c>
      <c r="N1921">
        <f>IF($M1921="","",IF(ISNUMBER(Sync!$L1921),IF(AND(Sync!$L1921&gt;=10000101,Sync!$L1921&lt;=99991231),RIGHT("0000"&amp;INT(Sync!$L1921/10000),4)&amp;"/"&amp;RIGHT("00"&amp;INT(MOD(Sync!$L1921,10000)/100),2)&amp;"/"&amp;RIGHT("00"&amp;MOD(Sync!$L1921,100),2),""),IFERROR(RIGHT("0000"&amp;VALUE(TRIM(LEFT(Sync!$L1921,FIND("/",Sync!$L1921)-1))),4)&amp;"/"&amp;RIGHT("00"&amp;VALUE(TRIM(LEFT(MID(Sync!$L1921,FIND("/",Sync!$L1921)+1,20),FIND("/",MID(Sync!$L1921,FIND("/",Sync!$L1921)+1,20))-1))),2)&amp;"/"&amp;RIGHT("00"&amp;VALUE(TRIM(MID(MID(Sync!$L1921,FIND("/",Sync!$L1921)+1,20),FIND("/",MID(Sync!$L1921,FIND("/",Sync!$L1921)+1,20))+1,20))),2),"")))</f>
        <v/>
      </c>
    </row>
    <row r="1922">
      <c r="M1922">
        <f>IF(Sync!$M1922&lt;&gt;"پاس چک","",IF(Sync!$P1922="","",Sync!$P1922))</f>
        <v/>
      </c>
      <c r="N1922">
        <f>IF($M1922="","",IF(ISNUMBER(Sync!$L1922),IF(AND(Sync!$L1922&gt;=10000101,Sync!$L1922&lt;=99991231),RIGHT("0000"&amp;INT(Sync!$L1922/10000),4)&amp;"/"&amp;RIGHT("00"&amp;INT(MOD(Sync!$L1922,10000)/100),2)&amp;"/"&amp;RIGHT("00"&amp;MOD(Sync!$L1922,100),2),""),IFERROR(RIGHT("0000"&amp;VALUE(TRIM(LEFT(Sync!$L1922,FIND("/",Sync!$L1922)-1))),4)&amp;"/"&amp;RIGHT("00"&amp;VALUE(TRIM(LEFT(MID(Sync!$L1922,FIND("/",Sync!$L1922)+1,20),FIND("/",MID(Sync!$L1922,FIND("/",Sync!$L1922)+1,20))-1))),2)&amp;"/"&amp;RIGHT("00"&amp;VALUE(TRIM(MID(MID(Sync!$L1922,FIND("/",Sync!$L1922)+1,20),FIND("/",MID(Sync!$L1922,FIND("/",Sync!$L1922)+1,20))+1,20))),2),"")))</f>
        <v/>
      </c>
    </row>
    <row r="1923">
      <c r="M1923">
        <f>IF(Sync!$M1923&lt;&gt;"پاس چک","",IF(Sync!$P1923="","",Sync!$P1923))</f>
        <v/>
      </c>
      <c r="N1923">
        <f>IF($M1923="","",IF(ISNUMBER(Sync!$L1923),IF(AND(Sync!$L1923&gt;=10000101,Sync!$L1923&lt;=99991231),RIGHT("0000"&amp;INT(Sync!$L1923/10000),4)&amp;"/"&amp;RIGHT("00"&amp;INT(MOD(Sync!$L1923,10000)/100),2)&amp;"/"&amp;RIGHT("00"&amp;MOD(Sync!$L1923,100),2),""),IFERROR(RIGHT("0000"&amp;VALUE(TRIM(LEFT(Sync!$L1923,FIND("/",Sync!$L1923)-1))),4)&amp;"/"&amp;RIGHT("00"&amp;VALUE(TRIM(LEFT(MID(Sync!$L1923,FIND("/",Sync!$L1923)+1,20),FIND("/",MID(Sync!$L1923,FIND("/",Sync!$L1923)+1,20))-1))),2)&amp;"/"&amp;RIGHT("00"&amp;VALUE(TRIM(MID(MID(Sync!$L1923,FIND("/",Sync!$L1923)+1,20),FIND("/",MID(Sync!$L1923,FIND("/",Sync!$L1923)+1,20))+1,20))),2),"")))</f>
        <v/>
      </c>
    </row>
    <row r="1924">
      <c r="M1924">
        <f>IF(Sync!$M1924&lt;&gt;"پاس چک","",IF(Sync!$P1924="","",Sync!$P1924))</f>
        <v/>
      </c>
      <c r="N1924">
        <f>IF($M1924="","",IF(ISNUMBER(Sync!$L1924),IF(AND(Sync!$L1924&gt;=10000101,Sync!$L1924&lt;=99991231),RIGHT("0000"&amp;INT(Sync!$L1924/10000),4)&amp;"/"&amp;RIGHT("00"&amp;INT(MOD(Sync!$L1924,10000)/100),2)&amp;"/"&amp;RIGHT("00"&amp;MOD(Sync!$L1924,100),2),""),IFERROR(RIGHT("0000"&amp;VALUE(TRIM(LEFT(Sync!$L1924,FIND("/",Sync!$L1924)-1))),4)&amp;"/"&amp;RIGHT("00"&amp;VALUE(TRIM(LEFT(MID(Sync!$L1924,FIND("/",Sync!$L1924)+1,20),FIND("/",MID(Sync!$L1924,FIND("/",Sync!$L1924)+1,20))-1))),2)&amp;"/"&amp;RIGHT("00"&amp;VALUE(TRIM(MID(MID(Sync!$L1924,FIND("/",Sync!$L1924)+1,20),FIND("/",MID(Sync!$L1924,FIND("/",Sync!$L1924)+1,20))+1,20))),2),"")))</f>
        <v/>
      </c>
    </row>
    <row r="1925">
      <c r="M1925">
        <f>IF(Sync!$M1925&lt;&gt;"پاس چک","",IF(Sync!$P1925="","",Sync!$P1925))</f>
        <v/>
      </c>
      <c r="N1925">
        <f>IF($M1925="","",IF(ISNUMBER(Sync!$L1925),IF(AND(Sync!$L1925&gt;=10000101,Sync!$L1925&lt;=99991231),RIGHT("0000"&amp;INT(Sync!$L1925/10000),4)&amp;"/"&amp;RIGHT("00"&amp;INT(MOD(Sync!$L1925,10000)/100),2)&amp;"/"&amp;RIGHT("00"&amp;MOD(Sync!$L1925,100),2),""),IFERROR(RIGHT("0000"&amp;VALUE(TRIM(LEFT(Sync!$L1925,FIND("/",Sync!$L1925)-1))),4)&amp;"/"&amp;RIGHT("00"&amp;VALUE(TRIM(LEFT(MID(Sync!$L1925,FIND("/",Sync!$L1925)+1,20),FIND("/",MID(Sync!$L1925,FIND("/",Sync!$L1925)+1,20))-1))),2)&amp;"/"&amp;RIGHT("00"&amp;VALUE(TRIM(MID(MID(Sync!$L1925,FIND("/",Sync!$L1925)+1,20),FIND("/",MID(Sync!$L1925,FIND("/",Sync!$L1925)+1,20))+1,20))),2),"")))</f>
        <v/>
      </c>
    </row>
    <row r="1926">
      <c r="M1926">
        <f>IF(Sync!$M1926&lt;&gt;"پاس چک","",IF(Sync!$P1926="","",Sync!$P1926))</f>
        <v/>
      </c>
      <c r="N1926">
        <f>IF($M1926="","",IF(ISNUMBER(Sync!$L1926),IF(AND(Sync!$L1926&gt;=10000101,Sync!$L1926&lt;=99991231),RIGHT("0000"&amp;INT(Sync!$L1926/10000),4)&amp;"/"&amp;RIGHT("00"&amp;INT(MOD(Sync!$L1926,10000)/100),2)&amp;"/"&amp;RIGHT("00"&amp;MOD(Sync!$L1926,100),2),""),IFERROR(RIGHT("0000"&amp;VALUE(TRIM(LEFT(Sync!$L1926,FIND("/",Sync!$L1926)-1))),4)&amp;"/"&amp;RIGHT("00"&amp;VALUE(TRIM(LEFT(MID(Sync!$L1926,FIND("/",Sync!$L1926)+1,20),FIND("/",MID(Sync!$L1926,FIND("/",Sync!$L1926)+1,20))-1))),2)&amp;"/"&amp;RIGHT("00"&amp;VALUE(TRIM(MID(MID(Sync!$L1926,FIND("/",Sync!$L1926)+1,20),FIND("/",MID(Sync!$L1926,FIND("/",Sync!$L1926)+1,20))+1,20))),2),"")))</f>
        <v/>
      </c>
    </row>
    <row r="1927">
      <c r="M1927">
        <f>IF(Sync!$M1927&lt;&gt;"پاس چک","",IF(Sync!$P1927="","",Sync!$P1927))</f>
        <v/>
      </c>
      <c r="N1927">
        <f>IF($M1927="","",IF(ISNUMBER(Sync!$L1927),IF(AND(Sync!$L1927&gt;=10000101,Sync!$L1927&lt;=99991231),RIGHT("0000"&amp;INT(Sync!$L1927/10000),4)&amp;"/"&amp;RIGHT("00"&amp;INT(MOD(Sync!$L1927,10000)/100),2)&amp;"/"&amp;RIGHT("00"&amp;MOD(Sync!$L1927,100),2),""),IFERROR(RIGHT("0000"&amp;VALUE(TRIM(LEFT(Sync!$L1927,FIND("/",Sync!$L1927)-1))),4)&amp;"/"&amp;RIGHT("00"&amp;VALUE(TRIM(LEFT(MID(Sync!$L1927,FIND("/",Sync!$L1927)+1,20),FIND("/",MID(Sync!$L1927,FIND("/",Sync!$L1927)+1,20))-1))),2)&amp;"/"&amp;RIGHT("00"&amp;VALUE(TRIM(MID(MID(Sync!$L1927,FIND("/",Sync!$L1927)+1,20),FIND("/",MID(Sync!$L1927,FIND("/",Sync!$L1927)+1,20))+1,20))),2),"")))</f>
        <v/>
      </c>
    </row>
    <row r="1928">
      <c r="M1928">
        <f>IF(Sync!$M1928&lt;&gt;"پاس چک","",IF(Sync!$P1928="","",Sync!$P1928))</f>
        <v/>
      </c>
      <c r="N1928">
        <f>IF($M1928="","",IF(ISNUMBER(Sync!$L1928),IF(AND(Sync!$L1928&gt;=10000101,Sync!$L1928&lt;=99991231),RIGHT("0000"&amp;INT(Sync!$L1928/10000),4)&amp;"/"&amp;RIGHT("00"&amp;INT(MOD(Sync!$L1928,10000)/100),2)&amp;"/"&amp;RIGHT("00"&amp;MOD(Sync!$L1928,100),2),""),IFERROR(RIGHT("0000"&amp;VALUE(TRIM(LEFT(Sync!$L1928,FIND("/",Sync!$L1928)-1))),4)&amp;"/"&amp;RIGHT("00"&amp;VALUE(TRIM(LEFT(MID(Sync!$L1928,FIND("/",Sync!$L1928)+1,20),FIND("/",MID(Sync!$L1928,FIND("/",Sync!$L1928)+1,20))-1))),2)&amp;"/"&amp;RIGHT("00"&amp;VALUE(TRIM(MID(MID(Sync!$L1928,FIND("/",Sync!$L1928)+1,20),FIND("/",MID(Sync!$L1928,FIND("/",Sync!$L1928)+1,20))+1,20))),2),"")))</f>
        <v/>
      </c>
    </row>
    <row r="1929">
      <c r="M1929">
        <f>IF(Sync!$M1929&lt;&gt;"پاس چک","",IF(Sync!$P1929="","",Sync!$P1929))</f>
        <v/>
      </c>
      <c r="N1929">
        <f>IF($M1929="","",IF(ISNUMBER(Sync!$L1929),IF(AND(Sync!$L1929&gt;=10000101,Sync!$L1929&lt;=99991231),RIGHT("0000"&amp;INT(Sync!$L1929/10000),4)&amp;"/"&amp;RIGHT("00"&amp;INT(MOD(Sync!$L1929,10000)/100),2)&amp;"/"&amp;RIGHT("00"&amp;MOD(Sync!$L1929,100),2),""),IFERROR(RIGHT("0000"&amp;VALUE(TRIM(LEFT(Sync!$L1929,FIND("/",Sync!$L1929)-1))),4)&amp;"/"&amp;RIGHT("00"&amp;VALUE(TRIM(LEFT(MID(Sync!$L1929,FIND("/",Sync!$L1929)+1,20),FIND("/",MID(Sync!$L1929,FIND("/",Sync!$L1929)+1,20))-1))),2)&amp;"/"&amp;RIGHT("00"&amp;VALUE(TRIM(MID(MID(Sync!$L1929,FIND("/",Sync!$L1929)+1,20),FIND("/",MID(Sync!$L1929,FIND("/",Sync!$L1929)+1,20))+1,20))),2),"")))</f>
        <v/>
      </c>
    </row>
    <row r="1930">
      <c r="M1930">
        <f>IF(Sync!$M1930&lt;&gt;"پاس چک","",IF(Sync!$P1930="","",Sync!$P1930))</f>
        <v/>
      </c>
      <c r="N1930">
        <f>IF($M1930="","",IF(ISNUMBER(Sync!$L1930),IF(AND(Sync!$L1930&gt;=10000101,Sync!$L1930&lt;=99991231),RIGHT("0000"&amp;INT(Sync!$L1930/10000),4)&amp;"/"&amp;RIGHT("00"&amp;INT(MOD(Sync!$L1930,10000)/100),2)&amp;"/"&amp;RIGHT("00"&amp;MOD(Sync!$L1930,100),2),""),IFERROR(RIGHT("0000"&amp;VALUE(TRIM(LEFT(Sync!$L1930,FIND("/",Sync!$L1930)-1))),4)&amp;"/"&amp;RIGHT("00"&amp;VALUE(TRIM(LEFT(MID(Sync!$L1930,FIND("/",Sync!$L1930)+1,20),FIND("/",MID(Sync!$L1930,FIND("/",Sync!$L1930)+1,20))-1))),2)&amp;"/"&amp;RIGHT("00"&amp;VALUE(TRIM(MID(MID(Sync!$L1930,FIND("/",Sync!$L1930)+1,20),FIND("/",MID(Sync!$L1930,FIND("/",Sync!$L1930)+1,20))+1,20))),2),"")))</f>
        <v/>
      </c>
    </row>
    <row r="1931">
      <c r="M1931">
        <f>IF(Sync!$M1931&lt;&gt;"پاس چک","",IF(Sync!$P1931="","",Sync!$P1931))</f>
        <v/>
      </c>
      <c r="N1931">
        <f>IF($M1931="","",IF(ISNUMBER(Sync!$L1931),IF(AND(Sync!$L1931&gt;=10000101,Sync!$L1931&lt;=99991231),RIGHT("0000"&amp;INT(Sync!$L1931/10000),4)&amp;"/"&amp;RIGHT("00"&amp;INT(MOD(Sync!$L1931,10000)/100),2)&amp;"/"&amp;RIGHT("00"&amp;MOD(Sync!$L1931,100),2),""),IFERROR(RIGHT("0000"&amp;VALUE(TRIM(LEFT(Sync!$L1931,FIND("/",Sync!$L1931)-1))),4)&amp;"/"&amp;RIGHT("00"&amp;VALUE(TRIM(LEFT(MID(Sync!$L1931,FIND("/",Sync!$L1931)+1,20),FIND("/",MID(Sync!$L1931,FIND("/",Sync!$L1931)+1,20))-1))),2)&amp;"/"&amp;RIGHT("00"&amp;VALUE(TRIM(MID(MID(Sync!$L1931,FIND("/",Sync!$L1931)+1,20),FIND("/",MID(Sync!$L1931,FIND("/",Sync!$L1931)+1,20))+1,20))),2),"")))</f>
        <v/>
      </c>
    </row>
    <row r="1932">
      <c r="M1932">
        <f>IF(Sync!$M1932&lt;&gt;"پاس چک","",IF(Sync!$P1932="","",Sync!$P1932))</f>
        <v/>
      </c>
      <c r="N1932">
        <f>IF($M1932="","",IF(ISNUMBER(Sync!$L1932),IF(AND(Sync!$L1932&gt;=10000101,Sync!$L1932&lt;=99991231),RIGHT("0000"&amp;INT(Sync!$L1932/10000),4)&amp;"/"&amp;RIGHT("00"&amp;INT(MOD(Sync!$L1932,10000)/100),2)&amp;"/"&amp;RIGHT("00"&amp;MOD(Sync!$L1932,100),2),""),IFERROR(RIGHT("0000"&amp;VALUE(TRIM(LEFT(Sync!$L1932,FIND("/",Sync!$L1932)-1))),4)&amp;"/"&amp;RIGHT("00"&amp;VALUE(TRIM(LEFT(MID(Sync!$L1932,FIND("/",Sync!$L1932)+1,20),FIND("/",MID(Sync!$L1932,FIND("/",Sync!$L1932)+1,20))-1))),2)&amp;"/"&amp;RIGHT("00"&amp;VALUE(TRIM(MID(MID(Sync!$L1932,FIND("/",Sync!$L1932)+1,20),FIND("/",MID(Sync!$L1932,FIND("/",Sync!$L1932)+1,20))+1,20))),2),"")))</f>
        <v/>
      </c>
    </row>
    <row r="1933">
      <c r="M1933">
        <f>IF(Sync!$M1933&lt;&gt;"پاس چک","",IF(Sync!$P1933="","",Sync!$P1933))</f>
        <v/>
      </c>
      <c r="N1933">
        <f>IF($M1933="","",IF(ISNUMBER(Sync!$L1933),IF(AND(Sync!$L1933&gt;=10000101,Sync!$L1933&lt;=99991231),RIGHT("0000"&amp;INT(Sync!$L1933/10000),4)&amp;"/"&amp;RIGHT("00"&amp;INT(MOD(Sync!$L1933,10000)/100),2)&amp;"/"&amp;RIGHT("00"&amp;MOD(Sync!$L1933,100),2),""),IFERROR(RIGHT("0000"&amp;VALUE(TRIM(LEFT(Sync!$L1933,FIND("/",Sync!$L1933)-1))),4)&amp;"/"&amp;RIGHT("00"&amp;VALUE(TRIM(LEFT(MID(Sync!$L1933,FIND("/",Sync!$L1933)+1,20),FIND("/",MID(Sync!$L1933,FIND("/",Sync!$L1933)+1,20))-1))),2)&amp;"/"&amp;RIGHT("00"&amp;VALUE(TRIM(MID(MID(Sync!$L1933,FIND("/",Sync!$L1933)+1,20),FIND("/",MID(Sync!$L1933,FIND("/",Sync!$L1933)+1,20))+1,20))),2),"")))</f>
        <v/>
      </c>
    </row>
    <row r="1934">
      <c r="M1934">
        <f>IF(Sync!$M1934&lt;&gt;"پاس چک","",IF(Sync!$P1934="","",Sync!$P1934))</f>
        <v/>
      </c>
      <c r="N1934">
        <f>IF($M1934="","",IF(ISNUMBER(Sync!$L1934),IF(AND(Sync!$L1934&gt;=10000101,Sync!$L1934&lt;=99991231),RIGHT("0000"&amp;INT(Sync!$L1934/10000),4)&amp;"/"&amp;RIGHT("00"&amp;INT(MOD(Sync!$L1934,10000)/100),2)&amp;"/"&amp;RIGHT("00"&amp;MOD(Sync!$L1934,100),2),""),IFERROR(RIGHT("0000"&amp;VALUE(TRIM(LEFT(Sync!$L1934,FIND("/",Sync!$L1934)-1))),4)&amp;"/"&amp;RIGHT("00"&amp;VALUE(TRIM(LEFT(MID(Sync!$L1934,FIND("/",Sync!$L1934)+1,20),FIND("/",MID(Sync!$L1934,FIND("/",Sync!$L1934)+1,20))-1))),2)&amp;"/"&amp;RIGHT("00"&amp;VALUE(TRIM(MID(MID(Sync!$L1934,FIND("/",Sync!$L1934)+1,20),FIND("/",MID(Sync!$L1934,FIND("/",Sync!$L1934)+1,20))+1,20))),2),"")))</f>
        <v/>
      </c>
    </row>
    <row r="1935">
      <c r="M1935">
        <f>IF(Sync!$M1935&lt;&gt;"پاس چک","",IF(Sync!$P1935="","",Sync!$P1935))</f>
        <v/>
      </c>
      <c r="N1935">
        <f>IF($M1935="","",IF(ISNUMBER(Sync!$L1935),IF(AND(Sync!$L1935&gt;=10000101,Sync!$L1935&lt;=99991231),RIGHT("0000"&amp;INT(Sync!$L1935/10000),4)&amp;"/"&amp;RIGHT("00"&amp;INT(MOD(Sync!$L1935,10000)/100),2)&amp;"/"&amp;RIGHT("00"&amp;MOD(Sync!$L1935,100),2),""),IFERROR(RIGHT("0000"&amp;VALUE(TRIM(LEFT(Sync!$L1935,FIND("/",Sync!$L1935)-1))),4)&amp;"/"&amp;RIGHT("00"&amp;VALUE(TRIM(LEFT(MID(Sync!$L1935,FIND("/",Sync!$L1935)+1,20),FIND("/",MID(Sync!$L1935,FIND("/",Sync!$L1935)+1,20))-1))),2)&amp;"/"&amp;RIGHT("00"&amp;VALUE(TRIM(MID(MID(Sync!$L1935,FIND("/",Sync!$L1935)+1,20),FIND("/",MID(Sync!$L1935,FIND("/",Sync!$L1935)+1,20))+1,20))),2),"")))</f>
        <v/>
      </c>
    </row>
    <row r="1936">
      <c r="M1936">
        <f>IF(Sync!$M1936&lt;&gt;"پاس چک","",IF(Sync!$P1936="","",Sync!$P1936))</f>
        <v/>
      </c>
      <c r="N1936">
        <f>IF($M1936="","",IF(ISNUMBER(Sync!$L1936),IF(AND(Sync!$L1936&gt;=10000101,Sync!$L1936&lt;=99991231),RIGHT("0000"&amp;INT(Sync!$L1936/10000),4)&amp;"/"&amp;RIGHT("00"&amp;INT(MOD(Sync!$L1936,10000)/100),2)&amp;"/"&amp;RIGHT("00"&amp;MOD(Sync!$L1936,100),2),""),IFERROR(RIGHT("0000"&amp;VALUE(TRIM(LEFT(Sync!$L1936,FIND("/",Sync!$L1936)-1))),4)&amp;"/"&amp;RIGHT("00"&amp;VALUE(TRIM(LEFT(MID(Sync!$L1936,FIND("/",Sync!$L1936)+1,20),FIND("/",MID(Sync!$L1936,FIND("/",Sync!$L1936)+1,20))-1))),2)&amp;"/"&amp;RIGHT("00"&amp;VALUE(TRIM(MID(MID(Sync!$L1936,FIND("/",Sync!$L1936)+1,20),FIND("/",MID(Sync!$L1936,FIND("/",Sync!$L1936)+1,20))+1,20))),2),"")))</f>
        <v/>
      </c>
    </row>
    <row r="1937">
      <c r="M1937">
        <f>IF(Sync!$M1937&lt;&gt;"پاس چک","",IF(Sync!$P1937="","",Sync!$P1937))</f>
        <v/>
      </c>
      <c r="N1937">
        <f>IF($M1937="","",IF(ISNUMBER(Sync!$L1937),IF(AND(Sync!$L1937&gt;=10000101,Sync!$L1937&lt;=99991231),RIGHT("0000"&amp;INT(Sync!$L1937/10000),4)&amp;"/"&amp;RIGHT("00"&amp;INT(MOD(Sync!$L1937,10000)/100),2)&amp;"/"&amp;RIGHT("00"&amp;MOD(Sync!$L1937,100),2),""),IFERROR(RIGHT("0000"&amp;VALUE(TRIM(LEFT(Sync!$L1937,FIND("/",Sync!$L1937)-1))),4)&amp;"/"&amp;RIGHT("00"&amp;VALUE(TRIM(LEFT(MID(Sync!$L1937,FIND("/",Sync!$L1937)+1,20),FIND("/",MID(Sync!$L1937,FIND("/",Sync!$L1937)+1,20))-1))),2)&amp;"/"&amp;RIGHT("00"&amp;VALUE(TRIM(MID(MID(Sync!$L1937,FIND("/",Sync!$L1937)+1,20),FIND("/",MID(Sync!$L1937,FIND("/",Sync!$L1937)+1,20))+1,20))),2),"")))</f>
        <v/>
      </c>
    </row>
    <row r="1938">
      <c r="M1938">
        <f>IF(Sync!$M1938&lt;&gt;"پاس چک","",IF(Sync!$P1938="","",Sync!$P1938))</f>
        <v/>
      </c>
      <c r="N1938">
        <f>IF($M1938="","",IF(ISNUMBER(Sync!$L1938),IF(AND(Sync!$L1938&gt;=10000101,Sync!$L1938&lt;=99991231),RIGHT("0000"&amp;INT(Sync!$L1938/10000),4)&amp;"/"&amp;RIGHT("00"&amp;INT(MOD(Sync!$L1938,10000)/100),2)&amp;"/"&amp;RIGHT("00"&amp;MOD(Sync!$L1938,100),2),""),IFERROR(RIGHT("0000"&amp;VALUE(TRIM(LEFT(Sync!$L1938,FIND("/",Sync!$L1938)-1))),4)&amp;"/"&amp;RIGHT("00"&amp;VALUE(TRIM(LEFT(MID(Sync!$L1938,FIND("/",Sync!$L1938)+1,20),FIND("/",MID(Sync!$L1938,FIND("/",Sync!$L1938)+1,20))-1))),2)&amp;"/"&amp;RIGHT("00"&amp;VALUE(TRIM(MID(MID(Sync!$L1938,FIND("/",Sync!$L1938)+1,20),FIND("/",MID(Sync!$L1938,FIND("/",Sync!$L1938)+1,20))+1,20))),2),"")))</f>
        <v/>
      </c>
    </row>
    <row r="1939">
      <c r="M1939">
        <f>IF(Sync!$M1939&lt;&gt;"پاس چک","",IF(Sync!$P1939="","",Sync!$P1939))</f>
        <v/>
      </c>
      <c r="N1939">
        <f>IF($M1939="","",IF(ISNUMBER(Sync!$L1939),IF(AND(Sync!$L1939&gt;=10000101,Sync!$L1939&lt;=99991231),RIGHT("0000"&amp;INT(Sync!$L1939/10000),4)&amp;"/"&amp;RIGHT("00"&amp;INT(MOD(Sync!$L1939,10000)/100),2)&amp;"/"&amp;RIGHT("00"&amp;MOD(Sync!$L1939,100),2),""),IFERROR(RIGHT("0000"&amp;VALUE(TRIM(LEFT(Sync!$L1939,FIND("/",Sync!$L1939)-1))),4)&amp;"/"&amp;RIGHT("00"&amp;VALUE(TRIM(LEFT(MID(Sync!$L1939,FIND("/",Sync!$L1939)+1,20),FIND("/",MID(Sync!$L1939,FIND("/",Sync!$L1939)+1,20))-1))),2)&amp;"/"&amp;RIGHT("00"&amp;VALUE(TRIM(MID(MID(Sync!$L1939,FIND("/",Sync!$L1939)+1,20),FIND("/",MID(Sync!$L1939,FIND("/",Sync!$L1939)+1,20))+1,20))),2),"")))</f>
        <v/>
      </c>
    </row>
    <row r="1940">
      <c r="M1940">
        <f>IF(Sync!$M1940&lt;&gt;"پاس چک","",IF(Sync!$P1940="","",Sync!$P1940))</f>
        <v/>
      </c>
      <c r="N1940">
        <f>IF($M1940="","",IF(ISNUMBER(Sync!$L1940),IF(AND(Sync!$L1940&gt;=10000101,Sync!$L1940&lt;=99991231),RIGHT("0000"&amp;INT(Sync!$L1940/10000),4)&amp;"/"&amp;RIGHT("00"&amp;INT(MOD(Sync!$L1940,10000)/100),2)&amp;"/"&amp;RIGHT("00"&amp;MOD(Sync!$L1940,100),2),""),IFERROR(RIGHT("0000"&amp;VALUE(TRIM(LEFT(Sync!$L1940,FIND("/",Sync!$L1940)-1))),4)&amp;"/"&amp;RIGHT("00"&amp;VALUE(TRIM(LEFT(MID(Sync!$L1940,FIND("/",Sync!$L1940)+1,20),FIND("/",MID(Sync!$L1940,FIND("/",Sync!$L1940)+1,20))-1))),2)&amp;"/"&amp;RIGHT("00"&amp;VALUE(TRIM(MID(MID(Sync!$L1940,FIND("/",Sync!$L1940)+1,20),FIND("/",MID(Sync!$L1940,FIND("/",Sync!$L1940)+1,20))+1,20))),2),"")))</f>
        <v/>
      </c>
    </row>
    <row r="1941">
      <c r="M1941">
        <f>IF(Sync!$M1941&lt;&gt;"پاس چک","",IF(Sync!$P1941="","",Sync!$P1941))</f>
        <v/>
      </c>
      <c r="N1941">
        <f>IF($M1941="","",IF(ISNUMBER(Sync!$L1941),IF(AND(Sync!$L1941&gt;=10000101,Sync!$L1941&lt;=99991231),RIGHT("0000"&amp;INT(Sync!$L1941/10000),4)&amp;"/"&amp;RIGHT("00"&amp;INT(MOD(Sync!$L1941,10000)/100),2)&amp;"/"&amp;RIGHT("00"&amp;MOD(Sync!$L1941,100),2),""),IFERROR(RIGHT("0000"&amp;VALUE(TRIM(LEFT(Sync!$L1941,FIND("/",Sync!$L1941)-1))),4)&amp;"/"&amp;RIGHT("00"&amp;VALUE(TRIM(LEFT(MID(Sync!$L1941,FIND("/",Sync!$L1941)+1,20),FIND("/",MID(Sync!$L1941,FIND("/",Sync!$L1941)+1,20))-1))),2)&amp;"/"&amp;RIGHT("00"&amp;VALUE(TRIM(MID(MID(Sync!$L1941,FIND("/",Sync!$L1941)+1,20),FIND("/",MID(Sync!$L1941,FIND("/",Sync!$L1941)+1,20))+1,20))),2),"")))</f>
        <v/>
      </c>
    </row>
    <row r="1942">
      <c r="M1942">
        <f>IF(Sync!$M1942&lt;&gt;"پاس چک","",IF(Sync!$P1942="","",Sync!$P1942))</f>
        <v/>
      </c>
      <c r="N1942">
        <f>IF($M1942="","",IF(ISNUMBER(Sync!$L1942),IF(AND(Sync!$L1942&gt;=10000101,Sync!$L1942&lt;=99991231),RIGHT("0000"&amp;INT(Sync!$L1942/10000),4)&amp;"/"&amp;RIGHT("00"&amp;INT(MOD(Sync!$L1942,10000)/100),2)&amp;"/"&amp;RIGHT("00"&amp;MOD(Sync!$L1942,100),2),""),IFERROR(RIGHT("0000"&amp;VALUE(TRIM(LEFT(Sync!$L1942,FIND("/",Sync!$L1942)-1))),4)&amp;"/"&amp;RIGHT("00"&amp;VALUE(TRIM(LEFT(MID(Sync!$L1942,FIND("/",Sync!$L1942)+1,20),FIND("/",MID(Sync!$L1942,FIND("/",Sync!$L1942)+1,20))-1))),2)&amp;"/"&amp;RIGHT("00"&amp;VALUE(TRIM(MID(MID(Sync!$L1942,FIND("/",Sync!$L1942)+1,20),FIND("/",MID(Sync!$L1942,FIND("/",Sync!$L1942)+1,20))+1,20))),2),"")))</f>
        <v/>
      </c>
    </row>
    <row r="1943">
      <c r="M1943">
        <f>IF(Sync!$M1943&lt;&gt;"پاس چک","",IF(Sync!$P1943="","",Sync!$P1943))</f>
        <v/>
      </c>
      <c r="N1943">
        <f>IF($M1943="","",IF(ISNUMBER(Sync!$L1943),IF(AND(Sync!$L1943&gt;=10000101,Sync!$L1943&lt;=99991231),RIGHT("0000"&amp;INT(Sync!$L1943/10000),4)&amp;"/"&amp;RIGHT("00"&amp;INT(MOD(Sync!$L1943,10000)/100),2)&amp;"/"&amp;RIGHT("00"&amp;MOD(Sync!$L1943,100),2),""),IFERROR(RIGHT("0000"&amp;VALUE(TRIM(LEFT(Sync!$L1943,FIND("/",Sync!$L1943)-1))),4)&amp;"/"&amp;RIGHT("00"&amp;VALUE(TRIM(LEFT(MID(Sync!$L1943,FIND("/",Sync!$L1943)+1,20),FIND("/",MID(Sync!$L1943,FIND("/",Sync!$L1943)+1,20))-1))),2)&amp;"/"&amp;RIGHT("00"&amp;VALUE(TRIM(MID(MID(Sync!$L1943,FIND("/",Sync!$L1943)+1,20),FIND("/",MID(Sync!$L1943,FIND("/",Sync!$L1943)+1,20))+1,20))),2),"")))</f>
        <v/>
      </c>
    </row>
    <row r="1944">
      <c r="M1944">
        <f>IF(Sync!$M1944&lt;&gt;"پاس چک","",IF(Sync!$P1944="","",Sync!$P1944))</f>
        <v/>
      </c>
      <c r="N1944">
        <f>IF($M1944="","",IF(ISNUMBER(Sync!$L1944),IF(AND(Sync!$L1944&gt;=10000101,Sync!$L1944&lt;=99991231),RIGHT("0000"&amp;INT(Sync!$L1944/10000),4)&amp;"/"&amp;RIGHT("00"&amp;INT(MOD(Sync!$L1944,10000)/100),2)&amp;"/"&amp;RIGHT("00"&amp;MOD(Sync!$L1944,100),2),""),IFERROR(RIGHT("0000"&amp;VALUE(TRIM(LEFT(Sync!$L1944,FIND("/",Sync!$L1944)-1))),4)&amp;"/"&amp;RIGHT("00"&amp;VALUE(TRIM(LEFT(MID(Sync!$L1944,FIND("/",Sync!$L1944)+1,20),FIND("/",MID(Sync!$L1944,FIND("/",Sync!$L1944)+1,20))-1))),2)&amp;"/"&amp;RIGHT("00"&amp;VALUE(TRIM(MID(MID(Sync!$L1944,FIND("/",Sync!$L1944)+1,20),FIND("/",MID(Sync!$L1944,FIND("/",Sync!$L1944)+1,20))+1,20))),2),"")))</f>
        <v/>
      </c>
    </row>
    <row r="1945">
      <c r="M1945">
        <f>IF(Sync!$M1945&lt;&gt;"پاس چک","",IF(Sync!$P1945="","",Sync!$P1945))</f>
        <v/>
      </c>
      <c r="N1945">
        <f>IF($M1945="","",IF(ISNUMBER(Sync!$L1945),IF(AND(Sync!$L1945&gt;=10000101,Sync!$L1945&lt;=99991231),RIGHT("0000"&amp;INT(Sync!$L1945/10000),4)&amp;"/"&amp;RIGHT("00"&amp;INT(MOD(Sync!$L1945,10000)/100),2)&amp;"/"&amp;RIGHT("00"&amp;MOD(Sync!$L1945,100),2),""),IFERROR(RIGHT("0000"&amp;VALUE(TRIM(LEFT(Sync!$L1945,FIND("/",Sync!$L1945)-1))),4)&amp;"/"&amp;RIGHT("00"&amp;VALUE(TRIM(LEFT(MID(Sync!$L1945,FIND("/",Sync!$L1945)+1,20),FIND("/",MID(Sync!$L1945,FIND("/",Sync!$L1945)+1,20))-1))),2)&amp;"/"&amp;RIGHT("00"&amp;VALUE(TRIM(MID(MID(Sync!$L1945,FIND("/",Sync!$L1945)+1,20),FIND("/",MID(Sync!$L1945,FIND("/",Sync!$L1945)+1,20))+1,20))),2),"")))</f>
        <v/>
      </c>
    </row>
    <row r="1946">
      <c r="M1946">
        <f>IF(Sync!$M1946&lt;&gt;"پاس چک","",IF(Sync!$P1946="","",Sync!$P1946))</f>
        <v/>
      </c>
      <c r="N1946">
        <f>IF($M1946="","",IF(ISNUMBER(Sync!$L1946),IF(AND(Sync!$L1946&gt;=10000101,Sync!$L1946&lt;=99991231),RIGHT("0000"&amp;INT(Sync!$L1946/10000),4)&amp;"/"&amp;RIGHT("00"&amp;INT(MOD(Sync!$L1946,10000)/100),2)&amp;"/"&amp;RIGHT("00"&amp;MOD(Sync!$L1946,100),2),""),IFERROR(RIGHT("0000"&amp;VALUE(TRIM(LEFT(Sync!$L1946,FIND("/",Sync!$L1946)-1))),4)&amp;"/"&amp;RIGHT("00"&amp;VALUE(TRIM(LEFT(MID(Sync!$L1946,FIND("/",Sync!$L1946)+1,20),FIND("/",MID(Sync!$L1946,FIND("/",Sync!$L1946)+1,20))-1))),2)&amp;"/"&amp;RIGHT("00"&amp;VALUE(TRIM(MID(MID(Sync!$L1946,FIND("/",Sync!$L1946)+1,20),FIND("/",MID(Sync!$L1946,FIND("/",Sync!$L1946)+1,20))+1,20))),2),"")))</f>
        <v/>
      </c>
    </row>
    <row r="1947">
      <c r="M1947">
        <f>IF(Sync!$M1947&lt;&gt;"پاس چک","",IF(Sync!$P1947="","",Sync!$P1947))</f>
        <v/>
      </c>
      <c r="N1947">
        <f>IF($M1947="","",IF(ISNUMBER(Sync!$L1947),IF(AND(Sync!$L1947&gt;=10000101,Sync!$L1947&lt;=99991231),RIGHT("0000"&amp;INT(Sync!$L1947/10000),4)&amp;"/"&amp;RIGHT("00"&amp;INT(MOD(Sync!$L1947,10000)/100),2)&amp;"/"&amp;RIGHT("00"&amp;MOD(Sync!$L1947,100),2),""),IFERROR(RIGHT("0000"&amp;VALUE(TRIM(LEFT(Sync!$L1947,FIND("/",Sync!$L1947)-1))),4)&amp;"/"&amp;RIGHT("00"&amp;VALUE(TRIM(LEFT(MID(Sync!$L1947,FIND("/",Sync!$L1947)+1,20),FIND("/",MID(Sync!$L1947,FIND("/",Sync!$L1947)+1,20))-1))),2)&amp;"/"&amp;RIGHT("00"&amp;VALUE(TRIM(MID(MID(Sync!$L1947,FIND("/",Sync!$L1947)+1,20),FIND("/",MID(Sync!$L1947,FIND("/",Sync!$L1947)+1,20))+1,20))),2),"")))</f>
        <v/>
      </c>
    </row>
    <row r="1948">
      <c r="M1948">
        <f>IF(Sync!$M1948&lt;&gt;"پاس چک","",IF(Sync!$P1948="","",Sync!$P1948))</f>
        <v/>
      </c>
      <c r="N1948">
        <f>IF($M1948="","",IF(ISNUMBER(Sync!$L1948),IF(AND(Sync!$L1948&gt;=10000101,Sync!$L1948&lt;=99991231),RIGHT("0000"&amp;INT(Sync!$L1948/10000),4)&amp;"/"&amp;RIGHT("00"&amp;INT(MOD(Sync!$L1948,10000)/100),2)&amp;"/"&amp;RIGHT("00"&amp;MOD(Sync!$L1948,100),2),""),IFERROR(RIGHT("0000"&amp;VALUE(TRIM(LEFT(Sync!$L1948,FIND("/",Sync!$L1948)-1))),4)&amp;"/"&amp;RIGHT("00"&amp;VALUE(TRIM(LEFT(MID(Sync!$L1948,FIND("/",Sync!$L1948)+1,20),FIND("/",MID(Sync!$L1948,FIND("/",Sync!$L1948)+1,20))-1))),2)&amp;"/"&amp;RIGHT("00"&amp;VALUE(TRIM(MID(MID(Sync!$L1948,FIND("/",Sync!$L1948)+1,20),FIND("/",MID(Sync!$L1948,FIND("/",Sync!$L1948)+1,20))+1,20))),2),"")))</f>
        <v/>
      </c>
    </row>
    <row r="1949">
      <c r="M1949">
        <f>IF(Sync!$M1949&lt;&gt;"پاس چک","",IF(Sync!$P1949="","",Sync!$P1949))</f>
        <v/>
      </c>
      <c r="N1949">
        <f>IF($M1949="","",IF(ISNUMBER(Sync!$L1949),IF(AND(Sync!$L1949&gt;=10000101,Sync!$L1949&lt;=99991231),RIGHT("0000"&amp;INT(Sync!$L1949/10000),4)&amp;"/"&amp;RIGHT("00"&amp;INT(MOD(Sync!$L1949,10000)/100),2)&amp;"/"&amp;RIGHT("00"&amp;MOD(Sync!$L1949,100),2),""),IFERROR(RIGHT("0000"&amp;VALUE(TRIM(LEFT(Sync!$L1949,FIND("/",Sync!$L1949)-1))),4)&amp;"/"&amp;RIGHT("00"&amp;VALUE(TRIM(LEFT(MID(Sync!$L1949,FIND("/",Sync!$L1949)+1,20),FIND("/",MID(Sync!$L1949,FIND("/",Sync!$L1949)+1,20))-1))),2)&amp;"/"&amp;RIGHT("00"&amp;VALUE(TRIM(MID(MID(Sync!$L1949,FIND("/",Sync!$L1949)+1,20),FIND("/",MID(Sync!$L1949,FIND("/",Sync!$L1949)+1,20))+1,20))),2),"")))</f>
        <v/>
      </c>
    </row>
    <row r="1950">
      <c r="M1950">
        <f>IF(Sync!$M1950&lt;&gt;"پاس چک","",IF(Sync!$P1950="","",Sync!$P1950))</f>
        <v/>
      </c>
      <c r="N1950">
        <f>IF($M1950="","",IF(ISNUMBER(Sync!$L1950),IF(AND(Sync!$L1950&gt;=10000101,Sync!$L1950&lt;=99991231),RIGHT("0000"&amp;INT(Sync!$L1950/10000),4)&amp;"/"&amp;RIGHT("00"&amp;INT(MOD(Sync!$L1950,10000)/100),2)&amp;"/"&amp;RIGHT("00"&amp;MOD(Sync!$L1950,100),2),""),IFERROR(RIGHT("0000"&amp;VALUE(TRIM(LEFT(Sync!$L1950,FIND("/",Sync!$L1950)-1))),4)&amp;"/"&amp;RIGHT("00"&amp;VALUE(TRIM(LEFT(MID(Sync!$L1950,FIND("/",Sync!$L1950)+1,20),FIND("/",MID(Sync!$L1950,FIND("/",Sync!$L1950)+1,20))-1))),2)&amp;"/"&amp;RIGHT("00"&amp;VALUE(TRIM(MID(MID(Sync!$L1950,FIND("/",Sync!$L1950)+1,20),FIND("/",MID(Sync!$L1950,FIND("/",Sync!$L1950)+1,20))+1,20))),2),"")))</f>
        <v/>
      </c>
    </row>
    <row r="1951">
      <c r="M1951">
        <f>IF(Sync!$M1951&lt;&gt;"پاس چک","",IF(Sync!$P1951="","",Sync!$P1951))</f>
        <v/>
      </c>
      <c r="N1951">
        <f>IF($M1951="","",IF(ISNUMBER(Sync!$L1951),IF(AND(Sync!$L1951&gt;=10000101,Sync!$L1951&lt;=99991231),RIGHT("0000"&amp;INT(Sync!$L1951/10000),4)&amp;"/"&amp;RIGHT("00"&amp;INT(MOD(Sync!$L1951,10000)/100),2)&amp;"/"&amp;RIGHT("00"&amp;MOD(Sync!$L1951,100),2),""),IFERROR(RIGHT("0000"&amp;VALUE(TRIM(LEFT(Sync!$L1951,FIND("/",Sync!$L1951)-1))),4)&amp;"/"&amp;RIGHT("00"&amp;VALUE(TRIM(LEFT(MID(Sync!$L1951,FIND("/",Sync!$L1951)+1,20),FIND("/",MID(Sync!$L1951,FIND("/",Sync!$L1951)+1,20))-1))),2)&amp;"/"&amp;RIGHT("00"&amp;VALUE(TRIM(MID(MID(Sync!$L1951,FIND("/",Sync!$L1951)+1,20),FIND("/",MID(Sync!$L1951,FIND("/",Sync!$L1951)+1,20))+1,20))),2),"")))</f>
        <v/>
      </c>
    </row>
    <row r="1952">
      <c r="M1952">
        <f>IF(Sync!$M1952&lt;&gt;"پاس چک","",IF(Sync!$P1952="","",Sync!$P1952))</f>
        <v/>
      </c>
      <c r="N1952">
        <f>IF($M1952="","",IF(ISNUMBER(Sync!$L1952),IF(AND(Sync!$L1952&gt;=10000101,Sync!$L1952&lt;=99991231),RIGHT("0000"&amp;INT(Sync!$L1952/10000),4)&amp;"/"&amp;RIGHT("00"&amp;INT(MOD(Sync!$L1952,10000)/100),2)&amp;"/"&amp;RIGHT("00"&amp;MOD(Sync!$L1952,100),2),""),IFERROR(RIGHT("0000"&amp;VALUE(TRIM(LEFT(Sync!$L1952,FIND("/",Sync!$L1952)-1))),4)&amp;"/"&amp;RIGHT("00"&amp;VALUE(TRIM(LEFT(MID(Sync!$L1952,FIND("/",Sync!$L1952)+1,20),FIND("/",MID(Sync!$L1952,FIND("/",Sync!$L1952)+1,20))-1))),2)&amp;"/"&amp;RIGHT("00"&amp;VALUE(TRIM(MID(MID(Sync!$L1952,FIND("/",Sync!$L1952)+1,20),FIND("/",MID(Sync!$L1952,FIND("/",Sync!$L1952)+1,20))+1,20))),2),"")))</f>
        <v/>
      </c>
    </row>
    <row r="1953">
      <c r="M1953">
        <f>IF(Sync!$M1953&lt;&gt;"پاس چک","",IF(Sync!$P1953="","",Sync!$P1953))</f>
        <v/>
      </c>
      <c r="N1953">
        <f>IF($M1953="","",IF(ISNUMBER(Sync!$L1953),IF(AND(Sync!$L1953&gt;=10000101,Sync!$L1953&lt;=99991231),RIGHT("0000"&amp;INT(Sync!$L1953/10000),4)&amp;"/"&amp;RIGHT("00"&amp;INT(MOD(Sync!$L1953,10000)/100),2)&amp;"/"&amp;RIGHT("00"&amp;MOD(Sync!$L1953,100),2),""),IFERROR(RIGHT("0000"&amp;VALUE(TRIM(LEFT(Sync!$L1953,FIND("/",Sync!$L1953)-1))),4)&amp;"/"&amp;RIGHT("00"&amp;VALUE(TRIM(LEFT(MID(Sync!$L1953,FIND("/",Sync!$L1953)+1,20),FIND("/",MID(Sync!$L1953,FIND("/",Sync!$L1953)+1,20))-1))),2)&amp;"/"&amp;RIGHT("00"&amp;VALUE(TRIM(MID(MID(Sync!$L1953,FIND("/",Sync!$L1953)+1,20),FIND("/",MID(Sync!$L1953,FIND("/",Sync!$L1953)+1,20))+1,20))),2),"")))</f>
        <v/>
      </c>
    </row>
    <row r="1954">
      <c r="M1954">
        <f>IF(Sync!$M1954&lt;&gt;"پاس چک","",IF(Sync!$P1954="","",Sync!$P1954))</f>
        <v/>
      </c>
      <c r="N1954">
        <f>IF($M1954="","",IF(ISNUMBER(Sync!$L1954),IF(AND(Sync!$L1954&gt;=10000101,Sync!$L1954&lt;=99991231),RIGHT("0000"&amp;INT(Sync!$L1954/10000),4)&amp;"/"&amp;RIGHT("00"&amp;INT(MOD(Sync!$L1954,10000)/100),2)&amp;"/"&amp;RIGHT("00"&amp;MOD(Sync!$L1954,100),2),""),IFERROR(RIGHT("0000"&amp;VALUE(TRIM(LEFT(Sync!$L1954,FIND("/",Sync!$L1954)-1))),4)&amp;"/"&amp;RIGHT("00"&amp;VALUE(TRIM(LEFT(MID(Sync!$L1954,FIND("/",Sync!$L1954)+1,20),FIND("/",MID(Sync!$L1954,FIND("/",Sync!$L1954)+1,20))-1))),2)&amp;"/"&amp;RIGHT("00"&amp;VALUE(TRIM(MID(MID(Sync!$L1954,FIND("/",Sync!$L1954)+1,20),FIND("/",MID(Sync!$L1954,FIND("/",Sync!$L1954)+1,20))+1,20))),2),"")))</f>
        <v/>
      </c>
    </row>
    <row r="1955">
      <c r="M1955">
        <f>IF(Sync!$M1955&lt;&gt;"پاس چک","",IF(Sync!$P1955="","",Sync!$P1955))</f>
        <v/>
      </c>
      <c r="N1955">
        <f>IF($M1955="","",IF(ISNUMBER(Sync!$L1955),IF(AND(Sync!$L1955&gt;=10000101,Sync!$L1955&lt;=99991231),RIGHT("0000"&amp;INT(Sync!$L1955/10000),4)&amp;"/"&amp;RIGHT("00"&amp;INT(MOD(Sync!$L1955,10000)/100),2)&amp;"/"&amp;RIGHT("00"&amp;MOD(Sync!$L1955,100),2),""),IFERROR(RIGHT("0000"&amp;VALUE(TRIM(LEFT(Sync!$L1955,FIND("/",Sync!$L1955)-1))),4)&amp;"/"&amp;RIGHT("00"&amp;VALUE(TRIM(LEFT(MID(Sync!$L1955,FIND("/",Sync!$L1955)+1,20),FIND("/",MID(Sync!$L1955,FIND("/",Sync!$L1955)+1,20))-1))),2)&amp;"/"&amp;RIGHT("00"&amp;VALUE(TRIM(MID(MID(Sync!$L1955,FIND("/",Sync!$L1955)+1,20),FIND("/",MID(Sync!$L1955,FIND("/",Sync!$L1955)+1,20))+1,20))),2),"")))</f>
        <v/>
      </c>
    </row>
    <row r="1956">
      <c r="M1956">
        <f>IF(Sync!$M1956&lt;&gt;"پاس چک","",IF(Sync!$P1956="","",Sync!$P1956))</f>
        <v/>
      </c>
      <c r="N1956">
        <f>IF($M1956="","",IF(ISNUMBER(Sync!$L1956),IF(AND(Sync!$L1956&gt;=10000101,Sync!$L1956&lt;=99991231),RIGHT("0000"&amp;INT(Sync!$L1956/10000),4)&amp;"/"&amp;RIGHT("00"&amp;INT(MOD(Sync!$L1956,10000)/100),2)&amp;"/"&amp;RIGHT("00"&amp;MOD(Sync!$L1956,100),2),""),IFERROR(RIGHT("0000"&amp;VALUE(TRIM(LEFT(Sync!$L1956,FIND("/",Sync!$L1956)-1))),4)&amp;"/"&amp;RIGHT("00"&amp;VALUE(TRIM(LEFT(MID(Sync!$L1956,FIND("/",Sync!$L1956)+1,20),FIND("/",MID(Sync!$L1956,FIND("/",Sync!$L1956)+1,20))-1))),2)&amp;"/"&amp;RIGHT("00"&amp;VALUE(TRIM(MID(MID(Sync!$L1956,FIND("/",Sync!$L1956)+1,20),FIND("/",MID(Sync!$L1956,FIND("/",Sync!$L1956)+1,20))+1,20))),2),"")))</f>
        <v/>
      </c>
    </row>
    <row r="1957">
      <c r="M1957">
        <f>IF(Sync!$M1957&lt;&gt;"پاس چک","",IF(Sync!$P1957="","",Sync!$P1957))</f>
        <v/>
      </c>
      <c r="N1957">
        <f>IF($M1957="","",IF(ISNUMBER(Sync!$L1957),IF(AND(Sync!$L1957&gt;=10000101,Sync!$L1957&lt;=99991231),RIGHT("0000"&amp;INT(Sync!$L1957/10000),4)&amp;"/"&amp;RIGHT("00"&amp;INT(MOD(Sync!$L1957,10000)/100),2)&amp;"/"&amp;RIGHT("00"&amp;MOD(Sync!$L1957,100),2),""),IFERROR(RIGHT("0000"&amp;VALUE(TRIM(LEFT(Sync!$L1957,FIND("/",Sync!$L1957)-1))),4)&amp;"/"&amp;RIGHT("00"&amp;VALUE(TRIM(LEFT(MID(Sync!$L1957,FIND("/",Sync!$L1957)+1,20),FIND("/",MID(Sync!$L1957,FIND("/",Sync!$L1957)+1,20))-1))),2)&amp;"/"&amp;RIGHT("00"&amp;VALUE(TRIM(MID(MID(Sync!$L1957,FIND("/",Sync!$L1957)+1,20),FIND("/",MID(Sync!$L1957,FIND("/",Sync!$L1957)+1,20))+1,20))),2),"")))</f>
        <v/>
      </c>
    </row>
    <row r="1958">
      <c r="M1958">
        <f>IF(Sync!$M1958&lt;&gt;"پاس چک","",IF(Sync!$P1958="","",Sync!$P1958))</f>
        <v/>
      </c>
      <c r="N1958">
        <f>IF($M1958="","",IF(ISNUMBER(Sync!$L1958),IF(AND(Sync!$L1958&gt;=10000101,Sync!$L1958&lt;=99991231),RIGHT("0000"&amp;INT(Sync!$L1958/10000),4)&amp;"/"&amp;RIGHT("00"&amp;INT(MOD(Sync!$L1958,10000)/100),2)&amp;"/"&amp;RIGHT("00"&amp;MOD(Sync!$L1958,100),2),""),IFERROR(RIGHT("0000"&amp;VALUE(TRIM(LEFT(Sync!$L1958,FIND("/",Sync!$L1958)-1))),4)&amp;"/"&amp;RIGHT("00"&amp;VALUE(TRIM(LEFT(MID(Sync!$L1958,FIND("/",Sync!$L1958)+1,20),FIND("/",MID(Sync!$L1958,FIND("/",Sync!$L1958)+1,20))-1))),2)&amp;"/"&amp;RIGHT("00"&amp;VALUE(TRIM(MID(MID(Sync!$L1958,FIND("/",Sync!$L1958)+1,20),FIND("/",MID(Sync!$L1958,FIND("/",Sync!$L1958)+1,20))+1,20))),2),"")))</f>
        <v/>
      </c>
    </row>
    <row r="1959">
      <c r="M1959">
        <f>IF(Sync!$M1959&lt;&gt;"پاس چک","",IF(Sync!$P1959="","",Sync!$P1959))</f>
        <v/>
      </c>
      <c r="N1959">
        <f>IF($M1959="","",IF(ISNUMBER(Sync!$L1959),IF(AND(Sync!$L1959&gt;=10000101,Sync!$L1959&lt;=99991231),RIGHT("0000"&amp;INT(Sync!$L1959/10000),4)&amp;"/"&amp;RIGHT("00"&amp;INT(MOD(Sync!$L1959,10000)/100),2)&amp;"/"&amp;RIGHT("00"&amp;MOD(Sync!$L1959,100),2),""),IFERROR(RIGHT("0000"&amp;VALUE(TRIM(LEFT(Sync!$L1959,FIND("/",Sync!$L1959)-1))),4)&amp;"/"&amp;RIGHT("00"&amp;VALUE(TRIM(LEFT(MID(Sync!$L1959,FIND("/",Sync!$L1959)+1,20),FIND("/",MID(Sync!$L1959,FIND("/",Sync!$L1959)+1,20))-1))),2)&amp;"/"&amp;RIGHT("00"&amp;VALUE(TRIM(MID(MID(Sync!$L1959,FIND("/",Sync!$L1959)+1,20),FIND("/",MID(Sync!$L1959,FIND("/",Sync!$L1959)+1,20))+1,20))),2),"")))</f>
        <v/>
      </c>
    </row>
    <row r="1960">
      <c r="M1960">
        <f>IF(Sync!$M1960&lt;&gt;"پاس چک","",IF(Sync!$P1960="","",Sync!$P1960))</f>
        <v/>
      </c>
      <c r="N1960">
        <f>IF($M1960="","",IF(ISNUMBER(Sync!$L1960),IF(AND(Sync!$L1960&gt;=10000101,Sync!$L1960&lt;=99991231),RIGHT("0000"&amp;INT(Sync!$L1960/10000),4)&amp;"/"&amp;RIGHT("00"&amp;INT(MOD(Sync!$L1960,10000)/100),2)&amp;"/"&amp;RIGHT("00"&amp;MOD(Sync!$L1960,100),2),""),IFERROR(RIGHT("0000"&amp;VALUE(TRIM(LEFT(Sync!$L1960,FIND("/",Sync!$L1960)-1))),4)&amp;"/"&amp;RIGHT("00"&amp;VALUE(TRIM(LEFT(MID(Sync!$L1960,FIND("/",Sync!$L1960)+1,20),FIND("/",MID(Sync!$L1960,FIND("/",Sync!$L1960)+1,20))-1))),2)&amp;"/"&amp;RIGHT("00"&amp;VALUE(TRIM(MID(MID(Sync!$L1960,FIND("/",Sync!$L1960)+1,20),FIND("/",MID(Sync!$L1960,FIND("/",Sync!$L1960)+1,20))+1,20))),2),"")))</f>
        <v/>
      </c>
    </row>
    <row r="1961">
      <c r="M1961">
        <f>IF(Sync!$M1961&lt;&gt;"پاس چک","",IF(Sync!$P1961="","",Sync!$P1961))</f>
        <v/>
      </c>
      <c r="N1961">
        <f>IF($M1961="","",IF(ISNUMBER(Sync!$L1961),IF(AND(Sync!$L1961&gt;=10000101,Sync!$L1961&lt;=99991231),RIGHT("0000"&amp;INT(Sync!$L1961/10000),4)&amp;"/"&amp;RIGHT("00"&amp;INT(MOD(Sync!$L1961,10000)/100),2)&amp;"/"&amp;RIGHT("00"&amp;MOD(Sync!$L1961,100),2),""),IFERROR(RIGHT("0000"&amp;VALUE(TRIM(LEFT(Sync!$L1961,FIND("/",Sync!$L1961)-1))),4)&amp;"/"&amp;RIGHT("00"&amp;VALUE(TRIM(LEFT(MID(Sync!$L1961,FIND("/",Sync!$L1961)+1,20),FIND("/",MID(Sync!$L1961,FIND("/",Sync!$L1961)+1,20))-1))),2)&amp;"/"&amp;RIGHT("00"&amp;VALUE(TRIM(MID(MID(Sync!$L1961,FIND("/",Sync!$L1961)+1,20),FIND("/",MID(Sync!$L1961,FIND("/",Sync!$L1961)+1,20))+1,20))),2),"")))</f>
        <v/>
      </c>
    </row>
    <row r="1962">
      <c r="M1962">
        <f>IF(Sync!$M1962&lt;&gt;"پاس چک","",IF(Sync!$P1962="","",Sync!$P1962))</f>
        <v/>
      </c>
      <c r="N1962">
        <f>IF($M1962="","",IF(ISNUMBER(Sync!$L1962),IF(AND(Sync!$L1962&gt;=10000101,Sync!$L1962&lt;=99991231),RIGHT("0000"&amp;INT(Sync!$L1962/10000),4)&amp;"/"&amp;RIGHT("00"&amp;INT(MOD(Sync!$L1962,10000)/100),2)&amp;"/"&amp;RIGHT("00"&amp;MOD(Sync!$L1962,100),2),""),IFERROR(RIGHT("0000"&amp;VALUE(TRIM(LEFT(Sync!$L1962,FIND("/",Sync!$L1962)-1))),4)&amp;"/"&amp;RIGHT("00"&amp;VALUE(TRIM(LEFT(MID(Sync!$L1962,FIND("/",Sync!$L1962)+1,20),FIND("/",MID(Sync!$L1962,FIND("/",Sync!$L1962)+1,20))-1))),2)&amp;"/"&amp;RIGHT("00"&amp;VALUE(TRIM(MID(MID(Sync!$L1962,FIND("/",Sync!$L1962)+1,20),FIND("/",MID(Sync!$L1962,FIND("/",Sync!$L1962)+1,20))+1,20))),2),"")))</f>
        <v/>
      </c>
    </row>
    <row r="1963">
      <c r="M1963">
        <f>IF(Sync!$M1963&lt;&gt;"پاس چک","",IF(Sync!$P1963="","",Sync!$P1963))</f>
        <v/>
      </c>
      <c r="N1963">
        <f>IF($M1963="","",IF(ISNUMBER(Sync!$L1963),IF(AND(Sync!$L1963&gt;=10000101,Sync!$L1963&lt;=99991231),RIGHT("0000"&amp;INT(Sync!$L1963/10000),4)&amp;"/"&amp;RIGHT("00"&amp;INT(MOD(Sync!$L1963,10000)/100),2)&amp;"/"&amp;RIGHT("00"&amp;MOD(Sync!$L1963,100),2),""),IFERROR(RIGHT("0000"&amp;VALUE(TRIM(LEFT(Sync!$L1963,FIND("/",Sync!$L1963)-1))),4)&amp;"/"&amp;RIGHT("00"&amp;VALUE(TRIM(LEFT(MID(Sync!$L1963,FIND("/",Sync!$L1963)+1,20),FIND("/",MID(Sync!$L1963,FIND("/",Sync!$L1963)+1,20))-1))),2)&amp;"/"&amp;RIGHT("00"&amp;VALUE(TRIM(MID(MID(Sync!$L1963,FIND("/",Sync!$L1963)+1,20),FIND("/",MID(Sync!$L1963,FIND("/",Sync!$L1963)+1,20))+1,20))),2),"")))</f>
        <v/>
      </c>
    </row>
    <row r="1964">
      <c r="M1964">
        <f>IF(Sync!$M1964&lt;&gt;"پاس چک","",IF(Sync!$P1964="","",Sync!$P1964))</f>
        <v/>
      </c>
      <c r="N1964">
        <f>IF($M1964="","",IF(ISNUMBER(Sync!$L1964),IF(AND(Sync!$L1964&gt;=10000101,Sync!$L1964&lt;=99991231),RIGHT("0000"&amp;INT(Sync!$L1964/10000),4)&amp;"/"&amp;RIGHT("00"&amp;INT(MOD(Sync!$L1964,10000)/100),2)&amp;"/"&amp;RIGHT("00"&amp;MOD(Sync!$L1964,100),2),""),IFERROR(RIGHT("0000"&amp;VALUE(TRIM(LEFT(Sync!$L1964,FIND("/",Sync!$L1964)-1))),4)&amp;"/"&amp;RIGHT("00"&amp;VALUE(TRIM(LEFT(MID(Sync!$L1964,FIND("/",Sync!$L1964)+1,20),FIND("/",MID(Sync!$L1964,FIND("/",Sync!$L1964)+1,20))-1))),2)&amp;"/"&amp;RIGHT("00"&amp;VALUE(TRIM(MID(MID(Sync!$L1964,FIND("/",Sync!$L1964)+1,20),FIND("/",MID(Sync!$L1964,FIND("/",Sync!$L1964)+1,20))+1,20))),2),"")))</f>
        <v/>
      </c>
    </row>
    <row r="1965">
      <c r="M1965">
        <f>IF(Sync!$M1965&lt;&gt;"پاس چک","",IF(Sync!$P1965="","",Sync!$P1965))</f>
        <v/>
      </c>
      <c r="N1965">
        <f>IF($M1965="","",IF(ISNUMBER(Sync!$L1965),IF(AND(Sync!$L1965&gt;=10000101,Sync!$L1965&lt;=99991231),RIGHT("0000"&amp;INT(Sync!$L1965/10000),4)&amp;"/"&amp;RIGHT("00"&amp;INT(MOD(Sync!$L1965,10000)/100),2)&amp;"/"&amp;RIGHT("00"&amp;MOD(Sync!$L1965,100),2),""),IFERROR(RIGHT("0000"&amp;VALUE(TRIM(LEFT(Sync!$L1965,FIND("/",Sync!$L1965)-1))),4)&amp;"/"&amp;RIGHT("00"&amp;VALUE(TRIM(LEFT(MID(Sync!$L1965,FIND("/",Sync!$L1965)+1,20),FIND("/",MID(Sync!$L1965,FIND("/",Sync!$L1965)+1,20))-1))),2)&amp;"/"&amp;RIGHT("00"&amp;VALUE(TRIM(MID(MID(Sync!$L1965,FIND("/",Sync!$L1965)+1,20),FIND("/",MID(Sync!$L1965,FIND("/",Sync!$L1965)+1,20))+1,20))),2),"")))</f>
        <v/>
      </c>
    </row>
    <row r="1966">
      <c r="M1966">
        <f>IF(Sync!$M1966&lt;&gt;"پاس چک","",IF(Sync!$P1966="","",Sync!$P1966))</f>
        <v/>
      </c>
      <c r="N1966">
        <f>IF($M1966="","",IF(ISNUMBER(Sync!$L1966),IF(AND(Sync!$L1966&gt;=10000101,Sync!$L1966&lt;=99991231),RIGHT("0000"&amp;INT(Sync!$L1966/10000),4)&amp;"/"&amp;RIGHT("00"&amp;INT(MOD(Sync!$L1966,10000)/100),2)&amp;"/"&amp;RIGHT("00"&amp;MOD(Sync!$L1966,100),2),""),IFERROR(RIGHT("0000"&amp;VALUE(TRIM(LEFT(Sync!$L1966,FIND("/",Sync!$L1966)-1))),4)&amp;"/"&amp;RIGHT("00"&amp;VALUE(TRIM(LEFT(MID(Sync!$L1966,FIND("/",Sync!$L1966)+1,20),FIND("/",MID(Sync!$L1966,FIND("/",Sync!$L1966)+1,20))-1))),2)&amp;"/"&amp;RIGHT("00"&amp;VALUE(TRIM(MID(MID(Sync!$L1966,FIND("/",Sync!$L1966)+1,20),FIND("/",MID(Sync!$L1966,FIND("/",Sync!$L1966)+1,20))+1,20))),2),"")))</f>
        <v/>
      </c>
    </row>
    <row r="1967">
      <c r="M1967">
        <f>IF(Sync!$M1967&lt;&gt;"پاس چک","",IF(Sync!$P1967="","",Sync!$P1967))</f>
        <v/>
      </c>
      <c r="N1967">
        <f>IF($M1967="","",IF(ISNUMBER(Sync!$L1967),IF(AND(Sync!$L1967&gt;=10000101,Sync!$L1967&lt;=99991231),RIGHT("0000"&amp;INT(Sync!$L1967/10000),4)&amp;"/"&amp;RIGHT("00"&amp;INT(MOD(Sync!$L1967,10000)/100),2)&amp;"/"&amp;RIGHT("00"&amp;MOD(Sync!$L1967,100),2),""),IFERROR(RIGHT("0000"&amp;VALUE(TRIM(LEFT(Sync!$L1967,FIND("/",Sync!$L1967)-1))),4)&amp;"/"&amp;RIGHT("00"&amp;VALUE(TRIM(LEFT(MID(Sync!$L1967,FIND("/",Sync!$L1967)+1,20),FIND("/",MID(Sync!$L1967,FIND("/",Sync!$L1967)+1,20))-1))),2)&amp;"/"&amp;RIGHT("00"&amp;VALUE(TRIM(MID(MID(Sync!$L1967,FIND("/",Sync!$L1967)+1,20),FIND("/",MID(Sync!$L1967,FIND("/",Sync!$L1967)+1,20))+1,20))),2),"")))</f>
        <v/>
      </c>
    </row>
    <row r="1968">
      <c r="M1968">
        <f>IF(Sync!$M1968&lt;&gt;"پاس چک","",IF(Sync!$P1968="","",Sync!$P1968))</f>
        <v/>
      </c>
      <c r="N1968">
        <f>IF($M1968="","",IF(ISNUMBER(Sync!$L1968),IF(AND(Sync!$L1968&gt;=10000101,Sync!$L1968&lt;=99991231),RIGHT("0000"&amp;INT(Sync!$L1968/10000),4)&amp;"/"&amp;RIGHT("00"&amp;INT(MOD(Sync!$L1968,10000)/100),2)&amp;"/"&amp;RIGHT("00"&amp;MOD(Sync!$L1968,100),2),""),IFERROR(RIGHT("0000"&amp;VALUE(TRIM(LEFT(Sync!$L1968,FIND("/",Sync!$L1968)-1))),4)&amp;"/"&amp;RIGHT("00"&amp;VALUE(TRIM(LEFT(MID(Sync!$L1968,FIND("/",Sync!$L1968)+1,20),FIND("/",MID(Sync!$L1968,FIND("/",Sync!$L1968)+1,20))-1))),2)&amp;"/"&amp;RIGHT("00"&amp;VALUE(TRIM(MID(MID(Sync!$L1968,FIND("/",Sync!$L1968)+1,20),FIND("/",MID(Sync!$L1968,FIND("/",Sync!$L1968)+1,20))+1,20))),2),"")))</f>
        <v/>
      </c>
    </row>
    <row r="1969">
      <c r="M1969">
        <f>IF(Sync!$M1969&lt;&gt;"پاس چک","",IF(Sync!$P1969="","",Sync!$P1969))</f>
        <v/>
      </c>
      <c r="N1969">
        <f>IF($M1969="","",IF(ISNUMBER(Sync!$L1969),IF(AND(Sync!$L1969&gt;=10000101,Sync!$L1969&lt;=99991231),RIGHT("0000"&amp;INT(Sync!$L1969/10000),4)&amp;"/"&amp;RIGHT("00"&amp;INT(MOD(Sync!$L1969,10000)/100),2)&amp;"/"&amp;RIGHT("00"&amp;MOD(Sync!$L1969,100),2),""),IFERROR(RIGHT("0000"&amp;VALUE(TRIM(LEFT(Sync!$L1969,FIND("/",Sync!$L1969)-1))),4)&amp;"/"&amp;RIGHT("00"&amp;VALUE(TRIM(LEFT(MID(Sync!$L1969,FIND("/",Sync!$L1969)+1,20),FIND("/",MID(Sync!$L1969,FIND("/",Sync!$L1969)+1,20))-1))),2)&amp;"/"&amp;RIGHT("00"&amp;VALUE(TRIM(MID(MID(Sync!$L1969,FIND("/",Sync!$L1969)+1,20),FIND("/",MID(Sync!$L1969,FIND("/",Sync!$L1969)+1,20))+1,20))),2),"")))</f>
        <v/>
      </c>
    </row>
    <row r="1970">
      <c r="M1970">
        <f>IF(Sync!$M1970&lt;&gt;"پاس چک","",IF(Sync!$P1970="","",Sync!$P1970))</f>
        <v/>
      </c>
      <c r="N1970">
        <f>IF($M1970="","",IF(ISNUMBER(Sync!$L1970),IF(AND(Sync!$L1970&gt;=10000101,Sync!$L1970&lt;=99991231),RIGHT("0000"&amp;INT(Sync!$L1970/10000),4)&amp;"/"&amp;RIGHT("00"&amp;INT(MOD(Sync!$L1970,10000)/100),2)&amp;"/"&amp;RIGHT("00"&amp;MOD(Sync!$L1970,100),2),""),IFERROR(RIGHT("0000"&amp;VALUE(TRIM(LEFT(Sync!$L1970,FIND("/",Sync!$L1970)-1))),4)&amp;"/"&amp;RIGHT("00"&amp;VALUE(TRIM(LEFT(MID(Sync!$L1970,FIND("/",Sync!$L1970)+1,20),FIND("/",MID(Sync!$L1970,FIND("/",Sync!$L1970)+1,20))-1))),2)&amp;"/"&amp;RIGHT("00"&amp;VALUE(TRIM(MID(MID(Sync!$L1970,FIND("/",Sync!$L1970)+1,20),FIND("/",MID(Sync!$L1970,FIND("/",Sync!$L1970)+1,20))+1,20))),2),"")))</f>
        <v/>
      </c>
    </row>
    <row r="1971">
      <c r="M1971">
        <f>IF(Sync!$M1971&lt;&gt;"پاس چک","",IF(Sync!$P1971="","",Sync!$P1971))</f>
        <v/>
      </c>
      <c r="N1971">
        <f>IF($M1971="","",IF(ISNUMBER(Sync!$L1971),IF(AND(Sync!$L1971&gt;=10000101,Sync!$L1971&lt;=99991231),RIGHT("0000"&amp;INT(Sync!$L1971/10000),4)&amp;"/"&amp;RIGHT("00"&amp;INT(MOD(Sync!$L1971,10000)/100),2)&amp;"/"&amp;RIGHT("00"&amp;MOD(Sync!$L1971,100),2),""),IFERROR(RIGHT("0000"&amp;VALUE(TRIM(LEFT(Sync!$L1971,FIND("/",Sync!$L1971)-1))),4)&amp;"/"&amp;RIGHT("00"&amp;VALUE(TRIM(LEFT(MID(Sync!$L1971,FIND("/",Sync!$L1971)+1,20),FIND("/",MID(Sync!$L1971,FIND("/",Sync!$L1971)+1,20))-1))),2)&amp;"/"&amp;RIGHT("00"&amp;VALUE(TRIM(MID(MID(Sync!$L1971,FIND("/",Sync!$L1971)+1,20),FIND("/",MID(Sync!$L1971,FIND("/",Sync!$L1971)+1,20))+1,20))),2),"")))</f>
        <v/>
      </c>
    </row>
    <row r="1972">
      <c r="M1972">
        <f>IF(Sync!$M1972&lt;&gt;"پاس چک","",IF(Sync!$P1972="","",Sync!$P1972))</f>
        <v/>
      </c>
      <c r="N1972">
        <f>IF($M1972="","",IF(ISNUMBER(Sync!$L1972),IF(AND(Sync!$L1972&gt;=10000101,Sync!$L1972&lt;=99991231),RIGHT("0000"&amp;INT(Sync!$L1972/10000),4)&amp;"/"&amp;RIGHT("00"&amp;INT(MOD(Sync!$L1972,10000)/100),2)&amp;"/"&amp;RIGHT("00"&amp;MOD(Sync!$L1972,100),2),""),IFERROR(RIGHT("0000"&amp;VALUE(TRIM(LEFT(Sync!$L1972,FIND("/",Sync!$L1972)-1))),4)&amp;"/"&amp;RIGHT("00"&amp;VALUE(TRIM(LEFT(MID(Sync!$L1972,FIND("/",Sync!$L1972)+1,20),FIND("/",MID(Sync!$L1972,FIND("/",Sync!$L1972)+1,20))-1))),2)&amp;"/"&amp;RIGHT("00"&amp;VALUE(TRIM(MID(MID(Sync!$L1972,FIND("/",Sync!$L1972)+1,20),FIND("/",MID(Sync!$L1972,FIND("/",Sync!$L1972)+1,20))+1,20))),2),"")))</f>
        <v/>
      </c>
    </row>
    <row r="1973">
      <c r="M1973">
        <f>IF(Sync!$M1973&lt;&gt;"پاس چک","",IF(Sync!$P1973="","",Sync!$P1973))</f>
        <v/>
      </c>
      <c r="N1973">
        <f>IF($M1973="","",IF(ISNUMBER(Sync!$L1973),IF(AND(Sync!$L1973&gt;=10000101,Sync!$L1973&lt;=99991231),RIGHT("0000"&amp;INT(Sync!$L1973/10000),4)&amp;"/"&amp;RIGHT("00"&amp;INT(MOD(Sync!$L1973,10000)/100),2)&amp;"/"&amp;RIGHT("00"&amp;MOD(Sync!$L1973,100),2),""),IFERROR(RIGHT("0000"&amp;VALUE(TRIM(LEFT(Sync!$L1973,FIND("/",Sync!$L1973)-1))),4)&amp;"/"&amp;RIGHT("00"&amp;VALUE(TRIM(LEFT(MID(Sync!$L1973,FIND("/",Sync!$L1973)+1,20),FIND("/",MID(Sync!$L1973,FIND("/",Sync!$L1973)+1,20))-1))),2)&amp;"/"&amp;RIGHT("00"&amp;VALUE(TRIM(MID(MID(Sync!$L1973,FIND("/",Sync!$L1973)+1,20),FIND("/",MID(Sync!$L1973,FIND("/",Sync!$L1973)+1,20))+1,20))),2),"")))</f>
        <v/>
      </c>
    </row>
    <row r="1974">
      <c r="M1974">
        <f>IF(Sync!$M1974&lt;&gt;"پاس چک","",IF(Sync!$P1974="","",Sync!$P1974))</f>
        <v/>
      </c>
      <c r="N1974">
        <f>IF($M1974="","",IF(ISNUMBER(Sync!$L1974),IF(AND(Sync!$L1974&gt;=10000101,Sync!$L1974&lt;=99991231),RIGHT("0000"&amp;INT(Sync!$L1974/10000),4)&amp;"/"&amp;RIGHT("00"&amp;INT(MOD(Sync!$L1974,10000)/100),2)&amp;"/"&amp;RIGHT("00"&amp;MOD(Sync!$L1974,100),2),""),IFERROR(RIGHT("0000"&amp;VALUE(TRIM(LEFT(Sync!$L1974,FIND("/",Sync!$L1974)-1))),4)&amp;"/"&amp;RIGHT("00"&amp;VALUE(TRIM(LEFT(MID(Sync!$L1974,FIND("/",Sync!$L1974)+1,20),FIND("/",MID(Sync!$L1974,FIND("/",Sync!$L1974)+1,20))-1))),2)&amp;"/"&amp;RIGHT("00"&amp;VALUE(TRIM(MID(MID(Sync!$L1974,FIND("/",Sync!$L1974)+1,20),FIND("/",MID(Sync!$L1974,FIND("/",Sync!$L1974)+1,20))+1,20))),2),"")))</f>
        <v/>
      </c>
    </row>
    <row r="1975">
      <c r="M1975">
        <f>IF(Sync!$M1975&lt;&gt;"پاس چک","",IF(Sync!$P1975="","",Sync!$P1975))</f>
        <v/>
      </c>
      <c r="N1975">
        <f>IF($M1975="","",IF(ISNUMBER(Sync!$L1975),IF(AND(Sync!$L1975&gt;=10000101,Sync!$L1975&lt;=99991231),RIGHT("0000"&amp;INT(Sync!$L1975/10000),4)&amp;"/"&amp;RIGHT("00"&amp;INT(MOD(Sync!$L1975,10000)/100),2)&amp;"/"&amp;RIGHT("00"&amp;MOD(Sync!$L1975,100),2),""),IFERROR(RIGHT("0000"&amp;VALUE(TRIM(LEFT(Sync!$L1975,FIND("/",Sync!$L1975)-1))),4)&amp;"/"&amp;RIGHT("00"&amp;VALUE(TRIM(LEFT(MID(Sync!$L1975,FIND("/",Sync!$L1975)+1,20),FIND("/",MID(Sync!$L1975,FIND("/",Sync!$L1975)+1,20))-1))),2)&amp;"/"&amp;RIGHT("00"&amp;VALUE(TRIM(MID(MID(Sync!$L1975,FIND("/",Sync!$L1975)+1,20),FIND("/",MID(Sync!$L1975,FIND("/",Sync!$L1975)+1,20))+1,20))),2),"")))</f>
        <v/>
      </c>
    </row>
    <row r="1976">
      <c r="M1976">
        <f>IF(Sync!$M1976&lt;&gt;"پاس چک","",IF(Sync!$P1976="","",Sync!$P1976))</f>
        <v/>
      </c>
      <c r="N1976">
        <f>IF($M1976="","",IF(ISNUMBER(Sync!$L1976),IF(AND(Sync!$L1976&gt;=10000101,Sync!$L1976&lt;=99991231),RIGHT("0000"&amp;INT(Sync!$L1976/10000),4)&amp;"/"&amp;RIGHT("00"&amp;INT(MOD(Sync!$L1976,10000)/100),2)&amp;"/"&amp;RIGHT("00"&amp;MOD(Sync!$L1976,100),2),""),IFERROR(RIGHT("0000"&amp;VALUE(TRIM(LEFT(Sync!$L1976,FIND("/",Sync!$L1976)-1))),4)&amp;"/"&amp;RIGHT("00"&amp;VALUE(TRIM(LEFT(MID(Sync!$L1976,FIND("/",Sync!$L1976)+1,20),FIND("/",MID(Sync!$L1976,FIND("/",Sync!$L1976)+1,20))-1))),2)&amp;"/"&amp;RIGHT("00"&amp;VALUE(TRIM(MID(MID(Sync!$L1976,FIND("/",Sync!$L1976)+1,20),FIND("/",MID(Sync!$L1976,FIND("/",Sync!$L1976)+1,20))+1,20))),2),"")))</f>
        <v/>
      </c>
    </row>
    <row r="1977">
      <c r="M1977">
        <f>IF(Sync!$M1977&lt;&gt;"پاس چک","",IF(Sync!$P1977="","",Sync!$P1977))</f>
        <v/>
      </c>
      <c r="N1977">
        <f>IF($M1977="","",IF(ISNUMBER(Sync!$L1977),IF(AND(Sync!$L1977&gt;=10000101,Sync!$L1977&lt;=99991231),RIGHT("0000"&amp;INT(Sync!$L1977/10000),4)&amp;"/"&amp;RIGHT("00"&amp;INT(MOD(Sync!$L1977,10000)/100),2)&amp;"/"&amp;RIGHT("00"&amp;MOD(Sync!$L1977,100),2),""),IFERROR(RIGHT("0000"&amp;VALUE(TRIM(LEFT(Sync!$L1977,FIND("/",Sync!$L1977)-1))),4)&amp;"/"&amp;RIGHT("00"&amp;VALUE(TRIM(LEFT(MID(Sync!$L1977,FIND("/",Sync!$L1977)+1,20),FIND("/",MID(Sync!$L1977,FIND("/",Sync!$L1977)+1,20))-1))),2)&amp;"/"&amp;RIGHT("00"&amp;VALUE(TRIM(MID(MID(Sync!$L1977,FIND("/",Sync!$L1977)+1,20),FIND("/",MID(Sync!$L1977,FIND("/",Sync!$L1977)+1,20))+1,20))),2),"")))</f>
        <v/>
      </c>
    </row>
    <row r="1978">
      <c r="M1978">
        <f>IF(Sync!$M1978&lt;&gt;"پاس چک","",IF(Sync!$P1978="","",Sync!$P1978))</f>
        <v/>
      </c>
      <c r="N1978">
        <f>IF($M1978="","",IF(ISNUMBER(Sync!$L1978),IF(AND(Sync!$L1978&gt;=10000101,Sync!$L1978&lt;=99991231),RIGHT("0000"&amp;INT(Sync!$L1978/10000),4)&amp;"/"&amp;RIGHT("00"&amp;INT(MOD(Sync!$L1978,10000)/100),2)&amp;"/"&amp;RIGHT("00"&amp;MOD(Sync!$L1978,100),2),""),IFERROR(RIGHT("0000"&amp;VALUE(TRIM(LEFT(Sync!$L1978,FIND("/",Sync!$L1978)-1))),4)&amp;"/"&amp;RIGHT("00"&amp;VALUE(TRIM(LEFT(MID(Sync!$L1978,FIND("/",Sync!$L1978)+1,20),FIND("/",MID(Sync!$L1978,FIND("/",Sync!$L1978)+1,20))-1))),2)&amp;"/"&amp;RIGHT("00"&amp;VALUE(TRIM(MID(MID(Sync!$L1978,FIND("/",Sync!$L1978)+1,20),FIND("/",MID(Sync!$L1978,FIND("/",Sync!$L1978)+1,20))+1,20))),2),"")))</f>
        <v/>
      </c>
    </row>
    <row r="1979">
      <c r="M1979">
        <f>IF(Sync!$M1979&lt;&gt;"پاس چک","",IF(Sync!$P1979="","",Sync!$P1979))</f>
        <v/>
      </c>
      <c r="N1979">
        <f>IF($M1979="","",IF(ISNUMBER(Sync!$L1979),IF(AND(Sync!$L1979&gt;=10000101,Sync!$L1979&lt;=99991231),RIGHT("0000"&amp;INT(Sync!$L1979/10000),4)&amp;"/"&amp;RIGHT("00"&amp;INT(MOD(Sync!$L1979,10000)/100),2)&amp;"/"&amp;RIGHT("00"&amp;MOD(Sync!$L1979,100),2),""),IFERROR(RIGHT("0000"&amp;VALUE(TRIM(LEFT(Sync!$L1979,FIND("/",Sync!$L1979)-1))),4)&amp;"/"&amp;RIGHT("00"&amp;VALUE(TRIM(LEFT(MID(Sync!$L1979,FIND("/",Sync!$L1979)+1,20),FIND("/",MID(Sync!$L1979,FIND("/",Sync!$L1979)+1,20))-1))),2)&amp;"/"&amp;RIGHT("00"&amp;VALUE(TRIM(MID(MID(Sync!$L1979,FIND("/",Sync!$L1979)+1,20),FIND("/",MID(Sync!$L1979,FIND("/",Sync!$L1979)+1,20))+1,20))),2),"")))</f>
        <v/>
      </c>
    </row>
    <row r="1980">
      <c r="M1980">
        <f>IF(Sync!$M1980&lt;&gt;"پاس چک","",IF(Sync!$P1980="","",Sync!$P1980))</f>
        <v/>
      </c>
      <c r="N1980">
        <f>IF($M1980="","",IF(ISNUMBER(Sync!$L1980),IF(AND(Sync!$L1980&gt;=10000101,Sync!$L1980&lt;=99991231),RIGHT("0000"&amp;INT(Sync!$L1980/10000),4)&amp;"/"&amp;RIGHT("00"&amp;INT(MOD(Sync!$L1980,10000)/100),2)&amp;"/"&amp;RIGHT("00"&amp;MOD(Sync!$L1980,100),2),""),IFERROR(RIGHT("0000"&amp;VALUE(TRIM(LEFT(Sync!$L1980,FIND("/",Sync!$L1980)-1))),4)&amp;"/"&amp;RIGHT("00"&amp;VALUE(TRIM(LEFT(MID(Sync!$L1980,FIND("/",Sync!$L1980)+1,20),FIND("/",MID(Sync!$L1980,FIND("/",Sync!$L1980)+1,20))-1))),2)&amp;"/"&amp;RIGHT("00"&amp;VALUE(TRIM(MID(MID(Sync!$L1980,FIND("/",Sync!$L1980)+1,20),FIND("/",MID(Sync!$L1980,FIND("/",Sync!$L1980)+1,20))+1,20))),2),"")))</f>
        <v/>
      </c>
    </row>
    <row r="1981">
      <c r="M1981">
        <f>IF(Sync!$M1981&lt;&gt;"پاس چک","",IF(Sync!$P1981="","",Sync!$P1981))</f>
        <v/>
      </c>
      <c r="N1981">
        <f>IF($M1981="","",IF(ISNUMBER(Sync!$L1981),IF(AND(Sync!$L1981&gt;=10000101,Sync!$L1981&lt;=99991231),RIGHT("0000"&amp;INT(Sync!$L1981/10000),4)&amp;"/"&amp;RIGHT("00"&amp;INT(MOD(Sync!$L1981,10000)/100),2)&amp;"/"&amp;RIGHT("00"&amp;MOD(Sync!$L1981,100),2),""),IFERROR(RIGHT("0000"&amp;VALUE(TRIM(LEFT(Sync!$L1981,FIND("/",Sync!$L1981)-1))),4)&amp;"/"&amp;RIGHT("00"&amp;VALUE(TRIM(LEFT(MID(Sync!$L1981,FIND("/",Sync!$L1981)+1,20),FIND("/",MID(Sync!$L1981,FIND("/",Sync!$L1981)+1,20))-1))),2)&amp;"/"&amp;RIGHT("00"&amp;VALUE(TRIM(MID(MID(Sync!$L1981,FIND("/",Sync!$L1981)+1,20),FIND("/",MID(Sync!$L1981,FIND("/",Sync!$L1981)+1,20))+1,20))),2),"")))</f>
        <v/>
      </c>
    </row>
    <row r="1982">
      <c r="M1982">
        <f>IF(Sync!$M1982&lt;&gt;"پاس چک","",IF(Sync!$P1982="","",Sync!$P1982))</f>
        <v/>
      </c>
      <c r="N1982">
        <f>IF($M1982="","",IF(ISNUMBER(Sync!$L1982),IF(AND(Sync!$L1982&gt;=10000101,Sync!$L1982&lt;=99991231),RIGHT("0000"&amp;INT(Sync!$L1982/10000),4)&amp;"/"&amp;RIGHT("00"&amp;INT(MOD(Sync!$L1982,10000)/100),2)&amp;"/"&amp;RIGHT("00"&amp;MOD(Sync!$L1982,100),2),""),IFERROR(RIGHT("0000"&amp;VALUE(TRIM(LEFT(Sync!$L1982,FIND("/",Sync!$L1982)-1))),4)&amp;"/"&amp;RIGHT("00"&amp;VALUE(TRIM(LEFT(MID(Sync!$L1982,FIND("/",Sync!$L1982)+1,20),FIND("/",MID(Sync!$L1982,FIND("/",Sync!$L1982)+1,20))-1))),2)&amp;"/"&amp;RIGHT("00"&amp;VALUE(TRIM(MID(MID(Sync!$L1982,FIND("/",Sync!$L1982)+1,20),FIND("/",MID(Sync!$L1982,FIND("/",Sync!$L1982)+1,20))+1,20))),2),"")))</f>
        <v/>
      </c>
    </row>
    <row r="1983">
      <c r="M1983">
        <f>IF(Sync!$M1983&lt;&gt;"پاس چک","",IF(Sync!$P1983="","",Sync!$P1983))</f>
        <v/>
      </c>
      <c r="N1983">
        <f>IF($M1983="","",IF(ISNUMBER(Sync!$L1983),IF(AND(Sync!$L1983&gt;=10000101,Sync!$L1983&lt;=99991231),RIGHT("0000"&amp;INT(Sync!$L1983/10000),4)&amp;"/"&amp;RIGHT("00"&amp;INT(MOD(Sync!$L1983,10000)/100),2)&amp;"/"&amp;RIGHT("00"&amp;MOD(Sync!$L1983,100),2),""),IFERROR(RIGHT("0000"&amp;VALUE(TRIM(LEFT(Sync!$L1983,FIND("/",Sync!$L1983)-1))),4)&amp;"/"&amp;RIGHT("00"&amp;VALUE(TRIM(LEFT(MID(Sync!$L1983,FIND("/",Sync!$L1983)+1,20),FIND("/",MID(Sync!$L1983,FIND("/",Sync!$L1983)+1,20))-1))),2)&amp;"/"&amp;RIGHT("00"&amp;VALUE(TRIM(MID(MID(Sync!$L1983,FIND("/",Sync!$L1983)+1,20),FIND("/",MID(Sync!$L1983,FIND("/",Sync!$L1983)+1,20))+1,20))),2),"")))</f>
        <v/>
      </c>
    </row>
    <row r="1984">
      <c r="M1984">
        <f>IF(Sync!$M1984&lt;&gt;"پاس چک","",IF(Sync!$P1984="","",Sync!$P1984))</f>
        <v/>
      </c>
      <c r="N1984">
        <f>IF($M1984="","",IF(ISNUMBER(Sync!$L1984),IF(AND(Sync!$L1984&gt;=10000101,Sync!$L1984&lt;=99991231),RIGHT("0000"&amp;INT(Sync!$L1984/10000),4)&amp;"/"&amp;RIGHT("00"&amp;INT(MOD(Sync!$L1984,10000)/100),2)&amp;"/"&amp;RIGHT("00"&amp;MOD(Sync!$L1984,100),2),""),IFERROR(RIGHT("0000"&amp;VALUE(TRIM(LEFT(Sync!$L1984,FIND("/",Sync!$L1984)-1))),4)&amp;"/"&amp;RIGHT("00"&amp;VALUE(TRIM(LEFT(MID(Sync!$L1984,FIND("/",Sync!$L1984)+1,20),FIND("/",MID(Sync!$L1984,FIND("/",Sync!$L1984)+1,20))-1))),2)&amp;"/"&amp;RIGHT("00"&amp;VALUE(TRIM(MID(MID(Sync!$L1984,FIND("/",Sync!$L1984)+1,20),FIND("/",MID(Sync!$L1984,FIND("/",Sync!$L1984)+1,20))+1,20))),2),"")))</f>
        <v/>
      </c>
    </row>
    <row r="1985">
      <c r="M1985">
        <f>IF(Sync!$M1985&lt;&gt;"پاس چک","",IF(Sync!$P1985="","",Sync!$P1985))</f>
        <v/>
      </c>
      <c r="N1985">
        <f>IF($M1985="","",IF(ISNUMBER(Sync!$L1985),IF(AND(Sync!$L1985&gt;=10000101,Sync!$L1985&lt;=99991231),RIGHT("0000"&amp;INT(Sync!$L1985/10000),4)&amp;"/"&amp;RIGHT("00"&amp;INT(MOD(Sync!$L1985,10000)/100),2)&amp;"/"&amp;RIGHT("00"&amp;MOD(Sync!$L1985,100),2),""),IFERROR(RIGHT("0000"&amp;VALUE(TRIM(LEFT(Sync!$L1985,FIND("/",Sync!$L1985)-1))),4)&amp;"/"&amp;RIGHT("00"&amp;VALUE(TRIM(LEFT(MID(Sync!$L1985,FIND("/",Sync!$L1985)+1,20),FIND("/",MID(Sync!$L1985,FIND("/",Sync!$L1985)+1,20))-1))),2)&amp;"/"&amp;RIGHT("00"&amp;VALUE(TRIM(MID(MID(Sync!$L1985,FIND("/",Sync!$L1985)+1,20),FIND("/",MID(Sync!$L1985,FIND("/",Sync!$L1985)+1,20))+1,20))),2),"")))</f>
        <v/>
      </c>
    </row>
    <row r="1986">
      <c r="M1986">
        <f>IF(Sync!$M1986&lt;&gt;"پاس چک","",IF(Sync!$P1986="","",Sync!$P1986))</f>
        <v/>
      </c>
      <c r="N1986">
        <f>IF($M1986="","",IF(ISNUMBER(Sync!$L1986),IF(AND(Sync!$L1986&gt;=10000101,Sync!$L1986&lt;=99991231),RIGHT("0000"&amp;INT(Sync!$L1986/10000),4)&amp;"/"&amp;RIGHT("00"&amp;INT(MOD(Sync!$L1986,10000)/100),2)&amp;"/"&amp;RIGHT("00"&amp;MOD(Sync!$L1986,100),2),""),IFERROR(RIGHT("0000"&amp;VALUE(TRIM(LEFT(Sync!$L1986,FIND("/",Sync!$L1986)-1))),4)&amp;"/"&amp;RIGHT("00"&amp;VALUE(TRIM(LEFT(MID(Sync!$L1986,FIND("/",Sync!$L1986)+1,20),FIND("/",MID(Sync!$L1986,FIND("/",Sync!$L1986)+1,20))-1))),2)&amp;"/"&amp;RIGHT("00"&amp;VALUE(TRIM(MID(MID(Sync!$L1986,FIND("/",Sync!$L1986)+1,20),FIND("/",MID(Sync!$L1986,FIND("/",Sync!$L1986)+1,20))+1,20))),2),"")))</f>
        <v/>
      </c>
    </row>
    <row r="1987">
      <c r="M1987">
        <f>IF(Sync!$M1987&lt;&gt;"پاس چک","",IF(Sync!$P1987="","",Sync!$P1987))</f>
        <v/>
      </c>
      <c r="N1987">
        <f>IF($M1987="","",IF(ISNUMBER(Sync!$L1987),IF(AND(Sync!$L1987&gt;=10000101,Sync!$L1987&lt;=99991231),RIGHT("0000"&amp;INT(Sync!$L1987/10000),4)&amp;"/"&amp;RIGHT("00"&amp;INT(MOD(Sync!$L1987,10000)/100),2)&amp;"/"&amp;RIGHT("00"&amp;MOD(Sync!$L1987,100),2),""),IFERROR(RIGHT("0000"&amp;VALUE(TRIM(LEFT(Sync!$L1987,FIND("/",Sync!$L1987)-1))),4)&amp;"/"&amp;RIGHT("00"&amp;VALUE(TRIM(LEFT(MID(Sync!$L1987,FIND("/",Sync!$L1987)+1,20),FIND("/",MID(Sync!$L1987,FIND("/",Sync!$L1987)+1,20))-1))),2)&amp;"/"&amp;RIGHT("00"&amp;VALUE(TRIM(MID(MID(Sync!$L1987,FIND("/",Sync!$L1987)+1,20),FIND("/",MID(Sync!$L1987,FIND("/",Sync!$L1987)+1,20))+1,20))),2),"")))</f>
        <v/>
      </c>
    </row>
    <row r="1988">
      <c r="M1988">
        <f>IF(Sync!$M1988&lt;&gt;"پاس چک","",IF(Sync!$P1988="","",Sync!$P1988))</f>
        <v/>
      </c>
      <c r="N1988">
        <f>IF($M1988="","",IF(ISNUMBER(Sync!$L1988),IF(AND(Sync!$L1988&gt;=10000101,Sync!$L1988&lt;=99991231),RIGHT("0000"&amp;INT(Sync!$L1988/10000),4)&amp;"/"&amp;RIGHT("00"&amp;INT(MOD(Sync!$L1988,10000)/100),2)&amp;"/"&amp;RIGHT("00"&amp;MOD(Sync!$L1988,100),2),""),IFERROR(RIGHT("0000"&amp;VALUE(TRIM(LEFT(Sync!$L1988,FIND("/",Sync!$L1988)-1))),4)&amp;"/"&amp;RIGHT("00"&amp;VALUE(TRIM(LEFT(MID(Sync!$L1988,FIND("/",Sync!$L1988)+1,20),FIND("/",MID(Sync!$L1988,FIND("/",Sync!$L1988)+1,20))-1))),2)&amp;"/"&amp;RIGHT("00"&amp;VALUE(TRIM(MID(MID(Sync!$L1988,FIND("/",Sync!$L1988)+1,20),FIND("/",MID(Sync!$L1988,FIND("/",Sync!$L1988)+1,20))+1,20))),2),"")))</f>
        <v/>
      </c>
    </row>
    <row r="1989">
      <c r="M1989">
        <f>IF(Sync!$M1989&lt;&gt;"پاس چک","",IF(Sync!$P1989="","",Sync!$P1989))</f>
        <v/>
      </c>
      <c r="N1989">
        <f>IF($M1989="","",IF(ISNUMBER(Sync!$L1989),IF(AND(Sync!$L1989&gt;=10000101,Sync!$L1989&lt;=99991231),RIGHT("0000"&amp;INT(Sync!$L1989/10000),4)&amp;"/"&amp;RIGHT("00"&amp;INT(MOD(Sync!$L1989,10000)/100),2)&amp;"/"&amp;RIGHT("00"&amp;MOD(Sync!$L1989,100),2),""),IFERROR(RIGHT("0000"&amp;VALUE(TRIM(LEFT(Sync!$L1989,FIND("/",Sync!$L1989)-1))),4)&amp;"/"&amp;RIGHT("00"&amp;VALUE(TRIM(LEFT(MID(Sync!$L1989,FIND("/",Sync!$L1989)+1,20),FIND("/",MID(Sync!$L1989,FIND("/",Sync!$L1989)+1,20))-1))),2)&amp;"/"&amp;RIGHT("00"&amp;VALUE(TRIM(MID(MID(Sync!$L1989,FIND("/",Sync!$L1989)+1,20),FIND("/",MID(Sync!$L1989,FIND("/",Sync!$L1989)+1,20))+1,20))),2),"")))</f>
        <v/>
      </c>
    </row>
    <row r="1990">
      <c r="M1990">
        <f>IF(Sync!$M1990&lt;&gt;"پاس چک","",IF(Sync!$P1990="","",Sync!$P1990))</f>
        <v/>
      </c>
      <c r="N1990">
        <f>IF($M1990="","",IF(ISNUMBER(Sync!$L1990),IF(AND(Sync!$L1990&gt;=10000101,Sync!$L1990&lt;=99991231),RIGHT("0000"&amp;INT(Sync!$L1990/10000),4)&amp;"/"&amp;RIGHT("00"&amp;INT(MOD(Sync!$L1990,10000)/100),2)&amp;"/"&amp;RIGHT("00"&amp;MOD(Sync!$L1990,100),2),""),IFERROR(RIGHT("0000"&amp;VALUE(TRIM(LEFT(Sync!$L1990,FIND("/",Sync!$L1990)-1))),4)&amp;"/"&amp;RIGHT("00"&amp;VALUE(TRIM(LEFT(MID(Sync!$L1990,FIND("/",Sync!$L1990)+1,20),FIND("/",MID(Sync!$L1990,FIND("/",Sync!$L1990)+1,20))-1))),2)&amp;"/"&amp;RIGHT("00"&amp;VALUE(TRIM(MID(MID(Sync!$L1990,FIND("/",Sync!$L1990)+1,20),FIND("/",MID(Sync!$L1990,FIND("/",Sync!$L1990)+1,20))+1,20))),2),"")))</f>
        <v/>
      </c>
    </row>
    <row r="1991">
      <c r="M1991">
        <f>IF(Sync!$M1991&lt;&gt;"پاس چک","",IF(Sync!$P1991="","",Sync!$P1991))</f>
        <v/>
      </c>
      <c r="N1991">
        <f>IF($M1991="","",IF(ISNUMBER(Sync!$L1991),IF(AND(Sync!$L1991&gt;=10000101,Sync!$L1991&lt;=99991231),RIGHT("0000"&amp;INT(Sync!$L1991/10000),4)&amp;"/"&amp;RIGHT("00"&amp;INT(MOD(Sync!$L1991,10000)/100),2)&amp;"/"&amp;RIGHT("00"&amp;MOD(Sync!$L1991,100),2),""),IFERROR(RIGHT("0000"&amp;VALUE(TRIM(LEFT(Sync!$L1991,FIND("/",Sync!$L1991)-1))),4)&amp;"/"&amp;RIGHT("00"&amp;VALUE(TRIM(LEFT(MID(Sync!$L1991,FIND("/",Sync!$L1991)+1,20),FIND("/",MID(Sync!$L1991,FIND("/",Sync!$L1991)+1,20))-1))),2)&amp;"/"&amp;RIGHT("00"&amp;VALUE(TRIM(MID(MID(Sync!$L1991,FIND("/",Sync!$L1991)+1,20),FIND("/",MID(Sync!$L1991,FIND("/",Sync!$L1991)+1,20))+1,20))),2),"")))</f>
        <v/>
      </c>
    </row>
    <row r="1992">
      <c r="M1992">
        <f>IF(Sync!$M1992&lt;&gt;"پاس چک","",IF(Sync!$P1992="","",Sync!$P1992))</f>
        <v/>
      </c>
      <c r="N1992">
        <f>IF($M1992="","",IF(ISNUMBER(Sync!$L1992),IF(AND(Sync!$L1992&gt;=10000101,Sync!$L1992&lt;=99991231),RIGHT("0000"&amp;INT(Sync!$L1992/10000),4)&amp;"/"&amp;RIGHT("00"&amp;INT(MOD(Sync!$L1992,10000)/100),2)&amp;"/"&amp;RIGHT("00"&amp;MOD(Sync!$L1992,100),2),""),IFERROR(RIGHT("0000"&amp;VALUE(TRIM(LEFT(Sync!$L1992,FIND("/",Sync!$L1992)-1))),4)&amp;"/"&amp;RIGHT("00"&amp;VALUE(TRIM(LEFT(MID(Sync!$L1992,FIND("/",Sync!$L1992)+1,20),FIND("/",MID(Sync!$L1992,FIND("/",Sync!$L1992)+1,20))-1))),2)&amp;"/"&amp;RIGHT("00"&amp;VALUE(TRIM(MID(MID(Sync!$L1992,FIND("/",Sync!$L1992)+1,20),FIND("/",MID(Sync!$L1992,FIND("/",Sync!$L1992)+1,20))+1,20))),2),"")))</f>
        <v/>
      </c>
    </row>
    <row r="1993">
      <c r="M1993">
        <f>IF(Sync!$M1993&lt;&gt;"پاس چک","",IF(Sync!$P1993="","",Sync!$P1993))</f>
        <v/>
      </c>
      <c r="N1993">
        <f>IF($M1993="","",IF(ISNUMBER(Sync!$L1993),IF(AND(Sync!$L1993&gt;=10000101,Sync!$L1993&lt;=99991231),RIGHT("0000"&amp;INT(Sync!$L1993/10000),4)&amp;"/"&amp;RIGHT("00"&amp;INT(MOD(Sync!$L1993,10000)/100),2)&amp;"/"&amp;RIGHT("00"&amp;MOD(Sync!$L1993,100),2),""),IFERROR(RIGHT("0000"&amp;VALUE(TRIM(LEFT(Sync!$L1993,FIND("/",Sync!$L1993)-1))),4)&amp;"/"&amp;RIGHT("00"&amp;VALUE(TRIM(LEFT(MID(Sync!$L1993,FIND("/",Sync!$L1993)+1,20),FIND("/",MID(Sync!$L1993,FIND("/",Sync!$L1993)+1,20))-1))),2)&amp;"/"&amp;RIGHT("00"&amp;VALUE(TRIM(MID(MID(Sync!$L1993,FIND("/",Sync!$L1993)+1,20),FIND("/",MID(Sync!$L1993,FIND("/",Sync!$L1993)+1,20))+1,20))),2),"")))</f>
        <v/>
      </c>
    </row>
    <row r="1994">
      <c r="M1994">
        <f>IF(Sync!$M1994&lt;&gt;"پاس چک","",IF(Sync!$P1994="","",Sync!$P1994))</f>
        <v/>
      </c>
      <c r="N1994">
        <f>IF($M1994="","",IF(ISNUMBER(Sync!$L1994),IF(AND(Sync!$L1994&gt;=10000101,Sync!$L1994&lt;=99991231),RIGHT("0000"&amp;INT(Sync!$L1994/10000),4)&amp;"/"&amp;RIGHT("00"&amp;INT(MOD(Sync!$L1994,10000)/100),2)&amp;"/"&amp;RIGHT("00"&amp;MOD(Sync!$L1994,100),2),""),IFERROR(RIGHT("0000"&amp;VALUE(TRIM(LEFT(Sync!$L1994,FIND("/",Sync!$L1994)-1))),4)&amp;"/"&amp;RIGHT("00"&amp;VALUE(TRIM(LEFT(MID(Sync!$L1994,FIND("/",Sync!$L1994)+1,20),FIND("/",MID(Sync!$L1994,FIND("/",Sync!$L1994)+1,20))-1))),2)&amp;"/"&amp;RIGHT("00"&amp;VALUE(TRIM(MID(MID(Sync!$L1994,FIND("/",Sync!$L1994)+1,20),FIND("/",MID(Sync!$L1994,FIND("/",Sync!$L1994)+1,20))+1,20))),2),"")))</f>
        <v/>
      </c>
    </row>
    <row r="1995">
      <c r="M1995">
        <f>IF(Sync!$M1995&lt;&gt;"پاس چک","",IF(Sync!$P1995="","",Sync!$P1995))</f>
        <v/>
      </c>
      <c r="N1995">
        <f>IF($M1995="","",IF(ISNUMBER(Sync!$L1995),IF(AND(Sync!$L1995&gt;=10000101,Sync!$L1995&lt;=99991231),RIGHT("0000"&amp;INT(Sync!$L1995/10000),4)&amp;"/"&amp;RIGHT("00"&amp;INT(MOD(Sync!$L1995,10000)/100),2)&amp;"/"&amp;RIGHT("00"&amp;MOD(Sync!$L1995,100),2),""),IFERROR(RIGHT("0000"&amp;VALUE(TRIM(LEFT(Sync!$L1995,FIND("/",Sync!$L1995)-1))),4)&amp;"/"&amp;RIGHT("00"&amp;VALUE(TRIM(LEFT(MID(Sync!$L1995,FIND("/",Sync!$L1995)+1,20),FIND("/",MID(Sync!$L1995,FIND("/",Sync!$L1995)+1,20))-1))),2)&amp;"/"&amp;RIGHT("00"&amp;VALUE(TRIM(MID(MID(Sync!$L1995,FIND("/",Sync!$L1995)+1,20),FIND("/",MID(Sync!$L1995,FIND("/",Sync!$L1995)+1,20))+1,20))),2),"")))</f>
        <v/>
      </c>
    </row>
    <row r="1996">
      <c r="M1996">
        <f>IF(Sync!$M1996&lt;&gt;"پاس چک","",IF(Sync!$P1996="","",Sync!$P1996))</f>
        <v/>
      </c>
      <c r="N1996">
        <f>IF($M1996="","",IF(ISNUMBER(Sync!$L1996),IF(AND(Sync!$L1996&gt;=10000101,Sync!$L1996&lt;=99991231),RIGHT("0000"&amp;INT(Sync!$L1996/10000),4)&amp;"/"&amp;RIGHT("00"&amp;INT(MOD(Sync!$L1996,10000)/100),2)&amp;"/"&amp;RIGHT("00"&amp;MOD(Sync!$L1996,100),2),""),IFERROR(RIGHT("0000"&amp;VALUE(TRIM(LEFT(Sync!$L1996,FIND("/",Sync!$L1996)-1))),4)&amp;"/"&amp;RIGHT("00"&amp;VALUE(TRIM(LEFT(MID(Sync!$L1996,FIND("/",Sync!$L1996)+1,20),FIND("/",MID(Sync!$L1996,FIND("/",Sync!$L1996)+1,20))-1))),2)&amp;"/"&amp;RIGHT("00"&amp;VALUE(TRIM(MID(MID(Sync!$L1996,FIND("/",Sync!$L1996)+1,20),FIND("/",MID(Sync!$L1996,FIND("/",Sync!$L1996)+1,20))+1,20))),2),"")))</f>
        <v/>
      </c>
    </row>
    <row r="1997">
      <c r="M1997">
        <f>IF(Sync!$M1997&lt;&gt;"پاس چک","",IF(Sync!$P1997="","",Sync!$P1997))</f>
        <v/>
      </c>
      <c r="N1997">
        <f>IF($M1997="","",IF(ISNUMBER(Sync!$L1997),IF(AND(Sync!$L1997&gt;=10000101,Sync!$L1997&lt;=99991231),RIGHT("0000"&amp;INT(Sync!$L1997/10000),4)&amp;"/"&amp;RIGHT("00"&amp;INT(MOD(Sync!$L1997,10000)/100),2)&amp;"/"&amp;RIGHT("00"&amp;MOD(Sync!$L1997,100),2),""),IFERROR(RIGHT("0000"&amp;VALUE(TRIM(LEFT(Sync!$L1997,FIND("/",Sync!$L1997)-1))),4)&amp;"/"&amp;RIGHT("00"&amp;VALUE(TRIM(LEFT(MID(Sync!$L1997,FIND("/",Sync!$L1997)+1,20),FIND("/",MID(Sync!$L1997,FIND("/",Sync!$L1997)+1,20))-1))),2)&amp;"/"&amp;RIGHT("00"&amp;VALUE(TRIM(MID(MID(Sync!$L1997,FIND("/",Sync!$L1997)+1,20),FIND("/",MID(Sync!$L1997,FIND("/",Sync!$L1997)+1,20))+1,20))),2),"")))</f>
        <v/>
      </c>
    </row>
    <row r="1998">
      <c r="M1998">
        <f>IF(Sync!$M1998&lt;&gt;"پاس چک","",IF(Sync!$P1998="","",Sync!$P1998))</f>
        <v/>
      </c>
      <c r="N1998">
        <f>IF($M1998="","",IF(ISNUMBER(Sync!$L1998),IF(AND(Sync!$L1998&gt;=10000101,Sync!$L1998&lt;=99991231),RIGHT("0000"&amp;INT(Sync!$L1998/10000),4)&amp;"/"&amp;RIGHT("00"&amp;INT(MOD(Sync!$L1998,10000)/100),2)&amp;"/"&amp;RIGHT("00"&amp;MOD(Sync!$L1998,100),2),""),IFERROR(RIGHT("0000"&amp;VALUE(TRIM(LEFT(Sync!$L1998,FIND("/",Sync!$L1998)-1))),4)&amp;"/"&amp;RIGHT("00"&amp;VALUE(TRIM(LEFT(MID(Sync!$L1998,FIND("/",Sync!$L1998)+1,20),FIND("/",MID(Sync!$L1998,FIND("/",Sync!$L1998)+1,20))-1))),2)&amp;"/"&amp;RIGHT("00"&amp;VALUE(TRIM(MID(MID(Sync!$L1998,FIND("/",Sync!$L1998)+1,20),FIND("/",MID(Sync!$L1998,FIND("/",Sync!$L1998)+1,20))+1,20))),2),"")))</f>
        <v/>
      </c>
    </row>
    <row r="1999">
      <c r="M1999">
        <f>IF(Sync!$M1999&lt;&gt;"پاس چک","",IF(Sync!$P1999="","",Sync!$P1999))</f>
        <v/>
      </c>
      <c r="N1999">
        <f>IF($M1999="","",IF(ISNUMBER(Sync!$L1999),IF(AND(Sync!$L1999&gt;=10000101,Sync!$L1999&lt;=99991231),RIGHT("0000"&amp;INT(Sync!$L1999/10000),4)&amp;"/"&amp;RIGHT("00"&amp;INT(MOD(Sync!$L1999,10000)/100),2)&amp;"/"&amp;RIGHT("00"&amp;MOD(Sync!$L1999,100),2),""),IFERROR(RIGHT("0000"&amp;VALUE(TRIM(LEFT(Sync!$L1999,FIND("/",Sync!$L1999)-1))),4)&amp;"/"&amp;RIGHT("00"&amp;VALUE(TRIM(LEFT(MID(Sync!$L1999,FIND("/",Sync!$L1999)+1,20),FIND("/",MID(Sync!$L1999,FIND("/",Sync!$L1999)+1,20))-1))),2)&amp;"/"&amp;RIGHT("00"&amp;VALUE(TRIM(MID(MID(Sync!$L1999,FIND("/",Sync!$L1999)+1,20),FIND("/",MID(Sync!$L1999,FIND("/",Sync!$L1999)+1,20))+1,20))),2),"")))</f>
        <v/>
      </c>
    </row>
    <row r="2000">
      <c r="M2000">
        <f>IF(Sync!$M2000&lt;&gt;"پاس چک","",IF(Sync!$P2000="","",Sync!$P2000))</f>
        <v/>
      </c>
      <c r="N2000">
        <f>IF($M2000="","",IF(ISNUMBER(Sync!$L2000),IF(AND(Sync!$L2000&gt;=10000101,Sync!$L2000&lt;=99991231),RIGHT("0000"&amp;INT(Sync!$L2000/10000),4)&amp;"/"&amp;RIGHT("00"&amp;INT(MOD(Sync!$L2000,10000)/100),2)&amp;"/"&amp;RIGHT("00"&amp;MOD(Sync!$L2000,100),2),""),IFERROR(RIGHT("0000"&amp;VALUE(TRIM(LEFT(Sync!$L2000,FIND("/",Sync!$L2000)-1))),4)&amp;"/"&amp;RIGHT("00"&amp;VALUE(TRIM(LEFT(MID(Sync!$L2000,FIND("/",Sync!$L2000)+1,20),FIND("/",MID(Sync!$L2000,FIND("/",Sync!$L2000)+1,20))-1))),2)&amp;"/"&amp;RIGHT("00"&amp;VALUE(TRIM(MID(MID(Sync!$L2000,FIND("/",Sync!$L2000)+1,20),FIND("/",MID(Sync!$L2000,FIND("/",Sync!$L2000)+1,20))+1,20))),2),"")))</f>
        <v/>
      </c>
    </row>
    <row r="2001">
      <c r="M2001">
        <f>IF(Sync!$M2001&lt;&gt;"پاس چک","",IF(Sync!$P2001="","",Sync!$P2001))</f>
        <v/>
      </c>
      <c r="N2001">
        <f>IF($M2001="","",IF(ISNUMBER(Sync!$L2001),IF(AND(Sync!$L2001&gt;=10000101,Sync!$L2001&lt;=99991231),RIGHT("0000"&amp;INT(Sync!$L2001/10000),4)&amp;"/"&amp;RIGHT("00"&amp;INT(MOD(Sync!$L2001,10000)/100),2)&amp;"/"&amp;RIGHT("00"&amp;MOD(Sync!$L2001,100),2),""),IFERROR(RIGHT("0000"&amp;VALUE(TRIM(LEFT(Sync!$L2001,FIND("/",Sync!$L2001)-1))),4)&amp;"/"&amp;RIGHT("00"&amp;VALUE(TRIM(LEFT(MID(Sync!$L2001,FIND("/",Sync!$L2001)+1,20),FIND("/",MID(Sync!$L2001,FIND("/",Sync!$L2001)+1,20))-1))),2)&amp;"/"&amp;RIGHT("00"&amp;VALUE(TRIM(MID(MID(Sync!$L2001,FIND("/",Sync!$L2001)+1,20),FIND("/",MID(Sync!$L2001,FIND("/",Sync!$L2001)+1,20))+1,20))),2),"")))</f>
        <v/>
      </c>
    </row>
    <row r="2002">
      <c r="M2002">
        <f>IF(Sync!$M2002&lt;&gt;"پاس چک","",IF(Sync!$P2002="","",Sync!$P2002))</f>
        <v/>
      </c>
      <c r="N2002">
        <f>IF($M2002="","",IF(ISNUMBER(Sync!$L2002),IF(AND(Sync!$L2002&gt;=10000101,Sync!$L2002&lt;=99991231),RIGHT("0000"&amp;INT(Sync!$L2002/10000),4)&amp;"/"&amp;RIGHT("00"&amp;INT(MOD(Sync!$L2002,10000)/100),2)&amp;"/"&amp;RIGHT("00"&amp;MOD(Sync!$L2002,100),2),""),IFERROR(RIGHT("0000"&amp;VALUE(TRIM(LEFT(Sync!$L2002,FIND("/",Sync!$L2002)-1))),4)&amp;"/"&amp;RIGHT("00"&amp;VALUE(TRIM(LEFT(MID(Sync!$L2002,FIND("/",Sync!$L2002)+1,20),FIND("/",MID(Sync!$L2002,FIND("/",Sync!$L2002)+1,20))-1))),2)&amp;"/"&amp;RIGHT("00"&amp;VALUE(TRIM(MID(MID(Sync!$L2002,FIND("/",Sync!$L2002)+1,20),FIND("/",MID(Sync!$L2002,FIND("/",Sync!$L2002)+1,20))+1,20))),2),"")))</f>
        <v/>
      </c>
    </row>
    <row r="2003">
      <c r="M2003">
        <f>IF(Sync!$M2003&lt;&gt;"پاس چک","",IF(Sync!$P2003="","",Sync!$P2003))</f>
        <v/>
      </c>
      <c r="N2003">
        <f>IF($M2003="","",IF(ISNUMBER(Sync!$L2003),IF(AND(Sync!$L2003&gt;=10000101,Sync!$L2003&lt;=99991231),RIGHT("0000"&amp;INT(Sync!$L2003/10000),4)&amp;"/"&amp;RIGHT("00"&amp;INT(MOD(Sync!$L2003,10000)/100),2)&amp;"/"&amp;RIGHT("00"&amp;MOD(Sync!$L2003,100),2),""),IFERROR(RIGHT("0000"&amp;VALUE(TRIM(LEFT(Sync!$L2003,FIND("/",Sync!$L2003)-1))),4)&amp;"/"&amp;RIGHT("00"&amp;VALUE(TRIM(LEFT(MID(Sync!$L2003,FIND("/",Sync!$L2003)+1,20),FIND("/",MID(Sync!$L2003,FIND("/",Sync!$L2003)+1,20))-1))),2)&amp;"/"&amp;RIGHT("00"&amp;VALUE(TRIM(MID(MID(Sync!$L2003,FIND("/",Sync!$L2003)+1,20),FIND("/",MID(Sync!$L2003,FIND("/",Sync!$L2003)+1,20))+1,20))),2),"")))</f>
        <v/>
      </c>
    </row>
    <row r="2004">
      <c r="M2004">
        <f>IF(Sync!$M2004&lt;&gt;"پاس چک","",IF(Sync!$P2004="","",Sync!$P2004))</f>
        <v/>
      </c>
      <c r="N2004">
        <f>IF($M2004="","",IF(ISNUMBER(Sync!$L2004),IF(AND(Sync!$L2004&gt;=10000101,Sync!$L2004&lt;=99991231),RIGHT("0000"&amp;INT(Sync!$L2004/10000),4)&amp;"/"&amp;RIGHT("00"&amp;INT(MOD(Sync!$L2004,10000)/100),2)&amp;"/"&amp;RIGHT("00"&amp;MOD(Sync!$L2004,100),2),""),IFERROR(RIGHT("0000"&amp;VALUE(TRIM(LEFT(Sync!$L2004,FIND("/",Sync!$L2004)-1))),4)&amp;"/"&amp;RIGHT("00"&amp;VALUE(TRIM(LEFT(MID(Sync!$L2004,FIND("/",Sync!$L2004)+1,20),FIND("/",MID(Sync!$L2004,FIND("/",Sync!$L2004)+1,20))-1))),2)&amp;"/"&amp;RIGHT("00"&amp;VALUE(TRIM(MID(MID(Sync!$L2004,FIND("/",Sync!$L2004)+1,20),FIND("/",MID(Sync!$L2004,FIND("/",Sync!$L2004)+1,20))+1,20))),2),"")))</f>
        <v/>
      </c>
    </row>
    <row r="2005">
      <c r="M2005">
        <f>IF(Sync!$M2005&lt;&gt;"پاس چک","",IF(Sync!$P2005="","",Sync!$P2005))</f>
        <v/>
      </c>
      <c r="N2005">
        <f>IF($M2005="","",IF(ISNUMBER(Sync!$L2005),IF(AND(Sync!$L2005&gt;=10000101,Sync!$L2005&lt;=99991231),RIGHT("0000"&amp;INT(Sync!$L2005/10000),4)&amp;"/"&amp;RIGHT("00"&amp;INT(MOD(Sync!$L2005,10000)/100),2)&amp;"/"&amp;RIGHT("00"&amp;MOD(Sync!$L2005,100),2),""),IFERROR(RIGHT("0000"&amp;VALUE(TRIM(LEFT(Sync!$L2005,FIND("/",Sync!$L2005)-1))),4)&amp;"/"&amp;RIGHT("00"&amp;VALUE(TRIM(LEFT(MID(Sync!$L2005,FIND("/",Sync!$L2005)+1,20),FIND("/",MID(Sync!$L2005,FIND("/",Sync!$L2005)+1,20))-1))),2)&amp;"/"&amp;RIGHT("00"&amp;VALUE(TRIM(MID(MID(Sync!$L2005,FIND("/",Sync!$L2005)+1,20),FIND("/",MID(Sync!$L2005,FIND("/",Sync!$L2005)+1,20))+1,20))),2),"")))</f>
        <v/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25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2" t="inlineStr">
        <is>
          <t>راهنمای فایل چک‌های پرداختی (Cheques.xlsx)</t>
        </is>
      </c>
      <c r="B3" s="32" t="n"/>
      <c r="C3" s="32" t="n"/>
      <c r="D3" s="32" t="n"/>
      <c r="E3" s="32" t="n"/>
      <c r="F3" s="32" t="n"/>
      <c r="G3" s="32" t="n"/>
      <c r="H3" s="32" t="n"/>
    </row>
    <row r="5" ht="19" customHeight="1">
      <c r="A5" s="33" t="inlineStr">
        <is>
          <t>۱) این فایل چیست؟</t>
        </is>
      </c>
      <c r="B5" s="33" t="n"/>
      <c r="C5" s="33" t="n"/>
      <c r="D5" s="33" t="n"/>
      <c r="E5" s="33" t="n"/>
      <c r="F5" s="33" t="n"/>
      <c r="G5" s="33" t="n"/>
      <c r="H5" s="33" t="n"/>
    </row>
    <row r="6" ht="17" customHeight="1">
      <c r="A6" s="34" t="inlineStr">
        <is>
          <t>• دفتر چک‌های پرداختی شرکت: ثبت صدور هر چک + مشاهده وضعیت پاس‌شده/پاس‌نشده در هر بازه زمانی.</t>
        </is>
      </c>
      <c r="B6" s="34" t="n"/>
      <c r="C6" s="34" t="n"/>
      <c r="D6" s="34" t="n"/>
      <c r="E6" s="34" t="n"/>
      <c r="F6" s="34" t="n"/>
      <c r="G6" s="34" t="n"/>
      <c r="H6" s="34" t="n"/>
    </row>
    <row r="7" ht="17" customHeight="1">
      <c r="A7" s="35" t="inlineStr">
        <is>
          <t>• شماره چک‌ها اول در INFO ← شیت Cheques تعریف می‌شوند (بانک/شعبه/دفترچه/سری/صیاد اطلاعاتی‌اند).</t>
        </is>
      </c>
      <c r="B7" s="35" t="n"/>
      <c r="C7" s="35" t="n"/>
      <c r="D7" s="35" t="n"/>
      <c r="E7" s="35" t="n"/>
      <c r="F7" s="35" t="n"/>
      <c r="G7" s="35" t="n"/>
      <c r="H7" s="35" t="n"/>
    </row>
    <row r="8" ht="17" customHeight="1">
      <c r="A8" s="34" t="inlineStr">
        <is>
          <t>• در همه گزارش‌ها فقط شماره چک، تاریخ چک و مبلغ استفاده می‌شود.</t>
        </is>
      </c>
      <c r="B8" s="34" t="n"/>
      <c r="C8" s="34" t="n"/>
      <c r="D8" s="34" t="n"/>
      <c r="E8" s="34" t="n"/>
      <c r="F8" s="34" t="n"/>
      <c r="G8" s="34" t="n"/>
      <c r="H8" s="34" t="n"/>
    </row>
    <row r="10" ht="19" customHeight="1">
      <c r="A10" s="33" t="inlineStr">
        <is>
          <t>۲) شیت Issues — ثبت صدور</t>
        </is>
      </c>
      <c r="B10" s="33" t="n"/>
      <c r="C10" s="33" t="n"/>
      <c r="D10" s="33" t="n"/>
      <c r="E10" s="33" t="n"/>
      <c r="F10" s="33" t="n"/>
      <c r="G10" s="33" t="n"/>
      <c r="H10" s="33" t="n"/>
    </row>
    <row r="11" ht="17" customHeight="1">
      <c r="A11" s="34" t="inlineStr">
        <is>
          <t>• هر چکی که می‌دهید یک ردیف: شماره چک (کشویی از INFO) | تاریخ چک | مبلغ | ذی‌نفع (کد از INFO).</t>
        </is>
      </c>
      <c r="B11" s="34" t="n"/>
      <c r="C11" s="34" t="n"/>
      <c r="D11" s="34" t="n"/>
      <c r="E11" s="34" t="n"/>
      <c r="F11" s="34" t="n"/>
      <c r="G11" s="34" t="n"/>
      <c r="H11" s="34" t="n"/>
    </row>
    <row r="12" ht="17" customHeight="1">
      <c r="A12" s="35" t="inlineStr">
        <is>
          <t>• وضعیت خودکار است: تا وقتی پاس نشده «پاس نشده» می‌ماند.</t>
        </is>
      </c>
      <c r="B12" s="35" t="n"/>
      <c r="C12" s="35" t="n"/>
      <c r="D12" s="35" t="n"/>
      <c r="E12" s="35" t="n"/>
      <c r="F12" s="35" t="n"/>
      <c r="G12" s="35" t="n"/>
      <c r="H12" s="35" t="n"/>
    </row>
    <row r="14" ht="19" customHeight="1">
      <c r="A14" s="33" t="inlineStr">
        <is>
          <t>۳) پاس شدن چک — جریان کار</t>
        </is>
      </c>
      <c r="B14" s="33" t="n"/>
      <c r="C14" s="33" t="n"/>
      <c r="D14" s="33" t="n"/>
      <c r="E14" s="33" t="n"/>
      <c r="F14" s="33" t="n"/>
      <c r="G14" s="33" t="n"/>
      <c r="H14" s="33" t="n"/>
    </row>
    <row r="15" ht="17" customHeight="1">
      <c r="A15" s="34" t="inlineStr">
        <is>
          <t>• وقتی چک از حساب بانک گذشت: در Transactions.xlsx یک ردیف با نوع «پاس چک» ثبت کنید — بانک، تاریخ، مبلغ برداشت و در ستون «شماره چک» همان شماره.</t>
        </is>
      </c>
      <c r="B15" s="34" t="n"/>
      <c r="C15" s="34" t="n"/>
      <c r="D15" s="34" t="n"/>
      <c r="E15" s="34" t="n"/>
      <c r="F15" s="34" t="n"/>
      <c r="G15" s="34" t="n"/>
      <c r="H15" s="34" t="n"/>
    </row>
    <row r="16" ht="17" customHeight="1">
      <c r="A16" s="35" t="inlineStr">
        <is>
          <t>• مانده بانک در Transactions خودکار کم می‌شود و وضعیت چک در همین فایل «پاس شده» می‌شود (تاریخ پاس از همان ردیف).</t>
        </is>
      </c>
      <c r="B16" s="35" t="n"/>
      <c r="C16" s="35" t="n"/>
      <c r="D16" s="35" t="n"/>
      <c r="E16" s="35" t="n"/>
      <c r="F16" s="35" t="n"/>
      <c r="G16" s="35" t="n"/>
      <c r="H16" s="35" t="n"/>
    </row>
    <row r="18" ht="19" customHeight="1">
      <c r="A18" s="33" t="inlineStr">
        <is>
          <t>۴) شیت‌های گزارشی (هر دو کپی‌کردنی برای هر ماه)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17" customHeight="1">
      <c r="A19" s="34" t="inlineStr">
        <is>
          <t>• Month — گردش کل بازه: «از تاریخ / تا تاریخ» را وارد کنید؛ همه چک‌های تاریخ‌درآن‌بازه به ترتیب تاریخ، با رنگ سبز (پاس شده) و قرمز (پاس نشده) + جمع‌ها.</t>
        </is>
      </c>
      <c r="B19" s="34" t="n"/>
      <c r="C19" s="34" t="n"/>
      <c r="D19" s="34" t="n"/>
      <c r="E19" s="34" t="n"/>
      <c r="F19" s="34" t="n"/>
      <c r="G19" s="34" t="n"/>
      <c r="H19" s="34" t="n"/>
    </row>
    <row r="20" ht="17" customHeight="1">
      <c r="A20" s="35" t="inlineStr">
        <is>
          <t>• Unpaid — فقط چک‌های پاس‌نشده همان بازه، به ترتیب تاریخ + جمع.</t>
        </is>
      </c>
      <c r="B20" s="35" t="n"/>
      <c r="C20" s="35" t="n"/>
      <c r="D20" s="35" t="n"/>
      <c r="E20" s="35" t="n"/>
      <c r="F20" s="35" t="n"/>
      <c r="G20" s="35" t="n"/>
      <c r="H20" s="35" t="n"/>
    </row>
    <row r="21" ht="17" customHeight="1">
      <c r="A21" s="34" t="inlineStr">
        <is>
          <t>• برای ماه دیگر، شیت را کپی کنید و فقط بازه را عوض کنید.</t>
        </is>
      </c>
      <c r="B21" s="34" t="n"/>
      <c r="C21" s="34" t="n"/>
      <c r="D21" s="34" t="n"/>
      <c r="E21" s="34" t="n"/>
      <c r="F21" s="34" t="n"/>
      <c r="G21" s="34" t="n"/>
      <c r="H21" s="34" t="n"/>
    </row>
    <row r="23" ht="19" customHeight="1">
      <c r="A23" s="33" t="inlineStr">
        <is>
          <t>۵) اتصال‌ها</t>
        </is>
      </c>
      <c r="B23" s="33" t="n"/>
      <c r="C23" s="33" t="n"/>
      <c r="D23" s="33" t="n"/>
      <c r="E23" s="33" t="n"/>
      <c r="F23" s="33" t="n"/>
      <c r="G23" s="33" t="n"/>
      <c r="H23" s="33" t="n"/>
    </row>
    <row r="24" ht="17" customHeight="1">
      <c r="A24" s="34" t="inlineStr">
        <is>
          <t>• این فایل، Transactions.xlsx و INFO.xlsx همیشه در یک پوشه باشند.</t>
        </is>
      </c>
      <c r="B24" s="34" t="n"/>
      <c r="C24" s="34" t="n"/>
      <c r="D24" s="34" t="n"/>
      <c r="E24" s="34" t="n"/>
      <c r="F24" s="34" t="n"/>
      <c r="G24" s="34" t="n"/>
      <c r="H24" s="34" t="n"/>
    </row>
    <row r="25" ht="17" customHeight="1">
      <c r="A25" s="35" t="inlineStr">
        <is>
          <t>• پس از تغییر منابع: Data ← Edit Links ← Update Values.</t>
        </is>
      </c>
      <c r="B25" s="35" t="n"/>
      <c r="C25" s="35" t="n"/>
      <c r="D25" s="35" t="n"/>
      <c r="E25" s="35" t="n"/>
      <c r="F25" s="35" t="n"/>
      <c r="G25" s="35" t="n"/>
      <c r="H25" s="35" t="n"/>
    </row>
  </sheetData>
  <mergeCells count="20">
    <mergeCell ref="A15:H15"/>
    <mergeCell ref="A24:H24"/>
    <mergeCell ref="A11:H11"/>
    <mergeCell ref="A1:H1"/>
    <mergeCell ref="A6:H6"/>
    <mergeCell ref="A7:H7"/>
    <mergeCell ref="A25:H25"/>
    <mergeCell ref="A16:H16"/>
    <mergeCell ref="A12:H12"/>
    <mergeCell ref="A18:H18"/>
    <mergeCell ref="A3:H3"/>
    <mergeCell ref="A21:H21"/>
    <mergeCell ref="A2:H2"/>
    <mergeCell ref="A14:H14"/>
    <mergeCell ref="A5:H5"/>
    <mergeCell ref="A23:H23"/>
    <mergeCell ref="A8:H8"/>
    <mergeCell ref="A20:H20"/>
    <mergeCell ref="A10:H10"/>
    <mergeCell ref="A19:H19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 — فایل چک‌های پرداختی&amp;R&amp;"Tahoma"&amp;8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Cheques — چک‌های پرداختی</dc:title>
  <dcterms:created xsi:type="dcterms:W3CDTF">2026-10-05T19:49:45Z</dcterms:created>
  <dcterms:modified xsi:type="dcterms:W3CDTF">2026-10-05T19:49:46Z</dcterms:modified>
</cp:coreProperties>
</file>